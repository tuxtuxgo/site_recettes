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_rels/sheet1.xml.rels" ContentType="application/vnd.openxmlformats-package.relationships+xml"/>
  <Override PartName="/xl/worksheets/_rels/sheet2.xml.rels" ContentType="application/vnd.openxmlformats-package.relationships+xml"/>
  <Override PartName="/xl/worksheets/_rels/sheet3.xml.rels" ContentType="application/vnd.openxmlformats-package.relationships+xml"/>
  <Override PartName="/xl/worksheets/_rels/sheet4.xml.rels" ContentType="application/vnd.openxmlformats-package.relationships+xml"/>
  <Override PartName="/xl/worksheets/_rels/sheet5.xml.rels" ContentType="application/vnd.openxmlformats-package.relationships+xml"/>
  <Override PartName="/xl/worksheets/_rels/sheet6.xml.rels" ContentType="application/vnd.openxmlformats-package.relationships+xml"/>
  <Override PartName="/xl/worksheets/_rels/sheet20.xml.rels" ContentType="application/vnd.openxmlformats-package.relationships+xml"/>
  <Override PartName="/xl/worksheets/_rels/sheet7.xml.rels" ContentType="application/vnd.openxmlformats-package.relationships+xml"/>
  <Override PartName="/xl/worksheets/_rels/sheet8.xml.rels" ContentType="application/vnd.openxmlformats-package.relationships+xml"/>
  <Override PartName="/xl/worksheets/_rels/sheet21.xml.rels" ContentType="application/vnd.openxmlformats-package.relationships+xml"/>
  <Override PartName="/xl/worksheets/_rels/sheet9.xml.rels" ContentType="application/vnd.openxmlformats-package.relationships+xml"/>
  <Override PartName="/xl/worksheets/_rels/sheet22.xml.rels" ContentType="application/vnd.openxmlformats-package.relationships+xml"/>
  <Override PartName="/xl/worksheets/_rels/sheet10.xml.rels" ContentType="application/vnd.openxmlformats-package.relationships+xml"/>
  <Override PartName="/xl/worksheets/_rels/sheet12.xml.rels" ContentType="application/vnd.openxmlformats-package.relationships+xml"/>
  <Override PartName="/xl/worksheets/_rels/sheet13.xml.rels" ContentType="application/vnd.openxmlformats-package.relationships+xml"/>
  <Override PartName="/xl/worksheets/_rels/sheet14.xml.rels" ContentType="application/vnd.openxmlformats-package.relationships+xml"/>
  <Override PartName="/xl/worksheets/_rels/sheet15.xml.rels" ContentType="application/vnd.openxmlformats-package.relationships+xml"/>
  <Override PartName="/xl/worksheets/_rels/sheet16.xml.rels" ContentType="application/vnd.openxmlformats-package.relationships+xml"/>
  <Override PartName="/xl/worksheets/_rels/sheet17.xml.rels" ContentType="application/vnd.openxmlformats-package.relationships+xml"/>
  <Override PartName="/xl/worksheets/_rels/sheet18.xml.rels" ContentType="application/vnd.openxmlformats-package.relationships+xml"/>
  <Override PartName="/xl/worksheets/_rels/sheet19.xml.rels" ContentType="application/vnd.openxmlformats-package.relationships+xml"/>
  <Override PartName="/xl/worksheets/_rels/sheet23.xml.rels" ContentType="application/vnd.openxmlformats-package.relationships+xml"/>
  <Override PartName="/xl/worksheets/_rels/sheet24.xml.rels" ContentType="application/vnd.openxmlformats-package.relationships+xml"/>
  <Override PartName="/xl/worksheets/_rels/sheet25.xml.rels" ContentType="application/vnd.openxmlformats-package.relationships+xml"/>
  <Override PartName="/xl/worksheets/_rels/sheet26.xml.rels" ContentType="application/vnd.openxmlformats-package.relationships+xml"/>
  <Override PartName="/xl/worksheets/_rels/sheet27.xml.rels" ContentType="application/vnd.openxmlformats-package.relationships+xml"/>
  <Override PartName="/xl/worksheets/_rels/sheet28.xml.rels" ContentType="application/vnd.openxmlformats-package.relationships+xml"/>
  <Override PartName="/xl/worksheets/_rels/sheet29.xml.rels" ContentType="application/vnd.openxmlformats-package.relationships+xml"/>
  <Override PartName="/xl/worksheets/_rels/sheet30.xml.rels" ContentType="application/vnd.openxmlformats-package.relationships+xml"/>
  <Override PartName="/xl/worksheets/_rels/sheet31.xml.rels" ContentType="application/vnd.openxmlformats-package.relationships+xml"/>
  <Override PartName="/xl/worksheets/_rels/sheet32.xml.rels" ContentType="application/vnd.openxmlformats-package.relationships+xml"/>
  <Override PartName="/xl/worksheets/_rels/sheet33.xml.rels" ContentType="application/vnd.openxmlformats-package.relationships+xml"/>
  <Override PartName="/xl/worksheets/_rels/sheet34.xml.rels" ContentType="application/vnd.openxmlformats-package.relationships+xml"/>
  <Override PartName="/xl/worksheets/_rels/sheet35.xml.rels" ContentType="application/vnd.openxmlformats-package.relationships+xml"/>
  <Override PartName="/xl/worksheets/_rels/sheet36.xml.rels" ContentType="application/vnd.openxmlformats-package.relationships+xml"/>
  <Override PartName="/xl/worksheets/_rels/sheet37.xml.rels" ContentType="application/vnd.openxmlformats-package.relationships+xml"/>
  <Override PartName="/xl/worksheets/_rels/sheet38.xml.rels" ContentType="application/vnd.openxmlformats-package.relationships+xml"/>
  <Override PartName="/xl/worksheets/_rels/sheet39.xml.rels" ContentType="application/vnd.openxmlformats-package.relationships+xml"/>
  <Override PartName="/xl/worksheets/_rels/sheet40.xml.rels" ContentType="application/vnd.openxmlformats-package.relationships+xml"/>
  <Override PartName="/xl/worksheets/_rels/sheet41.xml.rels" ContentType="application/vnd.openxmlformats-package.relationships+xml"/>
  <Override PartName="/xl/worksheets/_rels/sheet42.xml.rels" ContentType="application/vnd.openxmlformats-package.relationships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comments33.xml" ContentType="application/vnd.openxmlformats-officedocument.spreadsheetml.comments+xml"/>
  <Override PartName="/xl/tables/table23.xml" ContentType="application/vnd.openxmlformats-officedocument.spreadsheetml.table+xml"/>
  <Override PartName="/xl/tables/table2.xml" ContentType="application/vnd.openxmlformats-officedocument.spreadsheetml.table+xml"/>
  <Override PartName="/xl/tables/table54.xml" ContentType="application/vnd.openxmlformats-officedocument.spreadsheetml.table+xml"/>
  <Override PartName="/xl/tables/table19.xml" ContentType="application/vnd.openxmlformats-officedocument.spreadsheetml.table+xml"/>
  <Override PartName="/xl/tables/table78.xml" ContentType="application/vnd.openxmlformats-officedocument.spreadsheetml.table+xml"/>
  <Override PartName="/xl/tables/table21.xml" ContentType="application/vnd.openxmlformats-officedocument.spreadsheetml.table+xml"/>
  <Override PartName="/xl/tables/table96.xml" ContentType="application/vnd.openxmlformats-officedocument.spreadsheetml.table+xml"/>
  <Override PartName="/xl/tables/table29.xml" ContentType="application/vnd.openxmlformats-officedocument.spreadsheetml.table+xml"/>
  <Override PartName="/xl/tables/table8.xml" ContentType="application/vnd.openxmlformats-officedocument.spreadsheetml.table+xml"/>
  <Override PartName="/xl/tables/table40.xml" ContentType="application/vnd.openxmlformats-officedocument.spreadsheetml.table+xml"/>
  <Override PartName="/xl/tables/table9.xml" ContentType="application/vnd.openxmlformats-officedocument.spreadsheetml.table+xml"/>
  <Override PartName="/xl/tables/table97.xml" ContentType="application/vnd.openxmlformats-officedocument.spreadsheetml.table+xml"/>
  <Override PartName="/xl/tables/table79.xml" ContentType="application/vnd.openxmlformats-officedocument.spreadsheetml.table+xml"/>
  <Override PartName="/xl/tables/table22.xml" ContentType="application/vnd.openxmlformats-officedocument.spreadsheetml.table+xml"/>
  <Override PartName="/xl/tables/table1.xml" ContentType="application/vnd.openxmlformats-officedocument.spreadsheetml.table+xml"/>
  <Override PartName="/xl/tables/table25.xml" ContentType="application/vnd.openxmlformats-officedocument.spreadsheetml.table+xml"/>
  <Override PartName="/xl/tables/table4.xml" ContentType="application/vnd.openxmlformats-officedocument.spreadsheetml.table+xml"/>
  <Override PartName="/xl/tables/table24.xml" ContentType="application/vnd.openxmlformats-officedocument.spreadsheetml.table+xml"/>
  <Override PartName="/xl/tables/table3.xml" ContentType="application/vnd.openxmlformats-officedocument.spreadsheetml.table+xml"/>
  <Override PartName="/xl/tables/table7.xml" ContentType="application/vnd.openxmlformats-officedocument.spreadsheetml.table+xml"/>
  <Override PartName="/xl/tables/table28.xml" ContentType="application/vnd.openxmlformats-officedocument.spreadsheetml.table+xml"/>
  <Override PartName="/xl/tables/table95.xml" ContentType="application/vnd.openxmlformats-officedocument.spreadsheetml.table+xml"/>
  <Override PartName="/xl/tables/table6.xml" ContentType="application/vnd.openxmlformats-officedocument.spreadsheetml.table+xml"/>
  <Override PartName="/xl/tables/table27.xml" ContentType="application/vnd.openxmlformats-officedocument.spreadsheetml.table+xml"/>
  <Override PartName="/xl/tables/table10.xml" ContentType="application/vnd.openxmlformats-officedocument.spreadsheetml.table+xml"/>
  <Override PartName="/xl/tables/table26.xml" ContentType="application/vnd.openxmlformats-officedocument.spreadsheetml.table+xml"/>
  <Override PartName="/xl/tables/table5.xml" ContentType="application/vnd.openxmlformats-officedocument.spreadsheetml.table+xml"/>
  <Override PartName="/xl/tables/table20.xml" ContentType="application/vnd.openxmlformats-officedocument.spreadsheetml.table+xml"/>
  <Override PartName="/xl/tables/table77.xml" ContentType="application/vnd.openxmlformats-officedocument.spreadsheetml.table+xml"/>
  <Override PartName="/xl/tables/table34.xml" ContentType="application/vnd.openxmlformats-officedocument.spreadsheetml.table+xml"/>
  <Override PartName="/xl/tables/table17.xml" ContentType="application/vnd.openxmlformats-officedocument.spreadsheetml.table+xml"/>
  <Override PartName="/xl/tables/table33.xml" ContentType="application/vnd.openxmlformats-officedocument.spreadsheetml.table+xml"/>
  <Override PartName="/xl/tables/table16.xml" ContentType="application/vnd.openxmlformats-officedocument.spreadsheetml.table+xml"/>
  <Override PartName="/xl/tables/table32.xml" ContentType="application/vnd.openxmlformats-officedocument.spreadsheetml.table+xml"/>
  <Override PartName="/xl/tables/table15.xml" ContentType="application/vnd.openxmlformats-officedocument.spreadsheetml.table+xml"/>
  <Override PartName="/xl/tables/table31.xml" ContentType="application/vnd.openxmlformats-officedocument.spreadsheetml.table+xml"/>
  <Override PartName="/xl/tables/table14.xml" ContentType="application/vnd.openxmlformats-officedocument.spreadsheetml.table+xml"/>
  <Override PartName="/xl/tables/table30.xml" ContentType="application/vnd.openxmlformats-officedocument.spreadsheetml.table+xml"/>
  <Override PartName="/xl/tables/table13.xml" ContentType="application/vnd.openxmlformats-officedocument.spreadsheetml.table+xml"/>
  <Override PartName="/xl/tables/table80.xml" ContentType="application/vnd.openxmlformats-officedocument.spreadsheetml.table+xml"/>
  <Override PartName="/xl/tables/table12.xml" ContentType="application/vnd.openxmlformats-officedocument.spreadsheetml.table+xml"/>
  <Override PartName="/xl/tables/table11.xml" ContentType="application/vnd.openxmlformats-officedocument.spreadsheetml.table+xml"/>
  <Override PartName="/xl/tables/table18.xml" ContentType="application/vnd.openxmlformats-officedocument.spreadsheetml.table+xml"/>
  <Override PartName="/xl/tables/table76.xml" ContentType="application/vnd.openxmlformats-officedocument.spreadsheetml.table+xml"/>
  <Override PartName="/xl/tables/table52.xml" ContentType="application/vnd.openxmlformats-officedocument.spreadsheetml.table+xml"/>
  <Override PartName="/xl/tables/table74.xml" ContentType="application/vnd.openxmlformats-officedocument.spreadsheetml.table+xml"/>
  <Override PartName="/xl/tables/table118.xml" ContentType="application/vnd.openxmlformats-officedocument.spreadsheetml.table+xml"/>
  <Override PartName="/xl/tables/table70.xml" ContentType="application/vnd.openxmlformats-officedocument.spreadsheetml.table+xml"/>
  <Override PartName="/xl/tables/table53.xml" ContentType="application/vnd.openxmlformats-officedocument.spreadsheetml.table+xml"/>
  <Override PartName="/xl/tables/table75.xml" ContentType="application/vnd.openxmlformats-officedocument.spreadsheetml.table+xml"/>
  <Override PartName="/xl/tables/table99.xml" ContentType="application/vnd.openxmlformats-officedocument.spreadsheetml.table+xml"/>
  <Override PartName="/xl/tables/table119.xml" ContentType="application/vnd.openxmlformats-officedocument.spreadsheetml.table+xml"/>
  <Override PartName="/xl/tables/table71.xml" ContentType="application/vnd.openxmlformats-officedocument.spreadsheetml.table+xml"/>
  <Override PartName="/xl/tables/table55.xml" ContentType="application/vnd.openxmlformats-officedocument.spreadsheetml.table+xml"/>
  <Override PartName="/xl/tables/table51.xml" ContentType="application/vnd.openxmlformats-officedocument.spreadsheetml.table+xml"/>
  <Override PartName="/xl/tables/table73.xml" ContentType="application/vnd.openxmlformats-officedocument.spreadsheetml.table+xml"/>
  <Override PartName="/xl/tables/table98.xml" ContentType="application/vnd.openxmlformats-officedocument.spreadsheetml.table+xml"/>
  <Override PartName="/xl/tables/table117.xml" ContentType="application/vnd.openxmlformats-officedocument.spreadsheetml.table+xml"/>
  <Override PartName="/xl/tables/table50.xml" ContentType="application/vnd.openxmlformats-officedocument.spreadsheetml.table+xml"/>
  <Override PartName="/xl/tables/table72.xml" ContentType="application/vnd.openxmlformats-officedocument.spreadsheetml.table+xml"/>
  <Override PartName="/xl/tables/table116.xml" ContentType="application/vnd.openxmlformats-officedocument.spreadsheetml.table+xml"/>
  <Override PartName="/xl/tables/table49.xml" ContentType="application/vnd.openxmlformats-officedocument.spreadsheetml.table+xml"/>
  <Override PartName="/xl/tables/table115.xml" ContentType="application/vnd.openxmlformats-officedocument.spreadsheetml.table+xml"/>
  <Override PartName="/xl/tables/table48.xml" ContentType="application/vnd.openxmlformats-officedocument.spreadsheetml.table+xml"/>
  <Override PartName="/xl/tables/table114.xml" ContentType="application/vnd.openxmlformats-officedocument.spreadsheetml.table+xml"/>
  <Override PartName="/xl/tables/table69.xml" ContentType="application/vnd.openxmlformats-officedocument.spreadsheetml.table+xml"/>
  <Override PartName="/xl/tables/table94.xml" ContentType="application/vnd.openxmlformats-officedocument.spreadsheetml.table+xml"/>
  <Override PartName="/xl/tables/table113.xml" ContentType="application/vnd.openxmlformats-officedocument.spreadsheetml.table+xml"/>
  <Override PartName="/xl/tables/table47.xml" ContentType="application/vnd.openxmlformats-officedocument.spreadsheetml.table+xml"/>
  <Override PartName="/xl/tables/table68.xml" ContentType="application/vnd.openxmlformats-officedocument.spreadsheetml.table+xml"/>
  <Override PartName="/xl/tables/table93.xml" ContentType="application/vnd.openxmlformats-officedocument.spreadsheetml.table+xml"/>
  <Override PartName="/xl/tables/table112.xml" ContentType="application/vnd.openxmlformats-officedocument.spreadsheetml.table+xml"/>
  <Override PartName="/xl/tables/table46.xml" ContentType="application/vnd.openxmlformats-officedocument.spreadsheetml.table+xml"/>
  <Override PartName="/xl/tables/table67.xml" ContentType="application/vnd.openxmlformats-officedocument.spreadsheetml.table+xml"/>
  <Override PartName="/xl/tables/table92.xml" ContentType="application/vnd.openxmlformats-officedocument.spreadsheetml.table+xml"/>
  <Override PartName="/xl/tables/table111.xml" ContentType="application/vnd.openxmlformats-officedocument.spreadsheetml.table+xml"/>
  <Override PartName="/xl/tables/table45.xml" ContentType="application/vnd.openxmlformats-officedocument.spreadsheetml.table+xml"/>
  <Override PartName="/xl/tables/table66.xml" ContentType="application/vnd.openxmlformats-officedocument.spreadsheetml.table+xml"/>
  <Override PartName="/xl/tables/table91.xml" ContentType="application/vnd.openxmlformats-officedocument.spreadsheetml.table+xml"/>
  <Override PartName="/xl/tables/table110.xml" ContentType="application/vnd.openxmlformats-officedocument.spreadsheetml.table+xml"/>
  <Override PartName="/xl/tables/table44.xml" ContentType="application/vnd.openxmlformats-officedocument.spreadsheetml.table+xml"/>
  <Override PartName="/xl/tables/table65.xml" ContentType="application/vnd.openxmlformats-officedocument.spreadsheetml.table+xml"/>
  <Override PartName="/xl/tables/table90.xml" ContentType="application/vnd.openxmlformats-officedocument.spreadsheetml.table+xml"/>
  <Override PartName="/xl/tables/table109.xml" ContentType="application/vnd.openxmlformats-officedocument.spreadsheetml.table+xml"/>
  <Override PartName="/xl/tables/table43.xml" ContentType="application/vnd.openxmlformats-officedocument.spreadsheetml.table+xml"/>
  <Override PartName="/xl/tables/table64.xml" ContentType="application/vnd.openxmlformats-officedocument.spreadsheetml.table+xml"/>
  <Override PartName="/xl/tables/table89.xml" ContentType="application/vnd.openxmlformats-officedocument.spreadsheetml.table+xml"/>
  <Override PartName="/xl/tables/table108.xml" ContentType="application/vnd.openxmlformats-officedocument.spreadsheetml.table+xml"/>
  <Override PartName="/xl/tables/table42.xml" ContentType="application/vnd.openxmlformats-officedocument.spreadsheetml.table+xml"/>
  <Override PartName="/xl/tables/table63.xml" ContentType="application/vnd.openxmlformats-officedocument.spreadsheetml.table+xml"/>
  <Override PartName="/xl/tables/table88.xml" ContentType="application/vnd.openxmlformats-officedocument.spreadsheetml.table+xml"/>
  <Override PartName="/xl/tables/table107.xml" ContentType="application/vnd.openxmlformats-officedocument.spreadsheetml.table+xml"/>
  <Override PartName="/xl/tables/table41.xml" ContentType="application/vnd.openxmlformats-officedocument.spreadsheetml.table+xml"/>
  <Override PartName="/xl/tables/table62.xml" ContentType="application/vnd.openxmlformats-officedocument.spreadsheetml.table+xml"/>
  <Override PartName="/xl/tables/table87.xml" ContentType="application/vnd.openxmlformats-officedocument.spreadsheetml.table+xml"/>
  <Override PartName="/xl/tables/table106.xml" ContentType="application/vnd.openxmlformats-officedocument.spreadsheetml.table+xml"/>
  <Override PartName="/xl/tables/table61.xml" ContentType="application/vnd.openxmlformats-officedocument.spreadsheetml.table+xml"/>
  <Override PartName="/xl/tables/table86.xml" ContentType="application/vnd.openxmlformats-officedocument.spreadsheetml.table+xml"/>
  <Override PartName="/xl/tables/table105.xml" ContentType="application/vnd.openxmlformats-officedocument.spreadsheetml.table+xml"/>
  <Override PartName="/xl/tables/table39.xml" ContentType="application/vnd.openxmlformats-officedocument.spreadsheetml.table+xml"/>
  <Override PartName="/xl/tables/table60.xml" ContentType="application/vnd.openxmlformats-officedocument.spreadsheetml.table+xml"/>
  <Override PartName="/xl/tables/table85.xml" ContentType="application/vnd.openxmlformats-officedocument.spreadsheetml.table+xml"/>
  <Override PartName="/xl/tables/table104.xml" ContentType="application/vnd.openxmlformats-officedocument.spreadsheetml.table+xml"/>
  <Override PartName="/xl/tables/table38.xml" ContentType="application/vnd.openxmlformats-officedocument.spreadsheetml.table+xml"/>
  <Override PartName="/xl/tables/table59.xml" ContentType="application/vnd.openxmlformats-officedocument.spreadsheetml.table+xml"/>
  <Override PartName="/xl/tables/table84.xml" ContentType="application/vnd.openxmlformats-officedocument.spreadsheetml.table+xml"/>
  <Override PartName="/xl/tables/table103.xml" ContentType="application/vnd.openxmlformats-officedocument.spreadsheetml.table+xml"/>
  <Override PartName="/xl/tables/table37.xml" ContentType="application/vnd.openxmlformats-officedocument.spreadsheetml.table+xml"/>
  <Override PartName="/xl/tables/table58.xml" ContentType="application/vnd.openxmlformats-officedocument.spreadsheetml.table+xml"/>
  <Override PartName="/xl/tables/table83.xml" ContentType="application/vnd.openxmlformats-officedocument.spreadsheetml.table+xml"/>
  <Override PartName="/xl/tables/table102.xml" ContentType="application/vnd.openxmlformats-officedocument.spreadsheetml.table+xml"/>
  <Override PartName="/xl/tables/table36.xml" ContentType="application/vnd.openxmlformats-officedocument.spreadsheetml.table+xml"/>
  <Override PartName="/xl/tables/table57.xml" ContentType="application/vnd.openxmlformats-officedocument.spreadsheetml.table+xml"/>
  <Override PartName="/xl/tables/table82.xml" ContentType="application/vnd.openxmlformats-officedocument.spreadsheetml.table+xml"/>
  <Override PartName="/xl/tables/table101.xml" ContentType="application/vnd.openxmlformats-officedocument.spreadsheetml.table+xml"/>
  <Override PartName="/xl/tables/table35.xml" ContentType="application/vnd.openxmlformats-officedocument.spreadsheetml.table+xml"/>
  <Override PartName="/xl/tables/table56.xml" ContentType="application/vnd.openxmlformats-officedocument.spreadsheetml.table+xml"/>
  <Override PartName="/xl/tables/table81.xml" ContentType="application/vnd.openxmlformats-officedocument.spreadsheetml.table+xml"/>
  <Override PartName="/xl/tables/table100.xml" ContentType="application/vnd.openxmlformats-officedocument.spreadsheetml.table+xml"/>
  <Override PartName="/xl/comments20.xml" ContentType="application/vnd.openxmlformats-officedocument.spreadsheetml.comments+xml"/>
  <Override PartName="/xl/comments23.xml" ContentType="application/vnd.openxmlformats-officedocument.spreadsheetml.comment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vmlDrawing10.vml" ContentType="application/vnd.openxmlformats-officedocument.vmlDrawing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vmlDrawing11.vml" ContentType="application/vnd.openxmlformats-officedocument.vmlDrawing"/>
  <Override PartName="/xl/drawings/drawing8.xml" ContentType="application/vnd.openxmlformats-officedocument.drawing+xml"/>
  <Override PartName="/xl/drawings/vmlDrawing12.vml" ContentType="application/vnd.openxmlformats-officedocument.vmlDrawing"/>
  <Override PartName="/xl/drawings/drawing9.xml" ContentType="application/vnd.openxmlformats-officedocument.drawing+xml"/>
  <Override PartName="/xl/drawings/vmlDrawing13.vml" ContentType="application/vnd.openxmlformats-officedocument.vmlDrawing"/>
  <Override PartName="/xl/drawings/drawing10.xml" ContentType="application/vnd.openxmlformats-officedocument.drawing+xml"/>
  <Override PartName="/xl/drawings/vmlDrawing2.vml" ContentType="application/vnd.openxmlformats-officedocument.vmlDrawing"/>
  <Override PartName="/xl/drawings/drawing11.xml" ContentType="application/vnd.openxmlformats-officedocument.drawing+xml"/>
  <Override PartName="/xl/drawings/vmlDrawing3.vml" ContentType="application/vnd.openxmlformats-officedocument.vmlDrawing"/>
  <Override PartName="/xl/drawings/vmlDrawing20.vml" ContentType="application/vnd.openxmlformats-officedocument.vmlDrawing"/>
  <Override PartName="/xl/drawings/drawing12.xml" ContentType="application/vnd.openxmlformats-officedocument.drawing+xml"/>
  <Override PartName="/xl/drawings/vmlDrawing4.vml" ContentType="application/vnd.openxmlformats-officedocument.vmlDrawing"/>
  <Override PartName="/xl/drawings/vmlDrawing21.vml" ContentType="application/vnd.openxmlformats-officedocument.vmlDrawing"/>
  <Override PartName="/xl/drawings/drawing13.xml" ContentType="application/vnd.openxmlformats-officedocument.drawing+xml"/>
  <Override PartName="/xl/drawings/vmlDrawing5.vml" ContentType="application/vnd.openxmlformats-officedocument.vmlDrawing"/>
  <Override PartName="/xl/drawings/drawing14.xml" ContentType="application/vnd.openxmlformats-officedocument.drawing+xml"/>
  <Override PartName="/xl/drawings/vmlDrawing6.vml" ContentType="application/vnd.openxmlformats-officedocument.vmlDrawing"/>
  <Override PartName="/xl/drawings/drawing15.xml" ContentType="application/vnd.openxmlformats-officedocument.drawing+xml"/>
  <Override PartName="/xl/drawings/vmlDrawing7.vml" ContentType="application/vnd.openxmlformats-officedocument.vmlDrawing"/>
  <Override PartName="/xl/drawings/drawing16.xml" ContentType="application/vnd.openxmlformats-officedocument.drawing+xml"/>
  <Override PartName="/xl/drawings/vmlDrawing8.vml" ContentType="application/vnd.openxmlformats-officedocument.vmlDrawing"/>
  <Override PartName="/xl/drawings/drawing17.xml" ContentType="application/vnd.openxmlformats-officedocument.drawing+xml"/>
  <Override PartName="/xl/drawings/vmlDrawing9.vml" ContentType="application/vnd.openxmlformats-officedocument.vmlDrawing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vmlDrawing1.vml" ContentType="application/vnd.openxmlformats-officedocument.vmlDrawing"/>
  <Override PartName="/xl/drawings/drawing20.xml" ContentType="application/vnd.openxmlformats-officedocument.drawing+xml"/>
  <Override PartName="/xl/drawings/vmlDrawing19.vml" ContentType="application/vnd.openxmlformats-officedocument.vmlDrawing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drawings/drawing28.xml" ContentType="application/vnd.openxmlformats-officedocument.drawing+xml"/>
  <Override PartName="/xl/drawings/drawing29.xml" ContentType="application/vnd.openxmlformats-officedocument.drawing+xml"/>
  <Override PartName="/xl/drawings/drawing30.xml" ContentType="application/vnd.openxmlformats-officedocument.drawing+xml"/>
  <Override PartName="/xl/drawings/drawing31.xml" ContentType="application/vnd.openxmlformats-officedocument.drawing+xml"/>
  <Override PartName="/xl/drawings/drawing32.xml" ContentType="application/vnd.openxmlformats-officedocument.drawing+xml"/>
  <Override PartName="/xl/drawings/vmlDrawing14.vml" ContentType="application/vnd.openxmlformats-officedocument.vmlDrawing"/>
  <Override PartName="/xl/drawings/drawing33.xml" ContentType="application/vnd.openxmlformats-officedocument.drawing+xml"/>
  <Override PartName="/xl/drawings/vmlDrawing15.vml" ContentType="application/vnd.openxmlformats-officedocument.vmlDrawing"/>
  <Override PartName="/xl/drawings/drawing34.xml" ContentType="application/vnd.openxmlformats-officedocument.drawing+xml"/>
  <Override PartName="/xl/drawings/vmlDrawing16.vml" ContentType="application/vnd.openxmlformats-officedocument.vmlDrawing"/>
  <Override PartName="/xl/drawings/drawing35.xml" ContentType="application/vnd.openxmlformats-officedocument.drawing+xml"/>
  <Override PartName="/xl/drawings/vmlDrawing17.vml" ContentType="application/vnd.openxmlformats-officedocument.vmlDrawing"/>
  <Override PartName="/xl/drawings/drawing36.xml" ContentType="application/vnd.openxmlformats-officedocument.drawing+xml"/>
  <Override PartName="/xl/drawings/vmlDrawing18.vml" ContentType="application/vnd.openxmlformats-officedocument.vmlDrawing"/>
  <Override PartName="/xl/drawings/drawing37.xml" ContentType="application/vnd.openxmlformats-officedocument.drawing+xml"/>
  <Override PartName="/xl/drawings/drawing38.xml" ContentType="application/vnd.openxmlformats-officedocument.drawing+xml"/>
  <Override PartName="/xl/drawings/drawing39.xml" ContentType="application/vnd.openxmlformats-officedocument.drawing+xml"/>
  <Override PartName="/xl/comments21.xml" ContentType="application/vnd.openxmlformats-officedocument.spreadsheetml.comments+xml"/>
  <Override PartName="/xl/comments22.xml" ContentType="application/vnd.openxmlformats-officedocument.spreadsheetml.comments+xml"/>
  <Override PartName="/xl/comments25.xml" ContentType="application/vnd.openxmlformats-officedocument.spreadsheetml.comments+xml"/>
  <Override PartName="/xl/comments26.xml" ContentType="application/vnd.openxmlformats-officedocument.spreadsheetml.comments+xml"/>
  <Override PartName="/xl/comments27.xml" ContentType="application/vnd.openxmlformats-officedocument.spreadsheetml.comments+xml"/>
  <Override PartName="/xl/comments28.xml" ContentType="application/vnd.openxmlformats-officedocument.spreadsheetml.comments+xml"/>
  <Override PartName="/xl/comments30.xml" ContentType="application/vnd.openxmlformats-officedocument.spreadsheetml.comments+xml"/>
  <Override PartName="/xl/comments31.xml" ContentType="application/vnd.openxmlformats-officedocument.spreadsheetml.comments+xml"/>
  <Override PartName="/xl/comments32.xml" ContentType="application/vnd.openxmlformats-officedocument.spreadsheetml.comments+xml"/>
  <Override PartName="/xl/_rels/workbook.xml.rels" ContentType="application/vnd.openxmlformats-package.relationships+xml"/>
  <Override PartName="/xl/comments34.xml" ContentType="application/vnd.openxmlformats-officedocument.spreadsheetml.comments+xml"/>
  <Override PartName="/xl/comments35.xml" ContentType="application/vnd.openxmlformats-officedocument.spreadsheetml.comments+xml"/>
  <Override PartName="/xl/comments36.xml" ContentType="application/vnd.openxmlformats-officedocument.spreadsheetml.comments+xml"/>
  <Override PartName="/xl/comments37.xml" ContentType="application/vnd.openxmlformats-officedocument.spreadsheetml.comments+xml"/>
  <Override PartName="/xl/comments38.xml" ContentType="application/vnd.openxmlformats-officedocument.spreadsheetml.comments+xml"/>
  <Override PartName="/xl/comments39.xml" ContentType="application/vnd.openxmlformats-officedocument.spreadsheetml.comments+xml"/>
  <Override PartName="/xl/comments40.xml" ContentType="application/vnd.openxmlformats-officedocument.spreadsheetml.comments+xml"/>
  <Override PartName="/xl/comments41.xml" ContentType="application/vnd.openxmlformats-officedocument.spreadsheetml.comments+xml"/>
  <Override PartName="/xl/comments4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1.xml" ContentType="application/xml"/>
  <Override PartName="/customXml/itemProps1.xml" ContentType="application/vnd.openxmlformats-officedocument.customXmlProperties+xml"/>
  <Override PartName="/customXml/_rels/item1.xml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5" Type="http://schemas.openxmlformats.org/officeDocument/2006/relationships/customXml" Target="../customXml/item1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tru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emaine 21-09-2025" sheetId="1" state="visible" r:id="rId3"/>
    <sheet name="Data" sheetId="2" state="visible" r:id="rId4"/>
    <sheet name="Semaine 14-09-2025" sheetId="3" state="visible" r:id="rId5"/>
    <sheet name="Semaine 7-09-2025" sheetId="4" state="visible" r:id="rId6"/>
    <sheet name="Semaine 31-08-2025" sheetId="5" state="visible" r:id="rId7"/>
    <sheet name="Semaine 23-08-2025" sheetId="6" state="visible" r:id="rId8"/>
    <sheet name="Semaine 16-08-2025" sheetId="7" state="visible" r:id="rId9"/>
    <sheet name="Semaine 27-07-2025" sheetId="8" state="visible" r:id="rId10"/>
    <sheet name="Semaine 20-07-2025" sheetId="9" state="visible" r:id="rId11"/>
    <sheet name="Semaine 13-07-2025" sheetId="10" state="visible" r:id="rId12"/>
    <sheet name="Semaine 06-07-2025" sheetId="11" state="visible" r:id="rId13"/>
    <sheet name="Semaine 29-06-2025" sheetId="12" state="visible" r:id="rId14"/>
    <sheet name="Semaine 22-06-2025" sheetId="13" state="visible" r:id="rId15"/>
    <sheet name="Semaine 15-06-2025" sheetId="14" state="visible" r:id="rId16"/>
    <sheet name="Semaine 08-06-2025" sheetId="15" state="visible" r:id="rId17"/>
    <sheet name="Semaine 01-06-2025" sheetId="16" state="visible" r:id="rId18"/>
    <sheet name="Semaine 25-05-2025" sheetId="17" state="visible" r:id="rId19"/>
    <sheet name="Semaine 18-05-2025" sheetId="18" state="visible" r:id="rId20"/>
    <sheet name="Semaine MASTER" sheetId="19" state="visible" r:id="rId21"/>
    <sheet name="Semaine 11-05-2025" sheetId="20" state="visible" r:id="rId22"/>
    <sheet name="Semaine 04-05-2025" sheetId="21" state="visible" r:id="rId23"/>
    <sheet name="Semaine 27-04-2025" sheetId="22" state="visible" r:id="rId24"/>
    <sheet name="Master" sheetId="23" state="visible" r:id="rId25"/>
    <sheet name="Data1" sheetId="24" state="visible" r:id="rId26"/>
    <sheet name="Semaine 27-04-2025_OLD" sheetId="25" state="visible" r:id="rId27"/>
    <sheet name="Semaine 20-04-2025" sheetId="26" state="visible" r:id="rId28"/>
    <sheet name="Semaine 13-04-2025" sheetId="27" state="visible" r:id="rId29"/>
    <sheet name="Semaine 06-04-2025" sheetId="28" state="visible" r:id="rId30"/>
    <sheet name="Semaine 30-03-2025" sheetId="29" state="visible" r:id="rId31"/>
    <sheet name="Semaine 23-03-2025" sheetId="30" state="visible" r:id="rId32"/>
    <sheet name="Semaine 16-03-2025" sheetId="31" state="visible" r:id="rId33"/>
    <sheet name="Semaine 09-03-2025" sheetId="32" state="visible" r:id="rId34"/>
    <sheet name="Semaine 02-03-2025" sheetId="33" state="visible" r:id="rId35"/>
    <sheet name="Semaine 23-02-2025" sheetId="34" state="visible" r:id="rId36"/>
    <sheet name="Semaine 16-02-2025" sheetId="35" state="visible" r:id="rId37"/>
    <sheet name="Semaine 09-02-2025" sheetId="36" state="visible" r:id="rId38"/>
    <sheet name="Semaine 02-02-2025" sheetId="37" state="visible" r:id="rId39"/>
    <sheet name="Semaine 26-01-2025" sheetId="38" state="visible" r:id="rId40"/>
    <sheet name="Semaine 19-01-2025" sheetId="39" state="visible" r:id="rId41"/>
    <sheet name="Semaine 12-01-2025" sheetId="40" state="visible" r:id="rId42"/>
    <sheet name="Semaine 05-01-2025" sheetId="41" state="visible" r:id="rId43"/>
    <sheet name="Semaine 29-12-2024" sheetId="42" state="visible" r:id="rId44"/>
  </sheets>
  <definedNames>
    <definedName function="false" hidden="true" localSheetId="1" name="_xlnm._FilterDatabase" vbProcedure="false">Data!$E$1:$E$31</definedName>
    <definedName function="false" hidden="false" name="AAA" vbProcedure="false">#REF!</definedName>
    <definedName function="false" hidden="false" name="Calendrier" vbProcedure="false">Data!$A$1:$A$54</definedName>
    <definedName function="false" hidden="false" name="Clients" vbProcedure="false">Data!$E$1:$E$14</definedName>
    <definedName function="false" hidden="false" name="Slicer" vbProcedure="false">#N/A</definedName>
    <definedName function="false" hidden="false" name="Slicer1" vbProcedure="false">#N/A</definedName>
    <definedName function="false" hidden="false" name="Slicer11" vbProcedure="false">#N/A</definedName>
    <definedName function="false" hidden="false" name="Slicer110" vbProcedure="false">#N/A</definedName>
    <definedName function="false" hidden="false" name="Slicer111" vbProcedure="false">#N/A</definedName>
    <definedName function="false" hidden="false" name="Slicer112" vbProcedure="false">#N/A</definedName>
    <definedName function="false" hidden="false" name="Slicer113" vbProcedure="false">#N/A</definedName>
    <definedName function="false" hidden="false" name="Slicer114" vbProcedure="false">#N/A</definedName>
    <definedName function="false" hidden="false" name="Slicer115" vbProcedure="false">#N/A</definedName>
    <definedName function="false" hidden="false" name="Slicer12" vbProcedure="false">#N/A</definedName>
    <definedName function="false" hidden="false" name="Slicer13" vbProcedure="false">#N/A</definedName>
    <definedName function="false" hidden="false" name="Slicer14" vbProcedure="false">#N/A</definedName>
    <definedName function="false" hidden="false" name="Slicer15" vbProcedure="false">#N/A</definedName>
    <definedName function="false" hidden="false" name="Slicer16" vbProcedure="false">#N/A</definedName>
    <definedName function="false" hidden="false" name="Slicer17" vbProcedure="false">#N/A</definedName>
    <definedName function="false" hidden="false" name="Slicer18" vbProcedure="false">#N/A</definedName>
    <definedName function="false" hidden="false" name="Slicer19" vbProcedure="false">#N/A</definedName>
    <definedName function="false" hidden="false" name="Slicer_Client" vbProcedure="false">#N/A</definedName>
    <definedName function="false" hidden="false" name="Slicer_Client1" vbProcedure="false">#N/A</definedName>
    <definedName function="false" hidden="false" name="Slicer_Client2" vbProcedure="false">#N/A</definedName>
    <definedName function="false" hidden="false" name="Slicer_Client21" vbProcedure="false">#N/A</definedName>
    <definedName function="false" hidden="false" name="Slicer_Client211" vbProcedure="false">#N/A</definedName>
    <definedName function="false" hidden="false" name="Slicer_Client2110" vbProcedure="false">#N/A</definedName>
    <definedName function="false" hidden="false" name="Slicer_Client2111" vbProcedure="false">#N/A</definedName>
    <definedName function="false" hidden="false" name="Slicer_Client2112" vbProcedure="false">#N/A</definedName>
    <definedName function="false" hidden="false" name="Slicer_Client2113" vbProcedure="false">#N/A</definedName>
    <definedName function="false" hidden="false" name="Slicer_Client2114" vbProcedure="false">#N/A</definedName>
    <definedName function="false" hidden="false" name="Slicer_Client2115" vbProcedure="false">#N/A</definedName>
    <definedName function="false" hidden="false" name="Slicer_Client212" vbProcedure="false">#N/A</definedName>
    <definedName function="false" hidden="false" name="Slicer_Client213" vbProcedure="false">#N/A</definedName>
    <definedName function="false" hidden="false" name="Slicer_Client214" vbProcedure="false">#N/A</definedName>
    <definedName function="false" hidden="false" name="Slicer_Client215" vbProcedure="false">#N/A</definedName>
    <definedName function="false" hidden="false" name="Slicer_Client216" vbProcedure="false">#N/A</definedName>
    <definedName function="false" hidden="false" name="Slicer_Client217" vbProcedure="false">#N/A</definedName>
    <definedName function="false" hidden="false" name="Slicer_Client218" vbProcedure="false">#N/A</definedName>
    <definedName function="false" hidden="false" name="Slicer_Client219" vbProcedure="false">#N/A</definedName>
    <definedName function="false" hidden="false" name="Slicer_Client22111111111114412121111111111211111111111111111111111111111" vbProcedure="false">#N/A</definedName>
    <definedName function="false" hidden="false" name="Slicer_Client221111111111144121211111111112111111111111111111111111111111" vbProcedure="false">#N/A</definedName>
    <definedName function="false" hidden="false" name="Slicer_Client2211111111111441212111111111121111111111111111111111111111111" vbProcedure="false">#N/A</definedName>
    <definedName function="false" hidden="false" name="Slicer_Client22111111111114412121111111111211111111111111111111111111111111" vbProcedure="false">#N/A</definedName>
    <definedName function="false" hidden="false" name="Slicer_Client221111111111144121211111111112111111111111111111111111111111111" vbProcedure="false">#N/A</definedName>
    <definedName function="false" hidden="false" name="Slicer_Client2211111111111441212111111111121111111111111111111111111111111111" vbProcedure="false">#N/A</definedName>
    <definedName function="false" hidden="false" name="Slicer_Client22111111111114412121111111111211111111111111111111111111111111111" vbProcedure="false">#N/A</definedName>
    <definedName function="false" hidden="false" name="Slicer_Client221111111111144121211111111112111111111111111111111111111111111111" vbProcedure="false">#N/A</definedName>
    <definedName function="false" hidden="false" name="Slicer_Client2211111111111441212111111111121111111111111111111111111111111111111" vbProcedure="false">#N/A</definedName>
    <definedName function="false" hidden="false" name="Slicer_Client22111111111114412121111111111211111111111111111111111111111111111111" vbProcedure="false">#N/A</definedName>
    <definedName function="false" hidden="false" name="Slicer_Client221111111111144121211111111112111111111111111111111111111111111111111" vbProcedure="false">#N/A</definedName>
    <definedName function="false" hidden="false" name="Slicer_Client2211111111111441212111111111121111111111111111111111111111111111111111" vbProcedure="false">#N/A</definedName>
    <definedName function="false" hidden="false" name="Slicer_Client2211111111111441212111111111121111111111111111111111111111111111111112" vbProcedure="false">#N/A</definedName>
    <definedName function="false" hidden="false" name="Slicer_Client221111111111144121211111111112111111111111111111111111111111111111111211" vbProcedure="false">#N/A</definedName>
    <definedName function="false" hidden="false" name="Slicer_Client2211111111111441212111111111121111111111111111111111111111111111111112111" vbProcedure="false">#N/A</definedName>
    <definedName function="false" hidden="false" name="Slicer_Client22111111111114412121111111111211111111111111111111111111111111111111121111" vbProcedure="false">#N/A</definedName>
    <definedName function="false" hidden="false" name="Slicer_Client221111111111144121211111111112111111111111111111111111111111111111111211111" vbProcedure="false">#N/A</definedName>
    <definedName function="false" hidden="false" name="Slicer_Client22111111111114412121111111111211111111111111111111111111111111111111121111111" vbProcedure="false">#N/A</definedName>
    <definedName function="false" hidden="false" name="Slicer_Client221111111111144121211111111112111111111111111111111111111111111111111211111111" vbProcedure="false">#N/A</definedName>
    <definedName function="false" hidden="false" name="Slicer_Description" vbProcedure="false">#N/A</definedName>
    <definedName function="false" hidden="false" name="Slicer_Description1" vbProcedure="false">#N/A</definedName>
    <definedName function="false" hidden="false" name="Slicer_Description11" vbProcedure="false">#N/A</definedName>
    <definedName function="false" hidden="false" name="Slicer_Description111" vbProcedure="false">#N/A</definedName>
    <definedName function="false" hidden="false" name="Slicer_Description1110" vbProcedure="false">#N/A</definedName>
    <definedName function="false" hidden="false" name="Slicer_Description1111" vbProcedure="false">#N/A</definedName>
    <definedName function="false" hidden="false" name="Slicer_Description1112" vbProcedure="false">#N/A</definedName>
    <definedName function="false" hidden="false" name="Slicer_Description1113" vbProcedure="false">#N/A</definedName>
    <definedName function="false" hidden="false" name="Slicer_Description1114" vbProcedure="false">#N/A</definedName>
    <definedName function="false" hidden="false" name="Slicer_Description1115" vbProcedure="false">#N/A</definedName>
    <definedName function="false" hidden="false" name="Slicer_Description112" vbProcedure="false">#N/A</definedName>
    <definedName function="false" hidden="false" name="Slicer_Description113" vbProcedure="false">#N/A</definedName>
    <definedName function="false" hidden="false" name="Slicer_Description114" vbProcedure="false">#N/A</definedName>
    <definedName function="false" hidden="false" name="Slicer_Description115" vbProcedure="false">#N/A</definedName>
    <definedName function="false" hidden="false" name="Slicer_Description116" vbProcedure="false">#N/A</definedName>
    <definedName function="false" hidden="false" name="Slicer_Description117" vbProcedure="false">#N/A</definedName>
    <definedName function="false" hidden="false" name="Slicer_Description118" vbProcedure="false">#N/A</definedName>
    <definedName function="false" hidden="false" name="Slicer_Description119" vbProcedure="false">#N/A</definedName>
    <definedName function="false" hidden="false" name="Slicer_Description_2" vbProcedure="false">#N/A</definedName>
    <definedName function="false" hidden="false" name="Slicer_Description_21" vbProcedure="false">#N/A</definedName>
    <definedName function="false" hidden="false" name="Slicer_Description_210" vbProcedure="false">#N/A</definedName>
    <definedName function="false" hidden="false" name="Slicer_Description_211" vbProcedure="false">#N/A</definedName>
    <definedName function="false" hidden="false" name="Slicer_Description_212" vbProcedure="false">#N/A</definedName>
    <definedName function="false" hidden="false" name="Slicer_Description_213" vbProcedure="false">#N/A</definedName>
    <definedName function="false" hidden="false" name="Slicer_Description_214" vbProcedure="false">#N/A</definedName>
    <definedName function="false" hidden="false" name="Slicer_Description_215" vbProcedure="false">#N/A</definedName>
    <definedName function="false" hidden="false" name="Slicer_Description_22" vbProcedure="false">#N/A</definedName>
    <definedName function="false" hidden="false" name="Slicer_Description_23" vbProcedure="false">#N/A</definedName>
    <definedName function="false" hidden="false" name="Slicer_Description_24" vbProcedure="false">#N/A</definedName>
    <definedName function="false" hidden="false" name="Slicer_Description_25" vbProcedure="false">#N/A</definedName>
    <definedName function="false" hidden="false" name="Slicer_Description_26" vbProcedure="false">#N/A</definedName>
    <definedName function="false" hidden="false" name="Slicer_Description_27" vbProcedure="false">#N/A</definedName>
    <definedName function="false" hidden="false" name="Slicer_Description_28" vbProcedure="false">#N/A</definedName>
    <definedName function="false" hidden="false" name="Slicer_Description_29" vbProcedure="false">#N/A</definedName>
    <definedName function="false" hidden="false" name="Slicer_Jour" vbProcedure="false">#N/A</definedName>
    <definedName function="false" hidden="false" name="Slicer_Jour1" vbProcedure="false">#N/A</definedName>
    <definedName function="false" hidden="false" name="Slicer_Jour2" vbProcedure="false">#N/A</definedName>
    <definedName function="false" hidden="false" name="Slicer_Jour21" vbProcedure="false">#N/A</definedName>
    <definedName function="false" hidden="false" name="Slicer_Jour211" vbProcedure="false">#N/A</definedName>
    <definedName function="false" hidden="false" name="Slicer_Jour2110" vbProcedure="false">#N/A</definedName>
    <definedName function="false" hidden="false" name="Slicer_Jour2111" vbProcedure="false">#N/A</definedName>
    <definedName function="false" hidden="false" name="Slicer_Jour2112" vbProcedure="false">#N/A</definedName>
    <definedName function="false" hidden="false" name="Slicer_Jour2113" vbProcedure="false">#N/A</definedName>
    <definedName function="false" hidden="false" name="Slicer_Jour2114" vbProcedure="false">#N/A</definedName>
    <definedName function="false" hidden="false" name="Slicer_Jour2115" vbProcedure="false">#N/A</definedName>
    <definedName function="false" hidden="false" name="Slicer_Jour212" vbProcedure="false">#N/A</definedName>
    <definedName function="false" hidden="false" name="Slicer_Jour213" vbProcedure="false">#N/A</definedName>
    <definedName function="false" hidden="false" name="Slicer_Jour214" vbProcedure="false">#N/A</definedName>
    <definedName function="false" hidden="false" name="Slicer_Jour215" vbProcedure="false">#N/A</definedName>
    <definedName function="false" hidden="false" name="Slicer_Jour216" vbProcedure="false">#N/A</definedName>
    <definedName function="false" hidden="false" name="Slicer_Jour217" vbProcedure="false">#N/A</definedName>
    <definedName function="false" hidden="false" name="Slicer_Jour218" vbProcedure="false">#N/A</definedName>
    <definedName function="false" hidden="false" name="Slicer_Jour219" vbProcedure="false">#N/A</definedName>
    <definedName function="false" hidden="false" name="Slicer_Jour22111111111114412121111111111211111111111111111111111111111" vbProcedure="false">#N/A</definedName>
    <definedName function="false" hidden="false" name="Slicer_Jour221111111111144121211111111112111111111111111111111111111111" vbProcedure="false">#N/A</definedName>
    <definedName function="false" hidden="false" name="Slicer_Jour2211111111111441212111111111121111111111111111111111111111111" vbProcedure="false">#N/A</definedName>
    <definedName function="false" hidden="false" name="Slicer_Jour22111111111114412121111111111211111111111111111111111111111111" vbProcedure="false">#N/A</definedName>
    <definedName function="false" hidden="false" name="Slicer_Jour221111111111144121211111111112111111111111111111111111111111111" vbProcedure="false">#N/A</definedName>
    <definedName function="false" hidden="false" name="Slicer_Jour2211111111111441212111111111121111111111111111111111111111111111" vbProcedure="false">#N/A</definedName>
    <definedName function="false" hidden="false" name="Slicer_Jour22111111111114412121111111111211111111111111111111111111111111111" vbProcedure="false">#N/A</definedName>
    <definedName function="false" hidden="false" name="Slicer_Jour221111111111144121211111111112111111111111111111111111111111111111" vbProcedure="false">#N/A</definedName>
    <definedName function="false" hidden="false" name="Slicer_Jour2211111111111441212111111111121111111111111111111111111111111111111" vbProcedure="false">#N/A</definedName>
    <definedName function="false" hidden="false" name="Slicer_Jour22111111111114412121111111111211111111111111111111111111111111111111" vbProcedure="false">#N/A</definedName>
    <definedName function="false" hidden="false" name="Slicer_Jour221111111111144121211111111112111111111111111111111111111111111111111" vbProcedure="false">#N/A</definedName>
    <definedName function="false" hidden="false" name="Slicer_Jour2211111111111441212111111111121111111111111111111111111111111111111111" vbProcedure="false">#N/A</definedName>
    <definedName function="false" hidden="false" name="Slicer_Jour2211111111111441212111111111121111111111111111111111111111111111111112" vbProcedure="false">#N/A</definedName>
    <definedName function="false" hidden="false" name="Slicer_Jour221111111111144121211111111112111111111111111111111111111111111111111211" vbProcedure="false">#N/A</definedName>
    <definedName function="false" hidden="false" name="Slicer_Jour2211111111111441212111111111121111111111111111111111111111111111111112111" vbProcedure="false">#N/A</definedName>
    <definedName function="false" hidden="false" name="Slicer_Jour22111111111114412121111111111211111111111111111111111111111111111111121111" vbProcedure="false">#N/A</definedName>
    <definedName function="false" hidden="false" name="Slicer_Jour221111111111144121211111111112111111111111111111111111111111111111111211111" vbProcedure="false">#N/A</definedName>
    <definedName function="false" hidden="false" name="Slicer_Jour22111111111114412121111111111211111111111111111111111111111111111111121111111" vbProcedure="false">#N/A</definedName>
    <definedName function="false" hidden="false" name="Slicer_Jour221111111111144121211111111112111111111111111111111111111111111111111211111111" vbProcedure="false">#N/A</definedName>
    <definedName function="false" hidden="false" name="Slicer_O" vbProcedure="false">#N/A</definedName>
    <definedName function="false" hidden="false" name="Slicer_O1" vbProcedure="false">#N/A</definedName>
    <definedName function="false" hidden="false" name="Slicer_O12111111111114412121111111111211111111111111111111111111111" vbProcedure="false">#N/A</definedName>
    <definedName function="false" hidden="false" name="Slicer_O121111111111144121211111111112111111111111111111111111111111" vbProcedure="false">#N/A</definedName>
    <definedName function="false" hidden="false" name="Slicer_O1211111111111441212111111111121111111111111111111111111111111" vbProcedure="false">#N/A</definedName>
    <definedName function="false" hidden="false" name="Slicer_O12111111111114412121111111111211111111111111111111111111111111" vbProcedure="false">#N/A</definedName>
    <definedName function="false" hidden="false" name="Slicer_O121111111111144121211111111112111111111111111111111111111111111" vbProcedure="false">#N/A</definedName>
    <definedName function="false" hidden="false" name="Slicer_O1211111111111441212111111111121111111111111111111111111111111111" vbProcedure="false">#N/A</definedName>
    <definedName function="false" hidden="false" name="Slicer_O12111111111114412121111111111211111111111111111111111111111111111" vbProcedure="false">#N/A</definedName>
    <definedName function="false" hidden="false" name="Slicer_O121111111111144121211111111112111111111111111111111111111111111111" vbProcedure="false">#N/A</definedName>
    <definedName function="false" hidden="false" name="Slicer_O1211111111111441212111111111121111111111111111111111111111111111111" vbProcedure="false">#N/A</definedName>
    <definedName function="false" hidden="false" name="Slicer_O12111111111114412121111111111211111111111111111111111111111111111111" vbProcedure="false">#N/A</definedName>
    <definedName function="false" hidden="false" name="Slicer_O121111111111144121211111111112111111111111111111111111111111111111111" vbProcedure="false">#N/A</definedName>
    <definedName function="false" hidden="false" name="Slicer_O1211111111111441212111111111121111111111111111111111111111111111111111" vbProcedure="false">#N/A</definedName>
    <definedName function="false" hidden="false" name="Slicer_O1211111111111441212111111111121111111111111111111111111111111111111112" vbProcedure="false">#N/A</definedName>
    <definedName function="false" hidden="false" name="Slicer_O121111111111144121211111111112111111111111111111111111111111111111111211" vbProcedure="false">#N/A</definedName>
    <definedName function="false" hidden="false" name="Slicer_O1211111111111441212111111111121111111111111111111111111111111111111112111" vbProcedure="false">#N/A</definedName>
    <definedName function="false" hidden="false" name="Slicer_O12111111111114412121111111111211111111111111111111111111111111111111121111" vbProcedure="false">#N/A</definedName>
    <definedName function="false" hidden="false" name="Slicer_O121111111111144121211111111112111111111111111111111111111111111111111211111" vbProcedure="false">#N/A</definedName>
    <definedName function="false" hidden="false" name="Slicer_O12111111111114412121111111111211111111111111111111111111111111111111121111111" vbProcedure="false">#N/A</definedName>
    <definedName function="false" hidden="false" name="Slicer_O121111111111144121211111111112111111111111111111111111111111111111111211111111" vbProcedure="false">#N/A</definedName>
    <definedName function="false" hidden="false" name="Slicer_O2" vbProcedure="false">#N/A</definedName>
    <definedName function="false" hidden="false" name="Slicer_O21" vbProcedure="false">#N/A</definedName>
    <definedName function="false" hidden="false" name="Slicer_O211" vbProcedure="false">#N/A</definedName>
    <definedName function="false" hidden="false" name="Slicer_O2110" vbProcedure="false">#N/A</definedName>
    <definedName function="false" hidden="false" name="Slicer_O2111" vbProcedure="false">#N/A</definedName>
    <definedName function="false" hidden="false" name="Slicer_O2112" vbProcedure="false">#N/A</definedName>
    <definedName function="false" hidden="false" name="Slicer_O2113" vbProcedure="false">#N/A</definedName>
    <definedName function="false" hidden="false" name="Slicer_O2114" vbProcedure="false">#N/A</definedName>
    <definedName function="false" hidden="false" name="Slicer_O2115" vbProcedure="false">#N/A</definedName>
    <definedName function="false" hidden="false" name="Slicer_O212" vbProcedure="false">#N/A</definedName>
    <definedName function="false" hidden="false" name="Slicer_O213" vbProcedure="false">#N/A</definedName>
    <definedName function="false" hidden="false" name="Slicer_O214" vbProcedure="false">#N/A</definedName>
    <definedName function="false" hidden="false" name="Slicer_O215" vbProcedure="false">#N/A</definedName>
    <definedName function="false" hidden="false" name="Slicer_O216" vbProcedure="false">#N/A</definedName>
    <definedName function="false" hidden="false" name="Slicer_O217" vbProcedure="false">#N/A</definedName>
    <definedName function="false" hidden="false" name="Slicer_O218" vbProcedure="false">#N/A</definedName>
    <definedName function="false" hidden="false" name="Slicer_O219" vbProcedure="false">#N/A</definedName>
    <definedName function="false" hidden="false" name="Slicer_Tâche" vbProcedure="false">#N/A</definedName>
    <definedName function="false" hidden="false" name="Slicer_Tâche1" vbProcedure="false">#N/A</definedName>
    <definedName function="false" hidden="false" name="Slicer_Tâche2" vbProcedure="false">#N/A</definedName>
    <definedName function="false" hidden="false" name="Slicer_Tâche21" vbProcedure="false">#N/A</definedName>
    <definedName function="false" hidden="false" name="Slicer_Tâche211" vbProcedure="false">#N/A</definedName>
    <definedName function="false" hidden="false" name="Slicer_Tâche2110" vbProcedure="false">#N/A</definedName>
    <definedName function="false" hidden="false" name="Slicer_Tâche2111" vbProcedure="false">#N/A</definedName>
    <definedName function="false" hidden="false" name="Slicer_Tâche2112" vbProcedure="false">#N/A</definedName>
    <definedName function="false" hidden="false" name="Slicer_Tâche2113" vbProcedure="false">#N/A</definedName>
    <definedName function="false" hidden="false" name="Slicer_Tâche2114" vbProcedure="false">#N/A</definedName>
    <definedName function="false" hidden="false" name="Slicer_Tâche2115" vbProcedure="false">#N/A</definedName>
    <definedName function="false" hidden="false" name="Slicer_Tâche212" vbProcedure="false">#N/A</definedName>
    <definedName function="false" hidden="false" name="Slicer_Tâche213" vbProcedure="false">#N/A</definedName>
    <definedName function="false" hidden="false" name="Slicer_Tâche214" vbProcedure="false">#N/A</definedName>
    <definedName function="false" hidden="false" name="Slicer_Tâche215" vbProcedure="false">#N/A</definedName>
    <definedName function="false" hidden="false" name="Slicer_Tâche216" vbProcedure="false">#N/A</definedName>
    <definedName function="false" hidden="false" name="Slicer_Tâche217" vbProcedure="false">#N/A</definedName>
    <definedName function="false" hidden="false" name="Slicer_Tâche218" vbProcedure="false">#N/A</definedName>
    <definedName function="false" hidden="false" name="Slicer_Tâche219" vbProcedure="false">#N/A</definedName>
    <definedName function="false" hidden="false" name="Slicer_Tâche22111111111114412121111111111211111111111111111111111111111" vbProcedure="false">#N/A</definedName>
    <definedName function="false" hidden="false" name="Slicer_Tâche221111111111144121211111111112111111111111111111111111111111" vbProcedure="false">#N/A</definedName>
    <definedName function="false" hidden="false" name="Slicer_Tâche2211111111111441212111111111121111111111111111111111111111111" vbProcedure="false">#N/A</definedName>
    <definedName function="false" hidden="false" name="Slicer_Tâche22111111111114412121111111111211111111111111111111111111111111" vbProcedure="false">#N/A</definedName>
    <definedName function="false" hidden="false" name="Slicer_Tâche221111111111144121211111111112111111111111111111111111111111111" vbProcedure="false">#N/A</definedName>
    <definedName function="false" hidden="false" name="Slicer_Tâche2211111111111441212111111111121111111111111111111111111111111111" vbProcedure="false">#N/A</definedName>
    <definedName function="false" hidden="false" name="Slicer_Tâche22111111111114412121111111111211111111111111111111111111111111111" vbProcedure="false">#N/A</definedName>
    <definedName function="false" hidden="false" name="Slicer_Tâche221111111111144121211111111112111111111111111111111111111111111111" vbProcedure="false">#N/A</definedName>
    <definedName function="false" hidden="false" name="Slicer_Tâche2211111111111441212111111111121111111111111111111111111111111111111" vbProcedure="false">#N/A</definedName>
    <definedName function="false" hidden="false" name="Slicer_Tâche22111111111114412121111111111211111111111111111111111111111111111111" vbProcedure="false">#N/A</definedName>
    <definedName function="false" hidden="false" name="Slicer_Tâche221111111111144121211111111112111111111111111111111111111111111111111" vbProcedure="false">#N/A</definedName>
    <definedName function="false" hidden="false" name="Slicer_Tâche2211111111111441212111111111121111111111111111111111111111111111111111" vbProcedure="false">#N/A</definedName>
    <definedName function="false" hidden="false" name="Slicer_Tâche2211111111111441212111111111121111111111111111111111111111111111111112" vbProcedure="false">#N/A</definedName>
    <definedName function="false" hidden="false" name="Slicer_Tâche221111111111144121211111111112111111111111111111111111111111111111111211" vbProcedure="false">#N/A</definedName>
    <definedName function="false" hidden="false" name="Slicer_Tâche2211111111111441212111111111121111111111111111111111111111111111111112111" vbProcedure="false">#N/A</definedName>
    <definedName function="false" hidden="false" name="Slicer_Tâche22111111111114412121111111111211111111111111111111111111111111111111121111" vbProcedure="false">#N/A</definedName>
    <definedName function="false" hidden="false" name="Slicer_Tâche221111111111144121211111111112111111111111111111111111111111111111111211111" vbProcedure="false">#N/A</definedName>
    <definedName function="false" hidden="false" name="Slicer_Tâche22111111111114412121111111111211111111111111111111111111111111111111121111111" vbProcedure="false">#N/A</definedName>
    <definedName function="false" hidden="false" name="Slicer_Tâche221111111111144121211111111112111111111111111111111111111111111111111211111111" vbProcedure="false">#N/A</definedName>
    <definedName function="false" hidden="false" name="Total" vbProcedure="false">'Semaine MASTER'!$C$2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0.xml><?xml version="1.0" encoding="utf-8"?>
<comments xmlns="http://schemas.openxmlformats.org/spreadsheetml/2006/main" xmlns:xdr="http://schemas.openxmlformats.org/drawingml/2006/spreadsheetDrawing">
  <authors>
    <author>Auteur inconnu</author>
  </authors>
  <commentList>
    <comment ref="O1" authorId="0">
      <text>
        <r>
          <rPr>
            <sz val="10"/>
            <rFont val="Arial"/>
            <family val="2"/>
          </rPr>
          <t xml:space="preserve">RI / Analyse, revue et planification de projet</t>
        </r>
      </text>
    </comment>
    <comment ref="P1" authorId="0">
      <text>
        <r>
          <rPr>
            <sz val="10"/>
            <rFont val="Arial"/>
            <family val="2"/>
          </rPr>
          <t xml:space="preserve">GB /Gestion de projet client</t>
        </r>
      </text>
    </comment>
    <comment ref="R1" authorId="0">
      <text>
        <r>
          <rPr>
            <sz val="10"/>
            <rFont val="Arial"/>
            <family val="2"/>
          </rPr>
          <t xml:space="preserve">FG /Analyse et réingienérie</t>
        </r>
      </text>
    </comment>
    <comment ref="T1" authorId="0">
      <text>
        <r>
          <rPr>
            <sz val="10"/>
            <rFont val="Arial"/>
            <family val="2"/>
          </rPr>
          <t xml:space="preserve">GB /Gestion de projet client</t>
        </r>
      </text>
    </comment>
    <comment ref="U1" authorId="0">
      <text>
        <r>
          <rPr>
            <sz val="10"/>
            <rFont val="Arial"/>
            <family val="2"/>
          </rPr>
          <t xml:space="preserve">TD / Temps de déplacement</t>
        </r>
      </text>
    </comment>
    <comment ref="V1" authorId="0">
      <text>
        <r>
          <rPr>
            <sz val="10"/>
            <rFont val="Arial"/>
            <family val="2"/>
          </rPr>
          <t xml:space="preserve">GB /Gestion de projet client</t>
        </r>
      </text>
    </comment>
  </commentList>
</comments>
</file>

<file path=xl/comments21.xml><?xml version="1.0" encoding="utf-8"?>
<comments xmlns="http://schemas.openxmlformats.org/spreadsheetml/2006/main" xmlns:xdr="http://schemas.openxmlformats.org/drawingml/2006/spreadsheetDrawing">
  <authors>
    <author>Auteur inconnu</author>
  </authors>
  <commentList>
    <comment ref="O1" authorId="0">
      <text>
        <r>
          <rPr>
            <sz val="10"/>
            <rFont val="Arial"/>
            <family val="2"/>
          </rPr>
          <t xml:space="preserve">RI / Analyse, revue et planification de projet</t>
        </r>
      </text>
    </comment>
    <comment ref="P1" authorId="0">
      <text>
        <r>
          <rPr>
            <sz val="10"/>
            <rFont val="Arial"/>
            <family val="2"/>
          </rPr>
          <t xml:space="preserve">GB /Gestion de projet client</t>
        </r>
      </text>
    </comment>
    <comment ref="R1" authorId="0">
      <text>
        <r>
          <rPr>
            <sz val="10"/>
            <rFont val="Arial"/>
            <family val="2"/>
          </rPr>
          <t xml:space="preserve">FG /Analyse et réingienérie</t>
        </r>
      </text>
    </comment>
    <comment ref="T1" authorId="0">
      <text>
        <r>
          <rPr>
            <sz val="10"/>
            <rFont val="Arial"/>
            <family val="2"/>
          </rPr>
          <t xml:space="preserve">GB /Gestion de projet client</t>
        </r>
      </text>
    </comment>
    <comment ref="U1" authorId="0">
      <text>
        <r>
          <rPr>
            <sz val="10"/>
            <rFont val="Arial"/>
            <family val="2"/>
          </rPr>
          <t xml:space="preserve">TD / Temps de déplacement</t>
        </r>
      </text>
    </comment>
    <comment ref="V1" authorId="0">
      <text>
        <r>
          <rPr>
            <sz val="10"/>
            <rFont val="Arial"/>
            <family val="2"/>
          </rPr>
          <t xml:space="preserve">GB /Gestion de projet client</t>
        </r>
      </text>
    </comment>
  </commentList>
</comments>
</file>

<file path=xl/comments22.xml><?xml version="1.0" encoding="utf-8"?>
<comments xmlns="http://schemas.openxmlformats.org/spreadsheetml/2006/main" xmlns:xdr="http://schemas.openxmlformats.org/drawingml/2006/spreadsheetDrawing">
  <authors>
    <author>Auteur inconnu</author>
  </authors>
  <commentList>
    <comment ref="P1" authorId="0">
      <text>
        <r>
          <rPr>
            <sz val="10"/>
            <rFont val="Arial"/>
            <family val="2"/>
          </rPr>
          <t xml:space="preserve">RI / Analyse, revue et planification de projet</t>
        </r>
      </text>
    </comment>
    <comment ref="Q1" authorId="0">
      <text>
        <r>
          <rPr>
            <sz val="10"/>
            <rFont val="Arial"/>
            <family val="2"/>
          </rPr>
          <t xml:space="preserve">GB /Gestion de projet client</t>
        </r>
      </text>
    </comment>
    <comment ref="S1" authorId="0">
      <text>
        <r>
          <rPr>
            <sz val="10"/>
            <rFont val="Arial"/>
            <family val="2"/>
          </rPr>
          <t xml:space="preserve">FG /Analyse et réingienérie</t>
        </r>
      </text>
    </comment>
    <comment ref="U1" authorId="0">
      <text>
        <r>
          <rPr>
            <sz val="10"/>
            <rFont val="Arial"/>
            <family val="2"/>
          </rPr>
          <t xml:space="preserve">GB /Gestion de projet client</t>
        </r>
      </text>
    </comment>
    <comment ref="V1" authorId="0">
      <text>
        <r>
          <rPr>
            <sz val="10"/>
            <rFont val="Arial"/>
            <family val="2"/>
          </rPr>
          <t xml:space="preserve">TD / Temps de déplacement</t>
        </r>
      </text>
    </comment>
    <comment ref="W1" authorId="0">
      <text>
        <r>
          <rPr>
            <sz val="10"/>
            <rFont val="Arial"/>
            <family val="2"/>
          </rPr>
          <t xml:space="preserve">GB /Gestion de projet client</t>
        </r>
      </text>
    </comment>
  </commentList>
</comments>
</file>

<file path=xl/comments23.xml><?xml version="1.0" encoding="utf-8"?>
<comments xmlns="http://schemas.openxmlformats.org/spreadsheetml/2006/main" xmlns:xdr="http://schemas.openxmlformats.org/drawingml/2006/spreadsheetDrawing">
  <authors>
    <author>Auteur inconnu</author>
  </authors>
  <commentList>
    <comment ref="P1" authorId="0">
      <text>
        <r>
          <rPr>
            <sz val="10"/>
            <rFont val="Arial"/>
            <family val="2"/>
          </rPr>
          <t xml:space="preserve">RI / Analyse, revue et planification de projet</t>
        </r>
      </text>
    </comment>
    <comment ref="Q1" authorId="0">
      <text>
        <r>
          <rPr>
            <sz val="10"/>
            <rFont val="Arial"/>
            <family val="2"/>
          </rPr>
          <t xml:space="preserve">GB /Gestion de projet client</t>
        </r>
      </text>
    </comment>
    <comment ref="S1" authorId="0">
      <text>
        <r>
          <rPr>
            <sz val="10"/>
            <rFont val="Arial"/>
            <family val="2"/>
          </rPr>
          <t xml:space="preserve">FG /Analyse et réingienérie</t>
        </r>
      </text>
    </comment>
    <comment ref="U1" authorId="0">
      <text>
        <r>
          <rPr>
            <sz val="10"/>
            <rFont val="Arial"/>
            <family val="2"/>
          </rPr>
          <t xml:space="preserve">GB /Gestion de projet client</t>
        </r>
      </text>
    </comment>
    <comment ref="V1" authorId="0">
      <text>
        <r>
          <rPr>
            <sz val="10"/>
            <rFont val="Arial"/>
            <family val="2"/>
          </rPr>
          <t xml:space="preserve">TD / Temps de déplacement</t>
        </r>
      </text>
    </comment>
    <comment ref="W1" authorId="0">
      <text>
        <r>
          <rPr>
            <sz val="10"/>
            <rFont val="Arial"/>
            <family val="2"/>
          </rPr>
          <t xml:space="preserve">GB /Gestion de projet client</t>
        </r>
      </text>
    </comment>
  </commentList>
</comments>
</file>

<file path=xl/comments25.xml><?xml version="1.0" encoding="utf-8"?>
<comments xmlns="http://schemas.openxmlformats.org/spreadsheetml/2006/main" xmlns:xdr="http://schemas.openxmlformats.org/drawingml/2006/spreadsheetDrawing">
  <authors>
    <author>Auteur inconnu</author>
  </authors>
  <commentList>
    <comment ref="P1" authorId="0">
      <text>
        <r>
          <rPr>
            <sz val="10"/>
            <rFont val="Arial"/>
            <family val="2"/>
          </rPr>
          <t xml:space="preserve">GB /Gestion de projet client</t>
        </r>
      </text>
    </comment>
    <comment ref="Q1" authorId="0">
      <text>
        <r>
          <rPr>
            <sz val="10"/>
            <rFont val="Arial"/>
            <family val="2"/>
          </rPr>
          <t xml:space="preserve">RI / Analyse, revue et planification de projet</t>
        </r>
      </text>
    </comment>
    <comment ref="R1" authorId="0">
      <text>
        <r>
          <rPr>
            <sz val="10"/>
            <rFont val="Arial"/>
            <family val="2"/>
          </rPr>
          <t xml:space="preserve">FG /Analyse et réingienérie</t>
        </r>
      </text>
    </comment>
    <comment ref="S1" authorId="0">
      <text>
        <r>
          <rPr>
            <sz val="10"/>
            <rFont val="Arial"/>
            <family val="2"/>
          </rPr>
          <t xml:space="preserve">PS / Preuve de concept</t>
        </r>
      </text>
    </comment>
    <comment ref="T1" authorId="0">
      <text>
        <r>
          <rPr>
            <sz val="10"/>
            <rFont val="Arial"/>
            <family val="2"/>
          </rPr>
          <t xml:space="preserve">TD / Temps de déplacement</t>
        </r>
      </text>
    </comment>
    <comment ref="U1" authorId="0">
      <text>
        <r>
          <rPr>
            <sz val="10"/>
            <rFont val="Arial"/>
            <family val="2"/>
          </rPr>
          <t xml:space="preserve">GB /Gestion de projet client</t>
        </r>
      </text>
    </comment>
  </commentList>
</comments>
</file>

<file path=xl/comments26.xml><?xml version="1.0" encoding="utf-8"?>
<comments xmlns="http://schemas.openxmlformats.org/spreadsheetml/2006/main" xmlns:xdr="http://schemas.openxmlformats.org/drawingml/2006/spreadsheetDrawing">
  <authors>
    <author>Auteur inconnu</author>
  </authors>
  <commentList>
    <comment ref="P1" authorId="0">
      <text>
        <r>
          <rPr>
            <sz val="10"/>
            <rFont val="Arial"/>
            <family val="2"/>
          </rPr>
          <t xml:space="preserve">GB /Gestion de projet client</t>
        </r>
      </text>
    </comment>
    <comment ref="Q1" authorId="0">
      <text>
        <r>
          <rPr>
            <sz val="10"/>
            <rFont val="Arial"/>
            <family val="2"/>
          </rPr>
          <t xml:space="preserve">RI / Analyse, revue et planification de projet</t>
        </r>
      </text>
    </comment>
    <comment ref="R1" authorId="0">
      <text>
        <r>
          <rPr>
            <sz val="10"/>
            <rFont val="Arial"/>
            <family val="2"/>
          </rPr>
          <t xml:space="preserve">FG /Analyse et réingienérie</t>
        </r>
      </text>
    </comment>
    <comment ref="S1" authorId="0">
      <text>
        <r>
          <rPr>
            <sz val="10"/>
            <rFont val="Arial"/>
            <family val="2"/>
          </rPr>
          <t xml:space="preserve">PS / Preuve de concept</t>
        </r>
      </text>
    </comment>
    <comment ref="T1" authorId="0">
      <text>
        <r>
          <rPr>
            <sz val="10"/>
            <rFont val="Arial"/>
            <family val="2"/>
          </rPr>
          <t xml:space="preserve">TD / Temps de déplacement</t>
        </r>
      </text>
    </comment>
    <comment ref="U1" authorId="0">
      <text>
        <r>
          <rPr>
            <sz val="10"/>
            <rFont val="Arial"/>
            <family val="2"/>
          </rPr>
          <t xml:space="preserve">GB /Gestion de projet client</t>
        </r>
      </text>
    </comment>
  </commentList>
</comments>
</file>

<file path=xl/comments27.xml><?xml version="1.0" encoding="utf-8"?>
<comments xmlns="http://schemas.openxmlformats.org/spreadsheetml/2006/main" xmlns:xdr="http://schemas.openxmlformats.org/drawingml/2006/spreadsheetDrawing">
  <authors>
    <author>Auteur inconnu</author>
  </authors>
  <commentList>
    <comment ref="P1" authorId="0">
      <text>
        <r>
          <rPr>
            <sz val="10"/>
            <rFont val="Arial"/>
            <family val="2"/>
          </rPr>
          <t xml:space="preserve">GB /Gestion de projet client</t>
        </r>
      </text>
    </comment>
    <comment ref="Q1" authorId="0">
      <text>
        <r>
          <rPr>
            <sz val="10"/>
            <rFont val="Arial"/>
            <family val="2"/>
          </rPr>
          <t xml:space="preserve">RI / Analyse, revue et planification de projet</t>
        </r>
      </text>
    </comment>
    <comment ref="R1" authorId="0">
      <text>
        <r>
          <rPr>
            <sz val="10"/>
            <rFont val="Arial"/>
            <family val="2"/>
          </rPr>
          <t xml:space="preserve">FG /Analyse et réingienérie</t>
        </r>
      </text>
    </comment>
    <comment ref="S1" authorId="0">
      <text>
        <r>
          <rPr>
            <sz val="10"/>
            <rFont val="Arial"/>
            <family val="2"/>
          </rPr>
          <t xml:space="preserve">PS / Preuve de concept</t>
        </r>
      </text>
    </comment>
    <comment ref="T1" authorId="0">
      <text>
        <r>
          <rPr>
            <sz val="10"/>
            <rFont val="Arial"/>
            <family val="2"/>
          </rPr>
          <t xml:space="preserve">TD / Temps de déplacement</t>
        </r>
      </text>
    </comment>
    <comment ref="U1" authorId="0">
      <text>
        <r>
          <rPr>
            <sz val="10"/>
            <rFont val="Arial"/>
            <family val="2"/>
          </rPr>
          <t xml:space="preserve">GB /Gestion de projet client</t>
        </r>
      </text>
    </comment>
  </commentList>
</comments>
</file>

<file path=xl/comments28.xml><?xml version="1.0" encoding="utf-8"?>
<comments xmlns="http://schemas.openxmlformats.org/spreadsheetml/2006/main" xmlns:xdr="http://schemas.openxmlformats.org/drawingml/2006/spreadsheetDrawing">
  <authors>
    <author>Auteur inconnu</author>
  </authors>
  <commentList>
    <comment ref="N1" authorId="0">
      <text>
        <r>
          <rPr>
            <sz val="10"/>
            <rFont val="Arial"/>
            <family val="2"/>
          </rPr>
          <t xml:space="preserve">GB /Gestion de projet client</t>
        </r>
      </text>
    </comment>
    <comment ref="O1" authorId="0">
      <text>
        <r>
          <rPr>
            <sz val="10"/>
            <rFont val="Arial"/>
            <family val="2"/>
          </rPr>
          <t xml:space="preserve">RI / Analyse, revue et planification de projet</t>
        </r>
      </text>
    </comment>
    <comment ref="P1" authorId="0">
      <text>
        <r>
          <rPr>
            <sz val="10"/>
            <rFont val="Arial"/>
            <family val="2"/>
          </rPr>
          <t xml:space="preserve">FG /Analyse et réingienérie</t>
        </r>
      </text>
    </comment>
    <comment ref="Q1" authorId="0">
      <text>
        <r>
          <rPr>
            <sz val="10"/>
            <rFont val="Arial"/>
            <family val="2"/>
          </rPr>
          <t xml:space="preserve">PS / Preuve de concept</t>
        </r>
      </text>
    </comment>
    <comment ref="R1" authorId="0">
      <text>
        <r>
          <rPr>
            <sz val="10"/>
            <rFont val="Arial"/>
            <family val="2"/>
          </rPr>
          <t xml:space="preserve">TD / Temps de déplacement</t>
        </r>
      </text>
    </comment>
    <comment ref="S1" authorId="0">
      <text>
        <r>
          <rPr>
            <sz val="10"/>
            <rFont val="Arial"/>
            <family val="2"/>
          </rPr>
          <t xml:space="preserve">GB /Gestion de projet client</t>
        </r>
      </text>
    </comment>
  </commentList>
</comments>
</file>

<file path=xl/comments30.xml><?xml version="1.0" encoding="utf-8"?>
<comments xmlns="http://schemas.openxmlformats.org/spreadsheetml/2006/main" xmlns:xdr="http://schemas.openxmlformats.org/drawingml/2006/spreadsheetDrawing">
  <authors>
    <author>Auteur inconnu</author>
  </authors>
  <commentList>
    <comment ref="N1" authorId="0">
      <text>
        <r>
          <rPr>
            <sz val="10"/>
            <rFont val="Arial"/>
            <family val="2"/>
          </rPr>
          <t xml:space="preserve">GB /Gestion de projet client</t>
        </r>
      </text>
    </comment>
    <comment ref="O1" authorId="0">
      <text>
        <r>
          <rPr>
            <sz val="10"/>
            <rFont val="Arial"/>
            <family val="2"/>
          </rPr>
          <t xml:space="preserve">RI / Analyse, revue et planification de projet</t>
        </r>
      </text>
    </comment>
    <comment ref="P1" authorId="0">
      <text>
        <r>
          <rPr>
            <sz val="10"/>
            <rFont val="Arial"/>
            <family val="2"/>
          </rPr>
          <t xml:space="preserve">FG /Analyse et réingienérie</t>
        </r>
      </text>
    </comment>
    <comment ref="Q1" authorId="0">
      <text>
        <r>
          <rPr>
            <sz val="10"/>
            <rFont val="Arial"/>
            <family val="2"/>
          </rPr>
          <t xml:space="preserve">PS / Preuve de concept</t>
        </r>
      </text>
    </comment>
    <comment ref="R1" authorId="0">
      <text>
        <r>
          <rPr>
            <sz val="10"/>
            <rFont val="Arial"/>
            <family val="2"/>
          </rPr>
          <t xml:space="preserve">TD / Temps de déplacement</t>
        </r>
      </text>
    </comment>
    <comment ref="S1" authorId="0">
      <text>
        <r>
          <rPr>
            <sz val="10"/>
            <rFont val="Arial"/>
            <family val="2"/>
          </rPr>
          <t xml:space="preserve">GB /Gestion de projet client</t>
        </r>
      </text>
    </comment>
  </commentList>
</comments>
</file>

<file path=xl/comments31.xml><?xml version="1.0" encoding="utf-8"?>
<comments xmlns="http://schemas.openxmlformats.org/spreadsheetml/2006/main" xmlns:xdr="http://schemas.openxmlformats.org/drawingml/2006/spreadsheetDrawing">
  <authors>
    <author>Auteur inconnu</author>
  </authors>
  <commentList>
    <comment ref="N1" authorId="0">
      <text>
        <r>
          <rPr>
            <sz val="10"/>
            <rFont val="Arial"/>
            <family val="2"/>
          </rPr>
          <t xml:space="preserve">GB /Gestion de projet client</t>
        </r>
      </text>
    </comment>
    <comment ref="O1" authorId="0">
      <text>
        <r>
          <rPr>
            <sz val="10"/>
            <rFont val="Arial"/>
            <family val="2"/>
          </rPr>
          <t xml:space="preserve">RI / Analyse, revue et planification de projet</t>
        </r>
      </text>
    </comment>
    <comment ref="P1" authorId="0">
      <text>
        <r>
          <rPr>
            <sz val="10"/>
            <rFont val="Arial"/>
            <family val="2"/>
          </rPr>
          <t xml:space="preserve">FG /Analyse et réingienérie</t>
        </r>
      </text>
    </comment>
    <comment ref="Q1" authorId="0">
      <text>
        <r>
          <rPr>
            <sz val="10"/>
            <rFont val="Arial"/>
            <family val="2"/>
          </rPr>
          <t xml:space="preserve">PS / Preuve de concept</t>
        </r>
      </text>
    </comment>
    <comment ref="R1" authorId="0">
      <text>
        <r>
          <rPr>
            <sz val="10"/>
            <rFont val="Arial"/>
            <family val="2"/>
          </rPr>
          <t xml:space="preserve">TD / Temps de déplacement</t>
        </r>
      </text>
    </comment>
    <comment ref="S1" authorId="0">
      <text>
        <r>
          <rPr>
            <sz val="10"/>
            <rFont val="Arial"/>
            <family val="2"/>
          </rPr>
          <t xml:space="preserve">GB /Gestion de projet client</t>
        </r>
      </text>
    </comment>
  </commentList>
</comments>
</file>

<file path=xl/comments32.xml><?xml version="1.0" encoding="utf-8"?>
<comments xmlns="http://schemas.openxmlformats.org/spreadsheetml/2006/main" xmlns:xdr="http://schemas.openxmlformats.org/drawingml/2006/spreadsheetDrawing">
  <authors>
    <author>Auteur inconnu</author>
  </authors>
  <commentList>
    <comment ref="N1" authorId="0">
      <text>
        <r>
          <rPr>
            <sz val="10"/>
            <rFont val="Arial"/>
            <family val="2"/>
          </rPr>
          <t xml:space="preserve">GB /Gestion de projet client</t>
        </r>
      </text>
    </comment>
    <comment ref="O1" authorId="0">
      <text>
        <r>
          <rPr>
            <sz val="10"/>
            <rFont val="Arial"/>
            <family val="2"/>
          </rPr>
          <t xml:space="preserve">RI / Analyse, revue et planification de projet</t>
        </r>
      </text>
    </comment>
    <comment ref="P1" authorId="0">
      <text>
        <r>
          <rPr>
            <sz val="10"/>
            <rFont val="Arial"/>
            <family val="2"/>
          </rPr>
          <t xml:space="preserve">FG /Analyse et réingienérie</t>
        </r>
      </text>
    </comment>
    <comment ref="Q1" authorId="0">
      <text>
        <r>
          <rPr>
            <sz val="10"/>
            <rFont val="Arial"/>
            <family val="2"/>
          </rPr>
          <t xml:space="preserve">PS / Preuve de concept</t>
        </r>
      </text>
    </comment>
    <comment ref="R1" authorId="0">
      <text>
        <r>
          <rPr>
            <sz val="10"/>
            <rFont val="Arial"/>
            <family val="2"/>
          </rPr>
          <t xml:space="preserve">TD / Temps de déplacement</t>
        </r>
      </text>
    </comment>
    <comment ref="S1" authorId="0">
      <text>
        <r>
          <rPr>
            <sz val="10"/>
            <rFont val="Arial"/>
            <family val="2"/>
          </rPr>
          <t xml:space="preserve">GB /Gestion de projet client</t>
        </r>
      </text>
    </comment>
  </commentList>
</comments>
</file>

<file path=xl/comments33.xml><?xml version="1.0" encoding="utf-8"?>
<comments xmlns="http://schemas.openxmlformats.org/spreadsheetml/2006/main" xmlns:xdr="http://schemas.openxmlformats.org/drawingml/2006/spreadsheetDrawing">
  <authors>
    <author>Auteur inconnu</author>
  </authors>
  <commentList>
    <comment ref="N1" authorId="0">
      <text>
        <r>
          <rPr>
            <sz val="10"/>
            <rFont val="Arial"/>
            <family val="2"/>
          </rPr>
          <t xml:space="preserve">GB /Gestion de projet client</t>
        </r>
      </text>
    </comment>
    <comment ref="O1" authorId="0">
      <text>
        <r>
          <rPr>
            <sz val="10"/>
            <rFont val="Arial"/>
            <family val="2"/>
          </rPr>
          <t xml:space="preserve">RI / Analyse, revue et planification de projet</t>
        </r>
      </text>
    </comment>
    <comment ref="P1" authorId="0">
      <text>
        <r>
          <rPr>
            <sz val="10"/>
            <rFont val="Arial"/>
            <family val="2"/>
          </rPr>
          <t xml:space="preserve">FG /Analyse et réingienérie</t>
        </r>
      </text>
    </comment>
    <comment ref="Q1" authorId="0">
      <text>
        <r>
          <rPr>
            <sz val="10"/>
            <rFont val="Arial"/>
            <family val="2"/>
          </rPr>
          <t xml:space="preserve">PS / Preuve de concept</t>
        </r>
      </text>
    </comment>
    <comment ref="R1" authorId="0">
      <text>
        <r>
          <rPr>
            <sz val="10"/>
            <rFont val="Arial"/>
            <family val="2"/>
          </rPr>
          <t xml:space="preserve">TD / Temps de déplacement</t>
        </r>
      </text>
    </comment>
    <comment ref="S1" authorId="0">
      <text>
        <r>
          <rPr>
            <sz val="10"/>
            <rFont val="Arial"/>
            <family val="2"/>
          </rPr>
          <t xml:space="preserve">GB /Gestion de projet client</t>
        </r>
      </text>
    </comment>
  </commentList>
</comments>
</file>

<file path=xl/comments34.xml><?xml version="1.0" encoding="utf-8"?>
<comments xmlns="http://schemas.openxmlformats.org/spreadsheetml/2006/main" xmlns:xdr="http://schemas.openxmlformats.org/drawingml/2006/spreadsheetDrawing">
  <authors>
    <author>Auteur inconnu</author>
  </authors>
  <commentList>
    <comment ref="N1" authorId="0">
      <text>
        <r>
          <rPr>
            <sz val="10"/>
            <rFont val="Arial"/>
            <family val="2"/>
          </rPr>
          <t xml:space="preserve">GB /Gestion de projet client</t>
        </r>
      </text>
    </comment>
    <comment ref="O1" authorId="0">
      <text>
        <r>
          <rPr>
            <sz val="10"/>
            <rFont val="Arial"/>
            <family val="2"/>
          </rPr>
          <t xml:space="preserve">RI / Analyse, revue et planification de projet</t>
        </r>
      </text>
    </comment>
    <comment ref="P1" authorId="0">
      <text>
        <r>
          <rPr>
            <sz val="10"/>
            <rFont val="Arial"/>
            <family val="2"/>
          </rPr>
          <t xml:space="preserve">FG /Analyse et réingienérie</t>
        </r>
      </text>
    </comment>
    <comment ref="Q1" authorId="0">
      <text>
        <r>
          <rPr>
            <sz val="10"/>
            <rFont val="Arial"/>
            <family val="2"/>
          </rPr>
          <t xml:space="preserve">PS / Preuve de concept</t>
        </r>
      </text>
    </comment>
    <comment ref="R1" authorId="0">
      <text>
        <r>
          <rPr>
            <sz val="10"/>
            <rFont val="Arial"/>
            <family val="2"/>
          </rPr>
          <t xml:space="preserve">TD / Temps de déplacement</t>
        </r>
      </text>
    </comment>
    <comment ref="S1" authorId="0">
      <text>
        <r>
          <rPr>
            <sz val="10"/>
            <rFont val="Arial"/>
            <family val="2"/>
          </rPr>
          <t xml:space="preserve">GB /Gestion de projet client</t>
        </r>
      </text>
    </comment>
  </commentList>
</comments>
</file>

<file path=xl/comments35.xml><?xml version="1.0" encoding="utf-8"?>
<comments xmlns="http://schemas.openxmlformats.org/spreadsheetml/2006/main" xmlns:xdr="http://schemas.openxmlformats.org/drawingml/2006/spreadsheetDrawing">
  <authors>
    <author>Auteur inconnu</author>
  </authors>
  <commentList>
    <comment ref="N1" authorId="0">
      <text>
        <r>
          <rPr>
            <sz val="10"/>
            <rFont val="Arial"/>
            <family val="2"/>
          </rPr>
          <t xml:space="preserve">GB /Gestion de projet client</t>
        </r>
      </text>
    </comment>
    <comment ref="O1" authorId="0">
      <text>
        <r>
          <rPr>
            <sz val="10"/>
            <rFont val="Arial"/>
            <family val="2"/>
          </rPr>
          <t xml:space="preserve">RI / Analyse, revue et planification de projet</t>
        </r>
      </text>
    </comment>
    <comment ref="P1" authorId="0">
      <text>
        <r>
          <rPr>
            <sz val="10"/>
            <rFont val="Arial"/>
            <family val="2"/>
          </rPr>
          <t xml:space="preserve">FG /Analyse et réingienérie</t>
        </r>
      </text>
    </comment>
    <comment ref="Q1" authorId="0">
      <text>
        <r>
          <rPr>
            <sz val="10"/>
            <rFont val="Arial"/>
            <family val="2"/>
          </rPr>
          <t xml:space="preserve">PS / Preuve de concept</t>
        </r>
      </text>
    </comment>
    <comment ref="R1" authorId="0">
      <text>
        <r>
          <rPr>
            <sz val="10"/>
            <rFont val="Arial"/>
            <family val="2"/>
          </rPr>
          <t xml:space="preserve">TD / Temps de déplacement</t>
        </r>
      </text>
    </comment>
    <comment ref="S1" authorId="0">
      <text>
        <r>
          <rPr>
            <sz val="10"/>
            <rFont val="Arial"/>
            <family val="2"/>
          </rPr>
          <t xml:space="preserve">GB /Gestion de projet client</t>
        </r>
      </text>
    </comment>
  </commentList>
</comments>
</file>

<file path=xl/comments36.xml><?xml version="1.0" encoding="utf-8"?>
<comments xmlns="http://schemas.openxmlformats.org/spreadsheetml/2006/main" xmlns:xdr="http://schemas.openxmlformats.org/drawingml/2006/spreadsheetDrawing">
  <authors>
    <author>Auteur inconnu</author>
  </authors>
  <commentList>
    <comment ref="N1" authorId="0">
      <text>
        <r>
          <rPr>
            <sz val="10"/>
            <rFont val="Arial"/>
            <family val="2"/>
          </rPr>
          <t xml:space="preserve">GB /Gestion de projet client</t>
        </r>
      </text>
    </comment>
    <comment ref="O1" authorId="0">
      <text>
        <r>
          <rPr>
            <sz val="10"/>
            <rFont val="Arial"/>
            <family val="2"/>
          </rPr>
          <t xml:space="preserve">RI / Analyse, revue et planification de projet</t>
        </r>
      </text>
    </comment>
    <comment ref="P1" authorId="0">
      <text>
        <r>
          <rPr>
            <sz val="10"/>
            <rFont val="Arial"/>
            <family val="2"/>
          </rPr>
          <t xml:space="preserve">FG /Analyse et réingienérie</t>
        </r>
      </text>
    </comment>
    <comment ref="Q1" authorId="0">
      <text>
        <r>
          <rPr>
            <sz val="10"/>
            <rFont val="Arial"/>
            <family val="2"/>
          </rPr>
          <t xml:space="preserve">PS / Preuve de concept</t>
        </r>
      </text>
    </comment>
    <comment ref="R1" authorId="0">
      <text>
        <r>
          <rPr>
            <sz val="10"/>
            <rFont val="Arial"/>
            <family val="2"/>
          </rPr>
          <t xml:space="preserve">TD / Temps de déplacement</t>
        </r>
      </text>
    </comment>
    <comment ref="S1" authorId="0">
      <text>
        <r>
          <rPr>
            <sz val="10"/>
            <rFont val="Arial"/>
            <family val="2"/>
          </rPr>
          <t xml:space="preserve">GB /Gestion de projet client</t>
        </r>
      </text>
    </comment>
  </commentList>
</comments>
</file>

<file path=xl/comments37.xml><?xml version="1.0" encoding="utf-8"?>
<comments xmlns="http://schemas.openxmlformats.org/spreadsheetml/2006/main" xmlns:xdr="http://schemas.openxmlformats.org/drawingml/2006/spreadsheetDrawing">
  <authors>
    <author>Auteur inconnu</author>
  </authors>
  <commentList>
    <comment ref="N1" authorId="0">
      <text>
        <r>
          <rPr>
            <sz val="10"/>
            <rFont val="Arial"/>
            <family val="2"/>
          </rPr>
          <t xml:space="preserve">GB /Gestion de projet client</t>
        </r>
      </text>
    </comment>
    <comment ref="O1" authorId="0">
      <text>
        <r>
          <rPr>
            <sz val="10"/>
            <rFont val="Arial"/>
            <family val="2"/>
          </rPr>
          <t xml:space="preserve">RI / Analyse, revue et planification de projet</t>
        </r>
      </text>
    </comment>
    <comment ref="P1" authorId="0">
      <text>
        <r>
          <rPr>
            <sz val="10"/>
            <rFont val="Arial"/>
            <family val="2"/>
          </rPr>
          <t xml:space="preserve">FG /Analyse et réingienérie</t>
        </r>
      </text>
    </comment>
    <comment ref="Q1" authorId="0">
      <text>
        <r>
          <rPr>
            <sz val="10"/>
            <rFont val="Arial"/>
            <family val="2"/>
          </rPr>
          <t xml:space="preserve">PS / Preuve de concept</t>
        </r>
      </text>
    </comment>
    <comment ref="R1" authorId="0">
      <text>
        <r>
          <rPr>
            <sz val="10"/>
            <rFont val="Arial"/>
            <family val="2"/>
          </rPr>
          <t xml:space="preserve">TD / Temps de déplacement</t>
        </r>
      </text>
    </comment>
    <comment ref="S1" authorId="0">
      <text>
        <r>
          <rPr>
            <sz val="10"/>
            <rFont val="Arial"/>
            <family val="2"/>
          </rPr>
          <t xml:space="preserve">GB /Gestion de projet client</t>
        </r>
      </text>
    </comment>
  </commentList>
</comments>
</file>

<file path=xl/comments38.xml><?xml version="1.0" encoding="utf-8"?>
<comments xmlns="http://schemas.openxmlformats.org/spreadsheetml/2006/main" xmlns:xdr="http://schemas.openxmlformats.org/drawingml/2006/spreadsheetDrawing">
  <authors>
    <author>Auteur inconnu</author>
  </authors>
  <commentList>
    <comment ref="N1" authorId="0">
      <text>
        <r>
          <rPr>
            <sz val="10"/>
            <rFont val="Arial"/>
            <family val="2"/>
          </rPr>
          <t xml:space="preserve">GB /Gestion de projet client</t>
        </r>
      </text>
    </comment>
    <comment ref="O1" authorId="0">
      <text>
        <r>
          <rPr>
            <sz val="10"/>
            <rFont val="Arial"/>
            <family val="2"/>
          </rPr>
          <t xml:space="preserve">RI / Analyse, revue et planification de projet</t>
        </r>
      </text>
    </comment>
    <comment ref="P1" authorId="0">
      <text>
        <r>
          <rPr>
            <sz val="10"/>
            <rFont val="Arial"/>
            <family val="2"/>
          </rPr>
          <t xml:space="preserve">FG /Analyse et réingienérie</t>
        </r>
      </text>
    </comment>
    <comment ref="Q1" authorId="0">
      <text>
        <r>
          <rPr>
            <sz val="10"/>
            <rFont val="Arial"/>
            <family val="2"/>
          </rPr>
          <t xml:space="preserve">PS / Preuve de concept</t>
        </r>
      </text>
    </comment>
    <comment ref="R1" authorId="0">
      <text>
        <r>
          <rPr>
            <sz val="10"/>
            <rFont val="Arial"/>
            <family val="2"/>
          </rPr>
          <t xml:space="preserve">TD / Temps de déplacement</t>
        </r>
      </text>
    </comment>
    <comment ref="S1" authorId="0">
      <text>
        <r>
          <rPr>
            <sz val="10"/>
            <rFont val="Arial"/>
            <family val="2"/>
          </rPr>
          <t xml:space="preserve">GB /Gestion de projet client</t>
        </r>
      </text>
    </comment>
  </commentList>
</comments>
</file>

<file path=xl/comments39.xml><?xml version="1.0" encoding="utf-8"?>
<comments xmlns="http://schemas.openxmlformats.org/spreadsheetml/2006/main" xmlns:xdr="http://schemas.openxmlformats.org/drawingml/2006/spreadsheetDrawing">
  <authors>
    <author>Auteur inconnu</author>
  </authors>
  <commentList>
    <comment ref="N1" authorId="0">
      <text>
        <r>
          <rPr>
            <sz val="10"/>
            <rFont val="Arial"/>
            <family val="2"/>
          </rPr>
          <t xml:space="preserve">GB /Gestion de projet client</t>
        </r>
      </text>
    </comment>
    <comment ref="O1" authorId="0">
      <text>
        <r>
          <rPr>
            <sz val="10"/>
            <rFont val="Arial"/>
            <family val="2"/>
          </rPr>
          <t xml:space="preserve">RI / Analyse, revue et planification de projet</t>
        </r>
      </text>
    </comment>
    <comment ref="P1" authorId="0">
      <text>
        <r>
          <rPr>
            <sz val="10"/>
            <rFont val="Arial"/>
            <family val="2"/>
          </rPr>
          <t xml:space="preserve">FG /Analyse et réingienérie</t>
        </r>
      </text>
    </comment>
    <comment ref="Q1" authorId="0">
      <text>
        <r>
          <rPr>
            <sz val="10"/>
            <rFont val="Arial"/>
            <family val="2"/>
          </rPr>
          <t xml:space="preserve">PS / Preuve de concept</t>
        </r>
      </text>
    </comment>
    <comment ref="R1" authorId="0">
      <text>
        <r>
          <rPr>
            <sz val="10"/>
            <rFont val="Arial"/>
            <family val="2"/>
          </rPr>
          <t xml:space="preserve">TD / Temps de déplacement</t>
        </r>
      </text>
    </comment>
    <comment ref="S1" authorId="0">
      <text>
        <r>
          <rPr>
            <sz val="10"/>
            <rFont val="Arial"/>
            <family val="2"/>
          </rPr>
          <t xml:space="preserve">GB /Gestion de projet client</t>
        </r>
      </text>
    </comment>
  </commentList>
</comments>
</file>

<file path=xl/comments40.xml><?xml version="1.0" encoding="utf-8"?>
<comments xmlns="http://schemas.openxmlformats.org/spreadsheetml/2006/main" xmlns:xdr="http://schemas.openxmlformats.org/drawingml/2006/spreadsheetDrawing">
  <authors>
    <author>Auteur inconnu</author>
  </authors>
  <commentList>
    <comment ref="N1" authorId="0">
      <text>
        <r>
          <rPr>
            <sz val="10"/>
            <rFont val="Arial"/>
            <family val="2"/>
          </rPr>
          <t xml:space="preserve">GB /Gestion de projet client</t>
        </r>
      </text>
    </comment>
    <comment ref="O1" authorId="0">
      <text>
        <r>
          <rPr>
            <sz val="10"/>
            <rFont val="Arial"/>
            <family val="2"/>
          </rPr>
          <t xml:space="preserve">RI / Analyse, revue et planification de projet</t>
        </r>
      </text>
    </comment>
    <comment ref="P1" authorId="0">
      <text>
        <r>
          <rPr>
            <sz val="10"/>
            <rFont val="Arial"/>
            <family val="2"/>
          </rPr>
          <t xml:space="preserve">FG /Analyse et réingienérie</t>
        </r>
      </text>
    </comment>
    <comment ref="Q1" authorId="0">
      <text>
        <r>
          <rPr>
            <sz val="10"/>
            <rFont val="Arial"/>
            <family val="2"/>
          </rPr>
          <t xml:space="preserve">PS / Preuve de concept</t>
        </r>
      </text>
    </comment>
    <comment ref="R1" authorId="0">
      <text>
        <r>
          <rPr>
            <sz val="10"/>
            <rFont val="Arial"/>
            <family val="2"/>
          </rPr>
          <t xml:space="preserve">TD / Temps de déplacement</t>
        </r>
      </text>
    </comment>
    <comment ref="S1" authorId="0">
      <text>
        <r>
          <rPr>
            <sz val="10"/>
            <rFont val="Arial"/>
            <family val="2"/>
          </rPr>
          <t xml:space="preserve">GB /Gestion de projet client</t>
        </r>
      </text>
    </comment>
  </commentList>
</comments>
</file>

<file path=xl/comments41.xml><?xml version="1.0" encoding="utf-8"?>
<comments xmlns="http://schemas.openxmlformats.org/spreadsheetml/2006/main" xmlns:xdr="http://schemas.openxmlformats.org/drawingml/2006/spreadsheetDrawing">
  <authors>
    <author>Auteur inconnu</author>
  </authors>
  <commentList>
    <comment ref="N1" authorId="0">
      <text>
        <r>
          <rPr>
            <sz val="10"/>
            <rFont val="Arial"/>
            <family val="2"/>
          </rPr>
          <t xml:space="preserve">GB /Gestion de projet client</t>
        </r>
      </text>
    </comment>
    <comment ref="O1" authorId="0">
      <text>
        <r>
          <rPr>
            <sz val="10"/>
            <rFont val="Arial"/>
            <family val="2"/>
          </rPr>
          <t xml:space="preserve">RI / Analyse, revue et planification de projet</t>
        </r>
      </text>
    </comment>
    <comment ref="P1" authorId="0">
      <text>
        <r>
          <rPr>
            <sz val="10"/>
            <rFont val="Arial"/>
            <family val="2"/>
          </rPr>
          <t xml:space="preserve">FG /Analyse et réingienérie</t>
        </r>
      </text>
    </comment>
    <comment ref="Q1" authorId="0">
      <text>
        <r>
          <rPr>
            <sz val="10"/>
            <rFont val="Arial"/>
            <family val="2"/>
          </rPr>
          <t xml:space="preserve">PS / Preuve de concept</t>
        </r>
      </text>
    </comment>
    <comment ref="R1" authorId="0">
      <text>
        <r>
          <rPr>
            <sz val="10"/>
            <rFont val="Arial"/>
            <family val="2"/>
          </rPr>
          <t xml:space="preserve">TD / Temps de déplacement</t>
        </r>
      </text>
    </comment>
    <comment ref="S1" authorId="0">
      <text>
        <r>
          <rPr>
            <sz val="10"/>
            <rFont val="Arial"/>
            <family val="2"/>
          </rPr>
          <t xml:space="preserve">GB /Gestion de projet client</t>
        </r>
      </text>
    </comment>
  </commentList>
</comments>
</file>

<file path=xl/comments42.xml><?xml version="1.0" encoding="utf-8"?>
<comments xmlns="http://schemas.openxmlformats.org/spreadsheetml/2006/main" xmlns:xdr="http://schemas.openxmlformats.org/drawingml/2006/spreadsheetDrawing">
  <authors>
    <author>Auteur inconnu</author>
  </authors>
  <commentList>
    <comment ref="N1" authorId="0">
      <text>
        <r>
          <rPr>
            <sz val="10"/>
            <rFont val="Arial"/>
            <family val="2"/>
          </rPr>
          <t xml:space="preserve">GB /Gestion de projet client</t>
        </r>
      </text>
    </comment>
    <comment ref="O1" authorId="0">
      <text>
        <r>
          <rPr>
            <sz val="10"/>
            <rFont val="Arial"/>
            <family val="2"/>
          </rPr>
          <t xml:space="preserve">RI / Analyse, revue et planification de projet</t>
        </r>
      </text>
    </comment>
    <comment ref="P1" authorId="0">
      <text>
        <r>
          <rPr>
            <sz val="10"/>
            <rFont val="Arial"/>
            <family val="2"/>
          </rPr>
          <t xml:space="preserve">FG /Analyse et réingienérie</t>
        </r>
      </text>
    </comment>
    <comment ref="Q1" authorId="0">
      <text>
        <r>
          <rPr>
            <sz val="10"/>
            <rFont val="Arial"/>
            <family val="2"/>
          </rPr>
          <t xml:space="preserve">PS / Preuve de concept</t>
        </r>
      </text>
    </comment>
    <comment ref="R1" authorId="0">
      <text>
        <r>
          <rPr>
            <sz val="10"/>
            <rFont val="Arial"/>
            <family val="2"/>
          </rPr>
          <t xml:space="preserve">TD / Temps de déplacement</t>
        </r>
      </text>
    </comment>
    <comment ref="S1" authorId="0">
      <text>
        <r>
          <rPr>
            <sz val="10"/>
            <rFont val="Arial"/>
            <family val="2"/>
          </rPr>
          <t xml:space="preserve">GB /Gestion de projet client</t>
        </r>
      </text>
    </comment>
  </commentList>
</comments>
</file>

<file path=xl/sharedStrings.xml><?xml version="1.0" encoding="utf-8"?>
<sst xmlns="http://schemas.openxmlformats.org/spreadsheetml/2006/main" count="9884" uniqueCount="717">
  <si>
    <t xml:space="preserve">Lundi</t>
  </si>
  <si>
    <t xml:space="preserve">Mardi</t>
  </si>
  <si>
    <t xml:space="preserve">Mercredi</t>
  </si>
  <si>
    <t xml:space="preserve">Jeudi</t>
  </si>
  <si>
    <t xml:space="preserve">Vendredi</t>
  </si>
  <si>
    <t xml:space="preserve">Samedi</t>
  </si>
  <si>
    <t xml:space="preserve">Dimanche</t>
  </si>
  <si>
    <t xml:space="preserve">O</t>
  </si>
  <si>
    <t xml:space="preserve">Date</t>
  </si>
  <si>
    <t xml:space="preserve">Jour</t>
  </si>
  <si>
    <t xml:space="preserve">Début</t>
  </si>
  <si>
    <t xml:space="preserve">Fin</t>
  </si>
  <si>
    <t xml:space="preserve">Client</t>
  </si>
  <si>
    <t xml:space="preserve">Tâche</t>
  </si>
  <si>
    <t xml:space="preserve">Description</t>
  </si>
  <si>
    <t xml:space="preserve">Description 2</t>
  </si>
  <si>
    <t xml:space="preserve">Durée</t>
  </si>
  <si>
    <t xml:space="preserve">hrs</t>
  </si>
  <si>
    <t xml:space="preserve">%</t>
  </si>
  <si>
    <t xml:space="preserve">GPF</t>
  </si>
  <si>
    <t xml:space="preserve">RI</t>
  </si>
  <si>
    <t xml:space="preserve">GB</t>
  </si>
  <si>
    <t xml:space="preserve">RD</t>
  </si>
  <si>
    <t xml:space="preserve">FG</t>
  </si>
  <si>
    <t xml:space="preserve">CONGÉ</t>
  </si>
  <si>
    <t xml:space="preserve">PS</t>
  </si>
  <si>
    <t xml:space="preserve">TD</t>
  </si>
  <si>
    <t xml:space="preserve">N/C</t>
  </si>
  <si>
    <t xml:space="preserve">W</t>
  </si>
  <si>
    <t xml:space="preserve">T</t>
  </si>
  <si>
    <t xml:space="preserve">Durée (60)2</t>
  </si>
  <si>
    <t xml:space="preserve">o</t>
  </si>
  <si>
    <t xml:space="preserve">FORGESTIK</t>
  </si>
  <si>
    <t xml:space="preserve">.</t>
  </si>
  <si>
    <t xml:space="preserve">HYPERTEC</t>
  </si>
  <si>
    <t xml:space="preserve">Appel avec</t>
  </si>
  <si>
    <t xml:space="preserve">Elhane et Francine</t>
  </si>
  <si>
    <t xml:space="preserve">RBF</t>
  </si>
  <si>
    <t xml:space="preserve">Étiquette client</t>
  </si>
  <si>
    <t xml:space="preserve">Création étiquette shipping avec liste d'articles</t>
  </si>
  <si>
    <t xml:space="preserve">copie BD VM </t>
  </si>
  <si>
    <t xml:space="preserve">DUER</t>
  </si>
  <si>
    <t xml:space="preserve">Billet</t>
  </si>
  <si>
    <t xml:space="preserve">T20250922.0054</t>
  </si>
  <si>
    <t xml:space="preserve">fichier imporation</t>
  </si>
  <si>
    <t xml:space="preserve">TENZO</t>
  </si>
  <si>
    <t xml:space="preserve">T20250923.0052 - réponse à Gérard</t>
  </si>
  <si>
    <t xml:space="preserve">COATICOOK</t>
  </si>
  <si>
    <t xml:space="preserve">Investigation</t>
  </si>
  <si>
    <t xml:space="preserve">Troubl Shot - Test scanneur pour quai n'est paas disponible</t>
  </si>
  <si>
    <t xml:space="preserve">Créer le UDF pour Liquide, granule, …connecter crystal à l'udf</t>
  </si>
  <si>
    <t xml:space="preserve">Déplacement chez le client</t>
  </si>
  <si>
    <t xml:space="preserve">RBF ST-Jérôme</t>
  </si>
  <si>
    <t xml:space="preserve">Formation PMX</t>
  </si>
  <si>
    <t xml:space="preserve">Rencontre sur place avec Christian,Geneviève, Brian, Francine</t>
  </si>
  <si>
    <t xml:space="preserve">Suivi de projet</t>
  </si>
  <si>
    <t xml:space="preserve">Avec David et Francine</t>
  </si>
  <si>
    <t xml:space="preserve">Clients</t>
  </si>
  <si>
    <t xml:space="preserve">Total</t>
  </si>
  <si>
    <t xml:space="preserve">AGENCE GRAVEL</t>
  </si>
  <si>
    <t xml:space="preserve">ZITTA</t>
  </si>
  <si>
    <t xml:space="preserve">EURODIB</t>
  </si>
  <si>
    <t xml:space="preserve">AREVA</t>
  </si>
  <si>
    <t xml:space="preserve">ATLANTIS POMPE</t>
  </si>
  <si>
    <t xml:space="preserve">BTRUST</t>
  </si>
  <si>
    <t xml:space="preserve">CARNOT</t>
  </si>
  <si>
    <t xml:space="preserve">CÉRAGRÈS</t>
  </si>
  <si>
    <t xml:space="preserve">DANFREIGHT</t>
  </si>
  <si>
    <t xml:space="preserve">DISSAN</t>
  </si>
  <si>
    <t xml:space="preserve">BORÉALE</t>
  </si>
  <si>
    <t xml:space="preserve">GPR - BELLEVILLE</t>
  </si>
  <si>
    <t xml:space="preserve">HRS</t>
  </si>
  <si>
    <t xml:space="preserve">iSpice</t>
  </si>
  <si>
    <t xml:space="preserve">KATHELEEN</t>
  </si>
  <si>
    <t xml:space="preserve">MONDOUX</t>
  </si>
  <si>
    <t xml:space="preserve">SUPREME ŒUF</t>
  </si>
  <si>
    <t xml:space="preserve">SALADEXPRESS</t>
  </si>
  <si>
    <t xml:space="preserve">SYNAGRI</t>
  </si>
  <si>
    <t xml:space="preserve">TOPRING</t>
  </si>
  <si>
    <t xml:space="preserve">TZANET</t>
  </si>
  <si>
    <t xml:space="preserve">VEGKISS</t>
  </si>
  <si>
    <t xml:space="preserve">ADC</t>
  </si>
  <si>
    <t xml:space="preserve">Année</t>
  </si>
  <si>
    <t xml:space="preserve">NumérosSemaine</t>
  </si>
  <si>
    <t xml:space="preserve">Jours</t>
  </si>
  <si>
    <t xml:space="preserve">Tâches</t>
  </si>
  <si>
    <t xml:space="preserve">   </t>
  </si>
  <si>
    <t xml:space="preserve">Test &amp; Doc.</t>
  </si>
  <si>
    <t xml:space="preserve">FG /Analyse et réingienérie</t>
  </si>
  <si>
    <t xml:space="preserve">Analyse fonctionnelle </t>
  </si>
  <si>
    <t xml:space="preserve">Installation PMX</t>
  </si>
  <si>
    <t xml:space="preserve">GB /Gestion de projet client</t>
  </si>
  <si>
    <t xml:space="preserve">Configuration PMX</t>
  </si>
  <si>
    <t xml:space="preserve">RD /Revue de Processus</t>
  </si>
  <si>
    <t xml:space="preserve">Autotask</t>
  </si>
  <si>
    <t xml:space="preserve">Formation Client</t>
  </si>
  <si>
    <t xml:space="preserve">RI / Analyse, revue et planification de projet</t>
  </si>
  <si>
    <t xml:space="preserve">TD / Temps de déplacement</t>
  </si>
  <si>
    <t xml:space="preserve">Courriel</t>
  </si>
  <si>
    <t xml:space="preserve">Formation SAP</t>
  </si>
  <si>
    <t xml:space="preserve">PS / Preuve de concept</t>
  </si>
  <si>
    <t xml:space="preserve">Développement</t>
  </si>
  <si>
    <t xml:space="preserve">Formation Générale</t>
  </si>
  <si>
    <t xml:space="preserve">EDI</t>
  </si>
  <si>
    <t xml:space="preserve">Shadow</t>
  </si>
  <si>
    <t xml:space="preserve">Étiquette</t>
  </si>
  <si>
    <t xml:space="preserve">Étiquette EDI</t>
  </si>
  <si>
    <t xml:space="preserve">Fichiers d'importation</t>
  </si>
  <si>
    <t xml:space="preserve">Formation</t>
  </si>
  <si>
    <t xml:space="preserve">Formation C#</t>
  </si>
  <si>
    <t xml:space="preserve">Formation PMX - Module</t>
  </si>
  <si>
    <t xml:space="preserve">Formation SAP -PMX</t>
  </si>
  <si>
    <t xml:space="preserve">Gestion de fichiers</t>
  </si>
  <si>
    <t xml:space="preserve">Importation</t>
  </si>
  <si>
    <t xml:space="preserve">Installation de Produmex</t>
  </si>
  <si>
    <t xml:space="preserve">Maladie</t>
  </si>
  <si>
    <t xml:space="preserve">Perso</t>
  </si>
  <si>
    <t xml:space="preserve">Préparation fichiers</t>
  </si>
  <si>
    <t xml:space="preserve">Preuve de concept</t>
  </si>
  <si>
    <t xml:space="preserve">Rencontre TEAMS avec client</t>
  </si>
  <si>
    <t xml:space="preserve">Réponse courriel</t>
  </si>
  <si>
    <t xml:space="preserve">Réunion OPS</t>
  </si>
  <si>
    <t xml:space="preserve">Révision BluePrint</t>
  </si>
  <si>
    <t xml:space="preserve">Révision document de formation</t>
  </si>
  <si>
    <t xml:space="preserve">Suivi projet post GoLive</t>
  </si>
  <si>
    <t xml:space="preserve">Support</t>
  </si>
  <si>
    <t xml:space="preserve">Support au test</t>
  </si>
  <si>
    <t xml:space="preserve">Temps repris</t>
  </si>
  <si>
    <t xml:space="preserve">Test</t>
  </si>
  <si>
    <t xml:space="preserve">Tests unitaires et documentation guide</t>
  </si>
  <si>
    <t xml:space="preserve">Vacances</t>
  </si>
  <si>
    <t xml:space="preserve">INTERNE Coaticook revue budget projet</t>
  </si>
  <si>
    <t xml:space="preserve">Francine - Étiquettes - Good receipt/Receiving SP</t>
  </si>
  <si>
    <t xml:space="preserve">tests impresions article en qté sur les étiquettes différentes</t>
  </si>
  <si>
    <t xml:space="preserve">Affichage sur scanneur - Quantité par défaut sur l'unité logistique de l'article - U_PMX_DQLU - modification WorkflowScript_ChecksScript</t>
  </si>
  <si>
    <t xml:space="preserve">Appel avec Christian, Genevive et Brian</t>
  </si>
  <si>
    <t xml:space="preserve">[Boyum Solutions A/S - 270899] Re: Issue when Receiving Returnable Items - tests et réponse à Tim - its not working properly</t>
  </si>
  <si>
    <t xml:space="preserve">T20250819.0016 - connexion sp -&gt; Crystal étiquette Good receipt</t>
  </si>
  <si>
    <t xml:space="preserve">Correction étiquette suite à l'appel avec Christian, …</t>
  </si>
  <si>
    <t xml:space="preserve">T20250819.0016 - SKU label-Receiving</t>
  </si>
  <si>
    <t xml:space="preserve">T20250819.0016 -Picking Label</t>
  </si>
  <si>
    <t xml:space="preserve">15:00 - T20250819.0016 -Picking Label</t>
  </si>
  <si>
    <t xml:space="preserve">Crystal - impression du nombre d'étiquettes</t>
  </si>
  <si>
    <t xml:space="preserve">18:30 - Modification - Étiquette SSCC</t>
  </si>
  <si>
    <t xml:space="preserve">RBF Montréal</t>
  </si>
  <si>
    <t xml:space="preserve">RBF Montréal </t>
  </si>
  <si>
    <t xml:space="preserve">T20250729.0009 - Installation dans Produmex des imprimantes Toshiba</t>
  </si>
  <si>
    <t xml:space="preserve">Table temporaire pour imprimer étiquette SSCC et Good receipt</t>
  </si>
  <si>
    <t xml:space="preserve">T20250819.0016 - Appel avec Michel et Francine</t>
  </si>
  <si>
    <t xml:space="preserve">17:30 - T20250819.0016 -Picking Label</t>
  </si>
  <si>
    <t xml:space="preserve">Vincent - Nathalie - Francine - Reda : Serveurs Produmex WMS</t>
  </si>
  <si>
    <t xml:space="preserve">Préparation Billet Boyum pour les articles consignable</t>
  </si>
  <si>
    <t xml:space="preserve">T20250915.0007 - Changer les  générateurs de LOG  de DEBUG à WARN sur les 21 serveurs. Modifier les générateurs de log file pour réduire le nombre d'écriture dans les fichiers. - 2 heures total / 6 minutes par serveurs</t>
  </si>
  <si>
    <t xml:space="preserve">Autotask - gestion fichiers</t>
  </si>
  <si>
    <t xml:space="preserve">Vantree</t>
  </si>
  <si>
    <t xml:space="preserve">item Label</t>
  </si>
  <si>
    <t xml:space="preserve">PMX version</t>
  </si>
  <si>
    <t xml:space="preserve">Fête du travail</t>
  </si>
  <si>
    <t xml:space="preserve">T20250729.0009 - Appel avec Dminic pour installation des Imprimantes dans le nouvel entrpot de Tellier</t>
  </si>
  <si>
    <t xml:space="preserve">article retournable</t>
  </si>
  <si>
    <t xml:space="preserve">Session de travail</t>
  </si>
  <si>
    <t xml:space="preserve">Article retournable</t>
  </si>
  <si>
    <t xml:space="preserve">Importation fichier ZoneTypeCode</t>
  </si>
  <si>
    <t xml:space="preserve">Installation de Visual Studion sur le serveur Forgestik</t>
  </si>
  <si>
    <t xml:space="preserve">Christian - Session de travail - Q&amp;R</t>
  </si>
  <si>
    <t xml:space="preserve">test barcode packing Type</t>
  </si>
  <si>
    <t xml:space="preserve">RBF - installation  Sonicwall et connexion sereur RBF</t>
  </si>
  <si>
    <t xml:space="preserve">download nouvelle version</t>
  </si>
  <si>
    <t xml:space="preserve">Backup des BD</t>
  </si>
  <si>
    <t xml:space="preserve">backup BD</t>
  </si>
  <si>
    <t xml:space="preserve">mise à jour de PMX ver 2025.06.03.0009</t>
  </si>
  <si>
    <t xml:space="preserve">Agence Gravel -&gt; AI</t>
  </si>
  <si>
    <t xml:space="preserve">Session de travail avec le client</t>
  </si>
  <si>
    <t xml:space="preserve">billet # T20250720.0005</t>
  </si>
  <si>
    <t xml:space="preserve">Print Event pour les numéros de SQ</t>
  </si>
  <si>
    <t xml:space="preserve">Print Event pour les numéros de SQ - création article pour tests réception SQ</t>
  </si>
  <si>
    <t xml:space="preserve">validation des zones et emplacements</t>
  </si>
  <si>
    <t xml:space="preserve">Rencontre avec François pour print event</t>
  </si>
  <si>
    <t xml:space="preserve">print event SQ</t>
  </si>
  <si>
    <t xml:space="preserve">Keven et Robert - Nouvel entrepôt</t>
  </si>
  <si>
    <t xml:space="preserve">création bat files pour scanneur de l'entrepôt Du Tremblay - test et courriel</t>
  </si>
  <si>
    <t xml:space="preserve">T20250731.0017 -finir l'installation de PMX - fichiers .bat - copies des vues et SP - installation de PMX sur RDS2  - vérification …</t>
  </si>
  <si>
    <t xml:space="preserve">finir l'installation de PMX - fichiers .bat - copies des vues et SP - installation de PMX sur RDS2  - vérification …</t>
  </si>
  <si>
    <t xml:space="preserve">installation de PMX sur RDS2</t>
  </si>
  <si>
    <t xml:space="preserve">RDV Hop. S.-C.</t>
  </si>
  <si>
    <t xml:space="preserve">T20250626.0046</t>
  </si>
  <si>
    <t xml:space="preserve">Relecture et correction du document de cross-dock</t>
  </si>
  <si>
    <t xml:space="preserve">Home Hardware - Modification SP et fichier Crystal, connexion du fichier Crystal à la BD - tests</t>
  </si>
  <si>
    <t xml:space="preserve">T20241024.0007 - Connexion et révision des impressions et des processus d'impression</t>
  </si>
  <si>
    <t xml:space="preserve">T20241024.0007 - Connexion et révision des impressions et des processus d'impressions des picking</t>
  </si>
  <si>
    <t xml:space="preserve">T20241024.0007 - Appel avec Michel et Francine pour modification sp</t>
  </si>
  <si>
    <t xml:space="preserve">T20241024.0007</t>
  </si>
  <si>
    <t xml:space="preserve">T20241024.0007  - tests - création des commande pour faire les tests - tests d'impressions avec plusieus scénarios de picking - courriel</t>
  </si>
  <si>
    <t xml:space="preserve">Test de connexion sur la BD Prod en prévisioin de l'instalation de PMX sur la BD PROD et préparation pour l'installation - Download - configuration du Suite Installer</t>
  </si>
  <si>
    <t xml:space="preserve">Module Production Modifié</t>
  </si>
  <si>
    <t xml:space="preserve">Home Hardware - Modification fichier Crystal</t>
  </si>
  <si>
    <t xml:space="preserve">T20250626.0046 - Étiquette articles - Ajustement suite au courriel de Nathalie - modification SP pour les 2 étiquettes modification des 2 Crystal ajout des sélections dans B1Up ajout du bouton pour l'étiquette 21/2  courriel réponse</t>
  </si>
  <si>
    <t xml:space="preserve">T20250626.0046 - Étiquette articles - Connexion pour voir les setting d'imprimante - investigation sur tous les serveurs pour l'imprimante ZT231 pièces - problème trouvé sur le serveur AVD2 - reconfiguré l'imprimante - réponse et eplication au courriel de Nathalie</t>
  </si>
  <si>
    <t xml:space="preserve">Installation de PMX sur la BD PROD et Update de PMX sur la BD TEST</t>
  </si>
  <si>
    <t xml:space="preserve">Copie des workflows dans la BD TEST et courriel</t>
  </si>
  <si>
    <t xml:space="preserve">T20250626.0046 - ajout d'un bouton B1UP pour impression en suite des étiquettes au format 8½x11</t>
  </si>
  <si>
    <t xml:space="preserve">-</t>
  </si>
  <si>
    <t xml:space="preserve">Congé perso (Congé)</t>
  </si>
  <si>
    <t xml:space="preserve">Fête du Canada</t>
  </si>
  <si>
    <t xml:space="preserve">Formation Perso</t>
  </si>
  <si>
    <t xml:space="preserve">C#</t>
  </si>
  <si>
    <t xml:space="preserve">Sur les nouveuax TS 13 @ 20</t>
  </si>
  <si>
    <t xml:space="preserve">Congé jpersonel (pas payé)</t>
  </si>
  <si>
    <t xml:space="preserve">T20250613.0023 - Copie fichiers sur le B1_SHF - Rediriger les connexions des fichiers Crystal vers le B1_SHF </t>
  </si>
  <si>
    <t xml:space="preserve">St-Jean</t>
  </si>
  <si>
    <t xml:space="preserve">T20250626.0046 - Étiquette articles - Création Crystal pour étiquettes imprimante Zebra</t>
  </si>
  <si>
    <t xml:space="preserve">T20250626.0046 - Étiquette articles</t>
  </si>
  <si>
    <t xml:space="preserve">Rencontre Teams</t>
  </si>
  <si>
    <t xml:space="preserve">T20250626.0046 - Étiquette articles - Création Crystal pour feuille 81/2x11 - 21 étiquettes pour imprimante bureau. </t>
  </si>
  <si>
    <t xml:space="preserve">T20250528.0033 - Crystal Eurodib  -  Correction Crystal et SP pour les documents de Transfert SAP et Produmex pour Eurodib</t>
  </si>
  <si>
    <t xml:space="preserve">T20250626.0046 - Étiquette articles - Ajustement Crystal pour feuille 81/2x11 - 21 étiquettes pour imprimante bureau. </t>
  </si>
  <si>
    <t xml:space="preserve">T20250626.0046 - Étiquette articles -bouton B1UP - modification étiquettes - courriel explicatif</t>
  </si>
  <si>
    <t xml:space="preserve">Version 2025.06.00 - Sur serveur Forgestik</t>
  </si>
  <si>
    <t xml:space="preserve">T20250528.0033 - Demande à Jacques pour le billet </t>
  </si>
  <si>
    <t xml:space="preserve"> récupation du numéro de Magasin</t>
  </si>
  <si>
    <t xml:space="preserve">Appel avec Francine pour la récupation du numéro de Magasin</t>
  </si>
  <si>
    <t xml:space="preserve"> récupation du numéro de Magasin et correction de l'étiquette</t>
  </si>
  <si>
    <t xml:space="preserve">correction document de transfert pour Eurodib</t>
  </si>
  <si>
    <t xml:space="preserve">correction document de transfert pour Eurodib 10h @ 10h30</t>
  </si>
  <si>
    <t xml:space="preserve">T20250613.0023 - Connexion - Sur le ServeurCloud de C4P- courriel Daniel</t>
  </si>
  <si>
    <t xml:space="preserve">T20250613.0023 - Simon B. pour les serveurs C4P </t>
  </si>
  <si>
    <t xml:space="preserve">T20250613.0023 - Connexion sur les serveurs avec Simon B.</t>
  </si>
  <si>
    <t xml:space="preserve">Document de transfert de Eurodib</t>
  </si>
  <si>
    <t xml:space="preserve">Appelle avec Keven - Entrepot Amazon</t>
  </si>
  <si>
    <t xml:space="preserve">T20250613.0023 - Sur le ServeurCloud de C4P</t>
  </si>
  <si>
    <t xml:space="preserve">Sur le ServeurCloud de C4P</t>
  </si>
  <si>
    <t xml:space="preserve">T20250613.0023 - Appelle avec Ian - Sur le ServeurCloud de C4P - Appelle avec Ian</t>
  </si>
  <si>
    <t xml:space="preserve">T20250613.0023 - Sur le ServeurCloud de C4P - bat files, Crystal comnnexion,  Appelle avec Simon, Courriel</t>
  </si>
  <si>
    <t xml:space="preserve">T20250613.0023 - appelle avec Jacques pour connexion et l'installation de B1UP sur le B1_share</t>
  </si>
  <si>
    <t xml:space="preserve">Billet  - T20241024.0007 - courriel explicatif</t>
  </si>
  <si>
    <t xml:space="preserve">Billet T20250610.0008 - Message d'erreur / Open Picklists</t>
  </si>
  <si>
    <t xml:space="preserve">Billet T20250610.0008 - Message d'erreur / Open Picklists - Appel avec Nathalie Lussier</t>
  </si>
  <si>
    <t xml:space="preserve">T20250609.0042 - connexion et réponse à Stéphanie</t>
  </si>
  <si>
    <t xml:space="preserve">T20250610.0008 - création du billet</t>
  </si>
  <si>
    <t xml:space="preserve">T20250528.0033 - connexion et courriel  demande d'information supplémentaire</t>
  </si>
  <si>
    <t xml:space="preserve">*** Billet  - T20241024.0007  - tests - création des commande pour faire les tests</t>
  </si>
  <si>
    <t xml:space="preserve">Test Touch avec la flèche de recule</t>
  </si>
  <si>
    <t xml:space="preserve">Module Production</t>
  </si>
  <si>
    <t xml:space="preserve">Atlantis: Revue plan GO Live migration SAP V10 + WMS</t>
  </si>
  <si>
    <t xml:space="preserve">T20250528.0033 réponse à Lucas</t>
  </si>
  <si>
    <t xml:space="preserve">Répondre courriel de Martin</t>
  </si>
  <si>
    <t xml:space="preserve">T20250528.0033 - Lucas courriel  - Document de Transfert chez Eurodib - problème de double la quantité sur le document</t>
  </si>
  <si>
    <t xml:space="preserve">Canadian Tire - tests</t>
  </si>
  <si>
    <t xml:space="preserve">Ordinateur ne démarre plus suite à une mise à jour de Windows</t>
  </si>
  <si>
    <t xml:space="preserve">GoLive Atlantis Pompe</t>
  </si>
  <si>
    <t xml:space="preserve">Semaine du :</t>
  </si>
  <si>
    <t xml:space="preserve">T20250528.0033 - courriel - tests</t>
  </si>
  <si>
    <t xml:space="preserve">Tentative de connexion sur le Serveur de Forgestik - Teams avec Simon</t>
  </si>
  <si>
    <t xml:space="preserve">T20250528.0029 - Courriel Demande d'informations</t>
  </si>
  <si>
    <t xml:space="preserve">T20250528.0029 - Analyse et test sur serveur Forgestik</t>
  </si>
  <si>
    <t xml:space="preserve">T20250528.0029</t>
  </si>
  <si>
    <t xml:space="preserve">RDV Médical</t>
  </si>
  <si>
    <t xml:space="preserve">T20250528.0029 - Investigation pour rèaliser la demande  - courriel explicatif à Roger</t>
  </si>
  <si>
    <t xml:space="preserve">Q&amp;R Tests Intégrés</t>
  </si>
  <si>
    <t xml:space="preserve">T20250528.0033 - courriel </t>
  </si>
  <si>
    <t xml:space="preserve">Billet  - T20241024.0007 - tests des modification de SP fait par Michel </t>
  </si>
  <si>
    <t xml:space="preserve">Princess Auto - échange de courriel avec Vantree</t>
  </si>
  <si>
    <t xml:space="preserve">Production</t>
  </si>
  <si>
    <t xml:space="preserve">Robot de prélèvement - TEAMS</t>
  </si>
  <si>
    <t xml:space="preserve">Princess Auto </t>
  </si>
  <si>
    <t xml:space="preserve">7:30 @ 8:30</t>
  </si>
  <si>
    <t xml:space="preserve">Billet  - T20241024.0007</t>
  </si>
  <si>
    <t xml:space="preserve">Soutien - repartir service de licence de PMX</t>
  </si>
  <si>
    <t xml:space="preserve">Soutien - fermeture d'une réception - Patrick</t>
  </si>
  <si>
    <t xml:space="preserve">Billet  - T20241024.0007 - modification de SP utilisé par Zitta</t>
  </si>
  <si>
    <t xml:space="preserve">Billet  - T20241024.0007 - changer la SP pour les étiqettes</t>
  </si>
  <si>
    <t xml:space="preserve">Soutien - fermetur d'une réception - Patrick</t>
  </si>
  <si>
    <t xml:space="preserve">Billet  - Problème avec des commandes de Costco lorsqu'il y a 2 utilisateurs en même temps -colliger les informations pour les envoyer à Boyum</t>
  </si>
  <si>
    <t xml:space="preserve">Billet  - Problème avec des commandes de Costco lorsqu'il y a 2 utilisateurs en même temps - Courriel</t>
  </si>
  <si>
    <t xml:space="preserve">8:00 @ 8:30</t>
  </si>
  <si>
    <t xml:space="preserve">Princess Auto - Modification étiquette - Courriel pour certification de SPS Commerce</t>
  </si>
  <si>
    <t xml:space="preserve">Princess Auto - Courriel pour certification de SPS Commerce</t>
  </si>
  <si>
    <t xml:space="preserve">T20250528.0033 - Investigation de la demande</t>
  </si>
  <si>
    <t xml:space="preserve">T20250528.0033 - modification du SP et Crystal -tests</t>
  </si>
  <si>
    <t xml:space="preserve">Demande à Vantree pour le champs Tracking Nummber dans DLN7</t>
  </si>
  <si>
    <t xml:space="preserve">T20250528.0033 - modification du SP et Crystal - tests</t>
  </si>
  <si>
    <t xml:space="preserve">Fête des Patriotes</t>
  </si>
  <si>
    <t xml:space="preserve">Réception - SP - Crystal</t>
  </si>
  <si>
    <t xml:space="preserve">Vantree - transfert bon de commande</t>
  </si>
  <si>
    <t xml:space="preserve">Gromec</t>
  </si>
  <si>
    <t xml:space="preserve">Réception - SP - Crystal -16:15</t>
  </si>
  <si>
    <t xml:space="preserve">Production - SP et Crystal</t>
  </si>
  <si>
    <t xml:space="preserve">Réception - SP - Crystal - courriel</t>
  </si>
  <si>
    <t xml:space="preserve">Expédition - SP - Cry</t>
  </si>
  <si>
    <t xml:space="preserve">Étiquette Réception # PO</t>
  </si>
  <si>
    <t xml:space="preserve">Session de travail Q&amp;R - TEAMS</t>
  </si>
  <si>
    <t xml:space="preserve">Atlantis - court point de suivi+ WMS</t>
  </si>
  <si>
    <t xml:space="preserve">Princess Auto - Commandes Vantree - Modification SP - Modification Crystal - Print Event - Testes</t>
  </si>
  <si>
    <t xml:space="preserve">Réponse courriel de Patrick pour le ASN</t>
  </si>
  <si>
    <t xml:space="preserve">Princess Auto - </t>
  </si>
  <si>
    <t xml:space="preserve">Test commandes pour les mesures boites - Princess Auto Commandes VantreePlusieurs scénarios avec plusieurs commandes différentes Testes</t>
  </si>
  <si>
    <t xml:space="preserve">Production - Crystal</t>
  </si>
  <si>
    <t xml:space="preserve">Test commandes pour les mesures boites - Princess Auto Commandes VantreePlusieurs scénarios avec plusieurs commandes différentes Testes - courriel</t>
  </si>
  <si>
    <t xml:space="preserve">Appel avec Martin pour le processus EDI - Prncess Auto</t>
  </si>
  <si>
    <t xml:space="preserve">Gestion fichiers</t>
  </si>
  <si>
    <t xml:space="preserve">Column2</t>
  </si>
  <si>
    <t xml:space="preserve">CONGÉ/FÉRIÉ/VAC./MALADIE</t>
  </si>
  <si>
    <t xml:space="preserve">Durée (60)</t>
  </si>
  <si>
    <t xml:space="preserve">37.21%</t>
  </si>
  <si>
    <t xml:space="preserve">4.65%</t>
  </si>
  <si>
    <t xml:space="preserve">20.93%</t>
  </si>
  <si>
    <t xml:space="preserve">0.00%</t>
  </si>
  <si>
    <t xml:space="preserve">37.21%2</t>
  </si>
  <si>
    <t xml:space="preserve">0.00%3</t>
  </si>
  <si>
    <t xml:space="preserve">0.00%4</t>
  </si>
  <si>
    <t xml:space="preserve">0.00%5</t>
  </si>
  <si>
    <t xml:space="preserve">Column1</t>
  </si>
  <si>
    <t xml:space="preserve">1- Lundi</t>
  </si>
  <si>
    <t xml:space="preserve">Autotask - Gestion de fichiers</t>
  </si>
  <si>
    <t xml:space="preserve">RD- 10 @ 10:30 FG</t>
  </si>
  <si>
    <t xml:space="preserve">Ajustement étiquette de réception</t>
  </si>
  <si>
    <t xml:space="preserve">rencontre avec le client pour la matière dangereuse</t>
  </si>
  <si>
    <t xml:space="preserve">Étiquette de réception</t>
  </si>
  <si>
    <t xml:space="preserve">SP pour étiquette réception</t>
  </si>
  <si>
    <t xml:space="preserve">2- Mardi</t>
  </si>
  <si>
    <t xml:space="preserve">Perso (maladie - hop SC)</t>
  </si>
  <si>
    <t xml:space="preserve">Étiquette de réception - courriel</t>
  </si>
  <si>
    <t xml:space="preserve">Suivi de projet interne - Révisions personnalisations &amp; Produmex avec Jessica, Joao, Guy, Francine (15h@16h ?)</t>
  </si>
  <si>
    <t xml:space="preserve">Étiquette de réception - courriel 16:15 @ 18:15</t>
  </si>
  <si>
    <t xml:space="preserve">3- Mercredi</t>
  </si>
  <si>
    <t xml:space="preserve">Révision et correction Guide Ventes</t>
  </si>
  <si>
    <t xml:space="preserve">Aide Sofiane</t>
  </si>
  <si>
    <t xml:space="preserve">Gromec: Revue plan GO Live migration SAP V10 + WMS</t>
  </si>
  <si>
    <t xml:space="preserve">Étiquette de réception - correctio suite au courriel de Martin</t>
  </si>
  <si>
    <t xml:space="preserve">Formation PMX - Module Ventes preuve de concept 13h @14h45</t>
  </si>
  <si>
    <t xml:space="preserve">Étiquette SSCC</t>
  </si>
  <si>
    <t xml:space="preserve">RD - Étiquette SSCC 17h @ 18h</t>
  </si>
  <si>
    <t xml:space="preserve">4- Jeudi</t>
  </si>
  <si>
    <t xml:space="preserve">Formation PMX - Module Ventes</t>
  </si>
  <si>
    <t xml:space="preserve">GB - 10 @ 10:30</t>
  </si>
  <si>
    <t xml:space="preserve">5- Vendredi</t>
  </si>
  <si>
    <t xml:space="preserve">RD - 8h @10h</t>
  </si>
  <si>
    <t xml:space="preserve">GB - 10:30 @11h</t>
  </si>
  <si>
    <t xml:space="preserve">RD - 13h @ 14h30</t>
  </si>
  <si>
    <t xml:space="preserve">RD - 14h @ 17h</t>
  </si>
  <si>
    <t xml:space="preserve">Gromec - GoLive / installation de PMX sur la BD TEST</t>
  </si>
  <si>
    <t xml:space="preserve">6- Samedi</t>
  </si>
  <si>
    <t xml:space="preserve">Tentative de connexion avec le user Forgestik 7:15 @ 7:45</t>
  </si>
  <si>
    <t xml:space="preserve">Tentatives de connexion sur les serveurs 7:30 @ 8</t>
  </si>
  <si>
    <t xml:space="preserve">Commandes matière dangereuse</t>
  </si>
  <si>
    <t xml:space="preserve">Billet T20250429.0039 - Suivi de projet</t>
  </si>
  <si>
    <t xml:space="preserve">Appel avec JS pour la matière dangereuse</t>
  </si>
  <si>
    <t xml:space="preserve">Gromec - Production chez Gromec</t>
  </si>
  <si>
    <t xml:space="preserve">Installation de Produmex sur le serveur SRVREMOTE - appel avec Martin</t>
  </si>
  <si>
    <t xml:space="preserve">Préparation Go-Live - vers BD test</t>
  </si>
  <si>
    <t xml:space="preserve">Personaliser étiquettes</t>
  </si>
  <si>
    <t xml:space="preserve">SP  modification SP</t>
  </si>
  <si>
    <t xml:space="preserve">Étiquette d'expédition - crystal et tests </t>
  </si>
  <si>
    <t xml:space="preserve">Formation PMX - Logistique (suite ) &amp; Ventes</t>
  </si>
  <si>
    <t xml:space="preserve">Étiquette d'expédition - progammation SP pour afficher plus de un articles et lots sur l'étiquette - avec Francine</t>
  </si>
  <si>
    <t xml:space="preserve">Modification étiquette Expédition pour afficher les articles différents et plusieurs lots</t>
  </si>
  <si>
    <t xml:space="preserve">Étiquette expédition</t>
  </si>
  <si>
    <t xml:space="preserve">Billet T20250429.0039 - Support - Rencontre avec le client - </t>
  </si>
  <si>
    <t xml:space="preserve">Installation PMX sur les serveurs  TS05 @ TS11</t>
  </si>
  <si>
    <t xml:space="preserve">Problème Licence sur le serveur de l'environnement de PMX</t>
  </si>
  <si>
    <t xml:space="preserve">Ajustement étiquette SSCC - réduire image</t>
  </si>
  <si>
    <t xml:space="preserve">Moyenne :</t>
  </si>
  <si>
    <t xml:space="preserve">KATHELEEN NEGOCIANT</t>
  </si>
  <si>
    <t xml:space="preserve">NUTRI / SUPREME ŒUF</t>
  </si>
  <si>
    <t xml:space="preserve">Durée (100)</t>
  </si>
  <si>
    <t xml:space="preserve">hrs (100)</t>
  </si>
  <si>
    <t xml:space="preserve">Tests unitaires et documentation guide Ventes</t>
  </si>
  <si>
    <t xml:space="preserve">ATLANTIS/GROMEC - Q&amp;R / N/C - 15:00 @ 16:30</t>
  </si>
  <si>
    <t xml:space="preserve">Relecture Doc ventes</t>
  </si>
  <si>
    <t xml:space="preserve">Rencontre Teams avec Nathalie, Jacques, Daniel, Francine</t>
  </si>
  <si>
    <t xml:space="preserve">Installation PMX serveur ts03</t>
  </si>
  <si>
    <t xml:space="preserve">EDI - Rona - courriel Chriatian</t>
  </si>
  <si>
    <t xml:space="preserve">Installation PMX serveur ts04</t>
  </si>
  <si>
    <t xml:space="preserve">Relecture Doc Logistique</t>
  </si>
  <si>
    <t xml:space="preserve">Formation PMX - Logistique</t>
  </si>
  <si>
    <t xml:space="preserve">Rencontre Teams avec Joao et Francine - Problème packing</t>
  </si>
  <si>
    <t xml:space="preserve">Suivi de projet - Gromec: Préparation GO Live migration SAP V10 + WMS</t>
  </si>
  <si>
    <t xml:space="preserve">Banque : </t>
  </si>
  <si>
    <t xml:space="preserve">GP</t>
  </si>
  <si>
    <t xml:space="preserve">GP / SP</t>
  </si>
  <si>
    <t xml:space="preserve">BILLET</t>
  </si>
  <si>
    <t xml:space="preserve">7- Dimanche</t>
  </si>
  <si>
    <t xml:space="preserve">GP /SP</t>
  </si>
  <si>
    <t xml:space="preserve">Forgestik - WMS - DD-SRV-WMS</t>
  </si>
  <si>
    <t xml:space="preserve">Banque d'heures FGK</t>
  </si>
  <si>
    <t xml:space="preserve">Temps</t>
  </si>
  <si>
    <t xml:space="preserve">00/00/2024</t>
  </si>
  <si>
    <t xml:space="preserve">26/07/2024</t>
  </si>
  <si>
    <t xml:space="preserve">Ajustement 2024</t>
  </si>
  <si>
    <t xml:space="preserve">26/06/2023</t>
  </si>
  <si>
    <t xml:space="preserve">24/07/2023</t>
  </si>
  <si>
    <t xml:space="preserve">07/08/2023</t>
  </si>
  <si>
    <t xml:space="preserve">14/08/2023</t>
  </si>
  <si>
    <t xml:space="preserve">10/09/2023</t>
  </si>
  <si>
    <t xml:space="preserve">17/09/2023</t>
  </si>
  <si>
    <t xml:space="preserve">27/11/2023</t>
  </si>
  <si>
    <t xml:space="preserve">17/12/2023</t>
  </si>
  <si>
    <t xml:space="preserve">24/12/2023</t>
  </si>
  <si>
    <t xml:space="preserve">GP / Formation Client</t>
  </si>
  <si>
    <t xml:space="preserve">GP / Soutient Client</t>
  </si>
  <si>
    <t xml:space="preserve">GP / Suivi de projet</t>
  </si>
  <si>
    <t xml:space="preserve">Sam. / Dim.</t>
  </si>
  <si>
    <t xml:space="preserve">Notes</t>
  </si>
  <si>
    <t xml:space="preserve">c</t>
  </si>
  <si>
    <t xml:space="preserve"> </t>
  </si>
  <si>
    <t xml:space="preserve">Tests unitaires et documentation Ventes</t>
  </si>
  <si>
    <t xml:space="preserve">ATLANTIS/GROMEC - Q&amp;R</t>
  </si>
  <si>
    <t xml:space="preserve">N/C - 15:00 @ 16:30</t>
  </si>
  <si>
    <t xml:space="preserve">GP / FG_Client</t>
  </si>
  <si>
    <t xml:space="preserve">Guide Ventes</t>
  </si>
  <si>
    <t xml:space="preserve">Suivi de projet -  Vantree/Forgestik - rencontre avec Martin et l'équipe de Vantree pour le suivi du EDI</t>
  </si>
  <si>
    <t xml:space="preserve">Formation PMX - Module Achats</t>
  </si>
  <si>
    <t xml:space="preserve">Courriel Keven - Problème connexion Patrick Supple</t>
  </si>
  <si>
    <t xml:space="preserve">Guide Logistique</t>
  </si>
  <si>
    <t xml:space="preserve">Formation PMX + Q&amp;R</t>
  </si>
  <si>
    <t xml:space="preserve">Évaluation de performance avec Daniel D. et Gabrielle</t>
  </si>
  <si>
    <t xml:space="preserve">Déplacement chez Atlantis Pompe</t>
  </si>
  <si>
    <t xml:space="preserve">Visite sur place</t>
  </si>
  <si>
    <t xml:space="preserve">Déplacement chez Agence Gravel</t>
  </si>
  <si>
    <t xml:space="preserve">Retour </t>
  </si>
  <si>
    <t xml:space="preserve">Congé de Pâques</t>
  </si>
  <si>
    <t xml:space="preserve">GROMEC - Remove SSCC - Tests sur BD de GROMEC et copie sur tous les serveurs </t>
  </si>
  <si>
    <t xml:space="preserve">.5h N/C en RD</t>
  </si>
  <si>
    <t xml:space="preserve">Étiquette Princess Auto - SP de HANA à SQL</t>
  </si>
  <si>
    <t xml:space="preserve">Étiquette Canadian Tire - SP de HANA à SQL</t>
  </si>
  <si>
    <t xml:space="preserve">Suivi de projet - Réunion avec Nathalie et Francine</t>
  </si>
  <si>
    <t xml:space="preserve">Formation PMX - Support Tests intégrés</t>
  </si>
  <si>
    <t xml:space="preserve">Étiquette CABELA SP + Crystal</t>
  </si>
  <si>
    <t xml:space="preserve">Copie SP et Crystal - EDI</t>
  </si>
  <si>
    <t xml:space="preserve">8 @ 9:30</t>
  </si>
  <si>
    <t xml:space="preserve">9 @11</t>
  </si>
  <si>
    <t xml:space="preserve">Tests unitaire</t>
  </si>
  <si>
    <t xml:space="preserve">Formation PMX - Fonctionnalités avancées</t>
  </si>
  <si>
    <t xml:space="preserve">Courriel Annick résolution des écrans des scanneurs</t>
  </si>
  <si>
    <t xml:space="preserve">Formation PMX - Module logistique</t>
  </si>
  <si>
    <t xml:space="preserve">doc logistique</t>
  </si>
  <si>
    <t xml:space="preserve">Appel avecJoao - imp - </t>
  </si>
  <si>
    <t xml:space="preserve">doc logistique - ajout du bouton changement de qualité dans le workflow du scanneur - </t>
  </si>
  <si>
    <t xml:space="preserve">Vérification des rapports pour tests clients</t>
  </si>
  <si>
    <t xml:space="preserve">Ajout Entrepots Transit - Courriel - magasin </t>
  </si>
  <si>
    <t xml:space="preserve">revision du budget compte tenu de Gromec</t>
  </si>
  <si>
    <t xml:space="preserve">???</t>
  </si>
  <si>
    <t xml:space="preserve">GROMEC - Tests unitaires pour la Logistique</t>
  </si>
  <si>
    <t xml:space="preserve">Guide Achats / Tests unitaires</t>
  </si>
  <si>
    <t xml:space="preserve">Révision Guide Ventes Atlantis</t>
  </si>
  <si>
    <t xml:space="preserve">Formation PMX - Logistique (non chageable)</t>
  </si>
  <si>
    <t xml:space="preserve">Non chargeable 11:15</t>
  </si>
  <si>
    <t xml:space="preserve">Appel avec Christian - courriel</t>
  </si>
  <si>
    <t xml:space="preserve">Rencontre avec Joao pour la visite chez HRS - Produmex WMS</t>
  </si>
  <si>
    <t xml:space="preserve">Importation barcode - UoM - Ajout entrepots Transit - Courriels</t>
  </si>
  <si>
    <t xml:space="preserve">Nutri / HRS </t>
  </si>
  <si>
    <t xml:space="preserve">GROMEC - Tests unitaires pour la Vente</t>
  </si>
  <si>
    <t xml:space="preserve">Non chargeable</t>
  </si>
  <si>
    <t xml:space="preserve">T20250402.0058  - Appel avec Joao - Barcode (inner pack/master pack) - problème packing avec le module d'emballage</t>
  </si>
  <si>
    <t xml:space="preserve">Installation PMX sur TS12</t>
  </si>
  <si>
    <t xml:space="preserve">T20250402.0058  - Appel avec Joao - problème packing avec le module d'emballage - imprimante</t>
  </si>
  <si>
    <t xml:space="preserve">Dépanner fermer session de SébastieCourriel Benoit</t>
  </si>
  <si>
    <t xml:space="preserve">T20241205.0033 - Connexion Robot dans BD TEST - courriel Keven</t>
  </si>
  <si>
    <t xml:space="preserve">Révision Guide Achats</t>
  </si>
  <si>
    <t xml:space="preserve">Étiquette HomeHarware - création de l'étiquette Crystal</t>
  </si>
  <si>
    <t xml:space="preserve">Étiquette HomeHarware</t>
  </si>
  <si>
    <t xml:space="preserve">GPR Réunion avec J, N, F - WMS --&gt; passation à Enoc + Philippe</t>
  </si>
  <si>
    <t xml:space="preserve">Étiquette EDI HomeHardware RBF - création de la SP avec Francine</t>
  </si>
  <si>
    <t xml:space="preserve">Étiquette EDI HomeHarware - Modification SP</t>
  </si>
  <si>
    <t xml:space="preserve">Formaliser la SP EDI pour les palettes</t>
  </si>
  <si>
    <t xml:space="preserve">SP Étiquette Crysta 2h Princess auto / Cabela 1h</t>
  </si>
  <si>
    <t xml:space="preserve">Gromec - Guide Achats et test unitaire / Flow script scanneur</t>
  </si>
  <si>
    <t xml:space="preserve">GROMEC - Flow script scanneurs - Tests</t>
  </si>
  <si>
    <t xml:space="preserve">Atlantis / Gromec - Remove SSCC tests - Configs</t>
  </si>
  <si>
    <t xml:space="preserve">Remove SSCC TESTS problèmes - trouvé SQL et HANA</t>
  </si>
  <si>
    <t xml:space="preserve">Modification work flow pour les scanneurs, modification fiche Article pour enlever les SSCC à la réception</t>
  </si>
  <si>
    <t xml:space="preserve">Gromec - Configs étiquttes article</t>
  </si>
  <si>
    <t xml:space="preserve">Formation PMX - Module Logistique 2</t>
  </si>
  <si>
    <t xml:space="preserve">Gromec - Guide Achats et test unitaire / Flow script / Remove SSCC / copie fichiers de configurations pour les Tools</t>
  </si>
  <si>
    <t xml:space="preserve">Gromec - Modif Configs PMX</t>
  </si>
  <si>
    <t xml:space="preserve">Gromec - Guide Achats et test unitaire / Flow script / Remove SSCC GROMEC et ATLANTIS / copie fichiers de configurations pour les Tools</t>
  </si>
  <si>
    <t xml:space="preserve">Gromec - Guide Logistique - tests unitaires</t>
  </si>
  <si>
    <t xml:space="preserve">Vérification de la connexion de l'émulateur de scanneur pour Martin - Appel avec Martin</t>
  </si>
  <si>
    <t xml:space="preserve">Importation des stock avec numéros de Lots Bidon 192 vers 190</t>
  </si>
  <si>
    <t xml:space="preserve">Configuration PMX avec le document des devoirs / Connexion du fichier Crystal étiquette article et étiquette articles</t>
  </si>
  <si>
    <t xml:space="preserve">Finalisation inventaire de 192 à 190 - UPDATE 4 zéros dans PMX</t>
  </si>
  <si>
    <t xml:space="preserve">Étiquette Cabela</t>
  </si>
  <si>
    <t xml:space="preserve">Gromec - Configs PMX</t>
  </si>
  <si>
    <t xml:space="preserve">Importation de 192 à 190 Inventaire avec numéro de Lots </t>
  </si>
  <si>
    <t xml:space="preserve">Courriel Geneviève Sauvé articles SHL/ADI - Is Fixed Item</t>
  </si>
  <si>
    <t xml:space="preserve">Importation de 192 à 190 Inventaire avec numéro de Lots / retirer les articles avec le Lot david en minuscule</t>
  </si>
  <si>
    <t xml:space="preserve">Formation PMX : Fonctionnalités avancées</t>
  </si>
  <si>
    <t xml:space="preserve">Extraction Barcode - vérification des doublons</t>
  </si>
  <si>
    <t xml:space="preserve">Demande à Joao pour retirer le stock sans Lots et le remettre en stock avec Lot - dans les entrpots non gérer PMX faut que le lot soit automaquement  </t>
  </si>
  <si>
    <t xml:space="preserve">pour les magasins non gérés par PMX faudrait trouver une façon que le lot soit automatiquement associé aux articles</t>
  </si>
  <si>
    <t xml:space="preserve">Révision Guide Logistique</t>
  </si>
  <si>
    <t xml:space="preserve">8 @ 8:30</t>
  </si>
  <si>
    <t xml:space="preserve">Configuration scanneur scan02 </t>
  </si>
  <si>
    <t xml:space="preserve">Formation PMX - Module Logistique</t>
  </si>
  <si>
    <t xml:space="preserve">Suivi du courriel de Christian - Correction BIN et …</t>
  </si>
  <si>
    <t xml:space="preserve">Eurodib</t>
  </si>
  <si>
    <t xml:space="preserve">Fichier pour importation articles non gérés par lot </t>
  </si>
  <si>
    <t xml:space="preserve">Importation Articles sans Lots rencontre avec Joao</t>
  </si>
  <si>
    <t xml:space="preserve">Activation de RSP - désinstallation et réinstallation RSP</t>
  </si>
  <si>
    <t xml:space="preserve">T20250326.0033 - Robot ne fonctionne pas sur le serveur AVD0 </t>
  </si>
  <si>
    <t xml:space="preserve">connexion sur le serveur de Atlantis dirigé sur le TS02 investigation test et courriel</t>
  </si>
  <si>
    <t xml:space="preserve">Réponse BZ pour le serveur TS02 - courriel</t>
  </si>
  <si>
    <t xml:space="preserve">Document Matière dangereuse</t>
  </si>
  <si>
    <t xml:space="preserve">Gestion par lot - Teams avec Joao</t>
  </si>
  <si>
    <t xml:space="preserve">Tranfert des articles avec lots bidon de 192 à 190</t>
  </si>
  <si>
    <t xml:space="preserve">déplacements ad hoc avec produmex</t>
  </si>
  <si>
    <t xml:space="preserve">Rencontre avec Jacques pour l'importation des articles avec numéros de séries et importation avec la génération des numéros de SQ</t>
  </si>
  <si>
    <t xml:space="preserve">Suivi de projet post GoLive</t>
  </si>
  <si>
    <t xml:space="preserve">Rencontre avec BZ - Maxime - pour le TS02</t>
  </si>
  <si>
    <t xml:space="preserve">Investigation et correction  pour la connexion des scanneurs pour Gromec sur le TS02</t>
  </si>
  <si>
    <t xml:space="preserve">Préparation Inventaire initial - Joao</t>
  </si>
  <si>
    <t xml:space="preserve">Connexion étiquettes Crystal aux SP</t>
  </si>
  <si>
    <t xml:space="preserve">Inventaire initial avec Joao</t>
  </si>
  <si>
    <t xml:space="preserve">Inventaire initial - Extraction pour création fichier</t>
  </si>
  <si>
    <t xml:space="preserve">Inventaire initial - Extraction pour création fichier - INV 192</t>
  </si>
  <si>
    <t xml:space="preserve">Importation fichier Geneviève - extraction de données de la BD</t>
  </si>
  <si>
    <t xml:space="preserve">Répose courriel de Sylvain, Jacques pour problèmes de scan08</t>
  </si>
  <si>
    <t xml:space="preserve">Ajout de Requete SQL</t>
  </si>
  <si>
    <t xml:space="preserve">Suivi de projet - passage au support</t>
  </si>
  <si>
    <t xml:space="preserve">Ajout des requetes sql</t>
  </si>
  <si>
    <t xml:space="preserve">Importation - préparation fichier - extraction données de la BD - </t>
  </si>
  <si>
    <t xml:space="preserve">Révision Guide achats</t>
  </si>
  <si>
    <t xml:space="preserve">PMX</t>
  </si>
  <si>
    <t xml:space="preserve">Formation PMX - Achats</t>
  </si>
  <si>
    <t xml:space="preserve">Préparation pour le transfert du stock du 192 vers 190</t>
  </si>
  <si>
    <t xml:space="preserve">GROMEC - Connexion étiquettes Crystal aux SP</t>
  </si>
  <si>
    <t xml:space="preserve">T20250320.0026 - Problème Andrew / SHOW vs </t>
  </si>
  <si>
    <t xml:space="preserve">Réponse courriel Martin pour les scanneurs</t>
  </si>
  <si>
    <t xml:space="preserve">Courriel / Extraction données pour les articles en lot pour le 192</t>
  </si>
  <si>
    <t xml:space="preserve">importation entrepot 192</t>
  </si>
  <si>
    <t xml:space="preserve">importation entrepot 192 vers 190</t>
  </si>
  <si>
    <t xml:space="preserve">Rencontre Teams avec Christian et Brian pour importation min/max MTL</t>
  </si>
  <si>
    <t xml:space="preserve">Révision du BluePrint pour GROMEC</t>
  </si>
  <si>
    <t xml:space="preserve">Installation PMX sur la BD de Gromec - config de base (.bat ...) 15h15 inst. PMX - split les fichiers ATLANTIS/GROMEC</t>
  </si>
  <si>
    <t xml:space="preserve">ATLANTIS/GROMEC - Formation fonctionnalités avancés 8h@10h</t>
  </si>
  <si>
    <t xml:space="preserve">Préparation fichierpour imprtation MTL</t>
  </si>
  <si>
    <t xml:space="preserve">Finalisation pour le TS01 - </t>
  </si>
  <si>
    <t xml:space="preserve">importation min/max MTL</t>
  </si>
  <si>
    <t xml:space="preserve">Préparation fichier pour Christian</t>
  </si>
  <si>
    <t xml:space="preserve">Connexion Mylène à PMX</t>
  </si>
  <si>
    <t xml:space="preserve">Importation des Zone Item</t>
  </si>
  <si>
    <t xml:space="preserve">Comparaison Fichier VS BD</t>
  </si>
  <si>
    <t xml:space="preserve">Gromec - Config la OSE et paramètres</t>
  </si>
  <si>
    <t xml:space="preserve">Correction suite courriel Brian et correction du fichier - courriel</t>
  </si>
  <si>
    <t xml:space="preserve">Révision blueprint</t>
  </si>
  <si>
    <t xml:space="preserve">Test de connexion avec le fichier d'importation / Préparation fichier pour importation articles</t>
  </si>
  <si>
    <t xml:space="preserve">Fichier export et courriel</t>
  </si>
  <si>
    <t xml:space="preserve">Courriel pour les Max/Min/Rep</t>
  </si>
  <si>
    <t xml:space="preserve">Courriel </t>
  </si>
  <si>
    <t xml:space="preserve">Extraction échantillons d'articles pour test</t>
  </si>
  <si>
    <t xml:space="preserve">Billet :  -Installation PMX sur BD PROD </t>
  </si>
  <si>
    <t xml:space="preserve">Analyse fonctionnelle - Production (Atelier)</t>
  </si>
  <si>
    <t xml:space="preserve">T20250303.0024 - Courriels et questions sur le billet - mode CUST pour les scanneurs</t>
  </si>
  <si>
    <t xml:space="preserve">Importation - investigation fichier import bin et importations</t>
  </si>
  <si>
    <t xml:space="preserve">T20250303.0024 - Ajouter le fichier .bat avec le /cust - copier le fichier sur les 2 serveur et la filière de partage - test - réponse à S. Cartier via billet</t>
  </si>
  <si>
    <t xml:space="preserve">T20250303.0024 - Mettre le Debug - demander via Teams de refaire test avec le scanneur</t>
  </si>
  <si>
    <t xml:space="preserve">T20250303.0024 - Épluché le fichier de log pour investigation du problème</t>
  </si>
  <si>
    <t xml:space="preserve">Importation import bin </t>
  </si>
  <si>
    <t xml:space="preserve">Révision blueprint avec le client</t>
  </si>
  <si>
    <t xml:space="preserve">Importation - investigation fichier import bin et importations Zones et emplacements</t>
  </si>
  <si>
    <t xml:space="preserve">Courriel pour avoir les infos de quais</t>
  </si>
  <si>
    <t xml:space="preserve">Importation import bin 19 - appel et courriel avec Christian</t>
  </si>
  <si>
    <t xml:space="preserve">Importations et questions</t>
  </si>
  <si>
    <t xml:space="preserve">Courriel Dominique</t>
  </si>
  <si>
    <t xml:space="preserve">Connexion BD Prod pour installation de PMX - appel ave Simon B.</t>
  </si>
  <si>
    <t xml:space="preserve">Atlantis</t>
  </si>
  <si>
    <t xml:space="preserve">Préparation</t>
  </si>
  <si>
    <t xml:space="preserve">Importation Zone - Emplacements</t>
  </si>
  <si>
    <t xml:space="preserve">Configuration et tests</t>
  </si>
  <si>
    <t xml:space="preserve">Investigation pour voir pk pas de quais dans scanneur - ajout de fichiers bat dans le launch</t>
  </si>
  <si>
    <t xml:space="preserve">Préparation installation PMX sur le serveur VM-PROD-B1int : 10.194.1.12 </t>
  </si>
  <si>
    <t xml:space="preserve">importation Zone 19 pour STJ et importation MTL</t>
  </si>
  <si>
    <t xml:space="preserve">connexion serveur licence </t>
  </si>
  <si>
    <t xml:space="preserve">connexion serveur licence - aide de Simon</t>
  </si>
  <si>
    <t xml:space="preserve">Installation PMX sur la BD Prod - Gromec 8:30 @ 10</t>
  </si>
  <si>
    <t xml:space="preserve">Installation PMX sur la BD Prod - Gromec 10:15 @ 11:45 - courriel</t>
  </si>
  <si>
    <t xml:space="preserve">Importation MTL - Courriel</t>
  </si>
  <si>
    <t xml:space="preserve"> Analyse fonctionnelle - Révision blueprint</t>
  </si>
  <si>
    <t xml:space="preserve">Connexion fichiers bat vers les bonnes BD</t>
  </si>
  <si>
    <t xml:space="preserve">Révision des dichiers d'importation et devoirs</t>
  </si>
  <si>
    <t xml:space="preserve">Révision et ajustement OSE PMX</t>
  </si>
  <si>
    <t xml:space="preserve">EDI Crystal et SP CTIRE et PAUTO</t>
  </si>
  <si>
    <t xml:space="preserve">Appel avec Sofiane - Répartition du temps de connexion au système et transfert de connaissances</t>
  </si>
  <si>
    <t xml:space="preserve">Config selon le Blue Print</t>
  </si>
  <si>
    <t xml:space="preserve">Étiquettes de base + connexion SP</t>
  </si>
  <si>
    <t xml:space="preserve">Devoirs - configs PMX </t>
  </si>
  <si>
    <t xml:space="preserve">Étiquettes de base Connexion SP des étiquettes</t>
  </si>
  <si>
    <t xml:space="preserve">Validation des configurations PMX</t>
  </si>
  <si>
    <t xml:space="preserve">GROMEC - Analyse fonctionnelle #1</t>
  </si>
  <si>
    <t xml:space="preserve">Préparation fichier d'importation STJ et MTL</t>
  </si>
  <si>
    <t xml:space="preserve">Suivi Post Go Live</t>
  </si>
  <si>
    <t xml:space="preserve">Préparation fichier d'importation STJ et MTL - validation des données - extraction de données de la BD TEST - comparaison des données - préparation pour importations</t>
  </si>
  <si>
    <t xml:space="preserve">Fichiers devoirs</t>
  </si>
  <si>
    <t xml:space="preserve">Fichiers devoirs et courriel (Marco, Martin) pour le magasin principal</t>
  </si>
  <si>
    <t xml:space="preserve">Matière dangereuse</t>
  </si>
  <si>
    <t xml:space="preserve">Étiquette Princess Auto</t>
  </si>
  <si>
    <t xml:space="preserve">Appel avec Francine et JS modification du PostNotificationListener pour les information de Vantree - EDI</t>
  </si>
  <si>
    <t xml:space="preserve">Appel avec JS matière dangereuse</t>
  </si>
  <si>
    <t xml:space="preserve">Modification PostNotification</t>
  </si>
  <si>
    <t xml:space="preserve">Finalisation BluePrint - Rencontre analyse fonctionnelle - S3</t>
  </si>
  <si>
    <t xml:space="preserve">Test connexion</t>
  </si>
  <si>
    <t xml:space="preserve">Transfert de connaissance Produmex WMS avec Sofiane</t>
  </si>
  <si>
    <t xml:space="preserve">Courriel Vantree (Momen) pour le ASNBUILDER pour les infos de DLN7</t>
  </si>
  <si>
    <t xml:space="preserve">Révision Blue Print</t>
  </si>
  <si>
    <t xml:space="preserve">CompuTec Product's Training for Forgestik - S2</t>
  </si>
  <si>
    <t xml:space="preserve">Process Force</t>
  </si>
  <si>
    <t xml:space="preserve">EMPLACEMENTS PAR DÉFAULT X3</t>
  </si>
  <si>
    <t xml:space="preserve">AG Preuve de concept</t>
  </si>
  <si>
    <t xml:space="preserve">Préparation fichiers et préparartion installation PMX</t>
  </si>
  <si>
    <t xml:space="preserve">Analyse des risques - rencontre Teams</t>
  </si>
  <si>
    <t xml:space="preserve">connexion Nancy et horraire</t>
  </si>
  <si>
    <t xml:space="preserve">Installation PMX sur BD - SAP_GA_PROD - ne pas chargé</t>
  </si>
  <si>
    <t xml:space="preserve">Configuration de base de la OSE</t>
  </si>
  <si>
    <t xml:space="preserve">Configuration OSE - problème de connexion avec le serveur de licence</t>
  </si>
  <si>
    <t xml:space="preserve">Installation PMX sur TS01</t>
  </si>
  <si>
    <t xml:space="preserve">Configuration OSE</t>
  </si>
  <si>
    <t xml:space="preserve">AG</t>
  </si>
  <si>
    <t xml:space="preserve">CompuTec Product's Training for Forgestik - S3</t>
  </si>
  <si>
    <t xml:space="preserve">configuration de base de la OSE et connexion des rapports Crystal de bases</t>
  </si>
  <si>
    <t xml:space="preserve">configuration OSE et Crystal</t>
  </si>
  <si>
    <t xml:space="preserve">Core-Mark - Appel avec Michel</t>
  </si>
  <si>
    <t xml:space="preserve">TEST Core-Mark véréfication de la SP (preuve de concept)</t>
  </si>
  <si>
    <t xml:space="preserve">Heures</t>
  </si>
  <si>
    <t xml:space="preserve">TEST Core-Mark véréfication de la SP</t>
  </si>
  <si>
    <t xml:space="preserve">court point de suivi+ WMS</t>
  </si>
  <si>
    <t xml:space="preserve">Fichiers d'importation - Teams</t>
  </si>
  <si>
    <t xml:space="preserve">Vérification fichier d'importation des zones et emplacements - vérification envoronnement SAP - Début de la configuration OSE - courriels Marco et Martin</t>
  </si>
  <si>
    <t xml:space="preserve">Analyse fonctionnelle (1)</t>
  </si>
  <si>
    <t xml:space="preserve">Préparation fichiers pour installation PMX</t>
  </si>
  <si>
    <t xml:space="preserve">Analyse fonctionnelle (2)</t>
  </si>
  <si>
    <t xml:space="preserve">Étiquettes EDI -  CND TIRE</t>
  </si>
  <si>
    <t xml:space="preserve">Connexion</t>
  </si>
  <si>
    <t xml:space="preserve">Installation de PMX en TEST - Teams avec Stéphane Cartier 8h à 9h15</t>
  </si>
  <si>
    <t xml:space="preserve">Préparation pour installation PMX</t>
  </si>
  <si>
    <t xml:space="preserve">Étiquette CND TIRE</t>
  </si>
  <si>
    <t xml:space="preserve">Fichiers d'importation (2)</t>
  </si>
  <si>
    <t xml:space="preserve">CompuTec Product's Training for Forgestik - S1 - Process Force</t>
  </si>
  <si>
    <t xml:space="preserve">Configuration des paramètres d'extension - Configuration de base Produmex - scanneurs, imprimante PDF, étiquettes, ...</t>
  </si>
  <si>
    <t xml:space="preserve">Installation de PMX ver. 2024.12.00 sur les 4 bases de données et les 4 serveurs - billet T20250120.0015</t>
  </si>
  <si>
    <t xml:space="preserve">Problème scan sur RDS2</t>
  </si>
  <si>
    <t xml:space="preserve">Étiquette Core-mark</t>
  </si>
  <si>
    <t xml:space="preserve">Analyse fonctionnelle #1</t>
  </si>
  <si>
    <t xml:space="preserve">Problème scan sur RDS2 - échanges de courriels - test avec les usagers Windows </t>
  </si>
  <si>
    <t xml:space="preserve">Étiquette Core-Mark</t>
  </si>
  <si>
    <t xml:space="preserve">Installation PMX ver. 2024.12.01</t>
  </si>
  <si>
    <t xml:space="preserve">Kickoff - Agence Gravel WMS</t>
  </si>
  <si>
    <t xml:space="preserve">Installation PMX ver. 2024.12.01 et courriel Bruno + permission copie/collé</t>
  </si>
  <si>
    <t xml:space="preserve">gestion fichiers</t>
  </si>
  <si>
    <t xml:space="preserve">Appel avec JS pour inventaire avec le # SSCC</t>
  </si>
  <si>
    <t xml:space="preserve">Rencontre Teams avec le support de Mofco - Connexion serveur avec les droit de copie/collé</t>
  </si>
  <si>
    <t xml:space="preserve">Import d'inventaire avec pallettes/SSCC</t>
  </si>
  <si>
    <t xml:space="preserve">Analyse fonctionnelle #2</t>
  </si>
  <si>
    <t xml:space="preserve">comparaison entre la BD test et Prod pour l'impression</t>
  </si>
  <si>
    <t xml:space="preserve">Analyse fonctionnelle #3</t>
  </si>
  <si>
    <t xml:space="preserve">Connexion pour installation PMX Test - T20250127.0015 - CR05 - Upgrade WMS</t>
  </si>
  <si>
    <t xml:space="preserve">Test étiquette Core-Mark</t>
  </si>
  <si>
    <t xml:space="preserve">T20250203.0005 - Problème connexion imprimante avec les rapports Produmex. Appels avec Elias (514-463-3236). Les rapports PMX étaient dirigés vers un serveur éteint qui contenait le répertoire B1 Share. Solution rediriger les rapports PMX vers le nouveau serveur.</t>
  </si>
  <si>
    <t xml:space="preserve">Suivi accès VMs BZ + prépa SAP</t>
  </si>
  <si>
    <t xml:space="preserve">Test du workflow pour les scanneur - François</t>
  </si>
  <si>
    <t xml:space="preserve">Investigation pour les problème de connexion avec les scanneurs sur les serveurs RDS1 et RDS2</t>
  </si>
  <si>
    <t xml:space="preserve">OÙ installer PMX</t>
  </si>
  <si>
    <t xml:space="preserve">Appel avec François - preuve de concept workflow scan pour les UoM2</t>
  </si>
  <si>
    <t xml:space="preserve">Étiquette shipping pour RBF</t>
  </si>
  <si>
    <t xml:space="preserve">Ivestigation pour les scanneur Céragrès</t>
  </si>
  <si>
    <t xml:space="preserve">Documenter les problème de connexion avec les scanneurs sur les serveurs RDS1 et RDS2 - courriel explicatif </t>
  </si>
  <si>
    <t xml:space="preserve">T20250120.0015 - Installation PMX sur la BD ZZZ_Produmex_SAP_Kathleen</t>
  </si>
  <si>
    <t xml:space="preserve">coordination client pour SAP + WMS - prochaines étapes</t>
  </si>
  <si>
    <t xml:space="preserve">Lecture BP</t>
  </si>
  <si>
    <t xml:space="preserve">Transfert des ventes - WMS - EDI</t>
  </si>
  <si>
    <t xml:space="preserve">Kickoff</t>
  </si>
  <si>
    <t xml:space="preserve">Colliger les informations, images et préparation des fichiers .bat et autres</t>
  </si>
  <si>
    <t xml:space="preserve">Courriel d'approbation workflow pour les scanneur - François</t>
  </si>
  <si>
    <t xml:space="preserve">T20250120.0015  - Préparation Produmex ver. 2021.03 / 2020.12</t>
  </si>
  <si>
    <t xml:space="preserve">  -1h</t>
  </si>
  <si>
    <t xml:space="preserve">T20250120.0015  - Installation Produmex 2021.03 ancienne ver.  2020.12</t>
  </si>
  <si>
    <t xml:space="preserve">T20250120.0015  - Installation Produmex 2024.12 - ajustement de l'installation avec la nouvelle procédure - configuration des liens sur les 4 serveurs et Tests</t>
  </si>
  <si>
    <t xml:space="preserve">Billet scan 12 et 13</t>
  </si>
  <si>
    <t xml:space="preserve">NUTRI / SUPREME EGG</t>
  </si>
  <si>
    <t xml:space="preserve">Installation PMX sur RDS1 (10.68.49.30), RDS2 (10.68.49.31) et RF (10.68.49.32) - ouvir ports</t>
  </si>
  <si>
    <t xml:space="preserve">connexion des Rapports Crystal sur nouvelle BD</t>
  </si>
  <si>
    <t xml:space="preserve">Copie des SP et rapports crystal - connexion des Rapports Crystal sur nouvelle BD sur la BD test_2025</t>
  </si>
  <si>
    <t xml:space="preserve">fichiers bat </t>
  </si>
  <si>
    <t xml:space="preserve">Appel avec Keven - inventaire avec contract emplacement non visible - connexion et investigation</t>
  </si>
  <si>
    <t xml:space="preserve">Demande de Cristine - ajout numéro de commande sur les scanneurs lors de la sélection de la commande à l'expédition</t>
  </si>
  <si>
    <t xml:space="preserve">Demande de Cristine - ajout d'informations sur le Bon d'expédition</t>
  </si>
  <si>
    <t xml:space="preserve">Demande de Cristine - ajout d'informations sur le Bon d'expédition - explication avec Cristine</t>
  </si>
  <si>
    <t xml:space="preserve">Demande de Cristine - ajout d'informations sur le Bon d'expédition et ajout des # commandes de François  - explication avec Cristine - ajout de PMX sur la BD TEST_SAP_ADC </t>
  </si>
  <si>
    <t xml:space="preserve">Investigation problème scanneur sur TS</t>
  </si>
  <si>
    <t xml:space="preserve">Appel avec Franco - problème commande 215312 article SRN7418</t>
  </si>
  <si>
    <t xml:space="preserve">Connexion Serveur - investigation sur les serveurs</t>
  </si>
  <si>
    <t xml:space="preserve">Réponse courriel Marius pour les utilisateurs pour l'imprimante Zebra ZQ630</t>
  </si>
  <si>
    <t xml:space="preserve">Étiquette d'expédition - Crystal</t>
  </si>
  <si>
    <t xml:space="preserve">Keven - Demande d'ajout de l'utilisateur Mathilde dans pmx (utilisateur dé jéjà dans la liste)</t>
  </si>
  <si>
    <t xml:space="preserve">Étiquette d'expédition - Crystal rt SP</t>
  </si>
  <si>
    <t xml:space="preserve">BELLEVILLE</t>
  </si>
  <si>
    <t xml:space="preserve">installation PMX sur la BD GPR_PROD sur le serveur Addon (10.68.48.5) - ouvert port firewall - problème connexion serveur droit de manager aide de Simon - License Server en Manuel</t>
  </si>
  <si>
    <t xml:space="preserve">manager : GPR_PROD  - P*ss… / SBODEMOCAWMS - 1234</t>
  </si>
  <si>
    <t xml:space="preserve">installation PMX sur la BD GPR_PROD et la BD SBODEMOCAWMS sur le serveur Addon (10.68.48.5) - ouvert port firewall - problème connexion serveur droit de manager aide de Simon - License Server en Manuel</t>
  </si>
  <si>
    <t xml:space="preserve">installation PMX sur la BD GPR_PROD et la BD SBODEMOCAWMS -  BD SBODEMOCAWMS problème de connexion direct - serveur de license -  installation Notification Listener et modification Stored Procedure - courriel</t>
  </si>
  <si>
    <t xml:space="preserve">Transfer des ventes</t>
  </si>
  <si>
    <t xml:space="preserve">Vérification connexion san 12 et 13  courriel Keven 9/01/2025</t>
  </si>
  <si>
    <t xml:space="preserve">Demande de Stéphane Cartier 10/01/2025 - Rencontre Teams avec client et Francine</t>
  </si>
  <si>
    <t xml:space="preserve">Installation PMX TEST_PRODUMEX </t>
  </si>
  <si>
    <t xml:space="preserve">CONGÉ/FÉRIÉ/VAC.</t>
  </si>
  <si>
    <t xml:space="preserve">Test Pick sur SSCC avec numéros Série</t>
  </si>
  <si>
    <t xml:space="preserve">Installation PMX ver. 2024.12.00 sur BD PROD sur les 2 serveurs </t>
  </si>
  <si>
    <t xml:space="preserve">Installation PM ver. 2024.12.00 sur BD PROD sur les 2 serveurs </t>
  </si>
  <si>
    <t xml:space="preserve">Installation imprimante Zebra ZQ630 courriel 2024-12-27 Joe/Jérôme / courriel</t>
  </si>
  <si>
    <t xml:space="preserve">Étiquette Core-Mark + courriel Sébastien</t>
  </si>
  <si>
    <t xml:space="preserve">Formation SQL</t>
  </si>
  <si>
    <t xml:space="preserve">Installation PMX - préparation</t>
  </si>
  <si>
    <t xml:space="preserve">Congé de Noël</t>
  </si>
  <si>
    <t xml:space="preserve">Gestion fichier</t>
  </si>
  <si>
    <t xml:space="preserve">Étiquettes SSCC et réception </t>
  </si>
  <si>
    <t xml:space="preserve">Étiquettes SSCC et réception / Installation et tests Remove SSCC</t>
  </si>
  <si>
    <t xml:space="preserve">Problème réception</t>
  </si>
  <si>
    <t xml:space="preserve">Autotask - Gestion fichiers</t>
  </si>
</sst>
</file>

<file path=xl/styles.xml><?xml version="1.0" encoding="utf-8"?>
<styleSheet xmlns="http://schemas.openxmlformats.org/spreadsheetml/2006/main">
  <numFmts count="14">
    <numFmt numFmtId="164" formatCode="General"/>
    <numFmt numFmtId="165" formatCode="General"/>
    <numFmt numFmtId="166" formatCode="[$-409]d/mmm/yyyy;@"/>
    <numFmt numFmtId="167" formatCode="0"/>
    <numFmt numFmtId="168" formatCode="0.00\ %"/>
    <numFmt numFmtId="169" formatCode="0.00"/>
    <numFmt numFmtId="170" formatCode="0\ %"/>
    <numFmt numFmtId="171" formatCode="0.0000000000000000000"/>
    <numFmt numFmtId="172" formatCode="h:mm;@"/>
    <numFmt numFmtId="173" formatCode="[$-F800]dddd&quot;, &quot;mmmm\ dd&quot;, &quot;yyyy"/>
    <numFmt numFmtId="174" formatCode="yyyy/mm/dd"/>
    <numFmt numFmtId="175" formatCode="d\ mmmm\ yyyy"/>
    <numFmt numFmtId="176" formatCode="[h]:mm"/>
    <numFmt numFmtId="177" formatCode="0.0"/>
  </numFmts>
  <fonts count="6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Roboto"/>
      <family val="0"/>
      <charset val="1"/>
    </font>
    <font>
      <b val="true"/>
      <sz val="11"/>
      <color theme="1"/>
      <name val="Roboto"/>
      <family val="0"/>
      <charset val="1"/>
    </font>
    <font>
      <b val="true"/>
      <sz val="14"/>
      <color rgb="FF92D050"/>
      <name val="Roboto"/>
      <family val="0"/>
      <charset val="1"/>
    </font>
    <font>
      <b val="true"/>
      <sz val="11"/>
      <color rgb="FFFFCCCC"/>
      <name val="Roboto"/>
      <family val="0"/>
      <charset val="1"/>
    </font>
    <font>
      <b val="true"/>
      <sz val="11"/>
      <color theme="7" tint="0.3999"/>
      <name val="Roboto"/>
      <family val="0"/>
      <charset val="1"/>
    </font>
    <font>
      <sz val="11"/>
      <color theme="2"/>
      <name val="Roboto"/>
      <family val="0"/>
      <charset val="1"/>
    </font>
    <font>
      <b val="true"/>
      <sz val="18"/>
      <color theme="9" tint="0.7999"/>
      <name val="Roboto"/>
      <family val="0"/>
      <charset val="1"/>
    </font>
    <font>
      <b val="true"/>
      <sz val="18"/>
      <color theme="6"/>
      <name val="Roboto"/>
      <family val="0"/>
      <charset val="1"/>
    </font>
    <font>
      <sz val="11"/>
      <color theme="9" tint="0.5999"/>
      <name val="Roboto"/>
      <family val="0"/>
      <charset val="1"/>
    </font>
    <font>
      <b val="true"/>
      <sz val="11"/>
      <color theme="9" tint="0.5999"/>
      <name val="Roboto"/>
      <family val="0"/>
      <charset val="1"/>
    </font>
    <font>
      <b val="true"/>
      <sz val="11"/>
      <color theme="8"/>
      <name val="Roboto"/>
      <family val="0"/>
      <charset val="1"/>
    </font>
    <font>
      <sz val="11"/>
      <color theme="0"/>
      <name val="Roboto"/>
      <family val="0"/>
      <charset val="1"/>
    </font>
    <font>
      <b val="true"/>
      <sz val="11"/>
      <color rgb="FF0070C0"/>
      <name val="Roboto"/>
      <family val="0"/>
      <charset val="1"/>
    </font>
    <font>
      <b val="true"/>
      <sz val="11"/>
      <color theme="7" tint="-0.25"/>
      <name val="Roboto"/>
      <family val="0"/>
      <charset val="1"/>
    </font>
    <font>
      <b val="true"/>
      <sz val="11"/>
      <name val="Roboto"/>
      <family val="0"/>
      <charset val="1"/>
    </font>
    <font>
      <b val="true"/>
      <sz val="11"/>
      <color rgb="FF92D050"/>
      <name val="Roboto"/>
      <family val="0"/>
      <charset val="1"/>
    </font>
    <font>
      <b val="true"/>
      <sz val="11"/>
      <color rgb="FF00B0F0"/>
      <name val="Roboto"/>
      <family val="0"/>
      <charset val="1"/>
    </font>
    <font>
      <b val="true"/>
      <sz val="11"/>
      <color theme="7"/>
      <name val="Roboto"/>
      <family val="0"/>
      <charset val="1"/>
    </font>
    <font>
      <sz val="11"/>
      <name val="Roboto"/>
      <family val="0"/>
      <charset val="1"/>
    </font>
    <font>
      <b val="true"/>
      <sz val="11"/>
      <color theme="0"/>
      <name val="Roboto"/>
      <family val="0"/>
      <charset val="1"/>
    </font>
    <font>
      <b val="true"/>
      <sz val="11"/>
      <color theme="1" tint="0.15"/>
      <name val="Roboto"/>
      <family val="0"/>
      <charset val="1"/>
    </font>
    <font>
      <sz val="11"/>
      <name val="Times New Roman"/>
      <family val="1"/>
    </font>
    <font>
      <b val="true"/>
      <sz val="11"/>
      <color theme="1"/>
      <name val="Calibri"/>
      <family val="2"/>
      <charset val="1"/>
    </font>
    <font>
      <b val="true"/>
      <sz val="11"/>
      <name val="Calibri"/>
      <family val="2"/>
      <charset val="1"/>
    </font>
    <font>
      <sz val="11"/>
      <color rgb="FFFF0000"/>
      <name val="Roboto"/>
      <family val="0"/>
      <charset val="1"/>
    </font>
    <font>
      <b val="true"/>
      <sz val="11"/>
      <color rgb="FFC00000"/>
      <name val="Roboto"/>
      <family val="0"/>
      <charset val="1"/>
    </font>
    <font>
      <b val="true"/>
      <sz val="12"/>
      <color rgb="FF92D050"/>
      <name val="Roboto"/>
      <family val="0"/>
      <charset val="1"/>
    </font>
    <font>
      <b val="true"/>
      <sz val="12"/>
      <color rgb="FFFFCCCC"/>
      <name val="Roboto"/>
      <family val="0"/>
      <charset val="1"/>
    </font>
    <font>
      <b val="true"/>
      <sz val="12"/>
      <color theme="7" tint="0.3999"/>
      <name val="Roboto"/>
      <family val="0"/>
      <charset val="1"/>
    </font>
    <font>
      <sz val="11"/>
      <color rgb="FFFFCCCC"/>
      <name val="Roboto"/>
      <family val="0"/>
      <charset val="1"/>
    </font>
    <font>
      <b val="true"/>
      <i val="true"/>
      <sz val="12"/>
      <color rgb="FFFFCCCC"/>
      <name val="Roboto"/>
      <family val="0"/>
      <charset val="1"/>
    </font>
    <font>
      <b val="true"/>
      <sz val="12"/>
      <color theme="9" tint="0.5999"/>
      <name val="Roboto"/>
      <family val="0"/>
      <charset val="1"/>
    </font>
    <font>
      <b val="true"/>
      <sz val="12"/>
      <color theme="7"/>
      <name val="Roboto"/>
      <family val="0"/>
      <charset val="1"/>
    </font>
    <font>
      <sz val="11"/>
      <color theme="8"/>
      <name val="Roboto"/>
      <family val="0"/>
      <charset val="1"/>
    </font>
    <font>
      <sz val="10"/>
      <name val="Arial"/>
      <family val="2"/>
    </font>
    <font>
      <b val="true"/>
      <sz val="18"/>
      <color rgb="FF92D050"/>
      <name val="Roboto"/>
      <family val="0"/>
      <charset val="1"/>
    </font>
    <font>
      <b val="true"/>
      <sz val="14"/>
      <color theme="7" tint="0.3999"/>
      <name val="Roboto"/>
      <family val="0"/>
      <charset val="1"/>
    </font>
    <font>
      <sz val="11"/>
      <color rgb="FF7030A0"/>
      <name val="Roboto"/>
      <family val="0"/>
      <charset val="1"/>
    </font>
    <font>
      <b val="true"/>
      <i val="true"/>
      <sz val="12"/>
      <color theme="9" tint="-0.5"/>
      <name val="Roboto"/>
      <family val="0"/>
      <charset val="1"/>
    </font>
    <font>
      <b val="true"/>
      <sz val="16"/>
      <color theme="9" tint="0.7999"/>
      <name val="Roboto"/>
      <family val="0"/>
      <charset val="1"/>
    </font>
    <font>
      <b val="true"/>
      <sz val="11"/>
      <color theme="4"/>
      <name val="Roboto"/>
      <family val="0"/>
      <charset val="1"/>
    </font>
    <font>
      <sz val="11"/>
      <color theme="9" tint="0.7999"/>
      <name val="Calibri"/>
      <family val="2"/>
      <charset val="1"/>
    </font>
    <font>
      <b val="true"/>
      <sz val="12"/>
      <color theme="7"/>
      <name val="Calibri"/>
      <family val="2"/>
      <charset val="1"/>
    </font>
    <font>
      <sz val="11"/>
      <color theme="7" tint="-0.25"/>
      <name val="Roboto"/>
      <family val="0"/>
      <charset val="1"/>
    </font>
    <font>
      <sz val="11"/>
      <color rgb="FF0070C0"/>
      <name val="Roboto"/>
      <family val="0"/>
      <charset val="1"/>
    </font>
    <font>
      <b val="true"/>
      <sz val="11"/>
      <color theme="2" tint="-0.75"/>
      <name val="Roboto"/>
      <family val="0"/>
      <charset val="1"/>
    </font>
    <font>
      <sz val="11"/>
      <color theme="0" tint="-0.25"/>
      <name val="Roboto"/>
      <family val="0"/>
      <charset val="1"/>
    </font>
    <font>
      <sz val="11"/>
      <color rgb="FFC00000"/>
      <name val="Roboto"/>
      <family val="0"/>
      <charset val="1"/>
    </font>
    <font>
      <b val="true"/>
      <sz val="12"/>
      <color theme="4" tint="0.3999"/>
      <name val="Roboto"/>
      <family val="0"/>
      <charset val="1"/>
    </font>
    <font>
      <b val="true"/>
      <sz val="12"/>
      <color rgb="FFFF9900"/>
      <name val="Roboto"/>
      <family val="0"/>
      <charset val="1"/>
    </font>
    <font>
      <sz val="11"/>
      <color theme="5"/>
      <name val="Calibri"/>
      <family val="2"/>
      <charset val="1"/>
    </font>
    <font>
      <b val="true"/>
      <sz val="12"/>
      <color theme="4" tint="0.3999"/>
      <name val="Calibri"/>
      <family val="2"/>
      <charset val="1"/>
    </font>
    <font>
      <sz val="11"/>
      <color theme="9"/>
      <name val="Roboto"/>
      <family val="0"/>
      <charset val="1"/>
    </font>
    <font>
      <b val="true"/>
      <sz val="11"/>
      <color theme="9"/>
      <name val="Calibri"/>
      <family val="2"/>
      <charset val="1"/>
    </font>
    <font>
      <b val="true"/>
      <sz val="11"/>
      <color theme="9"/>
      <name val="Roboto"/>
      <family val="0"/>
      <charset val="1"/>
    </font>
    <font>
      <b val="true"/>
      <sz val="12"/>
      <color theme="9"/>
      <name val="Roboto"/>
      <family val="0"/>
      <charset val="1"/>
    </font>
    <font>
      <b val="true"/>
      <sz val="18"/>
      <color theme="9" tint="0.5999"/>
      <name val="Roboto"/>
      <family val="0"/>
      <charset val="1"/>
    </font>
    <font>
      <b val="true"/>
      <sz val="16"/>
      <color theme="9" tint="0.5999"/>
      <name val="Roboto"/>
      <family val="0"/>
      <charset val="1"/>
    </font>
    <font>
      <sz val="11"/>
      <color rgb="FFFF0000"/>
      <name val="Calibri"/>
      <family val="2"/>
      <charset val="1"/>
    </font>
    <font>
      <sz val="11"/>
      <color theme="7"/>
      <name val="Calibri"/>
      <family val="2"/>
      <charset val="1"/>
    </font>
  </fonts>
  <fills count="37">
    <fill>
      <patternFill patternType="none"/>
    </fill>
    <fill>
      <patternFill patternType="gray125"/>
    </fill>
    <fill>
      <patternFill patternType="solid">
        <fgColor theme="1"/>
        <bgColor rgb="FF262626"/>
      </patternFill>
    </fill>
    <fill>
      <patternFill patternType="solid">
        <fgColor theme="3" tint="-0.25"/>
        <bgColor rgb="FF404040"/>
      </patternFill>
    </fill>
    <fill>
      <patternFill patternType="solid">
        <fgColor theme="9"/>
        <bgColor rgb="FF92D050"/>
      </patternFill>
    </fill>
    <fill>
      <patternFill patternType="solid">
        <fgColor theme="8" tint="-0.25"/>
        <bgColor rgb="FF4472C4"/>
      </patternFill>
    </fill>
    <fill>
      <patternFill patternType="solid">
        <fgColor theme="3"/>
        <bgColor rgb="FF595959"/>
      </patternFill>
    </fill>
    <fill>
      <patternFill patternType="solid">
        <fgColor theme="9" tint="0.5999"/>
        <bgColor rgb="FFD9D9D9"/>
      </patternFill>
    </fill>
    <fill>
      <patternFill patternType="solid">
        <fgColor theme="8" tint="0.5999"/>
        <bgColor rgb="FFD0CECE"/>
      </patternFill>
    </fill>
    <fill>
      <patternFill patternType="solid">
        <fgColor theme="1" tint="0.2499"/>
        <bgColor rgb="FF3B3838"/>
      </patternFill>
    </fill>
    <fill>
      <patternFill patternType="solid">
        <fgColor theme="9" tint="0.7999"/>
        <bgColor rgb="FFEDEDED"/>
      </patternFill>
    </fill>
    <fill>
      <patternFill patternType="solid">
        <fgColor theme="0"/>
        <bgColor rgb="FFEDEDED"/>
      </patternFill>
    </fill>
    <fill>
      <patternFill patternType="solid">
        <fgColor theme="6" tint="0.7999"/>
        <bgColor rgb="FFDEEBF7"/>
      </patternFill>
    </fill>
    <fill>
      <patternFill patternType="solid">
        <fgColor theme="3" tint="0.3999"/>
        <bgColor rgb="FF8FAADC"/>
      </patternFill>
    </fill>
    <fill>
      <patternFill patternType="solid">
        <fgColor theme="0" tint="-0.35"/>
        <bgColor rgb="FFAFABAB"/>
      </patternFill>
    </fill>
    <fill>
      <patternFill patternType="solid">
        <fgColor theme="1" tint="0.15"/>
        <bgColor rgb="FF2C2B2B"/>
      </patternFill>
    </fill>
    <fill>
      <patternFill patternType="solid">
        <fgColor theme="9" tint="-0.5"/>
        <bgColor rgb="FF404040"/>
      </patternFill>
    </fill>
    <fill>
      <patternFill patternType="solid">
        <fgColor theme="9" tint="0.3999"/>
        <bgColor rgb="FFC5E0B4"/>
      </patternFill>
    </fill>
    <fill>
      <patternFill patternType="solid">
        <fgColor theme="0" tint="-0.25"/>
        <bgColor rgb="FFC9C9C9"/>
      </patternFill>
    </fill>
    <fill>
      <patternFill patternType="solid">
        <fgColor theme="1" tint="0.4999"/>
        <bgColor rgb="FF808080"/>
      </patternFill>
    </fill>
    <fill>
      <patternFill patternType="solid">
        <fgColor theme="0" tint="-0.5"/>
        <bgColor rgb="FF7F7F7F"/>
      </patternFill>
    </fill>
    <fill>
      <patternFill patternType="solid">
        <fgColor theme="5" tint="0.7999"/>
        <bgColor rgb="FFFFF2CC"/>
      </patternFill>
    </fill>
    <fill>
      <patternFill patternType="solid">
        <fgColor theme="7" tint="0.7999"/>
        <bgColor rgb="FFFBE5D6"/>
      </patternFill>
    </fill>
    <fill>
      <patternFill patternType="solid">
        <fgColor theme="4" tint="0.7999"/>
        <bgColor rgb="FFDEEBF7"/>
      </patternFill>
    </fill>
    <fill>
      <patternFill patternType="solid">
        <fgColor theme="7" tint="0.3999"/>
        <bgColor rgb="FFFFCC66"/>
      </patternFill>
    </fill>
    <fill>
      <patternFill patternType="solid">
        <fgColor theme="7" tint="0.5999"/>
        <bgColor rgb="FFFFF2CC"/>
      </patternFill>
    </fill>
    <fill>
      <patternFill patternType="solid">
        <fgColor theme="5" tint="-0.5"/>
        <bgColor rgb="FF946247"/>
      </patternFill>
    </fill>
    <fill>
      <patternFill patternType="solid">
        <fgColor theme="8" tint="0.3999"/>
        <bgColor rgb="FF8FAADC"/>
      </patternFill>
    </fill>
    <fill>
      <patternFill patternType="solid">
        <fgColor theme="5" tint="0.3999"/>
        <bgColor rgb="FFFFCC99"/>
      </patternFill>
    </fill>
    <fill>
      <patternFill patternType="solid">
        <fgColor rgb="FFFFFF00"/>
        <bgColor rgb="FFFFD966"/>
      </patternFill>
    </fill>
    <fill>
      <patternFill patternType="solid">
        <fgColor theme="9" tint="-0.25"/>
        <bgColor rgb="FF626B7E"/>
      </patternFill>
    </fill>
    <fill>
      <patternFill patternType="solid">
        <fgColor theme="2" tint="-0.75"/>
        <bgColor rgb="FF404040"/>
      </patternFill>
    </fill>
    <fill>
      <patternFill patternType="solid">
        <fgColor theme="8" tint="0.7999"/>
        <bgColor rgb="FFDAE3F3"/>
      </patternFill>
    </fill>
    <fill>
      <patternFill patternType="solid">
        <fgColor theme="2" tint="-0.25"/>
        <bgColor rgb="FFA6A6A6"/>
      </patternFill>
    </fill>
    <fill>
      <patternFill patternType="solid">
        <fgColor theme="0" tint="-0.15"/>
        <bgColor rgb="FFD0CECE"/>
      </patternFill>
    </fill>
    <fill>
      <patternFill patternType="solid">
        <fgColor theme="5"/>
        <bgColor rgb="FFBF9000"/>
      </patternFill>
    </fill>
    <fill>
      <patternFill patternType="solid">
        <fgColor theme="4"/>
        <bgColor rgb="FF2E75B6"/>
      </patternFill>
    </fill>
  </fills>
  <borders count="50">
    <border diagonalUp="false" diagonalDown="false">
      <left/>
      <right/>
      <top/>
      <bottom/>
      <diagonal/>
    </border>
    <border diagonalUp="false" diagonalDown="false">
      <left style="medium"/>
      <right/>
      <top style="medium"/>
      <bottom style="thin"/>
      <diagonal/>
    </border>
    <border diagonalUp="false" diagonalDown="false">
      <left/>
      <right/>
      <top style="medium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 style="thin">
        <color theme="6" tint="0.3999"/>
      </right>
      <top style="thin">
        <color theme="6" tint="0.3999"/>
      </top>
      <bottom style="thin">
        <color theme="6" tint="0.3999"/>
      </bottom>
      <diagonal/>
    </border>
    <border diagonalUp="false" diagonalDown="false">
      <left style="thin">
        <color theme="6" tint="0.3999"/>
      </left>
      <right style="thin">
        <color theme="6" tint="0.3999"/>
      </right>
      <top style="thin">
        <color theme="6" tint="0.3999"/>
      </top>
      <bottom style="thin">
        <color theme="6" tint="0.3999"/>
      </bottom>
      <diagonal/>
    </border>
    <border diagonalUp="false" diagonalDown="false">
      <left style="thin">
        <color theme="0" tint="-0.35"/>
      </left>
      <right style="thin">
        <color theme="0" tint="-0.35"/>
      </right>
      <top style="thin">
        <color theme="0" tint="-0.35"/>
      </top>
      <bottom style="thin">
        <color theme="0" tint="-0.35"/>
      </bottom>
      <diagonal/>
    </border>
    <border diagonalUp="false" diagonalDown="false">
      <left style="thin">
        <color theme="0" tint="-0.35"/>
      </left>
      <right/>
      <top style="thin">
        <color theme="0" tint="-0.35"/>
      </top>
      <bottom style="thin">
        <color theme="0" tint="-0.35"/>
      </bottom>
      <diagonal/>
    </border>
    <border diagonalUp="false" diagonalDown="false">
      <left/>
      <right/>
      <top style="thin">
        <color theme="6" tint="0.3999"/>
      </top>
      <bottom/>
      <diagonal/>
    </border>
    <border diagonalUp="false" diagonalDown="false">
      <left style="thin">
        <color theme="6" tint="0.3999"/>
      </left>
      <right/>
      <top/>
      <bottom/>
      <diagonal/>
    </border>
    <border diagonalUp="false" diagonalDown="false">
      <left style="thin">
        <color theme="6" tint="0.3999"/>
      </left>
      <right/>
      <top style="thin">
        <color theme="6" tint="0.3999"/>
      </top>
      <bottom/>
      <diagonal/>
    </border>
    <border diagonalUp="false" diagonalDown="false">
      <left/>
      <right/>
      <top style="thin">
        <color theme="0" tint="-0.35"/>
      </top>
      <bottom/>
      <diagonal/>
    </border>
    <border diagonalUp="false" diagonalDown="false">
      <left style="thin">
        <color theme="0" tint="-0.35"/>
      </left>
      <right/>
      <top style="thin">
        <color theme="0" tint="-0.35"/>
      </top>
      <bottom/>
      <diagonal/>
    </border>
    <border diagonalUp="false" diagonalDown="false">
      <left style="thin">
        <color theme="0" tint="-0.35"/>
      </left>
      <right style="thin">
        <color theme="0" tint="-0.35"/>
      </right>
      <top style="thin">
        <color theme="0" tint="-0.35"/>
      </top>
      <bottom/>
      <diagonal/>
    </border>
    <border diagonalUp="false" diagonalDown="false">
      <left style="thin">
        <color theme="0" tint="-0.35"/>
      </left>
      <right style="thin">
        <color theme="0" tint="-0.35"/>
      </right>
      <top/>
      <bottom style="thin">
        <color theme="0" tint="-0.35"/>
      </bottom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>
        <color theme="5"/>
      </left>
      <right style="thin">
        <color theme="5"/>
      </right>
      <top style="thin">
        <color theme="5"/>
      </top>
      <bottom/>
      <diagonal/>
    </border>
    <border diagonalUp="false" diagonalDown="false">
      <left style="thin">
        <color theme="4" tint="0.3999"/>
      </left>
      <right style="thin">
        <color theme="4" tint="0.3999"/>
      </right>
      <top style="thin">
        <color theme="4" tint="0.3999"/>
      </top>
      <bottom/>
      <diagonal/>
    </border>
    <border diagonalUp="false" diagonalDown="false">
      <left style="thin">
        <color theme="5"/>
      </left>
      <right style="thin">
        <color theme="5"/>
      </right>
      <top style="medium">
        <color theme="5"/>
      </top>
      <bottom/>
      <diagonal/>
    </border>
    <border diagonalUp="false" diagonalDown="false">
      <left style="thin">
        <color theme="7"/>
      </left>
      <right style="thin">
        <color theme="7"/>
      </right>
      <top style="thin">
        <color theme="7"/>
      </top>
      <bottom style="thin">
        <color theme="7"/>
      </bottom>
      <diagonal/>
    </border>
    <border diagonalUp="false" diagonalDown="false">
      <left style="thin">
        <color theme="4" tint="0.3999"/>
      </left>
      <right style="thin">
        <color theme="4" tint="0.3999"/>
      </right>
      <top style="thin">
        <color theme="4" tint="0.3999"/>
      </top>
      <bottom style="thin">
        <color theme="4" tint="0.3999"/>
      </bottom>
      <diagonal/>
    </border>
    <border diagonalUp="false" diagonalDown="false">
      <left style="thin">
        <color theme="5"/>
      </left>
      <right style="thin">
        <color theme="5"/>
      </right>
      <top style="thin">
        <color theme="5"/>
      </top>
      <bottom style="thin">
        <color theme="5"/>
      </bottom>
      <diagonal/>
    </border>
    <border diagonalUp="false" diagonalDown="false">
      <left style="medium"/>
      <right/>
      <top style="medium"/>
      <bottom/>
      <diagonal/>
    </border>
    <border diagonalUp="false" diagonalDown="false">
      <left/>
      <right/>
      <top style="medium"/>
      <bottom/>
      <diagonal/>
    </border>
    <border diagonalUp="false" diagonalDown="false">
      <left/>
      <right style="thin">
        <color theme="6" tint="0.3999"/>
      </right>
      <top style="medium"/>
      <bottom style="thin"/>
      <diagonal/>
    </border>
    <border diagonalUp="false" diagonalDown="false">
      <left style="medium"/>
      <right/>
      <top/>
      <bottom style="medium"/>
      <diagonal/>
    </border>
    <border diagonalUp="false" diagonalDown="false">
      <left/>
      <right/>
      <top/>
      <bottom style="medium"/>
      <diagonal/>
    </border>
    <border diagonalUp="false" diagonalDown="false">
      <left style="thin"/>
      <right style="thin">
        <color theme="6" tint="0.3999"/>
      </right>
      <top style="thin"/>
      <bottom style="thin"/>
      <diagonal/>
    </border>
    <border diagonalUp="false" diagonalDown="false">
      <left style="thin">
        <color theme="6" tint="0.3999"/>
      </left>
      <right/>
      <top style="thin">
        <color theme="9" tint="0.3999"/>
      </top>
      <bottom/>
      <diagonal/>
    </border>
    <border diagonalUp="false" diagonalDown="false">
      <left style="thin">
        <color theme="6" tint="0.3999"/>
      </left>
      <right/>
      <top style="thin"/>
      <bottom/>
      <diagonal/>
    </border>
    <border diagonalUp="false" diagonalDown="false">
      <left style="thin"/>
      <right/>
      <top style="thin"/>
      <bottom/>
      <diagonal/>
    </border>
    <border diagonalUp="false" diagonalDown="false">
      <left style="thin">
        <color theme="6" tint="0.3999"/>
      </left>
      <right/>
      <top style="thin">
        <color theme="6" tint="0.3999"/>
      </top>
      <bottom style="thin">
        <color theme="6" tint="0.3999"/>
      </bottom>
      <diagonal/>
    </border>
    <border diagonalUp="false" diagonalDown="false">
      <left style="thin"/>
      <right/>
      <top style="thin"/>
      <bottom style="thin">
        <color theme="6" tint="0.3999"/>
      </bottom>
      <diagonal/>
    </border>
    <border diagonalUp="false" diagonalDown="false">
      <left style="thin"/>
      <right style="thin"/>
      <top style="thin"/>
      <bottom style="thin">
        <color theme="6" tint="0.3999"/>
      </bottom>
      <diagonal/>
    </border>
    <border diagonalUp="false" diagonalDown="false">
      <left/>
      <right/>
      <top style="thin">
        <color theme="6" tint="0.3999"/>
      </top>
      <bottom style="thin">
        <color theme="6" tint="0.3999"/>
      </bottom>
      <diagonal/>
    </border>
    <border diagonalUp="false" diagonalDown="false">
      <left/>
      <right/>
      <top/>
      <bottom style="thin"/>
      <diagonal/>
    </border>
    <border diagonalUp="false" diagonalDown="false">
      <left/>
      <right/>
      <top style="thin"/>
      <bottom/>
      <diagonal/>
    </border>
    <border diagonalUp="false" diagonalDown="false">
      <left style="thin"/>
      <right/>
      <top style="thin">
        <color theme="6" tint="0.3999"/>
      </top>
      <bottom/>
      <diagonal/>
    </border>
    <border diagonalUp="false" diagonalDown="false">
      <left style="thin">
        <color theme="9" tint="-0.25"/>
      </left>
      <right/>
      <top/>
      <bottom/>
      <diagonal/>
    </border>
    <border diagonalUp="false" diagonalDown="false">
      <left style="thin">
        <color theme="9" tint="-0.25"/>
      </left>
      <right/>
      <top style="thin">
        <color theme="9" tint="0.3999"/>
      </top>
      <bottom/>
      <diagonal/>
    </border>
    <border diagonalUp="false" diagonalDown="false">
      <left style="thin">
        <color theme="6" tint="0.3999"/>
      </left>
      <right/>
      <top style="thin">
        <color theme="9" tint="0.3999"/>
      </top>
      <bottom style="thin">
        <color theme="6" tint="0.3999"/>
      </bottom>
      <diagonal/>
    </border>
    <border diagonalUp="false" diagonalDown="false">
      <left/>
      <right style="medium"/>
      <top style="medium"/>
      <bottom/>
      <diagonal/>
    </border>
    <border diagonalUp="false" diagonalDown="false">
      <left/>
      <right style="medium"/>
      <top/>
      <bottom style="medium"/>
      <diagonal/>
    </border>
    <border diagonalUp="false" diagonalDown="false">
      <left/>
      <right/>
      <top style="thin">
        <color theme="9" tint="0.3999"/>
      </top>
      <bottom/>
      <diagonal/>
    </border>
    <border diagonalUp="false" diagonalDown="false">
      <left/>
      <right style="thin">
        <color theme="9" tint="-0.25"/>
      </right>
      <top/>
      <bottom/>
      <diagonal/>
    </border>
    <border diagonalUp="false" diagonalDown="false">
      <left style="thin">
        <color theme="9" tint="0.3999"/>
      </left>
      <right/>
      <top style="thin">
        <color theme="9" tint="0.3999"/>
      </top>
      <bottom/>
      <diagonal/>
    </border>
    <border diagonalUp="false" diagonalDown="false">
      <left style="thin"/>
      <right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170" fontId="0" fillId="0" borderId="0" applyFont="true" applyBorder="false" applyAlignment="true" applyProtection="false">
      <alignment horizontal="general" vertical="bottom" textRotation="0" wrapText="false" indent="0" shrinkToFit="false"/>
    </xf>
  </cellStyleXfs>
  <cellXfs count="34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6" fillId="3" borderId="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7" fontId="7" fillId="3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8" fillId="3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8" fillId="3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8" fillId="3" borderId="5" xfId="0" applyFont="true" applyBorder="true" applyAlignment="true" applyProtection="false">
      <alignment horizontal="left" vertical="bottom" textRotation="0" wrapText="false" indent="2" shrinkToFit="false"/>
      <protection locked="true" hidden="false"/>
    </xf>
    <xf numFmtId="169" fontId="8" fillId="3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7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0" fontId="4" fillId="4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4" fillId="5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4" fillId="5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9" fillId="2" borderId="3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4" fillId="2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4" fillId="2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0" fillId="6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11" fillId="6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12" fillId="6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13" fillId="6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3" fillId="6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9" fontId="4" fillId="7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4" fillId="8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4" fillId="8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2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5" fillId="9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6" fillId="2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2" borderId="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2" fontId="17" fillId="2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2" fontId="17" fillId="2" borderId="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7" fillId="2" borderId="1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8" fillId="2" borderId="1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17" fillId="2" borderId="1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14" fillId="2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9" fillId="2" borderId="1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19" fillId="2" borderId="1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20" fillId="2" borderId="1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20" fillId="2" borderId="1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21" fillId="2" borderId="1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21" fillId="2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5" fillId="2" borderId="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4" fillId="6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4" fillId="1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11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2" fontId="4" fillId="12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12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4" fillId="12" borderId="3" xfId="0" applyFont="true" applyBorder="true" applyAlignment="true" applyProtection="false">
      <alignment horizontal="left" vertical="bottom" textRotation="0" wrapText="false" indent="1" shrinkToFit="false"/>
      <protection locked="true" hidden="false"/>
    </xf>
    <xf numFmtId="172" fontId="4" fillId="12" borderId="15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9" fontId="22" fillId="13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4" fillId="13" borderId="1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14" fillId="3" borderId="3" xfId="19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14" borderId="1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14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14" borderId="1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4" fillId="1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9" fontId="4" fillId="14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4" fillId="14" borderId="1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2" fontId="4" fillId="12" borderId="3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9" fontId="4" fillId="13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5" fillId="14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2" fontId="4" fillId="14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3" fillId="15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23" fillId="15" borderId="1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3" fillId="16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24" fillId="17" borderId="3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24" fillId="17" borderId="3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3" fillId="16" borderId="1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18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  <xf numFmtId="173" fontId="26" fillId="19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26" fillId="19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6" fillId="19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7" fillId="19" borderId="2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7" fillId="19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6" fillId="2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6" fillId="19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2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4" fontId="0" fillId="21" borderId="2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21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26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7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0" fillId="0" borderId="19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2" borderId="2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0" fillId="21" borderId="19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3" borderId="2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6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2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23" borderId="2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23" borderId="23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23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0" fillId="2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0" fillId="21" borderId="2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8" fillId="14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4" fillId="24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28" fillId="2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4" fillId="22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28" fillId="2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8" fillId="2" borderId="1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29" fillId="2" borderId="1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29" fillId="2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4" fontId="4" fillId="1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2" borderId="3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14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2" fontId="17" fillId="2" borderId="1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14" fillId="3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9" fillId="2" borderId="1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5" fillId="2" borderId="1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16" fillId="2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30" fillId="3" borderId="2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30" fillId="3" borderId="26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31" fillId="3" borderId="2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32" fillId="3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32" fillId="3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32" fillId="3" borderId="5" xfId="0" applyFont="true" applyBorder="true" applyAlignment="true" applyProtection="false">
      <alignment horizontal="left" vertical="bottom" textRotation="0" wrapText="false" indent="2" shrinkToFit="false"/>
      <protection locked="true" hidden="false"/>
    </xf>
    <xf numFmtId="169" fontId="32" fillId="3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33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9" fontId="21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9" fontId="0" fillId="2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" fillId="25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25" borderId="6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4" fillId="5" borderId="6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4" fillId="5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26" borderId="6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4" fillId="26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7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8" fontId="10" fillId="6" borderId="2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11" fillId="6" borderId="2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34" fillId="6" borderId="3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35" fillId="6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0" fillId="2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71" fontId="0" fillId="2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8" fontId="36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9" fontId="0" fillId="22" borderId="6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0" fillId="22" borderId="6" xfId="0" applyFont="false" applyBorder="true" applyAlignment="true" applyProtection="false">
      <alignment horizontal="left" vertical="center" textRotation="0" wrapText="false" indent="0" shrinkToFit="false"/>
      <protection locked="true" hidden="false"/>
    </xf>
    <xf numFmtId="169" fontId="0" fillId="27" borderId="6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4" fillId="27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4" fillId="28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0" fillId="10" borderId="6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4" fillId="1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2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9" fillId="2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4" fillId="6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4" fillId="10" borderId="3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11" borderId="1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2" fontId="4" fillId="12" borderId="3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12" borderId="3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4" fillId="12" borderId="32" xfId="0" applyFont="true" applyBorder="true" applyAlignment="true" applyProtection="false">
      <alignment horizontal="left" vertical="bottom" textRotation="0" wrapText="false" indent="1" shrinkToFit="false"/>
      <protection locked="true" hidden="false"/>
    </xf>
    <xf numFmtId="172" fontId="4" fillId="12" borderId="1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22" fillId="13" borderId="1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4" fillId="13" borderId="1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37" fillId="3" borderId="10" xfId="19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9" fontId="4" fillId="14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4" fillId="14" borderId="3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14" borderId="3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14" borderId="1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1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8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12" borderId="1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4" fillId="12" borderId="10" xfId="0" applyFont="true" applyBorder="true" applyAlignment="true" applyProtection="false">
      <alignment horizontal="left" vertical="bottom" textRotation="0" wrapText="false" indent="1" shrinkToFit="false"/>
      <protection locked="true" hidden="false"/>
    </xf>
    <xf numFmtId="172" fontId="4" fillId="14" borderId="1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4" fillId="14" borderId="3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9" fontId="4" fillId="6" borderId="3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11" borderId="34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2" fontId="4" fillId="12" borderId="3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12" borderId="3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4" fillId="12" borderId="34" xfId="0" applyFont="true" applyBorder="true" applyAlignment="true" applyProtection="false">
      <alignment horizontal="left" vertical="bottom" textRotation="0" wrapText="false" indent="1" shrinkToFit="false"/>
      <protection locked="true" hidden="false"/>
    </xf>
    <xf numFmtId="165" fontId="4" fillId="14" borderId="3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14" borderId="3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4" fillId="14" borderId="3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4" fillId="14" borderId="3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1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9" fontId="4" fillId="12" borderId="0" xfId="0" applyFont="true" applyBorder="false" applyAlignment="true" applyProtection="false">
      <alignment horizontal="left" vertical="bottom" textRotation="0" wrapText="false" indent="1" shrinkToFit="false"/>
      <protection locked="true" hidden="false"/>
    </xf>
    <xf numFmtId="172" fontId="4" fillId="1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8" fontId="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9" fontId="4" fillId="29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2" borderId="3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2" borderId="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2" fontId="17" fillId="2" borderId="3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7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8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9" fontId="17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9" fontId="16" fillId="2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4" fillId="3" borderId="3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11" borderId="8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2" fontId="4" fillId="12" borderId="3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12" borderId="3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4" fillId="12" borderId="39" xfId="0" applyFont="true" applyBorder="true" applyAlignment="true" applyProtection="false">
      <alignment horizontal="left" vertical="bottom" textRotation="0" wrapText="false" indent="1" shrinkToFit="false"/>
      <protection locked="true" hidden="false"/>
    </xf>
    <xf numFmtId="172" fontId="4" fillId="12" borderId="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22" fillId="1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9" fontId="0" fillId="13" borderId="3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0" fillId="3" borderId="40" xfId="19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9" fontId="4" fillId="14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4" fillId="14" borderId="3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2" fontId="4" fillId="0" borderId="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4" fillId="0" borderId="8" xfId="0" applyFont="true" applyBorder="true" applyAlignment="true" applyProtection="false">
      <alignment horizontal="left" vertical="bottom" textRotation="0" wrapText="false" indent="1" shrinkToFit="false"/>
      <protection locked="true" hidden="false"/>
    </xf>
    <xf numFmtId="169" fontId="0" fillId="13" borderId="4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72" fontId="4" fillId="14" borderId="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12" borderId="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4" fillId="12" borderId="8" xfId="0" applyFont="true" applyBorder="true" applyAlignment="true" applyProtection="false">
      <alignment horizontal="left" vertical="bottom" textRotation="0" wrapText="false" indent="1" shrinkToFit="false"/>
      <protection locked="true" hidden="false"/>
    </xf>
    <xf numFmtId="169" fontId="0" fillId="13" borderId="42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4" fillId="12" borderId="5" xfId="0" applyFont="true" applyBorder="true" applyAlignment="true" applyProtection="false">
      <alignment horizontal="left" vertical="bottom" textRotation="0" wrapText="false" indent="1" shrinkToFit="false"/>
      <protection locked="true" hidden="false"/>
    </xf>
    <xf numFmtId="166" fontId="4" fillId="10" borderId="4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11" borderId="37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2" fontId="4" fillId="12" borderId="3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4" fillId="14" borderId="3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29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16" borderId="2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6" fillId="16" borderId="2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9" fillId="16" borderId="2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0" fillId="16" borderId="26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30" fillId="16" borderId="26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8" fontId="40" fillId="16" borderId="2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40" fillId="16" borderId="2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40" fillId="16" borderId="44" xfId="0" applyFont="true" applyBorder="true" applyAlignment="true" applyProtection="false">
      <alignment horizontal="left" vertical="bottom" textRotation="0" wrapText="false" indent="2" shrinkToFit="false"/>
      <protection locked="true" hidden="false"/>
    </xf>
    <xf numFmtId="169" fontId="40" fillId="16" borderId="0" xfId="0" applyFont="true" applyBorder="false" applyAlignment="true" applyProtection="false">
      <alignment horizontal="left" vertical="bottom" textRotation="0" wrapText="false" indent="2" shrinkToFit="false"/>
      <protection locked="true" hidden="false"/>
    </xf>
    <xf numFmtId="164" fontId="41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8" fontId="10" fillId="30" borderId="2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10" fillId="30" borderId="2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42" fillId="17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6" fontId="35" fillId="30" borderId="2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30" borderId="2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43" fillId="30" borderId="28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5" fontId="43" fillId="30" borderId="29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5" fontId="43" fillId="30" borderId="45" xfId="0" applyFont="true" applyBorder="true" applyAlignment="true" applyProtection="false">
      <alignment horizontal="left" vertical="top" textRotation="0" wrapText="false" indent="3" shrinkToFit="false"/>
      <protection locked="true" hidden="false"/>
    </xf>
    <xf numFmtId="165" fontId="43" fillId="30" borderId="0" xfId="0" applyFont="true" applyBorder="false" applyAlignment="true" applyProtection="false">
      <alignment horizontal="left" vertical="top" textRotation="0" wrapText="false" indent="3" shrinkToFit="false"/>
      <protection locked="true" hidden="false"/>
    </xf>
    <xf numFmtId="165" fontId="44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1" fontId="45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8" fontId="46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9" fontId="4" fillId="22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4" fillId="22" borderId="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7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7" fillId="2" borderId="3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2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9" fontId="17" fillId="2" borderId="3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47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9" fontId="48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8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6" fontId="4" fillId="10" borderId="4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11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72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9" fontId="4" fillId="0" borderId="0" xfId="0" applyFont="true" applyBorder="false" applyAlignment="true" applyProtection="false">
      <alignment horizontal="left" vertical="bottom" textRotation="0" wrapText="false" indent="1" shrinkToFit="false"/>
      <protection locked="true" hidden="false"/>
    </xf>
    <xf numFmtId="169" fontId="22" fillId="0" borderId="4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49" fillId="22" borderId="48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8" fontId="50" fillId="31" borderId="49" xfId="19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9" fontId="4" fillId="1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9" fontId="50" fillId="31" borderId="49" xfId="19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8" fontId="50" fillId="31" borderId="16" xfId="19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9" fontId="50" fillId="31" borderId="16" xfId="19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1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0" fillId="14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50" fillId="31" borderId="33" xfId="19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9" fontId="50" fillId="31" borderId="33" xfId="19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9" fontId="0" fillId="0" borderId="0" xfId="0" applyFont="false" applyBorder="false" applyAlignment="true" applyProtection="false">
      <alignment horizontal="right" vertical="bottom" textRotation="0" wrapText="false" indent="0" shrinkToFit="false"/>
      <protection locked="true" hidden="false"/>
    </xf>
    <xf numFmtId="169" fontId="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2" fillId="2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5" fontId="53" fillId="2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5" fontId="54" fillId="2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52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2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9" fontId="52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55" fillId="2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52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9" fontId="52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2" fillId="2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56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5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9" fontId="5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9" fontId="4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8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58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9" fontId="58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9" fontId="4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59" fillId="2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9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17" borderId="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3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17" borderId="18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30" borderId="1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4" fontId="4" fillId="30" borderId="1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49" fillId="32" borderId="48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4" fillId="1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8" fontId="50" fillId="31" borderId="15" xfId="19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9" fontId="4" fillId="3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50" fillId="33" borderId="1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50" fillId="31" borderId="3" xfId="19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9" fontId="50" fillId="33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50" fillId="31" borderId="18" xfId="19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9" fontId="50" fillId="33" borderId="1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4" fillId="1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9" fontId="22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9" fontId="49" fillId="32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8" fontId="50" fillId="31" borderId="0" xfId="19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9" fontId="50" fillId="3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0" fillId="21" borderId="2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5" fontId="0" fillId="0" borderId="19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5" fontId="0" fillId="21" borderId="19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5" fontId="0" fillId="21" borderId="2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9" fillId="16" borderId="26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19" fillId="16" borderId="26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30" fillId="16" borderId="2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0" fillId="16" borderId="2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30" fillId="16" borderId="44" xfId="0" applyFont="true" applyBorder="true" applyAlignment="true" applyProtection="false">
      <alignment horizontal="left" vertical="bottom" textRotation="0" wrapText="false" indent="2" shrinkToFit="false"/>
      <protection locked="true" hidden="false"/>
    </xf>
    <xf numFmtId="169" fontId="30" fillId="16" borderId="0" xfId="0" applyFont="true" applyBorder="false" applyAlignment="true" applyProtection="false">
      <alignment horizontal="left" vertical="bottom" textRotation="0" wrapText="false" indent="2" shrinkToFit="false"/>
      <protection locked="true" hidden="false"/>
    </xf>
    <xf numFmtId="176" fontId="60" fillId="30" borderId="2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60" fillId="30" borderId="2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61" fillId="30" borderId="28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5" fontId="61" fillId="30" borderId="29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5" fontId="61" fillId="30" borderId="45" xfId="0" applyFont="true" applyBorder="true" applyAlignment="true" applyProtection="false">
      <alignment horizontal="left" vertical="top" textRotation="0" wrapText="false" indent="3" shrinkToFit="false"/>
      <protection locked="true" hidden="false"/>
    </xf>
    <xf numFmtId="164" fontId="61" fillId="30" borderId="0" xfId="0" applyFont="true" applyBorder="false" applyAlignment="true" applyProtection="false">
      <alignment horizontal="left" vertical="top" textRotation="0" wrapText="false" indent="3" shrinkToFit="false"/>
      <protection locked="true" hidden="false"/>
    </xf>
    <xf numFmtId="171" fontId="62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7" fontId="63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" fillId="34" borderId="4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3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21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" fillId="35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6" fontId="42" fillId="17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4" fillId="36" borderId="0" xfId="0" applyFont="true" applyBorder="false" applyAlignment="true" applyProtection="false">
      <alignment horizontal="left" vertical="bottom" textRotation="0" wrapText="false" indent="1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982">
    <dxf>
      <fill>
        <patternFill patternType="solid">
          <fgColor rgb="FF262626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385724"/>
          <bgColor rgb="FF000000"/>
        </patternFill>
      </fill>
    </dxf>
    <dxf>
      <fill>
        <patternFill patternType="solid">
          <fgColor rgb="FFA9D18E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44546A"/>
          <bgColor rgb="FF000000"/>
        </patternFill>
      </fill>
    </dxf>
    <dxf>
      <fill>
        <patternFill patternType="solid">
          <fgColor rgb="FF0070C0"/>
          <bgColor rgb="FF000000"/>
        </patternFill>
      </fill>
    </dxf>
    <dxf>
      <fill>
        <patternFill patternType="solid">
          <fgColor rgb="FF2E75B6"/>
          <bgColor rgb="FF000000"/>
        </patternFill>
      </fill>
    </dxf>
    <dxf>
      <fill>
        <patternFill patternType="solid">
          <fgColor rgb="FF7A6763"/>
          <bgColor rgb="FF000000"/>
        </patternFill>
      </fill>
    </dxf>
    <dxf>
      <fill>
        <patternFill patternType="solid">
          <fgColor rgb="FFC55A11"/>
          <bgColor rgb="FF000000"/>
        </patternFill>
      </fill>
    </dxf>
    <dxf>
      <fill>
        <patternFill patternType="solid">
          <fgColor rgb="FFE28D08"/>
          <bgColor rgb="FF000000"/>
        </patternFill>
      </fill>
    </dxf>
    <dxf>
      <fill>
        <patternFill patternType="solid">
          <fgColor rgb="FFFFC000"/>
          <bgColor rgb="FF000000"/>
        </patternFill>
      </fill>
    </dxf>
    <dxf>
      <fill>
        <patternFill patternType="solid">
          <fgColor rgb="FF808080"/>
          <bgColor rgb="FF000000"/>
        </patternFill>
      </fill>
    </dxf>
    <dxf>
      <fill>
        <patternFill patternType="solid">
          <fgColor rgb="FFBF9000"/>
          <bgColor rgb="FF000000"/>
        </patternFill>
      </fill>
    </dxf>
    <dxf>
      <fill>
        <patternFill patternType="solid">
          <fgColor rgb="FFD0CECE"/>
          <bgColor rgb="FF000000"/>
        </patternFill>
      </fill>
    </dxf>
    <dxf>
      <fill>
        <patternFill patternType="solid">
          <fgColor rgb="FF403000"/>
          <bgColor rgb="FF000000"/>
        </patternFill>
      </fill>
    </dxf>
    <dxf>
      <fill>
        <patternFill patternType="solid">
          <fgColor rgb="FF626B7E"/>
          <bgColor rgb="FF000000"/>
        </patternFill>
      </fill>
    </dxf>
    <dxf>
      <fill>
        <patternFill patternType="solid">
          <fgColor rgb="FF946247"/>
          <bgColor rgb="FF000000"/>
        </patternFill>
      </fill>
    </dxf>
    <dxf>
      <fill>
        <patternFill patternType="solid">
          <fgColor rgb="FF497098"/>
          <bgColor rgb="FF000000"/>
        </patternFill>
      </fill>
    </dxf>
    <dxf>
      <fill>
        <patternFill patternType="solid">
          <fgColor rgb="FF5B6D85"/>
          <bgColor rgb="FF000000"/>
        </patternFill>
      </fill>
    </dxf>
    <dxf>
      <fill>
        <patternFill patternType="solid">
          <fgColor rgb="FF71696D"/>
          <bgColor rgb="FF000000"/>
        </patternFill>
      </fill>
    </dxf>
    <dxf>
      <fill>
        <patternFill patternType="solid">
          <fgColor rgb="FF876554"/>
          <bgColor rgb="FF000000"/>
        </patternFill>
      </fill>
    </dxf>
    <dxf>
      <fill>
        <patternFill patternType="solid">
          <fgColor rgb="FF996141"/>
          <bgColor rgb="FF000000"/>
        </patternFill>
      </fill>
    </dxf>
    <dxf>
      <fill>
        <patternFill patternType="solid">
          <fgColor rgb="FFA26037"/>
          <bgColor rgb="FF000000"/>
        </patternFill>
      </fill>
    </dxf>
    <dxf>
      <fill>
        <patternFill patternType="solid">
          <fgColor rgb="FFBD5B1A"/>
          <bgColor rgb="FF000000"/>
        </patternFill>
      </fill>
    </dxf>
    <dxf>
      <fill>
        <patternFill patternType="solid">
          <fgColor rgb="FFCF6C0E"/>
          <bgColor rgb="FF000000"/>
        </patternFill>
      </fill>
    </dxf>
    <dxf>
      <fill>
        <patternFill patternType="solid">
          <fgColor rgb="FFD97D0B"/>
          <bgColor rgb="FF000000"/>
        </patternFill>
      </fill>
    </dxf>
    <dxf>
      <fill>
        <patternFill patternType="solid">
          <fgColor rgb="FFEC9F05"/>
          <bgColor rgb="FF000000"/>
        </patternFill>
      </fill>
    </dxf>
    <dxf>
      <fill>
        <patternFill patternType="solid">
          <fgColor rgb="FFEDEDED"/>
          <bgColor rgb="FF000000"/>
        </patternFill>
      </fill>
    </dxf>
    <dxf>
      <fill>
        <patternFill patternType="solid">
          <fgColor rgb="FFF6B002"/>
          <bgColor rgb="FF000000"/>
        </patternFill>
      </fill>
    </dxf>
    <dxf>
      <fill>
        <patternFill patternType="solid">
          <fgColor rgb="FF4171A1"/>
          <bgColor rgb="FF000000"/>
        </patternFill>
      </fill>
    </dxf>
    <dxf>
      <fill>
        <patternFill patternType="solid">
          <fgColor rgb="FF546E8C"/>
          <bgColor rgb="FF000000"/>
        </patternFill>
      </fill>
    </dxf>
    <dxf>
      <fill>
        <patternFill patternType="solid">
          <fgColor rgb="FF626B7D"/>
          <bgColor rgb="FF000000"/>
        </patternFill>
      </fill>
    </dxf>
    <dxf>
      <fill>
        <patternFill patternType="solid">
          <fgColor rgb="FF676A78"/>
          <bgColor rgb="FF000000"/>
        </patternFill>
      </fill>
    </dxf>
    <dxf>
      <fill>
        <patternFill patternType="solid">
          <fgColor rgb="FF836559"/>
          <bgColor rgb="FF000000"/>
        </patternFill>
      </fill>
    </dxf>
    <dxf>
      <fill>
        <patternFill patternType="solid">
          <fgColor rgb="FFB35D25"/>
          <bgColor rgb="FF000000"/>
        </patternFill>
      </fill>
    </dxf>
    <dxf>
      <fill>
        <patternFill patternType="solid">
          <fgColor rgb="FFBC5B1B"/>
          <bgColor rgb="FF000000"/>
        </patternFill>
      </fill>
    </dxf>
    <dxf>
      <fill>
        <patternFill patternType="solid">
          <fgColor rgb="FFCE690E"/>
          <bgColor rgb="FF000000"/>
        </patternFill>
      </fill>
    </dxf>
    <dxf>
      <fill>
        <patternFill patternType="solid">
          <fgColor rgb="FFD6780C"/>
          <bgColor rgb="FF000000"/>
        </patternFill>
      </fill>
    </dxf>
    <dxf>
      <fill>
        <patternFill patternType="solid">
          <fgColor rgb="FFDE8609"/>
          <bgColor rgb="FF000000"/>
        </patternFill>
      </fill>
    </dxf>
    <dxf>
      <fill>
        <patternFill patternType="solid">
          <fgColor rgb="FFE79507"/>
          <bgColor rgb="FF000000"/>
        </patternFill>
      </fill>
    </dxf>
    <dxf>
      <fill>
        <patternFill patternType="solid">
          <fgColor rgb="FFEFA304"/>
          <bgColor rgb="FF000000"/>
        </patternFill>
      </fill>
    </dxf>
    <dxf>
      <fill>
        <patternFill patternType="solid">
          <fgColor rgb="FFF7B202"/>
          <bgColor rgb="FF000000"/>
        </patternFill>
      </fill>
    </dxf>
    <dxf>
      <fill>
        <patternFill patternType="solid">
          <fgColor rgb="FF2C2B2B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8497B0"/>
          <bgColor rgb="FF000000"/>
        </patternFill>
      </fill>
    </dxf>
    <dxf>
      <fill>
        <patternFill patternType="solid">
          <fgColor rgb="FF333F50"/>
          <bgColor rgb="FF000000"/>
        </patternFill>
      </fill>
    </dxf>
    <dxf>
      <fill>
        <patternFill patternType="solid">
          <fgColor rgb="FF5B9BD5"/>
          <bgColor rgb="FF000000"/>
        </patternFill>
      </fill>
    </dxf>
    <dxf>
      <fill>
        <patternFill patternType="solid">
          <fgColor rgb="FFA6A6A6"/>
          <bgColor rgb="FF000000"/>
        </patternFill>
      </fill>
    </dxf>
    <dxf>
      <fill>
        <patternFill patternType="solid">
          <fgColor rgb="FF92D050"/>
          <bgColor rgb="FF000000"/>
        </patternFill>
      </fill>
    </dxf>
    <dxf>
      <fill>
        <patternFill patternType="solid">
          <fgColor rgb="FF00B0F0"/>
          <bgColor rgb="FF000000"/>
        </patternFill>
      </fill>
    </dxf>
    <dxf>
      <font>
        <b val="0"/>
        <i val="0"/>
        <color rgb="FFD0CECE"/>
      </font>
      <fill>
        <patternFill>
          <bgColor rgb="FF2C2B2B"/>
        </patternFill>
      </fill>
    </dxf>
    <dxf>
      <font>
        <b val="0"/>
        <i val="0"/>
        <color rgb="FFD0CECE"/>
      </font>
      <fill>
        <patternFill>
          <bgColor rgb="FF2C2B2B"/>
        </patternFill>
      </fill>
    </dxf>
    <dxf>
      <font>
        <b val="0"/>
        <i val="0"/>
        <color rgb="FFD0CECE"/>
      </font>
      <fill>
        <patternFill>
          <bgColor rgb="FF2C2B2B"/>
        </patternFill>
      </fill>
    </dxf>
    <dxf>
      <font>
        <b val="0"/>
        <i val="0"/>
        <color rgb="FFD0CECE"/>
      </font>
      <fill>
        <patternFill>
          <bgColor rgb="FF2C2B2B"/>
        </patternFill>
      </fill>
    </dxf>
    <dxf>
      <font>
        <b val="0"/>
        <i val="0"/>
        <color rgb="FFD0CECE"/>
      </font>
      <fill>
        <patternFill>
          <bgColor rgb="FF2C2B2B"/>
        </patternFill>
      </fill>
    </dxf>
    <dxf>
      <font>
        <b val="0"/>
        <i val="0"/>
        <color rgb="FFD0CECE"/>
      </font>
      <fill>
        <patternFill>
          <bgColor theme="1" tint="0.3499"/>
        </patternFill>
      </fill>
    </dxf>
    <dxf>
      <font>
        <b val="0"/>
        <i val="0"/>
        <color rgb="FFD0CECE"/>
      </font>
      <fill>
        <patternFill>
          <bgColor rgb="FF403000"/>
        </patternFill>
      </fill>
    </dxf>
    <dxf>
      <fill>
        <patternFill>
          <bgColor rgb="FF00B050"/>
        </patternFill>
      </fill>
    </dxf>
    <dxf>
      <fill>
        <patternFill>
          <bgColor theme="9"/>
        </patternFill>
      </fill>
    </dxf>
    <dxf>
      <fill>
        <patternFill>
          <bgColor theme="8" tint="-0.25"/>
        </patternFill>
      </fill>
    </dxf>
    <dxf>
      <fill>
        <patternFill>
          <bgColor rgb="FF626B7E"/>
        </patternFill>
      </fill>
    </dxf>
    <dxf>
      <fill>
        <patternFill>
          <bgColor rgb="FF946247"/>
        </patternFill>
      </fill>
    </dxf>
    <dxf>
      <fill>
        <patternFill>
          <bgColor theme="5" tint="-0.25"/>
        </patternFill>
      </fill>
    </dxf>
    <dxf>
      <fill>
        <patternFill>
          <bgColor theme="7"/>
        </patternFill>
      </fill>
    </dxf>
    <dxf>
      <font>
        <b val="0"/>
        <i val="0"/>
        <color rgb="FFD0CECE"/>
      </font>
      <fill>
        <patternFill>
          <bgColor rgb="FF2C2B2B"/>
        </patternFill>
      </fill>
    </dxf>
    <dxf>
      <font>
        <b val="0"/>
        <i val="0"/>
        <color rgb="FFD0CECE"/>
      </font>
      <fill>
        <patternFill>
          <bgColor rgb="FF2C2B2B"/>
        </patternFill>
      </fill>
    </dxf>
    <dxf>
      <font>
        <b val="0"/>
        <i val="0"/>
        <color rgb="FFD0CECE"/>
      </font>
      <fill>
        <patternFill>
          <bgColor rgb="FF2C2B2B"/>
        </patternFill>
      </fill>
    </dxf>
    <dxf>
      <font>
        <color rgb="FF808080"/>
      </font>
      <fill>
        <patternFill>
          <bgColor theme="0" tint="-0.5"/>
        </patternFill>
      </fill>
    </dxf>
    <dxf>
      <font>
        <b val="0"/>
        <i val="0"/>
        <color rgb="FFD0CECE"/>
      </font>
      <fill>
        <patternFill>
          <bgColor rgb="FF2C2B2B"/>
        </patternFill>
      </fill>
    </dxf>
    <dxf>
      <font>
        <b val="0"/>
        <i val="0"/>
        <strike val="0"/>
        <color rgb="FFD0CECE"/>
      </font>
      <fill>
        <patternFill>
          <bgColor rgb="FF2C2B2B"/>
        </patternFill>
      </fill>
    </dxf>
    <dxf>
      <font>
        <b val="0"/>
        <i val="0"/>
        <color rgb="FFD0CECE"/>
      </font>
      <fill>
        <patternFill>
          <bgColor rgb="FF2C2B2B"/>
        </patternFill>
      </fill>
    </dxf>
    <dxf>
      <fill>
        <patternFill patternType="solid">
          <fgColor rgb="FF7F7F7F"/>
          <bgColor rgb="FF000000"/>
        </patternFill>
      </fill>
    </dxf>
    <dxf>
      <fill>
        <patternFill patternType="solid">
          <fgColor rgb="FFDAE3F3"/>
          <bgColor rgb="FF000000"/>
        </patternFill>
      </fill>
    </dxf>
    <dxf>
      <fill>
        <patternFill patternType="solid">
          <fgColor rgb="FF6B6A74"/>
          <bgColor rgb="FF000000"/>
        </patternFill>
      </fill>
    </dxf>
    <dxf>
      <fill>
        <patternFill patternType="solid">
          <fgColor rgb="FFA75F32"/>
          <bgColor rgb="FF000000"/>
        </patternFill>
      </fill>
    </dxf>
    <dxf>
      <fill>
        <patternFill patternType="solid">
          <fgColor rgb="FFD97C0B"/>
          <bgColor rgb="FF000000"/>
        </patternFill>
      </fill>
    </dxf>
    <dxf>
      <fill>
        <patternFill patternType="solid">
          <fgColor rgb="FF4271A0"/>
          <bgColor rgb="FF000000"/>
        </patternFill>
      </fill>
    </dxf>
    <dxf>
      <fill>
        <patternFill patternType="solid">
          <fgColor rgb="FF47709A"/>
          <bgColor rgb="FF000000"/>
        </patternFill>
      </fill>
    </dxf>
    <dxf>
      <fill>
        <patternFill patternType="solid">
          <fgColor rgb="FF4C6F95"/>
          <bgColor rgb="FF000000"/>
        </patternFill>
      </fill>
    </dxf>
    <dxf>
      <fill>
        <patternFill patternType="solid">
          <fgColor rgb="FF566D8A"/>
          <bgColor rgb="FF000000"/>
        </patternFill>
      </fill>
    </dxf>
    <dxf>
      <fill>
        <patternFill patternType="solid">
          <fgColor rgb="FF606C7F"/>
          <bgColor rgb="FF000000"/>
        </patternFill>
      </fill>
    </dxf>
    <dxf>
      <fill>
        <patternFill patternType="solid">
          <fgColor rgb="FF6A6A75"/>
          <bgColor rgb="FF000000"/>
        </patternFill>
      </fill>
    </dxf>
    <dxf>
      <fill>
        <patternFill patternType="solid">
          <fgColor rgb="FF74686A"/>
          <bgColor rgb="FF000000"/>
        </patternFill>
      </fill>
    </dxf>
    <dxf>
      <fill>
        <patternFill patternType="solid">
          <fgColor rgb="FF7E665F"/>
          <bgColor rgb="FF000000"/>
        </patternFill>
      </fill>
    </dxf>
    <dxf>
      <fill>
        <patternFill patternType="solid">
          <fgColor rgb="FF886554"/>
          <bgColor rgb="FF000000"/>
        </patternFill>
      </fill>
    </dxf>
    <dxf>
      <fill>
        <patternFill patternType="solid">
          <fgColor rgb="FF9B613E"/>
          <bgColor rgb="FF000000"/>
        </patternFill>
      </fill>
    </dxf>
    <dxf>
      <fill>
        <patternFill patternType="solid">
          <fgColor rgb="FFB95C1E"/>
          <bgColor rgb="FF000000"/>
        </patternFill>
      </fill>
    </dxf>
    <dxf>
      <fill>
        <patternFill patternType="solid">
          <fgColor rgb="FFC35A13"/>
          <bgColor rgb="FF000000"/>
        </patternFill>
      </fill>
    </dxf>
    <dxf>
      <fill>
        <patternFill patternType="solid">
          <fgColor rgb="FFC85E10"/>
          <bgColor rgb="FF000000"/>
        </patternFill>
      </fill>
    </dxf>
    <dxf>
      <fill>
        <patternFill patternType="solid">
          <fgColor rgb="FFCC660F"/>
          <bgColor rgb="FF000000"/>
        </patternFill>
      </fill>
    </dxf>
    <dxf>
      <fill>
        <patternFill patternType="solid">
          <fgColor rgb="FFD5750C"/>
          <bgColor rgb="FF000000"/>
        </patternFill>
      </fill>
    </dxf>
    <dxf>
      <fill>
        <patternFill patternType="solid">
          <fgColor rgb="FFE18C08"/>
          <bgColor rgb="FF000000"/>
        </patternFill>
      </fill>
    </dxf>
    <dxf>
      <fill>
        <patternFill patternType="solid">
          <fgColor rgb="FFE69307"/>
          <bgColor rgb="FF000000"/>
        </patternFill>
      </fill>
    </dxf>
    <dxf>
      <fill>
        <patternFill patternType="solid">
          <fgColor rgb="FFEA9B06"/>
          <bgColor rgb="FF000000"/>
        </patternFill>
      </fill>
    </dxf>
    <dxf>
      <fill>
        <patternFill patternType="solid">
          <fgColor rgb="FFEEA205"/>
          <bgColor rgb="FF000000"/>
        </patternFill>
      </fill>
    </dxf>
    <dxf>
      <fill>
        <patternFill patternType="solid">
          <fgColor rgb="FFF3AA03"/>
          <bgColor rgb="FF000000"/>
        </patternFill>
      </fill>
    </dxf>
    <dxf>
      <fill>
        <patternFill patternType="solid">
          <fgColor rgb="FFFBB901"/>
          <bgColor rgb="FF000000"/>
        </patternFill>
      </fill>
    </dxf>
    <dxf>
      <fill>
        <patternFill patternType="solid">
          <fgColor rgb="FF3A72A9"/>
          <bgColor rgb="FF000000"/>
        </patternFill>
      </fill>
    </dxf>
    <dxf>
      <fill>
        <patternFill patternType="solid">
          <fgColor rgb="FF46709C"/>
          <bgColor rgb="FF000000"/>
        </patternFill>
      </fill>
    </dxf>
    <dxf>
      <fill>
        <patternFill patternType="solid">
          <fgColor rgb="FF516E8F"/>
          <bgColor rgb="FF000000"/>
        </patternFill>
      </fill>
    </dxf>
    <dxf>
      <fill>
        <patternFill patternType="solid">
          <fgColor rgb="FF576D89"/>
          <bgColor rgb="FF000000"/>
        </patternFill>
      </fill>
    </dxf>
    <dxf>
      <fill>
        <patternFill patternType="solid">
          <fgColor rgb="FF5D6C83"/>
          <bgColor rgb="FF000000"/>
        </patternFill>
      </fill>
    </dxf>
    <dxf>
      <fill>
        <patternFill patternType="solid">
          <fgColor rgb="FF696A76"/>
          <bgColor rgb="FF000000"/>
        </patternFill>
      </fill>
    </dxf>
    <dxf>
      <fill>
        <patternFill patternType="solid">
          <fgColor rgb="FF6E6970"/>
          <bgColor rgb="FF000000"/>
        </patternFill>
      </fill>
    </dxf>
    <dxf>
      <fill>
        <patternFill patternType="solid">
          <fgColor rgb="FF80665D"/>
          <bgColor rgb="FF000000"/>
        </patternFill>
      </fill>
    </dxf>
    <dxf>
      <fill>
        <patternFill patternType="solid">
          <fgColor rgb="FF8B6450"/>
          <bgColor rgb="FF000000"/>
        </patternFill>
      </fill>
    </dxf>
    <dxf>
      <fill>
        <patternFill patternType="solid">
          <fgColor rgb="FFA85F30"/>
          <bgColor rgb="FF000000"/>
        </patternFill>
      </fill>
    </dxf>
    <dxf>
      <fill>
        <patternFill patternType="solid">
          <fgColor rgb="FFBA5C1D"/>
          <bgColor rgb="FF000000"/>
        </patternFill>
      </fill>
    </dxf>
    <dxf>
      <fill>
        <patternFill patternType="solid">
          <fgColor rgb="FFCD680E"/>
          <bgColor rgb="FF000000"/>
        </patternFill>
      </fill>
    </dxf>
    <dxf>
      <fill>
        <patternFill patternType="solid">
          <fgColor rgb="FFD5760C"/>
          <bgColor rgb="FF000000"/>
        </patternFill>
      </fill>
    </dxf>
    <dxf>
      <fill>
        <patternFill patternType="solid">
          <fgColor rgb="FFDD830A"/>
          <bgColor rgb="FF000000"/>
        </patternFill>
      </fill>
    </dxf>
    <dxf>
      <fill>
        <patternFill patternType="solid">
          <fgColor rgb="FFE18A09"/>
          <bgColor rgb="FF000000"/>
        </patternFill>
      </fill>
    </dxf>
    <dxf>
      <fill>
        <patternFill patternType="solid">
          <fgColor rgb="FFE49107"/>
          <bgColor rgb="FF000000"/>
        </patternFill>
      </fill>
    </dxf>
    <dxf>
      <fill>
        <patternFill patternType="solid">
          <fgColor rgb="FFF0A504"/>
          <bgColor rgb="FF000000"/>
        </patternFill>
      </fill>
    </dxf>
    <dxf>
      <fill>
        <patternFill patternType="solid">
          <fgColor rgb="FFF8B302"/>
          <bgColor rgb="FF000000"/>
        </patternFill>
      </fill>
    </dxf>
    <dxf>
      <fill>
        <patternFill patternType="solid">
          <fgColor rgb="FFFCBA01"/>
          <bgColor rgb="FF000000"/>
        </patternFill>
      </fill>
    </dxf>
    <dxf>
      <fill>
        <patternFill patternType="solid">
          <fgColor rgb="FFFF0000"/>
          <bgColor rgb="FF000000"/>
        </patternFill>
      </fill>
    </dxf>
    <dxf>
      <font>
        <b val="0"/>
        <i val="0"/>
        <color rgb="FFD0CECE"/>
      </font>
      <fill>
        <patternFill>
          <bgColor rgb="FF2C2B2B"/>
        </patternFill>
      </fill>
    </dxf>
    <dxf>
      <font>
        <b val="0"/>
        <i val="0"/>
        <color rgb="FFD0CECE"/>
      </font>
      <fill>
        <patternFill>
          <bgColor rgb="FF2C2B2B"/>
        </patternFill>
      </fill>
    </dxf>
    <dxf>
      <font>
        <b val="0"/>
        <i val="0"/>
        <color rgb="FFD0CECE"/>
      </font>
      <fill>
        <patternFill>
          <bgColor rgb="FF2C2B2B"/>
        </patternFill>
      </fill>
    </dxf>
    <dxf>
      <font>
        <b val="0"/>
        <i val="0"/>
        <color rgb="FFD0CECE"/>
      </font>
      <fill>
        <patternFill>
          <bgColor rgb="FF2C2B2B"/>
        </patternFill>
      </fill>
    </dxf>
    <dxf>
      <font>
        <b val="0"/>
        <i val="0"/>
        <color rgb="FFD0CECE"/>
      </font>
      <fill>
        <patternFill>
          <bgColor rgb="FF2C2B2B"/>
        </patternFill>
      </fill>
    </dxf>
    <dxf>
      <font>
        <b val="0"/>
        <i val="0"/>
        <color rgb="FFD0CECE"/>
      </font>
      <fill>
        <patternFill>
          <bgColor theme="1" tint="0.3499"/>
        </patternFill>
      </fill>
    </dxf>
    <dxf>
      <font>
        <b val="0"/>
        <i val="0"/>
        <color rgb="FFD0CECE"/>
      </font>
      <fill>
        <patternFill>
          <bgColor rgb="FF403000"/>
        </patternFill>
      </fill>
    </dxf>
    <dxf>
      <fill>
        <patternFill>
          <bgColor rgb="FF00B050"/>
        </patternFill>
      </fill>
    </dxf>
    <dxf>
      <fill>
        <patternFill>
          <bgColor theme="9"/>
        </patternFill>
      </fill>
    </dxf>
    <dxf>
      <fill>
        <patternFill>
          <bgColor theme="8" tint="-0.25"/>
        </patternFill>
      </fill>
    </dxf>
    <dxf>
      <fill>
        <patternFill>
          <bgColor rgb="FF626B7E"/>
        </patternFill>
      </fill>
    </dxf>
    <dxf>
      <fill>
        <patternFill>
          <bgColor rgb="FF946247"/>
        </patternFill>
      </fill>
    </dxf>
    <dxf>
      <fill>
        <patternFill>
          <bgColor theme="5" tint="-0.25"/>
        </patternFill>
      </fill>
    </dxf>
    <dxf>
      <fill>
        <patternFill>
          <bgColor theme="7"/>
        </patternFill>
      </fill>
    </dxf>
    <dxf>
      <font>
        <b val="0"/>
        <i val="0"/>
        <color rgb="FFD0CECE"/>
      </font>
      <fill>
        <patternFill>
          <bgColor rgb="FF2C2B2B"/>
        </patternFill>
      </fill>
    </dxf>
    <dxf>
      <font>
        <b val="0"/>
        <i val="0"/>
        <color rgb="FFD0CECE"/>
      </font>
      <fill>
        <patternFill>
          <bgColor rgb="FF2C2B2B"/>
        </patternFill>
      </fill>
    </dxf>
    <dxf>
      <font>
        <b val="0"/>
        <i val="0"/>
        <color rgb="FFD0CECE"/>
      </font>
      <fill>
        <patternFill>
          <bgColor rgb="FF2C2B2B"/>
        </patternFill>
      </fill>
    </dxf>
    <dxf>
      <font>
        <color rgb="FF808080"/>
      </font>
      <fill>
        <patternFill>
          <bgColor theme="0" tint="-0.5"/>
        </patternFill>
      </fill>
    </dxf>
    <dxf>
      <font>
        <b val="0"/>
        <i val="0"/>
        <color rgb="FFD0CECE"/>
      </font>
      <fill>
        <patternFill>
          <bgColor rgb="FF2C2B2B"/>
        </patternFill>
      </fill>
    </dxf>
    <dxf>
      <font>
        <b val="0"/>
        <i val="0"/>
        <strike val="0"/>
        <color rgb="FFD0CECE"/>
      </font>
      <fill>
        <patternFill>
          <bgColor rgb="FF2C2B2B"/>
        </patternFill>
      </fill>
    </dxf>
    <dxf>
      <font>
        <b val="0"/>
        <i val="0"/>
        <color rgb="FFD0CECE"/>
      </font>
      <fill>
        <patternFill>
          <bgColor rgb="FF2C2B2B"/>
        </patternFill>
      </fill>
    </dxf>
    <dxf>
      <fill>
        <patternFill patternType="solid">
          <fgColor rgb="FF616C7F"/>
          <bgColor rgb="FF000000"/>
        </patternFill>
      </fill>
    </dxf>
    <dxf>
      <fill>
        <patternFill patternType="solid">
          <fgColor rgb="FF936348"/>
          <bgColor rgb="FF000000"/>
        </patternFill>
      </fill>
    </dxf>
    <dxf>
      <fill>
        <patternFill patternType="solid">
          <fgColor rgb="FF3973AB"/>
          <bgColor rgb="FF000000"/>
        </patternFill>
      </fill>
    </dxf>
    <dxf>
      <fill>
        <patternFill patternType="solid">
          <fgColor rgb="FF3E72A5"/>
          <bgColor rgb="FF000000"/>
        </patternFill>
      </fill>
    </dxf>
    <dxf>
      <fill>
        <patternFill patternType="solid">
          <fgColor rgb="FF526E8F"/>
          <bgColor rgb="FF000000"/>
        </patternFill>
      </fill>
    </dxf>
    <dxf>
      <fill>
        <patternFill patternType="solid">
          <fgColor rgb="FF576D8A"/>
          <bgColor rgb="FF000000"/>
        </patternFill>
      </fill>
    </dxf>
    <dxf>
      <fill>
        <patternFill patternType="solid">
          <fgColor rgb="FF756869"/>
          <bgColor rgb="FF000000"/>
        </patternFill>
      </fill>
    </dxf>
    <dxf>
      <fill>
        <patternFill patternType="solid">
          <fgColor rgb="FF7F665E"/>
          <bgColor rgb="FF000000"/>
        </patternFill>
      </fill>
    </dxf>
    <dxf>
      <fill>
        <patternFill patternType="solid">
          <fgColor rgb="FF896452"/>
          <bgColor rgb="FF000000"/>
        </patternFill>
      </fill>
    </dxf>
    <dxf>
      <fill>
        <patternFill patternType="solid">
          <fgColor rgb="FFBB5B1B"/>
          <bgColor rgb="FF000000"/>
        </patternFill>
      </fill>
    </dxf>
    <dxf>
      <fill>
        <patternFill patternType="solid">
          <fgColor rgb="FFC05A16"/>
          <bgColor rgb="FF000000"/>
        </patternFill>
      </fill>
    </dxf>
    <dxf>
      <fill>
        <patternFill patternType="solid">
          <fgColor rgb="FFD2710D"/>
          <bgColor rgb="FF000000"/>
        </patternFill>
      </fill>
    </dxf>
    <dxf>
      <fill>
        <patternFill patternType="solid">
          <fgColor rgb="FFDF8809"/>
          <bgColor rgb="FF000000"/>
        </patternFill>
      </fill>
    </dxf>
    <dxf>
      <fill>
        <patternFill patternType="solid">
          <fgColor rgb="FFEC9E05"/>
          <bgColor rgb="FF000000"/>
        </patternFill>
      </fill>
    </dxf>
    <dxf>
      <fill>
        <patternFill patternType="solid">
          <fgColor rgb="FFF9B501"/>
          <bgColor rgb="FF000000"/>
        </patternFill>
      </fill>
    </dxf>
    <dxf>
      <fill>
        <patternFill patternType="solid">
          <fgColor rgb="FF3973AA"/>
          <bgColor rgb="FF000000"/>
        </patternFill>
      </fill>
    </dxf>
    <dxf>
      <fill>
        <patternFill patternType="solid">
          <fgColor rgb="FF3F72A4"/>
          <bgColor rgb="FF000000"/>
        </patternFill>
      </fill>
    </dxf>
    <dxf>
      <fill>
        <patternFill patternType="solid">
          <fgColor rgb="FF44719E"/>
          <bgColor rgb="FF000000"/>
        </patternFill>
      </fill>
    </dxf>
    <dxf>
      <fill>
        <patternFill patternType="solid">
          <fgColor rgb="FF646B7B"/>
          <bgColor rgb="FF000000"/>
        </patternFill>
      </fill>
    </dxf>
    <dxf>
      <fill>
        <patternFill patternType="solid">
          <fgColor rgb="FF6F696F"/>
          <bgColor rgb="FF000000"/>
        </patternFill>
      </fill>
    </dxf>
    <dxf>
      <fill>
        <patternFill patternType="solid">
          <fgColor rgb="FF90634B"/>
          <bgColor rgb="FF000000"/>
        </patternFill>
      </fill>
    </dxf>
    <dxf>
      <fill>
        <patternFill patternType="solid">
          <fgColor rgb="FFBB5B1C"/>
          <bgColor rgb="FF000000"/>
        </patternFill>
      </fill>
    </dxf>
    <dxf>
      <fill>
        <patternFill patternType="solid">
          <fgColor rgb="FFDA7F0A"/>
          <bgColor rgb="FF000000"/>
        </patternFill>
      </fill>
    </dxf>
    <dxf>
      <fill>
        <patternFill patternType="solid">
          <fgColor rgb="FFEB9C06"/>
          <bgColor rgb="FF000000"/>
        </patternFill>
      </fill>
    </dxf>
    <dxf>
      <fill>
        <patternFill patternType="solid">
          <fgColor rgb="FFF3AB03"/>
          <bgColor rgb="FF000000"/>
        </patternFill>
      </fill>
    </dxf>
    <dxf>
      <font>
        <b val="0"/>
        <i val="0"/>
        <color rgb="FFD0CECE"/>
      </font>
      <fill>
        <patternFill>
          <bgColor rgb="FF2C2B2B"/>
        </patternFill>
      </fill>
    </dxf>
    <dxf>
      <font>
        <b val="0"/>
        <i val="0"/>
        <color rgb="FFD0CECE"/>
      </font>
      <fill>
        <patternFill>
          <bgColor rgb="FF2C2B2B"/>
        </patternFill>
      </fill>
    </dxf>
    <dxf>
      <font>
        <b val="0"/>
        <i val="0"/>
        <color rgb="FFD0CECE"/>
      </font>
      <fill>
        <patternFill>
          <bgColor rgb="FF2C2B2B"/>
        </patternFill>
      </fill>
    </dxf>
    <dxf>
      <font>
        <b val="0"/>
        <i val="0"/>
        <color rgb="FFD0CECE"/>
      </font>
      <fill>
        <patternFill>
          <bgColor rgb="FF2C2B2B"/>
        </patternFill>
      </fill>
    </dxf>
    <dxf>
      <font>
        <b val="0"/>
        <i val="0"/>
        <color rgb="FFD0CECE"/>
      </font>
      <fill>
        <patternFill>
          <bgColor rgb="FF2C2B2B"/>
        </patternFill>
      </fill>
    </dxf>
    <dxf>
      <font>
        <b val="0"/>
        <i val="0"/>
        <color rgb="FFD0CECE"/>
      </font>
      <fill>
        <patternFill>
          <bgColor theme="1" tint="0.3499"/>
        </patternFill>
      </fill>
    </dxf>
    <dxf>
      <font>
        <b val="0"/>
        <i val="0"/>
        <color rgb="FFD0CECE"/>
      </font>
      <fill>
        <patternFill>
          <bgColor rgb="FF403000"/>
        </patternFill>
      </fill>
    </dxf>
    <dxf>
      <fill>
        <patternFill>
          <bgColor rgb="FF00B050"/>
        </patternFill>
      </fill>
    </dxf>
    <dxf>
      <fill>
        <patternFill>
          <bgColor theme="9"/>
        </patternFill>
      </fill>
    </dxf>
    <dxf>
      <fill>
        <patternFill>
          <bgColor theme="8" tint="-0.25"/>
        </patternFill>
      </fill>
    </dxf>
    <dxf>
      <fill>
        <patternFill>
          <bgColor rgb="FF626B7E"/>
        </patternFill>
      </fill>
    </dxf>
    <dxf>
      <fill>
        <patternFill>
          <bgColor rgb="FF946247"/>
        </patternFill>
      </fill>
    </dxf>
    <dxf>
      <fill>
        <patternFill>
          <bgColor theme="5" tint="-0.25"/>
        </patternFill>
      </fill>
    </dxf>
    <dxf>
      <fill>
        <patternFill>
          <bgColor theme="7"/>
        </patternFill>
      </fill>
    </dxf>
    <dxf>
      <font>
        <b val="0"/>
        <i val="0"/>
        <color rgb="FFD0CECE"/>
      </font>
      <fill>
        <patternFill>
          <bgColor rgb="FF2C2B2B"/>
        </patternFill>
      </fill>
    </dxf>
    <dxf>
      <font>
        <b val="0"/>
        <i val="0"/>
        <color rgb="FFD0CECE"/>
      </font>
      <fill>
        <patternFill>
          <bgColor rgb="FF2C2B2B"/>
        </patternFill>
      </fill>
    </dxf>
    <dxf>
      <font>
        <b val="0"/>
        <i val="0"/>
        <color rgb="FFD0CECE"/>
      </font>
      <fill>
        <patternFill>
          <bgColor rgb="FF2C2B2B"/>
        </patternFill>
      </fill>
    </dxf>
    <dxf>
      <font>
        <color rgb="FF808080"/>
      </font>
      <fill>
        <patternFill>
          <bgColor theme="0" tint="-0.5"/>
        </patternFill>
      </fill>
    </dxf>
    <dxf>
      <font>
        <b val="0"/>
        <i val="0"/>
        <color rgb="FFD0CECE"/>
      </font>
      <fill>
        <patternFill>
          <bgColor rgb="FF2C2B2B"/>
        </patternFill>
      </fill>
    </dxf>
    <dxf>
      <font>
        <b val="0"/>
        <i val="0"/>
        <strike val="0"/>
        <color rgb="FFD0CECE"/>
      </font>
      <fill>
        <patternFill>
          <bgColor rgb="FF2C2B2B"/>
        </patternFill>
      </fill>
    </dxf>
    <dxf>
      <font>
        <b val="0"/>
        <i val="0"/>
        <color rgb="FFD0CECE"/>
      </font>
      <fill>
        <patternFill>
          <bgColor rgb="FF2C2B2B"/>
        </patternFill>
      </fill>
    </dxf>
    <dxf>
      <fill>
        <patternFill patternType="solid">
          <fgColor rgb="FF516E90"/>
          <bgColor rgb="FF000000"/>
        </patternFill>
      </fill>
    </dxf>
    <dxf>
      <fill>
        <patternFill patternType="solid">
          <fgColor rgb="FF5C6C84"/>
          <bgColor rgb="FF000000"/>
        </patternFill>
      </fill>
    </dxf>
    <dxf>
      <fill>
        <patternFill patternType="solid">
          <fgColor rgb="FF676A77"/>
          <bgColor rgb="FF000000"/>
        </patternFill>
      </fill>
    </dxf>
    <dxf>
      <fill>
        <patternFill patternType="solid">
          <fgColor rgb="FF73686B"/>
          <bgColor rgb="FF000000"/>
        </patternFill>
      </fill>
    </dxf>
    <dxf>
      <fill>
        <patternFill patternType="solid">
          <fgColor rgb="FF7E665E"/>
          <bgColor rgb="FF000000"/>
        </patternFill>
      </fill>
    </dxf>
    <dxf>
      <fill>
        <patternFill patternType="solid">
          <fgColor rgb="FFAC5E2D"/>
          <bgColor rgb="FF000000"/>
        </patternFill>
      </fill>
    </dxf>
    <dxf>
      <fill>
        <patternFill patternType="solid">
          <fgColor rgb="FFDC820A"/>
          <bgColor rgb="FF000000"/>
        </patternFill>
      </fill>
    </dxf>
    <dxf>
      <fill>
        <patternFill patternType="solid">
          <fgColor rgb="FFE18B08"/>
          <bgColor rgb="FF000000"/>
        </patternFill>
      </fill>
    </dxf>
    <dxf>
      <fill>
        <patternFill patternType="solid">
          <fgColor rgb="FFE69407"/>
          <bgColor rgb="FF000000"/>
        </patternFill>
      </fill>
    </dxf>
    <dxf>
      <fill>
        <patternFill patternType="solid">
          <fgColor rgb="FFEB9D05"/>
          <bgColor rgb="FF000000"/>
        </patternFill>
      </fill>
    </dxf>
    <dxf>
      <fill>
        <patternFill patternType="solid">
          <fgColor rgb="FFF5AF02"/>
          <bgColor rgb="FF000000"/>
        </patternFill>
      </fill>
    </dxf>
    <dxf>
      <fill>
        <patternFill patternType="solid">
          <fgColor rgb="FFFAB801"/>
          <bgColor rgb="FF000000"/>
        </patternFill>
      </fill>
    </dxf>
    <dxf>
      <fill>
        <patternFill patternType="solid">
          <fgColor rgb="FF4F6F92"/>
          <bgColor rgb="FF000000"/>
        </patternFill>
      </fill>
    </dxf>
    <dxf>
      <fill>
        <patternFill patternType="solid">
          <fgColor rgb="FF70696E"/>
          <bgColor rgb="FF000000"/>
        </patternFill>
      </fill>
    </dxf>
    <dxf>
      <fill>
        <patternFill patternType="solid">
          <fgColor rgb="FF80665C"/>
          <bgColor rgb="FF000000"/>
        </patternFill>
      </fill>
    </dxf>
    <dxf>
      <fill>
        <patternFill patternType="solid">
          <fgColor rgb="FF90634A"/>
          <bgColor rgb="FF000000"/>
        </patternFill>
      </fill>
    </dxf>
    <dxf>
      <fill>
        <patternFill patternType="solid">
          <fgColor rgb="FFA16039"/>
          <bgColor rgb="FF000000"/>
        </patternFill>
      </fill>
    </dxf>
    <dxf>
      <fill>
        <patternFill patternType="solid">
          <fgColor rgb="FFD3720D"/>
          <bgColor rgb="FF000000"/>
        </patternFill>
      </fill>
    </dxf>
    <dxf>
      <fill>
        <patternFill patternType="solid">
          <fgColor rgb="FFD6770C"/>
          <bgColor rgb="FF000000"/>
        </patternFill>
      </fill>
    </dxf>
    <dxf>
      <fill>
        <patternFill patternType="solid">
          <fgColor rgb="FFF7B102"/>
          <bgColor rgb="FF000000"/>
        </patternFill>
      </fill>
    </dxf>
    <dxf>
      <fill>
        <patternFill patternType="solid">
          <fgColor rgb="FFFAB601"/>
          <bgColor rgb="FF000000"/>
        </patternFill>
      </fill>
    </dxf>
    <dxf>
      <fill>
        <patternFill patternType="solid">
          <fgColor rgb="FFFDBB00"/>
          <bgColor rgb="FF000000"/>
        </patternFill>
      </fill>
    </dxf>
    <dxf>
      <font>
        <b val="0"/>
        <i val="0"/>
        <color rgb="FFD0CECE"/>
      </font>
      <fill>
        <patternFill>
          <bgColor rgb="FF2C2B2B"/>
        </patternFill>
      </fill>
    </dxf>
    <dxf>
      <font>
        <b val="0"/>
        <i val="0"/>
        <color rgb="FFD0CECE"/>
      </font>
      <fill>
        <patternFill>
          <bgColor rgb="FF2C2B2B"/>
        </patternFill>
      </fill>
    </dxf>
    <dxf>
      <font>
        <b val="0"/>
        <i val="0"/>
        <color rgb="FFD0CECE"/>
      </font>
      <fill>
        <patternFill>
          <bgColor rgb="FF2C2B2B"/>
        </patternFill>
      </fill>
    </dxf>
    <dxf>
      <font>
        <b val="0"/>
        <i val="0"/>
        <color rgb="FFD0CECE"/>
      </font>
      <fill>
        <patternFill>
          <bgColor rgb="FF2C2B2B"/>
        </patternFill>
      </fill>
    </dxf>
    <dxf>
      <font>
        <b val="0"/>
        <i val="0"/>
        <color rgb="FFD0CECE"/>
      </font>
      <fill>
        <patternFill>
          <bgColor rgb="FF2C2B2B"/>
        </patternFill>
      </fill>
    </dxf>
    <dxf>
      <font>
        <b val="0"/>
        <i val="0"/>
        <color rgb="FFD0CECE"/>
      </font>
      <fill>
        <patternFill>
          <bgColor theme="1" tint="0.3499"/>
        </patternFill>
      </fill>
    </dxf>
    <dxf>
      <font>
        <b val="0"/>
        <i val="0"/>
        <color rgb="FFD0CECE"/>
      </font>
      <fill>
        <patternFill>
          <bgColor rgb="FF403000"/>
        </patternFill>
      </fill>
    </dxf>
    <dxf>
      <fill>
        <patternFill>
          <bgColor rgb="FF00B050"/>
        </patternFill>
      </fill>
    </dxf>
    <dxf>
      <fill>
        <patternFill>
          <bgColor theme="9"/>
        </patternFill>
      </fill>
    </dxf>
    <dxf>
      <fill>
        <patternFill>
          <bgColor theme="8" tint="-0.25"/>
        </patternFill>
      </fill>
    </dxf>
    <dxf>
      <fill>
        <patternFill>
          <bgColor rgb="FF626B7E"/>
        </patternFill>
      </fill>
    </dxf>
    <dxf>
      <fill>
        <patternFill>
          <bgColor rgb="FF946247"/>
        </patternFill>
      </fill>
    </dxf>
    <dxf>
      <fill>
        <patternFill>
          <bgColor theme="5" tint="-0.25"/>
        </patternFill>
      </fill>
    </dxf>
    <dxf>
      <fill>
        <patternFill>
          <bgColor theme="7"/>
        </patternFill>
      </fill>
    </dxf>
    <dxf>
      <font>
        <b val="0"/>
        <i val="0"/>
        <color rgb="FFD0CECE"/>
      </font>
      <fill>
        <patternFill>
          <bgColor rgb="FF2C2B2B"/>
        </patternFill>
      </fill>
    </dxf>
    <dxf>
      <font>
        <b val="0"/>
        <i val="0"/>
        <color rgb="FFD0CECE"/>
      </font>
      <fill>
        <patternFill>
          <bgColor rgb="FF2C2B2B"/>
        </patternFill>
      </fill>
    </dxf>
    <dxf>
      <font>
        <b val="0"/>
        <i val="0"/>
        <color rgb="FFD0CECE"/>
      </font>
      <fill>
        <patternFill>
          <bgColor rgb="FF2C2B2B"/>
        </patternFill>
      </fill>
    </dxf>
    <dxf>
      <font>
        <color rgb="FF808080"/>
      </font>
      <fill>
        <patternFill>
          <bgColor theme="0" tint="-0.5"/>
        </patternFill>
      </fill>
    </dxf>
    <dxf>
      <font>
        <b val="0"/>
        <i val="0"/>
        <color rgb="FFD0CECE"/>
      </font>
      <fill>
        <patternFill>
          <bgColor rgb="FF2C2B2B"/>
        </patternFill>
      </fill>
    </dxf>
    <dxf>
      <font>
        <b val="0"/>
        <i val="0"/>
        <strike val="0"/>
        <color rgb="FFD0CECE"/>
      </font>
      <fill>
        <patternFill>
          <bgColor rgb="FF2C2B2B"/>
        </patternFill>
      </fill>
    </dxf>
    <dxf>
      <font>
        <b val="0"/>
        <i val="0"/>
        <color rgb="FFD0CECE"/>
      </font>
      <fill>
        <patternFill>
          <bgColor rgb="FF2C2B2B"/>
        </patternFill>
      </fill>
    </dxf>
    <dxf>
      <fill>
        <patternFill patternType="solid">
          <fgColor rgb="FF48709A"/>
          <bgColor rgb="FF000000"/>
        </patternFill>
      </fill>
    </dxf>
    <dxf>
      <fill>
        <patternFill patternType="solid">
          <fgColor rgb="FFAC5E2C"/>
          <bgColor rgb="FF000000"/>
        </patternFill>
      </fill>
    </dxf>
    <dxf>
      <fill>
        <patternFill patternType="solid">
          <fgColor rgb="FF3B72A8"/>
          <bgColor rgb="FF000000"/>
        </patternFill>
      </fill>
    </dxf>
    <dxf>
      <fill>
        <patternFill patternType="solid">
          <fgColor rgb="FF47709B"/>
          <bgColor rgb="FF000000"/>
        </patternFill>
      </fill>
    </dxf>
    <dxf>
      <fill>
        <patternFill patternType="solid">
          <fgColor rgb="FF606C80"/>
          <bgColor rgb="FF000000"/>
        </patternFill>
      </fill>
    </dxf>
    <dxf>
      <fill>
        <patternFill patternType="solid">
          <fgColor rgb="FF786765"/>
          <bgColor rgb="FF000000"/>
        </patternFill>
      </fill>
    </dxf>
    <dxf>
      <fill>
        <patternFill patternType="solid">
          <fgColor rgb="FFB65C21"/>
          <bgColor rgb="FF000000"/>
        </patternFill>
      </fill>
    </dxf>
    <dxf>
      <fill>
        <patternFill patternType="solid">
          <fgColor rgb="FFD77A0B"/>
          <bgColor rgb="FF000000"/>
        </patternFill>
      </fill>
    </dxf>
    <dxf>
      <fill>
        <patternFill patternType="solid">
          <fgColor rgb="FFF0A604"/>
          <bgColor rgb="FF000000"/>
        </patternFill>
      </fill>
    </dxf>
    <dxf>
      <font>
        <b val="0"/>
        <i val="0"/>
        <color rgb="FFD0CECE"/>
      </font>
      <fill>
        <patternFill>
          <bgColor rgb="FF2C2B2B"/>
        </patternFill>
      </fill>
    </dxf>
    <dxf>
      <font>
        <b val="0"/>
        <i val="0"/>
        <color rgb="FFD0CECE"/>
      </font>
      <fill>
        <patternFill>
          <bgColor rgb="FF2C2B2B"/>
        </patternFill>
      </fill>
    </dxf>
    <dxf>
      <font>
        <b val="0"/>
        <i val="0"/>
        <color rgb="FFD0CECE"/>
      </font>
      <fill>
        <patternFill>
          <bgColor rgb="FF2C2B2B"/>
        </patternFill>
      </fill>
    </dxf>
    <dxf>
      <font>
        <b val="0"/>
        <i val="0"/>
        <color rgb="FFD0CECE"/>
      </font>
      <fill>
        <patternFill>
          <bgColor rgb="FF2C2B2B"/>
        </patternFill>
      </fill>
    </dxf>
    <dxf>
      <font>
        <b val="0"/>
        <i val="0"/>
        <color rgb="FFD0CECE"/>
      </font>
      <fill>
        <patternFill>
          <bgColor rgb="FF2C2B2B"/>
        </patternFill>
      </fill>
    </dxf>
    <dxf>
      <font>
        <b val="0"/>
        <i val="0"/>
        <color rgb="FFD0CECE"/>
      </font>
      <fill>
        <patternFill>
          <bgColor theme="1" tint="0.3499"/>
        </patternFill>
      </fill>
    </dxf>
    <dxf>
      <font>
        <b val="0"/>
        <i val="0"/>
        <color rgb="FFD0CECE"/>
      </font>
      <fill>
        <patternFill>
          <bgColor rgb="FF403000"/>
        </patternFill>
      </fill>
    </dxf>
    <dxf>
      <fill>
        <patternFill>
          <bgColor rgb="FF00B050"/>
        </patternFill>
      </fill>
    </dxf>
    <dxf>
      <fill>
        <patternFill>
          <bgColor theme="9"/>
        </patternFill>
      </fill>
    </dxf>
    <dxf>
      <fill>
        <patternFill>
          <bgColor theme="8" tint="-0.25"/>
        </patternFill>
      </fill>
    </dxf>
    <dxf>
      <fill>
        <patternFill>
          <bgColor rgb="FF626B7E"/>
        </patternFill>
      </fill>
    </dxf>
    <dxf>
      <fill>
        <patternFill>
          <bgColor rgb="FF946247"/>
        </patternFill>
      </fill>
    </dxf>
    <dxf>
      <fill>
        <patternFill>
          <bgColor theme="5" tint="-0.25"/>
        </patternFill>
      </fill>
    </dxf>
    <dxf>
      <fill>
        <patternFill>
          <bgColor theme="7"/>
        </patternFill>
      </fill>
    </dxf>
    <dxf>
      <font>
        <b val="0"/>
        <i val="0"/>
        <color rgb="FFD0CECE"/>
      </font>
      <fill>
        <patternFill>
          <bgColor rgb="FF2C2B2B"/>
        </patternFill>
      </fill>
    </dxf>
    <dxf>
      <font>
        <b val="0"/>
        <i val="0"/>
        <color rgb="FFD0CECE"/>
      </font>
      <fill>
        <patternFill>
          <bgColor rgb="FF2C2B2B"/>
        </patternFill>
      </fill>
    </dxf>
    <dxf>
      <font>
        <b val="0"/>
        <i val="0"/>
        <color rgb="FFD0CECE"/>
      </font>
      <fill>
        <patternFill>
          <bgColor rgb="FF2C2B2B"/>
        </patternFill>
      </fill>
    </dxf>
    <dxf>
      <font>
        <color rgb="FF808080"/>
      </font>
      <fill>
        <patternFill>
          <bgColor theme="0" tint="-0.5"/>
        </patternFill>
      </fill>
    </dxf>
    <dxf>
      <font>
        <b val="0"/>
        <i val="0"/>
        <color rgb="FFD0CECE"/>
      </font>
      <fill>
        <patternFill>
          <bgColor rgb="FF2C2B2B"/>
        </patternFill>
      </fill>
    </dxf>
    <dxf>
      <font>
        <b val="0"/>
        <i val="0"/>
        <strike val="0"/>
        <color rgb="FFD0CECE"/>
      </font>
      <fill>
        <patternFill>
          <bgColor rgb="FF2C2B2B"/>
        </patternFill>
      </fill>
    </dxf>
    <dxf>
      <font>
        <b val="0"/>
        <i val="0"/>
        <color rgb="FFD0CECE"/>
      </font>
      <fill>
        <patternFill>
          <bgColor rgb="FF2C2B2B"/>
        </patternFill>
      </fill>
    </dxf>
    <dxf>
      <fill>
        <patternFill patternType="solid">
          <fgColor rgb="FF4B6F97"/>
          <bgColor rgb="FF000000"/>
        </patternFill>
      </fill>
    </dxf>
    <dxf>
      <fill>
        <patternFill patternType="solid">
          <fgColor rgb="FF5E6C82"/>
          <bgColor rgb="FF000000"/>
        </patternFill>
      </fill>
    </dxf>
    <dxf>
      <fill>
        <patternFill patternType="solid">
          <fgColor rgb="FF886454"/>
          <bgColor rgb="FF000000"/>
        </patternFill>
      </fill>
    </dxf>
    <dxf>
      <fill>
        <patternFill patternType="solid">
          <fgColor rgb="FF9B613F"/>
          <bgColor rgb="FF000000"/>
        </patternFill>
      </fill>
    </dxf>
    <dxf>
      <fill>
        <patternFill patternType="solid">
          <fgColor rgb="FFA0603A"/>
          <bgColor rgb="FF000000"/>
        </patternFill>
      </fill>
    </dxf>
    <dxf>
      <fill>
        <patternFill patternType="solid">
          <fgColor rgb="FFCB640F"/>
          <bgColor rgb="FF000000"/>
        </patternFill>
      </fill>
    </dxf>
    <dxf>
      <fill>
        <patternFill patternType="solid">
          <fgColor rgb="FFD06D0D"/>
          <bgColor rgb="FF000000"/>
        </patternFill>
      </fill>
    </dxf>
    <dxf>
      <fill>
        <patternFill patternType="solid">
          <fgColor rgb="FFDB800A"/>
          <bgColor rgb="FF000000"/>
        </patternFill>
      </fill>
    </dxf>
    <dxf>
      <fill>
        <patternFill patternType="solid">
          <fgColor rgb="FFE08909"/>
          <bgColor rgb="FF000000"/>
        </patternFill>
      </fill>
    </dxf>
    <dxf>
      <fill>
        <patternFill patternType="solid">
          <fgColor rgb="FFE59207"/>
          <bgColor rgb="FF000000"/>
        </patternFill>
      </fill>
    </dxf>
    <dxf>
      <fill>
        <patternFill patternType="solid">
          <fgColor rgb="FFFAB701"/>
          <bgColor rgb="FF000000"/>
        </patternFill>
      </fill>
    </dxf>
    <dxf>
      <fill>
        <patternFill patternType="solid">
          <fgColor rgb="FF746869"/>
          <bgColor rgb="FF000000"/>
        </patternFill>
      </fill>
    </dxf>
    <dxf>
      <fill>
        <patternFill patternType="solid">
          <fgColor rgb="FFC05B17"/>
          <bgColor rgb="FF000000"/>
        </patternFill>
      </fill>
    </dxf>
    <dxf>
      <fill>
        <patternFill patternType="solid">
          <fgColor rgb="FFD87A0B"/>
          <bgColor rgb="FF000000"/>
        </patternFill>
      </fill>
    </dxf>
    <dxf>
      <fill>
        <patternFill patternType="solid">
          <fgColor rgb="FFDB810A"/>
          <bgColor rgb="FF000000"/>
        </patternFill>
      </fill>
    </dxf>
    <dxf>
      <fill>
        <patternFill patternType="solid">
          <fgColor rgb="FFDF8709"/>
          <bgColor rgb="FF000000"/>
        </patternFill>
      </fill>
    </dxf>
    <dxf>
      <fill>
        <patternFill patternType="solid">
          <fgColor rgb="FFEA9A06"/>
          <bgColor rgb="FF000000"/>
        </patternFill>
      </fill>
    </dxf>
    <dxf>
      <fill>
        <patternFill patternType="solid">
          <fgColor rgb="FFEDA105"/>
          <bgColor rgb="FF000000"/>
        </patternFill>
      </fill>
    </dxf>
    <dxf>
      <fill>
        <patternFill patternType="solid">
          <fgColor rgb="FFF1A704"/>
          <bgColor rgb="FF000000"/>
        </patternFill>
      </fill>
    </dxf>
    <dxf>
      <fill>
        <patternFill patternType="solid">
          <fgColor rgb="FFF5AD03"/>
          <bgColor rgb="FF000000"/>
        </patternFill>
      </fill>
    </dxf>
    <dxf>
      <fill>
        <patternFill patternType="solid">
          <fgColor rgb="FFF8B402"/>
          <bgColor rgb="FF000000"/>
        </patternFill>
      </fill>
    </dxf>
    <dxf>
      <font>
        <b val="0"/>
        <i val="0"/>
        <color rgb="FFD0CECE"/>
      </font>
      <fill>
        <patternFill>
          <bgColor rgb="FF2C2B2B"/>
        </patternFill>
      </fill>
    </dxf>
    <dxf>
      <font>
        <b val="0"/>
        <i val="0"/>
        <color rgb="FFD0CECE"/>
      </font>
      <fill>
        <patternFill>
          <bgColor rgb="FF2C2B2B"/>
        </patternFill>
      </fill>
    </dxf>
    <dxf>
      <font>
        <b val="0"/>
        <i val="0"/>
        <color rgb="FFD0CECE"/>
      </font>
      <fill>
        <patternFill>
          <bgColor rgb="FF2C2B2B"/>
        </patternFill>
      </fill>
    </dxf>
    <dxf>
      <font>
        <b val="0"/>
        <i val="0"/>
        <color rgb="FFD0CECE"/>
      </font>
      <fill>
        <patternFill>
          <bgColor rgb="FF2C2B2B"/>
        </patternFill>
      </fill>
    </dxf>
    <dxf>
      <font>
        <b val="0"/>
        <i val="0"/>
        <color rgb="FFD0CECE"/>
      </font>
      <fill>
        <patternFill>
          <bgColor rgb="FF2C2B2B"/>
        </patternFill>
      </fill>
    </dxf>
    <dxf>
      <font>
        <b val="0"/>
        <i val="0"/>
        <color rgb="FFD0CECE"/>
      </font>
      <fill>
        <patternFill>
          <bgColor theme="1" tint="0.3499"/>
        </patternFill>
      </fill>
    </dxf>
    <dxf>
      <font>
        <b val="0"/>
        <i val="0"/>
        <color rgb="FFD0CECE"/>
      </font>
      <fill>
        <patternFill>
          <bgColor rgb="FF403000"/>
        </patternFill>
      </fill>
    </dxf>
    <dxf>
      <fill>
        <patternFill>
          <bgColor rgb="FF00B050"/>
        </patternFill>
      </fill>
    </dxf>
    <dxf>
      <fill>
        <patternFill>
          <bgColor theme="9"/>
        </patternFill>
      </fill>
    </dxf>
    <dxf>
      <fill>
        <patternFill>
          <bgColor theme="8" tint="-0.25"/>
        </patternFill>
      </fill>
    </dxf>
    <dxf>
      <fill>
        <patternFill>
          <bgColor rgb="FF626B7E"/>
        </patternFill>
      </fill>
    </dxf>
    <dxf>
      <fill>
        <patternFill>
          <bgColor rgb="FF946247"/>
        </patternFill>
      </fill>
    </dxf>
    <dxf>
      <fill>
        <patternFill>
          <bgColor theme="5" tint="-0.25"/>
        </patternFill>
      </fill>
    </dxf>
    <dxf>
      <fill>
        <patternFill>
          <bgColor theme="7"/>
        </patternFill>
      </fill>
    </dxf>
    <dxf>
      <font>
        <b val="0"/>
        <i val="0"/>
        <color rgb="FFD0CECE"/>
      </font>
      <fill>
        <patternFill>
          <bgColor rgb="FF2C2B2B"/>
        </patternFill>
      </fill>
    </dxf>
    <dxf>
      <font>
        <b val="0"/>
        <i val="0"/>
        <color rgb="FFD0CECE"/>
      </font>
      <fill>
        <patternFill>
          <bgColor rgb="FF2C2B2B"/>
        </patternFill>
      </fill>
    </dxf>
    <dxf>
      <font>
        <b val="0"/>
        <i val="0"/>
        <color rgb="FFD0CECE"/>
      </font>
      <fill>
        <patternFill>
          <bgColor rgb="FF2C2B2B"/>
        </patternFill>
      </fill>
    </dxf>
    <dxf>
      <font>
        <color rgb="FF808080"/>
      </font>
      <fill>
        <patternFill>
          <bgColor theme="0" tint="-0.5"/>
        </patternFill>
      </fill>
    </dxf>
    <dxf>
      <font>
        <b val="0"/>
        <i val="0"/>
        <color rgb="FFD0CECE"/>
      </font>
      <fill>
        <patternFill>
          <bgColor rgb="FF2C2B2B"/>
        </patternFill>
      </fill>
    </dxf>
    <dxf>
      <font>
        <b val="0"/>
        <i val="0"/>
        <strike val="0"/>
        <color rgb="FFD0CECE"/>
      </font>
      <fill>
        <patternFill>
          <bgColor rgb="FF2C2B2B"/>
        </patternFill>
      </fill>
    </dxf>
    <dxf>
      <font>
        <b val="0"/>
        <i val="0"/>
        <color rgb="FFD0CECE"/>
      </font>
      <fill>
        <patternFill>
          <bgColor rgb="FF2C2B2B"/>
        </patternFill>
      </fill>
    </dxf>
    <dxf>
      <fill>
        <patternFill patternType="solid">
          <fgColor rgb="FF656B7A"/>
          <bgColor rgb="FF000000"/>
        </patternFill>
      </fill>
    </dxf>
    <dxf>
      <fill>
        <patternFill patternType="solid">
          <fgColor rgb="FF72696C"/>
          <bgColor rgb="FF000000"/>
        </patternFill>
      </fill>
    </dxf>
    <dxf>
      <fill>
        <patternFill patternType="solid">
          <fgColor rgb="FF766868"/>
          <bgColor rgb="FF000000"/>
        </patternFill>
      </fill>
    </dxf>
    <dxf>
      <fill>
        <patternFill patternType="solid">
          <fgColor rgb="FF876555"/>
          <bgColor rgb="FF000000"/>
        </patternFill>
      </fill>
    </dxf>
    <dxf>
      <fill>
        <patternFill patternType="solid">
          <fgColor rgb="FF8B6451"/>
          <bgColor rgb="FF000000"/>
        </patternFill>
      </fill>
    </dxf>
    <dxf>
      <fill>
        <patternFill patternType="solid">
          <fgColor rgb="FF936247"/>
          <bgColor rgb="FF000000"/>
        </patternFill>
      </fill>
    </dxf>
    <dxf>
      <fill>
        <patternFill patternType="solid">
          <fgColor rgb="FF636B7C"/>
          <bgColor rgb="FF000000"/>
        </patternFill>
      </fill>
    </dxf>
    <dxf>
      <fill>
        <patternFill patternType="solid">
          <fgColor rgb="FF72686B"/>
          <bgColor rgb="FF000000"/>
        </patternFill>
      </fill>
    </dxf>
    <dxf>
      <fill>
        <patternFill patternType="solid">
          <fgColor rgb="FF82665B"/>
          <bgColor rgb="FF000000"/>
        </patternFill>
      </fill>
    </dxf>
    <dxf>
      <fill>
        <patternFill patternType="solid">
          <fgColor rgb="FF896453"/>
          <bgColor rgb="FF000000"/>
        </patternFill>
      </fill>
    </dxf>
    <dxf>
      <fill>
        <patternFill patternType="solid">
          <fgColor rgb="FF8D644E"/>
          <bgColor rgb="FF000000"/>
        </patternFill>
      </fill>
    </dxf>
    <dxf>
      <fill>
        <patternFill patternType="solid">
          <fgColor rgb="FF986242"/>
          <bgColor rgb="FF000000"/>
        </patternFill>
      </fill>
    </dxf>
    <dxf>
      <fill>
        <patternFill patternType="solid">
          <fgColor rgb="FF9C613E"/>
          <bgColor rgb="FF000000"/>
        </patternFill>
      </fill>
    </dxf>
    <dxf>
      <font>
        <b val="0"/>
        <i val="0"/>
        <color rgb="FFD0CECE"/>
      </font>
      <fill>
        <patternFill>
          <bgColor rgb="FF2C2B2B"/>
        </patternFill>
      </fill>
    </dxf>
    <dxf>
      <font>
        <b val="0"/>
        <i val="0"/>
        <color rgb="FFD0CECE"/>
      </font>
      <fill>
        <patternFill>
          <bgColor rgb="FF2C2B2B"/>
        </patternFill>
      </fill>
    </dxf>
    <dxf>
      <font>
        <b val="0"/>
        <i val="0"/>
        <color rgb="FFD0CECE"/>
      </font>
      <fill>
        <patternFill>
          <bgColor rgb="FF2C2B2B"/>
        </patternFill>
      </fill>
    </dxf>
    <dxf>
      <font>
        <b val="0"/>
        <i val="0"/>
        <color rgb="FFD0CECE"/>
      </font>
      <fill>
        <patternFill>
          <bgColor rgb="FF2C2B2B"/>
        </patternFill>
      </fill>
    </dxf>
    <dxf>
      <font>
        <b val="0"/>
        <i val="0"/>
        <color rgb="FFD0CECE"/>
      </font>
      <fill>
        <patternFill>
          <bgColor rgb="FF2C2B2B"/>
        </patternFill>
      </fill>
    </dxf>
    <dxf>
      <font>
        <b val="0"/>
        <i val="0"/>
        <color rgb="FFD0CECE"/>
      </font>
      <fill>
        <patternFill>
          <bgColor theme="1" tint="0.3499"/>
        </patternFill>
      </fill>
    </dxf>
    <dxf>
      <font>
        <b val="0"/>
        <i val="0"/>
        <color rgb="FFD0CECE"/>
      </font>
      <fill>
        <patternFill>
          <bgColor rgb="FF403000"/>
        </patternFill>
      </fill>
    </dxf>
    <dxf>
      <fill>
        <patternFill>
          <bgColor rgb="FF00B050"/>
        </patternFill>
      </fill>
    </dxf>
    <dxf>
      <fill>
        <patternFill>
          <bgColor theme="9"/>
        </patternFill>
      </fill>
    </dxf>
    <dxf>
      <fill>
        <patternFill>
          <bgColor theme="8" tint="-0.25"/>
        </patternFill>
      </fill>
    </dxf>
    <dxf>
      <fill>
        <patternFill>
          <bgColor rgb="FF626B7E"/>
        </patternFill>
      </fill>
    </dxf>
    <dxf>
      <fill>
        <patternFill>
          <bgColor rgb="FF946247"/>
        </patternFill>
      </fill>
    </dxf>
    <dxf>
      <fill>
        <patternFill>
          <bgColor theme="5" tint="-0.25"/>
        </patternFill>
      </fill>
    </dxf>
    <dxf>
      <fill>
        <patternFill>
          <bgColor theme="7"/>
        </patternFill>
      </fill>
    </dxf>
    <dxf>
      <font>
        <b val="0"/>
        <i val="0"/>
        <color rgb="FFD0CECE"/>
      </font>
      <fill>
        <patternFill>
          <bgColor rgb="FF2C2B2B"/>
        </patternFill>
      </fill>
    </dxf>
    <dxf>
      <font>
        <b val="0"/>
        <i val="0"/>
        <color rgb="FFD0CECE"/>
      </font>
      <fill>
        <patternFill>
          <bgColor rgb="FF2C2B2B"/>
        </patternFill>
      </fill>
    </dxf>
    <dxf>
      <font>
        <b val="0"/>
        <i val="0"/>
        <color rgb="FFD0CECE"/>
      </font>
      <fill>
        <patternFill>
          <bgColor rgb="FF2C2B2B"/>
        </patternFill>
      </fill>
    </dxf>
    <dxf>
      <font>
        <color rgb="FF808080"/>
      </font>
      <fill>
        <patternFill>
          <bgColor theme="0" tint="-0.5"/>
        </patternFill>
      </fill>
    </dxf>
    <dxf>
      <font>
        <b val="0"/>
        <i val="0"/>
        <color rgb="FFD0CECE"/>
      </font>
      <fill>
        <patternFill>
          <bgColor rgb="FF2C2B2B"/>
        </patternFill>
      </fill>
    </dxf>
    <dxf>
      <font>
        <b val="0"/>
        <i val="0"/>
        <strike val="0"/>
        <color rgb="FFD0CECE"/>
      </font>
      <fill>
        <patternFill>
          <bgColor rgb="FF2C2B2B"/>
        </patternFill>
      </fill>
    </dxf>
    <dxf>
      <font>
        <b val="0"/>
        <i val="0"/>
        <color rgb="FFD0CECE"/>
      </font>
      <fill>
        <patternFill>
          <bgColor rgb="FF2C2B2B"/>
        </patternFill>
      </fill>
    </dxf>
    <dxf>
      <fill>
        <patternFill patternType="solid">
          <fgColor rgb="FF5F6C80"/>
          <bgColor rgb="FF000000"/>
        </patternFill>
      </fill>
    </dxf>
    <dxf>
      <fill>
        <patternFill patternType="solid">
          <fgColor rgb="FF7C6760"/>
          <bgColor rgb="FF000000"/>
        </patternFill>
      </fill>
    </dxf>
    <dxf>
      <fill>
        <patternFill patternType="solid">
          <fgColor rgb="FFAD5E2B"/>
          <bgColor rgb="FF000000"/>
        </patternFill>
      </fill>
    </dxf>
    <dxf>
      <fill>
        <patternFill patternType="solid">
          <fgColor rgb="FFC15A16"/>
          <bgColor rgb="FF000000"/>
        </patternFill>
      </fill>
    </dxf>
    <dxf>
      <fill>
        <patternFill patternType="solid">
          <fgColor rgb="FFCD670E"/>
          <bgColor rgb="FF000000"/>
        </patternFill>
      </fill>
    </dxf>
    <dxf>
      <fill>
        <patternFill patternType="solid">
          <fgColor rgb="FFD4740C"/>
          <bgColor rgb="FF000000"/>
        </patternFill>
      </fill>
    </dxf>
    <dxf>
      <fill>
        <patternFill patternType="solid">
          <fgColor rgb="FF5A6D86"/>
          <bgColor rgb="FF000000"/>
        </patternFill>
      </fill>
    </dxf>
    <dxf>
      <font>
        <b val="0"/>
        <i val="0"/>
        <color rgb="FFD0CECE"/>
      </font>
      <fill>
        <patternFill>
          <bgColor rgb="FF2C2B2B"/>
        </patternFill>
      </fill>
    </dxf>
    <dxf>
      <font>
        <b val="0"/>
        <i val="0"/>
        <color rgb="FFD0CECE"/>
      </font>
      <fill>
        <patternFill>
          <bgColor rgb="FF2C2B2B"/>
        </patternFill>
      </fill>
    </dxf>
    <dxf>
      <font>
        <b val="0"/>
        <i val="0"/>
        <color rgb="FFD0CECE"/>
      </font>
      <fill>
        <patternFill>
          <bgColor rgb="FF2C2B2B"/>
        </patternFill>
      </fill>
    </dxf>
    <dxf>
      <font>
        <b val="0"/>
        <i val="0"/>
        <color rgb="FFD0CECE"/>
      </font>
      <fill>
        <patternFill>
          <bgColor rgb="FF2C2B2B"/>
        </patternFill>
      </fill>
    </dxf>
    <dxf>
      <font>
        <b val="0"/>
        <i val="0"/>
        <color rgb="FFD0CECE"/>
      </font>
      <fill>
        <patternFill>
          <bgColor rgb="FF2C2B2B"/>
        </patternFill>
      </fill>
    </dxf>
    <dxf>
      <font>
        <b val="0"/>
        <i val="0"/>
        <color rgb="FFD0CECE"/>
      </font>
      <fill>
        <patternFill>
          <bgColor theme="1" tint="0.3499"/>
        </patternFill>
      </fill>
    </dxf>
    <dxf>
      <font>
        <b val="0"/>
        <i val="0"/>
        <color rgb="FFD0CECE"/>
      </font>
      <fill>
        <patternFill>
          <bgColor rgb="FF403000"/>
        </patternFill>
      </fill>
    </dxf>
    <dxf>
      <fill>
        <patternFill>
          <bgColor rgb="FF00B050"/>
        </patternFill>
      </fill>
    </dxf>
    <dxf>
      <fill>
        <patternFill>
          <bgColor theme="9"/>
        </patternFill>
      </fill>
    </dxf>
    <dxf>
      <fill>
        <patternFill>
          <bgColor theme="8" tint="-0.25"/>
        </patternFill>
      </fill>
    </dxf>
    <dxf>
      <fill>
        <patternFill>
          <bgColor rgb="FF626B7E"/>
        </patternFill>
      </fill>
    </dxf>
    <dxf>
      <fill>
        <patternFill>
          <bgColor rgb="FF946247"/>
        </patternFill>
      </fill>
    </dxf>
    <dxf>
      <fill>
        <patternFill>
          <bgColor theme="5" tint="-0.25"/>
        </patternFill>
      </fill>
    </dxf>
    <dxf>
      <fill>
        <patternFill>
          <bgColor theme="7"/>
        </patternFill>
      </fill>
    </dxf>
    <dxf>
      <font>
        <b val="0"/>
        <i val="0"/>
        <color rgb="FFD0CECE"/>
      </font>
      <fill>
        <patternFill>
          <bgColor rgb="FF2C2B2B"/>
        </patternFill>
      </fill>
    </dxf>
    <dxf>
      <font>
        <b val="0"/>
        <i val="0"/>
        <color rgb="FFD0CECE"/>
      </font>
      <fill>
        <patternFill>
          <bgColor rgb="FF2C2B2B"/>
        </patternFill>
      </fill>
    </dxf>
    <dxf>
      <font>
        <b val="0"/>
        <i val="0"/>
        <color rgb="FFD0CECE"/>
      </font>
      <fill>
        <patternFill>
          <bgColor rgb="FF2C2B2B"/>
        </patternFill>
      </fill>
    </dxf>
    <dxf>
      <font>
        <color rgb="FF808080"/>
      </font>
      <fill>
        <patternFill>
          <bgColor theme="0" tint="-0.5"/>
        </patternFill>
      </fill>
    </dxf>
    <dxf>
      <font>
        <b val="0"/>
        <i val="0"/>
        <color rgb="FFD0CECE"/>
      </font>
      <fill>
        <patternFill>
          <bgColor rgb="FF2C2B2B"/>
        </patternFill>
      </fill>
    </dxf>
    <dxf>
      <font>
        <b val="0"/>
        <i val="0"/>
        <strike val="0"/>
        <color rgb="FFD0CECE"/>
      </font>
      <fill>
        <patternFill>
          <bgColor rgb="FF2C2B2B"/>
        </patternFill>
      </fill>
    </dxf>
    <dxf>
      <font>
        <b val="0"/>
        <i val="0"/>
        <color rgb="FFD0CECE"/>
      </font>
      <fill>
        <patternFill>
          <bgColor rgb="FF2C2B2B"/>
        </patternFill>
      </fill>
    </dxf>
    <dxf>
      <fill>
        <patternFill patternType="solid">
          <fgColor rgb="FF536E8D"/>
          <bgColor rgb="FF000000"/>
        </patternFill>
      </fill>
    </dxf>
    <dxf>
      <fill>
        <patternFill patternType="solid">
          <fgColor rgb="FF646B7C"/>
          <bgColor rgb="FF000000"/>
        </patternFill>
      </fill>
    </dxf>
    <dxf>
      <fill>
        <patternFill patternType="solid">
          <fgColor rgb="FF6C6A73"/>
          <bgColor rgb="FF000000"/>
        </patternFill>
      </fill>
    </dxf>
    <dxf>
      <fill>
        <patternFill patternType="solid">
          <fgColor rgb="FF7C6761"/>
          <bgColor rgb="FF000000"/>
        </patternFill>
      </fill>
    </dxf>
    <dxf>
      <fill>
        <patternFill patternType="solid">
          <fgColor rgb="FF846558"/>
          <bgColor rgb="FF000000"/>
        </patternFill>
      </fill>
    </dxf>
    <dxf>
      <fill>
        <patternFill patternType="solid">
          <fgColor rgb="FF8C644F"/>
          <bgColor rgb="FF000000"/>
        </patternFill>
      </fill>
    </dxf>
    <dxf>
      <fill>
        <patternFill patternType="solid">
          <fgColor rgb="FF956246"/>
          <bgColor rgb="FF000000"/>
        </patternFill>
      </fill>
    </dxf>
    <dxf>
      <fill>
        <patternFill patternType="solid">
          <fgColor rgb="FF996242"/>
          <bgColor rgb="FF000000"/>
        </patternFill>
      </fill>
    </dxf>
    <dxf>
      <fill>
        <patternFill patternType="solid">
          <fgColor rgb="FFA55F34"/>
          <bgColor rgb="FF000000"/>
        </patternFill>
      </fill>
    </dxf>
    <dxf>
      <fill>
        <patternFill patternType="solid">
          <fgColor rgb="FFC15A15"/>
          <bgColor rgb="FF000000"/>
        </patternFill>
      </fill>
    </dxf>
    <dxf>
      <fill>
        <patternFill patternType="solid">
          <fgColor rgb="FFD2700D"/>
          <bgColor rgb="FF000000"/>
        </patternFill>
      </fill>
    </dxf>
    <dxf>
      <fill>
        <patternFill patternType="solid">
          <fgColor rgb="FF3F71A3"/>
          <bgColor rgb="FF000000"/>
        </patternFill>
      </fill>
    </dxf>
    <dxf>
      <fill>
        <patternFill patternType="solid">
          <fgColor rgb="FF43719F"/>
          <bgColor rgb="FF000000"/>
        </patternFill>
      </fill>
    </dxf>
    <dxf>
      <fill>
        <patternFill patternType="solid">
          <fgColor rgb="FF586D88"/>
          <bgColor rgb="FF000000"/>
        </patternFill>
      </fill>
    </dxf>
    <dxf>
      <fill>
        <patternFill patternType="solid">
          <fgColor rgb="FF6D6971"/>
          <bgColor rgb="FF000000"/>
        </patternFill>
      </fill>
    </dxf>
    <dxf>
      <fill>
        <patternFill patternType="solid">
          <fgColor rgb="FF8F634C"/>
          <bgColor rgb="FF000000"/>
        </patternFill>
      </fill>
    </dxf>
    <dxf>
      <fill>
        <patternFill patternType="solid">
          <fgColor rgb="FF976243"/>
          <bgColor rgb="FF000000"/>
        </patternFill>
      </fill>
    </dxf>
    <dxf>
      <fill>
        <patternFill patternType="solid">
          <fgColor rgb="FFA45F35"/>
          <bgColor rgb="FF000000"/>
        </patternFill>
      </fill>
    </dxf>
    <dxf>
      <fill>
        <patternFill patternType="solid">
          <fgColor rgb="FFC9610F"/>
          <bgColor rgb="FF000000"/>
        </patternFill>
      </fill>
    </dxf>
    <dxf>
      <fill>
        <patternFill patternType="solid">
          <fgColor rgb="FFD16F0D"/>
          <bgColor rgb="FF000000"/>
        </patternFill>
      </fill>
    </dxf>
    <dxf>
      <fill>
        <patternFill patternType="solid">
          <fgColor rgb="FFE89806"/>
          <bgColor rgb="FF000000"/>
        </patternFill>
      </fill>
    </dxf>
    <dxf>
      <fill>
        <patternFill patternType="solid">
          <fgColor rgb="FFF4AC03"/>
          <bgColor rgb="FF000000"/>
        </patternFill>
      </fill>
    </dxf>
    <dxf>
      <font>
        <b val="0"/>
        <i val="0"/>
        <color rgb="FFD0CECE"/>
      </font>
      <fill>
        <patternFill>
          <bgColor rgb="FF2C2B2B"/>
        </patternFill>
      </fill>
    </dxf>
    <dxf>
      <font>
        <b val="0"/>
        <i val="0"/>
        <color rgb="FFD0CECE"/>
      </font>
      <fill>
        <patternFill>
          <bgColor rgb="FF2C2B2B"/>
        </patternFill>
      </fill>
    </dxf>
    <dxf>
      <font>
        <b val="0"/>
        <i val="0"/>
        <color rgb="FFD0CECE"/>
      </font>
      <fill>
        <patternFill>
          <bgColor rgb="FF2C2B2B"/>
        </patternFill>
      </fill>
    </dxf>
    <dxf>
      <font>
        <b val="0"/>
        <i val="0"/>
        <color rgb="FFD0CECE"/>
      </font>
      <fill>
        <patternFill>
          <bgColor rgb="FF2C2B2B"/>
        </patternFill>
      </fill>
    </dxf>
    <dxf>
      <font>
        <b val="0"/>
        <i val="0"/>
        <color rgb="FFD0CECE"/>
      </font>
      <fill>
        <patternFill>
          <bgColor rgb="FF2C2B2B"/>
        </patternFill>
      </fill>
    </dxf>
    <dxf>
      <font>
        <b val="0"/>
        <i val="0"/>
        <color rgb="FFD0CECE"/>
      </font>
      <fill>
        <patternFill>
          <bgColor theme="1" tint="0.3499"/>
        </patternFill>
      </fill>
    </dxf>
    <dxf>
      <font>
        <b val="0"/>
        <i val="0"/>
        <color rgb="FFD0CECE"/>
      </font>
      <fill>
        <patternFill>
          <bgColor rgb="FF403000"/>
        </patternFill>
      </fill>
    </dxf>
    <dxf>
      <fill>
        <patternFill>
          <bgColor rgb="FF00B050"/>
        </patternFill>
      </fill>
    </dxf>
    <dxf>
      <fill>
        <patternFill>
          <bgColor theme="9"/>
        </patternFill>
      </fill>
    </dxf>
    <dxf>
      <fill>
        <patternFill>
          <bgColor theme="8" tint="-0.25"/>
        </patternFill>
      </fill>
    </dxf>
    <dxf>
      <fill>
        <patternFill>
          <bgColor rgb="FF626B7E"/>
        </patternFill>
      </fill>
    </dxf>
    <dxf>
      <fill>
        <patternFill>
          <bgColor rgb="FF946247"/>
        </patternFill>
      </fill>
    </dxf>
    <dxf>
      <fill>
        <patternFill>
          <bgColor theme="5" tint="-0.25"/>
        </patternFill>
      </fill>
    </dxf>
    <dxf>
      <fill>
        <patternFill>
          <bgColor theme="7"/>
        </patternFill>
      </fill>
    </dxf>
    <dxf>
      <font>
        <b val="0"/>
        <i val="0"/>
        <color rgb="FFD0CECE"/>
      </font>
      <fill>
        <patternFill>
          <bgColor rgb="FF2C2B2B"/>
        </patternFill>
      </fill>
    </dxf>
    <dxf>
      <font>
        <b val="0"/>
        <i val="0"/>
        <color rgb="FFD0CECE"/>
      </font>
      <fill>
        <patternFill>
          <bgColor rgb="FF2C2B2B"/>
        </patternFill>
      </fill>
    </dxf>
    <dxf>
      <font>
        <b val="0"/>
        <i val="0"/>
        <color rgb="FFD0CECE"/>
      </font>
      <fill>
        <patternFill>
          <bgColor rgb="FF2C2B2B"/>
        </patternFill>
      </fill>
    </dxf>
    <dxf>
      <font>
        <color rgb="FF808080"/>
      </font>
      <fill>
        <patternFill>
          <bgColor theme="0" tint="-0.5"/>
        </patternFill>
      </fill>
    </dxf>
    <dxf>
      <font>
        <b val="0"/>
        <i val="0"/>
        <color rgb="FFD0CECE"/>
      </font>
      <fill>
        <patternFill>
          <bgColor rgb="FF2C2B2B"/>
        </patternFill>
      </fill>
    </dxf>
    <dxf>
      <font>
        <b val="0"/>
        <i val="0"/>
        <strike val="0"/>
        <color rgb="FFD0CECE"/>
      </font>
      <fill>
        <patternFill>
          <bgColor rgb="FF2C2B2B"/>
        </patternFill>
      </fill>
    </dxf>
    <dxf>
      <font>
        <b val="0"/>
        <i val="0"/>
        <color rgb="FFD0CECE"/>
      </font>
      <fill>
        <patternFill>
          <bgColor rgb="FF2C2B2B"/>
        </patternFill>
      </fill>
    </dxf>
    <dxf>
      <fill>
        <patternFill patternType="solid">
          <fgColor rgb="FFDE8509"/>
          <bgColor rgb="FF000000"/>
        </patternFill>
      </fill>
    </dxf>
    <dxf>
      <fill>
        <patternFill patternType="solid">
          <fgColor rgb="FFF6AF02"/>
          <bgColor rgb="FF000000"/>
        </patternFill>
      </fill>
    </dxf>
    <dxf>
      <fill>
        <patternFill patternType="solid">
          <fgColor rgb="FF666B78"/>
          <bgColor rgb="FF000000"/>
        </patternFill>
      </fill>
    </dxf>
    <dxf>
      <fill>
        <patternFill patternType="solid">
          <fgColor rgb="FFB55D23"/>
          <bgColor rgb="FF000000"/>
        </patternFill>
      </fill>
    </dxf>
    <dxf>
      <fill>
        <patternFill patternType="solid">
          <fgColor rgb="FF616B7E"/>
          <bgColor rgb="FF000000"/>
        </patternFill>
      </fill>
    </dxf>
    <dxf>
      <fill>
        <patternFill patternType="solid">
          <fgColor rgb="FFFFD966"/>
          <bgColor rgb="FF000000"/>
        </patternFill>
      </fill>
    </dxf>
    <dxf>
      <fill>
        <patternFill patternType="solid">
          <fgColor rgb="FFC00000"/>
          <bgColor rgb="FF000000"/>
        </patternFill>
      </fill>
    </dxf>
    <dxf>
      <font>
        <b val="0"/>
        <i val="0"/>
        <color rgb="FFD0CECE"/>
      </font>
      <fill>
        <patternFill>
          <bgColor rgb="FF2C2B2B"/>
        </patternFill>
      </fill>
    </dxf>
    <dxf>
      <font>
        <b val="0"/>
        <i val="0"/>
        <color rgb="FFD0CECE"/>
      </font>
      <fill>
        <patternFill>
          <bgColor rgb="FF2C2B2B"/>
        </patternFill>
      </fill>
    </dxf>
    <dxf>
      <font>
        <b val="0"/>
        <i val="0"/>
        <color rgb="FFD0CECE"/>
      </font>
      <fill>
        <patternFill>
          <bgColor rgb="FF2C2B2B"/>
        </patternFill>
      </fill>
    </dxf>
    <dxf>
      <font>
        <b val="0"/>
        <i val="0"/>
        <color rgb="FFD0CECE"/>
      </font>
      <fill>
        <patternFill>
          <bgColor rgb="FF2C2B2B"/>
        </patternFill>
      </fill>
    </dxf>
    <dxf>
      <font>
        <b val="0"/>
        <i val="0"/>
        <color rgb="FFD0CECE"/>
      </font>
      <fill>
        <patternFill>
          <bgColor rgb="FF2C2B2B"/>
        </patternFill>
      </fill>
    </dxf>
    <dxf>
      <font>
        <b val="0"/>
        <i val="0"/>
        <color rgb="FFD0CECE"/>
      </font>
      <fill>
        <patternFill>
          <bgColor theme="1" tint="0.3499"/>
        </patternFill>
      </fill>
    </dxf>
    <dxf>
      <font>
        <b val="0"/>
        <i val="0"/>
        <color rgb="FFD0CECE"/>
      </font>
      <fill>
        <patternFill>
          <bgColor rgb="FF403000"/>
        </patternFill>
      </fill>
    </dxf>
    <dxf>
      <fill>
        <patternFill>
          <bgColor rgb="FF00B050"/>
        </patternFill>
      </fill>
    </dxf>
    <dxf>
      <fill>
        <patternFill>
          <bgColor theme="9"/>
        </patternFill>
      </fill>
    </dxf>
    <dxf>
      <fill>
        <patternFill>
          <bgColor theme="8" tint="-0.25"/>
        </patternFill>
      </fill>
    </dxf>
    <dxf>
      <fill>
        <patternFill>
          <bgColor rgb="FF626B7E"/>
        </patternFill>
      </fill>
    </dxf>
    <dxf>
      <fill>
        <patternFill>
          <bgColor rgb="FF946247"/>
        </patternFill>
      </fill>
    </dxf>
    <dxf>
      <fill>
        <patternFill>
          <bgColor theme="5" tint="-0.25"/>
        </patternFill>
      </fill>
    </dxf>
    <dxf>
      <fill>
        <patternFill>
          <bgColor theme="7"/>
        </patternFill>
      </fill>
    </dxf>
    <dxf>
      <font>
        <b val="0"/>
        <i val="0"/>
        <color rgb="FFD0CECE"/>
      </font>
      <fill>
        <patternFill>
          <bgColor rgb="FF2C2B2B"/>
        </patternFill>
      </fill>
    </dxf>
    <dxf>
      <font>
        <b val="0"/>
        <i val="0"/>
        <color rgb="FFD0CECE"/>
      </font>
      <fill>
        <patternFill>
          <bgColor rgb="FF2C2B2B"/>
        </patternFill>
      </fill>
    </dxf>
    <dxf>
      <font>
        <b val="0"/>
        <i val="0"/>
        <color rgb="FFD0CECE"/>
      </font>
      <fill>
        <patternFill>
          <bgColor rgb="FF2C2B2B"/>
        </patternFill>
      </fill>
    </dxf>
    <dxf>
      <font>
        <color rgb="FF808080"/>
      </font>
      <fill>
        <patternFill>
          <bgColor theme="0" tint="-0.5"/>
        </patternFill>
      </fill>
    </dxf>
    <dxf>
      <font>
        <b val="0"/>
        <i val="0"/>
        <color rgb="FFD0CECE"/>
      </font>
      <fill>
        <patternFill>
          <bgColor rgb="FF2C2B2B"/>
        </patternFill>
      </fill>
    </dxf>
    <dxf>
      <font>
        <b val="0"/>
        <i val="0"/>
        <strike val="0"/>
        <color rgb="FFD0CECE"/>
      </font>
      <fill>
        <patternFill>
          <bgColor rgb="FF2C2B2B"/>
        </patternFill>
      </fill>
    </dxf>
    <dxf>
      <font>
        <b val="0"/>
        <i val="0"/>
        <color rgb="FFD0CECE"/>
      </font>
      <fill>
        <patternFill>
          <bgColor rgb="FF2C2B2B"/>
        </patternFill>
      </fill>
    </dxf>
    <dxf>
      <fill>
        <patternFill patternType="solid">
          <fgColor rgb="FF866556"/>
          <bgColor rgb="FF000000"/>
        </patternFill>
      </fill>
    </dxf>
    <dxf>
      <fill>
        <patternFill patternType="solid">
          <fgColor rgb="FF856557"/>
          <bgColor rgb="FF000000"/>
        </patternFill>
      </fill>
    </dxf>
    <dxf>
      <font>
        <b val="0"/>
        <i val="0"/>
        <color rgb="FFD0CECE"/>
      </font>
      <fill>
        <patternFill>
          <bgColor rgb="FF2C2B2B"/>
        </patternFill>
      </fill>
    </dxf>
    <dxf>
      <font>
        <b val="0"/>
        <i val="0"/>
        <color rgb="FFD0CECE"/>
      </font>
      <fill>
        <patternFill>
          <bgColor rgb="FF2C2B2B"/>
        </patternFill>
      </fill>
    </dxf>
    <dxf>
      <font>
        <b val="0"/>
        <i val="0"/>
        <color rgb="FFD0CECE"/>
      </font>
      <fill>
        <patternFill>
          <bgColor rgb="FF2C2B2B"/>
        </patternFill>
      </fill>
    </dxf>
    <dxf>
      <font>
        <b val="0"/>
        <i val="0"/>
        <color rgb="FFD0CECE"/>
      </font>
      <fill>
        <patternFill>
          <bgColor rgb="FF2C2B2B"/>
        </patternFill>
      </fill>
    </dxf>
    <dxf>
      <font>
        <b val="0"/>
        <i val="0"/>
        <color rgb="FFD0CECE"/>
      </font>
      <fill>
        <patternFill>
          <bgColor rgb="FF2C2B2B"/>
        </patternFill>
      </fill>
    </dxf>
    <dxf>
      <font>
        <b val="0"/>
        <i val="0"/>
        <color rgb="FFD0CECE"/>
      </font>
      <fill>
        <patternFill>
          <bgColor theme="1" tint="0.3499"/>
        </patternFill>
      </fill>
    </dxf>
    <dxf>
      <font>
        <b val="0"/>
        <i val="0"/>
        <color rgb="FFD0CECE"/>
      </font>
      <fill>
        <patternFill>
          <bgColor rgb="FF403000"/>
        </patternFill>
      </fill>
    </dxf>
    <dxf>
      <fill>
        <patternFill>
          <bgColor rgb="FF00B050"/>
        </patternFill>
      </fill>
    </dxf>
    <dxf>
      <fill>
        <patternFill>
          <bgColor theme="9"/>
        </patternFill>
      </fill>
    </dxf>
    <dxf>
      <fill>
        <patternFill>
          <bgColor theme="8" tint="-0.25"/>
        </patternFill>
      </fill>
    </dxf>
    <dxf>
      <fill>
        <patternFill>
          <bgColor rgb="FF626B7E"/>
        </patternFill>
      </fill>
    </dxf>
    <dxf>
      <fill>
        <patternFill>
          <bgColor rgb="FF946247"/>
        </patternFill>
      </fill>
    </dxf>
    <dxf>
      <fill>
        <patternFill>
          <bgColor theme="5" tint="-0.25"/>
        </patternFill>
      </fill>
    </dxf>
    <dxf>
      <fill>
        <patternFill>
          <bgColor theme="7"/>
        </patternFill>
      </fill>
    </dxf>
    <dxf>
      <font>
        <b val="0"/>
        <i val="0"/>
        <color rgb="FFD0CECE"/>
      </font>
      <fill>
        <patternFill>
          <bgColor rgb="FF2C2B2B"/>
        </patternFill>
      </fill>
    </dxf>
    <dxf>
      <font>
        <b val="0"/>
        <i val="0"/>
        <color rgb="FFD0CECE"/>
      </font>
      <fill>
        <patternFill>
          <bgColor rgb="FF2C2B2B"/>
        </patternFill>
      </fill>
    </dxf>
    <dxf>
      <font>
        <b val="0"/>
        <i val="0"/>
        <color rgb="FFD0CECE"/>
      </font>
      <fill>
        <patternFill>
          <bgColor rgb="FF2C2B2B"/>
        </patternFill>
      </fill>
    </dxf>
    <dxf>
      <font>
        <color rgb="FF808080"/>
      </font>
      <fill>
        <patternFill>
          <bgColor theme="0" tint="-0.5"/>
        </patternFill>
      </fill>
    </dxf>
    <dxf>
      <font>
        <b val="0"/>
        <i val="0"/>
        <color rgb="FFD0CECE"/>
      </font>
      <fill>
        <patternFill>
          <bgColor rgb="FF2C2B2B"/>
        </patternFill>
      </fill>
    </dxf>
    <dxf>
      <font>
        <b val="0"/>
        <i val="0"/>
        <strike val="0"/>
        <color rgb="FFD0CECE"/>
      </font>
      <fill>
        <patternFill>
          <bgColor rgb="FF2C2B2B"/>
        </patternFill>
      </fill>
    </dxf>
    <dxf>
      <font>
        <b val="0"/>
        <i val="0"/>
        <color rgb="FFD0CECE"/>
      </font>
      <fill>
        <patternFill>
          <bgColor rgb="FF2C2B2B"/>
        </patternFill>
      </fill>
    </dxf>
    <dxf>
      <fill>
        <patternFill patternType="solid">
          <fgColor rgb="FF3873AB"/>
          <bgColor rgb="FF000000"/>
        </patternFill>
      </fill>
    </dxf>
    <dxf>
      <fill>
        <patternFill patternType="solid">
          <fgColor rgb="FF6C6A72"/>
          <bgColor rgb="FF000000"/>
        </patternFill>
      </fill>
    </dxf>
    <dxf>
      <fill>
        <patternFill patternType="solid">
          <fgColor rgb="FFA95F2F"/>
          <bgColor rgb="FF000000"/>
        </patternFill>
      </fill>
    </dxf>
    <dxf>
      <fill>
        <patternFill patternType="solid">
          <fgColor rgb="FFB75C20"/>
          <bgColor rgb="FF000000"/>
        </patternFill>
      </fill>
    </dxf>
    <dxf>
      <fill>
        <patternFill patternType="solid">
          <fgColor rgb="FF4D6F95"/>
          <bgColor rgb="FF000000"/>
        </patternFill>
      </fill>
    </dxf>
    <dxf>
      <fill>
        <patternFill patternType="solid">
          <fgColor rgb="FF756868"/>
          <bgColor rgb="FF000000"/>
        </patternFill>
      </fill>
    </dxf>
    <dxf>
      <fill>
        <patternFill patternType="solid">
          <fgColor rgb="FF8E634D"/>
          <bgColor rgb="FF000000"/>
        </patternFill>
      </fill>
    </dxf>
    <dxf>
      <fill>
        <patternFill patternType="solid">
          <fgColor rgb="FF9D613D"/>
          <bgColor rgb="FF000000"/>
        </patternFill>
      </fill>
    </dxf>
    <dxf>
      <font>
        <b val="0"/>
        <i val="0"/>
        <color rgb="FFD0CECE"/>
      </font>
      <fill>
        <patternFill>
          <bgColor rgb="FF2C2B2B"/>
        </patternFill>
      </fill>
    </dxf>
    <dxf>
      <font>
        <b val="0"/>
        <i val="0"/>
        <color rgb="FFD0CECE"/>
      </font>
      <fill>
        <patternFill>
          <bgColor rgb="FF2C2B2B"/>
        </patternFill>
      </fill>
    </dxf>
    <dxf>
      <font>
        <b val="0"/>
        <i val="0"/>
        <color rgb="FFD0CECE"/>
      </font>
      <fill>
        <patternFill>
          <bgColor rgb="FF2C2B2B"/>
        </patternFill>
      </fill>
    </dxf>
    <dxf>
      <font>
        <b val="0"/>
        <i val="0"/>
        <color rgb="FFD0CECE"/>
      </font>
      <fill>
        <patternFill>
          <bgColor rgb="FF2C2B2B"/>
        </patternFill>
      </fill>
    </dxf>
    <dxf>
      <font>
        <b val="0"/>
        <i val="0"/>
        <color rgb="FFD0CECE"/>
      </font>
      <fill>
        <patternFill>
          <bgColor rgb="FF2C2B2B"/>
        </patternFill>
      </fill>
    </dxf>
    <dxf>
      <font>
        <b val="0"/>
        <i val="0"/>
        <color rgb="FFD0CECE"/>
      </font>
      <fill>
        <patternFill>
          <bgColor theme="1" tint="0.3499"/>
        </patternFill>
      </fill>
    </dxf>
    <dxf>
      <font>
        <b val="0"/>
        <i val="0"/>
        <color rgb="FFD0CECE"/>
      </font>
      <fill>
        <patternFill>
          <bgColor rgb="FF403000"/>
        </patternFill>
      </fill>
    </dxf>
    <dxf>
      <fill>
        <patternFill>
          <bgColor rgb="FF00B050"/>
        </patternFill>
      </fill>
    </dxf>
    <dxf>
      <fill>
        <patternFill>
          <bgColor theme="9"/>
        </patternFill>
      </fill>
    </dxf>
    <dxf>
      <fill>
        <patternFill>
          <bgColor theme="8" tint="-0.25"/>
        </patternFill>
      </fill>
    </dxf>
    <dxf>
      <fill>
        <patternFill>
          <bgColor rgb="FF626B7E"/>
        </patternFill>
      </fill>
    </dxf>
    <dxf>
      <fill>
        <patternFill>
          <bgColor rgb="FF946247"/>
        </patternFill>
      </fill>
    </dxf>
    <dxf>
      <fill>
        <patternFill>
          <bgColor theme="5" tint="-0.25"/>
        </patternFill>
      </fill>
    </dxf>
    <dxf>
      <fill>
        <patternFill>
          <bgColor theme="7"/>
        </patternFill>
      </fill>
    </dxf>
    <dxf>
      <font>
        <b val="0"/>
        <i val="0"/>
        <color rgb="FFD0CECE"/>
      </font>
      <fill>
        <patternFill>
          <bgColor rgb="FF2C2B2B"/>
        </patternFill>
      </fill>
    </dxf>
    <dxf>
      <font>
        <b val="0"/>
        <i val="0"/>
        <color rgb="FFD0CECE"/>
      </font>
      <fill>
        <patternFill>
          <bgColor rgb="FF2C2B2B"/>
        </patternFill>
      </fill>
    </dxf>
    <dxf>
      <font>
        <b val="0"/>
        <i val="0"/>
        <color rgb="FFD0CECE"/>
      </font>
      <fill>
        <patternFill>
          <bgColor rgb="FF2C2B2B"/>
        </patternFill>
      </fill>
    </dxf>
    <dxf>
      <font>
        <color rgb="FF808080"/>
      </font>
      <fill>
        <patternFill>
          <bgColor theme="0" tint="-0.5"/>
        </patternFill>
      </fill>
    </dxf>
    <dxf>
      <font>
        <b val="0"/>
        <i val="0"/>
        <color rgb="FFD0CECE"/>
      </font>
      <fill>
        <patternFill>
          <bgColor rgb="FF2C2B2B"/>
        </patternFill>
      </fill>
    </dxf>
    <dxf>
      <font>
        <b val="0"/>
        <i val="0"/>
        <strike val="0"/>
        <color rgb="FFD0CECE"/>
      </font>
      <fill>
        <patternFill>
          <bgColor rgb="FF2C2B2B"/>
        </patternFill>
      </fill>
    </dxf>
    <dxf>
      <font>
        <b val="0"/>
        <i val="0"/>
        <color rgb="FFD0CECE"/>
      </font>
      <fill>
        <patternFill>
          <bgColor rgb="FF2C2B2B"/>
        </patternFill>
      </fill>
    </dxf>
    <dxf>
      <fill>
        <patternFill patternType="solid">
          <fgColor rgb="FF3474AF"/>
          <bgColor rgb="FF000000"/>
        </patternFill>
      </fill>
    </dxf>
    <dxf>
      <fill>
        <patternFill patternType="solid">
          <fgColor rgb="FF44719D"/>
          <bgColor rgb="FF000000"/>
        </patternFill>
      </fill>
    </dxf>
    <dxf>
      <fill>
        <patternFill patternType="solid">
          <fgColor rgb="FF4A7098"/>
          <bgColor rgb="FF000000"/>
        </patternFill>
      </fill>
    </dxf>
    <dxf>
      <fill>
        <patternFill patternType="solid">
          <fgColor rgb="FF556E8B"/>
          <bgColor rgb="FF000000"/>
        </patternFill>
      </fill>
    </dxf>
    <dxf>
      <fill>
        <patternFill patternType="solid">
          <fgColor rgb="FF656B79"/>
          <bgColor rgb="FF000000"/>
        </patternFill>
      </fill>
    </dxf>
    <dxf>
      <fill>
        <patternFill patternType="solid">
          <fgColor rgb="FF766867"/>
          <bgColor rgb="FF000000"/>
        </patternFill>
      </fill>
    </dxf>
    <dxf>
      <fill>
        <patternFill patternType="solid">
          <fgColor rgb="FF81665C"/>
          <bgColor rgb="FF000000"/>
        </patternFill>
      </fill>
    </dxf>
    <dxf>
      <fill>
        <patternFill patternType="solid">
          <fgColor rgb="FFB85C20"/>
          <bgColor rgb="FF000000"/>
        </patternFill>
      </fill>
    </dxf>
    <dxf>
      <fill>
        <patternFill patternType="solid">
          <fgColor rgb="FFC85F10"/>
          <bgColor rgb="FF000000"/>
        </patternFill>
      </fill>
    </dxf>
    <dxf>
      <fill>
        <patternFill patternType="solid">
          <fgColor rgb="FFE49008"/>
          <bgColor rgb="FF000000"/>
        </patternFill>
      </fill>
    </dxf>
    <dxf>
      <fill>
        <patternFill patternType="solid">
          <fgColor rgb="FFEDA005"/>
          <bgColor rgb="FF000000"/>
        </patternFill>
      </fill>
    </dxf>
    <dxf>
      <fill>
        <patternFill patternType="solid">
          <fgColor rgb="FFF2A804"/>
          <bgColor rgb="FF000000"/>
        </patternFill>
      </fill>
    </dxf>
    <dxf>
      <fill>
        <patternFill patternType="solid">
          <fgColor rgb="FFFBB801"/>
          <bgColor rgb="FF000000"/>
        </patternFill>
      </fill>
    </dxf>
    <dxf>
      <fill>
        <patternFill patternType="solid">
          <fgColor rgb="FF4071A2"/>
          <bgColor rgb="FF000000"/>
        </patternFill>
      </fill>
    </dxf>
    <dxf>
      <fill>
        <patternFill patternType="solid">
          <fgColor rgb="FFA36037"/>
          <bgColor rgb="FF000000"/>
        </patternFill>
      </fill>
    </dxf>
    <dxf>
      <fill>
        <patternFill patternType="solid">
          <fgColor rgb="FFE38E08"/>
          <bgColor rgb="FF000000"/>
        </patternFill>
      </fill>
    </dxf>
    <dxf>
      <font>
        <b val="0"/>
        <i val="0"/>
        <color rgb="FFD0CECE"/>
      </font>
      <fill>
        <patternFill>
          <bgColor rgb="FF2C2B2B"/>
        </patternFill>
      </fill>
    </dxf>
    <dxf>
      <font>
        <b val="0"/>
        <i val="0"/>
        <color rgb="FFD0CECE"/>
      </font>
      <fill>
        <patternFill>
          <bgColor rgb="FF2C2B2B"/>
        </patternFill>
      </fill>
    </dxf>
    <dxf>
      <font>
        <b val="0"/>
        <i val="0"/>
        <color rgb="FFD0CECE"/>
      </font>
      <fill>
        <patternFill>
          <bgColor theme="1" tint="0.3499"/>
        </patternFill>
      </fill>
    </dxf>
    <dxf>
      <font>
        <b val="0"/>
        <i val="0"/>
        <color rgb="FFD0CECE"/>
      </font>
      <fill>
        <patternFill>
          <bgColor rgb="FF403000"/>
        </patternFill>
      </fill>
    </dxf>
    <dxf>
      <fill>
        <patternFill>
          <bgColor rgb="FF00B050"/>
        </patternFill>
      </fill>
    </dxf>
    <dxf>
      <fill>
        <patternFill>
          <bgColor theme="9"/>
        </patternFill>
      </fill>
    </dxf>
    <dxf>
      <fill>
        <patternFill>
          <bgColor theme="8" tint="-0.25"/>
        </patternFill>
      </fill>
    </dxf>
    <dxf>
      <fill>
        <patternFill>
          <bgColor rgb="FF626B7E"/>
        </patternFill>
      </fill>
    </dxf>
    <dxf>
      <fill>
        <patternFill>
          <bgColor rgb="FF946247"/>
        </patternFill>
      </fill>
    </dxf>
    <dxf>
      <fill>
        <patternFill>
          <bgColor theme="5" tint="-0.25"/>
        </patternFill>
      </fill>
    </dxf>
    <dxf>
      <fill>
        <patternFill>
          <bgColor theme="7"/>
        </patternFill>
      </fill>
    </dxf>
    <dxf>
      <font>
        <b val="0"/>
        <i val="0"/>
        <color rgb="FFD0CECE"/>
      </font>
      <fill>
        <patternFill>
          <bgColor rgb="FF2C2B2B"/>
        </patternFill>
      </fill>
    </dxf>
    <dxf>
      <font>
        <b val="0"/>
        <i val="0"/>
        <color rgb="FFD0CECE"/>
      </font>
      <fill>
        <patternFill>
          <bgColor rgb="FF2C2B2B"/>
        </patternFill>
      </fill>
    </dxf>
    <dxf>
      <font>
        <b val="0"/>
        <i val="0"/>
        <color rgb="FFD0CECE"/>
      </font>
      <fill>
        <patternFill>
          <bgColor rgb="FF2C2B2B"/>
        </patternFill>
      </fill>
    </dxf>
    <dxf>
      <font>
        <b val="0"/>
        <i val="0"/>
        <color rgb="FFD0CECE"/>
      </font>
      <fill>
        <patternFill>
          <bgColor rgb="FF2C2B2B"/>
        </patternFill>
      </fill>
    </dxf>
    <dxf>
      <font>
        <color rgb="FF808080"/>
      </font>
      <fill>
        <patternFill>
          <bgColor theme="0" tint="-0.5"/>
        </patternFill>
      </fill>
    </dxf>
    <dxf>
      <font>
        <b val="0"/>
        <i val="0"/>
        <color rgb="FFD0CECE"/>
      </font>
      <fill>
        <patternFill>
          <bgColor rgb="FF2C2B2B"/>
        </patternFill>
      </fill>
    </dxf>
    <dxf>
      <font>
        <b val="0"/>
        <i val="0"/>
        <strike val="0"/>
        <color rgb="FFD0CECE"/>
      </font>
      <fill>
        <patternFill>
          <bgColor rgb="FF2C2B2B"/>
        </patternFill>
      </fill>
    </dxf>
    <dxf>
      <font>
        <b val="0"/>
        <i val="0"/>
        <color rgb="FFD0CECE"/>
      </font>
      <fill>
        <patternFill>
          <bgColor rgb="FF2C2B2B"/>
        </patternFill>
      </fill>
    </dxf>
    <dxf>
      <fill>
        <patternFill patternType="solid">
          <fgColor rgb="FF7F665D"/>
          <bgColor rgb="FF000000"/>
        </patternFill>
      </fill>
    </dxf>
    <dxf>
      <fill>
        <patternFill patternType="solid">
          <fgColor rgb="FFB05D28"/>
          <bgColor rgb="FF000000"/>
        </patternFill>
      </fill>
    </dxf>
    <dxf>
      <fill>
        <patternFill patternType="solid">
          <fgColor rgb="FFCF6B0E"/>
          <bgColor rgb="FF000000"/>
        </patternFill>
      </fill>
    </dxf>
    <dxf>
      <fill>
        <patternFill patternType="solid">
          <fgColor rgb="FFE79607"/>
          <bgColor rgb="FF000000"/>
        </patternFill>
      </fill>
    </dxf>
    <dxf>
      <fill>
        <patternFill patternType="solid">
          <fgColor rgb="FFB55C22"/>
          <bgColor rgb="FF000000"/>
        </patternFill>
      </fill>
    </dxf>
    <dxf>
      <fill>
        <patternFill patternType="solid">
          <fgColor rgb="FFF5AE03"/>
          <bgColor rgb="FF000000"/>
        </patternFill>
      </fill>
    </dxf>
    <dxf>
      <font>
        <b val="0"/>
        <i val="0"/>
        <color rgb="FFD0CECE"/>
      </font>
      <fill>
        <patternFill>
          <bgColor rgb="FF2C2B2B"/>
        </patternFill>
      </fill>
    </dxf>
    <dxf>
      <font>
        <b val="0"/>
        <i val="0"/>
        <color rgb="FFD0CECE"/>
      </font>
      <fill>
        <patternFill>
          <bgColor rgb="FF2C2B2B"/>
        </patternFill>
      </fill>
    </dxf>
    <dxf>
      <font>
        <b val="0"/>
        <i val="0"/>
        <color rgb="FFD0CECE"/>
      </font>
      <fill>
        <patternFill>
          <bgColor theme="1" tint="0.3499"/>
        </patternFill>
      </fill>
    </dxf>
    <dxf>
      <font>
        <b val="0"/>
        <i val="0"/>
        <color rgb="FFD0CECE"/>
      </font>
      <fill>
        <patternFill>
          <bgColor rgb="FF403000"/>
        </patternFill>
      </fill>
    </dxf>
    <dxf>
      <fill>
        <patternFill>
          <bgColor rgb="FF00B050"/>
        </patternFill>
      </fill>
    </dxf>
    <dxf>
      <fill>
        <patternFill>
          <bgColor theme="9"/>
        </patternFill>
      </fill>
    </dxf>
    <dxf>
      <fill>
        <patternFill>
          <bgColor theme="8" tint="-0.25"/>
        </patternFill>
      </fill>
    </dxf>
    <dxf>
      <fill>
        <patternFill>
          <bgColor rgb="FF626B7E"/>
        </patternFill>
      </fill>
    </dxf>
    <dxf>
      <fill>
        <patternFill>
          <bgColor rgb="FF946247"/>
        </patternFill>
      </fill>
    </dxf>
    <dxf>
      <fill>
        <patternFill>
          <bgColor theme="5" tint="-0.25"/>
        </patternFill>
      </fill>
    </dxf>
    <dxf>
      <fill>
        <patternFill>
          <bgColor theme="7"/>
        </patternFill>
      </fill>
    </dxf>
    <dxf>
      <font>
        <b val="0"/>
        <i val="0"/>
        <color rgb="FFD0CECE"/>
      </font>
      <fill>
        <patternFill>
          <bgColor rgb="FF2C2B2B"/>
        </patternFill>
      </fill>
    </dxf>
    <dxf>
      <font>
        <b val="0"/>
        <i val="0"/>
        <color rgb="FFD0CECE"/>
      </font>
      <fill>
        <patternFill>
          <bgColor rgb="FF2C2B2B"/>
        </patternFill>
      </fill>
    </dxf>
    <dxf>
      <font>
        <b val="0"/>
        <i val="0"/>
        <color rgb="FFD0CECE"/>
      </font>
      <fill>
        <patternFill>
          <bgColor rgb="FF2C2B2B"/>
        </patternFill>
      </fill>
    </dxf>
    <dxf>
      <font>
        <b val="0"/>
        <i val="0"/>
        <color rgb="FFD0CECE"/>
      </font>
      <fill>
        <patternFill>
          <bgColor rgb="FF2C2B2B"/>
        </patternFill>
      </fill>
    </dxf>
    <dxf>
      <font>
        <color rgb="FF808080"/>
      </font>
      <fill>
        <patternFill>
          <bgColor theme="0" tint="-0.5"/>
        </patternFill>
      </fill>
    </dxf>
    <dxf>
      <font>
        <b val="0"/>
        <i val="0"/>
        <color rgb="FFD0CECE"/>
      </font>
      <fill>
        <patternFill>
          <bgColor rgb="FF2C2B2B"/>
        </patternFill>
      </fill>
    </dxf>
    <dxf>
      <font>
        <b val="0"/>
        <i val="0"/>
        <strike val="0"/>
        <color rgb="FFD0CECE"/>
      </font>
      <fill>
        <patternFill>
          <bgColor rgb="FF2C2B2B"/>
        </patternFill>
      </fill>
    </dxf>
    <dxf>
      <font>
        <b val="0"/>
        <i val="0"/>
        <color rgb="FFD0CECE"/>
      </font>
      <fill>
        <patternFill>
          <bgColor rgb="FF2C2B2B"/>
        </patternFill>
      </fill>
    </dxf>
    <dxf>
      <fill>
        <patternFill patternType="solid">
          <fgColor rgb="FFC65B10"/>
          <bgColor rgb="FF000000"/>
        </patternFill>
      </fill>
    </dxf>
    <dxf>
      <fill>
        <patternFill patternType="solid">
          <fgColor rgb="FF4C6F96"/>
          <bgColor rgb="FF000000"/>
        </patternFill>
      </fill>
    </dxf>
    <dxf>
      <fill>
        <patternFill patternType="solid">
          <fgColor rgb="FFCE6A0E"/>
          <bgColor rgb="FF000000"/>
        </patternFill>
      </fill>
    </dxf>
    <dxf>
      <fill>
        <patternFill patternType="solid">
          <fgColor rgb="FFE08A09"/>
          <bgColor rgb="FF000000"/>
        </patternFill>
      </fill>
    </dxf>
    <dxf>
      <fill>
        <patternFill patternType="solid">
          <fgColor rgb="FFE99906"/>
          <bgColor rgb="FF000000"/>
        </patternFill>
      </fill>
    </dxf>
    <dxf>
      <fill>
        <patternFill patternType="solid">
          <fgColor rgb="FFEEA105"/>
          <bgColor rgb="FF000000"/>
        </patternFill>
      </fill>
    </dxf>
    <dxf>
      <fill>
        <patternFill patternType="solid">
          <fgColor rgb="FFF2A903"/>
          <bgColor rgb="FF000000"/>
        </patternFill>
      </fill>
    </dxf>
    <dxf>
      <fill>
        <patternFill patternType="solid">
          <fgColor rgb="FF91634A"/>
          <bgColor rgb="FF000000"/>
        </patternFill>
      </fill>
    </dxf>
    <dxf>
      <font>
        <b val="0"/>
        <i val="0"/>
        <color rgb="FFD0CECE"/>
      </font>
      <fill>
        <patternFill>
          <bgColor rgb="FF2C2B2B"/>
        </patternFill>
      </fill>
    </dxf>
    <dxf>
      <font>
        <b val="0"/>
        <i val="0"/>
        <color rgb="FFD0CECE"/>
      </font>
      <fill>
        <patternFill>
          <bgColor rgb="FF2C2B2B"/>
        </patternFill>
      </fill>
    </dxf>
    <dxf>
      <font>
        <b val="0"/>
        <i val="0"/>
        <color rgb="FFD0CECE"/>
      </font>
      <fill>
        <patternFill>
          <bgColor theme="1" tint="0.3499"/>
        </patternFill>
      </fill>
    </dxf>
    <dxf>
      <font>
        <b val="0"/>
        <i val="0"/>
        <color rgb="FFD0CECE"/>
      </font>
      <fill>
        <patternFill>
          <bgColor rgb="FF403000"/>
        </patternFill>
      </fill>
    </dxf>
    <dxf>
      <fill>
        <patternFill>
          <bgColor rgb="FF00B050"/>
        </patternFill>
      </fill>
    </dxf>
    <dxf>
      <fill>
        <patternFill>
          <bgColor theme="9"/>
        </patternFill>
      </fill>
    </dxf>
    <dxf>
      <fill>
        <patternFill>
          <bgColor theme="8" tint="-0.25"/>
        </patternFill>
      </fill>
    </dxf>
    <dxf>
      <fill>
        <patternFill>
          <bgColor rgb="FF626B7E"/>
        </patternFill>
      </fill>
    </dxf>
    <dxf>
      <fill>
        <patternFill>
          <bgColor rgb="FF946247"/>
        </patternFill>
      </fill>
    </dxf>
    <dxf>
      <fill>
        <patternFill>
          <bgColor theme="5" tint="-0.25"/>
        </patternFill>
      </fill>
    </dxf>
    <dxf>
      <fill>
        <patternFill>
          <bgColor theme="7"/>
        </patternFill>
      </fill>
    </dxf>
    <dxf>
      <font>
        <b val="0"/>
        <i val="0"/>
        <color rgb="FFD0CECE"/>
      </font>
      <fill>
        <patternFill>
          <bgColor rgb="FF2C2B2B"/>
        </patternFill>
      </fill>
    </dxf>
    <dxf>
      <font>
        <b val="0"/>
        <i val="0"/>
        <color rgb="FFD0CECE"/>
      </font>
      <fill>
        <patternFill>
          <bgColor rgb="FF2C2B2B"/>
        </patternFill>
      </fill>
    </dxf>
    <dxf>
      <font>
        <b val="0"/>
        <i val="0"/>
        <color rgb="FFD0CECE"/>
      </font>
      <fill>
        <patternFill>
          <bgColor rgb="FF2C2B2B"/>
        </patternFill>
      </fill>
    </dxf>
    <dxf>
      <font>
        <b val="0"/>
        <i val="0"/>
        <color rgb="FFD0CECE"/>
      </font>
      <fill>
        <patternFill>
          <bgColor rgb="FF2C2B2B"/>
        </patternFill>
      </fill>
    </dxf>
    <dxf>
      <font>
        <color rgb="FF808080"/>
      </font>
      <fill>
        <patternFill>
          <bgColor theme="0" tint="-0.5"/>
        </patternFill>
      </fill>
    </dxf>
    <dxf>
      <font>
        <b val="0"/>
        <i val="0"/>
        <color rgb="FFD0CECE"/>
      </font>
      <fill>
        <patternFill>
          <bgColor rgb="FF2C2B2B"/>
        </patternFill>
      </fill>
    </dxf>
    <dxf>
      <font>
        <b val="0"/>
        <i val="0"/>
        <strike val="0"/>
        <color rgb="FFD0CECE"/>
      </font>
      <fill>
        <patternFill>
          <bgColor rgb="FF2C2B2B"/>
        </patternFill>
      </fill>
    </dxf>
    <dxf>
      <font>
        <b val="0"/>
        <i val="0"/>
        <color rgb="FFD0CECE"/>
      </font>
      <fill>
        <patternFill>
          <bgColor rgb="FF2C2B2B"/>
        </patternFill>
      </fill>
    </dxf>
    <dxf>
      <fill>
        <patternFill patternType="solid">
          <fgColor rgb="FF6D6972"/>
          <bgColor rgb="FF000000"/>
        </patternFill>
      </fill>
    </dxf>
    <dxf>
      <fill>
        <patternFill patternType="solid">
          <fgColor rgb="FF8C6450"/>
          <bgColor rgb="FF000000"/>
        </patternFill>
      </fill>
    </dxf>
    <dxf>
      <fill>
        <patternFill patternType="solid">
          <fgColor rgb="FF926349"/>
          <bgColor rgb="FF000000"/>
        </patternFill>
      </fill>
    </dxf>
    <dxf>
      <fill>
        <patternFill patternType="solid">
          <fgColor rgb="FF9A6140"/>
          <bgColor rgb="FF000000"/>
        </patternFill>
      </fill>
    </dxf>
    <dxf>
      <fill>
        <patternFill patternType="solid">
          <fgColor rgb="FF9F603B"/>
          <bgColor rgb="FF000000"/>
        </patternFill>
      </fill>
    </dxf>
    <dxf>
      <fill>
        <patternFill patternType="solid">
          <fgColor rgb="FFB95C1F"/>
          <bgColor rgb="FF000000"/>
        </patternFill>
      </fill>
    </dxf>
    <dxf>
      <font>
        <b val="0"/>
        <i val="0"/>
        <color rgb="FFD0CECE"/>
      </font>
      <fill>
        <patternFill>
          <bgColor rgb="FF2C2B2B"/>
        </patternFill>
      </fill>
    </dxf>
    <dxf>
      <font>
        <b val="0"/>
        <i val="0"/>
        <color rgb="FFD0CECE"/>
      </font>
      <fill>
        <patternFill>
          <bgColor rgb="FF2C2B2B"/>
        </patternFill>
      </fill>
    </dxf>
    <dxf>
      <font>
        <b val="0"/>
        <i val="0"/>
        <color rgb="FFD0CECE"/>
      </font>
      <fill>
        <patternFill>
          <bgColor theme="1" tint="0.3499"/>
        </patternFill>
      </fill>
    </dxf>
    <dxf>
      <font>
        <b val="0"/>
        <i val="0"/>
        <color rgb="FFD0CECE"/>
      </font>
      <fill>
        <patternFill>
          <bgColor rgb="FF403000"/>
        </patternFill>
      </fill>
    </dxf>
    <dxf>
      <fill>
        <patternFill>
          <bgColor rgb="FF00B050"/>
        </patternFill>
      </fill>
    </dxf>
    <dxf>
      <fill>
        <patternFill>
          <bgColor theme="9"/>
        </patternFill>
      </fill>
    </dxf>
    <dxf>
      <fill>
        <patternFill>
          <bgColor theme="8" tint="-0.25"/>
        </patternFill>
      </fill>
    </dxf>
    <dxf>
      <fill>
        <patternFill>
          <bgColor rgb="FF626B7E"/>
        </patternFill>
      </fill>
    </dxf>
    <dxf>
      <fill>
        <patternFill>
          <bgColor rgb="FF946247"/>
        </patternFill>
      </fill>
    </dxf>
    <dxf>
      <fill>
        <patternFill>
          <bgColor theme="5" tint="-0.25"/>
        </patternFill>
      </fill>
    </dxf>
    <dxf>
      <fill>
        <patternFill>
          <bgColor theme="7"/>
        </patternFill>
      </fill>
    </dxf>
    <dxf>
      <font>
        <b val="0"/>
        <i val="0"/>
        <color rgb="FFD0CECE"/>
      </font>
      <fill>
        <patternFill>
          <bgColor rgb="FF2C2B2B"/>
        </patternFill>
      </fill>
    </dxf>
    <dxf>
      <font>
        <b val="0"/>
        <i val="0"/>
        <color rgb="FFD0CECE"/>
      </font>
      <fill>
        <patternFill>
          <bgColor rgb="FF2C2B2B"/>
        </patternFill>
      </fill>
    </dxf>
    <dxf>
      <font>
        <b val="0"/>
        <i val="0"/>
        <color rgb="FFD0CECE"/>
      </font>
      <fill>
        <patternFill>
          <bgColor rgb="FF2C2B2B"/>
        </patternFill>
      </fill>
    </dxf>
    <dxf>
      <font>
        <b val="0"/>
        <i val="0"/>
        <color rgb="FFD0CECE"/>
      </font>
      <fill>
        <patternFill>
          <bgColor rgb="FF2C2B2B"/>
        </patternFill>
      </fill>
    </dxf>
    <dxf>
      <font>
        <color rgb="FF808080"/>
      </font>
      <fill>
        <patternFill>
          <bgColor theme="0" tint="-0.5"/>
        </patternFill>
      </fill>
    </dxf>
    <dxf>
      <font>
        <b val="0"/>
        <i val="0"/>
        <color rgb="FFD0CECE"/>
      </font>
      <fill>
        <patternFill>
          <bgColor rgb="FF2C2B2B"/>
        </patternFill>
      </fill>
    </dxf>
    <dxf>
      <font>
        <b val="0"/>
        <i val="0"/>
        <strike val="0"/>
        <color rgb="FFD0CECE"/>
      </font>
      <fill>
        <patternFill>
          <bgColor rgb="FF2C2B2B"/>
        </patternFill>
      </fill>
    </dxf>
    <dxf>
      <font>
        <b val="0"/>
        <i val="0"/>
        <color rgb="FFD0CECE"/>
      </font>
      <fill>
        <patternFill>
          <bgColor rgb="FF2C2B2B"/>
        </patternFill>
      </fill>
    </dxf>
    <dxf>
      <fill>
        <patternFill patternType="solid">
          <fgColor rgb="FF00B050"/>
          <bgColor rgb="FF000000"/>
        </patternFill>
      </fill>
    </dxf>
    <dxf>
      <fill>
        <patternFill patternType="solid">
          <fgColor rgb="FFB85C1F"/>
          <bgColor rgb="FF000000"/>
        </patternFill>
      </fill>
    </dxf>
    <dxf>
      <font>
        <color rgb="FF808080"/>
      </font>
      <fill>
        <patternFill>
          <bgColor theme="0" tint="-0.5"/>
        </patternFill>
      </fill>
    </dxf>
    <dxf>
      <font>
        <b val="0"/>
        <i val="0"/>
        <color rgb="FFD0CECE"/>
      </font>
      <fill>
        <patternFill>
          <bgColor rgb="FF2C2B2B"/>
        </patternFill>
      </fill>
    </dxf>
    <dxf>
      <font>
        <b val="0"/>
        <i val="0"/>
        <color rgb="FFD0CECE"/>
      </font>
      <fill>
        <patternFill>
          <bgColor rgb="FF2C2B2B"/>
        </patternFill>
      </fill>
    </dxf>
    <dxf>
      <font>
        <b val="0"/>
        <i val="0"/>
        <color rgb="FFD0CECE"/>
      </font>
      <fill>
        <patternFill>
          <bgColor rgb="FF2C2B2B"/>
        </patternFill>
      </fill>
    </dxf>
    <dxf>
      <font>
        <b val="0"/>
        <i val="0"/>
        <color rgb="FFD0CECE"/>
      </font>
      <fill>
        <patternFill>
          <bgColor theme="1" tint="0.3499"/>
        </patternFill>
      </fill>
    </dxf>
    <dxf>
      <font>
        <b val="0"/>
        <i val="0"/>
        <color rgb="FFD0CECE"/>
      </font>
      <fill>
        <patternFill>
          <bgColor rgb="FF403000"/>
        </patternFill>
      </fill>
    </dxf>
    <dxf>
      <fill>
        <patternFill>
          <bgColor rgb="FF00B050"/>
        </patternFill>
      </fill>
    </dxf>
    <dxf>
      <fill>
        <patternFill>
          <bgColor theme="9"/>
        </patternFill>
      </fill>
    </dxf>
    <dxf>
      <fill>
        <patternFill>
          <bgColor theme="8" tint="-0.25"/>
        </patternFill>
      </fill>
    </dxf>
    <dxf>
      <fill>
        <patternFill>
          <bgColor rgb="FF626B7E"/>
        </patternFill>
      </fill>
    </dxf>
    <dxf>
      <fill>
        <patternFill>
          <bgColor rgb="FF946247"/>
        </patternFill>
      </fill>
    </dxf>
    <dxf>
      <fill>
        <patternFill>
          <bgColor theme="5" tint="-0.25"/>
        </patternFill>
      </fill>
    </dxf>
    <dxf>
      <fill>
        <patternFill>
          <bgColor theme="7"/>
        </patternFill>
      </fill>
    </dxf>
    <dxf>
      <font>
        <b val="0"/>
        <i val="0"/>
        <color rgb="FFD0CECE"/>
      </font>
      <fill>
        <patternFill>
          <bgColor rgb="FF2C2B2B"/>
        </patternFill>
      </fill>
    </dxf>
    <dxf>
      <font>
        <b val="0"/>
        <i val="0"/>
        <color rgb="FFD0CECE"/>
      </font>
      <fill>
        <patternFill>
          <bgColor rgb="FF2C2B2B"/>
        </patternFill>
      </fill>
    </dxf>
    <dxf>
      <font>
        <b val="0"/>
        <i val="0"/>
        <color rgb="FFD0CECE"/>
      </font>
      <fill>
        <patternFill>
          <bgColor rgb="FF2C2B2B"/>
        </patternFill>
      </fill>
    </dxf>
    <dxf>
      <font>
        <b val="0"/>
        <i val="0"/>
        <color rgb="FFD0CECE"/>
      </font>
      <fill>
        <patternFill>
          <bgColor rgb="FF2C2B2B"/>
        </patternFill>
      </fill>
    </dxf>
    <dxf>
      <font>
        <b val="0"/>
        <i val="0"/>
        <color rgb="FFD0CECE"/>
      </font>
      <fill>
        <patternFill>
          <bgColor rgb="FF2C2B2B"/>
        </patternFill>
      </fill>
    </dxf>
    <dxf>
      <font>
        <b val="0"/>
        <i val="0"/>
        <color rgb="FFD0CECE"/>
      </font>
      <fill>
        <patternFill>
          <bgColor rgb="FF2C2B2B"/>
        </patternFill>
      </fill>
    </dxf>
    <dxf>
      <fill>
        <patternFill patternType="solid">
          <fgColor rgb="FFD06C0E"/>
          <bgColor rgb="FF000000"/>
        </patternFill>
      </fill>
    </dxf>
    <dxf>
      <fill>
        <patternFill patternType="solid">
          <fgColor rgb="FFDA7E0B"/>
          <bgColor rgb="FF000000"/>
        </patternFill>
      </fill>
    </dxf>
    <dxf>
      <fill>
        <patternFill patternType="solid">
          <fgColor rgb="FFE89607"/>
          <bgColor rgb="FF000000"/>
        </patternFill>
      </fill>
    </dxf>
    <dxf>
      <fill>
        <patternFill patternType="solid">
          <fgColor rgb="FFF9B402"/>
          <bgColor rgb="FF000000"/>
        </patternFill>
      </fill>
    </dxf>
    <dxf>
      <fill>
        <patternFill patternType="solid">
          <fgColor rgb="FF4E6F93"/>
          <bgColor rgb="FF000000"/>
        </patternFill>
      </fill>
    </dxf>
    <dxf>
      <fill>
        <patternFill patternType="solid">
          <fgColor rgb="FF5D6C82"/>
          <bgColor rgb="FF000000"/>
        </patternFill>
      </fill>
    </dxf>
    <dxf>
      <fill>
        <patternFill patternType="solid">
          <fgColor rgb="FF636B7D"/>
          <bgColor rgb="FF000000"/>
        </patternFill>
      </fill>
    </dxf>
    <dxf>
      <fill>
        <patternFill patternType="solid">
          <fgColor rgb="FF72686C"/>
          <bgColor rgb="FF000000"/>
        </patternFill>
      </fill>
    </dxf>
    <dxf>
      <fill>
        <patternFill patternType="solid">
          <fgColor rgb="FF82665A"/>
          <bgColor rgb="FF000000"/>
        </patternFill>
      </fill>
    </dxf>
    <dxf>
      <fill>
        <patternFill patternType="solid">
          <fgColor rgb="FF976244"/>
          <bgColor rgb="FF000000"/>
        </patternFill>
      </fill>
    </dxf>
    <dxf>
      <fill>
        <patternFill patternType="solid">
          <fgColor rgb="FFA65F33"/>
          <bgColor rgb="FF000000"/>
        </patternFill>
      </fill>
    </dxf>
    <dxf>
      <fill>
        <patternFill patternType="solid">
          <fgColor rgb="FFAB5E2D"/>
          <bgColor rgb="FF000000"/>
        </patternFill>
      </fill>
    </dxf>
    <dxf>
      <fill>
        <patternFill patternType="solid">
          <fgColor rgb="FFB65C22"/>
          <bgColor rgb="FF000000"/>
        </patternFill>
      </fill>
    </dxf>
    <dxf>
      <fill>
        <patternFill patternType="solid">
          <fgColor rgb="FFC96010"/>
          <bgColor rgb="FF000000"/>
        </patternFill>
      </fill>
    </dxf>
    <dxf>
      <fill>
        <patternFill patternType="solid">
          <fgColor rgb="FFEFA404"/>
          <bgColor rgb="FF000000"/>
        </patternFill>
      </fill>
    </dxf>
    <dxf>
      <fill>
        <patternFill patternType="solid">
          <fgColor rgb="FFFCBB00"/>
          <bgColor rgb="FF000000"/>
        </patternFill>
      </fill>
    </dxf>
    <dxf>
      <font>
        <b val="0"/>
        <i val="0"/>
        <color rgb="FFD0CECE"/>
      </font>
      <fill>
        <patternFill>
          <bgColor rgb="FF2C2B2B"/>
        </patternFill>
      </fill>
    </dxf>
    <dxf>
      <font>
        <b val="0"/>
        <i val="0"/>
        <color rgb="FFD0CECE"/>
      </font>
      <fill>
        <patternFill>
          <bgColor rgb="FF2C2B2B"/>
        </patternFill>
      </fill>
    </dxf>
    <dxf>
      <font>
        <b val="0"/>
        <i val="0"/>
        <color rgb="FFD0CECE"/>
      </font>
      <fill>
        <patternFill>
          <bgColor theme="1" tint="0.3499"/>
        </patternFill>
      </fill>
    </dxf>
    <dxf>
      <font>
        <b val="0"/>
        <i val="0"/>
        <color rgb="FFD0CECE"/>
      </font>
      <fill>
        <patternFill>
          <bgColor rgb="FF403000"/>
        </patternFill>
      </fill>
    </dxf>
    <dxf>
      <fill>
        <patternFill>
          <bgColor theme="8" tint="-0.25"/>
        </patternFill>
      </fill>
    </dxf>
    <dxf>
      <fill>
        <patternFill>
          <bgColor rgb="FF626B7E"/>
        </patternFill>
      </fill>
    </dxf>
    <dxf>
      <fill>
        <patternFill>
          <bgColor rgb="FF946247"/>
        </patternFill>
      </fill>
    </dxf>
    <dxf>
      <fill>
        <patternFill>
          <bgColor theme="5" tint="-0.25"/>
        </patternFill>
      </fill>
    </dxf>
    <dxf>
      <fill>
        <patternFill>
          <bgColor theme="7"/>
        </patternFill>
      </fill>
    </dxf>
    <dxf>
      <font>
        <b val="0"/>
        <i val="0"/>
        <color rgb="FFD0CECE"/>
      </font>
      <fill>
        <patternFill>
          <bgColor rgb="FF2C2B2B"/>
        </patternFill>
      </fill>
    </dxf>
    <dxf>
      <font>
        <b val="0"/>
        <i val="0"/>
        <color rgb="FFD0CECE"/>
      </font>
      <fill>
        <patternFill>
          <bgColor rgb="FF2C2B2B"/>
        </patternFill>
      </fill>
    </dxf>
    <dxf>
      <font>
        <b val="0"/>
        <i val="0"/>
        <color rgb="FFD0CECE"/>
      </font>
      <fill>
        <patternFill>
          <bgColor rgb="FF2C2B2B"/>
        </patternFill>
      </fill>
    </dxf>
    <dxf>
      <font>
        <b val="0"/>
        <i val="0"/>
        <color rgb="FFD0CECE"/>
      </font>
      <fill>
        <patternFill>
          <bgColor rgb="FF2C2B2B"/>
        </patternFill>
      </fill>
    </dxf>
    <dxf>
      <font>
        <b val="0"/>
        <i val="0"/>
        <color rgb="FFD0CECE"/>
      </font>
      <fill>
        <patternFill>
          <bgColor rgb="FF2C2B2B"/>
        </patternFill>
      </fill>
    </dxf>
    <dxf>
      <font>
        <b val="0"/>
        <i val="0"/>
        <color rgb="FFD0CECE"/>
      </font>
      <fill>
        <patternFill>
          <bgColor rgb="FF2C2B2B"/>
        </patternFill>
      </fill>
    </dxf>
    <dxf>
      <font>
        <b val="0"/>
        <i val="0"/>
        <color rgb="FFD0CECE"/>
      </font>
      <fill>
        <patternFill>
          <bgColor rgb="FF2C2B2B"/>
        </patternFill>
      </fill>
    </dxf>
    <dxf>
      <fill>
        <patternFill patternType="solid">
          <fgColor rgb="FF3F72A3"/>
          <bgColor rgb="FF000000"/>
        </patternFill>
      </fill>
    </dxf>
    <dxf>
      <fill>
        <patternFill patternType="solid">
          <fgColor rgb="FF4A6F97"/>
          <bgColor rgb="FF000000"/>
        </patternFill>
      </fill>
    </dxf>
    <dxf>
      <fill>
        <patternFill patternType="solid">
          <fgColor rgb="FF506F91"/>
          <bgColor rgb="FF000000"/>
        </patternFill>
      </fill>
    </dxf>
    <dxf>
      <fill>
        <patternFill patternType="solid">
          <fgColor rgb="FF566E8B"/>
          <bgColor rgb="FF000000"/>
        </patternFill>
      </fill>
    </dxf>
    <dxf>
      <fill>
        <patternFill patternType="solid">
          <fgColor rgb="FF6C6972"/>
          <bgColor rgb="FF000000"/>
        </patternFill>
      </fill>
    </dxf>
    <dxf>
      <fill>
        <patternFill patternType="solid">
          <fgColor rgb="FF776866"/>
          <bgColor rgb="FF000000"/>
        </patternFill>
      </fill>
    </dxf>
    <dxf>
      <fill>
        <patternFill patternType="solid">
          <fgColor rgb="FF7D6660"/>
          <bgColor rgb="FF000000"/>
        </patternFill>
      </fill>
    </dxf>
    <dxf>
      <fill>
        <patternFill patternType="solid">
          <fgColor rgb="FFAA5E2F"/>
          <bgColor rgb="FF000000"/>
        </patternFill>
      </fill>
    </dxf>
    <dxf>
      <fill>
        <patternFill patternType="solid">
          <fgColor rgb="FFAF5E29"/>
          <bgColor rgb="FF000000"/>
        </patternFill>
      </fill>
    </dxf>
    <dxf>
      <fill>
        <patternFill patternType="solid">
          <fgColor rgb="FFBA5B1D"/>
          <bgColor rgb="FF000000"/>
        </patternFill>
      </fill>
    </dxf>
    <dxf>
      <fill>
        <patternFill patternType="solid">
          <fgColor rgb="FFCA620F"/>
          <bgColor rgb="FF000000"/>
        </patternFill>
      </fill>
    </dxf>
    <dxf>
      <fill>
        <patternFill patternType="solid">
          <fgColor rgb="FF3473AF"/>
          <bgColor rgb="FF000000"/>
        </patternFill>
      </fill>
    </dxf>
    <dxf>
      <font>
        <b val="0"/>
        <i val="0"/>
        <color rgb="FFD0CECE"/>
      </font>
      <fill>
        <patternFill>
          <bgColor rgb="FF2C2B2B"/>
        </patternFill>
      </fill>
    </dxf>
    <dxf>
      <fill>
        <patternFill>
          <bgColor rgb="FFFFFF00"/>
        </patternFill>
      </fill>
    </dxf>
    <dxf>
      <font>
        <b val="0"/>
        <i val="0"/>
        <color rgb="FFD0CECE"/>
      </font>
      <fill>
        <patternFill>
          <bgColor rgb="FF2C2B2B"/>
        </patternFill>
      </fill>
    </dxf>
    <dxf>
      <font>
        <b val="0"/>
        <i val="0"/>
        <color rgb="FFD0CECE"/>
      </font>
      <fill>
        <patternFill>
          <bgColor theme="1" tint="0.3499"/>
        </patternFill>
      </fill>
    </dxf>
    <dxf>
      <font>
        <b val="0"/>
        <i val="0"/>
        <color rgb="FFD0CECE"/>
      </font>
      <fill>
        <patternFill>
          <bgColor rgb="FF403000"/>
        </patternFill>
      </fill>
    </dxf>
    <dxf>
      <fill>
        <patternFill>
          <bgColor theme="8" tint="-0.25"/>
        </patternFill>
      </fill>
    </dxf>
    <dxf>
      <fill>
        <patternFill>
          <bgColor rgb="FF626B7E"/>
        </patternFill>
      </fill>
    </dxf>
    <dxf>
      <fill>
        <patternFill>
          <bgColor rgb="FF946247"/>
        </patternFill>
      </fill>
    </dxf>
    <dxf>
      <fill>
        <patternFill>
          <bgColor theme="5" tint="-0.25"/>
        </patternFill>
      </fill>
    </dxf>
    <dxf>
      <fill>
        <patternFill>
          <bgColor theme="7"/>
        </patternFill>
      </fill>
    </dxf>
    <dxf>
      <fill>
        <patternFill>
          <bgColor theme="4" tint="-0.25"/>
        </patternFill>
      </fill>
    </dxf>
    <dxf>
      <font>
        <b val="0"/>
        <i val="0"/>
        <color rgb="FFD0CECE"/>
      </font>
      <fill>
        <patternFill>
          <bgColor rgb="FF2C2B2B"/>
        </patternFill>
      </fill>
    </dxf>
    <dxf>
      <font>
        <b val="0"/>
        <i val="0"/>
        <color rgb="FFD0CECE"/>
      </font>
      <fill>
        <patternFill>
          <bgColor rgb="FF2C2B2B"/>
        </patternFill>
      </fill>
    </dxf>
    <dxf>
      <font>
        <b val="0"/>
        <i val="0"/>
        <color rgb="FFD0CECE"/>
      </font>
      <fill>
        <patternFill>
          <bgColor rgb="FF2C2B2B"/>
        </patternFill>
      </fill>
    </dxf>
    <dxf>
      <font>
        <b val="0"/>
        <i val="0"/>
        <color rgb="FFD0CECE"/>
      </font>
      <fill>
        <patternFill>
          <bgColor rgb="FF2C2B2B"/>
        </patternFill>
      </fill>
    </dxf>
    <dxf>
      <font>
        <b val="0"/>
        <i val="0"/>
        <color rgb="FFD0CECE"/>
      </font>
      <fill>
        <patternFill>
          <bgColor rgb="FF2C2B2B"/>
        </patternFill>
      </fill>
    </dxf>
    <dxf>
      <font>
        <b val="0"/>
        <i val="0"/>
        <color rgb="FFD0CECE"/>
      </font>
      <fill>
        <patternFill>
          <bgColor rgb="FF2C2B2B"/>
        </patternFill>
      </fill>
    </dxf>
    <dxf>
      <font>
        <b val="0"/>
        <i val="0"/>
        <color rgb="FFD0CECE"/>
      </font>
      <fill>
        <patternFill>
          <bgColor rgb="FF2C2B2B"/>
        </patternFill>
      </fill>
    </dxf>
    <dxf>
      <fill>
        <patternFill patternType="solid">
          <fgColor rgb="FFFFCC99"/>
          <bgColor rgb="FF000000"/>
        </patternFill>
      </fill>
    </dxf>
    <dxf>
      <fill>
        <patternFill patternType="solid">
          <fgColor rgb="FFFFD280"/>
          <bgColor rgb="FF000000"/>
        </patternFill>
      </fill>
    </dxf>
    <dxf>
      <fill>
        <patternFill patternType="solid">
          <fgColor rgb="FFFFE599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fgColor rgb="FFFFCC66"/>
          <bgColor rgb="FF000000"/>
        </patternFill>
      </fill>
    </dxf>
    <dxf>
      <fill>
        <patternFill patternType="solid">
          <fgColor rgb="FFFFE699"/>
          <bgColor rgb="FF000000"/>
        </patternFill>
      </fill>
    </dxf>
    <dxf>
      <fill>
        <patternFill patternType="solid">
          <fgColor rgb="FF595959"/>
          <bgColor rgb="FF000000"/>
        </patternFill>
      </fill>
    </dxf>
    <dxf>
      <fill>
        <patternFill patternType="solid">
          <fgColor rgb="FFAFABAB"/>
          <bgColor rgb="FF000000"/>
        </patternFill>
      </fill>
    </dxf>
    <dxf>
      <fill>
        <patternFill patternType="solid">
          <fgColor rgb="FF3B3838"/>
          <bgColor rgb="FF000000"/>
        </patternFill>
      </fill>
    </dxf>
    <dxf>
      <fill>
        <patternFill patternType="solid">
          <fgColor rgb="FFBFBFBF"/>
          <bgColor rgb="FF000000"/>
        </patternFill>
      </fill>
    </dxf>
    <dxf>
      <fill>
        <patternFill patternType="solid">
          <fgColor rgb="FF548235"/>
          <bgColor rgb="FF000000"/>
        </patternFill>
      </fill>
    </dxf>
    <dxf>
      <fill>
        <patternFill patternType="solid">
          <fgColor rgb="FF70AD47"/>
          <bgColor rgb="FF000000"/>
        </patternFill>
      </fill>
    </dxf>
    <dxf>
      <font>
        <b val="0"/>
        <i val="0"/>
        <color rgb="FFD0CECE"/>
      </font>
      <fill>
        <patternFill>
          <bgColor theme="1" tint="0.3499"/>
        </patternFill>
      </fill>
    </dxf>
    <dxf>
      <font>
        <name val="Calibri"/>
        <charset val="1"/>
        <family val="2"/>
        <color rgb="FF000000"/>
        <sz val="11"/>
      </font>
      <alignment horizontal="general" vertical="bottom" textRotation="0" wrapText="false" indent="0" shrinkToFit="false"/>
    </dxf>
    <dxf>
      <fill>
        <patternFill>
          <bgColor theme="7" tint="0.7999"/>
        </patternFill>
      </fill>
    </dxf>
    <dxf>
      <fill>
        <patternFill>
          <bgColor theme="7" tint="0.5999"/>
        </patternFill>
      </fill>
    </dxf>
    <dxf>
      <fill>
        <patternFill>
          <bgColor theme="7" tint="0.3999"/>
        </patternFill>
      </fill>
    </dxf>
    <dxf>
      <fill>
        <patternFill>
          <bgColor rgb="FFFFCC66"/>
        </patternFill>
      </fill>
    </dxf>
    <dxf>
      <fill>
        <patternFill>
          <bgColor rgb="FFFFCC99"/>
        </patternFill>
      </fill>
    </dxf>
    <dxf>
      <font>
        <b val="0"/>
        <i val="0"/>
        <color rgb="FFD0CECE"/>
      </font>
      <fill>
        <patternFill>
          <bgColor theme="1" tint="0.3499"/>
        </patternFill>
      </fill>
    </dxf>
    <dxf>
      <font>
        <b val="0"/>
        <i val="0"/>
        <color rgb="FFD0CECE"/>
      </font>
      <fill>
        <patternFill>
          <bgColor theme="1" tint="0.3499"/>
        </patternFill>
      </fill>
    </dxf>
    <dxf>
      <font>
        <b val="0"/>
        <i val="0"/>
        <color rgb="FFD0CECE"/>
      </font>
      <fill>
        <patternFill>
          <bgColor theme="1" tint="0.3499"/>
        </patternFill>
      </fill>
    </dxf>
    <dxf>
      <font>
        <b val="0"/>
        <i val="0"/>
        <color rgb="FFD0CECE"/>
      </font>
      <fill>
        <patternFill>
          <bgColor theme="1" tint="0.3499"/>
        </patternFill>
      </fill>
    </dxf>
    <dxf>
      <font>
        <b val="0"/>
        <i val="0"/>
        <color rgb="FFD0CECE"/>
      </font>
      <fill>
        <patternFill>
          <bgColor theme="1" tint="0.3499"/>
        </patternFill>
      </fill>
    </dxf>
    <dxf>
      <font>
        <b val="0"/>
        <i val="0"/>
        <color rgb="FFAFABAB"/>
      </font>
      <fill>
        <patternFill>
          <bgColor theme="1" tint="0.3499"/>
        </patternFill>
      </fill>
    </dxf>
    <dxf>
      <fill>
        <patternFill>
          <bgColor rgb="FFFFFF00"/>
        </patternFill>
      </fill>
    </dxf>
    <dxf>
      <fill>
        <patternFill patternType="solid">
          <fgColor rgb="FFDEEBF7"/>
          <bgColor rgb="FF000000"/>
        </patternFill>
      </fill>
    </dxf>
    <dxf>
      <font>
        <b val="0"/>
        <i val="0"/>
        <color rgb="FFAFABAB"/>
      </font>
      <fill>
        <patternFill>
          <bgColor theme="1" tint="0.3499"/>
        </patternFill>
      </fill>
    </dxf>
    <dxf>
      <font>
        <b val="0"/>
        <i val="0"/>
        <color rgb="FFAFABAB"/>
      </font>
      <fill>
        <patternFill>
          <bgColor theme="1" tint="0.3499"/>
        </patternFill>
      </fill>
    </dxf>
    <dxf>
      <font>
        <b val="0"/>
        <i val="0"/>
        <color rgb="FFAFABAB"/>
      </font>
      <fill>
        <patternFill>
          <bgColor theme="1" tint="0.3499"/>
        </patternFill>
      </fill>
    </dxf>
    <dxf>
      <font>
        <b val="0"/>
        <i val="0"/>
        <color rgb="FFAFABAB"/>
      </font>
      <fill>
        <patternFill>
          <bgColor theme="1" tint="0.3499"/>
        </patternFill>
      </fill>
    </dxf>
    <dxf>
      <fill>
        <patternFill>
          <bgColor theme="7" tint="0.7999"/>
        </patternFill>
      </fill>
    </dxf>
    <dxf>
      <fill>
        <patternFill>
          <bgColor theme="7" tint="0.5999"/>
        </patternFill>
      </fill>
    </dxf>
    <dxf>
      <fill>
        <patternFill>
          <bgColor theme="7" tint="0.3999"/>
        </patternFill>
      </fill>
    </dxf>
    <dxf>
      <fill>
        <patternFill>
          <bgColor rgb="FFFFCC66"/>
        </patternFill>
      </fill>
    </dxf>
    <dxf>
      <fill>
        <patternFill>
          <bgColor rgb="FFFFCC99"/>
        </patternFill>
      </fill>
    </dxf>
    <dxf>
      <font>
        <b val="0"/>
        <i val="0"/>
        <color rgb="FFAFABAB"/>
      </font>
      <fill>
        <patternFill>
          <bgColor theme="1" tint="0.3499"/>
        </patternFill>
      </fill>
    </dxf>
    <dxf>
      <font>
        <b val="0"/>
        <i val="0"/>
        <color rgb="FFAFABAB"/>
      </font>
      <fill>
        <patternFill>
          <bgColor theme="1" tint="0.3499"/>
        </patternFill>
      </fill>
    </dxf>
    <dxf>
      <fill>
        <patternFill>
          <bgColor rgb="FFFFFF00"/>
        </patternFill>
      </fill>
    </dxf>
    <dxf>
      <font>
        <b val="0"/>
        <i val="0"/>
        <color rgb="FFAFABAB"/>
      </font>
      <fill>
        <patternFill>
          <bgColor theme="1" tint="0.3499"/>
        </patternFill>
      </fill>
    </dxf>
    <dxf>
      <fill>
        <patternFill patternType="solid">
          <fgColor rgb="FFFFFF00"/>
          <bgColor rgb="FF000000"/>
        </patternFill>
      </fill>
    </dxf>
    <dxf>
      <fill>
        <patternFill patternType="solid">
          <fgColor rgb="FFD9D9D9"/>
          <bgColor rgb="FF000000"/>
        </patternFill>
      </fill>
    </dxf>
    <dxf>
      <font>
        <b val="0"/>
        <i val="0"/>
        <color rgb="FFAFABAB"/>
      </font>
      <fill>
        <patternFill>
          <bgColor theme="1" tint="0.3499"/>
        </patternFill>
      </fill>
    </dxf>
    <dxf>
      <fill>
        <patternFill>
          <bgColor rgb="FFFFFF00"/>
        </patternFill>
      </fill>
    </dxf>
    <dxf>
      <font>
        <b val="0"/>
        <i val="0"/>
        <color rgb="FFAFABAB"/>
      </font>
      <fill>
        <patternFill>
          <bgColor theme="1" tint="0.3499"/>
        </patternFill>
      </fill>
    </dxf>
    <dxf>
      <font>
        <b val="0"/>
        <i val="0"/>
        <color rgb="FFAFABAB"/>
      </font>
      <fill>
        <patternFill>
          <bgColor theme="1" tint="0.3499"/>
        </patternFill>
      </fill>
    </dxf>
    <dxf>
      <font>
        <b val="0"/>
        <i val="0"/>
        <color rgb="FFAFABAB"/>
      </font>
      <fill>
        <patternFill>
          <bgColor theme="1" tint="0.3499"/>
        </patternFill>
      </fill>
    </dxf>
    <dxf>
      <font>
        <b val="0"/>
        <i val="0"/>
        <color rgb="FFAFABAB"/>
      </font>
      <fill>
        <patternFill>
          <bgColor theme="1" tint="0.3499"/>
        </patternFill>
      </fill>
    </dxf>
    <dxf>
      <font>
        <b val="0"/>
        <i val="0"/>
        <color rgb="FFAFABAB"/>
      </font>
      <fill>
        <patternFill>
          <bgColor theme="1" tint="0.3499"/>
        </patternFill>
      </fill>
    </dxf>
    <dxf>
      <font>
        <b val="0"/>
        <i val="0"/>
        <color rgb="FFAFABAB"/>
      </font>
      <fill>
        <patternFill>
          <bgColor theme="1" tint="0.3499"/>
        </patternFill>
      </fill>
    </dxf>
    <dxf>
      <font>
        <b val="0"/>
        <i val="0"/>
        <color rgb="FFAFABAB"/>
      </font>
      <fill>
        <patternFill>
          <bgColor theme="1" tint="0.3499"/>
        </patternFill>
      </fill>
    </dxf>
    <dxf>
      <fill>
        <patternFill>
          <bgColor theme="7" tint="0.7999"/>
        </patternFill>
      </fill>
    </dxf>
    <dxf>
      <fill>
        <patternFill>
          <bgColor theme="7" tint="0.5999"/>
        </patternFill>
      </fill>
    </dxf>
    <dxf>
      <fill>
        <patternFill>
          <bgColor theme="7" tint="0.3999"/>
        </patternFill>
      </fill>
    </dxf>
    <dxf>
      <fill>
        <patternFill>
          <bgColor rgb="FFFFCC66"/>
        </patternFill>
      </fill>
    </dxf>
    <dxf>
      <fill>
        <patternFill>
          <bgColor rgb="FFFFCC99"/>
        </patternFill>
      </fill>
    </dxf>
    <dxf>
      <fill>
        <patternFill patternType="solid">
          <fgColor rgb="FFFFE188"/>
          <bgColor rgb="FF000000"/>
        </patternFill>
      </fill>
    </dxf>
    <dxf>
      <fill>
        <patternFill patternType="solid">
          <fgColor rgb="FFFFE9AA"/>
          <bgColor rgb="FF000000"/>
        </patternFill>
      </fill>
    </dxf>
    <dxf>
      <font>
        <color rgb="FFA6A6A6"/>
      </font>
      <fill>
        <patternFill>
          <bgColor theme="1" tint="0.1499"/>
        </patternFill>
      </fill>
    </dxf>
    <dxf>
      <fill>
        <patternFill>
          <bgColor theme="7" tint="0.7999"/>
        </patternFill>
      </fill>
    </dxf>
    <dxf>
      <fill>
        <patternFill>
          <bgColor theme="7" tint="0.5999"/>
        </patternFill>
      </fill>
    </dxf>
    <dxf>
      <fill>
        <patternFill>
          <bgColor theme="7" tint="0.3999"/>
        </patternFill>
      </fill>
    </dxf>
    <dxf>
      <fill>
        <patternFill>
          <bgColor rgb="FFFFCC66"/>
        </patternFill>
      </fill>
    </dxf>
    <dxf>
      <fill>
        <patternFill>
          <bgColor rgb="FFFFCC99"/>
        </patternFill>
      </fill>
    </dxf>
    <dxf>
      <font>
        <b val="0"/>
        <i val="0"/>
        <color rgb="FFAFABAB"/>
      </font>
      <fill>
        <patternFill>
          <bgColor theme="1" tint="0.3499"/>
        </patternFill>
      </fill>
    </dxf>
    <dxf>
      <fill>
        <patternFill>
          <bgColor rgb="FFFFFF00"/>
        </patternFill>
      </fill>
    </dxf>
    <dxf>
      <font>
        <b val="0"/>
        <i val="0"/>
        <color rgb="FFAFABAB"/>
      </font>
      <fill>
        <patternFill>
          <bgColor theme="1" tint="0.3499"/>
        </patternFill>
      </fill>
    </dxf>
    <dxf>
      <font>
        <b val="0"/>
        <i val="0"/>
        <color rgb="FFAFABAB"/>
      </font>
      <fill>
        <patternFill>
          <bgColor theme="1" tint="0.3499"/>
        </patternFill>
      </fill>
    </dxf>
    <dxf>
      <font>
        <b val="0"/>
        <i val="0"/>
        <color rgb="FFAFABAB"/>
      </font>
      <fill>
        <patternFill>
          <bgColor theme="1" tint="0.3499"/>
        </patternFill>
      </fill>
    </dxf>
    <dxf>
      <font>
        <b val="0"/>
        <i val="0"/>
        <color rgb="FFAFABAB"/>
      </font>
      <fill>
        <patternFill>
          <bgColor theme="1" tint="0.3499"/>
        </patternFill>
      </fill>
    </dxf>
    <dxf>
      <font>
        <b val="0"/>
        <i val="0"/>
        <color rgb="FFAFABAB"/>
      </font>
      <fill>
        <patternFill>
          <bgColor theme="1" tint="0.3499"/>
        </patternFill>
      </fill>
    </dxf>
    <dxf>
      <font>
        <b val="0"/>
        <i val="0"/>
        <color rgb="FFAFABAB"/>
      </font>
      <fill>
        <patternFill>
          <bgColor theme="1" tint="0.3499"/>
        </patternFill>
      </fill>
    </dxf>
    <dxf>
      <font>
        <b val="0"/>
        <i val="0"/>
        <color rgb="FFAFABAB"/>
      </font>
      <fill>
        <patternFill>
          <bgColor theme="1" tint="0.3499"/>
        </patternFill>
      </fill>
    </dxf>
    <dxf>
      <fill>
        <patternFill patternType="solid">
          <fgColor rgb="FFED7D31"/>
          <bgColor rgb="FF000000"/>
        </patternFill>
      </fill>
    </dxf>
    <dxf>
      <font>
        <b val="0"/>
        <i val="0"/>
        <color rgb="FFAFABAB"/>
      </font>
      <fill>
        <patternFill>
          <bgColor theme="1" tint="0.3499"/>
        </patternFill>
      </fill>
    </dxf>
    <dxf>
      <fill>
        <patternFill>
          <bgColor rgb="FFFFFF00"/>
        </patternFill>
      </fill>
    </dxf>
    <dxf>
      <font>
        <b val="0"/>
        <i val="0"/>
        <color rgb="FFAFABAB"/>
      </font>
      <fill>
        <patternFill>
          <bgColor theme="1" tint="0.3499"/>
        </patternFill>
      </fill>
    </dxf>
    <dxf>
      <font>
        <b val="0"/>
        <i val="0"/>
        <color rgb="FFAFABAB"/>
      </font>
      <fill>
        <patternFill>
          <bgColor theme="1" tint="0.3499"/>
        </patternFill>
      </fill>
    </dxf>
    <dxf>
      <font>
        <b val="0"/>
        <i val="0"/>
        <color rgb="FFAFABAB"/>
      </font>
      <fill>
        <patternFill>
          <bgColor theme="1" tint="0.3499"/>
        </patternFill>
      </fill>
    </dxf>
    <dxf>
      <font>
        <b val="0"/>
        <i val="0"/>
        <color rgb="FFAFABAB"/>
      </font>
      <fill>
        <patternFill>
          <bgColor theme="1" tint="0.3499"/>
        </patternFill>
      </fill>
    </dxf>
    <dxf>
      <font>
        <b val="0"/>
        <i val="0"/>
        <color rgb="FFAFABAB"/>
      </font>
      <fill>
        <patternFill>
          <bgColor theme="1" tint="0.3499"/>
        </patternFill>
      </fill>
    </dxf>
    <dxf>
      <font>
        <b val="0"/>
        <i val="0"/>
        <color rgb="FFAFABAB"/>
      </font>
      <fill>
        <patternFill>
          <bgColor theme="1" tint="0.3499"/>
        </patternFill>
      </fill>
    </dxf>
    <dxf>
      <font>
        <b val="0"/>
        <i val="0"/>
        <color rgb="FFAFABAB"/>
      </font>
      <fill>
        <patternFill>
          <bgColor theme="1" tint="0.3499"/>
        </patternFill>
      </fill>
    </dxf>
    <dxf>
      <fill>
        <patternFill>
          <bgColor theme="7" tint="0.7999"/>
        </patternFill>
      </fill>
    </dxf>
    <dxf>
      <fill>
        <patternFill>
          <bgColor theme="7" tint="0.5999"/>
        </patternFill>
      </fill>
    </dxf>
    <dxf>
      <fill>
        <patternFill>
          <bgColor theme="7" tint="0.3999"/>
        </patternFill>
      </fill>
    </dxf>
    <dxf>
      <fill>
        <patternFill>
          <bgColor rgb="FFFFCC66"/>
        </patternFill>
      </fill>
    </dxf>
    <dxf>
      <fill>
        <patternFill>
          <bgColor rgb="FFFFCC99"/>
        </patternFill>
      </fill>
    </dxf>
    <dxf>
      <font>
        <b val="0"/>
        <i val="0"/>
        <color rgb="FFAFABAB"/>
      </font>
      <fill>
        <patternFill>
          <bgColor theme="1" tint="0.3499"/>
        </patternFill>
      </fill>
    </dxf>
    <dxf>
      <fill>
        <patternFill>
          <bgColor rgb="FFFFFF00"/>
        </patternFill>
      </fill>
    </dxf>
    <dxf>
      <font>
        <b val="0"/>
        <i val="0"/>
        <color rgb="FFAFABAB"/>
      </font>
      <fill>
        <patternFill>
          <bgColor theme="1" tint="0.3499"/>
        </patternFill>
      </fill>
    </dxf>
    <dxf>
      <font>
        <b val="0"/>
        <i val="0"/>
        <color rgb="FFAFABAB"/>
      </font>
      <fill>
        <patternFill>
          <bgColor theme="1" tint="0.3499"/>
        </patternFill>
      </fill>
    </dxf>
    <dxf>
      <font>
        <b val="0"/>
        <i val="0"/>
        <color rgb="FFAFABAB"/>
      </font>
      <fill>
        <patternFill>
          <bgColor theme="1" tint="0.3499"/>
        </patternFill>
      </fill>
    </dxf>
    <dxf>
      <font>
        <b val="0"/>
        <i val="0"/>
        <color rgb="FFAFABAB"/>
      </font>
      <fill>
        <patternFill>
          <bgColor theme="1" tint="0.3499"/>
        </patternFill>
      </fill>
    </dxf>
    <dxf>
      <font>
        <b val="0"/>
        <i val="0"/>
        <color rgb="FFAFABAB"/>
      </font>
      <fill>
        <patternFill>
          <bgColor theme="1" tint="0.3499"/>
        </patternFill>
      </fill>
    </dxf>
    <dxf>
      <font>
        <b val="0"/>
        <i val="0"/>
        <color rgb="FFAFABAB"/>
      </font>
      <fill>
        <patternFill>
          <bgColor theme="1" tint="0.3499"/>
        </patternFill>
      </fill>
    </dxf>
    <dxf>
      <font>
        <b val="0"/>
        <i val="0"/>
        <color rgb="FFAFABAB"/>
      </font>
      <fill>
        <patternFill>
          <bgColor theme="1" tint="0.3499"/>
        </patternFill>
      </fill>
    </dxf>
    <dxf>
      <fill>
        <patternFill>
          <bgColor theme="7" tint="0.7999"/>
        </patternFill>
      </fill>
    </dxf>
    <dxf>
      <fill>
        <patternFill>
          <bgColor theme="7" tint="0.5999"/>
        </patternFill>
      </fill>
    </dxf>
    <dxf>
      <fill>
        <patternFill>
          <bgColor theme="7" tint="0.3999"/>
        </patternFill>
      </fill>
    </dxf>
    <dxf>
      <fill>
        <patternFill>
          <bgColor rgb="FFFFCC66"/>
        </patternFill>
      </fill>
    </dxf>
    <dxf>
      <fill>
        <patternFill>
          <bgColor rgb="FFFFCC99"/>
        </patternFill>
      </fill>
    </dxf>
    <dxf>
      <font>
        <b val="0"/>
        <i val="0"/>
        <color rgb="FFAFABAB"/>
      </font>
      <fill>
        <patternFill>
          <bgColor theme="1" tint="0.3499"/>
        </patternFill>
      </fill>
    </dxf>
    <dxf>
      <fill>
        <patternFill>
          <bgColor rgb="FFFFFF00"/>
        </patternFill>
      </fill>
    </dxf>
    <dxf>
      <font>
        <b val="0"/>
        <i val="0"/>
        <color rgb="FFAFABAB"/>
      </font>
      <fill>
        <patternFill>
          <bgColor theme="1" tint="0.3499"/>
        </patternFill>
      </fill>
    </dxf>
    <dxf>
      <font>
        <b val="0"/>
        <i val="0"/>
        <color rgb="FFAFABAB"/>
      </font>
      <fill>
        <patternFill>
          <bgColor theme="1" tint="0.3499"/>
        </patternFill>
      </fill>
    </dxf>
    <dxf>
      <font>
        <b val="0"/>
        <i val="0"/>
        <color rgb="FFAFABAB"/>
      </font>
      <fill>
        <patternFill>
          <bgColor theme="1" tint="0.3499"/>
        </patternFill>
      </fill>
    </dxf>
    <dxf>
      <font>
        <b val="0"/>
        <i val="0"/>
        <color rgb="FFAFABAB"/>
      </font>
      <fill>
        <patternFill>
          <bgColor theme="1" tint="0.3499"/>
        </patternFill>
      </fill>
    </dxf>
    <dxf>
      <font>
        <b val="0"/>
        <i val="0"/>
        <color rgb="FFAFABAB"/>
      </font>
      <fill>
        <patternFill>
          <bgColor theme="1" tint="0.3499"/>
        </patternFill>
      </fill>
    </dxf>
    <dxf>
      <font>
        <b val="0"/>
        <i val="0"/>
        <color rgb="FFAFABAB"/>
      </font>
      <fill>
        <patternFill>
          <bgColor theme="1" tint="0.3499"/>
        </patternFill>
      </fill>
    </dxf>
    <dxf>
      <font>
        <b val="0"/>
        <i val="0"/>
        <color rgb="FFAFABAB"/>
      </font>
      <fill>
        <patternFill>
          <bgColor theme="1" tint="0.3499"/>
        </patternFill>
      </fill>
    </dxf>
    <dxf>
      <fill>
        <patternFill>
          <bgColor theme="7" tint="0.7999"/>
        </patternFill>
      </fill>
    </dxf>
    <dxf>
      <fill>
        <patternFill>
          <bgColor theme="7" tint="0.5999"/>
        </patternFill>
      </fill>
    </dxf>
    <dxf>
      <fill>
        <patternFill>
          <bgColor theme="7" tint="0.3999"/>
        </patternFill>
      </fill>
    </dxf>
    <dxf>
      <fill>
        <patternFill>
          <bgColor rgb="FFFFCC66"/>
        </patternFill>
      </fill>
    </dxf>
    <dxf>
      <fill>
        <patternFill>
          <bgColor rgb="FFFFCC99"/>
        </patternFill>
      </fill>
    </dxf>
    <dxf>
      <font>
        <b val="0"/>
        <i val="0"/>
        <color rgb="FFAFABAB"/>
      </font>
      <fill>
        <patternFill>
          <bgColor theme="1" tint="0.3499"/>
        </patternFill>
      </fill>
    </dxf>
    <dxf>
      <fill>
        <patternFill>
          <bgColor rgb="FFFFFF00"/>
        </patternFill>
      </fill>
    </dxf>
    <dxf>
      <font>
        <b val="0"/>
        <i val="0"/>
        <color rgb="FFAFABAB"/>
      </font>
      <fill>
        <patternFill>
          <bgColor theme="1" tint="0.3499"/>
        </patternFill>
      </fill>
    </dxf>
    <dxf>
      <font>
        <b val="0"/>
        <i val="0"/>
        <color rgb="FFAFABAB"/>
      </font>
      <fill>
        <patternFill>
          <bgColor theme="1" tint="0.3499"/>
        </patternFill>
      </fill>
    </dxf>
    <dxf>
      <font>
        <b val="0"/>
        <i val="0"/>
        <color rgb="FFAFABAB"/>
      </font>
      <fill>
        <patternFill>
          <bgColor theme="1" tint="0.3499"/>
        </patternFill>
      </fill>
    </dxf>
    <dxf>
      <font>
        <b val="0"/>
        <i val="0"/>
        <color rgb="FFAFABAB"/>
      </font>
      <fill>
        <patternFill>
          <bgColor theme="1" tint="0.3499"/>
        </patternFill>
      </fill>
    </dxf>
    <dxf>
      <font>
        <b val="0"/>
        <i val="0"/>
        <color rgb="FFAFABAB"/>
      </font>
      <fill>
        <patternFill>
          <bgColor theme="1" tint="0.3499"/>
        </patternFill>
      </fill>
    </dxf>
    <dxf>
      <font>
        <b val="0"/>
        <i val="0"/>
        <color rgb="FFAFABAB"/>
      </font>
      <fill>
        <patternFill>
          <bgColor theme="1" tint="0.3499"/>
        </patternFill>
      </fill>
    </dxf>
    <dxf>
      <font>
        <b val="0"/>
        <i val="0"/>
        <color rgb="FFAFABAB"/>
      </font>
      <fill>
        <patternFill>
          <bgColor theme="1" tint="0.3499"/>
        </patternFill>
      </fill>
    </dxf>
    <dxf>
      <fill>
        <patternFill>
          <bgColor theme="7" tint="0.7999"/>
        </patternFill>
      </fill>
    </dxf>
    <dxf>
      <fill>
        <patternFill>
          <bgColor theme="7" tint="0.5999"/>
        </patternFill>
      </fill>
    </dxf>
    <dxf>
      <fill>
        <patternFill>
          <bgColor theme="7" tint="0.3999"/>
        </patternFill>
      </fill>
    </dxf>
    <dxf>
      <fill>
        <patternFill>
          <bgColor rgb="FFFFCC66"/>
        </patternFill>
      </fill>
    </dxf>
    <dxf>
      <fill>
        <patternFill>
          <bgColor rgb="FFFFCC99"/>
        </patternFill>
      </fill>
    </dxf>
    <dxf>
      <font>
        <b val="0"/>
        <i val="0"/>
        <color rgb="FFAFABAB"/>
      </font>
      <fill>
        <patternFill>
          <bgColor theme="1" tint="0.3499"/>
        </patternFill>
      </fill>
    </dxf>
    <dxf>
      <fill>
        <patternFill>
          <bgColor rgb="FFFFFF00"/>
        </patternFill>
      </fill>
    </dxf>
    <dxf>
      <font>
        <b val="0"/>
        <i val="0"/>
        <color rgb="FFAFABAB"/>
      </font>
      <fill>
        <patternFill>
          <bgColor theme="1" tint="0.3499"/>
        </patternFill>
      </fill>
    </dxf>
    <dxf>
      <font>
        <b val="0"/>
        <i val="0"/>
        <color rgb="FFAFABAB"/>
      </font>
      <fill>
        <patternFill>
          <bgColor theme="1" tint="0.3499"/>
        </patternFill>
      </fill>
    </dxf>
    <dxf>
      <font>
        <b val="0"/>
        <i val="0"/>
        <color rgb="FFAFABAB"/>
      </font>
      <fill>
        <patternFill>
          <bgColor theme="1" tint="0.3499"/>
        </patternFill>
      </fill>
    </dxf>
    <dxf>
      <font>
        <b val="0"/>
        <i val="0"/>
        <color rgb="FFAFABAB"/>
      </font>
      <fill>
        <patternFill>
          <bgColor theme="1" tint="0.3499"/>
        </patternFill>
      </fill>
    </dxf>
    <dxf>
      <font>
        <b val="0"/>
        <i val="0"/>
        <color rgb="FFAFABAB"/>
      </font>
      <fill>
        <patternFill>
          <bgColor theme="1" tint="0.3499"/>
        </patternFill>
      </fill>
    </dxf>
    <dxf>
      <font>
        <b val="0"/>
        <i val="0"/>
        <color rgb="FFAFABAB"/>
      </font>
      <fill>
        <patternFill>
          <bgColor theme="1" tint="0.3499"/>
        </patternFill>
      </fill>
    </dxf>
    <dxf>
      <font>
        <b val="0"/>
        <i val="0"/>
        <color rgb="FFAFABAB"/>
      </font>
      <fill>
        <patternFill>
          <bgColor theme="1" tint="0.3499"/>
        </patternFill>
      </fill>
    </dxf>
    <dxf>
      <fill>
        <patternFill>
          <bgColor theme="7" tint="0.7999"/>
        </patternFill>
      </fill>
    </dxf>
    <dxf>
      <fill>
        <patternFill>
          <bgColor theme="7" tint="0.5999"/>
        </patternFill>
      </fill>
    </dxf>
    <dxf>
      <fill>
        <patternFill>
          <bgColor theme="7" tint="0.3999"/>
        </patternFill>
      </fill>
    </dxf>
    <dxf>
      <fill>
        <patternFill>
          <bgColor rgb="FFFFCC66"/>
        </patternFill>
      </fill>
    </dxf>
    <dxf>
      <fill>
        <patternFill>
          <bgColor rgb="FFFFCC99"/>
        </patternFill>
      </fill>
    </dxf>
    <dxf>
      <font>
        <b val="0"/>
        <i val="0"/>
        <color rgb="FFAFABAB"/>
      </font>
      <fill>
        <patternFill>
          <bgColor theme="1" tint="0.3499"/>
        </patternFill>
      </fill>
    </dxf>
    <dxf>
      <fill>
        <patternFill>
          <bgColor rgb="FFFFFF00"/>
        </patternFill>
      </fill>
    </dxf>
    <dxf>
      <font>
        <b val="0"/>
        <i val="0"/>
        <color rgb="FFAFABAB"/>
      </font>
      <fill>
        <patternFill>
          <bgColor theme="1" tint="0.3499"/>
        </patternFill>
      </fill>
    </dxf>
    <dxf>
      <font>
        <b val="0"/>
        <i val="0"/>
        <color rgb="FFAFABAB"/>
      </font>
      <fill>
        <patternFill>
          <bgColor theme="1" tint="0.3499"/>
        </patternFill>
      </fill>
    </dxf>
    <dxf>
      <font>
        <b val="0"/>
        <i val="0"/>
        <color rgb="FFAFABAB"/>
      </font>
      <fill>
        <patternFill>
          <bgColor theme="1" tint="0.3499"/>
        </patternFill>
      </fill>
    </dxf>
    <dxf>
      <font>
        <b val="0"/>
        <i val="0"/>
        <color rgb="FFAFABAB"/>
      </font>
      <fill>
        <patternFill>
          <bgColor theme="1" tint="0.3499"/>
        </patternFill>
      </fill>
    </dxf>
    <dxf>
      <font>
        <b val="0"/>
        <i val="0"/>
        <color rgb="FFAFABAB"/>
      </font>
      <fill>
        <patternFill>
          <bgColor theme="1" tint="0.3499"/>
        </patternFill>
      </fill>
    </dxf>
    <dxf>
      <font>
        <b val="0"/>
        <i val="0"/>
        <color rgb="FFAFABAB"/>
      </font>
      <fill>
        <patternFill>
          <bgColor theme="1" tint="0.3499"/>
        </patternFill>
      </fill>
    </dxf>
    <dxf>
      <font>
        <b val="0"/>
        <i val="0"/>
        <color rgb="FFAFABAB"/>
      </font>
      <fill>
        <patternFill>
          <bgColor theme="1" tint="0.3499"/>
        </patternFill>
      </fill>
    </dxf>
    <dxf>
      <fill>
        <patternFill>
          <bgColor theme="7" tint="0.7999"/>
        </patternFill>
      </fill>
    </dxf>
    <dxf>
      <fill>
        <patternFill>
          <bgColor theme="7" tint="0.5999"/>
        </patternFill>
      </fill>
    </dxf>
    <dxf>
      <fill>
        <patternFill>
          <bgColor theme="7" tint="0.3999"/>
        </patternFill>
      </fill>
    </dxf>
    <dxf>
      <fill>
        <patternFill>
          <bgColor rgb="FFFFCC66"/>
        </patternFill>
      </fill>
    </dxf>
    <dxf>
      <fill>
        <patternFill>
          <bgColor rgb="FFFFCC99"/>
        </patternFill>
      </fill>
    </dxf>
    <dxf>
      <font>
        <b val="0"/>
        <i val="0"/>
        <color rgb="FFAFABAB"/>
      </font>
      <fill>
        <patternFill>
          <bgColor theme="1" tint="0.3499"/>
        </patternFill>
      </fill>
    </dxf>
    <dxf>
      <fill>
        <patternFill>
          <bgColor rgb="FFFFFF00"/>
        </patternFill>
      </fill>
    </dxf>
    <dxf>
      <font>
        <b val="0"/>
        <i val="0"/>
        <color rgb="FFAFABAB"/>
      </font>
      <fill>
        <patternFill>
          <bgColor theme="1" tint="0.3499"/>
        </patternFill>
      </fill>
    </dxf>
    <dxf>
      <font>
        <b val="0"/>
        <i val="0"/>
        <color rgb="FFAFABAB"/>
      </font>
      <fill>
        <patternFill>
          <bgColor theme="1" tint="0.3499"/>
        </patternFill>
      </fill>
    </dxf>
    <dxf>
      <font>
        <b val="0"/>
        <i val="0"/>
        <color rgb="FFAFABAB"/>
      </font>
      <fill>
        <patternFill>
          <bgColor theme="1" tint="0.3499"/>
        </patternFill>
      </fill>
    </dxf>
    <dxf>
      <font>
        <b val="0"/>
        <i val="0"/>
        <color rgb="FFAFABAB"/>
      </font>
      <fill>
        <patternFill>
          <bgColor theme="1" tint="0.3499"/>
        </patternFill>
      </fill>
    </dxf>
    <dxf>
      <font>
        <b val="0"/>
        <i val="0"/>
        <color rgb="FFAFABAB"/>
      </font>
      <fill>
        <patternFill>
          <bgColor theme="1" tint="0.3499"/>
        </patternFill>
      </fill>
    </dxf>
    <dxf>
      <font>
        <b val="0"/>
        <i val="0"/>
        <color rgb="FFAFABAB"/>
      </font>
      <fill>
        <patternFill>
          <bgColor theme="1" tint="0.3499"/>
        </patternFill>
      </fill>
    </dxf>
    <dxf>
      <font>
        <b val="0"/>
        <i val="0"/>
        <color rgb="FFAFABAB"/>
      </font>
      <fill>
        <patternFill>
          <bgColor theme="1" tint="0.3499"/>
        </patternFill>
      </fill>
    </dxf>
    <dxf>
      <fill>
        <patternFill>
          <bgColor theme="7" tint="0.7999"/>
        </patternFill>
      </fill>
    </dxf>
    <dxf>
      <fill>
        <patternFill>
          <bgColor theme="7" tint="0.5999"/>
        </patternFill>
      </fill>
    </dxf>
    <dxf>
      <fill>
        <patternFill>
          <bgColor theme="7" tint="0.3999"/>
        </patternFill>
      </fill>
    </dxf>
    <dxf>
      <fill>
        <patternFill>
          <bgColor rgb="FFFFCC66"/>
        </patternFill>
      </fill>
    </dxf>
    <dxf>
      <fill>
        <patternFill>
          <bgColor rgb="FFFFCC99"/>
        </patternFill>
      </fill>
    </dxf>
    <dxf>
      <font>
        <b val="0"/>
        <i val="0"/>
        <color rgb="FFAFABAB"/>
      </font>
      <fill>
        <patternFill>
          <bgColor theme="1" tint="0.3499"/>
        </patternFill>
      </fill>
    </dxf>
    <dxf>
      <fill>
        <patternFill>
          <bgColor rgb="FFFFFF00"/>
        </patternFill>
      </fill>
    </dxf>
    <dxf>
      <font>
        <b val="0"/>
        <i val="0"/>
        <color rgb="FFAFABAB"/>
      </font>
      <fill>
        <patternFill>
          <bgColor theme="1" tint="0.3499"/>
        </patternFill>
      </fill>
    </dxf>
    <dxf>
      <font>
        <b val="0"/>
        <i val="0"/>
        <color rgb="FFAFABAB"/>
      </font>
      <fill>
        <patternFill>
          <bgColor theme="1" tint="0.3499"/>
        </patternFill>
      </fill>
    </dxf>
    <dxf>
      <font>
        <b val="0"/>
        <i val="0"/>
        <color rgb="FFAFABAB"/>
      </font>
      <fill>
        <patternFill>
          <bgColor theme="1" tint="0.3499"/>
        </patternFill>
      </fill>
    </dxf>
    <dxf>
      <font>
        <b val="0"/>
        <i val="0"/>
        <color rgb="FFAFABAB"/>
      </font>
      <fill>
        <patternFill>
          <bgColor theme="1" tint="0.3499"/>
        </patternFill>
      </fill>
    </dxf>
    <dxf>
      <font>
        <b val="0"/>
        <i val="0"/>
        <color rgb="FFAFABAB"/>
      </font>
      <fill>
        <patternFill>
          <bgColor theme="1" tint="0.3499"/>
        </patternFill>
      </fill>
    </dxf>
    <dxf>
      <font>
        <b val="0"/>
        <i val="0"/>
        <color rgb="FFAFABAB"/>
      </font>
      <fill>
        <patternFill>
          <bgColor theme="1" tint="0.3499"/>
        </patternFill>
      </fill>
    </dxf>
    <dxf>
      <font>
        <b val="0"/>
        <i val="0"/>
        <color rgb="FFAFABAB"/>
      </font>
      <fill>
        <patternFill>
          <bgColor theme="1" tint="0.3499"/>
        </patternFill>
      </fill>
    </dxf>
    <dxf>
      <fill>
        <patternFill>
          <bgColor theme="7" tint="0.7999"/>
        </patternFill>
      </fill>
    </dxf>
    <dxf>
      <fill>
        <patternFill>
          <bgColor theme="7" tint="0.5999"/>
        </patternFill>
      </fill>
    </dxf>
    <dxf>
      <fill>
        <patternFill>
          <bgColor theme="7" tint="0.3999"/>
        </patternFill>
      </fill>
    </dxf>
    <dxf>
      <fill>
        <patternFill>
          <bgColor rgb="FFFFCC66"/>
        </patternFill>
      </fill>
    </dxf>
    <dxf>
      <fill>
        <patternFill>
          <bgColor rgb="FFFFCC99"/>
        </patternFill>
      </fill>
    </dxf>
    <dxf>
      <font>
        <b val="0"/>
        <i val="0"/>
        <color rgb="FFAFABAB"/>
      </font>
      <fill>
        <patternFill>
          <bgColor theme="1" tint="0.3499"/>
        </patternFill>
      </fill>
    </dxf>
    <dxf>
      <fill>
        <patternFill>
          <bgColor rgb="FFFFFF00"/>
        </patternFill>
      </fill>
    </dxf>
    <dxf>
      <font>
        <b val="0"/>
        <i val="0"/>
        <color rgb="FFAFABAB"/>
      </font>
      <fill>
        <patternFill>
          <bgColor theme="1" tint="0.3499"/>
        </patternFill>
      </fill>
    </dxf>
    <dxf>
      <font>
        <b val="0"/>
        <i val="0"/>
        <color rgb="FFAFABAB"/>
      </font>
      <fill>
        <patternFill>
          <bgColor theme="1" tint="0.3499"/>
        </patternFill>
      </fill>
    </dxf>
    <dxf>
      <font>
        <b val="0"/>
        <i val="0"/>
        <color rgb="FFAFABAB"/>
      </font>
      <fill>
        <patternFill>
          <bgColor theme="1" tint="0.3499"/>
        </patternFill>
      </fill>
    </dxf>
    <dxf>
      <font>
        <b val="0"/>
        <i val="0"/>
        <color rgb="FFAFABAB"/>
      </font>
      <fill>
        <patternFill>
          <bgColor theme="1" tint="0.3499"/>
        </patternFill>
      </fill>
    </dxf>
    <dxf>
      <font>
        <b val="0"/>
        <i val="0"/>
        <color rgb="FFAFABAB"/>
      </font>
      <fill>
        <patternFill>
          <bgColor theme="1" tint="0.3499"/>
        </patternFill>
      </fill>
    </dxf>
    <dxf>
      <font>
        <b val="0"/>
        <i val="0"/>
        <color rgb="FFAFABAB"/>
      </font>
      <fill>
        <patternFill>
          <bgColor theme="1" tint="0.3499"/>
        </patternFill>
      </fill>
    </dxf>
    <dxf>
      <font>
        <b val="0"/>
        <i val="0"/>
        <color rgb="FFAFABAB"/>
      </font>
      <fill>
        <patternFill>
          <bgColor theme="1" tint="0.3499"/>
        </patternFill>
      </fill>
    </dxf>
    <dxf>
      <fill>
        <patternFill>
          <bgColor theme="7" tint="0.7999"/>
        </patternFill>
      </fill>
    </dxf>
    <dxf>
      <fill>
        <patternFill>
          <bgColor theme="7" tint="0.5999"/>
        </patternFill>
      </fill>
    </dxf>
    <dxf>
      <fill>
        <patternFill>
          <bgColor theme="7" tint="0.3999"/>
        </patternFill>
      </fill>
    </dxf>
    <dxf>
      <fill>
        <patternFill>
          <bgColor rgb="FFFFCC66"/>
        </patternFill>
      </fill>
    </dxf>
    <dxf>
      <fill>
        <patternFill>
          <bgColor rgb="FFFFCC99"/>
        </patternFill>
      </fill>
    </dxf>
    <dxf>
      <font>
        <b val="0"/>
        <i val="0"/>
        <color rgb="FFAFABAB"/>
      </font>
      <fill>
        <patternFill>
          <bgColor theme="1" tint="0.3499"/>
        </patternFill>
      </fill>
    </dxf>
    <dxf>
      <fill>
        <patternFill>
          <bgColor rgb="FFFFFF00"/>
        </patternFill>
      </fill>
    </dxf>
    <dxf>
      <font>
        <b val="0"/>
        <i val="0"/>
        <color rgb="FFAFABAB"/>
      </font>
      <fill>
        <patternFill>
          <bgColor theme="1" tint="0.3499"/>
        </patternFill>
      </fill>
    </dxf>
    <dxf>
      <font>
        <b val="0"/>
        <i val="0"/>
        <color rgb="FFAFABAB"/>
      </font>
      <fill>
        <patternFill>
          <bgColor theme="1" tint="0.3499"/>
        </patternFill>
      </fill>
    </dxf>
    <dxf>
      <font>
        <b val="0"/>
        <i val="0"/>
        <color rgb="FFAFABAB"/>
      </font>
      <fill>
        <patternFill>
          <bgColor theme="1" tint="0.3499"/>
        </patternFill>
      </fill>
    </dxf>
    <dxf>
      <font>
        <b val="0"/>
        <i val="0"/>
        <color rgb="FFAFABAB"/>
      </font>
      <fill>
        <patternFill>
          <bgColor theme="1" tint="0.3499"/>
        </patternFill>
      </fill>
    </dxf>
    <dxf>
      <font>
        <b val="0"/>
        <i val="0"/>
        <color rgb="FFAFABAB"/>
      </font>
      <fill>
        <patternFill>
          <bgColor theme="1" tint="0.3499"/>
        </patternFill>
      </fill>
    </dxf>
    <dxf>
      <font>
        <b val="0"/>
        <i val="0"/>
        <color rgb="FFAFABAB"/>
      </font>
      <fill>
        <patternFill>
          <bgColor theme="1" tint="0.3499"/>
        </patternFill>
      </fill>
    </dxf>
    <dxf>
      <font>
        <b val="0"/>
        <i val="0"/>
        <color rgb="FFAFABAB"/>
      </font>
      <fill>
        <patternFill>
          <bgColor theme="1" tint="0.3499"/>
        </patternFill>
      </fill>
    </dxf>
    <dxf>
      <fill>
        <patternFill>
          <bgColor theme="7" tint="0.7999"/>
        </patternFill>
      </fill>
    </dxf>
    <dxf>
      <fill>
        <patternFill>
          <bgColor theme="7" tint="0.5999"/>
        </patternFill>
      </fill>
    </dxf>
    <dxf>
      <fill>
        <patternFill>
          <bgColor theme="7" tint="0.3999"/>
        </patternFill>
      </fill>
    </dxf>
    <dxf>
      <fill>
        <patternFill>
          <bgColor rgb="FFFFCC66"/>
        </patternFill>
      </fill>
    </dxf>
    <dxf>
      <fill>
        <patternFill>
          <bgColor rgb="FFFFCC99"/>
        </patternFill>
      </fill>
    </dxf>
    <dxf>
      <font>
        <b val="0"/>
        <i val="0"/>
        <color rgb="FFAFABAB"/>
      </font>
      <fill>
        <patternFill>
          <bgColor theme="1" tint="0.3499"/>
        </patternFill>
      </fill>
    </dxf>
    <dxf>
      <fill>
        <patternFill>
          <bgColor rgb="FFFFFF00"/>
        </patternFill>
      </fill>
    </dxf>
    <dxf>
      <font>
        <b val="0"/>
        <i val="0"/>
        <color rgb="FFAFABAB"/>
      </font>
      <fill>
        <patternFill>
          <bgColor theme="1" tint="0.3499"/>
        </patternFill>
      </fill>
    </dxf>
    <dxf>
      <font>
        <b val="0"/>
        <i val="0"/>
        <color rgb="FFAFABAB"/>
      </font>
      <fill>
        <patternFill>
          <bgColor theme="1" tint="0.3499"/>
        </patternFill>
      </fill>
    </dxf>
    <dxf>
      <font>
        <b val="0"/>
        <i val="0"/>
        <color rgb="FFAFABAB"/>
      </font>
      <fill>
        <patternFill>
          <bgColor theme="1" tint="0.3499"/>
        </patternFill>
      </fill>
    </dxf>
    <dxf>
      <font>
        <b val="0"/>
        <i val="0"/>
        <color rgb="FFAFABAB"/>
      </font>
      <fill>
        <patternFill>
          <bgColor theme="1" tint="0.3499"/>
        </patternFill>
      </fill>
    </dxf>
    <dxf>
      <font>
        <b val="0"/>
        <i val="0"/>
        <color rgb="FFAFABAB"/>
      </font>
      <fill>
        <patternFill>
          <bgColor theme="1" tint="0.3499"/>
        </patternFill>
      </fill>
    </dxf>
    <dxf>
      <font>
        <b val="0"/>
        <i val="0"/>
        <color rgb="FFAFABAB"/>
      </font>
      <fill>
        <patternFill>
          <bgColor theme="1" tint="0.3499"/>
        </patternFill>
      </fill>
    </dxf>
    <dxf>
      <font>
        <b val="0"/>
        <i val="0"/>
        <color rgb="FFAFABAB"/>
      </font>
      <fill>
        <patternFill>
          <bgColor theme="1" tint="0.3499"/>
        </patternFill>
      </fill>
    </dxf>
    <dxf>
      <fill>
        <patternFill>
          <bgColor theme="7" tint="0.7999"/>
        </patternFill>
      </fill>
    </dxf>
    <dxf>
      <fill>
        <patternFill>
          <bgColor theme="7" tint="0.5999"/>
        </patternFill>
      </fill>
    </dxf>
    <dxf>
      <fill>
        <patternFill>
          <bgColor theme="7" tint="0.3999"/>
        </patternFill>
      </fill>
    </dxf>
    <dxf>
      <fill>
        <patternFill>
          <bgColor rgb="FFFFCC66"/>
        </patternFill>
      </fill>
    </dxf>
    <dxf>
      <fill>
        <patternFill>
          <bgColor rgb="FFFFCC99"/>
        </patternFill>
      </fill>
    </dxf>
    <dxf>
      <fill>
        <patternFill patternType="solid">
          <fgColor rgb="FFFFD477"/>
          <bgColor rgb="FF000000"/>
        </patternFill>
      </fill>
    </dxf>
    <dxf>
      <fill>
        <patternFill patternType="solid">
          <fgColor rgb="FFFFDC74"/>
          <bgColor rgb="FF000000"/>
        </patternFill>
      </fill>
    </dxf>
    <dxf>
      <fill>
        <patternFill patternType="solid">
          <fgColor rgb="FFFFE391"/>
          <bgColor rgb="FF000000"/>
        </patternFill>
      </fill>
    </dxf>
    <dxf>
      <fill>
        <patternFill patternType="solid">
          <fgColor rgb="FFFFEAAE"/>
          <bgColor rgb="FF000000"/>
        </patternFill>
      </fill>
    </dxf>
    <dxf>
      <font>
        <b val="0"/>
        <i val="0"/>
        <color rgb="FFAFABAB"/>
      </font>
      <fill>
        <patternFill>
          <bgColor theme="1" tint="0.3499"/>
        </patternFill>
      </fill>
    </dxf>
    <dxf>
      <fill>
        <patternFill>
          <bgColor rgb="FFFFFF00"/>
        </patternFill>
      </fill>
    </dxf>
    <dxf>
      <font>
        <b val="0"/>
        <i val="0"/>
        <color rgb="FFAFABAB"/>
      </font>
      <fill>
        <patternFill>
          <bgColor theme="1" tint="0.3499"/>
        </patternFill>
      </fill>
    </dxf>
    <dxf>
      <font>
        <b val="0"/>
        <i val="0"/>
        <color rgb="FFAFABAB"/>
      </font>
      <fill>
        <patternFill>
          <bgColor theme="1" tint="0.3499"/>
        </patternFill>
      </fill>
    </dxf>
    <dxf>
      <font>
        <b val="0"/>
        <i val="0"/>
        <color rgb="FFAFABAB"/>
      </font>
      <fill>
        <patternFill>
          <bgColor theme="1" tint="0.3499"/>
        </patternFill>
      </fill>
    </dxf>
    <dxf>
      <font>
        <b val="0"/>
        <i val="0"/>
        <color rgb="FFAFABAB"/>
      </font>
      <fill>
        <patternFill>
          <bgColor theme="1" tint="0.3499"/>
        </patternFill>
      </fill>
    </dxf>
    <dxf>
      <font>
        <b val="0"/>
        <i val="0"/>
        <color rgb="FFAFABAB"/>
      </font>
      <fill>
        <patternFill>
          <bgColor theme="1" tint="0.3499"/>
        </patternFill>
      </fill>
    </dxf>
    <dxf>
      <font>
        <b val="0"/>
        <i val="0"/>
        <color rgb="FFAFABAB"/>
      </font>
      <fill>
        <patternFill>
          <bgColor theme="1" tint="0.3499"/>
        </patternFill>
      </fill>
    </dxf>
    <dxf>
      <font>
        <b val="0"/>
        <i val="0"/>
        <color rgb="FFAFABAB"/>
      </font>
      <fill>
        <patternFill>
          <bgColor theme="1" tint="0.3499"/>
        </patternFill>
      </fill>
    </dxf>
    <dxf>
      <fill>
        <patternFill>
          <bgColor theme="7" tint="0.7999"/>
        </patternFill>
      </fill>
    </dxf>
    <dxf>
      <fill>
        <patternFill>
          <bgColor theme="7" tint="0.5999"/>
        </patternFill>
      </fill>
    </dxf>
    <dxf>
      <fill>
        <patternFill>
          <bgColor theme="7" tint="0.3999"/>
        </patternFill>
      </fill>
    </dxf>
    <dxf>
      <fill>
        <patternFill>
          <bgColor rgb="FFFFCC66"/>
        </patternFill>
      </fill>
    </dxf>
    <dxf>
      <fill>
        <patternFill>
          <bgColor rgb="FFFFCC99"/>
        </patternFill>
      </fill>
    </dxf>
    <dxf>
      <font>
        <b val="0"/>
        <i val="0"/>
        <color rgb="FFAFABAB"/>
      </font>
      <fill>
        <patternFill>
          <bgColor theme="1" tint="0.3499"/>
        </patternFill>
      </fill>
    </dxf>
    <dxf>
      <fill>
        <patternFill>
          <bgColor rgb="FFFFFF00"/>
        </patternFill>
      </fill>
    </dxf>
    <dxf>
      <font>
        <b val="0"/>
        <i val="0"/>
        <color rgb="FFAFABAB"/>
      </font>
      <fill>
        <patternFill>
          <bgColor theme="1" tint="0.3499"/>
        </patternFill>
      </fill>
    </dxf>
    <dxf>
      <font>
        <b val="0"/>
        <i val="0"/>
        <color rgb="FFAFABAB"/>
      </font>
      <fill>
        <patternFill>
          <bgColor theme="1" tint="0.3499"/>
        </patternFill>
      </fill>
    </dxf>
    <dxf>
      <font>
        <b val="0"/>
        <i val="0"/>
        <color rgb="FFAFABAB"/>
      </font>
      <fill>
        <patternFill>
          <bgColor theme="1" tint="0.3499"/>
        </patternFill>
      </fill>
    </dxf>
    <dxf>
      <font>
        <b val="0"/>
        <i val="0"/>
        <color rgb="FFAFABAB"/>
      </font>
      <fill>
        <patternFill>
          <bgColor theme="1" tint="0.3499"/>
        </patternFill>
      </fill>
    </dxf>
    <dxf>
      <font>
        <b val="0"/>
        <i val="0"/>
        <color rgb="FFAFABAB"/>
      </font>
      <fill>
        <patternFill>
          <bgColor theme="1" tint="0.3499"/>
        </patternFill>
      </fill>
    </dxf>
    <dxf>
      <font>
        <b val="0"/>
        <i val="0"/>
        <color rgb="FFAFABAB"/>
      </font>
      <fill>
        <patternFill>
          <bgColor theme="1" tint="0.3499"/>
        </patternFill>
      </fill>
    </dxf>
    <dxf>
      <font>
        <b val="0"/>
        <i val="0"/>
        <color rgb="FFAFABAB"/>
      </font>
      <fill>
        <patternFill>
          <bgColor theme="1" tint="0.3499"/>
        </patternFill>
      </fill>
    </dxf>
    <dxf>
      <fill>
        <patternFill>
          <bgColor theme="7" tint="0.7999"/>
        </patternFill>
      </fill>
    </dxf>
    <dxf>
      <fill>
        <patternFill>
          <bgColor theme="7" tint="0.5999"/>
        </patternFill>
      </fill>
    </dxf>
    <dxf>
      <fill>
        <patternFill>
          <bgColor theme="7" tint="0.3999"/>
        </patternFill>
      </fill>
    </dxf>
    <dxf>
      <fill>
        <patternFill>
          <bgColor rgb="FFFFCC66"/>
        </patternFill>
      </fill>
    </dxf>
    <dxf>
      <fill>
        <patternFill>
          <bgColor rgb="FFFFCC99"/>
        </patternFill>
      </fill>
    </dxf>
    <dxf>
      <font>
        <b val="0"/>
        <i val="0"/>
        <color rgb="FFAFABAB"/>
      </font>
      <fill>
        <patternFill>
          <bgColor theme="1" tint="0.3499"/>
        </patternFill>
      </fill>
    </dxf>
    <dxf>
      <fill>
        <patternFill>
          <bgColor rgb="FFFFFF00"/>
        </patternFill>
      </fill>
    </dxf>
    <dxf>
      <font>
        <b val="0"/>
        <i val="0"/>
        <color rgb="FFAFABAB"/>
      </font>
      <fill>
        <patternFill>
          <bgColor theme="1" tint="0.3499"/>
        </patternFill>
      </fill>
    </dxf>
    <dxf>
      <font>
        <b val="0"/>
        <i val="0"/>
        <color rgb="FFAFABAB"/>
      </font>
      <fill>
        <patternFill>
          <bgColor theme="1" tint="0.3499"/>
        </patternFill>
      </fill>
    </dxf>
    <dxf>
      <font>
        <b val="0"/>
        <i val="0"/>
        <color rgb="FFAFABAB"/>
      </font>
      <fill>
        <patternFill>
          <bgColor theme="1" tint="0.3499"/>
        </patternFill>
      </fill>
    </dxf>
    <dxf>
      <font>
        <b val="0"/>
        <i val="0"/>
        <color rgb="FFAFABAB"/>
      </font>
      <fill>
        <patternFill>
          <bgColor theme="1" tint="0.3499"/>
        </patternFill>
      </fill>
    </dxf>
    <dxf>
      <font>
        <b val="0"/>
        <i val="0"/>
        <color rgb="FFAFABAB"/>
      </font>
      <fill>
        <patternFill>
          <bgColor theme="1" tint="0.3499"/>
        </patternFill>
      </fill>
    </dxf>
    <dxf>
      <font>
        <b val="0"/>
        <i val="0"/>
        <color rgb="FFAFABAB"/>
      </font>
      <fill>
        <patternFill>
          <bgColor theme="1" tint="0.3499"/>
        </patternFill>
      </fill>
    </dxf>
    <dxf>
      <font>
        <b val="0"/>
        <i val="0"/>
        <color rgb="FFAFABAB"/>
      </font>
      <fill>
        <patternFill>
          <bgColor theme="1" tint="0.3499"/>
        </patternFill>
      </fill>
    </dxf>
    <dxf>
      <fill>
        <patternFill>
          <bgColor theme="7" tint="0.7999"/>
        </patternFill>
      </fill>
    </dxf>
    <dxf>
      <fill>
        <patternFill>
          <bgColor theme="7" tint="0.5999"/>
        </patternFill>
      </fill>
    </dxf>
    <dxf>
      <fill>
        <patternFill>
          <bgColor theme="7" tint="0.3999"/>
        </patternFill>
      </fill>
    </dxf>
    <dxf>
      <fill>
        <patternFill>
          <bgColor rgb="FFFFCC66"/>
        </patternFill>
      </fill>
    </dxf>
    <dxf>
      <fill>
        <patternFill>
          <bgColor rgb="FFFFCC99"/>
        </patternFill>
      </fill>
    </dxf>
    <dxf>
      <font>
        <b val="0"/>
        <i val="0"/>
        <color rgb="FFAFABAB"/>
      </font>
      <fill>
        <patternFill>
          <bgColor theme="1" tint="0.3499"/>
        </patternFill>
      </fill>
    </dxf>
    <dxf>
      <fill>
        <patternFill>
          <bgColor rgb="FFFFFF00"/>
        </patternFill>
      </fill>
    </dxf>
    <dxf>
      <font>
        <b val="0"/>
        <i val="0"/>
        <color rgb="FFAFABAB"/>
      </font>
      <fill>
        <patternFill>
          <bgColor theme="1" tint="0.3499"/>
        </patternFill>
      </fill>
    </dxf>
    <dxf>
      <font>
        <b val="0"/>
        <i val="0"/>
        <color rgb="FFAFABAB"/>
      </font>
      <fill>
        <patternFill>
          <bgColor theme="1" tint="0.3499"/>
        </patternFill>
      </fill>
    </dxf>
    <dxf>
      <font>
        <b val="0"/>
        <i val="0"/>
        <color rgb="FFAFABAB"/>
      </font>
      <fill>
        <patternFill>
          <bgColor theme="1" tint="0.3499"/>
        </patternFill>
      </fill>
    </dxf>
    <dxf>
      <font>
        <b val="0"/>
        <i val="0"/>
        <color rgb="FFAFABAB"/>
      </font>
      <fill>
        <patternFill>
          <bgColor theme="1" tint="0.3499"/>
        </patternFill>
      </fill>
    </dxf>
    <dxf>
      <font>
        <b val="0"/>
        <i val="0"/>
        <color rgb="FFAFABAB"/>
      </font>
      <fill>
        <patternFill>
          <bgColor theme="1" tint="0.3499"/>
        </patternFill>
      </fill>
    </dxf>
    <dxf>
      <font>
        <b val="0"/>
        <i val="0"/>
        <color rgb="FFAFABAB"/>
      </font>
      <fill>
        <patternFill>
          <bgColor theme="1" tint="0.3499"/>
        </patternFill>
      </fill>
    </dxf>
    <dxf>
      <font>
        <b val="0"/>
        <i val="0"/>
        <color rgb="FFAFABAB"/>
      </font>
      <fill>
        <patternFill>
          <bgColor theme="1" tint="0.3499"/>
        </patternFill>
      </fill>
    </dxf>
    <dxf>
      <fill>
        <patternFill>
          <bgColor theme="7" tint="0.7999"/>
        </patternFill>
      </fill>
    </dxf>
    <dxf>
      <fill>
        <patternFill>
          <bgColor theme="7" tint="0.5999"/>
        </patternFill>
      </fill>
    </dxf>
    <dxf>
      <fill>
        <patternFill>
          <bgColor theme="7" tint="0.3999"/>
        </patternFill>
      </fill>
    </dxf>
    <dxf>
      <fill>
        <patternFill>
          <bgColor rgb="FFFFCC66"/>
        </patternFill>
      </fill>
    </dxf>
    <dxf>
      <fill>
        <patternFill>
          <bgColor rgb="FFFFCC99"/>
        </patternFill>
      </fill>
    </dxf>
    <dxf>
      <font>
        <b val="0"/>
        <i val="0"/>
        <color rgb="FFAFABAB"/>
      </font>
      <fill>
        <patternFill>
          <bgColor theme="1" tint="0.3499"/>
        </patternFill>
      </fill>
    </dxf>
    <dxf>
      <fill>
        <patternFill>
          <bgColor rgb="FFFFFF00"/>
        </patternFill>
      </fill>
    </dxf>
    <dxf>
      <font>
        <b val="0"/>
        <i val="0"/>
        <color rgb="FFAFABAB"/>
      </font>
      <fill>
        <patternFill>
          <bgColor theme="1" tint="0.3499"/>
        </patternFill>
      </fill>
    </dxf>
    <dxf>
      <font>
        <b val="0"/>
        <i val="0"/>
        <color rgb="FFAFABAB"/>
      </font>
      <fill>
        <patternFill>
          <bgColor theme="1" tint="0.3499"/>
        </patternFill>
      </fill>
    </dxf>
    <dxf>
      <font>
        <b val="0"/>
        <i val="0"/>
        <color rgb="FFAFABAB"/>
      </font>
      <fill>
        <patternFill>
          <bgColor theme="1" tint="0.3499"/>
        </patternFill>
      </fill>
    </dxf>
    <dxf>
      <font>
        <b val="0"/>
        <i val="0"/>
        <color rgb="FFAFABAB"/>
      </font>
      <fill>
        <patternFill>
          <bgColor theme="1" tint="0.3499"/>
        </patternFill>
      </fill>
    </dxf>
    <dxf>
      <font>
        <b val="0"/>
        <i val="0"/>
        <color rgb="FFAFABAB"/>
      </font>
      <fill>
        <patternFill>
          <bgColor theme="1" tint="0.3499"/>
        </patternFill>
      </fill>
    </dxf>
    <dxf>
      <font>
        <b val="0"/>
        <i val="0"/>
        <color rgb="FFAFABAB"/>
      </font>
      <fill>
        <patternFill>
          <bgColor theme="1" tint="0.3499"/>
        </patternFill>
      </fill>
    </dxf>
    <dxf>
      <font>
        <b val="0"/>
        <i val="0"/>
        <color rgb="FFAFABAB"/>
      </font>
      <fill>
        <patternFill>
          <bgColor theme="1" tint="0.3499"/>
        </patternFill>
      </fill>
    </dxf>
    <dxf>
      <fill>
        <patternFill>
          <bgColor theme="7" tint="0.7999"/>
        </patternFill>
      </fill>
    </dxf>
    <dxf>
      <fill>
        <patternFill>
          <bgColor theme="7" tint="0.5999"/>
        </patternFill>
      </fill>
    </dxf>
    <dxf>
      <fill>
        <patternFill>
          <bgColor theme="7" tint="0.3999"/>
        </patternFill>
      </fill>
    </dxf>
    <dxf>
      <fill>
        <patternFill>
          <bgColor rgb="FFFFCC66"/>
        </patternFill>
      </fill>
    </dxf>
    <dxf>
      <fill>
        <patternFill>
          <bgColor rgb="FFFFCC99"/>
        </patternFill>
      </fill>
    </dxf>
  </dxfs>
  <colors>
    <indexedColors>
      <rgbColor rgb="FF000000"/>
      <rgbColor rgb="FFFFFFFF"/>
      <rgbColor rgb="FFFF0000"/>
      <rgbColor rgb="FFA6A6A6"/>
      <rgbColor rgb="FFD0CECE"/>
      <rgbColor rgb="FFFFFF00"/>
      <rgbColor rgb="FFFFCCCC"/>
      <rgbColor rgb="FFA9D18E"/>
      <rgbColor rgb="FFC00000"/>
      <rgbColor rgb="FF385724"/>
      <rgbColor rgb="FFFBE5D6"/>
      <rgbColor rgb="FF548235"/>
      <rgbColor rgb="FF44546A"/>
      <rgbColor rgb="FF2E75B6"/>
      <rgbColor rgb="FFBFBFBF"/>
      <rgbColor rgb="FF808080"/>
      <rgbColor rgb="FF8FAADC"/>
      <rgbColor rgb="FF946247"/>
      <rgbColor rgb="FFFFF2CC"/>
      <rgbColor rgb="FFDEEBF7"/>
      <rgbColor rgb="FF404040"/>
      <rgbColor rgb="FFBF9000"/>
      <rgbColor rgb="FF0085E0"/>
      <rgbColor rgb="FFBDD7EE"/>
      <rgbColor rgb="FFEDEDED"/>
      <rgbColor rgb="FFC9C9C9"/>
      <rgbColor rgb="FFFFD966"/>
      <rgbColor rgb="FFC5E0B4"/>
      <rgbColor rgb="FF7F7F7F"/>
      <rgbColor rgb="FFFFCC66"/>
      <rgbColor rgb="FF2F5597"/>
      <rgbColor rgb="FFD9D9D9"/>
      <rgbColor rgb="FF70AD47"/>
      <rgbColor rgb="FFDAE3F3"/>
      <rgbColor rgb="FFE2F0D9"/>
      <rgbColor rgb="FFFFE699"/>
      <rgbColor rgb="FF9DC3E6"/>
      <rgbColor rgb="FFF4B183"/>
      <rgbColor rgb="FFAFABAB"/>
      <rgbColor rgb="FFFFCC99"/>
      <rgbColor rgb="FF4472C4"/>
      <rgbColor rgb="FF5B9BD5"/>
      <rgbColor rgb="FF92D050"/>
      <rgbColor rgb="FFFFC000"/>
      <rgbColor rgb="FFF38022"/>
      <rgbColor rgb="FFC55A11"/>
      <rgbColor rgb="FF626B7E"/>
      <rgbColor rgb="FF8497B0"/>
      <rgbColor rgb="FF2C2B2B"/>
      <rgbColor rgb="FF00B050"/>
      <rgbColor rgb="FF262626"/>
      <rgbColor rgb="FF403000"/>
      <rgbColor rgb="FF843C0B"/>
      <rgbColor rgb="FF595959"/>
      <rgbColor rgb="FF333F50"/>
      <rgbColor rgb="FF3B3838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worksheet" Target="worksheets/sheet19.xml"/><Relationship Id="rId22" Type="http://schemas.openxmlformats.org/officeDocument/2006/relationships/worksheet" Target="worksheets/sheet20.xml"/><Relationship Id="rId23" Type="http://schemas.openxmlformats.org/officeDocument/2006/relationships/worksheet" Target="worksheets/sheet21.xml"/><Relationship Id="rId24" Type="http://schemas.openxmlformats.org/officeDocument/2006/relationships/worksheet" Target="worksheets/sheet22.xml"/><Relationship Id="rId25" Type="http://schemas.openxmlformats.org/officeDocument/2006/relationships/worksheet" Target="worksheets/sheet23.xml"/><Relationship Id="rId26" Type="http://schemas.openxmlformats.org/officeDocument/2006/relationships/worksheet" Target="worksheets/sheet24.xml"/><Relationship Id="rId27" Type="http://schemas.openxmlformats.org/officeDocument/2006/relationships/worksheet" Target="worksheets/sheet25.xml"/><Relationship Id="rId28" Type="http://schemas.openxmlformats.org/officeDocument/2006/relationships/worksheet" Target="worksheets/sheet26.xml"/><Relationship Id="rId29" Type="http://schemas.openxmlformats.org/officeDocument/2006/relationships/worksheet" Target="worksheets/sheet27.xml"/><Relationship Id="rId30" Type="http://schemas.openxmlformats.org/officeDocument/2006/relationships/worksheet" Target="worksheets/sheet28.xml"/><Relationship Id="rId31" Type="http://schemas.openxmlformats.org/officeDocument/2006/relationships/worksheet" Target="worksheets/sheet29.xml"/><Relationship Id="rId32" Type="http://schemas.openxmlformats.org/officeDocument/2006/relationships/worksheet" Target="worksheets/sheet30.xml"/><Relationship Id="rId33" Type="http://schemas.openxmlformats.org/officeDocument/2006/relationships/worksheet" Target="worksheets/sheet31.xml"/><Relationship Id="rId34" Type="http://schemas.openxmlformats.org/officeDocument/2006/relationships/worksheet" Target="worksheets/sheet32.xml"/><Relationship Id="rId35" Type="http://schemas.openxmlformats.org/officeDocument/2006/relationships/worksheet" Target="worksheets/sheet33.xml"/><Relationship Id="rId36" Type="http://schemas.openxmlformats.org/officeDocument/2006/relationships/worksheet" Target="worksheets/sheet34.xml"/><Relationship Id="rId37" Type="http://schemas.openxmlformats.org/officeDocument/2006/relationships/worksheet" Target="worksheets/sheet35.xml"/><Relationship Id="rId38" Type="http://schemas.openxmlformats.org/officeDocument/2006/relationships/worksheet" Target="worksheets/sheet36.xml"/><Relationship Id="rId39" Type="http://schemas.openxmlformats.org/officeDocument/2006/relationships/worksheet" Target="worksheets/sheet37.xml"/><Relationship Id="rId40" Type="http://schemas.openxmlformats.org/officeDocument/2006/relationships/worksheet" Target="worksheets/sheet38.xml"/><Relationship Id="rId41" Type="http://schemas.openxmlformats.org/officeDocument/2006/relationships/worksheet" Target="worksheets/sheet39.xml"/><Relationship Id="rId42" Type="http://schemas.openxmlformats.org/officeDocument/2006/relationships/worksheet" Target="worksheets/sheet40.xml"/><Relationship Id="rId43" Type="http://schemas.openxmlformats.org/officeDocument/2006/relationships/worksheet" Target="worksheets/sheet41.xml"/><Relationship Id="rId44" Type="http://schemas.openxmlformats.org/officeDocument/2006/relationships/worksheet" Target="worksheets/sheet42.xml"/><Relationship Id="rId4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absolute">
    <xdr:from>
      <xdr:col>3</xdr:col>
      <xdr:colOff>92160</xdr:colOff>
      <xdr:row>58</xdr:row>
      <xdr:rowOff>87120</xdr:rowOff>
    </xdr:from>
    <xdr:to>
      <xdr:col>4</xdr:col>
      <xdr:colOff>15480</xdr:colOff>
      <xdr:row>72</xdr:row>
      <xdr:rowOff>29160</xdr:rowOff>
    </xdr:to>
    <xdr:sp>
      <xdr:nvSpPr>
        <xdr:cNvPr id="0" name=""/>
        <xdr:cNvSpPr/>
      </xdr:nvSpPr>
      <xdr:spPr>
        <a:xfrm>
          <a:off x="3142800" y="11255400"/>
          <a:ext cx="869400" cy="2609280"/>
        </a:xfrm>
        <a:prstGeom prst="rect">
          <a:avLst/>
        </a:prstGeom>
        <a:solidFill>
          <a:srgbClr val="ffffff"/>
        </a:solidFill>
        <a:ln w="1">
          <a:solidFill>
            <a:srgbClr val="008000"/>
          </a:solidFill>
        </a:ln>
      </xdr:spPr>
      <xdr:style>
        <a:lnRef idx="0"/>
        <a:fillRef idx="0"/>
        <a:effectRef idx="0"/>
        <a:fontRef idx="minor"/>
      </xdr:style>
      <xdr:txBody>
        <a:bodyPr horzOverflow="clip" vertOverflow="clip" lIns="90000" rIns="90000" tIns="45000" bIns="45000" anchor="t">
          <a:noAutofit/>
        </a:bodyPr>
        <a:p>
          <a:r>
            <a:rPr b="0" lang="fr-CA" sz="1100" spc="-1" strike="noStrike">
              <a:latin typeface="Times New Roman"/>
            </a:rPr>
            <a:t>This shape represents a table slicer. Table slicers are not supported in this version of Excel.</a:t>
          </a:r>
          <a:endParaRPr b="0" lang="fr-CA" sz="1100" spc="-1" strike="noStrike">
            <a:latin typeface="Times New Roman"/>
          </a:endParaRPr>
        </a:p>
        <a:p>
          <a:endParaRPr b="0" lang="fr-CA" sz="1100" spc="-1" strike="noStrike">
            <a:latin typeface="Times New Roman"/>
          </a:endParaRPr>
        </a:p>
        <a:p>
          <a:pPr>
            <a:lnSpc>
              <a:spcPct val="100000"/>
            </a:lnSpc>
          </a:pPr>
          <a:r>
            <a:rPr b="0" lang="fr-CA" sz="1100" spc="-1" strike="noStrike">
              <a:latin typeface="Times New Roman"/>
            </a:rPr>
            <a:t>If the shape was modified in an earlier version of Excel, or if the workbook was saved in Excel 2007 or earlier, the slicer can't be used.</a:t>
          </a:r>
          <a:endParaRPr b="0" lang="fr-CA" sz="1100" spc="-1" strike="noStrike">
            <a:latin typeface="Times New Roman"/>
          </a:endParaRPr>
        </a:p>
      </xdr:txBody>
    </xdr:sp>
    <xdr:clientData/>
  </xdr:twoCellAnchor>
  <xdr:twoCellAnchor editAs="absolute">
    <xdr:from>
      <xdr:col>9</xdr:col>
      <xdr:colOff>15840</xdr:colOff>
      <xdr:row>58</xdr:row>
      <xdr:rowOff>87120</xdr:rowOff>
    </xdr:from>
    <xdr:to>
      <xdr:col>10</xdr:col>
      <xdr:colOff>148680</xdr:colOff>
      <xdr:row>67</xdr:row>
      <xdr:rowOff>67680</xdr:rowOff>
    </xdr:to>
    <xdr:sp>
      <xdr:nvSpPr>
        <xdr:cNvPr id="1" name=""/>
        <xdr:cNvSpPr/>
      </xdr:nvSpPr>
      <xdr:spPr>
        <a:xfrm>
          <a:off x="9288000" y="11255400"/>
          <a:ext cx="817560" cy="1695240"/>
        </a:xfrm>
        <a:prstGeom prst="rect">
          <a:avLst/>
        </a:prstGeom>
        <a:solidFill>
          <a:srgbClr val="ffffff"/>
        </a:solidFill>
        <a:ln w="1">
          <a:solidFill>
            <a:srgbClr val="008000"/>
          </a:solidFill>
        </a:ln>
      </xdr:spPr>
      <xdr:style>
        <a:lnRef idx="0"/>
        <a:fillRef idx="0"/>
        <a:effectRef idx="0"/>
        <a:fontRef idx="minor"/>
      </xdr:style>
      <xdr:txBody>
        <a:bodyPr horzOverflow="clip" vertOverflow="clip" lIns="90000" rIns="90000" tIns="45000" bIns="45000" anchor="t">
          <a:noAutofit/>
        </a:bodyPr>
        <a:p>
          <a:r>
            <a:rPr b="0" lang="fr-CA" sz="1100" spc="-1" strike="noStrike">
              <a:latin typeface="Times New Roman"/>
            </a:rPr>
            <a:t>This shape represents a table slicer. Table slicers are not supported in this version of Excel.</a:t>
          </a:r>
          <a:endParaRPr b="0" lang="fr-CA" sz="1100" spc="-1" strike="noStrike">
            <a:latin typeface="Times New Roman"/>
          </a:endParaRPr>
        </a:p>
        <a:p>
          <a:endParaRPr b="0" lang="fr-CA" sz="1100" spc="-1" strike="noStrike">
            <a:latin typeface="Times New Roman"/>
          </a:endParaRPr>
        </a:p>
        <a:p>
          <a:pPr>
            <a:lnSpc>
              <a:spcPct val="100000"/>
            </a:lnSpc>
          </a:pPr>
          <a:r>
            <a:rPr b="0" lang="fr-CA" sz="1100" spc="-1" strike="noStrike">
              <a:latin typeface="Times New Roman"/>
            </a:rPr>
            <a:t>If the shape was modified in an earlier version of Excel, or if the workbook was saved in Excel 2007 or earlier, the slicer can't be used.</a:t>
          </a:r>
          <a:endParaRPr b="0" lang="fr-CA" sz="1100" spc="-1" strike="noStrike">
            <a:latin typeface="Times New Roman"/>
          </a:endParaRPr>
        </a:p>
      </xdr:txBody>
    </xdr:sp>
    <xdr:clientData/>
  </xdr:twoCellAnchor>
  <xdr:twoCellAnchor editAs="absolute">
    <xdr:from>
      <xdr:col>4</xdr:col>
      <xdr:colOff>73080</xdr:colOff>
      <xdr:row>58</xdr:row>
      <xdr:rowOff>87120</xdr:rowOff>
    </xdr:from>
    <xdr:to>
      <xdr:col>5</xdr:col>
      <xdr:colOff>377640</xdr:colOff>
      <xdr:row>71</xdr:row>
      <xdr:rowOff>124920</xdr:rowOff>
    </xdr:to>
    <xdr:sp>
      <xdr:nvSpPr>
        <xdr:cNvPr id="2" name=""/>
        <xdr:cNvSpPr/>
      </xdr:nvSpPr>
      <xdr:spPr>
        <a:xfrm>
          <a:off x="4069800" y="11255400"/>
          <a:ext cx="1049400" cy="2514240"/>
        </a:xfrm>
        <a:prstGeom prst="rect">
          <a:avLst/>
        </a:prstGeom>
        <a:solidFill>
          <a:srgbClr val="ffffff"/>
        </a:solidFill>
        <a:ln w="1">
          <a:solidFill>
            <a:srgbClr val="008000"/>
          </a:solidFill>
        </a:ln>
      </xdr:spPr>
      <xdr:style>
        <a:lnRef idx="0"/>
        <a:fillRef idx="0"/>
        <a:effectRef idx="0"/>
        <a:fontRef idx="minor"/>
      </xdr:style>
      <xdr:txBody>
        <a:bodyPr horzOverflow="clip" vertOverflow="clip" lIns="90000" rIns="90000" tIns="45000" bIns="45000" anchor="t">
          <a:noAutofit/>
        </a:bodyPr>
        <a:p>
          <a:r>
            <a:rPr b="0" lang="fr-CA" sz="1100" spc="-1" strike="noStrike">
              <a:latin typeface="Times New Roman"/>
            </a:rPr>
            <a:t>This shape represents a table slicer. Table slicers are not supported in this version of Excel.</a:t>
          </a:r>
          <a:endParaRPr b="0" lang="fr-CA" sz="1100" spc="-1" strike="noStrike">
            <a:latin typeface="Times New Roman"/>
          </a:endParaRPr>
        </a:p>
        <a:p>
          <a:endParaRPr b="0" lang="fr-CA" sz="1100" spc="-1" strike="noStrike">
            <a:latin typeface="Times New Roman"/>
          </a:endParaRPr>
        </a:p>
        <a:p>
          <a:pPr>
            <a:lnSpc>
              <a:spcPct val="100000"/>
            </a:lnSpc>
          </a:pPr>
          <a:r>
            <a:rPr b="0" lang="fr-CA" sz="1100" spc="-1" strike="noStrike">
              <a:latin typeface="Times New Roman"/>
            </a:rPr>
            <a:t>If the shape was modified in an earlier version of Excel, or if the workbook was saved in Excel 2007 or earlier, the slicer can't be used.</a:t>
          </a:r>
          <a:endParaRPr b="0" lang="fr-CA" sz="1100" spc="-1" strike="noStrike">
            <a:latin typeface="Times New Roman"/>
          </a:endParaRPr>
        </a:p>
      </xdr:txBody>
    </xdr:sp>
    <xdr:clientData/>
  </xdr:twoCellAnchor>
  <xdr:twoCellAnchor editAs="absolute">
    <xdr:from>
      <xdr:col>6</xdr:col>
      <xdr:colOff>130320</xdr:colOff>
      <xdr:row>58</xdr:row>
      <xdr:rowOff>87120</xdr:rowOff>
    </xdr:from>
    <xdr:to>
      <xdr:col>7</xdr:col>
      <xdr:colOff>682560</xdr:colOff>
      <xdr:row>71</xdr:row>
      <xdr:rowOff>144000</xdr:rowOff>
    </xdr:to>
    <xdr:sp>
      <xdr:nvSpPr>
        <xdr:cNvPr id="3" name=""/>
        <xdr:cNvSpPr/>
      </xdr:nvSpPr>
      <xdr:spPr>
        <a:xfrm>
          <a:off x="6211080" y="11255400"/>
          <a:ext cx="1357560" cy="2533320"/>
        </a:xfrm>
        <a:prstGeom prst="rect">
          <a:avLst/>
        </a:prstGeom>
        <a:solidFill>
          <a:srgbClr val="ffffff"/>
        </a:solidFill>
        <a:ln w="1">
          <a:solidFill>
            <a:srgbClr val="008000"/>
          </a:solidFill>
        </a:ln>
      </xdr:spPr>
      <xdr:style>
        <a:lnRef idx="0"/>
        <a:fillRef idx="0"/>
        <a:effectRef idx="0"/>
        <a:fontRef idx="minor"/>
      </xdr:style>
      <xdr:txBody>
        <a:bodyPr horzOverflow="clip" vertOverflow="clip" lIns="90000" rIns="90000" tIns="45000" bIns="45000" anchor="t">
          <a:noAutofit/>
        </a:bodyPr>
        <a:p>
          <a:r>
            <a:rPr b="0" lang="fr-CA" sz="1100" spc="-1" strike="noStrike">
              <a:latin typeface="Times New Roman"/>
            </a:rPr>
            <a:t>This shape represents a table slicer. Table slicers are not supported in this version of Excel.</a:t>
          </a:r>
          <a:endParaRPr b="0" lang="fr-CA" sz="1100" spc="-1" strike="noStrike">
            <a:latin typeface="Times New Roman"/>
          </a:endParaRPr>
        </a:p>
        <a:p>
          <a:endParaRPr b="0" lang="fr-CA" sz="1100" spc="-1" strike="noStrike">
            <a:latin typeface="Times New Roman"/>
          </a:endParaRPr>
        </a:p>
        <a:p>
          <a:pPr>
            <a:lnSpc>
              <a:spcPct val="100000"/>
            </a:lnSpc>
          </a:pPr>
          <a:r>
            <a:rPr b="0" lang="fr-CA" sz="1100" spc="-1" strike="noStrike">
              <a:latin typeface="Times New Roman"/>
            </a:rPr>
            <a:t>If the shape was modified in an earlier version of Excel, or if the workbook was saved in Excel 2007 or earlier, the slicer can't be used.</a:t>
          </a:r>
          <a:endParaRPr b="0" lang="fr-CA" sz="1100" spc="-1" strike="noStrike">
            <a:latin typeface="Times New Roman"/>
          </a:endParaRPr>
        </a:p>
      </xdr:txBody>
    </xdr:sp>
    <xdr:clientData/>
  </xdr:twoCellAnchor>
  <xdr:twoCellAnchor editAs="absolute">
    <xdr:from>
      <xdr:col>5</xdr:col>
      <xdr:colOff>415800</xdr:colOff>
      <xdr:row>58</xdr:row>
      <xdr:rowOff>87120</xdr:rowOff>
    </xdr:from>
    <xdr:to>
      <xdr:col>6</xdr:col>
      <xdr:colOff>91440</xdr:colOff>
      <xdr:row>71</xdr:row>
      <xdr:rowOff>144000</xdr:rowOff>
    </xdr:to>
    <xdr:sp>
      <xdr:nvSpPr>
        <xdr:cNvPr id="4" name=""/>
        <xdr:cNvSpPr/>
      </xdr:nvSpPr>
      <xdr:spPr>
        <a:xfrm>
          <a:off x="5157360" y="11255400"/>
          <a:ext cx="1014840" cy="2533320"/>
        </a:xfrm>
        <a:prstGeom prst="rect">
          <a:avLst/>
        </a:prstGeom>
        <a:solidFill>
          <a:srgbClr val="ffffff"/>
        </a:solidFill>
        <a:ln w="1">
          <a:solidFill>
            <a:srgbClr val="008000"/>
          </a:solidFill>
        </a:ln>
      </xdr:spPr>
      <xdr:style>
        <a:lnRef idx="0"/>
        <a:fillRef idx="0"/>
        <a:effectRef idx="0"/>
        <a:fontRef idx="minor"/>
      </xdr:style>
      <xdr:txBody>
        <a:bodyPr horzOverflow="clip" vertOverflow="clip" lIns="90000" rIns="90000" tIns="45000" bIns="45000" anchor="t">
          <a:noAutofit/>
        </a:bodyPr>
        <a:p>
          <a:r>
            <a:rPr b="0" lang="fr-CA" sz="1100" spc="-1" strike="noStrike">
              <a:latin typeface="Times New Roman"/>
            </a:rPr>
            <a:t>This shape represents a table slicer. Table slicers are not supported in this version of Excel.</a:t>
          </a:r>
          <a:endParaRPr b="0" lang="fr-CA" sz="1100" spc="-1" strike="noStrike">
            <a:latin typeface="Times New Roman"/>
          </a:endParaRPr>
        </a:p>
        <a:p>
          <a:endParaRPr b="0" lang="fr-CA" sz="1100" spc="-1" strike="noStrike">
            <a:latin typeface="Times New Roman"/>
          </a:endParaRPr>
        </a:p>
        <a:p>
          <a:pPr>
            <a:lnSpc>
              <a:spcPct val="100000"/>
            </a:lnSpc>
          </a:pPr>
          <a:r>
            <a:rPr b="0" lang="fr-CA" sz="1100" spc="-1" strike="noStrike">
              <a:latin typeface="Times New Roman"/>
            </a:rPr>
            <a:t>If the shape was modified in an earlier version of Excel, or if the workbook was saved in Excel 2007 or earlier, the slicer can't be used.</a:t>
          </a:r>
          <a:endParaRPr b="0" lang="fr-CA" sz="1100" spc="-1" strike="noStrike">
            <a:latin typeface="Times New Roman"/>
          </a:endParaRPr>
        </a:p>
      </xdr:txBody>
    </xdr:sp>
    <xdr:clientData/>
  </xdr:twoCellAnchor>
  <xdr:twoCellAnchor editAs="absolute">
    <xdr:from>
      <xdr:col>7</xdr:col>
      <xdr:colOff>758880</xdr:colOff>
      <xdr:row>58</xdr:row>
      <xdr:rowOff>87120</xdr:rowOff>
    </xdr:from>
    <xdr:to>
      <xdr:col>8</xdr:col>
      <xdr:colOff>1215720</xdr:colOff>
      <xdr:row>71</xdr:row>
      <xdr:rowOff>124920</xdr:rowOff>
    </xdr:to>
    <xdr:sp>
      <xdr:nvSpPr>
        <xdr:cNvPr id="5" name=""/>
        <xdr:cNvSpPr/>
      </xdr:nvSpPr>
      <xdr:spPr>
        <a:xfrm>
          <a:off x="7644960" y="11255400"/>
          <a:ext cx="1483560" cy="2514240"/>
        </a:xfrm>
        <a:prstGeom prst="rect">
          <a:avLst/>
        </a:prstGeom>
        <a:solidFill>
          <a:srgbClr val="ffffff"/>
        </a:solidFill>
        <a:ln w="1">
          <a:solidFill>
            <a:srgbClr val="008000"/>
          </a:solidFill>
        </a:ln>
      </xdr:spPr>
      <xdr:style>
        <a:lnRef idx="0"/>
        <a:fillRef idx="0"/>
        <a:effectRef idx="0"/>
        <a:fontRef idx="minor"/>
      </xdr:style>
      <xdr:txBody>
        <a:bodyPr horzOverflow="clip" vertOverflow="clip" lIns="90000" rIns="90000" tIns="45000" bIns="45000" anchor="t">
          <a:noAutofit/>
        </a:bodyPr>
        <a:p>
          <a:r>
            <a:rPr b="0" lang="fr-CA" sz="1100" spc="-1" strike="noStrike">
              <a:latin typeface="Times New Roman"/>
            </a:rPr>
            <a:t>This shape represents a table slicer. Table slicers are not supported in this version of Excel.</a:t>
          </a:r>
          <a:endParaRPr b="0" lang="fr-CA" sz="1100" spc="-1" strike="noStrike">
            <a:latin typeface="Times New Roman"/>
          </a:endParaRPr>
        </a:p>
        <a:p>
          <a:endParaRPr b="0" lang="fr-CA" sz="1100" spc="-1" strike="noStrike">
            <a:latin typeface="Times New Roman"/>
          </a:endParaRPr>
        </a:p>
        <a:p>
          <a:pPr>
            <a:lnSpc>
              <a:spcPct val="100000"/>
            </a:lnSpc>
          </a:pPr>
          <a:r>
            <a:rPr b="0" lang="fr-CA" sz="1100" spc="-1" strike="noStrike">
              <a:latin typeface="Times New Roman"/>
            </a:rPr>
            <a:t>If the shape was modified in an earlier version of Excel, or if the workbook was saved in Excel 2007 or earlier, the slicer can't be used.</a:t>
          </a:r>
          <a:endParaRPr b="0" lang="fr-CA" sz="1100" spc="-1" strike="noStrike">
            <a:latin typeface="Times New Roman"/>
          </a:endParaRPr>
        </a:p>
      </xdr:txBody>
    </xdr:sp>
    <xdr:clientData/>
  </xdr:twoCellAnchor>
  <xdr:twoCellAnchor editAs="absolute">
    <xdr:from>
      <xdr:col>10</xdr:col>
      <xdr:colOff>206280</xdr:colOff>
      <xdr:row>58</xdr:row>
      <xdr:rowOff>68040</xdr:rowOff>
    </xdr:from>
    <xdr:to>
      <xdr:col>17</xdr:col>
      <xdr:colOff>453600</xdr:colOff>
      <xdr:row>71</xdr:row>
      <xdr:rowOff>105840</xdr:rowOff>
    </xdr:to>
    <xdr:sp>
      <xdr:nvSpPr>
        <xdr:cNvPr id="6" name=""/>
        <xdr:cNvSpPr/>
      </xdr:nvSpPr>
      <xdr:spPr>
        <a:xfrm>
          <a:off x="10163160" y="11236320"/>
          <a:ext cx="3499560" cy="2514240"/>
        </a:xfrm>
        <a:prstGeom prst="rect">
          <a:avLst/>
        </a:prstGeom>
        <a:solidFill>
          <a:srgbClr val="ffffff"/>
        </a:solidFill>
        <a:ln w="1">
          <a:solidFill>
            <a:srgbClr val="008000"/>
          </a:solidFill>
        </a:ln>
      </xdr:spPr>
      <xdr:style>
        <a:lnRef idx="0"/>
        <a:fillRef idx="0"/>
        <a:effectRef idx="0"/>
        <a:fontRef idx="minor"/>
      </xdr:style>
      <xdr:txBody>
        <a:bodyPr horzOverflow="clip" vertOverflow="clip" lIns="90000" rIns="90000" tIns="45000" bIns="45000" anchor="t">
          <a:noAutofit/>
        </a:bodyPr>
        <a:p>
          <a:r>
            <a:rPr b="0" lang="fr-CA" sz="1100" spc="-1" strike="noStrike">
              <a:latin typeface="Times New Roman"/>
            </a:rPr>
            <a:t>This shape represents a table slicer. Table slicers are not supported in this version of Excel.</a:t>
          </a:r>
          <a:endParaRPr b="0" lang="fr-CA" sz="1100" spc="-1" strike="noStrike">
            <a:latin typeface="Times New Roman"/>
          </a:endParaRPr>
        </a:p>
        <a:p>
          <a:endParaRPr b="0" lang="fr-CA" sz="1100" spc="-1" strike="noStrike">
            <a:latin typeface="Times New Roman"/>
          </a:endParaRPr>
        </a:p>
        <a:p>
          <a:pPr>
            <a:lnSpc>
              <a:spcPct val="100000"/>
            </a:lnSpc>
          </a:pPr>
          <a:r>
            <a:rPr b="0" lang="fr-CA" sz="1100" spc="-1" strike="noStrike">
              <a:latin typeface="Times New Roman"/>
            </a:rPr>
            <a:t>If the shape was modified in an earlier version of Excel, or if the workbook was saved in Excel 2007 or earlier, the slicer can't be used.</a:t>
          </a:r>
          <a:endParaRPr b="0" lang="fr-CA" sz="1100" spc="-1" strike="noStrike">
            <a:latin typeface="Times New Roman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absolute">
    <xdr:from>
      <xdr:col>2</xdr:col>
      <xdr:colOff>254160</xdr:colOff>
      <xdr:row>58</xdr:row>
      <xdr:rowOff>87120</xdr:rowOff>
    </xdr:from>
    <xdr:to>
      <xdr:col>2</xdr:col>
      <xdr:colOff>787320</xdr:colOff>
      <xdr:row>72</xdr:row>
      <xdr:rowOff>29160</xdr:rowOff>
    </xdr:to>
    <xdr:sp>
      <xdr:nvSpPr>
        <xdr:cNvPr id="7" name=""/>
        <xdr:cNvSpPr/>
      </xdr:nvSpPr>
      <xdr:spPr>
        <a:xfrm>
          <a:off x="2015640" y="11255400"/>
          <a:ext cx="533160" cy="2609280"/>
        </a:xfrm>
        <a:prstGeom prst="rect">
          <a:avLst/>
        </a:prstGeom>
        <a:solidFill>
          <a:srgbClr val="ffffff"/>
        </a:solidFill>
        <a:ln w="1">
          <a:solidFill>
            <a:srgbClr val="008000"/>
          </a:solidFill>
        </a:ln>
      </xdr:spPr>
      <xdr:style>
        <a:lnRef idx="0"/>
        <a:fillRef idx="0"/>
        <a:effectRef idx="0"/>
        <a:fontRef idx="minor"/>
      </xdr:style>
      <xdr:txBody>
        <a:bodyPr horzOverflow="clip" vertOverflow="clip" lIns="90000" rIns="90000" tIns="45000" bIns="45000" anchor="t">
          <a:noAutofit/>
        </a:bodyPr>
        <a:p>
          <a:r>
            <a:rPr b="0" lang="fr-CA" sz="1100" spc="-1" strike="noStrike">
              <a:latin typeface="Times New Roman"/>
            </a:rPr>
            <a:t>This shape represents a table slicer. Table slicers are not supported in this version of Excel.</a:t>
          </a:r>
          <a:endParaRPr b="0" lang="fr-CA" sz="1100" spc="-1" strike="noStrike">
            <a:latin typeface="Times New Roman"/>
          </a:endParaRPr>
        </a:p>
        <a:p>
          <a:endParaRPr b="0" lang="fr-CA" sz="1100" spc="-1" strike="noStrike">
            <a:latin typeface="Times New Roman"/>
          </a:endParaRPr>
        </a:p>
        <a:p>
          <a:pPr>
            <a:lnSpc>
              <a:spcPct val="100000"/>
            </a:lnSpc>
          </a:pPr>
          <a:r>
            <a:rPr b="0" lang="fr-CA" sz="1100" spc="-1" strike="noStrike">
              <a:latin typeface="Times New Roman"/>
            </a:rPr>
            <a:t>If the shape was modified in an earlier version of Excel, or if the workbook was saved in Excel 2007 or earlier, the slicer can't be used.</a:t>
          </a:r>
          <a:endParaRPr b="0" lang="fr-CA" sz="1100" spc="-1" strike="noStrike">
            <a:latin typeface="Times New Roman"/>
          </a:endParaRPr>
        </a:p>
      </xdr:txBody>
    </xdr:sp>
    <xdr:clientData/>
  </xdr:twoCellAnchor>
  <xdr:twoCellAnchor editAs="absolute">
    <xdr:from>
      <xdr:col>5</xdr:col>
      <xdr:colOff>1015920</xdr:colOff>
      <xdr:row>58</xdr:row>
      <xdr:rowOff>87120</xdr:rowOff>
    </xdr:from>
    <xdr:to>
      <xdr:col>6</xdr:col>
      <xdr:colOff>491760</xdr:colOff>
      <xdr:row>67</xdr:row>
      <xdr:rowOff>67680</xdr:rowOff>
    </xdr:to>
    <xdr:sp>
      <xdr:nvSpPr>
        <xdr:cNvPr id="8" name=""/>
        <xdr:cNvSpPr/>
      </xdr:nvSpPr>
      <xdr:spPr>
        <a:xfrm>
          <a:off x="5757480" y="11255400"/>
          <a:ext cx="815040" cy="1695240"/>
        </a:xfrm>
        <a:prstGeom prst="rect">
          <a:avLst/>
        </a:prstGeom>
        <a:solidFill>
          <a:srgbClr val="ffffff"/>
        </a:solidFill>
        <a:ln w="1">
          <a:solidFill>
            <a:srgbClr val="008000"/>
          </a:solidFill>
        </a:ln>
      </xdr:spPr>
      <xdr:style>
        <a:lnRef idx="0"/>
        <a:fillRef idx="0"/>
        <a:effectRef idx="0"/>
        <a:fontRef idx="minor"/>
      </xdr:style>
      <xdr:txBody>
        <a:bodyPr horzOverflow="clip" vertOverflow="clip" lIns="90000" rIns="90000" tIns="45000" bIns="45000" anchor="t">
          <a:noAutofit/>
        </a:bodyPr>
        <a:p>
          <a:r>
            <a:rPr b="0" lang="fr-CA" sz="1100" spc="-1" strike="noStrike">
              <a:latin typeface="Times New Roman"/>
            </a:rPr>
            <a:t>This shape represents a table slicer. Table slicers are not supported in this version of Excel.</a:t>
          </a:r>
          <a:endParaRPr b="0" lang="fr-CA" sz="1100" spc="-1" strike="noStrike">
            <a:latin typeface="Times New Roman"/>
          </a:endParaRPr>
        </a:p>
        <a:p>
          <a:endParaRPr b="0" lang="fr-CA" sz="1100" spc="-1" strike="noStrike">
            <a:latin typeface="Times New Roman"/>
          </a:endParaRPr>
        </a:p>
        <a:p>
          <a:pPr>
            <a:lnSpc>
              <a:spcPct val="100000"/>
            </a:lnSpc>
          </a:pPr>
          <a:r>
            <a:rPr b="0" lang="fr-CA" sz="1100" spc="-1" strike="noStrike">
              <a:latin typeface="Times New Roman"/>
            </a:rPr>
            <a:t>If the shape was modified in an earlier version of Excel, or if the workbook was saved in Excel 2007 or earlier, the slicer can't be used.</a:t>
          </a:r>
          <a:endParaRPr b="0" lang="fr-CA" sz="1100" spc="-1" strike="noStrike">
            <a:latin typeface="Times New Roman"/>
          </a:endParaRPr>
        </a:p>
      </xdr:txBody>
    </xdr:sp>
    <xdr:clientData/>
  </xdr:twoCellAnchor>
  <xdr:twoCellAnchor editAs="absolute">
    <xdr:from>
      <xdr:col>2</xdr:col>
      <xdr:colOff>844560</xdr:colOff>
      <xdr:row>58</xdr:row>
      <xdr:rowOff>87120</xdr:rowOff>
    </xdr:from>
    <xdr:to>
      <xdr:col>3</xdr:col>
      <xdr:colOff>539280</xdr:colOff>
      <xdr:row>71</xdr:row>
      <xdr:rowOff>124920</xdr:rowOff>
    </xdr:to>
    <xdr:sp>
      <xdr:nvSpPr>
        <xdr:cNvPr id="9" name=""/>
        <xdr:cNvSpPr/>
      </xdr:nvSpPr>
      <xdr:spPr>
        <a:xfrm>
          <a:off x="2606040" y="11255400"/>
          <a:ext cx="983880" cy="2514240"/>
        </a:xfrm>
        <a:prstGeom prst="rect">
          <a:avLst/>
        </a:prstGeom>
        <a:solidFill>
          <a:srgbClr val="ffffff"/>
        </a:solidFill>
        <a:ln w="1">
          <a:solidFill>
            <a:srgbClr val="008000"/>
          </a:solidFill>
        </a:ln>
      </xdr:spPr>
      <xdr:style>
        <a:lnRef idx="0"/>
        <a:fillRef idx="0"/>
        <a:effectRef idx="0"/>
        <a:fontRef idx="minor"/>
      </xdr:style>
      <xdr:txBody>
        <a:bodyPr horzOverflow="clip" vertOverflow="clip" lIns="90000" rIns="90000" tIns="45000" bIns="45000" anchor="t">
          <a:noAutofit/>
        </a:bodyPr>
        <a:p>
          <a:r>
            <a:rPr b="0" lang="fr-CA" sz="1100" spc="-1" strike="noStrike">
              <a:latin typeface="Times New Roman"/>
            </a:rPr>
            <a:t>This shape represents a table slicer. Table slicers are not supported in this version of Excel.</a:t>
          </a:r>
          <a:endParaRPr b="0" lang="fr-CA" sz="1100" spc="-1" strike="noStrike">
            <a:latin typeface="Times New Roman"/>
          </a:endParaRPr>
        </a:p>
        <a:p>
          <a:endParaRPr b="0" lang="fr-CA" sz="1100" spc="-1" strike="noStrike">
            <a:latin typeface="Times New Roman"/>
          </a:endParaRPr>
        </a:p>
        <a:p>
          <a:pPr>
            <a:lnSpc>
              <a:spcPct val="100000"/>
            </a:lnSpc>
          </a:pPr>
          <a:r>
            <a:rPr b="0" lang="fr-CA" sz="1100" spc="-1" strike="noStrike">
              <a:latin typeface="Times New Roman"/>
            </a:rPr>
            <a:t>If the shape was modified in an earlier version of Excel, or if the workbook was saved in Excel 2007 or earlier, the slicer can't be used.</a:t>
          </a:r>
          <a:endParaRPr b="0" lang="fr-CA" sz="1100" spc="-1" strike="noStrike">
            <a:latin typeface="Times New Roman"/>
          </a:endParaRPr>
        </a:p>
      </xdr:txBody>
    </xdr:sp>
    <xdr:clientData/>
  </xdr:twoCellAnchor>
  <xdr:twoCellAnchor editAs="absolute">
    <xdr:from>
      <xdr:col>4</xdr:col>
      <xdr:colOff>6480</xdr:colOff>
      <xdr:row>58</xdr:row>
      <xdr:rowOff>87120</xdr:rowOff>
    </xdr:from>
    <xdr:to>
      <xdr:col>5</xdr:col>
      <xdr:colOff>387000</xdr:colOff>
      <xdr:row>71</xdr:row>
      <xdr:rowOff>144000</xdr:rowOff>
    </xdr:to>
    <xdr:sp>
      <xdr:nvSpPr>
        <xdr:cNvPr id="10" name=""/>
        <xdr:cNvSpPr/>
      </xdr:nvSpPr>
      <xdr:spPr>
        <a:xfrm>
          <a:off x="4003200" y="11255400"/>
          <a:ext cx="1125360" cy="2533320"/>
        </a:xfrm>
        <a:prstGeom prst="rect">
          <a:avLst/>
        </a:prstGeom>
        <a:solidFill>
          <a:srgbClr val="ffffff"/>
        </a:solidFill>
        <a:ln w="1">
          <a:solidFill>
            <a:srgbClr val="008000"/>
          </a:solidFill>
        </a:ln>
      </xdr:spPr>
      <xdr:style>
        <a:lnRef idx="0"/>
        <a:fillRef idx="0"/>
        <a:effectRef idx="0"/>
        <a:fontRef idx="minor"/>
      </xdr:style>
      <xdr:txBody>
        <a:bodyPr horzOverflow="clip" vertOverflow="clip" lIns="90000" rIns="90000" tIns="45000" bIns="45000" anchor="t">
          <a:noAutofit/>
        </a:bodyPr>
        <a:p>
          <a:r>
            <a:rPr b="0" lang="fr-CA" sz="1100" spc="-1" strike="noStrike">
              <a:latin typeface="Times New Roman"/>
            </a:rPr>
            <a:t>This shape represents a table slicer. Table slicers are not supported in this version of Excel.</a:t>
          </a:r>
          <a:endParaRPr b="0" lang="fr-CA" sz="1100" spc="-1" strike="noStrike">
            <a:latin typeface="Times New Roman"/>
          </a:endParaRPr>
        </a:p>
        <a:p>
          <a:endParaRPr b="0" lang="fr-CA" sz="1100" spc="-1" strike="noStrike">
            <a:latin typeface="Times New Roman"/>
          </a:endParaRPr>
        </a:p>
        <a:p>
          <a:pPr>
            <a:lnSpc>
              <a:spcPct val="100000"/>
            </a:lnSpc>
          </a:pPr>
          <a:r>
            <a:rPr b="0" lang="fr-CA" sz="1100" spc="-1" strike="noStrike">
              <a:latin typeface="Times New Roman"/>
            </a:rPr>
            <a:t>If the shape was modified in an earlier version of Excel, or if the workbook was saved in Excel 2007 or earlier, the slicer can't be used.</a:t>
          </a:r>
          <a:endParaRPr b="0" lang="fr-CA" sz="1100" spc="-1" strike="noStrike">
            <a:latin typeface="Times New Roman"/>
          </a:endParaRPr>
        </a:p>
      </xdr:txBody>
    </xdr:sp>
    <xdr:clientData/>
  </xdr:twoCellAnchor>
  <xdr:twoCellAnchor editAs="absolute">
    <xdr:from>
      <xdr:col>3</xdr:col>
      <xdr:colOff>577800</xdr:colOff>
      <xdr:row>58</xdr:row>
      <xdr:rowOff>87120</xdr:rowOff>
    </xdr:from>
    <xdr:to>
      <xdr:col>3</xdr:col>
      <xdr:colOff>863280</xdr:colOff>
      <xdr:row>71</xdr:row>
      <xdr:rowOff>144000</xdr:rowOff>
    </xdr:to>
    <xdr:sp>
      <xdr:nvSpPr>
        <xdr:cNvPr id="11" name=""/>
        <xdr:cNvSpPr/>
      </xdr:nvSpPr>
      <xdr:spPr>
        <a:xfrm>
          <a:off x="3628440" y="11255400"/>
          <a:ext cx="285480" cy="2533320"/>
        </a:xfrm>
        <a:prstGeom prst="rect">
          <a:avLst/>
        </a:prstGeom>
        <a:solidFill>
          <a:srgbClr val="ffffff"/>
        </a:solidFill>
        <a:ln w="1">
          <a:solidFill>
            <a:srgbClr val="008000"/>
          </a:solidFill>
        </a:ln>
      </xdr:spPr>
      <xdr:style>
        <a:lnRef idx="0"/>
        <a:fillRef idx="0"/>
        <a:effectRef idx="0"/>
        <a:fontRef idx="minor"/>
      </xdr:style>
      <xdr:txBody>
        <a:bodyPr horzOverflow="clip" vertOverflow="clip" lIns="90000" rIns="90000" tIns="45000" bIns="45000" anchor="t">
          <a:noAutofit/>
        </a:bodyPr>
        <a:p>
          <a:r>
            <a:rPr b="0" lang="fr-CA" sz="1100" spc="-1" strike="noStrike">
              <a:latin typeface="Times New Roman"/>
            </a:rPr>
            <a:t>This shape represents a table slicer. Table slicers are not supported in this version of Excel.</a:t>
          </a:r>
          <a:endParaRPr b="0" lang="fr-CA" sz="1100" spc="-1" strike="noStrike">
            <a:latin typeface="Times New Roman"/>
          </a:endParaRPr>
        </a:p>
        <a:p>
          <a:endParaRPr b="0" lang="fr-CA" sz="1100" spc="-1" strike="noStrike">
            <a:latin typeface="Times New Roman"/>
          </a:endParaRPr>
        </a:p>
        <a:p>
          <a:pPr>
            <a:lnSpc>
              <a:spcPct val="100000"/>
            </a:lnSpc>
          </a:pPr>
          <a:r>
            <a:rPr b="0" lang="fr-CA" sz="1100" spc="-1" strike="noStrike">
              <a:latin typeface="Times New Roman"/>
            </a:rPr>
            <a:t>If the shape was modified in an earlier version of Excel, or if the workbook was saved in Excel 2007 or earlier, the slicer can't be used.</a:t>
          </a:r>
          <a:endParaRPr b="0" lang="fr-CA" sz="1100" spc="-1" strike="noStrike">
            <a:latin typeface="Times New Roman"/>
          </a:endParaRPr>
        </a:p>
      </xdr:txBody>
    </xdr:sp>
    <xdr:clientData/>
  </xdr:twoCellAnchor>
  <xdr:twoCellAnchor editAs="absolute">
    <xdr:from>
      <xdr:col>5</xdr:col>
      <xdr:colOff>387360</xdr:colOff>
      <xdr:row>58</xdr:row>
      <xdr:rowOff>87120</xdr:rowOff>
    </xdr:from>
    <xdr:to>
      <xdr:col>5</xdr:col>
      <xdr:colOff>996480</xdr:colOff>
      <xdr:row>71</xdr:row>
      <xdr:rowOff>124920</xdr:rowOff>
    </xdr:to>
    <xdr:sp>
      <xdr:nvSpPr>
        <xdr:cNvPr id="12" name=""/>
        <xdr:cNvSpPr/>
      </xdr:nvSpPr>
      <xdr:spPr>
        <a:xfrm>
          <a:off x="5128920" y="11255400"/>
          <a:ext cx="609120" cy="2514240"/>
        </a:xfrm>
        <a:prstGeom prst="rect">
          <a:avLst/>
        </a:prstGeom>
        <a:solidFill>
          <a:srgbClr val="ffffff"/>
        </a:solidFill>
        <a:ln w="1">
          <a:solidFill>
            <a:srgbClr val="008000"/>
          </a:solidFill>
        </a:ln>
      </xdr:spPr>
      <xdr:style>
        <a:lnRef idx="0"/>
        <a:fillRef idx="0"/>
        <a:effectRef idx="0"/>
        <a:fontRef idx="minor"/>
      </xdr:style>
      <xdr:txBody>
        <a:bodyPr horzOverflow="clip" vertOverflow="clip" lIns="90000" rIns="90000" tIns="45000" bIns="45000" anchor="t">
          <a:noAutofit/>
        </a:bodyPr>
        <a:p>
          <a:r>
            <a:rPr b="0" lang="fr-CA" sz="1100" spc="-1" strike="noStrike">
              <a:latin typeface="Times New Roman"/>
            </a:rPr>
            <a:t>This shape represents a table slicer. Table slicers are not supported in this version of Excel.</a:t>
          </a:r>
          <a:endParaRPr b="0" lang="fr-CA" sz="1100" spc="-1" strike="noStrike">
            <a:latin typeface="Times New Roman"/>
          </a:endParaRPr>
        </a:p>
        <a:p>
          <a:endParaRPr b="0" lang="fr-CA" sz="1100" spc="-1" strike="noStrike">
            <a:latin typeface="Times New Roman"/>
          </a:endParaRPr>
        </a:p>
        <a:p>
          <a:pPr>
            <a:lnSpc>
              <a:spcPct val="100000"/>
            </a:lnSpc>
          </a:pPr>
          <a:r>
            <a:rPr b="0" lang="fr-CA" sz="1100" spc="-1" strike="noStrike">
              <a:latin typeface="Times New Roman"/>
            </a:rPr>
            <a:t>If the shape was modified in an earlier version of Excel, or if the workbook was saved in Excel 2007 or earlier, the slicer can't be used.</a:t>
          </a:r>
          <a:endParaRPr b="0" lang="fr-CA" sz="1100" spc="-1" strike="noStrike">
            <a:latin typeface="Times New Roman"/>
          </a:endParaRPr>
        </a:p>
      </xdr:txBody>
    </xdr:sp>
    <xdr:clientData/>
  </xdr:twoCellAnchor>
  <xdr:twoCellAnchor editAs="absolute">
    <xdr:from>
      <xdr:col>6</xdr:col>
      <xdr:colOff>549360</xdr:colOff>
      <xdr:row>58</xdr:row>
      <xdr:rowOff>68040</xdr:rowOff>
    </xdr:from>
    <xdr:to>
      <xdr:col>12</xdr:col>
      <xdr:colOff>253800</xdr:colOff>
      <xdr:row>71</xdr:row>
      <xdr:rowOff>105840</xdr:rowOff>
    </xdr:to>
    <xdr:sp>
      <xdr:nvSpPr>
        <xdr:cNvPr id="13" name=""/>
        <xdr:cNvSpPr/>
      </xdr:nvSpPr>
      <xdr:spPr>
        <a:xfrm>
          <a:off x="6630120" y="11236320"/>
          <a:ext cx="4788720" cy="2514240"/>
        </a:xfrm>
        <a:prstGeom prst="rect">
          <a:avLst/>
        </a:prstGeom>
        <a:solidFill>
          <a:srgbClr val="ffffff"/>
        </a:solidFill>
        <a:ln w="1">
          <a:solidFill>
            <a:srgbClr val="008000"/>
          </a:solidFill>
        </a:ln>
      </xdr:spPr>
      <xdr:style>
        <a:lnRef idx="0"/>
        <a:fillRef idx="0"/>
        <a:effectRef idx="0"/>
        <a:fontRef idx="minor"/>
      </xdr:style>
      <xdr:txBody>
        <a:bodyPr horzOverflow="clip" vertOverflow="clip" lIns="90000" rIns="90000" tIns="45000" bIns="45000" anchor="t">
          <a:noAutofit/>
        </a:bodyPr>
        <a:p>
          <a:r>
            <a:rPr b="0" lang="fr-CA" sz="1100" spc="-1" strike="noStrike">
              <a:latin typeface="Times New Roman"/>
            </a:rPr>
            <a:t>This shape represents a table slicer. Table slicers are not supported in this version of Excel.</a:t>
          </a:r>
          <a:endParaRPr b="0" lang="fr-CA" sz="1100" spc="-1" strike="noStrike">
            <a:latin typeface="Times New Roman"/>
          </a:endParaRPr>
        </a:p>
        <a:p>
          <a:endParaRPr b="0" lang="fr-CA" sz="1100" spc="-1" strike="noStrike">
            <a:latin typeface="Times New Roman"/>
          </a:endParaRPr>
        </a:p>
        <a:p>
          <a:pPr>
            <a:lnSpc>
              <a:spcPct val="100000"/>
            </a:lnSpc>
          </a:pPr>
          <a:r>
            <a:rPr b="0" lang="fr-CA" sz="1100" spc="-1" strike="noStrike">
              <a:latin typeface="Times New Roman"/>
            </a:rPr>
            <a:t>If the shape was modified in an earlier version of Excel, or if the workbook was saved in Excel 2007 or earlier, the slicer can't be used.</a:t>
          </a:r>
          <a:endParaRPr b="0" lang="fr-CA" sz="1100" spc="-1" strike="noStrike">
            <a:latin typeface="Times New Roman"/>
          </a:endParaRP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absolute">
    <xdr:from>
      <xdr:col>2</xdr:col>
      <xdr:colOff>254160</xdr:colOff>
      <xdr:row>58</xdr:row>
      <xdr:rowOff>87120</xdr:rowOff>
    </xdr:from>
    <xdr:to>
      <xdr:col>2</xdr:col>
      <xdr:colOff>787320</xdr:colOff>
      <xdr:row>81</xdr:row>
      <xdr:rowOff>29160</xdr:rowOff>
    </xdr:to>
    <xdr:sp>
      <xdr:nvSpPr>
        <xdr:cNvPr id="14" name=""/>
        <xdr:cNvSpPr/>
      </xdr:nvSpPr>
      <xdr:spPr>
        <a:xfrm>
          <a:off x="2015640" y="11255400"/>
          <a:ext cx="533160" cy="2609280"/>
        </a:xfrm>
        <a:prstGeom prst="rect">
          <a:avLst/>
        </a:prstGeom>
        <a:solidFill>
          <a:srgbClr val="ffffff"/>
        </a:solidFill>
        <a:ln w="1">
          <a:solidFill>
            <a:srgbClr val="008000"/>
          </a:solidFill>
        </a:ln>
      </xdr:spPr>
      <xdr:style>
        <a:lnRef idx="0"/>
        <a:fillRef idx="0"/>
        <a:effectRef idx="0"/>
        <a:fontRef idx="minor"/>
      </xdr:style>
      <xdr:txBody>
        <a:bodyPr horzOverflow="clip" vertOverflow="clip" lIns="90000" rIns="90000" tIns="45000" bIns="45000" anchor="t">
          <a:noAutofit/>
        </a:bodyPr>
        <a:p>
          <a:r>
            <a:rPr b="0" lang="fr-CA" sz="1100" spc="-1" strike="noStrike">
              <a:latin typeface="Times New Roman"/>
            </a:rPr>
            <a:t>This shape represents a table slicer. Table slicers are not supported in this version of Excel.</a:t>
          </a:r>
          <a:endParaRPr b="0" lang="fr-CA" sz="1100" spc="-1" strike="noStrike">
            <a:latin typeface="Times New Roman"/>
          </a:endParaRPr>
        </a:p>
        <a:p>
          <a:endParaRPr b="0" lang="fr-CA" sz="1100" spc="-1" strike="noStrike">
            <a:latin typeface="Times New Roman"/>
          </a:endParaRPr>
        </a:p>
        <a:p>
          <a:pPr>
            <a:lnSpc>
              <a:spcPct val="100000"/>
            </a:lnSpc>
          </a:pPr>
          <a:r>
            <a:rPr b="0" lang="fr-CA" sz="1100" spc="-1" strike="noStrike">
              <a:latin typeface="Times New Roman"/>
            </a:rPr>
            <a:t>If the shape was modified in an earlier version of Excel, or if the workbook was saved in Excel 2007 or earlier, the slicer can't be used.</a:t>
          </a:r>
          <a:endParaRPr b="0" lang="fr-CA" sz="1100" spc="-1" strike="noStrike">
            <a:latin typeface="Times New Roman"/>
          </a:endParaRPr>
        </a:p>
      </xdr:txBody>
    </xdr:sp>
    <xdr:clientData/>
  </xdr:twoCellAnchor>
  <xdr:twoCellAnchor editAs="absolute">
    <xdr:from>
      <xdr:col>5</xdr:col>
      <xdr:colOff>1015920</xdr:colOff>
      <xdr:row>58</xdr:row>
      <xdr:rowOff>87120</xdr:rowOff>
    </xdr:from>
    <xdr:to>
      <xdr:col>6</xdr:col>
      <xdr:colOff>491760</xdr:colOff>
      <xdr:row>67</xdr:row>
      <xdr:rowOff>67680</xdr:rowOff>
    </xdr:to>
    <xdr:sp>
      <xdr:nvSpPr>
        <xdr:cNvPr id="15" name=""/>
        <xdr:cNvSpPr/>
      </xdr:nvSpPr>
      <xdr:spPr>
        <a:xfrm>
          <a:off x="5757480" y="11255400"/>
          <a:ext cx="815040" cy="1695240"/>
        </a:xfrm>
        <a:prstGeom prst="rect">
          <a:avLst/>
        </a:prstGeom>
        <a:solidFill>
          <a:srgbClr val="ffffff"/>
        </a:solidFill>
        <a:ln w="1">
          <a:solidFill>
            <a:srgbClr val="008000"/>
          </a:solidFill>
        </a:ln>
      </xdr:spPr>
      <xdr:style>
        <a:lnRef idx="0"/>
        <a:fillRef idx="0"/>
        <a:effectRef idx="0"/>
        <a:fontRef idx="minor"/>
      </xdr:style>
      <xdr:txBody>
        <a:bodyPr horzOverflow="clip" vertOverflow="clip" lIns="90000" rIns="90000" tIns="45000" bIns="45000" anchor="t">
          <a:noAutofit/>
        </a:bodyPr>
        <a:p>
          <a:r>
            <a:rPr b="0" lang="fr-CA" sz="1100" spc="-1" strike="noStrike">
              <a:latin typeface="Times New Roman"/>
            </a:rPr>
            <a:t>This shape represents a table slicer. Table slicers are not supported in this version of Excel.</a:t>
          </a:r>
          <a:endParaRPr b="0" lang="fr-CA" sz="1100" spc="-1" strike="noStrike">
            <a:latin typeface="Times New Roman"/>
          </a:endParaRPr>
        </a:p>
        <a:p>
          <a:endParaRPr b="0" lang="fr-CA" sz="1100" spc="-1" strike="noStrike">
            <a:latin typeface="Times New Roman"/>
          </a:endParaRPr>
        </a:p>
        <a:p>
          <a:pPr>
            <a:lnSpc>
              <a:spcPct val="100000"/>
            </a:lnSpc>
          </a:pPr>
          <a:r>
            <a:rPr b="0" lang="fr-CA" sz="1100" spc="-1" strike="noStrike">
              <a:latin typeface="Times New Roman"/>
            </a:rPr>
            <a:t>If the shape was modified in an earlier version of Excel, or if the workbook was saved in Excel 2007 or earlier, the slicer can't be used.</a:t>
          </a:r>
          <a:endParaRPr b="0" lang="fr-CA" sz="1100" spc="-1" strike="noStrike">
            <a:latin typeface="Times New Roman"/>
          </a:endParaRPr>
        </a:p>
      </xdr:txBody>
    </xdr:sp>
    <xdr:clientData/>
  </xdr:twoCellAnchor>
  <xdr:twoCellAnchor editAs="absolute">
    <xdr:from>
      <xdr:col>2</xdr:col>
      <xdr:colOff>844560</xdr:colOff>
      <xdr:row>58</xdr:row>
      <xdr:rowOff>87120</xdr:rowOff>
    </xdr:from>
    <xdr:to>
      <xdr:col>3</xdr:col>
      <xdr:colOff>539280</xdr:colOff>
      <xdr:row>71</xdr:row>
      <xdr:rowOff>124920</xdr:rowOff>
    </xdr:to>
    <xdr:sp>
      <xdr:nvSpPr>
        <xdr:cNvPr id="16" name=""/>
        <xdr:cNvSpPr/>
      </xdr:nvSpPr>
      <xdr:spPr>
        <a:xfrm>
          <a:off x="2606040" y="11255400"/>
          <a:ext cx="983880" cy="2514240"/>
        </a:xfrm>
        <a:prstGeom prst="rect">
          <a:avLst/>
        </a:prstGeom>
        <a:solidFill>
          <a:srgbClr val="ffffff"/>
        </a:solidFill>
        <a:ln w="1">
          <a:solidFill>
            <a:srgbClr val="008000"/>
          </a:solidFill>
        </a:ln>
      </xdr:spPr>
      <xdr:style>
        <a:lnRef idx="0"/>
        <a:fillRef idx="0"/>
        <a:effectRef idx="0"/>
        <a:fontRef idx="minor"/>
      </xdr:style>
      <xdr:txBody>
        <a:bodyPr horzOverflow="clip" vertOverflow="clip" lIns="90000" rIns="90000" tIns="45000" bIns="45000" anchor="t">
          <a:noAutofit/>
        </a:bodyPr>
        <a:p>
          <a:r>
            <a:rPr b="0" lang="fr-CA" sz="1100" spc="-1" strike="noStrike">
              <a:latin typeface="Times New Roman"/>
            </a:rPr>
            <a:t>This shape represents a table slicer. Table slicers are not supported in this version of Excel.</a:t>
          </a:r>
          <a:endParaRPr b="0" lang="fr-CA" sz="1100" spc="-1" strike="noStrike">
            <a:latin typeface="Times New Roman"/>
          </a:endParaRPr>
        </a:p>
        <a:p>
          <a:endParaRPr b="0" lang="fr-CA" sz="1100" spc="-1" strike="noStrike">
            <a:latin typeface="Times New Roman"/>
          </a:endParaRPr>
        </a:p>
        <a:p>
          <a:pPr>
            <a:lnSpc>
              <a:spcPct val="100000"/>
            </a:lnSpc>
          </a:pPr>
          <a:r>
            <a:rPr b="0" lang="fr-CA" sz="1100" spc="-1" strike="noStrike">
              <a:latin typeface="Times New Roman"/>
            </a:rPr>
            <a:t>If the shape was modified in an earlier version of Excel, or if the workbook was saved in Excel 2007 or earlier, the slicer can't be used.</a:t>
          </a:r>
          <a:endParaRPr b="0" lang="fr-CA" sz="1100" spc="-1" strike="noStrike">
            <a:latin typeface="Times New Roman"/>
          </a:endParaRPr>
        </a:p>
      </xdr:txBody>
    </xdr:sp>
    <xdr:clientData/>
  </xdr:twoCellAnchor>
  <xdr:twoCellAnchor editAs="absolute">
    <xdr:from>
      <xdr:col>4</xdr:col>
      <xdr:colOff>6480</xdr:colOff>
      <xdr:row>58</xdr:row>
      <xdr:rowOff>87120</xdr:rowOff>
    </xdr:from>
    <xdr:to>
      <xdr:col>5</xdr:col>
      <xdr:colOff>387000</xdr:colOff>
      <xdr:row>71</xdr:row>
      <xdr:rowOff>144000</xdr:rowOff>
    </xdr:to>
    <xdr:sp>
      <xdr:nvSpPr>
        <xdr:cNvPr id="17" name=""/>
        <xdr:cNvSpPr/>
      </xdr:nvSpPr>
      <xdr:spPr>
        <a:xfrm>
          <a:off x="4003200" y="11255400"/>
          <a:ext cx="1125360" cy="2533320"/>
        </a:xfrm>
        <a:prstGeom prst="rect">
          <a:avLst/>
        </a:prstGeom>
        <a:solidFill>
          <a:srgbClr val="ffffff"/>
        </a:solidFill>
        <a:ln w="1">
          <a:solidFill>
            <a:srgbClr val="008000"/>
          </a:solidFill>
        </a:ln>
      </xdr:spPr>
      <xdr:style>
        <a:lnRef idx="0"/>
        <a:fillRef idx="0"/>
        <a:effectRef idx="0"/>
        <a:fontRef idx="minor"/>
      </xdr:style>
      <xdr:txBody>
        <a:bodyPr horzOverflow="clip" vertOverflow="clip" lIns="90000" rIns="90000" tIns="45000" bIns="45000" anchor="t">
          <a:noAutofit/>
        </a:bodyPr>
        <a:p>
          <a:r>
            <a:rPr b="0" lang="fr-CA" sz="1100" spc="-1" strike="noStrike">
              <a:latin typeface="Times New Roman"/>
            </a:rPr>
            <a:t>This shape represents a table slicer. Table slicers are not supported in this version of Excel.</a:t>
          </a:r>
          <a:endParaRPr b="0" lang="fr-CA" sz="1100" spc="-1" strike="noStrike">
            <a:latin typeface="Times New Roman"/>
          </a:endParaRPr>
        </a:p>
        <a:p>
          <a:endParaRPr b="0" lang="fr-CA" sz="1100" spc="-1" strike="noStrike">
            <a:latin typeface="Times New Roman"/>
          </a:endParaRPr>
        </a:p>
        <a:p>
          <a:pPr>
            <a:lnSpc>
              <a:spcPct val="100000"/>
            </a:lnSpc>
          </a:pPr>
          <a:r>
            <a:rPr b="0" lang="fr-CA" sz="1100" spc="-1" strike="noStrike">
              <a:latin typeface="Times New Roman"/>
            </a:rPr>
            <a:t>If the shape was modified in an earlier version of Excel, or if the workbook was saved in Excel 2007 or earlier, the slicer can't be used.</a:t>
          </a:r>
          <a:endParaRPr b="0" lang="fr-CA" sz="1100" spc="-1" strike="noStrike">
            <a:latin typeface="Times New Roman"/>
          </a:endParaRPr>
        </a:p>
      </xdr:txBody>
    </xdr:sp>
    <xdr:clientData/>
  </xdr:twoCellAnchor>
  <xdr:twoCellAnchor editAs="absolute">
    <xdr:from>
      <xdr:col>3</xdr:col>
      <xdr:colOff>577800</xdr:colOff>
      <xdr:row>58</xdr:row>
      <xdr:rowOff>87120</xdr:rowOff>
    </xdr:from>
    <xdr:to>
      <xdr:col>3</xdr:col>
      <xdr:colOff>863280</xdr:colOff>
      <xdr:row>71</xdr:row>
      <xdr:rowOff>144000</xdr:rowOff>
    </xdr:to>
    <xdr:sp>
      <xdr:nvSpPr>
        <xdr:cNvPr id="18" name=""/>
        <xdr:cNvSpPr/>
      </xdr:nvSpPr>
      <xdr:spPr>
        <a:xfrm>
          <a:off x="3628440" y="11255400"/>
          <a:ext cx="285480" cy="2533320"/>
        </a:xfrm>
        <a:prstGeom prst="rect">
          <a:avLst/>
        </a:prstGeom>
        <a:solidFill>
          <a:srgbClr val="ffffff"/>
        </a:solidFill>
        <a:ln w="1">
          <a:solidFill>
            <a:srgbClr val="008000"/>
          </a:solidFill>
        </a:ln>
      </xdr:spPr>
      <xdr:style>
        <a:lnRef idx="0"/>
        <a:fillRef idx="0"/>
        <a:effectRef idx="0"/>
        <a:fontRef idx="minor"/>
      </xdr:style>
      <xdr:txBody>
        <a:bodyPr horzOverflow="clip" vertOverflow="clip" lIns="90000" rIns="90000" tIns="45000" bIns="45000" anchor="t">
          <a:noAutofit/>
        </a:bodyPr>
        <a:p>
          <a:r>
            <a:rPr b="0" lang="fr-CA" sz="1100" spc="-1" strike="noStrike">
              <a:latin typeface="Times New Roman"/>
            </a:rPr>
            <a:t>This shape represents a table slicer. Table slicers are not supported in this version of Excel.</a:t>
          </a:r>
          <a:endParaRPr b="0" lang="fr-CA" sz="1100" spc="-1" strike="noStrike">
            <a:latin typeface="Times New Roman"/>
          </a:endParaRPr>
        </a:p>
        <a:p>
          <a:endParaRPr b="0" lang="fr-CA" sz="1100" spc="-1" strike="noStrike">
            <a:latin typeface="Times New Roman"/>
          </a:endParaRPr>
        </a:p>
        <a:p>
          <a:pPr>
            <a:lnSpc>
              <a:spcPct val="100000"/>
            </a:lnSpc>
          </a:pPr>
          <a:r>
            <a:rPr b="0" lang="fr-CA" sz="1100" spc="-1" strike="noStrike">
              <a:latin typeface="Times New Roman"/>
            </a:rPr>
            <a:t>If the shape was modified in an earlier version of Excel, or if the workbook was saved in Excel 2007 or earlier, the slicer can't be used.</a:t>
          </a:r>
          <a:endParaRPr b="0" lang="fr-CA" sz="1100" spc="-1" strike="noStrike">
            <a:latin typeface="Times New Roman"/>
          </a:endParaRPr>
        </a:p>
      </xdr:txBody>
    </xdr:sp>
    <xdr:clientData/>
  </xdr:twoCellAnchor>
  <xdr:twoCellAnchor editAs="absolute">
    <xdr:from>
      <xdr:col>5</xdr:col>
      <xdr:colOff>387360</xdr:colOff>
      <xdr:row>58</xdr:row>
      <xdr:rowOff>87120</xdr:rowOff>
    </xdr:from>
    <xdr:to>
      <xdr:col>5</xdr:col>
      <xdr:colOff>996480</xdr:colOff>
      <xdr:row>71</xdr:row>
      <xdr:rowOff>124920</xdr:rowOff>
    </xdr:to>
    <xdr:sp>
      <xdr:nvSpPr>
        <xdr:cNvPr id="19" name=""/>
        <xdr:cNvSpPr/>
      </xdr:nvSpPr>
      <xdr:spPr>
        <a:xfrm>
          <a:off x="5128920" y="11255400"/>
          <a:ext cx="609120" cy="2514240"/>
        </a:xfrm>
        <a:prstGeom prst="rect">
          <a:avLst/>
        </a:prstGeom>
        <a:solidFill>
          <a:srgbClr val="ffffff"/>
        </a:solidFill>
        <a:ln w="1">
          <a:solidFill>
            <a:srgbClr val="008000"/>
          </a:solidFill>
        </a:ln>
      </xdr:spPr>
      <xdr:style>
        <a:lnRef idx="0"/>
        <a:fillRef idx="0"/>
        <a:effectRef idx="0"/>
        <a:fontRef idx="minor"/>
      </xdr:style>
      <xdr:txBody>
        <a:bodyPr horzOverflow="clip" vertOverflow="clip" lIns="90000" rIns="90000" tIns="45000" bIns="45000" anchor="t">
          <a:noAutofit/>
        </a:bodyPr>
        <a:p>
          <a:r>
            <a:rPr b="0" lang="fr-CA" sz="1100" spc="-1" strike="noStrike">
              <a:latin typeface="Times New Roman"/>
            </a:rPr>
            <a:t>This shape represents a table slicer. Table slicers are not supported in this version of Excel.</a:t>
          </a:r>
          <a:endParaRPr b="0" lang="fr-CA" sz="1100" spc="-1" strike="noStrike">
            <a:latin typeface="Times New Roman"/>
          </a:endParaRPr>
        </a:p>
        <a:p>
          <a:endParaRPr b="0" lang="fr-CA" sz="1100" spc="-1" strike="noStrike">
            <a:latin typeface="Times New Roman"/>
          </a:endParaRPr>
        </a:p>
        <a:p>
          <a:pPr>
            <a:lnSpc>
              <a:spcPct val="100000"/>
            </a:lnSpc>
          </a:pPr>
          <a:r>
            <a:rPr b="0" lang="fr-CA" sz="1100" spc="-1" strike="noStrike">
              <a:latin typeface="Times New Roman"/>
            </a:rPr>
            <a:t>If the shape was modified in an earlier version of Excel, or if the workbook was saved in Excel 2007 or earlier, the slicer can't be used.</a:t>
          </a:r>
          <a:endParaRPr b="0" lang="fr-CA" sz="1100" spc="-1" strike="noStrike">
            <a:latin typeface="Times New Roman"/>
          </a:endParaRPr>
        </a:p>
      </xdr:txBody>
    </xdr:sp>
    <xdr:clientData/>
  </xdr:twoCellAnchor>
  <xdr:twoCellAnchor editAs="absolute">
    <xdr:from>
      <xdr:col>6</xdr:col>
      <xdr:colOff>549360</xdr:colOff>
      <xdr:row>58</xdr:row>
      <xdr:rowOff>68040</xdr:rowOff>
    </xdr:from>
    <xdr:to>
      <xdr:col>12</xdr:col>
      <xdr:colOff>253800</xdr:colOff>
      <xdr:row>71</xdr:row>
      <xdr:rowOff>105840</xdr:rowOff>
    </xdr:to>
    <xdr:sp>
      <xdr:nvSpPr>
        <xdr:cNvPr id="20" name=""/>
        <xdr:cNvSpPr/>
      </xdr:nvSpPr>
      <xdr:spPr>
        <a:xfrm>
          <a:off x="6630120" y="11236320"/>
          <a:ext cx="4788720" cy="2514240"/>
        </a:xfrm>
        <a:prstGeom prst="rect">
          <a:avLst/>
        </a:prstGeom>
        <a:solidFill>
          <a:srgbClr val="ffffff"/>
        </a:solidFill>
        <a:ln w="1">
          <a:solidFill>
            <a:srgbClr val="008000"/>
          </a:solidFill>
        </a:ln>
      </xdr:spPr>
      <xdr:style>
        <a:lnRef idx="0"/>
        <a:fillRef idx="0"/>
        <a:effectRef idx="0"/>
        <a:fontRef idx="minor"/>
      </xdr:style>
      <xdr:txBody>
        <a:bodyPr horzOverflow="clip" vertOverflow="clip" lIns="90000" rIns="90000" tIns="45000" bIns="45000" anchor="t">
          <a:noAutofit/>
        </a:bodyPr>
        <a:p>
          <a:r>
            <a:rPr b="0" lang="fr-CA" sz="1100" spc="-1" strike="noStrike">
              <a:latin typeface="Times New Roman"/>
            </a:rPr>
            <a:t>This shape represents a table slicer. Table slicers are not supported in this version of Excel.</a:t>
          </a:r>
          <a:endParaRPr b="0" lang="fr-CA" sz="1100" spc="-1" strike="noStrike">
            <a:latin typeface="Times New Roman"/>
          </a:endParaRPr>
        </a:p>
        <a:p>
          <a:endParaRPr b="0" lang="fr-CA" sz="1100" spc="-1" strike="noStrike">
            <a:latin typeface="Times New Roman"/>
          </a:endParaRPr>
        </a:p>
        <a:p>
          <a:pPr>
            <a:lnSpc>
              <a:spcPct val="100000"/>
            </a:lnSpc>
          </a:pPr>
          <a:r>
            <a:rPr b="0" lang="fr-CA" sz="1100" spc="-1" strike="noStrike">
              <a:latin typeface="Times New Roman"/>
            </a:rPr>
            <a:t>If the shape was modified in an earlier version of Excel, or if the workbook was saved in Excel 2007 or earlier, the slicer can't be used.</a:t>
          </a:r>
          <a:endParaRPr b="0" lang="fr-CA" sz="1100" spc="-1" strike="noStrike">
            <a:latin typeface="Times New Roman"/>
          </a:endParaRP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absolute">
    <xdr:from>
      <xdr:col>2</xdr:col>
      <xdr:colOff>254160</xdr:colOff>
      <xdr:row>90</xdr:row>
      <xdr:rowOff>87120</xdr:rowOff>
    </xdr:from>
    <xdr:to>
      <xdr:col>2</xdr:col>
      <xdr:colOff>787320</xdr:colOff>
      <xdr:row>104</xdr:row>
      <xdr:rowOff>29160</xdr:rowOff>
    </xdr:to>
    <xdr:sp>
      <xdr:nvSpPr>
        <xdr:cNvPr id="21" name=""/>
        <xdr:cNvSpPr/>
      </xdr:nvSpPr>
      <xdr:spPr>
        <a:xfrm>
          <a:off x="2015640" y="11255400"/>
          <a:ext cx="533160" cy="2609280"/>
        </a:xfrm>
        <a:prstGeom prst="rect">
          <a:avLst/>
        </a:prstGeom>
        <a:solidFill>
          <a:srgbClr val="ffffff"/>
        </a:solidFill>
        <a:ln w="1">
          <a:solidFill>
            <a:srgbClr val="008000"/>
          </a:solidFill>
        </a:ln>
      </xdr:spPr>
      <xdr:style>
        <a:lnRef idx="0"/>
        <a:fillRef idx="0"/>
        <a:effectRef idx="0"/>
        <a:fontRef idx="minor"/>
      </xdr:style>
      <xdr:txBody>
        <a:bodyPr horzOverflow="clip" vertOverflow="clip" lIns="90000" rIns="90000" tIns="45000" bIns="45000" anchor="t">
          <a:noAutofit/>
        </a:bodyPr>
        <a:p>
          <a:r>
            <a:rPr b="0" lang="fr-CA" sz="1100" spc="-1" strike="noStrike">
              <a:latin typeface="Times New Roman"/>
            </a:rPr>
            <a:t>This shape represents a table slicer. Table slicers are not supported in this version of Excel.</a:t>
          </a:r>
          <a:endParaRPr b="0" lang="fr-CA" sz="1100" spc="-1" strike="noStrike">
            <a:latin typeface="Times New Roman"/>
          </a:endParaRPr>
        </a:p>
        <a:p>
          <a:endParaRPr b="0" lang="fr-CA" sz="1100" spc="-1" strike="noStrike">
            <a:latin typeface="Times New Roman"/>
          </a:endParaRPr>
        </a:p>
        <a:p>
          <a:pPr>
            <a:lnSpc>
              <a:spcPct val="100000"/>
            </a:lnSpc>
          </a:pPr>
          <a:r>
            <a:rPr b="0" lang="fr-CA" sz="1100" spc="-1" strike="noStrike">
              <a:latin typeface="Times New Roman"/>
            </a:rPr>
            <a:t>If the shape was modified in an earlier version of Excel, or if the workbook was saved in Excel 2007 or earlier, the slicer can't be used.</a:t>
          </a:r>
          <a:endParaRPr b="0" lang="fr-CA" sz="1100" spc="-1" strike="noStrike">
            <a:latin typeface="Times New Roman"/>
          </a:endParaRPr>
        </a:p>
      </xdr:txBody>
    </xdr:sp>
    <xdr:clientData/>
  </xdr:twoCellAnchor>
  <xdr:twoCellAnchor editAs="absolute">
    <xdr:from>
      <xdr:col>5</xdr:col>
      <xdr:colOff>1015920</xdr:colOff>
      <xdr:row>90</xdr:row>
      <xdr:rowOff>87120</xdr:rowOff>
    </xdr:from>
    <xdr:to>
      <xdr:col>6</xdr:col>
      <xdr:colOff>491760</xdr:colOff>
      <xdr:row>99</xdr:row>
      <xdr:rowOff>67680</xdr:rowOff>
    </xdr:to>
    <xdr:sp>
      <xdr:nvSpPr>
        <xdr:cNvPr id="22" name=""/>
        <xdr:cNvSpPr/>
      </xdr:nvSpPr>
      <xdr:spPr>
        <a:xfrm>
          <a:off x="5757480" y="11255400"/>
          <a:ext cx="815040" cy="1695240"/>
        </a:xfrm>
        <a:prstGeom prst="rect">
          <a:avLst/>
        </a:prstGeom>
        <a:solidFill>
          <a:srgbClr val="ffffff"/>
        </a:solidFill>
        <a:ln w="1">
          <a:solidFill>
            <a:srgbClr val="008000"/>
          </a:solidFill>
        </a:ln>
      </xdr:spPr>
      <xdr:style>
        <a:lnRef idx="0"/>
        <a:fillRef idx="0"/>
        <a:effectRef idx="0"/>
        <a:fontRef idx="minor"/>
      </xdr:style>
      <xdr:txBody>
        <a:bodyPr horzOverflow="clip" vertOverflow="clip" lIns="90000" rIns="90000" tIns="45000" bIns="45000" anchor="t">
          <a:noAutofit/>
        </a:bodyPr>
        <a:p>
          <a:r>
            <a:rPr b="0" lang="fr-CA" sz="1100" spc="-1" strike="noStrike">
              <a:latin typeface="Times New Roman"/>
            </a:rPr>
            <a:t>This shape represents a table slicer. Table slicers are not supported in this version of Excel.</a:t>
          </a:r>
          <a:endParaRPr b="0" lang="fr-CA" sz="1100" spc="-1" strike="noStrike">
            <a:latin typeface="Times New Roman"/>
          </a:endParaRPr>
        </a:p>
        <a:p>
          <a:endParaRPr b="0" lang="fr-CA" sz="1100" spc="-1" strike="noStrike">
            <a:latin typeface="Times New Roman"/>
          </a:endParaRPr>
        </a:p>
        <a:p>
          <a:pPr>
            <a:lnSpc>
              <a:spcPct val="100000"/>
            </a:lnSpc>
          </a:pPr>
          <a:r>
            <a:rPr b="0" lang="fr-CA" sz="1100" spc="-1" strike="noStrike">
              <a:latin typeface="Times New Roman"/>
            </a:rPr>
            <a:t>If the shape was modified in an earlier version of Excel, or if the workbook was saved in Excel 2007 or earlier, the slicer can't be used.</a:t>
          </a:r>
          <a:endParaRPr b="0" lang="fr-CA" sz="1100" spc="-1" strike="noStrike">
            <a:latin typeface="Times New Roman"/>
          </a:endParaRPr>
        </a:p>
      </xdr:txBody>
    </xdr:sp>
    <xdr:clientData/>
  </xdr:twoCellAnchor>
  <xdr:twoCellAnchor editAs="absolute">
    <xdr:from>
      <xdr:col>2</xdr:col>
      <xdr:colOff>844560</xdr:colOff>
      <xdr:row>90</xdr:row>
      <xdr:rowOff>87120</xdr:rowOff>
    </xdr:from>
    <xdr:to>
      <xdr:col>3</xdr:col>
      <xdr:colOff>539280</xdr:colOff>
      <xdr:row>103</xdr:row>
      <xdr:rowOff>124920</xdr:rowOff>
    </xdr:to>
    <xdr:sp>
      <xdr:nvSpPr>
        <xdr:cNvPr id="23" name=""/>
        <xdr:cNvSpPr/>
      </xdr:nvSpPr>
      <xdr:spPr>
        <a:xfrm>
          <a:off x="2606040" y="11255400"/>
          <a:ext cx="983880" cy="2514240"/>
        </a:xfrm>
        <a:prstGeom prst="rect">
          <a:avLst/>
        </a:prstGeom>
        <a:solidFill>
          <a:srgbClr val="ffffff"/>
        </a:solidFill>
        <a:ln w="1">
          <a:solidFill>
            <a:srgbClr val="008000"/>
          </a:solidFill>
        </a:ln>
      </xdr:spPr>
      <xdr:style>
        <a:lnRef idx="0"/>
        <a:fillRef idx="0"/>
        <a:effectRef idx="0"/>
        <a:fontRef idx="minor"/>
      </xdr:style>
      <xdr:txBody>
        <a:bodyPr horzOverflow="clip" vertOverflow="clip" lIns="90000" rIns="90000" tIns="45000" bIns="45000" anchor="t">
          <a:noAutofit/>
        </a:bodyPr>
        <a:p>
          <a:r>
            <a:rPr b="0" lang="fr-CA" sz="1100" spc="-1" strike="noStrike">
              <a:latin typeface="Times New Roman"/>
            </a:rPr>
            <a:t>This shape represents a table slicer. Table slicers are not supported in this version of Excel.</a:t>
          </a:r>
          <a:endParaRPr b="0" lang="fr-CA" sz="1100" spc="-1" strike="noStrike">
            <a:latin typeface="Times New Roman"/>
          </a:endParaRPr>
        </a:p>
        <a:p>
          <a:endParaRPr b="0" lang="fr-CA" sz="1100" spc="-1" strike="noStrike">
            <a:latin typeface="Times New Roman"/>
          </a:endParaRPr>
        </a:p>
        <a:p>
          <a:pPr>
            <a:lnSpc>
              <a:spcPct val="100000"/>
            </a:lnSpc>
          </a:pPr>
          <a:r>
            <a:rPr b="0" lang="fr-CA" sz="1100" spc="-1" strike="noStrike">
              <a:latin typeface="Times New Roman"/>
            </a:rPr>
            <a:t>If the shape was modified in an earlier version of Excel, or if the workbook was saved in Excel 2007 or earlier, the slicer can't be used.</a:t>
          </a:r>
          <a:endParaRPr b="0" lang="fr-CA" sz="1100" spc="-1" strike="noStrike">
            <a:latin typeface="Times New Roman"/>
          </a:endParaRPr>
        </a:p>
      </xdr:txBody>
    </xdr:sp>
    <xdr:clientData/>
  </xdr:twoCellAnchor>
  <xdr:twoCellAnchor editAs="absolute">
    <xdr:from>
      <xdr:col>4</xdr:col>
      <xdr:colOff>6480</xdr:colOff>
      <xdr:row>90</xdr:row>
      <xdr:rowOff>87120</xdr:rowOff>
    </xdr:from>
    <xdr:to>
      <xdr:col>5</xdr:col>
      <xdr:colOff>387000</xdr:colOff>
      <xdr:row>103</xdr:row>
      <xdr:rowOff>144000</xdr:rowOff>
    </xdr:to>
    <xdr:sp>
      <xdr:nvSpPr>
        <xdr:cNvPr id="24" name=""/>
        <xdr:cNvSpPr/>
      </xdr:nvSpPr>
      <xdr:spPr>
        <a:xfrm>
          <a:off x="4003200" y="11255400"/>
          <a:ext cx="1125360" cy="2533320"/>
        </a:xfrm>
        <a:prstGeom prst="rect">
          <a:avLst/>
        </a:prstGeom>
        <a:solidFill>
          <a:srgbClr val="ffffff"/>
        </a:solidFill>
        <a:ln w="1">
          <a:solidFill>
            <a:srgbClr val="008000"/>
          </a:solidFill>
        </a:ln>
      </xdr:spPr>
      <xdr:style>
        <a:lnRef idx="0"/>
        <a:fillRef idx="0"/>
        <a:effectRef idx="0"/>
        <a:fontRef idx="minor"/>
      </xdr:style>
      <xdr:txBody>
        <a:bodyPr horzOverflow="clip" vertOverflow="clip" lIns="90000" rIns="90000" tIns="45000" bIns="45000" anchor="t">
          <a:noAutofit/>
        </a:bodyPr>
        <a:p>
          <a:r>
            <a:rPr b="0" lang="fr-CA" sz="1100" spc="-1" strike="noStrike">
              <a:latin typeface="Times New Roman"/>
            </a:rPr>
            <a:t>This shape represents a table slicer. Table slicers are not supported in this version of Excel.</a:t>
          </a:r>
          <a:endParaRPr b="0" lang="fr-CA" sz="1100" spc="-1" strike="noStrike">
            <a:latin typeface="Times New Roman"/>
          </a:endParaRPr>
        </a:p>
        <a:p>
          <a:endParaRPr b="0" lang="fr-CA" sz="1100" spc="-1" strike="noStrike">
            <a:latin typeface="Times New Roman"/>
          </a:endParaRPr>
        </a:p>
        <a:p>
          <a:pPr>
            <a:lnSpc>
              <a:spcPct val="100000"/>
            </a:lnSpc>
          </a:pPr>
          <a:r>
            <a:rPr b="0" lang="fr-CA" sz="1100" spc="-1" strike="noStrike">
              <a:latin typeface="Times New Roman"/>
            </a:rPr>
            <a:t>If the shape was modified in an earlier version of Excel, or if the workbook was saved in Excel 2007 or earlier, the slicer can't be used.</a:t>
          </a:r>
          <a:endParaRPr b="0" lang="fr-CA" sz="1100" spc="-1" strike="noStrike">
            <a:latin typeface="Times New Roman"/>
          </a:endParaRPr>
        </a:p>
      </xdr:txBody>
    </xdr:sp>
    <xdr:clientData/>
  </xdr:twoCellAnchor>
  <xdr:twoCellAnchor editAs="absolute">
    <xdr:from>
      <xdr:col>3</xdr:col>
      <xdr:colOff>577800</xdr:colOff>
      <xdr:row>90</xdr:row>
      <xdr:rowOff>87120</xdr:rowOff>
    </xdr:from>
    <xdr:to>
      <xdr:col>3</xdr:col>
      <xdr:colOff>863280</xdr:colOff>
      <xdr:row>103</xdr:row>
      <xdr:rowOff>144000</xdr:rowOff>
    </xdr:to>
    <xdr:sp>
      <xdr:nvSpPr>
        <xdr:cNvPr id="25" name=""/>
        <xdr:cNvSpPr/>
      </xdr:nvSpPr>
      <xdr:spPr>
        <a:xfrm>
          <a:off x="3628440" y="11255400"/>
          <a:ext cx="285480" cy="2533320"/>
        </a:xfrm>
        <a:prstGeom prst="rect">
          <a:avLst/>
        </a:prstGeom>
        <a:solidFill>
          <a:srgbClr val="ffffff"/>
        </a:solidFill>
        <a:ln w="1">
          <a:solidFill>
            <a:srgbClr val="008000"/>
          </a:solidFill>
        </a:ln>
      </xdr:spPr>
      <xdr:style>
        <a:lnRef idx="0"/>
        <a:fillRef idx="0"/>
        <a:effectRef idx="0"/>
        <a:fontRef idx="minor"/>
      </xdr:style>
      <xdr:txBody>
        <a:bodyPr horzOverflow="clip" vertOverflow="clip" lIns="90000" rIns="90000" tIns="45000" bIns="45000" anchor="t">
          <a:noAutofit/>
        </a:bodyPr>
        <a:p>
          <a:r>
            <a:rPr b="0" lang="fr-CA" sz="1100" spc="-1" strike="noStrike">
              <a:latin typeface="Times New Roman"/>
            </a:rPr>
            <a:t>This shape represents a table slicer. Table slicers are not supported in this version of Excel.</a:t>
          </a:r>
          <a:endParaRPr b="0" lang="fr-CA" sz="1100" spc="-1" strike="noStrike">
            <a:latin typeface="Times New Roman"/>
          </a:endParaRPr>
        </a:p>
        <a:p>
          <a:endParaRPr b="0" lang="fr-CA" sz="1100" spc="-1" strike="noStrike">
            <a:latin typeface="Times New Roman"/>
          </a:endParaRPr>
        </a:p>
        <a:p>
          <a:pPr>
            <a:lnSpc>
              <a:spcPct val="100000"/>
            </a:lnSpc>
          </a:pPr>
          <a:r>
            <a:rPr b="0" lang="fr-CA" sz="1100" spc="-1" strike="noStrike">
              <a:latin typeface="Times New Roman"/>
            </a:rPr>
            <a:t>If the shape was modified in an earlier version of Excel, or if the workbook was saved in Excel 2007 or earlier, the slicer can't be used.</a:t>
          </a:r>
          <a:endParaRPr b="0" lang="fr-CA" sz="1100" spc="-1" strike="noStrike">
            <a:latin typeface="Times New Roman"/>
          </a:endParaRPr>
        </a:p>
      </xdr:txBody>
    </xdr:sp>
    <xdr:clientData/>
  </xdr:twoCellAnchor>
  <xdr:twoCellAnchor editAs="absolute">
    <xdr:from>
      <xdr:col>5</xdr:col>
      <xdr:colOff>387360</xdr:colOff>
      <xdr:row>90</xdr:row>
      <xdr:rowOff>87120</xdr:rowOff>
    </xdr:from>
    <xdr:to>
      <xdr:col>5</xdr:col>
      <xdr:colOff>996480</xdr:colOff>
      <xdr:row>103</xdr:row>
      <xdr:rowOff>124920</xdr:rowOff>
    </xdr:to>
    <xdr:sp>
      <xdr:nvSpPr>
        <xdr:cNvPr id="26" name=""/>
        <xdr:cNvSpPr/>
      </xdr:nvSpPr>
      <xdr:spPr>
        <a:xfrm>
          <a:off x="5128920" y="11255400"/>
          <a:ext cx="609120" cy="2514240"/>
        </a:xfrm>
        <a:prstGeom prst="rect">
          <a:avLst/>
        </a:prstGeom>
        <a:solidFill>
          <a:srgbClr val="ffffff"/>
        </a:solidFill>
        <a:ln w="1">
          <a:solidFill>
            <a:srgbClr val="008000"/>
          </a:solidFill>
        </a:ln>
      </xdr:spPr>
      <xdr:style>
        <a:lnRef idx="0"/>
        <a:fillRef idx="0"/>
        <a:effectRef idx="0"/>
        <a:fontRef idx="minor"/>
      </xdr:style>
      <xdr:txBody>
        <a:bodyPr horzOverflow="clip" vertOverflow="clip" lIns="90000" rIns="90000" tIns="45000" bIns="45000" anchor="t">
          <a:noAutofit/>
        </a:bodyPr>
        <a:p>
          <a:r>
            <a:rPr b="0" lang="fr-CA" sz="1100" spc="-1" strike="noStrike">
              <a:latin typeface="Times New Roman"/>
            </a:rPr>
            <a:t>This shape represents a table slicer. Table slicers are not supported in this version of Excel.</a:t>
          </a:r>
          <a:endParaRPr b="0" lang="fr-CA" sz="1100" spc="-1" strike="noStrike">
            <a:latin typeface="Times New Roman"/>
          </a:endParaRPr>
        </a:p>
        <a:p>
          <a:endParaRPr b="0" lang="fr-CA" sz="1100" spc="-1" strike="noStrike">
            <a:latin typeface="Times New Roman"/>
          </a:endParaRPr>
        </a:p>
        <a:p>
          <a:pPr>
            <a:lnSpc>
              <a:spcPct val="100000"/>
            </a:lnSpc>
          </a:pPr>
          <a:r>
            <a:rPr b="0" lang="fr-CA" sz="1100" spc="-1" strike="noStrike">
              <a:latin typeface="Times New Roman"/>
            </a:rPr>
            <a:t>If the shape was modified in an earlier version of Excel, or if the workbook was saved in Excel 2007 or earlier, the slicer can't be used.</a:t>
          </a:r>
          <a:endParaRPr b="0" lang="fr-CA" sz="1100" spc="-1" strike="noStrike">
            <a:latin typeface="Times New Roman"/>
          </a:endParaRPr>
        </a:p>
      </xdr:txBody>
    </xdr:sp>
    <xdr:clientData/>
  </xdr:twoCellAnchor>
  <xdr:twoCellAnchor editAs="absolute">
    <xdr:from>
      <xdr:col>6</xdr:col>
      <xdr:colOff>549360</xdr:colOff>
      <xdr:row>90</xdr:row>
      <xdr:rowOff>68040</xdr:rowOff>
    </xdr:from>
    <xdr:to>
      <xdr:col>12</xdr:col>
      <xdr:colOff>253800</xdr:colOff>
      <xdr:row>103</xdr:row>
      <xdr:rowOff>105840</xdr:rowOff>
    </xdr:to>
    <xdr:sp>
      <xdr:nvSpPr>
        <xdr:cNvPr id="27" name=""/>
        <xdr:cNvSpPr/>
      </xdr:nvSpPr>
      <xdr:spPr>
        <a:xfrm>
          <a:off x="6630120" y="11236320"/>
          <a:ext cx="4788720" cy="2514240"/>
        </a:xfrm>
        <a:prstGeom prst="rect">
          <a:avLst/>
        </a:prstGeom>
        <a:solidFill>
          <a:srgbClr val="ffffff"/>
        </a:solidFill>
        <a:ln w="1">
          <a:solidFill>
            <a:srgbClr val="008000"/>
          </a:solidFill>
        </a:ln>
      </xdr:spPr>
      <xdr:style>
        <a:lnRef idx="0"/>
        <a:fillRef idx="0"/>
        <a:effectRef idx="0"/>
        <a:fontRef idx="minor"/>
      </xdr:style>
      <xdr:txBody>
        <a:bodyPr horzOverflow="clip" vertOverflow="clip" lIns="90000" rIns="90000" tIns="45000" bIns="45000" anchor="t">
          <a:noAutofit/>
        </a:bodyPr>
        <a:p>
          <a:r>
            <a:rPr b="0" lang="fr-CA" sz="1100" spc="-1" strike="noStrike">
              <a:latin typeface="Times New Roman"/>
            </a:rPr>
            <a:t>This shape represents a table slicer. Table slicers are not supported in this version of Excel.</a:t>
          </a:r>
          <a:endParaRPr b="0" lang="fr-CA" sz="1100" spc="-1" strike="noStrike">
            <a:latin typeface="Times New Roman"/>
          </a:endParaRPr>
        </a:p>
        <a:p>
          <a:endParaRPr b="0" lang="fr-CA" sz="1100" spc="-1" strike="noStrike">
            <a:latin typeface="Times New Roman"/>
          </a:endParaRPr>
        </a:p>
        <a:p>
          <a:pPr>
            <a:lnSpc>
              <a:spcPct val="100000"/>
            </a:lnSpc>
          </a:pPr>
          <a:r>
            <a:rPr b="0" lang="fr-CA" sz="1100" spc="-1" strike="noStrike">
              <a:latin typeface="Times New Roman"/>
            </a:rPr>
            <a:t>If the shape was modified in an earlier version of Excel, or if the workbook was saved in Excel 2007 or earlier, the slicer can't be used.</a:t>
          </a:r>
          <a:endParaRPr b="0" lang="fr-CA" sz="1100" spc="-1" strike="noStrike">
            <a:latin typeface="Times New Roman"/>
          </a:endParaRP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absolute">
    <xdr:from>
      <xdr:col>2</xdr:col>
      <xdr:colOff>254160</xdr:colOff>
      <xdr:row>90</xdr:row>
      <xdr:rowOff>87120</xdr:rowOff>
    </xdr:from>
    <xdr:to>
      <xdr:col>2</xdr:col>
      <xdr:colOff>787320</xdr:colOff>
      <xdr:row>104</xdr:row>
      <xdr:rowOff>29160</xdr:rowOff>
    </xdr:to>
    <xdr:sp>
      <xdr:nvSpPr>
        <xdr:cNvPr id="28" name=""/>
        <xdr:cNvSpPr/>
      </xdr:nvSpPr>
      <xdr:spPr>
        <a:xfrm>
          <a:off x="2015640" y="11255400"/>
          <a:ext cx="533160" cy="2609280"/>
        </a:xfrm>
        <a:prstGeom prst="rect">
          <a:avLst/>
        </a:prstGeom>
        <a:solidFill>
          <a:srgbClr val="ffffff"/>
        </a:solidFill>
        <a:ln w="1">
          <a:solidFill>
            <a:srgbClr val="008000"/>
          </a:solidFill>
        </a:ln>
      </xdr:spPr>
      <xdr:style>
        <a:lnRef idx="0"/>
        <a:fillRef idx="0"/>
        <a:effectRef idx="0"/>
        <a:fontRef idx="minor"/>
      </xdr:style>
      <xdr:txBody>
        <a:bodyPr horzOverflow="clip" vertOverflow="clip" lIns="90000" rIns="90000" tIns="45000" bIns="45000" anchor="t">
          <a:noAutofit/>
        </a:bodyPr>
        <a:p>
          <a:r>
            <a:rPr b="0" lang="fr-CA" sz="1100" spc="-1" strike="noStrike">
              <a:latin typeface="Times New Roman"/>
            </a:rPr>
            <a:t>This shape represents a table slicer. Table slicers are not supported in this version of Excel.</a:t>
          </a:r>
          <a:endParaRPr b="0" lang="fr-CA" sz="1100" spc="-1" strike="noStrike">
            <a:latin typeface="Times New Roman"/>
          </a:endParaRPr>
        </a:p>
        <a:p>
          <a:endParaRPr b="0" lang="fr-CA" sz="1100" spc="-1" strike="noStrike">
            <a:latin typeface="Times New Roman"/>
          </a:endParaRPr>
        </a:p>
        <a:p>
          <a:pPr>
            <a:lnSpc>
              <a:spcPct val="100000"/>
            </a:lnSpc>
          </a:pPr>
          <a:r>
            <a:rPr b="0" lang="fr-CA" sz="1100" spc="-1" strike="noStrike">
              <a:latin typeface="Times New Roman"/>
            </a:rPr>
            <a:t>If the shape was modified in an earlier version of Excel, or if the workbook was saved in Excel 2007 or earlier, the slicer can't be used.</a:t>
          </a:r>
          <a:endParaRPr b="0" lang="fr-CA" sz="1100" spc="-1" strike="noStrike">
            <a:latin typeface="Times New Roman"/>
          </a:endParaRPr>
        </a:p>
      </xdr:txBody>
    </xdr:sp>
    <xdr:clientData/>
  </xdr:twoCellAnchor>
  <xdr:twoCellAnchor editAs="absolute">
    <xdr:from>
      <xdr:col>5</xdr:col>
      <xdr:colOff>1015920</xdr:colOff>
      <xdr:row>90</xdr:row>
      <xdr:rowOff>87120</xdr:rowOff>
    </xdr:from>
    <xdr:to>
      <xdr:col>6</xdr:col>
      <xdr:colOff>491760</xdr:colOff>
      <xdr:row>99</xdr:row>
      <xdr:rowOff>67680</xdr:rowOff>
    </xdr:to>
    <xdr:sp>
      <xdr:nvSpPr>
        <xdr:cNvPr id="29" name=""/>
        <xdr:cNvSpPr/>
      </xdr:nvSpPr>
      <xdr:spPr>
        <a:xfrm>
          <a:off x="5757480" y="11255400"/>
          <a:ext cx="815040" cy="1695240"/>
        </a:xfrm>
        <a:prstGeom prst="rect">
          <a:avLst/>
        </a:prstGeom>
        <a:solidFill>
          <a:srgbClr val="ffffff"/>
        </a:solidFill>
        <a:ln w="1">
          <a:solidFill>
            <a:srgbClr val="008000"/>
          </a:solidFill>
        </a:ln>
      </xdr:spPr>
      <xdr:style>
        <a:lnRef idx="0"/>
        <a:fillRef idx="0"/>
        <a:effectRef idx="0"/>
        <a:fontRef idx="minor"/>
      </xdr:style>
      <xdr:txBody>
        <a:bodyPr horzOverflow="clip" vertOverflow="clip" lIns="90000" rIns="90000" tIns="45000" bIns="45000" anchor="t">
          <a:noAutofit/>
        </a:bodyPr>
        <a:p>
          <a:r>
            <a:rPr b="0" lang="fr-CA" sz="1100" spc="-1" strike="noStrike">
              <a:latin typeface="Times New Roman"/>
            </a:rPr>
            <a:t>This shape represents a table slicer. Table slicers are not supported in this version of Excel.</a:t>
          </a:r>
          <a:endParaRPr b="0" lang="fr-CA" sz="1100" spc="-1" strike="noStrike">
            <a:latin typeface="Times New Roman"/>
          </a:endParaRPr>
        </a:p>
        <a:p>
          <a:endParaRPr b="0" lang="fr-CA" sz="1100" spc="-1" strike="noStrike">
            <a:latin typeface="Times New Roman"/>
          </a:endParaRPr>
        </a:p>
        <a:p>
          <a:pPr>
            <a:lnSpc>
              <a:spcPct val="100000"/>
            </a:lnSpc>
          </a:pPr>
          <a:r>
            <a:rPr b="0" lang="fr-CA" sz="1100" spc="-1" strike="noStrike">
              <a:latin typeface="Times New Roman"/>
            </a:rPr>
            <a:t>If the shape was modified in an earlier version of Excel, or if the workbook was saved in Excel 2007 or earlier, the slicer can't be used.</a:t>
          </a:r>
          <a:endParaRPr b="0" lang="fr-CA" sz="1100" spc="-1" strike="noStrike">
            <a:latin typeface="Times New Roman"/>
          </a:endParaRPr>
        </a:p>
      </xdr:txBody>
    </xdr:sp>
    <xdr:clientData/>
  </xdr:twoCellAnchor>
  <xdr:twoCellAnchor editAs="absolute">
    <xdr:from>
      <xdr:col>2</xdr:col>
      <xdr:colOff>844560</xdr:colOff>
      <xdr:row>90</xdr:row>
      <xdr:rowOff>87120</xdr:rowOff>
    </xdr:from>
    <xdr:to>
      <xdr:col>3</xdr:col>
      <xdr:colOff>539280</xdr:colOff>
      <xdr:row>103</xdr:row>
      <xdr:rowOff>124920</xdr:rowOff>
    </xdr:to>
    <xdr:sp>
      <xdr:nvSpPr>
        <xdr:cNvPr id="30" name=""/>
        <xdr:cNvSpPr/>
      </xdr:nvSpPr>
      <xdr:spPr>
        <a:xfrm>
          <a:off x="2606040" y="11255400"/>
          <a:ext cx="983880" cy="2514240"/>
        </a:xfrm>
        <a:prstGeom prst="rect">
          <a:avLst/>
        </a:prstGeom>
        <a:solidFill>
          <a:srgbClr val="ffffff"/>
        </a:solidFill>
        <a:ln w="1">
          <a:solidFill>
            <a:srgbClr val="008000"/>
          </a:solidFill>
        </a:ln>
      </xdr:spPr>
      <xdr:style>
        <a:lnRef idx="0"/>
        <a:fillRef idx="0"/>
        <a:effectRef idx="0"/>
        <a:fontRef idx="minor"/>
      </xdr:style>
      <xdr:txBody>
        <a:bodyPr horzOverflow="clip" vertOverflow="clip" lIns="90000" rIns="90000" tIns="45000" bIns="45000" anchor="t">
          <a:noAutofit/>
        </a:bodyPr>
        <a:p>
          <a:r>
            <a:rPr b="0" lang="fr-CA" sz="1100" spc="-1" strike="noStrike">
              <a:latin typeface="Times New Roman"/>
            </a:rPr>
            <a:t>This shape represents a table slicer. Table slicers are not supported in this version of Excel.</a:t>
          </a:r>
          <a:endParaRPr b="0" lang="fr-CA" sz="1100" spc="-1" strike="noStrike">
            <a:latin typeface="Times New Roman"/>
          </a:endParaRPr>
        </a:p>
        <a:p>
          <a:endParaRPr b="0" lang="fr-CA" sz="1100" spc="-1" strike="noStrike">
            <a:latin typeface="Times New Roman"/>
          </a:endParaRPr>
        </a:p>
        <a:p>
          <a:pPr>
            <a:lnSpc>
              <a:spcPct val="100000"/>
            </a:lnSpc>
          </a:pPr>
          <a:r>
            <a:rPr b="0" lang="fr-CA" sz="1100" spc="-1" strike="noStrike">
              <a:latin typeface="Times New Roman"/>
            </a:rPr>
            <a:t>If the shape was modified in an earlier version of Excel, or if the workbook was saved in Excel 2007 or earlier, the slicer can't be used.</a:t>
          </a:r>
          <a:endParaRPr b="0" lang="fr-CA" sz="1100" spc="-1" strike="noStrike">
            <a:latin typeface="Times New Roman"/>
          </a:endParaRPr>
        </a:p>
      </xdr:txBody>
    </xdr:sp>
    <xdr:clientData/>
  </xdr:twoCellAnchor>
  <xdr:twoCellAnchor editAs="absolute">
    <xdr:from>
      <xdr:col>4</xdr:col>
      <xdr:colOff>6480</xdr:colOff>
      <xdr:row>90</xdr:row>
      <xdr:rowOff>87120</xdr:rowOff>
    </xdr:from>
    <xdr:to>
      <xdr:col>5</xdr:col>
      <xdr:colOff>387000</xdr:colOff>
      <xdr:row>103</xdr:row>
      <xdr:rowOff>144000</xdr:rowOff>
    </xdr:to>
    <xdr:sp>
      <xdr:nvSpPr>
        <xdr:cNvPr id="31" name=""/>
        <xdr:cNvSpPr/>
      </xdr:nvSpPr>
      <xdr:spPr>
        <a:xfrm>
          <a:off x="4003200" y="11255400"/>
          <a:ext cx="1125360" cy="2533320"/>
        </a:xfrm>
        <a:prstGeom prst="rect">
          <a:avLst/>
        </a:prstGeom>
        <a:solidFill>
          <a:srgbClr val="ffffff"/>
        </a:solidFill>
        <a:ln w="1">
          <a:solidFill>
            <a:srgbClr val="008000"/>
          </a:solidFill>
        </a:ln>
      </xdr:spPr>
      <xdr:style>
        <a:lnRef idx="0"/>
        <a:fillRef idx="0"/>
        <a:effectRef idx="0"/>
        <a:fontRef idx="minor"/>
      </xdr:style>
      <xdr:txBody>
        <a:bodyPr horzOverflow="clip" vertOverflow="clip" lIns="90000" rIns="90000" tIns="45000" bIns="45000" anchor="t">
          <a:noAutofit/>
        </a:bodyPr>
        <a:p>
          <a:r>
            <a:rPr b="0" lang="fr-CA" sz="1100" spc="-1" strike="noStrike">
              <a:latin typeface="Times New Roman"/>
            </a:rPr>
            <a:t>This shape represents a table slicer. Table slicers are not supported in this version of Excel.</a:t>
          </a:r>
          <a:endParaRPr b="0" lang="fr-CA" sz="1100" spc="-1" strike="noStrike">
            <a:latin typeface="Times New Roman"/>
          </a:endParaRPr>
        </a:p>
        <a:p>
          <a:endParaRPr b="0" lang="fr-CA" sz="1100" spc="-1" strike="noStrike">
            <a:latin typeface="Times New Roman"/>
          </a:endParaRPr>
        </a:p>
        <a:p>
          <a:pPr>
            <a:lnSpc>
              <a:spcPct val="100000"/>
            </a:lnSpc>
          </a:pPr>
          <a:r>
            <a:rPr b="0" lang="fr-CA" sz="1100" spc="-1" strike="noStrike">
              <a:latin typeface="Times New Roman"/>
            </a:rPr>
            <a:t>If the shape was modified in an earlier version of Excel, or if the workbook was saved in Excel 2007 or earlier, the slicer can't be used.</a:t>
          </a:r>
          <a:endParaRPr b="0" lang="fr-CA" sz="1100" spc="-1" strike="noStrike">
            <a:latin typeface="Times New Roman"/>
          </a:endParaRPr>
        </a:p>
      </xdr:txBody>
    </xdr:sp>
    <xdr:clientData/>
  </xdr:twoCellAnchor>
  <xdr:twoCellAnchor editAs="absolute">
    <xdr:from>
      <xdr:col>3</xdr:col>
      <xdr:colOff>577800</xdr:colOff>
      <xdr:row>90</xdr:row>
      <xdr:rowOff>87120</xdr:rowOff>
    </xdr:from>
    <xdr:to>
      <xdr:col>3</xdr:col>
      <xdr:colOff>863280</xdr:colOff>
      <xdr:row>103</xdr:row>
      <xdr:rowOff>144000</xdr:rowOff>
    </xdr:to>
    <xdr:sp>
      <xdr:nvSpPr>
        <xdr:cNvPr id="32" name=""/>
        <xdr:cNvSpPr/>
      </xdr:nvSpPr>
      <xdr:spPr>
        <a:xfrm>
          <a:off x="3628440" y="11255400"/>
          <a:ext cx="285480" cy="2533320"/>
        </a:xfrm>
        <a:prstGeom prst="rect">
          <a:avLst/>
        </a:prstGeom>
        <a:solidFill>
          <a:srgbClr val="ffffff"/>
        </a:solidFill>
        <a:ln w="1">
          <a:solidFill>
            <a:srgbClr val="008000"/>
          </a:solidFill>
        </a:ln>
      </xdr:spPr>
      <xdr:style>
        <a:lnRef idx="0"/>
        <a:fillRef idx="0"/>
        <a:effectRef idx="0"/>
        <a:fontRef idx="minor"/>
      </xdr:style>
      <xdr:txBody>
        <a:bodyPr horzOverflow="clip" vertOverflow="clip" lIns="90000" rIns="90000" tIns="45000" bIns="45000" anchor="t">
          <a:noAutofit/>
        </a:bodyPr>
        <a:p>
          <a:r>
            <a:rPr b="0" lang="fr-CA" sz="1100" spc="-1" strike="noStrike">
              <a:latin typeface="Times New Roman"/>
            </a:rPr>
            <a:t>This shape represents a table slicer. Table slicers are not supported in this version of Excel.</a:t>
          </a:r>
          <a:endParaRPr b="0" lang="fr-CA" sz="1100" spc="-1" strike="noStrike">
            <a:latin typeface="Times New Roman"/>
          </a:endParaRPr>
        </a:p>
        <a:p>
          <a:endParaRPr b="0" lang="fr-CA" sz="1100" spc="-1" strike="noStrike">
            <a:latin typeface="Times New Roman"/>
          </a:endParaRPr>
        </a:p>
        <a:p>
          <a:pPr>
            <a:lnSpc>
              <a:spcPct val="100000"/>
            </a:lnSpc>
          </a:pPr>
          <a:r>
            <a:rPr b="0" lang="fr-CA" sz="1100" spc="-1" strike="noStrike">
              <a:latin typeface="Times New Roman"/>
            </a:rPr>
            <a:t>If the shape was modified in an earlier version of Excel, or if the workbook was saved in Excel 2007 or earlier, the slicer can't be used.</a:t>
          </a:r>
          <a:endParaRPr b="0" lang="fr-CA" sz="1100" spc="-1" strike="noStrike">
            <a:latin typeface="Times New Roman"/>
          </a:endParaRPr>
        </a:p>
      </xdr:txBody>
    </xdr:sp>
    <xdr:clientData/>
  </xdr:twoCellAnchor>
  <xdr:twoCellAnchor editAs="absolute">
    <xdr:from>
      <xdr:col>5</xdr:col>
      <xdr:colOff>387360</xdr:colOff>
      <xdr:row>90</xdr:row>
      <xdr:rowOff>87120</xdr:rowOff>
    </xdr:from>
    <xdr:to>
      <xdr:col>5</xdr:col>
      <xdr:colOff>996480</xdr:colOff>
      <xdr:row>103</xdr:row>
      <xdr:rowOff>124920</xdr:rowOff>
    </xdr:to>
    <xdr:sp>
      <xdr:nvSpPr>
        <xdr:cNvPr id="33" name=""/>
        <xdr:cNvSpPr/>
      </xdr:nvSpPr>
      <xdr:spPr>
        <a:xfrm>
          <a:off x="5128920" y="11255400"/>
          <a:ext cx="609120" cy="2514240"/>
        </a:xfrm>
        <a:prstGeom prst="rect">
          <a:avLst/>
        </a:prstGeom>
        <a:solidFill>
          <a:srgbClr val="ffffff"/>
        </a:solidFill>
        <a:ln w="1">
          <a:solidFill>
            <a:srgbClr val="008000"/>
          </a:solidFill>
        </a:ln>
      </xdr:spPr>
      <xdr:style>
        <a:lnRef idx="0"/>
        <a:fillRef idx="0"/>
        <a:effectRef idx="0"/>
        <a:fontRef idx="minor"/>
      </xdr:style>
      <xdr:txBody>
        <a:bodyPr horzOverflow="clip" vertOverflow="clip" lIns="90000" rIns="90000" tIns="45000" bIns="45000" anchor="t">
          <a:noAutofit/>
        </a:bodyPr>
        <a:p>
          <a:r>
            <a:rPr b="0" lang="fr-CA" sz="1100" spc="-1" strike="noStrike">
              <a:latin typeface="Times New Roman"/>
            </a:rPr>
            <a:t>This shape represents a table slicer. Table slicers are not supported in this version of Excel.</a:t>
          </a:r>
          <a:endParaRPr b="0" lang="fr-CA" sz="1100" spc="-1" strike="noStrike">
            <a:latin typeface="Times New Roman"/>
          </a:endParaRPr>
        </a:p>
        <a:p>
          <a:endParaRPr b="0" lang="fr-CA" sz="1100" spc="-1" strike="noStrike">
            <a:latin typeface="Times New Roman"/>
          </a:endParaRPr>
        </a:p>
        <a:p>
          <a:pPr>
            <a:lnSpc>
              <a:spcPct val="100000"/>
            </a:lnSpc>
          </a:pPr>
          <a:r>
            <a:rPr b="0" lang="fr-CA" sz="1100" spc="-1" strike="noStrike">
              <a:latin typeface="Times New Roman"/>
            </a:rPr>
            <a:t>If the shape was modified in an earlier version of Excel, or if the workbook was saved in Excel 2007 or earlier, the slicer can't be used.</a:t>
          </a:r>
          <a:endParaRPr b="0" lang="fr-CA" sz="1100" spc="-1" strike="noStrike">
            <a:latin typeface="Times New Roman"/>
          </a:endParaRPr>
        </a:p>
      </xdr:txBody>
    </xdr:sp>
    <xdr:clientData/>
  </xdr:twoCellAnchor>
  <xdr:twoCellAnchor editAs="absolute">
    <xdr:from>
      <xdr:col>6</xdr:col>
      <xdr:colOff>549360</xdr:colOff>
      <xdr:row>90</xdr:row>
      <xdr:rowOff>68040</xdr:rowOff>
    </xdr:from>
    <xdr:to>
      <xdr:col>12</xdr:col>
      <xdr:colOff>253800</xdr:colOff>
      <xdr:row>103</xdr:row>
      <xdr:rowOff>105840</xdr:rowOff>
    </xdr:to>
    <xdr:sp>
      <xdr:nvSpPr>
        <xdr:cNvPr id="34" name=""/>
        <xdr:cNvSpPr/>
      </xdr:nvSpPr>
      <xdr:spPr>
        <a:xfrm>
          <a:off x="6630120" y="11236320"/>
          <a:ext cx="4788720" cy="2514240"/>
        </a:xfrm>
        <a:prstGeom prst="rect">
          <a:avLst/>
        </a:prstGeom>
        <a:solidFill>
          <a:srgbClr val="ffffff"/>
        </a:solidFill>
        <a:ln w="1">
          <a:solidFill>
            <a:srgbClr val="008000"/>
          </a:solidFill>
        </a:ln>
      </xdr:spPr>
      <xdr:style>
        <a:lnRef idx="0"/>
        <a:fillRef idx="0"/>
        <a:effectRef idx="0"/>
        <a:fontRef idx="minor"/>
      </xdr:style>
      <xdr:txBody>
        <a:bodyPr horzOverflow="clip" vertOverflow="clip" lIns="90000" rIns="90000" tIns="45000" bIns="45000" anchor="t">
          <a:noAutofit/>
        </a:bodyPr>
        <a:p>
          <a:r>
            <a:rPr b="0" lang="fr-CA" sz="1100" spc="-1" strike="noStrike">
              <a:latin typeface="Times New Roman"/>
            </a:rPr>
            <a:t>This shape represents a table slicer. Table slicers are not supported in this version of Excel.</a:t>
          </a:r>
          <a:endParaRPr b="0" lang="fr-CA" sz="1100" spc="-1" strike="noStrike">
            <a:latin typeface="Times New Roman"/>
          </a:endParaRPr>
        </a:p>
        <a:p>
          <a:endParaRPr b="0" lang="fr-CA" sz="1100" spc="-1" strike="noStrike">
            <a:latin typeface="Times New Roman"/>
          </a:endParaRPr>
        </a:p>
        <a:p>
          <a:pPr>
            <a:lnSpc>
              <a:spcPct val="100000"/>
            </a:lnSpc>
          </a:pPr>
          <a:r>
            <a:rPr b="0" lang="fr-CA" sz="1100" spc="-1" strike="noStrike">
              <a:latin typeface="Times New Roman"/>
            </a:rPr>
            <a:t>If the shape was modified in an earlier version of Excel, or if the workbook was saved in Excel 2007 or earlier, the slicer can't be used.</a:t>
          </a:r>
          <a:endParaRPr b="0" lang="fr-CA" sz="1100" spc="-1" strike="noStrike">
            <a:latin typeface="Times New Roman"/>
          </a:endParaRPr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absolute">
    <xdr:from>
      <xdr:col>2</xdr:col>
      <xdr:colOff>254160</xdr:colOff>
      <xdr:row>90</xdr:row>
      <xdr:rowOff>87120</xdr:rowOff>
    </xdr:from>
    <xdr:to>
      <xdr:col>2</xdr:col>
      <xdr:colOff>787320</xdr:colOff>
      <xdr:row>104</xdr:row>
      <xdr:rowOff>29160</xdr:rowOff>
    </xdr:to>
    <xdr:sp>
      <xdr:nvSpPr>
        <xdr:cNvPr id="35" name=""/>
        <xdr:cNvSpPr/>
      </xdr:nvSpPr>
      <xdr:spPr>
        <a:xfrm>
          <a:off x="2015640" y="11255400"/>
          <a:ext cx="533160" cy="2609280"/>
        </a:xfrm>
        <a:prstGeom prst="rect">
          <a:avLst/>
        </a:prstGeom>
        <a:solidFill>
          <a:srgbClr val="ffffff"/>
        </a:solidFill>
        <a:ln w="1">
          <a:solidFill>
            <a:srgbClr val="008000"/>
          </a:solidFill>
        </a:ln>
      </xdr:spPr>
      <xdr:style>
        <a:lnRef idx="0"/>
        <a:fillRef idx="0"/>
        <a:effectRef idx="0"/>
        <a:fontRef idx="minor"/>
      </xdr:style>
      <xdr:txBody>
        <a:bodyPr horzOverflow="clip" vertOverflow="clip" lIns="90000" rIns="90000" tIns="45000" bIns="45000" anchor="t">
          <a:noAutofit/>
        </a:bodyPr>
        <a:p>
          <a:r>
            <a:rPr b="0" lang="fr-CA" sz="1100" spc="-1" strike="noStrike">
              <a:latin typeface="Times New Roman"/>
            </a:rPr>
            <a:t>This shape represents a table slicer. Table slicers are not supported in this version of Excel.</a:t>
          </a:r>
          <a:endParaRPr b="0" lang="fr-CA" sz="1100" spc="-1" strike="noStrike">
            <a:latin typeface="Times New Roman"/>
          </a:endParaRPr>
        </a:p>
        <a:p>
          <a:endParaRPr b="0" lang="fr-CA" sz="1100" spc="-1" strike="noStrike">
            <a:latin typeface="Times New Roman"/>
          </a:endParaRPr>
        </a:p>
        <a:p>
          <a:pPr>
            <a:lnSpc>
              <a:spcPct val="100000"/>
            </a:lnSpc>
          </a:pPr>
          <a:r>
            <a:rPr b="0" lang="fr-CA" sz="1100" spc="-1" strike="noStrike">
              <a:latin typeface="Times New Roman"/>
            </a:rPr>
            <a:t>If the shape was modified in an earlier version of Excel, or if the workbook was saved in Excel 2007 or earlier, the slicer can't be used.</a:t>
          </a:r>
          <a:endParaRPr b="0" lang="fr-CA" sz="1100" spc="-1" strike="noStrike">
            <a:latin typeface="Times New Roman"/>
          </a:endParaRPr>
        </a:p>
      </xdr:txBody>
    </xdr:sp>
    <xdr:clientData/>
  </xdr:twoCellAnchor>
  <xdr:twoCellAnchor editAs="absolute">
    <xdr:from>
      <xdr:col>5</xdr:col>
      <xdr:colOff>1015920</xdr:colOff>
      <xdr:row>90</xdr:row>
      <xdr:rowOff>87120</xdr:rowOff>
    </xdr:from>
    <xdr:to>
      <xdr:col>6</xdr:col>
      <xdr:colOff>491760</xdr:colOff>
      <xdr:row>99</xdr:row>
      <xdr:rowOff>67680</xdr:rowOff>
    </xdr:to>
    <xdr:sp>
      <xdr:nvSpPr>
        <xdr:cNvPr id="36" name=""/>
        <xdr:cNvSpPr/>
      </xdr:nvSpPr>
      <xdr:spPr>
        <a:xfrm>
          <a:off x="5757480" y="11255400"/>
          <a:ext cx="815040" cy="1695240"/>
        </a:xfrm>
        <a:prstGeom prst="rect">
          <a:avLst/>
        </a:prstGeom>
        <a:solidFill>
          <a:srgbClr val="ffffff"/>
        </a:solidFill>
        <a:ln w="1">
          <a:solidFill>
            <a:srgbClr val="008000"/>
          </a:solidFill>
        </a:ln>
      </xdr:spPr>
      <xdr:style>
        <a:lnRef idx="0"/>
        <a:fillRef idx="0"/>
        <a:effectRef idx="0"/>
        <a:fontRef idx="minor"/>
      </xdr:style>
      <xdr:txBody>
        <a:bodyPr horzOverflow="clip" vertOverflow="clip" lIns="90000" rIns="90000" tIns="45000" bIns="45000" anchor="t">
          <a:noAutofit/>
        </a:bodyPr>
        <a:p>
          <a:r>
            <a:rPr b="0" lang="fr-CA" sz="1100" spc="-1" strike="noStrike">
              <a:latin typeface="Times New Roman"/>
            </a:rPr>
            <a:t>This shape represents a table slicer. Table slicers are not supported in this version of Excel.</a:t>
          </a:r>
          <a:endParaRPr b="0" lang="fr-CA" sz="1100" spc="-1" strike="noStrike">
            <a:latin typeface="Times New Roman"/>
          </a:endParaRPr>
        </a:p>
        <a:p>
          <a:endParaRPr b="0" lang="fr-CA" sz="1100" spc="-1" strike="noStrike">
            <a:latin typeface="Times New Roman"/>
          </a:endParaRPr>
        </a:p>
        <a:p>
          <a:pPr>
            <a:lnSpc>
              <a:spcPct val="100000"/>
            </a:lnSpc>
          </a:pPr>
          <a:r>
            <a:rPr b="0" lang="fr-CA" sz="1100" spc="-1" strike="noStrike">
              <a:latin typeface="Times New Roman"/>
            </a:rPr>
            <a:t>If the shape was modified in an earlier version of Excel, or if the workbook was saved in Excel 2007 or earlier, the slicer can't be used.</a:t>
          </a:r>
          <a:endParaRPr b="0" lang="fr-CA" sz="1100" spc="-1" strike="noStrike">
            <a:latin typeface="Times New Roman"/>
          </a:endParaRPr>
        </a:p>
      </xdr:txBody>
    </xdr:sp>
    <xdr:clientData/>
  </xdr:twoCellAnchor>
  <xdr:twoCellAnchor editAs="absolute">
    <xdr:from>
      <xdr:col>2</xdr:col>
      <xdr:colOff>844560</xdr:colOff>
      <xdr:row>90</xdr:row>
      <xdr:rowOff>87120</xdr:rowOff>
    </xdr:from>
    <xdr:to>
      <xdr:col>3</xdr:col>
      <xdr:colOff>539280</xdr:colOff>
      <xdr:row>103</xdr:row>
      <xdr:rowOff>124920</xdr:rowOff>
    </xdr:to>
    <xdr:sp>
      <xdr:nvSpPr>
        <xdr:cNvPr id="37" name=""/>
        <xdr:cNvSpPr/>
      </xdr:nvSpPr>
      <xdr:spPr>
        <a:xfrm>
          <a:off x="2606040" y="11255400"/>
          <a:ext cx="983880" cy="2514240"/>
        </a:xfrm>
        <a:prstGeom prst="rect">
          <a:avLst/>
        </a:prstGeom>
        <a:solidFill>
          <a:srgbClr val="ffffff"/>
        </a:solidFill>
        <a:ln w="1">
          <a:solidFill>
            <a:srgbClr val="008000"/>
          </a:solidFill>
        </a:ln>
      </xdr:spPr>
      <xdr:style>
        <a:lnRef idx="0"/>
        <a:fillRef idx="0"/>
        <a:effectRef idx="0"/>
        <a:fontRef idx="minor"/>
      </xdr:style>
      <xdr:txBody>
        <a:bodyPr horzOverflow="clip" vertOverflow="clip" lIns="90000" rIns="90000" tIns="45000" bIns="45000" anchor="t">
          <a:noAutofit/>
        </a:bodyPr>
        <a:p>
          <a:r>
            <a:rPr b="0" lang="fr-CA" sz="1100" spc="-1" strike="noStrike">
              <a:latin typeface="Times New Roman"/>
            </a:rPr>
            <a:t>This shape represents a table slicer. Table slicers are not supported in this version of Excel.</a:t>
          </a:r>
          <a:endParaRPr b="0" lang="fr-CA" sz="1100" spc="-1" strike="noStrike">
            <a:latin typeface="Times New Roman"/>
          </a:endParaRPr>
        </a:p>
        <a:p>
          <a:endParaRPr b="0" lang="fr-CA" sz="1100" spc="-1" strike="noStrike">
            <a:latin typeface="Times New Roman"/>
          </a:endParaRPr>
        </a:p>
        <a:p>
          <a:pPr>
            <a:lnSpc>
              <a:spcPct val="100000"/>
            </a:lnSpc>
          </a:pPr>
          <a:r>
            <a:rPr b="0" lang="fr-CA" sz="1100" spc="-1" strike="noStrike">
              <a:latin typeface="Times New Roman"/>
            </a:rPr>
            <a:t>If the shape was modified in an earlier version of Excel, or if the workbook was saved in Excel 2007 or earlier, the slicer can't be used.</a:t>
          </a:r>
          <a:endParaRPr b="0" lang="fr-CA" sz="1100" spc="-1" strike="noStrike">
            <a:latin typeface="Times New Roman"/>
          </a:endParaRPr>
        </a:p>
      </xdr:txBody>
    </xdr:sp>
    <xdr:clientData/>
  </xdr:twoCellAnchor>
  <xdr:twoCellAnchor editAs="absolute">
    <xdr:from>
      <xdr:col>4</xdr:col>
      <xdr:colOff>6480</xdr:colOff>
      <xdr:row>90</xdr:row>
      <xdr:rowOff>87120</xdr:rowOff>
    </xdr:from>
    <xdr:to>
      <xdr:col>5</xdr:col>
      <xdr:colOff>387000</xdr:colOff>
      <xdr:row>103</xdr:row>
      <xdr:rowOff>144000</xdr:rowOff>
    </xdr:to>
    <xdr:sp>
      <xdr:nvSpPr>
        <xdr:cNvPr id="38" name=""/>
        <xdr:cNvSpPr/>
      </xdr:nvSpPr>
      <xdr:spPr>
        <a:xfrm>
          <a:off x="4003200" y="11255400"/>
          <a:ext cx="1125360" cy="2533320"/>
        </a:xfrm>
        <a:prstGeom prst="rect">
          <a:avLst/>
        </a:prstGeom>
        <a:solidFill>
          <a:srgbClr val="ffffff"/>
        </a:solidFill>
        <a:ln w="1">
          <a:solidFill>
            <a:srgbClr val="008000"/>
          </a:solidFill>
        </a:ln>
      </xdr:spPr>
      <xdr:style>
        <a:lnRef idx="0"/>
        <a:fillRef idx="0"/>
        <a:effectRef idx="0"/>
        <a:fontRef idx="minor"/>
      </xdr:style>
      <xdr:txBody>
        <a:bodyPr horzOverflow="clip" vertOverflow="clip" lIns="90000" rIns="90000" tIns="45000" bIns="45000" anchor="t">
          <a:noAutofit/>
        </a:bodyPr>
        <a:p>
          <a:r>
            <a:rPr b="0" lang="fr-CA" sz="1100" spc="-1" strike="noStrike">
              <a:latin typeface="Times New Roman"/>
            </a:rPr>
            <a:t>This shape represents a table slicer. Table slicers are not supported in this version of Excel.</a:t>
          </a:r>
          <a:endParaRPr b="0" lang="fr-CA" sz="1100" spc="-1" strike="noStrike">
            <a:latin typeface="Times New Roman"/>
          </a:endParaRPr>
        </a:p>
        <a:p>
          <a:endParaRPr b="0" lang="fr-CA" sz="1100" spc="-1" strike="noStrike">
            <a:latin typeface="Times New Roman"/>
          </a:endParaRPr>
        </a:p>
        <a:p>
          <a:pPr>
            <a:lnSpc>
              <a:spcPct val="100000"/>
            </a:lnSpc>
          </a:pPr>
          <a:r>
            <a:rPr b="0" lang="fr-CA" sz="1100" spc="-1" strike="noStrike">
              <a:latin typeface="Times New Roman"/>
            </a:rPr>
            <a:t>If the shape was modified in an earlier version of Excel, or if the workbook was saved in Excel 2007 or earlier, the slicer can't be used.</a:t>
          </a:r>
          <a:endParaRPr b="0" lang="fr-CA" sz="1100" spc="-1" strike="noStrike">
            <a:latin typeface="Times New Roman"/>
          </a:endParaRPr>
        </a:p>
      </xdr:txBody>
    </xdr:sp>
    <xdr:clientData/>
  </xdr:twoCellAnchor>
  <xdr:twoCellAnchor editAs="absolute">
    <xdr:from>
      <xdr:col>3</xdr:col>
      <xdr:colOff>577800</xdr:colOff>
      <xdr:row>90</xdr:row>
      <xdr:rowOff>87120</xdr:rowOff>
    </xdr:from>
    <xdr:to>
      <xdr:col>3</xdr:col>
      <xdr:colOff>863280</xdr:colOff>
      <xdr:row>103</xdr:row>
      <xdr:rowOff>144000</xdr:rowOff>
    </xdr:to>
    <xdr:sp>
      <xdr:nvSpPr>
        <xdr:cNvPr id="39" name=""/>
        <xdr:cNvSpPr/>
      </xdr:nvSpPr>
      <xdr:spPr>
        <a:xfrm>
          <a:off x="3628440" y="11255400"/>
          <a:ext cx="285480" cy="2533320"/>
        </a:xfrm>
        <a:prstGeom prst="rect">
          <a:avLst/>
        </a:prstGeom>
        <a:solidFill>
          <a:srgbClr val="ffffff"/>
        </a:solidFill>
        <a:ln w="1">
          <a:solidFill>
            <a:srgbClr val="008000"/>
          </a:solidFill>
        </a:ln>
      </xdr:spPr>
      <xdr:style>
        <a:lnRef idx="0"/>
        <a:fillRef idx="0"/>
        <a:effectRef idx="0"/>
        <a:fontRef idx="minor"/>
      </xdr:style>
      <xdr:txBody>
        <a:bodyPr horzOverflow="clip" vertOverflow="clip" lIns="90000" rIns="90000" tIns="45000" bIns="45000" anchor="t">
          <a:noAutofit/>
        </a:bodyPr>
        <a:p>
          <a:r>
            <a:rPr b="0" lang="fr-CA" sz="1100" spc="-1" strike="noStrike">
              <a:latin typeface="Times New Roman"/>
            </a:rPr>
            <a:t>This shape represents a table slicer. Table slicers are not supported in this version of Excel.</a:t>
          </a:r>
          <a:endParaRPr b="0" lang="fr-CA" sz="1100" spc="-1" strike="noStrike">
            <a:latin typeface="Times New Roman"/>
          </a:endParaRPr>
        </a:p>
        <a:p>
          <a:endParaRPr b="0" lang="fr-CA" sz="1100" spc="-1" strike="noStrike">
            <a:latin typeface="Times New Roman"/>
          </a:endParaRPr>
        </a:p>
        <a:p>
          <a:pPr>
            <a:lnSpc>
              <a:spcPct val="100000"/>
            </a:lnSpc>
          </a:pPr>
          <a:r>
            <a:rPr b="0" lang="fr-CA" sz="1100" spc="-1" strike="noStrike">
              <a:latin typeface="Times New Roman"/>
            </a:rPr>
            <a:t>If the shape was modified in an earlier version of Excel, or if the workbook was saved in Excel 2007 or earlier, the slicer can't be used.</a:t>
          </a:r>
          <a:endParaRPr b="0" lang="fr-CA" sz="1100" spc="-1" strike="noStrike">
            <a:latin typeface="Times New Roman"/>
          </a:endParaRPr>
        </a:p>
      </xdr:txBody>
    </xdr:sp>
    <xdr:clientData/>
  </xdr:twoCellAnchor>
  <xdr:twoCellAnchor editAs="absolute">
    <xdr:from>
      <xdr:col>5</xdr:col>
      <xdr:colOff>387360</xdr:colOff>
      <xdr:row>90</xdr:row>
      <xdr:rowOff>87120</xdr:rowOff>
    </xdr:from>
    <xdr:to>
      <xdr:col>5</xdr:col>
      <xdr:colOff>996480</xdr:colOff>
      <xdr:row>103</xdr:row>
      <xdr:rowOff>124920</xdr:rowOff>
    </xdr:to>
    <xdr:sp>
      <xdr:nvSpPr>
        <xdr:cNvPr id="40" name=""/>
        <xdr:cNvSpPr/>
      </xdr:nvSpPr>
      <xdr:spPr>
        <a:xfrm>
          <a:off x="5128920" y="11255400"/>
          <a:ext cx="609120" cy="2514240"/>
        </a:xfrm>
        <a:prstGeom prst="rect">
          <a:avLst/>
        </a:prstGeom>
        <a:solidFill>
          <a:srgbClr val="ffffff"/>
        </a:solidFill>
        <a:ln w="1">
          <a:solidFill>
            <a:srgbClr val="008000"/>
          </a:solidFill>
        </a:ln>
      </xdr:spPr>
      <xdr:style>
        <a:lnRef idx="0"/>
        <a:fillRef idx="0"/>
        <a:effectRef idx="0"/>
        <a:fontRef idx="minor"/>
      </xdr:style>
      <xdr:txBody>
        <a:bodyPr horzOverflow="clip" vertOverflow="clip" lIns="90000" rIns="90000" tIns="45000" bIns="45000" anchor="t">
          <a:noAutofit/>
        </a:bodyPr>
        <a:p>
          <a:r>
            <a:rPr b="0" lang="fr-CA" sz="1100" spc="-1" strike="noStrike">
              <a:latin typeface="Times New Roman"/>
            </a:rPr>
            <a:t>This shape represents a table slicer. Table slicers are not supported in this version of Excel.</a:t>
          </a:r>
          <a:endParaRPr b="0" lang="fr-CA" sz="1100" spc="-1" strike="noStrike">
            <a:latin typeface="Times New Roman"/>
          </a:endParaRPr>
        </a:p>
        <a:p>
          <a:endParaRPr b="0" lang="fr-CA" sz="1100" spc="-1" strike="noStrike">
            <a:latin typeface="Times New Roman"/>
          </a:endParaRPr>
        </a:p>
        <a:p>
          <a:pPr>
            <a:lnSpc>
              <a:spcPct val="100000"/>
            </a:lnSpc>
          </a:pPr>
          <a:r>
            <a:rPr b="0" lang="fr-CA" sz="1100" spc="-1" strike="noStrike">
              <a:latin typeface="Times New Roman"/>
            </a:rPr>
            <a:t>If the shape was modified in an earlier version of Excel, or if the workbook was saved in Excel 2007 or earlier, the slicer can't be used.</a:t>
          </a:r>
          <a:endParaRPr b="0" lang="fr-CA" sz="1100" spc="-1" strike="noStrike">
            <a:latin typeface="Times New Roman"/>
          </a:endParaRPr>
        </a:p>
      </xdr:txBody>
    </xdr:sp>
    <xdr:clientData/>
  </xdr:twoCellAnchor>
  <xdr:twoCellAnchor editAs="absolute">
    <xdr:from>
      <xdr:col>6</xdr:col>
      <xdr:colOff>549360</xdr:colOff>
      <xdr:row>90</xdr:row>
      <xdr:rowOff>68040</xdr:rowOff>
    </xdr:from>
    <xdr:to>
      <xdr:col>12</xdr:col>
      <xdr:colOff>253800</xdr:colOff>
      <xdr:row>103</xdr:row>
      <xdr:rowOff>105840</xdr:rowOff>
    </xdr:to>
    <xdr:sp>
      <xdr:nvSpPr>
        <xdr:cNvPr id="41" name=""/>
        <xdr:cNvSpPr/>
      </xdr:nvSpPr>
      <xdr:spPr>
        <a:xfrm>
          <a:off x="6630120" y="11236320"/>
          <a:ext cx="4788720" cy="2514240"/>
        </a:xfrm>
        <a:prstGeom prst="rect">
          <a:avLst/>
        </a:prstGeom>
        <a:solidFill>
          <a:srgbClr val="ffffff"/>
        </a:solidFill>
        <a:ln w="1">
          <a:solidFill>
            <a:srgbClr val="008000"/>
          </a:solidFill>
        </a:ln>
      </xdr:spPr>
      <xdr:style>
        <a:lnRef idx="0"/>
        <a:fillRef idx="0"/>
        <a:effectRef idx="0"/>
        <a:fontRef idx="minor"/>
      </xdr:style>
      <xdr:txBody>
        <a:bodyPr horzOverflow="clip" vertOverflow="clip" lIns="90000" rIns="90000" tIns="45000" bIns="45000" anchor="t">
          <a:noAutofit/>
        </a:bodyPr>
        <a:p>
          <a:r>
            <a:rPr b="0" lang="fr-CA" sz="1100" spc="-1" strike="noStrike">
              <a:latin typeface="Times New Roman"/>
            </a:rPr>
            <a:t>This shape represents a table slicer. Table slicers are not supported in this version of Excel.</a:t>
          </a:r>
          <a:endParaRPr b="0" lang="fr-CA" sz="1100" spc="-1" strike="noStrike">
            <a:latin typeface="Times New Roman"/>
          </a:endParaRPr>
        </a:p>
        <a:p>
          <a:endParaRPr b="0" lang="fr-CA" sz="1100" spc="-1" strike="noStrike">
            <a:latin typeface="Times New Roman"/>
          </a:endParaRPr>
        </a:p>
        <a:p>
          <a:pPr>
            <a:lnSpc>
              <a:spcPct val="100000"/>
            </a:lnSpc>
          </a:pPr>
          <a:r>
            <a:rPr b="0" lang="fr-CA" sz="1100" spc="-1" strike="noStrike">
              <a:latin typeface="Times New Roman"/>
            </a:rPr>
            <a:t>If the shape was modified in an earlier version of Excel, or if the workbook was saved in Excel 2007 or earlier, the slicer can't be used.</a:t>
          </a:r>
          <a:endParaRPr b="0" lang="fr-CA" sz="1100" spc="-1" strike="noStrike">
            <a:latin typeface="Times New Roman"/>
          </a:endParaRPr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absolute">
    <xdr:from>
      <xdr:col>2</xdr:col>
      <xdr:colOff>254160</xdr:colOff>
      <xdr:row>90</xdr:row>
      <xdr:rowOff>87120</xdr:rowOff>
    </xdr:from>
    <xdr:to>
      <xdr:col>2</xdr:col>
      <xdr:colOff>787320</xdr:colOff>
      <xdr:row>104</xdr:row>
      <xdr:rowOff>29160</xdr:rowOff>
    </xdr:to>
    <xdr:sp>
      <xdr:nvSpPr>
        <xdr:cNvPr id="42" name=""/>
        <xdr:cNvSpPr/>
      </xdr:nvSpPr>
      <xdr:spPr>
        <a:xfrm>
          <a:off x="2015640" y="11255400"/>
          <a:ext cx="533160" cy="2609280"/>
        </a:xfrm>
        <a:prstGeom prst="rect">
          <a:avLst/>
        </a:prstGeom>
        <a:solidFill>
          <a:srgbClr val="ffffff"/>
        </a:solidFill>
        <a:ln w="1">
          <a:solidFill>
            <a:srgbClr val="008000"/>
          </a:solidFill>
        </a:ln>
      </xdr:spPr>
      <xdr:style>
        <a:lnRef idx="0"/>
        <a:fillRef idx="0"/>
        <a:effectRef idx="0"/>
        <a:fontRef idx="minor"/>
      </xdr:style>
      <xdr:txBody>
        <a:bodyPr horzOverflow="clip" vertOverflow="clip" lIns="90000" rIns="90000" tIns="45000" bIns="45000" anchor="t">
          <a:noAutofit/>
        </a:bodyPr>
        <a:p>
          <a:r>
            <a:rPr b="0" lang="fr-CA" sz="1100" spc="-1" strike="noStrike">
              <a:latin typeface="Times New Roman"/>
            </a:rPr>
            <a:t>This shape represents a table slicer. Table slicers are not supported in this version of Excel.</a:t>
          </a:r>
          <a:endParaRPr b="0" lang="fr-CA" sz="1100" spc="-1" strike="noStrike">
            <a:latin typeface="Times New Roman"/>
          </a:endParaRPr>
        </a:p>
        <a:p>
          <a:endParaRPr b="0" lang="fr-CA" sz="1100" spc="-1" strike="noStrike">
            <a:latin typeface="Times New Roman"/>
          </a:endParaRPr>
        </a:p>
        <a:p>
          <a:pPr>
            <a:lnSpc>
              <a:spcPct val="100000"/>
            </a:lnSpc>
          </a:pPr>
          <a:r>
            <a:rPr b="0" lang="fr-CA" sz="1100" spc="-1" strike="noStrike">
              <a:latin typeface="Times New Roman"/>
            </a:rPr>
            <a:t>If the shape was modified in an earlier version of Excel, or if the workbook was saved in Excel 2007 or earlier, the slicer can't be used.</a:t>
          </a:r>
          <a:endParaRPr b="0" lang="fr-CA" sz="1100" spc="-1" strike="noStrike">
            <a:latin typeface="Times New Roman"/>
          </a:endParaRPr>
        </a:p>
      </xdr:txBody>
    </xdr:sp>
    <xdr:clientData/>
  </xdr:twoCellAnchor>
  <xdr:twoCellAnchor editAs="absolute">
    <xdr:from>
      <xdr:col>5</xdr:col>
      <xdr:colOff>1015920</xdr:colOff>
      <xdr:row>90</xdr:row>
      <xdr:rowOff>87120</xdr:rowOff>
    </xdr:from>
    <xdr:to>
      <xdr:col>6</xdr:col>
      <xdr:colOff>491760</xdr:colOff>
      <xdr:row>99</xdr:row>
      <xdr:rowOff>67680</xdr:rowOff>
    </xdr:to>
    <xdr:sp>
      <xdr:nvSpPr>
        <xdr:cNvPr id="43" name=""/>
        <xdr:cNvSpPr/>
      </xdr:nvSpPr>
      <xdr:spPr>
        <a:xfrm>
          <a:off x="5757480" y="11255400"/>
          <a:ext cx="815040" cy="1695240"/>
        </a:xfrm>
        <a:prstGeom prst="rect">
          <a:avLst/>
        </a:prstGeom>
        <a:solidFill>
          <a:srgbClr val="ffffff"/>
        </a:solidFill>
        <a:ln w="1">
          <a:solidFill>
            <a:srgbClr val="008000"/>
          </a:solidFill>
        </a:ln>
      </xdr:spPr>
      <xdr:style>
        <a:lnRef idx="0"/>
        <a:fillRef idx="0"/>
        <a:effectRef idx="0"/>
        <a:fontRef idx="minor"/>
      </xdr:style>
      <xdr:txBody>
        <a:bodyPr horzOverflow="clip" vertOverflow="clip" lIns="90000" rIns="90000" tIns="45000" bIns="45000" anchor="t">
          <a:noAutofit/>
        </a:bodyPr>
        <a:p>
          <a:r>
            <a:rPr b="0" lang="fr-CA" sz="1100" spc="-1" strike="noStrike">
              <a:latin typeface="Times New Roman"/>
            </a:rPr>
            <a:t>This shape represents a table slicer. Table slicers are not supported in this version of Excel.</a:t>
          </a:r>
          <a:endParaRPr b="0" lang="fr-CA" sz="1100" spc="-1" strike="noStrike">
            <a:latin typeface="Times New Roman"/>
          </a:endParaRPr>
        </a:p>
        <a:p>
          <a:endParaRPr b="0" lang="fr-CA" sz="1100" spc="-1" strike="noStrike">
            <a:latin typeface="Times New Roman"/>
          </a:endParaRPr>
        </a:p>
        <a:p>
          <a:pPr>
            <a:lnSpc>
              <a:spcPct val="100000"/>
            </a:lnSpc>
          </a:pPr>
          <a:r>
            <a:rPr b="0" lang="fr-CA" sz="1100" spc="-1" strike="noStrike">
              <a:latin typeface="Times New Roman"/>
            </a:rPr>
            <a:t>If the shape was modified in an earlier version of Excel, or if the workbook was saved in Excel 2007 or earlier, the slicer can't be used.</a:t>
          </a:r>
          <a:endParaRPr b="0" lang="fr-CA" sz="1100" spc="-1" strike="noStrike">
            <a:latin typeface="Times New Roman"/>
          </a:endParaRPr>
        </a:p>
      </xdr:txBody>
    </xdr:sp>
    <xdr:clientData/>
  </xdr:twoCellAnchor>
  <xdr:twoCellAnchor editAs="absolute">
    <xdr:from>
      <xdr:col>2</xdr:col>
      <xdr:colOff>844560</xdr:colOff>
      <xdr:row>90</xdr:row>
      <xdr:rowOff>87120</xdr:rowOff>
    </xdr:from>
    <xdr:to>
      <xdr:col>3</xdr:col>
      <xdr:colOff>539280</xdr:colOff>
      <xdr:row>103</xdr:row>
      <xdr:rowOff>124920</xdr:rowOff>
    </xdr:to>
    <xdr:sp>
      <xdr:nvSpPr>
        <xdr:cNvPr id="44" name=""/>
        <xdr:cNvSpPr/>
      </xdr:nvSpPr>
      <xdr:spPr>
        <a:xfrm>
          <a:off x="2606040" y="11255400"/>
          <a:ext cx="983880" cy="2514240"/>
        </a:xfrm>
        <a:prstGeom prst="rect">
          <a:avLst/>
        </a:prstGeom>
        <a:solidFill>
          <a:srgbClr val="ffffff"/>
        </a:solidFill>
        <a:ln w="1">
          <a:solidFill>
            <a:srgbClr val="008000"/>
          </a:solidFill>
        </a:ln>
      </xdr:spPr>
      <xdr:style>
        <a:lnRef idx="0"/>
        <a:fillRef idx="0"/>
        <a:effectRef idx="0"/>
        <a:fontRef idx="minor"/>
      </xdr:style>
      <xdr:txBody>
        <a:bodyPr horzOverflow="clip" vertOverflow="clip" lIns="90000" rIns="90000" tIns="45000" bIns="45000" anchor="t">
          <a:noAutofit/>
        </a:bodyPr>
        <a:p>
          <a:r>
            <a:rPr b="0" lang="fr-CA" sz="1100" spc="-1" strike="noStrike">
              <a:latin typeface="Times New Roman"/>
            </a:rPr>
            <a:t>This shape represents a table slicer. Table slicers are not supported in this version of Excel.</a:t>
          </a:r>
          <a:endParaRPr b="0" lang="fr-CA" sz="1100" spc="-1" strike="noStrike">
            <a:latin typeface="Times New Roman"/>
          </a:endParaRPr>
        </a:p>
        <a:p>
          <a:endParaRPr b="0" lang="fr-CA" sz="1100" spc="-1" strike="noStrike">
            <a:latin typeface="Times New Roman"/>
          </a:endParaRPr>
        </a:p>
        <a:p>
          <a:pPr>
            <a:lnSpc>
              <a:spcPct val="100000"/>
            </a:lnSpc>
          </a:pPr>
          <a:r>
            <a:rPr b="0" lang="fr-CA" sz="1100" spc="-1" strike="noStrike">
              <a:latin typeface="Times New Roman"/>
            </a:rPr>
            <a:t>If the shape was modified in an earlier version of Excel, or if the workbook was saved in Excel 2007 or earlier, the slicer can't be used.</a:t>
          </a:r>
          <a:endParaRPr b="0" lang="fr-CA" sz="1100" spc="-1" strike="noStrike">
            <a:latin typeface="Times New Roman"/>
          </a:endParaRPr>
        </a:p>
      </xdr:txBody>
    </xdr:sp>
    <xdr:clientData/>
  </xdr:twoCellAnchor>
  <xdr:twoCellAnchor editAs="absolute">
    <xdr:from>
      <xdr:col>4</xdr:col>
      <xdr:colOff>6480</xdr:colOff>
      <xdr:row>90</xdr:row>
      <xdr:rowOff>87120</xdr:rowOff>
    </xdr:from>
    <xdr:to>
      <xdr:col>5</xdr:col>
      <xdr:colOff>387000</xdr:colOff>
      <xdr:row>103</xdr:row>
      <xdr:rowOff>144000</xdr:rowOff>
    </xdr:to>
    <xdr:sp>
      <xdr:nvSpPr>
        <xdr:cNvPr id="45" name=""/>
        <xdr:cNvSpPr/>
      </xdr:nvSpPr>
      <xdr:spPr>
        <a:xfrm>
          <a:off x="4003200" y="11255400"/>
          <a:ext cx="1125360" cy="2533320"/>
        </a:xfrm>
        <a:prstGeom prst="rect">
          <a:avLst/>
        </a:prstGeom>
        <a:solidFill>
          <a:srgbClr val="ffffff"/>
        </a:solidFill>
        <a:ln w="1">
          <a:solidFill>
            <a:srgbClr val="008000"/>
          </a:solidFill>
        </a:ln>
      </xdr:spPr>
      <xdr:style>
        <a:lnRef idx="0"/>
        <a:fillRef idx="0"/>
        <a:effectRef idx="0"/>
        <a:fontRef idx="minor"/>
      </xdr:style>
      <xdr:txBody>
        <a:bodyPr horzOverflow="clip" vertOverflow="clip" lIns="90000" rIns="90000" tIns="45000" bIns="45000" anchor="t">
          <a:noAutofit/>
        </a:bodyPr>
        <a:p>
          <a:r>
            <a:rPr b="0" lang="fr-CA" sz="1100" spc="-1" strike="noStrike">
              <a:latin typeface="Times New Roman"/>
            </a:rPr>
            <a:t>This shape represents a table slicer. Table slicers are not supported in this version of Excel.</a:t>
          </a:r>
          <a:endParaRPr b="0" lang="fr-CA" sz="1100" spc="-1" strike="noStrike">
            <a:latin typeface="Times New Roman"/>
          </a:endParaRPr>
        </a:p>
        <a:p>
          <a:endParaRPr b="0" lang="fr-CA" sz="1100" spc="-1" strike="noStrike">
            <a:latin typeface="Times New Roman"/>
          </a:endParaRPr>
        </a:p>
        <a:p>
          <a:pPr>
            <a:lnSpc>
              <a:spcPct val="100000"/>
            </a:lnSpc>
          </a:pPr>
          <a:r>
            <a:rPr b="0" lang="fr-CA" sz="1100" spc="-1" strike="noStrike">
              <a:latin typeface="Times New Roman"/>
            </a:rPr>
            <a:t>If the shape was modified in an earlier version of Excel, or if the workbook was saved in Excel 2007 or earlier, the slicer can't be used.</a:t>
          </a:r>
          <a:endParaRPr b="0" lang="fr-CA" sz="1100" spc="-1" strike="noStrike">
            <a:latin typeface="Times New Roman"/>
          </a:endParaRPr>
        </a:p>
      </xdr:txBody>
    </xdr:sp>
    <xdr:clientData/>
  </xdr:twoCellAnchor>
  <xdr:twoCellAnchor editAs="absolute">
    <xdr:from>
      <xdr:col>3</xdr:col>
      <xdr:colOff>577800</xdr:colOff>
      <xdr:row>90</xdr:row>
      <xdr:rowOff>87120</xdr:rowOff>
    </xdr:from>
    <xdr:to>
      <xdr:col>3</xdr:col>
      <xdr:colOff>863280</xdr:colOff>
      <xdr:row>103</xdr:row>
      <xdr:rowOff>144000</xdr:rowOff>
    </xdr:to>
    <xdr:sp>
      <xdr:nvSpPr>
        <xdr:cNvPr id="46" name=""/>
        <xdr:cNvSpPr/>
      </xdr:nvSpPr>
      <xdr:spPr>
        <a:xfrm>
          <a:off x="3628440" y="11255400"/>
          <a:ext cx="285480" cy="2533320"/>
        </a:xfrm>
        <a:prstGeom prst="rect">
          <a:avLst/>
        </a:prstGeom>
        <a:solidFill>
          <a:srgbClr val="ffffff"/>
        </a:solidFill>
        <a:ln w="1">
          <a:solidFill>
            <a:srgbClr val="008000"/>
          </a:solidFill>
        </a:ln>
      </xdr:spPr>
      <xdr:style>
        <a:lnRef idx="0"/>
        <a:fillRef idx="0"/>
        <a:effectRef idx="0"/>
        <a:fontRef idx="minor"/>
      </xdr:style>
      <xdr:txBody>
        <a:bodyPr horzOverflow="clip" vertOverflow="clip" lIns="90000" rIns="90000" tIns="45000" bIns="45000" anchor="t">
          <a:noAutofit/>
        </a:bodyPr>
        <a:p>
          <a:r>
            <a:rPr b="0" lang="fr-CA" sz="1100" spc="-1" strike="noStrike">
              <a:latin typeface="Times New Roman"/>
            </a:rPr>
            <a:t>This shape represents a table slicer. Table slicers are not supported in this version of Excel.</a:t>
          </a:r>
          <a:endParaRPr b="0" lang="fr-CA" sz="1100" spc="-1" strike="noStrike">
            <a:latin typeface="Times New Roman"/>
          </a:endParaRPr>
        </a:p>
        <a:p>
          <a:endParaRPr b="0" lang="fr-CA" sz="1100" spc="-1" strike="noStrike">
            <a:latin typeface="Times New Roman"/>
          </a:endParaRPr>
        </a:p>
        <a:p>
          <a:pPr>
            <a:lnSpc>
              <a:spcPct val="100000"/>
            </a:lnSpc>
          </a:pPr>
          <a:r>
            <a:rPr b="0" lang="fr-CA" sz="1100" spc="-1" strike="noStrike">
              <a:latin typeface="Times New Roman"/>
            </a:rPr>
            <a:t>If the shape was modified in an earlier version of Excel, or if the workbook was saved in Excel 2007 or earlier, the slicer can't be used.</a:t>
          </a:r>
          <a:endParaRPr b="0" lang="fr-CA" sz="1100" spc="-1" strike="noStrike">
            <a:latin typeface="Times New Roman"/>
          </a:endParaRPr>
        </a:p>
      </xdr:txBody>
    </xdr:sp>
    <xdr:clientData/>
  </xdr:twoCellAnchor>
  <xdr:twoCellAnchor editAs="absolute">
    <xdr:from>
      <xdr:col>5</xdr:col>
      <xdr:colOff>387360</xdr:colOff>
      <xdr:row>90</xdr:row>
      <xdr:rowOff>87120</xdr:rowOff>
    </xdr:from>
    <xdr:to>
      <xdr:col>5</xdr:col>
      <xdr:colOff>996480</xdr:colOff>
      <xdr:row>103</xdr:row>
      <xdr:rowOff>124920</xdr:rowOff>
    </xdr:to>
    <xdr:sp>
      <xdr:nvSpPr>
        <xdr:cNvPr id="47" name=""/>
        <xdr:cNvSpPr/>
      </xdr:nvSpPr>
      <xdr:spPr>
        <a:xfrm>
          <a:off x="5128920" y="11255400"/>
          <a:ext cx="609120" cy="2514240"/>
        </a:xfrm>
        <a:prstGeom prst="rect">
          <a:avLst/>
        </a:prstGeom>
        <a:solidFill>
          <a:srgbClr val="ffffff"/>
        </a:solidFill>
        <a:ln w="1">
          <a:solidFill>
            <a:srgbClr val="008000"/>
          </a:solidFill>
        </a:ln>
      </xdr:spPr>
      <xdr:style>
        <a:lnRef idx="0"/>
        <a:fillRef idx="0"/>
        <a:effectRef idx="0"/>
        <a:fontRef idx="minor"/>
      </xdr:style>
      <xdr:txBody>
        <a:bodyPr horzOverflow="clip" vertOverflow="clip" lIns="90000" rIns="90000" tIns="45000" bIns="45000" anchor="t">
          <a:noAutofit/>
        </a:bodyPr>
        <a:p>
          <a:r>
            <a:rPr b="0" lang="fr-CA" sz="1100" spc="-1" strike="noStrike">
              <a:latin typeface="Times New Roman"/>
            </a:rPr>
            <a:t>This shape represents a table slicer. Table slicers are not supported in this version of Excel.</a:t>
          </a:r>
          <a:endParaRPr b="0" lang="fr-CA" sz="1100" spc="-1" strike="noStrike">
            <a:latin typeface="Times New Roman"/>
          </a:endParaRPr>
        </a:p>
        <a:p>
          <a:endParaRPr b="0" lang="fr-CA" sz="1100" spc="-1" strike="noStrike">
            <a:latin typeface="Times New Roman"/>
          </a:endParaRPr>
        </a:p>
        <a:p>
          <a:pPr>
            <a:lnSpc>
              <a:spcPct val="100000"/>
            </a:lnSpc>
          </a:pPr>
          <a:r>
            <a:rPr b="0" lang="fr-CA" sz="1100" spc="-1" strike="noStrike">
              <a:latin typeface="Times New Roman"/>
            </a:rPr>
            <a:t>If the shape was modified in an earlier version of Excel, or if the workbook was saved in Excel 2007 or earlier, the slicer can't be used.</a:t>
          </a:r>
          <a:endParaRPr b="0" lang="fr-CA" sz="1100" spc="-1" strike="noStrike">
            <a:latin typeface="Times New Roman"/>
          </a:endParaRPr>
        </a:p>
      </xdr:txBody>
    </xdr:sp>
    <xdr:clientData/>
  </xdr:twoCellAnchor>
  <xdr:twoCellAnchor editAs="absolute">
    <xdr:from>
      <xdr:col>6</xdr:col>
      <xdr:colOff>549360</xdr:colOff>
      <xdr:row>90</xdr:row>
      <xdr:rowOff>68040</xdr:rowOff>
    </xdr:from>
    <xdr:to>
      <xdr:col>12</xdr:col>
      <xdr:colOff>253800</xdr:colOff>
      <xdr:row>103</xdr:row>
      <xdr:rowOff>105840</xdr:rowOff>
    </xdr:to>
    <xdr:sp>
      <xdr:nvSpPr>
        <xdr:cNvPr id="48" name=""/>
        <xdr:cNvSpPr/>
      </xdr:nvSpPr>
      <xdr:spPr>
        <a:xfrm>
          <a:off x="6630120" y="11236320"/>
          <a:ext cx="4788720" cy="2514240"/>
        </a:xfrm>
        <a:prstGeom prst="rect">
          <a:avLst/>
        </a:prstGeom>
        <a:solidFill>
          <a:srgbClr val="ffffff"/>
        </a:solidFill>
        <a:ln w="1">
          <a:solidFill>
            <a:srgbClr val="008000"/>
          </a:solidFill>
        </a:ln>
      </xdr:spPr>
      <xdr:style>
        <a:lnRef idx="0"/>
        <a:fillRef idx="0"/>
        <a:effectRef idx="0"/>
        <a:fontRef idx="minor"/>
      </xdr:style>
      <xdr:txBody>
        <a:bodyPr horzOverflow="clip" vertOverflow="clip" lIns="90000" rIns="90000" tIns="45000" bIns="45000" anchor="t">
          <a:noAutofit/>
        </a:bodyPr>
        <a:p>
          <a:r>
            <a:rPr b="0" lang="fr-CA" sz="1100" spc="-1" strike="noStrike">
              <a:latin typeface="Times New Roman"/>
            </a:rPr>
            <a:t>This shape represents a table slicer. Table slicers are not supported in this version of Excel.</a:t>
          </a:r>
          <a:endParaRPr b="0" lang="fr-CA" sz="1100" spc="-1" strike="noStrike">
            <a:latin typeface="Times New Roman"/>
          </a:endParaRPr>
        </a:p>
        <a:p>
          <a:endParaRPr b="0" lang="fr-CA" sz="1100" spc="-1" strike="noStrike">
            <a:latin typeface="Times New Roman"/>
          </a:endParaRPr>
        </a:p>
        <a:p>
          <a:pPr>
            <a:lnSpc>
              <a:spcPct val="100000"/>
            </a:lnSpc>
          </a:pPr>
          <a:r>
            <a:rPr b="0" lang="fr-CA" sz="1100" spc="-1" strike="noStrike">
              <a:latin typeface="Times New Roman"/>
            </a:rPr>
            <a:t>If the shape was modified in an earlier version of Excel, or if the workbook was saved in Excel 2007 or earlier, the slicer can't be used.</a:t>
          </a:r>
          <a:endParaRPr b="0" lang="fr-CA" sz="1100" spc="-1" strike="noStrike">
            <a:latin typeface="Times New Roman"/>
          </a:endParaRPr>
        </a:p>
      </xdr:txBody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absolute">
    <xdr:from>
      <xdr:col>2</xdr:col>
      <xdr:colOff>254160</xdr:colOff>
      <xdr:row>90</xdr:row>
      <xdr:rowOff>87120</xdr:rowOff>
    </xdr:from>
    <xdr:to>
      <xdr:col>2</xdr:col>
      <xdr:colOff>787320</xdr:colOff>
      <xdr:row>104</xdr:row>
      <xdr:rowOff>29160</xdr:rowOff>
    </xdr:to>
    <xdr:sp>
      <xdr:nvSpPr>
        <xdr:cNvPr id="49" name=""/>
        <xdr:cNvSpPr/>
      </xdr:nvSpPr>
      <xdr:spPr>
        <a:xfrm>
          <a:off x="2015640" y="11255400"/>
          <a:ext cx="533160" cy="2609280"/>
        </a:xfrm>
        <a:prstGeom prst="rect">
          <a:avLst/>
        </a:prstGeom>
        <a:solidFill>
          <a:srgbClr val="ffffff"/>
        </a:solidFill>
        <a:ln w="1">
          <a:solidFill>
            <a:srgbClr val="008000"/>
          </a:solidFill>
        </a:ln>
      </xdr:spPr>
      <xdr:style>
        <a:lnRef idx="0"/>
        <a:fillRef idx="0"/>
        <a:effectRef idx="0"/>
        <a:fontRef idx="minor"/>
      </xdr:style>
      <xdr:txBody>
        <a:bodyPr horzOverflow="clip" vertOverflow="clip" lIns="90000" rIns="90000" tIns="45000" bIns="45000" anchor="t">
          <a:noAutofit/>
        </a:bodyPr>
        <a:p>
          <a:r>
            <a:rPr b="0" lang="fr-CA" sz="1100" spc="-1" strike="noStrike">
              <a:latin typeface="Times New Roman"/>
            </a:rPr>
            <a:t>This shape represents a table slicer. Table slicers are not supported in this version of Excel.</a:t>
          </a:r>
          <a:endParaRPr b="0" lang="fr-CA" sz="1100" spc="-1" strike="noStrike">
            <a:latin typeface="Times New Roman"/>
          </a:endParaRPr>
        </a:p>
        <a:p>
          <a:endParaRPr b="0" lang="fr-CA" sz="1100" spc="-1" strike="noStrike">
            <a:latin typeface="Times New Roman"/>
          </a:endParaRPr>
        </a:p>
        <a:p>
          <a:pPr>
            <a:lnSpc>
              <a:spcPct val="100000"/>
            </a:lnSpc>
          </a:pPr>
          <a:r>
            <a:rPr b="0" lang="fr-CA" sz="1100" spc="-1" strike="noStrike">
              <a:latin typeface="Times New Roman"/>
            </a:rPr>
            <a:t>If the shape was modified in an earlier version of Excel, or if the workbook was saved in Excel 2007 or earlier, the slicer can't be used.</a:t>
          </a:r>
          <a:endParaRPr b="0" lang="fr-CA" sz="1100" spc="-1" strike="noStrike">
            <a:latin typeface="Times New Roman"/>
          </a:endParaRPr>
        </a:p>
      </xdr:txBody>
    </xdr:sp>
    <xdr:clientData/>
  </xdr:twoCellAnchor>
  <xdr:twoCellAnchor editAs="absolute">
    <xdr:from>
      <xdr:col>5</xdr:col>
      <xdr:colOff>1015920</xdr:colOff>
      <xdr:row>90</xdr:row>
      <xdr:rowOff>87120</xdr:rowOff>
    </xdr:from>
    <xdr:to>
      <xdr:col>6</xdr:col>
      <xdr:colOff>491760</xdr:colOff>
      <xdr:row>99</xdr:row>
      <xdr:rowOff>67680</xdr:rowOff>
    </xdr:to>
    <xdr:sp>
      <xdr:nvSpPr>
        <xdr:cNvPr id="50" name=""/>
        <xdr:cNvSpPr/>
      </xdr:nvSpPr>
      <xdr:spPr>
        <a:xfrm>
          <a:off x="5757480" y="11255400"/>
          <a:ext cx="815040" cy="1695240"/>
        </a:xfrm>
        <a:prstGeom prst="rect">
          <a:avLst/>
        </a:prstGeom>
        <a:solidFill>
          <a:srgbClr val="ffffff"/>
        </a:solidFill>
        <a:ln w="1">
          <a:solidFill>
            <a:srgbClr val="008000"/>
          </a:solidFill>
        </a:ln>
      </xdr:spPr>
      <xdr:style>
        <a:lnRef idx="0"/>
        <a:fillRef idx="0"/>
        <a:effectRef idx="0"/>
        <a:fontRef idx="minor"/>
      </xdr:style>
      <xdr:txBody>
        <a:bodyPr horzOverflow="clip" vertOverflow="clip" lIns="90000" rIns="90000" tIns="45000" bIns="45000" anchor="t">
          <a:noAutofit/>
        </a:bodyPr>
        <a:p>
          <a:r>
            <a:rPr b="0" lang="fr-CA" sz="1100" spc="-1" strike="noStrike">
              <a:latin typeface="Times New Roman"/>
            </a:rPr>
            <a:t>This shape represents a table slicer. Table slicers are not supported in this version of Excel.</a:t>
          </a:r>
          <a:endParaRPr b="0" lang="fr-CA" sz="1100" spc="-1" strike="noStrike">
            <a:latin typeface="Times New Roman"/>
          </a:endParaRPr>
        </a:p>
        <a:p>
          <a:endParaRPr b="0" lang="fr-CA" sz="1100" spc="-1" strike="noStrike">
            <a:latin typeface="Times New Roman"/>
          </a:endParaRPr>
        </a:p>
        <a:p>
          <a:pPr>
            <a:lnSpc>
              <a:spcPct val="100000"/>
            </a:lnSpc>
          </a:pPr>
          <a:r>
            <a:rPr b="0" lang="fr-CA" sz="1100" spc="-1" strike="noStrike">
              <a:latin typeface="Times New Roman"/>
            </a:rPr>
            <a:t>If the shape was modified in an earlier version of Excel, or if the workbook was saved in Excel 2007 or earlier, the slicer can't be used.</a:t>
          </a:r>
          <a:endParaRPr b="0" lang="fr-CA" sz="1100" spc="-1" strike="noStrike">
            <a:latin typeface="Times New Roman"/>
          </a:endParaRPr>
        </a:p>
      </xdr:txBody>
    </xdr:sp>
    <xdr:clientData/>
  </xdr:twoCellAnchor>
  <xdr:twoCellAnchor editAs="absolute">
    <xdr:from>
      <xdr:col>2</xdr:col>
      <xdr:colOff>844560</xdr:colOff>
      <xdr:row>90</xdr:row>
      <xdr:rowOff>87120</xdr:rowOff>
    </xdr:from>
    <xdr:to>
      <xdr:col>3</xdr:col>
      <xdr:colOff>539280</xdr:colOff>
      <xdr:row>103</xdr:row>
      <xdr:rowOff>124920</xdr:rowOff>
    </xdr:to>
    <xdr:sp>
      <xdr:nvSpPr>
        <xdr:cNvPr id="51" name=""/>
        <xdr:cNvSpPr/>
      </xdr:nvSpPr>
      <xdr:spPr>
        <a:xfrm>
          <a:off x="2606040" y="11255400"/>
          <a:ext cx="983880" cy="2514240"/>
        </a:xfrm>
        <a:prstGeom prst="rect">
          <a:avLst/>
        </a:prstGeom>
        <a:solidFill>
          <a:srgbClr val="ffffff"/>
        </a:solidFill>
        <a:ln w="1">
          <a:solidFill>
            <a:srgbClr val="008000"/>
          </a:solidFill>
        </a:ln>
      </xdr:spPr>
      <xdr:style>
        <a:lnRef idx="0"/>
        <a:fillRef idx="0"/>
        <a:effectRef idx="0"/>
        <a:fontRef idx="minor"/>
      </xdr:style>
      <xdr:txBody>
        <a:bodyPr horzOverflow="clip" vertOverflow="clip" lIns="90000" rIns="90000" tIns="45000" bIns="45000" anchor="t">
          <a:noAutofit/>
        </a:bodyPr>
        <a:p>
          <a:r>
            <a:rPr b="0" lang="fr-CA" sz="1100" spc="-1" strike="noStrike">
              <a:latin typeface="Times New Roman"/>
            </a:rPr>
            <a:t>This shape represents a table slicer. Table slicers are not supported in this version of Excel.</a:t>
          </a:r>
          <a:endParaRPr b="0" lang="fr-CA" sz="1100" spc="-1" strike="noStrike">
            <a:latin typeface="Times New Roman"/>
          </a:endParaRPr>
        </a:p>
        <a:p>
          <a:endParaRPr b="0" lang="fr-CA" sz="1100" spc="-1" strike="noStrike">
            <a:latin typeface="Times New Roman"/>
          </a:endParaRPr>
        </a:p>
        <a:p>
          <a:pPr>
            <a:lnSpc>
              <a:spcPct val="100000"/>
            </a:lnSpc>
          </a:pPr>
          <a:r>
            <a:rPr b="0" lang="fr-CA" sz="1100" spc="-1" strike="noStrike">
              <a:latin typeface="Times New Roman"/>
            </a:rPr>
            <a:t>If the shape was modified in an earlier version of Excel, or if the workbook was saved in Excel 2007 or earlier, the slicer can't be used.</a:t>
          </a:r>
          <a:endParaRPr b="0" lang="fr-CA" sz="1100" spc="-1" strike="noStrike">
            <a:latin typeface="Times New Roman"/>
          </a:endParaRPr>
        </a:p>
      </xdr:txBody>
    </xdr:sp>
    <xdr:clientData/>
  </xdr:twoCellAnchor>
  <xdr:twoCellAnchor editAs="absolute">
    <xdr:from>
      <xdr:col>4</xdr:col>
      <xdr:colOff>6480</xdr:colOff>
      <xdr:row>90</xdr:row>
      <xdr:rowOff>87120</xdr:rowOff>
    </xdr:from>
    <xdr:to>
      <xdr:col>5</xdr:col>
      <xdr:colOff>387000</xdr:colOff>
      <xdr:row>103</xdr:row>
      <xdr:rowOff>144000</xdr:rowOff>
    </xdr:to>
    <xdr:sp>
      <xdr:nvSpPr>
        <xdr:cNvPr id="52" name=""/>
        <xdr:cNvSpPr/>
      </xdr:nvSpPr>
      <xdr:spPr>
        <a:xfrm>
          <a:off x="4003200" y="11255400"/>
          <a:ext cx="1125360" cy="2533320"/>
        </a:xfrm>
        <a:prstGeom prst="rect">
          <a:avLst/>
        </a:prstGeom>
        <a:solidFill>
          <a:srgbClr val="ffffff"/>
        </a:solidFill>
        <a:ln w="1">
          <a:solidFill>
            <a:srgbClr val="008000"/>
          </a:solidFill>
        </a:ln>
      </xdr:spPr>
      <xdr:style>
        <a:lnRef idx="0"/>
        <a:fillRef idx="0"/>
        <a:effectRef idx="0"/>
        <a:fontRef idx="minor"/>
      </xdr:style>
      <xdr:txBody>
        <a:bodyPr horzOverflow="clip" vertOverflow="clip" lIns="90000" rIns="90000" tIns="45000" bIns="45000" anchor="t">
          <a:noAutofit/>
        </a:bodyPr>
        <a:p>
          <a:r>
            <a:rPr b="0" lang="fr-CA" sz="1100" spc="-1" strike="noStrike">
              <a:latin typeface="Times New Roman"/>
            </a:rPr>
            <a:t>This shape represents a table slicer. Table slicers are not supported in this version of Excel.</a:t>
          </a:r>
          <a:endParaRPr b="0" lang="fr-CA" sz="1100" spc="-1" strike="noStrike">
            <a:latin typeface="Times New Roman"/>
          </a:endParaRPr>
        </a:p>
        <a:p>
          <a:endParaRPr b="0" lang="fr-CA" sz="1100" spc="-1" strike="noStrike">
            <a:latin typeface="Times New Roman"/>
          </a:endParaRPr>
        </a:p>
        <a:p>
          <a:pPr>
            <a:lnSpc>
              <a:spcPct val="100000"/>
            </a:lnSpc>
          </a:pPr>
          <a:r>
            <a:rPr b="0" lang="fr-CA" sz="1100" spc="-1" strike="noStrike">
              <a:latin typeface="Times New Roman"/>
            </a:rPr>
            <a:t>If the shape was modified in an earlier version of Excel, or if the workbook was saved in Excel 2007 or earlier, the slicer can't be used.</a:t>
          </a:r>
          <a:endParaRPr b="0" lang="fr-CA" sz="1100" spc="-1" strike="noStrike">
            <a:latin typeface="Times New Roman"/>
          </a:endParaRPr>
        </a:p>
      </xdr:txBody>
    </xdr:sp>
    <xdr:clientData/>
  </xdr:twoCellAnchor>
  <xdr:twoCellAnchor editAs="absolute">
    <xdr:from>
      <xdr:col>3</xdr:col>
      <xdr:colOff>577800</xdr:colOff>
      <xdr:row>90</xdr:row>
      <xdr:rowOff>87120</xdr:rowOff>
    </xdr:from>
    <xdr:to>
      <xdr:col>3</xdr:col>
      <xdr:colOff>863280</xdr:colOff>
      <xdr:row>103</xdr:row>
      <xdr:rowOff>144000</xdr:rowOff>
    </xdr:to>
    <xdr:sp>
      <xdr:nvSpPr>
        <xdr:cNvPr id="53" name=""/>
        <xdr:cNvSpPr/>
      </xdr:nvSpPr>
      <xdr:spPr>
        <a:xfrm>
          <a:off x="3628440" y="11255400"/>
          <a:ext cx="285480" cy="2533320"/>
        </a:xfrm>
        <a:prstGeom prst="rect">
          <a:avLst/>
        </a:prstGeom>
        <a:solidFill>
          <a:srgbClr val="ffffff"/>
        </a:solidFill>
        <a:ln w="1">
          <a:solidFill>
            <a:srgbClr val="008000"/>
          </a:solidFill>
        </a:ln>
      </xdr:spPr>
      <xdr:style>
        <a:lnRef idx="0"/>
        <a:fillRef idx="0"/>
        <a:effectRef idx="0"/>
        <a:fontRef idx="minor"/>
      </xdr:style>
      <xdr:txBody>
        <a:bodyPr horzOverflow="clip" vertOverflow="clip" lIns="90000" rIns="90000" tIns="45000" bIns="45000" anchor="t">
          <a:noAutofit/>
        </a:bodyPr>
        <a:p>
          <a:r>
            <a:rPr b="0" lang="fr-CA" sz="1100" spc="-1" strike="noStrike">
              <a:latin typeface="Times New Roman"/>
            </a:rPr>
            <a:t>This shape represents a table slicer. Table slicers are not supported in this version of Excel.</a:t>
          </a:r>
          <a:endParaRPr b="0" lang="fr-CA" sz="1100" spc="-1" strike="noStrike">
            <a:latin typeface="Times New Roman"/>
          </a:endParaRPr>
        </a:p>
        <a:p>
          <a:endParaRPr b="0" lang="fr-CA" sz="1100" spc="-1" strike="noStrike">
            <a:latin typeface="Times New Roman"/>
          </a:endParaRPr>
        </a:p>
        <a:p>
          <a:pPr>
            <a:lnSpc>
              <a:spcPct val="100000"/>
            </a:lnSpc>
          </a:pPr>
          <a:r>
            <a:rPr b="0" lang="fr-CA" sz="1100" spc="-1" strike="noStrike">
              <a:latin typeface="Times New Roman"/>
            </a:rPr>
            <a:t>If the shape was modified in an earlier version of Excel, or if the workbook was saved in Excel 2007 or earlier, the slicer can't be used.</a:t>
          </a:r>
          <a:endParaRPr b="0" lang="fr-CA" sz="1100" spc="-1" strike="noStrike">
            <a:latin typeface="Times New Roman"/>
          </a:endParaRPr>
        </a:p>
      </xdr:txBody>
    </xdr:sp>
    <xdr:clientData/>
  </xdr:twoCellAnchor>
  <xdr:twoCellAnchor editAs="absolute">
    <xdr:from>
      <xdr:col>5</xdr:col>
      <xdr:colOff>387360</xdr:colOff>
      <xdr:row>90</xdr:row>
      <xdr:rowOff>87120</xdr:rowOff>
    </xdr:from>
    <xdr:to>
      <xdr:col>5</xdr:col>
      <xdr:colOff>996480</xdr:colOff>
      <xdr:row>103</xdr:row>
      <xdr:rowOff>124920</xdr:rowOff>
    </xdr:to>
    <xdr:sp>
      <xdr:nvSpPr>
        <xdr:cNvPr id="54" name=""/>
        <xdr:cNvSpPr/>
      </xdr:nvSpPr>
      <xdr:spPr>
        <a:xfrm>
          <a:off x="5128920" y="11255400"/>
          <a:ext cx="609120" cy="2514240"/>
        </a:xfrm>
        <a:prstGeom prst="rect">
          <a:avLst/>
        </a:prstGeom>
        <a:solidFill>
          <a:srgbClr val="ffffff"/>
        </a:solidFill>
        <a:ln w="1">
          <a:solidFill>
            <a:srgbClr val="008000"/>
          </a:solidFill>
        </a:ln>
      </xdr:spPr>
      <xdr:style>
        <a:lnRef idx="0"/>
        <a:fillRef idx="0"/>
        <a:effectRef idx="0"/>
        <a:fontRef idx="minor"/>
      </xdr:style>
      <xdr:txBody>
        <a:bodyPr horzOverflow="clip" vertOverflow="clip" lIns="90000" rIns="90000" tIns="45000" bIns="45000" anchor="t">
          <a:noAutofit/>
        </a:bodyPr>
        <a:p>
          <a:r>
            <a:rPr b="0" lang="fr-CA" sz="1100" spc="-1" strike="noStrike">
              <a:latin typeface="Times New Roman"/>
            </a:rPr>
            <a:t>This shape represents a table slicer. Table slicers are not supported in this version of Excel.</a:t>
          </a:r>
          <a:endParaRPr b="0" lang="fr-CA" sz="1100" spc="-1" strike="noStrike">
            <a:latin typeface="Times New Roman"/>
          </a:endParaRPr>
        </a:p>
        <a:p>
          <a:endParaRPr b="0" lang="fr-CA" sz="1100" spc="-1" strike="noStrike">
            <a:latin typeface="Times New Roman"/>
          </a:endParaRPr>
        </a:p>
        <a:p>
          <a:pPr>
            <a:lnSpc>
              <a:spcPct val="100000"/>
            </a:lnSpc>
          </a:pPr>
          <a:r>
            <a:rPr b="0" lang="fr-CA" sz="1100" spc="-1" strike="noStrike">
              <a:latin typeface="Times New Roman"/>
            </a:rPr>
            <a:t>If the shape was modified in an earlier version of Excel, or if the workbook was saved in Excel 2007 or earlier, the slicer can't be used.</a:t>
          </a:r>
          <a:endParaRPr b="0" lang="fr-CA" sz="1100" spc="-1" strike="noStrike">
            <a:latin typeface="Times New Roman"/>
          </a:endParaRPr>
        </a:p>
      </xdr:txBody>
    </xdr:sp>
    <xdr:clientData/>
  </xdr:twoCellAnchor>
  <xdr:twoCellAnchor editAs="absolute">
    <xdr:from>
      <xdr:col>6</xdr:col>
      <xdr:colOff>549360</xdr:colOff>
      <xdr:row>90</xdr:row>
      <xdr:rowOff>68040</xdr:rowOff>
    </xdr:from>
    <xdr:to>
      <xdr:col>12</xdr:col>
      <xdr:colOff>253800</xdr:colOff>
      <xdr:row>103</xdr:row>
      <xdr:rowOff>105840</xdr:rowOff>
    </xdr:to>
    <xdr:sp>
      <xdr:nvSpPr>
        <xdr:cNvPr id="55" name=""/>
        <xdr:cNvSpPr/>
      </xdr:nvSpPr>
      <xdr:spPr>
        <a:xfrm>
          <a:off x="6630120" y="11236320"/>
          <a:ext cx="4788720" cy="2514240"/>
        </a:xfrm>
        <a:prstGeom prst="rect">
          <a:avLst/>
        </a:prstGeom>
        <a:solidFill>
          <a:srgbClr val="ffffff"/>
        </a:solidFill>
        <a:ln w="1">
          <a:solidFill>
            <a:srgbClr val="008000"/>
          </a:solidFill>
        </a:ln>
      </xdr:spPr>
      <xdr:style>
        <a:lnRef idx="0"/>
        <a:fillRef idx="0"/>
        <a:effectRef idx="0"/>
        <a:fontRef idx="minor"/>
      </xdr:style>
      <xdr:txBody>
        <a:bodyPr horzOverflow="clip" vertOverflow="clip" lIns="90000" rIns="90000" tIns="45000" bIns="45000" anchor="t">
          <a:noAutofit/>
        </a:bodyPr>
        <a:p>
          <a:r>
            <a:rPr b="0" lang="fr-CA" sz="1100" spc="-1" strike="noStrike">
              <a:latin typeface="Times New Roman"/>
            </a:rPr>
            <a:t>This shape represents a table slicer. Table slicers are not supported in this version of Excel.</a:t>
          </a:r>
          <a:endParaRPr b="0" lang="fr-CA" sz="1100" spc="-1" strike="noStrike">
            <a:latin typeface="Times New Roman"/>
          </a:endParaRPr>
        </a:p>
        <a:p>
          <a:endParaRPr b="0" lang="fr-CA" sz="1100" spc="-1" strike="noStrike">
            <a:latin typeface="Times New Roman"/>
          </a:endParaRPr>
        </a:p>
        <a:p>
          <a:pPr>
            <a:lnSpc>
              <a:spcPct val="100000"/>
            </a:lnSpc>
          </a:pPr>
          <a:r>
            <a:rPr b="0" lang="fr-CA" sz="1100" spc="-1" strike="noStrike">
              <a:latin typeface="Times New Roman"/>
            </a:rPr>
            <a:t>If the shape was modified in an earlier version of Excel, or if the workbook was saved in Excel 2007 or earlier, the slicer can't be used.</a:t>
          </a:r>
          <a:endParaRPr b="0" lang="fr-CA" sz="1100" spc="-1" strike="noStrike">
            <a:latin typeface="Times New Roman"/>
          </a:endParaRPr>
        </a:p>
      </xdr:txBody>
    </xdr: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absolute">
    <xdr:from>
      <xdr:col>2</xdr:col>
      <xdr:colOff>254160</xdr:colOff>
      <xdr:row>90</xdr:row>
      <xdr:rowOff>87120</xdr:rowOff>
    </xdr:from>
    <xdr:to>
      <xdr:col>2</xdr:col>
      <xdr:colOff>787320</xdr:colOff>
      <xdr:row>104</xdr:row>
      <xdr:rowOff>29160</xdr:rowOff>
    </xdr:to>
    <xdr:sp>
      <xdr:nvSpPr>
        <xdr:cNvPr id="56" name=""/>
        <xdr:cNvSpPr/>
      </xdr:nvSpPr>
      <xdr:spPr>
        <a:xfrm>
          <a:off x="2015640" y="11255400"/>
          <a:ext cx="533160" cy="2609280"/>
        </a:xfrm>
        <a:prstGeom prst="rect">
          <a:avLst/>
        </a:prstGeom>
        <a:solidFill>
          <a:srgbClr val="ffffff"/>
        </a:solidFill>
        <a:ln w="1">
          <a:solidFill>
            <a:srgbClr val="008000"/>
          </a:solidFill>
        </a:ln>
      </xdr:spPr>
      <xdr:style>
        <a:lnRef idx="0"/>
        <a:fillRef idx="0"/>
        <a:effectRef idx="0"/>
        <a:fontRef idx="minor"/>
      </xdr:style>
      <xdr:txBody>
        <a:bodyPr horzOverflow="clip" vertOverflow="clip" lIns="90000" rIns="90000" tIns="45000" bIns="45000" anchor="t">
          <a:noAutofit/>
        </a:bodyPr>
        <a:p>
          <a:r>
            <a:rPr b="0" lang="fr-CA" sz="1100" spc="-1" strike="noStrike">
              <a:latin typeface="Times New Roman"/>
            </a:rPr>
            <a:t>This shape represents a table slicer. Table slicers are not supported in this version of Excel.</a:t>
          </a:r>
          <a:endParaRPr b="0" lang="fr-CA" sz="1100" spc="-1" strike="noStrike">
            <a:latin typeface="Times New Roman"/>
          </a:endParaRPr>
        </a:p>
        <a:p>
          <a:endParaRPr b="0" lang="fr-CA" sz="1100" spc="-1" strike="noStrike">
            <a:latin typeface="Times New Roman"/>
          </a:endParaRPr>
        </a:p>
        <a:p>
          <a:pPr>
            <a:lnSpc>
              <a:spcPct val="100000"/>
            </a:lnSpc>
          </a:pPr>
          <a:r>
            <a:rPr b="0" lang="fr-CA" sz="1100" spc="-1" strike="noStrike">
              <a:latin typeface="Times New Roman"/>
            </a:rPr>
            <a:t>If the shape was modified in an earlier version of Excel, or if the workbook was saved in Excel 2007 or earlier, the slicer can't be used.</a:t>
          </a:r>
          <a:endParaRPr b="0" lang="fr-CA" sz="1100" spc="-1" strike="noStrike">
            <a:latin typeface="Times New Roman"/>
          </a:endParaRPr>
        </a:p>
      </xdr:txBody>
    </xdr:sp>
    <xdr:clientData/>
  </xdr:twoCellAnchor>
  <xdr:twoCellAnchor editAs="absolute">
    <xdr:from>
      <xdr:col>5</xdr:col>
      <xdr:colOff>1015920</xdr:colOff>
      <xdr:row>90</xdr:row>
      <xdr:rowOff>87120</xdr:rowOff>
    </xdr:from>
    <xdr:to>
      <xdr:col>6</xdr:col>
      <xdr:colOff>491760</xdr:colOff>
      <xdr:row>99</xdr:row>
      <xdr:rowOff>67680</xdr:rowOff>
    </xdr:to>
    <xdr:sp>
      <xdr:nvSpPr>
        <xdr:cNvPr id="57" name=""/>
        <xdr:cNvSpPr/>
      </xdr:nvSpPr>
      <xdr:spPr>
        <a:xfrm>
          <a:off x="5757480" y="11255400"/>
          <a:ext cx="815040" cy="1695240"/>
        </a:xfrm>
        <a:prstGeom prst="rect">
          <a:avLst/>
        </a:prstGeom>
        <a:solidFill>
          <a:srgbClr val="ffffff"/>
        </a:solidFill>
        <a:ln w="1">
          <a:solidFill>
            <a:srgbClr val="008000"/>
          </a:solidFill>
        </a:ln>
      </xdr:spPr>
      <xdr:style>
        <a:lnRef idx="0"/>
        <a:fillRef idx="0"/>
        <a:effectRef idx="0"/>
        <a:fontRef idx="minor"/>
      </xdr:style>
      <xdr:txBody>
        <a:bodyPr horzOverflow="clip" vertOverflow="clip" lIns="90000" rIns="90000" tIns="45000" bIns="45000" anchor="t">
          <a:noAutofit/>
        </a:bodyPr>
        <a:p>
          <a:r>
            <a:rPr b="0" lang="fr-CA" sz="1100" spc="-1" strike="noStrike">
              <a:latin typeface="Times New Roman"/>
            </a:rPr>
            <a:t>This shape represents a table slicer. Table slicers are not supported in this version of Excel.</a:t>
          </a:r>
          <a:endParaRPr b="0" lang="fr-CA" sz="1100" spc="-1" strike="noStrike">
            <a:latin typeface="Times New Roman"/>
          </a:endParaRPr>
        </a:p>
        <a:p>
          <a:endParaRPr b="0" lang="fr-CA" sz="1100" spc="-1" strike="noStrike">
            <a:latin typeface="Times New Roman"/>
          </a:endParaRPr>
        </a:p>
        <a:p>
          <a:pPr>
            <a:lnSpc>
              <a:spcPct val="100000"/>
            </a:lnSpc>
          </a:pPr>
          <a:r>
            <a:rPr b="0" lang="fr-CA" sz="1100" spc="-1" strike="noStrike">
              <a:latin typeface="Times New Roman"/>
            </a:rPr>
            <a:t>If the shape was modified in an earlier version of Excel, or if the workbook was saved in Excel 2007 or earlier, the slicer can't be used.</a:t>
          </a:r>
          <a:endParaRPr b="0" lang="fr-CA" sz="1100" spc="-1" strike="noStrike">
            <a:latin typeface="Times New Roman"/>
          </a:endParaRPr>
        </a:p>
      </xdr:txBody>
    </xdr:sp>
    <xdr:clientData/>
  </xdr:twoCellAnchor>
  <xdr:twoCellAnchor editAs="absolute">
    <xdr:from>
      <xdr:col>2</xdr:col>
      <xdr:colOff>844560</xdr:colOff>
      <xdr:row>90</xdr:row>
      <xdr:rowOff>87120</xdr:rowOff>
    </xdr:from>
    <xdr:to>
      <xdr:col>3</xdr:col>
      <xdr:colOff>539280</xdr:colOff>
      <xdr:row>103</xdr:row>
      <xdr:rowOff>124920</xdr:rowOff>
    </xdr:to>
    <xdr:sp>
      <xdr:nvSpPr>
        <xdr:cNvPr id="58" name=""/>
        <xdr:cNvSpPr/>
      </xdr:nvSpPr>
      <xdr:spPr>
        <a:xfrm>
          <a:off x="2606040" y="11255400"/>
          <a:ext cx="983880" cy="2514240"/>
        </a:xfrm>
        <a:prstGeom prst="rect">
          <a:avLst/>
        </a:prstGeom>
        <a:solidFill>
          <a:srgbClr val="ffffff"/>
        </a:solidFill>
        <a:ln w="1">
          <a:solidFill>
            <a:srgbClr val="008000"/>
          </a:solidFill>
        </a:ln>
      </xdr:spPr>
      <xdr:style>
        <a:lnRef idx="0"/>
        <a:fillRef idx="0"/>
        <a:effectRef idx="0"/>
        <a:fontRef idx="minor"/>
      </xdr:style>
      <xdr:txBody>
        <a:bodyPr horzOverflow="clip" vertOverflow="clip" lIns="90000" rIns="90000" tIns="45000" bIns="45000" anchor="t">
          <a:noAutofit/>
        </a:bodyPr>
        <a:p>
          <a:r>
            <a:rPr b="0" lang="fr-CA" sz="1100" spc="-1" strike="noStrike">
              <a:latin typeface="Times New Roman"/>
            </a:rPr>
            <a:t>This shape represents a table slicer. Table slicers are not supported in this version of Excel.</a:t>
          </a:r>
          <a:endParaRPr b="0" lang="fr-CA" sz="1100" spc="-1" strike="noStrike">
            <a:latin typeface="Times New Roman"/>
          </a:endParaRPr>
        </a:p>
        <a:p>
          <a:endParaRPr b="0" lang="fr-CA" sz="1100" spc="-1" strike="noStrike">
            <a:latin typeface="Times New Roman"/>
          </a:endParaRPr>
        </a:p>
        <a:p>
          <a:pPr>
            <a:lnSpc>
              <a:spcPct val="100000"/>
            </a:lnSpc>
          </a:pPr>
          <a:r>
            <a:rPr b="0" lang="fr-CA" sz="1100" spc="-1" strike="noStrike">
              <a:latin typeface="Times New Roman"/>
            </a:rPr>
            <a:t>If the shape was modified in an earlier version of Excel, or if the workbook was saved in Excel 2007 or earlier, the slicer can't be used.</a:t>
          </a:r>
          <a:endParaRPr b="0" lang="fr-CA" sz="1100" spc="-1" strike="noStrike">
            <a:latin typeface="Times New Roman"/>
          </a:endParaRPr>
        </a:p>
      </xdr:txBody>
    </xdr:sp>
    <xdr:clientData/>
  </xdr:twoCellAnchor>
  <xdr:twoCellAnchor editAs="absolute">
    <xdr:from>
      <xdr:col>4</xdr:col>
      <xdr:colOff>6480</xdr:colOff>
      <xdr:row>90</xdr:row>
      <xdr:rowOff>87120</xdr:rowOff>
    </xdr:from>
    <xdr:to>
      <xdr:col>5</xdr:col>
      <xdr:colOff>387000</xdr:colOff>
      <xdr:row>103</xdr:row>
      <xdr:rowOff>144000</xdr:rowOff>
    </xdr:to>
    <xdr:sp>
      <xdr:nvSpPr>
        <xdr:cNvPr id="59" name=""/>
        <xdr:cNvSpPr/>
      </xdr:nvSpPr>
      <xdr:spPr>
        <a:xfrm>
          <a:off x="4003200" y="11255400"/>
          <a:ext cx="1125360" cy="2533320"/>
        </a:xfrm>
        <a:prstGeom prst="rect">
          <a:avLst/>
        </a:prstGeom>
        <a:solidFill>
          <a:srgbClr val="ffffff"/>
        </a:solidFill>
        <a:ln w="1">
          <a:solidFill>
            <a:srgbClr val="008000"/>
          </a:solidFill>
        </a:ln>
      </xdr:spPr>
      <xdr:style>
        <a:lnRef idx="0"/>
        <a:fillRef idx="0"/>
        <a:effectRef idx="0"/>
        <a:fontRef idx="minor"/>
      </xdr:style>
      <xdr:txBody>
        <a:bodyPr horzOverflow="clip" vertOverflow="clip" lIns="90000" rIns="90000" tIns="45000" bIns="45000" anchor="t">
          <a:noAutofit/>
        </a:bodyPr>
        <a:p>
          <a:r>
            <a:rPr b="0" lang="fr-CA" sz="1100" spc="-1" strike="noStrike">
              <a:latin typeface="Times New Roman"/>
            </a:rPr>
            <a:t>This shape represents a table slicer. Table slicers are not supported in this version of Excel.</a:t>
          </a:r>
          <a:endParaRPr b="0" lang="fr-CA" sz="1100" spc="-1" strike="noStrike">
            <a:latin typeface="Times New Roman"/>
          </a:endParaRPr>
        </a:p>
        <a:p>
          <a:endParaRPr b="0" lang="fr-CA" sz="1100" spc="-1" strike="noStrike">
            <a:latin typeface="Times New Roman"/>
          </a:endParaRPr>
        </a:p>
        <a:p>
          <a:pPr>
            <a:lnSpc>
              <a:spcPct val="100000"/>
            </a:lnSpc>
          </a:pPr>
          <a:r>
            <a:rPr b="0" lang="fr-CA" sz="1100" spc="-1" strike="noStrike">
              <a:latin typeface="Times New Roman"/>
            </a:rPr>
            <a:t>If the shape was modified in an earlier version of Excel, or if the workbook was saved in Excel 2007 or earlier, the slicer can't be used.</a:t>
          </a:r>
          <a:endParaRPr b="0" lang="fr-CA" sz="1100" spc="-1" strike="noStrike">
            <a:latin typeface="Times New Roman"/>
          </a:endParaRPr>
        </a:p>
      </xdr:txBody>
    </xdr:sp>
    <xdr:clientData/>
  </xdr:twoCellAnchor>
  <xdr:twoCellAnchor editAs="absolute">
    <xdr:from>
      <xdr:col>3</xdr:col>
      <xdr:colOff>577800</xdr:colOff>
      <xdr:row>90</xdr:row>
      <xdr:rowOff>87120</xdr:rowOff>
    </xdr:from>
    <xdr:to>
      <xdr:col>3</xdr:col>
      <xdr:colOff>863280</xdr:colOff>
      <xdr:row>103</xdr:row>
      <xdr:rowOff>144000</xdr:rowOff>
    </xdr:to>
    <xdr:sp>
      <xdr:nvSpPr>
        <xdr:cNvPr id="60" name=""/>
        <xdr:cNvSpPr/>
      </xdr:nvSpPr>
      <xdr:spPr>
        <a:xfrm>
          <a:off x="3628440" y="11255400"/>
          <a:ext cx="285480" cy="2533320"/>
        </a:xfrm>
        <a:prstGeom prst="rect">
          <a:avLst/>
        </a:prstGeom>
        <a:solidFill>
          <a:srgbClr val="ffffff"/>
        </a:solidFill>
        <a:ln w="1">
          <a:solidFill>
            <a:srgbClr val="008000"/>
          </a:solidFill>
        </a:ln>
      </xdr:spPr>
      <xdr:style>
        <a:lnRef idx="0"/>
        <a:fillRef idx="0"/>
        <a:effectRef idx="0"/>
        <a:fontRef idx="minor"/>
      </xdr:style>
      <xdr:txBody>
        <a:bodyPr horzOverflow="clip" vertOverflow="clip" lIns="90000" rIns="90000" tIns="45000" bIns="45000" anchor="t">
          <a:noAutofit/>
        </a:bodyPr>
        <a:p>
          <a:r>
            <a:rPr b="0" lang="fr-CA" sz="1100" spc="-1" strike="noStrike">
              <a:latin typeface="Times New Roman"/>
            </a:rPr>
            <a:t>This shape represents a table slicer. Table slicers are not supported in this version of Excel.</a:t>
          </a:r>
          <a:endParaRPr b="0" lang="fr-CA" sz="1100" spc="-1" strike="noStrike">
            <a:latin typeface="Times New Roman"/>
          </a:endParaRPr>
        </a:p>
        <a:p>
          <a:endParaRPr b="0" lang="fr-CA" sz="1100" spc="-1" strike="noStrike">
            <a:latin typeface="Times New Roman"/>
          </a:endParaRPr>
        </a:p>
        <a:p>
          <a:pPr>
            <a:lnSpc>
              <a:spcPct val="100000"/>
            </a:lnSpc>
          </a:pPr>
          <a:r>
            <a:rPr b="0" lang="fr-CA" sz="1100" spc="-1" strike="noStrike">
              <a:latin typeface="Times New Roman"/>
            </a:rPr>
            <a:t>If the shape was modified in an earlier version of Excel, or if the workbook was saved in Excel 2007 or earlier, the slicer can't be used.</a:t>
          </a:r>
          <a:endParaRPr b="0" lang="fr-CA" sz="1100" spc="-1" strike="noStrike">
            <a:latin typeface="Times New Roman"/>
          </a:endParaRPr>
        </a:p>
      </xdr:txBody>
    </xdr:sp>
    <xdr:clientData/>
  </xdr:twoCellAnchor>
  <xdr:twoCellAnchor editAs="absolute">
    <xdr:from>
      <xdr:col>5</xdr:col>
      <xdr:colOff>387360</xdr:colOff>
      <xdr:row>90</xdr:row>
      <xdr:rowOff>87120</xdr:rowOff>
    </xdr:from>
    <xdr:to>
      <xdr:col>5</xdr:col>
      <xdr:colOff>996480</xdr:colOff>
      <xdr:row>103</xdr:row>
      <xdr:rowOff>124920</xdr:rowOff>
    </xdr:to>
    <xdr:sp>
      <xdr:nvSpPr>
        <xdr:cNvPr id="61" name=""/>
        <xdr:cNvSpPr/>
      </xdr:nvSpPr>
      <xdr:spPr>
        <a:xfrm>
          <a:off x="5128920" y="11255400"/>
          <a:ext cx="609120" cy="2514240"/>
        </a:xfrm>
        <a:prstGeom prst="rect">
          <a:avLst/>
        </a:prstGeom>
        <a:solidFill>
          <a:srgbClr val="ffffff"/>
        </a:solidFill>
        <a:ln w="1">
          <a:solidFill>
            <a:srgbClr val="008000"/>
          </a:solidFill>
        </a:ln>
      </xdr:spPr>
      <xdr:style>
        <a:lnRef idx="0"/>
        <a:fillRef idx="0"/>
        <a:effectRef idx="0"/>
        <a:fontRef idx="minor"/>
      </xdr:style>
      <xdr:txBody>
        <a:bodyPr horzOverflow="clip" vertOverflow="clip" lIns="90000" rIns="90000" tIns="45000" bIns="45000" anchor="t">
          <a:noAutofit/>
        </a:bodyPr>
        <a:p>
          <a:r>
            <a:rPr b="0" lang="fr-CA" sz="1100" spc="-1" strike="noStrike">
              <a:latin typeface="Times New Roman"/>
            </a:rPr>
            <a:t>This shape represents a table slicer. Table slicers are not supported in this version of Excel.</a:t>
          </a:r>
          <a:endParaRPr b="0" lang="fr-CA" sz="1100" spc="-1" strike="noStrike">
            <a:latin typeface="Times New Roman"/>
          </a:endParaRPr>
        </a:p>
        <a:p>
          <a:endParaRPr b="0" lang="fr-CA" sz="1100" spc="-1" strike="noStrike">
            <a:latin typeface="Times New Roman"/>
          </a:endParaRPr>
        </a:p>
        <a:p>
          <a:pPr>
            <a:lnSpc>
              <a:spcPct val="100000"/>
            </a:lnSpc>
          </a:pPr>
          <a:r>
            <a:rPr b="0" lang="fr-CA" sz="1100" spc="-1" strike="noStrike">
              <a:latin typeface="Times New Roman"/>
            </a:rPr>
            <a:t>If the shape was modified in an earlier version of Excel, or if the workbook was saved in Excel 2007 or earlier, the slicer can't be used.</a:t>
          </a:r>
          <a:endParaRPr b="0" lang="fr-CA" sz="1100" spc="-1" strike="noStrike">
            <a:latin typeface="Times New Roman"/>
          </a:endParaRPr>
        </a:p>
      </xdr:txBody>
    </xdr:sp>
    <xdr:clientData/>
  </xdr:twoCellAnchor>
  <xdr:twoCellAnchor editAs="absolute">
    <xdr:from>
      <xdr:col>6</xdr:col>
      <xdr:colOff>549360</xdr:colOff>
      <xdr:row>90</xdr:row>
      <xdr:rowOff>68040</xdr:rowOff>
    </xdr:from>
    <xdr:to>
      <xdr:col>12</xdr:col>
      <xdr:colOff>253800</xdr:colOff>
      <xdr:row>103</xdr:row>
      <xdr:rowOff>105840</xdr:rowOff>
    </xdr:to>
    <xdr:sp>
      <xdr:nvSpPr>
        <xdr:cNvPr id="62" name=""/>
        <xdr:cNvSpPr/>
      </xdr:nvSpPr>
      <xdr:spPr>
        <a:xfrm>
          <a:off x="6630120" y="11236320"/>
          <a:ext cx="4788720" cy="2514240"/>
        </a:xfrm>
        <a:prstGeom prst="rect">
          <a:avLst/>
        </a:prstGeom>
        <a:solidFill>
          <a:srgbClr val="ffffff"/>
        </a:solidFill>
        <a:ln w="1">
          <a:solidFill>
            <a:srgbClr val="008000"/>
          </a:solidFill>
        </a:ln>
      </xdr:spPr>
      <xdr:style>
        <a:lnRef idx="0"/>
        <a:fillRef idx="0"/>
        <a:effectRef idx="0"/>
        <a:fontRef idx="minor"/>
      </xdr:style>
      <xdr:txBody>
        <a:bodyPr horzOverflow="clip" vertOverflow="clip" lIns="90000" rIns="90000" tIns="45000" bIns="45000" anchor="t">
          <a:noAutofit/>
        </a:bodyPr>
        <a:p>
          <a:r>
            <a:rPr b="0" lang="fr-CA" sz="1100" spc="-1" strike="noStrike">
              <a:latin typeface="Times New Roman"/>
            </a:rPr>
            <a:t>This shape represents a table slicer. Table slicers are not supported in this version of Excel.</a:t>
          </a:r>
          <a:endParaRPr b="0" lang="fr-CA" sz="1100" spc="-1" strike="noStrike">
            <a:latin typeface="Times New Roman"/>
          </a:endParaRPr>
        </a:p>
        <a:p>
          <a:endParaRPr b="0" lang="fr-CA" sz="1100" spc="-1" strike="noStrike">
            <a:latin typeface="Times New Roman"/>
          </a:endParaRPr>
        </a:p>
        <a:p>
          <a:pPr>
            <a:lnSpc>
              <a:spcPct val="100000"/>
            </a:lnSpc>
          </a:pPr>
          <a:r>
            <a:rPr b="0" lang="fr-CA" sz="1100" spc="-1" strike="noStrike">
              <a:latin typeface="Times New Roman"/>
            </a:rPr>
            <a:t>If the shape was modified in an earlier version of Excel, or if the workbook was saved in Excel 2007 or earlier, the slicer can't be used.</a:t>
          </a:r>
          <a:endParaRPr b="0" lang="fr-CA" sz="1100" spc="-1" strike="noStrike">
            <a:latin typeface="Times New Roman"/>
          </a:endParaRPr>
        </a:p>
      </xdr:txBody>
    </xdr: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absolute">
    <xdr:from>
      <xdr:col>2</xdr:col>
      <xdr:colOff>254160</xdr:colOff>
      <xdr:row>91</xdr:row>
      <xdr:rowOff>87120</xdr:rowOff>
    </xdr:from>
    <xdr:to>
      <xdr:col>2</xdr:col>
      <xdr:colOff>787320</xdr:colOff>
      <xdr:row>105</xdr:row>
      <xdr:rowOff>29160</xdr:rowOff>
    </xdr:to>
    <xdr:sp>
      <xdr:nvSpPr>
        <xdr:cNvPr id="63" name=""/>
        <xdr:cNvSpPr/>
      </xdr:nvSpPr>
      <xdr:spPr>
        <a:xfrm>
          <a:off x="2015640" y="11255400"/>
          <a:ext cx="533160" cy="2609280"/>
        </a:xfrm>
        <a:prstGeom prst="rect">
          <a:avLst/>
        </a:prstGeom>
        <a:solidFill>
          <a:srgbClr val="ffffff"/>
        </a:solidFill>
        <a:ln w="1">
          <a:solidFill>
            <a:srgbClr val="008000"/>
          </a:solidFill>
        </a:ln>
      </xdr:spPr>
      <xdr:style>
        <a:lnRef idx="0"/>
        <a:fillRef idx="0"/>
        <a:effectRef idx="0"/>
        <a:fontRef idx="minor"/>
      </xdr:style>
      <xdr:txBody>
        <a:bodyPr horzOverflow="clip" vertOverflow="clip" lIns="90000" rIns="90000" tIns="45000" bIns="45000" anchor="t">
          <a:noAutofit/>
        </a:bodyPr>
        <a:p>
          <a:r>
            <a:rPr b="0" lang="fr-CA" sz="1100" spc="-1" strike="noStrike">
              <a:latin typeface="Times New Roman"/>
            </a:rPr>
            <a:t>This shape represents a table slicer. Table slicers are not supported in this version of Excel.</a:t>
          </a:r>
          <a:endParaRPr b="0" lang="fr-CA" sz="1100" spc="-1" strike="noStrike">
            <a:latin typeface="Times New Roman"/>
          </a:endParaRPr>
        </a:p>
        <a:p>
          <a:endParaRPr b="0" lang="fr-CA" sz="1100" spc="-1" strike="noStrike">
            <a:latin typeface="Times New Roman"/>
          </a:endParaRPr>
        </a:p>
        <a:p>
          <a:pPr>
            <a:lnSpc>
              <a:spcPct val="100000"/>
            </a:lnSpc>
          </a:pPr>
          <a:r>
            <a:rPr b="0" lang="fr-CA" sz="1100" spc="-1" strike="noStrike">
              <a:latin typeface="Times New Roman"/>
            </a:rPr>
            <a:t>If the shape was modified in an earlier version of Excel, or if the workbook was saved in Excel 2007 or earlier, the slicer can't be used.</a:t>
          </a:r>
          <a:endParaRPr b="0" lang="fr-CA" sz="1100" spc="-1" strike="noStrike">
            <a:latin typeface="Times New Roman"/>
          </a:endParaRPr>
        </a:p>
      </xdr:txBody>
    </xdr:sp>
    <xdr:clientData/>
  </xdr:twoCellAnchor>
  <xdr:twoCellAnchor editAs="absolute">
    <xdr:from>
      <xdr:col>5</xdr:col>
      <xdr:colOff>1015920</xdr:colOff>
      <xdr:row>91</xdr:row>
      <xdr:rowOff>87120</xdr:rowOff>
    </xdr:from>
    <xdr:to>
      <xdr:col>6</xdr:col>
      <xdr:colOff>491760</xdr:colOff>
      <xdr:row>100</xdr:row>
      <xdr:rowOff>67680</xdr:rowOff>
    </xdr:to>
    <xdr:sp>
      <xdr:nvSpPr>
        <xdr:cNvPr id="64" name=""/>
        <xdr:cNvSpPr/>
      </xdr:nvSpPr>
      <xdr:spPr>
        <a:xfrm>
          <a:off x="5757480" y="11255400"/>
          <a:ext cx="815040" cy="1695240"/>
        </a:xfrm>
        <a:prstGeom prst="rect">
          <a:avLst/>
        </a:prstGeom>
        <a:solidFill>
          <a:srgbClr val="ffffff"/>
        </a:solidFill>
        <a:ln w="1">
          <a:solidFill>
            <a:srgbClr val="008000"/>
          </a:solidFill>
        </a:ln>
      </xdr:spPr>
      <xdr:style>
        <a:lnRef idx="0"/>
        <a:fillRef idx="0"/>
        <a:effectRef idx="0"/>
        <a:fontRef idx="minor"/>
      </xdr:style>
      <xdr:txBody>
        <a:bodyPr horzOverflow="clip" vertOverflow="clip" lIns="90000" rIns="90000" tIns="45000" bIns="45000" anchor="t">
          <a:noAutofit/>
        </a:bodyPr>
        <a:p>
          <a:r>
            <a:rPr b="0" lang="fr-CA" sz="1100" spc="-1" strike="noStrike">
              <a:latin typeface="Times New Roman"/>
            </a:rPr>
            <a:t>This shape represents a table slicer. Table slicers are not supported in this version of Excel.</a:t>
          </a:r>
          <a:endParaRPr b="0" lang="fr-CA" sz="1100" spc="-1" strike="noStrike">
            <a:latin typeface="Times New Roman"/>
          </a:endParaRPr>
        </a:p>
        <a:p>
          <a:endParaRPr b="0" lang="fr-CA" sz="1100" spc="-1" strike="noStrike">
            <a:latin typeface="Times New Roman"/>
          </a:endParaRPr>
        </a:p>
        <a:p>
          <a:pPr>
            <a:lnSpc>
              <a:spcPct val="100000"/>
            </a:lnSpc>
          </a:pPr>
          <a:r>
            <a:rPr b="0" lang="fr-CA" sz="1100" spc="-1" strike="noStrike">
              <a:latin typeface="Times New Roman"/>
            </a:rPr>
            <a:t>If the shape was modified in an earlier version of Excel, or if the workbook was saved in Excel 2007 or earlier, the slicer can't be used.</a:t>
          </a:r>
          <a:endParaRPr b="0" lang="fr-CA" sz="1100" spc="-1" strike="noStrike">
            <a:latin typeface="Times New Roman"/>
          </a:endParaRPr>
        </a:p>
      </xdr:txBody>
    </xdr:sp>
    <xdr:clientData/>
  </xdr:twoCellAnchor>
  <xdr:twoCellAnchor editAs="absolute">
    <xdr:from>
      <xdr:col>2</xdr:col>
      <xdr:colOff>844560</xdr:colOff>
      <xdr:row>91</xdr:row>
      <xdr:rowOff>87120</xdr:rowOff>
    </xdr:from>
    <xdr:to>
      <xdr:col>3</xdr:col>
      <xdr:colOff>539280</xdr:colOff>
      <xdr:row>104</xdr:row>
      <xdr:rowOff>124920</xdr:rowOff>
    </xdr:to>
    <xdr:sp>
      <xdr:nvSpPr>
        <xdr:cNvPr id="65" name=""/>
        <xdr:cNvSpPr/>
      </xdr:nvSpPr>
      <xdr:spPr>
        <a:xfrm>
          <a:off x="2606040" y="11255400"/>
          <a:ext cx="983880" cy="2514240"/>
        </a:xfrm>
        <a:prstGeom prst="rect">
          <a:avLst/>
        </a:prstGeom>
        <a:solidFill>
          <a:srgbClr val="ffffff"/>
        </a:solidFill>
        <a:ln w="1">
          <a:solidFill>
            <a:srgbClr val="008000"/>
          </a:solidFill>
        </a:ln>
      </xdr:spPr>
      <xdr:style>
        <a:lnRef idx="0"/>
        <a:fillRef idx="0"/>
        <a:effectRef idx="0"/>
        <a:fontRef idx="minor"/>
      </xdr:style>
      <xdr:txBody>
        <a:bodyPr horzOverflow="clip" vertOverflow="clip" lIns="90000" rIns="90000" tIns="45000" bIns="45000" anchor="t">
          <a:noAutofit/>
        </a:bodyPr>
        <a:p>
          <a:r>
            <a:rPr b="0" lang="fr-CA" sz="1100" spc="-1" strike="noStrike">
              <a:latin typeface="Times New Roman"/>
            </a:rPr>
            <a:t>This shape represents a table slicer. Table slicers are not supported in this version of Excel.</a:t>
          </a:r>
          <a:endParaRPr b="0" lang="fr-CA" sz="1100" spc="-1" strike="noStrike">
            <a:latin typeface="Times New Roman"/>
          </a:endParaRPr>
        </a:p>
        <a:p>
          <a:endParaRPr b="0" lang="fr-CA" sz="1100" spc="-1" strike="noStrike">
            <a:latin typeface="Times New Roman"/>
          </a:endParaRPr>
        </a:p>
        <a:p>
          <a:pPr>
            <a:lnSpc>
              <a:spcPct val="100000"/>
            </a:lnSpc>
          </a:pPr>
          <a:r>
            <a:rPr b="0" lang="fr-CA" sz="1100" spc="-1" strike="noStrike">
              <a:latin typeface="Times New Roman"/>
            </a:rPr>
            <a:t>If the shape was modified in an earlier version of Excel, or if the workbook was saved in Excel 2007 or earlier, the slicer can't be used.</a:t>
          </a:r>
          <a:endParaRPr b="0" lang="fr-CA" sz="1100" spc="-1" strike="noStrike">
            <a:latin typeface="Times New Roman"/>
          </a:endParaRPr>
        </a:p>
      </xdr:txBody>
    </xdr:sp>
    <xdr:clientData/>
  </xdr:twoCellAnchor>
  <xdr:twoCellAnchor editAs="absolute">
    <xdr:from>
      <xdr:col>4</xdr:col>
      <xdr:colOff>6480</xdr:colOff>
      <xdr:row>91</xdr:row>
      <xdr:rowOff>87120</xdr:rowOff>
    </xdr:from>
    <xdr:to>
      <xdr:col>5</xdr:col>
      <xdr:colOff>387000</xdr:colOff>
      <xdr:row>104</xdr:row>
      <xdr:rowOff>144000</xdr:rowOff>
    </xdr:to>
    <xdr:sp>
      <xdr:nvSpPr>
        <xdr:cNvPr id="66" name=""/>
        <xdr:cNvSpPr/>
      </xdr:nvSpPr>
      <xdr:spPr>
        <a:xfrm>
          <a:off x="4003200" y="11255400"/>
          <a:ext cx="1125360" cy="2533320"/>
        </a:xfrm>
        <a:prstGeom prst="rect">
          <a:avLst/>
        </a:prstGeom>
        <a:solidFill>
          <a:srgbClr val="ffffff"/>
        </a:solidFill>
        <a:ln w="1">
          <a:solidFill>
            <a:srgbClr val="008000"/>
          </a:solidFill>
        </a:ln>
      </xdr:spPr>
      <xdr:style>
        <a:lnRef idx="0"/>
        <a:fillRef idx="0"/>
        <a:effectRef idx="0"/>
        <a:fontRef idx="minor"/>
      </xdr:style>
      <xdr:txBody>
        <a:bodyPr horzOverflow="clip" vertOverflow="clip" lIns="90000" rIns="90000" tIns="45000" bIns="45000" anchor="t">
          <a:noAutofit/>
        </a:bodyPr>
        <a:p>
          <a:r>
            <a:rPr b="0" lang="fr-CA" sz="1100" spc="-1" strike="noStrike">
              <a:latin typeface="Times New Roman"/>
            </a:rPr>
            <a:t>This shape represents a table slicer. Table slicers are not supported in this version of Excel.</a:t>
          </a:r>
          <a:endParaRPr b="0" lang="fr-CA" sz="1100" spc="-1" strike="noStrike">
            <a:latin typeface="Times New Roman"/>
          </a:endParaRPr>
        </a:p>
        <a:p>
          <a:endParaRPr b="0" lang="fr-CA" sz="1100" spc="-1" strike="noStrike">
            <a:latin typeface="Times New Roman"/>
          </a:endParaRPr>
        </a:p>
        <a:p>
          <a:pPr>
            <a:lnSpc>
              <a:spcPct val="100000"/>
            </a:lnSpc>
          </a:pPr>
          <a:r>
            <a:rPr b="0" lang="fr-CA" sz="1100" spc="-1" strike="noStrike">
              <a:latin typeface="Times New Roman"/>
            </a:rPr>
            <a:t>If the shape was modified in an earlier version of Excel, or if the workbook was saved in Excel 2007 or earlier, the slicer can't be used.</a:t>
          </a:r>
          <a:endParaRPr b="0" lang="fr-CA" sz="1100" spc="-1" strike="noStrike">
            <a:latin typeface="Times New Roman"/>
          </a:endParaRPr>
        </a:p>
      </xdr:txBody>
    </xdr:sp>
    <xdr:clientData/>
  </xdr:twoCellAnchor>
  <xdr:twoCellAnchor editAs="absolute">
    <xdr:from>
      <xdr:col>3</xdr:col>
      <xdr:colOff>577800</xdr:colOff>
      <xdr:row>91</xdr:row>
      <xdr:rowOff>87120</xdr:rowOff>
    </xdr:from>
    <xdr:to>
      <xdr:col>3</xdr:col>
      <xdr:colOff>863280</xdr:colOff>
      <xdr:row>104</xdr:row>
      <xdr:rowOff>144000</xdr:rowOff>
    </xdr:to>
    <xdr:sp>
      <xdr:nvSpPr>
        <xdr:cNvPr id="67" name=""/>
        <xdr:cNvSpPr/>
      </xdr:nvSpPr>
      <xdr:spPr>
        <a:xfrm>
          <a:off x="3628440" y="11255400"/>
          <a:ext cx="285480" cy="2533320"/>
        </a:xfrm>
        <a:prstGeom prst="rect">
          <a:avLst/>
        </a:prstGeom>
        <a:solidFill>
          <a:srgbClr val="ffffff"/>
        </a:solidFill>
        <a:ln w="1">
          <a:solidFill>
            <a:srgbClr val="008000"/>
          </a:solidFill>
        </a:ln>
      </xdr:spPr>
      <xdr:style>
        <a:lnRef idx="0"/>
        <a:fillRef idx="0"/>
        <a:effectRef idx="0"/>
        <a:fontRef idx="minor"/>
      </xdr:style>
      <xdr:txBody>
        <a:bodyPr horzOverflow="clip" vertOverflow="clip" lIns="90000" rIns="90000" tIns="45000" bIns="45000" anchor="t">
          <a:noAutofit/>
        </a:bodyPr>
        <a:p>
          <a:r>
            <a:rPr b="0" lang="fr-CA" sz="1100" spc="-1" strike="noStrike">
              <a:latin typeface="Times New Roman"/>
            </a:rPr>
            <a:t>This shape represents a table slicer. Table slicers are not supported in this version of Excel.</a:t>
          </a:r>
          <a:endParaRPr b="0" lang="fr-CA" sz="1100" spc="-1" strike="noStrike">
            <a:latin typeface="Times New Roman"/>
          </a:endParaRPr>
        </a:p>
        <a:p>
          <a:endParaRPr b="0" lang="fr-CA" sz="1100" spc="-1" strike="noStrike">
            <a:latin typeface="Times New Roman"/>
          </a:endParaRPr>
        </a:p>
        <a:p>
          <a:pPr>
            <a:lnSpc>
              <a:spcPct val="100000"/>
            </a:lnSpc>
          </a:pPr>
          <a:r>
            <a:rPr b="0" lang="fr-CA" sz="1100" spc="-1" strike="noStrike">
              <a:latin typeface="Times New Roman"/>
            </a:rPr>
            <a:t>If the shape was modified in an earlier version of Excel, or if the workbook was saved in Excel 2007 or earlier, the slicer can't be used.</a:t>
          </a:r>
          <a:endParaRPr b="0" lang="fr-CA" sz="1100" spc="-1" strike="noStrike">
            <a:latin typeface="Times New Roman"/>
          </a:endParaRPr>
        </a:p>
      </xdr:txBody>
    </xdr:sp>
    <xdr:clientData/>
  </xdr:twoCellAnchor>
  <xdr:twoCellAnchor editAs="absolute">
    <xdr:from>
      <xdr:col>5</xdr:col>
      <xdr:colOff>387360</xdr:colOff>
      <xdr:row>91</xdr:row>
      <xdr:rowOff>87120</xdr:rowOff>
    </xdr:from>
    <xdr:to>
      <xdr:col>5</xdr:col>
      <xdr:colOff>996480</xdr:colOff>
      <xdr:row>104</xdr:row>
      <xdr:rowOff>124920</xdr:rowOff>
    </xdr:to>
    <xdr:sp>
      <xdr:nvSpPr>
        <xdr:cNvPr id="68" name=""/>
        <xdr:cNvSpPr/>
      </xdr:nvSpPr>
      <xdr:spPr>
        <a:xfrm>
          <a:off x="5128920" y="11255400"/>
          <a:ext cx="609120" cy="2514240"/>
        </a:xfrm>
        <a:prstGeom prst="rect">
          <a:avLst/>
        </a:prstGeom>
        <a:solidFill>
          <a:srgbClr val="ffffff"/>
        </a:solidFill>
        <a:ln w="1">
          <a:solidFill>
            <a:srgbClr val="008000"/>
          </a:solidFill>
        </a:ln>
      </xdr:spPr>
      <xdr:style>
        <a:lnRef idx="0"/>
        <a:fillRef idx="0"/>
        <a:effectRef idx="0"/>
        <a:fontRef idx="minor"/>
      </xdr:style>
      <xdr:txBody>
        <a:bodyPr horzOverflow="clip" vertOverflow="clip" lIns="90000" rIns="90000" tIns="45000" bIns="45000" anchor="t">
          <a:noAutofit/>
        </a:bodyPr>
        <a:p>
          <a:r>
            <a:rPr b="0" lang="fr-CA" sz="1100" spc="-1" strike="noStrike">
              <a:latin typeface="Times New Roman"/>
            </a:rPr>
            <a:t>This shape represents a table slicer. Table slicers are not supported in this version of Excel.</a:t>
          </a:r>
          <a:endParaRPr b="0" lang="fr-CA" sz="1100" spc="-1" strike="noStrike">
            <a:latin typeface="Times New Roman"/>
          </a:endParaRPr>
        </a:p>
        <a:p>
          <a:endParaRPr b="0" lang="fr-CA" sz="1100" spc="-1" strike="noStrike">
            <a:latin typeface="Times New Roman"/>
          </a:endParaRPr>
        </a:p>
        <a:p>
          <a:pPr>
            <a:lnSpc>
              <a:spcPct val="100000"/>
            </a:lnSpc>
          </a:pPr>
          <a:r>
            <a:rPr b="0" lang="fr-CA" sz="1100" spc="-1" strike="noStrike">
              <a:latin typeface="Times New Roman"/>
            </a:rPr>
            <a:t>If the shape was modified in an earlier version of Excel, or if the workbook was saved in Excel 2007 or earlier, the slicer can't be used.</a:t>
          </a:r>
          <a:endParaRPr b="0" lang="fr-CA" sz="1100" spc="-1" strike="noStrike">
            <a:latin typeface="Times New Roman"/>
          </a:endParaRPr>
        </a:p>
      </xdr:txBody>
    </xdr:sp>
    <xdr:clientData/>
  </xdr:twoCellAnchor>
  <xdr:twoCellAnchor editAs="absolute">
    <xdr:from>
      <xdr:col>6</xdr:col>
      <xdr:colOff>549360</xdr:colOff>
      <xdr:row>91</xdr:row>
      <xdr:rowOff>68040</xdr:rowOff>
    </xdr:from>
    <xdr:to>
      <xdr:col>12</xdr:col>
      <xdr:colOff>253800</xdr:colOff>
      <xdr:row>104</xdr:row>
      <xdr:rowOff>105840</xdr:rowOff>
    </xdr:to>
    <xdr:sp>
      <xdr:nvSpPr>
        <xdr:cNvPr id="69" name=""/>
        <xdr:cNvSpPr/>
      </xdr:nvSpPr>
      <xdr:spPr>
        <a:xfrm>
          <a:off x="6630120" y="11236320"/>
          <a:ext cx="4788720" cy="2514240"/>
        </a:xfrm>
        <a:prstGeom prst="rect">
          <a:avLst/>
        </a:prstGeom>
        <a:solidFill>
          <a:srgbClr val="ffffff"/>
        </a:solidFill>
        <a:ln w="1">
          <a:solidFill>
            <a:srgbClr val="008000"/>
          </a:solidFill>
        </a:ln>
      </xdr:spPr>
      <xdr:style>
        <a:lnRef idx="0"/>
        <a:fillRef idx="0"/>
        <a:effectRef idx="0"/>
        <a:fontRef idx="minor"/>
      </xdr:style>
      <xdr:txBody>
        <a:bodyPr horzOverflow="clip" vertOverflow="clip" lIns="90000" rIns="90000" tIns="45000" bIns="45000" anchor="t">
          <a:noAutofit/>
        </a:bodyPr>
        <a:p>
          <a:r>
            <a:rPr b="0" lang="fr-CA" sz="1100" spc="-1" strike="noStrike">
              <a:latin typeface="Times New Roman"/>
            </a:rPr>
            <a:t>This shape represents a table slicer. Table slicers are not supported in this version of Excel.</a:t>
          </a:r>
          <a:endParaRPr b="0" lang="fr-CA" sz="1100" spc="-1" strike="noStrike">
            <a:latin typeface="Times New Roman"/>
          </a:endParaRPr>
        </a:p>
        <a:p>
          <a:endParaRPr b="0" lang="fr-CA" sz="1100" spc="-1" strike="noStrike">
            <a:latin typeface="Times New Roman"/>
          </a:endParaRPr>
        </a:p>
        <a:p>
          <a:pPr>
            <a:lnSpc>
              <a:spcPct val="100000"/>
            </a:lnSpc>
          </a:pPr>
          <a:r>
            <a:rPr b="0" lang="fr-CA" sz="1100" spc="-1" strike="noStrike">
              <a:latin typeface="Times New Roman"/>
            </a:rPr>
            <a:t>If the shape was modified in an earlier version of Excel, or if the workbook was saved in Excel 2007 or earlier, the slicer can't be used.</a:t>
          </a:r>
          <a:endParaRPr b="0" lang="fr-CA" sz="1100" spc="-1" strike="noStrike">
            <a:latin typeface="Times New Roman"/>
          </a:endParaRPr>
        </a:p>
      </xdr:txBody>
    </xdr:sp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absolute">
    <xdr:from>
      <xdr:col>2</xdr:col>
      <xdr:colOff>254160</xdr:colOff>
      <xdr:row>90</xdr:row>
      <xdr:rowOff>87120</xdr:rowOff>
    </xdr:from>
    <xdr:to>
      <xdr:col>2</xdr:col>
      <xdr:colOff>787320</xdr:colOff>
      <xdr:row>104</xdr:row>
      <xdr:rowOff>29160</xdr:rowOff>
    </xdr:to>
    <xdr:sp>
      <xdr:nvSpPr>
        <xdr:cNvPr id="70" name=""/>
        <xdr:cNvSpPr/>
      </xdr:nvSpPr>
      <xdr:spPr>
        <a:xfrm>
          <a:off x="2015640" y="11255400"/>
          <a:ext cx="533160" cy="2609280"/>
        </a:xfrm>
        <a:prstGeom prst="rect">
          <a:avLst/>
        </a:prstGeom>
        <a:solidFill>
          <a:srgbClr val="ffffff"/>
        </a:solidFill>
        <a:ln w="1">
          <a:solidFill>
            <a:srgbClr val="008000"/>
          </a:solidFill>
        </a:ln>
      </xdr:spPr>
      <xdr:style>
        <a:lnRef idx="0"/>
        <a:fillRef idx="0"/>
        <a:effectRef idx="0"/>
        <a:fontRef idx="minor"/>
      </xdr:style>
      <xdr:txBody>
        <a:bodyPr horzOverflow="clip" vertOverflow="clip" lIns="90000" rIns="90000" tIns="45000" bIns="45000" anchor="t">
          <a:noAutofit/>
        </a:bodyPr>
        <a:p>
          <a:r>
            <a:rPr b="0" lang="fr-CA" sz="1100" spc="-1" strike="noStrike">
              <a:latin typeface="Times New Roman"/>
            </a:rPr>
            <a:t>This shape represents a table slicer. Table slicers are not supported in this version of Excel.</a:t>
          </a:r>
          <a:endParaRPr b="0" lang="fr-CA" sz="1100" spc="-1" strike="noStrike">
            <a:latin typeface="Times New Roman"/>
          </a:endParaRPr>
        </a:p>
        <a:p>
          <a:endParaRPr b="0" lang="fr-CA" sz="1100" spc="-1" strike="noStrike">
            <a:latin typeface="Times New Roman"/>
          </a:endParaRPr>
        </a:p>
        <a:p>
          <a:pPr>
            <a:lnSpc>
              <a:spcPct val="100000"/>
            </a:lnSpc>
          </a:pPr>
          <a:r>
            <a:rPr b="0" lang="fr-CA" sz="1100" spc="-1" strike="noStrike">
              <a:latin typeface="Times New Roman"/>
            </a:rPr>
            <a:t>If the shape was modified in an earlier version of Excel, or if the workbook was saved in Excel 2007 or earlier, the slicer can't be used.</a:t>
          </a:r>
          <a:endParaRPr b="0" lang="fr-CA" sz="1100" spc="-1" strike="noStrike">
            <a:latin typeface="Times New Roman"/>
          </a:endParaRPr>
        </a:p>
      </xdr:txBody>
    </xdr:sp>
    <xdr:clientData/>
  </xdr:twoCellAnchor>
  <xdr:twoCellAnchor editAs="absolute">
    <xdr:from>
      <xdr:col>5</xdr:col>
      <xdr:colOff>1015920</xdr:colOff>
      <xdr:row>90</xdr:row>
      <xdr:rowOff>87120</xdr:rowOff>
    </xdr:from>
    <xdr:to>
      <xdr:col>6</xdr:col>
      <xdr:colOff>491760</xdr:colOff>
      <xdr:row>99</xdr:row>
      <xdr:rowOff>67680</xdr:rowOff>
    </xdr:to>
    <xdr:sp>
      <xdr:nvSpPr>
        <xdr:cNvPr id="71" name=""/>
        <xdr:cNvSpPr/>
      </xdr:nvSpPr>
      <xdr:spPr>
        <a:xfrm>
          <a:off x="5757480" y="11255400"/>
          <a:ext cx="815040" cy="1695240"/>
        </a:xfrm>
        <a:prstGeom prst="rect">
          <a:avLst/>
        </a:prstGeom>
        <a:solidFill>
          <a:srgbClr val="ffffff"/>
        </a:solidFill>
        <a:ln w="1">
          <a:solidFill>
            <a:srgbClr val="008000"/>
          </a:solidFill>
        </a:ln>
      </xdr:spPr>
      <xdr:style>
        <a:lnRef idx="0"/>
        <a:fillRef idx="0"/>
        <a:effectRef idx="0"/>
        <a:fontRef idx="minor"/>
      </xdr:style>
      <xdr:txBody>
        <a:bodyPr horzOverflow="clip" vertOverflow="clip" lIns="90000" rIns="90000" tIns="45000" bIns="45000" anchor="t">
          <a:noAutofit/>
        </a:bodyPr>
        <a:p>
          <a:r>
            <a:rPr b="0" lang="fr-CA" sz="1100" spc="-1" strike="noStrike">
              <a:latin typeface="Times New Roman"/>
            </a:rPr>
            <a:t>This shape represents a table slicer. Table slicers are not supported in this version of Excel.</a:t>
          </a:r>
          <a:endParaRPr b="0" lang="fr-CA" sz="1100" spc="-1" strike="noStrike">
            <a:latin typeface="Times New Roman"/>
          </a:endParaRPr>
        </a:p>
        <a:p>
          <a:endParaRPr b="0" lang="fr-CA" sz="1100" spc="-1" strike="noStrike">
            <a:latin typeface="Times New Roman"/>
          </a:endParaRPr>
        </a:p>
        <a:p>
          <a:pPr>
            <a:lnSpc>
              <a:spcPct val="100000"/>
            </a:lnSpc>
          </a:pPr>
          <a:r>
            <a:rPr b="0" lang="fr-CA" sz="1100" spc="-1" strike="noStrike">
              <a:latin typeface="Times New Roman"/>
            </a:rPr>
            <a:t>If the shape was modified in an earlier version of Excel, or if the workbook was saved in Excel 2007 or earlier, the slicer can't be used.</a:t>
          </a:r>
          <a:endParaRPr b="0" lang="fr-CA" sz="1100" spc="-1" strike="noStrike">
            <a:latin typeface="Times New Roman"/>
          </a:endParaRPr>
        </a:p>
      </xdr:txBody>
    </xdr:sp>
    <xdr:clientData/>
  </xdr:twoCellAnchor>
  <xdr:twoCellAnchor editAs="absolute">
    <xdr:from>
      <xdr:col>2</xdr:col>
      <xdr:colOff>844560</xdr:colOff>
      <xdr:row>90</xdr:row>
      <xdr:rowOff>87120</xdr:rowOff>
    </xdr:from>
    <xdr:to>
      <xdr:col>3</xdr:col>
      <xdr:colOff>539280</xdr:colOff>
      <xdr:row>103</xdr:row>
      <xdr:rowOff>124920</xdr:rowOff>
    </xdr:to>
    <xdr:sp>
      <xdr:nvSpPr>
        <xdr:cNvPr id="72" name=""/>
        <xdr:cNvSpPr/>
      </xdr:nvSpPr>
      <xdr:spPr>
        <a:xfrm>
          <a:off x="2606040" y="11255400"/>
          <a:ext cx="983880" cy="2514240"/>
        </a:xfrm>
        <a:prstGeom prst="rect">
          <a:avLst/>
        </a:prstGeom>
        <a:solidFill>
          <a:srgbClr val="ffffff"/>
        </a:solidFill>
        <a:ln w="1">
          <a:solidFill>
            <a:srgbClr val="008000"/>
          </a:solidFill>
        </a:ln>
      </xdr:spPr>
      <xdr:style>
        <a:lnRef idx="0"/>
        <a:fillRef idx="0"/>
        <a:effectRef idx="0"/>
        <a:fontRef idx="minor"/>
      </xdr:style>
      <xdr:txBody>
        <a:bodyPr horzOverflow="clip" vertOverflow="clip" lIns="90000" rIns="90000" tIns="45000" bIns="45000" anchor="t">
          <a:noAutofit/>
        </a:bodyPr>
        <a:p>
          <a:r>
            <a:rPr b="0" lang="fr-CA" sz="1100" spc="-1" strike="noStrike">
              <a:latin typeface="Times New Roman"/>
            </a:rPr>
            <a:t>This shape represents a table slicer. Table slicers are not supported in this version of Excel.</a:t>
          </a:r>
          <a:endParaRPr b="0" lang="fr-CA" sz="1100" spc="-1" strike="noStrike">
            <a:latin typeface="Times New Roman"/>
          </a:endParaRPr>
        </a:p>
        <a:p>
          <a:endParaRPr b="0" lang="fr-CA" sz="1100" spc="-1" strike="noStrike">
            <a:latin typeface="Times New Roman"/>
          </a:endParaRPr>
        </a:p>
        <a:p>
          <a:pPr>
            <a:lnSpc>
              <a:spcPct val="100000"/>
            </a:lnSpc>
          </a:pPr>
          <a:r>
            <a:rPr b="0" lang="fr-CA" sz="1100" spc="-1" strike="noStrike">
              <a:latin typeface="Times New Roman"/>
            </a:rPr>
            <a:t>If the shape was modified in an earlier version of Excel, or if the workbook was saved in Excel 2007 or earlier, the slicer can't be used.</a:t>
          </a:r>
          <a:endParaRPr b="0" lang="fr-CA" sz="1100" spc="-1" strike="noStrike">
            <a:latin typeface="Times New Roman"/>
          </a:endParaRPr>
        </a:p>
      </xdr:txBody>
    </xdr:sp>
    <xdr:clientData/>
  </xdr:twoCellAnchor>
  <xdr:twoCellAnchor editAs="absolute">
    <xdr:from>
      <xdr:col>4</xdr:col>
      <xdr:colOff>6480</xdr:colOff>
      <xdr:row>90</xdr:row>
      <xdr:rowOff>87120</xdr:rowOff>
    </xdr:from>
    <xdr:to>
      <xdr:col>5</xdr:col>
      <xdr:colOff>387000</xdr:colOff>
      <xdr:row>103</xdr:row>
      <xdr:rowOff>144000</xdr:rowOff>
    </xdr:to>
    <xdr:sp>
      <xdr:nvSpPr>
        <xdr:cNvPr id="73" name=""/>
        <xdr:cNvSpPr/>
      </xdr:nvSpPr>
      <xdr:spPr>
        <a:xfrm>
          <a:off x="4003200" y="11255400"/>
          <a:ext cx="1125360" cy="2533320"/>
        </a:xfrm>
        <a:prstGeom prst="rect">
          <a:avLst/>
        </a:prstGeom>
        <a:solidFill>
          <a:srgbClr val="ffffff"/>
        </a:solidFill>
        <a:ln w="1">
          <a:solidFill>
            <a:srgbClr val="008000"/>
          </a:solidFill>
        </a:ln>
      </xdr:spPr>
      <xdr:style>
        <a:lnRef idx="0"/>
        <a:fillRef idx="0"/>
        <a:effectRef idx="0"/>
        <a:fontRef idx="minor"/>
      </xdr:style>
      <xdr:txBody>
        <a:bodyPr horzOverflow="clip" vertOverflow="clip" lIns="90000" rIns="90000" tIns="45000" bIns="45000" anchor="t">
          <a:noAutofit/>
        </a:bodyPr>
        <a:p>
          <a:r>
            <a:rPr b="0" lang="fr-CA" sz="1100" spc="-1" strike="noStrike">
              <a:latin typeface="Times New Roman"/>
            </a:rPr>
            <a:t>This shape represents a table slicer. Table slicers are not supported in this version of Excel.</a:t>
          </a:r>
          <a:endParaRPr b="0" lang="fr-CA" sz="1100" spc="-1" strike="noStrike">
            <a:latin typeface="Times New Roman"/>
          </a:endParaRPr>
        </a:p>
        <a:p>
          <a:endParaRPr b="0" lang="fr-CA" sz="1100" spc="-1" strike="noStrike">
            <a:latin typeface="Times New Roman"/>
          </a:endParaRPr>
        </a:p>
        <a:p>
          <a:pPr>
            <a:lnSpc>
              <a:spcPct val="100000"/>
            </a:lnSpc>
          </a:pPr>
          <a:r>
            <a:rPr b="0" lang="fr-CA" sz="1100" spc="-1" strike="noStrike">
              <a:latin typeface="Times New Roman"/>
            </a:rPr>
            <a:t>If the shape was modified in an earlier version of Excel, or if the workbook was saved in Excel 2007 or earlier, the slicer can't be used.</a:t>
          </a:r>
          <a:endParaRPr b="0" lang="fr-CA" sz="1100" spc="-1" strike="noStrike">
            <a:latin typeface="Times New Roman"/>
          </a:endParaRPr>
        </a:p>
      </xdr:txBody>
    </xdr:sp>
    <xdr:clientData/>
  </xdr:twoCellAnchor>
  <xdr:twoCellAnchor editAs="absolute">
    <xdr:from>
      <xdr:col>3</xdr:col>
      <xdr:colOff>577800</xdr:colOff>
      <xdr:row>90</xdr:row>
      <xdr:rowOff>87120</xdr:rowOff>
    </xdr:from>
    <xdr:to>
      <xdr:col>3</xdr:col>
      <xdr:colOff>863280</xdr:colOff>
      <xdr:row>103</xdr:row>
      <xdr:rowOff>144000</xdr:rowOff>
    </xdr:to>
    <xdr:sp>
      <xdr:nvSpPr>
        <xdr:cNvPr id="74" name=""/>
        <xdr:cNvSpPr/>
      </xdr:nvSpPr>
      <xdr:spPr>
        <a:xfrm>
          <a:off x="3628440" y="11255400"/>
          <a:ext cx="285480" cy="2533320"/>
        </a:xfrm>
        <a:prstGeom prst="rect">
          <a:avLst/>
        </a:prstGeom>
        <a:solidFill>
          <a:srgbClr val="ffffff"/>
        </a:solidFill>
        <a:ln w="1">
          <a:solidFill>
            <a:srgbClr val="008000"/>
          </a:solidFill>
        </a:ln>
      </xdr:spPr>
      <xdr:style>
        <a:lnRef idx="0"/>
        <a:fillRef idx="0"/>
        <a:effectRef idx="0"/>
        <a:fontRef idx="minor"/>
      </xdr:style>
      <xdr:txBody>
        <a:bodyPr horzOverflow="clip" vertOverflow="clip" lIns="90000" rIns="90000" tIns="45000" bIns="45000" anchor="t">
          <a:noAutofit/>
        </a:bodyPr>
        <a:p>
          <a:r>
            <a:rPr b="0" lang="fr-CA" sz="1100" spc="-1" strike="noStrike">
              <a:latin typeface="Times New Roman"/>
            </a:rPr>
            <a:t>This shape represents a table slicer. Table slicers are not supported in this version of Excel.</a:t>
          </a:r>
          <a:endParaRPr b="0" lang="fr-CA" sz="1100" spc="-1" strike="noStrike">
            <a:latin typeface="Times New Roman"/>
          </a:endParaRPr>
        </a:p>
        <a:p>
          <a:endParaRPr b="0" lang="fr-CA" sz="1100" spc="-1" strike="noStrike">
            <a:latin typeface="Times New Roman"/>
          </a:endParaRPr>
        </a:p>
        <a:p>
          <a:pPr>
            <a:lnSpc>
              <a:spcPct val="100000"/>
            </a:lnSpc>
          </a:pPr>
          <a:r>
            <a:rPr b="0" lang="fr-CA" sz="1100" spc="-1" strike="noStrike">
              <a:latin typeface="Times New Roman"/>
            </a:rPr>
            <a:t>If the shape was modified in an earlier version of Excel, or if the workbook was saved in Excel 2007 or earlier, the slicer can't be used.</a:t>
          </a:r>
          <a:endParaRPr b="0" lang="fr-CA" sz="1100" spc="-1" strike="noStrike">
            <a:latin typeface="Times New Roman"/>
          </a:endParaRPr>
        </a:p>
      </xdr:txBody>
    </xdr:sp>
    <xdr:clientData/>
  </xdr:twoCellAnchor>
  <xdr:twoCellAnchor editAs="absolute">
    <xdr:from>
      <xdr:col>5</xdr:col>
      <xdr:colOff>387360</xdr:colOff>
      <xdr:row>90</xdr:row>
      <xdr:rowOff>87120</xdr:rowOff>
    </xdr:from>
    <xdr:to>
      <xdr:col>5</xdr:col>
      <xdr:colOff>996480</xdr:colOff>
      <xdr:row>103</xdr:row>
      <xdr:rowOff>124920</xdr:rowOff>
    </xdr:to>
    <xdr:sp>
      <xdr:nvSpPr>
        <xdr:cNvPr id="75" name=""/>
        <xdr:cNvSpPr/>
      </xdr:nvSpPr>
      <xdr:spPr>
        <a:xfrm>
          <a:off x="5128920" y="11255400"/>
          <a:ext cx="609120" cy="2514240"/>
        </a:xfrm>
        <a:prstGeom prst="rect">
          <a:avLst/>
        </a:prstGeom>
        <a:solidFill>
          <a:srgbClr val="ffffff"/>
        </a:solidFill>
        <a:ln w="1">
          <a:solidFill>
            <a:srgbClr val="008000"/>
          </a:solidFill>
        </a:ln>
      </xdr:spPr>
      <xdr:style>
        <a:lnRef idx="0"/>
        <a:fillRef idx="0"/>
        <a:effectRef idx="0"/>
        <a:fontRef idx="minor"/>
      </xdr:style>
      <xdr:txBody>
        <a:bodyPr horzOverflow="clip" vertOverflow="clip" lIns="90000" rIns="90000" tIns="45000" bIns="45000" anchor="t">
          <a:noAutofit/>
        </a:bodyPr>
        <a:p>
          <a:r>
            <a:rPr b="0" lang="fr-CA" sz="1100" spc="-1" strike="noStrike">
              <a:latin typeface="Times New Roman"/>
            </a:rPr>
            <a:t>This shape represents a table slicer. Table slicers are not supported in this version of Excel.</a:t>
          </a:r>
          <a:endParaRPr b="0" lang="fr-CA" sz="1100" spc="-1" strike="noStrike">
            <a:latin typeface="Times New Roman"/>
          </a:endParaRPr>
        </a:p>
        <a:p>
          <a:endParaRPr b="0" lang="fr-CA" sz="1100" spc="-1" strike="noStrike">
            <a:latin typeface="Times New Roman"/>
          </a:endParaRPr>
        </a:p>
        <a:p>
          <a:pPr>
            <a:lnSpc>
              <a:spcPct val="100000"/>
            </a:lnSpc>
          </a:pPr>
          <a:r>
            <a:rPr b="0" lang="fr-CA" sz="1100" spc="-1" strike="noStrike">
              <a:latin typeface="Times New Roman"/>
            </a:rPr>
            <a:t>If the shape was modified in an earlier version of Excel, or if the workbook was saved in Excel 2007 or earlier, the slicer can't be used.</a:t>
          </a:r>
          <a:endParaRPr b="0" lang="fr-CA" sz="1100" spc="-1" strike="noStrike">
            <a:latin typeface="Times New Roman"/>
          </a:endParaRPr>
        </a:p>
      </xdr:txBody>
    </xdr:sp>
    <xdr:clientData/>
  </xdr:twoCellAnchor>
  <xdr:twoCellAnchor editAs="absolute">
    <xdr:from>
      <xdr:col>6</xdr:col>
      <xdr:colOff>549360</xdr:colOff>
      <xdr:row>90</xdr:row>
      <xdr:rowOff>68040</xdr:rowOff>
    </xdr:from>
    <xdr:to>
      <xdr:col>12</xdr:col>
      <xdr:colOff>253800</xdr:colOff>
      <xdr:row>103</xdr:row>
      <xdr:rowOff>105840</xdr:rowOff>
    </xdr:to>
    <xdr:sp>
      <xdr:nvSpPr>
        <xdr:cNvPr id="76" name=""/>
        <xdr:cNvSpPr/>
      </xdr:nvSpPr>
      <xdr:spPr>
        <a:xfrm>
          <a:off x="6630120" y="11236320"/>
          <a:ext cx="4788720" cy="2514240"/>
        </a:xfrm>
        <a:prstGeom prst="rect">
          <a:avLst/>
        </a:prstGeom>
        <a:solidFill>
          <a:srgbClr val="ffffff"/>
        </a:solidFill>
        <a:ln w="1">
          <a:solidFill>
            <a:srgbClr val="008000"/>
          </a:solidFill>
        </a:ln>
      </xdr:spPr>
      <xdr:style>
        <a:lnRef idx="0"/>
        <a:fillRef idx="0"/>
        <a:effectRef idx="0"/>
        <a:fontRef idx="minor"/>
      </xdr:style>
      <xdr:txBody>
        <a:bodyPr horzOverflow="clip" vertOverflow="clip" lIns="90000" rIns="90000" tIns="45000" bIns="45000" anchor="t">
          <a:noAutofit/>
        </a:bodyPr>
        <a:p>
          <a:r>
            <a:rPr b="0" lang="fr-CA" sz="1100" spc="-1" strike="noStrike">
              <a:latin typeface="Times New Roman"/>
            </a:rPr>
            <a:t>This shape represents a table slicer. Table slicers are not supported in this version of Excel.</a:t>
          </a:r>
          <a:endParaRPr b="0" lang="fr-CA" sz="1100" spc="-1" strike="noStrike">
            <a:latin typeface="Times New Roman"/>
          </a:endParaRPr>
        </a:p>
        <a:p>
          <a:endParaRPr b="0" lang="fr-CA" sz="1100" spc="-1" strike="noStrike">
            <a:latin typeface="Times New Roman"/>
          </a:endParaRPr>
        </a:p>
        <a:p>
          <a:pPr>
            <a:lnSpc>
              <a:spcPct val="100000"/>
            </a:lnSpc>
          </a:pPr>
          <a:r>
            <a:rPr b="0" lang="fr-CA" sz="1100" spc="-1" strike="noStrike">
              <a:latin typeface="Times New Roman"/>
            </a:rPr>
            <a:t>If the shape was modified in an earlier version of Excel, or if the workbook was saved in Excel 2007 or earlier, the slicer can't be used.</a:t>
          </a:r>
          <a:endParaRPr b="0" lang="fr-CA" sz="1100" spc="-1" strike="noStrike">
            <a:latin typeface="Times New Roman"/>
          </a:endParaRPr>
        </a:p>
      </xdr:txBody>
    </xdr:sp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absolute">
    <xdr:from>
      <xdr:col>2</xdr:col>
      <xdr:colOff>254160</xdr:colOff>
      <xdr:row>90</xdr:row>
      <xdr:rowOff>87120</xdr:rowOff>
    </xdr:from>
    <xdr:to>
      <xdr:col>2</xdr:col>
      <xdr:colOff>787320</xdr:colOff>
      <xdr:row>104</xdr:row>
      <xdr:rowOff>29160</xdr:rowOff>
    </xdr:to>
    <xdr:sp>
      <xdr:nvSpPr>
        <xdr:cNvPr id="77" name=""/>
        <xdr:cNvSpPr/>
      </xdr:nvSpPr>
      <xdr:spPr>
        <a:xfrm>
          <a:off x="2015640" y="11255400"/>
          <a:ext cx="533160" cy="2609280"/>
        </a:xfrm>
        <a:prstGeom prst="rect">
          <a:avLst/>
        </a:prstGeom>
        <a:solidFill>
          <a:srgbClr val="ffffff"/>
        </a:solidFill>
        <a:ln w="1">
          <a:solidFill>
            <a:srgbClr val="008000"/>
          </a:solidFill>
        </a:ln>
      </xdr:spPr>
      <xdr:style>
        <a:lnRef idx="0"/>
        <a:fillRef idx="0"/>
        <a:effectRef idx="0"/>
        <a:fontRef idx="minor"/>
      </xdr:style>
      <xdr:txBody>
        <a:bodyPr horzOverflow="clip" vertOverflow="clip" lIns="90000" rIns="90000" tIns="45000" bIns="45000" anchor="t">
          <a:noAutofit/>
        </a:bodyPr>
        <a:p>
          <a:r>
            <a:rPr b="0" lang="fr-CA" sz="1100" spc="-1" strike="noStrike">
              <a:latin typeface="Times New Roman"/>
            </a:rPr>
            <a:t>This shape represents a table slicer. Table slicers are not supported in this version of Excel.</a:t>
          </a:r>
          <a:endParaRPr b="0" lang="fr-CA" sz="1100" spc="-1" strike="noStrike">
            <a:latin typeface="Times New Roman"/>
          </a:endParaRPr>
        </a:p>
        <a:p>
          <a:endParaRPr b="0" lang="fr-CA" sz="1100" spc="-1" strike="noStrike">
            <a:latin typeface="Times New Roman"/>
          </a:endParaRPr>
        </a:p>
        <a:p>
          <a:pPr>
            <a:lnSpc>
              <a:spcPct val="100000"/>
            </a:lnSpc>
          </a:pPr>
          <a:r>
            <a:rPr b="0" lang="fr-CA" sz="1100" spc="-1" strike="noStrike">
              <a:latin typeface="Times New Roman"/>
            </a:rPr>
            <a:t>If the shape was modified in an earlier version of Excel, or if the workbook was saved in Excel 2007 or earlier, the slicer can't be used.</a:t>
          </a:r>
          <a:endParaRPr b="0" lang="fr-CA" sz="1100" spc="-1" strike="noStrike">
            <a:latin typeface="Times New Roman"/>
          </a:endParaRPr>
        </a:p>
      </xdr:txBody>
    </xdr:sp>
    <xdr:clientData/>
  </xdr:twoCellAnchor>
  <xdr:twoCellAnchor editAs="absolute">
    <xdr:from>
      <xdr:col>5</xdr:col>
      <xdr:colOff>1015920</xdr:colOff>
      <xdr:row>90</xdr:row>
      <xdr:rowOff>87120</xdr:rowOff>
    </xdr:from>
    <xdr:to>
      <xdr:col>6</xdr:col>
      <xdr:colOff>491760</xdr:colOff>
      <xdr:row>99</xdr:row>
      <xdr:rowOff>67680</xdr:rowOff>
    </xdr:to>
    <xdr:sp>
      <xdr:nvSpPr>
        <xdr:cNvPr id="78" name=""/>
        <xdr:cNvSpPr/>
      </xdr:nvSpPr>
      <xdr:spPr>
        <a:xfrm>
          <a:off x="5757480" y="11255400"/>
          <a:ext cx="815040" cy="1695240"/>
        </a:xfrm>
        <a:prstGeom prst="rect">
          <a:avLst/>
        </a:prstGeom>
        <a:solidFill>
          <a:srgbClr val="ffffff"/>
        </a:solidFill>
        <a:ln w="1">
          <a:solidFill>
            <a:srgbClr val="008000"/>
          </a:solidFill>
        </a:ln>
      </xdr:spPr>
      <xdr:style>
        <a:lnRef idx="0"/>
        <a:fillRef idx="0"/>
        <a:effectRef idx="0"/>
        <a:fontRef idx="minor"/>
      </xdr:style>
      <xdr:txBody>
        <a:bodyPr horzOverflow="clip" vertOverflow="clip" lIns="90000" rIns="90000" tIns="45000" bIns="45000" anchor="t">
          <a:noAutofit/>
        </a:bodyPr>
        <a:p>
          <a:r>
            <a:rPr b="0" lang="fr-CA" sz="1100" spc="-1" strike="noStrike">
              <a:latin typeface="Times New Roman"/>
            </a:rPr>
            <a:t>This shape represents a table slicer. Table slicers are not supported in this version of Excel.</a:t>
          </a:r>
          <a:endParaRPr b="0" lang="fr-CA" sz="1100" spc="-1" strike="noStrike">
            <a:latin typeface="Times New Roman"/>
          </a:endParaRPr>
        </a:p>
        <a:p>
          <a:endParaRPr b="0" lang="fr-CA" sz="1100" spc="-1" strike="noStrike">
            <a:latin typeface="Times New Roman"/>
          </a:endParaRPr>
        </a:p>
        <a:p>
          <a:pPr>
            <a:lnSpc>
              <a:spcPct val="100000"/>
            </a:lnSpc>
          </a:pPr>
          <a:r>
            <a:rPr b="0" lang="fr-CA" sz="1100" spc="-1" strike="noStrike">
              <a:latin typeface="Times New Roman"/>
            </a:rPr>
            <a:t>If the shape was modified in an earlier version of Excel, or if the workbook was saved in Excel 2007 or earlier, the slicer can't be used.</a:t>
          </a:r>
          <a:endParaRPr b="0" lang="fr-CA" sz="1100" spc="-1" strike="noStrike">
            <a:latin typeface="Times New Roman"/>
          </a:endParaRPr>
        </a:p>
      </xdr:txBody>
    </xdr:sp>
    <xdr:clientData/>
  </xdr:twoCellAnchor>
  <xdr:twoCellAnchor editAs="absolute">
    <xdr:from>
      <xdr:col>2</xdr:col>
      <xdr:colOff>844560</xdr:colOff>
      <xdr:row>90</xdr:row>
      <xdr:rowOff>87120</xdr:rowOff>
    </xdr:from>
    <xdr:to>
      <xdr:col>3</xdr:col>
      <xdr:colOff>539280</xdr:colOff>
      <xdr:row>103</xdr:row>
      <xdr:rowOff>124920</xdr:rowOff>
    </xdr:to>
    <xdr:sp>
      <xdr:nvSpPr>
        <xdr:cNvPr id="79" name=""/>
        <xdr:cNvSpPr/>
      </xdr:nvSpPr>
      <xdr:spPr>
        <a:xfrm>
          <a:off x="2606040" y="11255400"/>
          <a:ext cx="983880" cy="2514240"/>
        </a:xfrm>
        <a:prstGeom prst="rect">
          <a:avLst/>
        </a:prstGeom>
        <a:solidFill>
          <a:srgbClr val="ffffff"/>
        </a:solidFill>
        <a:ln w="1">
          <a:solidFill>
            <a:srgbClr val="008000"/>
          </a:solidFill>
        </a:ln>
      </xdr:spPr>
      <xdr:style>
        <a:lnRef idx="0"/>
        <a:fillRef idx="0"/>
        <a:effectRef idx="0"/>
        <a:fontRef idx="minor"/>
      </xdr:style>
      <xdr:txBody>
        <a:bodyPr horzOverflow="clip" vertOverflow="clip" lIns="90000" rIns="90000" tIns="45000" bIns="45000" anchor="t">
          <a:noAutofit/>
        </a:bodyPr>
        <a:p>
          <a:r>
            <a:rPr b="0" lang="fr-CA" sz="1100" spc="-1" strike="noStrike">
              <a:latin typeface="Times New Roman"/>
            </a:rPr>
            <a:t>This shape represents a table slicer. Table slicers are not supported in this version of Excel.</a:t>
          </a:r>
          <a:endParaRPr b="0" lang="fr-CA" sz="1100" spc="-1" strike="noStrike">
            <a:latin typeface="Times New Roman"/>
          </a:endParaRPr>
        </a:p>
        <a:p>
          <a:endParaRPr b="0" lang="fr-CA" sz="1100" spc="-1" strike="noStrike">
            <a:latin typeface="Times New Roman"/>
          </a:endParaRPr>
        </a:p>
        <a:p>
          <a:pPr>
            <a:lnSpc>
              <a:spcPct val="100000"/>
            </a:lnSpc>
          </a:pPr>
          <a:r>
            <a:rPr b="0" lang="fr-CA" sz="1100" spc="-1" strike="noStrike">
              <a:latin typeface="Times New Roman"/>
            </a:rPr>
            <a:t>If the shape was modified in an earlier version of Excel, or if the workbook was saved in Excel 2007 or earlier, the slicer can't be used.</a:t>
          </a:r>
          <a:endParaRPr b="0" lang="fr-CA" sz="1100" spc="-1" strike="noStrike">
            <a:latin typeface="Times New Roman"/>
          </a:endParaRPr>
        </a:p>
      </xdr:txBody>
    </xdr:sp>
    <xdr:clientData/>
  </xdr:twoCellAnchor>
  <xdr:twoCellAnchor editAs="absolute">
    <xdr:from>
      <xdr:col>4</xdr:col>
      <xdr:colOff>6480</xdr:colOff>
      <xdr:row>90</xdr:row>
      <xdr:rowOff>87120</xdr:rowOff>
    </xdr:from>
    <xdr:to>
      <xdr:col>5</xdr:col>
      <xdr:colOff>387000</xdr:colOff>
      <xdr:row>103</xdr:row>
      <xdr:rowOff>144000</xdr:rowOff>
    </xdr:to>
    <xdr:sp>
      <xdr:nvSpPr>
        <xdr:cNvPr id="80" name=""/>
        <xdr:cNvSpPr/>
      </xdr:nvSpPr>
      <xdr:spPr>
        <a:xfrm>
          <a:off x="4003200" y="11255400"/>
          <a:ext cx="1125360" cy="2533320"/>
        </a:xfrm>
        <a:prstGeom prst="rect">
          <a:avLst/>
        </a:prstGeom>
        <a:solidFill>
          <a:srgbClr val="ffffff"/>
        </a:solidFill>
        <a:ln w="1">
          <a:solidFill>
            <a:srgbClr val="008000"/>
          </a:solidFill>
        </a:ln>
      </xdr:spPr>
      <xdr:style>
        <a:lnRef idx="0"/>
        <a:fillRef idx="0"/>
        <a:effectRef idx="0"/>
        <a:fontRef idx="minor"/>
      </xdr:style>
      <xdr:txBody>
        <a:bodyPr horzOverflow="clip" vertOverflow="clip" lIns="90000" rIns="90000" tIns="45000" bIns="45000" anchor="t">
          <a:noAutofit/>
        </a:bodyPr>
        <a:p>
          <a:r>
            <a:rPr b="0" lang="fr-CA" sz="1100" spc="-1" strike="noStrike">
              <a:latin typeface="Times New Roman"/>
            </a:rPr>
            <a:t>This shape represents a table slicer. Table slicers are not supported in this version of Excel.</a:t>
          </a:r>
          <a:endParaRPr b="0" lang="fr-CA" sz="1100" spc="-1" strike="noStrike">
            <a:latin typeface="Times New Roman"/>
          </a:endParaRPr>
        </a:p>
        <a:p>
          <a:endParaRPr b="0" lang="fr-CA" sz="1100" spc="-1" strike="noStrike">
            <a:latin typeface="Times New Roman"/>
          </a:endParaRPr>
        </a:p>
        <a:p>
          <a:pPr>
            <a:lnSpc>
              <a:spcPct val="100000"/>
            </a:lnSpc>
          </a:pPr>
          <a:r>
            <a:rPr b="0" lang="fr-CA" sz="1100" spc="-1" strike="noStrike">
              <a:latin typeface="Times New Roman"/>
            </a:rPr>
            <a:t>If the shape was modified in an earlier version of Excel, or if the workbook was saved in Excel 2007 or earlier, the slicer can't be used.</a:t>
          </a:r>
          <a:endParaRPr b="0" lang="fr-CA" sz="1100" spc="-1" strike="noStrike">
            <a:latin typeface="Times New Roman"/>
          </a:endParaRPr>
        </a:p>
      </xdr:txBody>
    </xdr:sp>
    <xdr:clientData/>
  </xdr:twoCellAnchor>
  <xdr:twoCellAnchor editAs="absolute">
    <xdr:from>
      <xdr:col>3</xdr:col>
      <xdr:colOff>577800</xdr:colOff>
      <xdr:row>90</xdr:row>
      <xdr:rowOff>87120</xdr:rowOff>
    </xdr:from>
    <xdr:to>
      <xdr:col>3</xdr:col>
      <xdr:colOff>863280</xdr:colOff>
      <xdr:row>103</xdr:row>
      <xdr:rowOff>144000</xdr:rowOff>
    </xdr:to>
    <xdr:sp>
      <xdr:nvSpPr>
        <xdr:cNvPr id="81" name=""/>
        <xdr:cNvSpPr/>
      </xdr:nvSpPr>
      <xdr:spPr>
        <a:xfrm>
          <a:off x="3628440" y="11255400"/>
          <a:ext cx="285480" cy="2533320"/>
        </a:xfrm>
        <a:prstGeom prst="rect">
          <a:avLst/>
        </a:prstGeom>
        <a:solidFill>
          <a:srgbClr val="ffffff"/>
        </a:solidFill>
        <a:ln w="1">
          <a:solidFill>
            <a:srgbClr val="008000"/>
          </a:solidFill>
        </a:ln>
      </xdr:spPr>
      <xdr:style>
        <a:lnRef idx="0"/>
        <a:fillRef idx="0"/>
        <a:effectRef idx="0"/>
        <a:fontRef idx="minor"/>
      </xdr:style>
      <xdr:txBody>
        <a:bodyPr horzOverflow="clip" vertOverflow="clip" lIns="90000" rIns="90000" tIns="45000" bIns="45000" anchor="t">
          <a:noAutofit/>
        </a:bodyPr>
        <a:p>
          <a:r>
            <a:rPr b="0" lang="fr-CA" sz="1100" spc="-1" strike="noStrike">
              <a:latin typeface="Times New Roman"/>
            </a:rPr>
            <a:t>This shape represents a table slicer. Table slicers are not supported in this version of Excel.</a:t>
          </a:r>
          <a:endParaRPr b="0" lang="fr-CA" sz="1100" spc="-1" strike="noStrike">
            <a:latin typeface="Times New Roman"/>
          </a:endParaRPr>
        </a:p>
        <a:p>
          <a:endParaRPr b="0" lang="fr-CA" sz="1100" spc="-1" strike="noStrike">
            <a:latin typeface="Times New Roman"/>
          </a:endParaRPr>
        </a:p>
        <a:p>
          <a:pPr>
            <a:lnSpc>
              <a:spcPct val="100000"/>
            </a:lnSpc>
          </a:pPr>
          <a:r>
            <a:rPr b="0" lang="fr-CA" sz="1100" spc="-1" strike="noStrike">
              <a:latin typeface="Times New Roman"/>
            </a:rPr>
            <a:t>If the shape was modified in an earlier version of Excel, or if the workbook was saved in Excel 2007 or earlier, the slicer can't be used.</a:t>
          </a:r>
          <a:endParaRPr b="0" lang="fr-CA" sz="1100" spc="-1" strike="noStrike">
            <a:latin typeface="Times New Roman"/>
          </a:endParaRPr>
        </a:p>
      </xdr:txBody>
    </xdr:sp>
    <xdr:clientData/>
  </xdr:twoCellAnchor>
  <xdr:twoCellAnchor editAs="absolute">
    <xdr:from>
      <xdr:col>5</xdr:col>
      <xdr:colOff>387360</xdr:colOff>
      <xdr:row>90</xdr:row>
      <xdr:rowOff>87120</xdr:rowOff>
    </xdr:from>
    <xdr:to>
      <xdr:col>5</xdr:col>
      <xdr:colOff>996480</xdr:colOff>
      <xdr:row>103</xdr:row>
      <xdr:rowOff>124920</xdr:rowOff>
    </xdr:to>
    <xdr:sp>
      <xdr:nvSpPr>
        <xdr:cNvPr id="82" name=""/>
        <xdr:cNvSpPr/>
      </xdr:nvSpPr>
      <xdr:spPr>
        <a:xfrm>
          <a:off x="5128920" y="11255400"/>
          <a:ext cx="609120" cy="2514240"/>
        </a:xfrm>
        <a:prstGeom prst="rect">
          <a:avLst/>
        </a:prstGeom>
        <a:solidFill>
          <a:srgbClr val="ffffff"/>
        </a:solidFill>
        <a:ln w="1">
          <a:solidFill>
            <a:srgbClr val="008000"/>
          </a:solidFill>
        </a:ln>
      </xdr:spPr>
      <xdr:style>
        <a:lnRef idx="0"/>
        <a:fillRef idx="0"/>
        <a:effectRef idx="0"/>
        <a:fontRef idx="minor"/>
      </xdr:style>
      <xdr:txBody>
        <a:bodyPr horzOverflow="clip" vertOverflow="clip" lIns="90000" rIns="90000" tIns="45000" bIns="45000" anchor="t">
          <a:noAutofit/>
        </a:bodyPr>
        <a:p>
          <a:r>
            <a:rPr b="0" lang="fr-CA" sz="1100" spc="-1" strike="noStrike">
              <a:latin typeface="Times New Roman"/>
            </a:rPr>
            <a:t>This shape represents a table slicer. Table slicers are not supported in this version of Excel.</a:t>
          </a:r>
          <a:endParaRPr b="0" lang="fr-CA" sz="1100" spc="-1" strike="noStrike">
            <a:latin typeface="Times New Roman"/>
          </a:endParaRPr>
        </a:p>
        <a:p>
          <a:endParaRPr b="0" lang="fr-CA" sz="1100" spc="-1" strike="noStrike">
            <a:latin typeface="Times New Roman"/>
          </a:endParaRPr>
        </a:p>
        <a:p>
          <a:pPr>
            <a:lnSpc>
              <a:spcPct val="100000"/>
            </a:lnSpc>
          </a:pPr>
          <a:r>
            <a:rPr b="0" lang="fr-CA" sz="1100" spc="-1" strike="noStrike">
              <a:latin typeface="Times New Roman"/>
            </a:rPr>
            <a:t>If the shape was modified in an earlier version of Excel, or if the workbook was saved in Excel 2007 or earlier, the slicer can't be used.</a:t>
          </a:r>
          <a:endParaRPr b="0" lang="fr-CA" sz="1100" spc="-1" strike="noStrike">
            <a:latin typeface="Times New Roman"/>
          </a:endParaRPr>
        </a:p>
      </xdr:txBody>
    </xdr:sp>
    <xdr:clientData/>
  </xdr:twoCellAnchor>
  <xdr:twoCellAnchor editAs="absolute">
    <xdr:from>
      <xdr:col>6</xdr:col>
      <xdr:colOff>549360</xdr:colOff>
      <xdr:row>90</xdr:row>
      <xdr:rowOff>68040</xdr:rowOff>
    </xdr:from>
    <xdr:to>
      <xdr:col>12</xdr:col>
      <xdr:colOff>253800</xdr:colOff>
      <xdr:row>103</xdr:row>
      <xdr:rowOff>105840</xdr:rowOff>
    </xdr:to>
    <xdr:sp>
      <xdr:nvSpPr>
        <xdr:cNvPr id="83" name=""/>
        <xdr:cNvSpPr/>
      </xdr:nvSpPr>
      <xdr:spPr>
        <a:xfrm>
          <a:off x="6630120" y="11236320"/>
          <a:ext cx="4788720" cy="2514240"/>
        </a:xfrm>
        <a:prstGeom prst="rect">
          <a:avLst/>
        </a:prstGeom>
        <a:solidFill>
          <a:srgbClr val="ffffff"/>
        </a:solidFill>
        <a:ln w="1">
          <a:solidFill>
            <a:srgbClr val="008000"/>
          </a:solidFill>
        </a:ln>
      </xdr:spPr>
      <xdr:style>
        <a:lnRef idx="0"/>
        <a:fillRef idx="0"/>
        <a:effectRef idx="0"/>
        <a:fontRef idx="minor"/>
      </xdr:style>
      <xdr:txBody>
        <a:bodyPr horzOverflow="clip" vertOverflow="clip" lIns="90000" rIns="90000" tIns="45000" bIns="45000" anchor="t">
          <a:noAutofit/>
        </a:bodyPr>
        <a:p>
          <a:r>
            <a:rPr b="0" lang="fr-CA" sz="1100" spc="-1" strike="noStrike">
              <a:latin typeface="Times New Roman"/>
            </a:rPr>
            <a:t>This shape represents a table slicer. Table slicers are not supported in this version of Excel.</a:t>
          </a:r>
          <a:endParaRPr b="0" lang="fr-CA" sz="1100" spc="-1" strike="noStrike">
            <a:latin typeface="Times New Roman"/>
          </a:endParaRPr>
        </a:p>
        <a:p>
          <a:endParaRPr b="0" lang="fr-CA" sz="1100" spc="-1" strike="noStrike">
            <a:latin typeface="Times New Roman"/>
          </a:endParaRPr>
        </a:p>
        <a:p>
          <a:pPr>
            <a:lnSpc>
              <a:spcPct val="100000"/>
            </a:lnSpc>
          </a:pPr>
          <a:r>
            <a:rPr b="0" lang="fr-CA" sz="1100" spc="-1" strike="noStrike">
              <a:latin typeface="Times New Roman"/>
            </a:rPr>
            <a:t>If the shape was modified in an earlier version of Excel, or if the workbook was saved in Excel 2007 or earlier, the slicer can't be used.</a:t>
          </a:r>
          <a:endParaRPr b="0" lang="fr-CA" sz="1100" spc="-1" strike="noStrike">
            <a:latin typeface="Times New Roman"/>
          </a:endParaRPr>
        </a:p>
      </xdr:txBody>
    </xdr:sp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absolute">
    <xdr:from>
      <xdr:col>2</xdr:col>
      <xdr:colOff>247680</xdr:colOff>
      <xdr:row>128</xdr:row>
      <xdr:rowOff>77400</xdr:rowOff>
    </xdr:from>
    <xdr:to>
      <xdr:col>2</xdr:col>
      <xdr:colOff>786960</xdr:colOff>
      <xdr:row>142</xdr:row>
      <xdr:rowOff>22680</xdr:rowOff>
    </xdr:to>
    <xdr:sp>
      <xdr:nvSpPr>
        <xdr:cNvPr id="84" name=""/>
        <xdr:cNvSpPr/>
      </xdr:nvSpPr>
      <xdr:spPr>
        <a:xfrm>
          <a:off x="2009160" y="11245680"/>
          <a:ext cx="539280" cy="2612520"/>
        </a:xfrm>
        <a:prstGeom prst="rect">
          <a:avLst/>
        </a:prstGeom>
        <a:solidFill>
          <a:srgbClr val="ffffff"/>
        </a:solidFill>
        <a:ln w="1">
          <a:solidFill>
            <a:srgbClr val="008000"/>
          </a:solidFill>
        </a:ln>
      </xdr:spPr>
      <xdr:style>
        <a:lnRef idx="0"/>
        <a:fillRef idx="0"/>
        <a:effectRef idx="0"/>
        <a:fontRef idx="minor"/>
      </xdr:style>
      <xdr:txBody>
        <a:bodyPr horzOverflow="clip" vertOverflow="clip" lIns="90000" rIns="90000" tIns="45000" bIns="45000" anchor="t">
          <a:noAutofit/>
        </a:bodyPr>
        <a:p>
          <a:r>
            <a:rPr b="0" lang="fr-CA" sz="1100" spc="-1" strike="noStrike">
              <a:latin typeface="Times New Roman"/>
            </a:rPr>
            <a:t>This shape represents a table slicer. Table slicers are not supported in this version of Excel.</a:t>
          </a:r>
          <a:endParaRPr b="0" lang="fr-CA" sz="1100" spc="-1" strike="noStrike">
            <a:latin typeface="Times New Roman"/>
          </a:endParaRPr>
        </a:p>
        <a:p>
          <a:endParaRPr b="0" lang="fr-CA" sz="1100" spc="-1" strike="noStrike">
            <a:latin typeface="Times New Roman"/>
          </a:endParaRPr>
        </a:p>
        <a:p>
          <a:pPr>
            <a:lnSpc>
              <a:spcPct val="100000"/>
            </a:lnSpc>
          </a:pPr>
          <a:r>
            <a:rPr b="0" lang="fr-CA" sz="1100" spc="-1" strike="noStrike">
              <a:latin typeface="Times New Roman"/>
            </a:rPr>
            <a:t>If the shape was modified in an earlier version of Excel, or if the workbook was saved in Excel 2007 or earlier, the slicer can't be used.</a:t>
          </a:r>
          <a:endParaRPr b="0" lang="fr-CA" sz="1100" spc="-1" strike="noStrike">
            <a:latin typeface="Times New Roman"/>
          </a:endParaRPr>
        </a:p>
      </xdr:txBody>
    </xdr:sp>
    <xdr:clientData/>
  </xdr:twoCellAnchor>
  <xdr:twoCellAnchor editAs="absolute">
    <xdr:from>
      <xdr:col>5</xdr:col>
      <xdr:colOff>1006560</xdr:colOff>
      <xdr:row>128</xdr:row>
      <xdr:rowOff>80640</xdr:rowOff>
    </xdr:from>
    <xdr:to>
      <xdr:col>6</xdr:col>
      <xdr:colOff>482400</xdr:colOff>
      <xdr:row>137</xdr:row>
      <xdr:rowOff>61200</xdr:rowOff>
    </xdr:to>
    <xdr:sp>
      <xdr:nvSpPr>
        <xdr:cNvPr id="85" name=""/>
        <xdr:cNvSpPr/>
      </xdr:nvSpPr>
      <xdr:spPr>
        <a:xfrm>
          <a:off x="5748120" y="11248920"/>
          <a:ext cx="815040" cy="1695240"/>
        </a:xfrm>
        <a:prstGeom prst="rect">
          <a:avLst/>
        </a:prstGeom>
        <a:solidFill>
          <a:srgbClr val="ffffff"/>
        </a:solidFill>
        <a:ln w="1">
          <a:solidFill>
            <a:srgbClr val="008000"/>
          </a:solidFill>
        </a:ln>
      </xdr:spPr>
      <xdr:style>
        <a:lnRef idx="0"/>
        <a:fillRef idx="0"/>
        <a:effectRef idx="0"/>
        <a:fontRef idx="minor"/>
      </xdr:style>
      <xdr:txBody>
        <a:bodyPr horzOverflow="clip" vertOverflow="clip" lIns="90000" rIns="90000" tIns="45000" bIns="45000" anchor="t">
          <a:noAutofit/>
        </a:bodyPr>
        <a:p>
          <a:r>
            <a:rPr b="0" lang="fr-CA" sz="1100" spc="-1" strike="noStrike">
              <a:latin typeface="Times New Roman"/>
            </a:rPr>
            <a:t>This shape represents a table slicer. Table slicers are not supported in this version of Excel.</a:t>
          </a:r>
          <a:endParaRPr b="0" lang="fr-CA" sz="1100" spc="-1" strike="noStrike">
            <a:latin typeface="Times New Roman"/>
          </a:endParaRPr>
        </a:p>
        <a:p>
          <a:endParaRPr b="0" lang="fr-CA" sz="1100" spc="-1" strike="noStrike">
            <a:latin typeface="Times New Roman"/>
          </a:endParaRPr>
        </a:p>
        <a:p>
          <a:pPr>
            <a:lnSpc>
              <a:spcPct val="100000"/>
            </a:lnSpc>
          </a:pPr>
          <a:r>
            <a:rPr b="0" lang="fr-CA" sz="1100" spc="-1" strike="noStrike">
              <a:latin typeface="Times New Roman"/>
            </a:rPr>
            <a:t>If the shape was modified in an earlier version of Excel, or if the workbook was saved in Excel 2007 or earlier, the slicer can't be used.</a:t>
          </a:r>
          <a:endParaRPr b="0" lang="fr-CA" sz="1100" spc="-1" strike="noStrike">
            <a:latin typeface="Times New Roman"/>
          </a:endParaRPr>
        </a:p>
      </xdr:txBody>
    </xdr:sp>
    <xdr:clientData/>
  </xdr:twoCellAnchor>
  <xdr:twoCellAnchor editAs="absolute">
    <xdr:from>
      <xdr:col>2</xdr:col>
      <xdr:colOff>844560</xdr:colOff>
      <xdr:row>128</xdr:row>
      <xdr:rowOff>77400</xdr:rowOff>
    </xdr:from>
    <xdr:to>
      <xdr:col>3</xdr:col>
      <xdr:colOff>539280</xdr:colOff>
      <xdr:row>141</xdr:row>
      <xdr:rowOff>118440</xdr:rowOff>
    </xdr:to>
    <xdr:sp>
      <xdr:nvSpPr>
        <xdr:cNvPr id="86" name=""/>
        <xdr:cNvSpPr/>
      </xdr:nvSpPr>
      <xdr:spPr>
        <a:xfrm>
          <a:off x="2606040" y="11245680"/>
          <a:ext cx="983880" cy="2517480"/>
        </a:xfrm>
        <a:prstGeom prst="rect">
          <a:avLst/>
        </a:prstGeom>
        <a:solidFill>
          <a:srgbClr val="ffffff"/>
        </a:solidFill>
        <a:ln w="1">
          <a:solidFill>
            <a:srgbClr val="008000"/>
          </a:solidFill>
        </a:ln>
      </xdr:spPr>
      <xdr:style>
        <a:lnRef idx="0"/>
        <a:fillRef idx="0"/>
        <a:effectRef idx="0"/>
        <a:fontRef idx="minor"/>
      </xdr:style>
      <xdr:txBody>
        <a:bodyPr horzOverflow="clip" vertOverflow="clip" lIns="90000" rIns="90000" tIns="45000" bIns="45000" anchor="t">
          <a:noAutofit/>
        </a:bodyPr>
        <a:p>
          <a:r>
            <a:rPr b="0" lang="fr-CA" sz="1100" spc="-1" strike="noStrike">
              <a:latin typeface="Times New Roman"/>
            </a:rPr>
            <a:t>This shape represents a table slicer. Table slicers are not supported in this version of Excel.</a:t>
          </a:r>
          <a:endParaRPr b="0" lang="fr-CA" sz="1100" spc="-1" strike="noStrike">
            <a:latin typeface="Times New Roman"/>
          </a:endParaRPr>
        </a:p>
        <a:p>
          <a:endParaRPr b="0" lang="fr-CA" sz="1100" spc="-1" strike="noStrike">
            <a:latin typeface="Times New Roman"/>
          </a:endParaRPr>
        </a:p>
        <a:p>
          <a:pPr>
            <a:lnSpc>
              <a:spcPct val="100000"/>
            </a:lnSpc>
          </a:pPr>
          <a:r>
            <a:rPr b="0" lang="fr-CA" sz="1100" spc="-1" strike="noStrike">
              <a:latin typeface="Times New Roman"/>
            </a:rPr>
            <a:t>If the shape was modified in an earlier version of Excel, or if the workbook was saved in Excel 2007 or earlier, the slicer can't be used.</a:t>
          </a:r>
          <a:endParaRPr b="0" lang="fr-CA" sz="1100" spc="-1" strike="noStrike">
            <a:latin typeface="Times New Roman"/>
          </a:endParaRPr>
        </a:p>
      </xdr:txBody>
    </xdr:sp>
    <xdr:clientData/>
  </xdr:twoCellAnchor>
  <xdr:twoCellAnchor editAs="absolute">
    <xdr:from>
      <xdr:col>4</xdr:col>
      <xdr:colOff>6480</xdr:colOff>
      <xdr:row>128</xdr:row>
      <xdr:rowOff>80640</xdr:rowOff>
    </xdr:from>
    <xdr:to>
      <xdr:col>5</xdr:col>
      <xdr:colOff>387000</xdr:colOff>
      <xdr:row>141</xdr:row>
      <xdr:rowOff>134280</xdr:rowOff>
    </xdr:to>
    <xdr:sp>
      <xdr:nvSpPr>
        <xdr:cNvPr id="87" name=""/>
        <xdr:cNvSpPr/>
      </xdr:nvSpPr>
      <xdr:spPr>
        <a:xfrm>
          <a:off x="4003200" y="11248920"/>
          <a:ext cx="1125360" cy="2530080"/>
        </a:xfrm>
        <a:prstGeom prst="rect">
          <a:avLst/>
        </a:prstGeom>
        <a:solidFill>
          <a:srgbClr val="ffffff"/>
        </a:solidFill>
        <a:ln w="1">
          <a:solidFill>
            <a:srgbClr val="008000"/>
          </a:solidFill>
        </a:ln>
      </xdr:spPr>
      <xdr:style>
        <a:lnRef idx="0"/>
        <a:fillRef idx="0"/>
        <a:effectRef idx="0"/>
        <a:fontRef idx="minor"/>
      </xdr:style>
      <xdr:txBody>
        <a:bodyPr horzOverflow="clip" vertOverflow="clip" lIns="90000" rIns="90000" tIns="45000" bIns="45000" anchor="t">
          <a:noAutofit/>
        </a:bodyPr>
        <a:p>
          <a:r>
            <a:rPr b="0" lang="fr-CA" sz="1100" spc="-1" strike="noStrike">
              <a:latin typeface="Times New Roman"/>
            </a:rPr>
            <a:t>This shape represents a table slicer. Table slicers are not supported in this version of Excel.</a:t>
          </a:r>
          <a:endParaRPr b="0" lang="fr-CA" sz="1100" spc="-1" strike="noStrike">
            <a:latin typeface="Times New Roman"/>
          </a:endParaRPr>
        </a:p>
        <a:p>
          <a:endParaRPr b="0" lang="fr-CA" sz="1100" spc="-1" strike="noStrike">
            <a:latin typeface="Times New Roman"/>
          </a:endParaRPr>
        </a:p>
        <a:p>
          <a:pPr>
            <a:lnSpc>
              <a:spcPct val="100000"/>
            </a:lnSpc>
          </a:pPr>
          <a:r>
            <a:rPr b="0" lang="fr-CA" sz="1100" spc="-1" strike="noStrike">
              <a:latin typeface="Times New Roman"/>
            </a:rPr>
            <a:t>If the shape was modified in an earlier version of Excel, or if the workbook was saved in Excel 2007 or earlier, the slicer can't be used.</a:t>
          </a:r>
          <a:endParaRPr b="0" lang="fr-CA" sz="1100" spc="-1" strike="noStrike">
            <a:latin typeface="Times New Roman"/>
          </a:endParaRPr>
        </a:p>
      </xdr:txBody>
    </xdr:sp>
    <xdr:clientData/>
  </xdr:twoCellAnchor>
  <xdr:twoCellAnchor editAs="absolute">
    <xdr:from>
      <xdr:col>3</xdr:col>
      <xdr:colOff>577800</xdr:colOff>
      <xdr:row>128</xdr:row>
      <xdr:rowOff>80640</xdr:rowOff>
    </xdr:from>
    <xdr:to>
      <xdr:col>3</xdr:col>
      <xdr:colOff>863280</xdr:colOff>
      <xdr:row>141</xdr:row>
      <xdr:rowOff>134280</xdr:rowOff>
    </xdr:to>
    <xdr:sp>
      <xdr:nvSpPr>
        <xdr:cNvPr id="88" name=""/>
        <xdr:cNvSpPr/>
      </xdr:nvSpPr>
      <xdr:spPr>
        <a:xfrm>
          <a:off x="3628440" y="11248920"/>
          <a:ext cx="285480" cy="2530080"/>
        </a:xfrm>
        <a:prstGeom prst="rect">
          <a:avLst/>
        </a:prstGeom>
        <a:solidFill>
          <a:srgbClr val="ffffff"/>
        </a:solidFill>
        <a:ln w="1">
          <a:solidFill>
            <a:srgbClr val="008000"/>
          </a:solidFill>
        </a:ln>
      </xdr:spPr>
      <xdr:style>
        <a:lnRef idx="0"/>
        <a:fillRef idx="0"/>
        <a:effectRef idx="0"/>
        <a:fontRef idx="minor"/>
      </xdr:style>
      <xdr:txBody>
        <a:bodyPr horzOverflow="clip" vertOverflow="clip" lIns="90000" rIns="90000" tIns="45000" bIns="45000" anchor="t">
          <a:noAutofit/>
        </a:bodyPr>
        <a:p>
          <a:r>
            <a:rPr b="0" lang="fr-CA" sz="1100" spc="-1" strike="noStrike">
              <a:latin typeface="Times New Roman"/>
            </a:rPr>
            <a:t>This shape represents a table slicer. Table slicers are not supported in this version of Excel.</a:t>
          </a:r>
          <a:endParaRPr b="0" lang="fr-CA" sz="1100" spc="-1" strike="noStrike">
            <a:latin typeface="Times New Roman"/>
          </a:endParaRPr>
        </a:p>
        <a:p>
          <a:endParaRPr b="0" lang="fr-CA" sz="1100" spc="-1" strike="noStrike">
            <a:latin typeface="Times New Roman"/>
          </a:endParaRPr>
        </a:p>
        <a:p>
          <a:pPr>
            <a:lnSpc>
              <a:spcPct val="100000"/>
            </a:lnSpc>
          </a:pPr>
          <a:r>
            <a:rPr b="0" lang="fr-CA" sz="1100" spc="-1" strike="noStrike">
              <a:latin typeface="Times New Roman"/>
            </a:rPr>
            <a:t>If the shape was modified in an earlier version of Excel, or if the workbook was saved in Excel 2007 or earlier, the slicer can't be used.</a:t>
          </a:r>
          <a:endParaRPr b="0" lang="fr-CA" sz="1100" spc="-1" strike="noStrike">
            <a:latin typeface="Times New Roman"/>
          </a:endParaRPr>
        </a:p>
      </xdr:txBody>
    </xdr:sp>
    <xdr:clientData/>
  </xdr:twoCellAnchor>
  <xdr:twoCellAnchor editAs="absolute">
    <xdr:from>
      <xdr:col>5</xdr:col>
      <xdr:colOff>387360</xdr:colOff>
      <xdr:row>128</xdr:row>
      <xdr:rowOff>77400</xdr:rowOff>
    </xdr:from>
    <xdr:to>
      <xdr:col>5</xdr:col>
      <xdr:colOff>996480</xdr:colOff>
      <xdr:row>141</xdr:row>
      <xdr:rowOff>118440</xdr:rowOff>
    </xdr:to>
    <xdr:sp>
      <xdr:nvSpPr>
        <xdr:cNvPr id="89" name=""/>
        <xdr:cNvSpPr/>
      </xdr:nvSpPr>
      <xdr:spPr>
        <a:xfrm>
          <a:off x="5128920" y="11245680"/>
          <a:ext cx="609120" cy="2517480"/>
        </a:xfrm>
        <a:prstGeom prst="rect">
          <a:avLst/>
        </a:prstGeom>
        <a:solidFill>
          <a:srgbClr val="ffffff"/>
        </a:solidFill>
        <a:ln w="1">
          <a:solidFill>
            <a:srgbClr val="008000"/>
          </a:solidFill>
        </a:ln>
      </xdr:spPr>
      <xdr:style>
        <a:lnRef idx="0"/>
        <a:fillRef idx="0"/>
        <a:effectRef idx="0"/>
        <a:fontRef idx="minor"/>
      </xdr:style>
      <xdr:txBody>
        <a:bodyPr horzOverflow="clip" vertOverflow="clip" lIns="90000" rIns="90000" tIns="45000" bIns="45000" anchor="t">
          <a:noAutofit/>
        </a:bodyPr>
        <a:p>
          <a:r>
            <a:rPr b="0" lang="fr-CA" sz="1100" spc="-1" strike="noStrike">
              <a:latin typeface="Times New Roman"/>
            </a:rPr>
            <a:t>This shape represents a table slicer. Table slicers are not supported in this version of Excel.</a:t>
          </a:r>
          <a:endParaRPr b="0" lang="fr-CA" sz="1100" spc="-1" strike="noStrike">
            <a:latin typeface="Times New Roman"/>
          </a:endParaRPr>
        </a:p>
        <a:p>
          <a:endParaRPr b="0" lang="fr-CA" sz="1100" spc="-1" strike="noStrike">
            <a:latin typeface="Times New Roman"/>
          </a:endParaRPr>
        </a:p>
        <a:p>
          <a:pPr>
            <a:lnSpc>
              <a:spcPct val="100000"/>
            </a:lnSpc>
          </a:pPr>
          <a:r>
            <a:rPr b="0" lang="fr-CA" sz="1100" spc="-1" strike="noStrike">
              <a:latin typeface="Times New Roman"/>
            </a:rPr>
            <a:t>If the shape was modified in an earlier version of Excel, or if the workbook was saved in Excel 2007 or earlier, the slicer can't be used.</a:t>
          </a:r>
          <a:endParaRPr b="0" lang="fr-CA" sz="1100" spc="-1" strike="noStrike">
            <a:latin typeface="Times New Roman"/>
          </a:endParaRPr>
        </a:p>
      </xdr:txBody>
    </xdr:sp>
    <xdr:clientData/>
  </xdr:twoCellAnchor>
  <xdr:twoCellAnchor editAs="absolute">
    <xdr:from>
      <xdr:col>6</xdr:col>
      <xdr:colOff>539640</xdr:colOff>
      <xdr:row>128</xdr:row>
      <xdr:rowOff>58680</xdr:rowOff>
    </xdr:from>
    <xdr:to>
      <xdr:col>12</xdr:col>
      <xdr:colOff>244080</xdr:colOff>
      <xdr:row>141</xdr:row>
      <xdr:rowOff>99720</xdr:rowOff>
    </xdr:to>
    <xdr:sp>
      <xdr:nvSpPr>
        <xdr:cNvPr id="90" name=""/>
        <xdr:cNvSpPr/>
      </xdr:nvSpPr>
      <xdr:spPr>
        <a:xfrm>
          <a:off x="6620400" y="11226960"/>
          <a:ext cx="4788720" cy="2517480"/>
        </a:xfrm>
        <a:prstGeom prst="rect">
          <a:avLst/>
        </a:prstGeom>
        <a:solidFill>
          <a:srgbClr val="ffffff"/>
        </a:solidFill>
        <a:ln w="1">
          <a:solidFill>
            <a:srgbClr val="008000"/>
          </a:solidFill>
        </a:ln>
      </xdr:spPr>
      <xdr:style>
        <a:lnRef idx="0"/>
        <a:fillRef idx="0"/>
        <a:effectRef idx="0"/>
        <a:fontRef idx="minor"/>
      </xdr:style>
      <xdr:txBody>
        <a:bodyPr horzOverflow="clip" vertOverflow="clip" lIns="90000" rIns="90000" tIns="45000" bIns="45000" anchor="t">
          <a:noAutofit/>
        </a:bodyPr>
        <a:p>
          <a:r>
            <a:rPr b="0" lang="fr-CA" sz="1100" spc="-1" strike="noStrike">
              <a:latin typeface="Times New Roman"/>
            </a:rPr>
            <a:t>This shape represents a table slicer. Table slicers are not supported in this version of Excel.</a:t>
          </a:r>
          <a:endParaRPr b="0" lang="fr-CA" sz="1100" spc="-1" strike="noStrike">
            <a:latin typeface="Times New Roman"/>
          </a:endParaRPr>
        </a:p>
        <a:p>
          <a:endParaRPr b="0" lang="fr-CA" sz="1100" spc="-1" strike="noStrike">
            <a:latin typeface="Times New Roman"/>
          </a:endParaRPr>
        </a:p>
        <a:p>
          <a:pPr>
            <a:lnSpc>
              <a:spcPct val="100000"/>
            </a:lnSpc>
          </a:pPr>
          <a:r>
            <a:rPr b="0" lang="fr-CA" sz="1100" spc="-1" strike="noStrike">
              <a:latin typeface="Times New Roman"/>
            </a:rPr>
            <a:t>If the shape was modified in an earlier version of Excel, or if the workbook was saved in Excel 2007 or earlier, the slicer can't be used.</a:t>
          </a:r>
          <a:endParaRPr b="0" lang="fr-CA" sz="1100" spc="-1" strike="noStrike">
            <a:latin typeface="Times New Roman"/>
          </a:endParaRPr>
        </a:p>
      </xdr:txBody>
    </xdr:sp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absolute">
    <xdr:from>
      <xdr:col>2</xdr:col>
      <xdr:colOff>314280</xdr:colOff>
      <xdr:row>50</xdr:row>
      <xdr:rowOff>10800</xdr:rowOff>
    </xdr:from>
    <xdr:to>
      <xdr:col>2</xdr:col>
      <xdr:colOff>767880</xdr:colOff>
      <xdr:row>62</xdr:row>
      <xdr:rowOff>181800</xdr:rowOff>
    </xdr:to>
    <xdr:sp>
      <xdr:nvSpPr>
        <xdr:cNvPr id="91" name=""/>
        <xdr:cNvSpPr/>
      </xdr:nvSpPr>
      <xdr:spPr>
        <a:xfrm>
          <a:off x="2075760" y="9655200"/>
          <a:ext cx="453600" cy="2457000"/>
        </a:xfrm>
        <a:prstGeom prst="rect">
          <a:avLst/>
        </a:prstGeom>
        <a:solidFill>
          <a:srgbClr val="ffffff"/>
        </a:solidFill>
        <a:ln w="1">
          <a:solidFill>
            <a:srgbClr val="008000"/>
          </a:solidFill>
        </a:ln>
      </xdr:spPr>
      <xdr:style>
        <a:lnRef idx="0"/>
        <a:fillRef idx="0"/>
        <a:effectRef idx="0"/>
        <a:fontRef idx="minor"/>
      </xdr:style>
      <xdr:txBody>
        <a:bodyPr horzOverflow="clip" vertOverflow="clip" lIns="90000" rIns="90000" tIns="45000" bIns="45000" anchor="t">
          <a:noAutofit/>
        </a:bodyPr>
        <a:p>
          <a:r>
            <a:rPr b="0" lang="fr-CA" sz="1100" spc="-1" strike="noStrike">
              <a:latin typeface="Times New Roman"/>
            </a:rPr>
            <a:t>This shape represents a table slicer. Table slicers are not supported in this version of Excel.</a:t>
          </a:r>
          <a:endParaRPr b="0" lang="fr-CA" sz="1100" spc="-1" strike="noStrike">
            <a:latin typeface="Times New Roman"/>
          </a:endParaRPr>
        </a:p>
        <a:p>
          <a:endParaRPr b="0" lang="fr-CA" sz="1100" spc="-1" strike="noStrike">
            <a:latin typeface="Times New Roman"/>
          </a:endParaRPr>
        </a:p>
        <a:p>
          <a:pPr>
            <a:lnSpc>
              <a:spcPct val="100000"/>
            </a:lnSpc>
          </a:pPr>
          <a:r>
            <a:rPr b="0" lang="fr-CA" sz="1100" spc="-1" strike="noStrike">
              <a:latin typeface="Times New Roman"/>
            </a:rPr>
            <a:t>If the shape was modified in an earlier version of Excel, or if the workbook was saved in Excel 2007 or earlier, the slicer can't be used.</a:t>
          </a:r>
          <a:endParaRPr b="0" lang="fr-CA" sz="1100" spc="-1" strike="noStrike">
            <a:latin typeface="Times New Roman"/>
          </a:endParaRPr>
        </a:p>
      </xdr:txBody>
    </xdr:sp>
    <xdr:clientData/>
  </xdr:twoCellAnchor>
  <xdr:twoCellAnchor editAs="absolute">
    <xdr:from>
      <xdr:col>5</xdr:col>
      <xdr:colOff>1139760</xdr:colOff>
      <xdr:row>50</xdr:row>
      <xdr:rowOff>14040</xdr:rowOff>
    </xdr:from>
    <xdr:to>
      <xdr:col>6</xdr:col>
      <xdr:colOff>615600</xdr:colOff>
      <xdr:row>55</xdr:row>
      <xdr:rowOff>108720</xdr:rowOff>
    </xdr:to>
    <xdr:sp>
      <xdr:nvSpPr>
        <xdr:cNvPr id="92" name=""/>
        <xdr:cNvSpPr/>
      </xdr:nvSpPr>
      <xdr:spPr>
        <a:xfrm>
          <a:off x="5881320" y="9658440"/>
          <a:ext cx="815040" cy="1047240"/>
        </a:xfrm>
        <a:prstGeom prst="rect">
          <a:avLst/>
        </a:prstGeom>
        <a:solidFill>
          <a:srgbClr val="ffffff"/>
        </a:solidFill>
        <a:ln w="1">
          <a:solidFill>
            <a:srgbClr val="008000"/>
          </a:solidFill>
        </a:ln>
      </xdr:spPr>
      <xdr:style>
        <a:lnRef idx="0"/>
        <a:fillRef idx="0"/>
        <a:effectRef idx="0"/>
        <a:fontRef idx="minor"/>
      </xdr:style>
      <xdr:txBody>
        <a:bodyPr horzOverflow="clip" vertOverflow="clip" lIns="90000" rIns="90000" tIns="45000" bIns="45000" anchor="t">
          <a:noAutofit/>
        </a:bodyPr>
        <a:p>
          <a:r>
            <a:rPr b="0" lang="fr-CA" sz="1100" spc="-1" strike="noStrike">
              <a:latin typeface="Times New Roman"/>
            </a:rPr>
            <a:t>This shape represents a table slicer. Table slicers are not supported in this version of Excel.</a:t>
          </a:r>
          <a:endParaRPr b="0" lang="fr-CA" sz="1100" spc="-1" strike="noStrike">
            <a:latin typeface="Times New Roman"/>
          </a:endParaRPr>
        </a:p>
        <a:p>
          <a:endParaRPr b="0" lang="fr-CA" sz="1100" spc="-1" strike="noStrike">
            <a:latin typeface="Times New Roman"/>
          </a:endParaRPr>
        </a:p>
        <a:p>
          <a:pPr>
            <a:lnSpc>
              <a:spcPct val="100000"/>
            </a:lnSpc>
          </a:pPr>
          <a:r>
            <a:rPr b="0" lang="fr-CA" sz="1100" spc="-1" strike="noStrike">
              <a:latin typeface="Times New Roman"/>
            </a:rPr>
            <a:t>If the shape was modified in an earlier version of Excel, or if the workbook was saved in Excel 2007 or earlier, the slicer can't be used.</a:t>
          </a:r>
          <a:endParaRPr b="0" lang="fr-CA" sz="1100" spc="-1" strike="noStrike">
            <a:latin typeface="Times New Roman"/>
          </a:endParaRPr>
        </a:p>
      </xdr:txBody>
    </xdr:sp>
    <xdr:clientData/>
  </xdr:twoCellAnchor>
  <xdr:twoCellAnchor editAs="absolute">
    <xdr:from>
      <xdr:col>2</xdr:col>
      <xdr:colOff>768240</xdr:colOff>
      <xdr:row>50</xdr:row>
      <xdr:rowOff>10800</xdr:rowOff>
    </xdr:from>
    <xdr:to>
      <xdr:col>3</xdr:col>
      <xdr:colOff>456840</xdr:colOff>
      <xdr:row>63</xdr:row>
      <xdr:rowOff>51480</xdr:rowOff>
    </xdr:to>
    <xdr:sp>
      <xdr:nvSpPr>
        <xdr:cNvPr id="93" name=""/>
        <xdr:cNvSpPr/>
      </xdr:nvSpPr>
      <xdr:spPr>
        <a:xfrm>
          <a:off x="2529720" y="9655200"/>
          <a:ext cx="977760" cy="2517120"/>
        </a:xfrm>
        <a:prstGeom prst="rect">
          <a:avLst/>
        </a:prstGeom>
        <a:solidFill>
          <a:srgbClr val="ffffff"/>
        </a:solidFill>
        <a:ln w="1">
          <a:solidFill>
            <a:srgbClr val="008000"/>
          </a:solidFill>
        </a:ln>
      </xdr:spPr>
      <xdr:style>
        <a:lnRef idx="0"/>
        <a:fillRef idx="0"/>
        <a:effectRef idx="0"/>
        <a:fontRef idx="minor"/>
      </xdr:style>
      <xdr:txBody>
        <a:bodyPr horzOverflow="clip" vertOverflow="clip" lIns="90000" rIns="90000" tIns="45000" bIns="45000" anchor="t">
          <a:noAutofit/>
        </a:bodyPr>
        <a:p>
          <a:r>
            <a:rPr b="0" lang="fr-CA" sz="1100" spc="-1" strike="noStrike">
              <a:latin typeface="Times New Roman"/>
            </a:rPr>
            <a:t>This shape represents a table slicer. Table slicers are not supported in this version of Excel.</a:t>
          </a:r>
          <a:endParaRPr b="0" lang="fr-CA" sz="1100" spc="-1" strike="noStrike">
            <a:latin typeface="Times New Roman"/>
          </a:endParaRPr>
        </a:p>
        <a:p>
          <a:endParaRPr b="0" lang="fr-CA" sz="1100" spc="-1" strike="noStrike">
            <a:latin typeface="Times New Roman"/>
          </a:endParaRPr>
        </a:p>
        <a:p>
          <a:pPr>
            <a:lnSpc>
              <a:spcPct val="100000"/>
            </a:lnSpc>
          </a:pPr>
          <a:r>
            <a:rPr b="0" lang="fr-CA" sz="1100" spc="-1" strike="noStrike">
              <a:latin typeface="Times New Roman"/>
            </a:rPr>
            <a:t>If the shape was modified in an earlier version of Excel, or if the workbook was saved in Excel 2007 or earlier, the slicer can't be used.</a:t>
          </a:r>
          <a:endParaRPr b="0" lang="fr-CA" sz="1100" spc="-1" strike="noStrike">
            <a:latin typeface="Times New Roman"/>
          </a:endParaRPr>
        </a:p>
      </xdr:txBody>
    </xdr:sp>
    <xdr:clientData/>
  </xdr:twoCellAnchor>
  <xdr:twoCellAnchor editAs="absolute">
    <xdr:from>
      <xdr:col>3</xdr:col>
      <xdr:colOff>819000</xdr:colOff>
      <xdr:row>50</xdr:row>
      <xdr:rowOff>14040</xdr:rowOff>
    </xdr:from>
    <xdr:to>
      <xdr:col>5</xdr:col>
      <xdr:colOff>380520</xdr:colOff>
      <xdr:row>63</xdr:row>
      <xdr:rowOff>67680</xdr:rowOff>
    </xdr:to>
    <xdr:sp>
      <xdr:nvSpPr>
        <xdr:cNvPr id="94" name=""/>
        <xdr:cNvSpPr/>
      </xdr:nvSpPr>
      <xdr:spPr>
        <a:xfrm>
          <a:off x="3869640" y="9658440"/>
          <a:ext cx="1252440" cy="2530080"/>
        </a:xfrm>
        <a:prstGeom prst="rect">
          <a:avLst/>
        </a:prstGeom>
        <a:solidFill>
          <a:srgbClr val="ffffff"/>
        </a:solidFill>
        <a:ln w="1">
          <a:solidFill>
            <a:srgbClr val="008000"/>
          </a:solidFill>
        </a:ln>
      </xdr:spPr>
      <xdr:style>
        <a:lnRef idx="0"/>
        <a:fillRef idx="0"/>
        <a:effectRef idx="0"/>
        <a:fontRef idx="minor"/>
      </xdr:style>
      <xdr:txBody>
        <a:bodyPr horzOverflow="clip" vertOverflow="clip" lIns="90000" rIns="90000" tIns="45000" bIns="45000" anchor="t">
          <a:noAutofit/>
        </a:bodyPr>
        <a:p>
          <a:r>
            <a:rPr b="0" lang="fr-CA" sz="1100" spc="-1" strike="noStrike">
              <a:latin typeface="Times New Roman"/>
            </a:rPr>
            <a:t>This shape represents a table slicer. Table slicers are not supported in this version of Excel.</a:t>
          </a:r>
          <a:endParaRPr b="0" lang="fr-CA" sz="1100" spc="-1" strike="noStrike">
            <a:latin typeface="Times New Roman"/>
          </a:endParaRPr>
        </a:p>
        <a:p>
          <a:endParaRPr b="0" lang="fr-CA" sz="1100" spc="-1" strike="noStrike">
            <a:latin typeface="Times New Roman"/>
          </a:endParaRPr>
        </a:p>
        <a:p>
          <a:pPr>
            <a:lnSpc>
              <a:spcPct val="100000"/>
            </a:lnSpc>
          </a:pPr>
          <a:r>
            <a:rPr b="0" lang="fr-CA" sz="1100" spc="-1" strike="noStrike">
              <a:latin typeface="Times New Roman"/>
            </a:rPr>
            <a:t>If the shape was modified in an earlier version of Excel, or if the workbook was saved in Excel 2007 or earlier, the slicer can't be used.</a:t>
          </a:r>
          <a:endParaRPr b="0" lang="fr-CA" sz="1100" spc="-1" strike="noStrike">
            <a:latin typeface="Times New Roman"/>
          </a:endParaRPr>
        </a:p>
      </xdr:txBody>
    </xdr:sp>
    <xdr:clientData/>
  </xdr:twoCellAnchor>
  <xdr:twoCellAnchor editAs="absolute">
    <xdr:from>
      <xdr:col>3</xdr:col>
      <xdr:colOff>495360</xdr:colOff>
      <xdr:row>50</xdr:row>
      <xdr:rowOff>14040</xdr:rowOff>
    </xdr:from>
    <xdr:to>
      <xdr:col>3</xdr:col>
      <xdr:colOff>780840</xdr:colOff>
      <xdr:row>63</xdr:row>
      <xdr:rowOff>67680</xdr:rowOff>
    </xdr:to>
    <xdr:sp>
      <xdr:nvSpPr>
        <xdr:cNvPr id="95" name=""/>
        <xdr:cNvSpPr/>
      </xdr:nvSpPr>
      <xdr:spPr>
        <a:xfrm>
          <a:off x="3546000" y="9658440"/>
          <a:ext cx="285480" cy="2530080"/>
        </a:xfrm>
        <a:prstGeom prst="rect">
          <a:avLst/>
        </a:prstGeom>
        <a:solidFill>
          <a:srgbClr val="ffffff"/>
        </a:solidFill>
        <a:ln w="1">
          <a:solidFill>
            <a:srgbClr val="008000"/>
          </a:solidFill>
        </a:ln>
      </xdr:spPr>
      <xdr:style>
        <a:lnRef idx="0"/>
        <a:fillRef idx="0"/>
        <a:effectRef idx="0"/>
        <a:fontRef idx="minor"/>
      </xdr:style>
      <xdr:txBody>
        <a:bodyPr horzOverflow="clip" vertOverflow="clip" lIns="90000" rIns="90000" tIns="45000" bIns="45000" anchor="t">
          <a:noAutofit/>
        </a:bodyPr>
        <a:p>
          <a:r>
            <a:rPr b="0" lang="fr-CA" sz="1100" spc="-1" strike="noStrike">
              <a:latin typeface="Times New Roman"/>
            </a:rPr>
            <a:t>This shape represents a table slicer. Table slicers are not supported in this version of Excel.</a:t>
          </a:r>
          <a:endParaRPr b="0" lang="fr-CA" sz="1100" spc="-1" strike="noStrike">
            <a:latin typeface="Times New Roman"/>
          </a:endParaRPr>
        </a:p>
        <a:p>
          <a:endParaRPr b="0" lang="fr-CA" sz="1100" spc="-1" strike="noStrike">
            <a:latin typeface="Times New Roman"/>
          </a:endParaRPr>
        </a:p>
        <a:p>
          <a:pPr>
            <a:lnSpc>
              <a:spcPct val="100000"/>
            </a:lnSpc>
          </a:pPr>
          <a:r>
            <a:rPr b="0" lang="fr-CA" sz="1100" spc="-1" strike="noStrike">
              <a:latin typeface="Times New Roman"/>
            </a:rPr>
            <a:t>If the shape was modified in an earlier version of Excel, or if the workbook was saved in Excel 2007 or earlier, the slicer can't be used.</a:t>
          </a:r>
          <a:endParaRPr b="0" lang="fr-CA" sz="1100" spc="-1" strike="noStrike">
            <a:latin typeface="Times New Roman"/>
          </a:endParaRPr>
        </a:p>
      </xdr:txBody>
    </xdr:sp>
    <xdr:clientData/>
  </xdr:twoCellAnchor>
  <xdr:twoCellAnchor editAs="absolute">
    <xdr:from>
      <xdr:col>5</xdr:col>
      <xdr:colOff>387360</xdr:colOff>
      <xdr:row>50</xdr:row>
      <xdr:rowOff>10800</xdr:rowOff>
    </xdr:from>
    <xdr:to>
      <xdr:col>5</xdr:col>
      <xdr:colOff>1066320</xdr:colOff>
      <xdr:row>63</xdr:row>
      <xdr:rowOff>51480</xdr:rowOff>
    </xdr:to>
    <xdr:sp>
      <xdr:nvSpPr>
        <xdr:cNvPr id="96" name=""/>
        <xdr:cNvSpPr/>
      </xdr:nvSpPr>
      <xdr:spPr>
        <a:xfrm>
          <a:off x="5128920" y="9655200"/>
          <a:ext cx="678960" cy="2517120"/>
        </a:xfrm>
        <a:prstGeom prst="rect">
          <a:avLst/>
        </a:prstGeom>
        <a:solidFill>
          <a:srgbClr val="ffffff"/>
        </a:solidFill>
        <a:ln w="1">
          <a:solidFill>
            <a:srgbClr val="008000"/>
          </a:solidFill>
        </a:ln>
      </xdr:spPr>
      <xdr:style>
        <a:lnRef idx="0"/>
        <a:fillRef idx="0"/>
        <a:effectRef idx="0"/>
        <a:fontRef idx="minor"/>
      </xdr:style>
      <xdr:txBody>
        <a:bodyPr horzOverflow="clip" vertOverflow="clip" lIns="90000" rIns="90000" tIns="45000" bIns="45000" anchor="t">
          <a:noAutofit/>
        </a:bodyPr>
        <a:p>
          <a:r>
            <a:rPr b="0" lang="fr-CA" sz="1100" spc="-1" strike="noStrike">
              <a:latin typeface="Times New Roman"/>
            </a:rPr>
            <a:t>This shape represents a table slicer. Table slicers are not supported in this version of Excel.</a:t>
          </a:r>
          <a:endParaRPr b="0" lang="fr-CA" sz="1100" spc="-1" strike="noStrike">
            <a:latin typeface="Times New Roman"/>
          </a:endParaRPr>
        </a:p>
        <a:p>
          <a:endParaRPr b="0" lang="fr-CA" sz="1100" spc="-1" strike="noStrike">
            <a:latin typeface="Times New Roman"/>
          </a:endParaRPr>
        </a:p>
        <a:p>
          <a:pPr>
            <a:lnSpc>
              <a:spcPct val="100000"/>
            </a:lnSpc>
          </a:pPr>
          <a:r>
            <a:rPr b="0" lang="fr-CA" sz="1100" spc="-1" strike="noStrike">
              <a:latin typeface="Times New Roman"/>
            </a:rPr>
            <a:t>If the shape was modified in an earlier version of Excel, or if the workbook was saved in Excel 2007 or earlier, the slicer can't be used.</a:t>
          </a:r>
          <a:endParaRPr b="0" lang="fr-CA" sz="1100" spc="-1" strike="noStrike">
            <a:latin typeface="Times New Roman"/>
          </a:endParaRPr>
        </a:p>
      </xdr:txBody>
    </xdr:sp>
    <xdr:clientData/>
  </xdr:twoCellAnchor>
  <xdr:twoCellAnchor editAs="absolute">
    <xdr:from>
      <xdr:col>6</xdr:col>
      <xdr:colOff>676440</xdr:colOff>
      <xdr:row>49</xdr:row>
      <xdr:rowOff>182520</xdr:rowOff>
    </xdr:from>
    <xdr:to>
      <xdr:col>13</xdr:col>
      <xdr:colOff>247320</xdr:colOff>
      <xdr:row>63</xdr:row>
      <xdr:rowOff>32760</xdr:rowOff>
    </xdr:to>
    <xdr:sp>
      <xdr:nvSpPr>
        <xdr:cNvPr id="97" name=""/>
        <xdr:cNvSpPr/>
      </xdr:nvSpPr>
      <xdr:spPr>
        <a:xfrm>
          <a:off x="6757200" y="9636480"/>
          <a:ext cx="4856760" cy="2517120"/>
        </a:xfrm>
        <a:prstGeom prst="rect">
          <a:avLst/>
        </a:prstGeom>
        <a:solidFill>
          <a:srgbClr val="ffffff"/>
        </a:solidFill>
        <a:ln w="1">
          <a:solidFill>
            <a:srgbClr val="008000"/>
          </a:solidFill>
        </a:ln>
      </xdr:spPr>
      <xdr:style>
        <a:lnRef idx="0"/>
        <a:fillRef idx="0"/>
        <a:effectRef idx="0"/>
        <a:fontRef idx="minor"/>
      </xdr:style>
      <xdr:txBody>
        <a:bodyPr horzOverflow="clip" vertOverflow="clip" lIns="90000" rIns="90000" tIns="45000" bIns="45000" anchor="t">
          <a:noAutofit/>
        </a:bodyPr>
        <a:p>
          <a:r>
            <a:rPr b="0" lang="fr-CA" sz="1100" spc="-1" strike="noStrike">
              <a:latin typeface="Times New Roman"/>
            </a:rPr>
            <a:t>This shape represents a table slicer. Table slicers are not supported in this version of Excel.</a:t>
          </a:r>
          <a:endParaRPr b="0" lang="fr-CA" sz="1100" spc="-1" strike="noStrike">
            <a:latin typeface="Times New Roman"/>
          </a:endParaRPr>
        </a:p>
        <a:p>
          <a:endParaRPr b="0" lang="fr-CA" sz="1100" spc="-1" strike="noStrike">
            <a:latin typeface="Times New Roman"/>
          </a:endParaRPr>
        </a:p>
        <a:p>
          <a:pPr>
            <a:lnSpc>
              <a:spcPct val="100000"/>
            </a:lnSpc>
          </a:pPr>
          <a:r>
            <a:rPr b="0" lang="fr-CA" sz="1100" spc="-1" strike="noStrike">
              <a:latin typeface="Times New Roman"/>
            </a:rPr>
            <a:t>If the shape was modified in an earlier version of Excel, or if the workbook was saved in Excel 2007 or earlier, the slicer can't be used.</a:t>
          </a:r>
          <a:endParaRPr b="0" lang="fr-CA" sz="1100" spc="-1" strike="noStrike">
            <a:latin typeface="Times New Roman"/>
          </a:endParaRPr>
        </a:p>
      </xdr:txBody>
    </xdr:sp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absolute">
    <xdr:from>
      <xdr:col>2</xdr:col>
      <xdr:colOff>314280</xdr:colOff>
      <xdr:row>50</xdr:row>
      <xdr:rowOff>10800</xdr:rowOff>
    </xdr:from>
    <xdr:to>
      <xdr:col>2</xdr:col>
      <xdr:colOff>786960</xdr:colOff>
      <xdr:row>62</xdr:row>
      <xdr:rowOff>181800</xdr:rowOff>
    </xdr:to>
    <xdr:sp>
      <xdr:nvSpPr>
        <xdr:cNvPr id="98" name=""/>
        <xdr:cNvSpPr/>
      </xdr:nvSpPr>
      <xdr:spPr>
        <a:xfrm>
          <a:off x="2075760" y="9655200"/>
          <a:ext cx="472680" cy="2457000"/>
        </a:xfrm>
        <a:prstGeom prst="rect">
          <a:avLst/>
        </a:prstGeom>
        <a:solidFill>
          <a:srgbClr val="ffffff"/>
        </a:solidFill>
        <a:ln w="1">
          <a:solidFill>
            <a:srgbClr val="008000"/>
          </a:solidFill>
        </a:ln>
      </xdr:spPr>
      <xdr:style>
        <a:lnRef idx="0"/>
        <a:fillRef idx="0"/>
        <a:effectRef idx="0"/>
        <a:fontRef idx="minor"/>
      </xdr:style>
      <xdr:txBody>
        <a:bodyPr horzOverflow="clip" vertOverflow="clip" lIns="90000" rIns="90000" tIns="45000" bIns="45000" anchor="t">
          <a:noAutofit/>
        </a:bodyPr>
        <a:p>
          <a:r>
            <a:rPr b="0" lang="fr-CA" sz="1100" spc="-1" strike="noStrike">
              <a:latin typeface="Times New Roman"/>
            </a:rPr>
            <a:t>This shape represents a table slicer. Table slicers are not supported in this version of Excel.</a:t>
          </a:r>
          <a:endParaRPr b="0" lang="fr-CA" sz="1100" spc="-1" strike="noStrike">
            <a:latin typeface="Times New Roman"/>
          </a:endParaRPr>
        </a:p>
        <a:p>
          <a:endParaRPr b="0" lang="fr-CA" sz="1100" spc="-1" strike="noStrike">
            <a:latin typeface="Times New Roman"/>
          </a:endParaRPr>
        </a:p>
        <a:p>
          <a:pPr>
            <a:lnSpc>
              <a:spcPct val="100000"/>
            </a:lnSpc>
          </a:pPr>
          <a:r>
            <a:rPr b="0" lang="fr-CA" sz="1100" spc="-1" strike="noStrike">
              <a:latin typeface="Times New Roman"/>
            </a:rPr>
            <a:t>If the shape was modified in an earlier version of Excel, or if the workbook was saved in Excel 2007 or earlier, the slicer can't be used.</a:t>
          </a:r>
          <a:endParaRPr b="0" lang="fr-CA" sz="1100" spc="-1" strike="noStrike">
            <a:latin typeface="Times New Roman"/>
          </a:endParaRPr>
        </a:p>
      </xdr:txBody>
    </xdr:sp>
    <xdr:clientData/>
  </xdr:twoCellAnchor>
  <xdr:twoCellAnchor editAs="absolute">
    <xdr:from>
      <xdr:col>6</xdr:col>
      <xdr:colOff>44280</xdr:colOff>
      <xdr:row>50</xdr:row>
      <xdr:rowOff>14040</xdr:rowOff>
    </xdr:from>
    <xdr:to>
      <xdr:col>7</xdr:col>
      <xdr:colOff>24840</xdr:colOff>
      <xdr:row>55</xdr:row>
      <xdr:rowOff>108720</xdr:rowOff>
    </xdr:to>
    <xdr:sp>
      <xdr:nvSpPr>
        <xdr:cNvPr id="99" name=""/>
        <xdr:cNvSpPr/>
      </xdr:nvSpPr>
      <xdr:spPr>
        <a:xfrm>
          <a:off x="6035040" y="9658440"/>
          <a:ext cx="785520" cy="1047240"/>
        </a:xfrm>
        <a:prstGeom prst="rect">
          <a:avLst/>
        </a:prstGeom>
        <a:solidFill>
          <a:srgbClr val="ffffff"/>
        </a:solidFill>
        <a:ln w="1">
          <a:solidFill>
            <a:srgbClr val="008000"/>
          </a:solidFill>
        </a:ln>
      </xdr:spPr>
      <xdr:style>
        <a:lnRef idx="0"/>
        <a:fillRef idx="0"/>
        <a:effectRef idx="0"/>
        <a:fontRef idx="minor"/>
      </xdr:style>
      <xdr:txBody>
        <a:bodyPr horzOverflow="clip" vertOverflow="clip" lIns="90000" rIns="90000" tIns="45000" bIns="45000" anchor="t">
          <a:noAutofit/>
        </a:bodyPr>
        <a:p>
          <a:r>
            <a:rPr b="0" lang="fr-CA" sz="1100" spc="-1" strike="noStrike">
              <a:latin typeface="Times New Roman"/>
            </a:rPr>
            <a:t>This shape represents a table slicer. Table slicers are not supported in this version of Excel.</a:t>
          </a:r>
          <a:endParaRPr b="0" lang="fr-CA" sz="1100" spc="-1" strike="noStrike">
            <a:latin typeface="Times New Roman"/>
          </a:endParaRPr>
        </a:p>
        <a:p>
          <a:endParaRPr b="0" lang="fr-CA" sz="1100" spc="-1" strike="noStrike">
            <a:latin typeface="Times New Roman"/>
          </a:endParaRPr>
        </a:p>
        <a:p>
          <a:pPr>
            <a:lnSpc>
              <a:spcPct val="100000"/>
            </a:lnSpc>
          </a:pPr>
          <a:r>
            <a:rPr b="0" lang="fr-CA" sz="1100" spc="-1" strike="noStrike">
              <a:latin typeface="Times New Roman"/>
            </a:rPr>
            <a:t>If the shape was modified in an earlier version of Excel, or if the workbook was saved in Excel 2007 or earlier, the slicer can't be used.</a:t>
          </a:r>
          <a:endParaRPr b="0" lang="fr-CA" sz="1100" spc="-1" strike="noStrike">
            <a:latin typeface="Times New Roman"/>
          </a:endParaRPr>
        </a:p>
      </xdr:txBody>
    </xdr:sp>
    <xdr:clientData/>
  </xdr:twoCellAnchor>
  <xdr:twoCellAnchor editAs="absolute">
    <xdr:from>
      <xdr:col>2</xdr:col>
      <xdr:colOff>844560</xdr:colOff>
      <xdr:row>50</xdr:row>
      <xdr:rowOff>10800</xdr:rowOff>
    </xdr:from>
    <xdr:to>
      <xdr:col>3</xdr:col>
      <xdr:colOff>542520</xdr:colOff>
      <xdr:row>63</xdr:row>
      <xdr:rowOff>51480</xdr:rowOff>
    </xdr:to>
    <xdr:sp>
      <xdr:nvSpPr>
        <xdr:cNvPr id="100" name=""/>
        <xdr:cNvSpPr/>
      </xdr:nvSpPr>
      <xdr:spPr>
        <a:xfrm>
          <a:off x="2606040" y="9655200"/>
          <a:ext cx="987120" cy="2517120"/>
        </a:xfrm>
        <a:prstGeom prst="rect">
          <a:avLst/>
        </a:prstGeom>
        <a:solidFill>
          <a:srgbClr val="ffffff"/>
        </a:solidFill>
        <a:ln w="1">
          <a:solidFill>
            <a:srgbClr val="008000"/>
          </a:solidFill>
        </a:ln>
      </xdr:spPr>
      <xdr:style>
        <a:lnRef idx="0"/>
        <a:fillRef idx="0"/>
        <a:effectRef idx="0"/>
        <a:fontRef idx="minor"/>
      </xdr:style>
      <xdr:txBody>
        <a:bodyPr horzOverflow="clip" vertOverflow="clip" lIns="90000" rIns="90000" tIns="45000" bIns="45000" anchor="t">
          <a:noAutofit/>
        </a:bodyPr>
        <a:p>
          <a:r>
            <a:rPr b="0" lang="fr-CA" sz="1100" spc="-1" strike="noStrike">
              <a:latin typeface="Times New Roman"/>
            </a:rPr>
            <a:t>This shape represents a table slicer. Table slicers are not supported in this version of Excel.</a:t>
          </a:r>
          <a:endParaRPr b="0" lang="fr-CA" sz="1100" spc="-1" strike="noStrike">
            <a:latin typeface="Times New Roman"/>
          </a:endParaRPr>
        </a:p>
        <a:p>
          <a:endParaRPr b="0" lang="fr-CA" sz="1100" spc="-1" strike="noStrike">
            <a:latin typeface="Times New Roman"/>
          </a:endParaRPr>
        </a:p>
        <a:p>
          <a:pPr>
            <a:lnSpc>
              <a:spcPct val="100000"/>
            </a:lnSpc>
          </a:pPr>
          <a:r>
            <a:rPr b="0" lang="fr-CA" sz="1100" spc="-1" strike="noStrike">
              <a:latin typeface="Times New Roman"/>
            </a:rPr>
            <a:t>If the shape was modified in an earlier version of Excel, or if the workbook was saved in Excel 2007 or earlier, the slicer can't be used.</a:t>
          </a:r>
          <a:endParaRPr b="0" lang="fr-CA" sz="1100" spc="-1" strike="noStrike">
            <a:latin typeface="Times New Roman"/>
          </a:endParaRPr>
        </a:p>
      </xdr:txBody>
    </xdr:sp>
    <xdr:clientData/>
  </xdr:twoCellAnchor>
  <xdr:twoCellAnchor editAs="absolute">
    <xdr:from>
      <xdr:col>4</xdr:col>
      <xdr:colOff>95400</xdr:colOff>
      <xdr:row>50</xdr:row>
      <xdr:rowOff>14040</xdr:rowOff>
    </xdr:from>
    <xdr:to>
      <xdr:col>5</xdr:col>
      <xdr:colOff>475920</xdr:colOff>
      <xdr:row>63</xdr:row>
      <xdr:rowOff>67680</xdr:rowOff>
    </xdr:to>
    <xdr:sp>
      <xdr:nvSpPr>
        <xdr:cNvPr id="101" name=""/>
        <xdr:cNvSpPr/>
      </xdr:nvSpPr>
      <xdr:spPr>
        <a:xfrm>
          <a:off x="4001760" y="9658440"/>
          <a:ext cx="1125360" cy="2530080"/>
        </a:xfrm>
        <a:prstGeom prst="rect">
          <a:avLst/>
        </a:prstGeom>
        <a:solidFill>
          <a:srgbClr val="ffffff"/>
        </a:solidFill>
        <a:ln w="1">
          <a:solidFill>
            <a:srgbClr val="008000"/>
          </a:solidFill>
        </a:ln>
      </xdr:spPr>
      <xdr:style>
        <a:lnRef idx="0"/>
        <a:fillRef idx="0"/>
        <a:effectRef idx="0"/>
        <a:fontRef idx="minor"/>
      </xdr:style>
      <xdr:txBody>
        <a:bodyPr horzOverflow="clip" vertOverflow="clip" lIns="90000" rIns="90000" tIns="45000" bIns="45000" anchor="t">
          <a:noAutofit/>
        </a:bodyPr>
        <a:p>
          <a:r>
            <a:rPr b="0" lang="fr-CA" sz="1100" spc="-1" strike="noStrike">
              <a:latin typeface="Times New Roman"/>
            </a:rPr>
            <a:t>This shape represents a table slicer. Table slicers are not supported in this version of Excel.</a:t>
          </a:r>
          <a:endParaRPr b="0" lang="fr-CA" sz="1100" spc="-1" strike="noStrike">
            <a:latin typeface="Times New Roman"/>
          </a:endParaRPr>
        </a:p>
        <a:p>
          <a:endParaRPr b="0" lang="fr-CA" sz="1100" spc="-1" strike="noStrike">
            <a:latin typeface="Times New Roman"/>
          </a:endParaRPr>
        </a:p>
        <a:p>
          <a:pPr>
            <a:lnSpc>
              <a:spcPct val="100000"/>
            </a:lnSpc>
          </a:pPr>
          <a:r>
            <a:rPr b="0" lang="fr-CA" sz="1100" spc="-1" strike="noStrike">
              <a:latin typeface="Times New Roman"/>
            </a:rPr>
            <a:t>If the shape was modified in an earlier version of Excel, or if the workbook was saved in Excel 2007 or earlier, the slicer can't be used.</a:t>
          </a:r>
          <a:endParaRPr b="0" lang="fr-CA" sz="1100" spc="-1" strike="noStrike">
            <a:latin typeface="Times New Roman"/>
          </a:endParaRPr>
        </a:p>
      </xdr:txBody>
    </xdr:sp>
    <xdr:clientData/>
  </xdr:twoCellAnchor>
  <xdr:twoCellAnchor editAs="absolute">
    <xdr:from>
      <xdr:col>3</xdr:col>
      <xdr:colOff>581040</xdr:colOff>
      <xdr:row>50</xdr:row>
      <xdr:rowOff>14040</xdr:rowOff>
    </xdr:from>
    <xdr:to>
      <xdr:col>4</xdr:col>
      <xdr:colOff>56880</xdr:colOff>
      <xdr:row>63</xdr:row>
      <xdr:rowOff>67680</xdr:rowOff>
    </xdr:to>
    <xdr:sp>
      <xdr:nvSpPr>
        <xdr:cNvPr id="102" name=""/>
        <xdr:cNvSpPr/>
      </xdr:nvSpPr>
      <xdr:spPr>
        <a:xfrm>
          <a:off x="3631680" y="9658440"/>
          <a:ext cx="331560" cy="2530080"/>
        </a:xfrm>
        <a:prstGeom prst="rect">
          <a:avLst/>
        </a:prstGeom>
        <a:solidFill>
          <a:srgbClr val="ffffff"/>
        </a:solidFill>
        <a:ln w="1">
          <a:solidFill>
            <a:srgbClr val="008000"/>
          </a:solidFill>
        </a:ln>
      </xdr:spPr>
      <xdr:style>
        <a:lnRef idx="0"/>
        <a:fillRef idx="0"/>
        <a:effectRef idx="0"/>
        <a:fontRef idx="minor"/>
      </xdr:style>
      <xdr:txBody>
        <a:bodyPr horzOverflow="clip" vertOverflow="clip" lIns="90000" rIns="90000" tIns="45000" bIns="45000" anchor="t">
          <a:noAutofit/>
        </a:bodyPr>
        <a:p>
          <a:r>
            <a:rPr b="0" lang="fr-CA" sz="1100" spc="-1" strike="noStrike">
              <a:latin typeface="Times New Roman"/>
            </a:rPr>
            <a:t>This shape represents a table slicer. Table slicers are not supported in this version of Excel.</a:t>
          </a:r>
          <a:endParaRPr b="0" lang="fr-CA" sz="1100" spc="-1" strike="noStrike">
            <a:latin typeface="Times New Roman"/>
          </a:endParaRPr>
        </a:p>
        <a:p>
          <a:endParaRPr b="0" lang="fr-CA" sz="1100" spc="-1" strike="noStrike">
            <a:latin typeface="Times New Roman"/>
          </a:endParaRPr>
        </a:p>
        <a:p>
          <a:pPr>
            <a:lnSpc>
              <a:spcPct val="100000"/>
            </a:lnSpc>
          </a:pPr>
          <a:r>
            <a:rPr b="0" lang="fr-CA" sz="1100" spc="-1" strike="noStrike">
              <a:latin typeface="Times New Roman"/>
            </a:rPr>
            <a:t>If the shape was modified in an earlier version of Excel, or if the workbook was saved in Excel 2007 or earlier, the slicer can't be used.</a:t>
          </a:r>
          <a:endParaRPr b="0" lang="fr-CA" sz="1100" spc="-1" strike="noStrike">
            <a:latin typeface="Times New Roman"/>
          </a:endParaRPr>
        </a:p>
      </xdr:txBody>
    </xdr:sp>
    <xdr:clientData/>
  </xdr:twoCellAnchor>
  <xdr:twoCellAnchor editAs="absolute">
    <xdr:from>
      <xdr:col>5</xdr:col>
      <xdr:colOff>473040</xdr:colOff>
      <xdr:row>50</xdr:row>
      <xdr:rowOff>10800</xdr:rowOff>
    </xdr:from>
    <xdr:to>
      <xdr:col>5</xdr:col>
      <xdr:colOff>1237680</xdr:colOff>
      <xdr:row>63</xdr:row>
      <xdr:rowOff>51480</xdr:rowOff>
    </xdr:to>
    <xdr:sp>
      <xdr:nvSpPr>
        <xdr:cNvPr id="103" name=""/>
        <xdr:cNvSpPr/>
      </xdr:nvSpPr>
      <xdr:spPr>
        <a:xfrm>
          <a:off x="5124240" y="9655200"/>
          <a:ext cx="764640" cy="2517120"/>
        </a:xfrm>
        <a:prstGeom prst="rect">
          <a:avLst/>
        </a:prstGeom>
        <a:solidFill>
          <a:srgbClr val="ffffff"/>
        </a:solidFill>
        <a:ln w="1">
          <a:solidFill>
            <a:srgbClr val="008000"/>
          </a:solidFill>
        </a:ln>
      </xdr:spPr>
      <xdr:style>
        <a:lnRef idx="0"/>
        <a:fillRef idx="0"/>
        <a:effectRef idx="0"/>
        <a:fontRef idx="minor"/>
      </xdr:style>
      <xdr:txBody>
        <a:bodyPr horzOverflow="clip" vertOverflow="clip" lIns="90000" rIns="90000" tIns="45000" bIns="45000" anchor="t">
          <a:noAutofit/>
        </a:bodyPr>
        <a:p>
          <a:r>
            <a:rPr b="0" lang="fr-CA" sz="1100" spc="-1" strike="noStrike">
              <a:latin typeface="Times New Roman"/>
            </a:rPr>
            <a:t>This shape represents a table slicer. Table slicers are not supported in this version of Excel.</a:t>
          </a:r>
          <a:endParaRPr b="0" lang="fr-CA" sz="1100" spc="-1" strike="noStrike">
            <a:latin typeface="Times New Roman"/>
          </a:endParaRPr>
        </a:p>
        <a:p>
          <a:endParaRPr b="0" lang="fr-CA" sz="1100" spc="-1" strike="noStrike">
            <a:latin typeface="Times New Roman"/>
          </a:endParaRPr>
        </a:p>
        <a:p>
          <a:pPr>
            <a:lnSpc>
              <a:spcPct val="100000"/>
            </a:lnSpc>
          </a:pPr>
          <a:r>
            <a:rPr b="0" lang="fr-CA" sz="1100" spc="-1" strike="noStrike">
              <a:latin typeface="Times New Roman"/>
            </a:rPr>
            <a:t>If the shape was modified in an earlier version of Excel, or if the workbook was saved in Excel 2007 or earlier, the slicer can't be used.</a:t>
          </a:r>
          <a:endParaRPr b="0" lang="fr-CA" sz="1100" spc="-1" strike="noStrike">
            <a:latin typeface="Times New Roman"/>
          </a:endParaRPr>
        </a:p>
      </xdr:txBody>
    </xdr:sp>
    <xdr:clientData/>
  </xdr:twoCellAnchor>
  <xdr:twoCellAnchor editAs="absolute">
    <xdr:from>
      <xdr:col>7</xdr:col>
      <xdr:colOff>85680</xdr:colOff>
      <xdr:row>49</xdr:row>
      <xdr:rowOff>182520</xdr:rowOff>
    </xdr:from>
    <xdr:to>
      <xdr:col>14</xdr:col>
      <xdr:colOff>161640</xdr:colOff>
      <xdr:row>63</xdr:row>
      <xdr:rowOff>32760</xdr:rowOff>
    </xdr:to>
    <xdr:sp>
      <xdr:nvSpPr>
        <xdr:cNvPr id="104" name=""/>
        <xdr:cNvSpPr/>
      </xdr:nvSpPr>
      <xdr:spPr>
        <a:xfrm>
          <a:off x="6881400" y="9636480"/>
          <a:ext cx="4908960" cy="2517120"/>
        </a:xfrm>
        <a:prstGeom prst="rect">
          <a:avLst/>
        </a:prstGeom>
        <a:solidFill>
          <a:srgbClr val="ffffff"/>
        </a:solidFill>
        <a:ln w="1">
          <a:solidFill>
            <a:srgbClr val="008000"/>
          </a:solidFill>
        </a:ln>
      </xdr:spPr>
      <xdr:style>
        <a:lnRef idx="0"/>
        <a:fillRef idx="0"/>
        <a:effectRef idx="0"/>
        <a:fontRef idx="minor"/>
      </xdr:style>
      <xdr:txBody>
        <a:bodyPr horzOverflow="clip" vertOverflow="clip" lIns="90000" rIns="90000" tIns="45000" bIns="45000" anchor="t">
          <a:noAutofit/>
        </a:bodyPr>
        <a:p>
          <a:r>
            <a:rPr b="0" lang="fr-CA" sz="1100" spc="-1" strike="noStrike">
              <a:latin typeface="Times New Roman"/>
            </a:rPr>
            <a:t>This shape represents a table slicer. Table slicers are not supported in this version of Excel.</a:t>
          </a:r>
          <a:endParaRPr b="0" lang="fr-CA" sz="1100" spc="-1" strike="noStrike">
            <a:latin typeface="Times New Roman"/>
          </a:endParaRPr>
        </a:p>
        <a:p>
          <a:endParaRPr b="0" lang="fr-CA" sz="1100" spc="-1" strike="noStrike">
            <a:latin typeface="Times New Roman"/>
          </a:endParaRPr>
        </a:p>
        <a:p>
          <a:pPr>
            <a:lnSpc>
              <a:spcPct val="100000"/>
            </a:lnSpc>
          </a:pPr>
          <a:r>
            <a:rPr b="0" lang="fr-CA" sz="1100" spc="-1" strike="noStrike">
              <a:latin typeface="Times New Roman"/>
            </a:rPr>
            <a:t>If the shape was modified in an earlier version of Excel, or if the workbook was saved in Excel 2007 or earlier, the slicer can't be used.</a:t>
          </a:r>
          <a:endParaRPr b="0" lang="fr-CA" sz="1100" spc="-1" strike="noStrike">
            <a:latin typeface="Times New Roman"/>
          </a:endParaRPr>
        </a:p>
      </xdr:txBody>
    </xdr:sp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absolute">
    <xdr:from>
      <xdr:col>2</xdr:col>
      <xdr:colOff>295200</xdr:colOff>
      <xdr:row>41</xdr:row>
      <xdr:rowOff>128520</xdr:rowOff>
    </xdr:from>
    <xdr:to>
      <xdr:col>2</xdr:col>
      <xdr:colOff>771120</xdr:colOff>
      <xdr:row>54</xdr:row>
      <xdr:rowOff>108720</xdr:rowOff>
    </xdr:to>
    <xdr:sp>
      <xdr:nvSpPr>
        <xdr:cNvPr id="105" name=""/>
        <xdr:cNvSpPr/>
      </xdr:nvSpPr>
      <xdr:spPr>
        <a:xfrm>
          <a:off x="2056680" y="8058240"/>
          <a:ext cx="475920" cy="2457000"/>
        </a:xfrm>
        <a:prstGeom prst="rect">
          <a:avLst/>
        </a:prstGeom>
        <a:solidFill>
          <a:srgbClr val="ffffff"/>
        </a:solidFill>
        <a:ln w="1">
          <a:solidFill>
            <a:srgbClr val="008000"/>
          </a:solidFill>
        </a:ln>
      </xdr:spPr>
      <xdr:style>
        <a:lnRef idx="0"/>
        <a:fillRef idx="0"/>
        <a:effectRef idx="0"/>
        <a:fontRef idx="minor"/>
      </xdr:style>
      <xdr:txBody>
        <a:bodyPr horzOverflow="clip" vertOverflow="clip" lIns="90000" rIns="90000" tIns="45000" bIns="45000" anchor="t">
          <a:noAutofit/>
        </a:bodyPr>
        <a:p>
          <a:r>
            <a:rPr b="0" lang="fr-CA" sz="1100" spc="-1" strike="noStrike">
              <a:latin typeface="Times New Roman"/>
            </a:rPr>
            <a:t>This shape represents a table slicer. Table slicers are not supported in this version of Excel.</a:t>
          </a:r>
          <a:endParaRPr b="0" lang="fr-CA" sz="1100" spc="-1" strike="noStrike">
            <a:latin typeface="Times New Roman"/>
          </a:endParaRPr>
        </a:p>
        <a:p>
          <a:endParaRPr b="0" lang="fr-CA" sz="1100" spc="-1" strike="noStrike">
            <a:latin typeface="Times New Roman"/>
          </a:endParaRPr>
        </a:p>
        <a:p>
          <a:pPr>
            <a:lnSpc>
              <a:spcPct val="100000"/>
            </a:lnSpc>
          </a:pPr>
          <a:r>
            <a:rPr b="0" lang="fr-CA" sz="1100" spc="-1" strike="noStrike">
              <a:latin typeface="Times New Roman"/>
            </a:rPr>
            <a:t>If the shape was modified in an earlier version of Excel, or if the workbook was saved in Excel 2007 or earlier, the slicer can't be used.</a:t>
          </a:r>
          <a:endParaRPr b="0" lang="fr-CA" sz="1100" spc="-1" strike="noStrike">
            <a:latin typeface="Times New Roman"/>
          </a:endParaRPr>
        </a:p>
      </xdr:txBody>
    </xdr:sp>
    <xdr:clientData/>
  </xdr:twoCellAnchor>
  <xdr:twoCellAnchor editAs="absolute">
    <xdr:from>
      <xdr:col>6</xdr:col>
      <xdr:colOff>19080</xdr:colOff>
      <xdr:row>41</xdr:row>
      <xdr:rowOff>137880</xdr:rowOff>
    </xdr:from>
    <xdr:to>
      <xdr:col>6</xdr:col>
      <xdr:colOff>804600</xdr:colOff>
      <xdr:row>47</xdr:row>
      <xdr:rowOff>42120</xdr:rowOff>
    </xdr:to>
    <xdr:sp>
      <xdr:nvSpPr>
        <xdr:cNvPr id="106" name=""/>
        <xdr:cNvSpPr/>
      </xdr:nvSpPr>
      <xdr:spPr>
        <a:xfrm>
          <a:off x="6009840" y="8067600"/>
          <a:ext cx="785520" cy="1047240"/>
        </a:xfrm>
        <a:prstGeom prst="rect">
          <a:avLst/>
        </a:prstGeom>
        <a:solidFill>
          <a:srgbClr val="ffffff"/>
        </a:solidFill>
        <a:ln w="1">
          <a:solidFill>
            <a:srgbClr val="008000"/>
          </a:solidFill>
        </a:ln>
      </xdr:spPr>
      <xdr:style>
        <a:lnRef idx="0"/>
        <a:fillRef idx="0"/>
        <a:effectRef idx="0"/>
        <a:fontRef idx="minor"/>
      </xdr:style>
      <xdr:txBody>
        <a:bodyPr horzOverflow="clip" vertOverflow="clip" lIns="90000" rIns="90000" tIns="45000" bIns="45000" anchor="t">
          <a:noAutofit/>
        </a:bodyPr>
        <a:p>
          <a:r>
            <a:rPr b="0" lang="fr-CA" sz="1100" spc="-1" strike="noStrike">
              <a:latin typeface="Times New Roman"/>
            </a:rPr>
            <a:t>This shape represents a table slicer. Table slicers are not supported in this version of Excel.</a:t>
          </a:r>
          <a:endParaRPr b="0" lang="fr-CA" sz="1100" spc="-1" strike="noStrike">
            <a:latin typeface="Times New Roman"/>
          </a:endParaRPr>
        </a:p>
        <a:p>
          <a:endParaRPr b="0" lang="fr-CA" sz="1100" spc="-1" strike="noStrike">
            <a:latin typeface="Times New Roman"/>
          </a:endParaRPr>
        </a:p>
        <a:p>
          <a:pPr>
            <a:lnSpc>
              <a:spcPct val="100000"/>
            </a:lnSpc>
          </a:pPr>
          <a:r>
            <a:rPr b="0" lang="fr-CA" sz="1100" spc="-1" strike="noStrike">
              <a:latin typeface="Times New Roman"/>
            </a:rPr>
            <a:t>If the shape was modified in an earlier version of Excel, or if the workbook was saved in Excel 2007 or earlier, the slicer can't be used.</a:t>
          </a:r>
          <a:endParaRPr b="0" lang="fr-CA" sz="1100" spc="-1" strike="noStrike">
            <a:latin typeface="Times New Roman"/>
          </a:endParaRPr>
        </a:p>
      </xdr:txBody>
    </xdr:sp>
    <xdr:clientData/>
  </xdr:twoCellAnchor>
  <xdr:twoCellAnchor editAs="absolute">
    <xdr:from>
      <xdr:col>2</xdr:col>
      <xdr:colOff>819000</xdr:colOff>
      <xdr:row>41</xdr:row>
      <xdr:rowOff>128520</xdr:rowOff>
    </xdr:from>
    <xdr:to>
      <xdr:col>3</xdr:col>
      <xdr:colOff>523440</xdr:colOff>
      <xdr:row>54</xdr:row>
      <xdr:rowOff>175320</xdr:rowOff>
    </xdr:to>
    <xdr:sp>
      <xdr:nvSpPr>
        <xdr:cNvPr id="107" name=""/>
        <xdr:cNvSpPr/>
      </xdr:nvSpPr>
      <xdr:spPr>
        <a:xfrm>
          <a:off x="2580480" y="8058240"/>
          <a:ext cx="993600" cy="2523600"/>
        </a:xfrm>
        <a:prstGeom prst="rect">
          <a:avLst/>
        </a:prstGeom>
        <a:solidFill>
          <a:srgbClr val="ffffff"/>
        </a:solidFill>
        <a:ln w="1">
          <a:solidFill>
            <a:srgbClr val="008000"/>
          </a:solidFill>
        </a:ln>
      </xdr:spPr>
      <xdr:style>
        <a:lnRef idx="0"/>
        <a:fillRef idx="0"/>
        <a:effectRef idx="0"/>
        <a:fontRef idx="minor"/>
      </xdr:style>
      <xdr:txBody>
        <a:bodyPr horzOverflow="clip" vertOverflow="clip" lIns="90000" rIns="90000" tIns="45000" bIns="45000" anchor="t">
          <a:noAutofit/>
        </a:bodyPr>
        <a:p>
          <a:r>
            <a:rPr b="0" lang="fr-CA" sz="1100" spc="-1" strike="noStrike">
              <a:latin typeface="Times New Roman"/>
            </a:rPr>
            <a:t>This shape represents a table slicer. Table slicers are not supported in this version of Excel.</a:t>
          </a:r>
          <a:endParaRPr b="0" lang="fr-CA" sz="1100" spc="-1" strike="noStrike">
            <a:latin typeface="Times New Roman"/>
          </a:endParaRPr>
        </a:p>
        <a:p>
          <a:endParaRPr b="0" lang="fr-CA" sz="1100" spc="-1" strike="noStrike">
            <a:latin typeface="Times New Roman"/>
          </a:endParaRPr>
        </a:p>
        <a:p>
          <a:pPr>
            <a:lnSpc>
              <a:spcPct val="100000"/>
            </a:lnSpc>
          </a:pPr>
          <a:r>
            <a:rPr b="0" lang="fr-CA" sz="1100" spc="-1" strike="noStrike">
              <a:latin typeface="Times New Roman"/>
            </a:rPr>
            <a:t>If the shape was modified in an earlier version of Excel, or if the workbook was saved in Excel 2007 or earlier, the slicer can't be used.</a:t>
          </a:r>
          <a:endParaRPr b="0" lang="fr-CA" sz="1100" spc="-1" strike="noStrike">
            <a:latin typeface="Times New Roman"/>
          </a:endParaRPr>
        </a:p>
      </xdr:txBody>
    </xdr:sp>
    <xdr:clientData/>
  </xdr:twoCellAnchor>
  <xdr:twoCellAnchor editAs="absolute">
    <xdr:from>
      <xdr:col>4</xdr:col>
      <xdr:colOff>76320</xdr:colOff>
      <xdr:row>41</xdr:row>
      <xdr:rowOff>137880</xdr:rowOff>
    </xdr:from>
    <xdr:to>
      <xdr:col>5</xdr:col>
      <xdr:colOff>475920</xdr:colOff>
      <xdr:row>54</xdr:row>
      <xdr:rowOff>184680</xdr:rowOff>
    </xdr:to>
    <xdr:sp>
      <xdr:nvSpPr>
        <xdr:cNvPr id="108" name=""/>
        <xdr:cNvSpPr/>
      </xdr:nvSpPr>
      <xdr:spPr>
        <a:xfrm>
          <a:off x="3982680" y="8067600"/>
          <a:ext cx="1144440" cy="2523600"/>
        </a:xfrm>
        <a:prstGeom prst="rect">
          <a:avLst/>
        </a:prstGeom>
        <a:solidFill>
          <a:srgbClr val="ffffff"/>
        </a:solidFill>
        <a:ln w="1">
          <a:solidFill>
            <a:srgbClr val="008000"/>
          </a:solidFill>
        </a:ln>
      </xdr:spPr>
      <xdr:style>
        <a:lnRef idx="0"/>
        <a:fillRef idx="0"/>
        <a:effectRef idx="0"/>
        <a:fontRef idx="minor"/>
      </xdr:style>
      <xdr:txBody>
        <a:bodyPr horzOverflow="clip" vertOverflow="clip" lIns="90000" rIns="90000" tIns="45000" bIns="45000" anchor="t">
          <a:noAutofit/>
        </a:bodyPr>
        <a:p>
          <a:r>
            <a:rPr b="0" lang="fr-CA" sz="1100" spc="-1" strike="noStrike">
              <a:latin typeface="Times New Roman"/>
            </a:rPr>
            <a:t>This shape represents a table slicer. Table slicers are not supported in this version of Excel.</a:t>
          </a:r>
          <a:endParaRPr b="0" lang="fr-CA" sz="1100" spc="-1" strike="noStrike">
            <a:latin typeface="Times New Roman"/>
          </a:endParaRPr>
        </a:p>
        <a:p>
          <a:endParaRPr b="0" lang="fr-CA" sz="1100" spc="-1" strike="noStrike">
            <a:latin typeface="Times New Roman"/>
          </a:endParaRPr>
        </a:p>
        <a:p>
          <a:pPr>
            <a:lnSpc>
              <a:spcPct val="100000"/>
            </a:lnSpc>
          </a:pPr>
          <a:r>
            <a:rPr b="0" lang="fr-CA" sz="1100" spc="-1" strike="noStrike">
              <a:latin typeface="Times New Roman"/>
            </a:rPr>
            <a:t>If the shape was modified in an earlier version of Excel, or if the workbook was saved in Excel 2007 or earlier, the slicer can't be used.</a:t>
          </a:r>
          <a:endParaRPr b="0" lang="fr-CA" sz="1100" spc="-1" strike="noStrike">
            <a:latin typeface="Times New Roman"/>
          </a:endParaRPr>
        </a:p>
      </xdr:txBody>
    </xdr:sp>
    <xdr:clientData/>
  </xdr:twoCellAnchor>
  <xdr:twoCellAnchor editAs="absolute">
    <xdr:from>
      <xdr:col>3</xdr:col>
      <xdr:colOff>561960</xdr:colOff>
      <xdr:row>41</xdr:row>
      <xdr:rowOff>137880</xdr:rowOff>
    </xdr:from>
    <xdr:to>
      <xdr:col>4</xdr:col>
      <xdr:colOff>37800</xdr:colOff>
      <xdr:row>54</xdr:row>
      <xdr:rowOff>184680</xdr:rowOff>
    </xdr:to>
    <xdr:sp>
      <xdr:nvSpPr>
        <xdr:cNvPr id="109" name=""/>
        <xdr:cNvSpPr/>
      </xdr:nvSpPr>
      <xdr:spPr>
        <a:xfrm>
          <a:off x="3612600" y="8067600"/>
          <a:ext cx="331560" cy="2523600"/>
        </a:xfrm>
        <a:prstGeom prst="rect">
          <a:avLst/>
        </a:prstGeom>
        <a:solidFill>
          <a:srgbClr val="ffffff"/>
        </a:solidFill>
        <a:ln w="1">
          <a:solidFill>
            <a:srgbClr val="008000"/>
          </a:solidFill>
        </a:ln>
      </xdr:spPr>
      <xdr:style>
        <a:lnRef idx="0"/>
        <a:fillRef idx="0"/>
        <a:effectRef idx="0"/>
        <a:fontRef idx="minor"/>
      </xdr:style>
      <xdr:txBody>
        <a:bodyPr horzOverflow="clip" vertOverflow="clip" lIns="90000" rIns="90000" tIns="45000" bIns="45000" anchor="t">
          <a:noAutofit/>
        </a:bodyPr>
        <a:p>
          <a:r>
            <a:rPr b="0" lang="fr-CA" sz="1100" spc="-1" strike="noStrike">
              <a:latin typeface="Times New Roman"/>
            </a:rPr>
            <a:t>This shape represents a table slicer. Table slicers are not supported in this version of Excel.</a:t>
          </a:r>
          <a:endParaRPr b="0" lang="fr-CA" sz="1100" spc="-1" strike="noStrike">
            <a:latin typeface="Times New Roman"/>
          </a:endParaRPr>
        </a:p>
        <a:p>
          <a:endParaRPr b="0" lang="fr-CA" sz="1100" spc="-1" strike="noStrike">
            <a:latin typeface="Times New Roman"/>
          </a:endParaRPr>
        </a:p>
        <a:p>
          <a:pPr>
            <a:lnSpc>
              <a:spcPct val="100000"/>
            </a:lnSpc>
          </a:pPr>
          <a:r>
            <a:rPr b="0" lang="fr-CA" sz="1100" spc="-1" strike="noStrike">
              <a:latin typeface="Times New Roman"/>
            </a:rPr>
            <a:t>If the shape was modified in an earlier version of Excel, or if the workbook was saved in Excel 2007 or earlier, the slicer can't be used.</a:t>
          </a:r>
          <a:endParaRPr b="0" lang="fr-CA" sz="1100" spc="-1" strike="noStrike">
            <a:latin typeface="Times New Roman"/>
          </a:endParaRPr>
        </a:p>
      </xdr:txBody>
    </xdr:sp>
    <xdr:clientData/>
  </xdr:twoCellAnchor>
  <xdr:twoCellAnchor editAs="absolute">
    <xdr:from>
      <xdr:col>5</xdr:col>
      <xdr:colOff>476280</xdr:colOff>
      <xdr:row>41</xdr:row>
      <xdr:rowOff>128520</xdr:rowOff>
    </xdr:from>
    <xdr:to>
      <xdr:col>5</xdr:col>
      <xdr:colOff>1218960</xdr:colOff>
      <xdr:row>54</xdr:row>
      <xdr:rowOff>175320</xdr:rowOff>
    </xdr:to>
    <xdr:sp>
      <xdr:nvSpPr>
        <xdr:cNvPr id="110" name=""/>
        <xdr:cNvSpPr/>
      </xdr:nvSpPr>
      <xdr:spPr>
        <a:xfrm>
          <a:off x="5127480" y="8058240"/>
          <a:ext cx="742680" cy="2523600"/>
        </a:xfrm>
        <a:prstGeom prst="rect">
          <a:avLst/>
        </a:prstGeom>
        <a:solidFill>
          <a:srgbClr val="ffffff"/>
        </a:solidFill>
        <a:ln w="1">
          <a:solidFill>
            <a:srgbClr val="008000"/>
          </a:solidFill>
        </a:ln>
      </xdr:spPr>
      <xdr:style>
        <a:lnRef idx="0"/>
        <a:fillRef idx="0"/>
        <a:effectRef idx="0"/>
        <a:fontRef idx="minor"/>
      </xdr:style>
      <xdr:txBody>
        <a:bodyPr horzOverflow="clip" vertOverflow="clip" lIns="90000" rIns="90000" tIns="45000" bIns="45000" anchor="t">
          <a:noAutofit/>
        </a:bodyPr>
        <a:p>
          <a:r>
            <a:rPr b="0" lang="fr-CA" sz="1100" spc="-1" strike="noStrike">
              <a:latin typeface="Times New Roman"/>
            </a:rPr>
            <a:t>This shape represents a table slicer. Table slicers are not supported in this version of Excel.</a:t>
          </a:r>
          <a:endParaRPr b="0" lang="fr-CA" sz="1100" spc="-1" strike="noStrike">
            <a:latin typeface="Times New Roman"/>
          </a:endParaRPr>
        </a:p>
        <a:p>
          <a:endParaRPr b="0" lang="fr-CA" sz="1100" spc="-1" strike="noStrike">
            <a:latin typeface="Times New Roman"/>
          </a:endParaRPr>
        </a:p>
        <a:p>
          <a:pPr>
            <a:lnSpc>
              <a:spcPct val="100000"/>
            </a:lnSpc>
          </a:pPr>
          <a:r>
            <a:rPr b="0" lang="fr-CA" sz="1100" spc="-1" strike="noStrike">
              <a:latin typeface="Times New Roman"/>
            </a:rPr>
            <a:t>If the shape was modified in an earlier version of Excel, or if the workbook was saved in Excel 2007 or earlier, the slicer can't be used.</a:t>
          </a:r>
          <a:endParaRPr b="0" lang="fr-CA" sz="1100" spc="-1" strike="noStrike">
            <a:latin typeface="Times New Roman"/>
          </a:endParaRPr>
        </a:p>
      </xdr:txBody>
    </xdr:sp>
    <xdr:clientData/>
  </xdr:twoCellAnchor>
  <xdr:twoCellAnchor editAs="absolute">
    <xdr:from>
      <xdr:col>7</xdr:col>
      <xdr:colOff>66600</xdr:colOff>
      <xdr:row>41</xdr:row>
      <xdr:rowOff>109440</xdr:rowOff>
    </xdr:from>
    <xdr:to>
      <xdr:col>14</xdr:col>
      <xdr:colOff>218520</xdr:colOff>
      <xdr:row>54</xdr:row>
      <xdr:rowOff>156240</xdr:rowOff>
    </xdr:to>
    <xdr:sp>
      <xdr:nvSpPr>
        <xdr:cNvPr id="111" name=""/>
        <xdr:cNvSpPr/>
      </xdr:nvSpPr>
      <xdr:spPr>
        <a:xfrm>
          <a:off x="6862320" y="8039160"/>
          <a:ext cx="4984920" cy="2523600"/>
        </a:xfrm>
        <a:prstGeom prst="rect">
          <a:avLst/>
        </a:prstGeom>
        <a:solidFill>
          <a:srgbClr val="ffffff"/>
        </a:solidFill>
        <a:ln w="1">
          <a:solidFill>
            <a:srgbClr val="008000"/>
          </a:solidFill>
        </a:ln>
      </xdr:spPr>
      <xdr:style>
        <a:lnRef idx="0"/>
        <a:fillRef idx="0"/>
        <a:effectRef idx="0"/>
        <a:fontRef idx="minor"/>
      </xdr:style>
      <xdr:txBody>
        <a:bodyPr horzOverflow="clip" vertOverflow="clip" lIns="90000" rIns="90000" tIns="45000" bIns="45000" anchor="t">
          <a:noAutofit/>
        </a:bodyPr>
        <a:p>
          <a:r>
            <a:rPr b="0" lang="fr-CA" sz="1100" spc="-1" strike="noStrike">
              <a:latin typeface="Times New Roman"/>
            </a:rPr>
            <a:t>This shape represents a table slicer. Table slicers are not supported in this version of Excel.</a:t>
          </a:r>
          <a:endParaRPr b="0" lang="fr-CA" sz="1100" spc="-1" strike="noStrike">
            <a:latin typeface="Times New Roman"/>
          </a:endParaRPr>
        </a:p>
        <a:p>
          <a:endParaRPr b="0" lang="fr-CA" sz="1100" spc="-1" strike="noStrike">
            <a:latin typeface="Times New Roman"/>
          </a:endParaRPr>
        </a:p>
        <a:p>
          <a:pPr>
            <a:lnSpc>
              <a:spcPct val="100000"/>
            </a:lnSpc>
          </a:pPr>
          <a:r>
            <a:rPr b="0" lang="fr-CA" sz="1100" spc="-1" strike="noStrike">
              <a:latin typeface="Times New Roman"/>
            </a:rPr>
            <a:t>If the shape was modified in an earlier version of Excel, or if the workbook was saved in Excel 2007 or earlier, the slicer can't be used.</a:t>
          </a:r>
          <a:endParaRPr b="0" lang="fr-CA" sz="1100" spc="-1" strike="noStrike">
            <a:latin typeface="Times New Roman"/>
          </a:endParaRPr>
        </a:p>
      </xdr:txBody>
    </xdr:sp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absolute">
    <xdr:from>
      <xdr:col>3</xdr:col>
      <xdr:colOff>104760</xdr:colOff>
      <xdr:row>24</xdr:row>
      <xdr:rowOff>118440</xdr:rowOff>
    </xdr:from>
    <xdr:to>
      <xdr:col>4</xdr:col>
      <xdr:colOff>161640</xdr:colOff>
      <xdr:row>66</xdr:row>
      <xdr:rowOff>165960</xdr:rowOff>
    </xdr:to>
    <xdr:sp>
      <xdr:nvSpPr>
        <xdr:cNvPr id="112" name=""/>
        <xdr:cNvSpPr/>
      </xdr:nvSpPr>
      <xdr:spPr>
        <a:xfrm>
          <a:off x="3125520" y="4809960"/>
          <a:ext cx="983160" cy="2523960"/>
        </a:xfrm>
        <a:prstGeom prst="rect">
          <a:avLst/>
        </a:prstGeom>
        <a:solidFill>
          <a:srgbClr val="ffffff"/>
        </a:solidFill>
        <a:ln w="1">
          <a:solidFill>
            <a:srgbClr val="008000"/>
          </a:solidFill>
        </a:ln>
      </xdr:spPr>
      <xdr:style>
        <a:lnRef idx="0"/>
        <a:fillRef idx="0"/>
        <a:effectRef idx="0"/>
        <a:fontRef idx="minor"/>
      </xdr:style>
      <xdr:txBody>
        <a:bodyPr horzOverflow="clip" vertOverflow="clip" lIns="90000" rIns="90000" tIns="45000" bIns="45000" anchor="t">
          <a:noAutofit/>
        </a:bodyPr>
        <a:p>
          <a:r>
            <a:rPr b="0" lang="fr-CA" sz="1100" spc="-1" strike="noStrike">
              <a:latin typeface="Times New Roman"/>
            </a:rPr>
            <a:t>This shape represents a table slicer. Table slicers are not supported in this version of Excel.</a:t>
          </a:r>
          <a:endParaRPr b="0" lang="fr-CA" sz="1100" spc="-1" strike="noStrike">
            <a:latin typeface="Times New Roman"/>
          </a:endParaRPr>
        </a:p>
        <a:p>
          <a:endParaRPr b="0" lang="fr-CA" sz="1100" spc="-1" strike="noStrike">
            <a:latin typeface="Times New Roman"/>
          </a:endParaRPr>
        </a:p>
        <a:p>
          <a:pPr>
            <a:lnSpc>
              <a:spcPct val="100000"/>
            </a:lnSpc>
          </a:pPr>
          <a:r>
            <a:rPr b="0" lang="fr-CA" sz="1100" spc="-1" strike="noStrike">
              <a:latin typeface="Times New Roman"/>
            </a:rPr>
            <a:t>If the shape was modified in an earlier version of Excel, or if the workbook was saved in Excel 2007 or earlier, the slicer can't be used.</a:t>
          </a:r>
          <a:endParaRPr b="0" lang="fr-CA" sz="1100" spc="-1" strike="noStrike">
            <a:latin typeface="Times New Roman"/>
          </a:endParaRPr>
        </a:p>
      </xdr:txBody>
    </xdr:sp>
    <xdr:clientData/>
  </xdr:twoCellAnchor>
  <xdr:twoCellAnchor editAs="absolute">
    <xdr:from>
      <xdr:col>5</xdr:col>
      <xdr:colOff>171360</xdr:colOff>
      <xdr:row>24</xdr:row>
      <xdr:rowOff>165960</xdr:rowOff>
    </xdr:from>
    <xdr:to>
      <xdr:col>6</xdr:col>
      <xdr:colOff>732960</xdr:colOff>
      <xdr:row>67</xdr:row>
      <xdr:rowOff>23040</xdr:rowOff>
    </xdr:to>
    <xdr:sp>
      <xdr:nvSpPr>
        <xdr:cNvPr id="113" name=""/>
        <xdr:cNvSpPr/>
      </xdr:nvSpPr>
      <xdr:spPr>
        <a:xfrm>
          <a:off x="4974480" y="4857480"/>
          <a:ext cx="1900800" cy="2523960"/>
        </a:xfrm>
        <a:prstGeom prst="rect">
          <a:avLst/>
        </a:prstGeom>
        <a:solidFill>
          <a:srgbClr val="ffffff"/>
        </a:solidFill>
        <a:ln w="1">
          <a:solidFill>
            <a:srgbClr val="008000"/>
          </a:solidFill>
        </a:ln>
      </xdr:spPr>
      <xdr:style>
        <a:lnRef idx="0"/>
        <a:fillRef idx="0"/>
        <a:effectRef idx="0"/>
        <a:fontRef idx="minor"/>
      </xdr:style>
      <xdr:txBody>
        <a:bodyPr horzOverflow="clip" vertOverflow="clip" lIns="90000" rIns="90000" tIns="45000" bIns="45000" anchor="t">
          <a:noAutofit/>
        </a:bodyPr>
        <a:p>
          <a:r>
            <a:rPr b="0" lang="fr-CA" sz="1100" spc="-1" strike="noStrike">
              <a:latin typeface="Times New Roman"/>
            </a:rPr>
            <a:t>This shape represents a table slicer. Table slicers are not supported in this version of Excel.</a:t>
          </a:r>
          <a:endParaRPr b="0" lang="fr-CA" sz="1100" spc="-1" strike="noStrike">
            <a:latin typeface="Times New Roman"/>
          </a:endParaRPr>
        </a:p>
        <a:p>
          <a:endParaRPr b="0" lang="fr-CA" sz="1100" spc="-1" strike="noStrike">
            <a:latin typeface="Times New Roman"/>
          </a:endParaRPr>
        </a:p>
        <a:p>
          <a:pPr>
            <a:lnSpc>
              <a:spcPct val="100000"/>
            </a:lnSpc>
          </a:pPr>
          <a:r>
            <a:rPr b="0" lang="fr-CA" sz="1100" spc="-1" strike="noStrike">
              <a:latin typeface="Times New Roman"/>
            </a:rPr>
            <a:t>If the shape was modified in an earlier version of Excel, or if the workbook was saved in Excel 2007 or earlier, the slicer can't be used.</a:t>
          </a:r>
          <a:endParaRPr b="0" lang="fr-CA" sz="1100" spc="-1" strike="noStrike">
            <a:latin typeface="Times New Roman"/>
          </a:endParaRPr>
        </a:p>
      </xdr:txBody>
    </xdr:sp>
    <xdr:clientData/>
  </xdr:twoCellAnchor>
  <xdr:twoCellAnchor editAs="absolute">
    <xdr:from>
      <xdr:col>6</xdr:col>
      <xdr:colOff>914400</xdr:colOff>
      <xdr:row>24</xdr:row>
      <xdr:rowOff>99360</xdr:rowOff>
    </xdr:from>
    <xdr:to>
      <xdr:col>8</xdr:col>
      <xdr:colOff>818640</xdr:colOff>
      <xdr:row>66</xdr:row>
      <xdr:rowOff>146880</xdr:rowOff>
    </xdr:to>
    <xdr:sp>
      <xdr:nvSpPr>
        <xdr:cNvPr id="114" name=""/>
        <xdr:cNvSpPr/>
      </xdr:nvSpPr>
      <xdr:spPr>
        <a:xfrm>
          <a:off x="7056720" y="4790880"/>
          <a:ext cx="1938240" cy="2523960"/>
        </a:xfrm>
        <a:prstGeom prst="rect">
          <a:avLst/>
        </a:prstGeom>
        <a:solidFill>
          <a:srgbClr val="ffffff"/>
        </a:solidFill>
        <a:ln w="1">
          <a:solidFill>
            <a:srgbClr val="008000"/>
          </a:solidFill>
        </a:ln>
      </xdr:spPr>
      <xdr:style>
        <a:lnRef idx="0"/>
        <a:fillRef idx="0"/>
        <a:effectRef idx="0"/>
        <a:fontRef idx="minor"/>
      </xdr:style>
      <xdr:txBody>
        <a:bodyPr horzOverflow="clip" vertOverflow="clip" lIns="90000" rIns="90000" tIns="45000" bIns="45000" anchor="t">
          <a:noAutofit/>
        </a:bodyPr>
        <a:p>
          <a:r>
            <a:rPr b="0" lang="fr-CA" sz="1100" spc="-1" strike="noStrike">
              <a:latin typeface="Times New Roman"/>
            </a:rPr>
            <a:t>This shape represents a table slicer. Table slicers are not supported in this version of Excel.</a:t>
          </a:r>
          <a:endParaRPr b="0" lang="fr-CA" sz="1100" spc="-1" strike="noStrike">
            <a:latin typeface="Times New Roman"/>
          </a:endParaRPr>
        </a:p>
        <a:p>
          <a:endParaRPr b="0" lang="fr-CA" sz="1100" spc="-1" strike="noStrike">
            <a:latin typeface="Times New Roman"/>
          </a:endParaRPr>
        </a:p>
        <a:p>
          <a:pPr>
            <a:lnSpc>
              <a:spcPct val="100000"/>
            </a:lnSpc>
          </a:pPr>
          <a:r>
            <a:rPr b="0" lang="fr-CA" sz="1100" spc="-1" strike="noStrike">
              <a:latin typeface="Times New Roman"/>
            </a:rPr>
            <a:t>If the shape was modified in an earlier version of Excel, or if the workbook was saved in Excel 2007 or earlier, the slicer can't be used.</a:t>
          </a:r>
          <a:endParaRPr b="0" lang="fr-CA" sz="1100" spc="-1" strike="noStrike">
            <a:latin typeface="Times New Roman"/>
          </a:endParaRPr>
        </a:p>
      </xdr:txBody>
    </xdr:sp>
    <xdr:clientData/>
  </xdr:twoCellAnchor>
  <xdr:twoCellAnchor editAs="absolute">
    <xdr:from>
      <xdr:col>8</xdr:col>
      <xdr:colOff>961920</xdr:colOff>
      <xdr:row>24</xdr:row>
      <xdr:rowOff>99360</xdr:rowOff>
    </xdr:from>
    <xdr:to>
      <xdr:col>11</xdr:col>
      <xdr:colOff>94680</xdr:colOff>
      <xdr:row>66</xdr:row>
      <xdr:rowOff>146880</xdr:rowOff>
    </xdr:to>
    <xdr:sp>
      <xdr:nvSpPr>
        <xdr:cNvPr id="115" name=""/>
        <xdr:cNvSpPr/>
      </xdr:nvSpPr>
      <xdr:spPr>
        <a:xfrm>
          <a:off x="9138240" y="4790880"/>
          <a:ext cx="1981800" cy="2523960"/>
        </a:xfrm>
        <a:prstGeom prst="rect">
          <a:avLst/>
        </a:prstGeom>
        <a:solidFill>
          <a:srgbClr val="ffffff"/>
        </a:solidFill>
        <a:ln w="1">
          <a:solidFill>
            <a:srgbClr val="008000"/>
          </a:solidFill>
        </a:ln>
      </xdr:spPr>
      <xdr:style>
        <a:lnRef idx="0"/>
        <a:fillRef idx="0"/>
        <a:effectRef idx="0"/>
        <a:fontRef idx="minor"/>
      </xdr:style>
      <xdr:txBody>
        <a:bodyPr horzOverflow="clip" vertOverflow="clip" lIns="90000" rIns="90000" tIns="45000" bIns="45000" anchor="t">
          <a:noAutofit/>
        </a:bodyPr>
        <a:p>
          <a:r>
            <a:rPr b="0" lang="fr-CA" sz="1100" spc="-1" strike="noStrike">
              <a:latin typeface="Times New Roman"/>
            </a:rPr>
            <a:t>This shape represents a table slicer. Table slicers are not supported in this version of Excel.</a:t>
          </a:r>
          <a:endParaRPr b="0" lang="fr-CA" sz="1100" spc="-1" strike="noStrike">
            <a:latin typeface="Times New Roman"/>
          </a:endParaRPr>
        </a:p>
        <a:p>
          <a:endParaRPr b="0" lang="fr-CA" sz="1100" spc="-1" strike="noStrike">
            <a:latin typeface="Times New Roman"/>
          </a:endParaRPr>
        </a:p>
        <a:p>
          <a:pPr>
            <a:lnSpc>
              <a:spcPct val="100000"/>
            </a:lnSpc>
          </a:pPr>
          <a:r>
            <a:rPr b="0" lang="fr-CA" sz="1100" spc="-1" strike="noStrike">
              <a:latin typeface="Times New Roman"/>
            </a:rPr>
            <a:t>If the shape was modified in an earlier version of Excel, or if the workbook was saved in Excel 2007 or earlier, the slicer can't be used.</a:t>
          </a:r>
          <a:endParaRPr b="0" lang="fr-CA" sz="1100" spc="-1" strike="noStrike">
            <a:latin typeface="Times New Roman"/>
          </a:endParaRPr>
        </a:p>
      </xdr:txBody>
    </xdr:sp>
    <xdr:clientData/>
  </xdr:twoCellAnchor>
  <xdr:twoCellAnchor editAs="absolute">
    <xdr:from>
      <xdr:col>11</xdr:col>
      <xdr:colOff>219240</xdr:colOff>
      <xdr:row>24</xdr:row>
      <xdr:rowOff>99360</xdr:rowOff>
    </xdr:from>
    <xdr:to>
      <xdr:col>12</xdr:col>
      <xdr:colOff>552240</xdr:colOff>
      <xdr:row>66</xdr:row>
      <xdr:rowOff>146880</xdr:rowOff>
    </xdr:to>
    <xdr:sp>
      <xdr:nvSpPr>
        <xdr:cNvPr id="116" name=""/>
        <xdr:cNvSpPr/>
      </xdr:nvSpPr>
      <xdr:spPr>
        <a:xfrm>
          <a:off x="11244600" y="4790880"/>
          <a:ext cx="1027800" cy="2523960"/>
        </a:xfrm>
        <a:prstGeom prst="rect">
          <a:avLst/>
        </a:prstGeom>
        <a:solidFill>
          <a:srgbClr val="ffffff"/>
        </a:solidFill>
        <a:ln w="1">
          <a:solidFill>
            <a:srgbClr val="008000"/>
          </a:solidFill>
        </a:ln>
      </xdr:spPr>
      <xdr:style>
        <a:lnRef idx="0"/>
        <a:fillRef idx="0"/>
        <a:effectRef idx="0"/>
        <a:fontRef idx="minor"/>
      </xdr:style>
      <xdr:txBody>
        <a:bodyPr horzOverflow="clip" vertOverflow="clip" lIns="90000" rIns="90000" tIns="45000" bIns="45000" anchor="t">
          <a:noAutofit/>
        </a:bodyPr>
        <a:p>
          <a:r>
            <a:rPr b="0" lang="fr-CA" sz="1100" spc="-1" strike="noStrike">
              <a:latin typeface="Times New Roman"/>
            </a:rPr>
            <a:t>This shape represents a table slicer. Table slicers are not supported in this version of Excel.</a:t>
          </a:r>
          <a:endParaRPr b="0" lang="fr-CA" sz="1100" spc="-1" strike="noStrike">
            <a:latin typeface="Times New Roman"/>
          </a:endParaRPr>
        </a:p>
        <a:p>
          <a:endParaRPr b="0" lang="fr-CA" sz="1100" spc="-1" strike="noStrike">
            <a:latin typeface="Times New Roman"/>
          </a:endParaRPr>
        </a:p>
        <a:p>
          <a:pPr>
            <a:lnSpc>
              <a:spcPct val="100000"/>
            </a:lnSpc>
          </a:pPr>
          <a:r>
            <a:rPr b="0" lang="fr-CA" sz="1100" spc="-1" strike="noStrike">
              <a:latin typeface="Times New Roman"/>
            </a:rPr>
            <a:t>If the shape was modified in an earlier version of Excel, or if the workbook was saved in Excel 2007 or earlier, the slicer can't be used.</a:t>
          </a:r>
          <a:endParaRPr b="0" lang="fr-CA" sz="1100" spc="-1" strike="noStrike">
            <a:latin typeface="Times New Roman"/>
          </a:endParaRPr>
        </a:p>
      </xdr:txBody>
    </xdr:sp>
    <xdr:clientData/>
  </xdr:twoCellAnchor>
  <xdr:twoCellAnchor editAs="absolute">
    <xdr:from>
      <xdr:col>13</xdr:col>
      <xdr:colOff>181080</xdr:colOff>
      <xdr:row>24</xdr:row>
      <xdr:rowOff>80280</xdr:rowOff>
    </xdr:from>
    <xdr:to>
      <xdr:col>17</xdr:col>
      <xdr:colOff>333000</xdr:colOff>
      <xdr:row>66</xdr:row>
      <xdr:rowOff>127800</xdr:rowOff>
    </xdr:to>
    <xdr:sp>
      <xdr:nvSpPr>
        <xdr:cNvPr id="117" name=""/>
        <xdr:cNvSpPr/>
      </xdr:nvSpPr>
      <xdr:spPr>
        <a:xfrm>
          <a:off x="12505320" y="4771800"/>
          <a:ext cx="1924200" cy="2523960"/>
        </a:xfrm>
        <a:prstGeom prst="rect">
          <a:avLst/>
        </a:prstGeom>
        <a:solidFill>
          <a:srgbClr val="ffffff"/>
        </a:solidFill>
        <a:ln w="1">
          <a:solidFill>
            <a:srgbClr val="008000"/>
          </a:solidFill>
        </a:ln>
      </xdr:spPr>
      <xdr:style>
        <a:lnRef idx="0"/>
        <a:fillRef idx="0"/>
        <a:effectRef idx="0"/>
        <a:fontRef idx="minor"/>
      </xdr:style>
      <xdr:txBody>
        <a:bodyPr horzOverflow="clip" vertOverflow="clip" lIns="90000" rIns="90000" tIns="45000" bIns="45000" anchor="t">
          <a:noAutofit/>
        </a:bodyPr>
        <a:p>
          <a:r>
            <a:rPr b="0" lang="fr-CA" sz="1100" spc="-1" strike="noStrike">
              <a:latin typeface="Times New Roman"/>
            </a:rPr>
            <a:t>This shape represents a table slicer. Table slicers are not supported in this version of Excel.</a:t>
          </a:r>
          <a:endParaRPr b="0" lang="fr-CA" sz="1100" spc="-1" strike="noStrike">
            <a:latin typeface="Times New Roman"/>
          </a:endParaRPr>
        </a:p>
        <a:p>
          <a:endParaRPr b="0" lang="fr-CA" sz="1100" spc="-1" strike="noStrike">
            <a:latin typeface="Times New Roman"/>
          </a:endParaRPr>
        </a:p>
        <a:p>
          <a:pPr>
            <a:lnSpc>
              <a:spcPct val="100000"/>
            </a:lnSpc>
          </a:pPr>
          <a:r>
            <a:rPr b="0" lang="fr-CA" sz="1100" spc="-1" strike="noStrike">
              <a:latin typeface="Times New Roman"/>
            </a:rPr>
            <a:t>If the shape was modified in an earlier version of Excel, or if the workbook was saved in Excel 2007 or earlier, the slicer can't be used.</a:t>
          </a:r>
          <a:endParaRPr b="0" lang="fr-CA" sz="1100" spc="-1" strike="noStrike">
            <a:latin typeface="Times New Roman"/>
          </a:endParaRPr>
        </a:p>
      </xdr:txBody>
    </xdr:sp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absolute">
    <xdr:from>
      <xdr:col>6</xdr:col>
      <xdr:colOff>777960</xdr:colOff>
      <xdr:row>48</xdr:row>
      <xdr:rowOff>115560</xdr:rowOff>
    </xdr:from>
    <xdr:to>
      <xdr:col>8</xdr:col>
      <xdr:colOff>758520</xdr:colOff>
      <xdr:row>61</xdr:row>
      <xdr:rowOff>156600</xdr:rowOff>
    </xdr:to>
    <xdr:sp>
      <xdr:nvSpPr>
        <xdr:cNvPr id="118" name=""/>
        <xdr:cNvSpPr/>
      </xdr:nvSpPr>
      <xdr:spPr>
        <a:xfrm>
          <a:off x="7020000" y="9379080"/>
          <a:ext cx="1933920" cy="2517480"/>
        </a:xfrm>
        <a:prstGeom prst="rect">
          <a:avLst/>
        </a:prstGeom>
        <a:solidFill>
          <a:srgbClr val="ffffff"/>
        </a:solidFill>
        <a:ln w="1">
          <a:solidFill>
            <a:srgbClr val="008000"/>
          </a:solidFill>
        </a:ln>
      </xdr:spPr>
      <xdr:style>
        <a:lnRef idx="0"/>
        <a:fillRef idx="0"/>
        <a:effectRef idx="0"/>
        <a:fontRef idx="minor"/>
      </xdr:style>
      <xdr:txBody>
        <a:bodyPr horzOverflow="clip" vertOverflow="clip" lIns="90000" rIns="90000" tIns="45000" bIns="45000" anchor="t">
          <a:noAutofit/>
        </a:bodyPr>
        <a:p>
          <a:r>
            <a:rPr b="0" lang="fr-CA" sz="1100" spc="-1" strike="noStrike">
              <a:latin typeface="Times New Roman"/>
            </a:rPr>
            <a:t>This shape represents a table slicer. Table slicers are not supported in this version of Excel.</a:t>
          </a:r>
          <a:endParaRPr b="0" lang="fr-CA" sz="1100" spc="-1" strike="noStrike">
            <a:latin typeface="Times New Roman"/>
          </a:endParaRPr>
        </a:p>
        <a:p>
          <a:endParaRPr b="0" lang="fr-CA" sz="1100" spc="-1" strike="noStrike">
            <a:latin typeface="Times New Roman"/>
          </a:endParaRPr>
        </a:p>
        <a:p>
          <a:pPr>
            <a:lnSpc>
              <a:spcPct val="100000"/>
            </a:lnSpc>
          </a:pPr>
          <a:r>
            <a:rPr b="0" lang="fr-CA" sz="1100" spc="-1" strike="noStrike">
              <a:latin typeface="Times New Roman"/>
            </a:rPr>
            <a:t>If the shape was modified in an earlier version of Excel, or if the workbook was saved in Excel 2007 or earlier, the slicer can't be used.</a:t>
          </a:r>
          <a:endParaRPr b="0" lang="fr-CA" sz="1100" spc="-1" strike="noStrike">
            <a:latin typeface="Times New Roman"/>
          </a:endParaRPr>
        </a:p>
      </xdr:txBody>
    </xdr:sp>
    <xdr:clientData/>
  </xdr:twoCellAnchor>
  <xdr:twoCellAnchor editAs="absolute">
    <xdr:from>
      <xdr:col>8</xdr:col>
      <xdr:colOff>853920</xdr:colOff>
      <xdr:row>48</xdr:row>
      <xdr:rowOff>115560</xdr:rowOff>
    </xdr:from>
    <xdr:to>
      <xdr:col>10</xdr:col>
      <xdr:colOff>510840</xdr:colOff>
      <xdr:row>61</xdr:row>
      <xdr:rowOff>172440</xdr:rowOff>
    </xdr:to>
    <xdr:sp>
      <xdr:nvSpPr>
        <xdr:cNvPr id="119" name=""/>
        <xdr:cNvSpPr/>
      </xdr:nvSpPr>
      <xdr:spPr>
        <a:xfrm>
          <a:off x="9049320" y="9379080"/>
          <a:ext cx="1952280" cy="2533320"/>
        </a:xfrm>
        <a:prstGeom prst="rect">
          <a:avLst/>
        </a:prstGeom>
        <a:solidFill>
          <a:srgbClr val="ffffff"/>
        </a:solidFill>
        <a:ln w="1">
          <a:solidFill>
            <a:srgbClr val="008000"/>
          </a:solidFill>
        </a:ln>
      </xdr:spPr>
      <xdr:style>
        <a:lnRef idx="0"/>
        <a:fillRef idx="0"/>
        <a:effectRef idx="0"/>
        <a:fontRef idx="minor"/>
      </xdr:style>
      <xdr:txBody>
        <a:bodyPr horzOverflow="clip" vertOverflow="clip" lIns="90000" rIns="90000" tIns="45000" bIns="45000" anchor="t">
          <a:noAutofit/>
        </a:bodyPr>
        <a:p>
          <a:r>
            <a:rPr b="0" lang="fr-CA" sz="1100" spc="-1" strike="noStrike">
              <a:latin typeface="Times New Roman"/>
            </a:rPr>
            <a:t>This shape represents a table slicer. Table slicers are not supported in this version of Excel.</a:t>
          </a:r>
          <a:endParaRPr b="0" lang="fr-CA" sz="1100" spc="-1" strike="noStrike">
            <a:latin typeface="Times New Roman"/>
          </a:endParaRPr>
        </a:p>
        <a:p>
          <a:endParaRPr b="0" lang="fr-CA" sz="1100" spc="-1" strike="noStrike">
            <a:latin typeface="Times New Roman"/>
          </a:endParaRPr>
        </a:p>
        <a:p>
          <a:pPr>
            <a:lnSpc>
              <a:spcPct val="100000"/>
            </a:lnSpc>
          </a:pPr>
          <a:r>
            <a:rPr b="0" lang="fr-CA" sz="1100" spc="-1" strike="noStrike">
              <a:latin typeface="Times New Roman"/>
            </a:rPr>
            <a:t>If the shape was modified in an earlier version of Excel, or if the workbook was saved in Excel 2007 or earlier, the slicer can't be used.</a:t>
          </a:r>
          <a:endParaRPr b="0" lang="fr-CA" sz="1100" spc="-1" strike="noStrike">
            <a:latin typeface="Times New Roman"/>
          </a:endParaRPr>
        </a:p>
      </xdr:txBody>
    </xdr:sp>
    <xdr:clientData/>
  </xdr:twoCellAnchor>
  <xdr:twoCellAnchor editAs="absolute">
    <xdr:from>
      <xdr:col>5</xdr:col>
      <xdr:colOff>114480</xdr:colOff>
      <xdr:row>48</xdr:row>
      <xdr:rowOff>115560</xdr:rowOff>
    </xdr:from>
    <xdr:to>
      <xdr:col>6</xdr:col>
      <xdr:colOff>682560</xdr:colOff>
      <xdr:row>61</xdr:row>
      <xdr:rowOff>172440</xdr:rowOff>
    </xdr:to>
    <xdr:sp>
      <xdr:nvSpPr>
        <xdr:cNvPr id="120" name=""/>
        <xdr:cNvSpPr/>
      </xdr:nvSpPr>
      <xdr:spPr>
        <a:xfrm>
          <a:off x="5017320" y="9379080"/>
          <a:ext cx="1907280" cy="2533320"/>
        </a:xfrm>
        <a:prstGeom prst="rect">
          <a:avLst/>
        </a:prstGeom>
        <a:solidFill>
          <a:srgbClr val="ffffff"/>
        </a:solidFill>
        <a:ln w="1">
          <a:solidFill>
            <a:srgbClr val="008000"/>
          </a:solidFill>
        </a:ln>
      </xdr:spPr>
      <xdr:style>
        <a:lnRef idx="0"/>
        <a:fillRef idx="0"/>
        <a:effectRef idx="0"/>
        <a:fontRef idx="minor"/>
      </xdr:style>
      <xdr:txBody>
        <a:bodyPr horzOverflow="clip" vertOverflow="clip" lIns="90000" rIns="90000" tIns="45000" bIns="45000" anchor="t">
          <a:noAutofit/>
        </a:bodyPr>
        <a:p>
          <a:r>
            <a:rPr b="0" lang="fr-CA" sz="1100" spc="-1" strike="noStrike">
              <a:latin typeface="Times New Roman"/>
            </a:rPr>
            <a:t>This shape represents a table slicer. Table slicers are not supported in this version of Excel.</a:t>
          </a:r>
          <a:endParaRPr b="0" lang="fr-CA" sz="1100" spc="-1" strike="noStrike">
            <a:latin typeface="Times New Roman"/>
          </a:endParaRPr>
        </a:p>
        <a:p>
          <a:endParaRPr b="0" lang="fr-CA" sz="1100" spc="-1" strike="noStrike">
            <a:latin typeface="Times New Roman"/>
          </a:endParaRPr>
        </a:p>
        <a:p>
          <a:pPr>
            <a:lnSpc>
              <a:spcPct val="100000"/>
            </a:lnSpc>
          </a:pPr>
          <a:r>
            <a:rPr b="0" lang="fr-CA" sz="1100" spc="-1" strike="noStrike">
              <a:latin typeface="Times New Roman"/>
            </a:rPr>
            <a:t>If the shape was modified in an earlier version of Excel, or if the workbook was saved in Excel 2007 or earlier, the slicer can't be used.</a:t>
          </a:r>
          <a:endParaRPr b="0" lang="fr-CA" sz="1100" spc="-1" strike="noStrike">
            <a:latin typeface="Times New Roman"/>
          </a:endParaRPr>
        </a:p>
      </xdr:txBody>
    </xdr:sp>
    <xdr:clientData/>
  </xdr:twoCellAnchor>
  <xdr:twoCellAnchor editAs="absolute">
    <xdr:from>
      <xdr:col>11</xdr:col>
      <xdr:colOff>98280</xdr:colOff>
      <xdr:row>48</xdr:row>
      <xdr:rowOff>39240</xdr:rowOff>
    </xdr:from>
    <xdr:to>
      <xdr:col>13</xdr:col>
      <xdr:colOff>644040</xdr:colOff>
      <xdr:row>61</xdr:row>
      <xdr:rowOff>80280</xdr:rowOff>
    </xdr:to>
    <xdr:sp>
      <xdr:nvSpPr>
        <xdr:cNvPr id="121" name=""/>
        <xdr:cNvSpPr/>
      </xdr:nvSpPr>
      <xdr:spPr>
        <a:xfrm>
          <a:off x="11132640" y="9302760"/>
          <a:ext cx="1904760" cy="2517480"/>
        </a:xfrm>
        <a:prstGeom prst="rect">
          <a:avLst/>
        </a:prstGeom>
        <a:solidFill>
          <a:srgbClr val="ffffff"/>
        </a:solidFill>
        <a:ln w="1">
          <a:solidFill>
            <a:srgbClr val="008000"/>
          </a:solidFill>
        </a:ln>
      </xdr:spPr>
      <xdr:style>
        <a:lnRef idx="0"/>
        <a:fillRef idx="0"/>
        <a:effectRef idx="0"/>
        <a:fontRef idx="minor"/>
      </xdr:style>
      <xdr:txBody>
        <a:bodyPr horzOverflow="clip" vertOverflow="clip" lIns="90000" rIns="90000" tIns="45000" bIns="45000" anchor="t">
          <a:noAutofit/>
        </a:bodyPr>
        <a:p>
          <a:r>
            <a:rPr b="0" lang="fr-CA" sz="1100" spc="-1" strike="noStrike">
              <a:latin typeface="Times New Roman"/>
            </a:rPr>
            <a:t>This shape represents a table slicer. Table slicers are not supported in this version of Excel.</a:t>
          </a:r>
          <a:endParaRPr b="0" lang="fr-CA" sz="1100" spc="-1" strike="noStrike">
            <a:latin typeface="Times New Roman"/>
          </a:endParaRPr>
        </a:p>
        <a:p>
          <a:endParaRPr b="0" lang="fr-CA" sz="1100" spc="-1" strike="noStrike">
            <a:latin typeface="Times New Roman"/>
          </a:endParaRPr>
        </a:p>
        <a:p>
          <a:pPr>
            <a:lnSpc>
              <a:spcPct val="100000"/>
            </a:lnSpc>
          </a:pPr>
          <a:r>
            <a:rPr b="0" lang="fr-CA" sz="1100" spc="-1" strike="noStrike">
              <a:latin typeface="Times New Roman"/>
            </a:rPr>
            <a:t>If the shape was modified in an earlier version of Excel, or if the workbook was saved in Excel 2007 or earlier, the slicer can't be used.</a:t>
          </a:r>
          <a:endParaRPr b="0" lang="fr-CA" sz="1100" spc="-1" strike="noStrike">
            <a:latin typeface="Times New Roman"/>
          </a:endParaRPr>
        </a:p>
      </xdr:txBody>
    </xdr:sp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absolute">
    <xdr:from>
      <xdr:col>7</xdr:col>
      <xdr:colOff>285840</xdr:colOff>
      <xdr:row>51</xdr:row>
      <xdr:rowOff>61560</xdr:rowOff>
    </xdr:from>
    <xdr:to>
      <xdr:col>9</xdr:col>
      <xdr:colOff>85320</xdr:colOff>
      <xdr:row>64</xdr:row>
      <xdr:rowOff>109080</xdr:rowOff>
    </xdr:to>
    <xdr:sp>
      <xdr:nvSpPr>
        <xdr:cNvPr id="122" name=""/>
        <xdr:cNvSpPr/>
      </xdr:nvSpPr>
      <xdr:spPr>
        <a:xfrm>
          <a:off x="6669000" y="9896400"/>
          <a:ext cx="1943640" cy="2523960"/>
        </a:xfrm>
        <a:prstGeom prst="rect">
          <a:avLst/>
        </a:prstGeom>
        <a:solidFill>
          <a:srgbClr val="ffffff"/>
        </a:solidFill>
        <a:ln w="1">
          <a:solidFill>
            <a:srgbClr val="008000"/>
          </a:solidFill>
        </a:ln>
      </xdr:spPr>
      <xdr:style>
        <a:lnRef idx="0"/>
        <a:fillRef idx="0"/>
        <a:effectRef idx="0"/>
        <a:fontRef idx="minor"/>
      </xdr:style>
      <xdr:txBody>
        <a:bodyPr horzOverflow="clip" vertOverflow="clip" lIns="90000" rIns="90000" tIns="45000" bIns="45000" anchor="t">
          <a:noAutofit/>
        </a:bodyPr>
        <a:p>
          <a:r>
            <a:rPr b="0" lang="fr-CA" sz="1100" spc="-1" strike="noStrike">
              <a:latin typeface="Times New Roman"/>
            </a:rPr>
            <a:t>This shape represents a table slicer. Table slicers are not supported in this version of Excel.</a:t>
          </a:r>
          <a:endParaRPr b="0" lang="fr-CA" sz="1100" spc="-1" strike="noStrike">
            <a:latin typeface="Times New Roman"/>
          </a:endParaRPr>
        </a:p>
        <a:p>
          <a:endParaRPr b="0" lang="fr-CA" sz="1100" spc="-1" strike="noStrike">
            <a:latin typeface="Times New Roman"/>
          </a:endParaRPr>
        </a:p>
        <a:p>
          <a:pPr>
            <a:lnSpc>
              <a:spcPct val="100000"/>
            </a:lnSpc>
          </a:pPr>
          <a:r>
            <a:rPr b="0" lang="fr-CA" sz="1100" spc="-1" strike="noStrike">
              <a:latin typeface="Times New Roman"/>
            </a:rPr>
            <a:t>If the shape was modified in an earlier version of Excel, or if the workbook was saved in Excel 2007 or earlier, the slicer can't be used.</a:t>
          </a:r>
          <a:endParaRPr b="0" lang="fr-CA" sz="1100" spc="-1" strike="noStrike">
            <a:latin typeface="Times New Roman"/>
          </a:endParaRPr>
        </a:p>
      </xdr:txBody>
    </xdr:sp>
    <xdr:clientData/>
  </xdr:twoCellAnchor>
  <xdr:twoCellAnchor editAs="absolute">
    <xdr:from>
      <xdr:col>5</xdr:col>
      <xdr:colOff>504720</xdr:colOff>
      <xdr:row>51</xdr:row>
      <xdr:rowOff>51840</xdr:rowOff>
    </xdr:from>
    <xdr:to>
      <xdr:col>7</xdr:col>
      <xdr:colOff>151920</xdr:colOff>
      <xdr:row>64</xdr:row>
      <xdr:rowOff>99360</xdr:rowOff>
    </xdr:to>
    <xdr:sp>
      <xdr:nvSpPr>
        <xdr:cNvPr id="123" name=""/>
        <xdr:cNvSpPr/>
      </xdr:nvSpPr>
      <xdr:spPr>
        <a:xfrm>
          <a:off x="4582080" y="9886680"/>
          <a:ext cx="1953000" cy="2523960"/>
        </a:xfrm>
        <a:prstGeom prst="rect">
          <a:avLst/>
        </a:prstGeom>
        <a:solidFill>
          <a:srgbClr val="ffffff"/>
        </a:solidFill>
        <a:ln w="1">
          <a:solidFill>
            <a:srgbClr val="008000"/>
          </a:solidFill>
        </a:ln>
      </xdr:spPr>
      <xdr:style>
        <a:lnRef idx="0"/>
        <a:fillRef idx="0"/>
        <a:effectRef idx="0"/>
        <a:fontRef idx="minor"/>
      </xdr:style>
      <xdr:txBody>
        <a:bodyPr horzOverflow="clip" vertOverflow="clip" lIns="90000" rIns="90000" tIns="45000" bIns="45000" anchor="t">
          <a:noAutofit/>
        </a:bodyPr>
        <a:p>
          <a:r>
            <a:rPr b="0" lang="fr-CA" sz="1100" spc="-1" strike="noStrike">
              <a:latin typeface="Times New Roman"/>
            </a:rPr>
            <a:t>This shape represents a table slicer. Table slicers are not supported in this version of Excel.</a:t>
          </a:r>
          <a:endParaRPr b="0" lang="fr-CA" sz="1100" spc="-1" strike="noStrike">
            <a:latin typeface="Times New Roman"/>
          </a:endParaRPr>
        </a:p>
        <a:p>
          <a:endParaRPr b="0" lang="fr-CA" sz="1100" spc="-1" strike="noStrike">
            <a:latin typeface="Times New Roman"/>
          </a:endParaRPr>
        </a:p>
        <a:p>
          <a:pPr>
            <a:lnSpc>
              <a:spcPct val="100000"/>
            </a:lnSpc>
          </a:pPr>
          <a:r>
            <a:rPr b="0" lang="fr-CA" sz="1100" spc="-1" strike="noStrike">
              <a:latin typeface="Times New Roman"/>
            </a:rPr>
            <a:t>If the shape was modified in an earlier version of Excel, or if the workbook was saved in Excel 2007 or earlier, the slicer can't be used.</a:t>
          </a:r>
          <a:endParaRPr b="0" lang="fr-CA" sz="1100" spc="-1" strike="noStrike">
            <a:latin typeface="Times New Roman"/>
          </a:endParaRPr>
        </a:p>
      </xdr:txBody>
    </xdr:sp>
    <xdr:clientData/>
  </xdr:twoCellAnchor>
  <xdr:twoCellAnchor editAs="absolute">
    <xdr:from>
      <xdr:col>3</xdr:col>
      <xdr:colOff>324000</xdr:colOff>
      <xdr:row>51</xdr:row>
      <xdr:rowOff>61560</xdr:rowOff>
    </xdr:from>
    <xdr:to>
      <xdr:col>5</xdr:col>
      <xdr:colOff>409320</xdr:colOff>
      <xdr:row>64</xdr:row>
      <xdr:rowOff>109080</xdr:rowOff>
    </xdr:to>
    <xdr:sp>
      <xdr:nvSpPr>
        <xdr:cNvPr id="124" name=""/>
        <xdr:cNvSpPr/>
      </xdr:nvSpPr>
      <xdr:spPr>
        <a:xfrm>
          <a:off x="2559240" y="9896400"/>
          <a:ext cx="1927440" cy="2523960"/>
        </a:xfrm>
        <a:prstGeom prst="rect">
          <a:avLst/>
        </a:prstGeom>
        <a:solidFill>
          <a:srgbClr val="ffffff"/>
        </a:solidFill>
        <a:ln w="1">
          <a:solidFill>
            <a:srgbClr val="008000"/>
          </a:solidFill>
        </a:ln>
      </xdr:spPr>
      <xdr:style>
        <a:lnRef idx="0"/>
        <a:fillRef idx="0"/>
        <a:effectRef idx="0"/>
        <a:fontRef idx="minor"/>
      </xdr:style>
      <xdr:txBody>
        <a:bodyPr horzOverflow="clip" vertOverflow="clip" lIns="90000" rIns="90000" tIns="45000" bIns="45000" anchor="t">
          <a:noAutofit/>
        </a:bodyPr>
        <a:p>
          <a:r>
            <a:rPr b="0" lang="fr-CA" sz="1100" spc="-1" strike="noStrike">
              <a:latin typeface="Times New Roman"/>
            </a:rPr>
            <a:t>This shape represents a table slicer. Table slicers are not supported in this version of Excel.</a:t>
          </a:r>
          <a:endParaRPr b="0" lang="fr-CA" sz="1100" spc="-1" strike="noStrike">
            <a:latin typeface="Times New Roman"/>
          </a:endParaRPr>
        </a:p>
        <a:p>
          <a:endParaRPr b="0" lang="fr-CA" sz="1100" spc="-1" strike="noStrike">
            <a:latin typeface="Times New Roman"/>
          </a:endParaRPr>
        </a:p>
        <a:p>
          <a:pPr>
            <a:lnSpc>
              <a:spcPct val="100000"/>
            </a:lnSpc>
          </a:pPr>
          <a:r>
            <a:rPr b="0" lang="fr-CA" sz="1100" spc="-1" strike="noStrike">
              <a:latin typeface="Times New Roman"/>
            </a:rPr>
            <a:t>If the shape was modified in an earlier version of Excel, or if the workbook was saved in Excel 2007 or earlier, the slicer can't be used.</a:t>
          </a:r>
          <a:endParaRPr b="0" lang="fr-CA" sz="1100" spc="-1" strike="noStrike">
            <a:latin typeface="Times New Roman"/>
          </a:endParaRPr>
        </a:p>
      </xdr:txBody>
    </xdr:sp>
    <xdr:clientData/>
  </xdr:twoCellAnchor>
  <xdr:twoCellAnchor editAs="absolute">
    <xdr:from>
      <xdr:col>11</xdr:col>
      <xdr:colOff>228600</xdr:colOff>
      <xdr:row>51</xdr:row>
      <xdr:rowOff>32760</xdr:rowOff>
    </xdr:from>
    <xdr:to>
      <xdr:col>18</xdr:col>
      <xdr:colOff>199800</xdr:colOff>
      <xdr:row>64</xdr:row>
      <xdr:rowOff>80280</xdr:rowOff>
    </xdr:to>
    <xdr:sp>
      <xdr:nvSpPr>
        <xdr:cNvPr id="125" name=""/>
        <xdr:cNvSpPr/>
      </xdr:nvSpPr>
      <xdr:spPr>
        <a:xfrm>
          <a:off x="10114920" y="9867600"/>
          <a:ext cx="4874040" cy="2523960"/>
        </a:xfrm>
        <a:prstGeom prst="rect">
          <a:avLst/>
        </a:prstGeom>
        <a:solidFill>
          <a:srgbClr val="ffffff"/>
        </a:solidFill>
        <a:ln w="1">
          <a:solidFill>
            <a:srgbClr val="008000"/>
          </a:solidFill>
        </a:ln>
      </xdr:spPr>
      <xdr:style>
        <a:lnRef idx="0"/>
        <a:fillRef idx="0"/>
        <a:effectRef idx="0"/>
        <a:fontRef idx="minor"/>
      </xdr:style>
      <xdr:txBody>
        <a:bodyPr horzOverflow="clip" vertOverflow="clip" lIns="90000" rIns="90000" tIns="45000" bIns="45000" anchor="t">
          <a:noAutofit/>
        </a:bodyPr>
        <a:p>
          <a:r>
            <a:rPr b="0" lang="fr-CA" sz="1100" spc="-1" strike="noStrike">
              <a:latin typeface="Times New Roman"/>
            </a:rPr>
            <a:t>This shape represents a table slicer. Table slicers are not supported in this version of Excel.</a:t>
          </a:r>
          <a:endParaRPr b="0" lang="fr-CA" sz="1100" spc="-1" strike="noStrike">
            <a:latin typeface="Times New Roman"/>
          </a:endParaRPr>
        </a:p>
        <a:p>
          <a:endParaRPr b="0" lang="fr-CA" sz="1100" spc="-1" strike="noStrike">
            <a:latin typeface="Times New Roman"/>
          </a:endParaRPr>
        </a:p>
        <a:p>
          <a:pPr>
            <a:lnSpc>
              <a:spcPct val="100000"/>
            </a:lnSpc>
          </a:pPr>
          <a:r>
            <a:rPr b="0" lang="fr-CA" sz="1100" spc="-1" strike="noStrike">
              <a:latin typeface="Times New Roman"/>
            </a:rPr>
            <a:t>If the shape was modified in an earlier version of Excel, or if the workbook was saved in Excel 2007 or earlier, the slicer can't be used.</a:t>
          </a:r>
          <a:endParaRPr b="0" lang="fr-CA" sz="1100" spc="-1" strike="noStrike">
            <a:latin typeface="Times New Roman"/>
          </a:endParaRPr>
        </a:p>
      </xdr:txBody>
    </xdr:sp>
    <xdr:clientData/>
  </xdr:twoCellAnchor>
  <xdr:twoCellAnchor editAs="absolute">
    <xdr:from>
      <xdr:col>9</xdr:col>
      <xdr:colOff>228600</xdr:colOff>
      <xdr:row>51</xdr:row>
      <xdr:rowOff>99720</xdr:rowOff>
    </xdr:from>
    <xdr:to>
      <xdr:col>11</xdr:col>
      <xdr:colOff>18720</xdr:colOff>
      <xdr:row>64</xdr:row>
      <xdr:rowOff>147240</xdr:rowOff>
    </xdr:to>
    <xdr:sp>
      <xdr:nvSpPr>
        <xdr:cNvPr id="126" name=""/>
        <xdr:cNvSpPr/>
      </xdr:nvSpPr>
      <xdr:spPr>
        <a:xfrm>
          <a:off x="8755920" y="9934560"/>
          <a:ext cx="1149120" cy="2523960"/>
        </a:xfrm>
        <a:prstGeom prst="rect">
          <a:avLst/>
        </a:prstGeom>
        <a:solidFill>
          <a:srgbClr val="ffffff"/>
        </a:solidFill>
        <a:ln w="1">
          <a:solidFill>
            <a:srgbClr val="008000"/>
          </a:solidFill>
        </a:ln>
      </xdr:spPr>
      <xdr:style>
        <a:lnRef idx="0"/>
        <a:fillRef idx="0"/>
        <a:effectRef idx="0"/>
        <a:fontRef idx="minor"/>
      </xdr:style>
      <xdr:txBody>
        <a:bodyPr horzOverflow="clip" vertOverflow="clip" lIns="90000" rIns="90000" tIns="45000" bIns="45000" anchor="t">
          <a:noAutofit/>
        </a:bodyPr>
        <a:p>
          <a:r>
            <a:rPr b="0" lang="fr-CA" sz="1100" spc="-1" strike="noStrike">
              <a:latin typeface="Times New Roman"/>
            </a:rPr>
            <a:t>This shape represents a table slicer. Table slicers are not supported in this version of Excel.</a:t>
          </a:r>
          <a:endParaRPr b="0" lang="fr-CA" sz="1100" spc="-1" strike="noStrike">
            <a:latin typeface="Times New Roman"/>
          </a:endParaRPr>
        </a:p>
        <a:p>
          <a:endParaRPr b="0" lang="fr-CA" sz="1100" spc="-1" strike="noStrike">
            <a:latin typeface="Times New Roman"/>
          </a:endParaRPr>
        </a:p>
        <a:p>
          <a:pPr>
            <a:lnSpc>
              <a:spcPct val="100000"/>
            </a:lnSpc>
          </a:pPr>
          <a:r>
            <a:rPr b="0" lang="fr-CA" sz="1100" spc="-1" strike="noStrike">
              <a:latin typeface="Times New Roman"/>
            </a:rPr>
            <a:t>If the shape was modified in an earlier version of Excel, or if the workbook was saved in Excel 2007 or earlier, the slicer can't be used.</a:t>
          </a:r>
          <a:endParaRPr b="0" lang="fr-CA" sz="1100" spc="-1" strike="noStrike">
            <a:latin typeface="Times New Roman"/>
          </a:endParaRPr>
        </a:p>
      </xdr:txBody>
    </xdr:sp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-7063920</xdr:colOff>
      <xdr:row>117</xdr:row>
      <xdr:rowOff>119880</xdr:rowOff>
    </xdr:from>
    <xdr:to>
      <xdr:col>0</xdr:col>
      <xdr:colOff>-1294560</xdr:colOff>
      <xdr:row>139</xdr:row>
      <xdr:rowOff>168840</xdr:rowOff>
    </xdr:to>
    <xdr:grpSp>
      <xdr:nvGrpSpPr>
        <xdr:cNvPr id="127" name="Group 1"/>
        <xdr:cNvGrpSpPr/>
      </xdr:nvGrpSpPr>
      <xdr:grpSpPr>
        <a:xfrm>
          <a:off x="-7063920" y="22587480"/>
          <a:ext cx="5769360" cy="4240080"/>
          <a:chOff x="-7063920" y="22587480"/>
          <a:chExt cx="5769360" cy="4240080"/>
        </a:xfrm>
      </xdr:grpSpPr>
      <xdr:sp>
        <xdr:nvSpPr>
          <xdr:cNvPr id="128" name=""/>
          <xdr:cNvSpPr/>
        </xdr:nvSpPr>
        <xdr:spPr>
          <a:xfrm>
            <a:off x="-7063920" y="22602960"/>
            <a:ext cx="1514520" cy="4175280"/>
          </a:xfrm>
          <a:prstGeom prst="rect">
            <a:avLst/>
          </a:prstGeom>
          <a:solidFill>
            <a:srgbClr val="ffffff"/>
          </a:solidFill>
          <a:ln w="1">
            <a:solidFill>
              <a:srgbClr val="008000"/>
            </a:solidFill>
          </a:ln>
        </xdr:spPr>
        <xdr:style>
          <a:lnRef idx="0"/>
          <a:fillRef idx="0"/>
          <a:effectRef idx="0"/>
          <a:fontRef idx="minor"/>
        </xdr:style>
        <xdr:txBody>
          <a:bodyPr horzOverflow="clip" vertOverflow="clip" lIns="90000" rIns="90000" tIns="45000" bIns="45000" anchor="t">
            <a:noAutofit/>
          </a:bodyPr>
          <a:p>
            <a:r>
              <a:rPr b="0" lang="fr-CA" sz="1100" spc="-1" strike="noStrike">
                <a:latin typeface="Times New Roman"/>
              </a:rPr>
              <a:t>This shape represents a table slicer. Table slicers are not supported in this version of Excel.</a:t>
            </a:r>
            <a:endParaRPr b="0" lang="fr-CA" sz="1100" spc="-1" strike="noStrike">
              <a:latin typeface="Times New Roman"/>
            </a:endParaRPr>
          </a:p>
          <a:p>
            <a:endParaRPr b="0" lang="fr-CA" sz="1100" spc="-1" strike="noStrike">
              <a:latin typeface="Times New Roman"/>
            </a:endParaRPr>
          </a:p>
          <a:p>
            <a:pPr>
              <a:lnSpc>
                <a:spcPct val="100000"/>
              </a:lnSpc>
            </a:pPr>
            <a:r>
              <a:rPr b="0" lang="fr-CA" sz="1100" spc="-1" strike="noStrike">
                <a:latin typeface="Times New Roman"/>
              </a:rPr>
              <a:t>If the shape was modified in an earlier version of Excel, or if the workbook was saved in Excel 2007 or earlier, the slicer can't be used.</a:t>
            </a:r>
            <a:endParaRPr b="0" lang="fr-CA" sz="1100" spc="-1" strike="noStrike">
              <a:latin typeface="Times New Roman"/>
            </a:endParaRPr>
          </a:p>
        </xdr:txBody>
      </xdr:sp>
      <xdr:sp>
        <xdr:nvSpPr>
          <xdr:cNvPr id="129" name=""/>
          <xdr:cNvSpPr/>
        </xdr:nvSpPr>
        <xdr:spPr>
          <a:xfrm>
            <a:off x="-3996720" y="22624920"/>
            <a:ext cx="1794960" cy="4175280"/>
          </a:xfrm>
          <a:prstGeom prst="rect">
            <a:avLst/>
          </a:prstGeom>
          <a:solidFill>
            <a:srgbClr val="ffffff"/>
          </a:solidFill>
          <a:ln w="1">
            <a:solidFill>
              <a:srgbClr val="008000"/>
            </a:solidFill>
          </a:ln>
        </xdr:spPr>
        <xdr:style>
          <a:lnRef idx="0"/>
          <a:fillRef idx="0"/>
          <a:effectRef idx="0"/>
          <a:fontRef idx="minor"/>
        </xdr:style>
        <xdr:txBody>
          <a:bodyPr horzOverflow="clip" vertOverflow="clip" lIns="90000" rIns="90000" tIns="45000" bIns="45000" anchor="t">
            <a:noAutofit/>
          </a:bodyPr>
          <a:p>
            <a:r>
              <a:rPr b="0" lang="fr-CA" sz="1100" spc="-1" strike="noStrike">
                <a:latin typeface="Times New Roman"/>
              </a:rPr>
              <a:t>This shape represents a table slicer. Table slicers are not supported in this version of Excel.</a:t>
            </a:r>
            <a:endParaRPr b="0" lang="fr-CA" sz="1100" spc="-1" strike="noStrike">
              <a:latin typeface="Times New Roman"/>
            </a:endParaRPr>
          </a:p>
          <a:p>
            <a:endParaRPr b="0" lang="fr-CA" sz="1100" spc="-1" strike="noStrike">
              <a:latin typeface="Times New Roman"/>
            </a:endParaRPr>
          </a:p>
          <a:p>
            <a:pPr>
              <a:lnSpc>
                <a:spcPct val="100000"/>
              </a:lnSpc>
            </a:pPr>
            <a:r>
              <a:rPr b="0" lang="fr-CA" sz="1100" spc="-1" strike="noStrike">
                <a:latin typeface="Times New Roman"/>
              </a:rPr>
              <a:t>If the shape was modified in an earlier version of Excel, or if the workbook was saved in Excel 2007 or earlier, the slicer can't be used.</a:t>
            </a:r>
            <a:endParaRPr b="0" lang="fr-CA" sz="1100" spc="-1" strike="noStrike">
              <a:latin typeface="Times New Roman"/>
            </a:endParaRPr>
          </a:p>
        </xdr:txBody>
      </xdr:sp>
      <xdr:sp>
        <xdr:nvSpPr>
          <xdr:cNvPr id="130" name=""/>
          <xdr:cNvSpPr/>
        </xdr:nvSpPr>
        <xdr:spPr>
          <a:xfrm>
            <a:off x="-5446440" y="22652280"/>
            <a:ext cx="1355400" cy="4175280"/>
          </a:xfrm>
          <a:prstGeom prst="rect">
            <a:avLst/>
          </a:prstGeom>
          <a:solidFill>
            <a:srgbClr val="ffffff"/>
          </a:solidFill>
          <a:ln w="1">
            <a:solidFill>
              <a:srgbClr val="008000"/>
            </a:solidFill>
          </a:ln>
        </xdr:spPr>
        <xdr:style>
          <a:lnRef idx="0"/>
          <a:fillRef idx="0"/>
          <a:effectRef idx="0"/>
          <a:fontRef idx="minor"/>
        </xdr:style>
        <xdr:txBody>
          <a:bodyPr horzOverflow="clip" vertOverflow="clip" lIns="90000" rIns="90000" tIns="45000" bIns="45000" anchor="t">
            <a:noAutofit/>
          </a:bodyPr>
          <a:p>
            <a:r>
              <a:rPr b="0" lang="fr-CA" sz="1100" spc="-1" strike="noStrike">
                <a:latin typeface="Times New Roman"/>
              </a:rPr>
              <a:t>This shape represents a table slicer. Table slicers are not supported in this version of Excel.</a:t>
            </a:r>
            <a:endParaRPr b="0" lang="fr-CA" sz="1100" spc="-1" strike="noStrike">
              <a:latin typeface="Times New Roman"/>
            </a:endParaRPr>
          </a:p>
          <a:p>
            <a:endParaRPr b="0" lang="fr-CA" sz="1100" spc="-1" strike="noStrike">
              <a:latin typeface="Times New Roman"/>
            </a:endParaRPr>
          </a:p>
          <a:p>
            <a:pPr>
              <a:lnSpc>
                <a:spcPct val="100000"/>
              </a:lnSpc>
            </a:pPr>
            <a:r>
              <a:rPr b="0" lang="fr-CA" sz="1100" spc="-1" strike="noStrike">
                <a:latin typeface="Times New Roman"/>
              </a:rPr>
              <a:t>If the shape was modified in an earlier version of Excel, or if the workbook was saved in Excel 2007 or earlier, the slicer can't be used.</a:t>
            </a:r>
            <a:endParaRPr b="0" lang="fr-CA" sz="1100" spc="-1" strike="noStrike">
              <a:latin typeface="Times New Roman"/>
            </a:endParaRPr>
          </a:p>
        </xdr:txBody>
      </xdr:sp>
      <xdr:sp>
        <xdr:nvSpPr>
          <xdr:cNvPr id="131" name=""/>
          <xdr:cNvSpPr/>
        </xdr:nvSpPr>
        <xdr:spPr>
          <a:xfrm>
            <a:off x="-2145240" y="22587480"/>
            <a:ext cx="850680" cy="1953360"/>
          </a:xfrm>
          <a:prstGeom prst="rect">
            <a:avLst/>
          </a:prstGeom>
          <a:solidFill>
            <a:srgbClr val="ffffff"/>
          </a:solidFill>
          <a:ln w="1">
            <a:solidFill>
              <a:srgbClr val="008000"/>
            </a:solidFill>
          </a:ln>
        </xdr:spPr>
        <xdr:style>
          <a:lnRef idx="0"/>
          <a:fillRef idx="0"/>
          <a:effectRef idx="0"/>
          <a:fontRef idx="minor"/>
        </xdr:style>
        <xdr:txBody>
          <a:bodyPr horzOverflow="clip" vertOverflow="clip" lIns="90000" rIns="90000" tIns="45000" bIns="45000" anchor="t">
            <a:noAutofit/>
          </a:bodyPr>
          <a:p>
            <a:r>
              <a:rPr b="0" lang="fr-CA" sz="1100" spc="-1" strike="noStrike">
                <a:latin typeface="Times New Roman"/>
              </a:rPr>
              <a:t>This shape represents a table slicer. Table slicers are not supported in this version of Excel.</a:t>
            </a:r>
            <a:endParaRPr b="0" lang="fr-CA" sz="1100" spc="-1" strike="noStrike">
              <a:latin typeface="Times New Roman"/>
            </a:endParaRPr>
          </a:p>
          <a:p>
            <a:endParaRPr b="0" lang="fr-CA" sz="1100" spc="-1" strike="noStrike">
              <a:latin typeface="Times New Roman"/>
            </a:endParaRPr>
          </a:p>
          <a:p>
            <a:pPr>
              <a:lnSpc>
                <a:spcPct val="100000"/>
              </a:lnSpc>
            </a:pPr>
            <a:r>
              <a:rPr b="0" lang="fr-CA" sz="1100" spc="-1" strike="noStrike">
                <a:latin typeface="Times New Roman"/>
              </a:rPr>
              <a:t>If the shape was modified in an earlier version of Excel, or if the workbook was saved in Excel 2007 or earlier, the slicer can't be used.</a:t>
            </a:r>
            <a:endParaRPr b="0" lang="fr-CA" sz="1100" spc="-1" strike="noStrike">
              <a:latin typeface="Times New Roman"/>
            </a:endParaRPr>
          </a:p>
        </xdr:txBody>
      </xdr:sp>
    </xdr:grpSp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-6910200</xdr:colOff>
      <xdr:row>119</xdr:row>
      <xdr:rowOff>174600</xdr:rowOff>
    </xdr:from>
    <xdr:to>
      <xdr:col>0</xdr:col>
      <xdr:colOff>-1247400</xdr:colOff>
      <xdr:row>142</xdr:row>
      <xdr:rowOff>33120</xdr:rowOff>
    </xdr:to>
    <xdr:grpSp>
      <xdr:nvGrpSpPr>
        <xdr:cNvPr id="132" name="Group 1"/>
        <xdr:cNvGrpSpPr/>
      </xdr:nvGrpSpPr>
      <xdr:grpSpPr>
        <a:xfrm>
          <a:off x="-6910200" y="19213200"/>
          <a:ext cx="5662800" cy="4240080"/>
          <a:chOff x="-6910200" y="19213200"/>
          <a:chExt cx="5662800" cy="4240080"/>
        </a:xfrm>
      </xdr:grpSpPr>
      <xdr:sp>
        <xdr:nvSpPr>
          <xdr:cNvPr id="133" name=""/>
          <xdr:cNvSpPr/>
        </xdr:nvSpPr>
        <xdr:spPr>
          <a:xfrm>
            <a:off x="-6910200" y="19228680"/>
            <a:ext cx="1486800" cy="4175280"/>
          </a:xfrm>
          <a:prstGeom prst="rect">
            <a:avLst/>
          </a:prstGeom>
          <a:solidFill>
            <a:srgbClr val="ffffff"/>
          </a:solidFill>
          <a:ln w="1">
            <a:solidFill>
              <a:srgbClr val="008000"/>
            </a:solidFill>
          </a:ln>
        </xdr:spPr>
        <xdr:style>
          <a:lnRef idx="0"/>
          <a:fillRef idx="0"/>
          <a:effectRef idx="0"/>
          <a:fontRef idx="minor"/>
        </xdr:style>
        <xdr:txBody>
          <a:bodyPr horzOverflow="clip" vertOverflow="clip" lIns="90000" rIns="90000" tIns="45000" bIns="45000" anchor="t">
            <a:noAutofit/>
          </a:bodyPr>
          <a:p>
            <a:r>
              <a:rPr b="0" lang="fr-CA" sz="1100" spc="-1" strike="noStrike">
                <a:latin typeface="Times New Roman"/>
              </a:rPr>
              <a:t>This shape represents a table slicer. Table slicers are not supported in this version of Excel.</a:t>
            </a:r>
            <a:endParaRPr b="0" lang="fr-CA" sz="1100" spc="-1" strike="noStrike">
              <a:latin typeface="Times New Roman"/>
            </a:endParaRPr>
          </a:p>
          <a:p>
            <a:endParaRPr b="0" lang="fr-CA" sz="1100" spc="-1" strike="noStrike">
              <a:latin typeface="Times New Roman"/>
            </a:endParaRPr>
          </a:p>
          <a:p>
            <a:pPr>
              <a:lnSpc>
                <a:spcPct val="100000"/>
              </a:lnSpc>
            </a:pPr>
            <a:r>
              <a:rPr b="0" lang="fr-CA" sz="1100" spc="-1" strike="noStrike">
                <a:latin typeface="Times New Roman"/>
              </a:rPr>
              <a:t>If the shape was modified in an earlier version of Excel, or if the workbook was saved in Excel 2007 or earlier, the slicer can't be used.</a:t>
            </a:r>
            <a:endParaRPr b="0" lang="fr-CA" sz="1100" spc="-1" strike="noStrike">
              <a:latin typeface="Times New Roman"/>
            </a:endParaRPr>
          </a:p>
        </xdr:txBody>
      </xdr:sp>
      <xdr:sp>
        <xdr:nvSpPr>
          <xdr:cNvPr id="134" name=""/>
          <xdr:cNvSpPr/>
        </xdr:nvSpPr>
        <xdr:spPr>
          <a:xfrm>
            <a:off x="-3899520" y="19250280"/>
            <a:ext cx="1761840" cy="4175280"/>
          </a:xfrm>
          <a:prstGeom prst="rect">
            <a:avLst/>
          </a:prstGeom>
          <a:solidFill>
            <a:srgbClr val="ffffff"/>
          </a:solidFill>
          <a:ln w="1">
            <a:solidFill>
              <a:srgbClr val="008000"/>
            </a:solidFill>
          </a:ln>
        </xdr:spPr>
        <xdr:style>
          <a:lnRef idx="0"/>
          <a:fillRef idx="0"/>
          <a:effectRef idx="0"/>
          <a:fontRef idx="minor"/>
        </xdr:style>
        <xdr:txBody>
          <a:bodyPr horzOverflow="clip" vertOverflow="clip" lIns="90000" rIns="90000" tIns="45000" bIns="45000" anchor="t">
            <a:noAutofit/>
          </a:bodyPr>
          <a:p>
            <a:r>
              <a:rPr b="0" lang="fr-CA" sz="1100" spc="-1" strike="noStrike">
                <a:latin typeface="Times New Roman"/>
              </a:rPr>
              <a:t>This shape represents a table slicer. Table slicers are not supported in this version of Excel.</a:t>
            </a:r>
            <a:endParaRPr b="0" lang="fr-CA" sz="1100" spc="-1" strike="noStrike">
              <a:latin typeface="Times New Roman"/>
            </a:endParaRPr>
          </a:p>
          <a:p>
            <a:endParaRPr b="0" lang="fr-CA" sz="1100" spc="-1" strike="noStrike">
              <a:latin typeface="Times New Roman"/>
            </a:endParaRPr>
          </a:p>
          <a:p>
            <a:pPr>
              <a:lnSpc>
                <a:spcPct val="100000"/>
              </a:lnSpc>
            </a:pPr>
            <a:r>
              <a:rPr b="0" lang="fr-CA" sz="1100" spc="-1" strike="noStrike">
                <a:latin typeface="Times New Roman"/>
              </a:rPr>
              <a:t>If the shape was modified in an earlier version of Excel, or if the workbook was saved in Excel 2007 or earlier, the slicer can't be used.</a:t>
            </a:r>
            <a:endParaRPr b="0" lang="fr-CA" sz="1100" spc="-1" strike="noStrike">
              <a:latin typeface="Times New Roman"/>
            </a:endParaRPr>
          </a:p>
        </xdr:txBody>
      </xdr:sp>
      <xdr:sp>
        <xdr:nvSpPr>
          <xdr:cNvPr id="135" name=""/>
          <xdr:cNvSpPr/>
        </xdr:nvSpPr>
        <xdr:spPr>
          <a:xfrm>
            <a:off x="-5322240" y="19278000"/>
            <a:ext cx="1330560" cy="4175280"/>
          </a:xfrm>
          <a:prstGeom prst="rect">
            <a:avLst/>
          </a:prstGeom>
          <a:solidFill>
            <a:srgbClr val="ffffff"/>
          </a:solidFill>
          <a:ln w="1">
            <a:solidFill>
              <a:srgbClr val="008000"/>
            </a:solidFill>
          </a:ln>
        </xdr:spPr>
        <xdr:style>
          <a:lnRef idx="0"/>
          <a:fillRef idx="0"/>
          <a:effectRef idx="0"/>
          <a:fontRef idx="minor"/>
        </xdr:style>
        <xdr:txBody>
          <a:bodyPr horzOverflow="clip" vertOverflow="clip" lIns="90000" rIns="90000" tIns="45000" bIns="45000" anchor="t">
            <a:noAutofit/>
          </a:bodyPr>
          <a:p>
            <a:r>
              <a:rPr b="0" lang="fr-CA" sz="1100" spc="-1" strike="noStrike">
                <a:latin typeface="Times New Roman"/>
              </a:rPr>
              <a:t>This shape represents a table slicer. Table slicers are not supported in this version of Excel.</a:t>
            </a:r>
            <a:endParaRPr b="0" lang="fr-CA" sz="1100" spc="-1" strike="noStrike">
              <a:latin typeface="Times New Roman"/>
            </a:endParaRPr>
          </a:p>
          <a:p>
            <a:endParaRPr b="0" lang="fr-CA" sz="1100" spc="-1" strike="noStrike">
              <a:latin typeface="Times New Roman"/>
            </a:endParaRPr>
          </a:p>
          <a:p>
            <a:pPr>
              <a:lnSpc>
                <a:spcPct val="100000"/>
              </a:lnSpc>
            </a:pPr>
            <a:r>
              <a:rPr b="0" lang="fr-CA" sz="1100" spc="-1" strike="noStrike">
                <a:latin typeface="Times New Roman"/>
              </a:rPr>
              <a:t>If the shape was modified in an earlier version of Excel, or if the workbook was saved in Excel 2007 or earlier, the slicer can't be used.</a:t>
            </a:r>
            <a:endParaRPr b="0" lang="fr-CA" sz="1100" spc="-1" strike="noStrike">
              <a:latin typeface="Times New Roman"/>
            </a:endParaRPr>
          </a:p>
        </xdr:txBody>
      </xdr:sp>
      <xdr:sp>
        <xdr:nvSpPr>
          <xdr:cNvPr id="136" name=""/>
          <xdr:cNvSpPr/>
        </xdr:nvSpPr>
        <xdr:spPr>
          <a:xfrm>
            <a:off x="-2082240" y="19213200"/>
            <a:ext cx="834840" cy="1953360"/>
          </a:xfrm>
          <a:prstGeom prst="rect">
            <a:avLst/>
          </a:prstGeom>
          <a:solidFill>
            <a:srgbClr val="ffffff"/>
          </a:solidFill>
          <a:ln w="1">
            <a:solidFill>
              <a:srgbClr val="008000"/>
            </a:solidFill>
          </a:ln>
        </xdr:spPr>
        <xdr:style>
          <a:lnRef idx="0"/>
          <a:fillRef idx="0"/>
          <a:effectRef idx="0"/>
          <a:fontRef idx="minor"/>
        </xdr:style>
        <xdr:txBody>
          <a:bodyPr horzOverflow="clip" vertOverflow="clip" lIns="90000" rIns="90000" tIns="45000" bIns="45000" anchor="t">
            <a:noAutofit/>
          </a:bodyPr>
          <a:p>
            <a:r>
              <a:rPr b="0" lang="fr-CA" sz="1100" spc="-1" strike="noStrike">
                <a:latin typeface="Times New Roman"/>
              </a:rPr>
              <a:t>This shape represents a table slicer. Table slicers are not supported in this version of Excel.</a:t>
            </a:r>
            <a:endParaRPr b="0" lang="fr-CA" sz="1100" spc="-1" strike="noStrike">
              <a:latin typeface="Times New Roman"/>
            </a:endParaRPr>
          </a:p>
          <a:p>
            <a:endParaRPr b="0" lang="fr-CA" sz="1100" spc="-1" strike="noStrike">
              <a:latin typeface="Times New Roman"/>
            </a:endParaRPr>
          </a:p>
          <a:p>
            <a:pPr>
              <a:lnSpc>
                <a:spcPct val="100000"/>
              </a:lnSpc>
            </a:pPr>
            <a:r>
              <a:rPr b="0" lang="fr-CA" sz="1100" spc="-1" strike="noStrike">
                <a:latin typeface="Times New Roman"/>
              </a:rPr>
              <a:t>If the shape was modified in an earlier version of Excel, or if the workbook was saved in Excel 2007 or earlier, the slicer can't be used.</a:t>
            </a:r>
            <a:endParaRPr b="0" lang="fr-CA" sz="1100" spc="-1" strike="noStrike">
              <a:latin typeface="Times New Roman"/>
            </a:endParaRPr>
          </a:p>
        </xdr:txBody>
      </xdr:sp>
    </xdr:grpSp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-7355160</xdr:colOff>
      <xdr:row>106</xdr:row>
      <xdr:rowOff>64800</xdr:rowOff>
    </xdr:from>
    <xdr:to>
      <xdr:col>0</xdr:col>
      <xdr:colOff>-1060560</xdr:colOff>
      <xdr:row>128</xdr:row>
      <xdr:rowOff>114120</xdr:rowOff>
    </xdr:to>
    <xdr:grpSp>
      <xdr:nvGrpSpPr>
        <xdr:cNvPr id="137" name="Group 1"/>
        <xdr:cNvGrpSpPr/>
      </xdr:nvGrpSpPr>
      <xdr:grpSpPr>
        <a:xfrm>
          <a:off x="-7355160" y="16626960"/>
          <a:ext cx="6294600" cy="4240080"/>
          <a:chOff x="-7355160" y="16626960"/>
          <a:chExt cx="6294600" cy="4240080"/>
        </a:xfrm>
      </xdr:grpSpPr>
      <xdr:sp>
        <xdr:nvSpPr>
          <xdr:cNvPr id="138" name=""/>
          <xdr:cNvSpPr/>
        </xdr:nvSpPr>
        <xdr:spPr>
          <a:xfrm>
            <a:off x="-7355160" y="16642440"/>
            <a:ext cx="1652400" cy="4175280"/>
          </a:xfrm>
          <a:prstGeom prst="rect">
            <a:avLst/>
          </a:prstGeom>
          <a:solidFill>
            <a:srgbClr val="ffffff"/>
          </a:solidFill>
          <a:ln w="1">
            <a:solidFill>
              <a:srgbClr val="008000"/>
            </a:solidFill>
          </a:ln>
        </xdr:spPr>
        <xdr:style>
          <a:lnRef idx="0"/>
          <a:fillRef idx="0"/>
          <a:effectRef idx="0"/>
          <a:fontRef idx="minor"/>
        </xdr:style>
        <xdr:txBody>
          <a:bodyPr horzOverflow="clip" vertOverflow="clip" lIns="90000" rIns="90000" tIns="45000" bIns="45000" anchor="t">
            <a:noAutofit/>
          </a:bodyPr>
          <a:p>
            <a:r>
              <a:rPr b="0" lang="fr-CA" sz="1100" spc="-1" strike="noStrike">
                <a:latin typeface="Times New Roman"/>
              </a:rPr>
              <a:t>This shape represents a table slicer. Table slicers are not supported in this version of Excel.</a:t>
            </a:r>
            <a:endParaRPr b="0" lang="fr-CA" sz="1100" spc="-1" strike="noStrike">
              <a:latin typeface="Times New Roman"/>
            </a:endParaRPr>
          </a:p>
          <a:p>
            <a:endParaRPr b="0" lang="fr-CA" sz="1100" spc="-1" strike="noStrike">
              <a:latin typeface="Times New Roman"/>
            </a:endParaRPr>
          </a:p>
          <a:p>
            <a:pPr>
              <a:lnSpc>
                <a:spcPct val="100000"/>
              </a:lnSpc>
            </a:pPr>
            <a:r>
              <a:rPr b="0" lang="fr-CA" sz="1100" spc="-1" strike="noStrike">
                <a:latin typeface="Times New Roman"/>
              </a:rPr>
              <a:t>If the shape was modified in an earlier version of Excel, or if the workbook was saved in Excel 2007 or earlier, the slicer can't be used.</a:t>
            </a:r>
            <a:endParaRPr b="0" lang="fr-CA" sz="1100" spc="-1" strike="noStrike">
              <a:latin typeface="Times New Roman"/>
            </a:endParaRPr>
          </a:p>
        </xdr:txBody>
      </xdr:sp>
      <xdr:sp>
        <xdr:nvSpPr>
          <xdr:cNvPr id="139" name=""/>
          <xdr:cNvSpPr/>
        </xdr:nvSpPr>
        <xdr:spPr>
          <a:xfrm>
            <a:off x="-4008600" y="16664400"/>
            <a:ext cx="1958400" cy="4175280"/>
          </a:xfrm>
          <a:prstGeom prst="rect">
            <a:avLst/>
          </a:prstGeom>
          <a:solidFill>
            <a:srgbClr val="ffffff"/>
          </a:solidFill>
          <a:ln w="1">
            <a:solidFill>
              <a:srgbClr val="008000"/>
            </a:solidFill>
          </a:ln>
        </xdr:spPr>
        <xdr:style>
          <a:lnRef idx="0"/>
          <a:fillRef idx="0"/>
          <a:effectRef idx="0"/>
          <a:fontRef idx="minor"/>
        </xdr:style>
        <xdr:txBody>
          <a:bodyPr horzOverflow="clip" vertOverflow="clip" lIns="90000" rIns="90000" tIns="45000" bIns="45000" anchor="t">
            <a:noAutofit/>
          </a:bodyPr>
          <a:p>
            <a:r>
              <a:rPr b="0" lang="fr-CA" sz="1100" spc="-1" strike="noStrike">
                <a:latin typeface="Times New Roman"/>
              </a:rPr>
              <a:t>This shape represents a table slicer. Table slicers are not supported in this version of Excel.</a:t>
            </a:r>
            <a:endParaRPr b="0" lang="fr-CA" sz="1100" spc="-1" strike="noStrike">
              <a:latin typeface="Times New Roman"/>
            </a:endParaRPr>
          </a:p>
          <a:p>
            <a:endParaRPr b="0" lang="fr-CA" sz="1100" spc="-1" strike="noStrike">
              <a:latin typeface="Times New Roman"/>
            </a:endParaRPr>
          </a:p>
          <a:p>
            <a:pPr>
              <a:lnSpc>
                <a:spcPct val="100000"/>
              </a:lnSpc>
            </a:pPr>
            <a:r>
              <a:rPr b="0" lang="fr-CA" sz="1100" spc="-1" strike="noStrike">
                <a:latin typeface="Times New Roman"/>
              </a:rPr>
              <a:t>If the shape was modified in an earlier version of Excel, or if the workbook was saved in Excel 2007 or earlier, the slicer can't be used.</a:t>
            </a:r>
            <a:endParaRPr b="0" lang="fr-CA" sz="1100" spc="-1" strike="noStrike">
              <a:latin typeface="Times New Roman"/>
            </a:endParaRPr>
          </a:p>
        </xdr:txBody>
      </xdr:sp>
      <xdr:sp>
        <xdr:nvSpPr>
          <xdr:cNvPr id="140" name=""/>
          <xdr:cNvSpPr/>
        </xdr:nvSpPr>
        <xdr:spPr>
          <a:xfrm>
            <a:off x="-5590080" y="16691760"/>
            <a:ext cx="1478880" cy="4175280"/>
          </a:xfrm>
          <a:prstGeom prst="rect">
            <a:avLst/>
          </a:prstGeom>
          <a:solidFill>
            <a:srgbClr val="ffffff"/>
          </a:solidFill>
          <a:ln w="1">
            <a:solidFill>
              <a:srgbClr val="008000"/>
            </a:solidFill>
          </a:ln>
        </xdr:spPr>
        <xdr:style>
          <a:lnRef idx="0"/>
          <a:fillRef idx="0"/>
          <a:effectRef idx="0"/>
          <a:fontRef idx="minor"/>
        </xdr:style>
        <xdr:txBody>
          <a:bodyPr horzOverflow="clip" vertOverflow="clip" lIns="90000" rIns="90000" tIns="45000" bIns="45000" anchor="t">
            <a:noAutofit/>
          </a:bodyPr>
          <a:p>
            <a:r>
              <a:rPr b="0" lang="fr-CA" sz="1100" spc="-1" strike="noStrike">
                <a:latin typeface="Times New Roman"/>
              </a:rPr>
              <a:t>This shape represents a table slicer. Table slicers are not supported in this version of Excel.</a:t>
            </a:r>
            <a:endParaRPr b="0" lang="fr-CA" sz="1100" spc="-1" strike="noStrike">
              <a:latin typeface="Times New Roman"/>
            </a:endParaRPr>
          </a:p>
          <a:p>
            <a:endParaRPr b="0" lang="fr-CA" sz="1100" spc="-1" strike="noStrike">
              <a:latin typeface="Times New Roman"/>
            </a:endParaRPr>
          </a:p>
          <a:p>
            <a:pPr>
              <a:lnSpc>
                <a:spcPct val="100000"/>
              </a:lnSpc>
            </a:pPr>
            <a:r>
              <a:rPr b="0" lang="fr-CA" sz="1100" spc="-1" strike="noStrike">
                <a:latin typeface="Times New Roman"/>
              </a:rPr>
              <a:t>If the shape was modified in an earlier version of Excel, or if the workbook was saved in Excel 2007 or earlier, the slicer can't be used.</a:t>
            </a:r>
            <a:endParaRPr b="0" lang="fr-CA" sz="1100" spc="-1" strike="noStrike">
              <a:latin typeface="Times New Roman"/>
            </a:endParaRPr>
          </a:p>
        </xdr:txBody>
      </xdr:sp>
      <xdr:sp>
        <xdr:nvSpPr>
          <xdr:cNvPr id="141" name=""/>
          <xdr:cNvSpPr/>
        </xdr:nvSpPr>
        <xdr:spPr>
          <a:xfrm>
            <a:off x="-1988640" y="16626960"/>
            <a:ext cx="928080" cy="1953360"/>
          </a:xfrm>
          <a:prstGeom prst="rect">
            <a:avLst/>
          </a:prstGeom>
          <a:solidFill>
            <a:srgbClr val="ffffff"/>
          </a:solidFill>
          <a:ln w="1">
            <a:solidFill>
              <a:srgbClr val="008000"/>
            </a:solidFill>
          </a:ln>
        </xdr:spPr>
        <xdr:style>
          <a:lnRef idx="0"/>
          <a:fillRef idx="0"/>
          <a:effectRef idx="0"/>
          <a:fontRef idx="minor"/>
        </xdr:style>
        <xdr:txBody>
          <a:bodyPr horzOverflow="clip" vertOverflow="clip" lIns="90000" rIns="90000" tIns="45000" bIns="45000" anchor="t">
            <a:noAutofit/>
          </a:bodyPr>
          <a:p>
            <a:r>
              <a:rPr b="0" lang="fr-CA" sz="1100" spc="-1" strike="noStrike">
                <a:latin typeface="Times New Roman"/>
              </a:rPr>
              <a:t>This shape represents a table slicer. Table slicers are not supported in this version of Excel.</a:t>
            </a:r>
            <a:endParaRPr b="0" lang="fr-CA" sz="1100" spc="-1" strike="noStrike">
              <a:latin typeface="Times New Roman"/>
            </a:endParaRPr>
          </a:p>
          <a:p>
            <a:endParaRPr b="0" lang="fr-CA" sz="1100" spc="-1" strike="noStrike">
              <a:latin typeface="Times New Roman"/>
            </a:endParaRPr>
          </a:p>
          <a:p>
            <a:pPr>
              <a:lnSpc>
                <a:spcPct val="100000"/>
              </a:lnSpc>
            </a:pPr>
            <a:r>
              <a:rPr b="0" lang="fr-CA" sz="1100" spc="-1" strike="noStrike">
                <a:latin typeface="Times New Roman"/>
              </a:rPr>
              <a:t>If the shape was modified in an earlier version of Excel, or if the workbook was saved in Excel 2007 or earlier, the slicer can't be used.</a:t>
            </a:r>
            <a:endParaRPr b="0" lang="fr-CA" sz="1100" spc="-1" strike="noStrike">
              <a:latin typeface="Times New Roman"/>
            </a:endParaRPr>
          </a:p>
        </xdr:txBody>
      </xdr:sp>
    </xdr:grpSp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-7351920</xdr:colOff>
      <xdr:row>88</xdr:row>
      <xdr:rowOff>158400</xdr:rowOff>
    </xdr:from>
    <xdr:to>
      <xdr:col>0</xdr:col>
      <xdr:colOff>-1053720</xdr:colOff>
      <xdr:row>111</xdr:row>
      <xdr:rowOff>16920</xdr:rowOff>
    </xdr:to>
    <xdr:grpSp>
      <xdr:nvGrpSpPr>
        <xdr:cNvPr id="142" name="Group 1"/>
        <xdr:cNvGrpSpPr/>
      </xdr:nvGrpSpPr>
      <xdr:grpSpPr>
        <a:xfrm>
          <a:off x="-7351920" y="13291560"/>
          <a:ext cx="6298200" cy="4240080"/>
          <a:chOff x="-7351920" y="13291560"/>
          <a:chExt cx="6298200" cy="4240080"/>
        </a:xfrm>
      </xdr:grpSpPr>
      <xdr:sp>
        <xdr:nvSpPr>
          <xdr:cNvPr id="143" name=""/>
          <xdr:cNvSpPr/>
        </xdr:nvSpPr>
        <xdr:spPr>
          <a:xfrm>
            <a:off x="-7351920" y="13307040"/>
            <a:ext cx="1653480" cy="4175280"/>
          </a:xfrm>
          <a:prstGeom prst="rect">
            <a:avLst/>
          </a:prstGeom>
          <a:solidFill>
            <a:srgbClr val="ffffff"/>
          </a:solidFill>
          <a:ln w="1">
            <a:solidFill>
              <a:srgbClr val="008000"/>
            </a:solidFill>
          </a:ln>
        </xdr:spPr>
        <xdr:style>
          <a:lnRef idx="0"/>
          <a:fillRef idx="0"/>
          <a:effectRef idx="0"/>
          <a:fontRef idx="minor"/>
        </xdr:style>
        <xdr:txBody>
          <a:bodyPr horzOverflow="clip" vertOverflow="clip" lIns="90000" rIns="90000" tIns="45000" bIns="45000" anchor="t">
            <a:noAutofit/>
          </a:bodyPr>
          <a:p>
            <a:r>
              <a:rPr b="0" lang="fr-CA" sz="1100" spc="-1" strike="noStrike">
                <a:latin typeface="Times New Roman"/>
              </a:rPr>
              <a:t>This shape represents a table slicer. Table slicers are not supported in this version of Excel.</a:t>
            </a:r>
            <a:endParaRPr b="0" lang="fr-CA" sz="1100" spc="-1" strike="noStrike">
              <a:latin typeface="Times New Roman"/>
            </a:endParaRPr>
          </a:p>
          <a:p>
            <a:endParaRPr b="0" lang="fr-CA" sz="1100" spc="-1" strike="noStrike">
              <a:latin typeface="Times New Roman"/>
            </a:endParaRPr>
          </a:p>
          <a:p>
            <a:pPr>
              <a:lnSpc>
                <a:spcPct val="100000"/>
              </a:lnSpc>
            </a:pPr>
            <a:r>
              <a:rPr b="0" lang="fr-CA" sz="1100" spc="-1" strike="noStrike">
                <a:latin typeface="Times New Roman"/>
              </a:rPr>
              <a:t>If the shape was modified in an earlier version of Excel, or if the workbook was saved in Excel 2007 or earlier, the slicer can't be used.</a:t>
            </a:r>
            <a:endParaRPr b="0" lang="fr-CA" sz="1100" spc="-1" strike="noStrike">
              <a:latin typeface="Times New Roman"/>
            </a:endParaRPr>
          </a:p>
        </xdr:txBody>
      </xdr:sp>
      <xdr:sp>
        <xdr:nvSpPr>
          <xdr:cNvPr id="144" name=""/>
          <xdr:cNvSpPr/>
        </xdr:nvSpPr>
        <xdr:spPr>
          <a:xfrm>
            <a:off x="-4003560" y="13329000"/>
            <a:ext cx="1959480" cy="4175280"/>
          </a:xfrm>
          <a:prstGeom prst="rect">
            <a:avLst/>
          </a:prstGeom>
          <a:solidFill>
            <a:srgbClr val="ffffff"/>
          </a:solidFill>
          <a:ln w="1">
            <a:solidFill>
              <a:srgbClr val="008000"/>
            </a:solidFill>
          </a:ln>
        </xdr:spPr>
        <xdr:style>
          <a:lnRef idx="0"/>
          <a:fillRef idx="0"/>
          <a:effectRef idx="0"/>
          <a:fontRef idx="minor"/>
        </xdr:style>
        <xdr:txBody>
          <a:bodyPr horzOverflow="clip" vertOverflow="clip" lIns="90000" rIns="90000" tIns="45000" bIns="45000" anchor="t">
            <a:noAutofit/>
          </a:bodyPr>
          <a:p>
            <a:r>
              <a:rPr b="0" lang="fr-CA" sz="1100" spc="-1" strike="noStrike">
                <a:latin typeface="Times New Roman"/>
              </a:rPr>
              <a:t>This shape represents a table slicer. Table slicers are not supported in this version of Excel.</a:t>
            </a:r>
            <a:endParaRPr b="0" lang="fr-CA" sz="1100" spc="-1" strike="noStrike">
              <a:latin typeface="Times New Roman"/>
            </a:endParaRPr>
          </a:p>
          <a:p>
            <a:endParaRPr b="0" lang="fr-CA" sz="1100" spc="-1" strike="noStrike">
              <a:latin typeface="Times New Roman"/>
            </a:endParaRPr>
          </a:p>
          <a:p>
            <a:pPr>
              <a:lnSpc>
                <a:spcPct val="100000"/>
              </a:lnSpc>
            </a:pPr>
            <a:r>
              <a:rPr b="0" lang="fr-CA" sz="1100" spc="-1" strike="noStrike">
                <a:latin typeface="Times New Roman"/>
              </a:rPr>
              <a:t>If the shape was modified in an earlier version of Excel, or if the workbook was saved in Excel 2007 or earlier, the slicer can't be used.</a:t>
            </a:r>
            <a:endParaRPr b="0" lang="fr-CA" sz="1100" spc="-1" strike="noStrike">
              <a:latin typeface="Times New Roman"/>
            </a:endParaRPr>
          </a:p>
        </xdr:txBody>
      </xdr:sp>
      <xdr:sp>
        <xdr:nvSpPr>
          <xdr:cNvPr id="145" name=""/>
          <xdr:cNvSpPr/>
        </xdr:nvSpPr>
        <xdr:spPr>
          <a:xfrm>
            <a:off x="-5585760" y="13356360"/>
            <a:ext cx="1479960" cy="4175280"/>
          </a:xfrm>
          <a:prstGeom prst="rect">
            <a:avLst/>
          </a:prstGeom>
          <a:solidFill>
            <a:srgbClr val="ffffff"/>
          </a:solidFill>
          <a:ln w="1">
            <a:solidFill>
              <a:srgbClr val="008000"/>
            </a:solidFill>
          </a:ln>
        </xdr:spPr>
        <xdr:style>
          <a:lnRef idx="0"/>
          <a:fillRef idx="0"/>
          <a:effectRef idx="0"/>
          <a:fontRef idx="minor"/>
        </xdr:style>
        <xdr:txBody>
          <a:bodyPr horzOverflow="clip" vertOverflow="clip" lIns="90000" rIns="90000" tIns="45000" bIns="45000" anchor="t">
            <a:noAutofit/>
          </a:bodyPr>
          <a:p>
            <a:r>
              <a:rPr b="0" lang="fr-CA" sz="1100" spc="-1" strike="noStrike">
                <a:latin typeface="Times New Roman"/>
              </a:rPr>
              <a:t>This shape represents a table slicer. Table slicers are not supported in this version of Excel.</a:t>
            </a:r>
            <a:endParaRPr b="0" lang="fr-CA" sz="1100" spc="-1" strike="noStrike">
              <a:latin typeface="Times New Roman"/>
            </a:endParaRPr>
          </a:p>
          <a:p>
            <a:endParaRPr b="0" lang="fr-CA" sz="1100" spc="-1" strike="noStrike">
              <a:latin typeface="Times New Roman"/>
            </a:endParaRPr>
          </a:p>
          <a:p>
            <a:pPr>
              <a:lnSpc>
                <a:spcPct val="100000"/>
              </a:lnSpc>
            </a:pPr>
            <a:r>
              <a:rPr b="0" lang="fr-CA" sz="1100" spc="-1" strike="noStrike">
                <a:latin typeface="Times New Roman"/>
              </a:rPr>
              <a:t>If the shape was modified in an earlier version of Excel, or if the workbook was saved in Excel 2007 or earlier, the slicer can't be used.</a:t>
            </a:r>
            <a:endParaRPr b="0" lang="fr-CA" sz="1100" spc="-1" strike="noStrike">
              <a:latin typeface="Times New Roman"/>
            </a:endParaRPr>
          </a:p>
        </xdr:txBody>
      </xdr:sp>
      <xdr:sp>
        <xdr:nvSpPr>
          <xdr:cNvPr id="146" name=""/>
          <xdr:cNvSpPr/>
        </xdr:nvSpPr>
        <xdr:spPr>
          <a:xfrm>
            <a:off x="-1982160" y="13291560"/>
            <a:ext cx="928440" cy="1953360"/>
          </a:xfrm>
          <a:prstGeom prst="rect">
            <a:avLst/>
          </a:prstGeom>
          <a:solidFill>
            <a:srgbClr val="ffffff"/>
          </a:solidFill>
          <a:ln w="1">
            <a:solidFill>
              <a:srgbClr val="008000"/>
            </a:solidFill>
          </a:ln>
        </xdr:spPr>
        <xdr:style>
          <a:lnRef idx="0"/>
          <a:fillRef idx="0"/>
          <a:effectRef idx="0"/>
          <a:fontRef idx="minor"/>
        </xdr:style>
        <xdr:txBody>
          <a:bodyPr horzOverflow="clip" vertOverflow="clip" lIns="90000" rIns="90000" tIns="45000" bIns="45000" anchor="t">
            <a:noAutofit/>
          </a:bodyPr>
          <a:p>
            <a:r>
              <a:rPr b="0" lang="fr-CA" sz="1100" spc="-1" strike="noStrike">
                <a:latin typeface="Times New Roman"/>
              </a:rPr>
              <a:t>This shape represents a table slicer. Table slicers are not supported in this version of Excel.</a:t>
            </a:r>
            <a:endParaRPr b="0" lang="fr-CA" sz="1100" spc="-1" strike="noStrike">
              <a:latin typeface="Times New Roman"/>
            </a:endParaRPr>
          </a:p>
          <a:p>
            <a:endParaRPr b="0" lang="fr-CA" sz="1100" spc="-1" strike="noStrike">
              <a:latin typeface="Times New Roman"/>
            </a:endParaRPr>
          </a:p>
          <a:p>
            <a:pPr>
              <a:lnSpc>
                <a:spcPct val="100000"/>
              </a:lnSpc>
            </a:pPr>
            <a:r>
              <a:rPr b="0" lang="fr-CA" sz="1100" spc="-1" strike="noStrike">
                <a:latin typeface="Times New Roman"/>
              </a:rPr>
              <a:t>If the shape was modified in an earlier version of Excel, or if the workbook was saved in Excel 2007 or earlier, the slicer can't be used.</a:t>
            </a:r>
            <a:endParaRPr b="0" lang="fr-CA" sz="1100" spc="-1" strike="noStrike">
              <a:latin typeface="Times New Roman"/>
            </a:endParaRPr>
          </a:p>
        </xdr:txBody>
      </xdr:sp>
    </xdr:grpSp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-7355160</xdr:colOff>
      <xdr:row>121</xdr:row>
      <xdr:rowOff>147960</xdr:rowOff>
    </xdr:from>
    <xdr:to>
      <xdr:col>0</xdr:col>
      <xdr:colOff>-1060560</xdr:colOff>
      <xdr:row>144</xdr:row>
      <xdr:rowOff>6480</xdr:rowOff>
    </xdr:to>
    <xdr:grpSp>
      <xdr:nvGrpSpPr>
        <xdr:cNvPr id="147" name="Group 1"/>
        <xdr:cNvGrpSpPr/>
      </xdr:nvGrpSpPr>
      <xdr:grpSpPr>
        <a:xfrm>
          <a:off x="-7355160" y="19567440"/>
          <a:ext cx="6294600" cy="4240080"/>
          <a:chOff x="-7355160" y="19567440"/>
          <a:chExt cx="6294600" cy="4240080"/>
        </a:xfrm>
      </xdr:grpSpPr>
      <xdr:sp>
        <xdr:nvSpPr>
          <xdr:cNvPr id="148" name=""/>
          <xdr:cNvSpPr/>
        </xdr:nvSpPr>
        <xdr:spPr>
          <a:xfrm>
            <a:off x="-7355160" y="19582920"/>
            <a:ext cx="1652400" cy="4175280"/>
          </a:xfrm>
          <a:prstGeom prst="rect">
            <a:avLst/>
          </a:prstGeom>
          <a:solidFill>
            <a:srgbClr val="ffffff"/>
          </a:solidFill>
          <a:ln w="1">
            <a:solidFill>
              <a:srgbClr val="008000"/>
            </a:solidFill>
          </a:ln>
        </xdr:spPr>
        <xdr:style>
          <a:lnRef idx="0"/>
          <a:fillRef idx="0"/>
          <a:effectRef idx="0"/>
          <a:fontRef idx="minor"/>
        </xdr:style>
        <xdr:txBody>
          <a:bodyPr horzOverflow="clip" vertOverflow="clip" lIns="90000" rIns="90000" tIns="45000" bIns="45000" anchor="t">
            <a:noAutofit/>
          </a:bodyPr>
          <a:p>
            <a:r>
              <a:rPr b="0" lang="fr-CA" sz="1100" spc="-1" strike="noStrike">
                <a:latin typeface="Times New Roman"/>
              </a:rPr>
              <a:t>This shape represents a table slicer. Table slicers are not supported in this version of Excel.</a:t>
            </a:r>
            <a:endParaRPr b="0" lang="fr-CA" sz="1100" spc="-1" strike="noStrike">
              <a:latin typeface="Times New Roman"/>
            </a:endParaRPr>
          </a:p>
          <a:p>
            <a:endParaRPr b="0" lang="fr-CA" sz="1100" spc="-1" strike="noStrike">
              <a:latin typeface="Times New Roman"/>
            </a:endParaRPr>
          </a:p>
          <a:p>
            <a:pPr>
              <a:lnSpc>
                <a:spcPct val="100000"/>
              </a:lnSpc>
            </a:pPr>
            <a:r>
              <a:rPr b="0" lang="fr-CA" sz="1100" spc="-1" strike="noStrike">
                <a:latin typeface="Times New Roman"/>
              </a:rPr>
              <a:t>If the shape was modified in an earlier version of Excel, or if the workbook was saved in Excel 2007 or earlier, the slicer can't be used.</a:t>
            </a:r>
            <a:endParaRPr b="0" lang="fr-CA" sz="1100" spc="-1" strike="noStrike">
              <a:latin typeface="Times New Roman"/>
            </a:endParaRPr>
          </a:p>
        </xdr:txBody>
      </xdr:sp>
      <xdr:sp>
        <xdr:nvSpPr>
          <xdr:cNvPr id="149" name=""/>
          <xdr:cNvSpPr/>
        </xdr:nvSpPr>
        <xdr:spPr>
          <a:xfrm>
            <a:off x="-4008600" y="19604520"/>
            <a:ext cx="1958400" cy="4175280"/>
          </a:xfrm>
          <a:prstGeom prst="rect">
            <a:avLst/>
          </a:prstGeom>
          <a:solidFill>
            <a:srgbClr val="ffffff"/>
          </a:solidFill>
          <a:ln w="1">
            <a:solidFill>
              <a:srgbClr val="008000"/>
            </a:solidFill>
          </a:ln>
        </xdr:spPr>
        <xdr:style>
          <a:lnRef idx="0"/>
          <a:fillRef idx="0"/>
          <a:effectRef idx="0"/>
          <a:fontRef idx="minor"/>
        </xdr:style>
        <xdr:txBody>
          <a:bodyPr horzOverflow="clip" vertOverflow="clip" lIns="90000" rIns="90000" tIns="45000" bIns="45000" anchor="t">
            <a:noAutofit/>
          </a:bodyPr>
          <a:p>
            <a:r>
              <a:rPr b="0" lang="fr-CA" sz="1100" spc="-1" strike="noStrike">
                <a:latin typeface="Times New Roman"/>
              </a:rPr>
              <a:t>This shape represents a table slicer. Table slicers are not supported in this version of Excel.</a:t>
            </a:r>
            <a:endParaRPr b="0" lang="fr-CA" sz="1100" spc="-1" strike="noStrike">
              <a:latin typeface="Times New Roman"/>
            </a:endParaRPr>
          </a:p>
          <a:p>
            <a:endParaRPr b="0" lang="fr-CA" sz="1100" spc="-1" strike="noStrike">
              <a:latin typeface="Times New Roman"/>
            </a:endParaRPr>
          </a:p>
          <a:p>
            <a:pPr>
              <a:lnSpc>
                <a:spcPct val="100000"/>
              </a:lnSpc>
            </a:pPr>
            <a:r>
              <a:rPr b="0" lang="fr-CA" sz="1100" spc="-1" strike="noStrike">
                <a:latin typeface="Times New Roman"/>
              </a:rPr>
              <a:t>If the shape was modified in an earlier version of Excel, or if the workbook was saved in Excel 2007 or earlier, the slicer can't be used.</a:t>
            </a:r>
            <a:endParaRPr b="0" lang="fr-CA" sz="1100" spc="-1" strike="noStrike">
              <a:latin typeface="Times New Roman"/>
            </a:endParaRPr>
          </a:p>
        </xdr:txBody>
      </xdr:sp>
      <xdr:sp>
        <xdr:nvSpPr>
          <xdr:cNvPr id="150" name=""/>
          <xdr:cNvSpPr/>
        </xdr:nvSpPr>
        <xdr:spPr>
          <a:xfrm>
            <a:off x="-5590080" y="19632240"/>
            <a:ext cx="1478880" cy="4175280"/>
          </a:xfrm>
          <a:prstGeom prst="rect">
            <a:avLst/>
          </a:prstGeom>
          <a:solidFill>
            <a:srgbClr val="ffffff"/>
          </a:solidFill>
          <a:ln w="1">
            <a:solidFill>
              <a:srgbClr val="008000"/>
            </a:solidFill>
          </a:ln>
        </xdr:spPr>
        <xdr:style>
          <a:lnRef idx="0"/>
          <a:fillRef idx="0"/>
          <a:effectRef idx="0"/>
          <a:fontRef idx="minor"/>
        </xdr:style>
        <xdr:txBody>
          <a:bodyPr horzOverflow="clip" vertOverflow="clip" lIns="90000" rIns="90000" tIns="45000" bIns="45000" anchor="t">
            <a:noAutofit/>
          </a:bodyPr>
          <a:p>
            <a:r>
              <a:rPr b="0" lang="fr-CA" sz="1100" spc="-1" strike="noStrike">
                <a:latin typeface="Times New Roman"/>
              </a:rPr>
              <a:t>This shape represents a table slicer. Table slicers are not supported in this version of Excel.</a:t>
            </a:r>
            <a:endParaRPr b="0" lang="fr-CA" sz="1100" spc="-1" strike="noStrike">
              <a:latin typeface="Times New Roman"/>
            </a:endParaRPr>
          </a:p>
          <a:p>
            <a:endParaRPr b="0" lang="fr-CA" sz="1100" spc="-1" strike="noStrike">
              <a:latin typeface="Times New Roman"/>
            </a:endParaRPr>
          </a:p>
          <a:p>
            <a:pPr>
              <a:lnSpc>
                <a:spcPct val="100000"/>
              </a:lnSpc>
            </a:pPr>
            <a:r>
              <a:rPr b="0" lang="fr-CA" sz="1100" spc="-1" strike="noStrike">
                <a:latin typeface="Times New Roman"/>
              </a:rPr>
              <a:t>If the shape was modified in an earlier version of Excel, or if the workbook was saved in Excel 2007 or earlier, the slicer can't be used.</a:t>
            </a:r>
            <a:endParaRPr b="0" lang="fr-CA" sz="1100" spc="-1" strike="noStrike">
              <a:latin typeface="Times New Roman"/>
            </a:endParaRPr>
          </a:p>
        </xdr:txBody>
      </xdr:sp>
      <xdr:sp>
        <xdr:nvSpPr>
          <xdr:cNvPr id="151" name=""/>
          <xdr:cNvSpPr/>
        </xdr:nvSpPr>
        <xdr:spPr>
          <a:xfrm>
            <a:off x="-1988640" y="19567440"/>
            <a:ext cx="928080" cy="1953360"/>
          </a:xfrm>
          <a:prstGeom prst="rect">
            <a:avLst/>
          </a:prstGeom>
          <a:solidFill>
            <a:srgbClr val="ffffff"/>
          </a:solidFill>
          <a:ln w="1">
            <a:solidFill>
              <a:srgbClr val="008000"/>
            </a:solidFill>
          </a:ln>
        </xdr:spPr>
        <xdr:style>
          <a:lnRef idx="0"/>
          <a:fillRef idx="0"/>
          <a:effectRef idx="0"/>
          <a:fontRef idx="minor"/>
        </xdr:style>
        <xdr:txBody>
          <a:bodyPr horzOverflow="clip" vertOverflow="clip" lIns="90000" rIns="90000" tIns="45000" bIns="45000" anchor="t">
            <a:noAutofit/>
          </a:bodyPr>
          <a:p>
            <a:r>
              <a:rPr b="0" lang="fr-CA" sz="1100" spc="-1" strike="noStrike">
                <a:latin typeface="Times New Roman"/>
              </a:rPr>
              <a:t>This shape represents a table slicer. Table slicers are not supported in this version of Excel.</a:t>
            </a:r>
            <a:endParaRPr b="0" lang="fr-CA" sz="1100" spc="-1" strike="noStrike">
              <a:latin typeface="Times New Roman"/>
            </a:endParaRPr>
          </a:p>
          <a:p>
            <a:endParaRPr b="0" lang="fr-CA" sz="1100" spc="-1" strike="noStrike">
              <a:latin typeface="Times New Roman"/>
            </a:endParaRPr>
          </a:p>
          <a:p>
            <a:pPr>
              <a:lnSpc>
                <a:spcPct val="100000"/>
              </a:lnSpc>
            </a:pPr>
            <a:r>
              <a:rPr b="0" lang="fr-CA" sz="1100" spc="-1" strike="noStrike">
                <a:latin typeface="Times New Roman"/>
              </a:rPr>
              <a:t>If the shape was modified in an earlier version of Excel, or if the workbook was saved in Excel 2007 or earlier, the slicer can't be used.</a:t>
            </a:r>
            <a:endParaRPr b="0" lang="fr-CA" sz="1100" spc="-1" strike="noStrike">
              <a:latin typeface="Times New Roman"/>
            </a:endParaRPr>
          </a:p>
        </xdr:txBody>
      </xdr:sp>
    </xdr:grpSp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-7480080</xdr:colOff>
      <xdr:row>107</xdr:row>
      <xdr:rowOff>37440</xdr:rowOff>
    </xdr:from>
    <xdr:to>
      <xdr:col>0</xdr:col>
      <xdr:colOff>-1299960</xdr:colOff>
      <xdr:row>129</xdr:row>
      <xdr:rowOff>86400</xdr:rowOff>
    </xdr:to>
    <xdr:grpSp>
      <xdr:nvGrpSpPr>
        <xdr:cNvPr id="152" name="Group 1"/>
        <xdr:cNvGrpSpPr/>
      </xdr:nvGrpSpPr>
      <xdr:grpSpPr>
        <a:xfrm>
          <a:off x="-7480080" y="10122480"/>
          <a:ext cx="6180120" cy="4240080"/>
          <a:chOff x="-7480080" y="10122480"/>
          <a:chExt cx="6180120" cy="4240080"/>
        </a:xfrm>
      </xdr:grpSpPr>
      <xdr:sp>
        <xdr:nvSpPr>
          <xdr:cNvPr id="153" name=""/>
          <xdr:cNvSpPr/>
        </xdr:nvSpPr>
        <xdr:spPr>
          <a:xfrm>
            <a:off x="-7480080" y="10137960"/>
            <a:ext cx="1622520" cy="4175280"/>
          </a:xfrm>
          <a:prstGeom prst="rect">
            <a:avLst/>
          </a:prstGeom>
          <a:solidFill>
            <a:srgbClr val="ffffff"/>
          </a:solidFill>
          <a:ln w="1">
            <a:solidFill>
              <a:srgbClr val="008000"/>
            </a:solidFill>
          </a:ln>
        </xdr:spPr>
        <xdr:style>
          <a:lnRef idx="0"/>
          <a:fillRef idx="0"/>
          <a:effectRef idx="0"/>
          <a:fontRef idx="minor"/>
        </xdr:style>
        <xdr:txBody>
          <a:bodyPr horzOverflow="clip" vertOverflow="clip" lIns="90000" rIns="90000" tIns="45000" bIns="45000" anchor="t">
            <a:noAutofit/>
          </a:bodyPr>
          <a:p>
            <a:r>
              <a:rPr b="0" lang="fr-CA" sz="1100" spc="-1" strike="noStrike">
                <a:latin typeface="Times New Roman"/>
              </a:rPr>
              <a:t>This shape represents a table slicer. Table slicers are not supported in this version of Excel.</a:t>
            </a:r>
            <a:endParaRPr b="0" lang="fr-CA" sz="1100" spc="-1" strike="noStrike">
              <a:latin typeface="Times New Roman"/>
            </a:endParaRPr>
          </a:p>
          <a:p>
            <a:endParaRPr b="0" lang="fr-CA" sz="1100" spc="-1" strike="noStrike">
              <a:latin typeface="Times New Roman"/>
            </a:endParaRPr>
          </a:p>
          <a:p>
            <a:pPr>
              <a:lnSpc>
                <a:spcPct val="100000"/>
              </a:lnSpc>
            </a:pPr>
            <a:r>
              <a:rPr b="0" lang="fr-CA" sz="1100" spc="-1" strike="noStrike">
                <a:latin typeface="Times New Roman"/>
              </a:rPr>
              <a:t>If the shape was modified in an earlier version of Excel, or if the workbook was saved in Excel 2007 or earlier, the slicer can't be used.</a:t>
            </a:r>
            <a:endParaRPr b="0" lang="fr-CA" sz="1100" spc="-1" strike="noStrike">
              <a:latin typeface="Times New Roman"/>
            </a:endParaRPr>
          </a:p>
        </xdr:txBody>
      </xdr:sp>
      <xdr:sp>
        <xdr:nvSpPr>
          <xdr:cNvPr id="154" name=""/>
          <xdr:cNvSpPr/>
        </xdr:nvSpPr>
        <xdr:spPr>
          <a:xfrm>
            <a:off x="-4194720" y="10159560"/>
            <a:ext cx="1922760" cy="4175280"/>
          </a:xfrm>
          <a:prstGeom prst="rect">
            <a:avLst/>
          </a:prstGeom>
          <a:solidFill>
            <a:srgbClr val="ffffff"/>
          </a:solidFill>
          <a:ln w="1">
            <a:solidFill>
              <a:srgbClr val="008000"/>
            </a:solidFill>
          </a:ln>
        </xdr:spPr>
        <xdr:style>
          <a:lnRef idx="0"/>
          <a:fillRef idx="0"/>
          <a:effectRef idx="0"/>
          <a:fontRef idx="minor"/>
        </xdr:style>
        <xdr:txBody>
          <a:bodyPr horzOverflow="clip" vertOverflow="clip" lIns="90000" rIns="90000" tIns="45000" bIns="45000" anchor="t">
            <a:noAutofit/>
          </a:bodyPr>
          <a:p>
            <a:r>
              <a:rPr b="0" lang="fr-CA" sz="1100" spc="-1" strike="noStrike">
                <a:latin typeface="Times New Roman"/>
              </a:rPr>
              <a:t>This shape represents a table slicer. Table slicers are not supported in this version of Excel.</a:t>
            </a:r>
            <a:endParaRPr b="0" lang="fr-CA" sz="1100" spc="-1" strike="noStrike">
              <a:latin typeface="Times New Roman"/>
            </a:endParaRPr>
          </a:p>
          <a:p>
            <a:endParaRPr b="0" lang="fr-CA" sz="1100" spc="-1" strike="noStrike">
              <a:latin typeface="Times New Roman"/>
            </a:endParaRPr>
          </a:p>
          <a:p>
            <a:pPr>
              <a:lnSpc>
                <a:spcPct val="100000"/>
              </a:lnSpc>
            </a:pPr>
            <a:r>
              <a:rPr b="0" lang="fr-CA" sz="1100" spc="-1" strike="noStrike">
                <a:latin typeface="Times New Roman"/>
              </a:rPr>
              <a:t>If the shape was modified in an earlier version of Excel, or if the workbook was saved in Excel 2007 or earlier, the slicer can't be used.</a:t>
            </a:r>
            <a:endParaRPr b="0" lang="fr-CA" sz="1100" spc="-1" strike="noStrike">
              <a:latin typeface="Times New Roman"/>
            </a:endParaRPr>
          </a:p>
        </xdr:txBody>
      </xdr:sp>
      <xdr:sp>
        <xdr:nvSpPr>
          <xdr:cNvPr id="155" name=""/>
          <xdr:cNvSpPr/>
        </xdr:nvSpPr>
        <xdr:spPr>
          <a:xfrm>
            <a:off x="-5747400" y="10187280"/>
            <a:ext cx="1452240" cy="4175280"/>
          </a:xfrm>
          <a:prstGeom prst="rect">
            <a:avLst/>
          </a:prstGeom>
          <a:solidFill>
            <a:srgbClr val="ffffff"/>
          </a:solidFill>
          <a:ln w="1">
            <a:solidFill>
              <a:srgbClr val="008000"/>
            </a:solidFill>
          </a:ln>
        </xdr:spPr>
        <xdr:style>
          <a:lnRef idx="0"/>
          <a:fillRef idx="0"/>
          <a:effectRef idx="0"/>
          <a:fontRef idx="minor"/>
        </xdr:style>
        <xdr:txBody>
          <a:bodyPr horzOverflow="clip" vertOverflow="clip" lIns="90000" rIns="90000" tIns="45000" bIns="45000" anchor="t">
            <a:noAutofit/>
          </a:bodyPr>
          <a:p>
            <a:r>
              <a:rPr b="0" lang="fr-CA" sz="1100" spc="-1" strike="noStrike">
                <a:latin typeface="Times New Roman"/>
              </a:rPr>
              <a:t>This shape represents a table slicer. Table slicers are not supported in this version of Excel.</a:t>
            </a:r>
            <a:endParaRPr b="0" lang="fr-CA" sz="1100" spc="-1" strike="noStrike">
              <a:latin typeface="Times New Roman"/>
            </a:endParaRPr>
          </a:p>
          <a:p>
            <a:endParaRPr b="0" lang="fr-CA" sz="1100" spc="-1" strike="noStrike">
              <a:latin typeface="Times New Roman"/>
            </a:endParaRPr>
          </a:p>
          <a:p>
            <a:pPr>
              <a:lnSpc>
                <a:spcPct val="100000"/>
              </a:lnSpc>
            </a:pPr>
            <a:r>
              <a:rPr b="0" lang="fr-CA" sz="1100" spc="-1" strike="noStrike">
                <a:latin typeface="Times New Roman"/>
              </a:rPr>
              <a:t>If the shape was modified in an earlier version of Excel, or if the workbook was saved in Excel 2007 or earlier, the slicer can't be used.</a:t>
            </a:r>
            <a:endParaRPr b="0" lang="fr-CA" sz="1100" spc="-1" strike="noStrike">
              <a:latin typeface="Times New Roman"/>
            </a:endParaRPr>
          </a:p>
        </xdr:txBody>
      </xdr:sp>
      <xdr:sp>
        <xdr:nvSpPr>
          <xdr:cNvPr id="156" name=""/>
          <xdr:cNvSpPr/>
        </xdr:nvSpPr>
        <xdr:spPr>
          <a:xfrm>
            <a:off x="-2211120" y="10122480"/>
            <a:ext cx="911160" cy="1953360"/>
          </a:xfrm>
          <a:prstGeom prst="rect">
            <a:avLst/>
          </a:prstGeom>
          <a:solidFill>
            <a:srgbClr val="ffffff"/>
          </a:solidFill>
          <a:ln w="1">
            <a:solidFill>
              <a:srgbClr val="008000"/>
            </a:solidFill>
          </a:ln>
        </xdr:spPr>
        <xdr:style>
          <a:lnRef idx="0"/>
          <a:fillRef idx="0"/>
          <a:effectRef idx="0"/>
          <a:fontRef idx="minor"/>
        </xdr:style>
        <xdr:txBody>
          <a:bodyPr horzOverflow="clip" vertOverflow="clip" lIns="90000" rIns="90000" tIns="45000" bIns="45000" anchor="t">
            <a:noAutofit/>
          </a:bodyPr>
          <a:p>
            <a:r>
              <a:rPr b="0" lang="fr-CA" sz="1100" spc="-1" strike="noStrike">
                <a:latin typeface="Times New Roman"/>
              </a:rPr>
              <a:t>This shape represents a table slicer. Table slicers are not supported in this version of Excel.</a:t>
            </a:r>
            <a:endParaRPr b="0" lang="fr-CA" sz="1100" spc="-1" strike="noStrike">
              <a:latin typeface="Times New Roman"/>
            </a:endParaRPr>
          </a:p>
          <a:p>
            <a:endParaRPr b="0" lang="fr-CA" sz="1100" spc="-1" strike="noStrike">
              <a:latin typeface="Times New Roman"/>
            </a:endParaRPr>
          </a:p>
          <a:p>
            <a:pPr>
              <a:lnSpc>
                <a:spcPct val="100000"/>
              </a:lnSpc>
            </a:pPr>
            <a:r>
              <a:rPr b="0" lang="fr-CA" sz="1100" spc="-1" strike="noStrike">
                <a:latin typeface="Times New Roman"/>
              </a:rPr>
              <a:t>If the shape was modified in an earlier version of Excel, or if the workbook was saved in Excel 2007 or earlier, the slicer can't be used.</a:t>
            </a:r>
            <a:endParaRPr b="0" lang="fr-CA" sz="1100" spc="-1" strike="noStrike">
              <a:latin typeface="Times New Roman"/>
            </a:endParaRPr>
          </a:p>
        </xdr:txBody>
      </xdr:sp>
    </xdr:grpSp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-7076880</xdr:colOff>
      <xdr:row>123</xdr:row>
      <xdr:rowOff>119880</xdr:rowOff>
    </xdr:from>
    <xdr:to>
      <xdr:col>0</xdr:col>
      <xdr:colOff>-1180800</xdr:colOff>
      <xdr:row>145</xdr:row>
      <xdr:rowOff>169200</xdr:rowOff>
    </xdr:to>
    <xdr:grpSp>
      <xdr:nvGrpSpPr>
        <xdr:cNvPr id="157" name="Group 1"/>
        <xdr:cNvGrpSpPr/>
      </xdr:nvGrpSpPr>
      <xdr:grpSpPr>
        <a:xfrm>
          <a:off x="-7076880" y="19920600"/>
          <a:ext cx="5896080" cy="4240080"/>
          <a:chOff x="-7076880" y="19920600"/>
          <a:chExt cx="5896080" cy="4240080"/>
        </a:xfrm>
      </xdr:grpSpPr>
      <xdr:sp>
        <xdr:nvSpPr>
          <xdr:cNvPr id="158" name=""/>
          <xdr:cNvSpPr/>
        </xdr:nvSpPr>
        <xdr:spPr>
          <a:xfrm>
            <a:off x="-7076880" y="19936080"/>
            <a:ext cx="1547640" cy="4175280"/>
          </a:xfrm>
          <a:prstGeom prst="rect">
            <a:avLst/>
          </a:prstGeom>
          <a:solidFill>
            <a:srgbClr val="ffffff"/>
          </a:solidFill>
          <a:ln w="1">
            <a:solidFill>
              <a:srgbClr val="008000"/>
            </a:solidFill>
          </a:ln>
        </xdr:spPr>
        <xdr:style>
          <a:lnRef idx="0"/>
          <a:fillRef idx="0"/>
          <a:effectRef idx="0"/>
          <a:fontRef idx="minor"/>
        </xdr:style>
        <xdr:txBody>
          <a:bodyPr horzOverflow="clip" vertOverflow="clip" lIns="90000" rIns="90000" tIns="45000" bIns="45000" anchor="t">
            <a:noAutofit/>
          </a:bodyPr>
          <a:p>
            <a:r>
              <a:rPr b="0" lang="fr-CA" sz="1100" spc="-1" strike="noStrike">
                <a:latin typeface="Times New Roman"/>
              </a:rPr>
              <a:t>This shape represents a table slicer. Table slicers are not supported in this version of Excel.</a:t>
            </a:r>
            <a:endParaRPr b="0" lang="fr-CA" sz="1100" spc="-1" strike="noStrike">
              <a:latin typeface="Times New Roman"/>
            </a:endParaRPr>
          </a:p>
          <a:p>
            <a:endParaRPr b="0" lang="fr-CA" sz="1100" spc="-1" strike="noStrike">
              <a:latin typeface="Times New Roman"/>
            </a:endParaRPr>
          </a:p>
          <a:p>
            <a:pPr>
              <a:lnSpc>
                <a:spcPct val="100000"/>
              </a:lnSpc>
            </a:pPr>
            <a:r>
              <a:rPr b="0" lang="fr-CA" sz="1100" spc="-1" strike="noStrike">
                <a:latin typeface="Times New Roman"/>
              </a:rPr>
              <a:t>If the shape was modified in an earlier version of Excel, or if the workbook was saved in Excel 2007 or earlier, the slicer can't be used.</a:t>
            </a:r>
            <a:endParaRPr b="0" lang="fr-CA" sz="1100" spc="-1" strike="noStrike">
              <a:latin typeface="Times New Roman"/>
            </a:endParaRPr>
          </a:p>
        </xdr:txBody>
      </xdr:sp>
      <xdr:sp>
        <xdr:nvSpPr>
          <xdr:cNvPr id="159" name=""/>
          <xdr:cNvSpPr/>
        </xdr:nvSpPr>
        <xdr:spPr>
          <a:xfrm>
            <a:off x="-3942360" y="19958040"/>
            <a:ext cx="1834560" cy="4175280"/>
          </a:xfrm>
          <a:prstGeom prst="rect">
            <a:avLst/>
          </a:prstGeom>
          <a:solidFill>
            <a:srgbClr val="ffffff"/>
          </a:solidFill>
          <a:ln w="1">
            <a:solidFill>
              <a:srgbClr val="008000"/>
            </a:solidFill>
          </a:ln>
        </xdr:spPr>
        <xdr:style>
          <a:lnRef idx="0"/>
          <a:fillRef idx="0"/>
          <a:effectRef idx="0"/>
          <a:fontRef idx="minor"/>
        </xdr:style>
        <xdr:txBody>
          <a:bodyPr horzOverflow="clip" vertOverflow="clip" lIns="90000" rIns="90000" tIns="45000" bIns="45000" anchor="t">
            <a:noAutofit/>
          </a:bodyPr>
          <a:p>
            <a:r>
              <a:rPr b="0" lang="fr-CA" sz="1100" spc="-1" strike="noStrike">
                <a:latin typeface="Times New Roman"/>
              </a:rPr>
              <a:t>This shape represents a table slicer. Table slicers are not supported in this version of Excel.</a:t>
            </a:r>
            <a:endParaRPr b="0" lang="fr-CA" sz="1100" spc="-1" strike="noStrike">
              <a:latin typeface="Times New Roman"/>
            </a:endParaRPr>
          </a:p>
          <a:p>
            <a:endParaRPr b="0" lang="fr-CA" sz="1100" spc="-1" strike="noStrike">
              <a:latin typeface="Times New Roman"/>
            </a:endParaRPr>
          </a:p>
          <a:p>
            <a:pPr>
              <a:lnSpc>
                <a:spcPct val="100000"/>
              </a:lnSpc>
            </a:pPr>
            <a:r>
              <a:rPr b="0" lang="fr-CA" sz="1100" spc="-1" strike="noStrike">
                <a:latin typeface="Times New Roman"/>
              </a:rPr>
              <a:t>If the shape was modified in an earlier version of Excel, or if the workbook was saved in Excel 2007 or earlier, the slicer can't be used.</a:t>
            </a:r>
            <a:endParaRPr b="0" lang="fr-CA" sz="1100" spc="-1" strike="noStrike">
              <a:latin typeface="Times New Roman"/>
            </a:endParaRPr>
          </a:p>
        </xdr:txBody>
      </xdr:sp>
      <xdr:sp>
        <xdr:nvSpPr>
          <xdr:cNvPr id="160" name=""/>
          <xdr:cNvSpPr/>
        </xdr:nvSpPr>
        <xdr:spPr>
          <a:xfrm>
            <a:off x="-5423760" y="19985400"/>
            <a:ext cx="1385280" cy="4175280"/>
          </a:xfrm>
          <a:prstGeom prst="rect">
            <a:avLst/>
          </a:prstGeom>
          <a:solidFill>
            <a:srgbClr val="ffffff"/>
          </a:solidFill>
          <a:ln w="1">
            <a:solidFill>
              <a:srgbClr val="008000"/>
            </a:solidFill>
          </a:ln>
        </xdr:spPr>
        <xdr:style>
          <a:lnRef idx="0"/>
          <a:fillRef idx="0"/>
          <a:effectRef idx="0"/>
          <a:fontRef idx="minor"/>
        </xdr:style>
        <xdr:txBody>
          <a:bodyPr horzOverflow="clip" vertOverflow="clip" lIns="90000" rIns="90000" tIns="45000" bIns="45000" anchor="t">
            <a:noAutofit/>
          </a:bodyPr>
          <a:p>
            <a:r>
              <a:rPr b="0" lang="fr-CA" sz="1100" spc="-1" strike="noStrike">
                <a:latin typeface="Times New Roman"/>
              </a:rPr>
              <a:t>This shape represents a table slicer. Table slicers are not supported in this version of Excel.</a:t>
            </a:r>
            <a:endParaRPr b="0" lang="fr-CA" sz="1100" spc="-1" strike="noStrike">
              <a:latin typeface="Times New Roman"/>
            </a:endParaRPr>
          </a:p>
          <a:p>
            <a:endParaRPr b="0" lang="fr-CA" sz="1100" spc="-1" strike="noStrike">
              <a:latin typeface="Times New Roman"/>
            </a:endParaRPr>
          </a:p>
          <a:p>
            <a:pPr>
              <a:lnSpc>
                <a:spcPct val="100000"/>
              </a:lnSpc>
            </a:pPr>
            <a:r>
              <a:rPr b="0" lang="fr-CA" sz="1100" spc="-1" strike="noStrike">
                <a:latin typeface="Times New Roman"/>
              </a:rPr>
              <a:t>If the shape was modified in an earlier version of Excel, or if the workbook was saved in Excel 2007 or earlier, the slicer can't be used.</a:t>
            </a:r>
            <a:endParaRPr b="0" lang="fr-CA" sz="1100" spc="-1" strike="noStrike">
              <a:latin typeface="Times New Roman"/>
            </a:endParaRPr>
          </a:p>
        </xdr:txBody>
      </xdr:sp>
      <xdr:sp>
        <xdr:nvSpPr>
          <xdr:cNvPr id="161" name=""/>
          <xdr:cNvSpPr/>
        </xdr:nvSpPr>
        <xdr:spPr>
          <a:xfrm>
            <a:off x="-2050200" y="19920600"/>
            <a:ext cx="869400" cy="1953360"/>
          </a:xfrm>
          <a:prstGeom prst="rect">
            <a:avLst/>
          </a:prstGeom>
          <a:solidFill>
            <a:srgbClr val="ffffff"/>
          </a:solidFill>
          <a:ln w="1">
            <a:solidFill>
              <a:srgbClr val="008000"/>
            </a:solidFill>
          </a:ln>
        </xdr:spPr>
        <xdr:style>
          <a:lnRef idx="0"/>
          <a:fillRef idx="0"/>
          <a:effectRef idx="0"/>
          <a:fontRef idx="minor"/>
        </xdr:style>
        <xdr:txBody>
          <a:bodyPr horzOverflow="clip" vertOverflow="clip" lIns="90000" rIns="90000" tIns="45000" bIns="45000" anchor="t">
            <a:noAutofit/>
          </a:bodyPr>
          <a:p>
            <a:r>
              <a:rPr b="0" lang="fr-CA" sz="1100" spc="-1" strike="noStrike">
                <a:latin typeface="Times New Roman"/>
              </a:rPr>
              <a:t>This shape represents a table slicer. Table slicers are not supported in this version of Excel.</a:t>
            </a:r>
            <a:endParaRPr b="0" lang="fr-CA" sz="1100" spc="-1" strike="noStrike">
              <a:latin typeface="Times New Roman"/>
            </a:endParaRPr>
          </a:p>
          <a:p>
            <a:endParaRPr b="0" lang="fr-CA" sz="1100" spc="-1" strike="noStrike">
              <a:latin typeface="Times New Roman"/>
            </a:endParaRPr>
          </a:p>
          <a:p>
            <a:pPr>
              <a:lnSpc>
                <a:spcPct val="100000"/>
              </a:lnSpc>
            </a:pPr>
            <a:r>
              <a:rPr b="0" lang="fr-CA" sz="1100" spc="-1" strike="noStrike">
                <a:latin typeface="Times New Roman"/>
              </a:rPr>
              <a:t>If the shape was modified in an earlier version of Excel, or if the workbook was saved in Excel 2007 or earlier, the slicer can't be used.</a:t>
            </a:r>
            <a:endParaRPr b="0" lang="fr-CA" sz="1100" spc="-1" strike="noStrike">
              <a:latin typeface="Times New Roman"/>
            </a:endParaRPr>
          </a:p>
        </xdr:txBody>
      </xdr:sp>
    </xdr:grpSp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-6618240</xdr:colOff>
      <xdr:row>127</xdr:row>
      <xdr:rowOff>147960</xdr:rowOff>
    </xdr:from>
    <xdr:to>
      <xdr:col>0</xdr:col>
      <xdr:colOff>-1045440</xdr:colOff>
      <xdr:row>150</xdr:row>
      <xdr:rowOff>6480</xdr:rowOff>
    </xdr:to>
    <xdr:grpSp>
      <xdr:nvGrpSpPr>
        <xdr:cNvPr id="162" name="Group 1"/>
        <xdr:cNvGrpSpPr/>
      </xdr:nvGrpSpPr>
      <xdr:grpSpPr>
        <a:xfrm>
          <a:off x="-6618240" y="20710440"/>
          <a:ext cx="5572800" cy="4240080"/>
          <a:chOff x="-6618240" y="20710440"/>
          <a:chExt cx="5572800" cy="4240080"/>
        </a:xfrm>
      </xdr:grpSpPr>
      <xdr:sp>
        <xdr:nvSpPr>
          <xdr:cNvPr id="163" name=""/>
          <xdr:cNvSpPr/>
        </xdr:nvSpPr>
        <xdr:spPr>
          <a:xfrm>
            <a:off x="-6618240" y="20725920"/>
            <a:ext cx="1463040" cy="4175280"/>
          </a:xfrm>
          <a:prstGeom prst="rect">
            <a:avLst/>
          </a:prstGeom>
          <a:solidFill>
            <a:srgbClr val="ffffff"/>
          </a:solidFill>
          <a:ln w="1">
            <a:solidFill>
              <a:srgbClr val="008000"/>
            </a:solidFill>
          </a:ln>
        </xdr:spPr>
        <xdr:style>
          <a:lnRef idx="0"/>
          <a:fillRef idx="0"/>
          <a:effectRef idx="0"/>
          <a:fontRef idx="minor"/>
        </xdr:style>
        <xdr:txBody>
          <a:bodyPr horzOverflow="clip" vertOverflow="clip" lIns="90000" rIns="90000" tIns="45000" bIns="45000" anchor="t">
            <a:noAutofit/>
          </a:bodyPr>
          <a:p>
            <a:r>
              <a:rPr b="0" lang="fr-CA" sz="1100" spc="-1" strike="noStrike">
                <a:latin typeface="Times New Roman"/>
              </a:rPr>
              <a:t>This shape represents a table slicer. Table slicers are not supported in this version of Excel.</a:t>
            </a:r>
            <a:endParaRPr b="0" lang="fr-CA" sz="1100" spc="-1" strike="noStrike">
              <a:latin typeface="Times New Roman"/>
            </a:endParaRPr>
          </a:p>
          <a:p>
            <a:endParaRPr b="0" lang="fr-CA" sz="1100" spc="-1" strike="noStrike">
              <a:latin typeface="Times New Roman"/>
            </a:endParaRPr>
          </a:p>
          <a:p>
            <a:pPr>
              <a:lnSpc>
                <a:spcPct val="100000"/>
              </a:lnSpc>
            </a:pPr>
            <a:r>
              <a:rPr b="0" lang="fr-CA" sz="1100" spc="-1" strike="noStrike">
                <a:latin typeface="Times New Roman"/>
              </a:rPr>
              <a:t>If the shape was modified in an earlier version of Excel, or if the workbook was saved in Excel 2007 or earlier, the slicer can't be used.</a:t>
            </a:r>
            <a:endParaRPr b="0" lang="fr-CA" sz="1100" spc="-1" strike="noStrike">
              <a:latin typeface="Times New Roman"/>
            </a:endParaRPr>
          </a:p>
        </xdr:txBody>
      </xdr:sp>
      <xdr:sp>
        <xdr:nvSpPr>
          <xdr:cNvPr id="164" name=""/>
          <xdr:cNvSpPr/>
        </xdr:nvSpPr>
        <xdr:spPr>
          <a:xfrm>
            <a:off x="-3655440" y="20747520"/>
            <a:ext cx="1733760" cy="4175280"/>
          </a:xfrm>
          <a:prstGeom prst="rect">
            <a:avLst/>
          </a:prstGeom>
          <a:solidFill>
            <a:srgbClr val="ffffff"/>
          </a:solidFill>
          <a:ln w="1">
            <a:solidFill>
              <a:srgbClr val="008000"/>
            </a:solidFill>
          </a:ln>
        </xdr:spPr>
        <xdr:style>
          <a:lnRef idx="0"/>
          <a:fillRef idx="0"/>
          <a:effectRef idx="0"/>
          <a:fontRef idx="minor"/>
        </xdr:style>
        <xdr:txBody>
          <a:bodyPr horzOverflow="clip" vertOverflow="clip" lIns="90000" rIns="90000" tIns="45000" bIns="45000" anchor="t">
            <a:noAutofit/>
          </a:bodyPr>
          <a:p>
            <a:r>
              <a:rPr b="0" lang="fr-CA" sz="1100" spc="-1" strike="noStrike">
                <a:latin typeface="Times New Roman"/>
              </a:rPr>
              <a:t>This shape represents a table slicer. Table slicers are not supported in this version of Excel.</a:t>
            </a:r>
            <a:endParaRPr b="0" lang="fr-CA" sz="1100" spc="-1" strike="noStrike">
              <a:latin typeface="Times New Roman"/>
            </a:endParaRPr>
          </a:p>
          <a:p>
            <a:endParaRPr b="0" lang="fr-CA" sz="1100" spc="-1" strike="noStrike">
              <a:latin typeface="Times New Roman"/>
            </a:endParaRPr>
          </a:p>
          <a:p>
            <a:pPr>
              <a:lnSpc>
                <a:spcPct val="100000"/>
              </a:lnSpc>
            </a:pPr>
            <a:r>
              <a:rPr b="0" lang="fr-CA" sz="1100" spc="-1" strike="noStrike">
                <a:latin typeface="Times New Roman"/>
              </a:rPr>
              <a:t>If the shape was modified in an earlier version of Excel, or if the workbook was saved in Excel 2007 or earlier, the slicer can't be used.</a:t>
            </a:r>
            <a:endParaRPr b="0" lang="fr-CA" sz="1100" spc="-1" strike="noStrike">
              <a:latin typeface="Times New Roman"/>
            </a:endParaRPr>
          </a:p>
        </xdr:txBody>
      </xdr:sp>
      <xdr:sp>
        <xdr:nvSpPr>
          <xdr:cNvPr id="165" name=""/>
          <xdr:cNvSpPr/>
        </xdr:nvSpPr>
        <xdr:spPr>
          <a:xfrm>
            <a:off x="-5055480" y="20775240"/>
            <a:ext cx="1309320" cy="4175280"/>
          </a:xfrm>
          <a:prstGeom prst="rect">
            <a:avLst/>
          </a:prstGeom>
          <a:solidFill>
            <a:srgbClr val="ffffff"/>
          </a:solidFill>
          <a:ln w="1">
            <a:solidFill>
              <a:srgbClr val="008000"/>
            </a:solidFill>
          </a:ln>
        </xdr:spPr>
        <xdr:style>
          <a:lnRef idx="0"/>
          <a:fillRef idx="0"/>
          <a:effectRef idx="0"/>
          <a:fontRef idx="minor"/>
        </xdr:style>
        <xdr:txBody>
          <a:bodyPr horzOverflow="clip" vertOverflow="clip" lIns="90000" rIns="90000" tIns="45000" bIns="45000" anchor="t">
            <a:noAutofit/>
          </a:bodyPr>
          <a:p>
            <a:r>
              <a:rPr b="0" lang="fr-CA" sz="1100" spc="-1" strike="noStrike">
                <a:latin typeface="Times New Roman"/>
              </a:rPr>
              <a:t>This shape represents a table slicer. Table slicers are not supported in this version of Excel.</a:t>
            </a:r>
            <a:endParaRPr b="0" lang="fr-CA" sz="1100" spc="-1" strike="noStrike">
              <a:latin typeface="Times New Roman"/>
            </a:endParaRPr>
          </a:p>
          <a:p>
            <a:endParaRPr b="0" lang="fr-CA" sz="1100" spc="-1" strike="noStrike">
              <a:latin typeface="Times New Roman"/>
            </a:endParaRPr>
          </a:p>
          <a:p>
            <a:pPr>
              <a:lnSpc>
                <a:spcPct val="100000"/>
              </a:lnSpc>
            </a:pPr>
            <a:r>
              <a:rPr b="0" lang="fr-CA" sz="1100" spc="-1" strike="noStrike">
                <a:latin typeface="Times New Roman"/>
              </a:rPr>
              <a:t>If the shape was modified in an earlier version of Excel, or if the workbook was saved in Excel 2007 or earlier, the slicer can't be used.</a:t>
            </a:r>
            <a:endParaRPr b="0" lang="fr-CA" sz="1100" spc="-1" strike="noStrike">
              <a:latin typeface="Times New Roman"/>
            </a:endParaRPr>
          </a:p>
        </xdr:txBody>
      </xdr:sp>
      <xdr:sp>
        <xdr:nvSpPr>
          <xdr:cNvPr id="166" name=""/>
          <xdr:cNvSpPr/>
        </xdr:nvSpPr>
        <xdr:spPr>
          <a:xfrm>
            <a:off x="-1866960" y="20710440"/>
            <a:ext cx="821520" cy="1953360"/>
          </a:xfrm>
          <a:prstGeom prst="rect">
            <a:avLst/>
          </a:prstGeom>
          <a:solidFill>
            <a:srgbClr val="ffffff"/>
          </a:solidFill>
          <a:ln w="1">
            <a:solidFill>
              <a:srgbClr val="008000"/>
            </a:solidFill>
          </a:ln>
        </xdr:spPr>
        <xdr:style>
          <a:lnRef idx="0"/>
          <a:fillRef idx="0"/>
          <a:effectRef idx="0"/>
          <a:fontRef idx="minor"/>
        </xdr:style>
        <xdr:txBody>
          <a:bodyPr horzOverflow="clip" vertOverflow="clip" lIns="90000" rIns="90000" tIns="45000" bIns="45000" anchor="t">
            <a:noAutofit/>
          </a:bodyPr>
          <a:p>
            <a:r>
              <a:rPr b="0" lang="fr-CA" sz="1100" spc="-1" strike="noStrike">
                <a:latin typeface="Times New Roman"/>
              </a:rPr>
              <a:t>This shape represents a table slicer. Table slicers are not supported in this version of Excel.</a:t>
            </a:r>
            <a:endParaRPr b="0" lang="fr-CA" sz="1100" spc="-1" strike="noStrike">
              <a:latin typeface="Times New Roman"/>
            </a:endParaRPr>
          </a:p>
          <a:p>
            <a:endParaRPr b="0" lang="fr-CA" sz="1100" spc="-1" strike="noStrike">
              <a:latin typeface="Times New Roman"/>
            </a:endParaRPr>
          </a:p>
          <a:p>
            <a:pPr>
              <a:lnSpc>
                <a:spcPct val="100000"/>
              </a:lnSpc>
            </a:pPr>
            <a:r>
              <a:rPr b="0" lang="fr-CA" sz="1100" spc="-1" strike="noStrike">
                <a:latin typeface="Times New Roman"/>
              </a:rPr>
              <a:t>If the shape was modified in an earlier version of Excel, or if the workbook was saved in Excel 2007 or earlier, the slicer can't be used.</a:t>
            </a:r>
            <a:endParaRPr b="0" lang="fr-CA" sz="1100" spc="-1" strike="noStrike">
              <a:latin typeface="Times New Roman"/>
            </a:endParaRPr>
          </a:p>
        </xdr:txBody>
      </xdr:sp>
    </xdr:grpSp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-7076880</xdr:colOff>
      <xdr:row>135</xdr:row>
      <xdr:rowOff>12240</xdr:rowOff>
    </xdr:from>
    <xdr:to>
      <xdr:col>0</xdr:col>
      <xdr:colOff>-1180800</xdr:colOff>
      <xdr:row>157</xdr:row>
      <xdr:rowOff>61560</xdr:rowOff>
    </xdr:to>
    <xdr:grpSp>
      <xdr:nvGrpSpPr>
        <xdr:cNvPr id="167" name="Group 1"/>
        <xdr:cNvGrpSpPr/>
      </xdr:nvGrpSpPr>
      <xdr:grpSpPr>
        <a:xfrm>
          <a:off x="-7076880" y="22098960"/>
          <a:ext cx="5896080" cy="4240080"/>
          <a:chOff x="-7076880" y="22098960"/>
          <a:chExt cx="5896080" cy="4240080"/>
        </a:xfrm>
      </xdr:grpSpPr>
      <xdr:sp>
        <xdr:nvSpPr>
          <xdr:cNvPr id="168" name=""/>
          <xdr:cNvSpPr/>
        </xdr:nvSpPr>
        <xdr:spPr>
          <a:xfrm>
            <a:off x="-7076880" y="22114440"/>
            <a:ext cx="1547640" cy="4175280"/>
          </a:xfrm>
          <a:prstGeom prst="rect">
            <a:avLst/>
          </a:prstGeom>
          <a:solidFill>
            <a:srgbClr val="ffffff"/>
          </a:solidFill>
          <a:ln w="1">
            <a:solidFill>
              <a:srgbClr val="008000"/>
            </a:solidFill>
          </a:ln>
        </xdr:spPr>
        <xdr:style>
          <a:lnRef idx="0"/>
          <a:fillRef idx="0"/>
          <a:effectRef idx="0"/>
          <a:fontRef idx="minor"/>
        </xdr:style>
        <xdr:txBody>
          <a:bodyPr horzOverflow="clip" vertOverflow="clip" lIns="90000" rIns="90000" tIns="45000" bIns="45000" anchor="t">
            <a:noAutofit/>
          </a:bodyPr>
          <a:p>
            <a:r>
              <a:rPr b="0" lang="fr-CA" sz="1100" spc="-1" strike="noStrike">
                <a:latin typeface="Times New Roman"/>
              </a:rPr>
              <a:t>This shape represents a table slicer. Table slicers are not supported in this version of Excel.</a:t>
            </a:r>
            <a:endParaRPr b="0" lang="fr-CA" sz="1100" spc="-1" strike="noStrike">
              <a:latin typeface="Times New Roman"/>
            </a:endParaRPr>
          </a:p>
          <a:p>
            <a:endParaRPr b="0" lang="fr-CA" sz="1100" spc="-1" strike="noStrike">
              <a:latin typeface="Times New Roman"/>
            </a:endParaRPr>
          </a:p>
          <a:p>
            <a:pPr>
              <a:lnSpc>
                <a:spcPct val="100000"/>
              </a:lnSpc>
            </a:pPr>
            <a:r>
              <a:rPr b="0" lang="fr-CA" sz="1100" spc="-1" strike="noStrike">
                <a:latin typeface="Times New Roman"/>
              </a:rPr>
              <a:t>If the shape was modified in an earlier version of Excel, or if the workbook was saved in Excel 2007 or earlier, the slicer can't be used.</a:t>
            </a:r>
            <a:endParaRPr b="0" lang="fr-CA" sz="1100" spc="-1" strike="noStrike">
              <a:latin typeface="Times New Roman"/>
            </a:endParaRPr>
          </a:p>
        </xdr:txBody>
      </xdr:sp>
      <xdr:sp>
        <xdr:nvSpPr>
          <xdr:cNvPr id="169" name=""/>
          <xdr:cNvSpPr/>
        </xdr:nvSpPr>
        <xdr:spPr>
          <a:xfrm>
            <a:off x="-3942360" y="22136040"/>
            <a:ext cx="1834560" cy="4175280"/>
          </a:xfrm>
          <a:prstGeom prst="rect">
            <a:avLst/>
          </a:prstGeom>
          <a:solidFill>
            <a:srgbClr val="ffffff"/>
          </a:solidFill>
          <a:ln w="1">
            <a:solidFill>
              <a:srgbClr val="008000"/>
            </a:solidFill>
          </a:ln>
        </xdr:spPr>
        <xdr:style>
          <a:lnRef idx="0"/>
          <a:fillRef idx="0"/>
          <a:effectRef idx="0"/>
          <a:fontRef idx="minor"/>
        </xdr:style>
        <xdr:txBody>
          <a:bodyPr horzOverflow="clip" vertOverflow="clip" lIns="90000" rIns="90000" tIns="45000" bIns="45000" anchor="t">
            <a:noAutofit/>
          </a:bodyPr>
          <a:p>
            <a:r>
              <a:rPr b="0" lang="fr-CA" sz="1100" spc="-1" strike="noStrike">
                <a:latin typeface="Times New Roman"/>
              </a:rPr>
              <a:t>This shape represents a table slicer. Table slicers are not supported in this version of Excel.</a:t>
            </a:r>
            <a:endParaRPr b="0" lang="fr-CA" sz="1100" spc="-1" strike="noStrike">
              <a:latin typeface="Times New Roman"/>
            </a:endParaRPr>
          </a:p>
          <a:p>
            <a:endParaRPr b="0" lang="fr-CA" sz="1100" spc="-1" strike="noStrike">
              <a:latin typeface="Times New Roman"/>
            </a:endParaRPr>
          </a:p>
          <a:p>
            <a:pPr>
              <a:lnSpc>
                <a:spcPct val="100000"/>
              </a:lnSpc>
            </a:pPr>
            <a:r>
              <a:rPr b="0" lang="fr-CA" sz="1100" spc="-1" strike="noStrike">
                <a:latin typeface="Times New Roman"/>
              </a:rPr>
              <a:t>If the shape was modified in an earlier version of Excel, or if the workbook was saved in Excel 2007 or earlier, the slicer can't be used.</a:t>
            </a:r>
            <a:endParaRPr b="0" lang="fr-CA" sz="1100" spc="-1" strike="noStrike">
              <a:latin typeface="Times New Roman"/>
            </a:endParaRPr>
          </a:p>
        </xdr:txBody>
      </xdr:sp>
      <xdr:sp>
        <xdr:nvSpPr>
          <xdr:cNvPr id="170" name=""/>
          <xdr:cNvSpPr/>
        </xdr:nvSpPr>
        <xdr:spPr>
          <a:xfrm>
            <a:off x="-5423760" y="22163760"/>
            <a:ext cx="1385280" cy="4175280"/>
          </a:xfrm>
          <a:prstGeom prst="rect">
            <a:avLst/>
          </a:prstGeom>
          <a:solidFill>
            <a:srgbClr val="ffffff"/>
          </a:solidFill>
          <a:ln w="1">
            <a:solidFill>
              <a:srgbClr val="008000"/>
            </a:solidFill>
          </a:ln>
        </xdr:spPr>
        <xdr:style>
          <a:lnRef idx="0"/>
          <a:fillRef idx="0"/>
          <a:effectRef idx="0"/>
          <a:fontRef idx="minor"/>
        </xdr:style>
        <xdr:txBody>
          <a:bodyPr horzOverflow="clip" vertOverflow="clip" lIns="90000" rIns="90000" tIns="45000" bIns="45000" anchor="t">
            <a:noAutofit/>
          </a:bodyPr>
          <a:p>
            <a:r>
              <a:rPr b="0" lang="fr-CA" sz="1100" spc="-1" strike="noStrike">
                <a:latin typeface="Times New Roman"/>
              </a:rPr>
              <a:t>This shape represents a table slicer. Table slicers are not supported in this version of Excel.</a:t>
            </a:r>
            <a:endParaRPr b="0" lang="fr-CA" sz="1100" spc="-1" strike="noStrike">
              <a:latin typeface="Times New Roman"/>
            </a:endParaRPr>
          </a:p>
          <a:p>
            <a:endParaRPr b="0" lang="fr-CA" sz="1100" spc="-1" strike="noStrike">
              <a:latin typeface="Times New Roman"/>
            </a:endParaRPr>
          </a:p>
          <a:p>
            <a:pPr>
              <a:lnSpc>
                <a:spcPct val="100000"/>
              </a:lnSpc>
            </a:pPr>
            <a:r>
              <a:rPr b="0" lang="fr-CA" sz="1100" spc="-1" strike="noStrike">
                <a:latin typeface="Times New Roman"/>
              </a:rPr>
              <a:t>If the shape was modified in an earlier version of Excel, or if the workbook was saved in Excel 2007 or earlier, the slicer can't be used.</a:t>
            </a:r>
            <a:endParaRPr b="0" lang="fr-CA" sz="1100" spc="-1" strike="noStrike">
              <a:latin typeface="Times New Roman"/>
            </a:endParaRPr>
          </a:p>
        </xdr:txBody>
      </xdr:sp>
      <xdr:sp>
        <xdr:nvSpPr>
          <xdr:cNvPr id="171" name=""/>
          <xdr:cNvSpPr/>
        </xdr:nvSpPr>
        <xdr:spPr>
          <a:xfrm>
            <a:off x="-2050200" y="22098960"/>
            <a:ext cx="869400" cy="1953360"/>
          </a:xfrm>
          <a:prstGeom prst="rect">
            <a:avLst/>
          </a:prstGeom>
          <a:solidFill>
            <a:srgbClr val="ffffff"/>
          </a:solidFill>
          <a:ln w="1">
            <a:solidFill>
              <a:srgbClr val="008000"/>
            </a:solidFill>
          </a:ln>
        </xdr:spPr>
        <xdr:style>
          <a:lnRef idx="0"/>
          <a:fillRef idx="0"/>
          <a:effectRef idx="0"/>
          <a:fontRef idx="minor"/>
        </xdr:style>
        <xdr:txBody>
          <a:bodyPr horzOverflow="clip" vertOverflow="clip" lIns="90000" rIns="90000" tIns="45000" bIns="45000" anchor="t">
            <a:noAutofit/>
          </a:bodyPr>
          <a:p>
            <a:r>
              <a:rPr b="0" lang="fr-CA" sz="1100" spc="-1" strike="noStrike">
                <a:latin typeface="Times New Roman"/>
              </a:rPr>
              <a:t>This shape represents a table slicer. Table slicers are not supported in this version of Excel.</a:t>
            </a:r>
            <a:endParaRPr b="0" lang="fr-CA" sz="1100" spc="-1" strike="noStrike">
              <a:latin typeface="Times New Roman"/>
            </a:endParaRPr>
          </a:p>
          <a:p>
            <a:endParaRPr b="0" lang="fr-CA" sz="1100" spc="-1" strike="noStrike">
              <a:latin typeface="Times New Roman"/>
            </a:endParaRPr>
          </a:p>
          <a:p>
            <a:pPr>
              <a:lnSpc>
                <a:spcPct val="100000"/>
              </a:lnSpc>
            </a:pPr>
            <a:r>
              <a:rPr b="0" lang="fr-CA" sz="1100" spc="-1" strike="noStrike">
                <a:latin typeface="Times New Roman"/>
              </a:rPr>
              <a:t>If the shape was modified in an earlier version of Excel, or if the workbook was saved in Excel 2007 or earlier, the slicer can't be used.</a:t>
            </a:r>
            <a:endParaRPr b="0" lang="fr-CA" sz="1100" spc="-1" strike="noStrike">
              <a:latin typeface="Times New Roman"/>
            </a:endParaRPr>
          </a:p>
        </xdr:txBody>
      </xdr:sp>
    </xdr:grpSp>
    <xdr:clientData/>
  </xdr:twoCellAnchor>
</xdr:wsDr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-7076880</xdr:colOff>
      <xdr:row>120</xdr:row>
      <xdr:rowOff>37440</xdr:rowOff>
    </xdr:from>
    <xdr:to>
      <xdr:col>0</xdr:col>
      <xdr:colOff>-1347840</xdr:colOff>
      <xdr:row>142</xdr:row>
      <xdr:rowOff>86040</xdr:rowOff>
    </xdr:to>
    <xdr:grpSp>
      <xdr:nvGrpSpPr>
        <xdr:cNvPr id="172" name="Group 1"/>
        <xdr:cNvGrpSpPr/>
      </xdr:nvGrpSpPr>
      <xdr:grpSpPr>
        <a:xfrm>
          <a:off x="-7076880" y="19266480"/>
          <a:ext cx="5729040" cy="4239720"/>
          <a:chOff x="-7076880" y="19266480"/>
          <a:chExt cx="5729040" cy="4239720"/>
        </a:xfrm>
      </xdr:grpSpPr>
      <xdr:sp>
        <xdr:nvSpPr>
          <xdr:cNvPr id="173" name=""/>
          <xdr:cNvSpPr/>
        </xdr:nvSpPr>
        <xdr:spPr>
          <a:xfrm>
            <a:off x="-7076880" y="19281960"/>
            <a:ext cx="1504080" cy="4174920"/>
          </a:xfrm>
          <a:prstGeom prst="rect">
            <a:avLst/>
          </a:prstGeom>
          <a:solidFill>
            <a:srgbClr val="ffffff"/>
          </a:solidFill>
          <a:ln w="1">
            <a:solidFill>
              <a:srgbClr val="008000"/>
            </a:solidFill>
          </a:ln>
        </xdr:spPr>
        <xdr:style>
          <a:lnRef idx="0"/>
          <a:fillRef idx="0"/>
          <a:effectRef idx="0"/>
          <a:fontRef idx="minor"/>
        </xdr:style>
        <xdr:txBody>
          <a:bodyPr horzOverflow="clip" vertOverflow="clip" lIns="90000" rIns="90000" tIns="45000" bIns="45000" anchor="t">
            <a:noAutofit/>
          </a:bodyPr>
          <a:p>
            <a:r>
              <a:rPr b="0" lang="fr-CA" sz="1100" spc="-1" strike="noStrike">
                <a:latin typeface="Times New Roman"/>
              </a:rPr>
              <a:t>This shape represents a table slicer. Table slicers are not supported in this version of Excel.</a:t>
            </a:r>
            <a:endParaRPr b="0" lang="fr-CA" sz="1100" spc="-1" strike="noStrike">
              <a:latin typeface="Times New Roman"/>
            </a:endParaRPr>
          </a:p>
          <a:p>
            <a:endParaRPr b="0" lang="fr-CA" sz="1100" spc="-1" strike="noStrike">
              <a:latin typeface="Times New Roman"/>
            </a:endParaRPr>
          </a:p>
          <a:p>
            <a:pPr>
              <a:lnSpc>
                <a:spcPct val="100000"/>
              </a:lnSpc>
            </a:pPr>
            <a:r>
              <a:rPr b="0" lang="fr-CA" sz="1100" spc="-1" strike="noStrike">
                <a:latin typeface="Times New Roman"/>
              </a:rPr>
              <a:t>If the shape was modified in an earlier version of Excel, or if the workbook was saved in Excel 2007 or earlier, the slicer can't be used.</a:t>
            </a:r>
            <a:endParaRPr b="0" lang="fr-CA" sz="1100" spc="-1" strike="noStrike">
              <a:latin typeface="Times New Roman"/>
            </a:endParaRPr>
          </a:p>
        </xdr:txBody>
      </xdr:sp>
      <xdr:sp>
        <xdr:nvSpPr>
          <xdr:cNvPr id="174" name=""/>
          <xdr:cNvSpPr/>
        </xdr:nvSpPr>
        <xdr:spPr>
          <a:xfrm>
            <a:off x="-4031280" y="19303560"/>
            <a:ext cx="1782720" cy="4174920"/>
          </a:xfrm>
          <a:prstGeom prst="rect">
            <a:avLst/>
          </a:prstGeom>
          <a:solidFill>
            <a:srgbClr val="ffffff"/>
          </a:solidFill>
          <a:ln w="1">
            <a:solidFill>
              <a:srgbClr val="008000"/>
            </a:solidFill>
          </a:ln>
        </xdr:spPr>
        <xdr:style>
          <a:lnRef idx="0"/>
          <a:fillRef idx="0"/>
          <a:effectRef idx="0"/>
          <a:fontRef idx="minor"/>
        </xdr:style>
        <xdr:txBody>
          <a:bodyPr horzOverflow="clip" vertOverflow="clip" lIns="90000" rIns="90000" tIns="45000" bIns="45000" anchor="t">
            <a:noAutofit/>
          </a:bodyPr>
          <a:p>
            <a:r>
              <a:rPr b="0" lang="fr-CA" sz="1100" spc="-1" strike="noStrike">
                <a:latin typeface="Times New Roman"/>
              </a:rPr>
              <a:t>This shape represents a table slicer. Table slicers are not supported in this version of Excel.</a:t>
            </a:r>
            <a:endParaRPr b="0" lang="fr-CA" sz="1100" spc="-1" strike="noStrike">
              <a:latin typeface="Times New Roman"/>
            </a:endParaRPr>
          </a:p>
          <a:p>
            <a:endParaRPr b="0" lang="fr-CA" sz="1100" spc="-1" strike="noStrike">
              <a:latin typeface="Times New Roman"/>
            </a:endParaRPr>
          </a:p>
          <a:p>
            <a:pPr>
              <a:lnSpc>
                <a:spcPct val="100000"/>
              </a:lnSpc>
            </a:pPr>
            <a:r>
              <a:rPr b="0" lang="fr-CA" sz="1100" spc="-1" strike="noStrike">
                <a:latin typeface="Times New Roman"/>
              </a:rPr>
              <a:t>If the shape was modified in an earlier version of Excel, or if the workbook was saved in Excel 2007 or earlier, the slicer can't be used.</a:t>
            </a:r>
            <a:endParaRPr b="0" lang="fr-CA" sz="1100" spc="-1" strike="noStrike">
              <a:latin typeface="Times New Roman"/>
            </a:endParaRPr>
          </a:p>
        </xdr:txBody>
      </xdr:sp>
      <xdr:sp>
        <xdr:nvSpPr>
          <xdr:cNvPr id="175" name=""/>
          <xdr:cNvSpPr/>
        </xdr:nvSpPr>
        <xdr:spPr>
          <a:xfrm>
            <a:off x="-5470560" y="19331280"/>
            <a:ext cx="1346040" cy="4174920"/>
          </a:xfrm>
          <a:prstGeom prst="rect">
            <a:avLst/>
          </a:prstGeom>
          <a:solidFill>
            <a:srgbClr val="ffffff"/>
          </a:solidFill>
          <a:ln w="1">
            <a:solidFill>
              <a:srgbClr val="008000"/>
            </a:solidFill>
          </a:ln>
        </xdr:spPr>
        <xdr:style>
          <a:lnRef idx="0"/>
          <a:fillRef idx="0"/>
          <a:effectRef idx="0"/>
          <a:fontRef idx="minor"/>
        </xdr:style>
        <xdr:txBody>
          <a:bodyPr horzOverflow="clip" vertOverflow="clip" lIns="90000" rIns="90000" tIns="45000" bIns="45000" anchor="t">
            <a:noAutofit/>
          </a:bodyPr>
          <a:p>
            <a:r>
              <a:rPr b="0" lang="fr-CA" sz="1100" spc="-1" strike="noStrike">
                <a:latin typeface="Times New Roman"/>
              </a:rPr>
              <a:t>This shape represents a table slicer. Table slicers are not supported in this version of Excel.</a:t>
            </a:r>
            <a:endParaRPr b="0" lang="fr-CA" sz="1100" spc="-1" strike="noStrike">
              <a:latin typeface="Times New Roman"/>
            </a:endParaRPr>
          </a:p>
          <a:p>
            <a:endParaRPr b="0" lang="fr-CA" sz="1100" spc="-1" strike="noStrike">
              <a:latin typeface="Times New Roman"/>
            </a:endParaRPr>
          </a:p>
          <a:p>
            <a:pPr>
              <a:lnSpc>
                <a:spcPct val="100000"/>
              </a:lnSpc>
            </a:pPr>
            <a:r>
              <a:rPr b="0" lang="fr-CA" sz="1100" spc="-1" strike="noStrike">
                <a:latin typeface="Times New Roman"/>
              </a:rPr>
              <a:t>If the shape was modified in an earlier version of Excel, or if the workbook was saved in Excel 2007 or earlier, the slicer can't be used.</a:t>
            </a:r>
            <a:endParaRPr b="0" lang="fr-CA" sz="1100" spc="-1" strike="noStrike">
              <a:latin typeface="Times New Roman"/>
            </a:endParaRPr>
          </a:p>
        </xdr:txBody>
      </xdr:sp>
      <xdr:sp>
        <xdr:nvSpPr>
          <xdr:cNvPr id="176" name=""/>
          <xdr:cNvSpPr/>
        </xdr:nvSpPr>
        <xdr:spPr>
          <a:xfrm>
            <a:off x="-2192400" y="19266480"/>
            <a:ext cx="844560" cy="1953360"/>
          </a:xfrm>
          <a:prstGeom prst="rect">
            <a:avLst/>
          </a:prstGeom>
          <a:solidFill>
            <a:srgbClr val="ffffff"/>
          </a:solidFill>
          <a:ln w="1">
            <a:solidFill>
              <a:srgbClr val="008000"/>
            </a:solidFill>
          </a:ln>
        </xdr:spPr>
        <xdr:style>
          <a:lnRef idx="0"/>
          <a:fillRef idx="0"/>
          <a:effectRef idx="0"/>
          <a:fontRef idx="minor"/>
        </xdr:style>
        <xdr:txBody>
          <a:bodyPr horzOverflow="clip" vertOverflow="clip" lIns="90000" rIns="90000" tIns="45000" bIns="45000" anchor="t">
            <a:noAutofit/>
          </a:bodyPr>
          <a:p>
            <a:r>
              <a:rPr b="0" lang="fr-CA" sz="1100" spc="-1" strike="noStrike">
                <a:latin typeface="Times New Roman"/>
              </a:rPr>
              <a:t>This shape represents a table slicer. Table slicers are not supported in this version of Excel.</a:t>
            </a:r>
            <a:endParaRPr b="0" lang="fr-CA" sz="1100" spc="-1" strike="noStrike">
              <a:latin typeface="Times New Roman"/>
            </a:endParaRPr>
          </a:p>
          <a:p>
            <a:endParaRPr b="0" lang="fr-CA" sz="1100" spc="-1" strike="noStrike">
              <a:latin typeface="Times New Roman"/>
            </a:endParaRPr>
          </a:p>
          <a:p>
            <a:pPr>
              <a:lnSpc>
                <a:spcPct val="100000"/>
              </a:lnSpc>
            </a:pPr>
            <a:r>
              <a:rPr b="0" lang="fr-CA" sz="1100" spc="-1" strike="noStrike">
                <a:latin typeface="Times New Roman"/>
              </a:rPr>
              <a:t>If the shape was modified in an earlier version of Excel, or if the workbook was saved in Excel 2007 or earlier, the slicer can't be used.</a:t>
            </a:r>
            <a:endParaRPr b="0" lang="fr-CA" sz="1100" spc="-1" strike="noStrike">
              <a:latin typeface="Times New Roman"/>
            </a:endParaRPr>
          </a:p>
        </xdr:txBody>
      </xdr:sp>
    </xdr:grpSp>
    <xdr:clientData/>
  </xdr:twoCellAnchor>
</xdr:wsDr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-6841080</xdr:colOff>
      <xdr:row>100</xdr:row>
      <xdr:rowOff>10440</xdr:rowOff>
    </xdr:from>
    <xdr:to>
      <xdr:col>0</xdr:col>
      <xdr:colOff>-1149480</xdr:colOff>
      <xdr:row>122</xdr:row>
      <xdr:rowOff>59760</xdr:rowOff>
    </xdr:to>
    <xdr:grpSp>
      <xdr:nvGrpSpPr>
        <xdr:cNvPr id="177" name="Group 1"/>
        <xdr:cNvGrpSpPr/>
      </xdr:nvGrpSpPr>
      <xdr:grpSpPr>
        <a:xfrm>
          <a:off x="-6841080" y="15429600"/>
          <a:ext cx="5691600" cy="4240080"/>
          <a:chOff x="-6841080" y="15429600"/>
          <a:chExt cx="5691600" cy="4240080"/>
        </a:xfrm>
      </xdr:grpSpPr>
      <xdr:sp>
        <xdr:nvSpPr>
          <xdr:cNvPr id="178" name=""/>
          <xdr:cNvSpPr/>
        </xdr:nvSpPr>
        <xdr:spPr>
          <a:xfrm>
            <a:off x="-6841080" y="15445080"/>
            <a:ext cx="1494000" cy="4175280"/>
          </a:xfrm>
          <a:prstGeom prst="rect">
            <a:avLst/>
          </a:prstGeom>
          <a:solidFill>
            <a:srgbClr val="ffffff"/>
          </a:solidFill>
          <a:ln w="1">
            <a:solidFill>
              <a:srgbClr val="008000"/>
            </a:solidFill>
          </a:ln>
        </xdr:spPr>
        <xdr:style>
          <a:lnRef idx="0"/>
          <a:fillRef idx="0"/>
          <a:effectRef idx="0"/>
          <a:fontRef idx="minor"/>
        </xdr:style>
        <xdr:txBody>
          <a:bodyPr horzOverflow="clip" vertOverflow="clip" lIns="90000" rIns="90000" tIns="45000" bIns="45000" anchor="t">
            <a:noAutofit/>
          </a:bodyPr>
          <a:p>
            <a:r>
              <a:rPr b="0" lang="fr-CA" sz="1100" spc="-1" strike="noStrike">
                <a:latin typeface="Times New Roman"/>
              </a:rPr>
              <a:t>This shape represents a table slicer. Table slicers are not supported in this version of Excel.</a:t>
            </a:r>
            <a:endParaRPr b="0" lang="fr-CA" sz="1100" spc="-1" strike="noStrike">
              <a:latin typeface="Times New Roman"/>
            </a:endParaRPr>
          </a:p>
          <a:p>
            <a:endParaRPr b="0" lang="fr-CA" sz="1100" spc="-1" strike="noStrike">
              <a:latin typeface="Times New Roman"/>
            </a:endParaRPr>
          </a:p>
          <a:p>
            <a:pPr>
              <a:lnSpc>
                <a:spcPct val="100000"/>
              </a:lnSpc>
            </a:pPr>
            <a:r>
              <a:rPr b="0" lang="fr-CA" sz="1100" spc="-1" strike="noStrike">
                <a:latin typeface="Times New Roman"/>
              </a:rPr>
              <a:t>If the shape was modified in an earlier version of Excel, or if the workbook was saved in Excel 2007 or earlier, the slicer can't be used.</a:t>
            </a:r>
            <a:endParaRPr b="0" lang="fr-CA" sz="1100" spc="-1" strike="noStrike">
              <a:latin typeface="Times New Roman"/>
            </a:endParaRPr>
          </a:p>
        </xdr:txBody>
      </xdr:sp>
      <xdr:sp>
        <xdr:nvSpPr>
          <xdr:cNvPr id="179" name=""/>
          <xdr:cNvSpPr/>
        </xdr:nvSpPr>
        <xdr:spPr>
          <a:xfrm>
            <a:off x="-3815280" y="15466680"/>
            <a:ext cx="1770840" cy="4175280"/>
          </a:xfrm>
          <a:prstGeom prst="rect">
            <a:avLst/>
          </a:prstGeom>
          <a:solidFill>
            <a:srgbClr val="ffffff"/>
          </a:solidFill>
          <a:ln w="1">
            <a:solidFill>
              <a:srgbClr val="008000"/>
            </a:solidFill>
          </a:ln>
        </xdr:spPr>
        <xdr:style>
          <a:lnRef idx="0"/>
          <a:fillRef idx="0"/>
          <a:effectRef idx="0"/>
          <a:fontRef idx="minor"/>
        </xdr:style>
        <xdr:txBody>
          <a:bodyPr horzOverflow="clip" vertOverflow="clip" lIns="90000" rIns="90000" tIns="45000" bIns="45000" anchor="t">
            <a:noAutofit/>
          </a:bodyPr>
          <a:p>
            <a:r>
              <a:rPr b="0" lang="fr-CA" sz="1100" spc="-1" strike="noStrike">
                <a:latin typeface="Times New Roman"/>
              </a:rPr>
              <a:t>This shape represents a table slicer. Table slicers are not supported in this version of Excel.</a:t>
            </a:r>
            <a:endParaRPr b="0" lang="fr-CA" sz="1100" spc="-1" strike="noStrike">
              <a:latin typeface="Times New Roman"/>
            </a:endParaRPr>
          </a:p>
          <a:p>
            <a:endParaRPr b="0" lang="fr-CA" sz="1100" spc="-1" strike="noStrike">
              <a:latin typeface="Times New Roman"/>
            </a:endParaRPr>
          </a:p>
          <a:p>
            <a:pPr>
              <a:lnSpc>
                <a:spcPct val="100000"/>
              </a:lnSpc>
            </a:pPr>
            <a:r>
              <a:rPr b="0" lang="fr-CA" sz="1100" spc="-1" strike="noStrike">
                <a:latin typeface="Times New Roman"/>
              </a:rPr>
              <a:t>If the shape was modified in an earlier version of Excel, or if the workbook was saved in Excel 2007 or earlier, the slicer can't be used.</a:t>
            </a:r>
            <a:endParaRPr b="0" lang="fr-CA" sz="1100" spc="-1" strike="noStrike">
              <a:latin typeface="Times New Roman"/>
            </a:endParaRPr>
          </a:p>
        </xdr:txBody>
      </xdr:sp>
      <xdr:sp>
        <xdr:nvSpPr>
          <xdr:cNvPr id="180" name=""/>
          <xdr:cNvSpPr/>
        </xdr:nvSpPr>
        <xdr:spPr>
          <a:xfrm>
            <a:off x="-5245200" y="15494400"/>
            <a:ext cx="1337400" cy="4175280"/>
          </a:xfrm>
          <a:prstGeom prst="rect">
            <a:avLst/>
          </a:prstGeom>
          <a:solidFill>
            <a:srgbClr val="ffffff"/>
          </a:solidFill>
          <a:ln w="1">
            <a:solidFill>
              <a:srgbClr val="008000"/>
            </a:solidFill>
          </a:ln>
        </xdr:spPr>
        <xdr:style>
          <a:lnRef idx="0"/>
          <a:fillRef idx="0"/>
          <a:effectRef idx="0"/>
          <a:fontRef idx="minor"/>
        </xdr:style>
        <xdr:txBody>
          <a:bodyPr horzOverflow="clip" vertOverflow="clip" lIns="90000" rIns="90000" tIns="45000" bIns="45000" anchor="t">
            <a:noAutofit/>
          </a:bodyPr>
          <a:p>
            <a:r>
              <a:rPr b="0" lang="fr-CA" sz="1100" spc="-1" strike="noStrike">
                <a:latin typeface="Times New Roman"/>
              </a:rPr>
              <a:t>This shape represents a table slicer. Table slicers are not supported in this version of Excel.</a:t>
            </a:r>
            <a:endParaRPr b="0" lang="fr-CA" sz="1100" spc="-1" strike="noStrike">
              <a:latin typeface="Times New Roman"/>
            </a:endParaRPr>
          </a:p>
          <a:p>
            <a:endParaRPr b="0" lang="fr-CA" sz="1100" spc="-1" strike="noStrike">
              <a:latin typeface="Times New Roman"/>
            </a:endParaRPr>
          </a:p>
          <a:p>
            <a:pPr>
              <a:lnSpc>
                <a:spcPct val="100000"/>
              </a:lnSpc>
            </a:pPr>
            <a:r>
              <a:rPr b="0" lang="fr-CA" sz="1100" spc="-1" strike="noStrike">
                <a:latin typeface="Times New Roman"/>
              </a:rPr>
              <a:t>If the shape was modified in an earlier version of Excel, or if the workbook was saved in Excel 2007 or earlier, the slicer can't be used.</a:t>
            </a:r>
            <a:endParaRPr b="0" lang="fr-CA" sz="1100" spc="-1" strike="noStrike">
              <a:latin typeface="Times New Roman"/>
            </a:endParaRPr>
          </a:p>
        </xdr:txBody>
      </xdr:sp>
      <xdr:sp>
        <xdr:nvSpPr>
          <xdr:cNvPr id="181" name=""/>
          <xdr:cNvSpPr/>
        </xdr:nvSpPr>
        <xdr:spPr>
          <a:xfrm>
            <a:off x="-1988640" y="15429600"/>
            <a:ext cx="839160" cy="1953360"/>
          </a:xfrm>
          <a:prstGeom prst="rect">
            <a:avLst/>
          </a:prstGeom>
          <a:solidFill>
            <a:srgbClr val="ffffff"/>
          </a:solidFill>
          <a:ln w="1">
            <a:solidFill>
              <a:srgbClr val="008000"/>
            </a:solidFill>
          </a:ln>
        </xdr:spPr>
        <xdr:style>
          <a:lnRef idx="0"/>
          <a:fillRef idx="0"/>
          <a:effectRef idx="0"/>
          <a:fontRef idx="minor"/>
        </xdr:style>
        <xdr:txBody>
          <a:bodyPr horzOverflow="clip" vertOverflow="clip" lIns="90000" rIns="90000" tIns="45000" bIns="45000" anchor="t">
            <a:noAutofit/>
          </a:bodyPr>
          <a:p>
            <a:r>
              <a:rPr b="0" lang="fr-CA" sz="1100" spc="-1" strike="noStrike">
                <a:latin typeface="Times New Roman"/>
              </a:rPr>
              <a:t>This shape represents a table slicer. Table slicers are not supported in this version of Excel.</a:t>
            </a:r>
            <a:endParaRPr b="0" lang="fr-CA" sz="1100" spc="-1" strike="noStrike">
              <a:latin typeface="Times New Roman"/>
            </a:endParaRPr>
          </a:p>
          <a:p>
            <a:endParaRPr b="0" lang="fr-CA" sz="1100" spc="-1" strike="noStrike">
              <a:latin typeface="Times New Roman"/>
            </a:endParaRPr>
          </a:p>
          <a:p>
            <a:pPr>
              <a:lnSpc>
                <a:spcPct val="100000"/>
              </a:lnSpc>
            </a:pPr>
            <a:r>
              <a:rPr b="0" lang="fr-CA" sz="1100" spc="-1" strike="noStrike">
                <a:latin typeface="Times New Roman"/>
              </a:rPr>
              <a:t>If the shape was modified in an earlier version of Excel, or if the workbook was saved in Excel 2007 or earlier, the slicer can't be used.</a:t>
            </a:r>
            <a:endParaRPr b="0" lang="fr-CA" sz="1100" spc="-1" strike="noStrike">
              <a:latin typeface="Times New Roman"/>
            </a:endParaRPr>
          </a:p>
        </xdr:txBody>
      </xdr:sp>
    </xdr:grpSp>
    <xdr:clientData/>
  </xdr:twoCellAnchor>
</xdr:wsDr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-7021800</xdr:colOff>
      <xdr:row>114</xdr:row>
      <xdr:rowOff>119160</xdr:rowOff>
    </xdr:from>
    <xdr:to>
      <xdr:col>0</xdr:col>
      <xdr:colOff>-1379160</xdr:colOff>
      <xdr:row>136</xdr:row>
      <xdr:rowOff>167760</xdr:rowOff>
    </xdr:to>
    <xdr:grpSp>
      <xdr:nvGrpSpPr>
        <xdr:cNvPr id="182" name="Group 1"/>
        <xdr:cNvGrpSpPr/>
      </xdr:nvGrpSpPr>
      <xdr:grpSpPr>
        <a:xfrm>
          <a:off x="-7021800" y="18205200"/>
          <a:ext cx="5642640" cy="4239720"/>
          <a:chOff x="-7021800" y="18205200"/>
          <a:chExt cx="5642640" cy="4239720"/>
        </a:xfrm>
      </xdr:grpSpPr>
      <xdr:sp>
        <xdr:nvSpPr>
          <xdr:cNvPr id="183" name=""/>
          <xdr:cNvSpPr/>
        </xdr:nvSpPr>
        <xdr:spPr>
          <a:xfrm>
            <a:off x="-7021800" y="18221040"/>
            <a:ext cx="1481400" cy="4174920"/>
          </a:xfrm>
          <a:prstGeom prst="rect">
            <a:avLst/>
          </a:prstGeom>
          <a:solidFill>
            <a:srgbClr val="ffffff"/>
          </a:solidFill>
          <a:ln w="1">
            <a:solidFill>
              <a:srgbClr val="008000"/>
            </a:solidFill>
          </a:ln>
        </xdr:spPr>
        <xdr:style>
          <a:lnRef idx="0"/>
          <a:fillRef idx="0"/>
          <a:effectRef idx="0"/>
          <a:fontRef idx="minor"/>
        </xdr:style>
        <xdr:txBody>
          <a:bodyPr horzOverflow="clip" vertOverflow="clip" lIns="90000" rIns="90000" tIns="45000" bIns="45000" anchor="t">
            <a:noAutofit/>
          </a:bodyPr>
          <a:p>
            <a:r>
              <a:rPr b="0" lang="fr-CA" sz="1100" spc="-1" strike="noStrike">
                <a:latin typeface="Times New Roman"/>
              </a:rPr>
              <a:t>This shape represents a table slicer. Table slicers are not supported in this version of Excel.</a:t>
            </a:r>
            <a:endParaRPr b="0" lang="fr-CA" sz="1100" spc="-1" strike="noStrike">
              <a:latin typeface="Times New Roman"/>
            </a:endParaRPr>
          </a:p>
          <a:p>
            <a:endParaRPr b="0" lang="fr-CA" sz="1100" spc="-1" strike="noStrike">
              <a:latin typeface="Times New Roman"/>
            </a:endParaRPr>
          </a:p>
          <a:p>
            <a:pPr>
              <a:lnSpc>
                <a:spcPct val="100000"/>
              </a:lnSpc>
            </a:pPr>
            <a:r>
              <a:rPr b="0" lang="fr-CA" sz="1100" spc="-1" strike="noStrike">
                <a:latin typeface="Times New Roman"/>
              </a:rPr>
              <a:t>If the shape was modified in an earlier version of Excel, or if the workbook was saved in Excel 2007 or earlier, the slicer can't be used.</a:t>
            </a:r>
            <a:endParaRPr b="0" lang="fr-CA" sz="1100" spc="-1" strike="noStrike">
              <a:latin typeface="Times New Roman"/>
            </a:endParaRPr>
          </a:p>
        </xdr:txBody>
      </xdr:sp>
      <xdr:sp>
        <xdr:nvSpPr>
          <xdr:cNvPr id="184" name=""/>
          <xdr:cNvSpPr/>
        </xdr:nvSpPr>
        <xdr:spPr>
          <a:xfrm>
            <a:off x="-4021920" y="18242640"/>
            <a:ext cx="1755720" cy="4174920"/>
          </a:xfrm>
          <a:prstGeom prst="rect">
            <a:avLst/>
          </a:prstGeom>
          <a:solidFill>
            <a:srgbClr val="ffffff"/>
          </a:solidFill>
          <a:ln w="1">
            <a:solidFill>
              <a:srgbClr val="008000"/>
            </a:solidFill>
          </a:ln>
        </xdr:spPr>
        <xdr:style>
          <a:lnRef idx="0"/>
          <a:fillRef idx="0"/>
          <a:effectRef idx="0"/>
          <a:fontRef idx="minor"/>
        </xdr:style>
        <xdr:txBody>
          <a:bodyPr horzOverflow="clip" vertOverflow="clip" lIns="90000" rIns="90000" tIns="45000" bIns="45000" anchor="t">
            <a:noAutofit/>
          </a:bodyPr>
          <a:p>
            <a:r>
              <a:rPr b="0" lang="fr-CA" sz="1100" spc="-1" strike="noStrike">
                <a:latin typeface="Times New Roman"/>
              </a:rPr>
              <a:t>This shape represents a table slicer. Table slicers are not supported in this version of Excel.</a:t>
            </a:r>
            <a:endParaRPr b="0" lang="fr-CA" sz="1100" spc="-1" strike="noStrike">
              <a:latin typeface="Times New Roman"/>
            </a:endParaRPr>
          </a:p>
          <a:p>
            <a:endParaRPr b="0" lang="fr-CA" sz="1100" spc="-1" strike="noStrike">
              <a:latin typeface="Times New Roman"/>
            </a:endParaRPr>
          </a:p>
          <a:p>
            <a:pPr>
              <a:lnSpc>
                <a:spcPct val="100000"/>
              </a:lnSpc>
            </a:pPr>
            <a:r>
              <a:rPr b="0" lang="fr-CA" sz="1100" spc="-1" strike="noStrike">
                <a:latin typeface="Times New Roman"/>
              </a:rPr>
              <a:t>If the shape was modified in an earlier version of Excel, or if the workbook was saved in Excel 2007 or earlier, the slicer can't be used.</a:t>
            </a:r>
            <a:endParaRPr b="0" lang="fr-CA" sz="1100" spc="-1" strike="noStrike">
              <a:latin typeface="Times New Roman"/>
            </a:endParaRPr>
          </a:p>
        </xdr:txBody>
      </xdr:sp>
      <xdr:sp>
        <xdr:nvSpPr>
          <xdr:cNvPr id="185" name=""/>
          <xdr:cNvSpPr/>
        </xdr:nvSpPr>
        <xdr:spPr>
          <a:xfrm>
            <a:off x="-5439600" y="18270000"/>
            <a:ext cx="1325880" cy="4174920"/>
          </a:xfrm>
          <a:prstGeom prst="rect">
            <a:avLst/>
          </a:prstGeom>
          <a:solidFill>
            <a:srgbClr val="ffffff"/>
          </a:solidFill>
          <a:ln w="1">
            <a:solidFill>
              <a:srgbClr val="008000"/>
            </a:solidFill>
          </a:ln>
        </xdr:spPr>
        <xdr:style>
          <a:lnRef idx="0"/>
          <a:fillRef idx="0"/>
          <a:effectRef idx="0"/>
          <a:fontRef idx="minor"/>
        </xdr:style>
        <xdr:txBody>
          <a:bodyPr horzOverflow="clip" vertOverflow="clip" lIns="90000" rIns="90000" tIns="45000" bIns="45000" anchor="t">
            <a:noAutofit/>
          </a:bodyPr>
          <a:p>
            <a:r>
              <a:rPr b="0" lang="fr-CA" sz="1100" spc="-1" strike="noStrike">
                <a:latin typeface="Times New Roman"/>
              </a:rPr>
              <a:t>This shape represents a table slicer. Table slicers are not supported in this version of Excel.</a:t>
            </a:r>
            <a:endParaRPr b="0" lang="fr-CA" sz="1100" spc="-1" strike="noStrike">
              <a:latin typeface="Times New Roman"/>
            </a:endParaRPr>
          </a:p>
          <a:p>
            <a:endParaRPr b="0" lang="fr-CA" sz="1100" spc="-1" strike="noStrike">
              <a:latin typeface="Times New Roman"/>
            </a:endParaRPr>
          </a:p>
          <a:p>
            <a:pPr>
              <a:lnSpc>
                <a:spcPct val="100000"/>
              </a:lnSpc>
            </a:pPr>
            <a:r>
              <a:rPr b="0" lang="fr-CA" sz="1100" spc="-1" strike="noStrike">
                <a:latin typeface="Times New Roman"/>
              </a:rPr>
              <a:t>If the shape was modified in an earlier version of Excel, or if the workbook was saved in Excel 2007 or earlier, the slicer can't be used.</a:t>
            </a:r>
            <a:endParaRPr b="0" lang="fr-CA" sz="1100" spc="-1" strike="noStrike">
              <a:latin typeface="Times New Roman"/>
            </a:endParaRPr>
          </a:p>
        </xdr:txBody>
      </xdr:sp>
      <xdr:sp>
        <xdr:nvSpPr>
          <xdr:cNvPr id="186" name=""/>
          <xdr:cNvSpPr/>
        </xdr:nvSpPr>
        <xdr:spPr>
          <a:xfrm>
            <a:off x="-2211120" y="18205200"/>
            <a:ext cx="831960" cy="1953360"/>
          </a:xfrm>
          <a:prstGeom prst="rect">
            <a:avLst/>
          </a:prstGeom>
          <a:solidFill>
            <a:srgbClr val="ffffff"/>
          </a:solidFill>
          <a:ln w="1">
            <a:solidFill>
              <a:srgbClr val="008000"/>
            </a:solidFill>
          </a:ln>
        </xdr:spPr>
        <xdr:style>
          <a:lnRef idx="0"/>
          <a:fillRef idx="0"/>
          <a:effectRef idx="0"/>
          <a:fontRef idx="minor"/>
        </xdr:style>
        <xdr:txBody>
          <a:bodyPr horzOverflow="clip" vertOverflow="clip" lIns="90000" rIns="90000" tIns="45000" bIns="45000" anchor="t">
            <a:noAutofit/>
          </a:bodyPr>
          <a:p>
            <a:r>
              <a:rPr b="0" lang="fr-CA" sz="1100" spc="-1" strike="noStrike">
                <a:latin typeface="Times New Roman"/>
              </a:rPr>
              <a:t>This shape represents a table slicer. Table slicers are not supported in this version of Excel.</a:t>
            </a:r>
            <a:endParaRPr b="0" lang="fr-CA" sz="1100" spc="-1" strike="noStrike">
              <a:latin typeface="Times New Roman"/>
            </a:endParaRPr>
          </a:p>
          <a:p>
            <a:endParaRPr b="0" lang="fr-CA" sz="1100" spc="-1" strike="noStrike">
              <a:latin typeface="Times New Roman"/>
            </a:endParaRPr>
          </a:p>
          <a:p>
            <a:pPr>
              <a:lnSpc>
                <a:spcPct val="100000"/>
              </a:lnSpc>
            </a:pPr>
            <a:r>
              <a:rPr b="0" lang="fr-CA" sz="1100" spc="-1" strike="noStrike">
                <a:latin typeface="Times New Roman"/>
              </a:rPr>
              <a:t>If the shape was modified in an earlier version of Excel, or if the workbook was saved in Excel 2007 or earlier, the slicer can't be used.</a:t>
            </a:r>
            <a:endParaRPr b="0" lang="fr-CA" sz="1100" spc="-1" strike="noStrike">
              <a:latin typeface="Times New Roman"/>
            </a:endParaRPr>
          </a:p>
        </xdr:txBody>
      </xdr:sp>
    </xdr:grpSp>
    <xdr:clientData/>
  </xdr:twoCellAnchor>
</xdr:wsDr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-6768360</xdr:colOff>
      <xdr:row>108</xdr:row>
      <xdr:rowOff>159120</xdr:rowOff>
    </xdr:from>
    <xdr:to>
      <xdr:col>0</xdr:col>
      <xdr:colOff>-1500480</xdr:colOff>
      <xdr:row>131</xdr:row>
      <xdr:rowOff>17640</xdr:rowOff>
    </xdr:to>
    <xdr:grpSp>
      <xdr:nvGrpSpPr>
        <xdr:cNvPr id="187" name="Group 1"/>
        <xdr:cNvGrpSpPr/>
      </xdr:nvGrpSpPr>
      <xdr:grpSpPr>
        <a:xfrm>
          <a:off x="-6768360" y="17102160"/>
          <a:ext cx="5267880" cy="4240080"/>
          <a:chOff x="-6768360" y="17102160"/>
          <a:chExt cx="5267880" cy="4240080"/>
        </a:xfrm>
      </xdr:grpSpPr>
      <xdr:sp>
        <xdr:nvSpPr>
          <xdr:cNvPr id="188" name=""/>
          <xdr:cNvSpPr/>
        </xdr:nvSpPr>
        <xdr:spPr>
          <a:xfrm>
            <a:off x="-6768360" y="17118000"/>
            <a:ext cx="1382760" cy="4175280"/>
          </a:xfrm>
          <a:prstGeom prst="rect">
            <a:avLst/>
          </a:prstGeom>
          <a:solidFill>
            <a:srgbClr val="ffffff"/>
          </a:solidFill>
          <a:ln w="1">
            <a:solidFill>
              <a:srgbClr val="008000"/>
            </a:solidFill>
          </a:ln>
        </xdr:spPr>
        <xdr:style>
          <a:lnRef idx="0"/>
          <a:fillRef idx="0"/>
          <a:effectRef idx="0"/>
          <a:fontRef idx="minor"/>
        </xdr:style>
        <xdr:txBody>
          <a:bodyPr horzOverflow="clip" vertOverflow="clip" lIns="90000" rIns="90000" tIns="45000" bIns="45000" anchor="t">
            <a:noAutofit/>
          </a:bodyPr>
          <a:p>
            <a:r>
              <a:rPr b="0" lang="fr-CA" sz="1100" spc="-1" strike="noStrike">
                <a:latin typeface="Times New Roman"/>
              </a:rPr>
              <a:t>This shape represents a table slicer. Table slicers are not supported in this version of Excel.</a:t>
            </a:r>
            <a:endParaRPr b="0" lang="fr-CA" sz="1100" spc="-1" strike="noStrike">
              <a:latin typeface="Times New Roman"/>
            </a:endParaRPr>
          </a:p>
          <a:p>
            <a:endParaRPr b="0" lang="fr-CA" sz="1100" spc="-1" strike="noStrike">
              <a:latin typeface="Times New Roman"/>
            </a:endParaRPr>
          </a:p>
          <a:p>
            <a:pPr>
              <a:lnSpc>
                <a:spcPct val="100000"/>
              </a:lnSpc>
            </a:pPr>
            <a:r>
              <a:rPr b="0" lang="fr-CA" sz="1100" spc="-1" strike="noStrike">
                <a:latin typeface="Times New Roman"/>
              </a:rPr>
              <a:t>If the shape was modified in an earlier version of Excel, or if the workbook was saved in Excel 2007 or earlier, the slicer can't be used.</a:t>
            </a:r>
            <a:endParaRPr b="0" lang="fr-CA" sz="1100" spc="-1" strike="noStrike">
              <a:latin typeface="Times New Roman"/>
            </a:endParaRPr>
          </a:p>
        </xdr:txBody>
      </xdr:sp>
      <xdr:sp>
        <xdr:nvSpPr>
          <xdr:cNvPr id="189" name=""/>
          <xdr:cNvSpPr/>
        </xdr:nvSpPr>
        <xdr:spPr>
          <a:xfrm>
            <a:off x="-3967560" y="17139600"/>
            <a:ext cx="1639080" cy="4175280"/>
          </a:xfrm>
          <a:prstGeom prst="rect">
            <a:avLst/>
          </a:prstGeom>
          <a:solidFill>
            <a:srgbClr val="ffffff"/>
          </a:solidFill>
          <a:ln w="1">
            <a:solidFill>
              <a:srgbClr val="008000"/>
            </a:solidFill>
          </a:ln>
        </xdr:spPr>
        <xdr:style>
          <a:lnRef idx="0"/>
          <a:fillRef idx="0"/>
          <a:effectRef idx="0"/>
          <a:fontRef idx="minor"/>
        </xdr:style>
        <xdr:txBody>
          <a:bodyPr horzOverflow="clip" vertOverflow="clip" lIns="90000" rIns="90000" tIns="45000" bIns="45000" anchor="t">
            <a:noAutofit/>
          </a:bodyPr>
          <a:p>
            <a:r>
              <a:rPr b="0" lang="fr-CA" sz="1100" spc="-1" strike="noStrike">
                <a:latin typeface="Times New Roman"/>
              </a:rPr>
              <a:t>This shape represents a table slicer. Table slicers are not supported in this version of Excel.</a:t>
            </a:r>
            <a:endParaRPr b="0" lang="fr-CA" sz="1100" spc="-1" strike="noStrike">
              <a:latin typeface="Times New Roman"/>
            </a:endParaRPr>
          </a:p>
          <a:p>
            <a:endParaRPr b="0" lang="fr-CA" sz="1100" spc="-1" strike="noStrike">
              <a:latin typeface="Times New Roman"/>
            </a:endParaRPr>
          </a:p>
          <a:p>
            <a:pPr>
              <a:lnSpc>
                <a:spcPct val="100000"/>
              </a:lnSpc>
            </a:pPr>
            <a:r>
              <a:rPr b="0" lang="fr-CA" sz="1100" spc="-1" strike="noStrike">
                <a:latin typeface="Times New Roman"/>
              </a:rPr>
              <a:t>If the shape was modified in an earlier version of Excel, or if the workbook was saved in Excel 2007 or earlier, the slicer can't be used.</a:t>
            </a:r>
            <a:endParaRPr b="0" lang="fr-CA" sz="1100" spc="-1" strike="noStrike">
              <a:latin typeface="Times New Roman"/>
            </a:endParaRPr>
          </a:p>
        </xdr:txBody>
      </xdr:sp>
      <xdr:sp>
        <xdr:nvSpPr>
          <xdr:cNvPr id="190" name=""/>
          <xdr:cNvSpPr/>
        </xdr:nvSpPr>
        <xdr:spPr>
          <a:xfrm>
            <a:off x="-5290920" y="17166960"/>
            <a:ext cx="1237680" cy="4175280"/>
          </a:xfrm>
          <a:prstGeom prst="rect">
            <a:avLst/>
          </a:prstGeom>
          <a:solidFill>
            <a:srgbClr val="ffffff"/>
          </a:solidFill>
          <a:ln w="1">
            <a:solidFill>
              <a:srgbClr val="008000"/>
            </a:solidFill>
          </a:ln>
        </xdr:spPr>
        <xdr:style>
          <a:lnRef idx="0"/>
          <a:fillRef idx="0"/>
          <a:effectRef idx="0"/>
          <a:fontRef idx="minor"/>
        </xdr:style>
        <xdr:txBody>
          <a:bodyPr horzOverflow="clip" vertOverflow="clip" lIns="90000" rIns="90000" tIns="45000" bIns="45000" anchor="t">
            <a:noAutofit/>
          </a:bodyPr>
          <a:p>
            <a:r>
              <a:rPr b="0" lang="fr-CA" sz="1100" spc="-1" strike="noStrike">
                <a:latin typeface="Times New Roman"/>
              </a:rPr>
              <a:t>This shape represents a table slicer. Table slicers are not supported in this version of Excel.</a:t>
            </a:r>
            <a:endParaRPr b="0" lang="fr-CA" sz="1100" spc="-1" strike="noStrike">
              <a:latin typeface="Times New Roman"/>
            </a:endParaRPr>
          </a:p>
          <a:p>
            <a:endParaRPr b="0" lang="fr-CA" sz="1100" spc="-1" strike="noStrike">
              <a:latin typeface="Times New Roman"/>
            </a:endParaRPr>
          </a:p>
          <a:p>
            <a:pPr>
              <a:lnSpc>
                <a:spcPct val="100000"/>
              </a:lnSpc>
            </a:pPr>
            <a:r>
              <a:rPr b="0" lang="fr-CA" sz="1100" spc="-1" strike="noStrike">
                <a:latin typeface="Times New Roman"/>
              </a:rPr>
              <a:t>If the shape was modified in an earlier version of Excel, or if the workbook was saved in Excel 2007 or earlier, the slicer can't be used.</a:t>
            </a:r>
            <a:endParaRPr b="0" lang="fr-CA" sz="1100" spc="-1" strike="noStrike">
              <a:latin typeface="Times New Roman"/>
            </a:endParaRPr>
          </a:p>
        </xdr:txBody>
      </xdr:sp>
      <xdr:sp>
        <xdr:nvSpPr>
          <xdr:cNvPr id="191" name=""/>
          <xdr:cNvSpPr/>
        </xdr:nvSpPr>
        <xdr:spPr>
          <a:xfrm>
            <a:off x="-2277000" y="17102160"/>
            <a:ext cx="776520" cy="1953360"/>
          </a:xfrm>
          <a:prstGeom prst="rect">
            <a:avLst/>
          </a:prstGeom>
          <a:solidFill>
            <a:srgbClr val="ffffff"/>
          </a:solidFill>
          <a:ln w="1">
            <a:solidFill>
              <a:srgbClr val="008000"/>
            </a:solidFill>
          </a:ln>
        </xdr:spPr>
        <xdr:style>
          <a:lnRef idx="0"/>
          <a:fillRef idx="0"/>
          <a:effectRef idx="0"/>
          <a:fontRef idx="minor"/>
        </xdr:style>
        <xdr:txBody>
          <a:bodyPr horzOverflow="clip" vertOverflow="clip" lIns="90000" rIns="90000" tIns="45000" bIns="45000" anchor="t">
            <a:noAutofit/>
          </a:bodyPr>
          <a:p>
            <a:r>
              <a:rPr b="0" lang="fr-CA" sz="1100" spc="-1" strike="noStrike">
                <a:latin typeface="Times New Roman"/>
              </a:rPr>
              <a:t>This shape represents a table slicer. Table slicers are not supported in this version of Excel.</a:t>
            </a:r>
            <a:endParaRPr b="0" lang="fr-CA" sz="1100" spc="-1" strike="noStrike">
              <a:latin typeface="Times New Roman"/>
            </a:endParaRPr>
          </a:p>
          <a:p>
            <a:endParaRPr b="0" lang="fr-CA" sz="1100" spc="-1" strike="noStrike">
              <a:latin typeface="Times New Roman"/>
            </a:endParaRPr>
          </a:p>
          <a:p>
            <a:pPr>
              <a:lnSpc>
                <a:spcPct val="100000"/>
              </a:lnSpc>
            </a:pPr>
            <a:r>
              <a:rPr b="0" lang="fr-CA" sz="1100" spc="-1" strike="noStrike">
                <a:latin typeface="Times New Roman"/>
              </a:rPr>
              <a:t>If the shape was modified in an earlier version of Excel, or if the workbook was saved in Excel 2007 or earlier, the slicer can't be used.</a:t>
            </a:r>
            <a:endParaRPr b="0" lang="fr-CA" sz="1100" spc="-1" strike="noStrike">
              <a:latin typeface="Times New Roman"/>
            </a:endParaRPr>
          </a:p>
        </xdr:txBody>
      </xdr:sp>
    </xdr:grpSp>
    <xdr:clientData/>
  </xdr:twoCellAnchor>
</xdr:wsDr>
</file>

<file path=xl/drawings/drawing3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-6465240</xdr:colOff>
      <xdr:row>121</xdr:row>
      <xdr:rowOff>10800</xdr:rowOff>
    </xdr:from>
    <xdr:to>
      <xdr:col>0</xdr:col>
      <xdr:colOff>-818280</xdr:colOff>
      <xdr:row>143</xdr:row>
      <xdr:rowOff>59400</xdr:rowOff>
    </xdr:to>
    <xdr:grpSp>
      <xdr:nvGrpSpPr>
        <xdr:cNvPr id="192" name="Group 1"/>
        <xdr:cNvGrpSpPr/>
      </xdr:nvGrpSpPr>
      <xdr:grpSpPr>
        <a:xfrm>
          <a:off x="-6465240" y="19430280"/>
          <a:ext cx="5646960" cy="4239720"/>
          <a:chOff x="-6465240" y="19430280"/>
          <a:chExt cx="5646960" cy="4239720"/>
        </a:xfrm>
      </xdr:grpSpPr>
      <xdr:sp>
        <xdr:nvSpPr>
          <xdr:cNvPr id="193" name=""/>
          <xdr:cNvSpPr/>
        </xdr:nvSpPr>
        <xdr:spPr>
          <a:xfrm>
            <a:off x="-6465240" y="19445760"/>
            <a:ext cx="1482480" cy="4174920"/>
          </a:xfrm>
          <a:prstGeom prst="rect">
            <a:avLst/>
          </a:prstGeom>
          <a:solidFill>
            <a:srgbClr val="ffffff"/>
          </a:solidFill>
          <a:ln w="1">
            <a:solidFill>
              <a:srgbClr val="008000"/>
            </a:solidFill>
          </a:ln>
        </xdr:spPr>
        <xdr:style>
          <a:lnRef idx="0"/>
          <a:fillRef idx="0"/>
          <a:effectRef idx="0"/>
          <a:fontRef idx="minor"/>
        </xdr:style>
        <xdr:txBody>
          <a:bodyPr horzOverflow="clip" vertOverflow="clip" lIns="90000" rIns="90000" tIns="45000" bIns="45000" anchor="t">
            <a:noAutofit/>
          </a:bodyPr>
          <a:p>
            <a:r>
              <a:rPr b="0" lang="fr-CA" sz="1100" spc="-1" strike="noStrike">
                <a:latin typeface="Times New Roman"/>
              </a:rPr>
              <a:t>This shape represents a table slicer. Table slicers are not supported in this version of Excel.</a:t>
            </a:r>
            <a:endParaRPr b="0" lang="fr-CA" sz="1100" spc="-1" strike="noStrike">
              <a:latin typeface="Times New Roman"/>
            </a:endParaRPr>
          </a:p>
          <a:p>
            <a:endParaRPr b="0" lang="fr-CA" sz="1100" spc="-1" strike="noStrike">
              <a:latin typeface="Times New Roman"/>
            </a:endParaRPr>
          </a:p>
          <a:p>
            <a:pPr>
              <a:lnSpc>
                <a:spcPct val="100000"/>
              </a:lnSpc>
            </a:pPr>
            <a:r>
              <a:rPr b="0" lang="fr-CA" sz="1100" spc="-1" strike="noStrike">
                <a:latin typeface="Times New Roman"/>
              </a:rPr>
              <a:t>If the shape was modified in an earlier version of Excel, or if the workbook was saved in Excel 2007 or earlier, the slicer can't be used.</a:t>
            </a:r>
            <a:endParaRPr b="0" lang="fr-CA" sz="1100" spc="-1" strike="noStrike">
              <a:latin typeface="Times New Roman"/>
            </a:endParaRPr>
          </a:p>
        </xdr:txBody>
      </xdr:sp>
      <xdr:sp>
        <xdr:nvSpPr>
          <xdr:cNvPr id="194" name=""/>
          <xdr:cNvSpPr/>
        </xdr:nvSpPr>
        <xdr:spPr>
          <a:xfrm>
            <a:off x="-3463200" y="19467720"/>
            <a:ext cx="1756800" cy="4174920"/>
          </a:xfrm>
          <a:prstGeom prst="rect">
            <a:avLst/>
          </a:prstGeom>
          <a:solidFill>
            <a:srgbClr val="ffffff"/>
          </a:solidFill>
          <a:ln w="1">
            <a:solidFill>
              <a:srgbClr val="008000"/>
            </a:solidFill>
          </a:ln>
        </xdr:spPr>
        <xdr:style>
          <a:lnRef idx="0"/>
          <a:fillRef idx="0"/>
          <a:effectRef idx="0"/>
          <a:fontRef idx="minor"/>
        </xdr:style>
        <xdr:txBody>
          <a:bodyPr horzOverflow="clip" vertOverflow="clip" lIns="90000" rIns="90000" tIns="45000" bIns="45000" anchor="t">
            <a:noAutofit/>
          </a:bodyPr>
          <a:p>
            <a:r>
              <a:rPr b="0" lang="fr-CA" sz="1100" spc="-1" strike="noStrike">
                <a:latin typeface="Times New Roman"/>
              </a:rPr>
              <a:t>This shape represents a table slicer. Table slicers are not supported in this version of Excel.</a:t>
            </a:r>
            <a:endParaRPr b="0" lang="fr-CA" sz="1100" spc="-1" strike="noStrike">
              <a:latin typeface="Times New Roman"/>
            </a:endParaRPr>
          </a:p>
          <a:p>
            <a:endParaRPr b="0" lang="fr-CA" sz="1100" spc="-1" strike="noStrike">
              <a:latin typeface="Times New Roman"/>
            </a:endParaRPr>
          </a:p>
          <a:p>
            <a:pPr>
              <a:lnSpc>
                <a:spcPct val="100000"/>
              </a:lnSpc>
            </a:pPr>
            <a:r>
              <a:rPr b="0" lang="fr-CA" sz="1100" spc="-1" strike="noStrike">
                <a:latin typeface="Times New Roman"/>
              </a:rPr>
              <a:t>If the shape was modified in an earlier version of Excel, or if the workbook was saved in Excel 2007 or earlier, the slicer can't be used.</a:t>
            </a:r>
            <a:endParaRPr b="0" lang="fr-CA" sz="1100" spc="-1" strike="noStrike">
              <a:latin typeface="Times New Roman"/>
            </a:endParaRPr>
          </a:p>
        </xdr:txBody>
      </xdr:sp>
      <xdr:sp>
        <xdr:nvSpPr>
          <xdr:cNvPr id="195" name=""/>
          <xdr:cNvSpPr/>
        </xdr:nvSpPr>
        <xdr:spPr>
          <a:xfrm>
            <a:off x="-4881960" y="19495080"/>
            <a:ext cx="1326960" cy="4174920"/>
          </a:xfrm>
          <a:prstGeom prst="rect">
            <a:avLst/>
          </a:prstGeom>
          <a:solidFill>
            <a:srgbClr val="ffffff"/>
          </a:solidFill>
          <a:ln w="1">
            <a:solidFill>
              <a:srgbClr val="008000"/>
            </a:solidFill>
          </a:ln>
        </xdr:spPr>
        <xdr:style>
          <a:lnRef idx="0"/>
          <a:fillRef idx="0"/>
          <a:effectRef idx="0"/>
          <a:fontRef idx="minor"/>
        </xdr:style>
        <xdr:txBody>
          <a:bodyPr horzOverflow="clip" vertOverflow="clip" lIns="90000" rIns="90000" tIns="45000" bIns="45000" anchor="t">
            <a:noAutofit/>
          </a:bodyPr>
          <a:p>
            <a:r>
              <a:rPr b="0" lang="fr-CA" sz="1100" spc="-1" strike="noStrike">
                <a:latin typeface="Times New Roman"/>
              </a:rPr>
              <a:t>This shape represents a table slicer. Table slicers are not supported in this version of Excel.</a:t>
            </a:r>
            <a:endParaRPr b="0" lang="fr-CA" sz="1100" spc="-1" strike="noStrike">
              <a:latin typeface="Times New Roman"/>
            </a:endParaRPr>
          </a:p>
          <a:p>
            <a:endParaRPr b="0" lang="fr-CA" sz="1100" spc="-1" strike="noStrike">
              <a:latin typeface="Times New Roman"/>
            </a:endParaRPr>
          </a:p>
          <a:p>
            <a:pPr>
              <a:lnSpc>
                <a:spcPct val="100000"/>
              </a:lnSpc>
            </a:pPr>
            <a:r>
              <a:rPr b="0" lang="fr-CA" sz="1100" spc="-1" strike="noStrike">
                <a:latin typeface="Times New Roman"/>
              </a:rPr>
              <a:t>If the shape was modified in an earlier version of Excel, or if the workbook was saved in Excel 2007 or earlier, the slicer can't be used.</a:t>
            </a:r>
            <a:endParaRPr b="0" lang="fr-CA" sz="1100" spc="-1" strike="noStrike">
              <a:latin typeface="Times New Roman"/>
            </a:endParaRPr>
          </a:p>
        </xdr:txBody>
      </xdr:sp>
      <xdr:sp>
        <xdr:nvSpPr>
          <xdr:cNvPr id="196" name=""/>
          <xdr:cNvSpPr/>
        </xdr:nvSpPr>
        <xdr:spPr>
          <a:xfrm>
            <a:off x="-1650960" y="19430280"/>
            <a:ext cx="832680" cy="1953360"/>
          </a:xfrm>
          <a:prstGeom prst="rect">
            <a:avLst/>
          </a:prstGeom>
          <a:solidFill>
            <a:srgbClr val="ffffff"/>
          </a:solidFill>
          <a:ln w="1">
            <a:solidFill>
              <a:srgbClr val="008000"/>
            </a:solidFill>
          </a:ln>
        </xdr:spPr>
        <xdr:style>
          <a:lnRef idx="0"/>
          <a:fillRef idx="0"/>
          <a:effectRef idx="0"/>
          <a:fontRef idx="minor"/>
        </xdr:style>
        <xdr:txBody>
          <a:bodyPr horzOverflow="clip" vertOverflow="clip" lIns="90000" rIns="90000" tIns="45000" bIns="45000" anchor="t">
            <a:noAutofit/>
          </a:bodyPr>
          <a:p>
            <a:r>
              <a:rPr b="0" lang="fr-CA" sz="1100" spc="-1" strike="noStrike">
                <a:latin typeface="Times New Roman"/>
              </a:rPr>
              <a:t>This shape represents a table slicer. Table slicers are not supported in this version of Excel.</a:t>
            </a:r>
            <a:endParaRPr b="0" lang="fr-CA" sz="1100" spc="-1" strike="noStrike">
              <a:latin typeface="Times New Roman"/>
            </a:endParaRPr>
          </a:p>
          <a:p>
            <a:endParaRPr b="0" lang="fr-CA" sz="1100" spc="-1" strike="noStrike">
              <a:latin typeface="Times New Roman"/>
            </a:endParaRPr>
          </a:p>
          <a:p>
            <a:pPr>
              <a:lnSpc>
                <a:spcPct val="100000"/>
              </a:lnSpc>
            </a:pPr>
            <a:r>
              <a:rPr b="0" lang="fr-CA" sz="1100" spc="-1" strike="noStrike">
                <a:latin typeface="Times New Roman"/>
              </a:rPr>
              <a:t>If the shape was modified in an earlier version of Excel, or if the workbook was saved in Excel 2007 or earlier, the slicer can't be used.</a:t>
            </a:r>
            <a:endParaRPr b="0" lang="fr-CA" sz="1100" spc="-1" strike="noStrike">
              <a:latin typeface="Times New Roman"/>
            </a:endParaRPr>
          </a:p>
        </xdr:txBody>
      </xdr:sp>
    </xdr:grpSp>
    <xdr:clientData/>
  </xdr:twoCellAnchor>
</xdr:wsDr>
</file>

<file path=xl/drawings/drawing3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-7355160</xdr:colOff>
      <xdr:row>127</xdr:row>
      <xdr:rowOff>120600</xdr:rowOff>
    </xdr:from>
    <xdr:to>
      <xdr:col>0</xdr:col>
      <xdr:colOff>-918720</xdr:colOff>
      <xdr:row>149</xdr:row>
      <xdr:rowOff>169920</xdr:rowOff>
    </xdr:to>
    <xdr:grpSp>
      <xdr:nvGrpSpPr>
        <xdr:cNvPr id="197" name="Group 1"/>
        <xdr:cNvGrpSpPr/>
      </xdr:nvGrpSpPr>
      <xdr:grpSpPr>
        <a:xfrm>
          <a:off x="-7355160" y="20683080"/>
          <a:ext cx="6436440" cy="4240440"/>
          <a:chOff x="-7355160" y="20683080"/>
          <a:chExt cx="6436440" cy="4240440"/>
        </a:xfrm>
      </xdr:grpSpPr>
      <xdr:sp>
        <xdr:nvSpPr>
          <xdr:cNvPr id="198" name=""/>
          <xdr:cNvSpPr/>
        </xdr:nvSpPr>
        <xdr:spPr>
          <a:xfrm>
            <a:off x="-7355160" y="20698920"/>
            <a:ext cx="1689840" cy="4175280"/>
          </a:xfrm>
          <a:prstGeom prst="rect">
            <a:avLst/>
          </a:prstGeom>
          <a:solidFill>
            <a:srgbClr val="ffffff"/>
          </a:solidFill>
          <a:ln w="1">
            <a:solidFill>
              <a:srgbClr val="008000"/>
            </a:solidFill>
          </a:ln>
        </xdr:spPr>
        <xdr:style>
          <a:lnRef idx="0"/>
          <a:fillRef idx="0"/>
          <a:effectRef idx="0"/>
          <a:fontRef idx="minor"/>
        </xdr:style>
        <xdr:txBody>
          <a:bodyPr horzOverflow="clip" vertOverflow="clip" lIns="90000" rIns="90000" tIns="45000" bIns="45000" anchor="t">
            <a:noAutofit/>
          </a:bodyPr>
          <a:p>
            <a:r>
              <a:rPr b="0" lang="fr-CA" sz="1100" spc="-1" strike="noStrike">
                <a:latin typeface="Times New Roman"/>
              </a:rPr>
              <a:t>This shape represents a table slicer. Table slicers are not supported in this version of Excel.</a:t>
            </a:r>
            <a:endParaRPr b="0" lang="fr-CA" sz="1100" spc="-1" strike="noStrike">
              <a:latin typeface="Times New Roman"/>
            </a:endParaRPr>
          </a:p>
          <a:p>
            <a:endParaRPr b="0" lang="fr-CA" sz="1100" spc="-1" strike="noStrike">
              <a:latin typeface="Times New Roman"/>
            </a:endParaRPr>
          </a:p>
          <a:p>
            <a:pPr>
              <a:lnSpc>
                <a:spcPct val="100000"/>
              </a:lnSpc>
            </a:pPr>
            <a:r>
              <a:rPr b="0" lang="fr-CA" sz="1100" spc="-1" strike="noStrike">
                <a:latin typeface="Times New Roman"/>
              </a:rPr>
              <a:t>If the shape was modified in an earlier version of Excel, or if the workbook was saved in Excel 2007 or earlier, the slicer can't be used.</a:t>
            </a:r>
            <a:endParaRPr b="0" lang="fr-CA" sz="1100" spc="-1" strike="noStrike">
              <a:latin typeface="Times New Roman"/>
            </a:endParaRPr>
          </a:p>
        </xdr:txBody>
      </xdr:sp>
      <xdr:sp>
        <xdr:nvSpPr>
          <xdr:cNvPr id="199" name=""/>
          <xdr:cNvSpPr/>
        </xdr:nvSpPr>
        <xdr:spPr>
          <a:xfrm>
            <a:off x="-3933360" y="20720520"/>
            <a:ext cx="2002680" cy="4175280"/>
          </a:xfrm>
          <a:prstGeom prst="rect">
            <a:avLst/>
          </a:prstGeom>
          <a:solidFill>
            <a:srgbClr val="ffffff"/>
          </a:solidFill>
          <a:ln w="1">
            <a:solidFill>
              <a:srgbClr val="008000"/>
            </a:solidFill>
          </a:ln>
        </xdr:spPr>
        <xdr:style>
          <a:lnRef idx="0"/>
          <a:fillRef idx="0"/>
          <a:effectRef idx="0"/>
          <a:fontRef idx="minor"/>
        </xdr:style>
        <xdr:txBody>
          <a:bodyPr horzOverflow="clip" vertOverflow="clip" lIns="90000" rIns="90000" tIns="45000" bIns="45000" anchor="t">
            <a:noAutofit/>
          </a:bodyPr>
          <a:p>
            <a:r>
              <a:rPr b="0" lang="fr-CA" sz="1100" spc="-1" strike="noStrike">
                <a:latin typeface="Times New Roman"/>
              </a:rPr>
              <a:t>This shape represents a table slicer. Table slicers are not supported in this version of Excel.</a:t>
            </a:r>
            <a:endParaRPr b="0" lang="fr-CA" sz="1100" spc="-1" strike="noStrike">
              <a:latin typeface="Times New Roman"/>
            </a:endParaRPr>
          </a:p>
          <a:p>
            <a:endParaRPr b="0" lang="fr-CA" sz="1100" spc="-1" strike="noStrike">
              <a:latin typeface="Times New Roman"/>
            </a:endParaRPr>
          </a:p>
          <a:p>
            <a:pPr>
              <a:lnSpc>
                <a:spcPct val="100000"/>
              </a:lnSpc>
            </a:pPr>
            <a:r>
              <a:rPr b="0" lang="fr-CA" sz="1100" spc="-1" strike="noStrike">
                <a:latin typeface="Times New Roman"/>
              </a:rPr>
              <a:t>If the shape was modified in an earlier version of Excel, or if the workbook was saved in Excel 2007 or earlier, the slicer can't be used.</a:t>
            </a:r>
            <a:endParaRPr b="0" lang="fr-CA" sz="1100" spc="-1" strike="noStrike">
              <a:latin typeface="Times New Roman"/>
            </a:endParaRPr>
          </a:p>
        </xdr:txBody>
      </xdr:sp>
      <xdr:sp>
        <xdr:nvSpPr>
          <xdr:cNvPr id="200" name=""/>
          <xdr:cNvSpPr/>
        </xdr:nvSpPr>
        <xdr:spPr>
          <a:xfrm>
            <a:off x="-5550480" y="20748240"/>
            <a:ext cx="1512360" cy="4175280"/>
          </a:xfrm>
          <a:prstGeom prst="rect">
            <a:avLst/>
          </a:prstGeom>
          <a:solidFill>
            <a:srgbClr val="ffffff"/>
          </a:solidFill>
          <a:ln w="1">
            <a:solidFill>
              <a:srgbClr val="008000"/>
            </a:solidFill>
          </a:ln>
        </xdr:spPr>
        <xdr:style>
          <a:lnRef idx="0"/>
          <a:fillRef idx="0"/>
          <a:effectRef idx="0"/>
          <a:fontRef idx="minor"/>
        </xdr:style>
        <xdr:txBody>
          <a:bodyPr horzOverflow="clip" vertOverflow="clip" lIns="90000" rIns="90000" tIns="45000" bIns="45000" anchor="t">
            <a:noAutofit/>
          </a:bodyPr>
          <a:p>
            <a:r>
              <a:rPr b="0" lang="fr-CA" sz="1100" spc="-1" strike="noStrike">
                <a:latin typeface="Times New Roman"/>
              </a:rPr>
              <a:t>This shape represents a table slicer. Table slicers are not supported in this version of Excel.</a:t>
            </a:r>
            <a:endParaRPr b="0" lang="fr-CA" sz="1100" spc="-1" strike="noStrike">
              <a:latin typeface="Times New Roman"/>
            </a:endParaRPr>
          </a:p>
          <a:p>
            <a:endParaRPr b="0" lang="fr-CA" sz="1100" spc="-1" strike="noStrike">
              <a:latin typeface="Times New Roman"/>
            </a:endParaRPr>
          </a:p>
          <a:p>
            <a:pPr>
              <a:lnSpc>
                <a:spcPct val="100000"/>
              </a:lnSpc>
            </a:pPr>
            <a:r>
              <a:rPr b="0" lang="fr-CA" sz="1100" spc="-1" strike="noStrike">
                <a:latin typeface="Times New Roman"/>
              </a:rPr>
              <a:t>If the shape was modified in an earlier version of Excel, or if the workbook was saved in Excel 2007 or earlier, the slicer can't be used.</a:t>
            </a:r>
            <a:endParaRPr b="0" lang="fr-CA" sz="1100" spc="-1" strike="noStrike">
              <a:latin typeface="Times New Roman"/>
            </a:endParaRPr>
          </a:p>
        </xdr:txBody>
      </xdr:sp>
      <xdr:sp>
        <xdr:nvSpPr>
          <xdr:cNvPr id="201" name=""/>
          <xdr:cNvSpPr/>
        </xdr:nvSpPr>
        <xdr:spPr>
          <a:xfrm>
            <a:off x="-1867680" y="20683080"/>
            <a:ext cx="948960" cy="1953360"/>
          </a:xfrm>
          <a:prstGeom prst="rect">
            <a:avLst/>
          </a:prstGeom>
          <a:solidFill>
            <a:srgbClr val="ffffff"/>
          </a:solidFill>
          <a:ln w="1">
            <a:solidFill>
              <a:srgbClr val="008000"/>
            </a:solidFill>
          </a:ln>
        </xdr:spPr>
        <xdr:style>
          <a:lnRef idx="0"/>
          <a:fillRef idx="0"/>
          <a:effectRef idx="0"/>
          <a:fontRef idx="minor"/>
        </xdr:style>
        <xdr:txBody>
          <a:bodyPr horzOverflow="clip" vertOverflow="clip" lIns="90000" rIns="90000" tIns="45000" bIns="45000" anchor="t">
            <a:noAutofit/>
          </a:bodyPr>
          <a:p>
            <a:r>
              <a:rPr b="0" lang="fr-CA" sz="1100" spc="-1" strike="noStrike">
                <a:latin typeface="Times New Roman"/>
              </a:rPr>
              <a:t>This shape represents a table slicer. Table slicers are not supported in this version of Excel.</a:t>
            </a:r>
            <a:endParaRPr b="0" lang="fr-CA" sz="1100" spc="-1" strike="noStrike">
              <a:latin typeface="Times New Roman"/>
            </a:endParaRPr>
          </a:p>
          <a:p>
            <a:endParaRPr b="0" lang="fr-CA" sz="1100" spc="-1" strike="noStrike">
              <a:latin typeface="Times New Roman"/>
            </a:endParaRPr>
          </a:p>
          <a:p>
            <a:pPr>
              <a:lnSpc>
                <a:spcPct val="100000"/>
              </a:lnSpc>
            </a:pPr>
            <a:r>
              <a:rPr b="0" lang="fr-CA" sz="1100" spc="-1" strike="noStrike">
                <a:latin typeface="Times New Roman"/>
              </a:rPr>
              <a:t>If the shape was modified in an earlier version of Excel, or if the workbook was saved in Excel 2007 or earlier, the slicer can't be used.</a:t>
            </a:r>
            <a:endParaRPr b="0" lang="fr-CA" sz="1100" spc="-1" strike="noStrike">
              <a:latin typeface="Times New Roman"/>
            </a:endParaRPr>
          </a:p>
        </xdr:txBody>
      </xdr:sp>
    </xdr:grpSp>
    <xdr:clientData/>
  </xdr:twoCellAnchor>
</xdr:wsDr>
</file>

<file path=xl/drawings/drawing36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-7979760</xdr:colOff>
      <xdr:row>127</xdr:row>
      <xdr:rowOff>132480</xdr:rowOff>
    </xdr:from>
    <xdr:to>
      <xdr:col>0</xdr:col>
      <xdr:colOff>-905040</xdr:colOff>
      <xdr:row>149</xdr:row>
      <xdr:rowOff>181440</xdr:rowOff>
    </xdr:to>
    <xdr:grpSp>
      <xdr:nvGrpSpPr>
        <xdr:cNvPr id="202" name="Group 1"/>
        <xdr:cNvGrpSpPr/>
      </xdr:nvGrpSpPr>
      <xdr:grpSpPr>
        <a:xfrm>
          <a:off x="-7979760" y="20694960"/>
          <a:ext cx="7074720" cy="4240080"/>
          <a:chOff x="-7979760" y="20694960"/>
          <a:chExt cx="7074720" cy="4240080"/>
        </a:xfrm>
      </xdr:grpSpPr>
      <xdr:sp>
        <xdr:nvSpPr>
          <xdr:cNvPr id="203" name=""/>
          <xdr:cNvSpPr/>
        </xdr:nvSpPr>
        <xdr:spPr>
          <a:xfrm>
            <a:off x="-7979760" y="20710440"/>
            <a:ext cx="1857240" cy="4175280"/>
          </a:xfrm>
          <a:prstGeom prst="rect">
            <a:avLst/>
          </a:prstGeom>
          <a:solidFill>
            <a:srgbClr val="ffffff"/>
          </a:solidFill>
          <a:ln w="1">
            <a:solidFill>
              <a:srgbClr val="008000"/>
            </a:solidFill>
          </a:ln>
        </xdr:spPr>
        <xdr:style>
          <a:lnRef idx="0"/>
          <a:fillRef idx="0"/>
          <a:effectRef idx="0"/>
          <a:fontRef idx="minor"/>
        </xdr:style>
        <xdr:txBody>
          <a:bodyPr horzOverflow="clip" vertOverflow="clip" lIns="90000" rIns="90000" tIns="45000" bIns="45000" anchor="t">
            <a:noAutofit/>
          </a:bodyPr>
          <a:p>
            <a:r>
              <a:rPr b="0" lang="fr-CA" sz="1100" spc="-1" strike="noStrike">
                <a:latin typeface="Times New Roman"/>
              </a:rPr>
              <a:t>This shape represents a table slicer. Table slicers are not supported in this version of Excel.</a:t>
            </a:r>
            <a:endParaRPr b="0" lang="fr-CA" sz="1100" spc="-1" strike="noStrike">
              <a:latin typeface="Times New Roman"/>
            </a:endParaRPr>
          </a:p>
          <a:p>
            <a:endParaRPr b="0" lang="fr-CA" sz="1100" spc="-1" strike="noStrike">
              <a:latin typeface="Times New Roman"/>
            </a:endParaRPr>
          </a:p>
          <a:p>
            <a:pPr>
              <a:lnSpc>
                <a:spcPct val="100000"/>
              </a:lnSpc>
            </a:pPr>
            <a:r>
              <a:rPr b="0" lang="fr-CA" sz="1100" spc="-1" strike="noStrike">
                <a:latin typeface="Times New Roman"/>
              </a:rPr>
              <a:t>If the shape was modified in an earlier version of Excel, or if the workbook was saved in Excel 2007 or earlier, the slicer can't be used.</a:t>
            </a:r>
            <a:endParaRPr b="0" lang="fr-CA" sz="1100" spc="-1" strike="noStrike">
              <a:latin typeface="Times New Roman"/>
            </a:endParaRPr>
          </a:p>
        </xdr:txBody>
      </xdr:sp>
      <xdr:sp>
        <xdr:nvSpPr>
          <xdr:cNvPr id="204" name=""/>
          <xdr:cNvSpPr/>
        </xdr:nvSpPr>
        <xdr:spPr>
          <a:xfrm>
            <a:off x="-4218480" y="20732400"/>
            <a:ext cx="2201400" cy="4175280"/>
          </a:xfrm>
          <a:prstGeom prst="rect">
            <a:avLst/>
          </a:prstGeom>
          <a:solidFill>
            <a:srgbClr val="ffffff"/>
          </a:solidFill>
          <a:ln w="1">
            <a:solidFill>
              <a:srgbClr val="008000"/>
            </a:solidFill>
          </a:ln>
        </xdr:spPr>
        <xdr:style>
          <a:lnRef idx="0"/>
          <a:fillRef idx="0"/>
          <a:effectRef idx="0"/>
          <a:fontRef idx="minor"/>
        </xdr:style>
        <xdr:txBody>
          <a:bodyPr horzOverflow="clip" vertOverflow="clip" lIns="90000" rIns="90000" tIns="45000" bIns="45000" anchor="t">
            <a:noAutofit/>
          </a:bodyPr>
          <a:p>
            <a:r>
              <a:rPr b="0" lang="fr-CA" sz="1100" spc="-1" strike="noStrike">
                <a:latin typeface="Times New Roman"/>
              </a:rPr>
              <a:t>This shape represents a table slicer. Table slicers are not supported in this version of Excel.</a:t>
            </a:r>
            <a:endParaRPr b="0" lang="fr-CA" sz="1100" spc="-1" strike="noStrike">
              <a:latin typeface="Times New Roman"/>
            </a:endParaRPr>
          </a:p>
          <a:p>
            <a:endParaRPr b="0" lang="fr-CA" sz="1100" spc="-1" strike="noStrike">
              <a:latin typeface="Times New Roman"/>
            </a:endParaRPr>
          </a:p>
          <a:p>
            <a:pPr>
              <a:lnSpc>
                <a:spcPct val="100000"/>
              </a:lnSpc>
            </a:pPr>
            <a:r>
              <a:rPr b="0" lang="fr-CA" sz="1100" spc="-1" strike="noStrike">
                <a:latin typeface="Times New Roman"/>
              </a:rPr>
              <a:t>If the shape was modified in an earlier version of Excel, or if the workbook was saved in Excel 2007 or earlier, the slicer can't be used.</a:t>
            </a:r>
            <a:endParaRPr b="0" lang="fr-CA" sz="1100" spc="-1" strike="noStrike">
              <a:latin typeface="Times New Roman"/>
            </a:endParaRPr>
          </a:p>
        </xdr:txBody>
      </xdr:sp>
      <xdr:sp>
        <xdr:nvSpPr>
          <xdr:cNvPr id="205" name=""/>
          <xdr:cNvSpPr/>
        </xdr:nvSpPr>
        <xdr:spPr>
          <a:xfrm>
            <a:off x="-5995800" y="20759760"/>
            <a:ext cx="1662480" cy="4175280"/>
          </a:xfrm>
          <a:prstGeom prst="rect">
            <a:avLst/>
          </a:prstGeom>
          <a:solidFill>
            <a:srgbClr val="ffffff"/>
          </a:solidFill>
          <a:ln w="1">
            <a:solidFill>
              <a:srgbClr val="008000"/>
            </a:solidFill>
          </a:ln>
        </xdr:spPr>
        <xdr:style>
          <a:lnRef idx="0"/>
          <a:fillRef idx="0"/>
          <a:effectRef idx="0"/>
          <a:fontRef idx="minor"/>
        </xdr:style>
        <xdr:txBody>
          <a:bodyPr horzOverflow="clip" vertOverflow="clip" lIns="90000" rIns="90000" tIns="45000" bIns="45000" anchor="t">
            <a:noAutofit/>
          </a:bodyPr>
          <a:p>
            <a:r>
              <a:rPr b="0" lang="fr-CA" sz="1100" spc="-1" strike="noStrike">
                <a:latin typeface="Times New Roman"/>
              </a:rPr>
              <a:t>This shape represents a table slicer. Table slicers are not supported in this version of Excel.</a:t>
            </a:r>
            <a:endParaRPr b="0" lang="fr-CA" sz="1100" spc="-1" strike="noStrike">
              <a:latin typeface="Times New Roman"/>
            </a:endParaRPr>
          </a:p>
          <a:p>
            <a:endParaRPr b="0" lang="fr-CA" sz="1100" spc="-1" strike="noStrike">
              <a:latin typeface="Times New Roman"/>
            </a:endParaRPr>
          </a:p>
          <a:p>
            <a:pPr>
              <a:lnSpc>
                <a:spcPct val="100000"/>
              </a:lnSpc>
            </a:pPr>
            <a:r>
              <a:rPr b="0" lang="fr-CA" sz="1100" spc="-1" strike="noStrike">
                <a:latin typeface="Times New Roman"/>
              </a:rPr>
              <a:t>If the shape was modified in an earlier version of Excel, or if the workbook was saved in Excel 2007 or earlier, the slicer can't be used.</a:t>
            </a:r>
            <a:endParaRPr b="0" lang="fr-CA" sz="1100" spc="-1" strike="noStrike">
              <a:latin typeface="Times New Roman"/>
            </a:endParaRPr>
          </a:p>
        </xdr:txBody>
      </xdr:sp>
      <xdr:sp>
        <xdr:nvSpPr>
          <xdr:cNvPr id="206" name=""/>
          <xdr:cNvSpPr/>
        </xdr:nvSpPr>
        <xdr:spPr>
          <a:xfrm>
            <a:off x="-1948320" y="20694960"/>
            <a:ext cx="1043280" cy="1953360"/>
          </a:xfrm>
          <a:prstGeom prst="rect">
            <a:avLst/>
          </a:prstGeom>
          <a:solidFill>
            <a:srgbClr val="ffffff"/>
          </a:solidFill>
          <a:ln w="1">
            <a:solidFill>
              <a:srgbClr val="008000"/>
            </a:solidFill>
          </a:ln>
        </xdr:spPr>
        <xdr:style>
          <a:lnRef idx="0"/>
          <a:fillRef idx="0"/>
          <a:effectRef idx="0"/>
          <a:fontRef idx="minor"/>
        </xdr:style>
        <xdr:txBody>
          <a:bodyPr horzOverflow="clip" vertOverflow="clip" lIns="90000" rIns="90000" tIns="45000" bIns="45000" anchor="t">
            <a:noAutofit/>
          </a:bodyPr>
          <a:p>
            <a:r>
              <a:rPr b="0" lang="fr-CA" sz="1100" spc="-1" strike="noStrike">
                <a:latin typeface="Times New Roman"/>
              </a:rPr>
              <a:t>This shape represents a table slicer. Table slicers are not supported in this version of Excel.</a:t>
            </a:r>
            <a:endParaRPr b="0" lang="fr-CA" sz="1100" spc="-1" strike="noStrike">
              <a:latin typeface="Times New Roman"/>
            </a:endParaRPr>
          </a:p>
          <a:p>
            <a:endParaRPr b="0" lang="fr-CA" sz="1100" spc="-1" strike="noStrike">
              <a:latin typeface="Times New Roman"/>
            </a:endParaRPr>
          </a:p>
          <a:p>
            <a:pPr>
              <a:lnSpc>
                <a:spcPct val="100000"/>
              </a:lnSpc>
            </a:pPr>
            <a:r>
              <a:rPr b="0" lang="fr-CA" sz="1100" spc="-1" strike="noStrike">
                <a:latin typeface="Times New Roman"/>
              </a:rPr>
              <a:t>If the shape was modified in an earlier version of Excel, or if the workbook was saved in Excel 2007 or earlier, the slicer can't be used.</a:t>
            </a:r>
            <a:endParaRPr b="0" lang="fr-CA" sz="1100" spc="-1" strike="noStrike">
              <a:latin typeface="Times New Roman"/>
            </a:endParaRPr>
          </a:p>
        </xdr:txBody>
      </xdr:sp>
    </xdr:grpSp>
    <xdr:clientData/>
  </xdr:twoCellAnchor>
</xdr:wsDr>
</file>

<file path=xl/drawings/drawing37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-7760160</xdr:colOff>
      <xdr:row>102</xdr:row>
      <xdr:rowOff>146520</xdr:rowOff>
    </xdr:from>
    <xdr:to>
      <xdr:col>0</xdr:col>
      <xdr:colOff>-862920</xdr:colOff>
      <xdr:row>125</xdr:row>
      <xdr:rowOff>5040</xdr:rowOff>
    </xdr:to>
    <xdr:grpSp>
      <xdr:nvGrpSpPr>
        <xdr:cNvPr id="207" name="Group 1"/>
        <xdr:cNvGrpSpPr/>
      </xdr:nvGrpSpPr>
      <xdr:grpSpPr>
        <a:xfrm>
          <a:off x="-7760160" y="15946560"/>
          <a:ext cx="6897240" cy="4240080"/>
          <a:chOff x="-7760160" y="15946560"/>
          <a:chExt cx="6897240" cy="4240080"/>
        </a:xfrm>
      </xdr:grpSpPr>
      <xdr:sp>
        <xdr:nvSpPr>
          <xdr:cNvPr id="208" name=""/>
          <xdr:cNvSpPr/>
        </xdr:nvSpPr>
        <xdr:spPr>
          <a:xfrm>
            <a:off x="-7760160" y="15962040"/>
            <a:ext cx="1810800" cy="4175280"/>
          </a:xfrm>
          <a:prstGeom prst="rect">
            <a:avLst/>
          </a:prstGeom>
          <a:solidFill>
            <a:srgbClr val="ffffff"/>
          </a:solidFill>
          <a:ln w="1">
            <a:solidFill>
              <a:srgbClr val="008000"/>
            </a:solidFill>
          </a:ln>
        </xdr:spPr>
        <xdr:style>
          <a:lnRef idx="0"/>
          <a:fillRef idx="0"/>
          <a:effectRef idx="0"/>
          <a:fontRef idx="minor"/>
        </xdr:style>
        <xdr:txBody>
          <a:bodyPr horzOverflow="clip" vertOverflow="clip" lIns="90000" rIns="90000" tIns="45000" bIns="45000" anchor="t">
            <a:noAutofit/>
          </a:bodyPr>
          <a:p>
            <a:r>
              <a:rPr b="0" lang="fr-CA" sz="1100" spc="-1" strike="noStrike">
                <a:latin typeface="Times New Roman"/>
              </a:rPr>
              <a:t>This shape represents a table slicer. Table slicers are not supported in this version of Excel.</a:t>
            </a:r>
            <a:endParaRPr b="0" lang="fr-CA" sz="1100" spc="-1" strike="noStrike">
              <a:latin typeface="Times New Roman"/>
            </a:endParaRPr>
          </a:p>
          <a:p>
            <a:endParaRPr b="0" lang="fr-CA" sz="1100" spc="-1" strike="noStrike">
              <a:latin typeface="Times New Roman"/>
            </a:endParaRPr>
          </a:p>
          <a:p>
            <a:pPr>
              <a:lnSpc>
                <a:spcPct val="100000"/>
              </a:lnSpc>
            </a:pPr>
            <a:r>
              <a:rPr b="0" lang="fr-CA" sz="1100" spc="-1" strike="noStrike">
                <a:latin typeface="Times New Roman"/>
              </a:rPr>
              <a:t>If the shape was modified in an earlier version of Excel, or if the workbook was saved in Excel 2007 or earlier, the slicer can't be used.</a:t>
            </a:r>
            <a:endParaRPr b="0" lang="fr-CA" sz="1100" spc="-1" strike="noStrike">
              <a:latin typeface="Times New Roman"/>
            </a:endParaRPr>
          </a:p>
        </xdr:txBody>
      </xdr:sp>
      <xdr:sp>
        <xdr:nvSpPr>
          <xdr:cNvPr id="209" name=""/>
          <xdr:cNvSpPr/>
        </xdr:nvSpPr>
        <xdr:spPr>
          <a:xfrm>
            <a:off x="-4093560" y="15984000"/>
            <a:ext cx="2145960" cy="4175280"/>
          </a:xfrm>
          <a:prstGeom prst="rect">
            <a:avLst/>
          </a:prstGeom>
          <a:solidFill>
            <a:srgbClr val="ffffff"/>
          </a:solidFill>
          <a:ln w="1">
            <a:solidFill>
              <a:srgbClr val="008000"/>
            </a:solidFill>
          </a:ln>
        </xdr:spPr>
        <xdr:style>
          <a:lnRef idx="0"/>
          <a:fillRef idx="0"/>
          <a:effectRef idx="0"/>
          <a:fontRef idx="minor"/>
        </xdr:style>
        <xdr:txBody>
          <a:bodyPr horzOverflow="clip" vertOverflow="clip" lIns="90000" rIns="90000" tIns="45000" bIns="45000" anchor="t">
            <a:noAutofit/>
          </a:bodyPr>
          <a:p>
            <a:r>
              <a:rPr b="0" lang="fr-CA" sz="1100" spc="-1" strike="noStrike">
                <a:latin typeface="Times New Roman"/>
              </a:rPr>
              <a:t>This shape represents a table slicer. Table slicers are not supported in this version of Excel.</a:t>
            </a:r>
            <a:endParaRPr b="0" lang="fr-CA" sz="1100" spc="-1" strike="noStrike">
              <a:latin typeface="Times New Roman"/>
            </a:endParaRPr>
          </a:p>
          <a:p>
            <a:endParaRPr b="0" lang="fr-CA" sz="1100" spc="-1" strike="noStrike">
              <a:latin typeface="Times New Roman"/>
            </a:endParaRPr>
          </a:p>
          <a:p>
            <a:pPr>
              <a:lnSpc>
                <a:spcPct val="100000"/>
              </a:lnSpc>
            </a:pPr>
            <a:r>
              <a:rPr b="0" lang="fr-CA" sz="1100" spc="-1" strike="noStrike">
                <a:latin typeface="Times New Roman"/>
              </a:rPr>
              <a:t>If the shape was modified in an earlier version of Excel, or if the workbook was saved in Excel 2007 or earlier, the slicer can't be used.</a:t>
            </a:r>
            <a:endParaRPr b="0" lang="fr-CA" sz="1100" spc="-1" strike="noStrike">
              <a:latin typeface="Times New Roman"/>
            </a:endParaRPr>
          </a:p>
        </xdr:txBody>
      </xdr:sp>
      <xdr:sp>
        <xdr:nvSpPr>
          <xdr:cNvPr id="210" name=""/>
          <xdr:cNvSpPr/>
        </xdr:nvSpPr>
        <xdr:spPr>
          <a:xfrm>
            <a:off x="-5826240" y="16011360"/>
            <a:ext cx="1620720" cy="4175280"/>
          </a:xfrm>
          <a:prstGeom prst="rect">
            <a:avLst/>
          </a:prstGeom>
          <a:solidFill>
            <a:srgbClr val="ffffff"/>
          </a:solidFill>
          <a:ln w="1">
            <a:solidFill>
              <a:srgbClr val="008000"/>
            </a:solidFill>
          </a:ln>
        </xdr:spPr>
        <xdr:style>
          <a:lnRef idx="0"/>
          <a:fillRef idx="0"/>
          <a:effectRef idx="0"/>
          <a:fontRef idx="minor"/>
        </xdr:style>
        <xdr:txBody>
          <a:bodyPr horzOverflow="clip" vertOverflow="clip" lIns="90000" rIns="90000" tIns="45000" bIns="45000" anchor="t">
            <a:noAutofit/>
          </a:bodyPr>
          <a:p>
            <a:r>
              <a:rPr b="0" lang="fr-CA" sz="1100" spc="-1" strike="noStrike">
                <a:latin typeface="Times New Roman"/>
              </a:rPr>
              <a:t>This shape represents a table slicer. Table slicers are not supported in this version of Excel.</a:t>
            </a:r>
            <a:endParaRPr b="0" lang="fr-CA" sz="1100" spc="-1" strike="noStrike">
              <a:latin typeface="Times New Roman"/>
            </a:endParaRPr>
          </a:p>
          <a:p>
            <a:endParaRPr b="0" lang="fr-CA" sz="1100" spc="-1" strike="noStrike">
              <a:latin typeface="Times New Roman"/>
            </a:endParaRPr>
          </a:p>
          <a:p>
            <a:pPr>
              <a:lnSpc>
                <a:spcPct val="100000"/>
              </a:lnSpc>
            </a:pPr>
            <a:r>
              <a:rPr b="0" lang="fr-CA" sz="1100" spc="-1" strike="noStrike">
                <a:latin typeface="Times New Roman"/>
              </a:rPr>
              <a:t>If the shape was modified in an earlier version of Excel, or if the workbook was saved in Excel 2007 or earlier, the slicer can't be used.</a:t>
            </a:r>
            <a:endParaRPr b="0" lang="fr-CA" sz="1100" spc="-1" strike="noStrike">
              <a:latin typeface="Times New Roman"/>
            </a:endParaRPr>
          </a:p>
        </xdr:txBody>
      </xdr:sp>
      <xdr:sp>
        <xdr:nvSpPr>
          <xdr:cNvPr id="211" name=""/>
          <xdr:cNvSpPr/>
        </xdr:nvSpPr>
        <xdr:spPr>
          <a:xfrm>
            <a:off x="-1879920" y="15946560"/>
            <a:ext cx="1017000" cy="1953360"/>
          </a:xfrm>
          <a:prstGeom prst="rect">
            <a:avLst/>
          </a:prstGeom>
          <a:solidFill>
            <a:srgbClr val="ffffff"/>
          </a:solidFill>
          <a:ln w="1">
            <a:solidFill>
              <a:srgbClr val="008000"/>
            </a:solidFill>
          </a:ln>
        </xdr:spPr>
        <xdr:style>
          <a:lnRef idx="0"/>
          <a:fillRef idx="0"/>
          <a:effectRef idx="0"/>
          <a:fontRef idx="minor"/>
        </xdr:style>
        <xdr:txBody>
          <a:bodyPr horzOverflow="clip" vertOverflow="clip" lIns="90000" rIns="90000" tIns="45000" bIns="45000" anchor="t">
            <a:noAutofit/>
          </a:bodyPr>
          <a:p>
            <a:r>
              <a:rPr b="0" lang="fr-CA" sz="1100" spc="-1" strike="noStrike">
                <a:latin typeface="Times New Roman"/>
              </a:rPr>
              <a:t>This shape represents a table slicer. Table slicers are not supported in this version of Excel.</a:t>
            </a:r>
            <a:endParaRPr b="0" lang="fr-CA" sz="1100" spc="-1" strike="noStrike">
              <a:latin typeface="Times New Roman"/>
            </a:endParaRPr>
          </a:p>
          <a:p>
            <a:endParaRPr b="0" lang="fr-CA" sz="1100" spc="-1" strike="noStrike">
              <a:latin typeface="Times New Roman"/>
            </a:endParaRPr>
          </a:p>
          <a:p>
            <a:pPr>
              <a:lnSpc>
                <a:spcPct val="100000"/>
              </a:lnSpc>
            </a:pPr>
            <a:r>
              <a:rPr b="0" lang="fr-CA" sz="1100" spc="-1" strike="noStrike">
                <a:latin typeface="Times New Roman"/>
              </a:rPr>
              <a:t>If the shape was modified in an earlier version of Excel, or if the workbook was saved in Excel 2007 or earlier, the slicer can't be used.</a:t>
            </a:r>
            <a:endParaRPr b="0" lang="fr-CA" sz="1100" spc="-1" strike="noStrike">
              <a:latin typeface="Times New Roman"/>
            </a:endParaRPr>
          </a:p>
        </xdr:txBody>
      </xdr:sp>
    </xdr:grpSp>
    <xdr:clientData/>
  </xdr:twoCellAnchor>
</xdr:wsDr>
</file>

<file path=xl/drawings/drawing38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-7384680</xdr:colOff>
      <xdr:row>88</xdr:row>
      <xdr:rowOff>118440</xdr:rowOff>
    </xdr:from>
    <xdr:to>
      <xdr:col>0</xdr:col>
      <xdr:colOff>-1373400</xdr:colOff>
      <xdr:row>110</xdr:row>
      <xdr:rowOff>168120</xdr:rowOff>
    </xdr:to>
    <xdr:grpSp>
      <xdr:nvGrpSpPr>
        <xdr:cNvPr id="212" name="Group 1"/>
        <xdr:cNvGrpSpPr/>
      </xdr:nvGrpSpPr>
      <xdr:grpSpPr>
        <a:xfrm>
          <a:off x="-7384680" y="13251600"/>
          <a:ext cx="6011280" cy="4240440"/>
          <a:chOff x="-7384680" y="13251600"/>
          <a:chExt cx="6011280" cy="4240440"/>
        </a:xfrm>
      </xdr:grpSpPr>
      <xdr:sp>
        <xdr:nvSpPr>
          <xdr:cNvPr id="213" name=""/>
          <xdr:cNvSpPr/>
        </xdr:nvSpPr>
        <xdr:spPr>
          <a:xfrm>
            <a:off x="-7384680" y="13267440"/>
            <a:ext cx="1577880" cy="4175280"/>
          </a:xfrm>
          <a:prstGeom prst="rect">
            <a:avLst/>
          </a:prstGeom>
          <a:solidFill>
            <a:srgbClr val="ffffff"/>
          </a:solidFill>
          <a:ln w="1">
            <a:solidFill>
              <a:srgbClr val="008000"/>
            </a:solidFill>
          </a:ln>
        </xdr:spPr>
        <xdr:style>
          <a:lnRef idx="0"/>
          <a:fillRef idx="0"/>
          <a:effectRef idx="0"/>
          <a:fontRef idx="minor"/>
        </xdr:style>
        <xdr:txBody>
          <a:bodyPr horzOverflow="clip" vertOverflow="clip" lIns="90000" rIns="90000" tIns="45000" bIns="45000" anchor="t">
            <a:noAutofit/>
          </a:bodyPr>
          <a:p>
            <a:r>
              <a:rPr b="0" lang="fr-CA" sz="1100" spc="-1" strike="noStrike">
                <a:latin typeface="Times New Roman"/>
              </a:rPr>
              <a:t>This shape represents a table slicer. Table slicers are not supported in this version of Excel.</a:t>
            </a:r>
            <a:endParaRPr b="0" lang="fr-CA" sz="1100" spc="-1" strike="noStrike">
              <a:latin typeface="Times New Roman"/>
            </a:endParaRPr>
          </a:p>
          <a:p>
            <a:endParaRPr b="0" lang="fr-CA" sz="1100" spc="-1" strike="noStrike">
              <a:latin typeface="Times New Roman"/>
            </a:endParaRPr>
          </a:p>
          <a:p>
            <a:pPr>
              <a:lnSpc>
                <a:spcPct val="100000"/>
              </a:lnSpc>
            </a:pPr>
            <a:r>
              <a:rPr b="0" lang="fr-CA" sz="1100" spc="-1" strike="noStrike">
                <a:latin typeface="Times New Roman"/>
              </a:rPr>
              <a:t>If the shape was modified in an earlier version of Excel, or if the workbook was saved in Excel 2007 or earlier, the slicer can't be used.</a:t>
            </a:r>
            <a:endParaRPr b="0" lang="fr-CA" sz="1100" spc="-1" strike="noStrike">
              <a:latin typeface="Times New Roman"/>
            </a:endParaRPr>
          </a:p>
        </xdr:txBody>
      </xdr:sp>
      <xdr:sp>
        <xdr:nvSpPr>
          <xdr:cNvPr id="214" name=""/>
          <xdr:cNvSpPr/>
        </xdr:nvSpPr>
        <xdr:spPr>
          <a:xfrm>
            <a:off x="-4188960" y="13289040"/>
            <a:ext cx="1870200" cy="4175280"/>
          </a:xfrm>
          <a:prstGeom prst="rect">
            <a:avLst/>
          </a:prstGeom>
          <a:solidFill>
            <a:srgbClr val="ffffff"/>
          </a:solidFill>
          <a:ln w="1">
            <a:solidFill>
              <a:srgbClr val="008000"/>
            </a:solidFill>
          </a:ln>
        </xdr:spPr>
        <xdr:style>
          <a:lnRef idx="0"/>
          <a:fillRef idx="0"/>
          <a:effectRef idx="0"/>
          <a:fontRef idx="minor"/>
        </xdr:style>
        <xdr:txBody>
          <a:bodyPr horzOverflow="clip" vertOverflow="clip" lIns="90000" rIns="90000" tIns="45000" bIns="45000" anchor="t">
            <a:noAutofit/>
          </a:bodyPr>
          <a:p>
            <a:r>
              <a:rPr b="0" lang="fr-CA" sz="1100" spc="-1" strike="noStrike">
                <a:latin typeface="Times New Roman"/>
              </a:rPr>
              <a:t>This shape represents a table slicer. Table slicers are not supported in this version of Excel.</a:t>
            </a:r>
            <a:endParaRPr b="0" lang="fr-CA" sz="1100" spc="-1" strike="noStrike">
              <a:latin typeface="Times New Roman"/>
            </a:endParaRPr>
          </a:p>
          <a:p>
            <a:endParaRPr b="0" lang="fr-CA" sz="1100" spc="-1" strike="noStrike">
              <a:latin typeface="Times New Roman"/>
            </a:endParaRPr>
          </a:p>
          <a:p>
            <a:pPr>
              <a:lnSpc>
                <a:spcPct val="100000"/>
              </a:lnSpc>
            </a:pPr>
            <a:r>
              <a:rPr b="0" lang="fr-CA" sz="1100" spc="-1" strike="noStrike">
                <a:latin typeface="Times New Roman"/>
              </a:rPr>
              <a:t>If the shape was modified in an earlier version of Excel, or if the workbook was saved in Excel 2007 or earlier, the slicer can't be used.</a:t>
            </a:r>
            <a:endParaRPr b="0" lang="fr-CA" sz="1100" spc="-1" strike="noStrike">
              <a:latin typeface="Times New Roman"/>
            </a:endParaRPr>
          </a:p>
        </xdr:txBody>
      </xdr:sp>
      <xdr:sp>
        <xdr:nvSpPr>
          <xdr:cNvPr id="215" name=""/>
          <xdr:cNvSpPr/>
        </xdr:nvSpPr>
        <xdr:spPr>
          <a:xfrm>
            <a:off x="-5699160" y="13316760"/>
            <a:ext cx="1412280" cy="4175280"/>
          </a:xfrm>
          <a:prstGeom prst="rect">
            <a:avLst/>
          </a:prstGeom>
          <a:solidFill>
            <a:srgbClr val="ffffff"/>
          </a:solidFill>
          <a:ln w="1">
            <a:solidFill>
              <a:srgbClr val="008000"/>
            </a:solidFill>
          </a:ln>
        </xdr:spPr>
        <xdr:style>
          <a:lnRef idx="0"/>
          <a:fillRef idx="0"/>
          <a:effectRef idx="0"/>
          <a:fontRef idx="minor"/>
        </xdr:style>
        <xdr:txBody>
          <a:bodyPr horzOverflow="clip" vertOverflow="clip" lIns="90000" rIns="90000" tIns="45000" bIns="45000" anchor="t">
            <a:noAutofit/>
          </a:bodyPr>
          <a:p>
            <a:r>
              <a:rPr b="0" lang="fr-CA" sz="1100" spc="-1" strike="noStrike">
                <a:latin typeface="Times New Roman"/>
              </a:rPr>
              <a:t>This shape represents a table slicer. Table slicers are not supported in this version of Excel.</a:t>
            </a:r>
            <a:endParaRPr b="0" lang="fr-CA" sz="1100" spc="-1" strike="noStrike">
              <a:latin typeface="Times New Roman"/>
            </a:endParaRPr>
          </a:p>
          <a:p>
            <a:endParaRPr b="0" lang="fr-CA" sz="1100" spc="-1" strike="noStrike">
              <a:latin typeface="Times New Roman"/>
            </a:endParaRPr>
          </a:p>
          <a:p>
            <a:pPr>
              <a:lnSpc>
                <a:spcPct val="100000"/>
              </a:lnSpc>
            </a:pPr>
            <a:r>
              <a:rPr b="0" lang="fr-CA" sz="1100" spc="-1" strike="noStrike">
                <a:latin typeface="Times New Roman"/>
              </a:rPr>
              <a:t>If the shape was modified in an earlier version of Excel, or if the workbook was saved in Excel 2007 or earlier, the slicer can't be used.</a:t>
            </a:r>
            <a:endParaRPr b="0" lang="fr-CA" sz="1100" spc="-1" strike="noStrike">
              <a:latin typeface="Times New Roman"/>
            </a:endParaRPr>
          </a:p>
        </xdr:txBody>
      </xdr:sp>
      <xdr:sp>
        <xdr:nvSpPr>
          <xdr:cNvPr id="216" name=""/>
          <xdr:cNvSpPr/>
        </xdr:nvSpPr>
        <xdr:spPr>
          <a:xfrm>
            <a:off x="-2259720" y="13251600"/>
            <a:ext cx="886320" cy="1953360"/>
          </a:xfrm>
          <a:prstGeom prst="rect">
            <a:avLst/>
          </a:prstGeom>
          <a:solidFill>
            <a:srgbClr val="ffffff"/>
          </a:solidFill>
          <a:ln w="1">
            <a:solidFill>
              <a:srgbClr val="008000"/>
            </a:solidFill>
          </a:ln>
        </xdr:spPr>
        <xdr:style>
          <a:lnRef idx="0"/>
          <a:fillRef idx="0"/>
          <a:effectRef idx="0"/>
          <a:fontRef idx="minor"/>
        </xdr:style>
        <xdr:txBody>
          <a:bodyPr horzOverflow="clip" vertOverflow="clip" lIns="90000" rIns="90000" tIns="45000" bIns="45000" anchor="t">
            <a:noAutofit/>
          </a:bodyPr>
          <a:p>
            <a:r>
              <a:rPr b="0" lang="fr-CA" sz="1100" spc="-1" strike="noStrike">
                <a:latin typeface="Times New Roman"/>
              </a:rPr>
              <a:t>This shape represents a table slicer. Table slicers are not supported in this version of Excel.</a:t>
            </a:r>
            <a:endParaRPr b="0" lang="fr-CA" sz="1100" spc="-1" strike="noStrike">
              <a:latin typeface="Times New Roman"/>
            </a:endParaRPr>
          </a:p>
          <a:p>
            <a:endParaRPr b="0" lang="fr-CA" sz="1100" spc="-1" strike="noStrike">
              <a:latin typeface="Times New Roman"/>
            </a:endParaRPr>
          </a:p>
          <a:p>
            <a:pPr>
              <a:lnSpc>
                <a:spcPct val="100000"/>
              </a:lnSpc>
            </a:pPr>
            <a:r>
              <a:rPr b="0" lang="fr-CA" sz="1100" spc="-1" strike="noStrike">
                <a:latin typeface="Times New Roman"/>
              </a:rPr>
              <a:t>If the shape was modified in an earlier version of Excel, or if the workbook was saved in Excel 2007 or earlier, the slicer can't be used.</a:t>
            </a:r>
            <a:endParaRPr b="0" lang="fr-CA" sz="1100" spc="-1" strike="noStrike">
              <a:latin typeface="Times New Roman"/>
            </a:endParaRPr>
          </a:p>
        </xdr:txBody>
      </xdr:sp>
    </xdr:grpSp>
    <xdr:clientData/>
  </xdr:twoCellAnchor>
</xdr:wsDr>
</file>

<file path=xl/drawings/drawing39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-6935400</xdr:colOff>
      <xdr:row>69</xdr:row>
      <xdr:rowOff>75960</xdr:rowOff>
    </xdr:from>
    <xdr:to>
      <xdr:col>0</xdr:col>
      <xdr:colOff>-1224000</xdr:colOff>
      <xdr:row>91</xdr:row>
      <xdr:rowOff>125280</xdr:rowOff>
    </xdr:to>
    <xdr:grpSp>
      <xdr:nvGrpSpPr>
        <xdr:cNvPr id="217" name="Group 1"/>
        <xdr:cNvGrpSpPr/>
      </xdr:nvGrpSpPr>
      <xdr:grpSpPr>
        <a:xfrm>
          <a:off x="-6935400" y="9589680"/>
          <a:ext cx="5711400" cy="4240080"/>
          <a:chOff x="-6935400" y="9589680"/>
          <a:chExt cx="5711400" cy="4240080"/>
        </a:xfrm>
      </xdr:grpSpPr>
      <xdr:sp>
        <xdr:nvSpPr>
          <xdr:cNvPr id="218" name=""/>
          <xdr:cNvSpPr/>
        </xdr:nvSpPr>
        <xdr:spPr>
          <a:xfrm>
            <a:off x="-6935400" y="9605160"/>
            <a:ext cx="1499400" cy="4175280"/>
          </a:xfrm>
          <a:prstGeom prst="rect">
            <a:avLst/>
          </a:prstGeom>
          <a:solidFill>
            <a:srgbClr val="ffffff"/>
          </a:solidFill>
          <a:ln w="1">
            <a:solidFill>
              <a:srgbClr val="008000"/>
            </a:solidFill>
          </a:ln>
        </xdr:spPr>
        <xdr:style>
          <a:lnRef idx="0"/>
          <a:fillRef idx="0"/>
          <a:effectRef idx="0"/>
          <a:fontRef idx="minor"/>
        </xdr:style>
        <xdr:txBody>
          <a:bodyPr horzOverflow="clip" vertOverflow="clip" lIns="90000" rIns="90000" tIns="45000" bIns="45000" anchor="t">
            <a:noAutofit/>
          </a:bodyPr>
          <a:p>
            <a:r>
              <a:rPr b="0" lang="fr-CA" sz="1100" spc="-1" strike="noStrike">
                <a:latin typeface="Times New Roman"/>
              </a:rPr>
              <a:t>This shape represents a table slicer. Table slicers are not supported in this version of Excel.</a:t>
            </a:r>
            <a:endParaRPr b="0" lang="fr-CA" sz="1100" spc="-1" strike="noStrike">
              <a:latin typeface="Times New Roman"/>
            </a:endParaRPr>
          </a:p>
          <a:p>
            <a:endParaRPr b="0" lang="fr-CA" sz="1100" spc="-1" strike="noStrike">
              <a:latin typeface="Times New Roman"/>
            </a:endParaRPr>
          </a:p>
          <a:p>
            <a:pPr>
              <a:lnSpc>
                <a:spcPct val="100000"/>
              </a:lnSpc>
            </a:pPr>
            <a:r>
              <a:rPr b="0" lang="fr-CA" sz="1100" spc="-1" strike="noStrike">
                <a:latin typeface="Times New Roman"/>
              </a:rPr>
              <a:t>If the shape was modified in an earlier version of Excel, or if the workbook was saved in Excel 2007 or earlier, the slicer can't be used.</a:t>
            </a:r>
            <a:endParaRPr b="0" lang="fr-CA" sz="1100" spc="-1" strike="noStrike">
              <a:latin typeface="Times New Roman"/>
            </a:endParaRPr>
          </a:p>
        </xdr:txBody>
      </xdr:sp>
      <xdr:sp>
        <xdr:nvSpPr>
          <xdr:cNvPr id="219" name=""/>
          <xdr:cNvSpPr/>
        </xdr:nvSpPr>
        <xdr:spPr>
          <a:xfrm>
            <a:off x="-3898800" y="9626760"/>
            <a:ext cx="1776960" cy="4175280"/>
          </a:xfrm>
          <a:prstGeom prst="rect">
            <a:avLst/>
          </a:prstGeom>
          <a:solidFill>
            <a:srgbClr val="ffffff"/>
          </a:solidFill>
          <a:ln w="1">
            <a:solidFill>
              <a:srgbClr val="008000"/>
            </a:solidFill>
          </a:ln>
        </xdr:spPr>
        <xdr:style>
          <a:lnRef idx="0"/>
          <a:fillRef idx="0"/>
          <a:effectRef idx="0"/>
          <a:fontRef idx="minor"/>
        </xdr:style>
        <xdr:txBody>
          <a:bodyPr horzOverflow="clip" vertOverflow="clip" lIns="90000" rIns="90000" tIns="45000" bIns="45000" anchor="t">
            <a:noAutofit/>
          </a:bodyPr>
          <a:p>
            <a:r>
              <a:rPr b="0" lang="fr-CA" sz="1100" spc="-1" strike="noStrike">
                <a:latin typeface="Times New Roman"/>
              </a:rPr>
              <a:t>This shape represents a table slicer. Table slicers are not supported in this version of Excel.</a:t>
            </a:r>
            <a:endParaRPr b="0" lang="fr-CA" sz="1100" spc="-1" strike="noStrike">
              <a:latin typeface="Times New Roman"/>
            </a:endParaRPr>
          </a:p>
          <a:p>
            <a:endParaRPr b="0" lang="fr-CA" sz="1100" spc="-1" strike="noStrike">
              <a:latin typeface="Times New Roman"/>
            </a:endParaRPr>
          </a:p>
          <a:p>
            <a:pPr>
              <a:lnSpc>
                <a:spcPct val="100000"/>
              </a:lnSpc>
            </a:pPr>
            <a:r>
              <a:rPr b="0" lang="fr-CA" sz="1100" spc="-1" strike="noStrike">
                <a:latin typeface="Times New Roman"/>
              </a:rPr>
              <a:t>If the shape was modified in an earlier version of Excel, or if the workbook was saved in Excel 2007 or earlier, the slicer can't be used.</a:t>
            </a:r>
            <a:endParaRPr b="0" lang="fr-CA" sz="1100" spc="-1" strike="noStrike">
              <a:latin typeface="Times New Roman"/>
            </a:endParaRPr>
          </a:p>
        </xdr:txBody>
      </xdr:sp>
      <xdr:sp>
        <xdr:nvSpPr>
          <xdr:cNvPr id="220" name=""/>
          <xdr:cNvSpPr/>
        </xdr:nvSpPr>
        <xdr:spPr>
          <a:xfrm>
            <a:off x="-5333760" y="9654480"/>
            <a:ext cx="1342080" cy="4175280"/>
          </a:xfrm>
          <a:prstGeom prst="rect">
            <a:avLst/>
          </a:prstGeom>
          <a:solidFill>
            <a:srgbClr val="ffffff"/>
          </a:solidFill>
          <a:ln w="1">
            <a:solidFill>
              <a:srgbClr val="008000"/>
            </a:solidFill>
          </a:ln>
        </xdr:spPr>
        <xdr:style>
          <a:lnRef idx="0"/>
          <a:fillRef idx="0"/>
          <a:effectRef idx="0"/>
          <a:fontRef idx="minor"/>
        </xdr:style>
        <xdr:txBody>
          <a:bodyPr horzOverflow="clip" vertOverflow="clip" lIns="90000" rIns="90000" tIns="45000" bIns="45000" anchor="t">
            <a:noAutofit/>
          </a:bodyPr>
          <a:p>
            <a:r>
              <a:rPr b="0" lang="fr-CA" sz="1100" spc="-1" strike="noStrike">
                <a:latin typeface="Times New Roman"/>
              </a:rPr>
              <a:t>This shape represents a table slicer. Table slicers are not supported in this version of Excel.</a:t>
            </a:r>
            <a:endParaRPr b="0" lang="fr-CA" sz="1100" spc="-1" strike="noStrike">
              <a:latin typeface="Times New Roman"/>
            </a:endParaRPr>
          </a:p>
          <a:p>
            <a:endParaRPr b="0" lang="fr-CA" sz="1100" spc="-1" strike="noStrike">
              <a:latin typeface="Times New Roman"/>
            </a:endParaRPr>
          </a:p>
          <a:p>
            <a:pPr>
              <a:lnSpc>
                <a:spcPct val="100000"/>
              </a:lnSpc>
            </a:pPr>
            <a:r>
              <a:rPr b="0" lang="fr-CA" sz="1100" spc="-1" strike="noStrike">
                <a:latin typeface="Times New Roman"/>
              </a:rPr>
              <a:t>If the shape was modified in an earlier version of Excel, or if the workbook was saved in Excel 2007 or earlier, the slicer can't be used.</a:t>
            </a:r>
            <a:endParaRPr b="0" lang="fr-CA" sz="1100" spc="-1" strike="noStrike">
              <a:latin typeface="Times New Roman"/>
            </a:endParaRPr>
          </a:p>
        </xdr:txBody>
      </xdr:sp>
      <xdr:sp>
        <xdr:nvSpPr>
          <xdr:cNvPr id="221" name=""/>
          <xdr:cNvSpPr/>
        </xdr:nvSpPr>
        <xdr:spPr>
          <a:xfrm>
            <a:off x="-2066040" y="9589680"/>
            <a:ext cx="842040" cy="1953360"/>
          </a:xfrm>
          <a:prstGeom prst="rect">
            <a:avLst/>
          </a:prstGeom>
          <a:solidFill>
            <a:srgbClr val="ffffff"/>
          </a:solidFill>
          <a:ln w="1">
            <a:solidFill>
              <a:srgbClr val="008000"/>
            </a:solidFill>
          </a:ln>
        </xdr:spPr>
        <xdr:style>
          <a:lnRef idx="0"/>
          <a:fillRef idx="0"/>
          <a:effectRef idx="0"/>
          <a:fontRef idx="minor"/>
        </xdr:style>
        <xdr:txBody>
          <a:bodyPr horzOverflow="clip" vertOverflow="clip" lIns="90000" rIns="90000" tIns="45000" bIns="45000" anchor="t">
            <a:noAutofit/>
          </a:bodyPr>
          <a:p>
            <a:r>
              <a:rPr b="0" lang="fr-CA" sz="1100" spc="-1" strike="noStrike">
                <a:latin typeface="Times New Roman"/>
              </a:rPr>
              <a:t>This shape represents a table slicer. Table slicers are not supported in this version of Excel.</a:t>
            </a:r>
            <a:endParaRPr b="0" lang="fr-CA" sz="1100" spc="-1" strike="noStrike">
              <a:latin typeface="Times New Roman"/>
            </a:endParaRPr>
          </a:p>
          <a:p>
            <a:endParaRPr b="0" lang="fr-CA" sz="1100" spc="-1" strike="noStrike">
              <a:latin typeface="Times New Roman"/>
            </a:endParaRPr>
          </a:p>
          <a:p>
            <a:pPr>
              <a:lnSpc>
                <a:spcPct val="100000"/>
              </a:lnSpc>
            </a:pPr>
            <a:r>
              <a:rPr b="0" lang="fr-CA" sz="1100" spc="-1" strike="noStrike">
                <a:latin typeface="Times New Roman"/>
              </a:rPr>
              <a:t>If the shape was modified in an earlier version of Excel, or if the workbook was saved in Excel 2007 or earlier, the slicer can't be used.</a:t>
            </a:r>
            <a:endParaRPr b="0" lang="fr-CA" sz="1100" spc="-1" strike="noStrike">
              <a:latin typeface="Times New Roman"/>
            </a:endParaRPr>
          </a:p>
        </xdr:txBody>
      </xdr:sp>
    </xdr:grpSp>
    <xdr:clientData/>
  </xdr:twoCellAnchor>
</xdr:wsDr>
</file>

<file path=xl/tables/table1.xml><?xml version="1.0" encoding="utf-8"?>
<table xmlns="http://schemas.openxmlformats.org/spreadsheetml/2006/main" id="1" name="ClientsTotal" displayName="ClientsTotal" ref="A26:C54" headerRowCount="1" totalsRowCount="0" totalsRowShown="0">
  <autoFilter ref="A26:C54">
    <filterColumn colId="0" hiddenButton="1">
      <filters>
        <filter val="15%"/>
        <filter val="20%"/>
        <filter val="3%"/>
        <filter val="4%"/>
        <filter val="43%"/>
        <filter val="5%"/>
        <filter val="7%"/>
      </filters>
    </filterColumn>
    <filterColumn colId="1" hiddenButton="1"/>
    <filterColumn colId="2" hiddenButton="1"/>
  </autoFilter>
  <tableColumns count="3">
    <tableColumn id="1" name="%"/>
    <tableColumn id="2" name="Clients"/>
    <tableColumn id="3" name="Total"/>
  </tableColumns>
</table>
</file>

<file path=xl/tables/table2.xml><?xml version="1.0" encoding="utf-8"?>
<table xmlns="http://schemas.openxmlformats.org/spreadsheetml/2006/main" id="2" name="ClientsTotal83" displayName="ClientsTotal83" ref="A40:C68" headerRowCount="1" totalsRowCount="0" totalsRowShown="0">
  <autoFilter ref="A40:C68">
    <filterColumn colId="0" hiddenButton="1">
      <filters>
        <filter val="1%"/>
        <filter val="10%"/>
        <filter val="30%"/>
        <filter val="4%"/>
        <filter val="60%"/>
      </filters>
    </filterColumn>
    <filterColumn colId="1" hiddenButton="1"/>
    <filterColumn colId="2" hiddenButton="1"/>
  </autoFilter>
  <tableColumns count="3">
    <tableColumn id="1" name="%"/>
    <tableColumn id="2" name="Clients"/>
    <tableColumn id="3" name="Total"/>
  </tableColumns>
</table>
</file>

<file path=xl/tables/table3.xml><?xml version="1.0" encoding="utf-8"?>
<table xmlns="http://schemas.openxmlformats.org/spreadsheetml/2006/main" id="3" name="ClientsTotal83100" displayName="ClientsTotal83100" ref="A49:C77" headerRowCount="1" totalsRowCount="0" totalsRowShown="0">
  <autoFilter ref="A49:C77"/>
  <tableColumns count="3">
    <tableColumn id="1" name="%"/>
    <tableColumn id="2" name="Clients"/>
    <tableColumn id="3" name="Total"/>
  </tableColumns>
</table>
</file>

<file path=xl/tables/table4.xml><?xml version="1.0" encoding="utf-8"?>
<table xmlns="http://schemas.openxmlformats.org/spreadsheetml/2006/main" id="4" name="ClientsTotal83102" displayName="ClientsTotal83102" ref="A30:C58" headerRowCount="1" totalsRowCount="0" totalsRowShown="0">
  <autoFilter ref="A30:C58"/>
  <tableColumns count="3">
    <tableColumn id="1" name="%"/>
    <tableColumn id="2" name="Clients"/>
    <tableColumn id="3" name="Total"/>
  </tableColumns>
</table>
</file>

<file path=xl/tables/table5.xml><?xml version="1.0" encoding="utf-8"?>
<table xmlns="http://schemas.openxmlformats.org/spreadsheetml/2006/main" id="5" name="ClientsTotal83104" displayName="ClientsTotal83104" ref="A37:C65" headerRowCount="1" totalsRowCount="0" totalsRowShown="0">
  <autoFilter ref="A37:C65"/>
  <tableColumns count="3">
    <tableColumn id="1" name="%"/>
    <tableColumn id="2" name="Clients"/>
    <tableColumn id="3" name="Total"/>
  </tableColumns>
</table>
</file>

<file path=xl/tables/table6.xml><?xml version="1.0" encoding="utf-8"?>
<table xmlns="http://schemas.openxmlformats.org/spreadsheetml/2006/main" id="6" name="ClientsTotal83106" displayName="ClientsTotal83106" ref="A36:C64" headerRowCount="1" totalsRowCount="0" totalsRowShown="0">
  <autoFilter ref="A36:C64"/>
  <tableColumns count="3">
    <tableColumn id="1" name="%"/>
    <tableColumn id="2" name="Clients"/>
    <tableColumn id="3" name="Total"/>
  </tableColumns>
</table>
</file>

<file path=xl/tables/table7.xml><?xml version="1.0" encoding="utf-8"?>
<table xmlns="http://schemas.openxmlformats.org/spreadsheetml/2006/main" id="7" name="ClientsTotal83108" displayName="ClientsTotal83108" ref="A33:C61" headerRowCount="1" totalsRowCount="0" totalsRowShown="0">
  <autoFilter ref="A33:C61"/>
  <tableColumns count="3">
    <tableColumn id="1" name="%"/>
    <tableColumn id="2" name="Clients"/>
    <tableColumn id="3" name="Total"/>
  </tableColumns>
</table>
</file>

<file path=xl/tables/table8.xml><?xml version="1.0" encoding="utf-8"?>
<table xmlns="http://schemas.openxmlformats.org/spreadsheetml/2006/main" id="8" name="ClientsTotal83110" displayName="ClientsTotal83110" ref="A44:C72" headerRowCount="1" totalsRowCount="0" totalsRowShown="0">
  <autoFilter ref="A44:C72"/>
  <tableColumns count="3">
    <tableColumn id="1" name="%"/>
    <tableColumn id="2" name="Clients"/>
    <tableColumn id="3" name="Total"/>
  </tableColumns>
</table>
</file>

<file path=xl/tables/table9.xml><?xml version="1.0" encoding="utf-8"?>
<table xmlns="http://schemas.openxmlformats.org/spreadsheetml/2006/main" id="9" name="ClientsTotal83112" displayName="ClientsTotal83112" ref="A50:C78" headerRowCount="1" totalsRowCount="0" totalsRowShown="0">
  <autoFilter ref="A50:C78"/>
  <tableColumns count="3">
    <tableColumn id="1" name="%"/>
    <tableColumn id="2" name="Clients"/>
    <tableColumn id="3" name="Total"/>
  </tableColumns>
</table>
</file>

<file path=xl/tables/table10.xml><?xml version="1.0" encoding="utf-8"?>
<table xmlns="http://schemas.openxmlformats.org/spreadsheetml/2006/main" id="10" name="ClientsTotal8375" displayName="ClientsTotal8375" ref="A44:C72" headerRowCount="1" totalsRowCount="0" totalsRowShown="0">
  <autoFilter ref="A44:C72"/>
  <tableColumns count="3">
    <tableColumn id="1" name="%"/>
    <tableColumn id="2" name="Clients"/>
    <tableColumn id="3" name="Total"/>
  </tableColumns>
</table>
</file>

<file path=xl/tables/table11.xml><?xml version="1.0" encoding="utf-8"?>
<table xmlns="http://schemas.openxmlformats.org/spreadsheetml/2006/main" id="11" name="ClientsTotal8386" displayName="ClientsTotal8386" ref="A39:C67" headerRowCount="1" totalsRowCount="0" totalsRowShown="0">
  <autoFilter ref="A39:C67"/>
  <tableColumns count="3">
    <tableColumn id="1" name="%"/>
    <tableColumn id="2" name="Clients"/>
    <tableColumn id="3" name="Total"/>
  </tableColumns>
</table>
</file>

<file path=xl/tables/table12.xml><?xml version="1.0" encoding="utf-8"?>
<table xmlns="http://schemas.openxmlformats.org/spreadsheetml/2006/main" id="12" name="ClientsTotal8388" displayName="ClientsTotal8388" ref="A54:C82" headerRowCount="1" totalsRowCount="0" totalsRowShown="0">
  <autoFilter ref="A54:C82"/>
  <tableColumns count="3">
    <tableColumn id="1" name="%"/>
    <tableColumn id="2" name="Clients"/>
    <tableColumn id="3" name="Total"/>
  </tableColumns>
</table>
</file>

<file path=xl/tables/table13.xml><?xml version="1.0" encoding="utf-8"?>
<table xmlns="http://schemas.openxmlformats.org/spreadsheetml/2006/main" id="13" name="ClientsTotal8390" displayName="ClientsTotal8390" ref="A42:C70" headerRowCount="1" totalsRowCount="0" totalsRowShown="0">
  <autoFilter ref="A42:C70"/>
  <tableColumns count="3">
    <tableColumn id="1" name="%"/>
    <tableColumn id="2" name="Clients"/>
    <tableColumn id="3" name="Total"/>
  </tableColumns>
</table>
</file>

<file path=xl/tables/table14.xml><?xml version="1.0" encoding="utf-8"?>
<table xmlns="http://schemas.openxmlformats.org/spreadsheetml/2006/main" id="14" name="ClientsTotal8392" displayName="ClientsTotal8392" ref="A53:C81" headerRowCount="1" totalsRowCount="0" totalsRowShown="0">
  <autoFilter ref="A53:C81"/>
  <tableColumns count="3">
    <tableColumn id="1" name="%"/>
    <tableColumn id="2" name="Clients"/>
    <tableColumn id="3" name="Total"/>
  </tableColumns>
</table>
</file>

<file path=xl/tables/table15.xml><?xml version="1.0" encoding="utf-8"?>
<table xmlns="http://schemas.openxmlformats.org/spreadsheetml/2006/main" id="15" name="ClientsTotal8394" displayName="ClientsTotal8394" ref="A47:C75" headerRowCount="1" totalsRowCount="0" totalsRowShown="0">
  <autoFilter ref="A47:C75"/>
  <tableColumns count="3">
    <tableColumn id="1" name="%"/>
    <tableColumn id="2" name="Clients"/>
    <tableColumn id="3" name="Total"/>
  </tableColumns>
</table>
</file>

<file path=xl/tables/table16.xml><?xml version="1.0" encoding="utf-8"?>
<table xmlns="http://schemas.openxmlformats.org/spreadsheetml/2006/main" id="16" name="ClientsTotal8396" displayName="ClientsTotal8396" ref="A38:C66" headerRowCount="1" totalsRowCount="0" totalsRowShown="0">
  <autoFilter ref="A38:C66"/>
  <tableColumns count="3">
    <tableColumn id="1" name="%"/>
    <tableColumn id="2" name="Clients"/>
    <tableColumn id="3" name="Total"/>
  </tableColumns>
</table>
</file>

<file path=xl/tables/table17.xml><?xml version="1.0" encoding="utf-8"?>
<table xmlns="http://schemas.openxmlformats.org/spreadsheetml/2006/main" id="17" name="ClientsTotal8398" displayName="ClientsTotal8398" ref="A27:C55" headerRowCount="1" totalsRowCount="0" totalsRowShown="0">
  <autoFilter ref="A27:C55"/>
  <tableColumns count="3">
    <tableColumn id="1" name="%"/>
    <tableColumn id="2" name="Clients"/>
    <tableColumn id="3" name="Total"/>
  </tableColumns>
</table>
</file>

<file path=xl/tables/table18.xml><?xml version="1.0" encoding="utf-8"?>
<table xmlns="http://schemas.openxmlformats.org/spreadsheetml/2006/main" id="18" name="Horo" displayName="Horo" ref="A3:X19" headerRowCount="1" totalsRowCount="0" totalsRowShown="0">
  <autoFilter ref="A3:X19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</autoFilter>
  <tableColumns count="24">
    <tableColumn id="1" name="O"/>
    <tableColumn id="2" name="Date"/>
    <tableColumn id="3" name="Jour"/>
    <tableColumn id="4" name="Début"/>
    <tableColumn id="5" name="Fin"/>
    <tableColumn id="6" name="Client"/>
    <tableColumn id="7" name="Tâche"/>
    <tableColumn id="8" name="Description"/>
    <tableColumn id="9" name="Column2"/>
    <tableColumn id="10" name="Durée"/>
    <tableColumn id="11" name="hrs"/>
    <tableColumn id="12" name="%"/>
    <tableColumn id="13" name="GPF"/>
    <tableColumn id="14" name="RI"/>
    <tableColumn id="15" name="GB"/>
    <tableColumn id="16" name="RD"/>
    <tableColumn id="17" name="FG"/>
    <tableColumn id="18" name="CONGÉ"/>
    <tableColumn id="19" name="PS"/>
    <tableColumn id="20" name="TD"/>
    <tableColumn id="21" name="N/C"/>
    <tableColumn id="22" name="W"/>
    <tableColumn id="23" name="T"/>
    <tableColumn id="24" name="Durée (60)2"/>
  </tableColumns>
</table>
</file>

<file path=xl/tables/table19.xml><?xml version="1.0" encoding="utf-8"?>
<table xmlns="http://schemas.openxmlformats.org/spreadsheetml/2006/main" id="19" name="Horo82" displayName="Horo82" ref="A3:X33" headerRowCount="1" totalsRowCount="0" totalsRowShown="0">
  <autoFilter ref="A3:X33">
    <filterColumn colId="0" hiddenButton="1">
      <filters>
        <filter val="."/>
      </filters>
    </filterColumn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</autoFilter>
  <tableColumns count="24">
    <tableColumn id="1" name="O"/>
    <tableColumn id="2" name="Date"/>
    <tableColumn id="3" name="Jour"/>
    <tableColumn id="4" name="Début"/>
    <tableColumn id="5" name="Fin"/>
    <tableColumn id="6" name="Client"/>
    <tableColumn id="7" name="Tâche"/>
    <tableColumn id="8" name="Description"/>
    <tableColumn id="9" name="Description 2"/>
    <tableColumn id="10" name="Durée"/>
    <tableColumn id="11" name="hrs"/>
    <tableColumn id="12" name="%"/>
    <tableColumn id="13" name="GPF"/>
    <tableColumn id="14" name="RI"/>
    <tableColumn id="15" name="GB"/>
    <tableColumn id="16" name="RD"/>
    <tableColumn id="17" name="FG"/>
    <tableColumn id="18" name="CONGÉ"/>
    <tableColumn id="19" name="PS"/>
    <tableColumn id="20" name="TD"/>
    <tableColumn id="21" name="N/C"/>
    <tableColumn id="22" name="W"/>
    <tableColumn id="23" name="T"/>
    <tableColumn id="24" name="Durée (60)2"/>
  </tableColumns>
</table>
</file>

<file path=xl/tables/table20.xml><?xml version="1.0" encoding="utf-8"?>
<table xmlns="http://schemas.openxmlformats.org/spreadsheetml/2006/main" id="20" name="Horo82101" displayName="Horo82101" ref="A3:X23" headerRowCount="1" totalsRowCount="0" totalsRowShown="0">
  <autoFilter ref="A3:X23"/>
  <tableColumns count="24">
    <tableColumn id="1" name="O"/>
    <tableColumn id="2" name="Date"/>
    <tableColumn id="3" name="Jour"/>
    <tableColumn id="4" name="Début"/>
    <tableColumn id="5" name="Fin"/>
    <tableColumn id="6" name="Client"/>
    <tableColumn id="7" name="Tâche"/>
    <tableColumn id="8" name="Description"/>
    <tableColumn id="9" name="Description 2"/>
    <tableColumn id="10" name="Durée"/>
    <tableColumn id="11" name="hrs"/>
    <tableColumn id="12" name="%"/>
    <tableColumn id="13" name="GPF"/>
    <tableColumn id="14" name="RI"/>
    <tableColumn id="15" name="GB"/>
    <tableColumn id="16" name="RD"/>
    <tableColumn id="17" name="FG"/>
    <tableColumn id="18" name="CONGÉ"/>
    <tableColumn id="19" name="PS"/>
    <tableColumn id="20" name="TD"/>
    <tableColumn id="21" name="N/C"/>
    <tableColumn id="22" name="W"/>
    <tableColumn id="23" name="T"/>
    <tableColumn id="24" name="Durée (60)2"/>
  </tableColumns>
</table>
</file>

<file path=xl/tables/table21.xml><?xml version="1.0" encoding="utf-8"?>
<table xmlns="http://schemas.openxmlformats.org/spreadsheetml/2006/main" id="21" name="Horo82103" displayName="Horo82103" ref="A3:X30" headerRowCount="1" totalsRowCount="0" totalsRowShown="0">
  <autoFilter ref="A3:X30"/>
  <tableColumns count="24">
    <tableColumn id="1" name="O"/>
    <tableColumn id="2" name="Date"/>
    <tableColumn id="3" name="Jour"/>
    <tableColumn id="4" name="Début"/>
    <tableColumn id="5" name="Fin"/>
    <tableColumn id="6" name="Client"/>
    <tableColumn id="7" name="Tâche"/>
    <tableColumn id="8" name="Description"/>
    <tableColumn id="9" name="Description 2"/>
    <tableColumn id="10" name="Durée"/>
    <tableColumn id="11" name="hrs"/>
    <tableColumn id="12" name="%"/>
    <tableColumn id="13" name="GPF"/>
    <tableColumn id="14" name="RI"/>
    <tableColumn id="15" name="GB"/>
    <tableColumn id="16" name="RD"/>
    <tableColumn id="17" name="FG"/>
    <tableColumn id="18" name="CONGÉ"/>
    <tableColumn id="19" name="PS"/>
    <tableColumn id="20" name="TD"/>
    <tableColumn id="21" name="N/C"/>
    <tableColumn id="22" name="W"/>
    <tableColumn id="23" name="T"/>
    <tableColumn id="24" name="Durée (60)2"/>
  </tableColumns>
</table>
</file>

<file path=xl/tables/table22.xml><?xml version="1.0" encoding="utf-8"?>
<table xmlns="http://schemas.openxmlformats.org/spreadsheetml/2006/main" id="22" name="Horo82105" displayName="Horo82105" ref="A3:X29" headerRowCount="1" totalsRowCount="0" totalsRowShown="0">
  <autoFilter ref="A3:X29"/>
  <tableColumns count="24">
    <tableColumn id="1" name="O"/>
    <tableColumn id="2" name="Date"/>
    <tableColumn id="3" name="Jour"/>
    <tableColumn id="4" name="Début"/>
    <tableColumn id="5" name="Fin"/>
    <tableColumn id="6" name="Client"/>
    <tableColumn id="7" name="Tâche"/>
    <tableColumn id="8" name="Description"/>
    <tableColumn id="9" name="Description 2"/>
    <tableColumn id="10" name="Durée"/>
    <tableColumn id="11" name="hrs"/>
    <tableColumn id="12" name="%"/>
    <tableColumn id="13" name="GPF"/>
    <tableColumn id="14" name="RI"/>
    <tableColumn id="15" name="GB"/>
    <tableColumn id="16" name="RD"/>
    <tableColumn id="17" name="FG"/>
    <tableColumn id="18" name="CONGÉ"/>
    <tableColumn id="19" name="PS"/>
    <tableColumn id="20" name="TD"/>
    <tableColumn id="21" name="N/C"/>
    <tableColumn id="22" name="W"/>
    <tableColumn id="23" name="T"/>
    <tableColumn id="24" name="Durée (60)2"/>
  </tableColumns>
</table>
</file>

<file path=xl/tables/table23.xml><?xml version="1.0" encoding="utf-8"?>
<table xmlns="http://schemas.openxmlformats.org/spreadsheetml/2006/main" id="23" name="Horo82107" displayName="Horo82107" ref="A3:X26" headerRowCount="1" totalsRowCount="0" totalsRowShown="0">
  <autoFilter ref="A3:X26"/>
  <tableColumns count="24">
    <tableColumn id="1" name="O"/>
    <tableColumn id="2" name="Date"/>
    <tableColumn id="3" name="Jour"/>
    <tableColumn id="4" name="Début"/>
    <tableColumn id="5" name="Fin"/>
    <tableColumn id="6" name="Client"/>
    <tableColumn id="7" name="Tâche"/>
    <tableColumn id="8" name="Description"/>
    <tableColumn id="9" name="Description 2"/>
    <tableColumn id="10" name="Durée"/>
    <tableColumn id="11" name="hrs"/>
    <tableColumn id="12" name="%"/>
    <tableColumn id="13" name="GPF"/>
    <tableColumn id="14" name="RI"/>
    <tableColumn id="15" name="GB"/>
    <tableColumn id="16" name="RD"/>
    <tableColumn id="17" name="FG"/>
    <tableColumn id="18" name="CONGÉ"/>
    <tableColumn id="19" name="PS"/>
    <tableColumn id="20" name="TD"/>
    <tableColumn id="21" name="N/C"/>
    <tableColumn id="22" name="W"/>
    <tableColumn id="23" name="T"/>
    <tableColumn id="24" name="Durée (60)2"/>
  </tableColumns>
</table>
</file>

<file path=xl/tables/table24.xml><?xml version="1.0" encoding="utf-8"?>
<table xmlns="http://schemas.openxmlformats.org/spreadsheetml/2006/main" id="24" name="Horo82109" displayName="Horo82109" ref="A3:X37" headerRowCount="1" totalsRowCount="0" totalsRowShown="0">
  <autoFilter ref="A3:X37"/>
  <tableColumns count="24">
    <tableColumn id="1" name="O"/>
    <tableColumn id="2" name="Date"/>
    <tableColumn id="3" name="Jour"/>
    <tableColumn id="4" name="Début"/>
    <tableColumn id="5" name="Fin"/>
    <tableColumn id="6" name="Client"/>
    <tableColumn id="7" name="Tâche"/>
    <tableColumn id="8" name="Description"/>
    <tableColumn id="9" name="Description 2"/>
    <tableColumn id="10" name="Durée"/>
    <tableColumn id="11" name="hrs"/>
    <tableColumn id="12" name="%"/>
    <tableColumn id="13" name="GPF"/>
    <tableColumn id="14" name="RI"/>
    <tableColumn id="15" name="GB"/>
    <tableColumn id="16" name="RD"/>
    <tableColumn id="17" name="FG"/>
    <tableColumn id="18" name="CONGÉ"/>
    <tableColumn id="19" name="PS"/>
    <tableColumn id="20" name="TD"/>
    <tableColumn id="21" name="N/C"/>
    <tableColumn id="22" name="W"/>
    <tableColumn id="23" name="T"/>
    <tableColumn id="24" name="Durée (60)2"/>
  </tableColumns>
</table>
</file>

<file path=xl/tables/table25.xml><?xml version="1.0" encoding="utf-8"?>
<table xmlns="http://schemas.openxmlformats.org/spreadsheetml/2006/main" id="25" name="Horo82111" displayName="Horo82111" ref="A3:X43" headerRowCount="1" totalsRowCount="0" totalsRowShown="0">
  <autoFilter ref="A3:X43"/>
  <tableColumns count="24">
    <tableColumn id="1" name="O"/>
    <tableColumn id="2" name="Date"/>
    <tableColumn id="3" name="Jour"/>
    <tableColumn id="4" name="Début"/>
    <tableColumn id="5" name="Fin"/>
    <tableColumn id="6" name="Client"/>
    <tableColumn id="7" name="Tâche"/>
    <tableColumn id="8" name="Description"/>
    <tableColumn id="9" name="Description 2"/>
    <tableColumn id="10" name="Durée"/>
    <tableColumn id="11" name="hrs"/>
    <tableColumn id="12" name="%"/>
    <tableColumn id="13" name="GPF"/>
    <tableColumn id="14" name="RI"/>
    <tableColumn id="15" name="GB"/>
    <tableColumn id="16" name="RD"/>
    <tableColumn id="17" name="FG"/>
    <tableColumn id="18" name="CONGÉ"/>
    <tableColumn id="19" name="PS"/>
    <tableColumn id="20" name="TD"/>
    <tableColumn id="21" name="N/C"/>
    <tableColumn id="22" name="W"/>
    <tableColumn id="23" name="T"/>
    <tableColumn id="24" name="Durée (60)2"/>
  </tableColumns>
</table>
</file>

<file path=xl/tables/table26.xml><?xml version="1.0" encoding="utf-8"?>
<table xmlns="http://schemas.openxmlformats.org/spreadsheetml/2006/main" id="26" name="Horo8250" displayName="Horo8250" ref="A3:X37" headerRowCount="1" totalsRowCount="0" totalsRowShown="0">
  <autoFilter ref="A3:X37"/>
  <tableColumns count="24">
    <tableColumn id="1" name="O"/>
    <tableColumn id="2" name="Date"/>
    <tableColumn id="3" name="Jour"/>
    <tableColumn id="4" name="Début"/>
    <tableColumn id="5" name="Fin"/>
    <tableColumn id="6" name="Client"/>
    <tableColumn id="7" name="Tâche"/>
    <tableColumn id="8" name="Description"/>
    <tableColumn id="9" name="Description 2"/>
    <tableColumn id="10" name="Durée"/>
    <tableColumn id="11" name="hrs"/>
    <tableColumn id="12" name="%"/>
    <tableColumn id="13" name="GPF"/>
    <tableColumn id="14" name="RI"/>
    <tableColumn id="15" name="GB"/>
    <tableColumn id="16" name="RD"/>
    <tableColumn id="17" name="FG"/>
    <tableColumn id="18" name="CONGÉ"/>
    <tableColumn id="19" name="PS"/>
    <tableColumn id="20" name="TD"/>
    <tableColumn id="21" name="N/C"/>
    <tableColumn id="22" name="W"/>
    <tableColumn id="23" name="T"/>
    <tableColumn id="24" name="Durée (60)2"/>
  </tableColumns>
</table>
</file>

<file path=xl/tables/table27.xml><?xml version="1.0" encoding="utf-8"?>
<table xmlns="http://schemas.openxmlformats.org/spreadsheetml/2006/main" id="27" name="Horo8285" displayName="Horo8285" ref="A3:X32" headerRowCount="1" totalsRowCount="0" totalsRowShown="0">
  <autoFilter ref="A3:X32"/>
  <tableColumns count="24">
    <tableColumn id="1" name="O"/>
    <tableColumn id="2" name="Date"/>
    <tableColumn id="3" name="Jour"/>
    <tableColumn id="4" name="Début"/>
    <tableColumn id="5" name="Fin"/>
    <tableColumn id="6" name="Client"/>
    <tableColumn id="7" name="Tâche"/>
    <tableColumn id="8" name="Description"/>
    <tableColumn id="9" name="Description 2"/>
    <tableColumn id="10" name="Durée"/>
    <tableColumn id="11" name="hrs"/>
    <tableColumn id="12" name="%"/>
    <tableColumn id="13" name="GPF"/>
    <tableColumn id="14" name="RI"/>
    <tableColumn id="15" name="GB"/>
    <tableColumn id="16" name="RD"/>
    <tableColumn id="17" name="FG"/>
    <tableColumn id="18" name="CONGÉ"/>
    <tableColumn id="19" name="PS"/>
    <tableColumn id="20" name="TD"/>
    <tableColumn id="21" name="N/C"/>
    <tableColumn id="22" name="W"/>
    <tableColumn id="23" name="T"/>
    <tableColumn id="24" name="Durée (60)2"/>
  </tableColumns>
</table>
</file>

<file path=xl/tables/table28.xml><?xml version="1.0" encoding="utf-8"?>
<table xmlns="http://schemas.openxmlformats.org/spreadsheetml/2006/main" id="28" name="Horo8287" displayName="Horo8287" ref="A3:X47" headerRowCount="1" totalsRowCount="0" totalsRowShown="0">
  <autoFilter ref="A3:X47"/>
  <tableColumns count="24">
    <tableColumn id="1" name="O"/>
    <tableColumn id="2" name="Date"/>
    <tableColumn id="3" name="Jour"/>
    <tableColumn id="4" name="Début"/>
    <tableColumn id="5" name="Fin"/>
    <tableColumn id="6" name="Client"/>
    <tableColumn id="7" name="Tâche"/>
    <tableColumn id="8" name="Description"/>
    <tableColumn id="9" name="Description 2"/>
    <tableColumn id="10" name="Durée"/>
    <tableColumn id="11" name="hrs"/>
    <tableColumn id="12" name="%"/>
    <tableColumn id="13" name="GPF"/>
    <tableColumn id="14" name="RI"/>
    <tableColumn id="15" name="GB"/>
    <tableColumn id="16" name="RD"/>
    <tableColumn id="17" name="FG"/>
    <tableColumn id="18" name="CONGÉ"/>
    <tableColumn id="19" name="PS"/>
    <tableColumn id="20" name="TD"/>
    <tableColumn id="21" name="N/C"/>
    <tableColumn id="22" name="W"/>
    <tableColumn id="23" name="T"/>
    <tableColumn id="24" name="Durée (60)2"/>
  </tableColumns>
</table>
</file>

<file path=xl/tables/table29.xml><?xml version="1.0" encoding="utf-8"?>
<table xmlns="http://schemas.openxmlformats.org/spreadsheetml/2006/main" id="29" name="Horo8289" displayName="Horo8289" ref="A3:X35" headerRowCount="1" totalsRowCount="0" totalsRowShown="0">
  <autoFilter ref="A3:X35"/>
  <tableColumns count="24">
    <tableColumn id="1" name="O"/>
    <tableColumn id="2" name="Date"/>
    <tableColumn id="3" name="Jour"/>
    <tableColumn id="4" name="Début"/>
    <tableColumn id="5" name="Fin"/>
    <tableColumn id="6" name="Client"/>
    <tableColumn id="7" name="Tâche"/>
    <tableColumn id="8" name="Description"/>
    <tableColumn id="9" name="Description 2"/>
    <tableColumn id="10" name="Durée"/>
    <tableColumn id="11" name="hrs"/>
    <tableColumn id="12" name="%"/>
    <tableColumn id="13" name="GPF"/>
    <tableColumn id="14" name="RI"/>
    <tableColumn id="15" name="GB"/>
    <tableColumn id="16" name="RD"/>
    <tableColumn id="17" name="FG"/>
    <tableColumn id="18" name="CONGÉ"/>
    <tableColumn id="19" name="PS"/>
    <tableColumn id="20" name="TD"/>
    <tableColumn id="21" name="N/C"/>
    <tableColumn id="22" name="W"/>
    <tableColumn id="23" name="T"/>
    <tableColumn id="24" name="Durée (60)2"/>
  </tableColumns>
</table>
</file>

<file path=xl/tables/table30.xml><?xml version="1.0" encoding="utf-8"?>
<table xmlns="http://schemas.openxmlformats.org/spreadsheetml/2006/main" id="30" name="Horo8291" displayName="Horo8291" ref="A3:X46" headerRowCount="1" totalsRowCount="0" totalsRowShown="0">
  <autoFilter ref="A3:X46">
    <filterColumn colId="5" hiddenButton="1">
      <filters>
        <filter val="ZITTA"/>
      </filters>
    </filterColumn>
    <filterColumn colId="0" hiddenButton="1"/>
    <filterColumn colId="1" hiddenButton="1"/>
    <filterColumn colId="2" hiddenButton="1"/>
    <filterColumn colId="3" hiddenButton="1"/>
    <filterColumn colId="4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</autoFilter>
  <tableColumns count="24">
    <tableColumn id="1" name="O"/>
    <tableColumn id="2" name="Date"/>
    <tableColumn id="3" name="Jour"/>
    <tableColumn id="4" name="Début"/>
    <tableColumn id="5" name="Fin"/>
    <tableColumn id="6" name="Client"/>
    <tableColumn id="7" name="Tâche"/>
    <tableColumn id="8" name="Description"/>
    <tableColumn id="9" name="Description 2"/>
    <tableColumn id="10" name="Durée"/>
    <tableColumn id="11" name="hrs"/>
    <tableColumn id="12" name="%"/>
    <tableColumn id="13" name="GPF"/>
    <tableColumn id="14" name="RI"/>
    <tableColumn id="15" name="GB"/>
    <tableColumn id="16" name="RD"/>
    <tableColumn id="17" name="FG"/>
    <tableColumn id="18" name="CONGÉ"/>
    <tableColumn id="19" name="PS"/>
    <tableColumn id="20" name="TD"/>
    <tableColumn id="21" name="N/C"/>
    <tableColumn id="22" name="W"/>
    <tableColumn id="23" name="T"/>
    <tableColumn id="24" name="Durée (60)2"/>
  </tableColumns>
</table>
</file>

<file path=xl/tables/table31.xml><?xml version="1.0" encoding="utf-8"?>
<table xmlns="http://schemas.openxmlformats.org/spreadsheetml/2006/main" id="31" name="Horo8293" displayName="Horo8293" ref="A3:X40" headerRowCount="1" totalsRowCount="0" totalsRowShown="0">
  <autoFilter ref="A3:X40"/>
  <tableColumns count="24">
    <tableColumn id="1" name="O"/>
    <tableColumn id="2" name="Date"/>
    <tableColumn id="3" name="Jour"/>
    <tableColumn id="4" name="Début"/>
    <tableColumn id="5" name="Fin"/>
    <tableColumn id="6" name="Client"/>
    <tableColumn id="7" name="Tâche"/>
    <tableColumn id="8" name="Description"/>
    <tableColumn id="9" name="Description 2"/>
    <tableColumn id="10" name="Durée"/>
    <tableColumn id="11" name="hrs"/>
    <tableColumn id="12" name="%"/>
    <tableColumn id="13" name="GPF"/>
    <tableColumn id="14" name="RI"/>
    <tableColumn id="15" name="GB"/>
    <tableColumn id="16" name="RD"/>
    <tableColumn id="17" name="FG"/>
    <tableColumn id="18" name="CONGÉ"/>
    <tableColumn id="19" name="PS"/>
    <tableColumn id="20" name="TD"/>
    <tableColumn id="21" name="N/C"/>
    <tableColumn id="22" name="W"/>
    <tableColumn id="23" name="T"/>
    <tableColumn id="24" name="Durée (60)2"/>
  </tableColumns>
</table>
</file>

<file path=xl/tables/table32.xml><?xml version="1.0" encoding="utf-8"?>
<table xmlns="http://schemas.openxmlformats.org/spreadsheetml/2006/main" id="32" name="Horo8295" displayName="Horo8295" ref="A3:X31" headerRowCount="1" totalsRowCount="0" totalsRowShown="0">
  <autoFilter ref="A3:X31"/>
  <tableColumns count="24">
    <tableColumn id="1" name="O"/>
    <tableColumn id="2" name="Date"/>
    <tableColumn id="3" name="Jour"/>
    <tableColumn id="4" name="Début"/>
    <tableColumn id="5" name="Fin"/>
    <tableColumn id="6" name="Client"/>
    <tableColumn id="7" name="Tâche"/>
    <tableColumn id="8" name="Description"/>
    <tableColumn id="9" name="Description 2"/>
    <tableColumn id="10" name="Durée"/>
    <tableColumn id="11" name="hrs"/>
    <tableColumn id="12" name="%"/>
    <tableColumn id="13" name="GPF"/>
    <tableColumn id="14" name="RI"/>
    <tableColumn id="15" name="GB"/>
    <tableColumn id="16" name="RD"/>
    <tableColumn id="17" name="FG"/>
    <tableColumn id="18" name="CONGÉ"/>
    <tableColumn id="19" name="PS"/>
    <tableColumn id="20" name="TD"/>
    <tableColumn id="21" name="N/C"/>
    <tableColumn id="22" name="W"/>
    <tableColumn id="23" name="T"/>
    <tableColumn id="24" name="Durée (60)2"/>
  </tableColumns>
</table>
</file>

<file path=xl/tables/table33.xml><?xml version="1.0" encoding="utf-8"?>
<table xmlns="http://schemas.openxmlformats.org/spreadsheetml/2006/main" id="33" name="Horo8297" displayName="Horo8297" ref="A3:X20" headerRowCount="1" totalsRowCount="0" totalsRowShown="0">
  <autoFilter ref="A3:X20">
    <filterColumn colId="0" hiddenButton="1">
      <filters>
        <filter val="o"/>
      </filters>
    </filterColumn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</autoFilter>
  <tableColumns count="24">
    <tableColumn id="1" name="O"/>
    <tableColumn id="2" name="Date"/>
    <tableColumn id="3" name="Jour"/>
    <tableColumn id="4" name="Début"/>
    <tableColumn id="5" name="Fin"/>
    <tableColumn id="6" name="Client"/>
    <tableColumn id="7" name="Tâche"/>
    <tableColumn id="8" name="Description"/>
    <tableColumn id="9" name="Description 2"/>
    <tableColumn id="10" name="Durée"/>
    <tableColumn id="11" name="hrs"/>
    <tableColumn id="12" name="%"/>
    <tableColumn id="13" name="GPF"/>
    <tableColumn id="14" name="RI"/>
    <tableColumn id="15" name="GB"/>
    <tableColumn id="16" name="RD"/>
    <tableColumn id="17" name="FG"/>
    <tableColumn id="18" name="CONGÉ"/>
    <tableColumn id="19" name="PS"/>
    <tableColumn id="20" name="TD"/>
    <tableColumn id="21" name="N/C"/>
    <tableColumn id="22" name="W"/>
    <tableColumn id="23" name="T"/>
    <tableColumn id="24" name="Durée (60)2"/>
  </tableColumns>
</table>
</file>

<file path=xl/tables/table34.xml><?xml version="1.0" encoding="utf-8"?>
<table xmlns="http://schemas.openxmlformats.org/spreadsheetml/2006/main" id="34" name="Horo8299" displayName="Horo8299" ref="A3:X42" headerRowCount="1" totalsRowCount="0" totalsRowShown="0">
  <autoFilter ref="A3:X42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</autoFilter>
  <tableColumns count="24">
    <tableColumn id="1" name="O"/>
    <tableColumn id="2" name="Date"/>
    <tableColumn id="3" name="Jour"/>
    <tableColumn id="4" name="Début"/>
    <tableColumn id="5" name="Fin"/>
    <tableColumn id="6" name="Client"/>
    <tableColumn id="7" name="Tâche"/>
    <tableColumn id="8" name="Description"/>
    <tableColumn id="9" name="Description 2"/>
    <tableColumn id="10" name="Durée"/>
    <tableColumn id="11" name="hrs"/>
    <tableColumn id="12" name="%"/>
    <tableColumn id="13" name="GPF"/>
    <tableColumn id="14" name="RI"/>
    <tableColumn id="15" name="GB"/>
    <tableColumn id="16" name="RD"/>
    <tableColumn id="17" name="FG"/>
    <tableColumn id="18" name="CONGÉ"/>
    <tableColumn id="19" name="PS"/>
    <tableColumn id="20" name="TD"/>
    <tableColumn id="21" name="N/C"/>
    <tableColumn id="22" name="W"/>
    <tableColumn id="23" name="T"/>
    <tableColumn id="24" name="Durée (60)2"/>
  </tableColumns>
</table>
</file>

<file path=xl/tables/table35.xml><?xml version="1.0" encoding="utf-8"?>
<table xmlns="http://schemas.openxmlformats.org/spreadsheetml/2006/main" id="35" name="Horodateur112335381922313437434649525558616469852226343846505854626670747882909894102106114118110122126130134138142146150154158162166170174178182186190194198202206210" displayName="Horodateur112335381922313437434649525558616469852226343846505854626670747882909894102106114118110122126130134138142146150154158162166170174178182186190194198202206210" ref="A3:M22" headerRowCount="1" totalsRowCount="0" totalsRowShown="0">
  <autoFilter ref="A3:M22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</autoFilter>
  <tableColumns count="13">
    <tableColumn id="1" name="Date"/>
    <tableColumn id="2" name="Jour"/>
    <tableColumn id="3" name="Début"/>
    <tableColumn id="4" name="Fin"/>
    <tableColumn id="5" name="Client"/>
    <tableColumn id="6" name="Tâche"/>
    <tableColumn id="7" name="Description"/>
    <tableColumn id="8" name="Durée (60)"/>
    <tableColumn id="9" name="Durée (100)"/>
    <tableColumn id="10" name="hrs (100)"/>
    <tableColumn id="11" name="Notes"/>
    <tableColumn id="12" name="O" totalsRowFunction="count"/>
    <tableColumn id="13" name="T"/>
  </tableColumns>
</table>
</file>

<file path=xl/tables/table36.xml><?xml version="1.0" encoding="utf-8"?>
<table xmlns="http://schemas.openxmlformats.org/spreadsheetml/2006/main" id="36" name="Horodateur112335381922313437434649525558616469852226343846505854626670747882909894102106114118110122126130134138142146150154158162166170174178182186190194198202206210214" displayName="Horodateur112335381922313437434649525558616469852226343846505854626670747882909894102106114118110122126130134138142146150154158162166170174178182186190194198202206210214" ref="A3:M31" headerRowCount="1" totalsRowCount="0" totalsRowShown="0">
  <autoFilter ref="A3:M31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</autoFilter>
  <tableColumns count="13">
    <tableColumn id="1" name="Date"/>
    <tableColumn id="2" name="Jour"/>
    <tableColumn id="3" name="Début"/>
    <tableColumn id="4" name="Fin"/>
    <tableColumn id="5" name="Client"/>
    <tableColumn id="6" name="Tâche"/>
    <tableColumn id="7" name="Description"/>
    <tableColumn id="8" name="Durée (60)"/>
    <tableColumn id="9" name="Durée (100)"/>
    <tableColumn id="10" name="hrs (100)"/>
    <tableColumn id="11" name="Notes"/>
    <tableColumn id="12" name="O" totalsRowFunction="count"/>
    <tableColumn id="13" name="T"/>
  </tableColumns>
</table>
</file>

<file path=xl/tables/table37.xml><?xml version="1.0" encoding="utf-8"?>
<table xmlns="http://schemas.openxmlformats.org/spreadsheetml/2006/main" id="37" name="Horodateur1123353819223134374346495255586164698522263438465058546266707478829098941021061141181101221261301341381421461501541581621661701741781821861901941982022062102144" displayName="Horodateur1123353819223134374346495255586164698522263438465058546266707478829098941021061141181101221261301341381421461501541581621661701741781821861901941982022062102144" ref="A3:M40" headerRowCount="1" totalsRowCount="0" totalsRowShown="0">
  <autoFilter ref="A3:M40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</autoFilter>
  <tableColumns count="13">
    <tableColumn id="1" name="Date"/>
    <tableColumn id="2" name="Jour"/>
    <tableColumn id="3" name="Début"/>
    <tableColumn id="4" name="Fin"/>
    <tableColumn id="5" name="Client"/>
    <tableColumn id="6" name="Tâche"/>
    <tableColumn id="7" name="Description"/>
    <tableColumn id="8" name="Durée (60)"/>
    <tableColumn id="9" name="Durée (100)"/>
    <tableColumn id="10" name="hrs (100)"/>
    <tableColumn id="11" name="Notes"/>
    <tableColumn id="12" name="O" totalsRowFunction="count"/>
    <tableColumn id="13" name="T"/>
  </tableColumns>
</table>
</file>

<file path=xl/tables/table38.xml><?xml version="1.0" encoding="utf-8"?>
<table xmlns="http://schemas.openxmlformats.org/spreadsheetml/2006/main" id="38" name="Horodateur112335381922313437434649525558616469852226343846505854626670747882909894102106114118110122126130134138142146150154158162166170174178182186190194198202206210214410" displayName="Horodateur112335381922313437434649525558616469852226343846505854626670747882909894102106114118110122126130134138142146150154158162166170174178182186190194198202206210214410" ref="A3:M52" headerRowCount="1" totalsRowCount="0" totalsRowShown="0">
  <autoFilter ref="A3:M52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</autoFilter>
  <tableColumns count="13">
    <tableColumn id="1" name="Date"/>
    <tableColumn id="2" name="Jour"/>
    <tableColumn id="3" name="Début"/>
    <tableColumn id="4" name="Fin"/>
    <tableColumn id="5" name="Client"/>
    <tableColumn id="6" name="Tâche"/>
    <tableColumn id="7" name="Description"/>
    <tableColumn id="8" name="Durée (60)"/>
    <tableColumn id="9" name="Durée (100)"/>
    <tableColumn id="10" name="hrs (100)"/>
    <tableColumn id="11" name="Notes"/>
    <tableColumn id="12" name="O" totalsRowFunction="count"/>
    <tableColumn id="13" name="T"/>
  </tableColumns>
</table>
</file>

<file path=xl/tables/table39.xml><?xml version="1.0" encoding="utf-8"?>
<table xmlns="http://schemas.openxmlformats.org/spreadsheetml/2006/main" id="39" name="Horodateur11233538192231343743464952555861646985222634384650585462667074788290989410210611411811012212613013413814214615015415816216617017417818218619019419820220621021441014" displayName="Horodateur11233538192231343743464952555861646985222634384650585462667074788290989410210611411811012212613013413814214615015415816216617017417818218619019419820220621021441014" ref="A3:M43" headerRowCount="1" totalsRowCount="0" totalsRowShown="0">
  <autoFilter ref="A3:M43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</autoFilter>
  <tableColumns count="13">
    <tableColumn id="1" name="Date"/>
    <tableColumn id="2" name="Jour"/>
    <tableColumn id="3" name="Début"/>
    <tableColumn id="4" name="Fin"/>
    <tableColumn id="5" name="Client"/>
    <tableColumn id="6" name="Tâche"/>
    <tableColumn id="7" name="Description"/>
    <tableColumn id="8" name="Durée (60)"/>
    <tableColumn id="9" name="Durée (100)"/>
    <tableColumn id="10" name="hrs (100)"/>
    <tableColumn id="11" name="Notes"/>
    <tableColumn id="12" name="O" totalsRowFunction="count"/>
    <tableColumn id="13" name="T"/>
  </tableColumns>
</table>
</file>

<file path=xl/tables/table40.xml><?xml version="1.0" encoding="utf-8"?>
<table xmlns="http://schemas.openxmlformats.org/spreadsheetml/2006/main" id="40" name="Horodateur1123353819223134374346495255586164698522263438465058546266707478829098941021061141181101221261301341381421461501541581621661701741781821861901941982022062102144101418" displayName="Horodateur1123353819223134374346495255586164698522263438465058546266707478829098941021061141181101221261301341381421461501541581621661701741781821861901941982022062102144101418" ref="A3:M39" headerRowCount="1" totalsRowCount="0" totalsRowShown="0">
  <autoFilter ref="A3:M39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</autoFilter>
  <tableColumns count="13">
    <tableColumn id="1" name="Date"/>
    <tableColumn id="2" name="Jour"/>
    <tableColumn id="3" name="Début"/>
    <tableColumn id="4" name="Fin"/>
    <tableColumn id="5" name="Client"/>
    <tableColumn id="6" name="Tâche"/>
    <tableColumn id="7" name="Description"/>
    <tableColumn id="8" name="Durée (60)"/>
    <tableColumn id="9" name="Durée (100)"/>
    <tableColumn id="10" name="hrs (100)"/>
    <tableColumn id="11" name="Notes"/>
    <tableColumn id="12" name="O" totalsRowFunction="count"/>
    <tableColumn id="13" name="T"/>
  </tableColumns>
</table>
</file>

<file path=xl/tables/table41.xml><?xml version="1.0" encoding="utf-8"?>
<table xmlns="http://schemas.openxmlformats.org/spreadsheetml/2006/main" id="41" name="Horodateur112335381922313437434649525558616469852226343846505854626670747882909894102106114118110122126130134138142146150154158162166170174178182186190194198202206210214410141822" displayName="Horodateur112335381922313437434649525558616469852226343846505854626670747882909894102106114118110122126130134138142146150154158162166170174178182186190194198202206210214410141822" ref="A3:M37" headerRowCount="1" totalsRowCount="0" totalsRowShown="0">
  <autoFilter ref="A3:M37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</autoFilter>
  <tableColumns count="13">
    <tableColumn id="1" name="Date"/>
    <tableColumn id="2" name="Jour"/>
    <tableColumn id="3" name="Début"/>
    <tableColumn id="4" name="Fin"/>
    <tableColumn id="5" name="Client"/>
    <tableColumn id="6" name="Tâche"/>
    <tableColumn id="7" name="Description"/>
    <tableColumn id="8" name="Durée (60)"/>
    <tableColumn id="9" name="Durée (100)"/>
    <tableColumn id="10" name="hrs (100)"/>
    <tableColumn id="11" name="Notes"/>
    <tableColumn id="12" name="O" totalsRowFunction="count"/>
    <tableColumn id="13" name="T"/>
  </tableColumns>
</table>
</file>

<file path=xl/tables/table42.xml><?xml version="1.0" encoding="utf-8"?>
<table xmlns="http://schemas.openxmlformats.org/spreadsheetml/2006/main" id="42" name="Horodateur11233538192231343743464952555861646985222634384650585462667074788290989410210611411811012212613013413814214615015415816216617017417818218619019419820220621021441014182226" displayName="Horodateur11233538192231343743464952555861646985222634384650585462667074788290989410210611411811012212613013413814214615015415816216617017417818218619019419820220621021441014182226" ref="A3:M40" headerRowCount="1" totalsRowCount="0" totalsRowShown="0">
  <autoFilter ref="A3:M40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</autoFilter>
  <tableColumns count="13">
    <tableColumn id="1" name="Date"/>
    <tableColumn id="2" name="Jour"/>
    <tableColumn id="3" name="Début"/>
    <tableColumn id="4" name="Fin"/>
    <tableColumn id="5" name="Client"/>
    <tableColumn id="6" name="Tâche"/>
    <tableColumn id="7" name="Description"/>
    <tableColumn id="8" name="Durée (60)"/>
    <tableColumn id="9" name="Durée (100)"/>
    <tableColumn id="10" name="hrs (100)"/>
    <tableColumn id="11" name="Notes"/>
    <tableColumn id="12" name="O" totalsRowFunction="count"/>
    <tableColumn id="13" name="T"/>
  </tableColumns>
</table>
</file>

<file path=xl/tables/table43.xml><?xml version="1.0" encoding="utf-8"?>
<table xmlns="http://schemas.openxmlformats.org/spreadsheetml/2006/main" id="43" name="Horodateur1123353819223134374346495255586164698522263438465058546266707478829098941021061141181101221261301341381421461501541581621661701741781821861901941982022062102144101418222630" displayName="Horodateur1123353819223134374346495255586164698522263438465058546266707478829098941021061141181101221261301341381421461501541581621661701741781821861901941982022062102144101418222630" ref="A3:M37" headerRowCount="1" totalsRowCount="0" totalsRowShown="0">
  <autoFilter ref="A3:M37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</autoFilter>
  <tableColumns count="13">
    <tableColumn id="1" name="Date"/>
    <tableColumn id="2" name="Jour"/>
    <tableColumn id="3" name="Début"/>
    <tableColumn id="4" name="Fin"/>
    <tableColumn id="5" name="Client"/>
    <tableColumn id="6" name="Tâche"/>
    <tableColumn id="7" name="Description"/>
    <tableColumn id="8" name="Durée (60)"/>
    <tableColumn id="9" name="Durée (100)"/>
    <tableColumn id="10" name="hrs (100)"/>
    <tableColumn id="11" name="Notes"/>
    <tableColumn id="12" name="O" totalsRowFunction="count"/>
    <tableColumn id="13" name="T"/>
  </tableColumns>
</table>
</file>

<file path=xl/tables/table44.xml><?xml version="1.0" encoding="utf-8"?>
<table xmlns="http://schemas.openxmlformats.org/spreadsheetml/2006/main" id="44" name="Horodateur112335381922313437434649525558616469852226343846505854626670747882909894102106114118110122126130134138142146150154158162166170174178182186190194198202206210214410141822263034" displayName="Horodateur112335381922313437434649525558616469852226343846505854626670747882909894102106114118110122126130134138142146150154158162166170174178182186190194198202206210214410141822263034" ref="A3:M50" headerRowCount="1" totalsRowCount="0" totalsRowShown="0">
  <autoFilter ref="A3:M50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</autoFilter>
  <tableColumns count="13">
    <tableColumn id="1" name="Date"/>
    <tableColumn id="2" name="Jour"/>
    <tableColumn id="3" name="Début"/>
    <tableColumn id="4" name="Fin"/>
    <tableColumn id="5" name="Client"/>
    <tableColumn id="6" name="Tâche"/>
    <tableColumn id="7" name="Description"/>
    <tableColumn id="8" name="Durée (60)"/>
    <tableColumn id="9" name="Durée (100)"/>
    <tableColumn id="10" name="hrs (100)"/>
    <tableColumn id="11" name="Notes"/>
    <tableColumn id="12" name="O" totalsRowFunction="count"/>
    <tableColumn id="13" name="T"/>
  </tableColumns>
</table>
</file>

<file path=xl/tables/table45.xml><?xml version="1.0" encoding="utf-8"?>
<table xmlns="http://schemas.openxmlformats.org/spreadsheetml/2006/main" id="45" name="Horodateur11233538192231343743464952555861646985222634384650585462667074788290989410210611411811012212613013413814214615015415816216617017417818218619019419820220621021441014182226303438" displayName="Horodateur11233538192231343743464952555861646985222634384650585462667074788290989410210611411811012212613013413814214615015415816216617017417818218619019419820220621021441014182226303438" ref="A3:M43" headerRowCount="1" totalsRowCount="0" totalsRowShown="0">
  <autoFilter ref="A3:M43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</autoFilter>
  <tableColumns count="13">
    <tableColumn id="1" name="Date"/>
    <tableColumn id="2" name="Jour"/>
    <tableColumn id="3" name="Début"/>
    <tableColumn id="4" name="Fin"/>
    <tableColumn id="5" name="Client"/>
    <tableColumn id="6" name="Tâche"/>
    <tableColumn id="7" name="Description"/>
    <tableColumn id="8" name="Durée (60)"/>
    <tableColumn id="9" name="Durée (100)"/>
    <tableColumn id="10" name="hrs (100)"/>
    <tableColumn id="11" name="Notes"/>
    <tableColumn id="12" name="O" totalsRowFunction="count"/>
    <tableColumn id="13" name="T"/>
  </tableColumns>
</table>
</file>

<file path=xl/tables/table46.xml><?xml version="1.0" encoding="utf-8"?>
<table xmlns="http://schemas.openxmlformats.org/spreadsheetml/2006/main" id="46" name="Horodateur1123353819223134374346495255586164698522263438465058546266707478829098941021061141181101221261301341381421461501541581621661701741781821861901941982022062102144101418222630343842" displayName="Horodateur1123353819223134374346495255586164698522263438465058546266707478829098941021061141181101221261301341381421461501541581621661701741781821861901941982022062102144101418222630343842" ref="A3:M46" headerRowCount="1" totalsRowCount="0" totalsRowShown="0">
  <autoFilter ref="A3:M46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</autoFilter>
  <tableColumns count="13">
    <tableColumn id="1" name="Date"/>
    <tableColumn id="2" name="Jour"/>
    <tableColumn id="3" name="Début"/>
    <tableColumn id="4" name="Fin"/>
    <tableColumn id="5" name="Client"/>
    <tableColumn id="6" name="Tâche"/>
    <tableColumn id="7" name="Description"/>
    <tableColumn id="8" name="Durée (60)"/>
    <tableColumn id="9" name="Durée (100)"/>
    <tableColumn id="10" name="hrs (100)"/>
    <tableColumn id="11" name="Notes"/>
    <tableColumn id="12" name="O" totalsRowFunction="count"/>
    <tableColumn id="13" name="T"/>
  </tableColumns>
</table>
</file>

<file path=xl/tables/table47.xml><?xml version="1.0" encoding="utf-8"?>
<table xmlns="http://schemas.openxmlformats.org/spreadsheetml/2006/main" id="47" name="Horodateur1123353819223134374346495255586164698522263438465058546266707478829098941021061141181101221261301341381421461501541581621661701741781821861901941982022062102144101418222630343846" displayName="Horodateur1123353819223134374346495255586164698522263438465058546266707478829098941021061141181101221261301341381421461501541581621661701741781821861901941982022062102144101418222630343846" ref="A3:M48" headerRowCount="1" totalsRowCount="0" totalsRowShown="0">
  <autoFilter ref="A3:M48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</autoFilter>
  <tableColumns count="13">
    <tableColumn id="1" name="Date"/>
    <tableColumn id="2" name="Jour"/>
    <tableColumn id="3" name="Début"/>
    <tableColumn id="4" name="Fin"/>
    <tableColumn id="5" name="Client"/>
    <tableColumn id="6" name="Tâche"/>
    <tableColumn id="7" name="Description"/>
    <tableColumn id="8" name="Durée (60)"/>
    <tableColumn id="9" name="Durée (100)"/>
    <tableColumn id="10" name="hrs (100)"/>
    <tableColumn id="11" name="Notes"/>
    <tableColumn id="12" name="O" totalsRowFunction="count"/>
    <tableColumn id="13" name="T"/>
  </tableColumns>
</table>
</file>

<file path=xl/tables/table48.xml><?xml version="1.0" encoding="utf-8"?>
<table xmlns="http://schemas.openxmlformats.org/spreadsheetml/2006/main" id="48" name="Horodateur11233538192231343743464952555861646985222634384650585462667074788290989410210611411811012212613013413814214615015415816216617017417818218619019419820220621021441014182226303438465054" displayName="Horodateur11233538192231343743464952555861646985222634384650585462667074788290989410210611411811012212613013413814214615015415816216617017417818218619019419820220621021441014182226303438465054" ref="A3:M47" headerRowCount="1" totalsRowCount="0" totalsRowShown="0">
  <autoFilter ref="A3:M47">
    <filterColumn colId="1" hiddenButton="1">
      <filters>
        <filter val="1- Lundi"/>
      </filters>
    </filterColumn>
    <filterColumn colId="0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</autoFilter>
  <tableColumns count="13">
    <tableColumn id="1" name="Date"/>
    <tableColumn id="2" name="Jour"/>
    <tableColumn id="3" name="Début"/>
    <tableColumn id="4" name="Fin"/>
    <tableColumn id="5" name="Client"/>
    <tableColumn id="6" name="Tâche"/>
    <tableColumn id="7" name="Description"/>
    <tableColumn id="8" name="Durée (60)"/>
    <tableColumn id="9" name="Durée (100)"/>
    <tableColumn id="10" name="hrs (100)"/>
    <tableColumn id="11" name="Notes"/>
    <tableColumn id="12" name="O" totalsRowFunction="count"/>
    <tableColumn id="13" name="T"/>
  </tableColumns>
</table>
</file>

<file path=xl/tables/table49.xml><?xml version="1.0" encoding="utf-8"?>
<table xmlns="http://schemas.openxmlformats.org/spreadsheetml/2006/main" id="49" name="Horodateur1123353819223134374346495255586164698522263438465058546266707478829098941021061141181101221261301341381421461501541581621661701741781821861901941982022062102144101418222630343846505458" displayName="Horodateur1123353819223134374346495255586164698522263438465058546266707478829098941021061141181101221261301341381421461501541581621661701741781821861901941982022062102144101418222630343846505458" ref="A3:O41" headerRowCount="1" totalsRowCount="0" totalsRowShown="0">
  <autoFilter ref="A3:O41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</autoFilter>
  <tableColumns count="15">
    <tableColumn id="1" name="Date"/>
    <tableColumn id="2" name="Jour"/>
    <tableColumn id="3" name="Début"/>
    <tableColumn id="4" name="Fin"/>
    <tableColumn id="5" name="Client"/>
    <tableColumn id="6" name="Tâche"/>
    <tableColumn id="7" name="Description"/>
    <tableColumn id="8" name="Durée (60)"/>
    <tableColumn id="9" name="Durée (100)"/>
    <tableColumn id="10" name="hrs (100)"/>
    <tableColumn id="11" name="Notes"/>
    <tableColumn id="12" name="c"/>
    <tableColumn id="13" name="O" totalsRowFunction="count"/>
    <tableColumn id="14" name="T"/>
    <tableColumn id="15" name="%"/>
  </tableColumns>
</table>
</file>

<file path=xl/tables/table50.xml><?xml version="1.0" encoding="utf-8"?>
<table xmlns="http://schemas.openxmlformats.org/spreadsheetml/2006/main" id="50" name="Horodateur112335381922313437434649525558616469852226343846505854626670747882909894102106114118110122126130134138142146150154158162166170174178182186190194198202206210214410141822263034384650545862" displayName="Horodateur112335381922313437434649525558616469852226343846505854626670747882909894102106114118110122126130134138142146150154158162166170174178182186190194198202206210214410141822263034384650545862" ref="A3:O26" headerRowCount="1" totalsRowCount="0" totalsRowShown="0">
  <autoFilter ref="A3:O26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</autoFilter>
  <tableColumns count="15">
    <tableColumn id="1" name="Date"/>
    <tableColumn id="2" name="Jour"/>
    <tableColumn id="3" name="Début"/>
    <tableColumn id="4" name="Fin"/>
    <tableColumn id="5" name="Client"/>
    <tableColumn id="6" name="Tâche"/>
    <tableColumn id="7" name="Description"/>
    <tableColumn id="8" name="Durée (60)"/>
    <tableColumn id="9" name="Durée (100)"/>
    <tableColumn id="10" name="hrs (100)"/>
    <tableColumn id="11" name="Notes"/>
    <tableColumn id="12" name="c"/>
    <tableColumn id="13" name="O" totalsRowFunction="count"/>
    <tableColumn id="14" name="T"/>
    <tableColumn id="15" name="%"/>
  </tableColumns>
</table>
</file>

<file path=xl/tables/table51.xml><?xml version="1.0" encoding="utf-8"?>
<table xmlns="http://schemas.openxmlformats.org/spreadsheetml/2006/main" id="51" name="Horodateur11233538192231343743464952555861646985222634384650585462667074788290989410210611411811012212613013413814214615015415816216617017417818218619019419820220621021441014182226303438465054586266" displayName="Horodateur11233538192231343743464952555861646985222634384650585462667074788290989410210611411811012212613013413814214615015415816216617017417818218619019419820220621021441014182226303438465054586266" ref="A3:O41" headerRowCount="1" totalsRowCount="0" totalsRowShown="0">
  <autoFilter ref="A3:O41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</autoFilter>
  <tableColumns count="15">
    <tableColumn id="1" name="Date"/>
    <tableColumn id="2" name="Jour"/>
    <tableColumn id="3" name="Début"/>
    <tableColumn id="4" name="Fin"/>
    <tableColumn id="5" name="Client"/>
    <tableColumn id="6" name="Tâche"/>
    <tableColumn id="7" name="Description"/>
    <tableColumn id="8" name="Durée (60)"/>
    <tableColumn id="9" name="Durée (100)"/>
    <tableColumn id="10" name="hrs (100)"/>
    <tableColumn id="11" name="Notes"/>
    <tableColumn id="12" name="c"/>
    <tableColumn id="13" name="O" totalsRowFunction="count"/>
    <tableColumn id="14" name="T"/>
    <tableColumn id="15" name="%"/>
  </tableColumns>
</table>
</file>

<file path=xl/tables/table52.xml><?xml version="1.0" encoding="utf-8"?>
<table xmlns="http://schemas.openxmlformats.org/spreadsheetml/2006/main" id="52" name="Horodateur112335381922313437434649525558616469852226343846505854626670747882909894102106114118110122126130134138142146150154158162166170174178182186190194198202206210214410141822263034384650545862667076" displayName="Horodateur112335381922313437434649525558616469852226343846505854626670747882909894102106114118110122126130134138142146150154158162166170174178182186190194198202206210214410141822263034384650545862667076" ref="A3:O42" headerRowCount="1" totalsRowCount="0" totalsRowShown="0">
  <autoFilter ref="A3:O42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</autoFilter>
  <tableColumns count="15">
    <tableColumn id="1" name="Date"/>
    <tableColumn id="2" name="Jour"/>
    <tableColumn id="3" name="Début"/>
    <tableColumn id="4" name="Fin"/>
    <tableColumn id="5" name="Client"/>
    <tableColumn id="6" name="Tâche"/>
    <tableColumn id="7" name="Description"/>
    <tableColumn id="8" name="Column2"/>
    <tableColumn id="9" name="Durée (100)"/>
    <tableColumn id="10" name="hrs (100)"/>
    <tableColumn id="11" name="%"/>
    <tableColumn id="12" name="O"/>
    <tableColumn id="13" name="T" totalsRowFunction="count"/>
    <tableColumn id="14" name="Column1"/>
    <tableColumn id="15" name="Durée (60)"/>
  </tableColumns>
</table>
</file>

<file path=xl/tables/table53.xml><?xml version="1.0" encoding="utf-8"?>
<table xmlns="http://schemas.openxmlformats.org/spreadsheetml/2006/main" id="53" name="Horodateur11233538192231343743464952555861646985222634384650585462667074788290989410210611411811012212613013413814214615015415816216617017417818218619019419820220621021441014182226303438465054586266707680" displayName="Horodateur11233538192231343743464952555861646985222634384650585462667074788290989410210611411811012212613013413814214615015415816216617017417818218619019419820220621021441014182226303438465054586266707680" ref="A3:O42" headerRowCount="1" totalsRowCount="0" totalsRowShown="0">
  <autoFilter ref="A3:O42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</autoFilter>
  <tableColumns count="15">
    <tableColumn id="1" name="Date"/>
    <tableColumn id="2" name="Jour"/>
    <tableColumn id="3" name="Début"/>
    <tableColumn id="4" name="Fin"/>
    <tableColumn id="5" name="Client"/>
    <tableColumn id="6" name="Tâche"/>
    <tableColumn id="7" name="Description"/>
    <tableColumn id="8" name="Durée (60)"/>
    <tableColumn id="9" name="Durée (100)"/>
    <tableColumn id="10" name="hrs (100)"/>
    <tableColumn id="11" name="O"/>
    <tableColumn id="12" name="T"/>
    <tableColumn id="13" name="%" totalsRowFunction="count"/>
    <tableColumn id="14" name="Column1"/>
    <tableColumn id="15" name="Column2"/>
  </tableColumns>
</table>
</file>

<file path=xl/tables/table54.xml><?xml version="1.0" encoding="utf-8"?>
<table xmlns="http://schemas.openxmlformats.org/spreadsheetml/2006/main" id="54" name="Jours_1_7" displayName="Jours_1_7" ref="C1:C8" headerRowCount="1" totalsRowCount="0" totalsRowShown="0">
  <autoFilter ref="C1:C8"/>
  <tableColumns count="1">
    <tableColumn id="1" name="Jours"/>
  </tableColumns>
</table>
</file>

<file path=xl/tables/table55.xml><?xml version="1.0" encoding="utf-8"?>
<table xmlns="http://schemas.openxmlformats.org/spreadsheetml/2006/main" id="55" name="Jours_1_772" displayName="Jours_1_772" ref="B1:B8" headerRowCount="1" totalsRowCount="0" totalsRowShown="0">
  <autoFilter ref="B1:B8"/>
  <tableColumns count="1">
    <tableColumn id="1" name="Jours"/>
  </tableColumns>
</table>
</file>

<file path=xl/tables/table56.xml><?xml version="1.0" encoding="utf-8"?>
<table xmlns="http://schemas.openxmlformats.org/spreadsheetml/2006/main" id="56" name="Table656570862327353947515955636771757987919995103107115119111123127131135139143147151155159163167171175179183187191195199203207211" displayName="Table656570862327353947515955636771757987919995103107115119111123127131135139143147151155159163167171175179183187191195199203207211" ref="A71:B83" headerRowCount="1" totalsRowCount="0" totalsRowShown="0">
  <autoFilter ref="A71:B83"/>
  <tableColumns count="2">
    <tableColumn id="1" name="Temps"/>
    <tableColumn id="2" name="Date"/>
  </tableColumns>
</table>
</file>

<file path=xl/tables/table57.xml><?xml version="1.0" encoding="utf-8"?>
<table xmlns="http://schemas.openxmlformats.org/spreadsheetml/2006/main" id="57" name="Table656570862327353947515955636771757987919995103107115119111123127131135139143147151155159163167171175179183187191195199203207211215" displayName="Table656570862327353947515955636771757987919995103107115119111123127131135139143147151155159163167171175179183187191195199203207211215" ref="A80:B92" headerRowCount="1" totalsRowCount="0" totalsRowShown="0">
  <autoFilter ref="A80:B92"/>
  <tableColumns count="2">
    <tableColumn id="1" name="Temps"/>
    <tableColumn id="2" name="Date"/>
  </tableColumns>
</table>
</file>

<file path=xl/tables/table58.xml><?xml version="1.0" encoding="utf-8"?>
<table xmlns="http://schemas.openxmlformats.org/spreadsheetml/2006/main" id="58" name="Table6565708623273539475159556367717579879199951031071151191111231271311351391431471511551591631671711751791831871911951992032072112155" displayName="Table6565708623273539475159556367717579879199951031071151191111231271311351391431471511551591631671711751791831871911951992032072112155" ref="A89:B101" headerRowCount="1" totalsRowCount="0" totalsRowShown="0">
  <autoFilter ref="A89:B101"/>
  <tableColumns count="2">
    <tableColumn id="1" name="Temps"/>
    <tableColumn id="2" name="Date"/>
  </tableColumns>
</table>
</file>

<file path=xl/tables/table59.xml><?xml version="1.0" encoding="utf-8"?>
<table xmlns="http://schemas.openxmlformats.org/spreadsheetml/2006/main" id="59" name="Table656570862327353947515955636771757987919995103107115119111123127131135139143147151155159163167171175179183187191195199203207211215511" displayName="Table656570862327353947515955636771757987919995103107115119111123127131135139143147151155159163167171175179183187191195199203207211215511" ref="A101:B113" headerRowCount="1" totalsRowCount="0" totalsRowShown="0">
  <autoFilter ref="A101:B113"/>
  <tableColumns count="2">
    <tableColumn id="1" name="Temps"/>
    <tableColumn id="2" name="Date"/>
  </tableColumns>
</table>
</file>

<file path=xl/tables/table60.xml><?xml version="1.0" encoding="utf-8"?>
<table xmlns="http://schemas.openxmlformats.org/spreadsheetml/2006/main" id="60" name="Table65657086232735394751595563677175798791999510310711511911112312713113513914314715115515916316717117517918318719119519920320721121551115" displayName="Table65657086232735394751595563677175798791999510310711511911112312713113513914314715115515916316717117517918318719119519920320721121551115" ref="A92:B104" headerRowCount="1" totalsRowCount="0" totalsRowShown="0">
  <autoFilter ref="A92:B104"/>
  <tableColumns count="2">
    <tableColumn id="1" name="Temps"/>
    <tableColumn id="2" name="Date"/>
  </tableColumns>
</table>
</file>

<file path=xl/tables/table61.xml><?xml version="1.0" encoding="utf-8"?>
<table xmlns="http://schemas.openxmlformats.org/spreadsheetml/2006/main" id="61" name="Table6565708623273539475159556367717579879199951031071151191111231271311351391431471511551591631671711751791831871911951992032072112155111519" displayName="Table6565708623273539475159556367717579879199951031071151191111231271311351391431471511551591631671711751791831871911951992032072112155111519" ref="A88:B100" headerRowCount="1" totalsRowCount="0" totalsRowShown="0">
  <autoFilter ref="A88:B100"/>
  <tableColumns count="2">
    <tableColumn id="1" name="Temps"/>
    <tableColumn id="2" name="Date"/>
  </tableColumns>
</table>
</file>

<file path=xl/tables/table62.xml><?xml version="1.0" encoding="utf-8"?>
<table xmlns="http://schemas.openxmlformats.org/spreadsheetml/2006/main" id="62" name="Table656570862327353947515955636771757987919995103107115119111123127131135139143147151155159163167171175179183187191195199203207211215511151923" displayName="Table656570862327353947515955636771757987919995103107115119111123127131135139143147151155159163167171175179183187191195199203207211215511151923" ref="A86:B98" headerRowCount="1" totalsRowCount="0" totalsRowShown="0">
  <autoFilter ref="A86:B98"/>
  <tableColumns count="2">
    <tableColumn id="1" name="Temps"/>
    <tableColumn id="2" name="Date"/>
  </tableColumns>
</table>
</file>

<file path=xl/tables/table63.xml><?xml version="1.0" encoding="utf-8"?>
<table xmlns="http://schemas.openxmlformats.org/spreadsheetml/2006/main" id="63" name="Table65657086232735394751595563677175798791999510310711511911112312713113513914314715115515916316717117517918318719119519920320721121551115192327" displayName="Table65657086232735394751595563677175798791999510310711511911112312713113513914314715115515916316717117517918318719119519920320721121551115192327" ref="A88:B100" headerRowCount="1" totalsRowCount="0" totalsRowShown="0">
  <autoFilter ref="A88:B100"/>
  <tableColumns count="2">
    <tableColumn id="1" name="Temps"/>
    <tableColumn id="2" name="Date"/>
  </tableColumns>
</table>
</file>

<file path=xl/tables/table64.xml><?xml version="1.0" encoding="utf-8"?>
<table xmlns="http://schemas.openxmlformats.org/spreadsheetml/2006/main" id="64" name="Table6565708623273539475159556367717579879199951031071151191111231271311351391431471511551591631671711751791831871911951992032072112155111519232731" displayName="Table6565708623273539475159556367717579879199951031071151191111231271311351391431471511551591631671711751791831871911951992032072112155111519232731" ref="A85:B97" headerRowCount="1" totalsRowCount="0" totalsRowShown="0">
  <autoFilter ref="A85:B97"/>
  <tableColumns count="2">
    <tableColumn id="1" name="Temps"/>
    <tableColumn id="2" name="Date"/>
  </tableColumns>
</table>
</file>

<file path=xl/tables/table65.xml><?xml version="1.0" encoding="utf-8"?>
<table xmlns="http://schemas.openxmlformats.org/spreadsheetml/2006/main" id="65" name="Table656570862327353947515955636771757987919995103107115119111123127131135139143147151155159163167171175179183187191195199203207211215511151923273135" displayName="Table656570862327353947515955636771757987919995103107115119111123127131135139143147151155159163167171175179183187191195199203207211215511151923273135" ref="A100:B112" headerRowCount="1" totalsRowCount="0" totalsRowShown="0">
  <autoFilter ref="A100:B112"/>
  <tableColumns count="2">
    <tableColumn id="1" name="Temps"/>
    <tableColumn id="2" name="Date"/>
  </tableColumns>
</table>
</file>

<file path=xl/tables/table66.xml><?xml version="1.0" encoding="utf-8"?>
<table xmlns="http://schemas.openxmlformats.org/spreadsheetml/2006/main" id="66" name="Table65657086232735394751595563677175798791999510310711511911112312713113513914314715115515916316717117517918318719119519920320721121551115192327313539" displayName="Table65657086232735394751595563677175798791999510310711511911112312713113513914314715115515916316717117517918318719119519920320721121551115192327313539" ref="A93:B105" headerRowCount="1" totalsRowCount="0" totalsRowShown="0">
  <autoFilter ref="A93:B105"/>
  <tableColumns count="2">
    <tableColumn id="1" name="Temps"/>
    <tableColumn id="2" name="Date"/>
  </tableColumns>
</table>
</file>

<file path=xl/tables/table67.xml><?xml version="1.0" encoding="utf-8"?>
<table xmlns="http://schemas.openxmlformats.org/spreadsheetml/2006/main" id="67" name="Table6565708623273539475159556367717579879199951031071151191111231271311351391431471511551591631671711751791831871911951992032072112155111519232731353943" displayName="Table6565708623273539475159556367717579879199951031071151191111231271311351391431471511551591631671711751791831871911951992032072112155111519232731353943" ref="A96:B108" headerRowCount="1" totalsRowCount="0" totalsRowShown="0">
  <autoFilter ref="A96:B108"/>
  <tableColumns count="2">
    <tableColumn id="1" name="Temps"/>
    <tableColumn id="2" name="Date"/>
  </tableColumns>
</table>
</file>

<file path=xl/tables/table68.xml><?xml version="1.0" encoding="utf-8"?>
<table xmlns="http://schemas.openxmlformats.org/spreadsheetml/2006/main" id="68" name="Table6565708623273539475159556367717579879199951031071151191111231271311351391431471511551591631671711751791831871911951992032072112155111519232731353947" displayName="Table6565708623273539475159556367717579879199951031071151191111231271311351391431471511551591631671711751791831871911951992032072112155111519232731353947" ref="A97:B109" headerRowCount="1" totalsRowCount="0" totalsRowShown="0">
  <autoFilter ref="A97:B109"/>
  <tableColumns count="2">
    <tableColumn id="1" name="Temps"/>
    <tableColumn id="2" name="Date"/>
  </tableColumns>
</table>
</file>

<file path=xl/tables/table69.xml><?xml version="1.0" encoding="utf-8"?>
<table xmlns="http://schemas.openxmlformats.org/spreadsheetml/2006/main" id="69" name="Table656570862327353947515955636771757987919995103107115119111123127131135139143147151155159163167171175179183187191195199203207211215511151923273135394751" displayName="Table656570862327353947515955636771757987919995103107115119111123127131135139143147151155159163167171175179183187191195199203207211215511151923273135394751" ref="A78:B90" headerRowCount="1" totalsRowCount="0" totalsRowShown="0">
  <autoFilter ref="A78:B90"/>
  <tableColumns count="2">
    <tableColumn id="1" name="Temps"/>
    <tableColumn id="2" name="Date"/>
  </tableColumns>
</table>
</file>

<file path=xl/tables/table70.xml><?xml version="1.0" encoding="utf-8"?>
<table xmlns="http://schemas.openxmlformats.org/spreadsheetml/2006/main" id="70" name="Table65657086232735394751595563677175798791999510310711511911112312713113513914314715115515916316717117517918318719119519920320721121551115192327313539475155" displayName="Table65657086232735394751595563677175798791999510310711511911112312713113513914314715115515916316717117517918318719119519920320721121551115192327313539475155" ref="A96:B108" headerRowCount="1" totalsRowCount="0" totalsRowShown="0">
  <autoFilter ref="A96:B108"/>
  <tableColumns count="2">
    <tableColumn id="1" name="Temps"/>
    <tableColumn id="2" name="Date"/>
  </tableColumns>
</table>
</file>

<file path=xl/tables/table71.xml><?xml version="1.0" encoding="utf-8"?>
<table xmlns="http://schemas.openxmlformats.org/spreadsheetml/2006/main" id="71" name="Table6565708623273539475159556367717579879199951031071151191111231271311351391431471511551591631671711751791831871911951992032072112155111519232731353947515559" displayName="Table6565708623273539475159556367717579879199951031071151191111231271311351391431471511551591631671711751791831871911951992032072112155111519232731353947515559" ref="A90:B102" headerRowCount="1" totalsRowCount="0" totalsRowShown="0">
  <autoFilter ref="A90:B102"/>
  <tableColumns count="2">
    <tableColumn id="1" name="Temps"/>
    <tableColumn id="2" name="Date"/>
  </tableColumns>
</table>
</file>

<file path=xl/tables/table72.xml><?xml version="1.0" encoding="utf-8"?>
<table xmlns="http://schemas.openxmlformats.org/spreadsheetml/2006/main" id="72" name="Table656570862327353947515955636771757987919995103107115119111123127131135139143147151155159163167171175179183187191195199203207211215511151923273135394751555963" displayName="Table656570862327353947515955636771757987919995103107115119111123127131135139143147151155159163167171175179183187191195199203207211215511151923273135394751555963" ref="A75:B87" headerRowCount="1" totalsRowCount="0" totalsRowShown="0">
  <autoFilter ref="A75:B87"/>
  <tableColumns count="2">
    <tableColumn id="1" name="Temps"/>
    <tableColumn id="2" name="Date"/>
  </tableColumns>
</table>
</file>

<file path=xl/tables/table73.xml><?xml version="1.0" encoding="utf-8"?>
<table xmlns="http://schemas.openxmlformats.org/spreadsheetml/2006/main" id="73" name="Table65657086232735394751595563677175798791999510310711511911112312713113513914314715115515916316717117517918318719119519920320721121551115192327313539475155596367" displayName="Table65657086232735394751595563677175798791999510310711511911112312713113513914314715115515916316717117517918318719119519920320721121551115192327313539475155596367" ref="A90:B102" headerRowCount="1" totalsRowCount="0" totalsRowShown="0">
  <autoFilter ref="A90:B102"/>
  <tableColumns count="2">
    <tableColumn id="1" name="Temps"/>
    <tableColumn id="2" name="Date"/>
  </tableColumns>
</table>
</file>

<file path=xl/tables/table74.xml><?xml version="1.0" encoding="utf-8"?>
<table xmlns="http://schemas.openxmlformats.org/spreadsheetml/2006/main" id="74" name="Table656570862327353947515955636771757987919995103107115119111123127131135139143147151155159163167171175179183187191195199203207211215511151923273135394751555963677177" displayName="Table656570862327353947515955636771757987919995103107115119111123127131135139143147151155159163167171175179183187191195199203207211215511151923273135394751555963677177" ref="A91:B103" headerRowCount="1" totalsRowCount="0" totalsRowShown="0">
  <autoFilter ref="A91:B103"/>
  <tableColumns count="2">
    <tableColumn id="1" name="Temps"/>
    <tableColumn id="2" name="Date"/>
  </tableColumns>
</table>
</file>

<file path=xl/tables/table75.xml><?xml version="1.0" encoding="utf-8"?>
<table xmlns="http://schemas.openxmlformats.org/spreadsheetml/2006/main" id="75" name="Table65657086232735394751595563677175798791999510310711511911112312713113513914314715115515916316717117517918318719119519920320721121551115192327313539475155596367717781" displayName="Table65657086232735394751595563677175798791999510310711511911112312713113513914314715115515916316717117517918318719119519920320721121551115192327313539475155596367717781" ref="A92:B104" headerRowCount="1" totalsRowCount="0" totalsRowShown="0">
  <autoFilter ref="A92:B104"/>
  <tableColumns count="2">
    <tableColumn id="1" name="Temps"/>
    <tableColumn id="2" name="Date"/>
  </tableColumns>
</table>
</file>

<file path=xl/tables/table76.xml><?xml version="1.0" encoding="utf-8"?>
<table xmlns="http://schemas.openxmlformats.org/spreadsheetml/2006/main" id="76" name="Table67" displayName="Table67" ref="A3:W42" headerRowCount="1" totalsRowCount="0" totalsRowShown="0">
  <autoFilter ref="A3:W42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</autoFilter>
  <tableColumns count="23">
    <tableColumn id="1" name="O"/>
    <tableColumn id="2" name="Date"/>
    <tableColumn id="3" name="Jour"/>
    <tableColumn id="4" name="Début"/>
    <tableColumn id="5" name="Fin"/>
    <tableColumn id="6" name="Client"/>
    <tableColumn id="7" name="Tâche"/>
    <tableColumn id="8" name="Description"/>
    <tableColumn id="9" name="Column2"/>
    <tableColumn id="10" name="Durée"/>
    <tableColumn id="11" name="hrs"/>
    <tableColumn id="12" name="%"/>
    <tableColumn id="13" name="T"/>
    <tableColumn id="14" name="Durée (60)"/>
    <tableColumn id="15" name="37.21%"/>
    <tableColumn id="16" name="4.65%"/>
    <tableColumn id="17" name="20.93%"/>
    <tableColumn id="18" name="0.00%"/>
    <tableColumn id="19" name="37.21%2"/>
    <tableColumn id="20" name="0.00%3"/>
    <tableColumn id="21" name="0.00%4"/>
    <tableColumn id="22" name="0.00%5"/>
    <tableColumn id="23" name="Column1"/>
  </tableColumns>
</table>
</file>

<file path=xl/tables/table77.xml><?xml version="1.0" encoding="utf-8"?>
<table xmlns="http://schemas.openxmlformats.org/spreadsheetml/2006/main" id="77" name="Table69" displayName="Table69" ref="A3:V46" headerRowCount="1" totalsRowCount="0" totalsRowShown="0">
  <autoFilter ref="A3:V46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</autoFilter>
  <tableColumns count="22">
    <tableColumn id="1" name="O"/>
    <tableColumn id="2" name="Date"/>
    <tableColumn id="3" name="Jour"/>
    <tableColumn id="4" name="Début"/>
    <tableColumn id="5" name="Fin"/>
    <tableColumn id="6" name="Client"/>
    <tableColumn id="7" name="Tâche"/>
    <tableColumn id="8" name="Description"/>
    <tableColumn id="9" name="Column2"/>
    <tableColumn id="10" name="Durée"/>
    <tableColumn id="11" name="hrs"/>
    <tableColumn id="12" name="%"/>
    <tableColumn id="13" name="T"/>
    <tableColumn id="14" name="Durée (60)"/>
    <tableColumn id="15" name="37.21%"/>
    <tableColumn id="16" name="4.65%"/>
    <tableColumn id="17" name="20.93%"/>
    <tableColumn id="18" name="0.00%"/>
    <tableColumn id="19" name="37.21%2"/>
    <tableColumn id="20" name="0.00%3"/>
    <tableColumn id="21" name="0.00%4"/>
    <tableColumn id="22" name="0.00%5"/>
  </tableColumns>
</table>
</file>

<file path=xl/tables/table78.xml><?xml version="1.0" encoding="utf-8"?>
<table xmlns="http://schemas.openxmlformats.org/spreadsheetml/2006/main" id="78" name="Table83" displayName="Table83" ref="F1:F50" headerRowCount="1" totalsRowCount="0" totalsRowShown="0">
  <autoFilter ref="F1:F50"/>
  <tableColumns count="1">
    <tableColumn id="1" name="Description"/>
  </tableColumns>
</table>
</file>

<file path=xl/tables/table79.xml><?xml version="1.0" encoding="utf-8"?>
<table xmlns="http://schemas.openxmlformats.org/spreadsheetml/2006/main" id="79" name="Taches" displayName="Taches" ref="D1:D13" headerRowCount="1" totalsRowCount="0" totalsRowShown="0">
  <autoFilter ref="D1:D13">
    <filterColumn colId="0" hiddenButton="1"/>
  </autoFilter>
  <tableColumns count="1">
    <tableColumn id="1" name="Tâches"/>
  </tableColumns>
</table>
</file>

<file path=xl/tables/table80.xml><?xml version="1.0" encoding="utf-8"?>
<table xmlns="http://schemas.openxmlformats.org/spreadsheetml/2006/main" id="80" name="Taches73" displayName="Taches73" ref="C1:C13" headerRowCount="1" totalsRowCount="0" totalsRowShown="0">
  <autoFilter ref="C1:C13"/>
  <tableColumns count="1">
    <tableColumn id="1" name="Tâches"/>
  </tableColumns>
</table>
</file>

<file path=xl/tables/table81.xml><?xml version="1.0" encoding="utf-8"?>
<table xmlns="http://schemas.openxmlformats.org/spreadsheetml/2006/main" id="81" name="Taches_Jour2132537401821303336424548515457606368842125333745495753616569737781899793101105113117109121125129133137141145149153157161165169173177181185189193197201205209" displayName="Taches_Jour2132537401821303336424548515457606368842125333745495753616569737781899793101105113117109121125129133137141145149153157161165169173177181185189193197201205209" ref="A38:I46" headerRowCount="1" totalsRowCount="0" totalsRowShown="0">
  <autoFilter ref="A38:I46"/>
  <tableColumns count="9">
    <tableColumn id="1" name="Tâches"/>
    <tableColumn id="2" name="1- Lundi"/>
    <tableColumn id="3" name="2- Mardi"/>
    <tableColumn id="4" name="3- Mercredi"/>
    <tableColumn id="5" name="4- Jeudi"/>
    <tableColumn id="6" name="5- Vendredi"/>
    <tableColumn id="7" name="6- Samedi"/>
    <tableColumn id="8" name="7- Dimanche"/>
    <tableColumn id="9" name="Total" totalsRowFunction="sum"/>
  </tableColumns>
</table>
</file>

<file path=xl/tables/table82.xml><?xml version="1.0" encoding="utf-8"?>
<table xmlns="http://schemas.openxmlformats.org/spreadsheetml/2006/main" id="82" name="Taches_Jour2132537401821303336424548515457606368842125333745495753616569737781899793101105113117109121125129133137141145149153157161165169173177181185189193197201205209213" displayName="Taches_Jour2132537401821303336424548515457606368842125333745495753616569737781899793101105113117109121125129133137141145149153157161165169173177181185189193197201205209213" ref="A47:I55" headerRowCount="1" totalsRowCount="0" totalsRowShown="0">
  <autoFilter ref="A47:I55"/>
  <tableColumns count="9">
    <tableColumn id="1" name="Tâches"/>
    <tableColumn id="2" name="1- Lundi"/>
    <tableColumn id="3" name="2- Mardi"/>
    <tableColumn id="4" name="3- Mercredi"/>
    <tableColumn id="5" name="4- Jeudi"/>
    <tableColumn id="6" name="5- Vendredi"/>
    <tableColumn id="7" name="6- Samedi"/>
    <tableColumn id="8" name="7- Dimanche"/>
    <tableColumn id="9" name="Total" totalsRowFunction="sum"/>
  </tableColumns>
</table>
</file>

<file path=xl/tables/table83.xml><?xml version="1.0" encoding="utf-8"?>
<table xmlns="http://schemas.openxmlformats.org/spreadsheetml/2006/main" id="83" name="Taches_Jour21325374018213033364245485154576063688421253337454957536165697377818997931011051131171091211251291331371411451491531571611651691731771811851891931972012052092133" displayName="Taches_Jour21325374018213033364245485154576063688421253337454957536165697377818997931011051131171091211251291331371411451491531571611651691731771811851891931972012052092133" ref="A56:I64" headerRowCount="1" totalsRowCount="0" totalsRowShown="0">
  <autoFilter ref="A56:I64"/>
  <tableColumns count="9">
    <tableColumn id="1" name="Tâches"/>
    <tableColumn id="2" name="1- Lundi"/>
    <tableColumn id="3" name="2- Mardi"/>
    <tableColumn id="4" name="3- Mercredi"/>
    <tableColumn id="5" name="4- Jeudi"/>
    <tableColumn id="6" name="5- Vendredi"/>
    <tableColumn id="7" name="6- Samedi"/>
    <tableColumn id="8" name="7- Dimanche"/>
    <tableColumn id="9" name="Total" totalsRowFunction="sum"/>
  </tableColumns>
</table>
</file>

<file path=xl/tables/table84.xml><?xml version="1.0" encoding="utf-8"?>
<table xmlns="http://schemas.openxmlformats.org/spreadsheetml/2006/main" id="84" name="Taches_Jour213253740182130333642454851545760636884212533374549575361656973778189979310110511311710912112512913313714114514915315716116516917317718118518919319720120520921339" displayName="Taches_Jour213253740182130333642454851545760636884212533374549575361656973778189979310110511311710912112512913313714114514915315716116516917317718118518919319720120520921339" ref="A68:I76" headerRowCount="1" totalsRowCount="0" totalsRowShown="0">
  <autoFilter ref="A68:I76"/>
  <tableColumns count="9">
    <tableColumn id="1" name="Tâches"/>
    <tableColumn id="2" name="1- Lundi"/>
    <tableColumn id="3" name="2- Mardi"/>
    <tableColumn id="4" name="3- Mercredi"/>
    <tableColumn id="5" name="4- Jeudi"/>
    <tableColumn id="6" name="5- Vendredi"/>
    <tableColumn id="7" name="6- Samedi"/>
    <tableColumn id="8" name="7- Dimanche"/>
    <tableColumn id="9" name="Total" totalsRowFunction="sum"/>
  </tableColumns>
</table>
</file>

<file path=xl/tables/table85.xml><?xml version="1.0" encoding="utf-8"?>
<table xmlns="http://schemas.openxmlformats.org/spreadsheetml/2006/main" id="85" name="Taches_Jour21325374018213033364245485154576063688421253337454957536165697377818997931011051131171091211251291331371411451491531571611651691731771811851891931972012052092133913" displayName="Taches_Jour21325374018213033364245485154576063688421253337454957536165697377818997931011051131171091211251291331371411451491531571611651691731771811851891931972012052092133913" ref="A59:I67" headerRowCount="1" totalsRowCount="0" totalsRowShown="0">
  <autoFilter ref="A59:I67"/>
  <tableColumns count="9">
    <tableColumn id="1" name="Tâches"/>
    <tableColumn id="2" name="1- Lundi"/>
    <tableColumn id="3" name="2- Mardi"/>
    <tableColumn id="4" name="3- Mercredi"/>
    <tableColumn id="5" name="4- Jeudi"/>
    <tableColumn id="6" name="5- Vendredi"/>
    <tableColumn id="7" name="6- Samedi"/>
    <tableColumn id="8" name="7- Dimanche"/>
    <tableColumn id="9" name="Total" totalsRowFunction="sum"/>
  </tableColumns>
</table>
</file>

<file path=xl/tables/table86.xml><?xml version="1.0" encoding="utf-8"?>
<table xmlns="http://schemas.openxmlformats.org/spreadsheetml/2006/main" id="86" name="Taches_Jour2132537401821303336424548515457606368842125333745495753616569737781899793101105113117109121125129133137141145149153157161165169173177181185189193197201205209213391317" displayName="Taches_Jour2132537401821303336424548515457606368842125333745495753616569737781899793101105113117109121125129133137141145149153157161165169173177181185189193197201205209213391317" ref="A55:I63" headerRowCount="1" totalsRowCount="0" totalsRowShown="0">
  <autoFilter ref="A55:I63"/>
  <tableColumns count="9">
    <tableColumn id="1" name="Tâches"/>
    <tableColumn id="2" name="1- Lundi"/>
    <tableColumn id="3" name="2- Mardi"/>
    <tableColumn id="4" name="3- Mercredi"/>
    <tableColumn id="5" name="4- Jeudi"/>
    <tableColumn id="6" name="5- Vendredi"/>
    <tableColumn id="7" name="6- Samedi"/>
    <tableColumn id="8" name="7- Dimanche"/>
    <tableColumn id="9" name="Total" totalsRowFunction="sum"/>
  </tableColumns>
</table>
</file>

<file path=xl/tables/table87.xml><?xml version="1.0" encoding="utf-8"?>
<table xmlns="http://schemas.openxmlformats.org/spreadsheetml/2006/main" id="87" name="Taches_Jour213253740182130333642454851545760636884212533374549575361656973778189979310110511311710912112512913313714114514915315716116516917317718118518919319720120520921339131721" displayName="Taches_Jour213253740182130333642454851545760636884212533374549575361656973778189979310110511311710912112512913313714114514915315716116516917317718118518919319720120520921339131721" ref="A53:I61" headerRowCount="1" totalsRowCount="0" totalsRowShown="0">
  <autoFilter ref="A53:I61"/>
  <tableColumns count="9">
    <tableColumn id="1" name="Tâches"/>
    <tableColumn id="2" name="1- Lundi"/>
    <tableColumn id="3" name="2- Mardi"/>
    <tableColumn id="4" name="3- Mercredi"/>
    <tableColumn id="5" name="4- Jeudi"/>
    <tableColumn id="6" name="5- Vendredi"/>
    <tableColumn id="7" name="6- Samedi"/>
    <tableColumn id="8" name="7- Dimanche"/>
    <tableColumn id="9" name="Total" totalsRowFunction="sum"/>
  </tableColumns>
</table>
</file>

<file path=xl/tables/table88.xml><?xml version="1.0" encoding="utf-8"?>
<table xmlns="http://schemas.openxmlformats.org/spreadsheetml/2006/main" id="88" name="Taches_Jour21325374018213033364245485154576063688421253337454957536165697377818997931011051131171091211251291331371411451491531571611651691731771811851891931972012052092133913172125" displayName="Taches_Jour21325374018213033364245485154576063688421253337454957536165697377818997931011051131171091211251291331371411451491531571611651691731771811851891931972012052092133913172125" ref="A55:I63" headerRowCount="1" totalsRowCount="0" totalsRowShown="0">
  <autoFilter ref="A55:I63"/>
  <tableColumns count="9">
    <tableColumn id="1" name="Tâches"/>
    <tableColumn id="2" name="1- Lundi"/>
    <tableColumn id="3" name="2- Mardi"/>
    <tableColumn id="4" name="3- Mercredi"/>
    <tableColumn id="5" name="4- Jeudi"/>
    <tableColumn id="6" name="5- Vendredi"/>
    <tableColumn id="7" name="6- Samedi"/>
    <tableColumn id="8" name="7- Dimanche"/>
    <tableColumn id="9" name="Total" totalsRowFunction="sum"/>
  </tableColumns>
</table>
</file>

<file path=xl/tables/table89.xml><?xml version="1.0" encoding="utf-8"?>
<table xmlns="http://schemas.openxmlformats.org/spreadsheetml/2006/main" id="89" name="Taches_Jour2132537401821303336424548515457606368842125333745495753616569737781899793101105113117109121125129133137141145149153157161165169173177181185189193197201205209213391317212529" displayName="Taches_Jour2132537401821303336424548515457606368842125333745495753616569737781899793101105113117109121125129133137141145149153157161165169173177181185189193197201205209213391317212529" ref="A52:I60" headerRowCount="1" totalsRowCount="0" totalsRowShown="0">
  <autoFilter ref="A52:I60"/>
  <tableColumns count="9">
    <tableColumn id="1" name="Tâches"/>
    <tableColumn id="2" name="1- Lundi"/>
    <tableColumn id="3" name="2- Mardi"/>
    <tableColumn id="4" name="3- Mercredi"/>
    <tableColumn id="5" name="4- Jeudi"/>
    <tableColumn id="6" name="5- Vendredi"/>
    <tableColumn id="7" name="6- Samedi"/>
    <tableColumn id="8" name="7- Dimanche"/>
    <tableColumn id="9" name="Total" totalsRowFunction="sum"/>
  </tableColumns>
</table>
</file>

<file path=xl/tables/table90.xml><?xml version="1.0" encoding="utf-8"?>
<table xmlns="http://schemas.openxmlformats.org/spreadsheetml/2006/main" id="90" name="Taches_Jour213253740182130333642454851545760636884212533374549575361656973778189979310110511311710912112512913313714114514915315716116516917317718118518919319720120520921339131721252933" displayName="Taches_Jour213253740182130333642454851545760636884212533374549575361656973778189979310110511311710912112512913313714114514915315716116516917317718118518919319720120520921339131721252933" ref="A67:I75" headerRowCount="1" totalsRowCount="0" totalsRowShown="0">
  <autoFilter ref="A67:I75"/>
  <tableColumns count="9">
    <tableColumn id="1" name="Tâches"/>
    <tableColumn id="2" name="1- Lundi"/>
    <tableColumn id="3" name="2- Mardi"/>
    <tableColumn id="4" name="3- Mercredi"/>
    <tableColumn id="5" name="4- Jeudi"/>
    <tableColumn id="6" name="5- Vendredi"/>
    <tableColumn id="7" name="6- Samedi"/>
    <tableColumn id="8" name="7- Dimanche"/>
    <tableColumn id="9" name="Total" totalsRowFunction="sum"/>
  </tableColumns>
</table>
</file>

<file path=xl/tables/table91.xml><?xml version="1.0" encoding="utf-8"?>
<table xmlns="http://schemas.openxmlformats.org/spreadsheetml/2006/main" id="91" name="Taches_Jour21325374018213033364245485154576063688421253337454957536165697377818997931011051131171091211251291331371411451491531571611651691731771811851891931972012052092133913172125293337" displayName="Taches_Jour21325374018213033364245485154576063688421253337454957536165697377818997931011051131171091211251291331371411451491531571611651691731771811851891931972012052092133913172125293337" ref="A60:I68" headerRowCount="1" totalsRowCount="0" totalsRowShown="0">
  <autoFilter ref="A60:I68"/>
  <tableColumns count="9">
    <tableColumn id="1" name="Tâches"/>
    <tableColumn id="2" name="1- Lundi"/>
    <tableColumn id="3" name="2- Mardi"/>
    <tableColumn id="4" name="3- Mercredi"/>
    <tableColumn id="5" name="4- Jeudi"/>
    <tableColumn id="6" name="5- Vendredi"/>
    <tableColumn id="7" name="6- Samedi"/>
    <tableColumn id="8" name="7- Dimanche"/>
    <tableColumn id="9" name="Total" totalsRowFunction="sum"/>
  </tableColumns>
</table>
</file>

<file path=xl/tables/table92.xml><?xml version="1.0" encoding="utf-8"?>
<table xmlns="http://schemas.openxmlformats.org/spreadsheetml/2006/main" id="92" name="Taches_Jour2132537401821303336424548515457606368842125333745495753616569737781899793101105113117109121125129133137141145149153157161165169173177181185189193197201205209213391317212529333741" displayName="Taches_Jour2132537401821303336424548515457606368842125333745495753616569737781899793101105113117109121125129133137141145149153157161165169173177181185189193197201205209213391317212529333741" ref="A63:I71" headerRowCount="1" totalsRowCount="0" totalsRowShown="0">
  <autoFilter ref="A63:I71"/>
  <tableColumns count="9">
    <tableColumn id="1" name="Tâches"/>
    <tableColumn id="2" name="1- Lundi"/>
    <tableColumn id="3" name="2- Mardi"/>
    <tableColumn id="4" name="3- Mercredi"/>
    <tableColumn id="5" name="4- Jeudi"/>
    <tableColumn id="6" name="5- Vendredi"/>
    <tableColumn id="7" name="6- Samedi"/>
    <tableColumn id="8" name="7- Dimanche"/>
    <tableColumn id="9" name="Total" totalsRowFunction="sum"/>
  </tableColumns>
</table>
</file>

<file path=xl/tables/table93.xml><?xml version="1.0" encoding="utf-8"?>
<table xmlns="http://schemas.openxmlformats.org/spreadsheetml/2006/main" id="93" name="Taches_Jour2132537401821303336424548515457606368842125333745495753616569737781899793101105113117109121125129133137141145149153157161165169173177181185189193197201205209213391317212529333745" displayName="Taches_Jour2132537401821303336424548515457606368842125333745495753616569737781899793101105113117109121125129133137141145149153157161165169173177181185189193197201205209213391317212529333745" ref="A64:I72" headerRowCount="1" totalsRowCount="0" totalsRowShown="0">
  <autoFilter ref="A64:I72"/>
  <tableColumns count="9">
    <tableColumn id="1" name="Tâches"/>
    <tableColumn id="2" name="1- Lundi"/>
    <tableColumn id="3" name="2- Mardi"/>
    <tableColumn id="4" name="3- Mercredi"/>
    <tableColumn id="5" name="4- Jeudi"/>
    <tableColumn id="6" name="5- Vendredi"/>
    <tableColumn id="7" name="6- Samedi"/>
    <tableColumn id="8" name="7- Dimanche"/>
    <tableColumn id="9" name="Total" totalsRowFunction="sum"/>
  </tableColumns>
</table>
</file>

<file path=xl/tables/table94.xml><?xml version="1.0" encoding="utf-8"?>
<table xmlns="http://schemas.openxmlformats.org/spreadsheetml/2006/main" id="94" name="Taches_Jour213253740182130333642454851545760636884212533374549575361656973778189979310110511311710912112512913313714114514915315716116516917317718118518919319720120520921339131721252933374549" displayName="Taches_Jour213253740182130333642454851545760636884212533374549575361656973778189979310110511311710912112512913313714114514915315716116516917317718118518919319720120520921339131721252933374549" ref="A45:I53" headerRowCount="1" totalsRowCount="0" totalsRowShown="0">
  <autoFilter ref="A45:I53"/>
  <tableColumns count="9">
    <tableColumn id="1" name="Tâches"/>
    <tableColumn id="2" name="1- Lundi"/>
    <tableColumn id="3" name="2- Mardi"/>
    <tableColumn id="4" name="3- Mercredi"/>
    <tableColumn id="5" name="4- Jeudi"/>
    <tableColumn id="6" name="5- Vendredi"/>
    <tableColumn id="7" name="6- Samedi"/>
    <tableColumn id="8" name="7- Dimanche"/>
    <tableColumn id="9" name="Total" totalsRowFunction="sum"/>
  </tableColumns>
</table>
</file>

<file path=xl/tables/table95.xml><?xml version="1.0" encoding="utf-8"?>
<table xmlns="http://schemas.openxmlformats.org/spreadsheetml/2006/main" id="95" name="Taches_Jour21325374018213033364245485154576063688421253337454957536165697377818997931011051131171091211251291331371411451491531571611651691731771811851891931972012052092133913172125293337454953" displayName="Taches_Jour21325374018213033364245485154576063688421253337454957536165697377818997931011051131171091211251291331371411451491531571611651691731771811851891931972012052092133913172125293337454953" ref="A63:I71" headerRowCount="1" totalsRowCount="0" totalsRowShown="0">
  <autoFilter ref="A63:I71"/>
  <tableColumns count="9">
    <tableColumn id="1" name="Tâches"/>
    <tableColumn id="2" name="1- Lundi"/>
    <tableColumn id="3" name="2- Mardi"/>
    <tableColumn id="4" name="3- Mercredi"/>
    <tableColumn id="5" name="4- Jeudi"/>
    <tableColumn id="6" name="5- Vendredi"/>
    <tableColumn id="7" name="6- Samedi"/>
    <tableColumn id="8" name="7- Dimanche"/>
    <tableColumn id="9" name="Total" totalsRowFunction="sum"/>
  </tableColumns>
</table>
</file>

<file path=xl/tables/table96.xml><?xml version="1.0" encoding="utf-8"?>
<table xmlns="http://schemas.openxmlformats.org/spreadsheetml/2006/main" id="96" name="Taches_Jour2132537401821303336424548515457606368842125333745495753616569737781899793101105113117109121125129133137141145149153157161165169173177181185189193197201205209213391317212529333745495357" displayName="Taches_Jour2132537401821303336424548515457606368842125333745495753616569737781899793101105113117109121125129133137141145149153157161165169173177181185189193197201205209213391317212529333745495357" ref="A57:I65" headerRowCount="1" totalsRowCount="0" totalsRowShown="0">
  <autoFilter ref="A57:I65"/>
  <tableColumns count="9">
    <tableColumn id="1" name="Tâches"/>
    <tableColumn id="2" name="1- Lundi"/>
    <tableColumn id="3" name="2- Mardi"/>
    <tableColumn id="4" name="3- Mercredi"/>
    <tableColumn id="5" name="4- Jeudi"/>
    <tableColumn id="6" name="5- Vendredi"/>
    <tableColumn id="7" name="6- Samedi"/>
    <tableColumn id="8" name="7- Dimanche"/>
    <tableColumn id="9" name="Total" totalsRowFunction="sum"/>
  </tableColumns>
</table>
</file>

<file path=xl/tables/table97.xml><?xml version="1.0" encoding="utf-8"?>
<table xmlns="http://schemas.openxmlformats.org/spreadsheetml/2006/main" id="97" name="Taches_Jour213253740182130333642454851545760636884212533374549575361656973778189979310110511311710912112512913313714114514915315716116516917317718118518919319720120520921339131721252933374549535761" displayName="Taches_Jour213253740182130333642454851545760636884212533374549575361656973778189979310110511311710912112512913313714114514915315716116516917317718118518919319720120520921339131721252933374549535761" ref="A42:I50" headerRowCount="1" totalsRowCount="0" totalsRowShown="0">
  <autoFilter ref="A42:I50"/>
  <tableColumns count="9">
    <tableColumn id="1" name="Tâches"/>
    <tableColumn id="2" name="1- Lundi"/>
    <tableColumn id="3" name="2- Mardi"/>
    <tableColumn id="4" name="3- Mercredi"/>
    <tableColumn id="5" name="4- Jeudi"/>
    <tableColumn id="6" name="5- Vendredi"/>
    <tableColumn id="7" name="6- Samedi"/>
    <tableColumn id="8" name="7- Dimanche"/>
    <tableColumn id="9" name="Total" totalsRowFunction="sum"/>
  </tableColumns>
</table>
</file>

<file path=xl/tables/table98.xml><?xml version="1.0" encoding="utf-8"?>
<table xmlns="http://schemas.openxmlformats.org/spreadsheetml/2006/main" id="98" name="Taches_Jour21325374018213033364245485154576063688421253337454957536165697377818997931011051131171091211251291331371411451491531571611651691731771811851891931972012052092133913172125293337454953576165" displayName="Taches_Jour21325374018213033364245485154576063688421253337454957536165697377818997931011051131171091211251291331371411451491531571611651691731771811851891931972012052092133913172125293337454953576165" ref="A57:I65" headerRowCount="1" totalsRowCount="0" totalsRowShown="0">
  <autoFilter ref="A57:I65"/>
  <tableColumns count="9">
    <tableColumn id="1" name="Tâches"/>
    <tableColumn id="2" name="1- Lundi"/>
    <tableColumn id="3" name="2- Mardi"/>
    <tableColumn id="4" name="3- Mercredi"/>
    <tableColumn id="5" name="4- Jeudi"/>
    <tableColumn id="6" name="5- Vendredi"/>
    <tableColumn id="7" name="6- Samedi"/>
    <tableColumn id="8" name="7- Dimanche"/>
    <tableColumn id="9" name="Total" totalsRowFunction="sum"/>
  </tableColumns>
</table>
</file>

<file path=xl/tables/table99.xml><?xml version="1.0" encoding="utf-8"?>
<table xmlns="http://schemas.openxmlformats.org/spreadsheetml/2006/main" id="99" name="Taches_Jour21325374018213033364245485154576063688421253337454957536165697377818997931011051131171091211251291331371411451491531571611651691731771811851891931972012052092133913172125293337454953576165697579" displayName="Taches_Jour21325374018213033364245485154576063688421253337454957536165697377818997931011051131171091211251291331371411451491531571611651691731771811851891931972012052092133913172125293337454953576165697579" ref="A59:I67" headerRowCount="1" totalsRowCount="0" totalsRowShown="0">
  <autoFilter ref="A59:I67"/>
  <tableColumns count="9">
    <tableColumn id="1" name="Tâches"/>
    <tableColumn id="2" name="1- Lundi"/>
    <tableColumn id="3" name="2- Mardi"/>
    <tableColumn id="4" name="3- Mercredi"/>
    <tableColumn id="5" name="4- Jeudi"/>
    <tableColumn id="6" name="5- Vendredi"/>
    <tableColumn id="7" name="6- Samedi"/>
    <tableColumn id="8" name="7- Dimanche"/>
    <tableColumn id="9" name="Total" totalsRowFunction="sum"/>
  </tableColumns>
</table>
</file>

<file path=xl/tables/table100.xml><?xml version="1.0" encoding="utf-8"?>
<table xmlns="http://schemas.openxmlformats.org/spreadsheetml/2006/main" id="100" name="Taches_Jours122436391720293235414447505356596267832024323644485652606468727680889692100104112116108120124128132136140144148152156160164168172176180184188192196200204208" displayName="Taches_Jours122436391720293235414447505356596267832024323644485652606468727680889692100104112116108120124128132136140144148152156160164168172176180184188192196200204208" ref="A29:J36" headerRowCount="1" totalsRowCount="0" totalsRowShown="0">
  <autoFilter ref="A29:J36"/>
  <tableColumns count="10">
    <tableColumn id="1" name="Jours"/>
    <tableColumn id="2" name="GB"/>
    <tableColumn id="3" name="RI"/>
    <tableColumn id="4" name="FG"/>
    <tableColumn id="5" name="PS"/>
    <tableColumn id="6" name="TD"/>
    <tableColumn id="7" name="GP"/>
    <tableColumn id="8" name="GP / SP"/>
    <tableColumn id="9" name="BILLET"/>
    <tableColumn id="10" name="Total"/>
  </tableColumns>
</table>
</file>

<file path=xl/tables/table101.xml><?xml version="1.0" encoding="utf-8"?>
<table xmlns="http://schemas.openxmlformats.org/spreadsheetml/2006/main" id="101" name="Taches_Jours122436391720293235414447505356596267832024323644485652606468727680889692100104112116108120124128132136140144148152156160164168172176180184188192196200204208212" displayName="Taches_Jours122436391720293235414447505356596267832024323644485652606468727680889692100104112116108120124128132136140144148152156160164168172176180184188192196200204208212" ref="A38:J45" headerRowCount="1" totalsRowCount="0" totalsRowShown="0">
  <autoFilter ref="A38:J45"/>
  <tableColumns count="10">
    <tableColumn id="1" name="Jours"/>
    <tableColumn id="2" name="GB"/>
    <tableColumn id="3" name="RI"/>
    <tableColumn id="4" name="FG"/>
    <tableColumn id="5" name="PS"/>
    <tableColumn id="6" name="TD"/>
    <tableColumn id="7" name="GP"/>
    <tableColumn id="8" name="GP / SP"/>
    <tableColumn id="9" name="BILLET"/>
    <tableColumn id="10" name="Total"/>
  </tableColumns>
</table>
</file>

<file path=xl/tables/table102.xml><?xml version="1.0" encoding="utf-8"?>
<table xmlns="http://schemas.openxmlformats.org/spreadsheetml/2006/main" id="102" name="Taches_Jours1224363917202932354144475053565962678320243236444856526064687276808896921001041121161081201241281321361401441481521561601641681721761801841881921962002042082122" displayName="Taches_Jours1224363917202932354144475053565962678320243236444856526064687276808896921001041121161081201241281321361401441481521561601641681721761801841881921962002042082122" ref="A47:J54" headerRowCount="1" totalsRowCount="0" totalsRowShown="0">
  <autoFilter ref="A47:J54"/>
  <tableColumns count="10">
    <tableColumn id="1" name="Jours"/>
    <tableColumn id="2" name="GB"/>
    <tableColumn id="3" name="RI"/>
    <tableColumn id="4" name="FG"/>
    <tableColumn id="5" name="PS"/>
    <tableColumn id="6" name="TD"/>
    <tableColumn id="7" name="GP"/>
    <tableColumn id="8" name="GP / SP"/>
    <tableColumn id="9" name="BILLET"/>
    <tableColumn id="10" name="Total"/>
  </tableColumns>
</table>
</file>

<file path=xl/tables/table103.xml><?xml version="1.0" encoding="utf-8"?>
<table xmlns="http://schemas.openxmlformats.org/spreadsheetml/2006/main" id="103" name="Taches_Jours12243639172029323541444750535659626783202432364448565260646872768088969210010411211610812012412813213614014414815215616016416817217618018418819219620020420821226" displayName="Taches_Jours12243639172029323541444750535659626783202432364448565260646872768088969210010411211610812012412813213614014414815215616016416817217618018418819219620020420821226" ref="A59:J66" headerRowCount="1" totalsRowCount="0" totalsRowShown="0">
  <autoFilter ref="A59:J66"/>
  <tableColumns count="10">
    <tableColumn id="1" name="Jours"/>
    <tableColumn id="2" name="GB"/>
    <tableColumn id="3" name="RI"/>
    <tableColumn id="4" name="FG"/>
    <tableColumn id="5" name="PS"/>
    <tableColumn id="6" name="TD"/>
    <tableColumn id="7" name="GP"/>
    <tableColumn id="8" name="GP / SP"/>
    <tableColumn id="9" name="BILLET"/>
    <tableColumn id="10" name="Total"/>
  </tableColumns>
</table>
</file>

<file path=xl/tables/table104.xml><?xml version="1.0" encoding="utf-8"?>
<table xmlns="http://schemas.openxmlformats.org/spreadsheetml/2006/main" id="104" name="Taches_Jours1224363917202932354144475053565962678320243236444856526064687276808896921001041121161081201241281321361401441481521561601641681721761801841881921962002042082122612" displayName="Taches_Jours1224363917202932354144475053565962678320243236444856526064687276808896921001041121161081201241281321361401441481521561601641681721761801841881921962002042082122612" ref="A50:J57" headerRowCount="1" totalsRowCount="0" totalsRowShown="0">
  <autoFilter ref="A50:J57"/>
  <tableColumns count="10">
    <tableColumn id="1" name="Jours"/>
    <tableColumn id="2" name="GB"/>
    <tableColumn id="3" name="RI"/>
    <tableColumn id="4" name="FG"/>
    <tableColumn id="5" name="PS"/>
    <tableColumn id="6" name="TD"/>
    <tableColumn id="7" name="GP"/>
    <tableColumn id="8" name="GP / SP"/>
    <tableColumn id="9" name="BILLET"/>
    <tableColumn id="10" name="Total"/>
  </tableColumns>
</table>
</file>

<file path=xl/tables/table105.xml><?xml version="1.0" encoding="utf-8"?>
<table xmlns="http://schemas.openxmlformats.org/spreadsheetml/2006/main" id="105" name="Taches_Jours122436391720293235414447505356596267832024323644485652606468727680889692100104112116108120124128132136140144148152156160164168172176180184188192196200204208212261216" displayName="Taches_Jours122436391720293235414447505356596267832024323644485652606468727680889692100104112116108120124128132136140144148152156160164168172176180184188192196200204208212261216" ref="A46:J53" headerRowCount="1" totalsRowCount="0" totalsRowShown="0">
  <autoFilter ref="A46:J53"/>
  <tableColumns count="10">
    <tableColumn id="1" name="Jours"/>
    <tableColumn id="2" name="GB"/>
    <tableColumn id="3" name="RI"/>
    <tableColumn id="4" name="FG"/>
    <tableColumn id="5" name="PS"/>
    <tableColumn id="6" name="TD"/>
    <tableColumn id="7" name="GP"/>
    <tableColumn id="8" name="GP / SP"/>
    <tableColumn id="9" name="BILLET"/>
    <tableColumn id="10" name="Total"/>
  </tableColumns>
</table>
</file>

<file path=xl/tables/table106.xml><?xml version="1.0" encoding="utf-8"?>
<table xmlns="http://schemas.openxmlformats.org/spreadsheetml/2006/main" id="106" name="Taches_Jours12243639172029323541444750535659626783202432364448565260646872768088969210010411211610812012412813213614014414815215616016416817217618018418819219620020420821226121620" displayName="Taches_Jours12243639172029323541444750535659626783202432364448565260646872768088969210010411211610812012412813213614014414815215616016416817217618018418819219620020420821226121620" ref="A44:J51" headerRowCount="1" totalsRowCount="0" totalsRowShown="0">
  <autoFilter ref="A44:J51"/>
  <tableColumns count="10">
    <tableColumn id="1" name="Jours"/>
    <tableColumn id="2" name="GB"/>
    <tableColumn id="3" name="RI"/>
    <tableColumn id="4" name="FG"/>
    <tableColumn id="5" name="PS"/>
    <tableColumn id="6" name="TD"/>
    <tableColumn id="7" name="GP"/>
    <tableColumn id="8" name="GP / SP"/>
    <tableColumn id="9" name="BILLET"/>
    <tableColumn id="10" name="Total"/>
  </tableColumns>
</table>
</file>

<file path=xl/tables/table107.xml><?xml version="1.0" encoding="utf-8"?>
<table xmlns="http://schemas.openxmlformats.org/spreadsheetml/2006/main" id="107" name="Taches_Jours1224363917202932354144475053565962678320243236444856526064687276808896921001041121161081201241281321361401441481521561601641681721761801841881921962002042082122612162024" displayName="Taches_Jours1224363917202932354144475053565962678320243236444856526064687276808896921001041121161081201241281321361401441481521561601641681721761801841881921962002042082122612162024" ref="A46:J53" headerRowCount="1" totalsRowCount="0" totalsRowShown="0">
  <autoFilter ref="A46:J53"/>
  <tableColumns count="10">
    <tableColumn id="1" name="Jours"/>
    <tableColumn id="2" name="GB"/>
    <tableColumn id="3" name="RI"/>
    <tableColumn id="4" name="FG"/>
    <tableColumn id="5" name="PS"/>
    <tableColumn id="6" name="TD"/>
    <tableColumn id="7" name="GP"/>
    <tableColumn id="8" name="GP / SP"/>
    <tableColumn id="9" name="BILLET"/>
    <tableColumn id="10" name="Total"/>
  </tableColumns>
</table>
</file>

<file path=xl/tables/table108.xml><?xml version="1.0" encoding="utf-8"?>
<table xmlns="http://schemas.openxmlformats.org/spreadsheetml/2006/main" id="108" name="Taches_Jours122436391720293235414447505356596267832024323644485652606468727680889692100104112116108120124128132136140144148152156160164168172176180184188192196200204208212261216202428" displayName="Taches_Jours122436391720293235414447505356596267832024323644485652606468727680889692100104112116108120124128132136140144148152156160164168172176180184188192196200204208212261216202428" ref="A43:J50" headerRowCount="1" totalsRowCount="0" totalsRowShown="0">
  <autoFilter ref="A43:J50"/>
  <tableColumns count="10">
    <tableColumn id="1" name="Jours"/>
    <tableColumn id="2" name="GB"/>
    <tableColumn id="3" name="RI"/>
    <tableColumn id="4" name="FG"/>
    <tableColumn id="5" name="PS"/>
    <tableColumn id="6" name="TD"/>
    <tableColumn id="7" name="GP"/>
    <tableColumn id="8" name="GP / SP"/>
    <tableColumn id="9" name="BILLET"/>
    <tableColumn id="10" name="Total"/>
  </tableColumns>
</table>
</file>

<file path=xl/tables/table109.xml><?xml version="1.0" encoding="utf-8"?>
<table xmlns="http://schemas.openxmlformats.org/spreadsheetml/2006/main" id="109" name="Taches_Jours12243639172029323541444750535659626783202432364448565260646872768088969210010411211610812012412813213614014414815215616016416817217618018418819219620020420821226121620242832" displayName="Taches_Jours12243639172029323541444750535659626783202432364448565260646872768088969210010411211610812012412813213614014414815215616016416817217618018418819219620020420821226121620242832" ref="A58:J65" headerRowCount="1" totalsRowCount="0" totalsRowShown="0">
  <autoFilter ref="A58:J65"/>
  <tableColumns count="10">
    <tableColumn id="1" name="Jours"/>
    <tableColumn id="2" name="GB"/>
    <tableColumn id="3" name="RI"/>
    <tableColumn id="4" name="FG"/>
    <tableColumn id="5" name="PS"/>
    <tableColumn id="6" name="TD"/>
    <tableColumn id="7" name="GP"/>
    <tableColumn id="8" name="GP / SP"/>
    <tableColumn id="9" name="BILLET"/>
    <tableColumn id="10" name="Total"/>
  </tableColumns>
</table>
</file>

<file path=xl/tables/table110.xml><?xml version="1.0" encoding="utf-8"?>
<table xmlns="http://schemas.openxmlformats.org/spreadsheetml/2006/main" id="110" name="Taches_Jours1224363917202932354144475053565962678320243236444856526064687276808896921001041121161081201241281321361401441481521561601641681721761801841881921962002042082122612162024283236" displayName="Taches_Jours1224363917202932354144475053565962678320243236444856526064687276808896921001041121161081201241281321361401441481521561601641681721761801841881921962002042082122612162024283236" ref="A51:J58" headerRowCount="1" totalsRowCount="0" totalsRowShown="0">
  <autoFilter ref="A51:J58"/>
  <tableColumns count="10">
    <tableColumn id="1" name="Jours"/>
    <tableColumn id="2" name="GB"/>
    <tableColumn id="3" name="RI"/>
    <tableColumn id="4" name="FG"/>
    <tableColumn id="5" name="PS"/>
    <tableColumn id="6" name="TD"/>
    <tableColumn id="7" name="GP"/>
    <tableColumn id="8" name="GP / SP"/>
    <tableColumn id="9" name="BILLET"/>
    <tableColumn id="10" name="Total"/>
  </tableColumns>
</table>
</file>

<file path=xl/tables/table111.xml><?xml version="1.0" encoding="utf-8"?>
<table xmlns="http://schemas.openxmlformats.org/spreadsheetml/2006/main" id="111" name="Taches_Jours122436391720293235414447505356596267832024323644485652606468727680889692100104112116108120124128132136140144148152156160164168172176180184188192196200204208212261216202428323640" displayName="Taches_Jours122436391720293235414447505356596267832024323644485652606468727680889692100104112116108120124128132136140144148152156160164168172176180184188192196200204208212261216202428323640" ref="A54:J61" headerRowCount="1" totalsRowCount="0" totalsRowShown="0">
  <autoFilter ref="A54:J61"/>
  <tableColumns count="10">
    <tableColumn id="1" name="Jours"/>
    <tableColumn id="2" name="GB"/>
    <tableColumn id="3" name="RI"/>
    <tableColumn id="4" name="FG"/>
    <tableColumn id="5" name="PS"/>
    <tableColumn id="6" name="TD"/>
    <tableColumn id="7" name="GP"/>
    <tableColumn id="8" name="GP / SP"/>
    <tableColumn id="9" name="BILLET"/>
    <tableColumn id="10" name="Total"/>
  </tableColumns>
</table>
</file>

<file path=xl/tables/table112.xml><?xml version="1.0" encoding="utf-8"?>
<table xmlns="http://schemas.openxmlformats.org/spreadsheetml/2006/main" id="112" name="Taches_Jours122436391720293235414447505356596267832024323644485652606468727680889692100104112116108120124128132136140144148152156160164168172176180184188192196200204208212261216202428323644" displayName="Taches_Jours122436391720293235414447505356596267832024323644485652606468727680889692100104112116108120124128132136140144148152156160164168172176180184188192196200204208212261216202428323644" ref="A55:J62" headerRowCount="1" totalsRowCount="0" totalsRowShown="0">
  <autoFilter ref="A55:J62"/>
  <tableColumns count="10">
    <tableColumn id="1" name="Jours"/>
    <tableColumn id="2" name="GB"/>
    <tableColumn id="3" name="RI"/>
    <tableColumn id="4" name="FG"/>
    <tableColumn id="5" name="PS"/>
    <tableColumn id="6" name="TD"/>
    <tableColumn id="7" name="GP"/>
    <tableColumn id="8" name="GP / SP"/>
    <tableColumn id="9" name="BILLET"/>
    <tableColumn id="10" name="Total"/>
  </tableColumns>
</table>
</file>

<file path=xl/tables/table113.xml><?xml version="1.0" encoding="utf-8"?>
<table xmlns="http://schemas.openxmlformats.org/spreadsheetml/2006/main" id="113" name="Taches_Jours12243639172029323541444750535659626783202432364448565260646872768088969210010411211610812012412813213614014414815215616016416817217618018418819219620020420821226121620242832364448" displayName="Taches_Jours12243639172029323541444750535659626783202432364448565260646872768088969210010411211610812012412813213614014414815215616016416817217618018418819219620020420821226121620242832364448" ref="A36:J43" headerRowCount="1" totalsRowCount="0" totalsRowShown="0">
  <autoFilter ref="A36:J43"/>
  <tableColumns count="10">
    <tableColumn id="1" name="Jours"/>
    <tableColumn id="2" name="GB"/>
    <tableColumn id="3" name="RI"/>
    <tableColumn id="4" name="FG"/>
    <tableColumn id="5" name="PS"/>
    <tableColumn id="6" name="TD"/>
    <tableColumn id="7" name="GP"/>
    <tableColumn id="8" name="GP / SP"/>
    <tableColumn id="9" name="BILLET"/>
    <tableColumn id="10" name="Total"/>
  </tableColumns>
</table>
</file>

<file path=xl/tables/table114.xml><?xml version="1.0" encoding="utf-8"?>
<table xmlns="http://schemas.openxmlformats.org/spreadsheetml/2006/main" id="114" name="Taches_Jours1224363917202932354144475053565962678320243236444856526064687276808896921001041121161081201241281321361401441481521561601641681721761801841881921962002042082122612162024283236444852" displayName="Taches_Jours1224363917202932354144475053565962678320243236444856526064687276808896921001041121161081201241281321361401441481521561601641681721761801841881921962002042082122612162024283236444852" ref="A54:J61" headerRowCount="1" totalsRowCount="0" totalsRowShown="0">
  <autoFilter ref="A54:J61"/>
  <tableColumns count="10">
    <tableColumn id="1" name="Jours"/>
    <tableColumn id="2" name="GB"/>
    <tableColumn id="3" name="RI"/>
    <tableColumn id="4" name="FG"/>
    <tableColumn id="5" name="PS"/>
    <tableColumn id="6" name="TD"/>
    <tableColumn id="7" name="GP"/>
    <tableColumn id="8" name="GP / SP"/>
    <tableColumn id="9" name="BILLET"/>
    <tableColumn id="10" name="Total"/>
  </tableColumns>
</table>
</file>

<file path=xl/tables/table115.xml><?xml version="1.0" encoding="utf-8"?>
<table xmlns="http://schemas.openxmlformats.org/spreadsheetml/2006/main" id="115" name="Taches_Jours122436391720293235414447505356596267832024323644485652606468727680889692100104112116108120124128132136140144148152156160164168172176180184188192196200204208212261216202428323644485256" displayName="Taches_Jours122436391720293235414447505356596267832024323644485652606468727680889692100104112116108120124128132136140144148152156160164168172176180184188192196200204208212261216202428323644485256" ref="A48:J55" headerRowCount="1" totalsRowCount="0" totalsRowShown="0">
  <autoFilter ref="A48:J55"/>
  <tableColumns count="10">
    <tableColumn id="1" name="Jours"/>
    <tableColumn id="2" name="GB"/>
    <tableColumn id="3" name="RI"/>
    <tableColumn id="4" name="FG"/>
    <tableColumn id="5" name="PS"/>
    <tableColumn id="6" name="TD"/>
    <tableColumn id="7" name="GP"/>
    <tableColumn id="8" name="GP / SP"/>
    <tableColumn id="9" name="BILLET"/>
    <tableColumn id="10" name="Total"/>
  </tableColumns>
</table>
</file>

<file path=xl/tables/table116.xml><?xml version="1.0" encoding="utf-8"?>
<table xmlns="http://schemas.openxmlformats.org/spreadsheetml/2006/main" id="116" name="Taches_Jours12243639172029323541444750535659626783202432364448565260646872768088969210010411211610812012412813213614014414815215616016416817217618018418819219620020420821226121620242832364448525660" displayName="Taches_Jours12243639172029323541444750535659626783202432364448565260646872768088969210010411211610812012412813213614014414815215616016416817217618018418819219620020420821226121620242832364448525660" ref="A33:J40" headerRowCount="1" totalsRowCount="0" totalsRowShown="0">
  <autoFilter ref="A33:J40"/>
  <tableColumns count="10">
    <tableColumn id="1" name="Jours"/>
    <tableColumn id="2" name="GB"/>
    <tableColumn id="3" name="RI"/>
    <tableColumn id="4" name="FG"/>
    <tableColumn id="5" name="PS"/>
    <tableColumn id="6" name="TD"/>
    <tableColumn id="7" name="GP"/>
    <tableColumn id="8" name="GP / SP"/>
    <tableColumn id="9" name="BILLET"/>
    <tableColumn id="10" name="Total"/>
  </tableColumns>
</table>
</file>

<file path=xl/tables/table117.xml><?xml version="1.0" encoding="utf-8"?>
<table xmlns="http://schemas.openxmlformats.org/spreadsheetml/2006/main" id="117" name="Taches_Jours1224363917202932354144475053565962678320243236444856526064687276808896921001041121161081201241281321361401441481521561601641681721761801841881921962002042082122612162024283236444852566064" displayName="Taches_Jours1224363917202932354144475053565962678320243236444856526064687276808896921001041121161081201241281321361401441481521561601641681721761801841881921962002042082122612162024283236444852566064" ref="A48:J55" headerRowCount="1" totalsRowCount="0" totalsRowShown="0">
  <autoFilter ref="A48:J55"/>
  <tableColumns count="10">
    <tableColumn id="1" name="Jours"/>
    <tableColumn id="2" name="GB"/>
    <tableColumn id="3" name="RI"/>
    <tableColumn id="4" name="FG"/>
    <tableColumn id="5" name="PS"/>
    <tableColumn id="6" name="TD"/>
    <tableColumn id="7" name="GP"/>
    <tableColumn id="8" name="GP / SP"/>
    <tableColumn id="9" name="BILLET"/>
    <tableColumn id="10" name="Total"/>
  </tableColumns>
</table>
</file>

<file path=xl/tables/table118.xml><?xml version="1.0" encoding="utf-8"?>
<table xmlns="http://schemas.openxmlformats.org/spreadsheetml/2006/main" id="118" name="Taches_Jours12243639172029323541444750535659626783202432364448565260646872768088969210010411211610812012412813213614014414815215616016416817217618018418819219620020420821226121620242832364448525660646874" displayName="Taches_Jours12243639172029323541444750535659626783202432364448565260646872768088969210010411211610812012412813213614014414815215616016416817217618018418819219620020420821226121620242832364448525660646874" ref="A49:J56" headerRowCount="1" totalsRowCount="0" totalsRowShown="0">
  <autoFilter ref="A49:J56"/>
  <tableColumns count="10">
    <tableColumn id="1" name="Jours"/>
    <tableColumn id="2" name="GB"/>
    <tableColumn id="3" name="RI"/>
    <tableColumn id="4" name="FG"/>
    <tableColumn id="5" name="PS"/>
    <tableColumn id="6" name="TD"/>
    <tableColumn id="7" name="GP"/>
    <tableColumn id="8" name="GP / SP"/>
    <tableColumn id="9" name="BILLET"/>
    <tableColumn id="10" name="Total"/>
  </tableColumns>
</table>
</file>

<file path=xl/tables/table119.xml><?xml version="1.0" encoding="utf-8"?>
<table xmlns="http://schemas.openxmlformats.org/spreadsheetml/2006/main" id="119" name="Taches_Jours1224363917202932354144475053565962678320243236444856526064687276808896921001041121161081201241281321361401441481521561601641681721761801841881921962002042082122612162024283236444852566064687478" displayName="Taches_Jours1224363917202932354144475053565962678320243236444856526064687276808896921001041121161081201241281321361401441481521561601641681721761801841881921962002042082122612162024283236444852566064687478" ref="A50:J57" headerRowCount="1" totalsRowCount="0" totalsRowShown="0">
  <autoFilter ref="A50:J57"/>
  <tableColumns count="10">
    <tableColumn id="1" name="Jours"/>
    <tableColumn id="2" name="GB"/>
    <tableColumn id="3" name="RI"/>
    <tableColumn id="4" name="FG"/>
    <tableColumn id="5" name="PS"/>
    <tableColumn id="6" name="TD"/>
    <tableColumn id="7" name="GP"/>
    <tableColumn id="8" name="GP / SP"/>
    <tableColumn id="9" name="BILLET"/>
    <tableColumn id="10" name="Total"/>
  </tableColumns>
</table>
</file>

<file path=xl/theme/theme1.xml><?xml version="1.0" encoding="utf-8"?>
<a:theme xmlns:a="http://schemas.openxmlformats.org/drawingml/2006/main" xmlns:r="http://schemas.openxmlformats.org/officeDocument/2006/relationships" name="Office 2013 - 2022 Theme">
  <a:themeElements>
    <a:clrScheme name="Office 2013 - 2022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table" Target="../tables/table2.xml"/><Relationship Id="rId3" Type="http://schemas.openxmlformats.org/officeDocument/2006/relationships/table" Target="../tables/table19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table" Target="../tables/table54.xml"/><Relationship Id="rId3" Type="http://schemas.openxmlformats.org/officeDocument/2006/relationships/table" Target="../tables/table78.xml"/><Relationship Id="rId4" Type="http://schemas.openxmlformats.org/officeDocument/2006/relationships/table" Target="../tables/table79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table" Target="../tables/table9.xml"/><Relationship Id="rId3" Type="http://schemas.openxmlformats.org/officeDocument/2006/relationships/table" Target="../tables/table25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table" Target="../tables/table8.xml"/><Relationship Id="rId3" Type="http://schemas.openxmlformats.org/officeDocument/2006/relationships/table" Target="../tables/table24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table" Target="../tables/table7.xml"/><Relationship Id="rId3" Type="http://schemas.openxmlformats.org/officeDocument/2006/relationships/table" Target="../tables/table23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table" Target="../tables/table6.xml"/><Relationship Id="rId3" Type="http://schemas.openxmlformats.org/officeDocument/2006/relationships/table" Target="../tables/table22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table" Target="../tables/table10.xml"/><Relationship Id="rId3" Type="http://schemas.openxmlformats.org/officeDocument/2006/relationships/table" Target="../tables/table26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table" Target="../tables/table5.xml"/><Relationship Id="rId3" Type="http://schemas.openxmlformats.org/officeDocument/2006/relationships/table" Target="../tables/table21.x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table" Target="../tables/table4.xml"/><Relationship Id="rId3" Type="http://schemas.openxmlformats.org/officeDocument/2006/relationships/table" Target="../tables/table20.xm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table" Target="../tables/table3.xml"/><Relationship Id="rId3" Type="http://schemas.openxmlformats.org/officeDocument/2006/relationships/table" Target="../tables/table34.xml"/>
</Relationships>
</file>

<file path=xl/worksheets/_rels/sheet12.xml.rels><?xml version="1.0" encoding="UTF-8"?>
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table" Target="../tables/table17.xml"/><Relationship Id="rId3" Type="http://schemas.openxmlformats.org/officeDocument/2006/relationships/table" Target="../tables/table33.xml"/>
</Relationships>
</file>

<file path=xl/worksheets/_rels/sheet13.xml.rels><?xml version="1.0" encoding="UTF-8"?>
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table" Target="../tables/table16.xml"/><Relationship Id="rId3" Type="http://schemas.openxmlformats.org/officeDocument/2006/relationships/table" Target="../tables/table32.xml"/>
</Relationships>
</file>

<file path=xl/worksheets/_rels/sheet14.xml.rels><?xml version="1.0" encoding="UTF-8"?>
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table" Target="../tables/table15.xml"/><Relationship Id="rId3" Type="http://schemas.openxmlformats.org/officeDocument/2006/relationships/table" Target="../tables/table31.xml"/>
</Relationships>
</file>

<file path=xl/worksheets/_rels/sheet15.xml.rels><?xml version="1.0" encoding="UTF-8"?>
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table" Target="../tables/table14.xml"/><Relationship Id="rId3" Type="http://schemas.openxmlformats.org/officeDocument/2006/relationships/table" Target="../tables/table30.xml"/>
</Relationships>
</file>

<file path=xl/worksheets/_rels/sheet16.xml.rels><?xml version="1.0" encoding="UTF-8"?>
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table" Target="../tables/table13.xml"/><Relationship Id="rId3" Type="http://schemas.openxmlformats.org/officeDocument/2006/relationships/table" Target="../tables/table29.xml"/>
</Relationships>
</file>

<file path=xl/worksheets/_rels/sheet17.xml.rels><?xml version="1.0" encoding="UTF-8"?>
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table" Target="../tables/table12.xml"/><Relationship Id="rId3" Type="http://schemas.openxmlformats.org/officeDocument/2006/relationships/table" Target="../tables/table28.xml"/>
</Relationships>
</file>

<file path=xl/worksheets/_rels/sheet18.xml.rels><?xml version="1.0" encoding="UTF-8"?>
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table" Target="../tables/table11.xml"/><Relationship Id="rId3" Type="http://schemas.openxmlformats.org/officeDocument/2006/relationships/table" Target="../tables/table27.xml"/>
</Relationships>
</file>

<file path=xl/worksheets/_rels/sheet19.xml.rels><?xml version="1.0" encoding="UTF-8"?>
<Relationships xmlns="http://schemas.openxmlformats.org/package/2006/relationships"><Relationship Id="rId1" Type="http://schemas.openxmlformats.org/officeDocument/2006/relationships/drawing" Target="../drawings/drawing18.xml"/><Relationship Id="rId2" Type="http://schemas.openxmlformats.org/officeDocument/2006/relationships/table" Target="../tables/table1.xml"/><Relationship Id="rId3" Type="http://schemas.openxmlformats.org/officeDocument/2006/relationships/table" Target="../tables/table18.xml"/>
</Relationships>
</file>

<file path=xl/worksheets/_rels/sheet20.xml.rels><?xml version="1.0" encoding="UTF-8"?>
<Relationships xmlns="http://schemas.openxmlformats.org/package/2006/relationships"><Relationship Id="rId1" Type="http://schemas.openxmlformats.org/officeDocument/2006/relationships/comments" Target="../comments20.xml"/><Relationship Id="rId2" Type="http://schemas.openxmlformats.org/officeDocument/2006/relationships/drawing" Target="../drawings/drawing19.xml"/><Relationship Id="rId3" Type="http://schemas.openxmlformats.org/officeDocument/2006/relationships/vmlDrawing" Target="../drawings/vmlDrawing1.vml"/><Relationship Id="rId4" Type="http://schemas.openxmlformats.org/officeDocument/2006/relationships/table" Target="../tables/table76.xml"/>
</Relationships>
</file>

<file path=xl/worksheets/_rels/sheet21.xml.rels><?xml version="1.0" encoding="UTF-8"?>
<Relationships xmlns="http://schemas.openxmlformats.org/package/2006/relationships"><Relationship Id="rId1" Type="http://schemas.openxmlformats.org/officeDocument/2006/relationships/comments" Target="../comments21.xml"/><Relationship Id="rId2" Type="http://schemas.openxmlformats.org/officeDocument/2006/relationships/drawing" Target="../drawings/drawing20.xml"/><Relationship Id="rId3" Type="http://schemas.openxmlformats.org/officeDocument/2006/relationships/vmlDrawing" Target="../drawings/vmlDrawing2.vml"/><Relationship Id="rId4" Type="http://schemas.openxmlformats.org/officeDocument/2006/relationships/table" Target="../tables/table77.xml"/>
</Relationships>
</file>

<file path=xl/worksheets/_rels/sheet22.xml.rels><?xml version="1.0" encoding="UTF-8"?>
<Relationships xmlns="http://schemas.openxmlformats.org/package/2006/relationships"><Relationship Id="rId1" Type="http://schemas.openxmlformats.org/officeDocument/2006/relationships/comments" Target="../comments22.xml"/><Relationship Id="rId2" Type="http://schemas.openxmlformats.org/officeDocument/2006/relationships/drawing" Target="../drawings/drawing21.xml"/><Relationship Id="rId3" Type="http://schemas.openxmlformats.org/officeDocument/2006/relationships/vmlDrawing" Target="../drawings/vmlDrawing3.vml"/><Relationship Id="rId4" Type="http://schemas.openxmlformats.org/officeDocument/2006/relationships/table" Target="../tables/table52.xml"/><Relationship Id="rId5" Type="http://schemas.openxmlformats.org/officeDocument/2006/relationships/table" Target="../tables/table74.xml"/><Relationship Id="rId6" Type="http://schemas.openxmlformats.org/officeDocument/2006/relationships/table" Target="../tables/table118.xml"/>
</Relationships>
</file>

<file path=xl/worksheets/_rels/sheet23.xml.rels><?xml version="1.0" encoding="UTF-8"?>
<Relationships xmlns="http://schemas.openxmlformats.org/package/2006/relationships"><Relationship Id="rId1" Type="http://schemas.openxmlformats.org/officeDocument/2006/relationships/comments" Target="../comments23.xml"/><Relationship Id="rId2" Type="http://schemas.openxmlformats.org/officeDocument/2006/relationships/drawing" Target="../drawings/drawing22.xml"/><Relationship Id="rId3" Type="http://schemas.openxmlformats.org/officeDocument/2006/relationships/vmlDrawing" Target="../drawings/vmlDrawing4.vml"/><Relationship Id="rId4" Type="http://schemas.openxmlformats.org/officeDocument/2006/relationships/table" Target="../tables/table53.xml"/><Relationship Id="rId5" Type="http://schemas.openxmlformats.org/officeDocument/2006/relationships/table" Target="../tables/table75.xml"/><Relationship Id="rId6" Type="http://schemas.openxmlformats.org/officeDocument/2006/relationships/table" Target="../tables/table99.xml"/><Relationship Id="rId7" Type="http://schemas.openxmlformats.org/officeDocument/2006/relationships/table" Target="../tables/table119.xml"/>
</Relationships>
</file>

<file path=xl/worksheets/_rels/sheet24.xml.rels><?xml version="1.0" encoding="UTF-8"?>
<Relationships xmlns="http://schemas.openxmlformats.org/package/2006/relationships"><Relationship Id="rId1" Type="http://schemas.openxmlformats.org/officeDocument/2006/relationships/table" Target="../tables/table55.xml"/><Relationship Id="rId2" Type="http://schemas.openxmlformats.org/officeDocument/2006/relationships/table" Target="../tables/table80.xml"/>
</Relationships>
</file>

<file path=xl/worksheets/_rels/sheet25.xml.rels><?xml version="1.0" encoding="UTF-8"?>
<Relationships xmlns="http://schemas.openxmlformats.org/package/2006/relationships"><Relationship Id="rId1" Type="http://schemas.openxmlformats.org/officeDocument/2006/relationships/comments" Target="../comments25.xml"/><Relationship Id="rId2" Type="http://schemas.openxmlformats.org/officeDocument/2006/relationships/drawing" Target="../drawings/drawing23.xml"/><Relationship Id="rId3" Type="http://schemas.openxmlformats.org/officeDocument/2006/relationships/vmlDrawing" Target="../drawings/vmlDrawing5.vml"/><Relationship Id="rId4" Type="http://schemas.openxmlformats.org/officeDocument/2006/relationships/table" Target="../tables/table51.xml"/><Relationship Id="rId5" Type="http://schemas.openxmlformats.org/officeDocument/2006/relationships/table" Target="../tables/table73.xml"/><Relationship Id="rId6" Type="http://schemas.openxmlformats.org/officeDocument/2006/relationships/table" Target="../tables/table98.xml"/><Relationship Id="rId7" Type="http://schemas.openxmlformats.org/officeDocument/2006/relationships/table" Target="../tables/table117.xml"/>
</Relationships>
</file>

<file path=xl/worksheets/_rels/sheet26.xml.rels><?xml version="1.0" encoding="UTF-8"?>
<Relationships xmlns="http://schemas.openxmlformats.org/package/2006/relationships"><Relationship Id="rId1" Type="http://schemas.openxmlformats.org/officeDocument/2006/relationships/comments" Target="../comments26.xml"/><Relationship Id="rId2" Type="http://schemas.openxmlformats.org/officeDocument/2006/relationships/drawing" Target="../drawings/drawing24.xml"/><Relationship Id="rId3" Type="http://schemas.openxmlformats.org/officeDocument/2006/relationships/vmlDrawing" Target="../drawings/vmlDrawing6.vml"/><Relationship Id="rId4" Type="http://schemas.openxmlformats.org/officeDocument/2006/relationships/table" Target="../tables/table50.xml"/><Relationship Id="rId5" Type="http://schemas.openxmlformats.org/officeDocument/2006/relationships/table" Target="../tables/table72.xml"/><Relationship Id="rId6" Type="http://schemas.openxmlformats.org/officeDocument/2006/relationships/table" Target="../tables/table97.xml"/><Relationship Id="rId7" Type="http://schemas.openxmlformats.org/officeDocument/2006/relationships/table" Target="../tables/table116.xml"/>
</Relationships>
</file>

<file path=xl/worksheets/_rels/sheet27.xml.rels><?xml version="1.0" encoding="UTF-8"?>
<Relationships xmlns="http://schemas.openxmlformats.org/package/2006/relationships"><Relationship Id="rId1" Type="http://schemas.openxmlformats.org/officeDocument/2006/relationships/comments" Target="../comments27.xml"/><Relationship Id="rId2" Type="http://schemas.openxmlformats.org/officeDocument/2006/relationships/drawing" Target="../drawings/drawing25.xml"/><Relationship Id="rId3" Type="http://schemas.openxmlformats.org/officeDocument/2006/relationships/vmlDrawing" Target="../drawings/vmlDrawing7.vml"/><Relationship Id="rId4" Type="http://schemas.openxmlformats.org/officeDocument/2006/relationships/table" Target="../tables/table49.xml"/><Relationship Id="rId5" Type="http://schemas.openxmlformats.org/officeDocument/2006/relationships/table" Target="../tables/table71.xml"/><Relationship Id="rId6" Type="http://schemas.openxmlformats.org/officeDocument/2006/relationships/table" Target="../tables/table96.xml"/><Relationship Id="rId7" Type="http://schemas.openxmlformats.org/officeDocument/2006/relationships/table" Target="../tables/table115.xml"/>
</Relationships>
</file>

<file path=xl/worksheets/_rels/sheet28.xml.rels><?xml version="1.0" encoding="UTF-8"?>
<Relationships xmlns="http://schemas.openxmlformats.org/package/2006/relationships"><Relationship Id="rId1" Type="http://schemas.openxmlformats.org/officeDocument/2006/relationships/comments" Target="../comments28.xml"/><Relationship Id="rId2" Type="http://schemas.openxmlformats.org/officeDocument/2006/relationships/drawing" Target="../drawings/drawing26.xml"/><Relationship Id="rId3" Type="http://schemas.openxmlformats.org/officeDocument/2006/relationships/vmlDrawing" Target="../drawings/vmlDrawing8.vml"/><Relationship Id="rId4" Type="http://schemas.openxmlformats.org/officeDocument/2006/relationships/table" Target="../tables/table48.xml"/><Relationship Id="rId5" Type="http://schemas.openxmlformats.org/officeDocument/2006/relationships/table" Target="../tables/table70.xml"/><Relationship Id="rId6" Type="http://schemas.openxmlformats.org/officeDocument/2006/relationships/table" Target="../tables/table95.xml"/><Relationship Id="rId7" Type="http://schemas.openxmlformats.org/officeDocument/2006/relationships/table" Target="../tables/table114.xml"/>
</Relationships>
</file>

<file path=xl/worksheets/_rels/sheet29.xml.rels><?xml version="1.0" encoding="UTF-8"?>
<Relationships xmlns="http://schemas.openxmlformats.org/package/2006/relationships"><Relationship Id="rId1" Type="http://schemas.openxmlformats.org/officeDocument/2006/relationships/table" Target="../tables/table69.xml"/><Relationship Id="rId2" Type="http://schemas.openxmlformats.org/officeDocument/2006/relationships/table" Target="../tables/table94.xml"/><Relationship Id="rId3" Type="http://schemas.openxmlformats.org/officeDocument/2006/relationships/table" Target="../tables/table113.xml"/>
</Relationships>
</file>

<file path=xl/worksheets/_rels/sheet30.xml.rels><?xml version="1.0" encoding="UTF-8"?>
<Relationships xmlns="http://schemas.openxmlformats.org/package/2006/relationships"><Relationship Id="rId1" Type="http://schemas.openxmlformats.org/officeDocument/2006/relationships/comments" Target="../comments30.xml"/><Relationship Id="rId2" Type="http://schemas.openxmlformats.org/officeDocument/2006/relationships/drawing" Target="../drawings/drawing27.xml"/><Relationship Id="rId3" Type="http://schemas.openxmlformats.org/officeDocument/2006/relationships/vmlDrawing" Target="../drawings/vmlDrawing9.vml"/><Relationship Id="rId4" Type="http://schemas.openxmlformats.org/officeDocument/2006/relationships/table" Target="../tables/table47.xml"/><Relationship Id="rId5" Type="http://schemas.openxmlformats.org/officeDocument/2006/relationships/table" Target="../tables/table68.xml"/><Relationship Id="rId6" Type="http://schemas.openxmlformats.org/officeDocument/2006/relationships/table" Target="../tables/table93.xml"/><Relationship Id="rId7" Type="http://schemas.openxmlformats.org/officeDocument/2006/relationships/table" Target="../tables/table112.xml"/>
</Relationships>
</file>

<file path=xl/worksheets/_rels/sheet31.xml.rels><?xml version="1.0" encoding="UTF-8"?>
<Relationships xmlns="http://schemas.openxmlformats.org/package/2006/relationships"><Relationship Id="rId1" Type="http://schemas.openxmlformats.org/officeDocument/2006/relationships/comments" Target="../comments31.xml"/><Relationship Id="rId2" Type="http://schemas.openxmlformats.org/officeDocument/2006/relationships/drawing" Target="../drawings/drawing28.xml"/><Relationship Id="rId3" Type="http://schemas.openxmlformats.org/officeDocument/2006/relationships/vmlDrawing" Target="../drawings/vmlDrawing10.vml"/><Relationship Id="rId4" Type="http://schemas.openxmlformats.org/officeDocument/2006/relationships/table" Target="../tables/table46.xml"/><Relationship Id="rId5" Type="http://schemas.openxmlformats.org/officeDocument/2006/relationships/table" Target="../tables/table67.xml"/><Relationship Id="rId6" Type="http://schemas.openxmlformats.org/officeDocument/2006/relationships/table" Target="../tables/table92.xml"/><Relationship Id="rId7" Type="http://schemas.openxmlformats.org/officeDocument/2006/relationships/table" Target="../tables/table111.xml"/>
</Relationships>
</file>

<file path=xl/worksheets/_rels/sheet32.xml.rels><?xml version="1.0" encoding="UTF-8"?>
<Relationships xmlns="http://schemas.openxmlformats.org/package/2006/relationships"><Relationship Id="rId1" Type="http://schemas.openxmlformats.org/officeDocument/2006/relationships/comments" Target="../comments32.xml"/><Relationship Id="rId2" Type="http://schemas.openxmlformats.org/officeDocument/2006/relationships/drawing" Target="../drawings/drawing29.xml"/><Relationship Id="rId3" Type="http://schemas.openxmlformats.org/officeDocument/2006/relationships/vmlDrawing" Target="../drawings/vmlDrawing11.vml"/><Relationship Id="rId4" Type="http://schemas.openxmlformats.org/officeDocument/2006/relationships/table" Target="../tables/table45.xml"/><Relationship Id="rId5" Type="http://schemas.openxmlformats.org/officeDocument/2006/relationships/table" Target="../tables/table66.xml"/><Relationship Id="rId6" Type="http://schemas.openxmlformats.org/officeDocument/2006/relationships/table" Target="../tables/table91.xml"/><Relationship Id="rId7" Type="http://schemas.openxmlformats.org/officeDocument/2006/relationships/table" Target="../tables/table110.xml"/>
</Relationships>
</file>

<file path=xl/worksheets/_rels/sheet33.xml.rels><?xml version="1.0" encoding="UTF-8"?>
<Relationships xmlns="http://schemas.openxmlformats.org/package/2006/relationships"><Relationship Id="rId1" Type="http://schemas.openxmlformats.org/officeDocument/2006/relationships/comments" Target="../comments33.xml"/><Relationship Id="rId2" Type="http://schemas.openxmlformats.org/officeDocument/2006/relationships/drawing" Target="../drawings/drawing30.xml"/><Relationship Id="rId3" Type="http://schemas.openxmlformats.org/officeDocument/2006/relationships/vmlDrawing" Target="../drawings/vmlDrawing12.vml"/><Relationship Id="rId4" Type="http://schemas.openxmlformats.org/officeDocument/2006/relationships/table" Target="../tables/table44.xml"/><Relationship Id="rId5" Type="http://schemas.openxmlformats.org/officeDocument/2006/relationships/table" Target="../tables/table65.xml"/><Relationship Id="rId6" Type="http://schemas.openxmlformats.org/officeDocument/2006/relationships/table" Target="../tables/table90.xml"/><Relationship Id="rId7" Type="http://schemas.openxmlformats.org/officeDocument/2006/relationships/table" Target="../tables/table109.xml"/>
</Relationships>
</file>

<file path=xl/worksheets/_rels/sheet34.xml.rels><?xml version="1.0" encoding="UTF-8"?>
<Relationships xmlns="http://schemas.openxmlformats.org/package/2006/relationships"><Relationship Id="rId1" Type="http://schemas.openxmlformats.org/officeDocument/2006/relationships/comments" Target="../comments34.xml"/><Relationship Id="rId2" Type="http://schemas.openxmlformats.org/officeDocument/2006/relationships/drawing" Target="../drawings/drawing31.xml"/><Relationship Id="rId3" Type="http://schemas.openxmlformats.org/officeDocument/2006/relationships/vmlDrawing" Target="../drawings/vmlDrawing13.vml"/><Relationship Id="rId4" Type="http://schemas.openxmlformats.org/officeDocument/2006/relationships/table" Target="../tables/table43.xml"/><Relationship Id="rId5" Type="http://schemas.openxmlformats.org/officeDocument/2006/relationships/table" Target="../tables/table64.xml"/><Relationship Id="rId6" Type="http://schemas.openxmlformats.org/officeDocument/2006/relationships/table" Target="../tables/table89.xml"/><Relationship Id="rId7" Type="http://schemas.openxmlformats.org/officeDocument/2006/relationships/table" Target="../tables/table108.xml"/>
</Relationships>
</file>

<file path=xl/worksheets/_rels/sheet35.xml.rels><?xml version="1.0" encoding="UTF-8"?>
<Relationships xmlns="http://schemas.openxmlformats.org/package/2006/relationships"><Relationship Id="rId1" Type="http://schemas.openxmlformats.org/officeDocument/2006/relationships/comments" Target="../comments35.xml"/><Relationship Id="rId2" Type="http://schemas.openxmlformats.org/officeDocument/2006/relationships/drawing" Target="../drawings/drawing32.xml"/><Relationship Id="rId3" Type="http://schemas.openxmlformats.org/officeDocument/2006/relationships/vmlDrawing" Target="../drawings/vmlDrawing14.vml"/><Relationship Id="rId4" Type="http://schemas.openxmlformats.org/officeDocument/2006/relationships/table" Target="../tables/table42.xml"/><Relationship Id="rId5" Type="http://schemas.openxmlformats.org/officeDocument/2006/relationships/table" Target="../tables/table63.xml"/><Relationship Id="rId6" Type="http://schemas.openxmlformats.org/officeDocument/2006/relationships/table" Target="../tables/table88.xml"/><Relationship Id="rId7" Type="http://schemas.openxmlformats.org/officeDocument/2006/relationships/table" Target="../tables/table107.xml"/>
</Relationships>
</file>

<file path=xl/worksheets/_rels/sheet36.xml.rels><?xml version="1.0" encoding="UTF-8"?>
<Relationships xmlns="http://schemas.openxmlformats.org/package/2006/relationships"><Relationship Id="rId1" Type="http://schemas.openxmlformats.org/officeDocument/2006/relationships/comments" Target="../comments36.xml"/><Relationship Id="rId2" Type="http://schemas.openxmlformats.org/officeDocument/2006/relationships/drawing" Target="../drawings/drawing33.xml"/><Relationship Id="rId3" Type="http://schemas.openxmlformats.org/officeDocument/2006/relationships/vmlDrawing" Target="../drawings/vmlDrawing15.vml"/><Relationship Id="rId4" Type="http://schemas.openxmlformats.org/officeDocument/2006/relationships/table" Target="../tables/table41.xml"/><Relationship Id="rId5" Type="http://schemas.openxmlformats.org/officeDocument/2006/relationships/table" Target="../tables/table62.xml"/><Relationship Id="rId6" Type="http://schemas.openxmlformats.org/officeDocument/2006/relationships/table" Target="../tables/table87.xml"/><Relationship Id="rId7" Type="http://schemas.openxmlformats.org/officeDocument/2006/relationships/table" Target="../tables/table106.xml"/>
</Relationships>
</file>

<file path=xl/worksheets/_rels/sheet37.xml.rels><?xml version="1.0" encoding="UTF-8"?>
<Relationships xmlns="http://schemas.openxmlformats.org/package/2006/relationships"><Relationship Id="rId1" Type="http://schemas.openxmlformats.org/officeDocument/2006/relationships/comments" Target="../comments37.xml"/><Relationship Id="rId2" Type="http://schemas.openxmlformats.org/officeDocument/2006/relationships/drawing" Target="../drawings/drawing34.xml"/><Relationship Id="rId3" Type="http://schemas.openxmlformats.org/officeDocument/2006/relationships/vmlDrawing" Target="../drawings/vmlDrawing16.vml"/><Relationship Id="rId4" Type="http://schemas.openxmlformats.org/officeDocument/2006/relationships/table" Target="../tables/table40.xml"/><Relationship Id="rId5" Type="http://schemas.openxmlformats.org/officeDocument/2006/relationships/table" Target="../tables/table61.xml"/><Relationship Id="rId6" Type="http://schemas.openxmlformats.org/officeDocument/2006/relationships/table" Target="../tables/table86.xml"/><Relationship Id="rId7" Type="http://schemas.openxmlformats.org/officeDocument/2006/relationships/table" Target="../tables/table105.xml"/>
</Relationships>
</file>

<file path=xl/worksheets/_rels/sheet38.xml.rels><?xml version="1.0" encoding="UTF-8"?>
<Relationships xmlns="http://schemas.openxmlformats.org/package/2006/relationships"><Relationship Id="rId1" Type="http://schemas.openxmlformats.org/officeDocument/2006/relationships/comments" Target="../comments38.xml"/><Relationship Id="rId2" Type="http://schemas.openxmlformats.org/officeDocument/2006/relationships/drawing" Target="../drawings/drawing35.xml"/><Relationship Id="rId3" Type="http://schemas.openxmlformats.org/officeDocument/2006/relationships/vmlDrawing" Target="../drawings/vmlDrawing17.vml"/><Relationship Id="rId4" Type="http://schemas.openxmlformats.org/officeDocument/2006/relationships/table" Target="../tables/table39.xml"/><Relationship Id="rId5" Type="http://schemas.openxmlformats.org/officeDocument/2006/relationships/table" Target="../tables/table60.xml"/><Relationship Id="rId6" Type="http://schemas.openxmlformats.org/officeDocument/2006/relationships/table" Target="../tables/table85.xml"/><Relationship Id="rId7" Type="http://schemas.openxmlformats.org/officeDocument/2006/relationships/table" Target="../tables/table104.xml"/>
</Relationships>
</file>

<file path=xl/worksheets/_rels/sheet39.xml.rels><?xml version="1.0" encoding="UTF-8"?>
<Relationships xmlns="http://schemas.openxmlformats.org/package/2006/relationships"><Relationship Id="rId1" Type="http://schemas.openxmlformats.org/officeDocument/2006/relationships/comments" Target="../comments39.xml"/><Relationship Id="rId2" Type="http://schemas.openxmlformats.org/officeDocument/2006/relationships/drawing" Target="../drawings/drawing36.xml"/><Relationship Id="rId3" Type="http://schemas.openxmlformats.org/officeDocument/2006/relationships/vmlDrawing" Target="../drawings/vmlDrawing18.vml"/><Relationship Id="rId4" Type="http://schemas.openxmlformats.org/officeDocument/2006/relationships/table" Target="../tables/table38.xml"/><Relationship Id="rId5" Type="http://schemas.openxmlformats.org/officeDocument/2006/relationships/table" Target="../tables/table59.xml"/><Relationship Id="rId6" Type="http://schemas.openxmlformats.org/officeDocument/2006/relationships/table" Target="../tables/table84.xml"/><Relationship Id="rId7" Type="http://schemas.openxmlformats.org/officeDocument/2006/relationships/table" Target="../tables/table103.xml"/>
</Relationships>
</file>

<file path=xl/worksheets/_rels/sheet40.xml.rels><?xml version="1.0" encoding="UTF-8"?>
<Relationships xmlns="http://schemas.openxmlformats.org/package/2006/relationships"><Relationship Id="rId1" Type="http://schemas.openxmlformats.org/officeDocument/2006/relationships/comments" Target="../comments40.xml"/><Relationship Id="rId2" Type="http://schemas.openxmlformats.org/officeDocument/2006/relationships/drawing" Target="../drawings/drawing37.xml"/><Relationship Id="rId3" Type="http://schemas.openxmlformats.org/officeDocument/2006/relationships/vmlDrawing" Target="../drawings/vmlDrawing19.vml"/><Relationship Id="rId4" Type="http://schemas.openxmlformats.org/officeDocument/2006/relationships/table" Target="../tables/table37.xml"/><Relationship Id="rId5" Type="http://schemas.openxmlformats.org/officeDocument/2006/relationships/table" Target="../tables/table58.xml"/><Relationship Id="rId6" Type="http://schemas.openxmlformats.org/officeDocument/2006/relationships/table" Target="../tables/table83.xml"/><Relationship Id="rId7" Type="http://schemas.openxmlformats.org/officeDocument/2006/relationships/table" Target="../tables/table102.xml"/>
</Relationships>
</file>

<file path=xl/worksheets/_rels/sheet41.xml.rels><?xml version="1.0" encoding="UTF-8"?>
<Relationships xmlns="http://schemas.openxmlformats.org/package/2006/relationships"><Relationship Id="rId1" Type="http://schemas.openxmlformats.org/officeDocument/2006/relationships/comments" Target="../comments41.xml"/><Relationship Id="rId2" Type="http://schemas.openxmlformats.org/officeDocument/2006/relationships/drawing" Target="../drawings/drawing38.xml"/><Relationship Id="rId3" Type="http://schemas.openxmlformats.org/officeDocument/2006/relationships/vmlDrawing" Target="../drawings/vmlDrawing20.vml"/><Relationship Id="rId4" Type="http://schemas.openxmlformats.org/officeDocument/2006/relationships/table" Target="../tables/table36.xml"/><Relationship Id="rId5" Type="http://schemas.openxmlformats.org/officeDocument/2006/relationships/table" Target="../tables/table57.xml"/><Relationship Id="rId6" Type="http://schemas.openxmlformats.org/officeDocument/2006/relationships/table" Target="../tables/table82.xml"/><Relationship Id="rId7" Type="http://schemas.openxmlformats.org/officeDocument/2006/relationships/table" Target="../tables/table101.xml"/>
</Relationships>
</file>

<file path=xl/worksheets/_rels/sheet42.xml.rels><?xml version="1.0" encoding="UTF-8"?>
<Relationships xmlns="http://schemas.openxmlformats.org/package/2006/relationships"><Relationship Id="rId1" Type="http://schemas.openxmlformats.org/officeDocument/2006/relationships/comments" Target="../comments42.xml"/><Relationship Id="rId2" Type="http://schemas.openxmlformats.org/officeDocument/2006/relationships/drawing" Target="../drawings/drawing39.xml"/><Relationship Id="rId3" Type="http://schemas.openxmlformats.org/officeDocument/2006/relationships/vmlDrawing" Target="../drawings/vmlDrawing21.vml"/><Relationship Id="rId4" Type="http://schemas.openxmlformats.org/officeDocument/2006/relationships/table" Target="../tables/table35.xml"/><Relationship Id="rId5" Type="http://schemas.openxmlformats.org/officeDocument/2006/relationships/table" Target="../tables/table56.xml"/><Relationship Id="rId6" Type="http://schemas.openxmlformats.org/officeDocument/2006/relationships/table" Target="../tables/table81.xml"/><Relationship Id="rId7" Type="http://schemas.openxmlformats.org/officeDocument/2006/relationships/table" Target="../tables/table100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E7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3" ySplit="3" topLeftCell="D4" activePane="bottomRight" state="frozen"/>
      <selection pane="topLeft" activeCell="A1" activeCellId="0" sqref="A1"/>
      <selection pane="topRight" activeCell="D1" activeCellId="0" sqref="D1"/>
      <selection pane="bottomLeft" activeCell="A4" activeCellId="0" sqref="A4"/>
      <selection pane="bottomRight" activeCell="E20" activeCellId="0" sqref="E20"/>
    </sheetView>
  </sheetViews>
  <sheetFormatPr defaultColWidth="9.1484375" defaultRowHeight="15" zeroHeight="false" outlineLevelRow="1" outlineLevelCol="0"/>
  <cols>
    <col collapsed="false" customWidth="true" hidden="false" outlineLevel="0" max="1" min="1" style="1" width="5.57"/>
    <col collapsed="false" customWidth="true" hidden="false" outlineLevel="0" max="2" min="2" style="1" width="19.42"/>
    <col collapsed="false" customWidth="true" hidden="false" outlineLevel="0" max="3" min="3" style="1" width="18.29"/>
    <col collapsed="false" customWidth="true" hidden="false" outlineLevel="0" max="4" min="4" style="1" width="13.42"/>
    <col collapsed="false" customWidth="true" hidden="false" outlineLevel="0" max="5" min="5" style="1" width="10.57"/>
    <col collapsed="false" customWidth="true" hidden="false" outlineLevel="0" max="6" min="6" style="1" width="19"/>
    <col collapsed="false" customWidth="true" hidden="false" outlineLevel="0" max="7" min="7" style="1" width="11.43"/>
    <col collapsed="false" customWidth="true" hidden="false" outlineLevel="0" max="8" min="8" style="1" width="14.57"/>
    <col collapsed="false" customWidth="true" hidden="false" outlineLevel="0" max="9" min="9" style="1" width="19.29"/>
    <col collapsed="false" customWidth="true" hidden="false" outlineLevel="0" max="10" min="10" style="1" width="9.71"/>
    <col collapsed="false" customWidth="true" hidden="false" outlineLevel="0" max="11" min="11" style="1" width="7.29"/>
    <col collapsed="false" customWidth="true" hidden="false" outlineLevel="0" max="12" min="12" style="2" width="9.86"/>
    <col collapsed="false" customWidth="true" hidden="false" outlineLevel="0" max="13" min="13" style="1" width="6.14"/>
    <col collapsed="false" customWidth="true" hidden="false" outlineLevel="0" max="14" min="14" style="1" width="5"/>
    <col collapsed="false" customWidth="true" hidden="false" outlineLevel="0" max="15" min="15" style="1" width="5.57"/>
    <col collapsed="false" customWidth="true" hidden="false" outlineLevel="0" max="17" min="16" style="1" width="6.14"/>
    <col collapsed="false" customWidth="true" hidden="false" outlineLevel="0" max="18" min="18" style="1" width="8.29"/>
    <col collapsed="false" customWidth="true" hidden="false" outlineLevel="0" max="20" min="19" style="1" width="5"/>
    <col collapsed="false" customWidth="true" hidden="false" outlineLevel="0" max="21" min="21" style="1" width="6.14"/>
    <col collapsed="false" customWidth="true" hidden="true" outlineLevel="0" max="23" min="22" style="1" width="6.14"/>
    <col collapsed="false" customWidth="true" hidden="true" outlineLevel="0" max="24" min="24" style="1" width="12.71"/>
    <col collapsed="false" customWidth="false" hidden="true" outlineLevel="0" max="29" min="25" style="1" width="9.14"/>
    <col collapsed="false" customWidth="true" hidden="true" outlineLevel="0" max="30" min="30" style="1" width="10.57"/>
    <col collapsed="false" customWidth="true" hidden="true" outlineLevel="0" max="31" min="31" style="1" width="11.14"/>
    <col collapsed="false" customWidth="true" hidden="false" outlineLevel="0" max="32" min="32" style="1" width="9.57"/>
    <col collapsed="false" customWidth="false" hidden="false" outlineLevel="0" max="16384" min="33" style="1" width="9.14"/>
  </cols>
  <sheetData>
    <row r="1" customFormat="false" ht="17.35" hidden="false" customHeight="false" outlineLevel="0" collapsed="false">
      <c r="A1" s="3"/>
      <c r="B1" s="4" t="str">
        <f aca="false">"Semaine du :"</f>
        <v>Semaine du :</v>
      </c>
      <c r="C1" s="5" t="n">
        <v>44459</v>
      </c>
      <c r="D1" s="6" t="str">
        <f aca="false">"( "&amp;AVERAGE($E$2:$I$2)&amp;" )"</f>
        <v>( 8 )</v>
      </c>
      <c r="E1" s="7" t="str">
        <f aca="false">IFERROR("Lun.: " &amp; TEXT($Y$2,"00%"),"Lun.: 0%")</f>
        <v>Lun.: 50%</v>
      </c>
      <c r="F1" s="8" t="str">
        <f aca="false">IFERROR("Mar.: " &amp; TEXT($Z$2,"00%"),"Mar.: 0%")</f>
        <v>Mar.: 19%</v>
      </c>
      <c r="G1" s="8" t="str">
        <f aca="false">IFERROR("Mer.: " &amp; TEXT($AA$2,"00%"),"Mer.: 0%")</f>
        <v>Mer.: 34%</v>
      </c>
      <c r="H1" s="8" t="str">
        <f aca="false">IFERROR("Jeu.: " &amp; TEXT($AB$2,"00%"),"Jeu.: 0%")</f>
        <v>Jeu.: 80%</v>
      </c>
      <c r="I1" s="8" t="str">
        <f aca="false">IFERROR("Ven.: " &amp; TEXT($AC$2,"00%"),"Ven.: 0%")</f>
        <v>Ven.: 36%</v>
      </c>
      <c r="J1" s="9" t="str">
        <f aca="false">IFERROR("S.: " &amp; TEXT($AD$2,"00%"),"S.: 0%")</f>
        <v>S.: 00%</v>
      </c>
      <c r="K1" s="10" t="str">
        <f aca="false">IFERROR("D.: " &amp; TEXT($AE$2,"00%"), "D.: 0%")</f>
        <v>D.: 00%</v>
      </c>
      <c r="L1" s="11"/>
      <c r="M1" s="12" t="n">
        <f aca="false">M2/Total</f>
        <v>0.467532467532468</v>
      </c>
      <c r="N1" s="12" t="n">
        <f aca="false">N2/$C$2</f>
        <v>0</v>
      </c>
      <c r="O1" s="12" t="n">
        <f aca="false">O2/$C$2</f>
        <v>0.1625</v>
      </c>
      <c r="P1" s="12" t="n">
        <f aca="false">P2/$C$2</f>
        <v>0.1125</v>
      </c>
      <c r="Q1" s="12" t="n">
        <f aca="false">Q2/$C$2</f>
        <v>0.2375</v>
      </c>
      <c r="R1" s="13" t="n">
        <f aca="false">R2/$C$2</f>
        <v>0</v>
      </c>
      <c r="S1" s="13" t="n">
        <f aca="false">S2/$C$2</f>
        <v>0</v>
      </c>
      <c r="T1" s="13" t="n">
        <f aca="false">T2/$C$2</f>
        <v>0.03125</v>
      </c>
      <c r="U1" s="14" t="n">
        <f aca="false">U2/$C$2</f>
        <v>0</v>
      </c>
      <c r="V1" s="15"/>
      <c r="W1" s="16"/>
      <c r="X1" s="17" t="e">
        <f aca="false">SUM(#REF!)</f>
        <v>#REF!</v>
      </c>
      <c r="Y1" s="18" t="s">
        <v>0</v>
      </c>
      <c r="Z1" s="18" t="s">
        <v>1</v>
      </c>
      <c r="AA1" s="18" t="s">
        <v>2</v>
      </c>
      <c r="AB1" s="18" t="s">
        <v>3</v>
      </c>
      <c r="AC1" s="18" t="s">
        <v>4</v>
      </c>
      <c r="AD1" s="18" t="s">
        <v>5</v>
      </c>
      <c r="AE1" s="18" t="s">
        <v>6</v>
      </c>
    </row>
    <row r="2" customFormat="false" ht="22.05" hidden="false" customHeight="false" outlineLevel="0" collapsed="false">
      <c r="A2" s="3"/>
      <c r="B2" s="19" t="n">
        <f aca="false">X2</f>
        <v>0.470967741935484</v>
      </c>
      <c r="C2" s="20" t="n">
        <f aca="false">SUM(Horo82[Durée])</f>
        <v>40</v>
      </c>
      <c r="D2" s="21" t="str">
        <f aca="false">ROUND(SUM(Horo82[T]),2) &amp; " / " &amp; ROUND($C$2-SUM(Horo82[T]),2)</f>
        <v>28 / 12</v>
      </c>
      <c r="E2" s="22" t="n">
        <f aca="false">SUMIF(Horo82[Jour],"Lundi",Horo82[Durée])</f>
        <v>9</v>
      </c>
      <c r="F2" s="23" t="n">
        <f aca="false">SUMIF(Horo82[Jour],"Mardi",Horo82[Durée])</f>
        <v>8</v>
      </c>
      <c r="G2" s="23" t="n">
        <f aca="false">SUMIF(Horo82[Jour],"Mercredi",Horo82[Durée])</f>
        <v>7.25</v>
      </c>
      <c r="H2" s="23" t="n">
        <f aca="false">SUMIF(Horo82[Jour],"Jeudi",Horo82[Durée])</f>
        <v>8.75</v>
      </c>
      <c r="I2" s="23" t="n">
        <f aca="false">SUMIF(Horo82[Jour],"Vendredi",Horo82[Durée])</f>
        <v>7</v>
      </c>
      <c r="J2" s="23" t="n">
        <f aca="false">SUMIF(Horo82[Jour],"Samedi",Horo82[Durée])</f>
        <v>0</v>
      </c>
      <c r="K2" s="23" t="n">
        <f aca="false">SUMIF(Horo82[Jour],"Dimanche",Horo82[Durée])</f>
        <v>0</v>
      </c>
      <c r="L2" s="24"/>
      <c r="M2" s="25" t="n">
        <f aca="false">SUM(Horo82[GPF])</f>
        <v>18</v>
      </c>
      <c r="N2" s="25" t="n">
        <f aca="false">SUM(Horo82[RI])</f>
        <v>0</v>
      </c>
      <c r="O2" s="25" t="n">
        <f aca="false">SUM(Horo82[GB])</f>
        <v>6.5</v>
      </c>
      <c r="P2" s="25" t="n">
        <f aca="false">SUM(Horo82[RD])</f>
        <v>4.5</v>
      </c>
      <c r="Q2" s="25" t="n">
        <f aca="false">SUM(Horo82[FG])</f>
        <v>9.5</v>
      </c>
      <c r="R2" s="26" t="n">
        <f aca="false">SUM(Horo82[CONGÉ])</f>
        <v>0</v>
      </c>
      <c r="S2" s="26" t="n">
        <f aca="false">SUM(Horo82[PS])</f>
        <v>0</v>
      </c>
      <c r="T2" s="26" t="n">
        <f aca="false">SUM(Horo82[TD])</f>
        <v>1.25</v>
      </c>
      <c r="U2" s="27" t="n">
        <f aca="false">SUM(Horo82[N/C])</f>
        <v>0</v>
      </c>
      <c r="V2" s="17" t="n">
        <f aca="false">(C2-(SUM(N2:T2)))</f>
        <v>18.25</v>
      </c>
      <c r="W2" s="17" t="n">
        <f aca="false">C2-(R2+S2+T2)</f>
        <v>38.75</v>
      </c>
      <c r="X2" s="28" t="n">
        <f aca="false">V2/W2</f>
        <v>0.470967741935484</v>
      </c>
      <c r="Y2" s="29" t="n">
        <f aca="false">SUMIF(Horo82[Jour],"Lundi",Horo82[GPF]) / $E$2</f>
        <v>0.5</v>
      </c>
      <c r="Z2" s="29" t="n">
        <f aca="false">SUMIF(Horo82[Jour],"Mardi",Horo82[GPF]) / $F$2</f>
        <v>0.1875</v>
      </c>
      <c r="AA2" s="29" t="n">
        <f aca="false">SUMIF(Horo82[Jour],"Mercredi",Horo82[GPF]) / $G$2</f>
        <v>0.344827586206897</v>
      </c>
      <c r="AB2" s="29" t="n">
        <f aca="false">SUMIF(Horo82[Jour],"Jeudi",Horo82[GPF]) / $H$2</f>
        <v>0.8</v>
      </c>
      <c r="AC2" s="29" t="n">
        <f aca="false">SUMIF(Horo82[Jour],"Vendredi",Horo82[GPF]) / $I$2</f>
        <v>0.357142857142857</v>
      </c>
      <c r="AD2" s="29" t="n">
        <f aca="false">IFERROR(SUMIF(Horo82[Jour],"Samedi",Horo82[GPF]) / $J$2,0)</f>
        <v>0</v>
      </c>
      <c r="AE2" s="29" t="n">
        <f aca="false">IFERROR(SUMIF(Horo82[Jour],"Dimanche",Horo82[GPF]) / $K$2,0)</f>
        <v>0</v>
      </c>
    </row>
    <row r="3" customFormat="false" ht="15" hidden="false" customHeight="false" outlineLevel="0" collapsed="false">
      <c r="A3" s="30" t="s">
        <v>7</v>
      </c>
      <c r="B3" s="31" t="s">
        <v>8</v>
      </c>
      <c r="C3" s="31" t="s">
        <v>9</v>
      </c>
      <c r="D3" s="32" t="s">
        <v>10</v>
      </c>
      <c r="E3" s="33" t="s">
        <v>11</v>
      </c>
      <c r="F3" s="34" t="s">
        <v>12</v>
      </c>
      <c r="G3" s="34" t="s">
        <v>13</v>
      </c>
      <c r="H3" s="34" t="s">
        <v>14</v>
      </c>
      <c r="I3" s="35" t="s">
        <v>15</v>
      </c>
      <c r="J3" s="36" t="s">
        <v>16</v>
      </c>
      <c r="K3" s="36" t="s">
        <v>17</v>
      </c>
      <c r="L3" s="37" t="s">
        <v>18</v>
      </c>
      <c r="M3" s="38" t="s">
        <v>19</v>
      </c>
      <c r="N3" s="39" t="s">
        <v>20</v>
      </c>
      <c r="O3" s="39" t="s">
        <v>21</v>
      </c>
      <c r="P3" s="39" t="s">
        <v>22</v>
      </c>
      <c r="Q3" s="39" t="s">
        <v>23</v>
      </c>
      <c r="R3" s="40" t="s">
        <v>24</v>
      </c>
      <c r="S3" s="40" t="s">
        <v>25</v>
      </c>
      <c r="T3" s="41" t="s">
        <v>26</v>
      </c>
      <c r="U3" s="41" t="s">
        <v>27</v>
      </c>
      <c r="V3" s="42" t="s">
        <v>28</v>
      </c>
      <c r="W3" s="43" t="s">
        <v>29</v>
      </c>
      <c r="X3" s="44" t="s">
        <v>30</v>
      </c>
    </row>
    <row r="4" customFormat="false" ht="15" hidden="false" customHeight="false" outlineLevel="0" collapsed="false">
      <c r="A4" s="45" t="s">
        <v>31</v>
      </c>
      <c r="B4" s="46" t="n">
        <f aca="false">IF(Horo82[[#This Row],[Jour]]="Lundi",$C$1+1, IF(Horo82[[#This Row],[Jour]]="Mardi",$C$1+2, IF(Horo82[[#This Row],[Jour]]="Mercredi",$C$1+3, IF(Horo82[[#This Row],[Jour]]="Jeudi",$C$1+4, IF(Horo82[[#This Row],[Jour]]="Vendredi",$C$1+5, IF(Horo82[[#This Row],[Jour]]="Samedi",$C$1+6, IF(Horo82[[#This Row],[Jour]]="Dimanche",$C$1, )))))))</f>
        <v>44460</v>
      </c>
      <c r="C4" s="47" t="s">
        <v>0</v>
      </c>
      <c r="D4" s="48" t="n">
        <v>0.291666666666667</v>
      </c>
      <c r="E4" s="48" t="n">
        <v>0.354166666666667</v>
      </c>
      <c r="F4" s="49" t="s">
        <v>32</v>
      </c>
      <c r="G4" s="49" t="s">
        <v>21</v>
      </c>
      <c r="H4" s="50" t="s">
        <v>33</v>
      </c>
      <c r="I4" s="51"/>
      <c r="J4" s="52" t="n">
        <f aca="false">IF(Horo82[[#This Row],[Début]]=0,"",(Horo82[[#This Row],[Durée (60)2]]-INT(Horo82[[#This Row],[Durée (60)2]]))*24)</f>
        <v>1.5</v>
      </c>
      <c r="K4" s="53" t="n">
        <f aca="false">SUMIF(Horo82[Jour],C4,Horo82[Durée])</f>
        <v>9</v>
      </c>
      <c r="L4" s="54" t="n">
        <f aca="false">IFERROR(SUMIF(Horo82[[#This Row],[Jour]],Horo82[[#This Row],[Jour]],Horo82[[#This Row],[GPF]]) / Horo82[[#This Row],[hrs]],"")</f>
        <v>0</v>
      </c>
      <c r="M4" s="55" t="str">
        <f aca="false">IF("GPF"=Horo82[[#This Row],[Tâche]],Horo82[[#This Row],[Durée]],"")</f>
        <v/>
      </c>
      <c r="N4" s="56" t="str">
        <f aca="false">IF("RI"=Horo82[[#This Row],[Tâche]],Horo82[[#This Row],[Durée]],"")</f>
        <v/>
      </c>
      <c r="O4" s="56" t="n">
        <f aca="false">IF("GB"=Horo82[[#This Row],[Tâche]],Horo82[[#This Row],[Durée]],"")</f>
        <v>1.5</v>
      </c>
      <c r="P4" s="56" t="str">
        <f aca="false">IF("RD"=Horo82[[#This Row],[Tâche]],Horo82[[#This Row],[Durée]],"")</f>
        <v/>
      </c>
      <c r="Q4" s="56" t="str">
        <f aca="false">IF("FG"=Horo82[[#This Row],[Tâche]],Horo82[[#This Row],[Durée]],"")</f>
        <v/>
      </c>
      <c r="R4" s="56" t="str">
        <f aca="false">IF("CONGÉ"=Horo82[[#This Row],[Tâche]],Horo82[[#This Row],[Durée]],"")</f>
        <v/>
      </c>
      <c r="S4" s="57" t="str">
        <f aca="false">IF("PS"=Horo82[[#This Row],[Tâche]],Horo82[[#This Row],[Durée]],"")</f>
        <v/>
      </c>
      <c r="T4" s="56" t="str">
        <f aca="false">IF("TD"=Horo82[[#This Row],[Tâche]],Horo82[[#This Row],[Durée]],"")</f>
        <v/>
      </c>
      <c r="U4" s="55" t="str">
        <f aca="false">IF("N/C"=Horo82[[#This Row],[Tâche]],Horo82[[#This Row],[Durée]],"")</f>
        <v/>
      </c>
      <c r="V4" s="58"/>
      <c r="W4" s="59" t="n">
        <f aca="false">IF(Horo82[[#This Row],[O]]="o",Horo82[[#This Row],[Durée]],".")</f>
        <v>1.5</v>
      </c>
      <c r="X4" s="60" t="n">
        <f aca="false">IF(Horo82[[#This Row],[Début]]=0,"",Horo82[[#This Row],[Fin]]-Horo82[[#This Row],[Début]])</f>
        <v>0.0625</v>
      </c>
    </row>
    <row r="5" customFormat="false" ht="15" hidden="false" customHeight="false" outlineLevel="0" collapsed="false">
      <c r="A5" s="45" t="s">
        <v>33</v>
      </c>
      <c r="B5" s="46" t="n">
        <f aca="false">IF(Horo82[[#This Row],[Jour]]="Lundi",$C$1+1, IF(Horo82[[#This Row],[Jour]]="Mardi",$C$1+2, IF(Horo82[[#This Row],[Jour]]="Mercredi",$C$1+3, IF(Horo82[[#This Row],[Jour]]="Jeudi",$C$1+4, IF(Horo82[[#This Row],[Jour]]="Vendredi",$C$1+5, IF(Horo82[[#This Row],[Jour]]="Samedi",$C$1+6, IF(Horo82[[#This Row],[Jour]]="Dimanche",$C$1, )))))))</f>
        <v>44460</v>
      </c>
      <c r="C5" s="47" t="s">
        <v>0</v>
      </c>
      <c r="D5" s="48" t="n">
        <v>0.354166666666667</v>
      </c>
      <c r="E5" s="48" t="n">
        <v>0.375</v>
      </c>
      <c r="F5" s="49" t="s">
        <v>34</v>
      </c>
      <c r="G5" s="49" t="s">
        <v>19</v>
      </c>
      <c r="H5" s="50" t="s">
        <v>35</v>
      </c>
      <c r="I5" s="61" t="s">
        <v>36</v>
      </c>
      <c r="J5" s="52" t="n">
        <f aca="false">IF(Horo82[[#This Row],[Début]]=0,"",(Horo82[[#This Row],[Durée (60)2]]-INT(Horo82[[#This Row],[Durée (60)2]]))*24)</f>
        <v>0.5</v>
      </c>
      <c r="K5" s="62" t="n">
        <f aca="false">SUMIF(Horo82[Jour],C5,Horo82[Durée])</f>
        <v>9</v>
      </c>
      <c r="L5" s="54" t="n">
        <f aca="false">IFERROR(SUMIF(Horo82[[#This Row],[Jour]],Horo82[[#This Row],[Jour]],Horo82[[#This Row],[GPF]]) / Horo82[[#This Row],[hrs]],"")</f>
        <v>0.0555555555555555</v>
      </c>
      <c r="M5" s="56" t="n">
        <f aca="false">IF("GPF"=Horo82[[#This Row],[Tâche]],Horo82[[#This Row],[Durée]],"")</f>
        <v>0.5</v>
      </c>
      <c r="N5" s="56" t="str">
        <f aca="false">IF("RI"=Horo82[[#This Row],[Tâche]],Horo82[[#This Row],[Durée]],"")</f>
        <v/>
      </c>
      <c r="O5" s="56" t="str">
        <f aca="false">IF("GB"=Horo82[[#This Row],[Tâche]],Horo82[[#This Row],[Durée]],"")</f>
        <v/>
      </c>
      <c r="P5" s="56" t="str">
        <f aca="false">IF("RD"=Horo82[[#This Row],[Tâche]],Horo82[[#This Row],[Durée]],"")</f>
        <v/>
      </c>
      <c r="Q5" s="56" t="str">
        <f aca="false">IF("FG"=Horo82[[#This Row],[Tâche]],Horo82[[#This Row],[Durée]],"")</f>
        <v/>
      </c>
      <c r="R5" s="56" t="str">
        <f aca="false">IF("CONGÉ"=Horo82[[#This Row],[Tâche]],Horo82[[#This Row],[Durée]],"")</f>
        <v/>
      </c>
      <c r="S5" s="57" t="str">
        <f aca="false">IF("PS"=Horo82[[#This Row],[Tâche]],Horo82[[#This Row],[Durée]],"")</f>
        <v/>
      </c>
      <c r="T5" s="56" t="str">
        <f aca="false">IF("TD"=Horo82[[#This Row],[Tâche]],Horo82[[#This Row],[Durée]],"")</f>
        <v/>
      </c>
      <c r="U5" s="55" t="str">
        <f aca="false">IF("N/C"=Horo82[[#This Row],[Tâche]],Horo82[[#This Row],[Durée]],"")</f>
        <v/>
      </c>
      <c r="V5" s="58"/>
      <c r="W5" s="59" t="str">
        <f aca="false">IF(Horo82[[#This Row],[O]]="o",Horo82[[#This Row],[Durée]],".")</f>
        <v>.</v>
      </c>
      <c r="X5" s="60" t="n">
        <f aca="false">IF(Horo82[[#This Row],[Début]]=0,"",Horo82[[#This Row],[Fin]]-Horo82[[#This Row],[Début]])</f>
        <v>0.0208333333333333</v>
      </c>
    </row>
    <row r="6" customFormat="false" ht="15" hidden="false" customHeight="false" outlineLevel="0" collapsed="false">
      <c r="A6" s="45" t="s">
        <v>31</v>
      </c>
      <c r="B6" s="46" t="n">
        <f aca="false">IF(Horo82[[#This Row],[Jour]]="Lundi",$C$1+1, IF(Horo82[[#This Row],[Jour]]="Mardi",$C$1+2, IF(Horo82[[#This Row],[Jour]]="Mercredi",$C$1+3, IF(Horo82[[#This Row],[Jour]]="Jeudi",$C$1+4, IF(Horo82[[#This Row],[Jour]]="Vendredi",$C$1+5, IF(Horo82[[#This Row],[Jour]]="Samedi",$C$1+6, IF(Horo82[[#This Row],[Jour]]="Dimanche",$C$1, )))))))</f>
        <v>44460</v>
      </c>
      <c r="C6" s="47" t="s">
        <v>0</v>
      </c>
      <c r="D6" s="48" t="n">
        <v>0.375</v>
      </c>
      <c r="E6" s="48" t="n">
        <v>0.416666666666667</v>
      </c>
      <c r="F6" s="49" t="s">
        <v>32</v>
      </c>
      <c r="G6" s="49" t="s">
        <v>21</v>
      </c>
      <c r="H6" s="50" t="s">
        <v>33</v>
      </c>
      <c r="I6" s="61"/>
      <c r="J6" s="52" t="n">
        <f aca="false">IF(Horo82[[#This Row],[Début]]=0,"",(Horo82[[#This Row],[Durée (60)2]]-INT(Horo82[[#This Row],[Durée (60)2]]))*24)</f>
        <v>1</v>
      </c>
      <c r="K6" s="62" t="n">
        <f aca="false">SUMIF(Horo82[Jour],C6,Horo82[Durée])</f>
        <v>9</v>
      </c>
      <c r="L6" s="54" t="n">
        <f aca="false">IFERROR(SUMIF(Horo82[[#This Row],[Jour]],Horo82[[#This Row],[Jour]],Horo82[[#This Row],[GPF]]) / Horo82[[#This Row],[hrs]],"")</f>
        <v>0</v>
      </c>
      <c r="M6" s="56" t="str">
        <f aca="false">IF("GPF"=Horo82[[#This Row],[Tâche]],Horo82[[#This Row],[Durée]],"")</f>
        <v/>
      </c>
      <c r="N6" s="56" t="str">
        <f aca="false">IF("RI"=Horo82[[#This Row],[Tâche]],Horo82[[#This Row],[Durée]],"")</f>
        <v/>
      </c>
      <c r="O6" s="56" t="n">
        <f aca="false">IF("GB"=Horo82[[#This Row],[Tâche]],Horo82[[#This Row],[Durée]],"")</f>
        <v>1</v>
      </c>
      <c r="P6" s="56" t="str">
        <f aca="false">IF("RD"=Horo82[[#This Row],[Tâche]],Horo82[[#This Row],[Durée]],"")</f>
        <v/>
      </c>
      <c r="Q6" s="56" t="str">
        <f aca="false">IF("FG"=Horo82[[#This Row],[Tâche]],Horo82[[#This Row],[Durée]],"")</f>
        <v/>
      </c>
      <c r="R6" s="56" t="str">
        <f aca="false">IF("CONGÉ"=Horo82[[#This Row],[Tâche]],Horo82[[#This Row],[Durée]],"")</f>
        <v/>
      </c>
      <c r="S6" s="57" t="str">
        <f aca="false">IF("PS"=Horo82[[#This Row],[Tâche]],Horo82[[#This Row],[Durée]],"")</f>
        <v/>
      </c>
      <c r="T6" s="56" t="str">
        <f aca="false">IF("TD"=Horo82[[#This Row],[Tâche]],Horo82[[#This Row],[Durée]],"")</f>
        <v/>
      </c>
      <c r="U6" s="55" t="str">
        <f aca="false">IF("N/C"=Horo82[[#This Row],[Tâche]],Horo82[[#This Row],[Durée]],"")</f>
        <v/>
      </c>
      <c r="V6" s="58"/>
      <c r="W6" s="59" t="n">
        <f aca="false">IF(Horo82[[#This Row],[O]]="o",Horo82[[#This Row],[Durée]],".")</f>
        <v>1</v>
      </c>
      <c r="X6" s="60" t="n">
        <f aca="false">IF(Horo82[[#This Row],[Début]]=0,"",Horo82[[#This Row],[Fin]]-Horo82[[#This Row],[Début]])</f>
        <v>0.0416666666666667</v>
      </c>
    </row>
    <row r="7" customFormat="false" ht="15" hidden="false" customHeight="false" outlineLevel="0" collapsed="false">
      <c r="A7" s="45" t="s">
        <v>31</v>
      </c>
      <c r="B7" s="46" t="n">
        <f aca="false">IF(Horo82[[#This Row],[Jour]]="Lundi",$C$1+1, IF(Horo82[[#This Row],[Jour]]="Mardi",$C$1+2, IF(Horo82[[#This Row],[Jour]]="Mercredi",$C$1+3, IF(Horo82[[#This Row],[Jour]]="Jeudi",$C$1+4, IF(Horo82[[#This Row],[Jour]]="Vendredi",$C$1+5, IF(Horo82[[#This Row],[Jour]]="Samedi",$C$1+6, IF(Horo82[[#This Row],[Jour]]="Dimanche",$C$1, )))))))</f>
        <v>44460</v>
      </c>
      <c r="C7" s="47" t="s">
        <v>0</v>
      </c>
      <c r="D7" s="48" t="n">
        <v>0.416666666666667</v>
      </c>
      <c r="E7" s="48" t="n">
        <v>0.5</v>
      </c>
      <c r="F7" s="49" t="s">
        <v>37</v>
      </c>
      <c r="G7" s="49" t="s">
        <v>22</v>
      </c>
      <c r="H7" s="50" t="s">
        <v>38</v>
      </c>
      <c r="I7" s="61" t="s">
        <v>39</v>
      </c>
      <c r="J7" s="52" t="n">
        <f aca="false">IF(Horo82[[#This Row],[Début]]=0,"",(Horo82[[#This Row],[Durée (60)2]]-INT(Horo82[[#This Row],[Durée (60)2]]))*24)</f>
        <v>2</v>
      </c>
      <c r="K7" s="62" t="n">
        <f aca="false">SUMIF(Horo82[Jour],C7,Horo82[Durée])</f>
        <v>9</v>
      </c>
      <c r="L7" s="54" t="n">
        <f aca="false">IFERROR(SUMIF(Horo82[[#This Row],[Jour]],Horo82[[#This Row],[Jour]],Horo82[[#This Row],[GPF]]) / Horo82[[#This Row],[hrs]],"")</f>
        <v>0</v>
      </c>
      <c r="M7" s="56" t="str">
        <f aca="false">IF("GPF"=Horo82[[#This Row],[Tâche]],Horo82[[#This Row],[Durée]],"")</f>
        <v/>
      </c>
      <c r="N7" s="56" t="str">
        <f aca="false">IF("RI"=Horo82[[#This Row],[Tâche]],Horo82[[#This Row],[Durée]],"")</f>
        <v/>
      </c>
      <c r="O7" s="56" t="str">
        <f aca="false">IF("GB"=Horo82[[#This Row],[Tâche]],Horo82[[#This Row],[Durée]],"")</f>
        <v/>
      </c>
      <c r="P7" s="56" t="n">
        <f aca="false">IF("RD"=Horo82[[#This Row],[Tâche]],Horo82[[#This Row],[Durée]],"")</f>
        <v>2</v>
      </c>
      <c r="Q7" s="56" t="str">
        <f aca="false">IF("FG"=Horo82[[#This Row],[Tâche]],Horo82[[#This Row],[Durée]],"")</f>
        <v/>
      </c>
      <c r="R7" s="56" t="str">
        <f aca="false">IF("CONGÉ"=Horo82[[#This Row],[Tâche]],Horo82[[#This Row],[Durée]],"")</f>
        <v/>
      </c>
      <c r="S7" s="57" t="str">
        <f aca="false">IF("PS"=Horo82[[#This Row],[Tâche]],Horo82[[#This Row],[Durée]],"")</f>
        <v/>
      </c>
      <c r="T7" s="56" t="str">
        <f aca="false">IF("TD"=Horo82[[#This Row],[Tâche]],Horo82[[#This Row],[Durée]],"")</f>
        <v/>
      </c>
      <c r="U7" s="55" t="str">
        <f aca="false">IF("N/C"=Horo82[[#This Row],[Tâche]],Horo82[[#This Row],[Durée]],"")</f>
        <v/>
      </c>
      <c r="V7" s="58"/>
      <c r="W7" s="59" t="n">
        <f aca="false">IF(Horo82[[#This Row],[O]]="o",Horo82[[#This Row],[Durée]],".")</f>
        <v>2</v>
      </c>
      <c r="X7" s="60" t="n">
        <f aca="false">IF(Horo82[[#This Row],[Début]]=0,"",Horo82[[#This Row],[Fin]]-Horo82[[#This Row],[Début]])</f>
        <v>0.0833333333333333</v>
      </c>
    </row>
    <row r="8" customFormat="false" ht="15" hidden="false" customHeight="false" outlineLevel="0" collapsed="false">
      <c r="A8" s="45" t="s">
        <v>31</v>
      </c>
      <c r="B8" s="46" t="n">
        <f aca="false">IF(Horo82[[#This Row],[Jour]]="Lundi",$C$1+1, IF(Horo82[[#This Row],[Jour]]="Mardi",$C$1+2, IF(Horo82[[#This Row],[Jour]]="Mercredi",$C$1+3, IF(Horo82[[#This Row],[Jour]]="Jeudi",$C$1+4, IF(Horo82[[#This Row],[Jour]]="Vendredi",$C$1+5, IF(Horo82[[#This Row],[Jour]]="Samedi",$C$1+6, IF(Horo82[[#This Row],[Jour]]="Dimanche",$C$1, )))))))</f>
        <v>44460</v>
      </c>
      <c r="C8" s="47" t="s">
        <v>0</v>
      </c>
      <c r="D8" s="48" t="n">
        <v>0.5625</v>
      </c>
      <c r="E8" s="48" t="n">
        <v>0.729166666666667</v>
      </c>
      <c r="F8" s="49" t="s">
        <v>37</v>
      </c>
      <c r="G8" s="49" t="s">
        <v>19</v>
      </c>
      <c r="H8" s="50" t="s">
        <v>38</v>
      </c>
      <c r="I8" s="61" t="s">
        <v>39</v>
      </c>
      <c r="J8" s="52" t="n">
        <f aca="false">IF(Horo82[[#This Row],[Début]]=0,"",(Horo82[[#This Row],[Durée (60)2]]-INT(Horo82[[#This Row],[Durée (60)2]]))*24)</f>
        <v>4</v>
      </c>
      <c r="K8" s="62" t="n">
        <f aca="false">SUMIF(Horo82[Jour],C8,Horo82[Durée])</f>
        <v>9</v>
      </c>
      <c r="L8" s="54" t="n">
        <f aca="false">IFERROR(SUMIF(Horo82[[#This Row],[Jour]],Horo82[[#This Row],[Jour]],Horo82[[#This Row],[GPF]]) / Horo82[[#This Row],[hrs]],"")</f>
        <v>0.444444444444444</v>
      </c>
      <c r="M8" s="56" t="n">
        <f aca="false">IF("GPF"=Horo82[[#This Row],[Tâche]],Horo82[[#This Row],[Durée]],"")</f>
        <v>4</v>
      </c>
      <c r="N8" s="56" t="str">
        <f aca="false">IF("RI"=Horo82[[#This Row],[Tâche]],Horo82[[#This Row],[Durée]],"")</f>
        <v/>
      </c>
      <c r="O8" s="56" t="str">
        <f aca="false">IF("GB"=Horo82[[#This Row],[Tâche]],Horo82[[#This Row],[Durée]],"")</f>
        <v/>
      </c>
      <c r="P8" s="56" t="str">
        <f aca="false">IF("RD"=Horo82[[#This Row],[Tâche]],Horo82[[#This Row],[Durée]],"")</f>
        <v/>
      </c>
      <c r="Q8" s="56" t="str">
        <f aca="false">IF("FG"=Horo82[[#This Row],[Tâche]],Horo82[[#This Row],[Durée]],"")</f>
        <v/>
      </c>
      <c r="R8" s="56" t="str">
        <f aca="false">IF("CONGÉ"=Horo82[[#This Row],[Tâche]],Horo82[[#This Row],[Durée]],"")</f>
        <v/>
      </c>
      <c r="S8" s="57" t="str">
        <f aca="false">IF("PS"=Horo82[[#This Row],[Tâche]],Horo82[[#This Row],[Durée]],"")</f>
        <v/>
      </c>
      <c r="T8" s="56" t="str">
        <f aca="false">IF("TD"=Horo82[[#This Row],[Tâche]],Horo82[[#This Row],[Durée]],"")</f>
        <v/>
      </c>
      <c r="U8" s="55" t="str">
        <f aca="false">IF("N/C"=Horo82[[#This Row],[Tâche]],Horo82[[#This Row],[Durée]],"")</f>
        <v/>
      </c>
      <c r="V8" s="58"/>
      <c r="W8" s="59" t="n">
        <f aca="false">IF(Horo82[[#This Row],[O]]="o",Horo82[[#This Row],[Durée]],".")</f>
        <v>4</v>
      </c>
      <c r="X8" s="60" t="n">
        <f aca="false">IF(Horo82[[#This Row],[Début]]=0,"",Horo82[[#This Row],[Fin]]-Horo82[[#This Row],[Début]])</f>
        <v>0.166666666666667</v>
      </c>
    </row>
    <row r="9" customFormat="false" ht="15" hidden="false" customHeight="false" outlineLevel="0" collapsed="false">
      <c r="A9" s="45" t="s">
        <v>31</v>
      </c>
      <c r="B9" s="46" t="n">
        <f aca="false">IF(Horo82[[#This Row],[Jour]]="Lundi",$C$1+1, IF(Horo82[[#This Row],[Jour]]="Mardi",$C$1+2, IF(Horo82[[#This Row],[Jour]]="Mercredi",$C$1+3, IF(Horo82[[#This Row],[Jour]]="Jeudi",$C$1+4, IF(Horo82[[#This Row],[Jour]]="Vendredi",$C$1+5, IF(Horo82[[#This Row],[Jour]]="Samedi",$C$1+6, IF(Horo82[[#This Row],[Jour]]="Dimanche",$C$1, )))))))</f>
        <v>44461</v>
      </c>
      <c r="C9" s="47" t="s">
        <v>1</v>
      </c>
      <c r="D9" s="48" t="n">
        <v>0.333333333333333</v>
      </c>
      <c r="E9" s="48" t="n">
        <v>0.375</v>
      </c>
      <c r="F9" s="49" t="s">
        <v>32</v>
      </c>
      <c r="G9" s="49" t="s">
        <v>21</v>
      </c>
      <c r="H9" s="50"/>
      <c r="I9" s="51" t="s">
        <v>40</v>
      </c>
      <c r="J9" s="52" t="n">
        <f aca="false">IF(Horo82[[#This Row],[Début]]=0,"",(Horo82[[#This Row],[Durée (60)2]]-INT(Horo82[[#This Row],[Durée (60)2]]))*24)</f>
        <v>1</v>
      </c>
      <c r="K9" s="62" t="n">
        <f aca="false">SUMIF(Horo82[Jour],C9,Horo82[Durée])</f>
        <v>8</v>
      </c>
      <c r="L9" s="54" t="n">
        <f aca="false">IFERROR(SUMIF(Horo82[[#This Row],[Jour]],Horo82[[#This Row],[Jour]],Horo82[[#This Row],[GPF]]) / Horo82[[#This Row],[hrs]],"")</f>
        <v>0</v>
      </c>
      <c r="M9" s="56" t="str">
        <f aca="false">IF("GPF"=Horo82[[#This Row],[Tâche]],Horo82[[#This Row],[Durée]],"")</f>
        <v/>
      </c>
      <c r="N9" s="56" t="str">
        <f aca="false">IF("RI"=Horo82[[#This Row],[Tâche]],Horo82[[#This Row],[Durée]],"")</f>
        <v/>
      </c>
      <c r="O9" s="56" t="n">
        <f aca="false">IF("GB"=Horo82[[#This Row],[Tâche]],Horo82[[#This Row],[Durée]],"")</f>
        <v>1</v>
      </c>
      <c r="P9" s="56" t="str">
        <f aca="false">IF("RD"=Horo82[[#This Row],[Tâche]],Horo82[[#This Row],[Durée]],"")</f>
        <v/>
      </c>
      <c r="Q9" s="56" t="str">
        <f aca="false">IF("FG"=Horo82[[#This Row],[Tâche]],Horo82[[#This Row],[Durée]],"")</f>
        <v/>
      </c>
      <c r="R9" s="56" t="str">
        <f aca="false">IF("CONGÉ"=Horo82[[#This Row],[Tâche]],Horo82[[#This Row],[Durée]],"")</f>
        <v/>
      </c>
      <c r="S9" s="57" t="str">
        <f aca="false">IF("PS"=Horo82[[#This Row],[Tâche]],Horo82[[#This Row],[Durée]],"")</f>
        <v/>
      </c>
      <c r="T9" s="56" t="str">
        <f aca="false">IF("TD"=Horo82[[#This Row],[Tâche]],Horo82[[#This Row],[Durée]],"")</f>
        <v/>
      </c>
      <c r="U9" s="55" t="str">
        <f aca="false">IF("N/C"=Horo82[[#This Row],[Tâche]],Horo82[[#This Row],[Durée]],"")</f>
        <v/>
      </c>
      <c r="V9" s="58"/>
      <c r="W9" s="59" t="n">
        <f aca="false">IF(Horo82[[#This Row],[O]]="o",Horo82[[#This Row],[Durée]],".")</f>
        <v>1</v>
      </c>
      <c r="X9" s="60" t="n">
        <f aca="false">IF(Horo82[[#This Row],[Début]]=0,"",Horo82[[#This Row],[Fin]]-Horo82[[#This Row],[Début]])</f>
        <v>0.0416666666666667</v>
      </c>
    </row>
    <row r="10" customFormat="false" ht="15" hidden="false" customHeight="false" outlineLevel="0" collapsed="false">
      <c r="A10" s="45" t="s">
        <v>31</v>
      </c>
      <c r="B10" s="46" t="n">
        <f aca="false">IF(Horo82[[#This Row],[Jour]]="Lundi",$C$1+1, IF(Horo82[[#This Row],[Jour]]="Mardi",$C$1+2, IF(Horo82[[#This Row],[Jour]]="Mercredi",$C$1+3, IF(Horo82[[#This Row],[Jour]]="Jeudi",$C$1+4, IF(Horo82[[#This Row],[Jour]]="Vendredi",$C$1+5, IF(Horo82[[#This Row],[Jour]]="Samedi",$C$1+6, IF(Horo82[[#This Row],[Jour]]="Dimanche",$C$1, )))))))</f>
        <v>44461</v>
      </c>
      <c r="C10" s="47" t="s">
        <v>1</v>
      </c>
      <c r="D10" s="48" t="n">
        <v>0.375</v>
      </c>
      <c r="E10" s="48" t="n">
        <v>0.395833333333333</v>
      </c>
      <c r="F10" s="49" t="s">
        <v>32</v>
      </c>
      <c r="G10" s="49" t="s">
        <v>21</v>
      </c>
      <c r="H10" s="50"/>
      <c r="I10" s="51"/>
      <c r="J10" s="52" t="n">
        <f aca="false">IF(Horo82[[#This Row],[Début]]=0,"",(Horo82[[#This Row],[Durée (60)2]]-INT(Horo82[[#This Row],[Durée (60)2]]))*24)</f>
        <v>0.5</v>
      </c>
      <c r="K10" s="62" t="n">
        <f aca="false">SUMIF(Horo82[Jour],C10,Horo82[Durée])</f>
        <v>8</v>
      </c>
      <c r="L10" s="54" t="n">
        <f aca="false">IFERROR(SUMIF(Horo82[[#This Row],[Jour]],Horo82[[#This Row],[Jour]],Horo82[[#This Row],[GPF]]) / Horo82[[#This Row],[hrs]],"")</f>
        <v>0</v>
      </c>
      <c r="M10" s="56" t="str">
        <f aca="false">IF("GPF"=Horo82[[#This Row],[Tâche]],Horo82[[#This Row],[Durée]],"")</f>
        <v/>
      </c>
      <c r="N10" s="56" t="str">
        <f aca="false">IF("RI"=Horo82[[#This Row],[Tâche]],Horo82[[#This Row],[Durée]],"")</f>
        <v/>
      </c>
      <c r="O10" s="56" t="n">
        <f aca="false">IF("GB"=Horo82[[#This Row],[Tâche]],Horo82[[#This Row],[Durée]],"")</f>
        <v>0.5</v>
      </c>
      <c r="P10" s="63" t="str">
        <f aca="false">IF("RD"=Horo82[[#This Row],[Tâche]],Horo82[[#This Row],[Durée]],"")</f>
        <v/>
      </c>
      <c r="Q10" s="56" t="str">
        <f aca="false">IF("FG"=Horo82[[#This Row],[Tâche]],Horo82[[#This Row],[Durée]],"")</f>
        <v/>
      </c>
      <c r="R10" s="56" t="str">
        <f aca="false">IF("CONGÉ"=Horo82[[#This Row],[Tâche]],Horo82[[#This Row],[Durée]],"")</f>
        <v/>
      </c>
      <c r="S10" s="57" t="str">
        <f aca="false">IF("PS"=Horo82[[#This Row],[Tâche]],Horo82[[#This Row],[Durée]],"")</f>
        <v/>
      </c>
      <c r="T10" s="56" t="str">
        <f aca="false">IF("TD"=Horo82[[#This Row],[Tâche]],Horo82[[#This Row],[Durée]],"")</f>
        <v/>
      </c>
      <c r="U10" s="55" t="str">
        <f aca="false">IF("N/C"=Horo82[[#This Row],[Tâche]],Horo82[[#This Row],[Durée]],"")</f>
        <v/>
      </c>
      <c r="V10" s="58"/>
      <c r="W10" s="59" t="n">
        <f aca="false">IF(Horo82[[#This Row],[O]]="o",Horo82[[#This Row],[Durée]],".")</f>
        <v>0.5</v>
      </c>
      <c r="X10" s="60" t="n">
        <f aca="false">IF(Horo82[[#This Row],[Début]]=0,"",Horo82[[#This Row],[Fin]]-Horo82[[#This Row],[Début]])</f>
        <v>0.0208333333333333</v>
      </c>
    </row>
    <row r="11" customFormat="false" ht="15" hidden="false" customHeight="false" outlineLevel="0" collapsed="false">
      <c r="A11" s="45" t="s">
        <v>33</v>
      </c>
      <c r="B11" s="46" t="n">
        <f aca="false">IF(Horo82[[#This Row],[Jour]]="Lundi",$C$1+1, IF(Horo82[[#This Row],[Jour]]="Mardi",$C$1+2, IF(Horo82[[#This Row],[Jour]]="Mercredi",$C$1+3, IF(Horo82[[#This Row],[Jour]]="Jeudi",$C$1+4, IF(Horo82[[#This Row],[Jour]]="Vendredi",$C$1+5, IF(Horo82[[#This Row],[Jour]]="Samedi",$C$1+6, IF(Horo82[[#This Row],[Jour]]="Dimanche",$C$1, )))))))</f>
        <v>44461</v>
      </c>
      <c r="C11" s="47" t="s">
        <v>1</v>
      </c>
      <c r="D11" s="48" t="n">
        <v>0.395833333333333</v>
      </c>
      <c r="E11" s="48" t="n">
        <v>0.4375</v>
      </c>
      <c r="F11" s="49" t="s">
        <v>41</v>
      </c>
      <c r="G11" s="49" t="s">
        <v>23</v>
      </c>
      <c r="H11" s="50" t="s">
        <v>42</v>
      </c>
      <c r="I11" s="61" t="s">
        <v>43</v>
      </c>
      <c r="J11" s="52" t="n">
        <f aca="false">IF(Horo82[[#This Row],[Début]]=0,"",(Horo82[[#This Row],[Durée (60)2]]-INT(Horo82[[#This Row],[Durée (60)2]]))*24)</f>
        <v>1</v>
      </c>
      <c r="K11" s="62" t="n">
        <f aca="false">SUMIF(Horo82[Jour],C11,Horo82[Durée])</f>
        <v>8</v>
      </c>
      <c r="L11" s="54" t="n">
        <f aca="false">IFERROR(SUMIF(Horo82[[#This Row],[Jour]],Horo82[[#This Row],[Jour]],Horo82[[#This Row],[GPF]]) / Horo82[[#This Row],[hrs]],"")</f>
        <v>0</v>
      </c>
      <c r="M11" s="56" t="str">
        <f aca="false">IF("GPF"=Horo82[[#This Row],[Tâche]],Horo82[[#This Row],[Durée]],"")</f>
        <v/>
      </c>
      <c r="N11" s="56" t="str">
        <f aca="false">IF("RI"=Horo82[[#This Row],[Tâche]],Horo82[[#This Row],[Durée]],"")</f>
        <v/>
      </c>
      <c r="O11" s="56" t="str">
        <f aca="false">IF("GB"=Horo82[[#This Row],[Tâche]],Horo82[[#This Row],[Durée]],"")</f>
        <v/>
      </c>
      <c r="P11" s="56" t="str">
        <f aca="false">IF("RD"=Horo82[[#This Row],[Tâche]],Horo82[[#This Row],[Durée]],"")</f>
        <v/>
      </c>
      <c r="Q11" s="56" t="n">
        <f aca="false">IF("FG"=Horo82[[#This Row],[Tâche]],Horo82[[#This Row],[Durée]],"")</f>
        <v>1</v>
      </c>
      <c r="R11" s="56" t="str">
        <f aca="false">IF("CONGÉ"=Horo82[[#This Row],[Tâche]],Horo82[[#This Row],[Durée]],"")</f>
        <v/>
      </c>
      <c r="S11" s="57" t="str">
        <f aca="false">IF("PS"=Horo82[[#This Row],[Tâche]],Horo82[[#This Row],[Durée]],"")</f>
        <v/>
      </c>
      <c r="T11" s="56" t="str">
        <f aca="false">IF("TD"=Horo82[[#This Row],[Tâche]],Horo82[[#This Row],[Durée]],"")</f>
        <v/>
      </c>
      <c r="U11" s="55" t="str">
        <f aca="false">IF("N/C"=Horo82[[#This Row],[Tâche]],Horo82[[#This Row],[Durée]],"")</f>
        <v/>
      </c>
      <c r="V11" s="58"/>
      <c r="W11" s="59" t="str">
        <f aca="false">IF(Horo82[[#This Row],[O]]="o",Horo82[[#This Row],[Durée]],".")</f>
        <v>.</v>
      </c>
      <c r="X11" s="60" t="n">
        <f aca="false">IF(Horo82[[#This Row],[Début]]=0,"",Horo82[[#This Row],[Fin]]-Horo82[[#This Row],[Début]])</f>
        <v>0.0416666666666667</v>
      </c>
    </row>
    <row r="12" customFormat="false" ht="15" hidden="false" customHeight="false" outlineLevel="0" collapsed="false">
      <c r="A12" s="45" t="s">
        <v>33</v>
      </c>
      <c r="B12" s="46" t="n">
        <f aca="false">IF(Horo82[[#This Row],[Jour]]="Lundi",$C$1+1, IF(Horo82[[#This Row],[Jour]]="Mardi",$C$1+2, IF(Horo82[[#This Row],[Jour]]="Mercredi",$C$1+3, IF(Horo82[[#This Row],[Jour]]="Jeudi",$C$1+4, IF(Horo82[[#This Row],[Jour]]="Vendredi",$C$1+5, IF(Horo82[[#This Row],[Jour]]="Samedi",$C$1+6, IF(Horo82[[#This Row],[Jour]]="Dimanche",$C$1, )))))))</f>
        <v>44461</v>
      </c>
      <c r="C12" s="47" t="s">
        <v>1</v>
      </c>
      <c r="D12" s="48" t="n">
        <v>0.4375</v>
      </c>
      <c r="E12" s="48" t="n">
        <v>0.5</v>
      </c>
      <c r="F12" s="49" t="s">
        <v>37</v>
      </c>
      <c r="G12" s="49" t="s">
        <v>19</v>
      </c>
      <c r="H12" s="50" t="s">
        <v>38</v>
      </c>
      <c r="I12" s="61"/>
      <c r="J12" s="52" t="n">
        <f aca="false">IF(Horo82[[#This Row],[Début]]=0,"",(Horo82[[#This Row],[Durée (60)2]]-INT(Horo82[[#This Row],[Durée (60)2]]))*24)</f>
        <v>1.5</v>
      </c>
      <c r="K12" s="62" t="n">
        <f aca="false">SUMIF(Horo82[Jour],C12,Horo82[Durée])</f>
        <v>8</v>
      </c>
      <c r="L12" s="54" t="n">
        <f aca="false">IFERROR(SUMIF(Horo82[[#This Row],[Jour]],Horo82[[#This Row],[Jour]],Horo82[[#This Row],[GPF]]) / Horo82[[#This Row],[hrs]],"")</f>
        <v>0.1875</v>
      </c>
      <c r="M12" s="56" t="n">
        <f aca="false">IF("GPF"=Horo82[[#This Row],[Tâche]],Horo82[[#This Row],[Durée]],"")</f>
        <v>1.5</v>
      </c>
      <c r="N12" s="56" t="str">
        <f aca="false">IF("RI"=Horo82[[#This Row],[Tâche]],Horo82[[#This Row],[Durée]],"")</f>
        <v/>
      </c>
      <c r="O12" s="56" t="str">
        <f aca="false">IF("GB"=Horo82[[#This Row],[Tâche]],Horo82[[#This Row],[Durée]],"")</f>
        <v/>
      </c>
      <c r="P12" s="56" t="str">
        <f aca="false">IF("RD"=Horo82[[#This Row],[Tâche]],Horo82[[#This Row],[Durée]],"")</f>
        <v/>
      </c>
      <c r="Q12" s="56" t="str">
        <f aca="false">IF("FG"=Horo82[[#This Row],[Tâche]],Horo82[[#This Row],[Durée]],"")</f>
        <v/>
      </c>
      <c r="R12" s="56" t="str">
        <f aca="false">IF("CONGÉ"=Horo82[[#This Row],[Tâche]],Horo82[[#This Row],[Durée]],"")</f>
        <v/>
      </c>
      <c r="S12" s="57" t="str">
        <f aca="false">IF("PS"=Horo82[[#This Row],[Tâche]],Horo82[[#This Row],[Durée]],"")</f>
        <v/>
      </c>
      <c r="T12" s="56" t="str">
        <f aca="false">IF("TD"=Horo82[[#This Row],[Tâche]],Horo82[[#This Row],[Durée]],"")</f>
        <v/>
      </c>
      <c r="U12" s="55" t="str">
        <f aca="false">IF("N/C"=Horo82[[#This Row],[Tâche]],Horo82[[#This Row],[Durée]],"")</f>
        <v/>
      </c>
      <c r="V12" s="58"/>
      <c r="W12" s="59" t="str">
        <f aca="false">IF(Horo82[[#This Row],[O]]="o",Horo82[[#This Row],[Durée]],".")</f>
        <v>.</v>
      </c>
      <c r="X12" s="60" t="n">
        <f aca="false">IF(Horo82[[#This Row],[Début]]=0,"",Horo82[[#This Row],[Fin]]-Horo82[[#This Row],[Début]])</f>
        <v>0.0625</v>
      </c>
    </row>
    <row r="13" customFormat="false" ht="15" hidden="false" customHeight="false" outlineLevel="0" collapsed="false">
      <c r="A13" s="45" t="s">
        <v>31</v>
      </c>
      <c r="B13" s="46" t="n">
        <f aca="false">IF(Horo82[[#This Row],[Jour]]="Lundi",$C$1+1, IF(Horo82[[#This Row],[Jour]]="Mardi",$C$1+2, IF(Horo82[[#This Row],[Jour]]="Mercredi",$C$1+3, IF(Horo82[[#This Row],[Jour]]="Jeudi",$C$1+4, IF(Horo82[[#This Row],[Jour]]="Vendredi",$C$1+5, IF(Horo82[[#This Row],[Jour]]="Samedi",$C$1+6, IF(Horo82[[#This Row],[Jour]]="Dimanche",$C$1, )))))))</f>
        <v>44461</v>
      </c>
      <c r="C13" s="47" t="s">
        <v>1</v>
      </c>
      <c r="D13" s="48" t="n">
        <v>0.5625</v>
      </c>
      <c r="E13" s="48" t="n">
        <v>0.729166666666667</v>
      </c>
      <c r="F13" s="49" t="s">
        <v>32</v>
      </c>
      <c r="G13" s="49" t="s">
        <v>23</v>
      </c>
      <c r="H13" s="50"/>
      <c r="I13" s="61"/>
      <c r="J13" s="52" t="n">
        <f aca="false">IF(Horo82[[#This Row],[Début]]=0,"",(Horo82[[#This Row],[Durée (60)2]]-INT(Horo82[[#This Row],[Durée (60)2]]))*24)</f>
        <v>4</v>
      </c>
      <c r="K13" s="62" t="n">
        <f aca="false">SUMIF(Horo82[Jour],C13,Horo82[Durée])</f>
        <v>8</v>
      </c>
      <c r="L13" s="54" t="n">
        <f aca="false">IFERROR(SUMIF(Horo82[[#This Row],[Jour]],Horo82[[#This Row],[Jour]],Horo82[[#This Row],[GPF]]) / Horo82[[#This Row],[hrs]],"")</f>
        <v>0</v>
      </c>
      <c r="M13" s="56" t="str">
        <f aca="false">IF("GPF"=Horo82[[#This Row],[Tâche]],Horo82[[#This Row],[Durée]],"")</f>
        <v/>
      </c>
      <c r="N13" s="56" t="str">
        <f aca="false">IF("RI"=Horo82[[#This Row],[Tâche]],Horo82[[#This Row],[Durée]],"")</f>
        <v/>
      </c>
      <c r="O13" s="56" t="str">
        <f aca="false">IF("GB"=Horo82[[#This Row],[Tâche]],Horo82[[#This Row],[Durée]],"")</f>
        <v/>
      </c>
      <c r="P13" s="56" t="str">
        <f aca="false">IF("RD"=Horo82[[#This Row],[Tâche]],Horo82[[#This Row],[Durée]],"")</f>
        <v/>
      </c>
      <c r="Q13" s="56" t="n">
        <f aca="false">IF("FG"=Horo82[[#This Row],[Tâche]],Horo82[[#This Row],[Durée]],"")</f>
        <v>4</v>
      </c>
      <c r="R13" s="56" t="str">
        <f aca="false">IF("CONGÉ"=Horo82[[#This Row],[Tâche]],Horo82[[#This Row],[Durée]],"")</f>
        <v/>
      </c>
      <c r="S13" s="57" t="str">
        <f aca="false">IF("PS"=Horo82[[#This Row],[Tâche]],Horo82[[#This Row],[Durée]],"")</f>
        <v/>
      </c>
      <c r="T13" s="56" t="str">
        <f aca="false">IF("TD"=Horo82[[#This Row],[Tâche]],Horo82[[#This Row],[Durée]],"")</f>
        <v/>
      </c>
      <c r="U13" s="55" t="str">
        <f aca="false">IF("N/C"=Horo82[[#This Row],[Tâche]],Horo82[[#This Row],[Durée]],"")</f>
        <v/>
      </c>
      <c r="V13" s="58"/>
      <c r="W13" s="59" t="n">
        <f aca="false">IF(Horo82[[#This Row],[O]]="o",Horo82[[#This Row],[Durée]],".")</f>
        <v>4</v>
      </c>
      <c r="X13" s="60" t="n">
        <f aca="false">IF(Horo82[[#This Row],[Début]]=0,"",Horo82[[#This Row],[Fin]]-Horo82[[#This Row],[Début]])</f>
        <v>0.166666666666667</v>
      </c>
    </row>
    <row r="14" customFormat="false" ht="15" hidden="false" customHeight="false" outlineLevel="0" collapsed="false">
      <c r="A14" s="45" t="s">
        <v>31</v>
      </c>
      <c r="B14" s="46" t="n">
        <f aca="false">IF(Horo82[[#This Row],[Jour]]="Lundi",$C$1+1, IF(Horo82[[#This Row],[Jour]]="Mardi",$C$1+2, IF(Horo82[[#This Row],[Jour]]="Mercredi",$C$1+3, IF(Horo82[[#This Row],[Jour]]="Jeudi",$C$1+4, IF(Horo82[[#This Row],[Jour]]="Vendredi",$C$1+5, IF(Horo82[[#This Row],[Jour]]="Samedi",$C$1+6, IF(Horo82[[#This Row],[Jour]]="Dimanche",$C$1, )))))))</f>
        <v>44462</v>
      </c>
      <c r="C14" s="47" t="s">
        <v>2</v>
      </c>
      <c r="D14" s="48" t="n">
        <v>0.333333333333333</v>
      </c>
      <c r="E14" s="48" t="n">
        <v>0.354166666666667</v>
      </c>
      <c r="F14" s="49" t="s">
        <v>32</v>
      </c>
      <c r="G14" s="49" t="s">
        <v>21</v>
      </c>
      <c r="H14" s="50" t="s">
        <v>33</v>
      </c>
      <c r="I14" s="51"/>
      <c r="J14" s="52" t="n">
        <f aca="false">IF(Horo82[[#This Row],[Début]]=0,"",(Horo82[[#This Row],[Durée (60)2]]-INT(Horo82[[#This Row],[Durée (60)2]]))*24)</f>
        <v>0.500000000000001</v>
      </c>
      <c r="K14" s="62" t="n">
        <f aca="false">SUMIF(Horo82[Jour],C14,Horo82[Durée])</f>
        <v>7.25</v>
      </c>
      <c r="L14" s="54" t="n">
        <f aca="false">IFERROR(SUMIF(Horo82[[#This Row],[Jour]],Horo82[[#This Row],[Jour]],Horo82[[#This Row],[GPF]]) / Horo82[[#This Row],[hrs]],"")</f>
        <v>0</v>
      </c>
      <c r="M14" s="56" t="str">
        <f aca="false">IF("GPF"=Horo82[[#This Row],[Tâche]],Horo82[[#This Row],[Durée]],"")</f>
        <v/>
      </c>
      <c r="N14" s="56" t="str">
        <f aca="false">IF("RI"=Horo82[[#This Row],[Tâche]],Horo82[[#This Row],[Durée]],"")</f>
        <v/>
      </c>
      <c r="O14" s="56" t="n">
        <f aca="false">IF("GB"=Horo82[[#This Row],[Tâche]],Horo82[[#This Row],[Durée]],"")</f>
        <v>0.500000000000001</v>
      </c>
      <c r="P14" s="56" t="str">
        <f aca="false">IF("RD"=Horo82[[#This Row],[Tâche]],Horo82[[#This Row],[Durée]],"")</f>
        <v/>
      </c>
      <c r="Q14" s="56" t="str">
        <f aca="false">IF("FG"=Horo82[[#This Row],[Tâche]],Horo82[[#This Row],[Durée]],"")</f>
        <v/>
      </c>
      <c r="R14" s="56" t="str">
        <f aca="false">IF("CONGÉ"=Horo82[[#This Row],[Tâche]],Horo82[[#This Row],[Durée]],"")</f>
        <v/>
      </c>
      <c r="S14" s="56" t="str">
        <f aca="false">IF("PS"=Horo82[[#This Row],[Tâche]],Horo82[[#This Row],[Durée]],"")</f>
        <v/>
      </c>
      <c r="T14" s="56" t="str">
        <f aca="false">IF("TD"=Horo82[[#This Row],[Tâche]],Horo82[[#This Row],[Durée]],"")</f>
        <v/>
      </c>
      <c r="U14" s="56" t="str">
        <f aca="false">IF("N/C"=Horo82[[#This Row],[Tâche]],Horo82[[#This Row],[Durée]],"")</f>
        <v/>
      </c>
      <c r="V14" s="58"/>
      <c r="W14" s="59" t="n">
        <f aca="false">IF(Horo82[[#This Row],[O]]="o",Horo82[[#This Row],[Durée]],".")</f>
        <v>0.500000000000001</v>
      </c>
      <c r="X14" s="64" t="n">
        <f aca="false">IF(Horo82[[#This Row],[Début]]=0,"",Horo82[[#This Row],[Fin]]-Horo82[[#This Row],[Début]])</f>
        <v>0.0208333333333334</v>
      </c>
    </row>
    <row r="15" customFormat="false" ht="15" hidden="false" customHeight="false" outlineLevel="0" collapsed="false">
      <c r="A15" s="45" t="s">
        <v>33</v>
      </c>
      <c r="B15" s="46" t="n">
        <f aca="false">IF(Horo82[[#This Row],[Jour]]="Lundi",$C$1+1, IF(Horo82[[#This Row],[Jour]]="Mardi",$C$1+2, IF(Horo82[[#This Row],[Jour]]="Mercredi",$C$1+3, IF(Horo82[[#This Row],[Jour]]="Jeudi",$C$1+4, IF(Horo82[[#This Row],[Jour]]="Vendredi",$C$1+5, IF(Horo82[[#This Row],[Jour]]="Samedi",$C$1+6, IF(Horo82[[#This Row],[Jour]]="Dimanche",$C$1, )))))))</f>
        <v>44462</v>
      </c>
      <c r="C15" s="47" t="s">
        <v>2</v>
      </c>
      <c r="D15" s="48" t="n">
        <v>0.354166666666667</v>
      </c>
      <c r="E15" s="48" t="n">
        <v>0.416666666666667</v>
      </c>
      <c r="F15" s="49" t="s">
        <v>41</v>
      </c>
      <c r="G15" s="49" t="s">
        <v>19</v>
      </c>
      <c r="H15" s="50" t="s">
        <v>42</v>
      </c>
      <c r="I15" s="61" t="s">
        <v>43</v>
      </c>
      <c r="J15" s="52" t="n">
        <f aca="false">IF(Horo82[[#This Row],[Début]]=0,"",(Horo82[[#This Row],[Durée (60)2]]-INT(Horo82[[#This Row],[Durée (60)2]]))*24)</f>
        <v>1.5</v>
      </c>
      <c r="K15" s="62" t="n">
        <f aca="false">SUMIF(Horo82[Jour],C15,Horo82[Durée])</f>
        <v>7.25</v>
      </c>
      <c r="L15" s="54" t="n">
        <f aca="false">IFERROR(SUMIF(Horo82[[#This Row],[Jour]],Horo82[[#This Row],[Jour]],Horo82[[#This Row],[GPF]]) / Horo82[[#This Row],[hrs]],"")</f>
        <v>0.206896551724138</v>
      </c>
      <c r="M15" s="56" t="n">
        <f aca="false">IF("GPF"=Horo82[[#This Row],[Tâche]],Horo82[[#This Row],[Durée]],"")</f>
        <v>1.5</v>
      </c>
      <c r="N15" s="56" t="str">
        <f aca="false">IF("RI"=Horo82[[#This Row],[Tâche]],Horo82[[#This Row],[Durée]],"")</f>
        <v/>
      </c>
      <c r="O15" s="56" t="str">
        <f aca="false">IF("GB"=Horo82[[#This Row],[Tâche]],Horo82[[#This Row],[Durée]],"")</f>
        <v/>
      </c>
      <c r="P15" s="63" t="str">
        <f aca="false">IF("RD"=Horo82[[#This Row],[Tâche]],Horo82[[#This Row],[Durée]],"")</f>
        <v/>
      </c>
      <c r="Q15" s="56" t="str">
        <f aca="false">IF("FG"=Horo82[[#This Row],[Tâche]],Horo82[[#This Row],[Durée]],"")</f>
        <v/>
      </c>
      <c r="R15" s="56" t="str">
        <f aca="false">IF("CONGÉ"=Horo82[[#This Row],[Tâche]],Horo82[[#This Row],[Durée]],"")</f>
        <v/>
      </c>
      <c r="S15" s="57" t="str">
        <f aca="false">IF("PS"=Horo82[[#This Row],[Tâche]],Horo82[[#This Row],[Durée]],"")</f>
        <v/>
      </c>
      <c r="T15" s="56" t="str">
        <f aca="false">IF("TD"=Horo82[[#This Row],[Tâche]],Horo82[[#This Row],[Durée]],"")</f>
        <v/>
      </c>
      <c r="U15" s="55" t="str">
        <f aca="false">IF("N/C"=Horo82[[#This Row],[Tâche]],Horo82[[#This Row],[Durée]],"")</f>
        <v/>
      </c>
      <c r="V15" s="58"/>
      <c r="W15" s="59" t="str">
        <f aca="false">IF(Horo82[[#This Row],[O]]="o",Horo82[[#This Row],[Durée]],".")</f>
        <v>.</v>
      </c>
      <c r="X15" s="60" t="n">
        <f aca="false">IF(Horo82[[#This Row],[Début]]=0,"",Horo82[[#This Row],[Fin]]-Horo82[[#This Row],[Début]])</f>
        <v>0.0625</v>
      </c>
    </row>
    <row r="16" customFormat="false" ht="15" hidden="false" customHeight="false" outlineLevel="0" collapsed="false">
      <c r="A16" s="45" t="s">
        <v>31</v>
      </c>
      <c r="B16" s="46" t="n">
        <f aca="false">IF(Horo82[[#This Row],[Jour]]="Lundi",$C$1+1, IF(Horo82[[#This Row],[Jour]]="Mardi",$C$1+2, IF(Horo82[[#This Row],[Jour]]="Mercredi",$C$1+3, IF(Horo82[[#This Row],[Jour]]="Jeudi",$C$1+4, IF(Horo82[[#This Row],[Jour]]="Vendredi",$C$1+5, IF(Horo82[[#This Row],[Jour]]="Samedi",$C$1+6, IF(Horo82[[#This Row],[Jour]]="Dimanche",$C$1, )))))))</f>
        <v>44462</v>
      </c>
      <c r="C16" s="47" t="s">
        <v>2</v>
      </c>
      <c r="D16" s="48" t="n">
        <v>0.416666666666667</v>
      </c>
      <c r="E16" s="48" t="n">
        <v>0.4375</v>
      </c>
      <c r="F16" s="49" t="s">
        <v>37</v>
      </c>
      <c r="G16" s="49" t="s">
        <v>19</v>
      </c>
      <c r="H16" s="50"/>
      <c r="I16" s="61" t="s">
        <v>44</v>
      </c>
      <c r="J16" s="52" t="n">
        <f aca="false">IF(Horo82[[#This Row],[Début]]=0,"",(Horo82[[#This Row],[Durée (60)2]]-INT(Horo82[[#This Row],[Durée (60)2]]))*24)</f>
        <v>0.5</v>
      </c>
      <c r="K16" s="62" t="n">
        <f aca="false">SUMIF(Horo82[Jour],C16,Horo82[Durée])</f>
        <v>7.25</v>
      </c>
      <c r="L16" s="54" t="n">
        <f aca="false">IFERROR(SUMIF(Horo82[[#This Row],[Jour]],Horo82[[#This Row],[Jour]],Horo82[[#This Row],[GPF]]) / Horo82[[#This Row],[hrs]],"")</f>
        <v>0.0689655172413793</v>
      </c>
      <c r="M16" s="56" t="n">
        <f aca="false">IF("GPF"=Horo82[[#This Row],[Tâche]],Horo82[[#This Row],[Durée]],"")</f>
        <v>0.5</v>
      </c>
      <c r="N16" s="56" t="str">
        <f aca="false">IF("RI"=Horo82[[#This Row],[Tâche]],Horo82[[#This Row],[Durée]],"")</f>
        <v/>
      </c>
      <c r="O16" s="56" t="str">
        <f aca="false">IF("GB"=Horo82[[#This Row],[Tâche]],Horo82[[#This Row],[Durée]],"")</f>
        <v/>
      </c>
      <c r="P16" s="63" t="str">
        <f aca="false">IF("RD"=Horo82[[#This Row],[Tâche]],Horo82[[#This Row],[Durée]],"")</f>
        <v/>
      </c>
      <c r="Q16" s="56" t="str">
        <f aca="false">IF("FG"=Horo82[[#This Row],[Tâche]],Horo82[[#This Row],[Durée]],"")</f>
        <v/>
      </c>
      <c r="R16" s="56" t="str">
        <f aca="false">IF("CONGÉ"=Horo82[[#This Row],[Tâche]],Horo82[[#This Row],[Durée]],"")</f>
        <v/>
      </c>
      <c r="S16" s="57" t="str">
        <f aca="false">IF("PS"=Horo82[[#This Row],[Tâche]],Horo82[[#This Row],[Durée]],"")</f>
        <v/>
      </c>
      <c r="T16" s="56" t="str">
        <f aca="false">IF("TD"=Horo82[[#This Row],[Tâche]],Horo82[[#This Row],[Durée]],"")</f>
        <v/>
      </c>
      <c r="U16" s="55" t="str">
        <f aca="false">IF("N/C"=Horo82[[#This Row],[Tâche]],Horo82[[#This Row],[Durée]],"")</f>
        <v/>
      </c>
      <c r="V16" s="58"/>
      <c r="W16" s="59" t="n">
        <f aca="false">IF(Horo82[[#This Row],[O]]="o",Horo82[[#This Row],[Durée]],".")</f>
        <v>0.5</v>
      </c>
      <c r="X16" s="60" t="n">
        <f aca="false">IF(Horo82[[#This Row],[Début]]=0,"",Horo82[[#This Row],[Fin]]-Horo82[[#This Row],[Début]])</f>
        <v>0.0208333333333333</v>
      </c>
    </row>
    <row r="17" customFormat="false" ht="15" hidden="false" customHeight="false" outlineLevel="0" collapsed="false">
      <c r="A17" s="45" t="s">
        <v>33</v>
      </c>
      <c r="B17" s="46" t="n">
        <f aca="false">IF(Horo82[[#This Row],[Jour]]="Lundi",$C$1+1, IF(Horo82[[#This Row],[Jour]]="Mardi",$C$1+2, IF(Horo82[[#This Row],[Jour]]="Mercredi",$C$1+3, IF(Horo82[[#This Row],[Jour]]="Jeudi",$C$1+4, IF(Horo82[[#This Row],[Jour]]="Vendredi",$C$1+5, IF(Horo82[[#This Row],[Jour]]="Samedi",$C$1+6, IF(Horo82[[#This Row],[Jour]]="Dimanche",$C$1, )))))))</f>
        <v>44462</v>
      </c>
      <c r="C17" s="47" t="s">
        <v>2</v>
      </c>
      <c r="D17" s="48" t="n">
        <v>0.4375</v>
      </c>
      <c r="E17" s="48" t="n">
        <v>0.5</v>
      </c>
      <c r="F17" s="49" t="s">
        <v>41</v>
      </c>
      <c r="G17" s="49" t="s">
        <v>23</v>
      </c>
      <c r="H17" s="50" t="s">
        <v>42</v>
      </c>
      <c r="I17" s="61" t="s">
        <v>43</v>
      </c>
      <c r="J17" s="52" t="n">
        <f aca="false">IF(Horo82[[#This Row],[Début]]=0,"",(Horo82[[#This Row],[Durée (60)2]]-INT(Horo82[[#This Row],[Durée (60)2]]))*24)</f>
        <v>1.5</v>
      </c>
      <c r="K17" s="62" t="n">
        <f aca="false">SUMIF(Horo82[Jour],C17,Horo82[Durée])</f>
        <v>7.25</v>
      </c>
      <c r="L17" s="54" t="n">
        <f aca="false">IFERROR(SUMIF(Horo82[[#This Row],[Jour]],Horo82[[#This Row],[Jour]],Horo82[[#This Row],[GPF]]) / Horo82[[#This Row],[hrs]],"")</f>
        <v>0</v>
      </c>
      <c r="M17" s="56" t="str">
        <f aca="false">IF("GPF"=Horo82[[#This Row],[Tâche]],Horo82[[#This Row],[Durée]],"")</f>
        <v/>
      </c>
      <c r="N17" s="56" t="str">
        <f aca="false">IF("RI"=Horo82[[#This Row],[Tâche]],Horo82[[#This Row],[Durée]],"")</f>
        <v/>
      </c>
      <c r="O17" s="56" t="str">
        <f aca="false">IF("GB"=Horo82[[#This Row],[Tâche]],Horo82[[#This Row],[Durée]],"")</f>
        <v/>
      </c>
      <c r="P17" s="56" t="str">
        <f aca="false">IF("RD"=Horo82[[#This Row],[Tâche]],Horo82[[#This Row],[Durée]],"")</f>
        <v/>
      </c>
      <c r="Q17" s="56" t="n">
        <f aca="false">IF("FG"=Horo82[[#This Row],[Tâche]],Horo82[[#This Row],[Durée]],"")</f>
        <v>1.5</v>
      </c>
      <c r="R17" s="56" t="str">
        <f aca="false">IF("CONGÉ"=Horo82[[#This Row],[Tâche]],Horo82[[#This Row],[Durée]],"")</f>
        <v/>
      </c>
      <c r="S17" s="57" t="str">
        <f aca="false">IF("PS"=Horo82[[#This Row],[Tâche]],Horo82[[#This Row],[Durée]],"")</f>
        <v/>
      </c>
      <c r="T17" s="56" t="str">
        <f aca="false">IF("TD"=Horo82[[#This Row],[Tâche]],Horo82[[#This Row],[Durée]],"")</f>
        <v/>
      </c>
      <c r="U17" s="55" t="str">
        <f aca="false">IF("N/C"=Horo82[[#This Row],[Tâche]],Horo82[[#This Row],[Durée]],"")</f>
        <v/>
      </c>
      <c r="V17" s="58"/>
      <c r="W17" s="59" t="str">
        <f aca="false">IF(Horo82[[#This Row],[O]]="o",Horo82[[#This Row],[Durée]],".")</f>
        <v>.</v>
      </c>
      <c r="X17" s="60" t="n">
        <f aca="false">IF(Horo82[[#This Row],[Début]]=0,"",Horo82[[#This Row],[Fin]]-Horo82[[#This Row],[Début]])</f>
        <v>0.0625</v>
      </c>
    </row>
    <row r="18" customFormat="false" ht="15" hidden="false" customHeight="false" outlineLevel="0" collapsed="false">
      <c r="A18" s="45" t="s">
        <v>31</v>
      </c>
      <c r="B18" s="46" t="n">
        <f aca="false">IF(Horo82[[#This Row],[Jour]]="Lundi",$C$1+1, IF(Horo82[[#This Row],[Jour]]="Mardi",$C$1+2, IF(Horo82[[#This Row],[Jour]]="Mercredi",$C$1+3, IF(Horo82[[#This Row],[Jour]]="Jeudi",$C$1+4, IF(Horo82[[#This Row],[Jour]]="Vendredi",$C$1+5, IF(Horo82[[#This Row],[Jour]]="Samedi",$C$1+6, IF(Horo82[[#This Row],[Jour]]="Dimanche",$C$1, )))))))</f>
        <v>44462</v>
      </c>
      <c r="C18" s="47" t="s">
        <v>2</v>
      </c>
      <c r="D18" s="48" t="n">
        <v>0.614583333333333</v>
      </c>
      <c r="E18" s="48" t="n">
        <v>0.625</v>
      </c>
      <c r="F18" s="49" t="s">
        <v>45</v>
      </c>
      <c r="G18" s="49"/>
      <c r="H18" s="50" t="s">
        <v>42</v>
      </c>
      <c r="I18" s="61" t="s">
        <v>46</v>
      </c>
      <c r="J18" s="52" t="n">
        <f aca="false">IF(Horo82[[#This Row],[Début]]=0,"",(Horo82[[#This Row],[Durée (60)2]]-INT(Horo82[[#This Row],[Durée (60)2]]))*24)</f>
        <v>0.249999999999999</v>
      </c>
      <c r="K18" s="62" t="n">
        <f aca="false">SUMIF(Horo82[Jour],C18,Horo82[Durée])</f>
        <v>7.25</v>
      </c>
      <c r="L18" s="54" t="n">
        <f aca="false">IFERROR(SUMIF(Horo82[[#This Row],[Jour]],Horo82[[#This Row],[Jour]],Horo82[[#This Row],[GPF]]) / Horo82[[#This Row],[hrs]],"")</f>
        <v>0</v>
      </c>
      <c r="M18" s="56" t="str">
        <f aca="false">IF("GPF"=Horo82[[#This Row],[Tâche]],Horo82[[#This Row],[Durée]],"")</f>
        <v/>
      </c>
      <c r="N18" s="56" t="str">
        <f aca="false">IF("RI"=Horo82[[#This Row],[Tâche]],Horo82[[#This Row],[Durée]],"")</f>
        <v/>
      </c>
      <c r="O18" s="56" t="str">
        <f aca="false">IF("GB"=Horo82[[#This Row],[Tâche]],Horo82[[#This Row],[Durée]],"")</f>
        <v/>
      </c>
      <c r="P18" s="56" t="str">
        <f aca="false">IF("RD"=Horo82[[#This Row],[Tâche]],Horo82[[#This Row],[Durée]],"")</f>
        <v/>
      </c>
      <c r="Q18" s="56" t="str">
        <f aca="false">IF("FG"=Horo82[[#This Row],[Tâche]],Horo82[[#This Row],[Durée]],"")</f>
        <v/>
      </c>
      <c r="R18" s="56" t="str">
        <f aca="false">IF("CONGÉ"=Horo82[[#This Row],[Tâche]],Horo82[[#This Row],[Durée]],"")</f>
        <v/>
      </c>
      <c r="S18" s="57" t="str">
        <f aca="false">IF("PS"=Horo82[[#This Row],[Tâche]],Horo82[[#This Row],[Durée]],"")</f>
        <v/>
      </c>
      <c r="T18" s="56" t="str">
        <f aca="false">IF("TD"=Horo82[[#This Row],[Tâche]],Horo82[[#This Row],[Durée]],"")</f>
        <v/>
      </c>
      <c r="U18" s="55" t="str">
        <f aca="false">IF("N/C"=Horo82[[#This Row],[Tâche]],Horo82[[#This Row],[Durée]],"")</f>
        <v/>
      </c>
      <c r="V18" s="58"/>
      <c r="W18" s="59" t="n">
        <f aca="false">IF(Horo82[[#This Row],[O]]="o",Horo82[[#This Row],[Durée]],".")</f>
        <v>0.249999999999999</v>
      </c>
      <c r="X18" s="60" t="n">
        <f aca="false">IF(Horo82[[#This Row],[Début]]=0,"",Horo82[[#This Row],[Fin]]-Horo82[[#This Row],[Début]])</f>
        <v>0.0104166666666666</v>
      </c>
    </row>
    <row r="19" customFormat="false" ht="15" hidden="false" customHeight="false" outlineLevel="0" collapsed="false">
      <c r="A19" s="45" t="str">
        <f aca="false">IF(Horo82[[#This Row],[Date]]="",".",".")</f>
        <v>.</v>
      </c>
      <c r="B19" s="46" t="n">
        <f aca="false">IF(Horo82[[#This Row],[Jour]]="Lundi",$C$1+1, IF(Horo82[[#This Row],[Jour]]="Mardi",$C$1+2, IF(Horo82[[#This Row],[Jour]]="Mercredi",$C$1+3, IF(Horo82[[#This Row],[Jour]]="Jeudi",$C$1+4, IF(Horo82[[#This Row],[Jour]]="Vendredi",$C$1+5, IF(Horo82[[#This Row],[Jour]]="Samedi",$C$1+6, IF(Horo82[[#This Row],[Jour]]="Dimanche",$C$1, )))))))</f>
        <v>44462</v>
      </c>
      <c r="C19" s="47" t="s">
        <v>2</v>
      </c>
      <c r="D19" s="48" t="n">
        <v>0.666666666666667</v>
      </c>
      <c r="E19" s="48" t="n">
        <v>0.6875</v>
      </c>
      <c r="F19" s="49" t="s">
        <v>47</v>
      </c>
      <c r="G19" s="49" t="s">
        <v>19</v>
      </c>
      <c r="H19" s="50" t="s">
        <v>48</v>
      </c>
      <c r="I19" s="61" t="s">
        <v>49</v>
      </c>
      <c r="J19" s="52" t="n">
        <f aca="false">IF(Horo82[[#This Row],[Début]]=0,"",(Horo82[[#This Row],[Durée (60)2]]-INT(Horo82[[#This Row],[Durée (60)2]]))*24)</f>
        <v>0.500000000000001</v>
      </c>
      <c r="K19" s="62" t="n">
        <f aca="false">SUMIF(Horo82[Jour],C19,Horo82[Durée])</f>
        <v>7.25</v>
      </c>
      <c r="L19" s="54" t="n">
        <f aca="false">IFERROR(SUMIF(Horo82[[#This Row],[Jour]],Horo82[[#This Row],[Jour]],Horo82[[#This Row],[GPF]]) / Horo82[[#This Row],[hrs]],"")</f>
        <v>0.0689655172413794</v>
      </c>
      <c r="M19" s="56" t="n">
        <f aca="false">IF("GPF"=Horo82[[#This Row],[Tâche]],Horo82[[#This Row],[Durée]],"")</f>
        <v>0.500000000000001</v>
      </c>
      <c r="N19" s="56" t="str">
        <f aca="false">IF("RI"=Horo82[[#This Row],[Tâche]],Horo82[[#This Row],[Durée]],"")</f>
        <v/>
      </c>
      <c r="O19" s="56" t="str">
        <f aca="false">IF("GB"=Horo82[[#This Row],[Tâche]],Horo82[[#This Row],[Durée]],"")</f>
        <v/>
      </c>
      <c r="P19" s="56" t="str">
        <f aca="false">IF("RD"=Horo82[[#This Row],[Tâche]],Horo82[[#This Row],[Durée]],"")</f>
        <v/>
      </c>
      <c r="Q19" s="56" t="str">
        <f aca="false">IF("FG"=Horo82[[#This Row],[Tâche]],Horo82[[#This Row],[Durée]],"")</f>
        <v/>
      </c>
      <c r="R19" s="56" t="str">
        <f aca="false">IF("CONGÉ"=Horo82[[#This Row],[Tâche]],Horo82[[#This Row],[Durée]],"")</f>
        <v/>
      </c>
      <c r="S19" s="57" t="str">
        <f aca="false">IF("PS"=Horo82[[#This Row],[Tâche]],Horo82[[#This Row],[Durée]],"")</f>
        <v/>
      </c>
      <c r="T19" s="56" t="str">
        <f aca="false">IF("TD"=Horo82[[#This Row],[Tâche]],Horo82[[#This Row],[Durée]],"")</f>
        <v/>
      </c>
      <c r="U19" s="55" t="str">
        <f aca="false">IF("N/C"=Horo82[[#This Row],[Tâche]],Horo82[[#This Row],[Durée]],"")</f>
        <v/>
      </c>
      <c r="V19" s="58"/>
      <c r="W19" s="59" t="str">
        <f aca="false">IF(Horo82[[#This Row],[O]]="o",Horo82[[#This Row],[Durée]],".")</f>
        <v>.</v>
      </c>
      <c r="X19" s="60" t="n">
        <f aca="false">IF(Horo82[[#This Row],[Début]]=0,"",Horo82[[#This Row],[Fin]]-Horo82[[#This Row],[Début]])</f>
        <v>0.0208333333333334</v>
      </c>
    </row>
    <row r="20" customFormat="false" ht="15" hidden="false" customHeight="false" outlineLevel="0" collapsed="false">
      <c r="A20" s="45" t="s">
        <v>31</v>
      </c>
      <c r="B20" s="46" t="n">
        <f aca="false">IF(Horo82[[#This Row],[Jour]]="Lundi",$C$1+1, IF(Horo82[[#This Row],[Jour]]="Mardi",$C$1+2, IF(Horo82[[#This Row],[Jour]]="Mercredi",$C$1+3, IF(Horo82[[#This Row],[Jour]]="Jeudi",$C$1+4, IF(Horo82[[#This Row],[Jour]]="Vendredi",$C$1+5, IF(Horo82[[#This Row],[Jour]]="Samedi",$C$1+6, IF(Horo82[[#This Row],[Jour]]="Dimanche",$C$1, )))))))</f>
        <v>44462</v>
      </c>
      <c r="C20" s="47" t="s">
        <v>2</v>
      </c>
      <c r="D20" s="48" t="n">
        <v>0.708333333333333</v>
      </c>
      <c r="E20" s="48" t="n">
        <v>0.770833333333333</v>
      </c>
      <c r="F20" s="49" t="s">
        <v>37</v>
      </c>
      <c r="G20" s="49" t="s">
        <v>23</v>
      </c>
      <c r="H20" s="50"/>
      <c r="I20" s="61" t="s">
        <v>50</v>
      </c>
      <c r="J20" s="52" t="n">
        <f aca="false">IF(Horo82[[#This Row],[Début]]=0,"",(Horo82[[#This Row],[Durée (60)2]]-INT(Horo82[[#This Row],[Durée (60)2]]))*24)</f>
        <v>1.5</v>
      </c>
      <c r="K20" s="62" t="n">
        <f aca="false">SUMIF(Horo82[Jour],C20,Horo82[Durée])</f>
        <v>7.25</v>
      </c>
      <c r="L20" s="54" t="n">
        <f aca="false">IFERROR(SUMIF(Horo82[[#This Row],[Jour]],Horo82[[#This Row],[Jour]],Horo82[[#This Row],[GPF]]) / Horo82[[#This Row],[hrs]],"")</f>
        <v>0</v>
      </c>
      <c r="M20" s="56" t="str">
        <f aca="false">IF("GPF"=Horo82[[#This Row],[Tâche]],Horo82[[#This Row],[Durée]],"")</f>
        <v/>
      </c>
      <c r="N20" s="56" t="str">
        <f aca="false">IF("RI"=Horo82[[#This Row],[Tâche]],Horo82[[#This Row],[Durée]],"")</f>
        <v/>
      </c>
      <c r="O20" s="56" t="str">
        <f aca="false">IF("GB"=Horo82[[#This Row],[Tâche]],Horo82[[#This Row],[Durée]],"")</f>
        <v/>
      </c>
      <c r="P20" s="56" t="str">
        <f aca="false">IF("RD"=Horo82[[#This Row],[Tâche]],Horo82[[#This Row],[Durée]],"")</f>
        <v/>
      </c>
      <c r="Q20" s="56" t="n">
        <f aca="false">IF("FG"=Horo82[[#This Row],[Tâche]],Horo82[[#This Row],[Durée]],"")</f>
        <v>1.5</v>
      </c>
      <c r="R20" s="56" t="str">
        <f aca="false">IF("CONGÉ"=Horo82[[#This Row],[Tâche]],Horo82[[#This Row],[Durée]],"")</f>
        <v/>
      </c>
      <c r="S20" s="57" t="str">
        <f aca="false">IF("PS"=Horo82[[#This Row],[Tâche]],Horo82[[#This Row],[Durée]],"")</f>
        <v/>
      </c>
      <c r="T20" s="56" t="str">
        <f aca="false">IF("TD"=Horo82[[#This Row],[Tâche]],Horo82[[#This Row],[Durée]],"")</f>
        <v/>
      </c>
      <c r="U20" s="55" t="str">
        <f aca="false">IF("N/C"=Horo82[[#This Row],[Tâche]],Horo82[[#This Row],[Durée]],"")</f>
        <v/>
      </c>
      <c r="V20" s="58"/>
      <c r="W20" s="59" t="n">
        <f aca="false">IF(Horo82[[#This Row],[O]]="o",Horo82[[#This Row],[Durée]],".")</f>
        <v>1.5</v>
      </c>
      <c r="X20" s="60" t="n">
        <f aca="false">IF(Horo82[[#This Row],[Début]]=0,"",Horo82[[#This Row],[Fin]]-Horo82[[#This Row],[Début]])</f>
        <v>0.0625</v>
      </c>
    </row>
    <row r="21" customFormat="false" ht="15" hidden="false" customHeight="false" outlineLevel="0" collapsed="false">
      <c r="A21" s="45" t="s">
        <v>31</v>
      </c>
      <c r="B21" s="46" t="n">
        <f aca="false">IF(Horo82[[#This Row],[Jour]]="Lundi",$C$1+1, IF(Horo82[[#This Row],[Jour]]="Mardi",$C$1+2, IF(Horo82[[#This Row],[Jour]]="Mercredi",$C$1+3, IF(Horo82[[#This Row],[Jour]]="Jeudi",$C$1+4, IF(Horo82[[#This Row],[Jour]]="Vendredi",$C$1+5, IF(Horo82[[#This Row],[Jour]]="Samedi",$C$1+6, IF(Horo82[[#This Row],[Jour]]="Dimanche",$C$1, )))))))</f>
        <v>44462</v>
      </c>
      <c r="C21" s="47" t="s">
        <v>2</v>
      </c>
      <c r="D21" s="48" t="n">
        <v>0.770833333333333</v>
      </c>
      <c r="E21" s="48" t="n">
        <v>0.8125</v>
      </c>
      <c r="F21" s="49" t="s">
        <v>32</v>
      </c>
      <c r="G21" s="49" t="s">
        <v>23</v>
      </c>
      <c r="H21" s="50"/>
      <c r="I21" s="61"/>
      <c r="J21" s="52" t="n">
        <f aca="false">IF(Horo82[[#This Row],[Début]]=0,"",(Horo82[[#This Row],[Durée (60)2]]-INT(Horo82[[#This Row],[Durée (60)2]]))*24)</f>
        <v>0.999999999999999</v>
      </c>
      <c r="K21" s="62" t="n">
        <f aca="false">SUMIF(Horo82[Jour],C21,Horo82[Durée])</f>
        <v>7.25</v>
      </c>
      <c r="L21" s="54" t="n">
        <f aca="false">IFERROR(SUMIF(Horo82[[#This Row],[Jour]],Horo82[[#This Row],[Jour]],Horo82[[#This Row],[GPF]]) / Horo82[[#This Row],[hrs]],"")</f>
        <v>0</v>
      </c>
      <c r="M21" s="56" t="str">
        <f aca="false">IF("GPF"=Horo82[[#This Row],[Tâche]],Horo82[[#This Row],[Durée]],"")</f>
        <v/>
      </c>
      <c r="N21" s="56" t="str">
        <f aca="false">IF("RI"=Horo82[[#This Row],[Tâche]],Horo82[[#This Row],[Durée]],"")</f>
        <v/>
      </c>
      <c r="O21" s="56" t="str">
        <f aca="false">IF("GB"=Horo82[[#This Row],[Tâche]],Horo82[[#This Row],[Durée]],"")</f>
        <v/>
      </c>
      <c r="P21" s="56" t="str">
        <f aca="false">IF("RD"=Horo82[[#This Row],[Tâche]],Horo82[[#This Row],[Durée]],"")</f>
        <v/>
      </c>
      <c r="Q21" s="56" t="n">
        <f aca="false">IF("FG"=Horo82[[#This Row],[Tâche]],Horo82[[#This Row],[Durée]],"")</f>
        <v>0.999999999999999</v>
      </c>
      <c r="R21" s="56" t="str">
        <f aca="false">IF("CONGÉ"=Horo82[[#This Row],[Tâche]],Horo82[[#This Row],[Durée]],"")</f>
        <v/>
      </c>
      <c r="S21" s="57" t="str">
        <f aca="false">IF("PS"=Horo82[[#This Row],[Tâche]],Horo82[[#This Row],[Durée]],"")</f>
        <v/>
      </c>
      <c r="T21" s="56" t="str">
        <f aca="false">IF("TD"=Horo82[[#This Row],[Tâche]],Horo82[[#This Row],[Durée]],"")</f>
        <v/>
      </c>
      <c r="U21" s="55" t="str">
        <f aca="false">IF("N/C"=Horo82[[#This Row],[Tâche]],Horo82[[#This Row],[Durée]],"")</f>
        <v/>
      </c>
      <c r="V21" s="58"/>
      <c r="W21" s="59" t="n">
        <f aca="false">IF(Horo82[[#This Row],[O]]="o",Horo82[[#This Row],[Durée]],".")</f>
        <v>0.999999999999999</v>
      </c>
      <c r="X21" s="60" t="n">
        <f aca="false">IF(Horo82[[#This Row],[Début]]=0,"",Horo82[[#This Row],[Fin]]-Horo82[[#This Row],[Début]])</f>
        <v>0.0416666666666666</v>
      </c>
    </row>
    <row r="22" customFormat="false" ht="15" hidden="false" customHeight="false" outlineLevel="0" collapsed="false">
      <c r="A22" s="45" t="s">
        <v>31</v>
      </c>
      <c r="B22" s="46" t="n">
        <f aca="false">IF(Horo82[[#This Row],[Jour]]="Lundi",$C$1+1, IF(Horo82[[#This Row],[Jour]]="Mardi",$C$1+2, IF(Horo82[[#This Row],[Jour]]="Mercredi",$C$1+3, IF(Horo82[[#This Row],[Jour]]="Jeudi",$C$1+4, IF(Horo82[[#This Row],[Jour]]="Vendredi",$C$1+5, IF(Horo82[[#This Row],[Jour]]="Samedi",$C$1+6, IF(Horo82[[#This Row],[Jour]]="Dimanche",$C$1, )))))))</f>
        <v>44463</v>
      </c>
      <c r="C22" s="47" t="s">
        <v>3</v>
      </c>
      <c r="D22" s="48" t="n">
        <v>0.3125</v>
      </c>
      <c r="E22" s="48" t="n">
        <v>0.333333333333333</v>
      </c>
      <c r="F22" s="49" t="s">
        <v>32</v>
      </c>
      <c r="G22" s="49" t="s">
        <v>21</v>
      </c>
      <c r="H22" s="50"/>
      <c r="I22" s="51"/>
      <c r="J22" s="52" t="n">
        <f aca="false">IF(Horo82[[#This Row],[Début]]=0,"",(Horo82[[#This Row],[Durée (60)2]]-INT(Horo82[[#This Row],[Durée (60)2]]))*24)</f>
        <v>0.5</v>
      </c>
      <c r="K22" s="62" t="n">
        <f aca="false">SUMIF(Horo82[Jour],C22,Horo82[Durée])</f>
        <v>8.75</v>
      </c>
      <c r="L22" s="54" t="n">
        <f aca="false">IFERROR(SUMIF(Horo82[[#This Row],[Jour]],Horo82[[#This Row],[Jour]],Horo82[[#This Row],[GPF]]) / Horo82[[#This Row],[hrs]],"")</f>
        <v>0</v>
      </c>
      <c r="M22" s="56" t="str">
        <f aca="false">IF("GPF"=Horo82[[#This Row],[Tâche]],Horo82[[#This Row],[Durée]],"")</f>
        <v/>
      </c>
      <c r="N22" s="56" t="str">
        <f aca="false">IF("RI"=Horo82[[#This Row],[Tâche]],Horo82[[#This Row],[Durée]],"")</f>
        <v/>
      </c>
      <c r="O22" s="56" t="n">
        <f aca="false">IF("GB"=Horo82[[#This Row],[Tâche]],Horo82[[#This Row],[Durée]],"")</f>
        <v>0.5</v>
      </c>
      <c r="P22" s="56" t="str">
        <f aca="false">IF("RD"=Horo82[[#This Row],[Tâche]],Horo82[[#This Row],[Durée]],"")</f>
        <v/>
      </c>
      <c r="Q22" s="56" t="str">
        <f aca="false">IF("FG"=Horo82[[#This Row],[Tâche]],Horo82[[#This Row],[Durée]],"")</f>
        <v/>
      </c>
      <c r="R22" s="56" t="str">
        <f aca="false">IF("CONGÉ"=Horo82[[#This Row],[Tâche]],Horo82[[#This Row],[Durée]],"")</f>
        <v/>
      </c>
      <c r="S22" s="56" t="str">
        <f aca="false">IF("PS"=Horo82[[#This Row],[Tâche]],Horo82[[#This Row],[Durée]],"")</f>
        <v/>
      </c>
      <c r="T22" s="56" t="str">
        <f aca="false">IF("TD"=Horo82[[#This Row],[Tâche]],Horo82[[#This Row],[Durée]],"")</f>
        <v/>
      </c>
      <c r="U22" s="56" t="str">
        <f aca="false">IF("N/C"=Horo82[[#This Row],[Tâche]],Horo82[[#This Row],[Durée]],"")</f>
        <v/>
      </c>
      <c r="V22" s="58"/>
      <c r="W22" s="59" t="n">
        <f aca="false">IF(Horo82[[#This Row],[O]]="o",Horo82[[#This Row],[Durée]],".")</f>
        <v>0.5</v>
      </c>
      <c r="X22" s="64" t="n">
        <f aca="false">IF(Horo82[[#This Row],[Début]]=0,"",Horo82[[#This Row],[Fin]]-Horo82[[#This Row],[Début]])</f>
        <v>0.0208333333333333</v>
      </c>
    </row>
    <row r="23" customFormat="false" ht="15" hidden="false" customHeight="false" outlineLevel="0" collapsed="false">
      <c r="A23" s="45" t="str">
        <f aca="false">IF(Horo82[[#This Row],[Date]]="",".",".")</f>
        <v>.</v>
      </c>
      <c r="B23" s="46" t="n">
        <f aca="false">IF(Horo82[[#This Row],[Jour]]="Lundi",$C$1+1, IF(Horo82[[#This Row],[Jour]]="Mardi",$C$1+2, IF(Horo82[[#This Row],[Jour]]="Mercredi",$C$1+3, IF(Horo82[[#This Row],[Jour]]="Jeudi",$C$1+4, IF(Horo82[[#This Row],[Jour]]="Vendredi",$C$1+5, IF(Horo82[[#This Row],[Jour]]="Samedi",$C$1+6, IF(Horo82[[#This Row],[Jour]]="Dimanche",$C$1, )))))))</f>
        <v>44463</v>
      </c>
      <c r="C23" s="47" t="s">
        <v>3</v>
      </c>
      <c r="D23" s="48" t="n">
        <v>0.333333333333333</v>
      </c>
      <c r="E23" s="48" t="n">
        <v>0.479166666666667</v>
      </c>
      <c r="F23" s="49" t="s">
        <v>37</v>
      </c>
      <c r="G23" s="49" t="s">
        <v>19</v>
      </c>
      <c r="H23" s="50" t="s">
        <v>38</v>
      </c>
      <c r="I23" s="61"/>
      <c r="J23" s="52" t="n">
        <f aca="false">IF(Horo82[[#This Row],[Début]]=0,"",(Horo82[[#This Row],[Durée (60)2]]-INT(Horo82[[#This Row],[Durée (60)2]]))*24)</f>
        <v>3.5</v>
      </c>
      <c r="K23" s="62" t="n">
        <f aca="false">SUMIF(Horo82[Jour],C23,Horo82[Durée])</f>
        <v>8.75</v>
      </c>
      <c r="L23" s="54" t="n">
        <f aca="false">IFERROR(SUMIF(Horo82[[#This Row],[Jour]],Horo82[[#This Row],[Jour]],Horo82[[#This Row],[GPF]]) / Horo82[[#This Row],[hrs]],"")</f>
        <v>0.4</v>
      </c>
      <c r="M23" s="56" t="n">
        <f aca="false">IF("GPF"=Horo82[[#This Row],[Tâche]],Horo82[[#This Row],[Durée]],"")</f>
        <v>3.5</v>
      </c>
      <c r="N23" s="56" t="str">
        <f aca="false">IF("RI"=Horo82[[#This Row],[Tâche]],Horo82[[#This Row],[Durée]],"")</f>
        <v/>
      </c>
      <c r="O23" s="56" t="str">
        <f aca="false">IF("GB"=Horo82[[#This Row],[Tâche]],Horo82[[#This Row],[Durée]],"")</f>
        <v/>
      </c>
      <c r="P23" s="56" t="str">
        <f aca="false">IF("RD"=Horo82[[#This Row],[Tâche]],Horo82[[#This Row],[Durée]],"")</f>
        <v/>
      </c>
      <c r="Q23" s="56" t="str">
        <f aca="false">IF("FG"=Horo82[[#This Row],[Tâche]],Horo82[[#This Row],[Durée]],"")</f>
        <v/>
      </c>
      <c r="R23" s="56" t="str">
        <f aca="false">IF("CONGÉ"=Horo82[[#This Row],[Tâche]],Horo82[[#This Row],[Durée]],"")</f>
        <v/>
      </c>
      <c r="S23" s="57" t="str">
        <f aca="false">IF("PS"=Horo82[[#This Row],[Tâche]],Horo82[[#This Row],[Durée]],"")</f>
        <v/>
      </c>
      <c r="T23" s="56" t="str">
        <f aca="false">IF("TD"=Horo82[[#This Row],[Tâche]],Horo82[[#This Row],[Durée]],"")</f>
        <v/>
      </c>
      <c r="U23" s="55" t="str">
        <f aca="false">IF("N/C"=Horo82[[#This Row],[Tâche]],Horo82[[#This Row],[Durée]],"")</f>
        <v/>
      </c>
      <c r="V23" s="58"/>
      <c r="W23" s="59" t="str">
        <f aca="false">IF(Horo82[[#This Row],[O]]="o",Horo82[[#This Row],[Durée]],".")</f>
        <v>.</v>
      </c>
      <c r="X23" s="60" t="n">
        <f aca="false">IF(Horo82[[#This Row],[Début]]=0,"",Horo82[[#This Row],[Fin]]-Horo82[[#This Row],[Début]])</f>
        <v>0.145833333333333</v>
      </c>
    </row>
    <row r="24" customFormat="false" ht="15" hidden="false" customHeight="false" outlineLevel="0" collapsed="false">
      <c r="A24" s="45" t="s">
        <v>31</v>
      </c>
      <c r="B24" s="46" t="n">
        <f aca="false">IF(Horo82[[#This Row],[Jour]]="Lundi",$C$1+1, IF(Horo82[[#This Row],[Jour]]="Mardi",$C$1+2, IF(Horo82[[#This Row],[Jour]]="Mercredi",$C$1+3, IF(Horo82[[#This Row],[Jour]]="Jeudi",$C$1+4, IF(Horo82[[#This Row],[Jour]]="Vendredi",$C$1+5, IF(Horo82[[#This Row],[Jour]]="Samedi",$C$1+6, IF(Horo82[[#This Row],[Jour]]="Dimanche",$C$1, )))))))</f>
        <v>44463</v>
      </c>
      <c r="C24" s="47" t="s">
        <v>3</v>
      </c>
      <c r="D24" s="48" t="n">
        <v>0.5</v>
      </c>
      <c r="E24" s="48" t="n">
        <v>0.520833333333333</v>
      </c>
      <c r="F24" s="49" t="s">
        <v>37</v>
      </c>
      <c r="G24" s="49" t="s">
        <v>26</v>
      </c>
      <c r="H24" s="50" t="s">
        <v>51</v>
      </c>
      <c r="I24" s="61" t="s">
        <v>52</v>
      </c>
      <c r="J24" s="52" t="n">
        <f aca="false">IF(Horo82[[#This Row],[Début]]=0,"",(Horo82[[#This Row],[Durée (60)2]]-INT(Horo82[[#This Row],[Durée (60)2]]))*24)</f>
        <v>0.500000000000001</v>
      </c>
      <c r="K24" s="62" t="n">
        <f aca="false">SUMIF(Horo82[Jour],C24,Horo82[Durée])</f>
        <v>8.75</v>
      </c>
      <c r="L24" s="54" t="n">
        <f aca="false">IFERROR(SUMIF(Horo82[[#This Row],[Jour]],Horo82[[#This Row],[Jour]],Horo82[[#This Row],[GPF]]) / Horo82[[#This Row],[hrs]],"")</f>
        <v>0</v>
      </c>
      <c r="M24" s="56" t="str">
        <f aca="false">IF("GPF"=Horo82[[#This Row],[Tâche]],Horo82[[#This Row],[Durée]],"")</f>
        <v/>
      </c>
      <c r="N24" s="56" t="str">
        <f aca="false">IF("RI"=Horo82[[#This Row],[Tâche]],Horo82[[#This Row],[Durée]],"")</f>
        <v/>
      </c>
      <c r="O24" s="56" t="str">
        <f aca="false">IF("GB"=Horo82[[#This Row],[Tâche]],Horo82[[#This Row],[Durée]],"")</f>
        <v/>
      </c>
      <c r="P24" s="56" t="str">
        <f aca="false">IF("RD"=Horo82[[#This Row],[Tâche]],Horo82[[#This Row],[Durée]],"")</f>
        <v/>
      </c>
      <c r="Q24" s="56" t="str">
        <f aca="false">IF("FG"=Horo82[[#This Row],[Tâche]],Horo82[[#This Row],[Durée]],"")</f>
        <v/>
      </c>
      <c r="R24" s="56" t="str">
        <f aca="false">IF("CONGÉ"=Horo82[[#This Row],[Tâche]],Horo82[[#This Row],[Durée]],"")</f>
        <v/>
      </c>
      <c r="S24" s="57" t="str">
        <f aca="false">IF("PS"=Horo82[[#This Row],[Tâche]],Horo82[[#This Row],[Durée]],"")</f>
        <v/>
      </c>
      <c r="T24" s="56" t="n">
        <f aca="false">IF("TD"=Horo82[[#This Row],[Tâche]],Horo82[[#This Row],[Durée]],"")</f>
        <v>0.500000000000001</v>
      </c>
      <c r="U24" s="55" t="str">
        <f aca="false">IF("N/C"=Horo82[[#This Row],[Tâche]],Horo82[[#This Row],[Durée]],"")</f>
        <v/>
      </c>
      <c r="V24" s="58"/>
      <c r="W24" s="59" t="n">
        <f aca="false">IF(Horo82[[#This Row],[O]]="o",Horo82[[#This Row],[Durée]],".")</f>
        <v>0.500000000000001</v>
      </c>
      <c r="X24" s="60" t="n">
        <f aca="false">IF(Horo82[[#This Row],[Début]]=0,"",Horo82[[#This Row],[Fin]]-Horo82[[#This Row],[Début]])</f>
        <v>0.0208333333333334</v>
      </c>
    </row>
    <row r="25" customFormat="false" ht="15" hidden="false" customHeight="false" outlineLevel="0" collapsed="false">
      <c r="A25" s="45" t="s">
        <v>31</v>
      </c>
      <c r="B25" s="46" t="n">
        <f aca="false">IF(Horo82[[#This Row],[Jour]]="Lundi",$C$1+1, IF(Horo82[[#This Row],[Jour]]="Mardi",$C$1+2, IF(Horo82[[#This Row],[Jour]]="Mercredi",$C$1+3, IF(Horo82[[#This Row],[Jour]]="Jeudi",$C$1+4, IF(Horo82[[#This Row],[Jour]]="Vendredi",$C$1+5, IF(Horo82[[#This Row],[Jour]]="Samedi",$C$1+6, IF(Horo82[[#This Row],[Jour]]="Dimanche",$C$1, )))))))</f>
        <v>44463</v>
      </c>
      <c r="C25" s="47" t="s">
        <v>3</v>
      </c>
      <c r="D25" s="48" t="n">
        <v>0.520833333333333</v>
      </c>
      <c r="E25" s="48" t="n">
        <v>0.666666666666667</v>
      </c>
      <c r="F25" s="49" t="s">
        <v>37</v>
      </c>
      <c r="G25" s="49" t="s">
        <v>19</v>
      </c>
      <c r="H25" s="50" t="s">
        <v>53</v>
      </c>
      <c r="I25" s="61" t="s">
        <v>54</v>
      </c>
      <c r="J25" s="52" t="n">
        <f aca="false">IF(Horo82[[#This Row],[Début]]=0,"",(Horo82[[#This Row],[Durée (60)2]]-INT(Horo82[[#This Row],[Durée (60)2]]))*24)</f>
        <v>3.5</v>
      </c>
      <c r="K25" s="62" t="n">
        <f aca="false">SUMIF(Horo82[Jour],C25,Horo82[Durée])</f>
        <v>8.75</v>
      </c>
      <c r="L25" s="54" t="n">
        <f aca="false">IFERROR(SUMIF(Horo82[[#This Row],[Jour]],Horo82[[#This Row],[Jour]],Horo82[[#This Row],[GPF]]) / Horo82[[#This Row],[hrs]],"")</f>
        <v>0.4</v>
      </c>
      <c r="M25" s="56" t="n">
        <f aca="false">IF("GPF"=Horo82[[#This Row],[Tâche]],Horo82[[#This Row],[Durée]],"")</f>
        <v>3.5</v>
      </c>
      <c r="N25" s="56" t="str">
        <f aca="false">IF("RI"=Horo82[[#This Row],[Tâche]],Horo82[[#This Row],[Durée]],"")</f>
        <v/>
      </c>
      <c r="O25" s="56" t="str">
        <f aca="false">IF("GB"=Horo82[[#This Row],[Tâche]],Horo82[[#This Row],[Durée]],"")</f>
        <v/>
      </c>
      <c r="P25" s="56" t="str">
        <f aca="false">IF("RD"=Horo82[[#This Row],[Tâche]],Horo82[[#This Row],[Durée]],"")</f>
        <v/>
      </c>
      <c r="Q25" s="56" t="str">
        <f aca="false">IF("FG"=Horo82[[#This Row],[Tâche]],Horo82[[#This Row],[Durée]],"")</f>
        <v/>
      </c>
      <c r="R25" s="56" t="str">
        <f aca="false">IF("CONGÉ"=Horo82[[#This Row],[Tâche]],Horo82[[#This Row],[Durée]],"")</f>
        <v/>
      </c>
      <c r="S25" s="57" t="str">
        <f aca="false">IF("PS"=Horo82[[#This Row],[Tâche]],Horo82[[#This Row],[Durée]],"")</f>
        <v/>
      </c>
      <c r="T25" s="56" t="str">
        <f aca="false">IF("TD"=Horo82[[#This Row],[Tâche]],Horo82[[#This Row],[Durée]],"")</f>
        <v/>
      </c>
      <c r="U25" s="55" t="str">
        <f aca="false">IF("N/C"=Horo82[[#This Row],[Tâche]],Horo82[[#This Row],[Durée]],"")</f>
        <v/>
      </c>
      <c r="V25" s="58"/>
      <c r="W25" s="59" t="n">
        <f aca="false">IF(Horo82[[#This Row],[O]]="o",Horo82[[#This Row],[Durée]],".")</f>
        <v>3.5</v>
      </c>
      <c r="X25" s="60" t="n">
        <f aca="false">IF(Horo82[[#This Row],[Début]]=0,"",Horo82[[#This Row],[Fin]]-Horo82[[#This Row],[Début]])</f>
        <v>0.145833333333333</v>
      </c>
    </row>
    <row r="26" customFormat="false" ht="15" hidden="false" customHeight="false" outlineLevel="0" collapsed="false">
      <c r="A26" s="45" t="s">
        <v>31</v>
      </c>
      <c r="B26" s="46" t="n">
        <f aca="false">IF(Horo82[[#This Row],[Jour]]="Lundi",$C$1+1, IF(Horo82[[#This Row],[Jour]]="Mardi",$C$1+2, IF(Horo82[[#This Row],[Jour]]="Mercredi",$C$1+3, IF(Horo82[[#This Row],[Jour]]="Jeudi",$C$1+4, IF(Horo82[[#This Row],[Jour]]="Vendredi",$C$1+5, IF(Horo82[[#This Row],[Jour]]="Samedi",$C$1+6, IF(Horo82[[#This Row],[Jour]]="Dimanche",$C$1, )))))))</f>
        <v>44463</v>
      </c>
      <c r="C26" s="47" t="s">
        <v>3</v>
      </c>
      <c r="D26" s="48" t="n">
        <v>0.666666666666667</v>
      </c>
      <c r="E26" s="48" t="n">
        <v>0.697916666666667</v>
      </c>
      <c r="F26" s="49" t="s">
        <v>37</v>
      </c>
      <c r="G26" s="49" t="s">
        <v>26</v>
      </c>
      <c r="H26" s="50" t="s">
        <v>51</v>
      </c>
      <c r="I26" s="61" t="s">
        <v>52</v>
      </c>
      <c r="J26" s="52" t="n">
        <f aca="false">IF(Horo82[[#This Row],[Début]]=0,"",(Horo82[[#This Row],[Durée (60)2]]-INT(Horo82[[#This Row],[Durée (60)2]]))*24)</f>
        <v>0.75</v>
      </c>
      <c r="K26" s="62" t="n">
        <f aca="false">SUMIF(Horo82[Jour],C26,Horo82[Durée])</f>
        <v>8.75</v>
      </c>
      <c r="L26" s="54" t="n">
        <f aca="false">IFERROR(SUMIF(Horo82[[#This Row],[Jour]],Horo82[[#This Row],[Jour]],Horo82[[#This Row],[GPF]]) / Horo82[[#This Row],[hrs]],"")</f>
        <v>0</v>
      </c>
      <c r="M26" s="56" t="str">
        <f aca="false">IF("GPF"=Horo82[[#This Row],[Tâche]],Horo82[[#This Row],[Durée]],"")</f>
        <v/>
      </c>
      <c r="N26" s="56" t="str">
        <f aca="false">IF("RI"=Horo82[[#This Row],[Tâche]],Horo82[[#This Row],[Durée]],"")</f>
        <v/>
      </c>
      <c r="O26" s="56" t="str">
        <f aca="false">IF("GB"=Horo82[[#This Row],[Tâche]],Horo82[[#This Row],[Durée]],"")</f>
        <v/>
      </c>
      <c r="P26" s="56" t="str">
        <f aca="false">IF("RD"=Horo82[[#This Row],[Tâche]],Horo82[[#This Row],[Durée]],"")</f>
        <v/>
      </c>
      <c r="Q26" s="56" t="str">
        <f aca="false">IF("FG"=Horo82[[#This Row],[Tâche]],Horo82[[#This Row],[Durée]],"")</f>
        <v/>
      </c>
      <c r="R26" s="56" t="str">
        <f aca="false">IF("CONGÉ"=Horo82[[#This Row],[Tâche]],Horo82[[#This Row],[Durée]],"")</f>
        <v/>
      </c>
      <c r="S26" s="57" t="str">
        <f aca="false">IF("PS"=Horo82[[#This Row],[Tâche]],Horo82[[#This Row],[Durée]],"")</f>
        <v/>
      </c>
      <c r="T26" s="56" t="n">
        <f aca="false">IF("TD"=Horo82[[#This Row],[Tâche]],Horo82[[#This Row],[Durée]],"")</f>
        <v>0.75</v>
      </c>
      <c r="U26" s="55" t="str">
        <f aca="false">IF("N/C"=Horo82[[#This Row],[Tâche]],Horo82[[#This Row],[Durée]],"")</f>
        <v/>
      </c>
      <c r="V26" s="58"/>
      <c r="W26" s="59" t="n">
        <f aca="false">IF(Horo82[[#This Row],[O]]="o",Horo82[[#This Row],[Durée]],".")</f>
        <v>0.75</v>
      </c>
      <c r="X26" s="60" t="n">
        <f aca="false">IF(Horo82[[#This Row],[Début]]=0,"",Horo82[[#This Row],[Fin]]-Horo82[[#This Row],[Début]])</f>
        <v>0.03125</v>
      </c>
    </row>
    <row r="27" customFormat="false" ht="15" hidden="false" customHeight="false" outlineLevel="0" collapsed="false">
      <c r="A27" s="45" t="s">
        <v>31</v>
      </c>
      <c r="B27" s="46" t="n">
        <f aca="false">IF(Horo82[[#This Row],[Jour]]="Lundi",$C$1+1, IF(Horo82[[#This Row],[Jour]]="Mardi",$C$1+2, IF(Horo82[[#This Row],[Jour]]="Mercredi",$C$1+3, IF(Horo82[[#This Row],[Jour]]="Jeudi",$C$1+4, IF(Horo82[[#This Row],[Jour]]="Vendredi",$C$1+5, IF(Horo82[[#This Row],[Jour]]="Samedi",$C$1+6, IF(Horo82[[#This Row],[Jour]]="Dimanche",$C$1, )))))))</f>
        <v>44464</v>
      </c>
      <c r="C27" s="47" t="s">
        <v>4</v>
      </c>
      <c r="D27" s="48" t="n">
        <v>0.3125</v>
      </c>
      <c r="E27" s="48" t="n">
        <v>0.333333333333333</v>
      </c>
      <c r="F27" s="49" t="s">
        <v>32</v>
      </c>
      <c r="G27" s="49" t="s">
        <v>21</v>
      </c>
      <c r="H27" s="50" t="s">
        <v>33</v>
      </c>
      <c r="I27" s="51"/>
      <c r="J27" s="52" t="n">
        <f aca="false">IF(Horo82[[#This Row],[Début]]=0,"",(Horo82[[#This Row],[Durée (60)2]]-INT(Horo82[[#This Row],[Durée (60)2]]))*24)</f>
        <v>0.5</v>
      </c>
      <c r="K27" s="62" t="n">
        <f aca="false">SUMIF(Horo82[Jour],C27,Horo82[Durée])</f>
        <v>7</v>
      </c>
      <c r="L27" s="54" t="n">
        <f aca="false">IFERROR(SUMIF(Horo82[[#This Row],[Jour]],Horo82[[#This Row],[Jour]],Horo82[[#This Row],[GPF]]) / Horo82[[#This Row],[hrs]],"")</f>
        <v>0</v>
      </c>
      <c r="M27" s="56" t="str">
        <f aca="false">IF("GPF"=Horo82[[#This Row],[Tâche]],Horo82[[#This Row],[Durée]],"")</f>
        <v/>
      </c>
      <c r="N27" s="56" t="str">
        <f aca="false">IF("RI"=Horo82[[#This Row],[Tâche]],Horo82[[#This Row],[Durée]],"")</f>
        <v/>
      </c>
      <c r="O27" s="56" t="n">
        <f aca="false">IF("GB"=Horo82[[#This Row],[Tâche]],Horo82[[#This Row],[Durée]],"")</f>
        <v>0.5</v>
      </c>
      <c r="P27" s="63" t="str">
        <f aca="false">IF("RD"=Horo82[[#This Row],[Tâche]],Horo82[[#This Row],[Durée]],"")</f>
        <v/>
      </c>
      <c r="Q27" s="56" t="str">
        <f aca="false">IF("FG"=Horo82[[#This Row],[Tâche]],Horo82[[#This Row],[Durée]],"")</f>
        <v/>
      </c>
      <c r="R27" s="56" t="str">
        <f aca="false">IF("CONGÉ"=Horo82[[#This Row],[Tâche]],Horo82[[#This Row],[Durée]],"")</f>
        <v/>
      </c>
      <c r="S27" s="57" t="str">
        <f aca="false">IF("PS"=Horo82[[#This Row],[Tâche]],Horo82[[#This Row],[Durée]],"")</f>
        <v/>
      </c>
      <c r="T27" s="56" t="str">
        <f aca="false">IF("TD"=Horo82[[#This Row],[Tâche]],Horo82[[#This Row],[Durée]],"")</f>
        <v/>
      </c>
      <c r="U27" s="55" t="str">
        <f aca="false">IF("N/C"=Horo82[[#This Row],[Tâche]],Horo82[[#This Row],[Durée]],"")</f>
        <v/>
      </c>
      <c r="V27" s="58"/>
      <c r="W27" s="59" t="n">
        <f aca="false">IF(Horo82[[#This Row],[O]]="o",Horo82[[#This Row],[Durée]],".")</f>
        <v>0.5</v>
      </c>
      <c r="X27" s="60" t="n">
        <f aca="false">IF(Horo82[[#This Row],[Début]]=0,"",Horo82[[#This Row],[Fin]]-Horo82[[#This Row],[Début]])</f>
        <v>0.0208333333333333</v>
      </c>
    </row>
    <row r="28" customFormat="false" ht="15" hidden="false" customHeight="false" outlineLevel="0" collapsed="false">
      <c r="A28" s="45" t="s">
        <v>33</v>
      </c>
      <c r="B28" s="46" t="n">
        <f aca="false">IF(Horo82[[#This Row],[Jour]]="Lundi",$C$1+1, IF(Horo82[[#This Row],[Jour]]="Mardi",$C$1+2, IF(Horo82[[#This Row],[Jour]]="Mercredi",$C$1+3, IF(Horo82[[#This Row],[Jour]]="Jeudi",$C$1+4, IF(Horo82[[#This Row],[Jour]]="Vendredi",$C$1+5, IF(Horo82[[#This Row],[Jour]]="Samedi",$C$1+6, IF(Horo82[[#This Row],[Jour]]="Dimanche",$C$1, )))))))</f>
        <v>44464</v>
      </c>
      <c r="C28" s="47" t="s">
        <v>4</v>
      </c>
      <c r="D28" s="48" t="n">
        <v>0.333333333333333</v>
      </c>
      <c r="E28" s="48" t="n">
        <v>0.395833333333333</v>
      </c>
      <c r="F28" s="49" t="s">
        <v>37</v>
      </c>
      <c r="G28" s="49" t="s">
        <v>19</v>
      </c>
      <c r="H28" s="50" t="s">
        <v>38</v>
      </c>
      <c r="I28" s="61"/>
      <c r="J28" s="52" t="n">
        <f aca="false">IF(Horo82[[#This Row],[Début]]=0,"",(Horo82[[#This Row],[Durée (60)2]]-INT(Horo82[[#This Row],[Durée (60)2]]))*24)</f>
        <v>1.5</v>
      </c>
      <c r="K28" s="62" t="n">
        <f aca="false">SUMIF(Horo82[Jour],C28,Horo82[Durée])</f>
        <v>7</v>
      </c>
      <c r="L28" s="54" t="n">
        <f aca="false">IFERROR(SUMIF(Horo82[[#This Row],[Jour]],Horo82[[#This Row],[Jour]],Horo82[[#This Row],[GPF]]) / Horo82[[#This Row],[hrs]],"")</f>
        <v>0.214285714285714</v>
      </c>
      <c r="M28" s="56" t="n">
        <f aca="false">IF("GPF"=Horo82[[#This Row],[Tâche]],Horo82[[#This Row],[Durée]],"")</f>
        <v>1.5</v>
      </c>
      <c r="N28" s="56" t="str">
        <f aca="false">IF("RI"=Horo82[[#This Row],[Tâche]],Horo82[[#This Row],[Durée]],"")</f>
        <v/>
      </c>
      <c r="O28" s="56" t="str">
        <f aca="false">IF("GB"=Horo82[[#This Row],[Tâche]],Horo82[[#This Row],[Durée]],"")</f>
        <v/>
      </c>
      <c r="P28" s="56" t="str">
        <f aca="false">IF("RD"=Horo82[[#This Row],[Tâche]],Horo82[[#This Row],[Durée]],"")</f>
        <v/>
      </c>
      <c r="Q28" s="56" t="str">
        <f aca="false">IF("FG"=Horo82[[#This Row],[Tâche]],Horo82[[#This Row],[Durée]],"")</f>
        <v/>
      </c>
      <c r="R28" s="56" t="str">
        <f aca="false">IF("CONGÉ"=Horo82[[#This Row],[Tâche]],Horo82[[#This Row],[Durée]],"")</f>
        <v/>
      </c>
      <c r="S28" s="57" t="str">
        <f aca="false">IF("PS"=Horo82[[#This Row],[Tâche]],Horo82[[#This Row],[Durée]],"")</f>
        <v/>
      </c>
      <c r="T28" s="56" t="str">
        <f aca="false">IF("TD"=Horo82[[#This Row],[Tâche]],Horo82[[#This Row],[Durée]],"")</f>
        <v/>
      </c>
      <c r="U28" s="55" t="str">
        <f aca="false">IF("N/C"=Horo82[[#This Row],[Tâche]],Horo82[[#This Row],[Durée]],"")</f>
        <v/>
      </c>
      <c r="V28" s="58"/>
      <c r="W28" s="59" t="str">
        <f aca="false">IF(Horo82[[#This Row],[O]]="o",Horo82[[#This Row],[Durée]],".")</f>
        <v>.</v>
      </c>
      <c r="X28" s="60" t="n">
        <f aca="false">IF(Horo82[[#This Row],[Début]]=0,"",Horo82[[#This Row],[Fin]]-Horo82[[#This Row],[Début]])</f>
        <v>0.0625</v>
      </c>
    </row>
    <row r="29" customFormat="false" ht="15" hidden="false" customHeight="false" outlineLevel="0" collapsed="false">
      <c r="A29" s="45" t="s">
        <v>31</v>
      </c>
      <c r="B29" s="46" t="n">
        <f aca="false">IF(Horo82[[#This Row],[Jour]]="Lundi",$C$1+1, IF(Horo82[[#This Row],[Jour]]="Mardi",$C$1+2, IF(Horo82[[#This Row],[Jour]]="Mercredi",$C$1+3, IF(Horo82[[#This Row],[Jour]]="Jeudi",$C$1+4, IF(Horo82[[#This Row],[Jour]]="Vendredi",$C$1+5, IF(Horo82[[#This Row],[Jour]]="Samedi",$C$1+6, IF(Horo82[[#This Row],[Jour]]="Dimanche",$C$1, )))))))</f>
        <v>44464</v>
      </c>
      <c r="C29" s="47" t="s">
        <v>4</v>
      </c>
      <c r="D29" s="48" t="n">
        <v>0.395833333333333</v>
      </c>
      <c r="E29" s="48" t="n">
        <v>0.4375</v>
      </c>
      <c r="F29" s="49" t="s">
        <v>47</v>
      </c>
      <c r="G29" s="49" t="s">
        <v>19</v>
      </c>
      <c r="H29" s="50" t="s">
        <v>55</v>
      </c>
      <c r="I29" s="61" t="s">
        <v>56</v>
      </c>
      <c r="J29" s="52" t="n">
        <f aca="false">IF(Horo82[[#This Row],[Début]]=0,"",(Horo82[[#This Row],[Durée (60)2]]-INT(Horo82[[#This Row],[Durée (60)2]]))*24)</f>
        <v>1</v>
      </c>
      <c r="K29" s="62" t="n">
        <f aca="false">SUMIF(Horo82[Jour],C29,Horo82[Durée])</f>
        <v>7</v>
      </c>
      <c r="L29" s="54" t="n">
        <f aca="false">IFERROR(SUMIF(Horo82[[#This Row],[Jour]],Horo82[[#This Row],[Jour]],Horo82[[#This Row],[GPF]]) / Horo82[[#This Row],[hrs]],"")</f>
        <v>0.142857142857143</v>
      </c>
      <c r="M29" s="56" t="n">
        <f aca="false">IF("GPF"=Horo82[[#This Row],[Tâche]],Horo82[[#This Row],[Durée]],"")</f>
        <v>1</v>
      </c>
      <c r="N29" s="56" t="str">
        <f aca="false">IF("RI"=Horo82[[#This Row],[Tâche]],Horo82[[#This Row],[Durée]],"")</f>
        <v/>
      </c>
      <c r="O29" s="56" t="str">
        <f aca="false">IF("GB"=Horo82[[#This Row],[Tâche]],Horo82[[#This Row],[Durée]],"")</f>
        <v/>
      </c>
      <c r="P29" s="56" t="str">
        <f aca="false">IF("RD"=Horo82[[#This Row],[Tâche]],Horo82[[#This Row],[Durée]],"")</f>
        <v/>
      </c>
      <c r="Q29" s="56" t="str">
        <f aca="false">IF("FG"=Horo82[[#This Row],[Tâche]],Horo82[[#This Row],[Durée]],"")</f>
        <v/>
      </c>
      <c r="R29" s="56" t="str">
        <f aca="false">IF("CONGÉ"=Horo82[[#This Row],[Tâche]],Horo82[[#This Row],[Durée]],"")</f>
        <v/>
      </c>
      <c r="S29" s="57" t="str">
        <f aca="false">IF("PS"=Horo82[[#This Row],[Tâche]],Horo82[[#This Row],[Durée]],"")</f>
        <v/>
      </c>
      <c r="T29" s="56" t="str">
        <f aca="false">IF("TD"=Horo82[[#This Row],[Tâche]],Horo82[[#This Row],[Durée]],"")</f>
        <v/>
      </c>
      <c r="U29" s="55" t="str">
        <f aca="false">IF("N/C"=Horo82[[#This Row],[Tâche]],Horo82[[#This Row],[Durée]],"")</f>
        <v/>
      </c>
      <c r="V29" s="58"/>
      <c r="W29" s="59" t="n">
        <f aca="false">IF(Horo82[[#This Row],[O]]="o",Horo82[[#This Row],[Durée]],".")</f>
        <v>1</v>
      </c>
      <c r="X29" s="60" t="n">
        <f aca="false">IF(Horo82[[#This Row],[Début]]=0,"",Horo82[[#This Row],[Fin]]-Horo82[[#This Row],[Début]])</f>
        <v>0.0416666666666667</v>
      </c>
    </row>
    <row r="30" customFormat="false" ht="15" hidden="false" customHeight="false" outlineLevel="0" collapsed="false">
      <c r="A30" s="45" t="s">
        <v>33</v>
      </c>
      <c r="B30" s="46" t="n">
        <f aca="false">IF(Horo82[[#This Row],[Jour]]="Lundi",$C$1+1, IF(Horo82[[#This Row],[Jour]]="Mardi",$C$1+2, IF(Horo82[[#This Row],[Jour]]="Mercredi",$C$1+3, IF(Horo82[[#This Row],[Jour]]="Jeudi",$C$1+4, IF(Horo82[[#This Row],[Jour]]="Vendredi",$C$1+5, IF(Horo82[[#This Row],[Jour]]="Samedi",$C$1+6, IF(Horo82[[#This Row],[Jour]]="Dimanche",$C$1, )))))))</f>
        <v>44464</v>
      </c>
      <c r="C30" s="47" t="s">
        <v>4</v>
      </c>
      <c r="D30" s="48" t="n">
        <v>0.4375</v>
      </c>
      <c r="E30" s="48" t="n">
        <v>0.458333333333333</v>
      </c>
      <c r="F30" s="49" t="s">
        <v>37</v>
      </c>
      <c r="G30" s="49" t="s">
        <v>23</v>
      </c>
      <c r="H30" s="50" t="s">
        <v>38</v>
      </c>
      <c r="I30" s="61"/>
      <c r="J30" s="52" t="n">
        <f aca="false">IF(Horo82[[#This Row],[Début]]=0,"",(Horo82[[#This Row],[Durée (60)2]]-INT(Horo82[[#This Row],[Durée (60)2]]))*24)</f>
        <v>0.5</v>
      </c>
      <c r="K30" s="62" t="n">
        <f aca="false">SUMIF(Horo82[Jour],C30,Horo82[Durée])</f>
        <v>7</v>
      </c>
      <c r="L30" s="54" t="n">
        <f aca="false">IFERROR(SUMIF(Horo82[[#This Row],[Jour]],Horo82[[#This Row],[Jour]],Horo82[[#This Row],[GPF]]) / Horo82[[#This Row],[hrs]],"")</f>
        <v>0</v>
      </c>
      <c r="M30" s="56" t="str">
        <f aca="false">IF("GPF"=Horo82[[#This Row],[Tâche]],Horo82[[#This Row],[Durée]],"")</f>
        <v/>
      </c>
      <c r="N30" s="56" t="str">
        <f aca="false">IF("RI"=Horo82[[#This Row],[Tâche]],Horo82[[#This Row],[Durée]],"")</f>
        <v/>
      </c>
      <c r="O30" s="56" t="str">
        <f aca="false">IF("GB"=Horo82[[#This Row],[Tâche]],Horo82[[#This Row],[Durée]],"")</f>
        <v/>
      </c>
      <c r="P30" s="56" t="str">
        <f aca="false">IF("RD"=Horo82[[#This Row],[Tâche]],Horo82[[#This Row],[Durée]],"")</f>
        <v/>
      </c>
      <c r="Q30" s="56" t="n">
        <f aca="false">IF("FG"=Horo82[[#This Row],[Tâche]],Horo82[[#This Row],[Durée]],"")</f>
        <v>0.5</v>
      </c>
      <c r="R30" s="56" t="str">
        <f aca="false">IF("CONGÉ"=Horo82[[#This Row],[Tâche]],Horo82[[#This Row],[Durée]],"")</f>
        <v/>
      </c>
      <c r="S30" s="57" t="str">
        <f aca="false">IF("PS"=Horo82[[#This Row],[Tâche]],Horo82[[#This Row],[Durée]],"")</f>
        <v/>
      </c>
      <c r="T30" s="56" t="str">
        <f aca="false">IF("TD"=Horo82[[#This Row],[Tâche]],Horo82[[#This Row],[Durée]],"")</f>
        <v/>
      </c>
      <c r="U30" s="55" t="str">
        <f aca="false">IF("N/C"=Horo82[[#This Row],[Tâche]],Horo82[[#This Row],[Durée]],"")</f>
        <v/>
      </c>
      <c r="V30" s="58"/>
      <c r="W30" s="59" t="str">
        <f aca="false">IF(Horo82[[#This Row],[O]]="o",Horo82[[#This Row],[Durée]],".")</f>
        <v>.</v>
      </c>
      <c r="X30" s="60" t="n">
        <f aca="false">IF(Horo82[[#This Row],[Début]]=0,"",Horo82[[#This Row],[Fin]]-Horo82[[#This Row],[Début]])</f>
        <v>0.0208333333333333</v>
      </c>
    </row>
    <row r="31" customFormat="false" ht="15" hidden="false" customHeight="false" outlineLevel="0" collapsed="false">
      <c r="A31" s="45" t="s">
        <v>31</v>
      </c>
      <c r="B31" s="46" t="n">
        <f aca="false">IF(Horo82[[#This Row],[Jour]]="Lundi",$C$1+1, IF(Horo82[[#This Row],[Jour]]="Mardi",$C$1+2, IF(Horo82[[#This Row],[Jour]]="Mercredi",$C$1+3, IF(Horo82[[#This Row],[Jour]]="Jeudi",$C$1+4, IF(Horo82[[#This Row],[Jour]]="Vendredi",$C$1+5, IF(Horo82[[#This Row],[Jour]]="Samedi",$C$1+6, IF(Horo82[[#This Row],[Jour]]="Dimanche",$C$1, )))))))</f>
        <v>44464</v>
      </c>
      <c r="C31" s="47" t="s">
        <v>4</v>
      </c>
      <c r="D31" s="48" t="n">
        <v>0.666666666666667</v>
      </c>
      <c r="E31" s="48" t="n">
        <v>0.770833333333333</v>
      </c>
      <c r="F31" s="49" t="s">
        <v>37</v>
      </c>
      <c r="G31" s="49" t="s">
        <v>22</v>
      </c>
      <c r="H31" s="50" t="s">
        <v>38</v>
      </c>
      <c r="I31" s="61"/>
      <c r="J31" s="52" t="n">
        <f aca="false">IF(Horo82[[#This Row],[Début]]=0,"",(Horo82[[#This Row],[Durée (60)2]]-INT(Horo82[[#This Row],[Durée (60)2]]))*24)</f>
        <v>2.5</v>
      </c>
      <c r="K31" s="62" t="n">
        <f aca="false">SUMIF(Horo82[Jour],C31,Horo82[Durée])</f>
        <v>7</v>
      </c>
      <c r="L31" s="54" t="n">
        <f aca="false">IFERROR(SUMIF(Horo82[[#This Row],[Jour]],Horo82[[#This Row],[Jour]],Horo82[[#This Row],[GPF]]) / Horo82[[#This Row],[hrs]],"")</f>
        <v>0</v>
      </c>
      <c r="M31" s="56" t="str">
        <f aca="false">IF("GPF"=Horo82[[#This Row],[Tâche]],Horo82[[#This Row],[Durée]],"")</f>
        <v/>
      </c>
      <c r="N31" s="56" t="str">
        <f aca="false">IF("RI"=Horo82[[#This Row],[Tâche]],Horo82[[#This Row],[Durée]],"")</f>
        <v/>
      </c>
      <c r="O31" s="56" t="str">
        <f aca="false">IF("GB"=Horo82[[#This Row],[Tâche]],Horo82[[#This Row],[Durée]],"")</f>
        <v/>
      </c>
      <c r="P31" s="56" t="n">
        <f aca="false">IF("RD"=Horo82[[#This Row],[Tâche]],Horo82[[#This Row],[Durée]],"")</f>
        <v>2.5</v>
      </c>
      <c r="Q31" s="56" t="str">
        <f aca="false">IF("FG"=Horo82[[#This Row],[Tâche]],Horo82[[#This Row],[Durée]],"")</f>
        <v/>
      </c>
      <c r="R31" s="56" t="str">
        <f aca="false">IF("CONGÉ"=Horo82[[#This Row],[Tâche]],Horo82[[#This Row],[Durée]],"")</f>
        <v/>
      </c>
      <c r="S31" s="57" t="str">
        <f aca="false">IF("PS"=Horo82[[#This Row],[Tâche]],Horo82[[#This Row],[Durée]],"")</f>
        <v/>
      </c>
      <c r="T31" s="56" t="str">
        <f aca="false">IF("TD"=Horo82[[#This Row],[Tâche]],Horo82[[#This Row],[Durée]],"")</f>
        <v/>
      </c>
      <c r="U31" s="55" t="str">
        <f aca="false">IF("N/C"=Horo82[[#This Row],[Tâche]],Horo82[[#This Row],[Durée]],"")</f>
        <v/>
      </c>
      <c r="V31" s="58"/>
      <c r="W31" s="59" t="n">
        <f aca="false">IF(Horo82[[#This Row],[O]]="o",Horo82[[#This Row],[Durée]],".")</f>
        <v>2.5</v>
      </c>
      <c r="X31" s="60" t="n">
        <f aca="false">IF(Horo82[[#This Row],[Début]]=0,"",Horo82[[#This Row],[Fin]]-Horo82[[#This Row],[Début]])</f>
        <v>0.104166666666667</v>
      </c>
    </row>
    <row r="32" customFormat="false" ht="15" hidden="false" customHeight="false" outlineLevel="0" collapsed="false">
      <c r="A32" s="45" t="s">
        <v>31</v>
      </c>
      <c r="B32" s="46" t="n">
        <f aca="false">IF(Horo82[[#This Row],[Jour]]="Lundi",$C$1+1, IF(Horo82[[#This Row],[Jour]]="Mardi",$C$1+2, IF(Horo82[[#This Row],[Jour]]="Mercredi",$C$1+3, IF(Horo82[[#This Row],[Jour]]="Jeudi",$C$1+4, IF(Horo82[[#This Row],[Jour]]="Vendredi",$C$1+5, IF(Horo82[[#This Row],[Jour]]="Samedi",$C$1+6, IF(Horo82[[#This Row],[Jour]]="Dimanche",$C$1, )))))))</f>
        <v>44464</v>
      </c>
      <c r="C32" s="47" t="s">
        <v>4</v>
      </c>
      <c r="D32" s="48" t="n">
        <v>0.770833333333333</v>
      </c>
      <c r="E32" s="48" t="n">
        <v>0.8125</v>
      </c>
      <c r="F32" s="49" t="s">
        <v>32</v>
      </c>
      <c r="G32" s="49" t="s">
        <v>21</v>
      </c>
      <c r="H32" s="50"/>
      <c r="I32" s="61"/>
      <c r="J32" s="52" t="n">
        <f aca="false">IF(Horo82[[#This Row],[Début]]=0,"",(Horo82[[#This Row],[Durée (60)2]]-INT(Horo82[[#This Row],[Durée (60)2]]))*24)</f>
        <v>0.999999999999999</v>
      </c>
      <c r="K32" s="62" t="n">
        <f aca="false">SUMIF(Horo82[Jour],C32,Horo82[Durée])</f>
        <v>7</v>
      </c>
      <c r="L32" s="54" t="n">
        <f aca="false">IFERROR(SUMIF(Horo82[[#This Row],[Jour]],Horo82[[#This Row],[Jour]],Horo82[[#This Row],[GPF]]) / Horo82[[#This Row],[hrs]],"")</f>
        <v>0</v>
      </c>
      <c r="M32" s="56" t="str">
        <f aca="false">IF("GPF"=Horo82[[#This Row],[Tâche]],Horo82[[#This Row],[Durée]],"")</f>
        <v/>
      </c>
      <c r="N32" s="56" t="str">
        <f aca="false">IF("RI"=Horo82[[#This Row],[Tâche]],Horo82[[#This Row],[Durée]],"")</f>
        <v/>
      </c>
      <c r="O32" s="56" t="n">
        <f aca="false">IF("GB"=Horo82[[#This Row],[Tâche]],Horo82[[#This Row],[Durée]],"")</f>
        <v>0.999999999999999</v>
      </c>
      <c r="P32" s="56" t="str">
        <f aca="false">IF("RD"=Horo82[[#This Row],[Tâche]],Horo82[[#This Row],[Durée]],"")</f>
        <v/>
      </c>
      <c r="Q32" s="56" t="str">
        <f aca="false">IF("FG"=Horo82[[#This Row],[Tâche]],Horo82[[#This Row],[Durée]],"")</f>
        <v/>
      </c>
      <c r="R32" s="56" t="str">
        <f aca="false">IF("CONGÉ"=Horo82[[#This Row],[Tâche]],Horo82[[#This Row],[Durée]],"")</f>
        <v/>
      </c>
      <c r="S32" s="57" t="str">
        <f aca="false">IF("PS"=Horo82[[#This Row],[Tâche]],Horo82[[#This Row],[Durée]],"")</f>
        <v/>
      </c>
      <c r="T32" s="56" t="str">
        <f aca="false">IF("TD"=Horo82[[#This Row],[Tâche]],Horo82[[#This Row],[Durée]],"")</f>
        <v/>
      </c>
      <c r="U32" s="55" t="str">
        <f aca="false">IF("N/C"=Horo82[[#This Row],[Tâche]],Horo82[[#This Row],[Durée]],"")</f>
        <v/>
      </c>
      <c r="V32" s="58"/>
      <c r="W32" s="59" t="n">
        <f aca="false">IF(Horo82[[#This Row],[O]]="o",Horo82[[#This Row],[Durée]],".")</f>
        <v>0.999999999999999</v>
      </c>
      <c r="X32" s="60" t="n">
        <f aca="false">IF(Horo82[[#This Row],[Début]]=0,"",Horo82[[#This Row],[Fin]]-Horo82[[#This Row],[Début]])</f>
        <v>0.0416666666666666</v>
      </c>
    </row>
    <row r="33" customFormat="false" ht="15" hidden="false" customHeight="false" outlineLevel="0" collapsed="false">
      <c r="A33" s="45" t="s">
        <v>33</v>
      </c>
      <c r="B33" s="46" t="n">
        <f aca="false">IF(Horo82[[#This Row],[Jour]]="Lundi",$C$1+1, IF(Horo82[[#This Row],[Jour]]="Mardi",$C$1+2, IF(Horo82[[#This Row],[Jour]]="Mercredi",$C$1+3, IF(Horo82[[#This Row],[Jour]]="Jeudi",$C$1+4, IF(Horo82[[#This Row],[Jour]]="Vendredi",$C$1+5, IF(Horo82[[#This Row],[Jour]]="Samedi",$C$1+6, IF(Horo82[[#This Row],[Jour]]="Dimanche",$C$1, )))))))</f>
        <v>0</v>
      </c>
      <c r="C33" s="47"/>
      <c r="D33" s="48"/>
      <c r="E33" s="48"/>
      <c r="F33" s="49" t="s">
        <v>32</v>
      </c>
      <c r="G33" s="49" t="s">
        <v>27</v>
      </c>
      <c r="H33" s="50" t="s">
        <v>33</v>
      </c>
      <c r="I33" s="61"/>
      <c r="J33" s="52" t="str">
        <f aca="false">IF(Horo82[[#This Row],[Début]]=0,"",(Horo82[[#This Row],[Durée (60)2]]-INT(Horo82[[#This Row],[Durée (60)2]]))*24)</f>
        <v/>
      </c>
      <c r="K33" s="62" t="n">
        <f aca="false">SUMIF(Horo82[Jour],C33,Horo82[Durée])</f>
        <v>0</v>
      </c>
      <c r="L33" s="54" t="str">
        <f aca="false">IFERROR(SUMIF(Horo82[[#This Row],[Jour]],Horo82[[#This Row],[Jour]],Horo82[[#This Row],[GPF]]) / Horo82[[#This Row],[hrs]],"")</f>
        <v/>
      </c>
      <c r="M33" s="56" t="str">
        <f aca="false">IF("GPF"=Horo82[[#This Row],[Tâche]],Horo82[[#This Row],[Durée]],"")</f>
        <v/>
      </c>
      <c r="N33" s="56" t="str">
        <f aca="false">IF("RI"=Horo82[[#This Row],[Tâche]],Horo82[[#This Row],[Durée]],"")</f>
        <v/>
      </c>
      <c r="O33" s="56" t="str">
        <f aca="false">IF("GB"=Horo82[[#This Row],[Tâche]],Horo82[[#This Row],[Durée]],"")</f>
        <v/>
      </c>
      <c r="P33" s="56" t="str">
        <f aca="false">IF("RD"=Horo82[[#This Row],[Tâche]],Horo82[[#This Row],[Durée]],"")</f>
        <v/>
      </c>
      <c r="Q33" s="56" t="str">
        <f aca="false">IF("FG"=Horo82[[#This Row],[Tâche]],Horo82[[#This Row],[Durée]],"")</f>
        <v/>
      </c>
      <c r="R33" s="56" t="str">
        <f aca="false">IF("CONGÉ"=Horo82[[#This Row],[Tâche]],Horo82[[#This Row],[Durée]],"")</f>
        <v/>
      </c>
      <c r="S33" s="56" t="str">
        <f aca="false">IF("PS"=Horo82[[#This Row],[Tâche]],Horo82[[#This Row],[Durée]],"")</f>
        <v/>
      </c>
      <c r="T33" s="56" t="str">
        <f aca="false">IF("TD"=Horo82[[#This Row],[Tâche]],Horo82[[#This Row],[Durée]],"")</f>
        <v/>
      </c>
      <c r="U33" s="56" t="str">
        <f aca="false">IF("N/C"=Horo82[[#This Row],[Tâche]],Horo82[[#This Row],[Durée]],"")</f>
        <v/>
      </c>
      <c r="V33" s="58"/>
      <c r="W33" s="59" t="str">
        <f aca="false">IF(Horo82[[#This Row],[O]]="o",Horo82[[#This Row],[Durée]],".")</f>
        <v>.</v>
      </c>
      <c r="X33" s="64" t="str">
        <f aca="false">IF(Horo82[[#This Row],[Début]]=0,"",Horo82[[#This Row],[Fin]]-Horo82[[#This Row],[Début]])</f>
        <v/>
      </c>
    </row>
    <row r="39" s="3" customFormat="true" ht="15" hidden="false" customHeight="false" outlineLevel="0" collapsed="false">
      <c r="L39" s="65"/>
    </row>
    <row r="40" customFormat="false" ht="15" hidden="false" customHeight="false" outlineLevel="0" collapsed="false">
      <c r="A40" s="66" t="s">
        <v>18</v>
      </c>
      <c r="B40" s="66" t="s">
        <v>57</v>
      </c>
      <c r="C40" s="66" t="s">
        <v>58</v>
      </c>
    </row>
    <row r="41" customFormat="false" ht="15" hidden="false" customHeight="false" outlineLevel="0" collapsed="false">
      <c r="A41" s="67" t="n">
        <f aca="false">IF((SUMIF(Horo82[Client],B41,Horo82[Durée]) / Total)=0,"",(SUMIF(Horo82[Client],B41,Horo82[Durée]) / Total))</f>
        <v>0.298701298701299</v>
      </c>
      <c r="B41" s="68" t="s">
        <v>32</v>
      </c>
      <c r="C41" s="69" t="n">
        <f aca="false">IF(SUMIF(Horo82[Client],B41,Horo82[Durée])=0,"",SUMIF(Horo82[Client],B41,Horo82[Durée]))</f>
        <v>11.5</v>
      </c>
    </row>
    <row r="42" customFormat="false" ht="15" hidden="false" customHeight="false" outlineLevel="0" collapsed="false">
      <c r="A42" s="67" t="str">
        <f aca="false">IF((SUMIF(Horo82[Client],B42,Horo82[Durée]) / Total)=0,"",(SUMIF(Horo82[Client],B42,Horo82[Durée]) / Total))</f>
        <v/>
      </c>
      <c r="B42" s="68" t="s">
        <v>59</v>
      </c>
      <c r="C42" s="69" t="str">
        <f aca="false">IF(SUMIF(Horo82[Client],B42,Horo82[Durée])=0,"",SUMIF(Horo82[Client],B42,Horo82[Durée]))</f>
        <v/>
      </c>
      <c r="I42" s="61"/>
    </row>
    <row r="43" customFormat="false" ht="15" hidden="false" customHeight="false" outlineLevel="0" collapsed="false">
      <c r="A43" s="67" t="str">
        <f aca="false">IF((SUMIF(Horo82[Client],B43,Horo82[Durée]) / Total)=0,"",(SUMIF(Horo82[Client],B43,Horo82[Durée]) / Total))</f>
        <v/>
      </c>
      <c r="B43" s="68" t="s">
        <v>60</v>
      </c>
      <c r="C43" s="70" t="str">
        <f aca="false">IF(SUMIF(Horo82[Client],B43,Horo82[Durée])=0,"",SUMIF(Horo82[Client],B43,Horo82[Durée]))</f>
        <v/>
      </c>
    </row>
    <row r="44" customFormat="false" ht="15" hidden="false" customHeight="false" outlineLevel="0" collapsed="false">
      <c r="A44" s="67" t="str">
        <f aca="false">IF((SUMIF(Horo82[Client],B44,Horo82[Durée]) / Total)=0,"",(SUMIF(Horo82[Client],B44,Horo82[Durée]) / Total))</f>
        <v/>
      </c>
      <c r="B44" s="68" t="s">
        <v>61</v>
      </c>
      <c r="C44" s="70" t="str">
        <f aca="false">IF(SUMIF(Horo82[Client],B44,Horo82[Durée])=0,"",SUMIF(Horo82[Client],B44,Horo82[Durée]))</f>
        <v/>
      </c>
      <c r="I44" s="61"/>
    </row>
    <row r="45" customFormat="false" ht="15" hidden="false" customHeight="false" outlineLevel="0" collapsed="false">
      <c r="A45" s="67" t="str">
        <f aca="false">IF((SUMIF(Horo82[Client],B45,Horo82[Durée]) / Total)=0,"",(SUMIF(Horo82[Client],B45,Horo82[Durée]) / Total))</f>
        <v/>
      </c>
      <c r="B45" s="68" t="s">
        <v>62</v>
      </c>
      <c r="C45" s="70" t="str">
        <f aca="false">IF(SUMIF(Horo82[Client],B45,Horo82[Durée])=0,"",SUMIF(Horo82[Client],B45,Horo82[Durée]))</f>
        <v/>
      </c>
    </row>
    <row r="46" customFormat="false" ht="15" hidden="false" customHeight="false" outlineLevel="0" collapsed="false">
      <c r="A46" s="67" t="str">
        <f aca="false">IF((SUMIF(Horo82[Client],B46,Horo82[Durée]) / Total)=0,"",(SUMIF(Horo82[Client],B46,Horo82[Durée]) / Total))</f>
        <v/>
      </c>
      <c r="B46" s="68" t="s">
        <v>63</v>
      </c>
      <c r="C46" s="69" t="str">
        <f aca="false">IF(SUMIF(Horo82[Client],B46,Horo82[Durée])=0,"",SUMIF(Horo82[Client],B46,Horo82[Durée]))</f>
        <v/>
      </c>
    </row>
    <row r="47" customFormat="false" ht="15" hidden="false" customHeight="false" outlineLevel="0" collapsed="false">
      <c r="A47" s="67" t="str">
        <f aca="false">IF((SUMIF(Horo82[Client],B47,Horo82[Durée]) / Total)=0,"",(SUMIF(Horo82[Client],B47,Horo82[Durée]) / Total))</f>
        <v/>
      </c>
      <c r="B47" s="68" t="s">
        <v>64</v>
      </c>
      <c r="C47" s="70" t="str">
        <f aca="false">IF(SUMIF(Horo82[Client],B47,Horo82[Durée])=0,"",SUMIF(Horo82[Client],B47,Horo82[Durée]))</f>
        <v/>
      </c>
    </row>
    <row r="48" customFormat="false" ht="15" hidden="false" customHeight="false" outlineLevel="0" collapsed="false">
      <c r="A48" s="67" t="str">
        <f aca="false">IF((SUMIF(Horo82[Client],B48,Horo82[Durée]) / Total)=0,"",(SUMIF(Horo82[Client],B48,Horo82[Durée]) / Total))</f>
        <v/>
      </c>
      <c r="B48" s="68" t="s">
        <v>65</v>
      </c>
      <c r="C48" s="70" t="str">
        <f aca="false">IF(SUMIF(Horo82[Client],B48,Horo82[Durée])=0,"",SUMIF(Horo82[Client],B48,Horo82[Durée]))</f>
        <v/>
      </c>
      <c r="F48" s="71"/>
    </row>
    <row r="49" customFormat="false" ht="15" hidden="false" customHeight="false" outlineLevel="0" collapsed="false">
      <c r="A49" s="67" t="str">
        <f aca="false">IF((SUMIF(Horo82[Client],B49,Horo82[Durée]) / Total)=0,"",(SUMIF(Horo82[Client],B49,Horo82[Durée]) / Total))</f>
        <v/>
      </c>
      <c r="B49" s="68" t="s">
        <v>66</v>
      </c>
      <c r="C49" s="69" t="str">
        <f aca="false">IF(SUMIF(Horo82[Client],B49,Horo82[Durée])=0,"",SUMIF(Horo82[Client],B49,Horo82[Durée]))</f>
        <v/>
      </c>
    </row>
    <row r="50" customFormat="false" ht="15" hidden="false" customHeight="false" outlineLevel="0" collapsed="false">
      <c r="A50" s="67" t="n">
        <f aca="false">IF((SUMIF(Horo82[Client],B50,Horo82[Durée]) / Total)=0,"",(SUMIF(Horo82[Client],B50,Horo82[Durée]) / Total))</f>
        <v>0.038961038961039</v>
      </c>
      <c r="B50" s="68" t="s">
        <v>47</v>
      </c>
      <c r="C50" s="70" t="n">
        <f aca="false">IF(SUMIF(Horo82[Client],B50,Horo82[Durée])=0,"",SUMIF(Horo82[Client],B50,Horo82[Durée]))</f>
        <v>1.5</v>
      </c>
    </row>
    <row r="51" customFormat="false" ht="15" hidden="false" customHeight="false" outlineLevel="0" collapsed="false">
      <c r="A51" s="67" t="str">
        <f aca="false">IF((SUMIF(Horo82[Client],B51,Horo82[Durée]) / Total)=0,"",(SUMIF(Horo82[Client],B51,Horo82[Durée]) / Total))</f>
        <v/>
      </c>
      <c r="B51" s="68" t="s">
        <v>67</v>
      </c>
      <c r="C51" s="70" t="str">
        <f aca="false">IF(SUMIF(Horo82[Client],B51,Horo82[Durée])=0,"",SUMIF(Horo82[Client],B51,Horo82[Durée]))</f>
        <v/>
      </c>
    </row>
    <row r="52" customFormat="false" ht="15" hidden="false" customHeight="false" outlineLevel="0" collapsed="false">
      <c r="A52" s="67" t="str">
        <f aca="false">IF((SUMIF(Horo82[Client],B52,Horo82[Durée]) / Total)=0,"",(SUMIF(Horo82[Client],B52,Horo82[Durée]) / Total))</f>
        <v/>
      </c>
      <c r="B52" s="68" t="s">
        <v>68</v>
      </c>
      <c r="C52" s="70" t="str">
        <f aca="false">IF(SUMIF(Horo82[Client],B52,Horo82[Durée])=0,"",SUMIF(Horo82[Client],B52,Horo82[Durée]))</f>
        <v/>
      </c>
    </row>
    <row r="53" customFormat="false" ht="15" hidden="false" customHeight="false" outlineLevel="0" collapsed="false">
      <c r="A53" s="67" t="n">
        <f aca="false">IF((SUMIF(Horo82[Client],B53,Horo82[Durée]) / Total)=0,"",(SUMIF(Horo82[Client],B53,Horo82[Durée]) / Total))</f>
        <v>0.103896103896104</v>
      </c>
      <c r="B53" s="68" t="s">
        <v>41</v>
      </c>
      <c r="C53" s="70" t="n">
        <f aca="false">IF(SUMIF(Horo82[Client],B53,Horo82[Durée])=0,"",SUMIF(Horo82[Client],B53,Horo82[Durée]))</f>
        <v>4</v>
      </c>
    </row>
    <row r="54" customFormat="false" ht="15" hidden="false" customHeight="false" outlineLevel="0" collapsed="false">
      <c r="A54" s="67" t="n">
        <f aca="false">IF((SUMIF(Horo82[Client],B54,Horo82[Durée]) / Total)=0,"",(SUMIF(Horo82[Client],B54,Horo82[Durée]) / Total))</f>
        <v>0.577922077922078</v>
      </c>
      <c r="B54" s="68" t="s">
        <v>37</v>
      </c>
      <c r="C54" s="69" t="n">
        <f aca="false">IF(SUMIF(Horo82[Client],B54,Horo82[Durée])=0,"",SUMIF(Horo82[Client],B54,Horo82[Durée]))</f>
        <v>22.25</v>
      </c>
    </row>
    <row r="55" customFormat="false" ht="15" hidden="false" customHeight="false" outlineLevel="0" collapsed="false">
      <c r="A55" s="67" t="str">
        <f aca="false">IF((SUMIF(Horo82[Client],B55,Horo82[Durée]) / Total)=0,"",(SUMIF(Horo82[Client],B55,Horo82[Durée]) / Total))</f>
        <v/>
      </c>
      <c r="B55" s="68" t="s">
        <v>69</v>
      </c>
      <c r="C55" s="69" t="str">
        <f aca="false">IF(SUMIF(Horo82[Client],B55,Horo82[Durée])=0,"",SUMIF(Horo82[Client],B55,Horo82[Durée]))</f>
        <v/>
      </c>
    </row>
    <row r="56" customFormat="false" ht="15" hidden="false" customHeight="false" outlineLevel="0" collapsed="false">
      <c r="A56" s="67" t="str">
        <f aca="false">IF((SUMIF(Horo82[Client],B56,Horo82[Durée]) / Total)=0,"",(SUMIF(Horo82[Client],B56,Horo82[Durée]) / Total))</f>
        <v/>
      </c>
      <c r="B56" s="68" t="s">
        <v>70</v>
      </c>
      <c r="C56" s="70" t="str">
        <f aca="false">IF(SUMIF(Horo82[Client],B56,Horo82[Durée])=0,"",SUMIF(Horo82[Client],B56,Horo82[Durée]))</f>
        <v/>
      </c>
    </row>
    <row r="57" customFormat="false" ht="15" hidden="false" customHeight="false" outlineLevel="1" collapsed="false">
      <c r="A57" s="67" t="str">
        <f aca="false">IF((SUMIF(Horo82[Client],B57,Horo82[Durée]) / Total)=0,"",(SUMIF(Horo82[Client],B57,Horo82[Durée]) / Total))</f>
        <v/>
      </c>
      <c r="B57" s="68" t="s">
        <v>71</v>
      </c>
      <c r="C57" s="70" t="str">
        <f aca="false">IF(SUMIF(Horo82[Client],B57,Horo82[Durée])=0,"",SUMIF(Horo82[Client],B57,Horo82[Durée]))</f>
        <v/>
      </c>
    </row>
    <row r="58" customFormat="false" ht="15" hidden="false" customHeight="false" outlineLevel="1" collapsed="false">
      <c r="A58" s="67" t="str">
        <f aca="false">IF((SUMIF(Horo82[Client],B58,Horo82[Durée]) / Total)=0,"",(SUMIF(Horo82[Client],B58,Horo82[Durée]) / Total))</f>
        <v/>
      </c>
      <c r="B58" s="68" t="s">
        <v>72</v>
      </c>
      <c r="C58" s="70" t="str">
        <f aca="false">IF(SUMIF(Horo82[Client],B58,Horo82[Durée])=0,"",SUMIF(Horo82[Client],B58,Horo82[Durée]))</f>
        <v/>
      </c>
    </row>
    <row r="59" customFormat="false" ht="15" hidden="false" customHeight="false" outlineLevel="1" collapsed="false">
      <c r="A59" s="67" t="str">
        <f aca="false">IF((SUMIF(Horo82[Client],B59,Horo82[Durée]) / Total)=0,"",(SUMIF(Horo82[Client],B59,Horo82[Durée]) / Total))</f>
        <v/>
      </c>
      <c r="B59" s="68" t="s">
        <v>73</v>
      </c>
      <c r="C59" s="70" t="str">
        <f aca="false">IF(SUMIF(Horo82[Client],B59,Horo82[Durée])=0,"",SUMIF(Horo82[Client],B59,Horo82[Durée]))</f>
        <v/>
      </c>
    </row>
    <row r="60" customFormat="false" ht="15" hidden="false" customHeight="false" outlineLevel="1" collapsed="false">
      <c r="A60" s="67" t="str">
        <f aca="false">IF((SUMIF(Horo82[Client],B60,Horo82[Durée]) / Total)=0,"",(SUMIF(Horo82[Client],B60,Horo82[Durée]) / Total))</f>
        <v/>
      </c>
      <c r="B60" s="68" t="s">
        <v>74</v>
      </c>
      <c r="C60" s="70" t="str">
        <f aca="false">IF(SUMIF(Horo82[Client],B60,Horo82[Durée])=0,"",SUMIF(Horo82[Client],B60,Horo82[Durée]))</f>
        <v/>
      </c>
    </row>
    <row r="61" customFormat="false" ht="15" hidden="false" customHeight="false" outlineLevel="1" collapsed="false">
      <c r="A61" s="67" t="str">
        <f aca="false">IF((SUMIF(Horo82[Client],B61,Horo82[Durée]) / Total)=0,"",(SUMIF(Horo82[Client],B61,Horo82[Durée]) / Total))</f>
        <v/>
      </c>
      <c r="B61" s="68" t="s">
        <v>75</v>
      </c>
      <c r="C61" s="69" t="str">
        <f aca="false">IF(SUMIF(Horo82[Client],B61,Horo82[Durée])=0,"",SUMIF(Horo82[Client],B61,Horo82[Durée]))</f>
        <v/>
      </c>
    </row>
    <row r="62" customFormat="false" ht="15" hidden="false" customHeight="false" outlineLevel="1" collapsed="false">
      <c r="A62" s="67" t="str">
        <f aca="false">IF((SUMIF(Horo82[Client],B62,Horo82[Durée]) / Total)=0,"",(SUMIF(Horo82[Client],B62,Horo82[Durée]) / Total))</f>
        <v/>
      </c>
      <c r="B62" s="68" t="s">
        <v>76</v>
      </c>
      <c r="C62" s="70" t="str">
        <f aca="false">IF(SUMIF(Horo82[Client],B62,Horo82[Durée])=0,"",SUMIF(Horo82[Client],B62,Horo82[Durée]))</f>
        <v/>
      </c>
    </row>
    <row r="63" customFormat="false" ht="15" hidden="false" customHeight="false" outlineLevel="1" collapsed="false">
      <c r="A63" s="67" t="str">
        <f aca="false">IF((SUMIF(Horo82[Client],B63,Horo82[Durée]) / Total)=0,"",(SUMIF(Horo82[Client],B63,Horo82[Durée]) / Total))</f>
        <v/>
      </c>
      <c r="B63" s="68" t="s">
        <v>77</v>
      </c>
      <c r="C63" s="70" t="str">
        <f aca="false">IF(SUMIF(Horo82[Client],B63,Horo82[Durée])=0,"",SUMIF(Horo82[Client],B63,Horo82[Durée]))</f>
        <v/>
      </c>
    </row>
    <row r="64" customFormat="false" ht="15" hidden="false" customHeight="false" outlineLevel="1" collapsed="false">
      <c r="A64" s="67" t="n">
        <f aca="false">IF((SUMIF(Horo82[Client],B64,Horo82[Durée]) / Total)=0,"",(SUMIF(Horo82[Client],B64,Horo82[Durée]) / Total))</f>
        <v>0.00649350649350647</v>
      </c>
      <c r="B64" s="68" t="s">
        <v>45</v>
      </c>
      <c r="C64" s="70" t="n">
        <f aca="false">IF(SUMIF(Horo82[Client],B64,Horo82[Durée])=0,"",SUMIF(Horo82[Client],B64,Horo82[Durée]))</f>
        <v>0.249999999999999</v>
      </c>
    </row>
    <row r="65" customFormat="false" ht="15" hidden="false" customHeight="false" outlineLevel="1" collapsed="false">
      <c r="A65" s="67" t="str">
        <f aca="false">IF((SUMIF(Horo82[Client],B65,Horo82[Durée]) / Total)=0,"",(SUMIF(Horo82[Client],B65,Horo82[Durée]) / Total))</f>
        <v/>
      </c>
      <c r="B65" s="68" t="s">
        <v>78</v>
      </c>
      <c r="C65" s="70" t="str">
        <f aca="false">IF(SUMIF(Horo82[Client],B65,Horo82[Durée])=0,"",SUMIF(Horo82[Client],B65,Horo82[Durée]))</f>
        <v/>
      </c>
    </row>
    <row r="66" customFormat="false" ht="15" hidden="false" customHeight="false" outlineLevel="1" collapsed="false">
      <c r="A66" s="67" t="str">
        <f aca="false">IF((SUMIF(Horo82[Client],B66,Horo82[Durée]) / Total)=0,"",(SUMIF(Horo82[Client],B66,Horo82[Durée]) / Total))</f>
        <v/>
      </c>
      <c r="B66" s="68" t="s">
        <v>79</v>
      </c>
      <c r="C66" s="70" t="str">
        <f aca="false">IF(SUMIF(Horo82[Client],B66,Horo82[Durée])=0,"",SUMIF(Horo82[Client],B66,Horo82[Durée]))</f>
        <v/>
      </c>
    </row>
    <row r="67" customFormat="false" ht="15" hidden="false" customHeight="false" outlineLevel="1" collapsed="false">
      <c r="A67" s="67" t="str">
        <f aca="false">IF((SUMIF(Horo82[Client],B67,Horo82[Durée]) / Total)=0,"",(SUMIF(Horo82[Client],B67,Horo82[Durée]) / Total))</f>
        <v/>
      </c>
      <c r="B67" s="68" t="s">
        <v>80</v>
      </c>
      <c r="C67" s="70" t="str">
        <f aca="false">IF(SUMIF(Horo82[Client],B67,Horo82[Durée])=0,"",SUMIF(Horo82[Client],B67,Horo82[Durée]))</f>
        <v/>
      </c>
    </row>
    <row r="68" customFormat="false" ht="15" hidden="false" customHeight="false" outlineLevel="1" collapsed="false">
      <c r="A68" s="67" t="str">
        <f aca="false">IF((SUMIF(Horo82[Client],B68,Horo82[Durée]) / Total)=0,"",(SUMIF(Horo82[Client],B68,Horo82[Durée]) / Total))</f>
        <v/>
      </c>
      <c r="B68" s="72" t="s">
        <v>81</v>
      </c>
      <c r="C68" s="69" t="str">
        <f aca="false">IF(SUMIF(Horo82[Client],B68,Horo82[Durée])=0,"",SUMIF(Horo82[Client],B68,Horo82[Durée]))</f>
        <v/>
      </c>
    </row>
    <row r="69" customFormat="false" ht="15" hidden="false" customHeight="false" outlineLevel="1" collapsed="false"/>
    <row r="70" customFormat="false" ht="15" hidden="false" customHeight="false" outlineLevel="1" collapsed="false"/>
    <row r="71" customFormat="false" ht="15" hidden="false" customHeight="false" outlineLevel="1" collapsed="false"/>
    <row r="72" customFormat="false" ht="15" hidden="false" customHeight="false" outlineLevel="1" collapsed="false"/>
    <row r="73" customFormat="false" ht="15" hidden="false" customHeight="false" outlineLevel="1" collapsed="false"/>
    <row r="74" customFormat="false" ht="15" hidden="false" customHeight="false" outlineLevel="1" collapsed="false"/>
    <row r="75" customFormat="false" ht="15" hidden="false" customHeight="false" outlineLevel="1" collapsed="false"/>
    <row r="76" customFormat="false" ht="15" hidden="false" customHeight="false" outlineLevel="1" collapsed="false"/>
    <row r="77" customFormat="false" ht="15" hidden="false" customHeight="false" outlineLevel="1" collapsed="false"/>
  </sheetData>
  <conditionalFormatting sqref="I33">
    <cfRule type="expression" priority="2" aboveAverage="0" equalAverage="0" bottom="0" percent="0" rank="0" text="" dxfId="51">
      <formula>A33="O"</formula>
    </cfRule>
  </conditionalFormatting>
  <conditionalFormatting sqref="I42">
    <cfRule type="expression" priority="3" aboveAverage="0" equalAverage="0" bottom="0" percent="0" rank="0" text="" dxfId="52">
      <formula>A42="O"</formula>
    </cfRule>
  </conditionalFormatting>
  <conditionalFormatting sqref="I44">
    <cfRule type="expression" priority="4" aboveAverage="0" equalAverage="0" bottom="0" percent="0" rank="0" text="" dxfId="53">
      <formula>A44="O"</formula>
    </cfRule>
  </conditionalFormatting>
  <conditionalFormatting sqref="H4:H33">
    <cfRule type="expression" priority="5" aboveAverage="0" equalAverage="0" bottom="0" percent="0" rank="0" text="" dxfId="54">
      <formula>A4="O"</formula>
    </cfRule>
  </conditionalFormatting>
  <conditionalFormatting sqref="K4:K33">
    <cfRule type="expression" priority="6" aboveAverage="0" equalAverage="0" bottom="0" percent="0" rank="0" text="" dxfId="55">
      <formula>A4="O"</formula>
    </cfRule>
    <cfRule type="expression" priority="7" aboveAverage="0" equalAverage="0" bottom="0" percent="0" rank="0" text="" dxfId="56">
      <formula>A4="O"</formula>
    </cfRule>
  </conditionalFormatting>
  <conditionalFormatting sqref="C4:C33">
    <cfRule type="expression" priority="8" aboveAverage="0" equalAverage="0" bottom="0" percent="0" rank="0" text="" dxfId="57">
      <formula>A4="O"</formula>
    </cfRule>
    <cfRule type="containsText" priority="9" operator="containsText" aboveAverage="0" equalAverage="0" bottom="0" percent="0" rank="0" text="Dimanche" dxfId="58">
      <formula>NOT(ISERROR(SEARCH("Dimanche",C4)))</formula>
    </cfRule>
    <cfRule type="containsText" priority="10" operator="containsText" aboveAverage="0" equalAverage="0" bottom="0" percent="0" rank="0" text="Samedi" dxfId="59">
      <formula>NOT(ISERROR(SEARCH("Samedi",C4)))</formula>
    </cfRule>
    <cfRule type="containsText" priority="11" operator="containsText" aboveAverage="0" equalAverage="0" bottom="0" percent="0" rank="0" text="Vendredi" dxfId="60">
      <formula>NOT(ISERROR(SEARCH("Vendredi",C4)))</formula>
    </cfRule>
    <cfRule type="containsText" priority="12" operator="containsText" aboveAverage="0" equalAverage="0" bottom="0" percent="0" rank="0" text="Jeudi" dxfId="61">
      <formula>NOT(ISERROR(SEARCH("Jeudi",C4)))</formula>
    </cfRule>
    <cfRule type="containsText" priority="13" operator="containsText" aboveAverage="0" equalAverage="0" bottom="0" percent="0" rank="0" text="Mercredi" dxfId="62">
      <formula>NOT(ISERROR(SEARCH("Mercredi",C4)))</formula>
    </cfRule>
    <cfRule type="containsText" priority="14" operator="containsText" aboveAverage="0" equalAverage="0" bottom="0" percent="0" rank="0" text="Mardi" dxfId="63">
      <formula>NOT(ISERROR(SEARCH("Mardi",C4)))</formula>
    </cfRule>
    <cfRule type="containsText" priority="15" operator="containsText" aboveAverage="0" equalAverage="0" bottom="0" percent="0" rank="0" text="Lundi" dxfId="64">
      <formula>NOT(ISERROR(SEARCH("Lundi",C4)))</formula>
    </cfRule>
  </conditionalFormatting>
  <conditionalFormatting sqref="G4:G33">
    <cfRule type="expression" priority="16" aboveAverage="0" equalAverage="0" bottom="0" percent="0" rank="0" text="" dxfId="65">
      <formula>A4="O"</formula>
    </cfRule>
  </conditionalFormatting>
  <conditionalFormatting sqref="J4:J33">
    <cfRule type="expression" priority="17" aboveAverage="0" equalAverage="0" bottom="0" percent="0" rank="0" text="" dxfId="66">
      <formula>A4="O"</formula>
    </cfRule>
  </conditionalFormatting>
  <conditionalFormatting sqref="F4:F33">
    <cfRule type="expression" priority="18" aboveAverage="0" equalAverage="0" bottom="0" percent="0" rank="0" text="" dxfId="67">
      <formula>A4="O"</formula>
    </cfRule>
  </conditionalFormatting>
  <conditionalFormatting sqref="B4:B33">
    <cfRule type="cellIs" priority="19" operator="equal" aboveAverage="0" equalAverage="0" bottom="0" percent="0" rank="0" text="" dxfId="68">
      <formula>0</formula>
    </cfRule>
    <cfRule type="expression" priority="20" aboveAverage="0" equalAverage="0" bottom="0" percent="0" rank="0" text="" dxfId="69">
      <formula>A4="O"</formula>
    </cfRule>
    <cfRule type="colorScale" priority="21">
      <colorScale>
        <cfvo type="percentile" val="10"/>
        <cfvo type="percentile" val="50"/>
        <cfvo type="percentile" val="90"/>
        <color rgb="FFFFC000"/>
        <color rgb="FFC55A11"/>
        <color rgb="FF2E75B6"/>
      </colorScale>
    </cfRule>
  </conditionalFormatting>
  <conditionalFormatting sqref="D4:D33">
    <cfRule type="expression" priority="22" aboveAverage="0" equalAverage="0" bottom="0" percent="0" rank="0" text="" dxfId="70">
      <formula>A4="O"</formula>
    </cfRule>
    <cfRule type="colorScale" priority="23">
      <colorScale>
        <cfvo type="min" val="0"/>
        <cfvo type="percentile" val="50"/>
        <cfvo type="max" val="0"/>
        <color rgb="FFFFC000"/>
        <color rgb="FFC55A11"/>
        <color rgb="FF2E75B6"/>
      </colorScale>
    </cfRule>
  </conditionalFormatting>
  <conditionalFormatting sqref="E4:E33">
    <cfRule type="expression" priority="24" aboveAverage="0" equalAverage="0" bottom="0" percent="0" rank="0" text="" dxfId="71">
      <formula>A4="O"</formula>
    </cfRule>
    <cfRule type="colorScale" priority="25">
      <colorScale>
        <cfvo type="min" val="0"/>
        <cfvo type="percentile" val="50"/>
        <cfvo type="max" val="0"/>
        <color rgb="FFFFC000"/>
        <color rgb="FFC55A11"/>
        <color rgb="FF2E75B6"/>
      </colorScale>
    </cfRule>
  </conditionalFormatting>
  <dataValidations count="5">
    <dataValidation allowBlank="true" errorStyle="stop" operator="between" showDropDown="false" showErrorMessage="true" showInputMessage="true" sqref="C1" type="list">
      <formula1>Data!$A$2:$A$106</formula1>
      <formula2>0</formula2>
    </dataValidation>
    <dataValidation allowBlank="false" errorStyle="stop" operator="between" showDropDown="false" showErrorMessage="true" showInputMessage="true" sqref="H4:H33" type="list">
      <formula1>Data!$F$2:$F$50</formula1>
      <formula2>0</formula2>
    </dataValidation>
    <dataValidation allowBlank="true" errorStyle="information" errorTitle="OK ?" operator="between" showDropDown="false" showErrorMessage="true" showInputMessage="true" sqref="G4:G33" type="list">
      <formula1>Data!$D$2:$D$16</formula1>
      <formula2>0</formula2>
    </dataValidation>
    <dataValidation allowBlank="false" errorStyle="stop" operator="between" showDropDown="false" showErrorMessage="true" showInputMessage="true" sqref="F4:F33" type="list">
      <formula1>Data!$E$2:$E$30</formula1>
      <formula2>0</formula2>
    </dataValidation>
    <dataValidation allowBlank="true" errorStyle="stop" operator="between" showDropDown="false" showErrorMessage="true" showInputMessage="true" sqref="C4:C33" type="list">
      <formula1>Data!$C$2:$C$8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  <tableParts>
    <tablePart r:id="rId2"/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0000"/>
    <pageSetUpPr fitToPage="false"/>
  </sheetPr>
  <dimension ref="A1:J10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F43" activeCellId="0" sqref="F43"/>
    </sheetView>
  </sheetViews>
  <sheetFormatPr defaultColWidth="18.1484375" defaultRowHeight="15" zeroHeight="false" outlineLevelRow="0" outlineLevelCol="0"/>
  <cols>
    <col collapsed="false" customWidth="true" hidden="false" outlineLevel="0" max="1" min="1" style="73" width="15.42"/>
    <col collapsed="false" customWidth="true" hidden="false" outlineLevel="0" max="2" min="2" style="74" width="18"/>
    <col collapsed="false" customWidth="true" hidden="false" outlineLevel="0" max="3" min="3" style="0" width="12"/>
    <col collapsed="false" customWidth="true" hidden="false" outlineLevel="0" max="4" min="4" style="0" width="14.42"/>
    <col collapsed="false" customWidth="true" hidden="false" outlineLevel="0" max="5" min="5" style="0" width="23.57"/>
    <col collapsed="false" customWidth="true" hidden="false" outlineLevel="0" max="6" min="6" style="0" width="31.57"/>
    <col collapsed="false" customWidth="true" hidden="false" outlineLevel="0" max="7" min="7" style="75" width="9.14"/>
    <col collapsed="false" customWidth="true" hidden="false" outlineLevel="0" max="8" min="8" style="0" width="24.29"/>
    <col collapsed="false" customWidth="true" hidden="false" outlineLevel="0" max="9" min="9" style="76" width="41"/>
    <col collapsed="false" customWidth="true" hidden="false" outlineLevel="0" max="10" min="10" style="0" width="18"/>
  </cols>
  <sheetData>
    <row r="1" s="84" customFormat="true" ht="17.35" hidden="false" customHeight="false" outlineLevel="0" collapsed="false">
      <c r="A1" s="77" t="s">
        <v>82</v>
      </c>
      <c r="B1" s="78" t="s">
        <v>83</v>
      </c>
      <c r="C1" s="79" t="s">
        <v>84</v>
      </c>
      <c r="D1" s="79" t="s">
        <v>85</v>
      </c>
      <c r="E1" s="80" t="s">
        <v>57</v>
      </c>
      <c r="F1" s="81" t="s">
        <v>14</v>
      </c>
      <c r="G1" s="82"/>
      <c r="H1" s="79"/>
      <c r="I1" s="83"/>
      <c r="J1" s="79"/>
    </row>
    <row r="2" customFormat="false" ht="22.05" hidden="false" customHeight="false" outlineLevel="0" collapsed="false">
      <c r="A2" s="85" t="n">
        <v>44193</v>
      </c>
      <c r="B2" s="86" t="n">
        <v>1</v>
      </c>
      <c r="C2" s="87" t="s">
        <v>0</v>
      </c>
      <c r="D2" s="87" t="s">
        <v>24</v>
      </c>
      <c r="E2" s="88" t="s">
        <v>86</v>
      </c>
      <c r="F2" s="87" t="s">
        <v>33</v>
      </c>
      <c r="H2" s="89" t="s">
        <v>87</v>
      </c>
      <c r="I2" s="90" t="s">
        <v>88</v>
      </c>
      <c r="J2" s="91" t="n">
        <v>44193</v>
      </c>
    </row>
    <row r="3" customFormat="false" ht="15" hidden="false" customHeight="false" outlineLevel="0" collapsed="false">
      <c r="A3" s="92" t="n">
        <v>44200</v>
      </c>
      <c r="B3" s="74" t="n">
        <v>2</v>
      </c>
      <c r="C3" s="87" t="s">
        <v>1</v>
      </c>
      <c r="D3" s="87" t="s">
        <v>23</v>
      </c>
      <c r="E3" s="88" t="s">
        <v>81</v>
      </c>
      <c r="F3" s="87" t="s">
        <v>89</v>
      </c>
      <c r="H3" s="93" t="s">
        <v>90</v>
      </c>
      <c r="I3" s="90" t="s">
        <v>91</v>
      </c>
      <c r="J3" s="91" t="n">
        <f aca="false">J2+7</f>
        <v>44200</v>
      </c>
    </row>
    <row r="4" customFormat="false" ht="15" hidden="false" customHeight="false" outlineLevel="0" collapsed="false">
      <c r="A4" s="94" t="n">
        <v>44207</v>
      </c>
      <c r="B4" s="86" t="n">
        <v>3</v>
      </c>
      <c r="C4" s="87" t="s">
        <v>2</v>
      </c>
      <c r="D4" s="87" t="s">
        <v>21</v>
      </c>
      <c r="E4" s="88" t="s">
        <v>59</v>
      </c>
      <c r="F4" s="87" t="s">
        <v>35</v>
      </c>
      <c r="H4" s="89" t="s">
        <v>92</v>
      </c>
      <c r="I4" s="90" t="s">
        <v>93</v>
      </c>
      <c r="J4" s="91" t="n">
        <f aca="false">J3+7</f>
        <v>44207</v>
      </c>
    </row>
    <row r="5" customFormat="false" ht="15" hidden="false" customHeight="false" outlineLevel="0" collapsed="false">
      <c r="A5" s="92" t="n">
        <v>44214</v>
      </c>
      <c r="B5" s="86" t="n">
        <v>4</v>
      </c>
      <c r="C5" s="87" t="s">
        <v>3</v>
      </c>
      <c r="D5" s="87" t="s">
        <v>19</v>
      </c>
      <c r="E5" s="88" t="s">
        <v>62</v>
      </c>
      <c r="F5" s="87" t="s">
        <v>94</v>
      </c>
      <c r="H5" s="93" t="s">
        <v>95</v>
      </c>
      <c r="I5" s="90" t="s">
        <v>96</v>
      </c>
      <c r="J5" s="91" t="n">
        <f aca="false">J4+7</f>
        <v>44214</v>
      </c>
    </row>
    <row r="6" customFormat="false" ht="15" hidden="false" customHeight="false" outlineLevel="0" collapsed="false">
      <c r="A6" s="94" t="n">
        <v>44221</v>
      </c>
      <c r="B6" s="74" t="n">
        <v>5</v>
      </c>
      <c r="C6" s="87" t="s">
        <v>4</v>
      </c>
      <c r="D6" s="87" t="s">
        <v>25</v>
      </c>
      <c r="E6" s="88" t="s">
        <v>63</v>
      </c>
      <c r="F6" s="87" t="s">
        <v>42</v>
      </c>
      <c r="H6" s="89"/>
      <c r="I6" s="90" t="s">
        <v>97</v>
      </c>
      <c r="J6" s="91" t="n">
        <f aca="false">J5+7</f>
        <v>44221</v>
      </c>
    </row>
    <row r="7" customFormat="false" ht="15" hidden="false" customHeight="false" outlineLevel="0" collapsed="false">
      <c r="A7" s="92" t="n">
        <v>44228</v>
      </c>
      <c r="B7" s="86" t="n">
        <v>6</v>
      </c>
      <c r="C7" s="87" t="s">
        <v>5</v>
      </c>
      <c r="D7" s="87" t="s">
        <v>22</v>
      </c>
      <c r="E7" s="95" t="s">
        <v>69</v>
      </c>
      <c r="F7" s="87" t="s">
        <v>98</v>
      </c>
      <c r="H7" s="93" t="s">
        <v>99</v>
      </c>
      <c r="I7" s="90" t="s">
        <v>100</v>
      </c>
      <c r="J7" s="91" t="n">
        <f aca="false">J6+7</f>
        <v>44228</v>
      </c>
    </row>
    <row r="8" customFormat="false" ht="15" hidden="false" customHeight="false" outlineLevel="0" collapsed="false">
      <c r="A8" s="94" t="n">
        <v>44235</v>
      </c>
      <c r="B8" s="86" t="n">
        <v>7</v>
      </c>
      <c r="C8" s="87" t="s">
        <v>6</v>
      </c>
      <c r="D8" s="87" t="s">
        <v>20</v>
      </c>
      <c r="E8" s="88" t="s">
        <v>64</v>
      </c>
      <c r="F8" s="87" t="s">
        <v>51</v>
      </c>
      <c r="H8" s="89" t="s">
        <v>53</v>
      </c>
      <c r="I8" s="96"/>
      <c r="J8" s="91" t="n">
        <f aca="false">J7+7</f>
        <v>44235</v>
      </c>
    </row>
    <row r="9" customFormat="false" ht="15" hidden="false" customHeight="false" outlineLevel="0" collapsed="false">
      <c r="A9" s="92" t="n">
        <v>44242</v>
      </c>
      <c r="B9" s="74" t="n">
        <v>8</v>
      </c>
      <c r="D9" s="87" t="s">
        <v>26</v>
      </c>
      <c r="E9" s="88" t="s">
        <v>65</v>
      </c>
      <c r="F9" s="87" t="s">
        <v>101</v>
      </c>
      <c r="H9" s="93" t="s">
        <v>102</v>
      </c>
      <c r="I9" s="96"/>
      <c r="J9" s="91" t="n">
        <f aca="false">J8+7</f>
        <v>44242</v>
      </c>
    </row>
    <row r="10" customFormat="false" ht="15" hidden="false" customHeight="false" outlineLevel="0" collapsed="false">
      <c r="A10" s="94" t="n">
        <v>44249</v>
      </c>
      <c r="B10" s="86" t="n">
        <v>9</v>
      </c>
      <c r="D10" s="87" t="s">
        <v>27</v>
      </c>
      <c r="E10" s="97" t="s">
        <v>66</v>
      </c>
      <c r="F10" s="87" t="s">
        <v>103</v>
      </c>
      <c r="H10" s="89" t="s">
        <v>104</v>
      </c>
      <c r="I10" s="96"/>
      <c r="J10" s="91" t="n">
        <f aca="false">J9+7</f>
        <v>44249</v>
      </c>
    </row>
    <row r="11" customFormat="false" ht="15" hidden="false" customHeight="false" outlineLevel="0" collapsed="false">
      <c r="A11" s="92" t="n">
        <v>44256</v>
      </c>
      <c r="B11" s="86" t="n">
        <v>10</v>
      </c>
      <c r="E11" s="98" t="s">
        <v>47</v>
      </c>
      <c r="F11" s="76" t="s">
        <v>105</v>
      </c>
      <c r="I11" s="96"/>
      <c r="J11" s="91" t="n">
        <f aca="false">J10+7</f>
        <v>44256</v>
      </c>
    </row>
    <row r="12" customFormat="false" ht="15" hidden="false" customHeight="false" outlineLevel="0" collapsed="false">
      <c r="A12" s="94" t="n">
        <v>44263</v>
      </c>
      <c r="B12" s="74" t="n">
        <v>11</v>
      </c>
      <c r="E12" s="88" t="s">
        <v>67</v>
      </c>
      <c r="F12" s="87" t="s">
        <v>38</v>
      </c>
      <c r="I12" s="96"/>
      <c r="J12" s="91" t="n">
        <f aca="false">J11+7</f>
        <v>44263</v>
      </c>
    </row>
    <row r="13" customFormat="false" ht="15" hidden="false" customHeight="false" outlineLevel="0" collapsed="false">
      <c r="A13" s="92" t="n">
        <v>44270</v>
      </c>
      <c r="B13" s="86" t="n">
        <v>12</v>
      </c>
      <c r="E13" s="97" t="s">
        <v>68</v>
      </c>
      <c r="F13" s="87" t="s">
        <v>106</v>
      </c>
      <c r="I13" s="96"/>
      <c r="J13" s="91" t="n">
        <f aca="false">J12+7</f>
        <v>44270</v>
      </c>
    </row>
    <row r="14" customFormat="false" ht="15" hidden="false" customHeight="false" outlineLevel="0" collapsed="false">
      <c r="A14" s="94" t="n">
        <v>44277</v>
      </c>
      <c r="B14" s="86" t="n">
        <v>13</v>
      </c>
      <c r="E14" s="99" t="s">
        <v>41</v>
      </c>
      <c r="F14" s="87" t="s">
        <v>107</v>
      </c>
      <c r="I14" s="96"/>
      <c r="J14" s="91" t="n">
        <f aca="false">J13+7</f>
        <v>44277</v>
      </c>
    </row>
    <row r="15" customFormat="false" ht="15" hidden="false" customHeight="false" outlineLevel="0" collapsed="false">
      <c r="A15" s="92" t="n">
        <v>44284</v>
      </c>
      <c r="B15" s="74" t="n">
        <v>14</v>
      </c>
      <c r="E15" s="76" t="s">
        <v>61</v>
      </c>
      <c r="F15" s="87" t="s">
        <v>108</v>
      </c>
      <c r="I15" s="96"/>
      <c r="J15" s="91" t="n">
        <f aca="false">J14+7</f>
        <v>44284</v>
      </c>
    </row>
    <row r="16" customFormat="false" ht="15" hidden="false" customHeight="false" outlineLevel="0" collapsed="false">
      <c r="A16" s="94" t="n">
        <v>44291</v>
      </c>
      <c r="B16" s="86" t="n">
        <v>15</v>
      </c>
      <c r="D16" s="1"/>
      <c r="E16" s="100" t="s">
        <v>32</v>
      </c>
      <c r="F16" s="87" t="s">
        <v>109</v>
      </c>
      <c r="H16" s="1"/>
      <c r="I16" s="96"/>
      <c r="J16" s="91" t="n">
        <f aca="false">J15+7</f>
        <v>44291</v>
      </c>
    </row>
    <row r="17" customFormat="false" ht="15" hidden="false" customHeight="false" outlineLevel="0" collapsed="false">
      <c r="A17" s="92" t="n">
        <v>44298</v>
      </c>
      <c r="B17" s="86" t="n">
        <v>16</v>
      </c>
      <c r="E17" s="87" t="s">
        <v>70</v>
      </c>
      <c r="F17" s="87" t="s">
        <v>53</v>
      </c>
      <c r="I17" s="96"/>
      <c r="J17" s="91" t="n">
        <f aca="false">J16+7</f>
        <v>44298</v>
      </c>
    </row>
    <row r="18" customFormat="false" ht="15" hidden="false" customHeight="false" outlineLevel="0" collapsed="false">
      <c r="A18" s="94" t="n">
        <v>44305</v>
      </c>
      <c r="B18" s="74" t="n">
        <v>17</v>
      </c>
      <c r="E18" s="87" t="s">
        <v>71</v>
      </c>
      <c r="F18" s="87" t="s">
        <v>110</v>
      </c>
      <c r="I18" s="96"/>
      <c r="J18" s="91" t="n">
        <f aca="false">J17+7</f>
        <v>44305</v>
      </c>
    </row>
    <row r="19" customFormat="false" ht="15" hidden="false" customHeight="false" outlineLevel="0" collapsed="false">
      <c r="A19" s="92" t="n">
        <v>44312</v>
      </c>
      <c r="B19" s="86" t="n">
        <v>18</v>
      </c>
      <c r="E19" s="87" t="s">
        <v>34</v>
      </c>
      <c r="F19" s="87" t="s">
        <v>111</v>
      </c>
      <c r="I19" s="96"/>
      <c r="J19" s="91" t="n">
        <f aca="false">J18+7</f>
        <v>44312</v>
      </c>
    </row>
    <row r="20" customFormat="false" ht="15" hidden="false" customHeight="false" outlineLevel="0" collapsed="false">
      <c r="A20" s="94" t="n">
        <v>44319</v>
      </c>
      <c r="B20" s="86" t="n">
        <v>19</v>
      </c>
      <c r="E20" s="87" t="s">
        <v>72</v>
      </c>
      <c r="F20" s="87" t="s">
        <v>112</v>
      </c>
      <c r="I20" s="96"/>
      <c r="J20" s="91" t="n">
        <f aca="false">J19+7</f>
        <v>44319</v>
      </c>
    </row>
    <row r="21" customFormat="false" ht="15" hidden="false" customHeight="false" outlineLevel="0" collapsed="false">
      <c r="A21" s="92" t="n">
        <v>44326</v>
      </c>
      <c r="B21" s="74" t="n">
        <v>20</v>
      </c>
      <c r="E21" s="87" t="s">
        <v>73</v>
      </c>
      <c r="F21" s="87" t="s">
        <v>113</v>
      </c>
      <c r="J21" s="91" t="n">
        <f aca="false">J20+7</f>
        <v>44326</v>
      </c>
    </row>
    <row r="22" customFormat="false" ht="15" hidden="false" customHeight="false" outlineLevel="0" collapsed="false">
      <c r="A22" s="94" t="n">
        <v>44333</v>
      </c>
      <c r="B22" s="86" t="n">
        <v>21</v>
      </c>
      <c r="E22" s="76" t="s">
        <v>74</v>
      </c>
      <c r="F22" s="101" t="s">
        <v>114</v>
      </c>
      <c r="J22" s="91" t="n">
        <f aca="false">J21+7</f>
        <v>44333</v>
      </c>
    </row>
    <row r="23" customFormat="false" ht="15" hidden="false" customHeight="false" outlineLevel="0" collapsed="false">
      <c r="A23" s="92" t="n">
        <v>44340</v>
      </c>
      <c r="B23" s="86" t="n">
        <v>22</v>
      </c>
      <c r="E23" s="100" t="s">
        <v>37</v>
      </c>
      <c r="F23" s="87" t="s">
        <v>48</v>
      </c>
      <c r="J23" s="91" t="n">
        <f aca="false">J22+7</f>
        <v>44340</v>
      </c>
    </row>
    <row r="24" customFormat="false" ht="15" hidden="false" customHeight="false" outlineLevel="0" collapsed="false">
      <c r="A24" s="94" t="n">
        <v>44347</v>
      </c>
      <c r="B24" s="74" t="n">
        <v>23</v>
      </c>
      <c r="E24" s="87" t="s">
        <v>76</v>
      </c>
      <c r="F24" s="87" t="s">
        <v>115</v>
      </c>
      <c r="J24" s="91" t="n">
        <f aca="false">J23+7</f>
        <v>44347</v>
      </c>
    </row>
    <row r="25" customFormat="false" ht="15" hidden="false" customHeight="false" outlineLevel="0" collapsed="false">
      <c r="A25" s="92" t="n">
        <v>44354</v>
      </c>
      <c r="B25" s="86" t="n">
        <v>24</v>
      </c>
      <c r="E25" s="87" t="s">
        <v>75</v>
      </c>
      <c r="F25" s="87" t="s">
        <v>116</v>
      </c>
      <c r="J25" s="91" t="n">
        <f aca="false">J24+7</f>
        <v>44354</v>
      </c>
    </row>
    <row r="26" customFormat="false" ht="15" hidden="false" customHeight="false" outlineLevel="0" collapsed="false">
      <c r="A26" s="94" t="n">
        <v>44361</v>
      </c>
      <c r="B26" s="86" t="n">
        <v>25</v>
      </c>
      <c r="D26" s="1"/>
      <c r="E26" s="76" t="s">
        <v>77</v>
      </c>
      <c r="F26" s="87" t="s">
        <v>117</v>
      </c>
      <c r="H26" s="1"/>
      <c r="J26" s="91" t="n">
        <f aca="false">J25+7</f>
        <v>44361</v>
      </c>
    </row>
    <row r="27" customFormat="false" ht="15" hidden="false" customHeight="false" outlineLevel="0" collapsed="false">
      <c r="A27" s="92" t="n">
        <v>44368</v>
      </c>
      <c r="B27" s="74" t="n">
        <v>26</v>
      </c>
      <c r="E27" s="100" t="s">
        <v>45</v>
      </c>
      <c r="F27" s="87" t="s">
        <v>118</v>
      </c>
      <c r="J27" s="91" t="n">
        <f aca="false">J26+7</f>
        <v>44368</v>
      </c>
    </row>
    <row r="28" customFormat="false" ht="15" hidden="false" customHeight="false" outlineLevel="0" collapsed="false">
      <c r="A28" s="94" t="n">
        <v>44375</v>
      </c>
      <c r="B28" s="86" t="n">
        <v>27</v>
      </c>
      <c r="E28" s="76" t="s">
        <v>78</v>
      </c>
      <c r="F28" s="87" t="s">
        <v>119</v>
      </c>
      <c r="J28" s="91" t="n">
        <f aca="false">J27+7</f>
        <v>44375</v>
      </c>
    </row>
    <row r="29" customFormat="false" ht="15" hidden="false" customHeight="false" outlineLevel="0" collapsed="false">
      <c r="A29" s="92" t="n">
        <v>44382</v>
      </c>
      <c r="B29" s="86" t="n">
        <v>28</v>
      </c>
      <c r="E29" s="101" t="s">
        <v>79</v>
      </c>
      <c r="F29" s="87" t="s">
        <v>120</v>
      </c>
      <c r="J29" s="91" t="n">
        <f aca="false">J28+7</f>
        <v>44382</v>
      </c>
    </row>
    <row r="30" customFormat="false" ht="15" hidden="false" customHeight="false" outlineLevel="0" collapsed="false">
      <c r="A30" s="94" t="n">
        <v>44389</v>
      </c>
      <c r="B30" s="74" t="n">
        <v>29</v>
      </c>
      <c r="E30" s="87" t="s">
        <v>80</v>
      </c>
      <c r="F30" s="87" t="s">
        <v>121</v>
      </c>
      <c r="J30" s="91" t="n">
        <f aca="false">J29+7</f>
        <v>44389</v>
      </c>
    </row>
    <row r="31" customFormat="false" ht="15" hidden="false" customHeight="false" outlineLevel="0" collapsed="false">
      <c r="A31" s="92" t="n">
        <v>44396</v>
      </c>
      <c r="B31" s="86" t="n">
        <v>30</v>
      </c>
      <c r="E31" s="87" t="s">
        <v>60</v>
      </c>
      <c r="F31" s="87" t="s">
        <v>122</v>
      </c>
      <c r="J31" s="91" t="n">
        <f aca="false">J30+7</f>
        <v>44396</v>
      </c>
    </row>
    <row r="32" customFormat="false" ht="15" hidden="false" customHeight="false" outlineLevel="0" collapsed="false">
      <c r="A32" s="94" t="n">
        <v>44403</v>
      </c>
      <c r="B32" s="86" t="n">
        <v>31</v>
      </c>
      <c r="F32" s="87" t="s">
        <v>123</v>
      </c>
      <c r="J32" s="91" t="n">
        <f aca="false">J31+7</f>
        <v>44403</v>
      </c>
    </row>
    <row r="33" customFormat="false" ht="15" hidden="false" customHeight="false" outlineLevel="0" collapsed="false">
      <c r="A33" s="92" t="n">
        <v>44410</v>
      </c>
      <c r="B33" s="74" t="n">
        <v>32</v>
      </c>
      <c r="F33" s="87" t="s">
        <v>55</v>
      </c>
      <c r="J33" s="91" t="n">
        <f aca="false">J32+7</f>
        <v>44410</v>
      </c>
    </row>
    <row r="34" customFormat="false" ht="15" hidden="false" customHeight="false" outlineLevel="0" collapsed="false">
      <c r="A34" s="94" t="n">
        <v>44417</v>
      </c>
      <c r="B34" s="86" t="n">
        <v>33</v>
      </c>
      <c r="F34" s="87" t="s">
        <v>124</v>
      </c>
      <c r="J34" s="91" t="n">
        <f aca="false">J33+7</f>
        <v>44417</v>
      </c>
    </row>
    <row r="35" customFormat="false" ht="15" hidden="false" customHeight="false" outlineLevel="0" collapsed="false">
      <c r="A35" s="92" t="n">
        <v>44424</v>
      </c>
      <c r="B35" s="86" t="n">
        <v>34</v>
      </c>
      <c r="F35" s="87" t="s">
        <v>125</v>
      </c>
      <c r="J35" s="91" t="n">
        <f aca="false">J34+7</f>
        <v>44424</v>
      </c>
    </row>
    <row r="36" customFormat="false" ht="15" hidden="false" customHeight="false" outlineLevel="0" collapsed="false">
      <c r="A36" s="94" t="n">
        <v>44431</v>
      </c>
      <c r="B36" s="74" t="n">
        <v>35</v>
      </c>
      <c r="F36" s="87" t="s">
        <v>126</v>
      </c>
      <c r="J36" s="91" t="n">
        <f aca="false">J35+7</f>
        <v>44431</v>
      </c>
    </row>
    <row r="37" customFormat="false" ht="15" hidden="false" customHeight="false" outlineLevel="0" collapsed="false">
      <c r="A37" s="92" t="n">
        <v>44438</v>
      </c>
      <c r="B37" s="86" t="n">
        <v>36</v>
      </c>
      <c r="F37" s="87" t="s">
        <v>127</v>
      </c>
      <c r="J37" s="91" t="n">
        <f aca="false">J36+7</f>
        <v>44438</v>
      </c>
    </row>
    <row r="38" customFormat="false" ht="15" hidden="false" customHeight="false" outlineLevel="0" collapsed="false">
      <c r="A38" s="94" t="n">
        <v>44445</v>
      </c>
      <c r="B38" s="86" t="n">
        <v>37</v>
      </c>
      <c r="F38" s="87" t="s">
        <v>128</v>
      </c>
      <c r="J38" s="91" t="n">
        <f aca="false">J37+7</f>
        <v>44445</v>
      </c>
    </row>
    <row r="39" customFormat="false" ht="15" hidden="false" customHeight="false" outlineLevel="0" collapsed="false">
      <c r="A39" s="92" t="n">
        <v>44452</v>
      </c>
      <c r="B39" s="74" t="n">
        <v>38</v>
      </c>
      <c r="F39" s="87" t="s">
        <v>129</v>
      </c>
      <c r="J39" s="91" t="n">
        <f aca="false">J38+7</f>
        <v>44452</v>
      </c>
    </row>
    <row r="40" customFormat="false" ht="15" hidden="false" customHeight="false" outlineLevel="0" collapsed="false">
      <c r="A40" s="94" t="n">
        <v>44459</v>
      </c>
      <c r="B40" s="86" t="n">
        <v>39</v>
      </c>
      <c r="F40" s="87" t="s">
        <v>130</v>
      </c>
      <c r="J40" s="91" t="n">
        <f aca="false">J39+7</f>
        <v>44459</v>
      </c>
    </row>
    <row r="41" customFormat="false" ht="15" hidden="false" customHeight="false" outlineLevel="0" collapsed="false">
      <c r="A41" s="92" t="n">
        <v>44466</v>
      </c>
      <c r="B41" s="86" t="n">
        <v>40</v>
      </c>
      <c r="D41" s="91"/>
      <c r="H41" s="91"/>
      <c r="J41" s="91" t="n">
        <f aca="false">J40+7</f>
        <v>44466</v>
      </c>
    </row>
    <row r="42" customFormat="false" ht="15" hidden="false" customHeight="false" outlineLevel="0" collapsed="false">
      <c r="A42" s="94" t="n">
        <v>44473</v>
      </c>
      <c r="B42" s="74" t="n">
        <v>41</v>
      </c>
      <c r="J42" s="91" t="n">
        <f aca="false">J41+7</f>
        <v>44473</v>
      </c>
    </row>
    <row r="43" customFormat="false" ht="15" hidden="false" customHeight="false" outlineLevel="0" collapsed="false">
      <c r="A43" s="92" t="n">
        <v>44480</v>
      </c>
      <c r="B43" s="86" t="n">
        <v>42</v>
      </c>
      <c r="J43" s="91" t="n">
        <f aca="false">J42+7</f>
        <v>44480</v>
      </c>
    </row>
    <row r="44" customFormat="false" ht="15" hidden="false" customHeight="false" outlineLevel="0" collapsed="false">
      <c r="A44" s="94" t="n">
        <v>44487</v>
      </c>
      <c r="B44" s="86" t="n">
        <v>43</v>
      </c>
      <c r="J44" s="91" t="n">
        <f aca="false">J43+7</f>
        <v>44487</v>
      </c>
    </row>
    <row r="45" customFormat="false" ht="15" hidden="false" customHeight="false" outlineLevel="0" collapsed="false">
      <c r="A45" s="92" t="n">
        <v>44494</v>
      </c>
      <c r="B45" s="74" t="n">
        <v>44</v>
      </c>
      <c r="J45" s="91" t="n">
        <f aca="false">J44+7</f>
        <v>44494</v>
      </c>
    </row>
    <row r="46" customFormat="false" ht="15" hidden="false" customHeight="false" outlineLevel="0" collapsed="false">
      <c r="A46" s="94" t="n">
        <v>44501</v>
      </c>
      <c r="B46" s="86" t="n">
        <v>45</v>
      </c>
      <c r="J46" s="91" t="n">
        <f aca="false">J45+7</f>
        <v>44501</v>
      </c>
    </row>
    <row r="47" customFormat="false" ht="15" hidden="false" customHeight="false" outlineLevel="0" collapsed="false">
      <c r="A47" s="92" t="n">
        <v>44508</v>
      </c>
      <c r="B47" s="86" t="n">
        <v>46</v>
      </c>
      <c r="J47" s="91" t="n">
        <f aca="false">J46+7</f>
        <v>44508</v>
      </c>
    </row>
    <row r="48" customFormat="false" ht="15" hidden="false" customHeight="false" outlineLevel="0" collapsed="false">
      <c r="A48" s="94" t="n">
        <v>44515</v>
      </c>
      <c r="B48" s="74" t="n">
        <v>47</v>
      </c>
      <c r="J48" s="91" t="n">
        <f aca="false">J47+7</f>
        <v>44515</v>
      </c>
    </row>
    <row r="49" customFormat="false" ht="15" hidden="false" customHeight="false" outlineLevel="0" collapsed="false">
      <c r="A49" s="92" t="n">
        <v>44522</v>
      </c>
      <c r="B49" s="86" t="n">
        <v>48</v>
      </c>
      <c r="J49" s="91" t="n">
        <f aca="false">J48+7</f>
        <v>44522</v>
      </c>
    </row>
    <row r="50" customFormat="false" ht="15" hidden="false" customHeight="false" outlineLevel="0" collapsed="false">
      <c r="A50" s="94" t="n">
        <v>44529</v>
      </c>
      <c r="B50" s="86" t="n">
        <v>49</v>
      </c>
      <c r="J50" s="91" t="n">
        <f aca="false">J49+7</f>
        <v>44529</v>
      </c>
    </row>
    <row r="51" customFormat="false" ht="15" hidden="false" customHeight="false" outlineLevel="0" collapsed="false">
      <c r="A51" s="92" t="n">
        <v>44536</v>
      </c>
      <c r="B51" s="74" t="n">
        <v>50</v>
      </c>
      <c r="J51" s="91" t="n">
        <f aca="false">J50+7</f>
        <v>44536</v>
      </c>
    </row>
    <row r="52" customFormat="false" ht="15" hidden="false" customHeight="false" outlineLevel="0" collapsed="false">
      <c r="A52" s="94" t="n">
        <v>44543</v>
      </c>
      <c r="B52" s="86" t="n">
        <v>51</v>
      </c>
      <c r="J52" s="91" t="n">
        <f aca="false">J51+7</f>
        <v>44543</v>
      </c>
    </row>
    <row r="53" customFormat="false" ht="15" hidden="false" customHeight="false" outlineLevel="0" collapsed="false">
      <c r="A53" s="92" t="n">
        <v>44550</v>
      </c>
      <c r="B53" s="86" t="n">
        <v>52</v>
      </c>
      <c r="J53" s="91" t="n">
        <f aca="false">J52+7</f>
        <v>44550</v>
      </c>
    </row>
    <row r="54" customFormat="false" ht="15" hidden="false" customHeight="false" outlineLevel="0" collapsed="false">
      <c r="A54" s="102" t="n">
        <v>44557</v>
      </c>
      <c r="B54" s="74" t="n">
        <v>0</v>
      </c>
      <c r="J54" s="91" t="n">
        <f aca="false">J53+7</f>
        <v>44557</v>
      </c>
    </row>
    <row r="55" customFormat="false" ht="15" hidden="false" customHeight="false" outlineLevel="0" collapsed="false">
      <c r="A55" s="91"/>
      <c r="J55" s="91" t="n">
        <f aca="false">J54+7</f>
        <v>44564</v>
      </c>
    </row>
    <row r="56" customFormat="false" ht="15" hidden="false" customHeight="false" outlineLevel="0" collapsed="false">
      <c r="A56" s="91"/>
      <c r="J56" s="91" t="n">
        <f aca="false">J55+7</f>
        <v>44571</v>
      </c>
    </row>
    <row r="57" customFormat="false" ht="15" hidden="false" customHeight="false" outlineLevel="0" collapsed="false">
      <c r="A57" s="91"/>
      <c r="J57" s="91" t="n">
        <f aca="false">J56+7</f>
        <v>44578</v>
      </c>
    </row>
    <row r="58" customFormat="false" ht="15" hidden="false" customHeight="false" outlineLevel="0" collapsed="false">
      <c r="A58" s="91"/>
      <c r="J58" s="91" t="n">
        <f aca="false">J57+7</f>
        <v>44585</v>
      </c>
    </row>
    <row r="59" customFormat="false" ht="15" hidden="false" customHeight="false" outlineLevel="0" collapsed="false">
      <c r="A59" s="91"/>
      <c r="J59" s="91" t="n">
        <f aca="false">J58+7</f>
        <v>44592</v>
      </c>
    </row>
    <row r="60" customFormat="false" ht="15" hidden="false" customHeight="false" outlineLevel="0" collapsed="false">
      <c r="A60" s="91"/>
      <c r="J60" s="91" t="n">
        <f aca="false">J59+7</f>
        <v>44599</v>
      </c>
    </row>
    <row r="61" customFormat="false" ht="15" hidden="false" customHeight="false" outlineLevel="0" collapsed="false">
      <c r="A61" s="91"/>
      <c r="J61" s="91" t="n">
        <f aca="false">J60+7</f>
        <v>44606</v>
      </c>
    </row>
    <row r="62" customFormat="false" ht="15" hidden="false" customHeight="false" outlineLevel="0" collapsed="false">
      <c r="A62" s="91"/>
      <c r="J62" s="91" t="n">
        <f aca="false">J61+7</f>
        <v>44613</v>
      </c>
    </row>
    <row r="63" customFormat="false" ht="15" hidden="false" customHeight="false" outlineLevel="0" collapsed="false">
      <c r="A63" s="91"/>
      <c r="J63" s="91" t="n">
        <f aca="false">J62+7</f>
        <v>44620</v>
      </c>
    </row>
    <row r="64" customFormat="false" ht="15" hidden="false" customHeight="false" outlineLevel="0" collapsed="false">
      <c r="A64" s="91"/>
      <c r="J64" s="91" t="n">
        <f aca="false">J63+7</f>
        <v>44627</v>
      </c>
    </row>
    <row r="65" customFormat="false" ht="15" hidden="false" customHeight="false" outlineLevel="0" collapsed="false">
      <c r="A65" s="91"/>
      <c r="J65" s="91" t="n">
        <f aca="false">J64+7</f>
        <v>44634</v>
      </c>
    </row>
    <row r="66" customFormat="false" ht="15" hidden="false" customHeight="false" outlineLevel="0" collapsed="false">
      <c r="A66" s="91"/>
      <c r="J66" s="91" t="n">
        <f aca="false">J65+7</f>
        <v>44641</v>
      </c>
    </row>
    <row r="67" customFormat="false" ht="15" hidden="false" customHeight="false" outlineLevel="0" collapsed="false">
      <c r="A67" s="91"/>
      <c r="J67" s="91" t="n">
        <f aca="false">J66+7</f>
        <v>44648</v>
      </c>
    </row>
    <row r="68" customFormat="false" ht="15" hidden="false" customHeight="false" outlineLevel="0" collapsed="false">
      <c r="A68" s="91"/>
      <c r="J68" s="91" t="n">
        <f aca="false">J67+7</f>
        <v>44655</v>
      </c>
    </row>
    <row r="69" customFormat="false" ht="15" hidden="false" customHeight="false" outlineLevel="0" collapsed="false">
      <c r="A69" s="91"/>
      <c r="J69" s="91" t="n">
        <f aca="false">J68+7</f>
        <v>44662</v>
      </c>
    </row>
    <row r="70" customFormat="false" ht="15" hidden="false" customHeight="false" outlineLevel="0" collapsed="false">
      <c r="A70" s="91"/>
      <c r="J70" s="91" t="n">
        <f aca="false">J69+7</f>
        <v>44669</v>
      </c>
    </row>
    <row r="71" customFormat="false" ht="15" hidden="false" customHeight="false" outlineLevel="0" collapsed="false">
      <c r="A71" s="91"/>
      <c r="J71" s="91" t="n">
        <f aca="false">J70+7</f>
        <v>44676</v>
      </c>
    </row>
    <row r="72" customFormat="false" ht="15" hidden="false" customHeight="false" outlineLevel="0" collapsed="false">
      <c r="A72" s="91"/>
      <c r="J72" s="91" t="n">
        <f aca="false">J71+7</f>
        <v>44683</v>
      </c>
    </row>
    <row r="73" customFormat="false" ht="15" hidden="false" customHeight="false" outlineLevel="0" collapsed="false">
      <c r="A73" s="91"/>
      <c r="J73" s="91" t="n">
        <f aca="false">J72+7</f>
        <v>44690</v>
      </c>
    </row>
    <row r="74" customFormat="false" ht="15" hidden="false" customHeight="false" outlineLevel="0" collapsed="false">
      <c r="A74" s="91"/>
      <c r="J74" s="91" t="n">
        <f aca="false">J73+7</f>
        <v>44697</v>
      </c>
    </row>
    <row r="75" customFormat="false" ht="15" hidden="false" customHeight="false" outlineLevel="0" collapsed="false">
      <c r="A75" s="91"/>
      <c r="J75" s="91" t="n">
        <f aca="false">J74+7</f>
        <v>44704</v>
      </c>
    </row>
    <row r="76" customFormat="false" ht="15" hidden="false" customHeight="false" outlineLevel="0" collapsed="false">
      <c r="A76" s="91"/>
      <c r="J76" s="91" t="n">
        <f aca="false">J75+7</f>
        <v>44711</v>
      </c>
    </row>
    <row r="77" customFormat="false" ht="15" hidden="false" customHeight="false" outlineLevel="0" collapsed="false">
      <c r="A77" s="91"/>
      <c r="J77" s="91" t="n">
        <f aca="false">J76+7</f>
        <v>44718</v>
      </c>
    </row>
    <row r="78" customFormat="false" ht="15" hidden="false" customHeight="false" outlineLevel="0" collapsed="false">
      <c r="A78" s="91"/>
      <c r="J78" s="91" t="n">
        <f aca="false">J77+7</f>
        <v>44725</v>
      </c>
    </row>
    <row r="79" customFormat="false" ht="15" hidden="false" customHeight="false" outlineLevel="0" collapsed="false">
      <c r="A79" s="91"/>
      <c r="J79" s="91" t="n">
        <f aca="false">J78+7</f>
        <v>44732</v>
      </c>
    </row>
    <row r="80" customFormat="false" ht="15" hidden="false" customHeight="false" outlineLevel="0" collapsed="false">
      <c r="A80" s="91"/>
      <c r="J80" s="91" t="n">
        <f aca="false">J79+7</f>
        <v>44739</v>
      </c>
    </row>
    <row r="81" customFormat="false" ht="15" hidden="false" customHeight="false" outlineLevel="0" collapsed="false">
      <c r="A81" s="91"/>
      <c r="J81" s="91" t="n">
        <f aca="false">J80+7</f>
        <v>44746</v>
      </c>
    </row>
    <row r="82" customFormat="false" ht="15" hidden="false" customHeight="false" outlineLevel="0" collapsed="false">
      <c r="A82" s="91"/>
      <c r="J82" s="91" t="n">
        <f aca="false">J81+7</f>
        <v>44753</v>
      </c>
    </row>
    <row r="83" customFormat="false" ht="15" hidden="false" customHeight="false" outlineLevel="0" collapsed="false">
      <c r="A83" s="91"/>
      <c r="J83" s="91" t="n">
        <f aca="false">J82+7</f>
        <v>44760</v>
      </c>
    </row>
    <row r="84" customFormat="false" ht="15" hidden="false" customHeight="false" outlineLevel="0" collapsed="false">
      <c r="A84" s="91"/>
      <c r="J84" s="91" t="n">
        <f aca="false">J83+7</f>
        <v>44767</v>
      </c>
    </row>
    <row r="85" customFormat="false" ht="15" hidden="false" customHeight="false" outlineLevel="0" collapsed="false">
      <c r="A85" s="91"/>
      <c r="J85" s="91" t="n">
        <f aca="false">J84+7</f>
        <v>44774</v>
      </c>
    </row>
    <row r="86" customFormat="false" ht="15" hidden="false" customHeight="false" outlineLevel="0" collapsed="false">
      <c r="A86" s="91"/>
      <c r="J86" s="91" t="n">
        <f aca="false">J85+7</f>
        <v>44781</v>
      </c>
    </row>
    <row r="87" customFormat="false" ht="15" hidden="false" customHeight="false" outlineLevel="0" collapsed="false">
      <c r="A87" s="91"/>
      <c r="J87" s="91" t="n">
        <f aca="false">J86+7</f>
        <v>44788</v>
      </c>
    </row>
    <row r="88" customFormat="false" ht="15" hidden="false" customHeight="false" outlineLevel="0" collapsed="false">
      <c r="A88" s="91"/>
      <c r="J88" s="91" t="n">
        <f aca="false">J87+7</f>
        <v>44795</v>
      </c>
    </row>
    <row r="89" customFormat="false" ht="15" hidden="false" customHeight="false" outlineLevel="0" collapsed="false">
      <c r="A89" s="91"/>
      <c r="J89" s="91" t="n">
        <f aca="false">J88+7</f>
        <v>44802</v>
      </c>
    </row>
    <row r="90" customFormat="false" ht="15" hidden="false" customHeight="false" outlineLevel="0" collapsed="false">
      <c r="A90" s="91"/>
      <c r="J90" s="91" t="n">
        <f aca="false">J89+7</f>
        <v>44809</v>
      </c>
    </row>
    <row r="91" customFormat="false" ht="15" hidden="false" customHeight="false" outlineLevel="0" collapsed="false">
      <c r="A91" s="91"/>
      <c r="J91" s="91" t="n">
        <f aca="false">J90+7</f>
        <v>44816</v>
      </c>
    </row>
    <row r="92" customFormat="false" ht="15" hidden="false" customHeight="false" outlineLevel="0" collapsed="false">
      <c r="A92" s="91"/>
      <c r="J92" s="91" t="n">
        <f aca="false">J91+7</f>
        <v>44823</v>
      </c>
    </row>
    <row r="93" customFormat="false" ht="15" hidden="false" customHeight="false" outlineLevel="0" collapsed="false">
      <c r="A93" s="91"/>
      <c r="J93" s="91" t="n">
        <f aca="false">J92+7</f>
        <v>44830</v>
      </c>
    </row>
    <row r="94" customFormat="false" ht="15" hidden="false" customHeight="false" outlineLevel="0" collapsed="false">
      <c r="A94" s="91"/>
      <c r="J94" s="91" t="n">
        <f aca="false">J93+7</f>
        <v>44837</v>
      </c>
    </row>
    <row r="95" customFormat="false" ht="15" hidden="false" customHeight="false" outlineLevel="0" collapsed="false">
      <c r="A95" s="91"/>
      <c r="J95" s="91" t="n">
        <f aca="false">J94+7</f>
        <v>44844</v>
      </c>
    </row>
    <row r="96" customFormat="false" ht="15" hidden="false" customHeight="false" outlineLevel="0" collapsed="false">
      <c r="A96" s="91"/>
      <c r="J96" s="91" t="n">
        <f aca="false">J95+7</f>
        <v>44851</v>
      </c>
    </row>
    <row r="97" customFormat="false" ht="15" hidden="false" customHeight="false" outlineLevel="0" collapsed="false">
      <c r="A97" s="91"/>
      <c r="J97" s="91" t="n">
        <f aca="false">J96+7</f>
        <v>44858</v>
      </c>
    </row>
    <row r="98" customFormat="false" ht="15" hidden="false" customHeight="false" outlineLevel="0" collapsed="false">
      <c r="A98" s="91"/>
      <c r="J98" s="91" t="n">
        <f aca="false">J97+7</f>
        <v>44865</v>
      </c>
    </row>
    <row r="99" customFormat="false" ht="15" hidden="false" customHeight="false" outlineLevel="0" collapsed="false">
      <c r="A99" s="91"/>
      <c r="J99" s="91" t="n">
        <f aca="false">J98+7</f>
        <v>44872</v>
      </c>
    </row>
    <row r="100" customFormat="false" ht="15" hidden="false" customHeight="false" outlineLevel="0" collapsed="false">
      <c r="A100" s="91"/>
      <c r="J100" s="91" t="n">
        <f aca="false">J99+7</f>
        <v>44879</v>
      </c>
    </row>
    <row r="101" customFormat="false" ht="15" hidden="false" customHeight="false" outlineLevel="0" collapsed="false">
      <c r="A101" s="91"/>
      <c r="J101" s="91" t="n">
        <f aca="false">J100+7</f>
        <v>44886</v>
      </c>
    </row>
    <row r="102" customFormat="false" ht="15" hidden="false" customHeight="false" outlineLevel="0" collapsed="false">
      <c r="A102" s="91"/>
      <c r="J102" s="91" t="n">
        <f aca="false">J101+7</f>
        <v>44893</v>
      </c>
    </row>
    <row r="103" customFormat="false" ht="15" hidden="false" customHeight="false" outlineLevel="0" collapsed="false">
      <c r="A103" s="91"/>
      <c r="J103" s="91" t="n">
        <f aca="false">J102+7</f>
        <v>44900</v>
      </c>
    </row>
    <row r="104" customFormat="false" ht="15" hidden="false" customHeight="false" outlineLevel="0" collapsed="false">
      <c r="A104" s="91"/>
      <c r="J104" s="91" t="n">
        <f aca="false">J103+7</f>
        <v>44907</v>
      </c>
    </row>
    <row r="105" customFormat="false" ht="15" hidden="false" customHeight="false" outlineLevel="0" collapsed="false">
      <c r="A105" s="91"/>
      <c r="J105" s="91" t="n">
        <f aca="false">J104+7</f>
        <v>44914</v>
      </c>
    </row>
    <row r="106" customFormat="false" ht="15" hidden="false" customHeight="false" outlineLevel="0" collapsed="false">
      <c r="A106" s="91"/>
      <c r="J106" s="91" t="n">
        <f aca="false">J105+7</f>
        <v>44921</v>
      </c>
    </row>
    <row r="107" customFormat="false" ht="15" hidden="false" customHeight="false" outlineLevel="0" collapsed="false">
      <c r="A107" s="91"/>
    </row>
    <row r="108" customFormat="false" ht="15" hidden="false" customHeight="false" outlineLevel="0" collapsed="false">
      <c r="A108" s="91"/>
    </row>
    <row r="109" customFormat="false" ht="15" hidden="false" customHeight="false" outlineLevel="0" collapsed="false">
      <c r="A109" s="91"/>
    </row>
  </sheetData>
  <autoFilter ref="E1:E31">
    <sortState ref="E2:E31">
      <sortCondition ref="A2:A31" customList=""/>
    </sortState>
  </autoFilter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  <tableParts>
    <tablePart r:id="rId2"/>
    <tablePart r:id="rId3"/>
    <tablePart r:id="rId4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E87"/>
  <sheetViews>
    <sheetView showFormulas="false" showGridLines="true" showRowColHeaders="true" showZeros="true" rightToLeft="false" tabSelected="false" showOutlineSymbols="true" defaultGridColor="true" view="normal" topLeftCell="A12" colorId="64" zoomScale="100" zoomScaleNormal="100" zoomScalePageLayoutView="100" workbookViewId="0">
      <selection pane="topLeft" activeCell="D23" activeCellId="0" sqref="D23"/>
    </sheetView>
  </sheetViews>
  <sheetFormatPr defaultColWidth="9.1484375" defaultRowHeight="15" zeroHeight="false" outlineLevelRow="1" outlineLevelCol="0"/>
  <cols>
    <col collapsed="false" customWidth="true" hidden="false" outlineLevel="0" max="1" min="1" style="1" width="5.57"/>
    <col collapsed="false" customWidth="true" hidden="false" outlineLevel="0" max="2" min="2" style="1" width="19.42"/>
    <col collapsed="false" customWidth="true" hidden="false" outlineLevel="0" max="3" min="3" style="1" width="18.29"/>
    <col collapsed="false" customWidth="true" hidden="false" outlineLevel="0" max="4" min="4" style="1" width="13.42"/>
    <col collapsed="false" customWidth="true" hidden="false" outlineLevel="0" max="5" min="5" style="1" width="10.57"/>
    <col collapsed="false" customWidth="true" hidden="false" outlineLevel="0" max="6" min="6" style="1" width="19"/>
    <col collapsed="false" customWidth="true" hidden="false" outlineLevel="0" max="7" min="7" style="1" width="11.43"/>
    <col collapsed="false" customWidth="true" hidden="false" outlineLevel="0" max="8" min="8" style="1" width="14.57"/>
    <col collapsed="false" customWidth="true" hidden="false" outlineLevel="0" max="9" min="9" style="1" width="19.29"/>
    <col collapsed="false" customWidth="true" hidden="false" outlineLevel="0" max="10" min="10" style="1" width="9.71"/>
    <col collapsed="false" customWidth="true" hidden="false" outlineLevel="0" max="11" min="11" style="1" width="7.29"/>
    <col collapsed="false" customWidth="true" hidden="false" outlineLevel="0" max="12" min="12" style="2" width="9.86"/>
    <col collapsed="false" customWidth="true" hidden="false" outlineLevel="0" max="13" min="13" style="1" width="6.14"/>
    <col collapsed="false" customWidth="true" hidden="false" outlineLevel="0" max="14" min="14" style="1" width="5"/>
    <col collapsed="false" customWidth="true" hidden="false" outlineLevel="0" max="15" min="15" style="1" width="5.57"/>
    <col collapsed="false" customWidth="true" hidden="false" outlineLevel="0" max="17" min="16" style="1" width="6.14"/>
    <col collapsed="false" customWidth="true" hidden="false" outlineLevel="0" max="18" min="18" style="1" width="8.29"/>
    <col collapsed="false" customWidth="true" hidden="false" outlineLevel="0" max="20" min="19" style="1" width="5"/>
    <col collapsed="false" customWidth="true" hidden="false" outlineLevel="0" max="21" min="21" style="1" width="6.14"/>
    <col collapsed="false" customWidth="true" hidden="true" outlineLevel="0" max="23" min="22" style="1" width="6.14"/>
    <col collapsed="false" customWidth="true" hidden="true" outlineLevel="0" max="24" min="24" style="1" width="12.71"/>
    <col collapsed="false" customWidth="false" hidden="true" outlineLevel="0" max="29" min="25" style="1" width="9.14"/>
    <col collapsed="false" customWidth="true" hidden="true" outlineLevel="0" max="30" min="30" style="1" width="10.57"/>
    <col collapsed="false" customWidth="true" hidden="true" outlineLevel="0" max="31" min="31" style="1" width="11.14"/>
    <col collapsed="false" customWidth="true" hidden="false" outlineLevel="0" max="32" min="32" style="1" width="9.57"/>
    <col collapsed="false" customWidth="false" hidden="false" outlineLevel="0" max="16384" min="33" style="1" width="9.14"/>
  </cols>
  <sheetData>
    <row r="1" customFormat="false" ht="17.35" hidden="false" customHeight="false" outlineLevel="0" collapsed="false">
      <c r="A1" s="3"/>
      <c r="B1" s="4" t="str">
        <f aca="false">"Semaine du :"</f>
        <v>Semaine du :</v>
      </c>
      <c r="C1" s="5" t="n">
        <v>44452</v>
      </c>
      <c r="D1" s="6" t="str">
        <f aca="false">"( "&amp;AVERAGE($E$2:$I$2)&amp;" )"</f>
        <v>( 8 )</v>
      </c>
      <c r="E1" s="7" t="str">
        <f aca="false">IFERROR("Lun.: " &amp; TEXT($Y$2,"00%"),"Lun.: 0%")</f>
        <v>Lun.: 18%</v>
      </c>
      <c r="F1" s="8" t="str">
        <f aca="false">IFERROR("Mar.: " &amp; TEXT($Z$2,"00%"),"Mar.: 0%")</f>
        <v>Mar.: 40%</v>
      </c>
      <c r="G1" s="8" t="str">
        <f aca="false">IFERROR("Mer.: " &amp; TEXT($AA$2,"00%"),"Mer.: 0%")</f>
        <v>Mer.: 64%</v>
      </c>
      <c r="H1" s="8" t="str">
        <f aca="false">IFERROR("Jeu.: " &amp; TEXT($AB$2,"00%"),"Jeu.: 0%")</f>
        <v>Jeu.: 46%</v>
      </c>
      <c r="I1" s="8" t="str">
        <f aca="false">IFERROR("Ven.: " &amp; TEXT($AC$2,"00%"),"Ven.: 0%")</f>
        <v>Ven.: 00%</v>
      </c>
      <c r="J1" s="9" t="str">
        <f aca="false">IFERROR("S.: " &amp; TEXT($AD$2,"00%"),"S.: 0%")</f>
        <v>S.: 00%</v>
      </c>
      <c r="K1" s="10" t="str">
        <f aca="false">IFERROR("D.: " &amp; TEXT($AE$2,"00%"), "D.: 0%")</f>
        <v>D.: 00%</v>
      </c>
      <c r="L1" s="11"/>
      <c r="M1" s="12" t="n">
        <f aca="false">M2/Total</f>
        <v>0.357142857142857</v>
      </c>
      <c r="N1" s="12" t="n">
        <f aca="false">N2/$C$2</f>
        <v>0.01875</v>
      </c>
      <c r="O1" s="12" t="n">
        <f aca="false">O2/$C$2</f>
        <v>0.1125</v>
      </c>
      <c r="P1" s="12" t="n">
        <f aca="false">P2/$C$2</f>
        <v>0.43125</v>
      </c>
      <c r="Q1" s="12" t="n">
        <f aca="false">Q2/$C$2</f>
        <v>0</v>
      </c>
      <c r="R1" s="13" t="n">
        <f aca="false">R2/$C$2</f>
        <v>0</v>
      </c>
      <c r="S1" s="13" t="n">
        <f aca="false">S2/$C$2</f>
        <v>0</v>
      </c>
      <c r="T1" s="13" t="n">
        <f aca="false">T2/$C$2</f>
        <v>0.05625</v>
      </c>
      <c r="U1" s="14" t="n">
        <f aca="false">U2/$C$2</f>
        <v>0.0375</v>
      </c>
      <c r="V1" s="15"/>
      <c r="W1" s="16"/>
      <c r="X1" s="17" t="e">
        <f aca="false">SUM(#REF!)</f>
        <v>#REF!</v>
      </c>
      <c r="Y1" s="18" t="s">
        <v>0</v>
      </c>
      <c r="Z1" s="18" t="s">
        <v>1</v>
      </c>
      <c r="AA1" s="18" t="s">
        <v>2</v>
      </c>
      <c r="AB1" s="18" t="s">
        <v>3</v>
      </c>
      <c r="AC1" s="18" t="s">
        <v>4</v>
      </c>
      <c r="AD1" s="18" t="s">
        <v>5</v>
      </c>
      <c r="AE1" s="18" t="s">
        <v>6</v>
      </c>
    </row>
    <row r="2" customFormat="false" ht="22.05" hidden="false" customHeight="false" outlineLevel="0" collapsed="false">
      <c r="A2" s="3"/>
      <c r="B2" s="19" t="n">
        <f aca="false">X2</f>
        <v>0.403973509933775</v>
      </c>
      <c r="C2" s="20" t="n">
        <f aca="false">SUM(Horo82111[Durée])</f>
        <v>40</v>
      </c>
      <c r="D2" s="21" t="str">
        <f aca="false">ROUND(SUM(Horo82111[T]),2) &amp; " / " &amp; ROUND($C$2-SUM(Horo82111[T]),2)</f>
        <v>40 / 0</v>
      </c>
      <c r="E2" s="22" t="n">
        <f aca="false">SUMIF(Horo82111[Jour],"Lundi",Horo82111[Durée])</f>
        <v>8.5</v>
      </c>
      <c r="F2" s="23" t="n">
        <f aca="false">SUMIF(Horo82111[Jour],"Mardi",Horo82111[Durée])</f>
        <v>8.75</v>
      </c>
      <c r="G2" s="23" t="n">
        <f aca="false">SUMIF(Horo82111[Jour],"Mercredi",Horo82111[Durée])</f>
        <v>7</v>
      </c>
      <c r="H2" s="23" t="n">
        <f aca="false">SUMIF(Horo82111[Jour],"Jeudi",Horo82111[Durée])</f>
        <v>9.25</v>
      </c>
      <c r="I2" s="23" t="n">
        <f aca="false">SUMIF(Horo82111[Jour],"Vendredi",Horo82111[Durée])</f>
        <v>6.5</v>
      </c>
      <c r="J2" s="23" t="n">
        <f aca="false">SUMIF(Horo82111[Jour],"Samedi",Horo82111[Durée])</f>
        <v>0</v>
      </c>
      <c r="K2" s="23" t="n">
        <f aca="false">SUMIF(Horo82111[Jour],"Dimanche",Horo82111[Durée])</f>
        <v>0</v>
      </c>
      <c r="L2" s="24"/>
      <c r="M2" s="25" t="n">
        <f aca="false">SUM(Horo82111[GPF])</f>
        <v>13.75</v>
      </c>
      <c r="N2" s="25" t="n">
        <f aca="false">SUM(Horo82111[RI])</f>
        <v>0.75</v>
      </c>
      <c r="O2" s="25" t="n">
        <f aca="false">SUM(Horo82111[GB])</f>
        <v>4.5</v>
      </c>
      <c r="P2" s="25" t="n">
        <f aca="false">SUM(Horo82111[RD])</f>
        <v>17.25</v>
      </c>
      <c r="Q2" s="25" t="n">
        <f aca="false">SUM(Horo82111[FG])</f>
        <v>0</v>
      </c>
      <c r="R2" s="26" t="n">
        <f aca="false">SUM(Horo82111[CONGÉ])</f>
        <v>0</v>
      </c>
      <c r="S2" s="26" t="n">
        <f aca="false">SUM(Horo82111[PS])</f>
        <v>0</v>
      </c>
      <c r="T2" s="26" t="n">
        <f aca="false">SUM(Horo82111[TD])</f>
        <v>2.25</v>
      </c>
      <c r="U2" s="27" t="n">
        <f aca="false">SUM(Horo82111[N/C])</f>
        <v>1.5</v>
      </c>
      <c r="V2" s="17" t="n">
        <f aca="false">(C2-(SUM(N2:T2)))</f>
        <v>15.25</v>
      </c>
      <c r="W2" s="17" t="n">
        <f aca="false">C2-(R2+S2+T2)</f>
        <v>37.75</v>
      </c>
      <c r="X2" s="28" t="n">
        <f aca="false">V2/W2</f>
        <v>0.403973509933775</v>
      </c>
      <c r="Y2" s="29" t="n">
        <f aca="false">SUMIF(Horo82111[Jour],"Lundi",Horo82111[GPF]) / $E$2</f>
        <v>0.176470588235294</v>
      </c>
      <c r="Z2" s="29" t="n">
        <f aca="false">SUMIF(Horo82111[Jour],"Mardi",Horo82111[GPF]) / $F$2</f>
        <v>0.4</v>
      </c>
      <c r="AA2" s="29" t="n">
        <f aca="false">SUMIF(Horo82111[Jour],"Mercredi",Horo82111[GPF]) / $G$2</f>
        <v>0.642857142857143</v>
      </c>
      <c r="AB2" s="29" t="n">
        <f aca="false">SUMIF(Horo82111[Jour],"Jeudi",Horo82111[GPF]) / $H$2</f>
        <v>0.459459459459459</v>
      </c>
      <c r="AC2" s="29" t="n">
        <f aca="false">SUMIF(Horo82111[Jour],"Vendredi",Horo82111[GPF]) / $I$2</f>
        <v>0</v>
      </c>
      <c r="AD2" s="29" t="n">
        <f aca="false">IFERROR(SUMIF(Horo82111[Jour],"Samedi",Horo82111[GPF]) / $J$2,0)</f>
        <v>0</v>
      </c>
      <c r="AE2" s="29" t="n">
        <f aca="false">IFERROR(SUMIF(Horo82111[Jour],"Dimanche",Horo82111[GPF]) / $K$2,0)</f>
        <v>0</v>
      </c>
    </row>
    <row r="3" customFormat="false" ht="15" hidden="false" customHeight="false" outlineLevel="0" collapsed="false">
      <c r="A3" s="30" t="s">
        <v>7</v>
      </c>
      <c r="B3" s="31" t="s">
        <v>8</v>
      </c>
      <c r="C3" s="31" t="s">
        <v>9</v>
      </c>
      <c r="D3" s="32" t="s">
        <v>10</v>
      </c>
      <c r="E3" s="33" t="s">
        <v>11</v>
      </c>
      <c r="F3" s="34" t="s">
        <v>12</v>
      </c>
      <c r="G3" s="34" t="s">
        <v>13</v>
      </c>
      <c r="H3" s="34" t="s">
        <v>14</v>
      </c>
      <c r="I3" s="35" t="s">
        <v>15</v>
      </c>
      <c r="J3" s="36" t="s">
        <v>16</v>
      </c>
      <c r="K3" s="36" t="s">
        <v>17</v>
      </c>
      <c r="L3" s="37" t="s">
        <v>18</v>
      </c>
      <c r="M3" s="38" t="s">
        <v>19</v>
      </c>
      <c r="N3" s="39" t="s">
        <v>20</v>
      </c>
      <c r="O3" s="39" t="s">
        <v>21</v>
      </c>
      <c r="P3" s="39" t="s">
        <v>22</v>
      </c>
      <c r="Q3" s="39" t="s">
        <v>23</v>
      </c>
      <c r="R3" s="40" t="s">
        <v>24</v>
      </c>
      <c r="S3" s="40" t="s">
        <v>25</v>
      </c>
      <c r="T3" s="41" t="s">
        <v>26</v>
      </c>
      <c r="U3" s="41" t="s">
        <v>27</v>
      </c>
      <c r="V3" s="42" t="s">
        <v>28</v>
      </c>
      <c r="W3" s="43" t="s">
        <v>29</v>
      </c>
      <c r="X3" s="44" t="s">
        <v>30</v>
      </c>
    </row>
    <row r="4" customFormat="false" ht="15" hidden="false" customHeight="false" outlineLevel="0" collapsed="false">
      <c r="A4" s="45" t="s">
        <v>31</v>
      </c>
      <c r="B4" s="46" t="n">
        <f aca="false">IF(Horo82111[[#This Row],[Jour]]="Lundi",$C$1+1, IF(Horo82111[[#This Row],[Jour]]="Mardi",$C$1+2, IF(Horo82111[[#This Row],[Jour]]="Mercredi",$C$1+3, IF(Horo82111[[#This Row],[Jour]]="Jeudi",$C$1+4, IF(Horo82111[[#This Row],[Jour]]="Vendredi",$C$1+5, IF(Horo82111[[#This Row],[Jour]]="Samedi",$C$1+6, IF(Horo82111[[#This Row],[Jour]]="Dimanche",$C$1, )))))))</f>
        <v>44453</v>
      </c>
      <c r="C4" s="47" t="s">
        <v>0</v>
      </c>
      <c r="D4" s="48" t="n">
        <v>0.302083333333333</v>
      </c>
      <c r="E4" s="48" t="n">
        <v>0.364583333333333</v>
      </c>
      <c r="F4" s="49" t="s">
        <v>32</v>
      </c>
      <c r="G4" s="49" t="s">
        <v>21</v>
      </c>
      <c r="H4" s="50" t="s">
        <v>33</v>
      </c>
      <c r="I4" s="51"/>
      <c r="J4" s="52" t="n">
        <f aca="false">IF(Horo82111[[#This Row],[Début]]=0,"",(Horo82111[[#This Row],[Durée (60)2]]-INT(Horo82111[[#This Row],[Durée (60)2]]))*24)</f>
        <v>1.5</v>
      </c>
      <c r="K4" s="53" t="n">
        <f aca="false">SUMIF(Horo82111[Jour],C4,Horo82111[Durée])</f>
        <v>8.5</v>
      </c>
      <c r="L4" s="54" t="n">
        <f aca="false">IFERROR(SUMIF(Horo82111[[#This Row],[Jour]],Horo82111[[#This Row],[Jour]],Horo82111[[#This Row],[GPF]]) / Horo82111[[#This Row],[hrs]],"")</f>
        <v>0</v>
      </c>
      <c r="M4" s="55" t="str">
        <f aca="false">IF("GPF"=Horo82111[[#This Row],[Tâche]],Horo82111[[#This Row],[Durée]],"")</f>
        <v/>
      </c>
      <c r="N4" s="56" t="str">
        <f aca="false">IF("RI"=Horo82111[[#This Row],[Tâche]],Horo82111[[#This Row],[Durée]],"")</f>
        <v/>
      </c>
      <c r="O4" s="56" t="n">
        <f aca="false">IF("GB"=Horo82111[[#This Row],[Tâche]],Horo82111[[#This Row],[Durée]],"")</f>
        <v>1.5</v>
      </c>
      <c r="P4" s="56" t="str">
        <f aca="false">IF("RD"=Horo82111[[#This Row],[Tâche]],Horo82111[[#This Row],[Durée]],"")</f>
        <v/>
      </c>
      <c r="Q4" s="56" t="str">
        <f aca="false">IF("FG"=Horo82111[[#This Row],[Tâche]],Horo82111[[#This Row],[Durée]],"")</f>
        <v/>
      </c>
      <c r="R4" s="56" t="str">
        <f aca="false">IF("CONGÉ"=Horo82111[[#This Row],[Tâche]],Horo82111[[#This Row],[Durée]],"")</f>
        <v/>
      </c>
      <c r="S4" s="57" t="str">
        <f aca="false">IF("PS"=Horo82111[[#This Row],[Tâche]],Horo82111[[#This Row],[Durée]],"")</f>
        <v/>
      </c>
      <c r="T4" s="56" t="str">
        <f aca="false">IF("TD"=Horo82111[[#This Row],[Tâche]],Horo82111[[#This Row],[Durée]],"")</f>
        <v/>
      </c>
      <c r="U4" s="55" t="str">
        <f aca="false">IF("N/C"=Horo82111[[#This Row],[Tâche]],Horo82111[[#This Row],[Durée]],"")</f>
        <v/>
      </c>
      <c r="V4" s="58"/>
      <c r="W4" s="59" t="n">
        <f aca="false">IF(Horo82111[[#This Row],[O]]="o",Horo82111[[#This Row],[Durée]],".")</f>
        <v>1.5</v>
      </c>
      <c r="X4" s="60" t="n">
        <f aca="false">IF(Horo82111[[#This Row],[Début]]=0,"",Horo82111[[#This Row],[Fin]]-Horo82111[[#This Row],[Début]])</f>
        <v>0.0625</v>
      </c>
    </row>
    <row r="5" customFormat="false" ht="15" hidden="false" customHeight="false" outlineLevel="0" collapsed="false">
      <c r="A5" s="45" t="s">
        <v>31</v>
      </c>
      <c r="B5" s="46" t="n">
        <f aca="false">IF(Horo82111[[#This Row],[Jour]]="Lundi",$C$1+1, IF(Horo82111[[#This Row],[Jour]]="Mardi",$C$1+2, IF(Horo82111[[#This Row],[Jour]]="Mercredi",$C$1+3, IF(Horo82111[[#This Row],[Jour]]="Jeudi",$C$1+4, IF(Horo82111[[#This Row],[Jour]]="Vendredi",$C$1+5, IF(Horo82111[[#This Row],[Jour]]="Samedi",$C$1+6, IF(Horo82111[[#This Row],[Jour]]="Dimanche",$C$1, )))))))</f>
        <v>44453</v>
      </c>
      <c r="C5" s="47" t="s">
        <v>0</v>
      </c>
      <c r="D5" s="48" t="n">
        <v>0.364583333333333</v>
      </c>
      <c r="E5" s="48" t="n">
        <v>0.385416666666667</v>
      </c>
      <c r="F5" s="49" t="s">
        <v>32</v>
      </c>
      <c r="G5" s="49" t="s">
        <v>20</v>
      </c>
      <c r="H5" s="50" t="s">
        <v>121</v>
      </c>
      <c r="I5" s="61"/>
      <c r="J5" s="52" t="n">
        <f aca="false">IF(Horo82111[[#This Row],[Début]]=0,"",(Horo82111[[#This Row],[Durée (60)2]]-INT(Horo82111[[#This Row],[Durée (60)2]]))*24)</f>
        <v>0.500000000000001</v>
      </c>
      <c r="K5" s="62" t="n">
        <f aca="false">SUMIF(Horo82111[Jour],C5,Horo82111[Durée])</f>
        <v>8.5</v>
      </c>
      <c r="L5" s="54" t="n">
        <f aca="false">IFERROR(SUMIF(Horo82111[[#This Row],[Jour]],Horo82111[[#This Row],[Jour]],Horo82111[[#This Row],[GPF]]) / Horo82111[[#This Row],[hrs]],"")</f>
        <v>0</v>
      </c>
      <c r="M5" s="56" t="str">
        <f aca="false">IF("GPF"=Horo82111[[#This Row],[Tâche]],Horo82111[[#This Row],[Durée]],"")</f>
        <v/>
      </c>
      <c r="N5" s="56" t="n">
        <f aca="false">IF("RI"=Horo82111[[#This Row],[Tâche]],Horo82111[[#This Row],[Durée]],"")</f>
        <v>0.500000000000001</v>
      </c>
      <c r="O5" s="56" t="str">
        <f aca="false">IF("GB"=Horo82111[[#This Row],[Tâche]],Horo82111[[#This Row],[Durée]],"")</f>
        <v/>
      </c>
      <c r="P5" s="56" t="str">
        <f aca="false">IF("RD"=Horo82111[[#This Row],[Tâche]],Horo82111[[#This Row],[Durée]],"")</f>
        <v/>
      </c>
      <c r="Q5" s="56" t="str">
        <f aca="false">IF("FG"=Horo82111[[#This Row],[Tâche]],Horo82111[[#This Row],[Durée]],"")</f>
        <v/>
      </c>
      <c r="R5" s="56" t="str">
        <f aca="false">IF("CONGÉ"=Horo82111[[#This Row],[Tâche]],Horo82111[[#This Row],[Durée]],"")</f>
        <v/>
      </c>
      <c r="S5" s="57" t="str">
        <f aca="false">IF("PS"=Horo82111[[#This Row],[Tâche]],Horo82111[[#This Row],[Durée]],"")</f>
        <v/>
      </c>
      <c r="T5" s="56" t="str">
        <f aca="false">IF("TD"=Horo82111[[#This Row],[Tâche]],Horo82111[[#This Row],[Durée]],"")</f>
        <v/>
      </c>
      <c r="U5" s="55" t="str">
        <f aca="false">IF("N/C"=Horo82111[[#This Row],[Tâche]],Horo82111[[#This Row],[Durée]],"")</f>
        <v/>
      </c>
      <c r="V5" s="58"/>
      <c r="W5" s="59" t="n">
        <f aca="false">IF(Horo82111[[#This Row],[O]]="o",Horo82111[[#This Row],[Durée]],".")</f>
        <v>0.500000000000001</v>
      </c>
      <c r="X5" s="60" t="n">
        <f aca="false">IF(Horo82111[[#This Row],[Début]]=0,"",Horo82111[[#This Row],[Fin]]-Horo82111[[#This Row],[Début]])</f>
        <v>0.0208333333333334</v>
      </c>
    </row>
    <row r="6" customFormat="false" ht="15" hidden="false" customHeight="false" outlineLevel="0" collapsed="false">
      <c r="A6" s="45" t="s">
        <v>31</v>
      </c>
      <c r="B6" s="46" t="n">
        <f aca="false">IF(Horo82111[[#This Row],[Jour]]="Lundi",$C$1+1, IF(Horo82111[[#This Row],[Jour]]="Mardi",$C$1+2, IF(Horo82111[[#This Row],[Jour]]="Mercredi",$C$1+3, IF(Horo82111[[#This Row],[Jour]]="Jeudi",$C$1+4, IF(Horo82111[[#This Row],[Jour]]="Vendredi",$C$1+5, IF(Horo82111[[#This Row],[Jour]]="Samedi",$C$1+6, IF(Horo82111[[#This Row],[Jour]]="Dimanche",$C$1, )))))))</f>
        <v>44453</v>
      </c>
      <c r="C6" s="47" t="s">
        <v>0</v>
      </c>
      <c r="D6" s="48" t="n">
        <v>0.385416666666667</v>
      </c>
      <c r="E6" s="48" t="n">
        <v>0.395833333333333</v>
      </c>
      <c r="F6" s="49" t="s">
        <v>32</v>
      </c>
      <c r="G6" s="49" t="s">
        <v>21</v>
      </c>
      <c r="H6" s="50" t="s">
        <v>33</v>
      </c>
      <c r="I6" s="61"/>
      <c r="J6" s="52" t="n">
        <f aca="false">IF(Horo82111[[#This Row],[Début]]=0,"",(Horo82111[[#This Row],[Durée (60)2]]-INT(Horo82111[[#This Row],[Durée (60)2]]))*24)</f>
        <v>0.249999999999999</v>
      </c>
      <c r="K6" s="62" t="n">
        <f aca="false">SUMIF(Horo82111[Jour],C6,Horo82111[Durée])</f>
        <v>8.5</v>
      </c>
      <c r="L6" s="54" t="n">
        <f aca="false">IFERROR(SUMIF(Horo82111[[#This Row],[Jour]],Horo82111[[#This Row],[Jour]],Horo82111[[#This Row],[GPF]]) / Horo82111[[#This Row],[hrs]],"")</f>
        <v>0</v>
      </c>
      <c r="M6" s="56" t="str">
        <f aca="false">IF("GPF"=Horo82111[[#This Row],[Tâche]],Horo82111[[#This Row],[Durée]],"")</f>
        <v/>
      </c>
      <c r="N6" s="56" t="str">
        <f aca="false">IF("RI"=Horo82111[[#This Row],[Tâche]],Horo82111[[#This Row],[Durée]],"")</f>
        <v/>
      </c>
      <c r="O6" s="56" t="n">
        <f aca="false">IF("GB"=Horo82111[[#This Row],[Tâche]],Horo82111[[#This Row],[Durée]],"")</f>
        <v>0.249999999999999</v>
      </c>
      <c r="P6" s="56" t="str">
        <f aca="false">IF("RD"=Horo82111[[#This Row],[Tâche]],Horo82111[[#This Row],[Durée]],"")</f>
        <v/>
      </c>
      <c r="Q6" s="56" t="str">
        <f aca="false">IF("FG"=Horo82111[[#This Row],[Tâche]],Horo82111[[#This Row],[Durée]],"")</f>
        <v/>
      </c>
      <c r="R6" s="56" t="str">
        <f aca="false">IF("CONGÉ"=Horo82111[[#This Row],[Tâche]],Horo82111[[#This Row],[Durée]],"")</f>
        <v/>
      </c>
      <c r="S6" s="57" t="str">
        <f aca="false">IF("PS"=Horo82111[[#This Row],[Tâche]],Horo82111[[#This Row],[Durée]],"")</f>
        <v/>
      </c>
      <c r="T6" s="56" t="str">
        <f aca="false">IF("TD"=Horo82111[[#This Row],[Tâche]],Horo82111[[#This Row],[Durée]],"")</f>
        <v/>
      </c>
      <c r="U6" s="55" t="str">
        <f aca="false">IF("N/C"=Horo82111[[#This Row],[Tâche]],Horo82111[[#This Row],[Durée]],"")</f>
        <v/>
      </c>
      <c r="V6" s="58"/>
      <c r="W6" s="59" t="n">
        <f aca="false">IF(Horo82111[[#This Row],[O]]="o",Horo82111[[#This Row],[Durée]],".")</f>
        <v>0.249999999999999</v>
      </c>
      <c r="X6" s="60" t="n">
        <f aca="false">IF(Horo82111[[#This Row],[Début]]=0,"",Horo82111[[#This Row],[Fin]]-Horo82111[[#This Row],[Début]])</f>
        <v>0.0104166666666666</v>
      </c>
    </row>
    <row r="7" customFormat="false" ht="15" hidden="false" customHeight="false" outlineLevel="0" collapsed="false">
      <c r="A7" s="45" t="s">
        <v>31</v>
      </c>
      <c r="B7" s="46" t="n">
        <f aca="false">IF(Horo82111[[#This Row],[Jour]]="Lundi",$C$1+1, IF(Horo82111[[#This Row],[Jour]]="Mardi",$C$1+2, IF(Horo82111[[#This Row],[Jour]]="Mercredi",$C$1+3, IF(Horo82111[[#This Row],[Jour]]="Jeudi",$C$1+4, IF(Horo82111[[#This Row],[Jour]]="Vendredi",$C$1+5, IF(Horo82111[[#This Row],[Jour]]="Samedi",$C$1+6, IF(Horo82111[[#This Row],[Jour]]="Dimanche",$C$1, )))))))</f>
        <v>44453</v>
      </c>
      <c r="C7" s="47" t="s">
        <v>0</v>
      </c>
      <c r="D7" s="48" t="n">
        <v>0.395833333333333</v>
      </c>
      <c r="E7" s="48" t="n">
        <v>0.416666666666667</v>
      </c>
      <c r="F7" s="49" t="s">
        <v>37</v>
      </c>
      <c r="G7" s="49" t="s">
        <v>19</v>
      </c>
      <c r="H7" s="50" t="s">
        <v>55</v>
      </c>
      <c r="I7" s="61"/>
      <c r="J7" s="52" t="n">
        <f aca="false">IF(Horo82111[[#This Row],[Début]]=0,"",(Horo82111[[#This Row],[Durée (60)2]]-INT(Horo82111[[#This Row],[Durée (60)2]]))*24)</f>
        <v>0.500000000000001</v>
      </c>
      <c r="K7" s="62" t="n">
        <f aca="false">SUMIF(Horo82111[Jour],C7,Horo82111[Durée])</f>
        <v>8.5</v>
      </c>
      <c r="L7" s="54" t="n">
        <f aca="false">IFERROR(SUMIF(Horo82111[[#This Row],[Jour]],Horo82111[[#This Row],[Jour]],Horo82111[[#This Row],[GPF]]) / Horo82111[[#This Row],[hrs]],"")</f>
        <v>0.0588235294117648</v>
      </c>
      <c r="M7" s="56" t="n">
        <f aca="false">IF("GPF"=Horo82111[[#This Row],[Tâche]],Horo82111[[#This Row],[Durée]],"")</f>
        <v>0.500000000000001</v>
      </c>
      <c r="N7" s="56" t="str">
        <f aca="false">IF("RI"=Horo82111[[#This Row],[Tâche]],Horo82111[[#This Row],[Durée]],"")</f>
        <v/>
      </c>
      <c r="O7" s="56" t="str">
        <f aca="false">IF("GB"=Horo82111[[#This Row],[Tâche]],Horo82111[[#This Row],[Durée]],"")</f>
        <v/>
      </c>
      <c r="P7" s="56" t="str">
        <f aca="false">IF("RD"=Horo82111[[#This Row],[Tâche]],Horo82111[[#This Row],[Durée]],"")</f>
        <v/>
      </c>
      <c r="Q7" s="56" t="str">
        <f aca="false">IF("FG"=Horo82111[[#This Row],[Tâche]],Horo82111[[#This Row],[Durée]],"")</f>
        <v/>
      </c>
      <c r="R7" s="56" t="str">
        <f aca="false">IF("CONGÉ"=Horo82111[[#This Row],[Tâche]],Horo82111[[#This Row],[Durée]],"")</f>
        <v/>
      </c>
      <c r="S7" s="57" t="str">
        <f aca="false">IF("PS"=Horo82111[[#This Row],[Tâche]],Horo82111[[#This Row],[Durée]],"")</f>
        <v/>
      </c>
      <c r="T7" s="56" t="str">
        <f aca="false">IF("TD"=Horo82111[[#This Row],[Tâche]],Horo82111[[#This Row],[Durée]],"")</f>
        <v/>
      </c>
      <c r="U7" s="55" t="str">
        <f aca="false">IF("N/C"=Horo82111[[#This Row],[Tâche]],Horo82111[[#This Row],[Durée]],"")</f>
        <v/>
      </c>
      <c r="V7" s="58"/>
      <c r="W7" s="59" t="n">
        <f aca="false">IF(Horo82111[[#This Row],[O]]="o",Horo82111[[#This Row],[Durée]],".")</f>
        <v>0.500000000000001</v>
      </c>
      <c r="X7" s="60" t="n">
        <f aca="false">IF(Horo82111[[#This Row],[Début]]=0,"",Horo82111[[#This Row],[Fin]]-Horo82111[[#This Row],[Début]])</f>
        <v>0.0208333333333334</v>
      </c>
    </row>
    <row r="8" customFormat="false" ht="15" hidden="false" customHeight="false" outlineLevel="0" collapsed="false">
      <c r="A8" s="45" t="s">
        <v>31</v>
      </c>
      <c r="B8" s="46" t="n">
        <f aca="false">IF(Horo82111[[#This Row],[Jour]]="Lundi",$C$1+1, IF(Horo82111[[#This Row],[Jour]]="Mardi",$C$1+2, IF(Horo82111[[#This Row],[Jour]]="Mercredi",$C$1+3, IF(Horo82111[[#This Row],[Jour]]="Jeudi",$C$1+4, IF(Horo82111[[#This Row],[Jour]]="Vendredi",$C$1+5, IF(Horo82111[[#This Row],[Jour]]="Samedi",$C$1+6, IF(Horo82111[[#This Row],[Jour]]="Dimanche",$C$1, )))))))</f>
        <v>44453</v>
      </c>
      <c r="C8" s="47" t="s">
        <v>0</v>
      </c>
      <c r="D8" s="48" t="n">
        <v>0.416666666666667</v>
      </c>
      <c r="E8" s="48" t="n">
        <v>0.427083333333333</v>
      </c>
      <c r="F8" s="49" t="s">
        <v>47</v>
      </c>
      <c r="G8" s="49" t="s">
        <v>20</v>
      </c>
      <c r="H8" s="50" t="s">
        <v>55</v>
      </c>
      <c r="I8" s="61" t="s">
        <v>131</v>
      </c>
      <c r="J8" s="52" t="n">
        <f aca="false">IF(Horo82111[[#This Row],[Début]]=0,"",(Horo82111[[#This Row],[Durée (60)2]]-INT(Horo82111[[#This Row],[Durée (60)2]]))*24)</f>
        <v>0.249999999999999</v>
      </c>
      <c r="K8" s="62" t="n">
        <f aca="false">SUMIF(Horo82111[Jour],C8,Horo82111[Durée])</f>
        <v>8.5</v>
      </c>
      <c r="L8" s="54" t="n">
        <f aca="false">IFERROR(SUMIF(Horo82111[[#This Row],[Jour]],Horo82111[[#This Row],[Jour]],Horo82111[[#This Row],[GPF]]) / Horo82111[[#This Row],[hrs]],"")</f>
        <v>0</v>
      </c>
      <c r="M8" s="56" t="str">
        <f aca="false">IF("GPF"=Horo82111[[#This Row],[Tâche]],Horo82111[[#This Row],[Durée]],"")</f>
        <v/>
      </c>
      <c r="N8" s="56" t="n">
        <f aca="false">IF("RI"=Horo82111[[#This Row],[Tâche]],Horo82111[[#This Row],[Durée]],"")</f>
        <v>0.249999999999999</v>
      </c>
      <c r="O8" s="56" t="str">
        <f aca="false">IF("GB"=Horo82111[[#This Row],[Tâche]],Horo82111[[#This Row],[Durée]],"")</f>
        <v/>
      </c>
      <c r="P8" s="56" t="str">
        <f aca="false">IF("RD"=Horo82111[[#This Row],[Tâche]],Horo82111[[#This Row],[Durée]],"")</f>
        <v/>
      </c>
      <c r="Q8" s="56" t="str">
        <f aca="false">IF("FG"=Horo82111[[#This Row],[Tâche]],Horo82111[[#This Row],[Durée]],"")</f>
        <v/>
      </c>
      <c r="R8" s="56" t="str">
        <f aca="false">IF("CONGÉ"=Horo82111[[#This Row],[Tâche]],Horo82111[[#This Row],[Durée]],"")</f>
        <v/>
      </c>
      <c r="S8" s="57" t="str">
        <f aca="false">IF("PS"=Horo82111[[#This Row],[Tâche]],Horo82111[[#This Row],[Durée]],"")</f>
        <v/>
      </c>
      <c r="T8" s="56" t="str">
        <f aca="false">IF("TD"=Horo82111[[#This Row],[Tâche]],Horo82111[[#This Row],[Durée]],"")</f>
        <v/>
      </c>
      <c r="U8" s="55" t="str">
        <f aca="false">IF("N/C"=Horo82111[[#This Row],[Tâche]],Horo82111[[#This Row],[Durée]],"")</f>
        <v/>
      </c>
      <c r="V8" s="58"/>
      <c r="W8" s="59" t="n">
        <f aca="false">IF(Horo82111[[#This Row],[O]]="o",Horo82111[[#This Row],[Durée]],".")</f>
        <v>0.249999999999999</v>
      </c>
      <c r="X8" s="60" t="n">
        <f aca="false">IF(Horo82111[[#This Row],[Début]]=0,"",Horo82111[[#This Row],[Fin]]-Horo82111[[#This Row],[Début]])</f>
        <v>0.0104166666666666</v>
      </c>
    </row>
    <row r="9" customFormat="false" ht="15" hidden="false" customHeight="false" outlineLevel="0" collapsed="false">
      <c r="A9" s="45" t="s">
        <v>31</v>
      </c>
      <c r="B9" s="46" t="n">
        <f aca="false">IF(Horo82111[[#This Row],[Jour]]="Lundi",$C$1+1, IF(Horo82111[[#This Row],[Jour]]="Mardi",$C$1+2, IF(Horo82111[[#This Row],[Jour]]="Mercredi",$C$1+3, IF(Horo82111[[#This Row],[Jour]]="Jeudi",$C$1+4, IF(Horo82111[[#This Row],[Jour]]="Vendredi",$C$1+5, IF(Horo82111[[#This Row],[Jour]]="Samedi",$C$1+6, IF(Horo82111[[#This Row],[Jour]]="Dimanche",$C$1, )))))))</f>
        <v>44453</v>
      </c>
      <c r="C9" s="47" t="s">
        <v>0</v>
      </c>
      <c r="D9" s="48" t="n">
        <v>0.427083333333333</v>
      </c>
      <c r="E9" s="48" t="n">
        <v>0.427083333333333</v>
      </c>
      <c r="F9" s="49" t="s">
        <v>32</v>
      </c>
      <c r="G9" s="49" t="s">
        <v>27</v>
      </c>
      <c r="H9" s="50"/>
      <c r="I9" s="61" t="n">
        <v>0.458333333333333</v>
      </c>
      <c r="J9" s="52" t="n">
        <f aca="false">IF(Horo82111[[#This Row],[Début]]=0,"",(Horo82111[[#This Row],[Durée (60)2]]-INT(Horo82111[[#This Row],[Durée (60)2]]))*24)</f>
        <v>0</v>
      </c>
      <c r="K9" s="62" t="n">
        <f aca="false">SUMIF(Horo82111[Jour],C9,Horo82111[Durée])</f>
        <v>8.5</v>
      </c>
      <c r="L9" s="54" t="n">
        <f aca="false">IFERROR(SUMIF(Horo82111[[#This Row],[Jour]],Horo82111[[#This Row],[Jour]],Horo82111[[#This Row],[GPF]]) / Horo82111[[#This Row],[hrs]],"")</f>
        <v>0</v>
      </c>
      <c r="M9" s="56" t="str">
        <f aca="false">IF("GPF"=Horo82111[[#This Row],[Tâche]],Horo82111[[#This Row],[Durée]],"")</f>
        <v/>
      </c>
      <c r="N9" s="56" t="str">
        <f aca="false">IF("RI"=Horo82111[[#This Row],[Tâche]],Horo82111[[#This Row],[Durée]],"")</f>
        <v/>
      </c>
      <c r="O9" s="56" t="str">
        <f aca="false">IF("GB"=Horo82111[[#This Row],[Tâche]],Horo82111[[#This Row],[Durée]],"")</f>
        <v/>
      </c>
      <c r="P9" s="56" t="str">
        <f aca="false">IF("RD"=Horo82111[[#This Row],[Tâche]],Horo82111[[#This Row],[Durée]],"")</f>
        <v/>
      </c>
      <c r="Q9" s="56" t="str">
        <f aca="false">IF("FG"=Horo82111[[#This Row],[Tâche]],Horo82111[[#This Row],[Durée]],"")</f>
        <v/>
      </c>
      <c r="R9" s="56" t="str">
        <f aca="false">IF("CONGÉ"=Horo82111[[#This Row],[Tâche]],Horo82111[[#This Row],[Durée]],"")</f>
        <v/>
      </c>
      <c r="S9" s="57" t="str">
        <f aca="false">IF("PS"=Horo82111[[#This Row],[Tâche]],Horo82111[[#This Row],[Durée]],"")</f>
        <v/>
      </c>
      <c r="T9" s="56" t="str">
        <f aca="false">IF("TD"=Horo82111[[#This Row],[Tâche]],Horo82111[[#This Row],[Durée]],"")</f>
        <v/>
      </c>
      <c r="U9" s="55" t="n">
        <f aca="false">IF("N/C"=Horo82111[[#This Row],[Tâche]],Horo82111[[#This Row],[Durée]],"")</f>
        <v>0</v>
      </c>
      <c r="V9" s="58"/>
      <c r="W9" s="59" t="n">
        <f aca="false">IF(Horo82111[[#This Row],[O]]="o",Horo82111[[#This Row],[Durée]],".")</f>
        <v>0</v>
      </c>
      <c r="X9" s="60" t="n">
        <f aca="false">IF(Horo82111[[#This Row],[Début]]=0,"",Horo82111[[#This Row],[Fin]]-Horo82111[[#This Row],[Début]])</f>
        <v>0</v>
      </c>
    </row>
    <row r="10" customFormat="false" ht="15" hidden="false" customHeight="false" outlineLevel="0" collapsed="false">
      <c r="A10" s="45" t="s">
        <v>31</v>
      </c>
      <c r="B10" s="46" t="n">
        <f aca="false">IF(Horo82111[[#This Row],[Jour]]="Lundi",$C$1+1, IF(Horo82111[[#This Row],[Jour]]="Mardi",$C$1+2, IF(Horo82111[[#This Row],[Jour]]="Mercredi",$C$1+3, IF(Horo82111[[#This Row],[Jour]]="Jeudi",$C$1+4, IF(Horo82111[[#This Row],[Jour]]="Vendredi",$C$1+5, IF(Horo82111[[#This Row],[Jour]]="Samedi",$C$1+6, IF(Horo82111[[#This Row],[Jour]]="Dimanche",$C$1, )))))))</f>
        <v>44453</v>
      </c>
      <c r="C10" s="47" t="s">
        <v>0</v>
      </c>
      <c r="D10" s="48" t="n">
        <v>0.458333333333333</v>
      </c>
      <c r="E10" s="48" t="n">
        <v>0.5</v>
      </c>
      <c r="F10" s="49" t="s">
        <v>34</v>
      </c>
      <c r="G10" s="49" t="s">
        <v>19</v>
      </c>
      <c r="H10" s="50" t="s">
        <v>35</v>
      </c>
      <c r="I10" s="61" t="s">
        <v>132</v>
      </c>
      <c r="J10" s="52" t="n">
        <f aca="false">IF(Horo82111[[#This Row],[Début]]=0,"",(Horo82111[[#This Row],[Durée (60)2]]-INT(Horo82111[[#This Row],[Durée (60)2]]))*24)</f>
        <v>1</v>
      </c>
      <c r="K10" s="62" t="n">
        <f aca="false">SUMIF(Horo82111[Jour],C10,Horo82111[Durée])</f>
        <v>8.5</v>
      </c>
      <c r="L10" s="54" t="n">
        <f aca="false">IFERROR(SUMIF(Horo82111[[#This Row],[Jour]],Horo82111[[#This Row],[Jour]],Horo82111[[#This Row],[GPF]]) / Horo82111[[#This Row],[hrs]],"")</f>
        <v>0.117647058823529</v>
      </c>
      <c r="M10" s="56" t="n">
        <f aca="false">IF("GPF"=Horo82111[[#This Row],[Tâche]],Horo82111[[#This Row],[Durée]],"")</f>
        <v>1</v>
      </c>
      <c r="N10" s="56" t="str">
        <f aca="false">IF("RI"=Horo82111[[#This Row],[Tâche]],Horo82111[[#This Row],[Durée]],"")</f>
        <v/>
      </c>
      <c r="O10" s="56" t="str">
        <f aca="false">IF("GB"=Horo82111[[#This Row],[Tâche]],Horo82111[[#This Row],[Durée]],"")</f>
        <v/>
      </c>
      <c r="P10" s="56" t="str">
        <f aca="false">IF("RD"=Horo82111[[#This Row],[Tâche]],Horo82111[[#This Row],[Durée]],"")</f>
        <v/>
      </c>
      <c r="Q10" s="56" t="str">
        <f aca="false">IF("FG"=Horo82111[[#This Row],[Tâche]],Horo82111[[#This Row],[Durée]],"")</f>
        <v/>
      </c>
      <c r="R10" s="56" t="str">
        <f aca="false">IF("CONGÉ"=Horo82111[[#This Row],[Tâche]],Horo82111[[#This Row],[Durée]],"")</f>
        <v/>
      </c>
      <c r="S10" s="57" t="str">
        <f aca="false">IF("PS"=Horo82111[[#This Row],[Tâche]],Horo82111[[#This Row],[Durée]],"")</f>
        <v/>
      </c>
      <c r="T10" s="56" t="str">
        <f aca="false">IF("TD"=Horo82111[[#This Row],[Tâche]],Horo82111[[#This Row],[Durée]],"")</f>
        <v/>
      </c>
      <c r="U10" s="55" t="str">
        <f aca="false">IF("N/C"=Horo82111[[#This Row],[Tâche]],Horo82111[[#This Row],[Durée]],"")</f>
        <v/>
      </c>
      <c r="V10" s="58"/>
      <c r="W10" s="59" t="n">
        <f aca="false">IF(Horo82111[[#This Row],[O]]="o",Horo82111[[#This Row],[Durée]],".")</f>
        <v>1</v>
      </c>
      <c r="X10" s="60" t="n">
        <f aca="false">IF(Horo82111[[#This Row],[Début]]=0,"",Horo82111[[#This Row],[Fin]]-Horo82111[[#This Row],[Début]])</f>
        <v>0.0416666666666667</v>
      </c>
    </row>
    <row r="11" customFormat="false" ht="15" hidden="false" customHeight="false" outlineLevel="0" collapsed="false">
      <c r="A11" s="45" t="s">
        <v>31</v>
      </c>
      <c r="B11" s="46" t="n">
        <f aca="false">IF(Horo82111[[#This Row],[Jour]]="Lundi",$C$1+1, IF(Horo82111[[#This Row],[Jour]]="Mardi",$C$1+2, IF(Horo82111[[#This Row],[Jour]]="Mercredi",$C$1+3, IF(Horo82111[[#This Row],[Jour]]="Jeudi",$C$1+4, IF(Horo82111[[#This Row],[Jour]]="Vendredi",$C$1+5, IF(Horo82111[[#This Row],[Jour]]="Samedi",$C$1+6, IF(Horo82111[[#This Row],[Jour]]="Dimanche",$C$1, )))))))</f>
        <v>44453</v>
      </c>
      <c r="C11" s="47" t="s">
        <v>0</v>
      </c>
      <c r="D11" s="48" t="n">
        <v>0.5625</v>
      </c>
      <c r="E11" s="48" t="n">
        <v>0.708333333333333</v>
      </c>
      <c r="F11" s="49" t="s">
        <v>34</v>
      </c>
      <c r="G11" s="49" t="s">
        <v>22</v>
      </c>
      <c r="H11" s="50"/>
      <c r="I11" s="61"/>
      <c r="J11" s="52" t="n">
        <f aca="false">IF(Horo82111[[#This Row],[Début]]=0,"",(Horo82111[[#This Row],[Durée (60)2]]-INT(Horo82111[[#This Row],[Durée (60)2]]))*24)</f>
        <v>3.5</v>
      </c>
      <c r="K11" s="62" t="n">
        <f aca="false">SUMIF(Horo82111[Jour],C11,Horo82111[Durée])</f>
        <v>8.5</v>
      </c>
      <c r="L11" s="54" t="n">
        <f aca="false">IFERROR(SUMIF(Horo82111[[#This Row],[Jour]],Horo82111[[#This Row],[Jour]],Horo82111[[#This Row],[GPF]]) / Horo82111[[#This Row],[hrs]],"")</f>
        <v>0</v>
      </c>
      <c r="M11" s="56" t="str">
        <f aca="false">IF("GPF"=Horo82111[[#This Row],[Tâche]],Horo82111[[#This Row],[Durée]],"")</f>
        <v/>
      </c>
      <c r="N11" s="56" t="str">
        <f aca="false">IF("RI"=Horo82111[[#This Row],[Tâche]],Horo82111[[#This Row],[Durée]],"")</f>
        <v/>
      </c>
      <c r="O11" s="56" t="str">
        <f aca="false">IF("GB"=Horo82111[[#This Row],[Tâche]],Horo82111[[#This Row],[Durée]],"")</f>
        <v/>
      </c>
      <c r="P11" s="56" t="n">
        <f aca="false">IF("RD"=Horo82111[[#This Row],[Tâche]],Horo82111[[#This Row],[Durée]],"")</f>
        <v>3.5</v>
      </c>
      <c r="Q11" s="56" t="str">
        <f aca="false">IF("FG"=Horo82111[[#This Row],[Tâche]],Horo82111[[#This Row],[Durée]],"")</f>
        <v/>
      </c>
      <c r="R11" s="56" t="str">
        <f aca="false">IF("CONGÉ"=Horo82111[[#This Row],[Tâche]],Horo82111[[#This Row],[Durée]],"")</f>
        <v/>
      </c>
      <c r="S11" s="57" t="str">
        <f aca="false">IF("PS"=Horo82111[[#This Row],[Tâche]],Horo82111[[#This Row],[Durée]],"")</f>
        <v/>
      </c>
      <c r="T11" s="56" t="str">
        <f aca="false">IF("TD"=Horo82111[[#This Row],[Tâche]],Horo82111[[#This Row],[Durée]],"")</f>
        <v/>
      </c>
      <c r="U11" s="55" t="str">
        <f aca="false">IF("N/C"=Horo82111[[#This Row],[Tâche]],Horo82111[[#This Row],[Durée]],"")</f>
        <v/>
      </c>
      <c r="V11" s="58"/>
      <c r="W11" s="59" t="n">
        <f aca="false">IF(Horo82111[[#This Row],[O]]="o",Horo82111[[#This Row],[Durée]],".")</f>
        <v>3.5</v>
      </c>
      <c r="X11" s="60" t="n">
        <f aca="false">IF(Horo82111[[#This Row],[Début]]=0,"",Horo82111[[#This Row],[Fin]]-Horo82111[[#This Row],[Début]])</f>
        <v>0.145833333333333</v>
      </c>
    </row>
    <row r="12" customFormat="false" ht="15" hidden="false" customHeight="false" outlineLevel="0" collapsed="false">
      <c r="A12" s="45" t="s">
        <v>31</v>
      </c>
      <c r="B12" s="46" t="n">
        <f aca="false">IF(Horo82111[[#This Row],[Jour]]="Lundi",$C$1+1, IF(Horo82111[[#This Row],[Jour]]="Mardi",$C$1+2, IF(Horo82111[[#This Row],[Jour]]="Mercredi",$C$1+3, IF(Horo82111[[#This Row],[Jour]]="Jeudi",$C$1+4, IF(Horo82111[[#This Row],[Jour]]="Vendredi",$C$1+5, IF(Horo82111[[#This Row],[Jour]]="Samedi",$C$1+6, IF(Horo82111[[#This Row],[Jour]]="Dimanche",$C$1, )))))))</f>
        <v>44453</v>
      </c>
      <c r="C12" s="47" t="s">
        <v>0</v>
      </c>
      <c r="D12" s="48" t="n">
        <v>0.708333333333333</v>
      </c>
      <c r="E12" s="48" t="n">
        <v>0.75</v>
      </c>
      <c r="F12" s="49" t="s">
        <v>32</v>
      </c>
      <c r="G12" s="49" t="s">
        <v>22</v>
      </c>
      <c r="H12" s="50"/>
      <c r="I12" s="61" t="s">
        <v>133</v>
      </c>
      <c r="J12" s="52" t="n">
        <f aca="false">IF(Horo82111[[#This Row],[Début]]=0,"",(Horo82111[[#This Row],[Durée (60)2]]-INT(Horo82111[[#This Row],[Durée (60)2]]))*24)</f>
        <v>0.999999999999999</v>
      </c>
      <c r="K12" s="62" t="n">
        <f aca="false">SUMIF(Horo82111[Jour],C12,Horo82111[Durée])</f>
        <v>8.5</v>
      </c>
      <c r="L12" s="54" t="n">
        <f aca="false">IFERROR(SUMIF(Horo82111[[#This Row],[Jour]],Horo82111[[#This Row],[Jour]],Horo82111[[#This Row],[GPF]]) / Horo82111[[#This Row],[hrs]],"")</f>
        <v>0</v>
      </c>
      <c r="M12" s="56" t="str">
        <f aca="false">IF("GPF"=Horo82111[[#This Row],[Tâche]],Horo82111[[#This Row],[Durée]],"")</f>
        <v/>
      </c>
      <c r="N12" s="56" t="str">
        <f aca="false">IF("RI"=Horo82111[[#This Row],[Tâche]],Horo82111[[#This Row],[Durée]],"")</f>
        <v/>
      </c>
      <c r="O12" s="56" t="str">
        <f aca="false">IF("GB"=Horo82111[[#This Row],[Tâche]],Horo82111[[#This Row],[Durée]],"")</f>
        <v/>
      </c>
      <c r="P12" s="56" t="n">
        <f aca="false">IF("RD"=Horo82111[[#This Row],[Tâche]],Horo82111[[#This Row],[Durée]],"")</f>
        <v>0.999999999999999</v>
      </c>
      <c r="Q12" s="56" t="str">
        <f aca="false">IF("FG"=Horo82111[[#This Row],[Tâche]],Horo82111[[#This Row],[Durée]],"")</f>
        <v/>
      </c>
      <c r="R12" s="56" t="str">
        <f aca="false">IF("CONGÉ"=Horo82111[[#This Row],[Tâche]],Horo82111[[#This Row],[Durée]],"")</f>
        <v/>
      </c>
      <c r="S12" s="57" t="str">
        <f aca="false">IF("PS"=Horo82111[[#This Row],[Tâche]],Horo82111[[#This Row],[Durée]],"")</f>
        <v/>
      </c>
      <c r="T12" s="56" t="str">
        <f aca="false">IF("TD"=Horo82111[[#This Row],[Tâche]],Horo82111[[#This Row],[Durée]],"")</f>
        <v/>
      </c>
      <c r="U12" s="55" t="str">
        <f aca="false">IF("N/C"=Horo82111[[#This Row],[Tâche]],Horo82111[[#This Row],[Durée]],"")</f>
        <v/>
      </c>
      <c r="V12" s="58"/>
      <c r="W12" s="59" t="n">
        <f aca="false">IF(Horo82111[[#This Row],[O]]="o",Horo82111[[#This Row],[Durée]],".")</f>
        <v>0.999999999999999</v>
      </c>
      <c r="X12" s="60" t="n">
        <f aca="false">IF(Horo82111[[#This Row],[Début]]=0,"",Horo82111[[#This Row],[Fin]]-Horo82111[[#This Row],[Début]])</f>
        <v>0.0416666666666666</v>
      </c>
    </row>
    <row r="13" customFormat="false" ht="15" hidden="false" customHeight="false" outlineLevel="0" collapsed="false">
      <c r="A13" s="45" t="s">
        <v>31</v>
      </c>
      <c r="B13" s="46" t="n">
        <f aca="false">IF(Horo82111[[#This Row],[Jour]]="Lundi",$C$1+1, IF(Horo82111[[#This Row],[Jour]]="Mardi",$C$1+2, IF(Horo82111[[#This Row],[Jour]]="Mercredi",$C$1+3, IF(Horo82111[[#This Row],[Jour]]="Jeudi",$C$1+4, IF(Horo82111[[#This Row],[Jour]]="Vendredi",$C$1+5, IF(Horo82111[[#This Row],[Jour]]="Samedi",$C$1+6, IF(Horo82111[[#This Row],[Jour]]="Dimanche",$C$1, )))))))</f>
        <v>44454</v>
      </c>
      <c r="C13" s="47" t="s">
        <v>1</v>
      </c>
      <c r="D13" s="48" t="n">
        <v>0.322916666666667</v>
      </c>
      <c r="E13" s="48" t="n">
        <v>0.34375</v>
      </c>
      <c r="F13" s="49" t="s">
        <v>32</v>
      </c>
      <c r="G13" s="49" t="s">
        <v>21</v>
      </c>
      <c r="H13" s="50"/>
      <c r="I13" s="51"/>
      <c r="J13" s="52" t="n">
        <f aca="false">IF(Horo82111[[#This Row],[Début]]=0,"",(Horo82111[[#This Row],[Durée (60)2]]-INT(Horo82111[[#This Row],[Durée (60)2]]))*24)</f>
        <v>0.5</v>
      </c>
      <c r="K13" s="62" t="n">
        <f aca="false">SUMIF(Horo82111[Jour],C13,Horo82111[Durée])</f>
        <v>8.75</v>
      </c>
      <c r="L13" s="54" t="n">
        <f aca="false">IFERROR(SUMIF(Horo82111[[#This Row],[Jour]],Horo82111[[#This Row],[Jour]],Horo82111[[#This Row],[GPF]]) / Horo82111[[#This Row],[hrs]],"")</f>
        <v>0</v>
      </c>
      <c r="M13" s="56" t="str">
        <f aca="false">IF("GPF"=Horo82111[[#This Row],[Tâche]],Horo82111[[#This Row],[Durée]],"")</f>
        <v/>
      </c>
      <c r="N13" s="56" t="str">
        <f aca="false">IF("RI"=Horo82111[[#This Row],[Tâche]],Horo82111[[#This Row],[Durée]],"")</f>
        <v/>
      </c>
      <c r="O13" s="56" t="n">
        <f aca="false">IF("GB"=Horo82111[[#This Row],[Tâche]],Horo82111[[#This Row],[Durée]],"")</f>
        <v>0.5</v>
      </c>
      <c r="P13" s="56" t="str">
        <f aca="false">IF("RD"=Horo82111[[#This Row],[Tâche]],Horo82111[[#This Row],[Durée]],"")</f>
        <v/>
      </c>
      <c r="Q13" s="56" t="str">
        <f aca="false">IF("FG"=Horo82111[[#This Row],[Tâche]],Horo82111[[#This Row],[Durée]],"")</f>
        <v/>
      </c>
      <c r="R13" s="56" t="str">
        <f aca="false">IF("CONGÉ"=Horo82111[[#This Row],[Tâche]],Horo82111[[#This Row],[Durée]],"")</f>
        <v/>
      </c>
      <c r="S13" s="57" t="str">
        <f aca="false">IF("PS"=Horo82111[[#This Row],[Tâche]],Horo82111[[#This Row],[Durée]],"")</f>
        <v/>
      </c>
      <c r="T13" s="56" t="str">
        <f aca="false">IF("TD"=Horo82111[[#This Row],[Tâche]],Horo82111[[#This Row],[Durée]],"")</f>
        <v/>
      </c>
      <c r="U13" s="55" t="str">
        <f aca="false">IF("N/C"=Horo82111[[#This Row],[Tâche]],Horo82111[[#This Row],[Durée]],"")</f>
        <v/>
      </c>
      <c r="V13" s="58"/>
      <c r="W13" s="59" t="n">
        <f aca="false">IF(Horo82111[[#This Row],[O]]="o",Horo82111[[#This Row],[Durée]],".")</f>
        <v>0.5</v>
      </c>
      <c r="X13" s="60" t="n">
        <f aca="false">IF(Horo82111[[#This Row],[Début]]=0,"",Horo82111[[#This Row],[Fin]]-Horo82111[[#This Row],[Début]])</f>
        <v>0.0208333333333333</v>
      </c>
    </row>
    <row r="14" customFormat="false" ht="15" hidden="false" customHeight="false" outlineLevel="0" collapsed="false">
      <c r="A14" s="45" t="s">
        <v>31</v>
      </c>
      <c r="B14" s="46" t="n">
        <f aca="false">IF(Horo82111[[#This Row],[Jour]]="Lundi",$C$1+1, IF(Horo82111[[#This Row],[Jour]]="Mardi",$C$1+2, IF(Horo82111[[#This Row],[Jour]]="Mercredi",$C$1+3, IF(Horo82111[[#This Row],[Jour]]="Jeudi",$C$1+4, IF(Horo82111[[#This Row],[Jour]]="Vendredi",$C$1+5, IF(Horo82111[[#This Row],[Jour]]="Samedi",$C$1+6, IF(Horo82111[[#This Row],[Jour]]="Dimanche",$C$1, )))))))</f>
        <v>44454</v>
      </c>
      <c r="C14" s="47" t="s">
        <v>1</v>
      </c>
      <c r="D14" s="48" t="n">
        <v>0.34375</v>
      </c>
      <c r="E14" s="48" t="n">
        <v>0.395833333333333</v>
      </c>
      <c r="F14" s="49" t="s">
        <v>37</v>
      </c>
      <c r="G14" s="49" t="s">
        <v>22</v>
      </c>
      <c r="H14" s="50" t="s">
        <v>101</v>
      </c>
      <c r="I14" s="51" t="s">
        <v>134</v>
      </c>
      <c r="J14" s="52" t="n">
        <f aca="false">IF(Horo82111[[#This Row],[Début]]=0,"",(Horo82111[[#This Row],[Durée (60)2]]-INT(Horo82111[[#This Row],[Durée (60)2]]))*24)</f>
        <v>1.25</v>
      </c>
      <c r="K14" s="62" t="n">
        <f aca="false">SUMIF(Horo82111[Jour],C14,Horo82111[Durée])</f>
        <v>8.75</v>
      </c>
      <c r="L14" s="54" t="n">
        <f aca="false">IFERROR(SUMIF(Horo82111[[#This Row],[Jour]],Horo82111[[#This Row],[Jour]],Horo82111[[#This Row],[GPF]]) / Horo82111[[#This Row],[hrs]],"")</f>
        <v>0</v>
      </c>
      <c r="M14" s="56" t="str">
        <f aca="false">IF("GPF"=Horo82111[[#This Row],[Tâche]],Horo82111[[#This Row],[Durée]],"")</f>
        <v/>
      </c>
      <c r="N14" s="56" t="str">
        <f aca="false">IF("RI"=Horo82111[[#This Row],[Tâche]],Horo82111[[#This Row],[Durée]],"")</f>
        <v/>
      </c>
      <c r="O14" s="56" t="str">
        <f aca="false">IF("GB"=Horo82111[[#This Row],[Tâche]],Horo82111[[#This Row],[Durée]],"")</f>
        <v/>
      </c>
      <c r="P14" s="63" t="n">
        <f aca="false">IF("RD"=Horo82111[[#This Row],[Tâche]],Horo82111[[#This Row],[Durée]],"")</f>
        <v>1.25</v>
      </c>
      <c r="Q14" s="56" t="str">
        <f aca="false">IF("FG"=Horo82111[[#This Row],[Tâche]],Horo82111[[#This Row],[Durée]],"")</f>
        <v/>
      </c>
      <c r="R14" s="56" t="str">
        <f aca="false">IF("CONGÉ"=Horo82111[[#This Row],[Tâche]],Horo82111[[#This Row],[Durée]],"")</f>
        <v/>
      </c>
      <c r="S14" s="57" t="str">
        <f aca="false">IF("PS"=Horo82111[[#This Row],[Tâche]],Horo82111[[#This Row],[Durée]],"")</f>
        <v/>
      </c>
      <c r="T14" s="56" t="str">
        <f aca="false">IF("TD"=Horo82111[[#This Row],[Tâche]],Horo82111[[#This Row],[Durée]],"")</f>
        <v/>
      </c>
      <c r="U14" s="55" t="str">
        <f aca="false">IF("N/C"=Horo82111[[#This Row],[Tâche]],Horo82111[[#This Row],[Durée]],"")</f>
        <v/>
      </c>
      <c r="V14" s="58"/>
      <c r="W14" s="59" t="n">
        <f aca="false">IF(Horo82111[[#This Row],[O]]="o",Horo82111[[#This Row],[Durée]],".")</f>
        <v>1.25</v>
      </c>
      <c r="X14" s="60" t="n">
        <f aca="false">IF(Horo82111[[#This Row],[Début]]=0,"",Horo82111[[#This Row],[Fin]]-Horo82111[[#This Row],[Début]])</f>
        <v>0.0520833333333333</v>
      </c>
    </row>
    <row r="15" customFormat="false" ht="15" hidden="false" customHeight="false" outlineLevel="0" collapsed="false">
      <c r="A15" s="45" t="s">
        <v>31</v>
      </c>
      <c r="B15" s="46" t="n">
        <f aca="false">IF(Horo82111[[#This Row],[Jour]]="Lundi",$C$1+1, IF(Horo82111[[#This Row],[Jour]]="Mardi",$C$1+2, IF(Horo82111[[#This Row],[Jour]]="Mercredi",$C$1+3, IF(Horo82111[[#This Row],[Jour]]="Jeudi",$C$1+4, IF(Horo82111[[#This Row],[Jour]]="Vendredi",$C$1+5, IF(Horo82111[[#This Row],[Jour]]="Samedi",$C$1+6, IF(Horo82111[[#This Row],[Jour]]="Dimanche",$C$1, )))))))</f>
        <v>44454</v>
      </c>
      <c r="C15" s="47" t="s">
        <v>1</v>
      </c>
      <c r="D15" s="48" t="n">
        <v>0.395833333333333</v>
      </c>
      <c r="E15" s="48" t="n">
        <v>0.416666666666667</v>
      </c>
      <c r="F15" s="49" t="s">
        <v>37</v>
      </c>
      <c r="G15" s="49" t="s">
        <v>19</v>
      </c>
      <c r="H15" s="50" t="s">
        <v>126</v>
      </c>
      <c r="I15" s="61" t="s">
        <v>135</v>
      </c>
      <c r="J15" s="52" t="n">
        <f aca="false">IF(Horo82111[[#This Row],[Début]]=0,"",(Horo82111[[#This Row],[Durée (60)2]]-INT(Horo82111[[#This Row],[Durée (60)2]]))*24)</f>
        <v>0.500000000000001</v>
      </c>
      <c r="K15" s="62" t="n">
        <f aca="false">SUMIF(Horo82111[Jour],C15,Horo82111[Durée])</f>
        <v>8.75</v>
      </c>
      <c r="L15" s="54" t="n">
        <f aca="false">IFERROR(SUMIF(Horo82111[[#This Row],[Jour]],Horo82111[[#This Row],[Jour]],Horo82111[[#This Row],[GPF]]) / Horo82111[[#This Row],[hrs]],"")</f>
        <v>0.0571428571428572</v>
      </c>
      <c r="M15" s="56" t="n">
        <f aca="false">IF("GPF"=Horo82111[[#This Row],[Tâche]],Horo82111[[#This Row],[Durée]],"")</f>
        <v>0.500000000000001</v>
      </c>
      <c r="N15" s="56" t="str">
        <f aca="false">IF("RI"=Horo82111[[#This Row],[Tâche]],Horo82111[[#This Row],[Durée]],"")</f>
        <v/>
      </c>
      <c r="O15" s="56" t="str">
        <f aca="false">IF("GB"=Horo82111[[#This Row],[Tâche]],Horo82111[[#This Row],[Durée]],"")</f>
        <v/>
      </c>
      <c r="P15" s="56" t="str">
        <f aca="false">IF("RD"=Horo82111[[#This Row],[Tâche]],Horo82111[[#This Row],[Durée]],"")</f>
        <v/>
      </c>
      <c r="Q15" s="56" t="str">
        <f aca="false">IF("FG"=Horo82111[[#This Row],[Tâche]],Horo82111[[#This Row],[Durée]],"")</f>
        <v/>
      </c>
      <c r="R15" s="56" t="str">
        <f aca="false">IF("CONGÉ"=Horo82111[[#This Row],[Tâche]],Horo82111[[#This Row],[Durée]],"")</f>
        <v/>
      </c>
      <c r="S15" s="57" t="str">
        <f aca="false">IF("PS"=Horo82111[[#This Row],[Tâche]],Horo82111[[#This Row],[Durée]],"")</f>
        <v/>
      </c>
      <c r="T15" s="56" t="str">
        <f aca="false">IF("TD"=Horo82111[[#This Row],[Tâche]],Horo82111[[#This Row],[Durée]],"")</f>
        <v/>
      </c>
      <c r="U15" s="55" t="str">
        <f aca="false">IF("N/C"=Horo82111[[#This Row],[Tâche]],Horo82111[[#This Row],[Durée]],"")</f>
        <v/>
      </c>
      <c r="V15" s="58"/>
      <c r="W15" s="59" t="n">
        <f aca="false">IF(Horo82111[[#This Row],[O]]="o",Horo82111[[#This Row],[Durée]],".")</f>
        <v>0.500000000000001</v>
      </c>
      <c r="X15" s="60" t="n">
        <f aca="false">IF(Horo82111[[#This Row],[Début]]=0,"",Horo82111[[#This Row],[Fin]]-Horo82111[[#This Row],[Début]])</f>
        <v>0.0208333333333334</v>
      </c>
    </row>
    <row r="16" customFormat="false" ht="15" hidden="false" customHeight="false" outlineLevel="0" collapsed="false">
      <c r="A16" s="45" t="s">
        <v>31</v>
      </c>
      <c r="B16" s="46" t="n">
        <f aca="false">IF(Horo82111[[#This Row],[Jour]]="Lundi",$C$1+1, IF(Horo82111[[#This Row],[Jour]]="Mardi",$C$1+2, IF(Horo82111[[#This Row],[Jour]]="Mercredi",$C$1+3, IF(Horo82111[[#This Row],[Jour]]="Jeudi",$C$1+4, IF(Horo82111[[#This Row],[Jour]]="Vendredi",$C$1+5, IF(Horo82111[[#This Row],[Jour]]="Samedi",$C$1+6, IF(Horo82111[[#This Row],[Jour]]="Dimanche",$C$1, )))))))</f>
        <v>44454</v>
      </c>
      <c r="C16" s="47" t="s">
        <v>1</v>
      </c>
      <c r="D16" s="48" t="n">
        <v>0.416666666666667</v>
      </c>
      <c r="E16" s="48" t="n">
        <v>0.4375</v>
      </c>
      <c r="F16" s="49" t="s">
        <v>37</v>
      </c>
      <c r="G16" s="49" t="s">
        <v>22</v>
      </c>
      <c r="H16" s="50" t="s">
        <v>101</v>
      </c>
      <c r="I16" s="61" t="s">
        <v>134</v>
      </c>
      <c r="J16" s="52" t="n">
        <f aca="false">IF(Horo82111[[#This Row],[Début]]=0,"",(Horo82111[[#This Row],[Durée (60)2]]-INT(Horo82111[[#This Row],[Durée (60)2]]))*24)</f>
        <v>0.5</v>
      </c>
      <c r="K16" s="62" t="n">
        <f aca="false">SUMIF(Horo82111[Jour],C16,Horo82111[Durée])</f>
        <v>8.75</v>
      </c>
      <c r="L16" s="54" t="n">
        <f aca="false">IFERROR(SUMIF(Horo82111[[#This Row],[Jour]],Horo82111[[#This Row],[Jour]],Horo82111[[#This Row],[GPF]]) / Horo82111[[#This Row],[hrs]],"")</f>
        <v>0</v>
      </c>
      <c r="M16" s="56" t="str">
        <f aca="false">IF("GPF"=Horo82111[[#This Row],[Tâche]],Horo82111[[#This Row],[Durée]],"")</f>
        <v/>
      </c>
      <c r="N16" s="56" t="str">
        <f aca="false">IF("RI"=Horo82111[[#This Row],[Tâche]],Horo82111[[#This Row],[Durée]],"")</f>
        <v/>
      </c>
      <c r="O16" s="56" t="str">
        <f aca="false">IF("GB"=Horo82111[[#This Row],[Tâche]],Horo82111[[#This Row],[Durée]],"")</f>
        <v/>
      </c>
      <c r="P16" s="56" t="n">
        <f aca="false">IF("RD"=Horo82111[[#This Row],[Tâche]],Horo82111[[#This Row],[Durée]],"")</f>
        <v>0.5</v>
      </c>
      <c r="Q16" s="56" t="str">
        <f aca="false">IF("FG"=Horo82111[[#This Row],[Tâche]],Horo82111[[#This Row],[Durée]],"")</f>
        <v/>
      </c>
      <c r="R16" s="56" t="str">
        <f aca="false">IF("CONGÉ"=Horo82111[[#This Row],[Tâche]],Horo82111[[#This Row],[Durée]],"")</f>
        <v/>
      </c>
      <c r="S16" s="57" t="str">
        <f aca="false">IF("PS"=Horo82111[[#This Row],[Tâche]],Horo82111[[#This Row],[Durée]],"")</f>
        <v/>
      </c>
      <c r="T16" s="56" t="str">
        <f aca="false">IF("TD"=Horo82111[[#This Row],[Tâche]],Horo82111[[#This Row],[Durée]],"")</f>
        <v/>
      </c>
      <c r="U16" s="55" t="str">
        <f aca="false">IF("N/C"=Horo82111[[#This Row],[Tâche]],Horo82111[[#This Row],[Durée]],"")</f>
        <v/>
      </c>
      <c r="V16" s="58"/>
      <c r="W16" s="59" t="n">
        <f aca="false">IF(Horo82111[[#This Row],[O]]="o",Horo82111[[#This Row],[Durée]],".")</f>
        <v>0.5</v>
      </c>
      <c r="X16" s="60" t="n">
        <f aca="false">IF(Horo82111[[#This Row],[Début]]=0,"",Horo82111[[#This Row],[Fin]]-Horo82111[[#This Row],[Début]])</f>
        <v>0.0208333333333333</v>
      </c>
    </row>
    <row r="17" customFormat="false" ht="15" hidden="false" customHeight="false" outlineLevel="0" collapsed="false">
      <c r="A17" s="45" t="s">
        <v>31</v>
      </c>
      <c r="B17" s="46" t="n">
        <f aca="false">IF(Horo82111[[#This Row],[Jour]]="Lundi",$C$1+1, IF(Horo82111[[#This Row],[Jour]]="Mardi",$C$1+2, IF(Horo82111[[#This Row],[Jour]]="Mercredi",$C$1+3, IF(Horo82111[[#This Row],[Jour]]="Jeudi",$C$1+4, IF(Horo82111[[#This Row],[Jour]]="Vendredi",$C$1+5, IF(Horo82111[[#This Row],[Jour]]="Samedi",$C$1+6, IF(Horo82111[[#This Row],[Jour]]="Dimanche",$C$1, )))))))</f>
        <v>44454</v>
      </c>
      <c r="C17" s="47" t="s">
        <v>1</v>
      </c>
      <c r="D17" s="48" t="n">
        <v>0.4375</v>
      </c>
      <c r="E17" s="48" t="n">
        <v>0.5</v>
      </c>
      <c r="F17" s="49" t="s">
        <v>32</v>
      </c>
      <c r="G17" s="49" t="s">
        <v>22</v>
      </c>
      <c r="H17" s="50" t="s">
        <v>42</v>
      </c>
      <c r="I17" s="61" t="s">
        <v>136</v>
      </c>
      <c r="J17" s="52" t="n">
        <f aca="false">IF(Horo82111[[#This Row],[Début]]=0,"",(Horo82111[[#This Row],[Durée (60)2]]-INT(Horo82111[[#This Row],[Durée (60)2]]))*24)</f>
        <v>1.5</v>
      </c>
      <c r="K17" s="62" t="n">
        <f aca="false">SUMIF(Horo82111[Jour],C17,Horo82111[Durée])</f>
        <v>8.75</v>
      </c>
      <c r="L17" s="54" t="n">
        <f aca="false">IFERROR(SUMIF(Horo82111[[#This Row],[Jour]],Horo82111[[#This Row],[Jour]],Horo82111[[#This Row],[GPF]]) / Horo82111[[#This Row],[hrs]],"")</f>
        <v>0</v>
      </c>
      <c r="M17" s="56" t="str">
        <f aca="false">IF("GPF"=Horo82111[[#This Row],[Tâche]],Horo82111[[#This Row],[Durée]],"")</f>
        <v/>
      </c>
      <c r="N17" s="56" t="str">
        <f aca="false">IF("RI"=Horo82111[[#This Row],[Tâche]],Horo82111[[#This Row],[Durée]],"")</f>
        <v/>
      </c>
      <c r="O17" s="56" t="str">
        <f aca="false">IF("GB"=Horo82111[[#This Row],[Tâche]],Horo82111[[#This Row],[Durée]],"")</f>
        <v/>
      </c>
      <c r="P17" s="56" t="n">
        <f aca="false">IF("RD"=Horo82111[[#This Row],[Tâche]],Horo82111[[#This Row],[Durée]],"")</f>
        <v>1.5</v>
      </c>
      <c r="Q17" s="56" t="str">
        <f aca="false">IF("FG"=Horo82111[[#This Row],[Tâche]],Horo82111[[#This Row],[Durée]],"")</f>
        <v/>
      </c>
      <c r="R17" s="56" t="str">
        <f aca="false">IF("CONGÉ"=Horo82111[[#This Row],[Tâche]],Horo82111[[#This Row],[Durée]],"")</f>
        <v/>
      </c>
      <c r="S17" s="57" t="str">
        <f aca="false">IF("PS"=Horo82111[[#This Row],[Tâche]],Horo82111[[#This Row],[Durée]],"")</f>
        <v/>
      </c>
      <c r="T17" s="56" t="str">
        <f aca="false">IF("TD"=Horo82111[[#This Row],[Tâche]],Horo82111[[#This Row],[Durée]],"")</f>
        <v/>
      </c>
      <c r="U17" s="55" t="str">
        <f aca="false">IF("N/C"=Horo82111[[#This Row],[Tâche]],Horo82111[[#This Row],[Durée]],"")</f>
        <v/>
      </c>
      <c r="V17" s="58"/>
      <c r="W17" s="59" t="n">
        <f aca="false">IF(Horo82111[[#This Row],[O]]="o",Horo82111[[#This Row],[Durée]],".")</f>
        <v>1.5</v>
      </c>
      <c r="X17" s="60" t="n">
        <f aca="false">IF(Horo82111[[#This Row],[Début]]=0,"",Horo82111[[#This Row],[Fin]]-Horo82111[[#This Row],[Début]])</f>
        <v>0.0625</v>
      </c>
    </row>
    <row r="18" customFormat="false" ht="15" hidden="false" customHeight="false" outlineLevel="0" collapsed="false">
      <c r="A18" s="45" t="s">
        <v>31</v>
      </c>
      <c r="B18" s="46" t="n">
        <f aca="false">IF(Horo82111[[#This Row],[Jour]]="Lundi",$C$1+1, IF(Horo82111[[#This Row],[Jour]]="Mardi",$C$1+2, IF(Horo82111[[#This Row],[Jour]]="Mercredi",$C$1+3, IF(Horo82111[[#This Row],[Jour]]="Jeudi",$C$1+4, IF(Horo82111[[#This Row],[Jour]]="Vendredi",$C$1+5, IF(Horo82111[[#This Row],[Jour]]="Samedi",$C$1+6, IF(Horo82111[[#This Row],[Jour]]="Dimanche",$C$1, )))))))</f>
        <v>44454</v>
      </c>
      <c r="C18" s="47" t="s">
        <v>1</v>
      </c>
      <c r="D18" s="48" t="n">
        <v>0.5625</v>
      </c>
      <c r="E18" s="48" t="n">
        <v>0.604166666666667</v>
      </c>
      <c r="F18" s="49" t="s">
        <v>32</v>
      </c>
      <c r="G18" s="49" t="s">
        <v>22</v>
      </c>
      <c r="H18" s="50" t="s">
        <v>42</v>
      </c>
      <c r="I18" s="61" t="s">
        <v>136</v>
      </c>
      <c r="J18" s="52" t="n">
        <f aca="false">IF(Horo82111[[#This Row],[Début]]=0,"",(Horo82111[[#This Row],[Durée (60)2]]-INT(Horo82111[[#This Row],[Durée (60)2]]))*24)</f>
        <v>0.999999999999999</v>
      </c>
      <c r="K18" s="62" t="n">
        <f aca="false">SUMIF(Horo82111[Jour],C18,Horo82111[Durée])</f>
        <v>8.75</v>
      </c>
      <c r="L18" s="54" t="n">
        <f aca="false">IFERROR(SUMIF(Horo82111[[#This Row],[Jour]],Horo82111[[#This Row],[Jour]],Horo82111[[#This Row],[GPF]]) / Horo82111[[#This Row],[hrs]],"")</f>
        <v>0</v>
      </c>
      <c r="M18" s="56" t="str">
        <f aca="false">IF("GPF"=Horo82111[[#This Row],[Tâche]],Horo82111[[#This Row],[Durée]],"")</f>
        <v/>
      </c>
      <c r="N18" s="56" t="str">
        <f aca="false">IF("RI"=Horo82111[[#This Row],[Tâche]],Horo82111[[#This Row],[Durée]],"")</f>
        <v/>
      </c>
      <c r="O18" s="56" t="str">
        <f aca="false">IF("GB"=Horo82111[[#This Row],[Tâche]],Horo82111[[#This Row],[Durée]],"")</f>
        <v/>
      </c>
      <c r="P18" s="56" t="n">
        <f aca="false">IF("RD"=Horo82111[[#This Row],[Tâche]],Horo82111[[#This Row],[Durée]],"")</f>
        <v>0.999999999999999</v>
      </c>
      <c r="Q18" s="56" t="str">
        <f aca="false">IF("FG"=Horo82111[[#This Row],[Tâche]],Horo82111[[#This Row],[Durée]],"")</f>
        <v/>
      </c>
      <c r="R18" s="56" t="str">
        <f aca="false">IF("CONGÉ"=Horo82111[[#This Row],[Tâche]],Horo82111[[#This Row],[Durée]],"")</f>
        <v/>
      </c>
      <c r="S18" s="57" t="str">
        <f aca="false">IF("PS"=Horo82111[[#This Row],[Tâche]],Horo82111[[#This Row],[Durée]],"")</f>
        <v/>
      </c>
      <c r="T18" s="56" t="str">
        <f aca="false">IF("TD"=Horo82111[[#This Row],[Tâche]],Horo82111[[#This Row],[Durée]],"")</f>
        <v/>
      </c>
      <c r="U18" s="55" t="str">
        <f aca="false">IF("N/C"=Horo82111[[#This Row],[Tâche]],Horo82111[[#This Row],[Durée]],"")</f>
        <v/>
      </c>
      <c r="V18" s="58"/>
      <c r="W18" s="59" t="n">
        <f aca="false">IF(Horo82111[[#This Row],[O]]="o",Horo82111[[#This Row],[Durée]],".")</f>
        <v>0.999999999999999</v>
      </c>
      <c r="X18" s="60" t="n">
        <f aca="false">IF(Horo82111[[#This Row],[Début]]=0,"",Horo82111[[#This Row],[Fin]]-Horo82111[[#This Row],[Début]])</f>
        <v>0.0416666666666666</v>
      </c>
    </row>
    <row r="19" customFormat="false" ht="15" hidden="false" customHeight="false" outlineLevel="0" collapsed="false">
      <c r="A19" s="45" t="s">
        <v>31</v>
      </c>
      <c r="B19" s="46" t="n">
        <f aca="false">IF(Horo82111[[#This Row],[Jour]]="Lundi",$C$1+1, IF(Horo82111[[#This Row],[Jour]]="Mardi",$C$1+2, IF(Horo82111[[#This Row],[Jour]]="Mercredi",$C$1+3, IF(Horo82111[[#This Row],[Jour]]="Jeudi",$C$1+4, IF(Horo82111[[#This Row],[Jour]]="Vendredi",$C$1+5, IF(Horo82111[[#This Row],[Jour]]="Samedi",$C$1+6, IF(Horo82111[[#This Row],[Jour]]="Dimanche",$C$1, )))))))</f>
        <v>44454</v>
      </c>
      <c r="C19" s="47" t="s">
        <v>1</v>
      </c>
      <c r="D19" s="48" t="n">
        <v>0.604166666666667</v>
      </c>
      <c r="E19" s="48" t="n">
        <v>0.666666666666667</v>
      </c>
      <c r="F19" s="49" t="s">
        <v>34</v>
      </c>
      <c r="G19" s="49" t="s">
        <v>19</v>
      </c>
      <c r="H19" s="50"/>
      <c r="I19" s="61" t="s">
        <v>137</v>
      </c>
      <c r="J19" s="52" t="n">
        <f aca="false">IF(Horo82111[[#This Row],[Début]]=0,"",(Horo82111[[#This Row],[Durée (60)2]]-INT(Horo82111[[#This Row],[Durée (60)2]]))*24)</f>
        <v>1.5</v>
      </c>
      <c r="K19" s="62" t="n">
        <f aca="false">SUMIF(Horo82111[Jour],C19,Horo82111[Durée])</f>
        <v>8.75</v>
      </c>
      <c r="L19" s="54" t="n">
        <f aca="false">IFERROR(SUMIF(Horo82111[[#This Row],[Jour]],Horo82111[[#This Row],[Jour]],Horo82111[[#This Row],[GPF]]) / Horo82111[[#This Row],[hrs]],"")</f>
        <v>0.171428571428571</v>
      </c>
      <c r="M19" s="56" t="n">
        <f aca="false">IF("GPF"=Horo82111[[#This Row],[Tâche]],Horo82111[[#This Row],[Durée]],"")</f>
        <v>1.5</v>
      </c>
      <c r="N19" s="56" t="str">
        <f aca="false">IF("RI"=Horo82111[[#This Row],[Tâche]],Horo82111[[#This Row],[Durée]],"")</f>
        <v/>
      </c>
      <c r="O19" s="56" t="str">
        <f aca="false">IF("GB"=Horo82111[[#This Row],[Tâche]],Horo82111[[#This Row],[Durée]],"")</f>
        <v/>
      </c>
      <c r="P19" s="56" t="str">
        <f aca="false">IF("RD"=Horo82111[[#This Row],[Tâche]],Horo82111[[#This Row],[Durée]],"")</f>
        <v/>
      </c>
      <c r="Q19" s="56" t="str">
        <f aca="false">IF("FG"=Horo82111[[#This Row],[Tâche]],Horo82111[[#This Row],[Durée]],"")</f>
        <v/>
      </c>
      <c r="R19" s="56" t="str">
        <f aca="false">IF("CONGÉ"=Horo82111[[#This Row],[Tâche]],Horo82111[[#This Row],[Durée]],"")</f>
        <v/>
      </c>
      <c r="S19" s="57" t="str">
        <f aca="false">IF("PS"=Horo82111[[#This Row],[Tâche]],Horo82111[[#This Row],[Durée]],"")</f>
        <v/>
      </c>
      <c r="T19" s="56" t="str">
        <f aca="false">IF("TD"=Horo82111[[#This Row],[Tâche]],Horo82111[[#This Row],[Durée]],"")</f>
        <v/>
      </c>
      <c r="U19" s="55" t="str">
        <f aca="false">IF("N/C"=Horo82111[[#This Row],[Tâche]],Horo82111[[#This Row],[Durée]],"")</f>
        <v/>
      </c>
      <c r="V19" s="58"/>
      <c r="W19" s="59" t="n">
        <f aca="false">IF(Horo82111[[#This Row],[O]]="o",Horo82111[[#This Row],[Durée]],".")</f>
        <v>1.5</v>
      </c>
      <c r="X19" s="60" t="n">
        <f aca="false">IF(Horo82111[[#This Row],[Début]]=0,"",Horo82111[[#This Row],[Fin]]-Horo82111[[#This Row],[Début]])</f>
        <v>0.0625</v>
      </c>
    </row>
    <row r="20" customFormat="false" ht="15" hidden="false" customHeight="false" outlineLevel="0" collapsed="false">
      <c r="A20" s="45" t="s">
        <v>31</v>
      </c>
      <c r="B20" s="46" t="n">
        <f aca="false">IF(Horo82111[[#This Row],[Jour]]="Lundi",$C$1+1, IF(Horo82111[[#This Row],[Jour]]="Mardi",$C$1+2, IF(Horo82111[[#This Row],[Jour]]="Mercredi",$C$1+3, IF(Horo82111[[#This Row],[Jour]]="Jeudi",$C$1+4, IF(Horo82111[[#This Row],[Jour]]="Vendredi",$C$1+5, IF(Horo82111[[#This Row],[Jour]]="Samedi",$C$1+6, IF(Horo82111[[#This Row],[Jour]]="Dimanche",$C$1, )))))))</f>
        <v>44454</v>
      </c>
      <c r="C20" s="47" t="s">
        <v>1</v>
      </c>
      <c r="D20" s="48" t="n">
        <v>0.666666666666667</v>
      </c>
      <c r="E20" s="48" t="n">
        <v>0.697916666666667</v>
      </c>
      <c r="F20" s="49" t="s">
        <v>37</v>
      </c>
      <c r="G20" s="49" t="s">
        <v>19</v>
      </c>
      <c r="H20" s="50" t="s">
        <v>105</v>
      </c>
      <c r="I20" s="61" t="s">
        <v>138</v>
      </c>
      <c r="J20" s="52" t="n">
        <f aca="false">IF(Horo82111[[#This Row],[Début]]=0,"",(Horo82111[[#This Row],[Durée (60)2]]-INT(Horo82111[[#This Row],[Durée (60)2]]))*24)</f>
        <v>0.75</v>
      </c>
      <c r="K20" s="62" t="n">
        <f aca="false">SUMIF(Horo82111[Jour],C20,Horo82111[Durée])</f>
        <v>8.75</v>
      </c>
      <c r="L20" s="54" t="n">
        <f aca="false">IFERROR(SUMIF(Horo82111[[#This Row],[Jour]],Horo82111[[#This Row],[Jour]],Horo82111[[#This Row],[GPF]]) / Horo82111[[#This Row],[hrs]],"")</f>
        <v>0.0857142857142857</v>
      </c>
      <c r="M20" s="56" t="n">
        <f aca="false">IF("GPF"=Horo82111[[#This Row],[Tâche]],Horo82111[[#This Row],[Durée]],"")</f>
        <v>0.75</v>
      </c>
      <c r="N20" s="56" t="str">
        <f aca="false">IF("RI"=Horo82111[[#This Row],[Tâche]],Horo82111[[#This Row],[Durée]],"")</f>
        <v/>
      </c>
      <c r="O20" s="56" t="str">
        <f aca="false">IF("GB"=Horo82111[[#This Row],[Tâche]],Horo82111[[#This Row],[Durée]],"")</f>
        <v/>
      </c>
      <c r="P20" s="56" t="str">
        <f aca="false">IF("RD"=Horo82111[[#This Row],[Tâche]],Horo82111[[#This Row],[Durée]],"")</f>
        <v/>
      </c>
      <c r="Q20" s="56" t="str">
        <f aca="false">IF("FG"=Horo82111[[#This Row],[Tâche]],Horo82111[[#This Row],[Durée]],"")</f>
        <v/>
      </c>
      <c r="R20" s="56" t="str">
        <f aca="false">IF("CONGÉ"=Horo82111[[#This Row],[Tâche]],Horo82111[[#This Row],[Durée]],"")</f>
        <v/>
      </c>
      <c r="S20" s="57" t="str">
        <f aca="false">IF("PS"=Horo82111[[#This Row],[Tâche]],Horo82111[[#This Row],[Durée]],"")</f>
        <v/>
      </c>
      <c r="T20" s="56" t="str">
        <f aca="false">IF("TD"=Horo82111[[#This Row],[Tâche]],Horo82111[[#This Row],[Durée]],"")</f>
        <v/>
      </c>
      <c r="U20" s="55" t="str">
        <f aca="false">IF("N/C"=Horo82111[[#This Row],[Tâche]],Horo82111[[#This Row],[Durée]],"")</f>
        <v/>
      </c>
      <c r="V20" s="58"/>
      <c r="W20" s="59" t="n">
        <f aca="false">IF(Horo82111[[#This Row],[O]]="o",Horo82111[[#This Row],[Durée]],".")</f>
        <v>0.75</v>
      </c>
      <c r="X20" s="60" t="n">
        <f aca="false">IF(Horo82111[[#This Row],[Début]]=0,"",Horo82111[[#This Row],[Fin]]-Horo82111[[#This Row],[Début]])</f>
        <v>0.03125</v>
      </c>
    </row>
    <row r="21" customFormat="false" ht="15" hidden="false" customHeight="false" outlineLevel="0" collapsed="false">
      <c r="A21" s="45" t="s">
        <v>31</v>
      </c>
      <c r="B21" s="46" t="n">
        <f aca="false">IF(Horo82111[[#This Row],[Jour]]="Lundi",$C$1+1, IF(Horo82111[[#This Row],[Jour]]="Mardi",$C$1+2, IF(Horo82111[[#This Row],[Jour]]="Mercredi",$C$1+3, IF(Horo82111[[#This Row],[Jour]]="Jeudi",$C$1+4, IF(Horo82111[[#This Row],[Jour]]="Vendredi",$C$1+5, IF(Horo82111[[#This Row],[Jour]]="Samedi",$C$1+6, IF(Horo82111[[#This Row],[Jour]]="Dimanche",$C$1, )))))))</f>
        <v>44454</v>
      </c>
      <c r="C21" s="47" t="s">
        <v>1</v>
      </c>
      <c r="D21" s="48" t="n">
        <v>0.697916666666667</v>
      </c>
      <c r="E21" s="48" t="n">
        <v>0.729166666666667</v>
      </c>
      <c r="F21" s="49" t="s">
        <v>34</v>
      </c>
      <c r="G21" s="49" t="s">
        <v>19</v>
      </c>
      <c r="H21" s="50" t="s">
        <v>105</v>
      </c>
      <c r="I21" s="61" t="s">
        <v>139</v>
      </c>
      <c r="J21" s="52" t="n">
        <f aca="false">IF(Horo82111[[#This Row],[Début]]=0,"",(Horo82111[[#This Row],[Durée (60)2]]-INT(Horo82111[[#This Row],[Durée (60)2]]))*24)</f>
        <v>0.75</v>
      </c>
      <c r="K21" s="62" t="n">
        <f aca="false">SUMIF(Horo82111[Jour],C21,Horo82111[Durée])</f>
        <v>8.75</v>
      </c>
      <c r="L21" s="54" t="n">
        <f aca="false">IFERROR(SUMIF(Horo82111[[#This Row],[Jour]],Horo82111[[#This Row],[Jour]],Horo82111[[#This Row],[GPF]]) / Horo82111[[#This Row],[hrs]],"")</f>
        <v>0.0857142857142857</v>
      </c>
      <c r="M21" s="56" t="n">
        <f aca="false">IF("GPF"=Horo82111[[#This Row],[Tâche]],Horo82111[[#This Row],[Durée]],"")</f>
        <v>0.75</v>
      </c>
      <c r="N21" s="56" t="str">
        <f aca="false">IF("RI"=Horo82111[[#This Row],[Tâche]],Horo82111[[#This Row],[Durée]],"")</f>
        <v/>
      </c>
      <c r="O21" s="56" t="str">
        <f aca="false">IF("GB"=Horo82111[[#This Row],[Tâche]],Horo82111[[#This Row],[Durée]],"")</f>
        <v/>
      </c>
      <c r="P21" s="56" t="str">
        <f aca="false">IF("RD"=Horo82111[[#This Row],[Tâche]],Horo82111[[#This Row],[Durée]],"")</f>
        <v/>
      </c>
      <c r="Q21" s="56" t="str">
        <f aca="false">IF("FG"=Horo82111[[#This Row],[Tâche]],Horo82111[[#This Row],[Durée]],"")</f>
        <v/>
      </c>
      <c r="R21" s="56" t="str">
        <f aca="false">IF("CONGÉ"=Horo82111[[#This Row],[Tâche]],Horo82111[[#This Row],[Durée]],"")</f>
        <v/>
      </c>
      <c r="S21" s="57" t="str">
        <f aca="false">IF("PS"=Horo82111[[#This Row],[Tâche]],Horo82111[[#This Row],[Durée]],"")</f>
        <v/>
      </c>
      <c r="T21" s="56" t="str">
        <f aca="false">IF("TD"=Horo82111[[#This Row],[Tâche]],Horo82111[[#This Row],[Durée]],"")</f>
        <v/>
      </c>
      <c r="U21" s="55" t="str">
        <f aca="false">IF("N/C"=Horo82111[[#This Row],[Tâche]],Horo82111[[#This Row],[Durée]],"")</f>
        <v/>
      </c>
      <c r="V21" s="58"/>
      <c r="W21" s="59" t="n">
        <f aca="false">IF(Horo82111[[#This Row],[O]]="o",Horo82111[[#This Row],[Durée]],".")</f>
        <v>0.75</v>
      </c>
      <c r="X21" s="60" t="n">
        <f aca="false">IF(Horo82111[[#This Row],[Début]]=0,"",Horo82111[[#This Row],[Fin]]-Horo82111[[#This Row],[Début]])</f>
        <v>0.03125</v>
      </c>
    </row>
    <row r="22" customFormat="false" ht="15" hidden="false" customHeight="false" outlineLevel="0" collapsed="false">
      <c r="A22" s="45" t="s">
        <v>31</v>
      </c>
      <c r="B22" s="46" t="n">
        <f aca="false">IF(Horo82111[[#This Row],[Jour]]="Lundi",$C$1+1, IF(Horo82111[[#This Row],[Jour]]="Mardi",$C$1+2, IF(Horo82111[[#This Row],[Jour]]="Mercredi",$C$1+3, IF(Horo82111[[#This Row],[Jour]]="Jeudi",$C$1+4, IF(Horo82111[[#This Row],[Jour]]="Vendredi",$C$1+5, IF(Horo82111[[#This Row],[Jour]]="Samedi",$C$1+6, IF(Horo82111[[#This Row],[Jour]]="Dimanche",$C$1, )))))))</f>
        <v>44454</v>
      </c>
      <c r="C22" s="47" t="s">
        <v>1</v>
      </c>
      <c r="D22" s="48" t="n">
        <v>0.75</v>
      </c>
      <c r="E22" s="48" t="n">
        <v>0.770833333333333</v>
      </c>
      <c r="F22" s="49" t="s">
        <v>34</v>
      </c>
      <c r="G22" s="49" t="s">
        <v>22</v>
      </c>
      <c r="H22" s="50" t="s">
        <v>105</v>
      </c>
      <c r="I22" s="61" t="s">
        <v>140</v>
      </c>
      <c r="J22" s="52" t="n">
        <f aca="false">IF(Horo82111[[#This Row],[Début]]=0,"",(Horo82111[[#This Row],[Durée (60)2]]-INT(Horo82111[[#This Row],[Durée (60)2]]))*24)</f>
        <v>0.500000000000001</v>
      </c>
      <c r="K22" s="62" t="n">
        <f aca="false">SUMIF(Horo82111[Jour],C22,Horo82111[Durée])</f>
        <v>8.75</v>
      </c>
      <c r="L22" s="54" t="n">
        <f aca="false">IFERROR(SUMIF(Horo82111[[#This Row],[Jour]],Horo82111[[#This Row],[Jour]],Horo82111[[#This Row],[GPF]]) / Horo82111[[#This Row],[hrs]],"")</f>
        <v>0</v>
      </c>
      <c r="M22" s="56" t="str">
        <f aca="false">IF("GPF"=Horo82111[[#This Row],[Tâche]],Horo82111[[#This Row],[Durée]],"")</f>
        <v/>
      </c>
      <c r="N22" s="56" t="str">
        <f aca="false">IF("RI"=Horo82111[[#This Row],[Tâche]],Horo82111[[#This Row],[Durée]],"")</f>
        <v/>
      </c>
      <c r="O22" s="56" t="str">
        <f aca="false">IF("GB"=Horo82111[[#This Row],[Tâche]],Horo82111[[#This Row],[Durée]],"")</f>
        <v/>
      </c>
      <c r="P22" s="56" t="n">
        <f aca="false">IF("RD"=Horo82111[[#This Row],[Tâche]],Horo82111[[#This Row],[Durée]],"")</f>
        <v>0.500000000000001</v>
      </c>
      <c r="Q22" s="56" t="str">
        <f aca="false">IF("FG"=Horo82111[[#This Row],[Tâche]],Horo82111[[#This Row],[Durée]],"")</f>
        <v/>
      </c>
      <c r="R22" s="56" t="str">
        <f aca="false">IF("CONGÉ"=Horo82111[[#This Row],[Tâche]],Horo82111[[#This Row],[Durée]],"")</f>
        <v/>
      </c>
      <c r="S22" s="57" t="str">
        <f aca="false">IF("PS"=Horo82111[[#This Row],[Tâche]],Horo82111[[#This Row],[Durée]],"")</f>
        <v/>
      </c>
      <c r="T22" s="56" t="str">
        <f aca="false">IF("TD"=Horo82111[[#This Row],[Tâche]],Horo82111[[#This Row],[Durée]],"")</f>
        <v/>
      </c>
      <c r="U22" s="55" t="str">
        <f aca="false">IF("N/C"=Horo82111[[#This Row],[Tâche]],Horo82111[[#This Row],[Durée]],"")</f>
        <v/>
      </c>
      <c r="V22" s="58"/>
      <c r="W22" s="59" t="n">
        <f aca="false">IF(Horo82111[[#This Row],[O]]="o",Horo82111[[#This Row],[Durée]],".")</f>
        <v>0.500000000000001</v>
      </c>
      <c r="X22" s="60" t="n">
        <f aca="false">IF(Horo82111[[#This Row],[Début]]=0,"",Horo82111[[#This Row],[Fin]]-Horo82111[[#This Row],[Début]])</f>
        <v>0.0208333333333334</v>
      </c>
    </row>
    <row r="23" customFormat="false" ht="15" hidden="false" customHeight="false" outlineLevel="0" collapsed="false">
      <c r="A23" s="45" t="s">
        <v>31</v>
      </c>
      <c r="B23" s="46" t="n">
        <f aca="false">IF(Horo82111[[#This Row],[Jour]]="Lundi",$C$1+1, IF(Horo82111[[#This Row],[Jour]]="Mardi",$C$1+2, IF(Horo82111[[#This Row],[Jour]]="Mercredi",$C$1+3, IF(Horo82111[[#This Row],[Jour]]="Jeudi",$C$1+4, IF(Horo82111[[#This Row],[Jour]]="Vendredi",$C$1+5, IF(Horo82111[[#This Row],[Jour]]="Samedi",$C$1+6, IF(Horo82111[[#This Row],[Jour]]="Dimanche",$C$1, )))))))</f>
        <v>44455</v>
      </c>
      <c r="C23" s="47" t="s">
        <v>2</v>
      </c>
      <c r="D23" s="48" t="n">
        <v>0.333333333333333</v>
      </c>
      <c r="E23" s="48" t="n">
        <v>0.354166666666667</v>
      </c>
      <c r="F23" s="49" t="s">
        <v>32</v>
      </c>
      <c r="G23" s="49" t="s">
        <v>21</v>
      </c>
      <c r="H23" s="50" t="s">
        <v>33</v>
      </c>
      <c r="I23" s="51"/>
      <c r="J23" s="52" t="n">
        <f aca="false">IF(Horo82111[[#This Row],[Début]]=0,"",(Horo82111[[#This Row],[Durée (60)2]]-INT(Horo82111[[#This Row],[Durée (60)2]]))*24)</f>
        <v>0.500000000000001</v>
      </c>
      <c r="K23" s="62" t="n">
        <f aca="false">SUMIF(Horo82111[Jour],C23,Horo82111[Durée])</f>
        <v>7</v>
      </c>
      <c r="L23" s="54" t="n">
        <f aca="false">IFERROR(SUMIF(Horo82111[[#This Row],[Jour]],Horo82111[[#This Row],[Jour]],Horo82111[[#This Row],[GPF]]) / Horo82111[[#This Row],[hrs]],"")</f>
        <v>0</v>
      </c>
      <c r="M23" s="56" t="str">
        <f aca="false">IF("GPF"=Horo82111[[#This Row],[Tâche]],Horo82111[[#This Row],[Durée]],"")</f>
        <v/>
      </c>
      <c r="N23" s="56" t="str">
        <f aca="false">IF("RI"=Horo82111[[#This Row],[Tâche]],Horo82111[[#This Row],[Durée]],"")</f>
        <v/>
      </c>
      <c r="O23" s="56" t="n">
        <f aca="false">IF("GB"=Horo82111[[#This Row],[Tâche]],Horo82111[[#This Row],[Durée]],"")</f>
        <v>0.500000000000001</v>
      </c>
      <c r="P23" s="56" t="str">
        <f aca="false">IF("RD"=Horo82111[[#This Row],[Tâche]],Horo82111[[#This Row],[Durée]],"")</f>
        <v/>
      </c>
      <c r="Q23" s="56" t="str">
        <f aca="false">IF("FG"=Horo82111[[#This Row],[Tâche]],Horo82111[[#This Row],[Durée]],"")</f>
        <v/>
      </c>
      <c r="R23" s="56" t="str">
        <f aca="false">IF("CONGÉ"=Horo82111[[#This Row],[Tâche]],Horo82111[[#This Row],[Durée]],"")</f>
        <v/>
      </c>
      <c r="S23" s="56" t="str">
        <f aca="false">IF("PS"=Horo82111[[#This Row],[Tâche]],Horo82111[[#This Row],[Durée]],"")</f>
        <v/>
      </c>
      <c r="T23" s="56" t="str">
        <f aca="false">IF("TD"=Horo82111[[#This Row],[Tâche]],Horo82111[[#This Row],[Durée]],"")</f>
        <v/>
      </c>
      <c r="U23" s="56" t="str">
        <f aca="false">IF("N/C"=Horo82111[[#This Row],[Tâche]],Horo82111[[#This Row],[Durée]],"")</f>
        <v/>
      </c>
      <c r="V23" s="58"/>
      <c r="W23" s="59" t="n">
        <f aca="false">IF(Horo82111[[#This Row],[O]]="o",Horo82111[[#This Row],[Durée]],".")</f>
        <v>0.500000000000001</v>
      </c>
      <c r="X23" s="64" t="n">
        <f aca="false">IF(Horo82111[[#This Row],[Début]]=0,"",Horo82111[[#This Row],[Fin]]-Horo82111[[#This Row],[Début]])</f>
        <v>0.0208333333333334</v>
      </c>
    </row>
    <row r="24" customFormat="false" ht="15" hidden="false" customHeight="false" outlineLevel="0" collapsed="false">
      <c r="A24" s="45" t="s">
        <v>31</v>
      </c>
      <c r="B24" s="46" t="n">
        <f aca="false">IF(Horo82111[[#This Row],[Jour]]="Lundi",$C$1+1, IF(Horo82111[[#This Row],[Jour]]="Mardi",$C$1+2, IF(Horo82111[[#This Row],[Jour]]="Mercredi",$C$1+3, IF(Horo82111[[#This Row],[Jour]]="Jeudi",$C$1+4, IF(Horo82111[[#This Row],[Jour]]="Vendredi",$C$1+5, IF(Horo82111[[#This Row],[Jour]]="Samedi",$C$1+6, IF(Horo82111[[#This Row],[Jour]]="Dimanche",$C$1, )))))))</f>
        <v>44455</v>
      </c>
      <c r="C24" s="47" t="s">
        <v>2</v>
      </c>
      <c r="D24" s="48" t="n">
        <v>0.354166666666667</v>
      </c>
      <c r="E24" s="48" t="n">
        <v>0.395833333333333</v>
      </c>
      <c r="F24" s="49" t="s">
        <v>34</v>
      </c>
      <c r="G24" s="49" t="s">
        <v>22</v>
      </c>
      <c r="H24" s="50" t="s">
        <v>105</v>
      </c>
      <c r="I24" s="61" t="s">
        <v>140</v>
      </c>
      <c r="J24" s="52" t="n">
        <f aca="false">IF(Horo82111[[#This Row],[Début]]=0,"",(Horo82111[[#This Row],[Durée (60)2]]-INT(Horo82111[[#This Row],[Durée (60)2]]))*24)</f>
        <v>0.999999999999999</v>
      </c>
      <c r="K24" s="62" t="n">
        <f aca="false">SUMIF(Horo82111[Jour],C24,Horo82111[Durée])</f>
        <v>7</v>
      </c>
      <c r="L24" s="54" t="n">
        <f aca="false">IFERROR(SUMIF(Horo82111[[#This Row],[Jour]],Horo82111[[#This Row],[Jour]],Horo82111[[#This Row],[GPF]]) / Horo82111[[#This Row],[hrs]],"")</f>
        <v>0</v>
      </c>
      <c r="M24" s="56" t="str">
        <f aca="false">IF("GPF"=Horo82111[[#This Row],[Tâche]],Horo82111[[#This Row],[Durée]],"")</f>
        <v/>
      </c>
      <c r="N24" s="56" t="str">
        <f aca="false">IF("RI"=Horo82111[[#This Row],[Tâche]],Horo82111[[#This Row],[Durée]],"")</f>
        <v/>
      </c>
      <c r="O24" s="56" t="str">
        <f aca="false">IF("GB"=Horo82111[[#This Row],[Tâche]],Horo82111[[#This Row],[Durée]],"")</f>
        <v/>
      </c>
      <c r="P24" s="63" t="n">
        <f aca="false">IF("RD"=Horo82111[[#This Row],[Tâche]],Horo82111[[#This Row],[Durée]],"")</f>
        <v>0.999999999999999</v>
      </c>
      <c r="Q24" s="56" t="str">
        <f aca="false">IF("FG"=Horo82111[[#This Row],[Tâche]],Horo82111[[#This Row],[Durée]],"")</f>
        <v/>
      </c>
      <c r="R24" s="56" t="str">
        <f aca="false">IF("CONGÉ"=Horo82111[[#This Row],[Tâche]],Horo82111[[#This Row],[Durée]],"")</f>
        <v/>
      </c>
      <c r="S24" s="57" t="str">
        <f aca="false">IF("PS"=Horo82111[[#This Row],[Tâche]],Horo82111[[#This Row],[Durée]],"")</f>
        <v/>
      </c>
      <c r="T24" s="56" t="str">
        <f aca="false">IF("TD"=Horo82111[[#This Row],[Tâche]],Horo82111[[#This Row],[Durée]],"")</f>
        <v/>
      </c>
      <c r="U24" s="55" t="str">
        <f aca="false">IF("N/C"=Horo82111[[#This Row],[Tâche]],Horo82111[[#This Row],[Durée]],"")</f>
        <v/>
      </c>
      <c r="V24" s="58"/>
      <c r="W24" s="59" t="n">
        <f aca="false">IF(Horo82111[[#This Row],[O]]="o",Horo82111[[#This Row],[Durée]],".")</f>
        <v>0.999999999999999</v>
      </c>
      <c r="X24" s="60" t="n">
        <f aca="false">IF(Horo82111[[#This Row],[Début]]=0,"",Horo82111[[#This Row],[Fin]]-Horo82111[[#This Row],[Début]])</f>
        <v>0.0416666666666666</v>
      </c>
    </row>
    <row r="25" customFormat="false" ht="15" hidden="false" customHeight="false" outlineLevel="0" collapsed="false">
      <c r="A25" s="45" t="s">
        <v>31</v>
      </c>
      <c r="B25" s="46" t="n">
        <f aca="false">IF(Horo82111[[#This Row],[Jour]]="Lundi",$C$1+1, IF(Horo82111[[#This Row],[Jour]]="Mardi",$C$1+2, IF(Horo82111[[#This Row],[Jour]]="Mercredi",$C$1+3, IF(Horo82111[[#This Row],[Jour]]="Jeudi",$C$1+4, IF(Horo82111[[#This Row],[Jour]]="Vendredi",$C$1+5, IF(Horo82111[[#This Row],[Jour]]="Samedi",$C$1+6, IF(Horo82111[[#This Row],[Jour]]="Dimanche",$C$1, )))))))</f>
        <v>44455</v>
      </c>
      <c r="C25" s="47" t="s">
        <v>2</v>
      </c>
      <c r="D25" s="48" t="n">
        <v>0.395833333333333</v>
      </c>
      <c r="E25" s="48" t="n">
        <v>0.416666666666667</v>
      </c>
      <c r="F25" s="49" t="s">
        <v>59</v>
      </c>
      <c r="G25" s="49" t="s">
        <v>19</v>
      </c>
      <c r="H25" s="50" t="s">
        <v>55</v>
      </c>
      <c r="I25" s="61"/>
      <c r="J25" s="52" t="n">
        <f aca="false">IF(Horo82111[[#This Row],[Début]]=0,"",(Horo82111[[#This Row],[Durée (60)2]]-INT(Horo82111[[#This Row],[Durée (60)2]]))*24)</f>
        <v>0.500000000000001</v>
      </c>
      <c r="K25" s="62" t="n">
        <f aca="false">SUMIF(Horo82111[Jour],C25,Horo82111[Durée])</f>
        <v>7</v>
      </c>
      <c r="L25" s="54" t="n">
        <f aca="false">IFERROR(SUMIF(Horo82111[[#This Row],[Jour]],Horo82111[[#This Row],[Jour]],Horo82111[[#This Row],[GPF]]) / Horo82111[[#This Row],[hrs]],"")</f>
        <v>0.0714285714285716</v>
      </c>
      <c r="M25" s="56" t="n">
        <f aca="false">IF("GPF"=Horo82111[[#This Row],[Tâche]],Horo82111[[#This Row],[Durée]],"")</f>
        <v>0.500000000000001</v>
      </c>
      <c r="N25" s="56" t="str">
        <f aca="false">IF("RI"=Horo82111[[#This Row],[Tâche]],Horo82111[[#This Row],[Durée]],"")</f>
        <v/>
      </c>
      <c r="O25" s="56" t="str">
        <f aca="false">IF("GB"=Horo82111[[#This Row],[Tâche]],Horo82111[[#This Row],[Durée]],"")</f>
        <v/>
      </c>
      <c r="P25" s="63" t="str">
        <f aca="false">IF("RD"=Horo82111[[#This Row],[Tâche]],Horo82111[[#This Row],[Durée]],"")</f>
        <v/>
      </c>
      <c r="Q25" s="56" t="str">
        <f aca="false">IF("FG"=Horo82111[[#This Row],[Tâche]],Horo82111[[#This Row],[Durée]],"")</f>
        <v/>
      </c>
      <c r="R25" s="56" t="str">
        <f aca="false">IF("CONGÉ"=Horo82111[[#This Row],[Tâche]],Horo82111[[#This Row],[Durée]],"")</f>
        <v/>
      </c>
      <c r="S25" s="57" t="str">
        <f aca="false">IF("PS"=Horo82111[[#This Row],[Tâche]],Horo82111[[#This Row],[Durée]],"")</f>
        <v/>
      </c>
      <c r="T25" s="56" t="str">
        <f aca="false">IF("TD"=Horo82111[[#This Row],[Tâche]],Horo82111[[#This Row],[Durée]],"")</f>
        <v/>
      </c>
      <c r="U25" s="55" t="str">
        <f aca="false">IF("N/C"=Horo82111[[#This Row],[Tâche]],Horo82111[[#This Row],[Durée]],"")</f>
        <v/>
      </c>
      <c r="V25" s="58"/>
      <c r="W25" s="59" t="n">
        <f aca="false">IF(Horo82111[[#This Row],[O]]="o",Horo82111[[#This Row],[Durée]],".")</f>
        <v>0.500000000000001</v>
      </c>
      <c r="X25" s="60" t="n">
        <f aca="false">IF(Horo82111[[#This Row],[Début]]=0,"",Horo82111[[#This Row],[Fin]]-Horo82111[[#This Row],[Début]])</f>
        <v>0.0208333333333334</v>
      </c>
    </row>
    <row r="26" customFormat="false" ht="15" hidden="false" customHeight="false" outlineLevel="0" collapsed="false">
      <c r="A26" s="45" t="s">
        <v>31</v>
      </c>
      <c r="B26" s="46" t="n">
        <f aca="false">IF(Horo82111[[#This Row],[Jour]]="Lundi",$C$1+1, IF(Horo82111[[#This Row],[Jour]]="Mardi",$C$1+2, IF(Horo82111[[#This Row],[Jour]]="Mercredi",$C$1+3, IF(Horo82111[[#This Row],[Jour]]="Jeudi",$C$1+4, IF(Horo82111[[#This Row],[Jour]]="Vendredi",$C$1+5, IF(Horo82111[[#This Row],[Jour]]="Samedi",$C$1+6, IF(Horo82111[[#This Row],[Jour]]="Dimanche",$C$1, )))))))</f>
        <v>44455</v>
      </c>
      <c r="C26" s="47" t="s">
        <v>2</v>
      </c>
      <c r="D26" s="48" t="n">
        <v>0.416666666666667</v>
      </c>
      <c r="E26" s="48" t="n">
        <v>0.5</v>
      </c>
      <c r="F26" s="49" t="s">
        <v>34</v>
      </c>
      <c r="G26" s="49" t="s">
        <v>19</v>
      </c>
      <c r="H26" s="50" t="s">
        <v>105</v>
      </c>
      <c r="I26" s="61" t="s">
        <v>140</v>
      </c>
      <c r="J26" s="52" t="n">
        <f aca="false">IF(Horo82111[[#This Row],[Début]]=0,"",(Horo82111[[#This Row],[Durée (60)2]]-INT(Horo82111[[#This Row],[Durée (60)2]]))*24)</f>
        <v>2</v>
      </c>
      <c r="K26" s="62" t="n">
        <f aca="false">SUMIF(Horo82111[Jour],C26,Horo82111[Durée])</f>
        <v>7</v>
      </c>
      <c r="L26" s="54" t="n">
        <f aca="false">IFERROR(SUMIF(Horo82111[[#This Row],[Jour]],Horo82111[[#This Row],[Jour]],Horo82111[[#This Row],[GPF]]) / Horo82111[[#This Row],[hrs]],"")</f>
        <v>0.285714285714286</v>
      </c>
      <c r="M26" s="56" t="n">
        <f aca="false">IF("GPF"=Horo82111[[#This Row],[Tâche]],Horo82111[[#This Row],[Durée]],"")</f>
        <v>2</v>
      </c>
      <c r="N26" s="56" t="str">
        <f aca="false">IF("RI"=Horo82111[[#This Row],[Tâche]],Horo82111[[#This Row],[Durée]],"")</f>
        <v/>
      </c>
      <c r="O26" s="56" t="str">
        <f aca="false">IF("GB"=Horo82111[[#This Row],[Tâche]],Horo82111[[#This Row],[Durée]],"")</f>
        <v/>
      </c>
      <c r="P26" s="56" t="str">
        <f aca="false">IF("RD"=Horo82111[[#This Row],[Tâche]],Horo82111[[#This Row],[Durée]],"")</f>
        <v/>
      </c>
      <c r="Q26" s="56" t="str">
        <f aca="false">IF("FG"=Horo82111[[#This Row],[Tâche]],Horo82111[[#This Row],[Durée]],"")</f>
        <v/>
      </c>
      <c r="R26" s="56" t="str">
        <f aca="false">IF("CONGÉ"=Horo82111[[#This Row],[Tâche]],Horo82111[[#This Row],[Durée]],"")</f>
        <v/>
      </c>
      <c r="S26" s="57" t="str">
        <f aca="false">IF("PS"=Horo82111[[#This Row],[Tâche]],Horo82111[[#This Row],[Durée]],"")</f>
        <v/>
      </c>
      <c r="T26" s="56" t="str">
        <f aca="false">IF("TD"=Horo82111[[#This Row],[Tâche]],Horo82111[[#This Row],[Durée]],"")</f>
        <v/>
      </c>
      <c r="U26" s="55" t="str">
        <f aca="false">IF("N/C"=Horo82111[[#This Row],[Tâche]],Horo82111[[#This Row],[Durée]],"")</f>
        <v/>
      </c>
      <c r="V26" s="58"/>
      <c r="W26" s="59" t="n">
        <f aca="false">IF(Horo82111[[#This Row],[O]]="o",Horo82111[[#This Row],[Durée]],".")</f>
        <v>2</v>
      </c>
      <c r="X26" s="60" t="n">
        <f aca="false">IF(Horo82111[[#This Row],[Début]]=0,"",Horo82111[[#This Row],[Fin]]-Horo82111[[#This Row],[Début]])</f>
        <v>0.0833333333333333</v>
      </c>
    </row>
    <row r="27" customFormat="false" ht="15" hidden="false" customHeight="false" outlineLevel="0" collapsed="false">
      <c r="A27" s="45" t="s">
        <v>31</v>
      </c>
      <c r="B27" s="46" t="n">
        <f aca="false">IF(Horo82111[[#This Row],[Jour]]="Lundi",$C$1+1, IF(Horo82111[[#This Row],[Jour]]="Mardi",$C$1+2, IF(Horo82111[[#This Row],[Jour]]="Mercredi",$C$1+3, IF(Horo82111[[#This Row],[Jour]]="Jeudi",$C$1+4, IF(Horo82111[[#This Row],[Jour]]="Vendredi",$C$1+5, IF(Horo82111[[#This Row],[Jour]]="Samedi",$C$1+6, IF(Horo82111[[#This Row],[Jour]]="Dimanche",$C$1, )))))))</f>
        <v>44455</v>
      </c>
      <c r="C27" s="47" t="s">
        <v>2</v>
      </c>
      <c r="D27" s="48" t="n">
        <v>0.583333333333333</v>
      </c>
      <c r="E27" s="48" t="n">
        <v>0.625</v>
      </c>
      <c r="F27" s="49" t="s">
        <v>34</v>
      </c>
      <c r="G27" s="49" t="s">
        <v>19</v>
      </c>
      <c r="H27" s="50" t="s">
        <v>105</v>
      </c>
      <c r="I27" s="61" t="s">
        <v>141</v>
      </c>
      <c r="J27" s="52" t="n">
        <f aca="false">IF(Horo82111[[#This Row],[Début]]=0,"",(Horo82111[[#This Row],[Durée (60)2]]-INT(Horo82111[[#This Row],[Durée (60)2]]))*24)</f>
        <v>0.999999999999999</v>
      </c>
      <c r="K27" s="62" t="n">
        <f aca="false">SUMIF(Horo82111[Jour],C27,Horo82111[Durée])</f>
        <v>7</v>
      </c>
      <c r="L27" s="54" t="n">
        <f aca="false">IFERROR(SUMIF(Horo82111[[#This Row],[Jour]],Horo82111[[#This Row],[Jour]],Horo82111[[#This Row],[GPF]]) / Horo82111[[#This Row],[hrs]],"")</f>
        <v>0.142857142857143</v>
      </c>
      <c r="M27" s="56" t="n">
        <f aca="false">IF("GPF"=Horo82111[[#This Row],[Tâche]],Horo82111[[#This Row],[Durée]],"")</f>
        <v>0.999999999999999</v>
      </c>
      <c r="N27" s="56" t="str">
        <f aca="false">IF("RI"=Horo82111[[#This Row],[Tâche]],Horo82111[[#This Row],[Durée]],"")</f>
        <v/>
      </c>
      <c r="O27" s="56" t="str">
        <f aca="false">IF("GB"=Horo82111[[#This Row],[Tâche]],Horo82111[[#This Row],[Durée]],"")</f>
        <v/>
      </c>
      <c r="P27" s="56" t="str">
        <f aca="false">IF("RD"=Horo82111[[#This Row],[Tâche]],Horo82111[[#This Row],[Durée]],"")</f>
        <v/>
      </c>
      <c r="Q27" s="56" t="str">
        <f aca="false">IF("FG"=Horo82111[[#This Row],[Tâche]],Horo82111[[#This Row],[Durée]],"")</f>
        <v/>
      </c>
      <c r="R27" s="56" t="str">
        <f aca="false">IF("CONGÉ"=Horo82111[[#This Row],[Tâche]],Horo82111[[#This Row],[Durée]],"")</f>
        <v/>
      </c>
      <c r="S27" s="57" t="str">
        <f aca="false">IF("PS"=Horo82111[[#This Row],[Tâche]],Horo82111[[#This Row],[Durée]],"")</f>
        <v/>
      </c>
      <c r="T27" s="56" t="str">
        <f aca="false">IF("TD"=Horo82111[[#This Row],[Tâche]],Horo82111[[#This Row],[Durée]],"")</f>
        <v/>
      </c>
      <c r="U27" s="55" t="str">
        <f aca="false">IF("N/C"=Horo82111[[#This Row],[Tâche]],Horo82111[[#This Row],[Durée]],"")</f>
        <v/>
      </c>
      <c r="V27" s="58"/>
      <c r="W27" s="59" t="n">
        <f aca="false">IF(Horo82111[[#This Row],[O]]="o",Horo82111[[#This Row],[Durée]],".")</f>
        <v>0.999999999999999</v>
      </c>
      <c r="X27" s="60" t="n">
        <f aca="false">IF(Horo82111[[#This Row],[Début]]=0,"",Horo82111[[#This Row],[Fin]]-Horo82111[[#This Row],[Début]])</f>
        <v>0.0416666666666666</v>
      </c>
    </row>
    <row r="28" customFormat="false" ht="15" hidden="false" customHeight="false" outlineLevel="0" collapsed="false">
      <c r="A28" s="45" t="s">
        <v>31</v>
      </c>
      <c r="B28" s="46" t="n">
        <f aca="false">IF(Horo82111[[#This Row],[Jour]]="Lundi",$C$1+1, IF(Horo82111[[#This Row],[Jour]]="Mardi",$C$1+2, IF(Horo82111[[#This Row],[Jour]]="Mercredi",$C$1+3, IF(Horo82111[[#This Row],[Jour]]="Jeudi",$C$1+4, IF(Horo82111[[#This Row],[Jour]]="Vendredi",$C$1+5, IF(Horo82111[[#This Row],[Jour]]="Samedi",$C$1+6, IF(Horo82111[[#This Row],[Jour]]="Dimanche",$C$1, )))))))</f>
        <v>44455</v>
      </c>
      <c r="C28" s="47" t="s">
        <v>2</v>
      </c>
      <c r="D28" s="48" t="n">
        <v>0.625</v>
      </c>
      <c r="E28" s="48" t="n">
        <v>0.666666666666667</v>
      </c>
      <c r="F28" s="49" t="s">
        <v>32</v>
      </c>
      <c r="G28" s="49" t="s">
        <v>22</v>
      </c>
      <c r="H28" s="50" t="s">
        <v>105</v>
      </c>
      <c r="I28" s="61" t="s">
        <v>142</v>
      </c>
      <c r="J28" s="52" t="n">
        <f aca="false">IF(Horo82111[[#This Row],[Début]]=0,"",(Horo82111[[#This Row],[Durée (60)2]]-INT(Horo82111[[#This Row],[Durée (60)2]]))*24)</f>
        <v>0.999999999999999</v>
      </c>
      <c r="K28" s="62" t="n">
        <f aca="false">SUMIF(Horo82111[Jour],C28,Horo82111[Durée])</f>
        <v>7</v>
      </c>
      <c r="L28" s="54" t="n">
        <f aca="false">IFERROR(SUMIF(Horo82111[[#This Row],[Jour]],Horo82111[[#This Row],[Jour]],Horo82111[[#This Row],[GPF]]) / Horo82111[[#This Row],[hrs]],"")</f>
        <v>0</v>
      </c>
      <c r="M28" s="56" t="str">
        <f aca="false">IF("GPF"=Horo82111[[#This Row],[Tâche]],Horo82111[[#This Row],[Durée]],"")</f>
        <v/>
      </c>
      <c r="N28" s="56" t="str">
        <f aca="false">IF("RI"=Horo82111[[#This Row],[Tâche]],Horo82111[[#This Row],[Durée]],"")</f>
        <v/>
      </c>
      <c r="O28" s="56" t="str">
        <f aca="false">IF("GB"=Horo82111[[#This Row],[Tâche]],Horo82111[[#This Row],[Durée]],"")</f>
        <v/>
      </c>
      <c r="P28" s="56" t="n">
        <f aca="false">IF("RD"=Horo82111[[#This Row],[Tâche]],Horo82111[[#This Row],[Durée]],"")</f>
        <v>0.999999999999999</v>
      </c>
      <c r="Q28" s="56" t="str">
        <f aca="false">IF("FG"=Horo82111[[#This Row],[Tâche]],Horo82111[[#This Row],[Durée]],"")</f>
        <v/>
      </c>
      <c r="R28" s="56" t="str">
        <f aca="false">IF("CONGÉ"=Horo82111[[#This Row],[Tâche]],Horo82111[[#This Row],[Durée]],"")</f>
        <v/>
      </c>
      <c r="S28" s="57" t="str">
        <f aca="false">IF("PS"=Horo82111[[#This Row],[Tâche]],Horo82111[[#This Row],[Durée]],"")</f>
        <v/>
      </c>
      <c r="T28" s="56" t="str">
        <f aca="false">IF("TD"=Horo82111[[#This Row],[Tâche]],Horo82111[[#This Row],[Durée]],"")</f>
        <v/>
      </c>
      <c r="U28" s="55" t="str">
        <f aca="false">IF("N/C"=Horo82111[[#This Row],[Tâche]],Horo82111[[#This Row],[Durée]],"")</f>
        <v/>
      </c>
      <c r="V28" s="58"/>
      <c r="W28" s="59" t="n">
        <f aca="false">IF(Horo82111[[#This Row],[O]]="o",Horo82111[[#This Row],[Durée]],".")</f>
        <v>0.999999999999999</v>
      </c>
      <c r="X28" s="60" t="n">
        <f aca="false">IF(Horo82111[[#This Row],[Début]]=0,"",Horo82111[[#This Row],[Fin]]-Horo82111[[#This Row],[Début]])</f>
        <v>0.0416666666666666</v>
      </c>
    </row>
    <row r="29" customFormat="false" ht="15" hidden="false" customHeight="false" outlineLevel="0" collapsed="false">
      <c r="A29" s="45" t="s">
        <v>31</v>
      </c>
      <c r="B29" s="46" t="n">
        <f aca="false">IF(Horo82111[[#This Row],[Jour]]="Lundi",$C$1+1, IF(Horo82111[[#This Row],[Jour]]="Mardi",$C$1+2, IF(Horo82111[[#This Row],[Jour]]="Mercredi",$C$1+3, IF(Horo82111[[#This Row],[Jour]]="Jeudi",$C$1+4, IF(Horo82111[[#This Row],[Jour]]="Vendredi",$C$1+5, IF(Horo82111[[#This Row],[Jour]]="Samedi",$C$1+6, IF(Horo82111[[#This Row],[Jour]]="Dimanche",$C$1, )))))))</f>
        <v>44455</v>
      </c>
      <c r="C29" s="47" t="s">
        <v>2</v>
      </c>
      <c r="D29" s="48" t="n">
        <v>0.666666666666667</v>
      </c>
      <c r="E29" s="48" t="n">
        <v>0.708333333333333</v>
      </c>
      <c r="F29" s="49" t="s">
        <v>37</v>
      </c>
      <c r="G29" s="49" t="s">
        <v>19</v>
      </c>
      <c r="H29" s="50" t="s">
        <v>105</v>
      </c>
      <c r="I29" s="61" t="s">
        <v>143</v>
      </c>
      <c r="J29" s="52" t="n">
        <f aca="false">IF(Horo82111[[#This Row],[Début]]=0,"",(Horo82111[[#This Row],[Durée (60)2]]-INT(Horo82111[[#This Row],[Durée (60)2]]))*24)</f>
        <v>1</v>
      </c>
      <c r="K29" s="62" t="n">
        <f aca="false">SUMIF(Horo82111[Jour],C29,Horo82111[Durée])</f>
        <v>7</v>
      </c>
      <c r="L29" s="54" t="n">
        <f aca="false">IFERROR(SUMIF(Horo82111[[#This Row],[Jour]],Horo82111[[#This Row],[Jour]],Horo82111[[#This Row],[GPF]]) / Horo82111[[#This Row],[hrs]],"")</f>
        <v>0.142857142857143</v>
      </c>
      <c r="M29" s="56" t="n">
        <f aca="false">IF("GPF"=Horo82111[[#This Row],[Tâche]],Horo82111[[#This Row],[Durée]],"")</f>
        <v>1</v>
      </c>
      <c r="N29" s="56" t="str">
        <f aca="false">IF("RI"=Horo82111[[#This Row],[Tâche]],Horo82111[[#This Row],[Durée]],"")</f>
        <v/>
      </c>
      <c r="O29" s="56" t="str">
        <f aca="false">IF("GB"=Horo82111[[#This Row],[Tâche]],Horo82111[[#This Row],[Durée]],"")</f>
        <v/>
      </c>
      <c r="P29" s="56" t="str">
        <f aca="false">IF("RD"=Horo82111[[#This Row],[Tâche]],Horo82111[[#This Row],[Durée]],"")</f>
        <v/>
      </c>
      <c r="Q29" s="56" t="str">
        <f aca="false">IF("FG"=Horo82111[[#This Row],[Tâche]],Horo82111[[#This Row],[Durée]],"")</f>
        <v/>
      </c>
      <c r="R29" s="56" t="str">
        <f aca="false">IF("CONGÉ"=Horo82111[[#This Row],[Tâche]],Horo82111[[#This Row],[Durée]],"")</f>
        <v/>
      </c>
      <c r="S29" s="57" t="str">
        <f aca="false">IF("PS"=Horo82111[[#This Row],[Tâche]],Horo82111[[#This Row],[Durée]],"")</f>
        <v/>
      </c>
      <c r="T29" s="56" t="str">
        <f aca="false">IF("TD"=Horo82111[[#This Row],[Tâche]],Horo82111[[#This Row],[Durée]],"")</f>
        <v/>
      </c>
      <c r="U29" s="55" t="str">
        <f aca="false">IF("N/C"=Horo82111[[#This Row],[Tâche]],Horo82111[[#This Row],[Durée]],"")</f>
        <v/>
      </c>
      <c r="V29" s="58"/>
      <c r="W29" s="59" t="n">
        <f aca="false">IF(Horo82111[[#This Row],[O]]="o",Horo82111[[#This Row],[Durée]],".")</f>
        <v>1</v>
      </c>
      <c r="X29" s="60" t="n">
        <f aca="false">IF(Horo82111[[#This Row],[Début]]=0,"",Horo82111[[#This Row],[Fin]]-Horo82111[[#This Row],[Début]])</f>
        <v>0.0416666666666667</v>
      </c>
    </row>
    <row r="30" customFormat="false" ht="15" hidden="false" customHeight="false" outlineLevel="0" collapsed="false">
      <c r="A30" s="45" t="s">
        <v>31</v>
      </c>
      <c r="B30" s="46" t="n">
        <f aca="false">IF(Horo82111[[#This Row],[Jour]]="Lundi",$C$1+1, IF(Horo82111[[#This Row],[Jour]]="Mardi",$C$1+2, IF(Horo82111[[#This Row],[Jour]]="Mercredi",$C$1+3, IF(Horo82111[[#This Row],[Jour]]="Jeudi",$C$1+4, IF(Horo82111[[#This Row],[Jour]]="Vendredi",$C$1+5, IF(Horo82111[[#This Row],[Jour]]="Samedi",$C$1+6, IF(Horo82111[[#This Row],[Jour]]="Dimanche",$C$1, )))))))</f>
        <v>44456</v>
      </c>
      <c r="C30" s="47" t="s">
        <v>3</v>
      </c>
      <c r="D30" s="48" t="n">
        <v>0.291666666666667</v>
      </c>
      <c r="E30" s="48" t="n">
        <v>0.354166666666667</v>
      </c>
      <c r="F30" s="49" t="s">
        <v>37</v>
      </c>
      <c r="G30" s="49" t="s">
        <v>26</v>
      </c>
      <c r="H30" s="50" t="s">
        <v>51</v>
      </c>
      <c r="I30" s="51" t="s">
        <v>144</v>
      </c>
      <c r="J30" s="52" t="n">
        <f aca="false">IF(Horo82111[[#This Row],[Début]]=0,"",(Horo82111[[#This Row],[Durée (60)2]]-INT(Horo82111[[#This Row],[Durée (60)2]]))*24)</f>
        <v>1.5</v>
      </c>
      <c r="K30" s="62" t="n">
        <f aca="false">SUMIF(Horo82111[Jour],C30,Horo82111[Durée])</f>
        <v>9.25</v>
      </c>
      <c r="L30" s="54" t="n">
        <f aca="false">IFERROR(SUMIF(Horo82111[[#This Row],[Jour]],Horo82111[[#This Row],[Jour]],Horo82111[[#This Row],[GPF]]) / Horo82111[[#This Row],[hrs]],"")</f>
        <v>0</v>
      </c>
      <c r="M30" s="56" t="str">
        <f aca="false">IF("GPF"=Horo82111[[#This Row],[Tâche]],Horo82111[[#This Row],[Durée]],"")</f>
        <v/>
      </c>
      <c r="N30" s="56" t="str">
        <f aca="false">IF("RI"=Horo82111[[#This Row],[Tâche]],Horo82111[[#This Row],[Durée]],"")</f>
        <v/>
      </c>
      <c r="O30" s="56" t="str">
        <f aca="false">IF("GB"=Horo82111[[#This Row],[Tâche]],Horo82111[[#This Row],[Durée]],"")</f>
        <v/>
      </c>
      <c r="P30" s="56" t="str">
        <f aca="false">IF("RD"=Horo82111[[#This Row],[Tâche]],Horo82111[[#This Row],[Durée]],"")</f>
        <v/>
      </c>
      <c r="Q30" s="56" t="str">
        <f aca="false">IF("FG"=Horo82111[[#This Row],[Tâche]],Horo82111[[#This Row],[Durée]],"")</f>
        <v/>
      </c>
      <c r="R30" s="56" t="str">
        <f aca="false">IF("CONGÉ"=Horo82111[[#This Row],[Tâche]],Horo82111[[#This Row],[Durée]],"")</f>
        <v/>
      </c>
      <c r="S30" s="56" t="str">
        <f aca="false">IF("PS"=Horo82111[[#This Row],[Tâche]],Horo82111[[#This Row],[Durée]],"")</f>
        <v/>
      </c>
      <c r="T30" s="56" t="n">
        <f aca="false">IF("TD"=Horo82111[[#This Row],[Tâche]],Horo82111[[#This Row],[Durée]],"")</f>
        <v>1.5</v>
      </c>
      <c r="U30" s="56" t="str">
        <f aca="false">IF("N/C"=Horo82111[[#This Row],[Tâche]],Horo82111[[#This Row],[Durée]],"")</f>
        <v/>
      </c>
      <c r="V30" s="58"/>
      <c r="W30" s="59" t="n">
        <f aca="false">IF(Horo82111[[#This Row],[O]]="o",Horo82111[[#This Row],[Durée]],".")</f>
        <v>1.5</v>
      </c>
      <c r="X30" s="64" t="n">
        <f aca="false">IF(Horo82111[[#This Row],[Début]]=0,"",Horo82111[[#This Row],[Fin]]-Horo82111[[#This Row],[Début]])</f>
        <v>0.0625</v>
      </c>
    </row>
    <row r="31" customFormat="false" ht="15" hidden="false" customHeight="false" outlineLevel="0" collapsed="false">
      <c r="A31" s="45" t="s">
        <v>31</v>
      </c>
      <c r="B31" s="46" t="n">
        <f aca="false">IF(Horo82111[[#This Row],[Jour]]="Lundi",$C$1+1, IF(Horo82111[[#This Row],[Jour]]="Mardi",$C$1+2, IF(Horo82111[[#This Row],[Jour]]="Mercredi",$C$1+3, IF(Horo82111[[#This Row],[Jour]]="Jeudi",$C$1+4, IF(Horo82111[[#This Row],[Jour]]="Vendredi",$C$1+5, IF(Horo82111[[#This Row],[Jour]]="Samedi",$C$1+6, IF(Horo82111[[#This Row],[Jour]]="Dimanche",$C$1, )))))))</f>
        <v>44456</v>
      </c>
      <c r="C31" s="47" t="s">
        <v>3</v>
      </c>
      <c r="D31" s="48" t="n">
        <v>0.354166666666667</v>
      </c>
      <c r="E31" s="48" t="n">
        <v>0.520833333333333</v>
      </c>
      <c r="F31" s="49" t="s">
        <v>37</v>
      </c>
      <c r="G31" s="49" t="s">
        <v>19</v>
      </c>
      <c r="H31" s="50" t="s">
        <v>53</v>
      </c>
      <c r="I31" s="61" t="s">
        <v>54</v>
      </c>
      <c r="J31" s="52" t="n">
        <f aca="false">IF(Horo82111[[#This Row],[Début]]=0,"",(Horo82111[[#This Row],[Durée (60)2]]-INT(Horo82111[[#This Row],[Durée (60)2]]))*24)</f>
        <v>4</v>
      </c>
      <c r="K31" s="62" t="n">
        <f aca="false">SUMIF(Horo82111[Jour],C31,Horo82111[Durée])</f>
        <v>9.25</v>
      </c>
      <c r="L31" s="54" t="n">
        <f aca="false">IFERROR(SUMIF(Horo82111[[#This Row],[Jour]],Horo82111[[#This Row],[Jour]],Horo82111[[#This Row],[GPF]]) / Horo82111[[#This Row],[hrs]],"")</f>
        <v>0.432432432432432</v>
      </c>
      <c r="M31" s="56" t="n">
        <f aca="false">IF("GPF"=Horo82111[[#This Row],[Tâche]],Horo82111[[#This Row],[Durée]],"")</f>
        <v>4</v>
      </c>
      <c r="N31" s="56" t="str">
        <f aca="false">IF("RI"=Horo82111[[#This Row],[Tâche]],Horo82111[[#This Row],[Durée]],"")</f>
        <v/>
      </c>
      <c r="O31" s="56" t="str">
        <f aca="false">IF("GB"=Horo82111[[#This Row],[Tâche]],Horo82111[[#This Row],[Durée]],"")</f>
        <v/>
      </c>
      <c r="P31" s="56" t="str">
        <f aca="false">IF("RD"=Horo82111[[#This Row],[Tâche]],Horo82111[[#This Row],[Durée]],"")</f>
        <v/>
      </c>
      <c r="Q31" s="103" t="str">
        <f aca="false">IF("FG"=Horo82111[[#This Row],[Tâche]],Horo82111[[#This Row],[Durée]],"")</f>
        <v/>
      </c>
      <c r="R31" s="56" t="str">
        <f aca="false">IF("CONGÉ"=Horo82111[[#This Row],[Tâche]],Horo82111[[#This Row],[Durée]],"")</f>
        <v/>
      </c>
      <c r="S31" s="57" t="str">
        <f aca="false">IF("PS"=Horo82111[[#This Row],[Tâche]],Horo82111[[#This Row],[Durée]],"")</f>
        <v/>
      </c>
      <c r="T31" s="56" t="str">
        <f aca="false">IF("TD"=Horo82111[[#This Row],[Tâche]],Horo82111[[#This Row],[Durée]],"")</f>
        <v/>
      </c>
      <c r="U31" s="55" t="str">
        <f aca="false">IF("N/C"=Horo82111[[#This Row],[Tâche]],Horo82111[[#This Row],[Durée]],"")</f>
        <v/>
      </c>
      <c r="V31" s="58"/>
      <c r="W31" s="59" t="n">
        <f aca="false">IF(Horo82111[[#This Row],[O]]="o",Horo82111[[#This Row],[Durée]],".")</f>
        <v>4</v>
      </c>
      <c r="X31" s="60" t="n">
        <f aca="false">IF(Horo82111[[#This Row],[Début]]=0,"",Horo82111[[#This Row],[Fin]]-Horo82111[[#This Row],[Début]])</f>
        <v>0.166666666666667</v>
      </c>
    </row>
    <row r="32" customFormat="false" ht="15" hidden="false" customHeight="false" outlineLevel="0" collapsed="false">
      <c r="A32" s="45" t="s">
        <v>31</v>
      </c>
      <c r="B32" s="46" t="n">
        <f aca="false">IF(Horo82111[[#This Row],[Jour]]="Lundi",$C$1+1, IF(Horo82111[[#This Row],[Jour]]="Mardi",$C$1+2, IF(Horo82111[[#This Row],[Jour]]="Mercredi",$C$1+3, IF(Horo82111[[#This Row],[Jour]]="Jeudi",$C$1+4, IF(Horo82111[[#This Row],[Jour]]="Vendredi",$C$1+5, IF(Horo82111[[#This Row],[Jour]]="Samedi",$C$1+6, IF(Horo82111[[#This Row],[Jour]]="Dimanche",$C$1, )))))))</f>
        <v>44456</v>
      </c>
      <c r="C32" s="47" t="s">
        <v>3</v>
      </c>
      <c r="D32" s="48" t="n">
        <v>0.520833333333333</v>
      </c>
      <c r="E32" s="48" t="n">
        <v>0.552083333333333</v>
      </c>
      <c r="F32" s="49" t="s">
        <v>37</v>
      </c>
      <c r="G32" s="49" t="s">
        <v>26</v>
      </c>
      <c r="H32" s="50" t="s">
        <v>51</v>
      </c>
      <c r="I32" s="61" t="s">
        <v>145</v>
      </c>
      <c r="J32" s="52" t="n">
        <f aca="false">IF(Horo82111[[#This Row],[Début]]=0,"",(Horo82111[[#This Row],[Durée (60)2]]-INT(Horo82111[[#This Row],[Durée (60)2]]))*24)</f>
        <v>0.75</v>
      </c>
      <c r="K32" s="62" t="n">
        <f aca="false">SUMIF(Horo82111[Jour],C32,Horo82111[Durée])</f>
        <v>9.25</v>
      </c>
      <c r="L32" s="54" t="n">
        <f aca="false">IFERROR(SUMIF(Horo82111[[#This Row],[Jour]],Horo82111[[#This Row],[Jour]],Horo82111[[#This Row],[GPF]]) / Horo82111[[#This Row],[hrs]],"")</f>
        <v>0</v>
      </c>
      <c r="M32" s="56" t="str">
        <f aca="false">IF("GPF"=Horo82111[[#This Row],[Tâche]],Horo82111[[#This Row],[Durée]],"")</f>
        <v/>
      </c>
      <c r="N32" s="56" t="str">
        <f aca="false">IF("RI"=Horo82111[[#This Row],[Tâche]],Horo82111[[#This Row],[Durée]],"")</f>
        <v/>
      </c>
      <c r="O32" s="56" t="str">
        <f aca="false">IF("GB"=Horo82111[[#This Row],[Tâche]],Horo82111[[#This Row],[Durée]],"")</f>
        <v/>
      </c>
      <c r="P32" s="56" t="str">
        <f aca="false">IF("RD"=Horo82111[[#This Row],[Tâche]],Horo82111[[#This Row],[Durée]],"")</f>
        <v/>
      </c>
      <c r="Q32" s="56" t="str">
        <f aca="false">IF("FG"=Horo82111[[#This Row],[Tâche]],Horo82111[[#This Row],[Durée]],"")</f>
        <v/>
      </c>
      <c r="R32" s="56" t="str">
        <f aca="false">IF("CONGÉ"=Horo82111[[#This Row],[Tâche]],Horo82111[[#This Row],[Durée]],"")</f>
        <v/>
      </c>
      <c r="S32" s="57" t="str">
        <f aca="false">IF("PS"=Horo82111[[#This Row],[Tâche]],Horo82111[[#This Row],[Durée]],"")</f>
        <v/>
      </c>
      <c r="T32" s="56" t="n">
        <f aca="false">IF("TD"=Horo82111[[#This Row],[Tâche]],Horo82111[[#This Row],[Durée]],"")</f>
        <v>0.75</v>
      </c>
      <c r="U32" s="55" t="str">
        <f aca="false">IF("N/C"=Horo82111[[#This Row],[Tâche]],Horo82111[[#This Row],[Durée]],"")</f>
        <v/>
      </c>
      <c r="V32" s="58"/>
      <c r="W32" s="59" t="n">
        <f aca="false">IF(Horo82111[[#This Row],[O]]="o",Horo82111[[#This Row],[Durée]],".")</f>
        <v>0.75</v>
      </c>
      <c r="X32" s="60" t="n">
        <f aca="false">IF(Horo82111[[#This Row],[Début]]=0,"",Horo82111[[#This Row],[Fin]]-Horo82111[[#This Row],[Début]])</f>
        <v>0.03125</v>
      </c>
    </row>
    <row r="33" customFormat="false" ht="15" hidden="false" customHeight="false" outlineLevel="0" collapsed="false">
      <c r="A33" s="45" t="s">
        <v>31</v>
      </c>
      <c r="B33" s="46" t="n">
        <f aca="false">IF(Horo82111[[#This Row],[Jour]]="Lundi",$C$1+1, IF(Horo82111[[#This Row],[Jour]]="Mardi",$C$1+2, IF(Horo82111[[#This Row],[Jour]]="Mercredi",$C$1+3, IF(Horo82111[[#This Row],[Jour]]="Jeudi",$C$1+4, IF(Horo82111[[#This Row],[Jour]]="Vendredi",$C$1+5, IF(Horo82111[[#This Row],[Jour]]="Samedi",$C$1+6, IF(Horo82111[[#This Row],[Jour]]="Dimanche",$C$1, )))))))</f>
        <v>44456</v>
      </c>
      <c r="C33" s="47" t="s">
        <v>3</v>
      </c>
      <c r="D33" s="48" t="n">
        <v>0.645833333333333</v>
      </c>
      <c r="E33" s="48" t="n">
        <v>0.65625</v>
      </c>
      <c r="F33" s="49" t="s">
        <v>61</v>
      </c>
      <c r="G33" s="49" t="s">
        <v>19</v>
      </c>
      <c r="H33" s="50" t="s">
        <v>42</v>
      </c>
      <c r="I33" s="61" t="s">
        <v>146</v>
      </c>
      <c r="J33" s="52" t="n">
        <f aca="false">IF(Horo82111[[#This Row],[Début]]=0,"",(Horo82111[[#This Row],[Durée (60)2]]-INT(Horo82111[[#This Row],[Durée (60)2]]))*24)</f>
        <v>0.249999999999999</v>
      </c>
      <c r="K33" s="62" t="n">
        <f aca="false">SUMIF(Horo82111[Jour],C33,Horo82111[Durée])</f>
        <v>9.25</v>
      </c>
      <c r="L33" s="54" t="n">
        <f aca="false">IFERROR(SUMIF(Horo82111[[#This Row],[Jour]],Horo82111[[#This Row],[Jour]],Horo82111[[#This Row],[GPF]]) / Horo82111[[#This Row],[hrs]],"")</f>
        <v>0.0270270270270269</v>
      </c>
      <c r="M33" s="56" t="n">
        <f aca="false">IF("GPF"=Horo82111[[#This Row],[Tâche]],Horo82111[[#This Row],[Durée]],"")</f>
        <v>0.249999999999999</v>
      </c>
      <c r="N33" s="56" t="str">
        <f aca="false">IF("RI"=Horo82111[[#This Row],[Tâche]],Horo82111[[#This Row],[Durée]],"")</f>
        <v/>
      </c>
      <c r="O33" s="56" t="str">
        <f aca="false">IF("GB"=Horo82111[[#This Row],[Tâche]],Horo82111[[#This Row],[Durée]],"")</f>
        <v/>
      </c>
      <c r="P33" s="56" t="str">
        <f aca="false">IF("RD"=Horo82111[[#This Row],[Tâche]],Horo82111[[#This Row],[Durée]],"")</f>
        <v/>
      </c>
      <c r="Q33" s="56" t="str">
        <f aca="false">IF("FG"=Horo82111[[#This Row],[Tâche]],Horo82111[[#This Row],[Durée]],"")</f>
        <v/>
      </c>
      <c r="R33" s="56" t="str">
        <f aca="false">IF("CONGÉ"=Horo82111[[#This Row],[Tâche]],Horo82111[[#This Row],[Durée]],"")</f>
        <v/>
      </c>
      <c r="S33" s="57" t="str">
        <f aca="false">IF("PS"=Horo82111[[#This Row],[Tâche]],Horo82111[[#This Row],[Durée]],"")</f>
        <v/>
      </c>
      <c r="T33" s="56" t="str">
        <f aca="false">IF("TD"=Horo82111[[#This Row],[Tâche]],Horo82111[[#This Row],[Durée]],"")</f>
        <v/>
      </c>
      <c r="U33" s="55" t="str">
        <f aca="false">IF("N/C"=Horo82111[[#This Row],[Tâche]],Horo82111[[#This Row],[Durée]],"")</f>
        <v/>
      </c>
      <c r="V33" s="58"/>
      <c r="W33" s="59" t="n">
        <f aca="false">IF(Horo82111[[#This Row],[O]]="o",Horo82111[[#This Row],[Durée]],".")</f>
        <v>0.249999999999999</v>
      </c>
      <c r="X33" s="60" t="n">
        <f aca="false">IF(Horo82111[[#This Row],[Début]]=0,"",Horo82111[[#This Row],[Fin]]-Horo82111[[#This Row],[Début]])</f>
        <v>0.0104166666666666</v>
      </c>
    </row>
    <row r="34" customFormat="false" ht="15" hidden="false" customHeight="false" outlineLevel="0" collapsed="false">
      <c r="A34" s="45" t="s">
        <v>31</v>
      </c>
      <c r="B34" s="46" t="n">
        <f aca="false">IF(Horo82111[[#This Row],[Jour]]="Lundi",$C$1+1, IF(Horo82111[[#This Row],[Jour]]="Mardi",$C$1+2, IF(Horo82111[[#This Row],[Jour]]="Mercredi",$C$1+3, IF(Horo82111[[#This Row],[Jour]]="Jeudi",$C$1+4, IF(Horo82111[[#This Row],[Jour]]="Vendredi",$C$1+5, IF(Horo82111[[#This Row],[Jour]]="Samedi",$C$1+6, IF(Horo82111[[#This Row],[Jour]]="Dimanche",$C$1, )))))))</f>
        <v>44456</v>
      </c>
      <c r="C34" s="47" t="s">
        <v>3</v>
      </c>
      <c r="D34" s="48" t="n">
        <v>0.65625</v>
      </c>
      <c r="E34" s="48" t="n">
        <v>0.6875</v>
      </c>
      <c r="F34" s="49" t="s">
        <v>32</v>
      </c>
      <c r="G34" s="49" t="s">
        <v>21</v>
      </c>
      <c r="H34" s="50"/>
      <c r="I34" s="61"/>
      <c r="J34" s="52" t="n">
        <f aca="false">IF(Horo82111[[#This Row],[Début]]=0,"",(Horo82111[[#This Row],[Durée (60)2]]-INT(Horo82111[[#This Row],[Durée (60)2]]))*24)</f>
        <v>0.75</v>
      </c>
      <c r="K34" s="62" t="n">
        <f aca="false">SUMIF(Horo82111[Jour],C34,Horo82111[Durée])</f>
        <v>9.25</v>
      </c>
      <c r="L34" s="54" t="n">
        <f aca="false">IFERROR(SUMIF(Horo82111[[#This Row],[Jour]],Horo82111[[#This Row],[Jour]],Horo82111[[#This Row],[GPF]]) / Horo82111[[#This Row],[hrs]],"")</f>
        <v>0</v>
      </c>
      <c r="M34" s="56" t="str">
        <f aca="false">IF("GPF"=Horo82111[[#This Row],[Tâche]],Horo82111[[#This Row],[Durée]],"")</f>
        <v/>
      </c>
      <c r="N34" s="56" t="str">
        <f aca="false">IF("RI"=Horo82111[[#This Row],[Tâche]],Horo82111[[#This Row],[Durée]],"")</f>
        <v/>
      </c>
      <c r="O34" s="56" t="n">
        <f aca="false">IF("GB"=Horo82111[[#This Row],[Tâche]],Horo82111[[#This Row],[Durée]],"")</f>
        <v>0.75</v>
      </c>
      <c r="P34" s="56" t="str">
        <f aca="false">IF("RD"=Horo82111[[#This Row],[Tâche]],Horo82111[[#This Row],[Durée]],"")</f>
        <v/>
      </c>
      <c r="Q34" s="56" t="str">
        <f aca="false">IF("FG"=Horo82111[[#This Row],[Tâche]],Horo82111[[#This Row],[Durée]],"")</f>
        <v/>
      </c>
      <c r="R34" s="56" t="str">
        <f aca="false">IF("CONGÉ"=Horo82111[[#This Row],[Tâche]],Horo82111[[#This Row],[Durée]],"")</f>
        <v/>
      </c>
      <c r="S34" s="57" t="str">
        <f aca="false">IF("PS"=Horo82111[[#This Row],[Tâche]],Horo82111[[#This Row],[Durée]],"")</f>
        <v/>
      </c>
      <c r="T34" s="56" t="str">
        <f aca="false">IF("TD"=Horo82111[[#This Row],[Tâche]],Horo82111[[#This Row],[Durée]],"")</f>
        <v/>
      </c>
      <c r="U34" s="55" t="str">
        <f aca="false">IF("N/C"=Horo82111[[#This Row],[Tâche]],Horo82111[[#This Row],[Durée]],"")</f>
        <v/>
      </c>
      <c r="V34" s="58"/>
      <c r="W34" s="59" t="n">
        <f aca="false">IF(Horo82111[[#This Row],[O]]="o",Horo82111[[#This Row],[Durée]],".")</f>
        <v>0.75</v>
      </c>
      <c r="X34" s="60" t="n">
        <f aca="false">IF(Horo82111[[#This Row],[Début]]=0,"",Horo82111[[#This Row],[Fin]]-Horo82111[[#This Row],[Début]])</f>
        <v>0.03125</v>
      </c>
    </row>
    <row r="35" customFormat="false" ht="15" hidden="false" customHeight="false" outlineLevel="0" collapsed="false">
      <c r="A35" s="45" t="s">
        <v>31</v>
      </c>
      <c r="B35" s="46" t="n">
        <f aca="false">IF(Horo82111[[#This Row],[Jour]]="Lundi",$C$1+1, IF(Horo82111[[#This Row],[Jour]]="Mardi",$C$1+2, IF(Horo82111[[#This Row],[Jour]]="Mercredi",$C$1+3, IF(Horo82111[[#This Row],[Jour]]="Jeudi",$C$1+4, IF(Horo82111[[#This Row],[Jour]]="Vendredi",$C$1+5, IF(Horo82111[[#This Row],[Jour]]="Samedi",$C$1+6, IF(Horo82111[[#This Row],[Jour]]="Dimanche",$C$1, )))))))</f>
        <v>44456</v>
      </c>
      <c r="C35" s="47" t="s">
        <v>3</v>
      </c>
      <c r="D35" s="48" t="n">
        <v>0.6875</v>
      </c>
      <c r="E35" s="48" t="n">
        <v>0.770833333333333</v>
      </c>
      <c r="F35" s="49" t="s">
        <v>32</v>
      </c>
      <c r="G35" s="49" t="s">
        <v>22</v>
      </c>
      <c r="H35" s="50" t="s">
        <v>118</v>
      </c>
      <c r="I35" s="61" t="s">
        <v>147</v>
      </c>
      <c r="J35" s="52" t="n">
        <f aca="false">IF(Horo82111[[#This Row],[Début]]=0,"",(Horo82111[[#This Row],[Durée (60)2]]-INT(Horo82111[[#This Row],[Durée (60)2]]))*24)</f>
        <v>2</v>
      </c>
      <c r="K35" s="62" t="n">
        <f aca="false">SUMIF(Horo82111[Jour],C35,Horo82111[Durée])</f>
        <v>9.25</v>
      </c>
      <c r="L35" s="54" t="n">
        <f aca="false">IFERROR(SUMIF(Horo82111[[#This Row],[Jour]],Horo82111[[#This Row],[Jour]],Horo82111[[#This Row],[GPF]]) / Horo82111[[#This Row],[hrs]],"")</f>
        <v>0</v>
      </c>
      <c r="M35" s="56" t="str">
        <f aca="false">IF("GPF"=Horo82111[[#This Row],[Tâche]],Horo82111[[#This Row],[Durée]],"")</f>
        <v/>
      </c>
      <c r="N35" s="56" t="str">
        <f aca="false">IF("RI"=Horo82111[[#This Row],[Tâche]],Horo82111[[#This Row],[Durée]],"")</f>
        <v/>
      </c>
      <c r="O35" s="56" t="str">
        <f aca="false">IF("GB"=Horo82111[[#This Row],[Tâche]],Horo82111[[#This Row],[Durée]],"")</f>
        <v/>
      </c>
      <c r="P35" s="56" t="n">
        <f aca="false">IF("RD"=Horo82111[[#This Row],[Tâche]],Horo82111[[#This Row],[Durée]],"")</f>
        <v>2</v>
      </c>
      <c r="Q35" s="56" t="str">
        <f aca="false">IF("FG"=Horo82111[[#This Row],[Tâche]],Horo82111[[#This Row],[Durée]],"")</f>
        <v/>
      </c>
      <c r="R35" s="56" t="str">
        <f aca="false">IF("CONGÉ"=Horo82111[[#This Row],[Tâche]],Horo82111[[#This Row],[Durée]],"")</f>
        <v/>
      </c>
      <c r="S35" s="57" t="str">
        <f aca="false">IF("PS"=Horo82111[[#This Row],[Tâche]],Horo82111[[#This Row],[Durée]],"")</f>
        <v/>
      </c>
      <c r="T35" s="56" t="str">
        <f aca="false">IF("TD"=Horo82111[[#This Row],[Tâche]],Horo82111[[#This Row],[Durée]],"")</f>
        <v/>
      </c>
      <c r="U35" s="55" t="str">
        <f aca="false">IF("N/C"=Horo82111[[#This Row],[Tâche]],Horo82111[[#This Row],[Durée]],"")</f>
        <v/>
      </c>
      <c r="V35" s="58"/>
      <c r="W35" s="59" t="n">
        <f aca="false">IF(Horo82111[[#This Row],[O]]="o",Horo82111[[#This Row],[Durée]],".")</f>
        <v>2</v>
      </c>
      <c r="X35" s="60" t="n">
        <f aca="false">IF(Horo82111[[#This Row],[Début]]=0,"",Horo82111[[#This Row],[Fin]]-Horo82111[[#This Row],[Début]])</f>
        <v>0.0833333333333334</v>
      </c>
    </row>
    <row r="36" customFormat="false" ht="15" hidden="false" customHeight="false" outlineLevel="0" collapsed="false">
      <c r="A36" s="45" t="s">
        <v>31</v>
      </c>
      <c r="B36" s="46" t="n">
        <f aca="false">IF(Horo82111[[#This Row],[Jour]]="Lundi",$C$1+1, IF(Horo82111[[#This Row],[Jour]]="Mardi",$C$1+2, IF(Horo82111[[#This Row],[Jour]]="Mercredi",$C$1+3, IF(Horo82111[[#This Row],[Jour]]="Jeudi",$C$1+4, IF(Horo82111[[#This Row],[Jour]]="Vendredi",$C$1+5, IF(Horo82111[[#This Row],[Jour]]="Samedi",$C$1+6, IF(Horo82111[[#This Row],[Jour]]="Dimanche",$C$1, )))))))</f>
        <v>44457</v>
      </c>
      <c r="C36" s="47" t="s">
        <v>4</v>
      </c>
      <c r="D36" s="48" t="n">
        <v>0.333333333333333</v>
      </c>
      <c r="E36" s="48" t="n">
        <v>0.354166666666667</v>
      </c>
      <c r="F36" s="49" t="s">
        <v>32</v>
      </c>
      <c r="G36" s="49" t="s">
        <v>21</v>
      </c>
      <c r="H36" s="50" t="s">
        <v>33</v>
      </c>
      <c r="I36" s="51"/>
      <c r="J36" s="52" t="n">
        <f aca="false">IF(Horo82111[[#This Row],[Début]]=0,"",(Horo82111[[#This Row],[Durée (60)2]]-INT(Horo82111[[#This Row],[Durée (60)2]]))*24)</f>
        <v>0.500000000000001</v>
      </c>
      <c r="K36" s="62" t="n">
        <f aca="false">SUMIF(Horo82111[Jour],C36,Horo82111[Durée])</f>
        <v>6.5</v>
      </c>
      <c r="L36" s="54" t="n">
        <f aca="false">IFERROR(SUMIF(Horo82111[[#This Row],[Jour]],Horo82111[[#This Row],[Jour]],Horo82111[[#This Row],[GPF]]) / Horo82111[[#This Row],[hrs]],"")</f>
        <v>0</v>
      </c>
      <c r="M36" s="56" t="str">
        <f aca="false">IF("GPF"=Horo82111[[#This Row],[Tâche]],Horo82111[[#This Row],[Durée]],"")</f>
        <v/>
      </c>
      <c r="N36" s="56" t="str">
        <f aca="false">IF("RI"=Horo82111[[#This Row],[Tâche]],Horo82111[[#This Row],[Durée]],"")</f>
        <v/>
      </c>
      <c r="O36" s="56" t="n">
        <f aca="false">IF("GB"=Horo82111[[#This Row],[Tâche]],Horo82111[[#This Row],[Durée]],"")</f>
        <v>0.500000000000001</v>
      </c>
      <c r="P36" s="63" t="str">
        <f aca="false">IF("RD"=Horo82111[[#This Row],[Tâche]],Horo82111[[#This Row],[Durée]],"")</f>
        <v/>
      </c>
      <c r="Q36" s="56" t="str">
        <f aca="false">IF("FG"=Horo82111[[#This Row],[Tâche]],Horo82111[[#This Row],[Durée]],"")</f>
        <v/>
      </c>
      <c r="R36" s="56" t="str">
        <f aca="false">IF("CONGÉ"=Horo82111[[#This Row],[Tâche]],Horo82111[[#This Row],[Durée]],"")</f>
        <v/>
      </c>
      <c r="S36" s="57" t="str">
        <f aca="false">IF("PS"=Horo82111[[#This Row],[Tâche]],Horo82111[[#This Row],[Durée]],"")</f>
        <v/>
      </c>
      <c r="T36" s="56" t="str">
        <f aca="false">IF("TD"=Horo82111[[#This Row],[Tâche]],Horo82111[[#This Row],[Durée]],"")</f>
        <v/>
      </c>
      <c r="U36" s="55" t="str">
        <f aca="false">IF("N/C"=Horo82111[[#This Row],[Tâche]],Horo82111[[#This Row],[Durée]],"")</f>
        <v/>
      </c>
      <c r="V36" s="58"/>
      <c r="W36" s="59" t="n">
        <f aca="false">IF(Horo82111[[#This Row],[O]]="o",Horo82111[[#This Row],[Durée]],".")</f>
        <v>0.500000000000001</v>
      </c>
      <c r="X36" s="60" t="n">
        <f aca="false">IF(Horo82111[[#This Row],[Début]]=0,"",Horo82111[[#This Row],[Fin]]-Horo82111[[#This Row],[Début]])</f>
        <v>0.0208333333333334</v>
      </c>
    </row>
    <row r="37" customFormat="false" ht="15" hidden="false" customHeight="false" outlineLevel="0" collapsed="false">
      <c r="A37" s="45" t="s">
        <v>31</v>
      </c>
      <c r="B37" s="46" t="n">
        <f aca="false">IF(Horo82111[[#This Row],[Jour]]="Lundi",$C$1+1, IF(Horo82111[[#This Row],[Jour]]="Mardi",$C$1+2, IF(Horo82111[[#This Row],[Jour]]="Mercredi",$C$1+3, IF(Horo82111[[#This Row],[Jour]]="Jeudi",$C$1+4, IF(Horo82111[[#This Row],[Jour]]="Vendredi",$C$1+5, IF(Horo82111[[#This Row],[Jour]]="Samedi",$C$1+6, IF(Horo82111[[#This Row],[Jour]]="Dimanche",$C$1, )))))))</f>
        <v>44457</v>
      </c>
      <c r="C37" s="47" t="s">
        <v>4</v>
      </c>
      <c r="D37" s="48" t="n">
        <v>0.354166666666667</v>
      </c>
      <c r="E37" s="48" t="n">
        <v>0.395833333333333</v>
      </c>
      <c r="F37" s="49" t="s">
        <v>34</v>
      </c>
      <c r="G37" s="49" t="s">
        <v>22</v>
      </c>
      <c r="H37" s="50" t="s">
        <v>38</v>
      </c>
      <c r="I37" s="61" t="s">
        <v>140</v>
      </c>
      <c r="J37" s="52" t="n">
        <f aca="false">IF(Horo82111[[#This Row],[Début]]=0,"",(Horo82111[[#This Row],[Durée (60)2]]-INT(Horo82111[[#This Row],[Durée (60)2]]))*24)</f>
        <v>0.999999999999999</v>
      </c>
      <c r="K37" s="62" t="n">
        <f aca="false">SUMIF(Horo82111[Jour],C37,Horo82111[Durée])</f>
        <v>6.5</v>
      </c>
      <c r="L37" s="54" t="n">
        <f aca="false">IFERROR(SUMIF(Horo82111[[#This Row],[Jour]],Horo82111[[#This Row],[Jour]],Horo82111[[#This Row],[GPF]]) / Horo82111[[#This Row],[hrs]],"")</f>
        <v>0</v>
      </c>
      <c r="M37" s="56" t="str">
        <f aca="false">IF("GPF"=Horo82111[[#This Row],[Tâche]],Horo82111[[#This Row],[Durée]],"")</f>
        <v/>
      </c>
      <c r="N37" s="56" t="str">
        <f aca="false">IF("RI"=Horo82111[[#This Row],[Tâche]],Horo82111[[#This Row],[Durée]],"")</f>
        <v/>
      </c>
      <c r="O37" s="56" t="str">
        <f aca="false">IF("GB"=Horo82111[[#This Row],[Tâche]],Horo82111[[#This Row],[Durée]],"")</f>
        <v/>
      </c>
      <c r="P37" s="56" t="n">
        <f aca="false">IF("RD"=Horo82111[[#This Row],[Tâche]],Horo82111[[#This Row],[Durée]],"")</f>
        <v>0.999999999999999</v>
      </c>
      <c r="Q37" s="56" t="str">
        <f aca="false">IF("FG"=Horo82111[[#This Row],[Tâche]],Horo82111[[#This Row],[Durée]],"")</f>
        <v/>
      </c>
      <c r="R37" s="56" t="str">
        <f aca="false">IF("CONGÉ"=Horo82111[[#This Row],[Tâche]],Horo82111[[#This Row],[Durée]],"")</f>
        <v/>
      </c>
      <c r="S37" s="57" t="str">
        <f aca="false">IF("PS"=Horo82111[[#This Row],[Tâche]],Horo82111[[#This Row],[Durée]],"")</f>
        <v/>
      </c>
      <c r="T37" s="56" t="str">
        <f aca="false">IF("TD"=Horo82111[[#This Row],[Tâche]],Horo82111[[#This Row],[Durée]],"")</f>
        <v/>
      </c>
      <c r="U37" s="55" t="str">
        <f aca="false">IF("N/C"=Horo82111[[#This Row],[Tâche]],Horo82111[[#This Row],[Durée]],"")</f>
        <v/>
      </c>
      <c r="V37" s="58"/>
      <c r="W37" s="59" t="n">
        <f aca="false">IF(Horo82111[[#This Row],[O]]="o",Horo82111[[#This Row],[Durée]],".")</f>
        <v>0.999999999999999</v>
      </c>
      <c r="X37" s="60" t="n">
        <f aca="false">IF(Horo82111[[#This Row],[Début]]=0,"",Horo82111[[#This Row],[Fin]]-Horo82111[[#This Row],[Début]])</f>
        <v>0.0416666666666666</v>
      </c>
    </row>
    <row r="38" customFormat="false" ht="15" hidden="false" customHeight="false" outlineLevel="0" collapsed="false">
      <c r="A38" s="45" t="s">
        <v>31</v>
      </c>
      <c r="B38" s="46" t="n">
        <f aca="false">IF(Horo82111[[#This Row],[Jour]]="Lundi",$C$1+1, IF(Horo82111[[#This Row],[Jour]]="Mardi",$C$1+2, IF(Horo82111[[#This Row],[Jour]]="Mercredi",$C$1+3, IF(Horo82111[[#This Row],[Jour]]="Jeudi",$C$1+4, IF(Horo82111[[#This Row],[Jour]]="Vendredi",$C$1+5, IF(Horo82111[[#This Row],[Jour]]="Samedi",$C$1+6, IF(Horo82111[[#This Row],[Jour]]="Dimanche",$C$1, )))))))</f>
        <v>44457</v>
      </c>
      <c r="C38" s="47" t="s">
        <v>4</v>
      </c>
      <c r="D38" s="48" t="n">
        <v>0.395833333333333</v>
      </c>
      <c r="E38" s="48" t="n">
        <v>0.458333333333333</v>
      </c>
      <c r="F38" s="49" t="s">
        <v>34</v>
      </c>
      <c r="G38" s="49" t="s">
        <v>27</v>
      </c>
      <c r="H38" s="50" t="s">
        <v>38</v>
      </c>
      <c r="I38" s="61" t="s">
        <v>148</v>
      </c>
      <c r="J38" s="52" t="n">
        <f aca="false">IF(Horo82111[[#This Row],[Début]]=0,"",(Horo82111[[#This Row],[Durée (60)2]]-INT(Horo82111[[#This Row],[Durée (60)2]]))*24)</f>
        <v>1.5</v>
      </c>
      <c r="K38" s="62" t="n">
        <f aca="false">SUMIF(Horo82111[Jour],C38,Horo82111[Durée])</f>
        <v>6.5</v>
      </c>
      <c r="L38" s="54" t="n">
        <f aca="false">IFERROR(SUMIF(Horo82111[[#This Row],[Jour]],Horo82111[[#This Row],[Jour]],Horo82111[[#This Row],[GPF]]) / Horo82111[[#This Row],[hrs]],"")</f>
        <v>0</v>
      </c>
      <c r="M38" s="56" t="str">
        <f aca="false">IF("GPF"=Horo82111[[#This Row],[Tâche]],Horo82111[[#This Row],[Durée]],"")</f>
        <v/>
      </c>
      <c r="N38" s="56" t="str">
        <f aca="false">IF("RI"=Horo82111[[#This Row],[Tâche]],Horo82111[[#This Row],[Durée]],"")</f>
        <v/>
      </c>
      <c r="O38" s="56" t="str">
        <f aca="false">IF("GB"=Horo82111[[#This Row],[Tâche]],Horo82111[[#This Row],[Durée]],"")</f>
        <v/>
      </c>
      <c r="P38" s="56" t="str">
        <f aca="false">IF("RD"=Horo82111[[#This Row],[Tâche]],Horo82111[[#This Row],[Durée]],"")</f>
        <v/>
      </c>
      <c r="Q38" s="56" t="str">
        <f aca="false">IF("FG"=Horo82111[[#This Row],[Tâche]],Horo82111[[#This Row],[Durée]],"")</f>
        <v/>
      </c>
      <c r="R38" s="56" t="str">
        <f aca="false">IF("CONGÉ"=Horo82111[[#This Row],[Tâche]],Horo82111[[#This Row],[Durée]],"")</f>
        <v/>
      </c>
      <c r="S38" s="57" t="str">
        <f aca="false">IF("PS"=Horo82111[[#This Row],[Tâche]],Horo82111[[#This Row],[Durée]],"")</f>
        <v/>
      </c>
      <c r="T38" s="56" t="str">
        <f aca="false">IF("TD"=Horo82111[[#This Row],[Tâche]],Horo82111[[#This Row],[Durée]],"")</f>
        <v/>
      </c>
      <c r="U38" s="55" t="n">
        <f aca="false">IF("N/C"=Horo82111[[#This Row],[Tâche]],Horo82111[[#This Row],[Durée]],"")</f>
        <v>1.5</v>
      </c>
      <c r="V38" s="58"/>
      <c r="W38" s="59" t="n">
        <f aca="false">IF(Horo82111[[#This Row],[O]]="o",Horo82111[[#This Row],[Durée]],".")</f>
        <v>1.5</v>
      </c>
      <c r="X38" s="60" t="n">
        <f aca="false">IF(Horo82111[[#This Row],[Début]]=0,"",Horo82111[[#This Row],[Fin]]-Horo82111[[#This Row],[Début]])</f>
        <v>0.0625</v>
      </c>
    </row>
    <row r="39" customFormat="false" ht="15" hidden="false" customHeight="false" outlineLevel="0" collapsed="false">
      <c r="A39" s="45" t="s">
        <v>31</v>
      </c>
      <c r="B39" s="46" t="n">
        <f aca="false">IF(Horo82111[[#This Row],[Jour]]="Lundi",$C$1+1, IF(Horo82111[[#This Row],[Jour]]="Mardi",$C$1+2, IF(Horo82111[[#This Row],[Jour]]="Mercredi",$C$1+3, IF(Horo82111[[#This Row],[Jour]]="Jeudi",$C$1+4, IF(Horo82111[[#This Row],[Jour]]="Vendredi",$C$1+5, IF(Horo82111[[#This Row],[Jour]]="Samedi",$C$1+6, IF(Horo82111[[#This Row],[Jour]]="Dimanche",$C$1, )))))))</f>
        <v>44457</v>
      </c>
      <c r="C39" s="47" t="s">
        <v>4</v>
      </c>
      <c r="D39" s="48" t="n">
        <v>0.458333333333333</v>
      </c>
      <c r="E39" s="48" t="n">
        <v>0.479166666666667</v>
      </c>
      <c r="F39" s="49" t="s">
        <v>34</v>
      </c>
      <c r="G39" s="49" t="s">
        <v>21</v>
      </c>
      <c r="H39" s="50" t="s">
        <v>38</v>
      </c>
      <c r="I39" s="61" t="s">
        <v>140</v>
      </c>
      <c r="J39" s="52" t="n">
        <f aca="false">IF(Horo82111[[#This Row],[Début]]=0,"",(Horo82111[[#This Row],[Durée (60)2]]-INT(Horo82111[[#This Row],[Durée (60)2]]))*24)</f>
        <v>0.500000000000001</v>
      </c>
      <c r="K39" s="62" t="n">
        <f aca="false">SUMIF(Horo82111[Jour],C39,Horo82111[Durée])</f>
        <v>6.5</v>
      </c>
      <c r="L39" s="54" t="n">
        <f aca="false">IFERROR(SUMIF(Horo82111[[#This Row],[Jour]],Horo82111[[#This Row],[Jour]],Horo82111[[#This Row],[GPF]]) / Horo82111[[#This Row],[hrs]],"")</f>
        <v>0</v>
      </c>
      <c r="M39" s="56" t="str">
        <f aca="false">IF("GPF"=Horo82111[[#This Row],[Tâche]],Horo82111[[#This Row],[Durée]],"")</f>
        <v/>
      </c>
      <c r="N39" s="56" t="str">
        <f aca="false">IF("RI"=Horo82111[[#This Row],[Tâche]],Horo82111[[#This Row],[Durée]],"")</f>
        <v/>
      </c>
      <c r="O39" s="56" t="n">
        <f aca="false">IF("GB"=Horo82111[[#This Row],[Tâche]],Horo82111[[#This Row],[Durée]],"")</f>
        <v>0.500000000000001</v>
      </c>
      <c r="P39" s="56" t="str">
        <f aca="false">IF("RD"=Horo82111[[#This Row],[Tâche]],Horo82111[[#This Row],[Durée]],"")</f>
        <v/>
      </c>
      <c r="Q39" s="56" t="str">
        <f aca="false">IF("FG"=Horo82111[[#This Row],[Tâche]],Horo82111[[#This Row],[Durée]],"")</f>
        <v/>
      </c>
      <c r="R39" s="56" t="str">
        <f aca="false">IF("CONGÉ"=Horo82111[[#This Row],[Tâche]],Horo82111[[#This Row],[Durée]],"")</f>
        <v/>
      </c>
      <c r="S39" s="57" t="str">
        <f aca="false">IF("PS"=Horo82111[[#This Row],[Tâche]],Horo82111[[#This Row],[Durée]],"")</f>
        <v/>
      </c>
      <c r="T39" s="56" t="str">
        <f aca="false">IF("TD"=Horo82111[[#This Row],[Tâche]],Horo82111[[#This Row],[Durée]],"")</f>
        <v/>
      </c>
      <c r="U39" s="55" t="str">
        <f aca="false">IF("N/C"=Horo82111[[#This Row],[Tâche]],Horo82111[[#This Row],[Durée]],"")</f>
        <v/>
      </c>
      <c r="V39" s="58"/>
      <c r="W39" s="59" t="n">
        <f aca="false">IF(Horo82111[[#This Row],[O]]="o",Horo82111[[#This Row],[Durée]],".")</f>
        <v>0.500000000000001</v>
      </c>
      <c r="X39" s="60" t="n">
        <f aca="false">IF(Horo82111[[#This Row],[Début]]=0,"",Horo82111[[#This Row],[Fin]]-Horo82111[[#This Row],[Début]])</f>
        <v>0.0208333333333334</v>
      </c>
    </row>
    <row r="40" customFormat="false" ht="15" hidden="false" customHeight="false" outlineLevel="0" collapsed="false">
      <c r="A40" s="45" t="s">
        <v>31</v>
      </c>
      <c r="B40" s="46" t="n">
        <f aca="false">IF(Horo82111[[#This Row],[Jour]]="Lundi",$C$1+1, IF(Horo82111[[#This Row],[Jour]]="Mardi",$C$1+2, IF(Horo82111[[#This Row],[Jour]]="Mercredi",$C$1+3, IF(Horo82111[[#This Row],[Jour]]="Jeudi",$C$1+4, IF(Horo82111[[#This Row],[Jour]]="Vendredi",$C$1+5, IF(Horo82111[[#This Row],[Jour]]="Samedi",$C$1+6, IF(Horo82111[[#This Row],[Jour]]="Dimanche",$C$1, )))))))</f>
        <v>44457</v>
      </c>
      <c r="C40" s="47" t="s">
        <v>4</v>
      </c>
      <c r="D40" s="48" t="n">
        <v>0.5625</v>
      </c>
      <c r="E40" s="48" t="n">
        <v>0.6875</v>
      </c>
      <c r="F40" s="49" t="s">
        <v>34</v>
      </c>
      <c r="G40" s="49" t="s">
        <v>22</v>
      </c>
      <c r="H40" s="50" t="s">
        <v>38</v>
      </c>
      <c r="I40" s="61" t="s">
        <v>140</v>
      </c>
      <c r="J40" s="52" t="n">
        <f aca="false">IF(Horo82111[[#This Row],[Début]]=0,"",(Horo82111[[#This Row],[Durée (60)2]]-INT(Horo82111[[#This Row],[Durée (60)2]]))*24)</f>
        <v>3</v>
      </c>
      <c r="K40" s="62" t="n">
        <f aca="false">SUMIF(Horo82111[Jour],C40,Horo82111[Durée])</f>
        <v>6.5</v>
      </c>
      <c r="L40" s="54" t="n">
        <f aca="false">IFERROR(SUMIF(Horo82111[[#This Row],[Jour]],Horo82111[[#This Row],[Jour]],Horo82111[[#This Row],[GPF]]) / Horo82111[[#This Row],[hrs]],"")</f>
        <v>0</v>
      </c>
      <c r="M40" s="56" t="str">
        <f aca="false">IF("GPF"=Horo82111[[#This Row],[Tâche]],Horo82111[[#This Row],[Durée]],"")</f>
        <v/>
      </c>
      <c r="N40" s="56" t="str">
        <f aca="false">IF("RI"=Horo82111[[#This Row],[Tâche]],Horo82111[[#This Row],[Durée]],"")</f>
        <v/>
      </c>
      <c r="O40" s="56" t="str">
        <f aca="false">IF("GB"=Horo82111[[#This Row],[Tâche]],Horo82111[[#This Row],[Durée]],"")</f>
        <v/>
      </c>
      <c r="P40" s="56" t="n">
        <f aca="false">IF("RD"=Horo82111[[#This Row],[Tâche]],Horo82111[[#This Row],[Durée]],"")</f>
        <v>3</v>
      </c>
      <c r="Q40" s="56" t="str">
        <f aca="false">IF("FG"=Horo82111[[#This Row],[Tâche]],Horo82111[[#This Row],[Durée]],"")</f>
        <v/>
      </c>
      <c r="R40" s="56" t="str">
        <f aca="false">IF("CONGÉ"=Horo82111[[#This Row],[Tâche]],Horo82111[[#This Row],[Durée]],"")</f>
        <v/>
      </c>
      <c r="S40" s="57" t="str">
        <f aca="false">IF("PS"=Horo82111[[#This Row],[Tâche]],Horo82111[[#This Row],[Durée]],"")</f>
        <v/>
      </c>
      <c r="T40" s="56" t="str">
        <f aca="false">IF("TD"=Horo82111[[#This Row],[Tâche]],Horo82111[[#This Row],[Durée]],"")</f>
        <v/>
      </c>
      <c r="U40" s="55" t="str">
        <f aca="false">IF("N/C"=Horo82111[[#This Row],[Tâche]],Horo82111[[#This Row],[Durée]],"")</f>
        <v/>
      </c>
      <c r="V40" s="58"/>
      <c r="W40" s="59" t="n">
        <f aca="false">IF(Horo82111[[#This Row],[O]]="o",Horo82111[[#This Row],[Durée]],".")</f>
        <v>3</v>
      </c>
      <c r="X40" s="60" t="n">
        <f aca="false">IF(Horo82111[[#This Row],[Début]]=0,"",Horo82111[[#This Row],[Fin]]-Horo82111[[#This Row],[Début]])</f>
        <v>0.125</v>
      </c>
    </row>
    <row r="41" customFormat="false" ht="15" hidden="false" customHeight="false" outlineLevel="0" collapsed="false">
      <c r="A41" s="45" t="s">
        <v>31</v>
      </c>
      <c r="B41" s="46" t="n">
        <f aca="false">IF(Horo82111[[#This Row],[Jour]]="Lundi",$C$1+1, IF(Horo82111[[#This Row],[Jour]]="Mardi",$C$1+2, IF(Horo82111[[#This Row],[Jour]]="Mercredi",$C$1+3, IF(Horo82111[[#This Row],[Jour]]="Jeudi",$C$1+4, IF(Horo82111[[#This Row],[Jour]]="Vendredi",$C$1+5, IF(Horo82111[[#This Row],[Jour]]="Samedi",$C$1+6, IF(Horo82111[[#This Row],[Jour]]="Dimanche",$C$1, )))))))</f>
        <v>44457</v>
      </c>
      <c r="C41" s="47" t="s">
        <v>4</v>
      </c>
      <c r="D41" s="48" t="n">
        <v>0.6875</v>
      </c>
      <c r="E41" s="48" t="n">
        <v>0.6875</v>
      </c>
      <c r="F41" s="49" t="s">
        <v>34</v>
      </c>
      <c r="G41" s="49" t="s">
        <v>27</v>
      </c>
      <c r="H41" s="50" t="s">
        <v>38</v>
      </c>
      <c r="I41" s="61" t="s">
        <v>149</v>
      </c>
      <c r="J41" s="52" t="n">
        <f aca="false">IF(Horo82111[[#This Row],[Début]]=0,"",(Horo82111[[#This Row],[Durée (60)2]]-INT(Horo82111[[#This Row],[Durée (60)2]]))*24)</f>
        <v>0</v>
      </c>
      <c r="K41" s="62" t="n">
        <f aca="false">SUMIF(Horo82111[Jour],C41,Horo82111[Durée])</f>
        <v>6.5</v>
      </c>
      <c r="L41" s="54" t="n">
        <f aca="false">IFERROR(SUMIF(Horo82111[[#This Row],[Jour]],Horo82111[[#This Row],[Jour]],Horo82111[[#This Row],[GPF]]) / Horo82111[[#This Row],[hrs]],"")</f>
        <v>0</v>
      </c>
      <c r="M41" s="56" t="str">
        <f aca="false">IF("GPF"=Horo82111[[#This Row],[Tâche]],Horo82111[[#This Row],[Durée]],"")</f>
        <v/>
      </c>
      <c r="N41" s="56" t="str">
        <f aca="false">IF("RI"=Horo82111[[#This Row],[Tâche]],Horo82111[[#This Row],[Durée]],"")</f>
        <v/>
      </c>
      <c r="O41" s="56" t="str">
        <f aca="false">IF("GB"=Horo82111[[#This Row],[Tâche]],Horo82111[[#This Row],[Durée]],"")</f>
        <v/>
      </c>
      <c r="P41" s="56" t="str">
        <f aca="false">IF("RD"=Horo82111[[#This Row],[Tâche]],Horo82111[[#This Row],[Durée]],"")</f>
        <v/>
      </c>
      <c r="Q41" s="56" t="str">
        <f aca="false">IF("FG"=Horo82111[[#This Row],[Tâche]],Horo82111[[#This Row],[Durée]],"")</f>
        <v/>
      </c>
      <c r="R41" s="56" t="str">
        <f aca="false">IF("CONGÉ"=Horo82111[[#This Row],[Tâche]],Horo82111[[#This Row],[Durée]],"")</f>
        <v/>
      </c>
      <c r="S41" s="57" t="str">
        <f aca="false">IF("PS"=Horo82111[[#This Row],[Tâche]],Horo82111[[#This Row],[Durée]],"")</f>
        <v/>
      </c>
      <c r="T41" s="56" t="str">
        <f aca="false">IF("TD"=Horo82111[[#This Row],[Tâche]],Horo82111[[#This Row],[Durée]],"")</f>
        <v/>
      </c>
      <c r="U41" s="55" t="n">
        <f aca="false">IF("N/C"=Horo82111[[#This Row],[Tâche]],Horo82111[[#This Row],[Durée]],"")</f>
        <v>0</v>
      </c>
      <c r="V41" s="58"/>
      <c r="W41" s="59" t="n">
        <f aca="false">IF(Horo82111[[#This Row],[O]]="o",Horo82111[[#This Row],[Durée]],".")</f>
        <v>0</v>
      </c>
      <c r="X41" s="60" t="n">
        <f aca="false">IF(Horo82111[[#This Row],[Début]]=0,"",Horo82111[[#This Row],[Fin]]-Horo82111[[#This Row],[Début]])</f>
        <v>0</v>
      </c>
    </row>
    <row r="42" customFormat="false" ht="15" hidden="false" customHeight="false" outlineLevel="0" collapsed="false">
      <c r="A42" s="45" t="s">
        <v>33</v>
      </c>
      <c r="B42" s="46" t="n">
        <f aca="false">IF(Horo82111[[#This Row],[Jour]]="Lundi",$C$1+1, IF(Horo82111[[#This Row],[Jour]]="Mardi",$C$1+2, IF(Horo82111[[#This Row],[Jour]]="Mercredi",$C$1+3, IF(Horo82111[[#This Row],[Jour]]="Jeudi",$C$1+4, IF(Horo82111[[#This Row],[Jour]]="Vendredi",$C$1+5, IF(Horo82111[[#This Row],[Jour]]="Samedi",$C$1+6, IF(Horo82111[[#This Row],[Jour]]="Dimanche",$C$1, )))))))</f>
        <v>44457</v>
      </c>
      <c r="C42" s="47" t="s">
        <v>4</v>
      </c>
      <c r="D42" s="48"/>
      <c r="E42" s="48"/>
      <c r="F42" s="49"/>
      <c r="G42" s="49"/>
      <c r="H42" s="50"/>
      <c r="I42" s="61"/>
      <c r="J42" s="52" t="str">
        <f aca="false">IF(Horo82111[[#This Row],[Début]]=0,"",(Horo82111[[#This Row],[Durée (60)2]]-INT(Horo82111[[#This Row],[Durée (60)2]]))*24)</f>
        <v/>
      </c>
      <c r="K42" s="62" t="n">
        <f aca="false">SUMIF(Horo82111[Jour],C42,Horo82111[Durée])</f>
        <v>6.5</v>
      </c>
      <c r="L42" s="54" t="n">
        <f aca="false">IFERROR(SUMIF(Horo82111[[#This Row],[Jour]],Horo82111[[#This Row],[Jour]],Horo82111[[#This Row],[GPF]]) / Horo82111[[#This Row],[hrs]],"")</f>
        <v>0</v>
      </c>
      <c r="M42" s="56" t="str">
        <f aca="false">IF("GPF"=Horo82111[[#This Row],[Tâche]],Horo82111[[#This Row],[Durée]],"")</f>
        <v/>
      </c>
      <c r="N42" s="56" t="str">
        <f aca="false">IF("RI"=Horo82111[[#This Row],[Tâche]],Horo82111[[#This Row],[Durée]],"")</f>
        <v/>
      </c>
      <c r="O42" s="56" t="str">
        <f aca="false">IF("GB"=Horo82111[[#This Row],[Tâche]],Horo82111[[#This Row],[Durée]],"")</f>
        <v/>
      </c>
      <c r="P42" s="56" t="str">
        <f aca="false">IF("RD"=Horo82111[[#This Row],[Tâche]],Horo82111[[#This Row],[Durée]],"")</f>
        <v/>
      </c>
      <c r="Q42" s="56" t="str">
        <f aca="false">IF("FG"=Horo82111[[#This Row],[Tâche]],Horo82111[[#This Row],[Durée]],"")</f>
        <v/>
      </c>
      <c r="R42" s="56" t="str">
        <f aca="false">IF("CONGÉ"=Horo82111[[#This Row],[Tâche]],Horo82111[[#This Row],[Durée]],"")</f>
        <v/>
      </c>
      <c r="S42" s="57" t="str">
        <f aca="false">IF("PS"=Horo82111[[#This Row],[Tâche]],Horo82111[[#This Row],[Durée]],"")</f>
        <v/>
      </c>
      <c r="T42" s="56" t="str">
        <f aca="false">IF("TD"=Horo82111[[#This Row],[Tâche]],Horo82111[[#This Row],[Durée]],"")</f>
        <v/>
      </c>
      <c r="U42" s="55" t="str">
        <f aca="false">IF("N/C"=Horo82111[[#This Row],[Tâche]],Horo82111[[#This Row],[Durée]],"")</f>
        <v/>
      </c>
      <c r="V42" s="58"/>
      <c r="W42" s="59" t="str">
        <f aca="false">IF(Horo82111[[#This Row],[O]]="o",Horo82111[[#This Row],[Durée]],".")</f>
        <v>.</v>
      </c>
      <c r="X42" s="60" t="str">
        <f aca="false">IF(Horo82111[[#This Row],[Début]]=0,"",Horo82111[[#This Row],[Fin]]-Horo82111[[#This Row],[Début]])</f>
        <v/>
      </c>
    </row>
    <row r="43" customFormat="false" ht="15" hidden="false" customHeight="false" outlineLevel="0" collapsed="false">
      <c r="A43" s="45" t="s">
        <v>33</v>
      </c>
      <c r="B43" s="46" t="n">
        <f aca="false">IF(Horo82111[[#This Row],[Jour]]="Lundi",$C$1+1, IF(Horo82111[[#This Row],[Jour]]="Mardi",$C$1+2, IF(Horo82111[[#This Row],[Jour]]="Mercredi",$C$1+3, IF(Horo82111[[#This Row],[Jour]]="Jeudi",$C$1+4, IF(Horo82111[[#This Row],[Jour]]="Vendredi",$C$1+5, IF(Horo82111[[#This Row],[Jour]]="Samedi",$C$1+6, IF(Horo82111[[#This Row],[Jour]]="Dimanche",$C$1, )))))))</f>
        <v>0</v>
      </c>
      <c r="C43" s="47"/>
      <c r="D43" s="48"/>
      <c r="E43" s="48"/>
      <c r="F43" s="49" t="s">
        <v>32</v>
      </c>
      <c r="G43" s="49" t="s">
        <v>27</v>
      </c>
      <c r="H43" s="50" t="s">
        <v>33</v>
      </c>
      <c r="I43" s="61"/>
      <c r="J43" s="52" t="str">
        <f aca="false">IF(Horo82111[[#This Row],[Début]]=0,"",(Horo82111[[#This Row],[Durée (60)2]]-INT(Horo82111[[#This Row],[Durée (60)2]]))*24)</f>
        <v/>
      </c>
      <c r="K43" s="62" t="n">
        <f aca="false">SUMIF(Horo82111[Jour],C43,Horo82111[Durée])</f>
        <v>0</v>
      </c>
      <c r="L43" s="54" t="str">
        <f aca="false">IFERROR(SUMIF(Horo82111[[#This Row],[Jour]],Horo82111[[#This Row],[Jour]],Horo82111[[#This Row],[GPF]]) / Horo82111[[#This Row],[hrs]],"")</f>
        <v/>
      </c>
      <c r="M43" s="56" t="str">
        <f aca="false">IF("GPF"=Horo82111[[#This Row],[Tâche]],Horo82111[[#This Row],[Durée]],"")</f>
        <v/>
      </c>
      <c r="N43" s="56" t="str">
        <f aca="false">IF("RI"=Horo82111[[#This Row],[Tâche]],Horo82111[[#This Row],[Durée]],"")</f>
        <v/>
      </c>
      <c r="O43" s="56" t="str">
        <f aca="false">IF("GB"=Horo82111[[#This Row],[Tâche]],Horo82111[[#This Row],[Durée]],"")</f>
        <v/>
      </c>
      <c r="P43" s="56" t="str">
        <f aca="false">IF("RD"=Horo82111[[#This Row],[Tâche]],Horo82111[[#This Row],[Durée]],"")</f>
        <v/>
      </c>
      <c r="Q43" s="56" t="str">
        <f aca="false">IF("FG"=Horo82111[[#This Row],[Tâche]],Horo82111[[#This Row],[Durée]],"")</f>
        <v/>
      </c>
      <c r="R43" s="56" t="str">
        <f aca="false">IF("CONGÉ"=Horo82111[[#This Row],[Tâche]],Horo82111[[#This Row],[Durée]],"")</f>
        <v/>
      </c>
      <c r="S43" s="56" t="str">
        <f aca="false">IF("PS"=Horo82111[[#This Row],[Tâche]],Horo82111[[#This Row],[Durée]],"")</f>
        <v/>
      </c>
      <c r="T43" s="56" t="str">
        <f aca="false">IF("TD"=Horo82111[[#This Row],[Tâche]],Horo82111[[#This Row],[Durée]],"")</f>
        <v/>
      </c>
      <c r="U43" s="56" t="str">
        <f aca="false">IF("N/C"=Horo82111[[#This Row],[Tâche]],Horo82111[[#This Row],[Durée]],"")</f>
        <v/>
      </c>
      <c r="V43" s="58"/>
      <c r="W43" s="59" t="str">
        <f aca="false">IF(Horo82111[[#This Row],[O]]="o",Horo82111[[#This Row],[Durée]],".")</f>
        <v>.</v>
      </c>
      <c r="X43" s="64" t="str">
        <f aca="false">IF(Horo82111[[#This Row],[Début]]=0,"",Horo82111[[#This Row],[Fin]]-Horo82111[[#This Row],[Début]])</f>
        <v/>
      </c>
    </row>
    <row r="49" s="3" customFormat="true" ht="15" hidden="false" customHeight="false" outlineLevel="0" collapsed="false">
      <c r="L49" s="65"/>
    </row>
    <row r="50" customFormat="false" ht="15" hidden="false" customHeight="false" outlineLevel="0" collapsed="false">
      <c r="A50" s="66" t="s">
        <v>18</v>
      </c>
      <c r="B50" s="66" t="s">
        <v>57</v>
      </c>
      <c r="C50" s="66" t="s">
        <v>58</v>
      </c>
    </row>
    <row r="51" customFormat="false" ht="15" hidden="false" customHeight="false" outlineLevel="0" collapsed="false">
      <c r="A51" s="67" t="n">
        <f aca="false">IF((SUMIF(Horo82111[Client],B51,Horo82111[Durée]) / Total)=0,"",(SUMIF(Horo82111[Client],B51,Horo82111[Durée]) / Total))</f>
        <v>0.285714285714286</v>
      </c>
      <c r="B51" s="68" t="s">
        <v>32</v>
      </c>
      <c r="C51" s="69" t="n">
        <f aca="false">IF(SUMIF(Horo82111[Client],B51,Horo82111[Durée])=0,"",SUMIF(Horo82111[Client],B51,Horo82111[Durée]))</f>
        <v>11</v>
      </c>
    </row>
    <row r="52" customFormat="false" ht="15" hidden="false" customHeight="false" outlineLevel="0" collapsed="false">
      <c r="A52" s="67" t="n">
        <f aca="false">IF((SUMIF(Horo82111[Client],B52,Horo82111[Durée]) / Total)=0,"",(SUMIF(Horo82111[Client],B52,Horo82111[Durée]) / Total))</f>
        <v>0.012987012987013</v>
      </c>
      <c r="B52" s="68" t="s">
        <v>59</v>
      </c>
      <c r="C52" s="69" t="n">
        <f aca="false">IF(SUMIF(Horo82111[Client],B52,Horo82111[Durée])=0,"",SUMIF(Horo82111[Client],B52,Horo82111[Durée]))</f>
        <v>0.500000000000001</v>
      </c>
      <c r="I52" s="61"/>
    </row>
    <row r="53" customFormat="false" ht="15" hidden="false" customHeight="false" outlineLevel="0" collapsed="false">
      <c r="A53" s="67" t="str">
        <f aca="false">IF((SUMIF(Horo82111[Client],B53,Horo82111[Durée]) / Total)=0,"",(SUMIF(Horo82111[Client],B53,Horo82111[Durée]) / Total))</f>
        <v/>
      </c>
      <c r="B53" s="68" t="s">
        <v>60</v>
      </c>
      <c r="C53" s="70" t="str">
        <f aca="false">IF(SUMIF(Horo82111[Client],B53,Horo82111[Durée])=0,"",SUMIF(Horo82111[Client],B53,Horo82111[Durée]))</f>
        <v/>
      </c>
    </row>
    <row r="54" customFormat="false" ht="15" hidden="false" customHeight="false" outlineLevel="0" collapsed="false">
      <c r="A54" s="67" t="n">
        <f aca="false">IF((SUMIF(Horo82111[Client],B54,Horo82111[Durée]) / Total)=0,"",(SUMIF(Horo82111[Client],B54,Horo82111[Durée]) / Total))</f>
        <v>0.00649350649350647</v>
      </c>
      <c r="B54" s="68" t="s">
        <v>61</v>
      </c>
      <c r="C54" s="70" t="n">
        <f aca="false">IF(SUMIF(Horo82111[Client],B54,Horo82111[Durée])=0,"",SUMIF(Horo82111[Client],B54,Horo82111[Durée]))</f>
        <v>0.249999999999999</v>
      </c>
      <c r="I54" s="61"/>
    </row>
    <row r="55" customFormat="false" ht="15" hidden="false" customHeight="false" outlineLevel="0" collapsed="false">
      <c r="A55" s="67" t="str">
        <f aca="false">IF((SUMIF(Horo82111[Client],B55,Horo82111[Durée]) / Total)=0,"",(SUMIF(Horo82111[Client],B55,Horo82111[Durée]) / Total))</f>
        <v/>
      </c>
      <c r="B55" s="68" t="s">
        <v>62</v>
      </c>
      <c r="C55" s="70" t="str">
        <f aca="false">IF(SUMIF(Horo82111[Client],B55,Horo82111[Durée])=0,"",SUMIF(Horo82111[Client],B55,Horo82111[Durée]))</f>
        <v/>
      </c>
    </row>
    <row r="56" customFormat="false" ht="15" hidden="false" customHeight="false" outlineLevel="0" collapsed="false">
      <c r="A56" s="67" t="str">
        <f aca="false">IF((SUMIF(Horo82111[Client],B56,Horo82111[Durée]) / Total)=0,"",(SUMIF(Horo82111[Client],B56,Horo82111[Durée]) / Total))</f>
        <v/>
      </c>
      <c r="B56" s="68" t="s">
        <v>63</v>
      </c>
      <c r="C56" s="69" t="str">
        <f aca="false">IF(SUMIF(Horo82111[Client],B56,Horo82111[Durée])=0,"",SUMIF(Horo82111[Client],B56,Horo82111[Durée]))</f>
        <v/>
      </c>
    </row>
    <row r="57" customFormat="false" ht="15" hidden="false" customHeight="false" outlineLevel="0" collapsed="false">
      <c r="A57" s="67" t="str">
        <f aca="false">IF((SUMIF(Horo82111[Client],B57,Horo82111[Durée]) / Total)=0,"",(SUMIF(Horo82111[Client],B57,Horo82111[Durée]) / Total))</f>
        <v/>
      </c>
      <c r="B57" s="68" t="s">
        <v>64</v>
      </c>
      <c r="C57" s="70" t="str">
        <f aca="false">IF(SUMIF(Horo82111[Client],B57,Horo82111[Durée])=0,"",SUMIF(Horo82111[Client],B57,Horo82111[Durée]))</f>
        <v/>
      </c>
    </row>
    <row r="58" customFormat="false" ht="15" hidden="false" customHeight="false" outlineLevel="0" collapsed="false">
      <c r="A58" s="67" t="str">
        <f aca="false">IF((SUMIF(Horo82111[Client],B58,Horo82111[Durée]) / Total)=0,"",(SUMIF(Horo82111[Client],B58,Horo82111[Durée]) / Total))</f>
        <v/>
      </c>
      <c r="B58" s="68" t="s">
        <v>65</v>
      </c>
      <c r="C58" s="70" t="str">
        <f aca="false">IF(SUMIF(Horo82111[Client],B58,Horo82111[Durée])=0,"",SUMIF(Horo82111[Client],B58,Horo82111[Durée]))</f>
        <v/>
      </c>
      <c r="F58" s="71"/>
    </row>
    <row r="59" customFormat="false" ht="15" hidden="false" customHeight="false" outlineLevel="0" collapsed="false">
      <c r="A59" s="67" t="str">
        <f aca="false">IF((SUMIF(Horo82111[Client],B59,Horo82111[Durée]) / Total)=0,"",(SUMIF(Horo82111[Client],B59,Horo82111[Durée]) / Total))</f>
        <v/>
      </c>
      <c r="B59" s="68" t="s">
        <v>66</v>
      </c>
      <c r="C59" s="69" t="str">
        <f aca="false">IF(SUMIF(Horo82111[Client],B59,Horo82111[Durée])=0,"",SUMIF(Horo82111[Client],B59,Horo82111[Durée]))</f>
        <v/>
      </c>
    </row>
    <row r="60" customFormat="false" ht="15" hidden="false" customHeight="false" outlineLevel="0" collapsed="false">
      <c r="A60" s="67" t="n">
        <f aca="false">IF((SUMIF(Horo82111[Client],B60,Horo82111[Durée]) / Total)=0,"",(SUMIF(Horo82111[Client],B60,Horo82111[Durée]) / Total))</f>
        <v>0.00649350649350647</v>
      </c>
      <c r="B60" s="68" t="s">
        <v>47</v>
      </c>
      <c r="C60" s="70" t="n">
        <f aca="false">IF(SUMIF(Horo82111[Client],B60,Horo82111[Durée])=0,"",SUMIF(Horo82111[Client],B60,Horo82111[Durée]))</f>
        <v>0.249999999999999</v>
      </c>
    </row>
    <row r="61" customFormat="false" ht="15" hidden="false" customHeight="false" outlineLevel="0" collapsed="false">
      <c r="A61" s="67" t="str">
        <f aca="false">IF((SUMIF(Horo82111[Client],B61,Horo82111[Durée]) / Total)=0,"",(SUMIF(Horo82111[Client],B61,Horo82111[Durée]) / Total))</f>
        <v/>
      </c>
      <c r="B61" s="68" t="s">
        <v>67</v>
      </c>
      <c r="C61" s="70" t="str">
        <f aca="false">IF(SUMIF(Horo82111[Client],B61,Horo82111[Durée])=0,"",SUMIF(Horo82111[Client],B61,Horo82111[Durée]))</f>
        <v/>
      </c>
    </row>
    <row r="62" customFormat="false" ht="15" hidden="false" customHeight="false" outlineLevel="0" collapsed="false">
      <c r="A62" s="67" t="str">
        <f aca="false">IF((SUMIF(Horo82111[Client],B62,Horo82111[Durée]) / Total)=0,"",(SUMIF(Horo82111[Client],B62,Horo82111[Durée]) / Total))</f>
        <v/>
      </c>
      <c r="B62" s="68" t="s">
        <v>68</v>
      </c>
      <c r="C62" s="70" t="str">
        <f aca="false">IF(SUMIF(Horo82111[Client],B62,Horo82111[Durée])=0,"",SUMIF(Horo82111[Client],B62,Horo82111[Durée]))</f>
        <v/>
      </c>
    </row>
    <row r="63" customFormat="false" ht="15" hidden="false" customHeight="false" outlineLevel="0" collapsed="false">
      <c r="A63" s="67" t="str">
        <f aca="false">IF((SUMIF(Horo82111[Client],B63,Horo82111[Durée]) / Total)=0,"",(SUMIF(Horo82111[Client],B63,Horo82111[Durée]) / Total))</f>
        <v/>
      </c>
      <c r="B63" s="68" t="s">
        <v>41</v>
      </c>
      <c r="C63" s="70" t="str">
        <f aca="false">IF(SUMIF(Horo82111[Client],B63,Horo82111[Durée])=0,"",SUMIF(Horo82111[Client],B63,Horo82111[Durée]))</f>
        <v/>
      </c>
    </row>
    <row r="64" customFormat="false" ht="15" hidden="false" customHeight="false" outlineLevel="0" collapsed="false">
      <c r="A64" s="67" t="n">
        <f aca="false">IF((SUMIF(Horo82111[Client],B64,Horo82111[Durée]) / Total)=0,"",(SUMIF(Horo82111[Client],B64,Horo82111[Durée]) / Total))</f>
        <v>0.279220779220779</v>
      </c>
      <c r="B64" s="68" t="s">
        <v>37</v>
      </c>
      <c r="C64" s="69" t="n">
        <f aca="false">IF(SUMIF(Horo82111[Client],B64,Horo82111[Durée])=0,"",SUMIF(Horo82111[Client],B64,Horo82111[Durée]))</f>
        <v>10.75</v>
      </c>
    </row>
    <row r="65" customFormat="false" ht="15" hidden="false" customHeight="false" outlineLevel="0" collapsed="false">
      <c r="A65" s="67" t="str">
        <f aca="false">IF((SUMIF(Horo82111[Client],B65,Horo82111[Durée]) / Total)=0,"",(SUMIF(Horo82111[Client],B65,Horo82111[Durée]) / Total))</f>
        <v/>
      </c>
      <c r="B65" s="68" t="s">
        <v>69</v>
      </c>
      <c r="C65" s="69" t="str">
        <f aca="false">IF(SUMIF(Horo82111[Client],B65,Horo82111[Durée])=0,"",SUMIF(Horo82111[Client],B65,Horo82111[Durée]))</f>
        <v/>
      </c>
    </row>
    <row r="66" customFormat="false" ht="15" hidden="false" customHeight="false" outlineLevel="0" collapsed="false">
      <c r="A66" s="67" t="str">
        <f aca="false">IF((SUMIF(Horo82111[Client],B66,Horo82111[Durée]) / Total)=0,"",(SUMIF(Horo82111[Client],B66,Horo82111[Durée]) / Total))</f>
        <v/>
      </c>
      <c r="B66" s="68" t="s">
        <v>70</v>
      </c>
      <c r="C66" s="70" t="str">
        <f aca="false">IF(SUMIF(Horo82111[Client],B66,Horo82111[Durée])=0,"",SUMIF(Horo82111[Client],B66,Horo82111[Durée]))</f>
        <v/>
      </c>
    </row>
    <row r="67" customFormat="false" ht="15" hidden="false" customHeight="false" outlineLevel="1" collapsed="false">
      <c r="A67" s="67" t="str">
        <f aca="false">IF((SUMIF(Horo82111[Client],B67,Horo82111[Durée]) / Total)=0,"",(SUMIF(Horo82111[Client],B67,Horo82111[Durée]) / Total))</f>
        <v/>
      </c>
      <c r="B67" s="68" t="s">
        <v>71</v>
      </c>
      <c r="C67" s="70" t="str">
        <f aca="false">IF(SUMIF(Horo82111[Client],B67,Horo82111[Durée])=0,"",SUMIF(Horo82111[Client],B67,Horo82111[Durée]))</f>
        <v/>
      </c>
    </row>
    <row r="68" customFormat="false" ht="15" hidden="false" customHeight="false" outlineLevel="1" collapsed="false">
      <c r="A68" s="67" t="str">
        <f aca="false">IF((SUMIF(Horo82111[Client],B68,Horo82111[Durée]) / Total)=0,"",(SUMIF(Horo82111[Client],B68,Horo82111[Durée]) / Total))</f>
        <v/>
      </c>
      <c r="B68" s="68" t="s">
        <v>72</v>
      </c>
      <c r="C68" s="70" t="str">
        <f aca="false">IF(SUMIF(Horo82111[Client],B68,Horo82111[Durée])=0,"",SUMIF(Horo82111[Client],B68,Horo82111[Durée]))</f>
        <v/>
      </c>
    </row>
    <row r="69" customFormat="false" ht="15" hidden="false" customHeight="false" outlineLevel="1" collapsed="false">
      <c r="A69" s="67" t="str">
        <f aca="false">IF((SUMIF(Horo82111[Client],B69,Horo82111[Durée]) / Total)=0,"",(SUMIF(Horo82111[Client],B69,Horo82111[Durée]) / Total))</f>
        <v/>
      </c>
      <c r="B69" s="68" t="s">
        <v>73</v>
      </c>
      <c r="C69" s="70" t="str">
        <f aca="false">IF(SUMIF(Horo82111[Client],B69,Horo82111[Durée])=0,"",SUMIF(Horo82111[Client],B69,Horo82111[Durée]))</f>
        <v/>
      </c>
    </row>
    <row r="70" customFormat="false" ht="15" hidden="false" customHeight="false" outlineLevel="1" collapsed="false">
      <c r="A70" s="67" t="str">
        <f aca="false">IF((SUMIF(Horo82111[Client],B70,Horo82111[Durée]) / Total)=0,"",(SUMIF(Horo82111[Client],B70,Horo82111[Durée]) / Total))</f>
        <v/>
      </c>
      <c r="B70" s="68" t="s">
        <v>74</v>
      </c>
      <c r="C70" s="70" t="str">
        <f aca="false">IF(SUMIF(Horo82111[Client],B70,Horo82111[Durée])=0,"",SUMIF(Horo82111[Client],B70,Horo82111[Durée]))</f>
        <v/>
      </c>
    </row>
    <row r="71" customFormat="false" ht="15" hidden="false" customHeight="false" outlineLevel="1" collapsed="false">
      <c r="A71" s="67" t="str">
        <f aca="false">IF((SUMIF(Horo82111[Client],B71,Horo82111[Durée]) / Total)=0,"",(SUMIF(Horo82111[Client],B71,Horo82111[Durée]) / Total))</f>
        <v/>
      </c>
      <c r="B71" s="68" t="s">
        <v>75</v>
      </c>
      <c r="C71" s="69" t="str">
        <f aca="false">IF(SUMIF(Horo82111[Client],B71,Horo82111[Durée])=0,"",SUMIF(Horo82111[Client],B71,Horo82111[Durée]))</f>
        <v/>
      </c>
    </row>
    <row r="72" customFormat="false" ht="15" hidden="false" customHeight="false" outlineLevel="1" collapsed="false">
      <c r="A72" s="67" t="str">
        <f aca="false">IF((SUMIF(Horo82111[Client],B72,Horo82111[Durée]) / Total)=0,"",(SUMIF(Horo82111[Client],B72,Horo82111[Durée]) / Total))</f>
        <v/>
      </c>
      <c r="B72" s="68" t="s">
        <v>76</v>
      </c>
      <c r="C72" s="70" t="str">
        <f aca="false">IF(SUMIF(Horo82111[Client],B72,Horo82111[Durée])=0,"",SUMIF(Horo82111[Client],B72,Horo82111[Durée]))</f>
        <v/>
      </c>
    </row>
    <row r="73" customFormat="false" ht="15" hidden="false" customHeight="false" outlineLevel="1" collapsed="false">
      <c r="A73" s="67" t="str">
        <f aca="false">IF((SUMIF(Horo82111[Client],B73,Horo82111[Durée]) / Total)=0,"",(SUMIF(Horo82111[Client],B73,Horo82111[Durée]) / Total))</f>
        <v/>
      </c>
      <c r="B73" s="68" t="s">
        <v>77</v>
      </c>
      <c r="C73" s="70" t="str">
        <f aca="false">IF(SUMIF(Horo82111[Client],B73,Horo82111[Durée])=0,"",SUMIF(Horo82111[Client],B73,Horo82111[Durée]))</f>
        <v/>
      </c>
    </row>
    <row r="74" customFormat="false" ht="15" hidden="false" customHeight="false" outlineLevel="1" collapsed="false">
      <c r="A74" s="67" t="str">
        <f aca="false">IF((SUMIF(Horo82111[Client],B74,Horo82111[Durée]) / Total)=0,"",(SUMIF(Horo82111[Client],B74,Horo82111[Durée]) / Total))</f>
        <v/>
      </c>
      <c r="B74" s="68" t="s">
        <v>45</v>
      </c>
      <c r="C74" s="70" t="str">
        <f aca="false">IF(SUMIF(Horo82111[Client],B74,Horo82111[Durée])=0,"",SUMIF(Horo82111[Client],B74,Horo82111[Durée]))</f>
        <v/>
      </c>
    </row>
    <row r="75" customFormat="false" ht="15" hidden="false" customHeight="false" outlineLevel="1" collapsed="false">
      <c r="A75" s="67" t="str">
        <f aca="false">IF((SUMIF(Horo82111[Client],B75,Horo82111[Durée]) / Total)=0,"",(SUMIF(Horo82111[Client],B75,Horo82111[Durée]) / Total))</f>
        <v/>
      </c>
      <c r="B75" s="68" t="s">
        <v>78</v>
      </c>
      <c r="C75" s="70" t="str">
        <f aca="false">IF(SUMIF(Horo82111[Client],B75,Horo82111[Durée])=0,"",SUMIF(Horo82111[Client],B75,Horo82111[Durée]))</f>
        <v/>
      </c>
    </row>
    <row r="76" customFormat="false" ht="15" hidden="false" customHeight="false" outlineLevel="1" collapsed="false">
      <c r="A76" s="67" t="str">
        <f aca="false">IF((SUMIF(Horo82111[Client],B76,Horo82111[Durée]) / Total)=0,"",(SUMIF(Horo82111[Client],B76,Horo82111[Durée]) / Total))</f>
        <v/>
      </c>
      <c r="B76" s="68" t="s">
        <v>79</v>
      </c>
      <c r="C76" s="70" t="str">
        <f aca="false">IF(SUMIF(Horo82111[Client],B76,Horo82111[Durée])=0,"",SUMIF(Horo82111[Client],B76,Horo82111[Durée]))</f>
        <v/>
      </c>
    </row>
    <row r="77" customFormat="false" ht="15" hidden="false" customHeight="false" outlineLevel="1" collapsed="false">
      <c r="A77" s="67" t="str">
        <f aca="false">IF((SUMIF(Horo82111[Client],B77,Horo82111[Durée]) / Total)=0,"",(SUMIF(Horo82111[Client],B77,Horo82111[Durée]) / Total))</f>
        <v/>
      </c>
      <c r="B77" s="68" t="s">
        <v>80</v>
      </c>
      <c r="C77" s="70" t="str">
        <f aca="false">IF(SUMIF(Horo82111[Client],B77,Horo82111[Durée])=0,"",SUMIF(Horo82111[Client],B77,Horo82111[Durée]))</f>
        <v/>
      </c>
    </row>
    <row r="78" customFormat="false" ht="15" hidden="false" customHeight="false" outlineLevel="1" collapsed="false">
      <c r="A78" s="67" t="str">
        <f aca="false">IF((SUMIF(Horo82111[Client],B78,Horo82111[Durée]) / Total)=0,"",(SUMIF(Horo82111[Client],B78,Horo82111[Durée]) / Total))</f>
        <v/>
      </c>
      <c r="B78" s="72" t="s">
        <v>81</v>
      </c>
      <c r="C78" s="69" t="str">
        <f aca="false">IF(SUMIF(Horo82111[Client],B78,Horo82111[Durée])=0,"",SUMIF(Horo82111[Client],B78,Horo82111[Durée]))</f>
        <v/>
      </c>
    </row>
    <row r="79" customFormat="false" ht="15" hidden="true" customHeight="false" outlineLevel="1" collapsed="false"/>
    <row r="80" customFormat="false" ht="15" hidden="true" customHeight="false" outlineLevel="1" collapsed="false"/>
    <row r="81" customFormat="false" ht="15" hidden="true" customHeight="false" outlineLevel="1" collapsed="false"/>
    <row r="82" customFormat="false" ht="15" hidden="true" customHeight="false" outlineLevel="1" collapsed="false"/>
    <row r="83" customFormat="false" ht="15" hidden="true" customHeight="false" outlineLevel="1" collapsed="false"/>
    <row r="84" customFormat="false" ht="15" hidden="true" customHeight="false" outlineLevel="1" collapsed="false"/>
    <row r="85" customFormat="false" ht="15" hidden="true" customHeight="false" outlineLevel="1" collapsed="false"/>
    <row r="86" customFormat="false" ht="15" hidden="true" customHeight="false" outlineLevel="1" collapsed="false"/>
    <row r="87" customFormat="false" ht="15" hidden="true" customHeight="false" outlineLevel="1" collapsed="false"/>
  </sheetData>
  <conditionalFormatting sqref="I43">
    <cfRule type="expression" priority="2" aboveAverage="0" equalAverage="0" bottom="0" percent="0" rank="0" text="" dxfId="118">
      <formula>A43="O"</formula>
    </cfRule>
  </conditionalFormatting>
  <conditionalFormatting sqref="I52">
    <cfRule type="expression" priority="3" aboveAverage="0" equalAverage="0" bottom="0" percent="0" rank="0" text="" dxfId="119">
      <formula>A52="O"</formula>
    </cfRule>
  </conditionalFormatting>
  <conditionalFormatting sqref="I54">
    <cfRule type="expression" priority="4" aboveAverage="0" equalAverage="0" bottom="0" percent="0" rank="0" text="" dxfId="120">
      <formula>A54="O"</formula>
    </cfRule>
  </conditionalFormatting>
  <conditionalFormatting sqref="H4:H43">
    <cfRule type="expression" priority="5" aboveAverage="0" equalAverage="0" bottom="0" percent="0" rank="0" text="" dxfId="121">
      <formula>A4="O"</formula>
    </cfRule>
  </conditionalFormatting>
  <conditionalFormatting sqref="K4:K43">
    <cfRule type="expression" priority="6" aboveAverage="0" equalAverage="0" bottom="0" percent="0" rank="0" text="" dxfId="122">
      <formula>A4="O"</formula>
    </cfRule>
    <cfRule type="expression" priority="7" aboveAverage="0" equalAverage="0" bottom="0" percent="0" rank="0" text="" dxfId="123">
      <formula>A4="O"</formula>
    </cfRule>
  </conditionalFormatting>
  <conditionalFormatting sqref="C4:C43">
    <cfRule type="expression" priority="8" aboveAverage="0" equalAverage="0" bottom="0" percent="0" rank="0" text="" dxfId="124">
      <formula>A4="O"</formula>
    </cfRule>
    <cfRule type="containsText" priority="9" operator="containsText" aboveAverage="0" equalAverage="0" bottom="0" percent="0" rank="0" text="Dimanche" dxfId="125">
      <formula>NOT(ISERROR(SEARCH("Dimanche",C4)))</formula>
    </cfRule>
    <cfRule type="containsText" priority="10" operator="containsText" aboveAverage="0" equalAverage="0" bottom="0" percent="0" rank="0" text="Samedi" dxfId="126">
      <formula>NOT(ISERROR(SEARCH("Samedi",C4)))</formula>
    </cfRule>
    <cfRule type="containsText" priority="11" operator="containsText" aboveAverage="0" equalAverage="0" bottom="0" percent="0" rank="0" text="Vendredi" dxfId="127">
      <formula>NOT(ISERROR(SEARCH("Vendredi",C4)))</formula>
    </cfRule>
    <cfRule type="containsText" priority="12" operator="containsText" aboveAverage="0" equalAverage="0" bottom="0" percent="0" rank="0" text="Jeudi" dxfId="128">
      <formula>NOT(ISERROR(SEARCH("Jeudi",C4)))</formula>
    </cfRule>
    <cfRule type="containsText" priority="13" operator="containsText" aboveAverage="0" equalAverage="0" bottom="0" percent="0" rank="0" text="Mercredi" dxfId="129">
      <formula>NOT(ISERROR(SEARCH("Mercredi",C4)))</formula>
    </cfRule>
    <cfRule type="containsText" priority="14" operator="containsText" aboveAverage="0" equalAverage="0" bottom="0" percent="0" rank="0" text="Mardi" dxfId="130">
      <formula>NOT(ISERROR(SEARCH("Mardi",C4)))</formula>
    </cfRule>
    <cfRule type="containsText" priority="15" operator="containsText" aboveAverage="0" equalAverage="0" bottom="0" percent="0" rank="0" text="Lundi" dxfId="131">
      <formula>NOT(ISERROR(SEARCH("Lundi",C4)))</formula>
    </cfRule>
  </conditionalFormatting>
  <conditionalFormatting sqref="G4:G43">
    <cfRule type="expression" priority="16" aboveAverage="0" equalAverage="0" bottom="0" percent="0" rank="0" text="" dxfId="132">
      <formula>A4="O"</formula>
    </cfRule>
  </conditionalFormatting>
  <conditionalFormatting sqref="J4:J43">
    <cfRule type="expression" priority="17" aboveAverage="0" equalAverage="0" bottom="0" percent="0" rank="0" text="" dxfId="133">
      <formula>A4="O"</formula>
    </cfRule>
  </conditionalFormatting>
  <conditionalFormatting sqref="F4:F43">
    <cfRule type="expression" priority="18" aboveAverage="0" equalAverage="0" bottom="0" percent="0" rank="0" text="" dxfId="134">
      <formula>A4="O"</formula>
    </cfRule>
  </conditionalFormatting>
  <conditionalFormatting sqref="B4:B43">
    <cfRule type="cellIs" priority="19" operator="equal" aboveAverage="0" equalAverage="0" bottom="0" percent="0" rank="0" text="" dxfId="135">
      <formula>0</formula>
    </cfRule>
    <cfRule type="expression" priority="20" aboveAverage="0" equalAverage="0" bottom="0" percent="0" rank="0" text="" dxfId="136">
      <formula>A4="O"</formula>
    </cfRule>
    <cfRule type="colorScale" priority="21">
      <colorScale>
        <cfvo type="percentile" val="10"/>
        <cfvo type="percentile" val="50"/>
        <cfvo type="percentile" val="90"/>
        <color rgb="FFFFC000"/>
        <color rgb="FFC55A11"/>
        <color rgb="FF2E75B6"/>
      </colorScale>
    </cfRule>
  </conditionalFormatting>
  <conditionalFormatting sqref="D4:D43">
    <cfRule type="expression" priority="22" aboveAverage="0" equalAverage="0" bottom="0" percent="0" rank="0" text="" dxfId="137">
      <formula>A4="O"</formula>
    </cfRule>
    <cfRule type="colorScale" priority="23">
      <colorScale>
        <cfvo type="min" val="0"/>
        <cfvo type="percentile" val="50"/>
        <cfvo type="max" val="0"/>
        <color rgb="FFFFC000"/>
        <color rgb="FFC55A11"/>
        <color rgb="FF2E75B6"/>
      </colorScale>
    </cfRule>
  </conditionalFormatting>
  <conditionalFormatting sqref="E4:E43">
    <cfRule type="expression" priority="24" aboveAverage="0" equalAverage="0" bottom="0" percent="0" rank="0" text="" dxfId="138">
      <formula>A4="O"</formula>
    </cfRule>
    <cfRule type="colorScale" priority="25">
      <colorScale>
        <cfvo type="min" val="0"/>
        <cfvo type="percentile" val="50"/>
        <cfvo type="max" val="0"/>
        <color rgb="FFFFC000"/>
        <color rgb="FFC55A11"/>
        <color rgb="FF2E75B6"/>
      </colorScale>
    </cfRule>
  </conditionalFormatting>
  <dataValidations count="5">
    <dataValidation allowBlank="true" errorStyle="stop" operator="between" showDropDown="false" showErrorMessage="true" showInputMessage="true" sqref="C4:C43" type="list">
      <formula1>Data!$C$2:$C$8</formula1>
      <formula2>0</formula2>
    </dataValidation>
    <dataValidation allowBlank="false" errorStyle="stop" operator="between" showDropDown="false" showErrorMessage="true" showInputMessage="true" sqref="F4:F43" type="list">
      <formula1>Data!$E$2:$E$30</formula1>
      <formula2>0</formula2>
    </dataValidation>
    <dataValidation allowBlank="true" errorStyle="information" errorTitle="OK ?" operator="between" showDropDown="false" showErrorMessage="true" showInputMessage="true" sqref="G4:G43" type="list">
      <formula1>Data!$D$2:$D$16</formula1>
      <formula2>0</formula2>
    </dataValidation>
    <dataValidation allowBlank="false" errorStyle="stop" operator="between" showDropDown="false" showErrorMessage="true" showInputMessage="true" sqref="H4:H43" type="list">
      <formula1>Data!$F$2:$F$50</formula1>
      <formula2>0</formula2>
    </dataValidation>
    <dataValidation allowBlank="true" errorStyle="stop" operator="between" showDropDown="false" showErrorMessage="true" showInputMessage="true" sqref="C1" type="list">
      <formula1>Data!$A$2:$A$106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  <tableParts>
    <tablePart r:id="rId2"/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E81"/>
  <sheetViews>
    <sheetView showFormulas="false" showGridLines="true" showRowColHeaders="true" showZeros="true" rightToLeft="false" tabSelected="false" showOutlineSymbols="true" defaultGridColor="true" view="normal" topLeftCell="A24" colorId="64" zoomScale="100" zoomScaleNormal="100" zoomScalePageLayoutView="100" workbookViewId="0">
      <selection pane="topLeft" activeCell="F16" activeCellId="0" sqref="F16"/>
    </sheetView>
  </sheetViews>
  <sheetFormatPr defaultColWidth="9.1484375" defaultRowHeight="15" zeroHeight="false" outlineLevelRow="1" outlineLevelCol="0"/>
  <cols>
    <col collapsed="false" customWidth="true" hidden="false" outlineLevel="0" max="1" min="1" style="1" width="5.57"/>
    <col collapsed="false" customWidth="true" hidden="false" outlineLevel="0" max="2" min="2" style="1" width="19.42"/>
    <col collapsed="false" customWidth="true" hidden="false" outlineLevel="0" max="3" min="3" style="1" width="18.29"/>
    <col collapsed="false" customWidth="true" hidden="false" outlineLevel="0" max="4" min="4" style="1" width="13.42"/>
    <col collapsed="false" customWidth="true" hidden="false" outlineLevel="0" max="5" min="5" style="1" width="10.57"/>
    <col collapsed="false" customWidth="true" hidden="false" outlineLevel="0" max="6" min="6" style="1" width="19"/>
    <col collapsed="false" customWidth="true" hidden="false" outlineLevel="0" max="7" min="7" style="1" width="11.43"/>
    <col collapsed="false" customWidth="true" hidden="false" outlineLevel="0" max="8" min="8" style="1" width="14.57"/>
    <col collapsed="false" customWidth="true" hidden="false" outlineLevel="0" max="9" min="9" style="1" width="19.29"/>
    <col collapsed="false" customWidth="true" hidden="false" outlineLevel="0" max="10" min="10" style="1" width="9.71"/>
    <col collapsed="false" customWidth="true" hidden="false" outlineLevel="0" max="11" min="11" style="1" width="7.29"/>
    <col collapsed="false" customWidth="true" hidden="false" outlineLevel="0" max="12" min="12" style="2" width="9.86"/>
    <col collapsed="false" customWidth="true" hidden="false" outlineLevel="0" max="13" min="13" style="1" width="6.14"/>
    <col collapsed="false" customWidth="true" hidden="false" outlineLevel="0" max="14" min="14" style="1" width="5"/>
    <col collapsed="false" customWidth="true" hidden="false" outlineLevel="0" max="15" min="15" style="1" width="5.57"/>
    <col collapsed="false" customWidth="true" hidden="false" outlineLevel="0" max="17" min="16" style="1" width="6.14"/>
    <col collapsed="false" customWidth="true" hidden="false" outlineLevel="0" max="18" min="18" style="1" width="8.29"/>
    <col collapsed="false" customWidth="true" hidden="false" outlineLevel="0" max="20" min="19" style="1" width="5"/>
    <col collapsed="false" customWidth="true" hidden="false" outlineLevel="0" max="21" min="21" style="1" width="6.14"/>
    <col collapsed="false" customWidth="true" hidden="true" outlineLevel="0" max="23" min="22" style="1" width="6.14"/>
    <col collapsed="false" customWidth="true" hidden="true" outlineLevel="0" max="24" min="24" style="1" width="12.71"/>
    <col collapsed="false" customWidth="false" hidden="true" outlineLevel="0" max="29" min="25" style="1" width="9.14"/>
    <col collapsed="false" customWidth="true" hidden="true" outlineLevel="0" max="30" min="30" style="1" width="10.57"/>
    <col collapsed="false" customWidth="true" hidden="true" outlineLevel="0" max="31" min="31" style="1" width="11.14"/>
    <col collapsed="false" customWidth="true" hidden="false" outlineLevel="0" max="32" min="32" style="1" width="9.57"/>
    <col collapsed="false" customWidth="false" hidden="false" outlineLevel="0" max="16384" min="33" style="1" width="9.14"/>
  </cols>
  <sheetData>
    <row r="1" customFormat="false" ht="17.35" hidden="false" customHeight="false" outlineLevel="0" collapsed="false">
      <c r="A1" s="3"/>
      <c r="B1" s="4" t="str">
        <f aca="false">"Semaine du :"</f>
        <v>Semaine du :</v>
      </c>
      <c r="C1" s="5" t="n">
        <v>44445</v>
      </c>
      <c r="D1" s="6" t="str">
        <f aca="false">"( "&amp;AVERAGE($E$2:$I$2)&amp;" )"</f>
        <v>( 8 )</v>
      </c>
      <c r="E1" s="7" t="str">
        <f aca="false">IFERROR("Lun.: " &amp; TEXT($Y$2,"00%"),"Lun.: 0%")</f>
        <v>Lun.: 29%</v>
      </c>
      <c r="F1" s="8" t="str">
        <f aca="false">IFERROR("Mar.: " &amp; TEXT($Z$2,"00%"),"Mar.: 0%")</f>
        <v>Mar.: 41%</v>
      </c>
      <c r="G1" s="8" t="str">
        <f aca="false">IFERROR("Mer.: " &amp; TEXT($AA$2,"00%"),"Mer.: 0%")</f>
        <v>Mer.: 81%</v>
      </c>
      <c r="H1" s="8" t="str">
        <f aca="false">IFERROR("Jeu.: " &amp; TEXT($AB$2,"00%"),"Jeu.: 0%")</f>
        <v>Jeu.: 40%</v>
      </c>
      <c r="I1" s="8" t="str">
        <f aca="false">IFERROR("Ven.: " &amp; TEXT($AC$2,"00%"),"Ven.: 0%")</f>
        <v>Ven.: 40%</v>
      </c>
      <c r="J1" s="9" t="str">
        <f aca="false">IFERROR("S.: " &amp; TEXT($AD$2,"00%"),"S.: 0%")</f>
        <v>S.: 00%</v>
      </c>
      <c r="K1" s="10" t="str">
        <f aca="false">IFERROR("D.: " &amp; TEXT($AE$2,"00%"), "D.: 0%")</f>
        <v>D.: 00%</v>
      </c>
      <c r="L1" s="11"/>
      <c r="M1" s="12" t="n">
        <f aca="false">M2/Total</f>
        <v>0.48051948051948</v>
      </c>
      <c r="N1" s="12" t="n">
        <f aca="false">N2/$C$2</f>
        <v>0.0125</v>
      </c>
      <c r="O1" s="12" t="n">
        <f aca="false">O2/$C$2</f>
        <v>0.08125</v>
      </c>
      <c r="P1" s="12" t="n">
        <f aca="false">P2/$C$2</f>
        <v>0.325</v>
      </c>
      <c r="Q1" s="12" t="n">
        <f aca="false">Q2/$C$2</f>
        <v>0.11875</v>
      </c>
      <c r="R1" s="13" t="n">
        <f aca="false">R2/$C$2</f>
        <v>0</v>
      </c>
      <c r="S1" s="13" t="n">
        <f aca="false">S2/$C$2</f>
        <v>0</v>
      </c>
      <c r="T1" s="13" t="n">
        <f aca="false">T2/$C$2</f>
        <v>0</v>
      </c>
      <c r="U1" s="14" t="n">
        <f aca="false">U2/$C$2</f>
        <v>0</v>
      </c>
      <c r="V1" s="15"/>
      <c r="W1" s="16"/>
      <c r="X1" s="17" t="e">
        <f aca="false">SUM(#REF!)</f>
        <v>#REF!</v>
      </c>
      <c r="Y1" s="18" t="s">
        <v>0</v>
      </c>
      <c r="Z1" s="18" t="s">
        <v>1</v>
      </c>
      <c r="AA1" s="18" t="s">
        <v>2</v>
      </c>
      <c r="AB1" s="18" t="s">
        <v>3</v>
      </c>
      <c r="AC1" s="18" t="s">
        <v>4</v>
      </c>
      <c r="AD1" s="18" t="s">
        <v>5</v>
      </c>
      <c r="AE1" s="18" t="s">
        <v>6</v>
      </c>
    </row>
    <row r="2" customFormat="false" ht="22.05" hidden="false" customHeight="false" outlineLevel="0" collapsed="false">
      <c r="A2" s="3"/>
      <c r="B2" s="19" t="n">
        <f aca="false">X2</f>
        <v>0.4625</v>
      </c>
      <c r="C2" s="20" t="n">
        <f aca="false">SUM(Horo82109[Durée])</f>
        <v>40</v>
      </c>
      <c r="D2" s="21" t="str">
        <f aca="false">ROUND(SUM(Horo82109[T]),2) &amp; " / " &amp; ROUND($C$2-SUM(Horo82109[T]),2)</f>
        <v>40 / 0</v>
      </c>
      <c r="E2" s="22" t="n">
        <f aca="false">SUMIF(Horo82109[Jour],"Lundi",Horo82109[Durée])</f>
        <v>7.75</v>
      </c>
      <c r="F2" s="23" t="n">
        <f aca="false">SUMIF(Horo82109[Jour],"Mardi",Horo82109[Durée])</f>
        <v>8</v>
      </c>
      <c r="G2" s="23" t="n">
        <f aca="false">SUMIF(Horo82109[Jour],"Mercredi",Horo82109[Durée])</f>
        <v>8</v>
      </c>
      <c r="H2" s="23" t="n">
        <f aca="false">SUMIF(Horo82109[Jour],"Jeudi",Horo82109[Durée])</f>
        <v>8.75</v>
      </c>
      <c r="I2" s="23" t="n">
        <f aca="false">SUMIF(Horo82109[Jour],"Vendredi",Horo82109[Durée])</f>
        <v>7.5</v>
      </c>
      <c r="J2" s="23" t="n">
        <f aca="false">SUMIF(Horo82109[Jour],"Samedi",Horo82109[Durée])</f>
        <v>0</v>
      </c>
      <c r="K2" s="23" t="n">
        <f aca="false">SUMIF(Horo82109[Jour],"Dimanche",Horo82109[Durée])</f>
        <v>0</v>
      </c>
      <c r="L2" s="24"/>
      <c r="M2" s="25" t="n">
        <f aca="false">SUM(Horo82109[GPF])</f>
        <v>18.5</v>
      </c>
      <c r="N2" s="25" t="n">
        <f aca="false">SUM(Horo82109[RI])</f>
        <v>0.500000000000001</v>
      </c>
      <c r="O2" s="25" t="n">
        <f aca="false">SUM(Horo82109[GB])</f>
        <v>3.25</v>
      </c>
      <c r="P2" s="25" t="n">
        <f aca="false">SUM(Horo82109[RD])</f>
        <v>13</v>
      </c>
      <c r="Q2" s="25" t="n">
        <f aca="false">SUM(Horo82109[FG])</f>
        <v>4.75</v>
      </c>
      <c r="R2" s="26" t="n">
        <f aca="false">SUM(Horo82109[CONGÉ])</f>
        <v>0</v>
      </c>
      <c r="S2" s="26" t="n">
        <f aca="false">SUM(Horo82109[PS])</f>
        <v>0</v>
      </c>
      <c r="T2" s="26" t="n">
        <f aca="false">SUM(Horo82109[TD])</f>
        <v>0</v>
      </c>
      <c r="U2" s="27" t="n">
        <f aca="false">SUM(Horo82109[N/C])</f>
        <v>0</v>
      </c>
      <c r="V2" s="17" t="n">
        <f aca="false">(C2-(SUM(N2:T2)))</f>
        <v>18.5</v>
      </c>
      <c r="W2" s="17" t="n">
        <f aca="false">C2-(R2+S2+T2)</f>
        <v>40</v>
      </c>
      <c r="X2" s="28" t="n">
        <f aca="false">V2/W2</f>
        <v>0.4625</v>
      </c>
      <c r="Y2" s="29" t="n">
        <f aca="false">SUMIF(Horo82109[Jour],"Lundi",Horo82109[GPF]) / $E$2</f>
        <v>0.290322580645161</v>
      </c>
      <c r="Z2" s="29" t="n">
        <f aca="false">SUMIF(Horo82109[Jour],"Mardi",Horo82109[GPF]) / $F$2</f>
        <v>0.40625</v>
      </c>
      <c r="AA2" s="29" t="n">
        <f aca="false">SUMIF(Horo82109[Jour],"Mercredi",Horo82109[GPF]) / $G$2</f>
        <v>0.8125</v>
      </c>
      <c r="AB2" s="29" t="n">
        <f aca="false">SUMIF(Horo82109[Jour],"Jeudi",Horo82109[GPF]) / $H$2</f>
        <v>0.4</v>
      </c>
      <c r="AC2" s="29" t="n">
        <f aca="false">SUMIF(Horo82109[Jour],"Vendredi",Horo82109[GPF]) / $I$2</f>
        <v>0.4</v>
      </c>
      <c r="AD2" s="29" t="n">
        <f aca="false">IFERROR(SUMIF(Horo82109[Jour],"Samedi",Horo82109[GPF]) / $J$2,0)</f>
        <v>0</v>
      </c>
      <c r="AE2" s="29" t="n">
        <f aca="false">IFERROR(SUMIF(Horo82109[Jour],"Dimanche",Horo82109[GPF]) / $K$2,0)</f>
        <v>0</v>
      </c>
    </row>
    <row r="3" customFormat="false" ht="15" hidden="false" customHeight="false" outlineLevel="0" collapsed="false">
      <c r="A3" s="30" t="s">
        <v>7</v>
      </c>
      <c r="B3" s="31" t="s">
        <v>8</v>
      </c>
      <c r="C3" s="31" t="s">
        <v>9</v>
      </c>
      <c r="D3" s="32" t="s">
        <v>10</v>
      </c>
      <c r="E3" s="33" t="s">
        <v>11</v>
      </c>
      <c r="F3" s="34" t="s">
        <v>12</v>
      </c>
      <c r="G3" s="34" t="s">
        <v>13</v>
      </c>
      <c r="H3" s="34" t="s">
        <v>14</v>
      </c>
      <c r="I3" s="35" t="s">
        <v>15</v>
      </c>
      <c r="J3" s="36" t="s">
        <v>16</v>
      </c>
      <c r="K3" s="36" t="s">
        <v>17</v>
      </c>
      <c r="L3" s="37" t="s">
        <v>18</v>
      </c>
      <c r="M3" s="38" t="s">
        <v>19</v>
      </c>
      <c r="N3" s="39" t="s">
        <v>20</v>
      </c>
      <c r="O3" s="39" t="s">
        <v>21</v>
      </c>
      <c r="P3" s="39" t="s">
        <v>22</v>
      </c>
      <c r="Q3" s="39" t="s">
        <v>23</v>
      </c>
      <c r="R3" s="40" t="s">
        <v>24</v>
      </c>
      <c r="S3" s="40" t="s">
        <v>25</v>
      </c>
      <c r="T3" s="41" t="s">
        <v>26</v>
      </c>
      <c r="U3" s="41" t="s">
        <v>27</v>
      </c>
      <c r="V3" s="42" t="s">
        <v>28</v>
      </c>
      <c r="W3" s="43" t="s">
        <v>29</v>
      </c>
      <c r="X3" s="44" t="s">
        <v>30</v>
      </c>
    </row>
    <row r="4" customFormat="false" ht="15" hidden="false" customHeight="false" outlineLevel="0" collapsed="false">
      <c r="A4" s="45" t="s">
        <v>31</v>
      </c>
      <c r="B4" s="46" t="n">
        <f aca="false">IF(Horo82109[[#This Row],[Jour]]="Lundi",$C$1+1, IF(Horo82109[[#This Row],[Jour]]="Mardi",$C$1+2, IF(Horo82109[[#This Row],[Jour]]="Mercredi",$C$1+3, IF(Horo82109[[#This Row],[Jour]]="Jeudi",$C$1+4, IF(Horo82109[[#This Row],[Jour]]="Vendredi",$C$1+5, IF(Horo82109[[#This Row],[Jour]]="Samedi",$C$1+6, IF(Horo82109[[#This Row],[Jour]]="Dimanche",$C$1, )))))))</f>
        <v>44446</v>
      </c>
      <c r="C4" s="47" t="s">
        <v>0</v>
      </c>
      <c r="D4" s="48" t="n">
        <v>0.333333333333333</v>
      </c>
      <c r="E4" s="48" t="n">
        <v>0.364583333333333</v>
      </c>
      <c r="F4" s="49" t="s">
        <v>32</v>
      </c>
      <c r="G4" s="49" t="s">
        <v>21</v>
      </c>
      <c r="H4" s="50" t="s">
        <v>33</v>
      </c>
      <c r="I4" s="51"/>
      <c r="J4" s="52" t="n">
        <f aca="false">IF(Horo82109[[#This Row],[Début]]=0,"",(Horo82109[[#This Row],[Durée (60)2]]-INT(Horo82109[[#This Row],[Durée (60)2]]))*24)</f>
        <v>0.75</v>
      </c>
      <c r="K4" s="53" t="n">
        <f aca="false">SUMIF(Horo82109[Jour],C4,Horo82109[Durée])</f>
        <v>7.75</v>
      </c>
      <c r="L4" s="54" t="n">
        <f aca="false">IFERROR(SUMIF(Horo82109[[#This Row],[Jour]],Horo82109[[#This Row],[Jour]],Horo82109[[#This Row],[GPF]]) / Horo82109[[#This Row],[hrs]],"")</f>
        <v>0</v>
      </c>
      <c r="M4" s="55" t="str">
        <f aca="false">IF("GPF"=Horo82109[[#This Row],[Tâche]],Horo82109[[#This Row],[Durée]],"")</f>
        <v/>
      </c>
      <c r="N4" s="56" t="str">
        <f aca="false">IF("RI"=Horo82109[[#This Row],[Tâche]],Horo82109[[#This Row],[Durée]],"")</f>
        <v/>
      </c>
      <c r="O4" s="56" t="n">
        <f aca="false">IF("GB"=Horo82109[[#This Row],[Tâche]],Horo82109[[#This Row],[Durée]],"")</f>
        <v>0.75</v>
      </c>
      <c r="P4" s="56" t="str">
        <f aca="false">IF("RD"=Horo82109[[#This Row],[Tâche]],Horo82109[[#This Row],[Durée]],"")</f>
        <v/>
      </c>
      <c r="Q4" s="56" t="str">
        <f aca="false">IF("FG"=Horo82109[[#This Row],[Tâche]],Horo82109[[#This Row],[Durée]],"")</f>
        <v/>
      </c>
      <c r="R4" s="56" t="str">
        <f aca="false">IF("CONGÉ"=Horo82109[[#This Row],[Tâche]],Horo82109[[#This Row],[Durée]],"")</f>
        <v/>
      </c>
      <c r="S4" s="57" t="str">
        <f aca="false">IF("PS"=Horo82109[[#This Row],[Tâche]],Horo82109[[#This Row],[Durée]],"")</f>
        <v/>
      </c>
      <c r="T4" s="56" t="str">
        <f aca="false">IF("TD"=Horo82109[[#This Row],[Tâche]],Horo82109[[#This Row],[Durée]],"")</f>
        <v/>
      </c>
      <c r="U4" s="55" t="str">
        <f aca="false">IF("N/C"=Horo82109[[#This Row],[Tâche]],Horo82109[[#This Row],[Durée]],"")</f>
        <v/>
      </c>
      <c r="V4" s="58"/>
      <c r="W4" s="59" t="n">
        <f aca="false">IF(Horo82109[[#This Row],[O]]="o",Horo82109[[#This Row],[Durée]],".")</f>
        <v>0.75</v>
      </c>
      <c r="X4" s="60" t="n">
        <f aca="false">IF(Horo82109[[#This Row],[Début]]=0,"",Horo82109[[#This Row],[Fin]]-Horo82109[[#This Row],[Début]])</f>
        <v>0.03125</v>
      </c>
    </row>
    <row r="5" customFormat="false" ht="15" hidden="false" customHeight="false" outlineLevel="0" collapsed="false">
      <c r="A5" s="45" t="s">
        <v>31</v>
      </c>
      <c r="B5" s="46" t="n">
        <f aca="false">IF(Horo82109[[#This Row],[Jour]]="Lundi",$C$1+1, IF(Horo82109[[#This Row],[Jour]]="Mardi",$C$1+2, IF(Horo82109[[#This Row],[Jour]]="Mercredi",$C$1+3, IF(Horo82109[[#This Row],[Jour]]="Jeudi",$C$1+4, IF(Horo82109[[#This Row],[Jour]]="Vendredi",$C$1+5, IF(Horo82109[[#This Row],[Jour]]="Samedi",$C$1+6, IF(Horo82109[[#This Row],[Jour]]="Dimanche",$C$1, )))))))</f>
        <v>44446</v>
      </c>
      <c r="C5" s="47" t="s">
        <v>0</v>
      </c>
      <c r="D5" s="48" t="n">
        <v>0.364583333333333</v>
      </c>
      <c r="E5" s="48" t="n">
        <v>0.385416666666667</v>
      </c>
      <c r="F5" s="49" t="s">
        <v>32</v>
      </c>
      <c r="G5" s="49" t="s">
        <v>20</v>
      </c>
      <c r="H5" s="50" t="s">
        <v>121</v>
      </c>
      <c r="I5" s="61"/>
      <c r="J5" s="52" t="n">
        <f aca="false">IF(Horo82109[[#This Row],[Début]]=0,"",(Horo82109[[#This Row],[Durée (60)2]]-INT(Horo82109[[#This Row],[Durée (60)2]]))*24)</f>
        <v>0.500000000000001</v>
      </c>
      <c r="K5" s="62" t="n">
        <f aca="false">SUMIF(Horo82109[Jour],C5,Horo82109[Durée])</f>
        <v>7.75</v>
      </c>
      <c r="L5" s="54" t="n">
        <f aca="false">IFERROR(SUMIF(Horo82109[[#This Row],[Jour]],Horo82109[[#This Row],[Jour]],Horo82109[[#This Row],[GPF]]) / Horo82109[[#This Row],[hrs]],"")</f>
        <v>0</v>
      </c>
      <c r="M5" s="56" t="str">
        <f aca="false">IF("GPF"=Horo82109[[#This Row],[Tâche]],Horo82109[[#This Row],[Durée]],"")</f>
        <v/>
      </c>
      <c r="N5" s="56" t="n">
        <f aca="false">IF("RI"=Horo82109[[#This Row],[Tâche]],Horo82109[[#This Row],[Durée]],"")</f>
        <v>0.500000000000001</v>
      </c>
      <c r="O5" s="56" t="str">
        <f aca="false">IF("GB"=Horo82109[[#This Row],[Tâche]],Horo82109[[#This Row],[Durée]],"")</f>
        <v/>
      </c>
      <c r="P5" s="56" t="str">
        <f aca="false">IF("RD"=Horo82109[[#This Row],[Tâche]],Horo82109[[#This Row],[Durée]],"")</f>
        <v/>
      </c>
      <c r="Q5" s="56" t="str">
        <f aca="false">IF("FG"=Horo82109[[#This Row],[Tâche]],Horo82109[[#This Row],[Durée]],"")</f>
        <v/>
      </c>
      <c r="R5" s="56" t="str">
        <f aca="false">IF("CONGÉ"=Horo82109[[#This Row],[Tâche]],Horo82109[[#This Row],[Durée]],"")</f>
        <v/>
      </c>
      <c r="S5" s="57" t="str">
        <f aca="false">IF("PS"=Horo82109[[#This Row],[Tâche]],Horo82109[[#This Row],[Durée]],"")</f>
        <v/>
      </c>
      <c r="T5" s="56" t="str">
        <f aca="false">IF("TD"=Horo82109[[#This Row],[Tâche]],Horo82109[[#This Row],[Durée]],"")</f>
        <v/>
      </c>
      <c r="U5" s="55" t="str">
        <f aca="false">IF("N/C"=Horo82109[[#This Row],[Tâche]],Horo82109[[#This Row],[Durée]],"")</f>
        <v/>
      </c>
      <c r="V5" s="58"/>
      <c r="W5" s="59" t="n">
        <f aca="false">IF(Horo82109[[#This Row],[O]]="o",Horo82109[[#This Row],[Durée]],".")</f>
        <v>0.500000000000001</v>
      </c>
      <c r="X5" s="60" t="n">
        <f aca="false">IF(Horo82109[[#This Row],[Début]]=0,"",Horo82109[[#This Row],[Fin]]-Horo82109[[#This Row],[Début]])</f>
        <v>0.0208333333333334</v>
      </c>
    </row>
    <row r="6" customFormat="false" ht="15" hidden="false" customHeight="false" outlineLevel="0" collapsed="false">
      <c r="A6" s="45" t="s">
        <v>31</v>
      </c>
      <c r="B6" s="46" t="n">
        <f aca="false">IF(Horo82109[[#This Row],[Jour]]="Lundi",$C$1+1, IF(Horo82109[[#This Row],[Jour]]="Mardi",$C$1+2, IF(Horo82109[[#This Row],[Jour]]="Mercredi",$C$1+3, IF(Horo82109[[#This Row],[Jour]]="Jeudi",$C$1+4, IF(Horo82109[[#This Row],[Jour]]="Vendredi",$C$1+5, IF(Horo82109[[#This Row],[Jour]]="Samedi",$C$1+6, IF(Horo82109[[#This Row],[Jour]]="Dimanche",$C$1, )))))))</f>
        <v>44446</v>
      </c>
      <c r="C6" s="47" t="s">
        <v>0</v>
      </c>
      <c r="D6" s="48" t="n">
        <v>0.385416666666667</v>
      </c>
      <c r="E6" s="48" t="n">
        <v>0.395833333333333</v>
      </c>
      <c r="F6" s="49" t="s">
        <v>32</v>
      </c>
      <c r="G6" s="49" t="s">
        <v>21</v>
      </c>
      <c r="H6" s="50" t="s">
        <v>33</v>
      </c>
      <c r="I6" s="61"/>
      <c r="J6" s="52" t="n">
        <f aca="false">IF(Horo82109[[#This Row],[Début]]=0,"",(Horo82109[[#This Row],[Durée (60)2]]-INT(Horo82109[[#This Row],[Durée (60)2]]))*24)</f>
        <v>0.249999999999999</v>
      </c>
      <c r="K6" s="62" t="n">
        <f aca="false">SUMIF(Horo82109[Jour],C6,Horo82109[Durée])</f>
        <v>7.75</v>
      </c>
      <c r="L6" s="54" t="n">
        <f aca="false">IFERROR(SUMIF(Horo82109[[#This Row],[Jour]],Horo82109[[#This Row],[Jour]],Horo82109[[#This Row],[GPF]]) / Horo82109[[#This Row],[hrs]],"")</f>
        <v>0</v>
      </c>
      <c r="M6" s="56" t="str">
        <f aca="false">IF("GPF"=Horo82109[[#This Row],[Tâche]],Horo82109[[#This Row],[Durée]],"")</f>
        <v/>
      </c>
      <c r="N6" s="56" t="str">
        <f aca="false">IF("RI"=Horo82109[[#This Row],[Tâche]],Horo82109[[#This Row],[Durée]],"")</f>
        <v/>
      </c>
      <c r="O6" s="56" t="n">
        <f aca="false">IF("GB"=Horo82109[[#This Row],[Tâche]],Horo82109[[#This Row],[Durée]],"")</f>
        <v>0.249999999999999</v>
      </c>
      <c r="P6" s="56" t="str">
        <f aca="false">IF("RD"=Horo82109[[#This Row],[Tâche]],Horo82109[[#This Row],[Durée]],"")</f>
        <v/>
      </c>
      <c r="Q6" s="56" t="str">
        <f aca="false">IF("FG"=Horo82109[[#This Row],[Tâche]],Horo82109[[#This Row],[Durée]],"")</f>
        <v/>
      </c>
      <c r="R6" s="56" t="str">
        <f aca="false">IF("CONGÉ"=Horo82109[[#This Row],[Tâche]],Horo82109[[#This Row],[Durée]],"")</f>
        <v/>
      </c>
      <c r="S6" s="57" t="str">
        <f aca="false">IF("PS"=Horo82109[[#This Row],[Tâche]],Horo82109[[#This Row],[Durée]],"")</f>
        <v/>
      </c>
      <c r="T6" s="56" t="str">
        <f aca="false">IF("TD"=Horo82109[[#This Row],[Tâche]],Horo82109[[#This Row],[Durée]],"")</f>
        <v/>
      </c>
      <c r="U6" s="55" t="str">
        <f aca="false">IF("N/C"=Horo82109[[#This Row],[Tâche]],Horo82109[[#This Row],[Durée]],"")</f>
        <v/>
      </c>
      <c r="V6" s="58"/>
      <c r="W6" s="59" t="n">
        <f aca="false">IF(Horo82109[[#This Row],[O]]="o",Horo82109[[#This Row],[Durée]],".")</f>
        <v>0.249999999999999</v>
      </c>
      <c r="X6" s="60" t="n">
        <f aca="false">IF(Horo82109[[#This Row],[Début]]=0,"",Horo82109[[#This Row],[Fin]]-Horo82109[[#This Row],[Début]])</f>
        <v>0.0104166666666666</v>
      </c>
    </row>
    <row r="7" customFormat="false" ht="15" hidden="false" customHeight="false" outlineLevel="0" collapsed="false">
      <c r="A7" s="45" t="s">
        <v>31</v>
      </c>
      <c r="B7" s="46" t="n">
        <f aca="false">IF(Horo82109[[#This Row],[Jour]]="Lundi",$C$1+1, IF(Horo82109[[#This Row],[Jour]]="Mardi",$C$1+2, IF(Horo82109[[#This Row],[Jour]]="Mercredi",$C$1+3, IF(Horo82109[[#This Row],[Jour]]="Jeudi",$C$1+4, IF(Horo82109[[#This Row],[Jour]]="Vendredi",$C$1+5, IF(Horo82109[[#This Row],[Jour]]="Samedi",$C$1+6, IF(Horo82109[[#This Row],[Jour]]="Dimanche",$C$1, )))))))</f>
        <v>44446</v>
      </c>
      <c r="C7" s="47" t="s">
        <v>0</v>
      </c>
      <c r="D7" s="48" t="n">
        <v>0.395833333333333</v>
      </c>
      <c r="E7" s="48" t="n">
        <v>0.40625</v>
      </c>
      <c r="F7" s="49" t="s">
        <v>75</v>
      </c>
      <c r="G7" s="49" t="s">
        <v>19</v>
      </c>
      <c r="H7" s="50" t="s">
        <v>35</v>
      </c>
      <c r="I7" s="61" t="s">
        <v>150</v>
      </c>
      <c r="J7" s="52" t="n">
        <f aca="false">IF(Horo82109[[#This Row],[Début]]=0,"",(Horo82109[[#This Row],[Durée (60)2]]-INT(Horo82109[[#This Row],[Durée (60)2]]))*24)</f>
        <v>0.25</v>
      </c>
      <c r="K7" s="62" t="n">
        <f aca="false">SUMIF(Horo82109[Jour],C7,Horo82109[Durée])</f>
        <v>7.75</v>
      </c>
      <c r="L7" s="54" t="n">
        <f aca="false">IFERROR(SUMIF(Horo82109[[#This Row],[Jour]],Horo82109[[#This Row],[Jour]],Horo82109[[#This Row],[GPF]]) / Horo82109[[#This Row],[hrs]],"")</f>
        <v>0.0322580645161291</v>
      </c>
      <c r="M7" s="56" t="n">
        <f aca="false">IF("GPF"=Horo82109[[#This Row],[Tâche]],Horo82109[[#This Row],[Durée]],"")</f>
        <v>0.25</v>
      </c>
      <c r="N7" s="56" t="str">
        <f aca="false">IF("RI"=Horo82109[[#This Row],[Tâche]],Horo82109[[#This Row],[Durée]],"")</f>
        <v/>
      </c>
      <c r="O7" s="56" t="str">
        <f aca="false">IF("GB"=Horo82109[[#This Row],[Tâche]],Horo82109[[#This Row],[Durée]],"")</f>
        <v/>
      </c>
      <c r="P7" s="56" t="str">
        <f aca="false">IF("RD"=Horo82109[[#This Row],[Tâche]],Horo82109[[#This Row],[Durée]],"")</f>
        <v/>
      </c>
      <c r="Q7" s="56" t="str">
        <f aca="false">IF("FG"=Horo82109[[#This Row],[Tâche]],Horo82109[[#This Row],[Durée]],"")</f>
        <v/>
      </c>
      <c r="R7" s="56" t="str">
        <f aca="false">IF("CONGÉ"=Horo82109[[#This Row],[Tâche]],Horo82109[[#This Row],[Durée]],"")</f>
        <v/>
      </c>
      <c r="S7" s="57" t="str">
        <f aca="false">IF("PS"=Horo82109[[#This Row],[Tâche]],Horo82109[[#This Row],[Durée]],"")</f>
        <v/>
      </c>
      <c r="T7" s="56" t="str">
        <f aca="false">IF("TD"=Horo82109[[#This Row],[Tâche]],Horo82109[[#This Row],[Durée]],"")</f>
        <v/>
      </c>
      <c r="U7" s="55" t="str">
        <f aca="false">IF("N/C"=Horo82109[[#This Row],[Tâche]],Horo82109[[#This Row],[Durée]],"")</f>
        <v/>
      </c>
      <c r="V7" s="58"/>
      <c r="W7" s="59" t="n">
        <f aca="false">IF(Horo82109[[#This Row],[O]]="o",Horo82109[[#This Row],[Durée]],".")</f>
        <v>0.25</v>
      </c>
      <c r="X7" s="60" t="n">
        <f aca="false">IF(Horo82109[[#This Row],[Début]]=0,"",Horo82109[[#This Row],[Fin]]-Horo82109[[#This Row],[Début]])</f>
        <v>0.0104166666666667</v>
      </c>
    </row>
    <row r="8" customFormat="false" ht="15" hidden="false" customHeight="false" outlineLevel="0" collapsed="false">
      <c r="A8" s="45" t="s">
        <v>31</v>
      </c>
      <c r="B8" s="46" t="n">
        <f aca="false">IF(Horo82109[[#This Row],[Jour]]="Lundi",$C$1+1, IF(Horo82109[[#This Row],[Jour]]="Mardi",$C$1+2, IF(Horo82109[[#This Row],[Jour]]="Mercredi",$C$1+3, IF(Horo82109[[#This Row],[Jour]]="Jeudi",$C$1+4, IF(Horo82109[[#This Row],[Jour]]="Vendredi",$C$1+5, IF(Horo82109[[#This Row],[Jour]]="Samedi",$C$1+6, IF(Horo82109[[#This Row],[Jour]]="Dimanche",$C$1, )))))))</f>
        <v>44446</v>
      </c>
      <c r="C8" s="47" t="s">
        <v>0</v>
      </c>
      <c r="D8" s="48" t="n">
        <v>0.416666666666667</v>
      </c>
      <c r="E8" s="48" t="n">
        <v>0.5</v>
      </c>
      <c r="F8" s="49" t="s">
        <v>75</v>
      </c>
      <c r="G8" s="49" t="s">
        <v>22</v>
      </c>
      <c r="H8" s="50" t="s">
        <v>42</v>
      </c>
      <c r="I8" s="61" t="s">
        <v>151</v>
      </c>
      <c r="J8" s="52" t="n">
        <f aca="false">IF(Horo82109[[#This Row],[Début]]=0,"",(Horo82109[[#This Row],[Durée (60)2]]-INT(Horo82109[[#This Row],[Durée (60)2]]))*24)</f>
        <v>2</v>
      </c>
      <c r="K8" s="62" t="n">
        <f aca="false">SUMIF(Horo82109[Jour],C8,Horo82109[Durée])</f>
        <v>7.75</v>
      </c>
      <c r="L8" s="54" t="n">
        <f aca="false">IFERROR(SUMIF(Horo82109[[#This Row],[Jour]],Horo82109[[#This Row],[Jour]],Horo82109[[#This Row],[GPF]]) / Horo82109[[#This Row],[hrs]],"")</f>
        <v>0</v>
      </c>
      <c r="M8" s="56" t="str">
        <f aca="false">IF("GPF"=Horo82109[[#This Row],[Tâche]],Horo82109[[#This Row],[Durée]],"")</f>
        <v/>
      </c>
      <c r="N8" s="56" t="str">
        <f aca="false">IF("RI"=Horo82109[[#This Row],[Tâche]],Horo82109[[#This Row],[Durée]],"")</f>
        <v/>
      </c>
      <c r="O8" s="56" t="str">
        <f aca="false">IF("GB"=Horo82109[[#This Row],[Tâche]],Horo82109[[#This Row],[Durée]],"")</f>
        <v/>
      </c>
      <c r="P8" s="56" t="n">
        <f aca="false">IF("RD"=Horo82109[[#This Row],[Tâche]],Horo82109[[#This Row],[Durée]],"")</f>
        <v>2</v>
      </c>
      <c r="Q8" s="56" t="str">
        <f aca="false">IF("FG"=Horo82109[[#This Row],[Tâche]],Horo82109[[#This Row],[Durée]],"")</f>
        <v/>
      </c>
      <c r="R8" s="56" t="str">
        <f aca="false">IF("CONGÉ"=Horo82109[[#This Row],[Tâche]],Horo82109[[#This Row],[Durée]],"")</f>
        <v/>
      </c>
      <c r="S8" s="57" t="str">
        <f aca="false">IF("PS"=Horo82109[[#This Row],[Tâche]],Horo82109[[#This Row],[Durée]],"")</f>
        <v/>
      </c>
      <c r="T8" s="56" t="str">
        <f aca="false">IF("TD"=Horo82109[[#This Row],[Tâche]],Horo82109[[#This Row],[Durée]],"")</f>
        <v/>
      </c>
      <c r="U8" s="55" t="str">
        <f aca="false">IF("N/C"=Horo82109[[#This Row],[Tâche]],Horo82109[[#This Row],[Durée]],"")</f>
        <v/>
      </c>
      <c r="V8" s="58"/>
      <c r="W8" s="59" t="n">
        <f aca="false">IF(Horo82109[[#This Row],[O]]="o",Horo82109[[#This Row],[Durée]],".")</f>
        <v>2</v>
      </c>
      <c r="X8" s="60" t="n">
        <f aca="false">IF(Horo82109[[#This Row],[Début]]=0,"",Horo82109[[#This Row],[Fin]]-Horo82109[[#This Row],[Début]])</f>
        <v>0.0833333333333333</v>
      </c>
    </row>
    <row r="9" customFormat="false" ht="15" hidden="false" customHeight="false" outlineLevel="0" collapsed="false">
      <c r="A9" s="45" t="s">
        <v>31</v>
      </c>
      <c r="B9" s="46" t="n">
        <f aca="false">IF(Horo82109[[#This Row],[Jour]]="Lundi",$C$1+1, IF(Horo82109[[#This Row],[Jour]]="Mardi",$C$1+2, IF(Horo82109[[#This Row],[Jour]]="Mercredi",$C$1+3, IF(Horo82109[[#This Row],[Jour]]="Jeudi",$C$1+4, IF(Horo82109[[#This Row],[Jour]]="Vendredi",$C$1+5, IF(Horo82109[[#This Row],[Jour]]="Samedi",$C$1+6, IF(Horo82109[[#This Row],[Jour]]="Dimanche",$C$1, )))))))</f>
        <v>44446</v>
      </c>
      <c r="C9" s="47" t="s">
        <v>0</v>
      </c>
      <c r="D9" s="48" t="n">
        <v>0.572916666666667</v>
      </c>
      <c r="E9" s="48" t="n">
        <v>0.65625</v>
      </c>
      <c r="F9" s="49" t="s">
        <v>63</v>
      </c>
      <c r="G9" s="49" t="s">
        <v>19</v>
      </c>
      <c r="H9" s="50" t="s">
        <v>42</v>
      </c>
      <c r="I9" s="61" t="s">
        <v>152</v>
      </c>
      <c r="J9" s="52" t="n">
        <f aca="false">IF(Horo82109[[#This Row],[Début]]=0,"",(Horo82109[[#This Row],[Durée (60)2]]-INT(Horo82109[[#This Row],[Durée (60)2]]))*24)</f>
        <v>2</v>
      </c>
      <c r="K9" s="62" t="n">
        <f aca="false">SUMIF(Horo82109[Jour],C9,Horo82109[Durée])</f>
        <v>7.75</v>
      </c>
      <c r="L9" s="54" t="n">
        <f aca="false">IFERROR(SUMIF(Horo82109[[#This Row],[Jour]],Horo82109[[#This Row],[Jour]],Horo82109[[#This Row],[GPF]]) / Horo82109[[#This Row],[hrs]],"")</f>
        <v>0.258064516129032</v>
      </c>
      <c r="M9" s="56" t="n">
        <f aca="false">IF("GPF"=Horo82109[[#This Row],[Tâche]],Horo82109[[#This Row],[Durée]],"")</f>
        <v>2</v>
      </c>
      <c r="N9" s="56" t="str">
        <f aca="false">IF("RI"=Horo82109[[#This Row],[Tâche]],Horo82109[[#This Row],[Durée]],"")</f>
        <v/>
      </c>
      <c r="O9" s="56" t="str">
        <f aca="false">IF("GB"=Horo82109[[#This Row],[Tâche]],Horo82109[[#This Row],[Durée]],"")</f>
        <v/>
      </c>
      <c r="P9" s="56" t="str">
        <f aca="false">IF("RD"=Horo82109[[#This Row],[Tâche]],Horo82109[[#This Row],[Durée]],"")</f>
        <v/>
      </c>
      <c r="Q9" s="56" t="str">
        <f aca="false">IF("FG"=Horo82109[[#This Row],[Tâche]],Horo82109[[#This Row],[Durée]],"")</f>
        <v/>
      </c>
      <c r="R9" s="56" t="str">
        <f aca="false">IF("CONGÉ"=Horo82109[[#This Row],[Tâche]],Horo82109[[#This Row],[Durée]],"")</f>
        <v/>
      </c>
      <c r="S9" s="57" t="str">
        <f aca="false">IF("PS"=Horo82109[[#This Row],[Tâche]],Horo82109[[#This Row],[Durée]],"")</f>
        <v/>
      </c>
      <c r="T9" s="56" t="str">
        <f aca="false">IF("TD"=Horo82109[[#This Row],[Tâche]],Horo82109[[#This Row],[Durée]],"")</f>
        <v/>
      </c>
      <c r="U9" s="55" t="str">
        <f aca="false">IF("N/C"=Horo82109[[#This Row],[Tâche]],Horo82109[[#This Row],[Durée]],"")</f>
        <v/>
      </c>
      <c r="V9" s="58"/>
      <c r="W9" s="59" t="n">
        <f aca="false">IF(Horo82109[[#This Row],[O]]="o",Horo82109[[#This Row],[Durée]],".")</f>
        <v>2</v>
      </c>
      <c r="X9" s="60" t="n">
        <f aca="false">IF(Horo82109[[#This Row],[Début]]=0,"",Horo82109[[#This Row],[Fin]]-Horo82109[[#This Row],[Début]])</f>
        <v>0.0833333333333334</v>
      </c>
    </row>
    <row r="10" customFormat="false" ht="15" hidden="false" customHeight="false" outlineLevel="0" collapsed="false">
      <c r="A10" s="45" t="s">
        <v>31</v>
      </c>
      <c r="B10" s="46" t="n">
        <f aca="false">IF(Horo82109[[#This Row],[Jour]]="Lundi",$C$1+1, IF(Horo82109[[#This Row],[Jour]]="Mardi",$C$1+2, IF(Horo82109[[#This Row],[Jour]]="Mercredi",$C$1+3, IF(Horo82109[[#This Row],[Jour]]="Jeudi",$C$1+4, IF(Horo82109[[#This Row],[Jour]]="Vendredi",$C$1+5, IF(Horo82109[[#This Row],[Jour]]="Samedi",$C$1+6, IF(Horo82109[[#This Row],[Jour]]="Dimanche",$C$1, )))))))</f>
        <v>44446</v>
      </c>
      <c r="C10" s="47" t="s">
        <v>0</v>
      </c>
      <c r="D10" s="48" t="n">
        <v>0.65625</v>
      </c>
      <c r="E10" s="48" t="n">
        <v>0.697916666666667</v>
      </c>
      <c r="F10" s="49" t="s">
        <v>32</v>
      </c>
      <c r="G10" s="49" t="s">
        <v>22</v>
      </c>
      <c r="H10" s="50" t="s">
        <v>118</v>
      </c>
      <c r="I10" s="61"/>
      <c r="J10" s="52" t="n">
        <f aca="false">IF(Horo82109[[#This Row],[Début]]=0,"",(Horo82109[[#This Row],[Durée (60)2]]-INT(Horo82109[[#This Row],[Durée (60)2]]))*24)</f>
        <v>0.999999999999999</v>
      </c>
      <c r="K10" s="62" t="n">
        <f aca="false">SUMIF(Horo82109[Jour],C10,Horo82109[Durée])</f>
        <v>7.75</v>
      </c>
      <c r="L10" s="54" t="n">
        <f aca="false">IFERROR(SUMIF(Horo82109[[#This Row],[Jour]],Horo82109[[#This Row],[Jour]],Horo82109[[#This Row],[GPF]]) / Horo82109[[#This Row],[hrs]],"")</f>
        <v>0</v>
      </c>
      <c r="M10" s="56" t="str">
        <f aca="false">IF("GPF"=Horo82109[[#This Row],[Tâche]],Horo82109[[#This Row],[Durée]],"")</f>
        <v/>
      </c>
      <c r="N10" s="56" t="str">
        <f aca="false">IF("RI"=Horo82109[[#This Row],[Tâche]],Horo82109[[#This Row],[Durée]],"")</f>
        <v/>
      </c>
      <c r="O10" s="56" t="str">
        <f aca="false">IF("GB"=Horo82109[[#This Row],[Tâche]],Horo82109[[#This Row],[Durée]],"")</f>
        <v/>
      </c>
      <c r="P10" s="56" t="n">
        <f aca="false">IF("RD"=Horo82109[[#This Row],[Tâche]],Horo82109[[#This Row],[Durée]],"")</f>
        <v>0.999999999999999</v>
      </c>
      <c r="Q10" s="56" t="str">
        <f aca="false">IF("FG"=Horo82109[[#This Row],[Tâche]],Horo82109[[#This Row],[Durée]],"")</f>
        <v/>
      </c>
      <c r="R10" s="56" t="str">
        <f aca="false">IF("CONGÉ"=Horo82109[[#This Row],[Tâche]],Horo82109[[#This Row],[Durée]],"")</f>
        <v/>
      </c>
      <c r="S10" s="57" t="str">
        <f aca="false">IF("PS"=Horo82109[[#This Row],[Tâche]],Horo82109[[#This Row],[Durée]],"")</f>
        <v/>
      </c>
      <c r="T10" s="56" t="str">
        <f aca="false">IF("TD"=Horo82109[[#This Row],[Tâche]],Horo82109[[#This Row],[Durée]],"")</f>
        <v/>
      </c>
      <c r="U10" s="55" t="str">
        <f aca="false">IF("N/C"=Horo82109[[#This Row],[Tâche]],Horo82109[[#This Row],[Durée]],"")</f>
        <v/>
      </c>
      <c r="V10" s="58"/>
      <c r="W10" s="59" t="n">
        <f aca="false">IF(Horo82109[[#This Row],[O]]="o",Horo82109[[#This Row],[Durée]],".")</f>
        <v>0.999999999999999</v>
      </c>
      <c r="X10" s="60" t="n">
        <f aca="false">IF(Horo82109[[#This Row],[Début]]=0,"",Horo82109[[#This Row],[Fin]]-Horo82109[[#This Row],[Début]])</f>
        <v>0.0416666666666666</v>
      </c>
    </row>
    <row r="11" customFormat="false" ht="15" hidden="false" customHeight="false" outlineLevel="0" collapsed="false">
      <c r="A11" s="45" t="s">
        <v>31</v>
      </c>
      <c r="B11" s="46" t="n">
        <f aca="false">IF(Horo82109[[#This Row],[Jour]]="Lundi",$C$1+1, IF(Horo82109[[#This Row],[Jour]]="Mardi",$C$1+2, IF(Horo82109[[#This Row],[Jour]]="Mercredi",$C$1+3, IF(Horo82109[[#This Row],[Jour]]="Jeudi",$C$1+4, IF(Horo82109[[#This Row],[Jour]]="Vendredi",$C$1+5, IF(Horo82109[[#This Row],[Jour]]="Samedi",$C$1+6, IF(Horo82109[[#This Row],[Jour]]="Dimanche",$C$1, )))))))</f>
        <v>44446</v>
      </c>
      <c r="C11" s="47" t="s">
        <v>0</v>
      </c>
      <c r="D11" s="48" t="n">
        <v>0.697916666666667</v>
      </c>
      <c r="E11" s="48" t="n">
        <v>0.739583333333333</v>
      </c>
      <c r="F11" s="49" t="s">
        <v>32</v>
      </c>
      <c r="G11" s="49" t="s">
        <v>23</v>
      </c>
      <c r="H11" s="50" t="s">
        <v>109</v>
      </c>
      <c r="I11" s="61"/>
      <c r="J11" s="52" t="n">
        <f aca="false">IF(Horo82109[[#This Row],[Début]]=0,"",(Horo82109[[#This Row],[Durée (60)2]]-INT(Horo82109[[#This Row],[Durée (60)2]]))*24)</f>
        <v>1</v>
      </c>
      <c r="K11" s="62" t="n">
        <f aca="false">SUMIF(Horo82109[Jour],C11,Horo82109[Durée])</f>
        <v>7.75</v>
      </c>
      <c r="L11" s="54" t="n">
        <f aca="false">IFERROR(SUMIF(Horo82109[[#This Row],[Jour]],Horo82109[[#This Row],[Jour]],Horo82109[[#This Row],[GPF]]) / Horo82109[[#This Row],[hrs]],"")</f>
        <v>0</v>
      </c>
      <c r="M11" s="56" t="str">
        <f aca="false">IF("GPF"=Horo82109[[#This Row],[Tâche]],Horo82109[[#This Row],[Durée]],"")</f>
        <v/>
      </c>
      <c r="N11" s="56" t="str">
        <f aca="false">IF("RI"=Horo82109[[#This Row],[Tâche]],Horo82109[[#This Row],[Durée]],"")</f>
        <v/>
      </c>
      <c r="O11" s="56" t="str">
        <f aca="false">IF("GB"=Horo82109[[#This Row],[Tâche]],Horo82109[[#This Row],[Durée]],"")</f>
        <v/>
      </c>
      <c r="P11" s="56" t="str">
        <f aca="false">IF("RD"=Horo82109[[#This Row],[Tâche]],Horo82109[[#This Row],[Durée]],"")</f>
        <v/>
      </c>
      <c r="Q11" s="56" t="n">
        <f aca="false">IF("FG"=Horo82109[[#This Row],[Tâche]],Horo82109[[#This Row],[Durée]],"")</f>
        <v>1</v>
      </c>
      <c r="R11" s="56" t="str">
        <f aca="false">IF("CONGÉ"=Horo82109[[#This Row],[Tâche]],Horo82109[[#This Row],[Durée]],"")</f>
        <v/>
      </c>
      <c r="S11" s="57" t="str">
        <f aca="false">IF("PS"=Horo82109[[#This Row],[Tâche]],Horo82109[[#This Row],[Durée]],"")</f>
        <v/>
      </c>
      <c r="T11" s="56" t="str">
        <f aca="false">IF("TD"=Horo82109[[#This Row],[Tâche]],Horo82109[[#This Row],[Durée]],"")</f>
        <v/>
      </c>
      <c r="U11" s="55" t="str">
        <f aca="false">IF("N/C"=Horo82109[[#This Row],[Tâche]],Horo82109[[#This Row],[Durée]],"")</f>
        <v/>
      </c>
      <c r="V11" s="58"/>
      <c r="W11" s="59" t="n">
        <f aca="false">IF(Horo82109[[#This Row],[O]]="o",Horo82109[[#This Row],[Durée]],".")</f>
        <v>1</v>
      </c>
      <c r="X11" s="60" t="n">
        <f aca="false">IF(Horo82109[[#This Row],[Début]]=0,"",Horo82109[[#This Row],[Fin]]-Horo82109[[#This Row],[Début]])</f>
        <v>0.0416666666666667</v>
      </c>
    </row>
    <row r="12" customFormat="false" ht="15" hidden="false" customHeight="false" outlineLevel="0" collapsed="false">
      <c r="A12" s="45" t="s">
        <v>31</v>
      </c>
      <c r="B12" s="46" t="n">
        <f aca="false">IF(Horo82109[[#This Row],[Jour]]="Lundi",$C$1+1, IF(Horo82109[[#This Row],[Jour]]="Mardi",$C$1+2, IF(Horo82109[[#This Row],[Jour]]="Mercredi",$C$1+3, IF(Horo82109[[#This Row],[Jour]]="Jeudi",$C$1+4, IF(Horo82109[[#This Row],[Jour]]="Vendredi",$C$1+5, IF(Horo82109[[#This Row],[Jour]]="Samedi",$C$1+6, IF(Horo82109[[#This Row],[Jour]]="Dimanche",$C$1, )))))))</f>
        <v>44447</v>
      </c>
      <c r="C12" s="47" t="s">
        <v>1</v>
      </c>
      <c r="D12" s="48" t="n">
        <v>0.333333333333333</v>
      </c>
      <c r="E12" s="48" t="n">
        <v>0.354166666666667</v>
      </c>
      <c r="F12" s="49" t="s">
        <v>32</v>
      </c>
      <c r="G12" s="49" t="s">
        <v>21</v>
      </c>
      <c r="H12" s="50" t="s">
        <v>89</v>
      </c>
      <c r="I12" s="51" t="s">
        <v>153</v>
      </c>
      <c r="J12" s="52" t="n">
        <f aca="false">IF(Horo82109[[#This Row],[Début]]=0,"",(Horo82109[[#This Row],[Durée (60)2]]-INT(Horo82109[[#This Row],[Durée (60)2]]))*24)</f>
        <v>0.500000000000001</v>
      </c>
      <c r="K12" s="62" t="n">
        <f aca="false">SUMIF(Horo82109[Jour],C12,Horo82109[Durée])</f>
        <v>8</v>
      </c>
      <c r="L12" s="54" t="n">
        <f aca="false">IFERROR(SUMIF(Horo82109[[#This Row],[Jour]],Horo82109[[#This Row],[Jour]],Horo82109[[#This Row],[GPF]]) / Horo82109[[#This Row],[hrs]],"")</f>
        <v>0</v>
      </c>
      <c r="M12" s="56" t="str">
        <f aca="false">IF("GPF"=Horo82109[[#This Row],[Tâche]],Horo82109[[#This Row],[Durée]],"")</f>
        <v/>
      </c>
      <c r="N12" s="56" t="str">
        <f aca="false">IF("RI"=Horo82109[[#This Row],[Tâche]],Horo82109[[#This Row],[Durée]],"")</f>
        <v/>
      </c>
      <c r="O12" s="56" t="n">
        <f aca="false">IF("GB"=Horo82109[[#This Row],[Tâche]],Horo82109[[#This Row],[Durée]],"")</f>
        <v>0.500000000000001</v>
      </c>
      <c r="P12" s="56" t="str">
        <f aca="false">IF("RD"=Horo82109[[#This Row],[Tâche]],Horo82109[[#This Row],[Durée]],"")</f>
        <v/>
      </c>
      <c r="Q12" s="56" t="str">
        <f aca="false">IF("FG"=Horo82109[[#This Row],[Tâche]],Horo82109[[#This Row],[Durée]],"")</f>
        <v/>
      </c>
      <c r="R12" s="56" t="str">
        <f aca="false">IF("CONGÉ"=Horo82109[[#This Row],[Tâche]],Horo82109[[#This Row],[Durée]],"")</f>
        <v/>
      </c>
      <c r="S12" s="57" t="str">
        <f aca="false">IF("PS"=Horo82109[[#This Row],[Tâche]],Horo82109[[#This Row],[Durée]],"")</f>
        <v/>
      </c>
      <c r="T12" s="56" t="str">
        <f aca="false">IF("TD"=Horo82109[[#This Row],[Tâche]],Horo82109[[#This Row],[Durée]],"")</f>
        <v/>
      </c>
      <c r="U12" s="55" t="str">
        <f aca="false">IF("N/C"=Horo82109[[#This Row],[Tâche]],Horo82109[[#This Row],[Durée]],"")</f>
        <v/>
      </c>
      <c r="V12" s="58"/>
      <c r="W12" s="59" t="n">
        <f aca="false">IF(Horo82109[[#This Row],[O]]="o",Horo82109[[#This Row],[Durée]],".")</f>
        <v>0.500000000000001</v>
      </c>
      <c r="X12" s="60" t="n">
        <f aca="false">IF(Horo82109[[#This Row],[Début]]=0,"",Horo82109[[#This Row],[Fin]]-Horo82109[[#This Row],[Début]])</f>
        <v>0.0208333333333334</v>
      </c>
    </row>
    <row r="13" customFormat="false" ht="15" hidden="false" customHeight="false" outlineLevel="0" collapsed="false">
      <c r="A13" s="45" t="s">
        <v>31</v>
      </c>
      <c r="B13" s="46" t="n">
        <f aca="false">IF(Horo82109[[#This Row],[Jour]]="Lundi",$C$1+1, IF(Horo82109[[#This Row],[Jour]]="Mardi",$C$1+2, IF(Horo82109[[#This Row],[Jour]]="Mercredi",$C$1+3, IF(Horo82109[[#This Row],[Jour]]="Jeudi",$C$1+4, IF(Horo82109[[#This Row],[Jour]]="Vendredi",$C$1+5, IF(Horo82109[[#This Row],[Jour]]="Samedi",$C$1+6, IF(Horo82109[[#This Row],[Jour]]="Dimanche",$C$1, )))))))</f>
        <v>44447</v>
      </c>
      <c r="C13" s="47" t="s">
        <v>1</v>
      </c>
      <c r="D13" s="48" t="n">
        <v>0.354166666666667</v>
      </c>
      <c r="E13" s="48" t="n">
        <v>0.364583333333333</v>
      </c>
      <c r="F13" s="49" t="s">
        <v>59</v>
      </c>
      <c r="G13" s="49" t="s">
        <v>19</v>
      </c>
      <c r="H13" s="50" t="s">
        <v>55</v>
      </c>
      <c r="I13" s="51"/>
      <c r="J13" s="52" t="n">
        <f aca="false">IF(Horo82109[[#This Row],[Début]]=0,"",(Horo82109[[#This Row],[Durée (60)2]]-INT(Horo82109[[#This Row],[Durée (60)2]]))*24)</f>
        <v>0.249999999999999</v>
      </c>
      <c r="K13" s="62" t="n">
        <f aca="false">SUMIF(Horo82109[Jour],C13,Horo82109[Durée])</f>
        <v>8</v>
      </c>
      <c r="L13" s="54" t="n">
        <f aca="false">IFERROR(SUMIF(Horo82109[[#This Row],[Jour]],Horo82109[[#This Row],[Jour]],Horo82109[[#This Row],[GPF]]) / Horo82109[[#This Row],[hrs]],"")</f>
        <v>0.0312499999999999</v>
      </c>
      <c r="M13" s="56" t="n">
        <f aca="false">IF("GPF"=Horo82109[[#This Row],[Tâche]],Horo82109[[#This Row],[Durée]],"")</f>
        <v>0.249999999999999</v>
      </c>
      <c r="N13" s="56" t="str">
        <f aca="false">IF("RI"=Horo82109[[#This Row],[Tâche]],Horo82109[[#This Row],[Durée]],"")</f>
        <v/>
      </c>
      <c r="O13" s="56" t="str">
        <f aca="false">IF("GB"=Horo82109[[#This Row],[Tâche]],Horo82109[[#This Row],[Durée]],"")</f>
        <v/>
      </c>
      <c r="P13" s="63" t="str">
        <f aca="false">IF("RD"=Horo82109[[#This Row],[Tâche]],Horo82109[[#This Row],[Durée]],"")</f>
        <v/>
      </c>
      <c r="Q13" s="56" t="str">
        <f aca="false">IF("FG"=Horo82109[[#This Row],[Tâche]],Horo82109[[#This Row],[Durée]],"")</f>
        <v/>
      </c>
      <c r="R13" s="56" t="str">
        <f aca="false">IF("CONGÉ"=Horo82109[[#This Row],[Tâche]],Horo82109[[#This Row],[Durée]],"")</f>
        <v/>
      </c>
      <c r="S13" s="57" t="str">
        <f aca="false">IF("PS"=Horo82109[[#This Row],[Tâche]],Horo82109[[#This Row],[Durée]],"")</f>
        <v/>
      </c>
      <c r="T13" s="56" t="str">
        <f aca="false">IF("TD"=Horo82109[[#This Row],[Tâche]],Horo82109[[#This Row],[Durée]],"")</f>
        <v/>
      </c>
      <c r="U13" s="55" t="str">
        <f aca="false">IF("N/C"=Horo82109[[#This Row],[Tâche]],Horo82109[[#This Row],[Durée]],"")</f>
        <v/>
      </c>
      <c r="V13" s="58"/>
      <c r="W13" s="59" t="n">
        <f aca="false">IF(Horo82109[[#This Row],[O]]="o",Horo82109[[#This Row],[Durée]],".")</f>
        <v>0.249999999999999</v>
      </c>
      <c r="X13" s="60" t="n">
        <f aca="false">IF(Horo82109[[#This Row],[Début]]=0,"",Horo82109[[#This Row],[Fin]]-Horo82109[[#This Row],[Début]])</f>
        <v>0.0104166666666666</v>
      </c>
    </row>
    <row r="14" customFormat="false" ht="15" hidden="false" customHeight="false" outlineLevel="0" collapsed="false">
      <c r="A14" s="45" t="s">
        <v>31</v>
      </c>
      <c r="B14" s="46" t="n">
        <f aca="false">IF(Horo82109[[#This Row],[Jour]]="Lundi",$C$1+1, IF(Horo82109[[#This Row],[Jour]]="Mardi",$C$1+2, IF(Horo82109[[#This Row],[Jour]]="Mercredi",$C$1+3, IF(Horo82109[[#This Row],[Jour]]="Jeudi",$C$1+4, IF(Horo82109[[#This Row],[Jour]]="Vendredi",$C$1+5, IF(Horo82109[[#This Row],[Jour]]="Samedi",$C$1+6, IF(Horo82109[[#This Row],[Jour]]="Dimanche",$C$1, )))))))</f>
        <v>44447</v>
      </c>
      <c r="C14" s="47" t="s">
        <v>1</v>
      </c>
      <c r="D14" s="48" t="n">
        <v>0.364583333333333</v>
      </c>
      <c r="E14" s="48" t="n">
        <v>0.395833333333333</v>
      </c>
      <c r="F14" s="49" t="s">
        <v>32</v>
      </c>
      <c r="G14" s="49" t="s">
        <v>23</v>
      </c>
      <c r="H14" s="50" t="s">
        <v>111</v>
      </c>
      <c r="I14" s="61"/>
      <c r="J14" s="52" t="n">
        <f aca="false">IF(Horo82109[[#This Row],[Début]]=0,"",(Horo82109[[#This Row],[Durée (60)2]]-INT(Horo82109[[#This Row],[Durée (60)2]]))*24)</f>
        <v>0.75</v>
      </c>
      <c r="K14" s="62" t="n">
        <f aca="false">SUMIF(Horo82109[Jour],C14,Horo82109[Durée])</f>
        <v>8</v>
      </c>
      <c r="L14" s="54" t="n">
        <f aca="false">IFERROR(SUMIF(Horo82109[[#This Row],[Jour]],Horo82109[[#This Row],[Jour]],Horo82109[[#This Row],[GPF]]) / Horo82109[[#This Row],[hrs]],"")</f>
        <v>0</v>
      </c>
      <c r="M14" s="56" t="str">
        <f aca="false">IF("GPF"=Horo82109[[#This Row],[Tâche]],Horo82109[[#This Row],[Durée]],"")</f>
        <v/>
      </c>
      <c r="N14" s="56" t="str">
        <f aca="false">IF("RI"=Horo82109[[#This Row],[Tâche]],Horo82109[[#This Row],[Durée]],"")</f>
        <v/>
      </c>
      <c r="O14" s="56" t="str">
        <f aca="false">IF("GB"=Horo82109[[#This Row],[Tâche]],Horo82109[[#This Row],[Durée]],"")</f>
        <v/>
      </c>
      <c r="P14" s="56" t="str">
        <f aca="false">IF("RD"=Horo82109[[#This Row],[Tâche]],Horo82109[[#This Row],[Durée]],"")</f>
        <v/>
      </c>
      <c r="Q14" s="56" t="n">
        <f aca="false">IF("FG"=Horo82109[[#This Row],[Tâche]],Horo82109[[#This Row],[Durée]],"")</f>
        <v>0.75</v>
      </c>
      <c r="R14" s="56" t="str">
        <f aca="false">IF("CONGÉ"=Horo82109[[#This Row],[Tâche]],Horo82109[[#This Row],[Durée]],"")</f>
        <v/>
      </c>
      <c r="S14" s="57" t="str">
        <f aca="false">IF("PS"=Horo82109[[#This Row],[Tâche]],Horo82109[[#This Row],[Durée]],"")</f>
        <v/>
      </c>
      <c r="T14" s="56" t="str">
        <f aca="false">IF("TD"=Horo82109[[#This Row],[Tâche]],Horo82109[[#This Row],[Durée]],"")</f>
        <v/>
      </c>
      <c r="U14" s="55" t="str">
        <f aca="false">IF("N/C"=Horo82109[[#This Row],[Tâche]],Horo82109[[#This Row],[Durée]],"")</f>
        <v/>
      </c>
      <c r="V14" s="58"/>
      <c r="W14" s="59" t="n">
        <f aca="false">IF(Horo82109[[#This Row],[O]]="o",Horo82109[[#This Row],[Durée]],".")</f>
        <v>0.75</v>
      </c>
      <c r="X14" s="60" t="n">
        <f aca="false">IF(Horo82109[[#This Row],[Début]]=0,"",Horo82109[[#This Row],[Fin]]-Horo82109[[#This Row],[Début]])</f>
        <v>0.03125</v>
      </c>
    </row>
    <row r="15" customFormat="false" ht="15" hidden="false" customHeight="false" outlineLevel="0" collapsed="false">
      <c r="A15" s="45" t="s">
        <v>31</v>
      </c>
      <c r="B15" s="46" t="n">
        <f aca="false">IF(Horo82109[[#This Row],[Jour]]="Lundi",$C$1+1, IF(Horo82109[[#This Row],[Jour]]="Mardi",$C$1+2, IF(Horo82109[[#This Row],[Jour]]="Mercredi",$C$1+3, IF(Horo82109[[#This Row],[Jour]]="Jeudi",$C$1+4, IF(Horo82109[[#This Row],[Jour]]="Vendredi",$C$1+5, IF(Horo82109[[#This Row],[Jour]]="Samedi",$C$1+6, IF(Horo82109[[#This Row],[Jour]]="Dimanche",$C$1, )))))))</f>
        <v>44447</v>
      </c>
      <c r="C15" s="47" t="s">
        <v>1</v>
      </c>
      <c r="D15" s="48" t="n">
        <v>0.395833333333333</v>
      </c>
      <c r="E15" s="48" t="n">
        <v>0.416666666666667</v>
      </c>
      <c r="F15" s="49" t="s">
        <v>37</v>
      </c>
      <c r="G15" s="49" t="s">
        <v>19</v>
      </c>
      <c r="H15" s="50" t="s">
        <v>55</v>
      </c>
      <c r="I15" s="61"/>
      <c r="J15" s="52" t="n">
        <f aca="false">IF(Horo82109[[#This Row],[Début]]=0,"",(Horo82109[[#This Row],[Durée (60)2]]-INT(Horo82109[[#This Row],[Durée (60)2]]))*24)</f>
        <v>0.500000000000001</v>
      </c>
      <c r="K15" s="62" t="n">
        <f aca="false">SUMIF(Horo82109[Jour],C15,Horo82109[Durée])</f>
        <v>8</v>
      </c>
      <c r="L15" s="54" t="n">
        <f aca="false">IFERROR(SUMIF(Horo82109[[#This Row],[Jour]],Horo82109[[#This Row],[Jour]],Horo82109[[#This Row],[GPF]]) / Horo82109[[#This Row],[hrs]],"")</f>
        <v>0.0625000000000001</v>
      </c>
      <c r="M15" s="56" t="n">
        <f aca="false">IF("GPF"=Horo82109[[#This Row],[Tâche]],Horo82109[[#This Row],[Durée]],"")</f>
        <v>0.500000000000001</v>
      </c>
      <c r="N15" s="56" t="str">
        <f aca="false">IF("RI"=Horo82109[[#This Row],[Tâche]],Horo82109[[#This Row],[Durée]],"")</f>
        <v/>
      </c>
      <c r="O15" s="56" t="str">
        <f aca="false">IF("GB"=Horo82109[[#This Row],[Tâche]],Horo82109[[#This Row],[Durée]],"")</f>
        <v/>
      </c>
      <c r="P15" s="56" t="str">
        <f aca="false">IF("RD"=Horo82109[[#This Row],[Tâche]],Horo82109[[#This Row],[Durée]],"")</f>
        <v/>
      </c>
      <c r="Q15" s="56" t="str">
        <f aca="false">IF("FG"=Horo82109[[#This Row],[Tâche]],Horo82109[[#This Row],[Durée]],"")</f>
        <v/>
      </c>
      <c r="R15" s="56" t="str">
        <f aca="false">IF("CONGÉ"=Horo82109[[#This Row],[Tâche]],Horo82109[[#This Row],[Durée]],"")</f>
        <v/>
      </c>
      <c r="S15" s="57" t="str">
        <f aca="false">IF("PS"=Horo82109[[#This Row],[Tâche]],Horo82109[[#This Row],[Durée]],"")</f>
        <v/>
      </c>
      <c r="T15" s="56" t="str">
        <f aca="false">IF("TD"=Horo82109[[#This Row],[Tâche]],Horo82109[[#This Row],[Durée]],"")</f>
        <v/>
      </c>
      <c r="U15" s="55" t="str">
        <f aca="false">IF("N/C"=Horo82109[[#This Row],[Tâche]],Horo82109[[#This Row],[Durée]],"")</f>
        <v/>
      </c>
      <c r="V15" s="58"/>
      <c r="W15" s="59" t="n">
        <f aca="false">IF(Horo82109[[#This Row],[O]]="o",Horo82109[[#This Row],[Durée]],".")</f>
        <v>0.500000000000001</v>
      </c>
      <c r="X15" s="60" t="n">
        <f aca="false">IF(Horo82109[[#This Row],[Début]]=0,"",Horo82109[[#This Row],[Fin]]-Horo82109[[#This Row],[Début]])</f>
        <v>0.0208333333333334</v>
      </c>
    </row>
    <row r="16" customFormat="false" ht="15" hidden="false" customHeight="false" outlineLevel="0" collapsed="false">
      <c r="A16" s="45" t="s">
        <v>31</v>
      </c>
      <c r="B16" s="46" t="n">
        <f aca="false">IF(Horo82109[[#This Row],[Jour]]="Lundi",$C$1+1, IF(Horo82109[[#This Row],[Jour]]="Mardi",$C$1+2, IF(Horo82109[[#This Row],[Jour]]="Mercredi",$C$1+3, IF(Horo82109[[#This Row],[Jour]]="Jeudi",$C$1+4, IF(Horo82109[[#This Row],[Jour]]="Vendredi",$C$1+5, IF(Horo82109[[#This Row],[Jour]]="Samedi",$C$1+6, IF(Horo82109[[#This Row],[Jour]]="Dimanche",$C$1, )))))))</f>
        <v>44447</v>
      </c>
      <c r="C16" s="47" t="s">
        <v>1</v>
      </c>
      <c r="D16" s="48" t="n">
        <v>0.416666666666667</v>
      </c>
      <c r="E16" s="48" t="n">
        <v>0.4375</v>
      </c>
      <c r="F16" s="49" t="s">
        <v>59</v>
      </c>
      <c r="G16" s="49" t="s">
        <v>19</v>
      </c>
      <c r="H16" s="50" t="s">
        <v>35</v>
      </c>
      <c r="I16" s="61" t="s">
        <v>154</v>
      </c>
      <c r="J16" s="52" t="n">
        <f aca="false">IF(Horo82109[[#This Row],[Début]]=0,"",(Horo82109[[#This Row],[Durée (60)2]]-INT(Horo82109[[#This Row],[Durée (60)2]]))*24)</f>
        <v>0.5</v>
      </c>
      <c r="K16" s="62" t="n">
        <f aca="false">SUMIF(Horo82109[Jour],C16,Horo82109[Durée])</f>
        <v>8</v>
      </c>
      <c r="L16" s="54" t="n">
        <f aca="false">IFERROR(SUMIF(Horo82109[[#This Row],[Jour]],Horo82109[[#This Row],[Jour]],Horo82109[[#This Row],[GPF]]) / Horo82109[[#This Row],[hrs]],"")</f>
        <v>0.0624999999999999</v>
      </c>
      <c r="M16" s="56" t="n">
        <f aca="false">IF("GPF"=Horo82109[[#This Row],[Tâche]],Horo82109[[#This Row],[Durée]],"")</f>
        <v>0.5</v>
      </c>
      <c r="N16" s="56" t="str">
        <f aca="false">IF("RI"=Horo82109[[#This Row],[Tâche]],Horo82109[[#This Row],[Durée]],"")</f>
        <v/>
      </c>
      <c r="O16" s="56" t="str">
        <f aca="false">IF("GB"=Horo82109[[#This Row],[Tâche]],Horo82109[[#This Row],[Durée]],"")</f>
        <v/>
      </c>
      <c r="P16" s="56" t="str">
        <f aca="false">IF("RD"=Horo82109[[#This Row],[Tâche]],Horo82109[[#This Row],[Durée]],"")</f>
        <v/>
      </c>
      <c r="Q16" s="56" t="str">
        <f aca="false">IF("FG"=Horo82109[[#This Row],[Tâche]],Horo82109[[#This Row],[Durée]],"")</f>
        <v/>
      </c>
      <c r="R16" s="56" t="str">
        <f aca="false">IF("CONGÉ"=Horo82109[[#This Row],[Tâche]],Horo82109[[#This Row],[Durée]],"")</f>
        <v/>
      </c>
      <c r="S16" s="57" t="str">
        <f aca="false">IF("PS"=Horo82109[[#This Row],[Tâche]],Horo82109[[#This Row],[Durée]],"")</f>
        <v/>
      </c>
      <c r="T16" s="56" t="str">
        <f aca="false">IF("TD"=Horo82109[[#This Row],[Tâche]],Horo82109[[#This Row],[Durée]],"")</f>
        <v/>
      </c>
      <c r="U16" s="55" t="str">
        <f aca="false">IF("N/C"=Horo82109[[#This Row],[Tâche]],Horo82109[[#This Row],[Durée]],"")</f>
        <v/>
      </c>
      <c r="V16" s="58"/>
      <c r="W16" s="59" t="n">
        <f aca="false">IF(Horo82109[[#This Row],[O]]="o",Horo82109[[#This Row],[Durée]],".")</f>
        <v>0.5</v>
      </c>
      <c r="X16" s="60" t="n">
        <f aca="false">IF(Horo82109[[#This Row],[Début]]=0,"",Horo82109[[#This Row],[Fin]]-Horo82109[[#This Row],[Début]])</f>
        <v>0.0208333333333333</v>
      </c>
    </row>
    <row r="17" customFormat="false" ht="15" hidden="false" customHeight="false" outlineLevel="0" collapsed="false">
      <c r="A17" s="45" t="s">
        <v>31</v>
      </c>
      <c r="B17" s="46" t="n">
        <f aca="false">IF(Horo82109[[#This Row],[Jour]]="Lundi",$C$1+1, IF(Horo82109[[#This Row],[Jour]]="Mardi",$C$1+2, IF(Horo82109[[#This Row],[Jour]]="Mercredi",$C$1+3, IF(Horo82109[[#This Row],[Jour]]="Jeudi",$C$1+4, IF(Horo82109[[#This Row],[Jour]]="Vendredi",$C$1+5, IF(Horo82109[[#This Row],[Jour]]="Samedi",$C$1+6, IF(Horo82109[[#This Row],[Jour]]="Dimanche",$C$1, )))))))</f>
        <v>44447</v>
      </c>
      <c r="C17" s="47" t="s">
        <v>1</v>
      </c>
      <c r="D17" s="48" t="n">
        <v>0.4375</v>
      </c>
      <c r="E17" s="48" t="n">
        <v>0.479166666666667</v>
      </c>
      <c r="F17" s="49" t="s">
        <v>34</v>
      </c>
      <c r="G17" s="49" t="s">
        <v>22</v>
      </c>
      <c r="H17" s="50" t="s">
        <v>35</v>
      </c>
      <c r="I17" s="61"/>
      <c r="J17" s="52" t="n">
        <f aca="false">IF(Horo82109[[#This Row],[Début]]=0,"",(Horo82109[[#This Row],[Durée (60)2]]-INT(Horo82109[[#This Row],[Durée (60)2]]))*24)</f>
        <v>1</v>
      </c>
      <c r="K17" s="62" t="n">
        <f aca="false">SUMIF(Horo82109[Jour],C17,Horo82109[Durée])</f>
        <v>8</v>
      </c>
      <c r="L17" s="54" t="n">
        <f aca="false">IFERROR(SUMIF(Horo82109[[#This Row],[Jour]],Horo82109[[#This Row],[Jour]],Horo82109[[#This Row],[GPF]]) / Horo82109[[#This Row],[hrs]],"")</f>
        <v>0</v>
      </c>
      <c r="M17" s="56" t="str">
        <f aca="false">IF("GPF"=Horo82109[[#This Row],[Tâche]],Horo82109[[#This Row],[Durée]],"")</f>
        <v/>
      </c>
      <c r="N17" s="56" t="str">
        <f aca="false">IF("RI"=Horo82109[[#This Row],[Tâche]],Horo82109[[#This Row],[Durée]],"")</f>
        <v/>
      </c>
      <c r="O17" s="56" t="str">
        <f aca="false">IF("GB"=Horo82109[[#This Row],[Tâche]],Horo82109[[#This Row],[Durée]],"")</f>
        <v/>
      </c>
      <c r="P17" s="56" t="n">
        <f aca="false">IF("RD"=Horo82109[[#This Row],[Tâche]],Horo82109[[#This Row],[Durée]],"")</f>
        <v>1</v>
      </c>
      <c r="Q17" s="56" t="str">
        <f aca="false">IF("FG"=Horo82109[[#This Row],[Tâche]],Horo82109[[#This Row],[Durée]],"")</f>
        <v/>
      </c>
      <c r="R17" s="56" t="str">
        <f aca="false">IF("CONGÉ"=Horo82109[[#This Row],[Tâche]],Horo82109[[#This Row],[Durée]],"")</f>
        <v/>
      </c>
      <c r="S17" s="57" t="str">
        <f aca="false">IF("PS"=Horo82109[[#This Row],[Tâche]],Horo82109[[#This Row],[Durée]],"")</f>
        <v/>
      </c>
      <c r="T17" s="56" t="str">
        <f aca="false">IF("TD"=Horo82109[[#This Row],[Tâche]],Horo82109[[#This Row],[Durée]],"")</f>
        <v/>
      </c>
      <c r="U17" s="55" t="str">
        <f aca="false">IF("N/C"=Horo82109[[#This Row],[Tâche]],Horo82109[[#This Row],[Durée]],"")</f>
        <v/>
      </c>
      <c r="V17" s="58"/>
      <c r="W17" s="59" t="n">
        <f aca="false">IF(Horo82109[[#This Row],[O]]="o",Horo82109[[#This Row],[Durée]],".")</f>
        <v>1</v>
      </c>
      <c r="X17" s="60" t="n">
        <f aca="false">IF(Horo82109[[#This Row],[Début]]=0,"",Horo82109[[#This Row],[Fin]]-Horo82109[[#This Row],[Début]])</f>
        <v>0.0416666666666667</v>
      </c>
    </row>
    <row r="18" customFormat="false" ht="15" hidden="false" customHeight="false" outlineLevel="0" collapsed="false">
      <c r="A18" s="45" t="s">
        <v>31</v>
      </c>
      <c r="B18" s="46" t="n">
        <f aca="false">IF(Horo82109[[#This Row],[Jour]]="Lundi",$C$1+1, IF(Horo82109[[#This Row],[Jour]]="Mardi",$C$1+2, IF(Horo82109[[#This Row],[Jour]]="Mercredi",$C$1+3, IF(Horo82109[[#This Row],[Jour]]="Jeudi",$C$1+4, IF(Horo82109[[#This Row],[Jour]]="Vendredi",$C$1+5, IF(Horo82109[[#This Row],[Jour]]="Samedi",$C$1+6, IF(Horo82109[[#This Row],[Jour]]="Dimanche",$C$1, )))))))</f>
        <v>44447</v>
      </c>
      <c r="C18" s="47" t="s">
        <v>1</v>
      </c>
      <c r="D18" s="48" t="n">
        <v>0.5625</v>
      </c>
      <c r="E18" s="48" t="n">
        <v>0.645833333333333</v>
      </c>
      <c r="F18" s="49" t="s">
        <v>75</v>
      </c>
      <c r="G18" s="49" t="s">
        <v>22</v>
      </c>
      <c r="H18" s="50" t="s">
        <v>42</v>
      </c>
      <c r="I18" s="61" t="s">
        <v>151</v>
      </c>
      <c r="J18" s="52" t="n">
        <f aca="false">IF(Horo82109[[#This Row],[Début]]=0,"",(Horo82109[[#This Row],[Durée (60)2]]-INT(Horo82109[[#This Row],[Durée (60)2]]))*24)</f>
        <v>2</v>
      </c>
      <c r="K18" s="62" t="n">
        <f aca="false">SUMIF(Horo82109[Jour],C18,Horo82109[Durée])</f>
        <v>8</v>
      </c>
      <c r="L18" s="54" t="n">
        <f aca="false">IFERROR(SUMIF(Horo82109[[#This Row],[Jour]],Horo82109[[#This Row],[Jour]],Horo82109[[#This Row],[GPF]]) / Horo82109[[#This Row],[hrs]],"")</f>
        <v>0</v>
      </c>
      <c r="M18" s="56" t="str">
        <f aca="false">IF("GPF"=Horo82109[[#This Row],[Tâche]],Horo82109[[#This Row],[Durée]],"")</f>
        <v/>
      </c>
      <c r="N18" s="56" t="str">
        <f aca="false">IF("RI"=Horo82109[[#This Row],[Tâche]],Horo82109[[#This Row],[Durée]],"")</f>
        <v/>
      </c>
      <c r="O18" s="56" t="str">
        <f aca="false">IF("GB"=Horo82109[[#This Row],[Tâche]],Horo82109[[#This Row],[Durée]],"")</f>
        <v/>
      </c>
      <c r="P18" s="56" t="n">
        <f aca="false">IF("RD"=Horo82109[[#This Row],[Tâche]],Horo82109[[#This Row],[Durée]],"")</f>
        <v>2</v>
      </c>
      <c r="Q18" s="56" t="str">
        <f aca="false">IF("FG"=Horo82109[[#This Row],[Tâche]],Horo82109[[#This Row],[Durée]],"")</f>
        <v/>
      </c>
      <c r="R18" s="56" t="str">
        <f aca="false">IF("CONGÉ"=Horo82109[[#This Row],[Tâche]],Horo82109[[#This Row],[Durée]],"")</f>
        <v/>
      </c>
      <c r="S18" s="57" t="str">
        <f aca="false">IF("PS"=Horo82109[[#This Row],[Tâche]],Horo82109[[#This Row],[Durée]],"")</f>
        <v/>
      </c>
      <c r="T18" s="56" t="str">
        <f aca="false">IF("TD"=Horo82109[[#This Row],[Tâche]],Horo82109[[#This Row],[Durée]],"")</f>
        <v/>
      </c>
      <c r="U18" s="55" t="str">
        <f aca="false">IF("N/C"=Horo82109[[#This Row],[Tâche]],Horo82109[[#This Row],[Durée]],"")</f>
        <v/>
      </c>
      <c r="V18" s="58"/>
      <c r="W18" s="59" t="n">
        <f aca="false">IF(Horo82109[[#This Row],[O]]="o",Horo82109[[#This Row],[Durée]],".")</f>
        <v>2</v>
      </c>
      <c r="X18" s="60" t="n">
        <f aca="false">IF(Horo82109[[#This Row],[Début]]=0,"",Horo82109[[#This Row],[Fin]]-Horo82109[[#This Row],[Début]])</f>
        <v>0.0833333333333334</v>
      </c>
    </row>
    <row r="19" customFormat="false" ht="15" hidden="false" customHeight="false" outlineLevel="0" collapsed="false">
      <c r="A19" s="45" t="s">
        <v>31</v>
      </c>
      <c r="B19" s="46" t="n">
        <f aca="false">IF(Horo82109[[#This Row],[Jour]]="Lundi",$C$1+1, IF(Horo82109[[#This Row],[Jour]]="Mardi",$C$1+2, IF(Horo82109[[#This Row],[Jour]]="Mercredi",$C$1+3, IF(Horo82109[[#This Row],[Jour]]="Jeudi",$C$1+4, IF(Horo82109[[#This Row],[Jour]]="Vendredi",$C$1+5, IF(Horo82109[[#This Row],[Jour]]="Samedi",$C$1+6, IF(Horo82109[[#This Row],[Jour]]="Dimanche",$C$1, )))))))</f>
        <v>44447</v>
      </c>
      <c r="C19" s="47" t="s">
        <v>1</v>
      </c>
      <c r="D19" s="48" t="n">
        <v>0.645833333333333</v>
      </c>
      <c r="E19" s="48" t="n">
        <v>0.729166666666667</v>
      </c>
      <c r="F19" s="49" t="s">
        <v>34</v>
      </c>
      <c r="G19" s="49" t="s">
        <v>19</v>
      </c>
      <c r="H19" s="50" t="s">
        <v>105</v>
      </c>
      <c r="I19" s="61" t="s">
        <v>155</v>
      </c>
      <c r="J19" s="52" t="n">
        <f aca="false">IF(Horo82109[[#This Row],[Début]]=0,"",(Horo82109[[#This Row],[Durée (60)2]]-INT(Horo82109[[#This Row],[Durée (60)2]]))*24)</f>
        <v>2</v>
      </c>
      <c r="K19" s="62" t="n">
        <f aca="false">SUMIF(Horo82109[Jour],C19,Horo82109[Durée])</f>
        <v>8</v>
      </c>
      <c r="L19" s="54" t="n">
        <f aca="false">IFERROR(SUMIF(Horo82109[[#This Row],[Jour]],Horo82109[[#This Row],[Jour]],Horo82109[[#This Row],[GPF]]) / Horo82109[[#This Row],[hrs]],"")</f>
        <v>0.25</v>
      </c>
      <c r="M19" s="56" t="n">
        <f aca="false">IF("GPF"=Horo82109[[#This Row],[Tâche]],Horo82109[[#This Row],[Durée]],"")</f>
        <v>2</v>
      </c>
      <c r="N19" s="56" t="str">
        <f aca="false">IF("RI"=Horo82109[[#This Row],[Tâche]],Horo82109[[#This Row],[Durée]],"")</f>
        <v/>
      </c>
      <c r="O19" s="56" t="str">
        <f aca="false">IF("GB"=Horo82109[[#This Row],[Tâche]],Horo82109[[#This Row],[Durée]],"")</f>
        <v/>
      </c>
      <c r="P19" s="56" t="str">
        <f aca="false">IF("RD"=Horo82109[[#This Row],[Tâche]],Horo82109[[#This Row],[Durée]],"")</f>
        <v/>
      </c>
      <c r="Q19" s="56" t="str">
        <f aca="false">IF("FG"=Horo82109[[#This Row],[Tâche]],Horo82109[[#This Row],[Durée]],"")</f>
        <v/>
      </c>
      <c r="R19" s="56" t="str">
        <f aca="false">IF("CONGÉ"=Horo82109[[#This Row],[Tâche]],Horo82109[[#This Row],[Durée]],"")</f>
        <v/>
      </c>
      <c r="S19" s="57" t="str">
        <f aca="false">IF("PS"=Horo82109[[#This Row],[Tâche]],Horo82109[[#This Row],[Durée]],"")</f>
        <v/>
      </c>
      <c r="T19" s="56" t="str">
        <f aca="false">IF("TD"=Horo82109[[#This Row],[Tâche]],Horo82109[[#This Row],[Durée]],"")</f>
        <v/>
      </c>
      <c r="U19" s="55" t="str">
        <f aca="false">IF("N/C"=Horo82109[[#This Row],[Tâche]],Horo82109[[#This Row],[Durée]],"")</f>
        <v/>
      </c>
      <c r="V19" s="58"/>
      <c r="W19" s="59" t="n">
        <f aca="false">IF(Horo82109[[#This Row],[O]]="o",Horo82109[[#This Row],[Durée]],".")</f>
        <v>2</v>
      </c>
      <c r="X19" s="60" t="n">
        <f aca="false">IF(Horo82109[[#This Row],[Début]]=0,"",Horo82109[[#This Row],[Fin]]-Horo82109[[#This Row],[Début]])</f>
        <v>0.0833333333333333</v>
      </c>
    </row>
    <row r="20" customFormat="false" ht="15" hidden="false" customHeight="false" outlineLevel="0" collapsed="false">
      <c r="A20" s="45" t="s">
        <v>31</v>
      </c>
      <c r="B20" s="46" t="n">
        <f aca="false">IF(Horo82109[[#This Row],[Jour]]="Lundi",$C$1+1, IF(Horo82109[[#This Row],[Jour]]="Mardi",$C$1+2, IF(Horo82109[[#This Row],[Jour]]="Mercredi",$C$1+3, IF(Horo82109[[#This Row],[Jour]]="Jeudi",$C$1+4, IF(Horo82109[[#This Row],[Jour]]="Vendredi",$C$1+5, IF(Horo82109[[#This Row],[Jour]]="Samedi",$C$1+6, IF(Horo82109[[#This Row],[Jour]]="Dimanche",$C$1, )))))))</f>
        <v>44447</v>
      </c>
      <c r="C20" s="47" t="s">
        <v>1</v>
      </c>
      <c r="D20" s="48" t="n">
        <v>0.729166666666667</v>
      </c>
      <c r="E20" s="48" t="n">
        <v>0.75</v>
      </c>
      <c r="F20" s="49" t="s">
        <v>32</v>
      </c>
      <c r="G20" s="49" t="s">
        <v>23</v>
      </c>
      <c r="H20" s="50" t="s">
        <v>109</v>
      </c>
      <c r="I20" s="61"/>
      <c r="J20" s="52" t="n">
        <f aca="false">IF(Horo82109[[#This Row],[Début]]=0,"",(Horo82109[[#This Row],[Durée (60)2]]-INT(Horo82109[[#This Row],[Durée (60)2]]))*24)</f>
        <v>0.500000000000001</v>
      </c>
      <c r="K20" s="62" t="n">
        <f aca="false">SUMIF(Horo82109[Jour],C20,Horo82109[Durée])</f>
        <v>8</v>
      </c>
      <c r="L20" s="54" t="n">
        <f aca="false">IFERROR(SUMIF(Horo82109[[#This Row],[Jour]],Horo82109[[#This Row],[Jour]],Horo82109[[#This Row],[GPF]]) / Horo82109[[#This Row],[hrs]],"")</f>
        <v>0</v>
      </c>
      <c r="M20" s="56" t="str">
        <f aca="false">IF("GPF"=Horo82109[[#This Row],[Tâche]],Horo82109[[#This Row],[Durée]],"")</f>
        <v/>
      </c>
      <c r="N20" s="56" t="str">
        <f aca="false">IF("RI"=Horo82109[[#This Row],[Tâche]],Horo82109[[#This Row],[Durée]],"")</f>
        <v/>
      </c>
      <c r="O20" s="56" t="str">
        <f aca="false">IF("GB"=Horo82109[[#This Row],[Tâche]],Horo82109[[#This Row],[Durée]],"")</f>
        <v/>
      </c>
      <c r="P20" s="56" t="str">
        <f aca="false">IF("RD"=Horo82109[[#This Row],[Tâche]],Horo82109[[#This Row],[Durée]],"")</f>
        <v/>
      </c>
      <c r="Q20" s="56" t="n">
        <f aca="false">IF("FG"=Horo82109[[#This Row],[Tâche]],Horo82109[[#This Row],[Durée]],"")</f>
        <v>0.500000000000001</v>
      </c>
      <c r="R20" s="56" t="str">
        <f aca="false">IF("CONGÉ"=Horo82109[[#This Row],[Tâche]],Horo82109[[#This Row],[Durée]],"")</f>
        <v/>
      </c>
      <c r="S20" s="57" t="str">
        <f aca="false">IF("PS"=Horo82109[[#This Row],[Tâche]],Horo82109[[#This Row],[Durée]],"")</f>
        <v/>
      </c>
      <c r="T20" s="56" t="str">
        <f aca="false">IF("TD"=Horo82109[[#This Row],[Tâche]],Horo82109[[#This Row],[Durée]],"")</f>
        <v/>
      </c>
      <c r="U20" s="55" t="str">
        <f aca="false">IF("N/C"=Horo82109[[#This Row],[Tâche]],Horo82109[[#This Row],[Durée]],"")</f>
        <v/>
      </c>
      <c r="V20" s="58"/>
      <c r="W20" s="59" t="n">
        <f aca="false">IF(Horo82109[[#This Row],[O]]="o",Horo82109[[#This Row],[Durée]],".")</f>
        <v>0.500000000000001</v>
      </c>
      <c r="X20" s="60" t="n">
        <f aca="false">IF(Horo82109[[#This Row],[Début]]=0,"",Horo82109[[#This Row],[Fin]]-Horo82109[[#This Row],[Début]])</f>
        <v>0.0208333333333334</v>
      </c>
    </row>
    <row r="21" customFormat="false" ht="15" hidden="false" customHeight="false" outlineLevel="0" collapsed="false">
      <c r="A21" s="45" t="s">
        <v>31</v>
      </c>
      <c r="B21" s="46" t="n">
        <f aca="false">IF(Horo82109[[#This Row],[Jour]]="Lundi",$C$1+1, IF(Horo82109[[#This Row],[Jour]]="Mardi",$C$1+2, IF(Horo82109[[#This Row],[Jour]]="Mercredi",$C$1+3, IF(Horo82109[[#This Row],[Jour]]="Jeudi",$C$1+4, IF(Horo82109[[#This Row],[Jour]]="Vendredi",$C$1+5, IF(Horo82109[[#This Row],[Jour]]="Samedi",$C$1+6, IF(Horo82109[[#This Row],[Jour]]="Dimanche",$C$1, )))))))</f>
        <v>44448</v>
      </c>
      <c r="C21" s="47" t="s">
        <v>2</v>
      </c>
      <c r="D21" s="48" t="n">
        <v>0.333333333333333</v>
      </c>
      <c r="E21" s="48" t="n">
        <v>0.354166666666667</v>
      </c>
      <c r="F21" s="49" t="s">
        <v>32</v>
      </c>
      <c r="G21" s="49" t="s">
        <v>21</v>
      </c>
      <c r="H21" s="50" t="s">
        <v>33</v>
      </c>
      <c r="I21" s="51"/>
      <c r="J21" s="52" t="n">
        <f aca="false">IF(Horo82109[[#This Row],[Début]]=0,"",(Horo82109[[#This Row],[Durée (60)2]]-INT(Horo82109[[#This Row],[Durée (60)2]]))*24)</f>
        <v>0.500000000000001</v>
      </c>
      <c r="K21" s="62" t="n">
        <f aca="false">SUMIF(Horo82109[Jour],C21,Horo82109[Durée])</f>
        <v>8</v>
      </c>
      <c r="L21" s="54" t="n">
        <f aca="false">IFERROR(SUMIF(Horo82109[[#This Row],[Jour]],Horo82109[[#This Row],[Jour]],Horo82109[[#This Row],[GPF]]) / Horo82109[[#This Row],[hrs]],"")</f>
        <v>0</v>
      </c>
      <c r="M21" s="56" t="str">
        <f aca="false">IF("GPF"=Horo82109[[#This Row],[Tâche]],Horo82109[[#This Row],[Durée]],"")</f>
        <v/>
      </c>
      <c r="N21" s="56" t="str">
        <f aca="false">IF("RI"=Horo82109[[#This Row],[Tâche]],Horo82109[[#This Row],[Durée]],"")</f>
        <v/>
      </c>
      <c r="O21" s="56" t="n">
        <f aca="false">IF("GB"=Horo82109[[#This Row],[Tâche]],Horo82109[[#This Row],[Durée]],"")</f>
        <v>0.500000000000001</v>
      </c>
      <c r="P21" s="56" t="str">
        <f aca="false">IF("RD"=Horo82109[[#This Row],[Tâche]],Horo82109[[#This Row],[Durée]],"")</f>
        <v/>
      </c>
      <c r="Q21" s="56" t="str">
        <f aca="false">IF("FG"=Horo82109[[#This Row],[Tâche]],Horo82109[[#This Row],[Durée]],"")</f>
        <v/>
      </c>
      <c r="R21" s="56" t="str">
        <f aca="false">IF("CONGÉ"=Horo82109[[#This Row],[Tâche]],Horo82109[[#This Row],[Durée]],"")</f>
        <v/>
      </c>
      <c r="S21" s="56" t="str">
        <f aca="false">IF("PS"=Horo82109[[#This Row],[Tâche]],Horo82109[[#This Row],[Durée]],"")</f>
        <v/>
      </c>
      <c r="T21" s="56" t="str">
        <f aca="false">IF("TD"=Horo82109[[#This Row],[Tâche]],Horo82109[[#This Row],[Durée]],"")</f>
        <v/>
      </c>
      <c r="U21" s="56" t="str">
        <f aca="false">IF("N/C"=Horo82109[[#This Row],[Tâche]],Horo82109[[#This Row],[Durée]],"")</f>
        <v/>
      </c>
      <c r="V21" s="58"/>
      <c r="W21" s="59" t="n">
        <f aca="false">IF(Horo82109[[#This Row],[O]]="o",Horo82109[[#This Row],[Durée]],".")</f>
        <v>0.500000000000001</v>
      </c>
      <c r="X21" s="64" t="n">
        <f aca="false">IF(Horo82109[[#This Row],[Début]]=0,"",Horo82109[[#This Row],[Fin]]-Horo82109[[#This Row],[Début]])</f>
        <v>0.0208333333333334</v>
      </c>
    </row>
    <row r="22" customFormat="false" ht="15" hidden="false" customHeight="false" outlineLevel="0" collapsed="false">
      <c r="A22" s="45" t="s">
        <v>31</v>
      </c>
      <c r="B22" s="46" t="n">
        <f aca="false">IF(Horo82109[[#This Row],[Jour]]="Lundi",$C$1+1, IF(Horo82109[[#This Row],[Jour]]="Mardi",$C$1+2, IF(Horo82109[[#This Row],[Jour]]="Mercredi",$C$1+3, IF(Horo82109[[#This Row],[Jour]]="Jeudi",$C$1+4, IF(Horo82109[[#This Row],[Jour]]="Vendredi",$C$1+5, IF(Horo82109[[#This Row],[Jour]]="Samedi",$C$1+6, IF(Horo82109[[#This Row],[Jour]]="Dimanche",$C$1, )))))))</f>
        <v>44448</v>
      </c>
      <c r="C22" s="47" t="s">
        <v>2</v>
      </c>
      <c r="D22" s="48" t="n">
        <v>0.375</v>
      </c>
      <c r="E22" s="48" t="n">
        <v>0.5</v>
      </c>
      <c r="F22" s="49" t="s">
        <v>34</v>
      </c>
      <c r="G22" s="49" t="s">
        <v>19</v>
      </c>
      <c r="H22" s="50" t="s">
        <v>105</v>
      </c>
      <c r="I22" s="61"/>
      <c r="J22" s="52" t="n">
        <f aca="false">IF(Horo82109[[#This Row],[Début]]=0,"",(Horo82109[[#This Row],[Durée (60)2]]-INT(Horo82109[[#This Row],[Durée (60)2]]))*24)</f>
        <v>3</v>
      </c>
      <c r="K22" s="62" t="n">
        <f aca="false">SUMIF(Horo82109[Jour],C22,Horo82109[Durée])</f>
        <v>8</v>
      </c>
      <c r="L22" s="54" t="n">
        <f aca="false">IFERROR(SUMIF(Horo82109[[#This Row],[Jour]],Horo82109[[#This Row],[Jour]],Horo82109[[#This Row],[GPF]]) / Horo82109[[#This Row],[hrs]],"")</f>
        <v>0.375</v>
      </c>
      <c r="M22" s="56" t="n">
        <f aca="false">IF("GPF"=Horo82109[[#This Row],[Tâche]],Horo82109[[#This Row],[Durée]],"")</f>
        <v>3</v>
      </c>
      <c r="N22" s="56" t="str">
        <f aca="false">IF("RI"=Horo82109[[#This Row],[Tâche]],Horo82109[[#This Row],[Durée]],"")</f>
        <v/>
      </c>
      <c r="O22" s="56" t="str">
        <f aca="false">IF("GB"=Horo82109[[#This Row],[Tâche]],Horo82109[[#This Row],[Durée]],"")</f>
        <v/>
      </c>
      <c r="P22" s="63" t="str">
        <f aca="false">IF("RD"=Horo82109[[#This Row],[Tâche]],Horo82109[[#This Row],[Durée]],"")</f>
        <v/>
      </c>
      <c r="Q22" s="56" t="str">
        <f aca="false">IF("FG"=Horo82109[[#This Row],[Tâche]],Horo82109[[#This Row],[Durée]],"")</f>
        <v/>
      </c>
      <c r="R22" s="56" t="str">
        <f aca="false">IF("CONGÉ"=Horo82109[[#This Row],[Tâche]],Horo82109[[#This Row],[Durée]],"")</f>
        <v/>
      </c>
      <c r="S22" s="57" t="str">
        <f aca="false">IF("PS"=Horo82109[[#This Row],[Tâche]],Horo82109[[#This Row],[Durée]],"")</f>
        <v/>
      </c>
      <c r="T22" s="56" t="str">
        <f aca="false">IF("TD"=Horo82109[[#This Row],[Tâche]],Horo82109[[#This Row],[Durée]],"")</f>
        <v/>
      </c>
      <c r="U22" s="55" t="str">
        <f aca="false">IF("N/C"=Horo82109[[#This Row],[Tâche]],Horo82109[[#This Row],[Durée]],"")</f>
        <v/>
      </c>
      <c r="V22" s="58"/>
      <c r="W22" s="59" t="n">
        <f aca="false">IF(Horo82109[[#This Row],[O]]="o",Horo82109[[#This Row],[Durée]],".")</f>
        <v>3</v>
      </c>
      <c r="X22" s="60" t="n">
        <f aca="false">IF(Horo82109[[#This Row],[Début]]=0,"",Horo82109[[#This Row],[Fin]]-Horo82109[[#This Row],[Début]])</f>
        <v>0.125</v>
      </c>
    </row>
    <row r="23" customFormat="false" ht="15" hidden="false" customHeight="false" outlineLevel="0" collapsed="false">
      <c r="A23" s="45" t="s">
        <v>31</v>
      </c>
      <c r="B23" s="46" t="n">
        <f aca="false">IF(Horo82109[[#This Row],[Jour]]="Lundi",$C$1+1, IF(Horo82109[[#This Row],[Jour]]="Mardi",$C$1+2, IF(Horo82109[[#This Row],[Jour]]="Mercredi",$C$1+3, IF(Horo82109[[#This Row],[Jour]]="Jeudi",$C$1+4, IF(Horo82109[[#This Row],[Jour]]="Vendredi",$C$1+5, IF(Horo82109[[#This Row],[Jour]]="Samedi",$C$1+6, IF(Horo82109[[#This Row],[Jour]]="Dimanche",$C$1, )))))))</f>
        <v>44448</v>
      </c>
      <c r="C23" s="47" t="s">
        <v>2</v>
      </c>
      <c r="D23" s="48" t="n">
        <v>0.541666666666667</v>
      </c>
      <c r="E23" s="48" t="n">
        <v>0.583333333333333</v>
      </c>
      <c r="F23" s="49" t="s">
        <v>59</v>
      </c>
      <c r="G23" s="49" t="s">
        <v>23</v>
      </c>
      <c r="H23" s="50" t="s">
        <v>55</v>
      </c>
      <c r="I23" s="61"/>
      <c r="J23" s="52" t="n">
        <f aca="false">IF(Horo82109[[#This Row],[Début]]=0,"",(Horo82109[[#This Row],[Durée (60)2]]-INT(Horo82109[[#This Row],[Durée (60)2]]))*24)</f>
        <v>1</v>
      </c>
      <c r="K23" s="62" t="n">
        <f aca="false">SUMIF(Horo82109[Jour],C23,Horo82109[Durée])</f>
        <v>8</v>
      </c>
      <c r="L23" s="54" t="n">
        <f aca="false">IFERROR(SUMIF(Horo82109[[#This Row],[Jour]],Horo82109[[#This Row],[Jour]],Horo82109[[#This Row],[GPF]]) / Horo82109[[#This Row],[hrs]],"")</f>
        <v>0</v>
      </c>
      <c r="M23" s="56" t="str">
        <f aca="false">IF("GPF"=Horo82109[[#This Row],[Tâche]],Horo82109[[#This Row],[Durée]],"")</f>
        <v/>
      </c>
      <c r="N23" s="56" t="str">
        <f aca="false">IF("RI"=Horo82109[[#This Row],[Tâche]],Horo82109[[#This Row],[Durée]],"")</f>
        <v/>
      </c>
      <c r="O23" s="56" t="str">
        <f aca="false">IF("GB"=Horo82109[[#This Row],[Tâche]],Horo82109[[#This Row],[Durée]],"")</f>
        <v/>
      </c>
      <c r="P23" s="63" t="str">
        <f aca="false">IF("RD"=Horo82109[[#This Row],[Tâche]],Horo82109[[#This Row],[Durée]],"")</f>
        <v/>
      </c>
      <c r="Q23" s="56" t="n">
        <f aca="false">IF("FG"=Horo82109[[#This Row],[Tâche]],Horo82109[[#This Row],[Durée]],"")</f>
        <v>1</v>
      </c>
      <c r="R23" s="56" t="str">
        <f aca="false">IF("CONGÉ"=Horo82109[[#This Row],[Tâche]],Horo82109[[#This Row],[Durée]],"")</f>
        <v/>
      </c>
      <c r="S23" s="57" t="str">
        <f aca="false">IF("PS"=Horo82109[[#This Row],[Tâche]],Horo82109[[#This Row],[Durée]],"")</f>
        <v/>
      </c>
      <c r="T23" s="56" t="str">
        <f aca="false">IF("TD"=Horo82109[[#This Row],[Tâche]],Horo82109[[#This Row],[Durée]],"")</f>
        <v/>
      </c>
      <c r="U23" s="55" t="str">
        <f aca="false">IF("N/C"=Horo82109[[#This Row],[Tâche]],Horo82109[[#This Row],[Durée]],"")</f>
        <v/>
      </c>
      <c r="V23" s="58"/>
      <c r="W23" s="59" t="n">
        <f aca="false">IF(Horo82109[[#This Row],[O]]="o",Horo82109[[#This Row],[Durée]],".")</f>
        <v>1</v>
      </c>
      <c r="X23" s="60" t="n">
        <f aca="false">IF(Horo82109[[#This Row],[Début]]=0,"",Horo82109[[#This Row],[Fin]]-Horo82109[[#This Row],[Début]])</f>
        <v>0.0416666666666667</v>
      </c>
    </row>
    <row r="24" customFormat="false" ht="15" hidden="false" customHeight="false" outlineLevel="0" collapsed="false">
      <c r="A24" s="45" t="s">
        <v>31</v>
      </c>
      <c r="B24" s="46" t="n">
        <f aca="false">IF(Horo82109[[#This Row],[Jour]]="Lundi",$C$1+1, IF(Horo82109[[#This Row],[Jour]]="Mardi",$C$1+2, IF(Horo82109[[#This Row],[Jour]]="Mercredi",$C$1+3, IF(Horo82109[[#This Row],[Jour]]="Jeudi",$C$1+4, IF(Horo82109[[#This Row],[Jour]]="Vendredi",$C$1+5, IF(Horo82109[[#This Row],[Jour]]="Samedi",$C$1+6, IF(Horo82109[[#This Row],[Jour]]="Dimanche",$C$1, )))))))</f>
        <v>44448</v>
      </c>
      <c r="C24" s="47" t="s">
        <v>2</v>
      </c>
      <c r="D24" s="48" t="n">
        <v>0.583333333333333</v>
      </c>
      <c r="E24" s="48" t="n">
        <v>0.729166666666667</v>
      </c>
      <c r="F24" s="49" t="s">
        <v>34</v>
      </c>
      <c r="G24" s="49" t="s">
        <v>19</v>
      </c>
      <c r="H24" s="50" t="s">
        <v>105</v>
      </c>
      <c r="I24" s="61"/>
      <c r="J24" s="52" t="n">
        <f aca="false">IF(Horo82109[[#This Row],[Début]]=0,"",(Horo82109[[#This Row],[Durée (60)2]]-INT(Horo82109[[#This Row],[Durée (60)2]]))*24)</f>
        <v>3.5</v>
      </c>
      <c r="K24" s="62" t="n">
        <f aca="false">SUMIF(Horo82109[Jour],C24,Horo82109[Durée])</f>
        <v>8</v>
      </c>
      <c r="L24" s="54" t="n">
        <f aca="false">IFERROR(SUMIF(Horo82109[[#This Row],[Jour]],Horo82109[[#This Row],[Jour]],Horo82109[[#This Row],[GPF]]) / Horo82109[[#This Row],[hrs]],"")</f>
        <v>0.4375</v>
      </c>
      <c r="M24" s="56" t="n">
        <f aca="false">IF("GPF"=Horo82109[[#This Row],[Tâche]],Horo82109[[#This Row],[Durée]],"")</f>
        <v>3.5</v>
      </c>
      <c r="N24" s="56" t="str">
        <f aca="false">IF("RI"=Horo82109[[#This Row],[Tâche]],Horo82109[[#This Row],[Durée]],"")</f>
        <v/>
      </c>
      <c r="O24" s="56" t="str">
        <f aca="false">IF("GB"=Horo82109[[#This Row],[Tâche]],Horo82109[[#This Row],[Durée]],"")</f>
        <v/>
      </c>
      <c r="P24" s="56" t="str">
        <f aca="false">IF("RD"=Horo82109[[#This Row],[Tâche]],Horo82109[[#This Row],[Durée]],"")</f>
        <v/>
      </c>
      <c r="Q24" s="56" t="str">
        <f aca="false">IF("FG"=Horo82109[[#This Row],[Tâche]],Horo82109[[#This Row],[Durée]],"")</f>
        <v/>
      </c>
      <c r="R24" s="56" t="str">
        <f aca="false">IF("CONGÉ"=Horo82109[[#This Row],[Tâche]],Horo82109[[#This Row],[Durée]],"")</f>
        <v/>
      </c>
      <c r="S24" s="57" t="str">
        <f aca="false">IF("PS"=Horo82109[[#This Row],[Tâche]],Horo82109[[#This Row],[Durée]],"")</f>
        <v/>
      </c>
      <c r="T24" s="56" t="str">
        <f aca="false">IF("TD"=Horo82109[[#This Row],[Tâche]],Horo82109[[#This Row],[Durée]],"")</f>
        <v/>
      </c>
      <c r="U24" s="55" t="str">
        <f aca="false">IF("N/C"=Horo82109[[#This Row],[Tâche]],Horo82109[[#This Row],[Durée]],"")</f>
        <v/>
      </c>
      <c r="V24" s="58"/>
      <c r="W24" s="59" t="n">
        <f aca="false">IF(Horo82109[[#This Row],[O]]="o",Horo82109[[#This Row],[Durée]],".")</f>
        <v>3.5</v>
      </c>
      <c r="X24" s="60" t="n">
        <f aca="false">IF(Horo82109[[#This Row],[Début]]=0,"",Horo82109[[#This Row],[Fin]]-Horo82109[[#This Row],[Début]])</f>
        <v>0.145833333333333</v>
      </c>
    </row>
    <row r="25" customFormat="false" ht="15" hidden="false" customHeight="false" outlineLevel="0" collapsed="false">
      <c r="A25" s="45" t="s">
        <v>31</v>
      </c>
      <c r="B25" s="46" t="n">
        <f aca="false">IF(Horo82109[[#This Row],[Jour]]="Lundi",$C$1+1, IF(Horo82109[[#This Row],[Jour]]="Mardi",$C$1+2, IF(Horo82109[[#This Row],[Jour]]="Mercredi",$C$1+3, IF(Horo82109[[#This Row],[Jour]]="Jeudi",$C$1+4, IF(Horo82109[[#This Row],[Jour]]="Vendredi",$C$1+5, IF(Horo82109[[#This Row],[Jour]]="Samedi",$C$1+6, IF(Horo82109[[#This Row],[Jour]]="Dimanche",$C$1, )))))))</f>
        <v>44449</v>
      </c>
      <c r="C25" s="47" t="s">
        <v>3</v>
      </c>
      <c r="D25" s="48" t="n">
        <v>0.322916666666667</v>
      </c>
      <c r="E25" s="48" t="n">
        <v>0.333333333333333</v>
      </c>
      <c r="F25" s="49" t="s">
        <v>32</v>
      </c>
      <c r="G25" s="49" t="s">
        <v>21</v>
      </c>
      <c r="H25" s="50" t="s">
        <v>33</v>
      </c>
      <c r="I25" s="51"/>
      <c r="J25" s="52" t="n">
        <f aca="false">IF(Horo82109[[#This Row],[Début]]=0,"",(Horo82109[[#This Row],[Durée (60)2]]-INT(Horo82109[[#This Row],[Durée (60)2]]))*24)</f>
        <v>0.249999999999999</v>
      </c>
      <c r="K25" s="62" t="n">
        <f aca="false">SUMIF(Horo82109[Jour],C25,Horo82109[Durée])</f>
        <v>8.75</v>
      </c>
      <c r="L25" s="54" t="n">
        <f aca="false">IFERROR(SUMIF(Horo82109[[#This Row],[Jour]],Horo82109[[#This Row],[Jour]],Horo82109[[#This Row],[GPF]]) / Horo82109[[#This Row],[hrs]],"")</f>
        <v>0</v>
      </c>
      <c r="M25" s="56" t="str">
        <f aca="false">IF("GPF"=Horo82109[[#This Row],[Tâche]],Horo82109[[#This Row],[Durée]],"")</f>
        <v/>
      </c>
      <c r="N25" s="56" t="str">
        <f aca="false">IF("RI"=Horo82109[[#This Row],[Tâche]],Horo82109[[#This Row],[Durée]],"")</f>
        <v/>
      </c>
      <c r="O25" s="56" t="n">
        <f aca="false">IF("GB"=Horo82109[[#This Row],[Tâche]],Horo82109[[#This Row],[Durée]],"")</f>
        <v>0.249999999999999</v>
      </c>
      <c r="P25" s="56" t="str">
        <f aca="false">IF("RD"=Horo82109[[#This Row],[Tâche]],Horo82109[[#This Row],[Durée]],"")</f>
        <v/>
      </c>
      <c r="Q25" s="56" t="str">
        <f aca="false">IF("FG"=Horo82109[[#This Row],[Tâche]],Horo82109[[#This Row],[Durée]],"")</f>
        <v/>
      </c>
      <c r="R25" s="56" t="str">
        <f aca="false">IF("CONGÉ"=Horo82109[[#This Row],[Tâche]],Horo82109[[#This Row],[Durée]],"")</f>
        <v/>
      </c>
      <c r="S25" s="56" t="str">
        <f aca="false">IF("PS"=Horo82109[[#This Row],[Tâche]],Horo82109[[#This Row],[Durée]],"")</f>
        <v/>
      </c>
      <c r="T25" s="56" t="str">
        <f aca="false">IF("TD"=Horo82109[[#This Row],[Tâche]],Horo82109[[#This Row],[Durée]],"")</f>
        <v/>
      </c>
      <c r="U25" s="56" t="str">
        <f aca="false">IF("N/C"=Horo82109[[#This Row],[Tâche]],Horo82109[[#This Row],[Durée]],"")</f>
        <v/>
      </c>
      <c r="V25" s="58"/>
      <c r="W25" s="59" t="n">
        <f aca="false">IF(Horo82109[[#This Row],[O]]="o",Horo82109[[#This Row],[Durée]],".")</f>
        <v>0.249999999999999</v>
      </c>
      <c r="X25" s="64" t="n">
        <f aca="false">IF(Horo82109[[#This Row],[Début]]=0,"",Horo82109[[#This Row],[Fin]]-Horo82109[[#This Row],[Début]])</f>
        <v>0.0104166666666666</v>
      </c>
    </row>
    <row r="26" customFormat="false" ht="15" hidden="false" customHeight="false" outlineLevel="0" collapsed="false">
      <c r="A26" s="45" t="s">
        <v>31</v>
      </c>
      <c r="B26" s="46" t="n">
        <f aca="false">IF(Horo82109[[#This Row],[Jour]]="Lundi",$C$1+1, IF(Horo82109[[#This Row],[Jour]]="Mardi",$C$1+2, IF(Horo82109[[#This Row],[Jour]]="Mercredi",$C$1+3, IF(Horo82109[[#This Row],[Jour]]="Jeudi",$C$1+4, IF(Horo82109[[#This Row],[Jour]]="Vendredi",$C$1+5, IF(Horo82109[[#This Row],[Jour]]="Samedi",$C$1+6, IF(Horo82109[[#This Row],[Jour]]="Dimanche",$C$1, )))))))</f>
        <v>44449</v>
      </c>
      <c r="C26" s="47" t="s">
        <v>3</v>
      </c>
      <c r="D26" s="48" t="n">
        <v>0.354166666666667</v>
      </c>
      <c r="E26" s="48" t="n">
        <v>0.416666666666667</v>
      </c>
      <c r="F26" s="49" t="s">
        <v>34</v>
      </c>
      <c r="G26" s="49" t="s">
        <v>19</v>
      </c>
      <c r="H26" s="50" t="s">
        <v>105</v>
      </c>
      <c r="I26" s="61"/>
      <c r="J26" s="52" t="n">
        <f aca="false">IF(Horo82109[[#This Row],[Début]]=0,"",(Horo82109[[#This Row],[Durée (60)2]]-INT(Horo82109[[#This Row],[Durée (60)2]]))*24)</f>
        <v>1.5</v>
      </c>
      <c r="K26" s="62" t="n">
        <f aca="false">SUMIF(Horo82109[Jour],C26,Horo82109[Durée])</f>
        <v>8.75</v>
      </c>
      <c r="L26" s="54" t="n">
        <f aca="false">IFERROR(SUMIF(Horo82109[[#This Row],[Jour]],Horo82109[[#This Row],[Jour]],Horo82109[[#This Row],[GPF]]) / Horo82109[[#This Row],[hrs]],"")</f>
        <v>0.171428571428571</v>
      </c>
      <c r="M26" s="56" t="n">
        <f aca="false">IF("GPF"=Horo82109[[#This Row],[Tâche]],Horo82109[[#This Row],[Durée]],"")</f>
        <v>1.5</v>
      </c>
      <c r="N26" s="56" t="str">
        <f aca="false">IF("RI"=Horo82109[[#This Row],[Tâche]],Horo82109[[#This Row],[Durée]],"")</f>
        <v/>
      </c>
      <c r="O26" s="56" t="str">
        <f aca="false">IF("GB"=Horo82109[[#This Row],[Tâche]],Horo82109[[#This Row],[Durée]],"")</f>
        <v/>
      </c>
      <c r="P26" s="56" t="str">
        <f aca="false">IF("RD"=Horo82109[[#This Row],[Tâche]],Horo82109[[#This Row],[Durée]],"")</f>
        <v/>
      </c>
      <c r="Q26" s="103" t="str">
        <f aca="false">IF("FG"=Horo82109[[#This Row],[Tâche]],Horo82109[[#This Row],[Durée]],"")</f>
        <v/>
      </c>
      <c r="R26" s="56" t="str">
        <f aca="false">IF("CONGÉ"=Horo82109[[#This Row],[Tâche]],Horo82109[[#This Row],[Durée]],"")</f>
        <v/>
      </c>
      <c r="S26" s="57" t="str">
        <f aca="false">IF("PS"=Horo82109[[#This Row],[Tâche]],Horo82109[[#This Row],[Durée]],"")</f>
        <v/>
      </c>
      <c r="T26" s="56" t="str">
        <f aca="false">IF("TD"=Horo82109[[#This Row],[Tâche]],Horo82109[[#This Row],[Durée]],"")</f>
        <v/>
      </c>
      <c r="U26" s="55" t="str">
        <f aca="false">IF("N/C"=Horo82109[[#This Row],[Tâche]],Horo82109[[#This Row],[Durée]],"")</f>
        <v/>
      </c>
      <c r="V26" s="58"/>
      <c r="W26" s="59" t="n">
        <f aca="false">IF(Horo82109[[#This Row],[O]]="o",Horo82109[[#This Row],[Durée]],".")</f>
        <v>1.5</v>
      </c>
      <c r="X26" s="60" t="n">
        <f aca="false">IF(Horo82109[[#This Row],[Début]]=0,"",Horo82109[[#This Row],[Fin]]-Horo82109[[#This Row],[Début]])</f>
        <v>0.0625</v>
      </c>
    </row>
    <row r="27" customFormat="false" ht="15" hidden="false" customHeight="false" outlineLevel="0" collapsed="false">
      <c r="A27" s="45" t="s">
        <v>31</v>
      </c>
      <c r="B27" s="46" t="n">
        <f aca="false">IF(Horo82109[[#This Row],[Jour]]="Lundi",$C$1+1, IF(Horo82109[[#This Row],[Jour]]="Mardi",$C$1+2, IF(Horo82109[[#This Row],[Jour]]="Mercredi",$C$1+3, IF(Horo82109[[#This Row],[Jour]]="Jeudi",$C$1+4, IF(Horo82109[[#This Row],[Jour]]="Vendredi",$C$1+5, IF(Horo82109[[#This Row],[Jour]]="Samedi",$C$1+6, IF(Horo82109[[#This Row],[Jour]]="Dimanche",$C$1, )))))))</f>
        <v>44449</v>
      </c>
      <c r="C27" s="47" t="s">
        <v>3</v>
      </c>
      <c r="D27" s="48" t="n">
        <v>0.416666666666667</v>
      </c>
      <c r="E27" s="48" t="n">
        <v>0.427083333333333</v>
      </c>
      <c r="F27" s="49" t="s">
        <v>47</v>
      </c>
      <c r="G27" s="49" t="s">
        <v>19</v>
      </c>
      <c r="H27" s="50" t="s">
        <v>55</v>
      </c>
      <c r="I27" s="61"/>
      <c r="J27" s="52" t="n">
        <f aca="false">IF(Horo82109[[#This Row],[Début]]=0,"",(Horo82109[[#This Row],[Durée (60)2]]-INT(Horo82109[[#This Row],[Durée (60)2]]))*24)</f>
        <v>0.249999999999999</v>
      </c>
      <c r="K27" s="62" t="n">
        <f aca="false">SUMIF(Horo82109[Jour],C27,Horo82109[Durée])</f>
        <v>8.75</v>
      </c>
      <c r="L27" s="54" t="n">
        <f aca="false">IFERROR(SUMIF(Horo82109[[#This Row],[Jour]],Horo82109[[#This Row],[Jour]],Horo82109[[#This Row],[GPF]]) / Horo82109[[#This Row],[hrs]],"")</f>
        <v>0.0285714285714285</v>
      </c>
      <c r="M27" s="56" t="n">
        <f aca="false">IF("GPF"=Horo82109[[#This Row],[Tâche]],Horo82109[[#This Row],[Durée]],"")</f>
        <v>0.249999999999999</v>
      </c>
      <c r="N27" s="56" t="str">
        <f aca="false">IF("RI"=Horo82109[[#This Row],[Tâche]],Horo82109[[#This Row],[Durée]],"")</f>
        <v/>
      </c>
      <c r="O27" s="56" t="str">
        <f aca="false">IF("GB"=Horo82109[[#This Row],[Tâche]],Horo82109[[#This Row],[Durée]],"")</f>
        <v/>
      </c>
      <c r="P27" s="56" t="str">
        <f aca="false">IF("RD"=Horo82109[[#This Row],[Tâche]],Horo82109[[#This Row],[Durée]],"")</f>
        <v/>
      </c>
      <c r="Q27" s="56" t="str">
        <f aca="false">IF("FG"=Horo82109[[#This Row],[Tâche]],Horo82109[[#This Row],[Durée]],"")</f>
        <v/>
      </c>
      <c r="R27" s="56" t="str">
        <f aca="false">IF("CONGÉ"=Horo82109[[#This Row],[Tâche]],Horo82109[[#This Row],[Durée]],"")</f>
        <v/>
      </c>
      <c r="S27" s="57" t="str">
        <f aca="false">IF("PS"=Horo82109[[#This Row],[Tâche]],Horo82109[[#This Row],[Durée]],"")</f>
        <v/>
      </c>
      <c r="T27" s="56" t="str">
        <f aca="false">IF("TD"=Horo82109[[#This Row],[Tâche]],Horo82109[[#This Row],[Durée]],"")</f>
        <v/>
      </c>
      <c r="U27" s="55" t="str">
        <f aca="false">IF("N/C"=Horo82109[[#This Row],[Tâche]],Horo82109[[#This Row],[Durée]],"")</f>
        <v/>
      </c>
      <c r="V27" s="58"/>
      <c r="W27" s="59" t="n">
        <f aca="false">IF(Horo82109[[#This Row],[O]]="o",Horo82109[[#This Row],[Durée]],".")</f>
        <v>0.249999999999999</v>
      </c>
      <c r="X27" s="60" t="n">
        <f aca="false">IF(Horo82109[[#This Row],[Début]]=0,"",Horo82109[[#This Row],[Fin]]-Horo82109[[#This Row],[Début]])</f>
        <v>0.0104166666666666</v>
      </c>
    </row>
    <row r="28" customFormat="false" ht="15" hidden="false" customHeight="false" outlineLevel="0" collapsed="false">
      <c r="A28" s="45" t="s">
        <v>31</v>
      </c>
      <c r="B28" s="46" t="n">
        <f aca="false">IF(Horo82109[[#This Row],[Jour]]="Lundi",$C$1+1, IF(Horo82109[[#This Row],[Jour]]="Mardi",$C$1+2, IF(Horo82109[[#This Row],[Jour]]="Mercredi",$C$1+3, IF(Horo82109[[#This Row],[Jour]]="Jeudi",$C$1+4, IF(Horo82109[[#This Row],[Jour]]="Vendredi",$C$1+5, IF(Horo82109[[#This Row],[Jour]]="Samedi",$C$1+6, IF(Horo82109[[#This Row],[Jour]]="Dimanche",$C$1, )))))))</f>
        <v>44449</v>
      </c>
      <c r="C28" s="47" t="s">
        <v>3</v>
      </c>
      <c r="D28" s="48" t="n">
        <v>0.427083333333333</v>
      </c>
      <c r="E28" s="48" t="n">
        <v>0.5</v>
      </c>
      <c r="F28" s="49" t="s">
        <v>34</v>
      </c>
      <c r="G28" s="49" t="s">
        <v>19</v>
      </c>
      <c r="H28" s="50" t="s">
        <v>105</v>
      </c>
      <c r="I28" s="61"/>
      <c r="J28" s="52" t="n">
        <f aca="false">IF(Horo82109[[#This Row],[Début]]=0,"",(Horo82109[[#This Row],[Durée (60)2]]-INT(Horo82109[[#This Row],[Durée (60)2]]))*24)</f>
        <v>1.75</v>
      </c>
      <c r="K28" s="62" t="n">
        <f aca="false">SUMIF(Horo82109[Jour],C28,Horo82109[Durée])</f>
        <v>8.75</v>
      </c>
      <c r="L28" s="54" t="n">
        <f aca="false">IFERROR(SUMIF(Horo82109[[#This Row],[Jour]],Horo82109[[#This Row],[Jour]],Horo82109[[#This Row],[GPF]]) / Horo82109[[#This Row],[hrs]],"")</f>
        <v>0.2</v>
      </c>
      <c r="M28" s="56" t="n">
        <f aca="false">IF("GPF"=Horo82109[[#This Row],[Tâche]],Horo82109[[#This Row],[Durée]],"")</f>
        <v>1.75</v>
      </c>
      <c r="N28" s="56" t="str">
        <f aca="false">IF("RI"=Horo82109[[#This Row],[Tâche]],Horo82109[[#This Row],[Durée]],"")</f>
        <v/>
      </c>
      <c r="O28" s="56" t="str">
        <f aca="false">IF("GB"=Horo82109[[#This Row],[Tâche]],Horo82109[[#This Row],[Durée]],"")</f>
        <v/>
      </c>
      <c r="P28" s="56" t="str">
        <f aca="false">IF("RD"=Horo82109[[#This Row],[Tâche]],Horo82109[[#This Row],[Durée]],"")</f>
        <v/>
      </c>
      <c r="Q28" s="56" t="str">
        <f aca="false">IF("FG"=Horo82109[[#This Row],[Tâche]],Horo82109[[#This Row],[Durée]],"")</f>
        <v/>
      </c>
      <c r="R28" s="56" t="str">
        <f aca="false">IF("CONGÉ"=Horo82109[[#This Row],[Tâche]],Horo82109[[#This Row],[Durée]],"")</f>
        <v/>
      </c>
      <c r="S28" s="57" t="str">
        <f aca="false">IF("PS"=Horo82109[[#This Row],[Tâche]],Horo82109[[#This Row],[Durée]],"")</f>
        <v/>
      </c>
      <c r="T28" s="56" t="str">
        <f aca="false">IF("TD"=Horo82109[[#This Row],[Tâche]],Horo82109[[#This Row],[Durée]],"")</f>
        <v/>
      </c>
      <c r="U28" s="55" t="str">
        <f aca="false">IF("N/C"=Horo82109[[#This Row],[Tâche]],Horo82109[[#This Row],[Durée]],"")</f>
        <v/>
      </c>
      <c r="V28" s="58"/>
      <c r="W28" s="59" t="n">
        <f aca="false">IF(Horo82109[[#This Row],[O]]="o",Horo82109[[#This Row],[Durée]],".")</f>
        <v>1.75</v>
      </c>
      <c r="X28" s="60" t="n">
        <f aca="false">IF(Horo82109[[#This Row],[Début]]=0,"",Horo82109[[#This Row],[Fin]]-Horo82109[[#This Row],[Début]])</f>
        <v>0.0729166666666667</v>
      </c>
    </row>
    <row r="29" customFormat="false" ht="15" hidden="false" customHeight="false" outlineLevel="0" collapsed="false">
      <c r="A29" s="45" t="s">
        <v>31</v>
      </c>
      <c r="B29" s="46" t="n">
        <f aca="false">IF(Horo82109[[#This Row],[Jour]]="Lundi",$C$1+1, IF(Horo82109[[#This Row],[Jour]]="Mardi",$C$1+2, IF(Horo82109[[#This Row],[Jour]]="Mercredi",$C$1+3, IF(Horo82109[[#This Row],[Jour]]="Jeudi",$C$1+4, IF(Horo82109[[#This Row],[Jour]]="Vendredi",$C$1+5, IF(Horo82109[[#This Row],[Jour]]="Samedi",$C$1+6, IF(Horo82109[[#This Row],[Jour]]="Dimanche",$C$1, )))))))</f>
        <v>44449</v>
      </c>
      <c r="C29" s="47" t="s">
        <v>3</v>
      </c>
      <c r="D29" s="48" t="n">
        <v>0.5625</v>
      </c>
      <c r="E29" s="48" t="n">
        <v>0.770833333333333</v>
      </c>
      <c r="F29" s="49" t="s">
        <v>34</v>
      </c>
      <c r="G29" s="49" t="s">
        <v>22</v>
      </c>
      <c r="H29" s="50" t="s">
        <v>118</v>
      </c>
      <c r="I29" s="61" t="s">
        <v>105</v>
      </c>
      <c r="J29" s="52" t="n">
        <f aca="false">IF(Horo82109[[#This Row],[Début]]=0,"",(Horo82109[[#This Row],[Durée (60)2]]-INT(Horo82109[[#This Row],[Durée (60)2]]))*24)</f>
        <v>5</v>
      </c>
      <c r="K29" s="62" t="n">
        <f aca="false">SUMIF(Horo82109[Jour],C29,Horo82109[Durée])</f>
        <v>8.75</v>
      </c>
      <c r="L29" s="54" t="n">
        <f aca="false">IFERROR(SUMIF(Horo82109[[#This Row],[Jour]],Horo82109[[#This Row],[Jour]],Horo82109[[#This Row],[GPF]]) / Horo82109[[#This Row],[hrs]],"")</f>
        <v>0</v>
      </c>
      <c r="M29" s="56" t="str">
        <f aca="false">IF("GPF"=Horo82109[[#This Row],[Tâche]],Horo82109[[#This Row],[Durée]],"")</f>
        <v/>
      </c>
      <c r="N29" s="56" t="str">
        <f aca="false">IF("RI"=Horo82109[[#This Row],[Tâche]],Horo82109[[#This Row],[Durée]],"")</f>
        <v/>
      </c>
      <c r="O29" s="56" t="str">
        <f aca="false">IF("GB"=Horo82109[[#This Row],[Tâche]],Horo82109[[#This Row],[Durée]],"")</f>
        <v/>
      </c>
      <c r="P29" s="56" t="n">
        <f aca="false">IF("RD"=Horo82109[[#This Row],[Tâche]],Horo82109[[#This Row],[Durée]],"")</f>
        <v>5</v>
      </c>
      <c r="Q29" s="56" t="str">
        <f aca="false">IF("FG"=Horo82109[[#This Row],[Tâche]],Horo82109[[#This Row],[Durée]],"")</f>
        <v/>
      </c>
      <c r="R29" s="56" t="str">
        <f aca="false">IF("CONGÉ"=Horo82109[[#This Row],[Tâche]],Horo82109[[#This Row],[Durée]],"")</f>
        <v/>
      </c>
      <c r="S29" s="57" t="str">
        <f aca="false">IF("PS"=Horo82109[[#This Row],[Tâche]],Horo82109[[#This Row],[Durée]],"")</f>
        <v/>
      </c>
      <c r="T29" s="56" t="str">
        <f aca="false">IF("TD"=Horo82109[[#This Row],[Tâche]],Horo82109[[#This Row],[Durée]],"")</f>
        <v/>
      </c>
      <c r="U29" s="55" t="str">
        <f aca="false">IF("N/C"=Horo82109[[#This Row],[Tâche]],Horo82109[[#This Row],[Durée]],"")</f>
        <v/>
      </c>
      <c r="V29" s="58"/>
      <c r="W29" s="59" t="n">
        <f aca="false">IF(Horo82109[[#This Row],[O]]="o",Horo82109[[#This Row],[Durée]],".")</f>
        <v>5</v>
      </c>
      <c r="X29" s="60" t="n">
        <f aca="false">IF(Horo82109[[#This Row],[Début]]=0,"",Horo82109[[#This Row],[Fin]]-Horo82109[[#This Row],[Début]])</f>
        <v>0.208333333333333</v>
      </c>
    </row>
    <row r="30" customFormat="false" ht="15" hidden="false" customHeight="false" outlineLevel="0" collapsed="false">
      <c r="A30" s="45" t="s">
        <v>31</v>
      </c>
      <c r="B30" s="46" t="n">
        <f aca="false">IF(Horo82109[[#This Row],[Jour]]="Lundi",$C$1+1, IF(Horo82109[[#This Row],[Jour]]="Mardi",$C$1+2, IF(Horo82109[[#This Row],[Jour]]="Mercredi",$C$1+3, IF(Horo82109[[#This Row],[Jour]]="Jeudi",$C$1+4, IF(Horo82109[[#This Row],[Jour]]="Vendredi",$C$1+5, IF(Horo82109[[#This Row],[Jour]]="Samedi",$C$1+6, IF(Horo82109[[#This Row],[Jour]]="Dimanche",$C$1, )))))))</f>
        <v>44450</v>
      </c>
      <c r="C30" s="47" t="s">
        <v>4</v>
      </c>
      <c r="D30" s="48" t="n">
        <v>0.333333333333333</v>
      </c>
      <c r="E30" s="48" t="n">
        <v>0.354166666666667</v>
      </c>
      <c r="F30" s="49" t="s">
        <v>32</v>
      </c>
      <c r="G30" s="49" t="s">
        <v>21</v>
      </c>
      <c r="H30" s="50" t="s">
        <v>33</v>
      </c>
      <c r="I30" s="51"/>
      <c r="J30" s="52" t="n">
        <f aca="false">IF(Horo82109[[#This Row],[Début]]=0,"",(Horo82109[[#This Row],[Durée (60)2]]-INT(Horo82109[[#This Row],[Durée (60)2]]))*24)</f>
        <v>0.500000000000001</v>
      </c>
      <c r="K30" s="62" t="n">
        <f aca="false">SUMIF(Horo82109[Jour],C30,Horo82109[Durée])</f>
        <v>7.5</v>
      </c>
      <c r="L30" s="54" t="n">
        <f aca="false">IFERROR(SUMIF(Horo82109[[#This Row],[Jour]],Horo82109[[#This Row],[Jour]],Horo82109[[#This Row],[GPF]]) / Horo82109[[#This Row],[hrs]],"")</f>
        <v>0</v>
      </c>
      <c r="M30" s="56" t="str">
        <f aca="false">IF("GPF"=Horo82109[[#This Row],[Tâche]],Horo82109[[#This Row],[Durée]],"")</f>
        <v/>
      </c>
      <c r="N30" s="56" t="str">
        <f aca="false">IF("RI"=Horo82109[[#This Row],[Tâche]],Horo82109[[#This Row],[Durée]],"")</f>
        <v/>
      </c>
      <c r="O30" s="56" t="n">
        <f aca="false">IF("GB"=Horo82109[[#This Row],[Tâche]],Horo82109[[#This Row],[Durée]],"")</f>
        <v>0.500000000000001</v>
      </c>
      <c r="P30" s="63" t="str">
        <f aca="false">IF("RD"=Horo82109[[#This Row],[Tâche]],Horo82109[[#This Row],[Durée]],"")</f>
        <v/>
      </c>
      <c r="Q30" s="56" t="str">
        <f aca="false">IF("FG"=Horo82109[[#This Row],[Tâche]],Horo82109[[#This Row],[Durée]],"")</f>
        <v/>
      </c>
      <c r="R30" s="56" t="str">
        <f aca="false">IF("CONGÉ"=Horo82109[[#This Row],[Tâche]],Horo82109[[#This Row],[Durée]],"")</f>
        <v/>
      </c>
      <c r="S30" s="57" t="str">
        <f aca="false">IF("PS"=Horo82109[[#This Row],[Tâche]],Horo82109[[#This Row],[Durée]],"")</f>
        <v/>
      </c>
      <c r="T30" s="56" t="str">
        <f aca="false">IF("TD"=Horo82109[[#This Row],[Tâche]],Horo82109[[#This Row],[Durée]],"")</f>
        <v/>
      </c>
      <c r="U30" s="55" t="str">
        <f aca="false">IF("N/C"=Horo82109[[#This Row],[Tâche]],Horo82109[[#This Row],[Durée]],"")</f>
        <v/>
      </c>
      <c r="V30" s="58"/>
      <c r="W30" s="59" t="n">
        <f aca="false">IF(Horo82109[[#This Row],[O]]="o",Horo82109[[#This Row],[Durée]],".")</f>
        <v>0.500000000000001</v>
      </c>
      <c r="X30" s="60" t="n">
        <f aca="false">IF(Horo82109[[#This Row],[Début]]=0,"",Horo82109[[#This Row],[Fin]]-Horo82109[[#This Row],[Début]])</f>
        <v>0.0208333333333334</v>
      </c>
    </row>
    <row r="31" customFormat="false" ht="15" hidden="false" customHeight="false" outlineLevel="0" collapsed="false">
      <c r="A31" s="45" t="s">
        <v>31</v>
      </c>
      <c r="B31" s="46" t="n">
        <f aca="false">IF(Horo82109[[#This Row],[Jour]]="Lundi",$C$1+1, IF(Horo82109[[#This Row],[Jour]]="Mardi",$C$1+2, IF(Horo82109[[#This Row],[Jour]]="Mercredi",$C$1+3, IF(Horo82109[[#This Row],[Jour]]="Jeudi",$C$1+4, IF(Horo82109[[#This Row],[Jour]]="Vendredi",$C$1+5, IF(Horo82109[[#This Row],[Jour]]="Samedi",$C$1+6, IF(Horo82109[[#This Row],[Jour]]="Dimanche",$C$1, )))))))</f>
        <v>44450</v>
      </c>
      <c r="C31" s="47" t="s">
        <v>4</v>
      </c>
      <c r="D31" s="48" t="n">
        <v>0.354166666666667</v>
      </c>
      <c r="E31" s="48" t="n">
        <v>0.375</v>
      </c>
      <c r="F31" s="49" t="s">
        <v>75</v>
      </c>
      <c r="G31" s="49" t="s">
        <v>19</v>
      </c>
      <c r="H31" s="50" t="s">
        <v>55</v>
      </c>
      <c r="I31" s="61"/>
      <c r="J31" s="52" t="n">
        <f aca="false">IF(Horo82109[[#This Row],[Début]]=0,"",(Horo82109[[#This Row],[Durée (60)2]]-INT(Horo82109[[#This Row],[Durée (60)2]]))*24)</f>
        <v>0.5</v>
      </c>
      <c r="K31" s="62" t="n">
        <f aca="false">SUMIF(Horo82109[Jour],C31,Horo82109[Durée])</f>
        <v>7.5</v>
      </c>
      <c r="L31" s="54" t="n">
        <f aca="false">IFERROR(SUMIF(Horo82109[[#This Row],[Jour]],Horo82109[[#This Row],[Jour]],Horo82109[[#This Row],[GPF]]) / Horo82109[[#This Row],[hrs]],"")</f>
        <v>0.0666666666666666</v>
      </c>
      <c r="M31" s="56" t="n">
        <f aca="false">IF("GPF"=Horo82109[[#This Row],[Tâche]],Horo82109[[#This Row],[Durée]],"")</f>
        <v>0.5</v>
      </c>
      <c r="N31" s="56" t="str">
        <f aca="false">IF("RI"=Horo82109[[#This Row],[Tâche]],Horo82109[[#This Row],[Durée]],"")</f>
        <v/>
      </c>
      <c r="O31" s="56" t="str">
        <f aca="false">IF("GB"=Horo82109[[#This Row],[Tâche]],Horo82109[[#This Row],[Durée]],"")</f>
        <v/>
      </c>
      <c r="P31" s="56" t="str">
        <f aca="false">IF("RD"=Horo82109[[#This Row],[Tâche]],Horo82109[[#This Row],[Durée]],"")</f>
        <v/>
      </c>
      <c r="Q31" s="56" t="str">
        <f aca="false">IF("FG"=Horo82109[[#This Row],[Tâche]],Horo82109[[#This Row],[Durée]],"")</f>
        <v/>
      </c>
      <c r="R31" s="56" t="str">
        <f aca="false">IF("CONGÉ"=Horo82109[[#This Row],[Tâche]],Horo82109[[#This Row],[Durée]],"")</f>
        <v/>
      </c>
      <c r="S31" s="57" t="str">
        <f aca="false">IF("PS"=Horo82109[[#This Row],[Tâche]],Horo82109[[#This Row],[Durée]],"")</f>
        <v/>
      </c>
      <c r="T31" s="56" t="str">
        <f aca="false">IF("TD"=Horo82109[[#This Row],[Tâche]],Horo82109[[#This Row],[Durée]],"")</f>
        <v/>
      </c>
      <c r="U31" s="55" t="str">
        <f aca="false">IF("N/C"=Horo82109[[#This Row],[Tâche]],Horo82109[[#This Row],[Durée]],"")</f>
        <v/>
      </c>
      <c r="V31" s="58"/>
      <c r="W31" s="59" t="n">
        <f aca="false">IF(Horo82109[[#This Row],[O]]="o",Horo82109[[#This Row],[Durée]],".")</f>
        <v>0.5</v>
      </c>
      <c r="X31" s="60" t="n">
        <f aca="false">IF(Horo82109[[#This Row],[Début]]=0,"",Horo82109[[#This Row],[Fin]]-Horo82109[[#This Row],[Début]])</f>
        <v>0.0208333333333333</v>
      </c>
    </row>
    <row r="32" customFormat="false" ht="15" hidden="false" customHeight="false" outlineLevel="0" collapsed="false">
      <c r="A32" s="45" t="s">
        <v>31</v>
      </c>
      <c r="B32" s="46" t="n">
        <f aca="false">IF(Horo82109[[#This Row],[Jour]]="Lundi",$C$1+1, IF(Horo82109[[#This Row],[Jour]]="Mardi",$C$1+2, IF(Horo82109[[#This Row],[Jour]]="Mercredi",$C$1+3, IF(Horo82109[[#This Row],[Jour]]="Jeudi",$C$1+4, IF(Horo82109[[#This Row],[Jour]]="Vendredi",$C$1+5, IF(Horo82109[[#This Row],[Jour]]="Samedi",$C$1+6, IF(Horo82109[[#This Row],[Jour]]="Dimanche",$C$1, )))))))</f>
        <v>44450</v>
      </c>
      <c r="C32" s="47" t="s">
        <v>4</v>
      </c>
      <c r="D32" s="48" t="n">
        <v>0.375</v>
      </c>
      <c r="E32" s="48" t="n">
        <v>0.395833333333333</v>
      </c>
      <c r="F32" s="49" t="s">
        <v>59</v>
      </c>
      <c r="G32" s="49" t="s">
        <v>19</v>
      </c>
      <c r="H32" s="50" t="s">
        <v>55</v>
      </c>
      <c r="I32" s="61"/>
      <c r="J32" s="52" t="n">
        <f aca="false">IF(Horo82109[[#This Row],[Début]]=0,"",(Horo82109[[#This Row],[Durée (60)2]]-INT(Horo82109[[#This Row],[Durée (60)2]]))*24)</f>
        <v>0.5</v>
      </c>
      <c r="K32" s="62" t="n">
        <f aca="false">SUMIF(Horo82109[Jour],C32,Horo82109[Durée])</f>
        <v>7.5</v>
      </c>
      <c r="L32" s="54" t="n">
        <f aca="false">IFERROR(SUMIF(Horo82109[[#This Row],[Jour]],Horo82109[[#This Row],[Jour]],Horo82109[[#This Row],[GPF]]) / Horo82109[[#This Row],[hrs]],"")</f>
        <v>0.0666666666666666</v>
      </c>
      <c r="M32" s="56" t="n">
        <f aca="false">IF("GPF"=Horo82109[[#This Row],[Tâche]],Horo82109[[#This Row],[Durée]],"")</f>
        <v>0.5</v>
      </c>
      <c r="N32" s="56" t="str">
        <f aca="false">IF("RI"=Horo82109[[#This Row],[Tâche]],Horo82109[[#This Row],[Durée]],"")</f>
        <v/>
      </c>
      <c r="O32" s="56" t="str">
        <f aca="false">IF("GB"=Horo82109[[#This Row],[Tâche]],Horo82109[[#This Row],[Durée]],"")</f>
        <v/>
      </c>
      <c r="P32" s="56" t="str">
        <f aca="false">IF("RD"=Horo82109[[#This Row],[Tâche]],Horo82109[[#This Row],[Durée]],"")</f>
        <v/>
      </c>
      <c r="Q32" s="56" t="str">
        <f aca="false">IF("FG"=Horo82109[[#This Row],[Tâche]],Horo82109[[#This Row],[Durée]],"")</f>
        <v/>
      </c>
      <c r="R32" s="56" t="str">
        <f aca="false">IF("CONGÉ"=Horo82109[[#This Row],[Tâche]],Horo82109[[#This Row],[Durée]],"")</f>
        <v/>
      </c>
      <c r="S32" s="57" t="str">
        <f aca="false">IF("PS"=Horo82109[[#This Row],[Tâche]],Horo82109[[#This Row],[Durée]],"")</f>
        <v/>
      </c>
      <c r="T32" s="56" t="str">
        <f aca="false">IF("TD"=Horo82109[[#This Row],[Tâche]],Horo82109[[#This Row],[Durée]],"")</f>
        <v/>
      </c>
      <c r="U32" s="55" t="str">
        <f aca="false">IF("N/C"=Horo82109[[#This Row],[Tâche]],Horo82109[[#This Row],[Durée]],"")</f>
        <v/>
      </c>
      <c r="V32" s="58"/>
      <c r="W32" s="59" t="n">
        <f aca="false">IF(Horo82109[[#This Row],[O]]="o",Horo82109[[#This Row],[Durée]],".")</f>
        <v>0.5</v>
      </c>
      <c r="X32" s="60" t="n">
        <f aca="false">IF(Horo82109[[#This Row],[Début]]=0,"",Horo82109[[#This Row],[Fin]]-Horo82109[[#This Row],[Début]])</f>
        <v>0.0208333333333333</v>
      </c>
    </row>
    <row r="33" customFormat="false" ht="15" hidden="false" customHeight="false" outlineLevel="0" collapsed="false">
      <c r="A33" s="45" t="s">
        <v>31</v>
      </c>
      <c r="B33" s="46" t="n">
        <f aca="false">IF(Horo82109[[#This Row],[Jour]]="Lundi",$C$1+1, IF(Horo82109[[#This Row],[Jour]]="Mardi",$C$1+2, IF(Horo82109[[#This Row],[Jour]]="Mercredi",$C$1+3, IF(Horo82109[[#This Row],[Jour]]="Jeudi",$C$1+4, IF(Horo82109[[#This Row],[Jour]]="Vendredi",$C$1+5, IF(Horo82109[[#This Row],[Jour]]="Samedi",$C$1+6, IF(Horo82109[[#This Row],[Jour]]="Dimanche",$C$1, )))))))</f>
        <v>44450</v>
      </c>
      <c r="C33" s="47" t="s">
        <v>4</v>
      </c>
      <c r="D33" s="48" t="n">
        <v>0.395833333333333</v>
      </c>
      <c r="E33" s="48" t="n">
        <v>0.479166666666667</v>
      </c>
      <c r="F33" s="49" t="s">
        <v>47</v>
      </c>
      <c r="G33" s="49" t="s">
        <v>19</v>
      </c>
      <c r="H33" s="50" t="s">
        <v>114</v>
      </c>
      <c r="I33" s="61" t="s">
        <v>156</v>
      </c>
      <c r="J33" s="52" t="n">
        <f aca="false">IF(Horo82109[[#This Row],[Début]]=0,"",(Horo82109[[#This Row],[Durée (60)2]]-INT(Horo82109[[#This Row],[Durée (60)2]]))*24)</f>
        <v>2</v>
      </c>
      <c r="K33" s="62" t="n">
        <f aca="false">SUMIF(Horo82109[Jour],C33,Horo82109[Durée])</f>
        <v>7.5</v>
      </c>
      <c r="L33" s="54" t="n">
        <f aca="false">IFERROR(SUMIF(Horo82109[[#This Row],[Jour]],Horo82109[[#This Row],[Jour]],Horo82109[[#This Row],[GPF]]) / Horo82109[[#This Row],[hrs]],"")</f>
        <v>0.266666666666667</v>
      </c>
      <c r="M33" s="56" t="n">
        <f aca="false">IF("GPF"=Horo82109[[#This Row],[Tâche]],Horo82109[[#This Row],[Durée]],"")</f>
        <v>2</v>
      </c>
      <c r="N33" s="56" t="str">
        <f aca="false">IF("RI"=Horo82109[[#This Row],[Tâche]],Horo82109[[#This Row],[Durée]],"")</f>
        <v/>
      </c>
      <c r="O33" s="56" t="str">
        <f aca="false">IF("GB"=Horo82109[[#This Row],[Tâche]],Horo82109[[#This Row],[Durée]],"")</f>
        <v/>
      </c>
      <c r="P33" s="56" t="str">
        <f aca="false">IF("RD"=Horo82109[[#This Row],[Tâche]],Horo82109[[#This Row],[Durée]],"")</f>
        <v/>
      </c>
      <c r="Q33" s="56" t="str">
        <f aca="false">IF("FG"=Horo82109[[#This Row],[Tâche]],Horo82109[[#This Row],[Durée]],"")</f>
        <v/>
      </c>
      <c r="R33" s="56" t="str">
        <f aca="false">IF("CONGÉ"=Horo82109[[#This Row],[Tâche]],Horo82109[[#This Row],[Durée]],"")</f>
        <v/>
      </c>
      <c r="S33" s="57" t="str">
        <f aca="false">IF("PS"=Horo82109[[#This Row],[Tâche]],Horo82109[[#This Row],[Durée]],"")</f>
        <v/>
      </c>
      <c r="T33" s="56" t="str">
        <f aca="false">IF("TD"=Horo82109[[#This Row],[Tâche]],Horo82109[[#This Row],[Durée]],"")</f>
        <v/>
      </c>
      <c r="U33" s="55" t="str">
        <f aca="false">IF("N/C"=Horo82109[[#This Row],[Tâche]],Horo82109[[#This Row],[Durée]],"")</f>
        <v/>
      </c>
      <c r="V33" s="58"/>
      <c r="W33" s="59" t="n">
        <f aca="false">IF(Horo82109[[#This Row],[O]]="o",Horo82109[[#This Row],[Durée]],".")</f>
        <v>2</v>
      </c>
      <c r="X33" s="60" t="n">
        <f aca="false">IF(Horo82109[[#This Row],[Début]]=0,"",Horo82109[[#This Row],[Fin]]-Horo82109[[#This Row],[Début]])</f>
        <v>0.0833333333333334</v>
      </c>
    </row>
    <row r="34" customFormat="false" ht="15" hidden="false" customHeight="false" outlineLevel="0" collapsed="false">
      <c r="A34" s="45" t="s">
        <v>31</v>
      </c>
      <c r="B34" s="46" t="n">
        <f aca="false">IF(Horo82109[[#This Row],[Jour]]="Lundi",$C$1+1, IF(Horo82109[[#This Row],[Jour]]="Mardi",$C$1+2, IF(Horo82109[[#This Row],[Jour]]="Mercredi",$C$1+3, IF(Horo82109[[#This Row],[Jour]]="Jeudi",$C$1+4, IF(Horo82109[[#This Row],[Jour]]="Vendredi",$C$1+5, IF(Horo82109[[#This Row],[Jour]]="Samedi",$C$1+6, IF(Horo82109[[#This Row],[Jour]]="Dimanche",$C$1, )))))))</f>
        <v>44450</v>
      </c>
      <c r="C34" s="47" t="s">
        <v>4</v>
      </c>
      <c r="D34" s="48" t="n">
        <v>0.5625</v>
      </c>
      <c r="E34" s="48" t="n">
        <v>0.645833333333333</v>
      </c>
      <c r="F34" s="49" t="s">
        <v>32</v>
      </c>
      <c r="G34" s="49" t="s">
        <v>22</v>
      </c>
      <c r="H34" s="50" t="s">
        <v>118</v>
      </c>
      <c r="I34" s="61" t="s">
        <v>105</v>
      </c>
      <c r="J34" s="52" t="n">
        <f aca="false">IF(Horo82109[[#This Row],[Début]]=0,"",(Horo82109[[#This Row],[Durée (60)2]]-INT(Horo82109[[#This Row],[Durée (60)2]]))*24)</f>
        <v>2</v>
      </c>
      <c r="K34" s="62" t="n">
        <f aca="false">SUMIF(Horo82109[Jour],C34,Horo82109[Durée])</f>
        <v>7.5</v>
      </c>
      <c r="L34" s="54" t="n">
        <f aca="false">IFERROR(SUMIF(Horo82109[[#This Row],[Jour]],Horo82109[[#This Row],[Jour]],Horo82109[[#This Row],[GPF]]) / Horo82109[[#This Row],[hrs]],"")</f>
        <v>0</v>
      </c>
      <c r="M34" s="56" t="str">
        <f aca="false">IF("GPF"=Horo82109[[#This Row],[Tâche]],Horo82109[[#This Row],[Durée]],"")</f>
        <v/>
      </c>
      <c r="N34" s="56" t="str">
        <f aca="false">IF("RI"=Horo82109[[#This Row],[Tâche]],Horo82109[[#This Row],[Durée]],"")</f>
        <v/>
      </c>
      <c r="O34" s="56" t="str">
        <f aca="false">IF("GB"=Horo82109[[#This Row],[Tâche]],Horo82109[[#This Row],[Durée]],"")</f>
        <v/>
      </c>
      <c r="P34" s="56" t="n">
        <f aca="false">IF("RD"=Horo82109[[#This Row],[Tâche]],Horo82109[[#This Row],[Durée]],"")</f>
        <v>2</v>
      </c>
      <c r="Q34" s="56" t="str">
        <f aca="false">IF("FG"=Horo82109[[#This Row],[Tâche]],Horo82109[[#This Row],[Durée]],"")</f>
        <v/>
      </c>
      <c r="R34" s="56" t="str">
        <f aca="false">IF("CONGÉ"=Horo82109[[#This Row],[Tâche]],Horo82109[[#This Row],[Durée]],"")</f>
        <v/>
      </c>
      <c r="S34" s="57" t="str">
        <f aca="false">IF("PS"=Horo82109[[#This Row],[Tâche]],Horo82109[[#This Row],[Durée]],"")</f>
        <v/>
      </c>
      <c r="T34" s="56" t="str">
        <f aca="false">IF("TD"=Horo82109[[#This Row],[Tâche]],Horo82109[[#This Row],[Durée]],"")</f>
        <v/>
      </c>
      <c r="U34" s="55" t="str">
        <f aca="false">IF("N/C"=Horo82109[[#This Row],[Tâche]],Horo82109[[#This Row],[Durée]],"")</f>
        <v/>
      </c>
      <c r="V34" s="58"/>
      <c r="W34" s="59" t="n">
        <f aca="false">IF(Horo82109[[#This Row],[O]]="o",Horo82109[[#This Row],[Durée]],".")</f>
        <v>2</v>
      </c>
      <c r="X34" s="60" t="n">
        <f aca="false">IF(Horo82109[[#This Row],[Début]]=0,"",Horo82109[[#This Row],[Fin]]-Horo82109[[#This Row],[Début]])</f>
        <v>0.0833333333333334</v>
      </c>
    </row>
    <row r="35" customFormat="false" ht="15" hidden="false" customHeight="false" outlineLevel="0" collapsed="false">
      <c r="A35" s="45" t="s">
        <v>31</v>
      </c>
      <c r="B35" s="46" t="n">
        <f aca="false">IF(Horo82109[[#This Row],[Jour]]="Lundi",$C$1+1, IF(Horo82109[[#This Row],[Jour]]="Mardi",$C$1+2, IF(Horo82109[[#This Row],[Jour]]="Mercredi",$C$1+3, IF(Horo82109[[#This Row],[Jour]]="Jeudi",$C$1+4, IF(Horo82109[[#This Row],[Jour]]="Vendredi",$C$1+5, IF(Horo82109[[#This Row],[Jour]]="Samedi",$C$1+6, IF(Horo82109[[#This Row],[Jour]]="Dimanche",$C$1, )))))))</f>
        <v>44450</v>
      </c>
      <c r="C35" s="47" t="s">
        <v>4</v>
      </c>
      <c r="D35" s="48" t="n">
        <v>0.645833333333333</v>
      </c>
      <c r="E35" s="48" t="n">
        <v>0.666666666666667</v>
      </c>
      <c r="F35" s="49" t="s">
        <v>32</v>
      </c>
      <c r="G35" s="49" t="s">
        <v>21</v>
      </c>
      <c r="H35" s="50"/>
      <c r="I35" s="61"/>
      <c r="J35" s="52" t="n">
        <f aca="false">IF(Horo82109[[#This Row],[Début]]=0,"",(Horo82109[[#This Row],[Durée (60)2]]-INT(Horo82109[[#This Row],[Durée (60)2]]))*24)</f>
        <v>0.499999999999998</v>
      </c>
      <c r="K35" s="62" t="n">
        <f aca="false">SUMIF(Horo82109[Jour],C35,Horo82109[Durée])</f>
        <v>7.5</v>
      </c>
      <c r="L35" s="54" t="n">
        <f aca="false">IFERROR(SUMIF(Horo82109[[#This Row],[Jour]],Horo82109[[#This Row],[Jour]],Horo82109[[#This Row],[GPF]]) / Horo82109[[#This Row],[hrs]],"")</f>
        <v>0</v>
      </c>
      <c r="M35" s="56" t="str">
        <f aca="false">IF("GPF"=Horo82109[[#This Row],[Tâche]],Horo82109[[#This Row],[Durée]],"")</f>
        <v/>
      </c>
      <c r="N35" s="56" t="str">
        <f aca="false">IF("RI"=Horo82109[[#This Row],[Tâche]],Horo82109[[#This Row],[Durée]],"")</f>
        <v/>
      </c>
      <c r="O35" s="56" t="n">
        <f aca="false">IF("GB"=Horo82109[[#This Row],[Tâche]],Horo82109[[#This Row],[Durée]],"")</f>
        <v>0.499999999999998</v>
      </c>
      <c r="P35" s="56" t="str">
        <f aca="false">IF("RD"=Horo82109[[#This Row],[Tâche]],Horo82109[[#This Row],[Durée]],"")</f>
        <v/>
      </c>
      <c r="Q35" s="56" t="str">
        <f aca="false">IF("FG"=Horo82109[[#This Row],[Tâche]],Horo82109[[#This Row],[Durée]],"")</f>
        <v/>
      </c>
      <c r="R35" s="56" t="str">
        <f aca="false">IF("CONGÉ"=Horo82109[[#This Row],[Tâche]],Horo82109[[#This Row],[Durée]],"")</f>
        <v/>
      </c>
      <c r="S35" s="57" t="str">
        <f aca="false">IF("PS"=Horo82109[[#This Row],[Tâche]],Horo82109[[#This Row],[Durée]],"")</f>
        <v/>
      </c>
      <c r="T35" s="56" t="str">
        <f aca="false">IF("TD"=Horo82109[[#This Row],[Tâche]],Horo82109[[#This Row],[Durée]],"")</f>
        <v/>
      </c>
      <c r="U35" s="55" t="str">
        <f aca="false">IF("N/C"=Horo82109[[#This Row],[Tâche]],Horo82109[[#This Row],[Durée]],"")</f>
        <v/>
      </c>
      <c r="V35" s="58"/>
      <c r="W35" s="59" t="n">
        <f aca="false">IF(Horo82109[[#This Row],[O]]="o",Horo82109[[#This Row],[Durée]],".")</f>
        <v>0.499999999999998</v>
      </c>
      <c r="X35" s="60" t="n">
        <f aca="false">IF(Horo82109[[#This Row],[Début]]=0,"",Horo82109[[#This Row],[Fin]]-Horo82109[[#This Row],[Début]])</f>
        <v>0.0208333333333333</v>
      </c>
    </row>
    <row r="36" customFormat="false" ht="15" hidden="false" customHeight="false" outlineLevel="0" collapsed="false">
      <c r="A36" s="45" t="s">
        <v>31</v>
      </c>
      <c r="B36" s="46" t="n">
        <f aca="false">IF(Horo82109[[#This Row],[Jour]]="Lundi",$C$1+1, IF(Horo82109[[#This Row],[Jour]]="Mardi",$C$1+2, IF(Horo82109[[#This Row],[Jour]]="Mercredi",$C$1+3, IF(Horo82109[[#This Row],[Jour]]="Jeudi",$C$1+4, IF(Horo82109[[#This Row],[Jour]]="Vendredi",$C$1+5, IF(Horo82109[[#This Row],[Jour]]="Samedi",$C$1+6, IF(Horo82109[[#This Row],[Jour]]="Dimanche",$C$1, )))))))</f>
        <v>44450</v>
      </c>
      <c r="C36" s="47" t="s">
        <v>4</v>
      </c>
      <c r="D36" s="48" t="n">
        <v>0.708333333333333</v>
      </c>
      <c r="E36" s="48" t="n">
        <v>0.770833333333333</v>
      </c>
      <c r="F36" s="49" t="s">
        <v>32</v>
      </c>
      <c r="G36" s="49" t="s">
        <v>23</v>
      </c>
      <c r="H36" s="50" t="s">
        <v>33</v>
      </c>
      <c r="I36" s="61"/>
      <c r="J36" s="52" t="n">
        <f aca="false">IF(Horo82109[[#This Row],[Début]]=0,"",(Horo82109[[#This Row],[Durée (60)2]]-INT(Horo82109[[#This Row],[Durée (60)2]]))*24)</f>
        <v>1.5</v>
      </c>
      <c r="K36" s="62" t="n">
        <f aca="false">SUMIF(Horo82109[Jour],C36,Horo82109[Durée])</f>
        <v>7.5</v>
      </c>
      <c r="L36" s="54" t="n">
        <f aca="false">IFERROR(SUMIF(Horo82109[[#This Row],[Jour]],Horo82109[[#This Row],[Jour]],Horo82109[[#This Row],[GPF]]) / Horo82109[[#This Row],[hrs]],"")</f>
        <v>0</v>
      </c>
      <c r="M36" s="56" t="str">
        <f aca="false">IF("GPF"=Horo82109[[#This Row],[Tâche]],Horo82109[[#This Row],[Durée]],"")</f>
        <v/>
      </c>
      <c r="N36" s="56" t="str">
        <f aca="false">IF("RI"=Horo82109[[#This Row],[Tâche]],Horo82109[[#This Row],[Durée]],"")</f>
        <v/>
      </c>
      <c r="O36" s="56" t="str">
        <f aca="false">IF("GB"=Horo82109[[#This Row],[Tâche]],Horo82109[[#This Row],[Durée]],"")</f>
        <v/>
      </c>
      <c r="P36" s="56" t="str">
        <f aca="false">IF("RD"=Horo82109[[#This Row],[Tâche]],Horo82109[[#This Row],[Durée]],"")</f>
        <v/>
      </c>
      <c r="Q36" s="56" t="n">
        <f aca="false">IF("FG"=Horo82109[[#This Row],[Tâche]],Horo82109[[#This Row],[Durée]],"")</f>
        <v>1.5</v>
      </c>
      <c r="R36" s="56" t="str">
        <f aca="false">IF("CONGÉ"=Horo82109[[#This Row],[Tâche]],Horo82109[[#This Row],[Durée]],"")</f>
        <v/>
      </c>
      <c r="S36" s="57" t="str">
        <f aca="false">IF("PS"=Horo82109[[#This Row],[Tâche]],Horo82109[[#This Row],[Durée]],"")</f>
        <v/>
      </c>
      <c r="T36" s="56" t="str">
        <f aca="false">IF("TD"=Horo82109[[#This Row],[Tâche]],Horo82109[[#This Row],[Durée]],"")</f>
        <v/>
      </c>
      <c r="U36" s="55" t="str">
        <f aca="false">IF("N/C"=Horo82109[[#This Row],[Tâche]],Horo82109[[#This Row],[Durée]],"")</f>
        <v/>
      </c>
      <c r="V36" s="58"/>
      <c r="W36" s="59" t="n">
        <f aca="false">IF(Horo82109[[#This Row],[O]]="o",Horo82109[[#This Row],[Durée]],".")</f>
        <v>1.5</v>
      </c>
      <c r="X36" s="60" t="n">
        <f aca="false">IF(Horo82109[[#This Row],[Début]]=0,"",Horo82109[[#This Row],[Fin]]-Horo82109[[#This Row],[Début]])</f>
        <v>0.0625</v>
      </c>
    </row>
    <row r="37" customFormat="false" ht="15" hidden="false" customHeight="false" outlineLevel="0" collapsed="false">
      <c r="A37" s="45" t="s">
        <v>33</v>
      </c>
      <c r="B37" s="46" t="n">
        <f aca="false">IF(Horo82109[[#This Row],[Jour]]="Lundi",$C$1+1, IF(Horo82109[[#This Row],[Jour]]="Mardi",$C$1+2, IF(Horo82109[[#This Row],[Jour]]="Mercredi",$C$1+3, IF(Horo82109[[#This Row],[Jour]]="Jeudi",$C$1+4, IF(Horo82109[[#This Row],[Jour]]="Vendredi",$C$1+5, IF(Horo82109[[#This Row],[Jour]]="Samedi",$C$1+6, IF(Horo82109[[#This Row],[Jour]]="Dimanche",$C$1, )))))))</f>
        <v>0</v>
      </c>
      <c r="C37" s="47"/>
      <c r="D37" s="48"/>
      <c r="E37" s="48"/>
      <c r="F37" s="49" t="s">
        <v>32</v>
      </c>
      <c r="G37" s="49" t="s">
        <v>27</v>
      </c>
      <c r="H37" s="50" t="s">
        <v>33</v>
      </c>
      <c r="I37" s="61"/>
      <c r="J37" s="52" t="str">
        <f aca="false">IF(Horo82109[[#This Row],[Début]]=0,"",(Horo82109[[#This Row],[Durée (60)2]]-INT(Horo82109[[#This Row],[Durée (60)2]]))*24)</f>
        <v/>
      </c>
      <c r="K37" s="62" t="n">
        <f aca="false">SUMIF(Horo82109[Jour],C37,Horo82109[Durée])</f>
        <v>0</v>
      </c>
      <c r="L37" s="54" t="str">
        <f aca="false">IFERROR(SUMIF(Horo82109[[#This Row],[Jour]],Horo82109[[#This Row],[Jour]],Horo82109[[#This Row],[GPF]]) / Horo82109[[#This Row],[hrs]],"")</f>
        <v/>
      </c>
      <c r="M37" s="56" t="str">
        <f aca="false">IF("GPF"=Horo82109[[#This Row],[Tâche]],Horo82109[[#This Row],[Durée]],"")</f>
        <v/>
      </c>
      <c r="N37" s="56" t="str">
        <f aca="false">IF("RI"=Horo82109[[#This Row],[Tâche]],Horo82109[[#This Row],[Durée]],"")</f>
        <v/>
      </c>
      <c r="O37" s="56" t="str">
        <f aca="false">IF("GB"=Horo82109[[#This Row],[Tâche]],Horo82109[[#This Row],[Durée]],"")</f>
        <v/>
      </c>
      <c r="P37" s="56" t="str">
        <f aca="false">IF("RD"=Horo82109[[#This Row],[Tâche]],Horo82109[[#This Row],[Durée]],"")</f>
        <v/>
      </c>
      <c r="Q37" s="56" t="str">
        <f aca="false">IF("FG"=Horo82109[[#This Row],[Tâche]],Horo82109[[#This Row],[Durée]],"")</f>
        <v/>
      </c>
      <c r="R37" s="56" t="str">
        <f aca="false">IF("CONGÉ"=Horo82109[[#This Row],[Tâche]],Horo82109[[#This Row],[Durée]],"")</f>
        <v/>
      </c>
      <c r="S37" s="56" t="str">
        <f aca="false">IF("PS"=Horo82109[[#This Row],[Tâche]],Horo82109[[#This Row],[Durée]],"")</f>
        <v/>
      </c>
      <c r="T37" s="56" t="str">
        <f aca="false">IF("TD"=Horo82109[[#This Row],[Tâche]],Horo82109[[#This Row],[Durée]],"")</f>
        <v/>
      </c>
      <c r="U37" s="56" t="str">
        <f aca="false">IF("N/C"=Horo82109[[#This Row],[Tâche]],Horo82109[[#This Row],[Durée]],"")</f>
        <v/>
      </c>
      <c r="V37" s="58"/>
      <c r="W37" s="59" t="str">
        <f aca="false">IF(Horo82109[[#This Row],[O]]="o",Horo82109[[#This Row],[Durée]],".")</f>
        <v>.</v>
      </c>
      <c r="X37" s="64" t="str">
        <f aca="false">IF(Horo82109[[#This Row],[Début]]=0,"",Horo82109[[#This Row],[Fin]]-Horo82109[[#This Row],[Début]])</f>
        <v/>
      </c>
    </row>
    <row r="43" s="3" customFormat="true" ht="15" hidden="false" customHeight="false" outlineLevel="0" collapsed="false">
      <c r="L43" s="65"/>
    </row>
    <row r="44" customFormat="false" ht="15" hidden="false" customHeight="false" outlineLevel="0" collapsed="false">
      <c r="A44" s="66" t="s">
        <v>18</v>
      </c>
      <c r="B44" s="66" t="s">
        <v>57</v>
      </c>
      <c r="C44" s="66" t="s">
        <v>58</v>
      </c>
    </row>
    <row r="45" customFormat="false" ht="15" hidden="false" customHeight="false" outlineLevel="0" collapsed="false">
      <c r="A45" s="67" t="n">
        <f aca="false">IF((SUMIF(Horo82109[Client],B45,Horo82109[Durée]) / Total)=0,"",(SUMIF(Horo82109[Client],B45,Horo82109[Durée]) / Total))</f>
        <v>0.272727272727273</v>
      </c>
      <c r="B45" s="68" t="s">
        <v>32</v>
      </c>
      <c r="C45" s="69" t="n">
        <f aca="false">IF(SUMIF(Horo82109[Client],B45,Horo82109[Durée])=0,"",SUMIF(Horo82109[Client],B45,Horo82109[Durée]))</f>
        <v>10.5</v>
      </c>
    </row>
    <row r="46" customFormat="false" ht="15" hidden="false" customHeight="false" outlineLevel="0" collapsed="false">
      <c r="A46" s="67" t="n">
        <f aca="false">IF((SUMIF(Horo82109[Client],B46,Horo82109[Durée]) / Total)=0,"",(SUMIF(Horo82109[Client],B46,Horo82109[Durée]) / Total))</f>
        <v>0.0584415584415584</v>
      </c>
      <c r="B46" s="68" t="s">
        <v>59</v>
      </c>
      <c r="C46" s="69" t="n">
        <f aca="false">IF(SUMIF(Horo82109[Client],B46,Horo82109[Durée])=0,"",SUMIF(Horo82109[Client],B46,Horo82109[Durée]))</f>
        <v>2.25</v>
      </c>
      <c r="I46" s="61"/>
    </row>
    <row r="47" customFormat="false" ht="15" hidden="false" customHeight="false" outlineLevel="0" collapsed="false">
      <c r="A47" s="67" t="str">
        <f aca="false">IF((SUMIF(Horo82109[Client],B47,Horo82109[Durée]) / Total)=0,"",(SUMIF(Horo82109[Client],B47,Horo82109[Durée]) / Total))</f>
        <v/>
      </c>
      <c r="B47" s="68" t="s">
        <v>60</v>
      </c>
      <c r="C47" s="70" t="str">
        <f aca="false">IF(SUMIF(Horo82109[Client],B47,Horo82109[Durée])=0,"",SUMIF(Horo82109[Client],B47,Horo82109[Durée]))</f>
        <v/>
      </c>
    </row>
    <row r="48" customFormat="false" ht="15" hidden="false" customHeight="false" outlineLevel="0" collapsed="false">
      <c r="A48" s="67" t="str">
        <f aca="false">IF((SUMIF(Horo82109[Client],B48,Horo82109[Durée]) / Total)=0,"",(SUMIF(Horo82109[Client],B48,Horo82109[Durée]) / Total))</f>
        <v/>
      </c>
      <c r="B48" s="68" t="s">
        <v>61</v>
      </c>
      <c r="C48" s="70" t="str">
        <f aca="false">IF(SUMIF(Horo82109[Client],B48,Horo82109[Durée])=0,"",SUMIF(Horo82109[Client],B48,Horo82109[Durée]))</f>
        <v/>
      </c>
      <c r="I48" s="61"/>
    </row>
    <row r="49" customFormat="false" ht="15" hidden="false" customHeight="false" outlineLevel="0" collapsed="false">
      <c r="A49" s="67" t="str">
        <f aca="false">IF((SUMIF(Horo82109[Client],B49,Horo82109[Durée]) / Total)=0,"",(SUMIF(Horo82109[Client],B49,Horo82109[Durée]) / Total))</f>
        <v/>
      </c>
      <c r="B49" s="68" t="s">
        <v>62</v>
      </c>
      <c r="C49" s="70" t="str">
        <f aca="false">IF(SUMIF(Horo82109[Client],B49,Horo82109[Durée])=0,"",SUMIF(Horo82109[Client],B49,Horo82109[Durée]))</f>
        <v/>
      </c>
    </row>
    <row r="50" customFormat="false" ht="15" hidden="false" customHeight="false" outlineLevel="0" collapsed="false">
      <c r="A50" s="67" t="n">
        <f aca="false">IF((SUMIF(Horo82109[Client],B50,Horo82109[Durée]) / Total)=0,"",(SUMIF(Horo82109[Client],B50,Horo82109[Durée]) / Total))</f>
        <v>0.051948051948052</v>
      </c>
      <c r="B50" s="68" t="s">
        <v>63</v>
      </c>
      <c r="C50" s="69" t="n">
        <f aca="false">IF(SUMIF(Horo82109[Client],B50,Horo82109[Durée])=0,"",SUMIF(Horo82109[Client],B50,Horo82109[Durée]))</f>
        <v>2</v>
      </c>
    </row>
    <row r="51" customFormat="false" ht="15" hidden="false" customHeight="false" outlineLevel="0" collapsed="false">
      <c r="A51" s="67" t="str">
        <f aca="false">IF((SUMIF(Horo82109[Client],B51,Horo82109[Durée]) / Total)=0,"",(SUMIF(Horo82109[Client],B51,Horo82109[Durée]) / Total))</f>
        <v/>
      </c>
      <c r="B51" s="68" t="s">
        <v>64</v>
      </c>
      <c r="C51" s="70" t="str">
        <f aca="false">IF(SUMIF(Horo82109[Client],B51,Horo82109[Durée])=0,"",SUMIF(Horo82109[Client],B51,Horo82109[Durée]))</f>
        <v/>
      </c>
    </row>
    <row r="52" customFormat="false" ht="15" hidden="false" customHeight="false" outlineLevel="0" collapsed="false">
      <c r="A52" s="67" t="str">
        <f aca="false">IF((SUMIF(Horo82109[Client],B52,Horo82109[Durée]) / Total)=0,"",(SUMIF(Horo82109[Client],B52,Horo82109[Durée]) / Total))</f>
        <v/>
      </c>
      <c r="B52" s="68" t="s">
        <v>65</v>
      </c>
      <c r="C52" s="70" t="str">
        <f aca="false">IF(SUMIF(Horo82109[Client],B52,Horo82109[Durée])=0,"",SUMIF(Horo82109[Client],B52,Horo82109[Durée]))</f>
        <v/>
      </c>
      <c r="F52" s="71"/>
    </row>
    <row r="53" customFormat="false" ht="15" hidden="false" customHeight="false" outlineLevel="0" collapsed="false">
      <c r="A53" s="67" t="str">
        <f aca="false">IF((SUMIF(Horo82109[Client],B53,Horo82109[Durée]) / Total)=0,"",(SUMIF(Horo82109[Client],B53,Horo82109[Durée]) / Total))</f>
        <v/>
      </c>
      <c r="B53" s="68" t="s">
        <v>66</v>
      </c>
      <c r="C53" s="69" t="str">
        <f aca="false">IF(SUMIF(Horo82109[Client],B53,Horo82109[Durée])=0,"",SUMIF(Horo82109[Client],B53,Horo82109[Durée]))</f>
        <v/>
      </c>
    </row>
    <row r="54" customFormat="false" ht="15" hidden="false" customHeight="false" outlineLevel="0" collapsed="false">
      <c r="A54" s="67" t="n">
        <f aca="false">IF((SUMIF(Horo82109[Client],B54,Horo82109[Durée]) / Total)=0,"",(SUMIF(Horo82109[Client],B54,Horo82109[Durée]) / Total))</f>
        <v>0.0584415584415584</v>
      </c>
      <c r="B54" s="68" t="s">
        <v>47</v>
      </c>
      <c r="C54" s="70" t="n">
        <f aca="false">IF(SUMIF(Horo82109[Client],B54,Horo82109[Durée])=0,"",SUMIF(Horo82109[Client],B54,Horo82109[Durée]))</f>
        <v>2.25</v>
      </c>
    </row>
    <row r="55" customFormat="false" ht="15" hidden="false" customHeight="false" outlineLevel="0" collapsed="false">
      <c r="A55" s="67" t="str">
        <f aca="false">IF((SUMIF(Horo82109[Client],B55,Horo82109[Durée]) / Total)=0,"",(SUMIF(Horo82109[Client],B55,Horo82109[Durée]) / Total))</f>
        <v/>
      </c>
      <c r="B55" s="68" t="s">
        <v>67</v>
      </c>
      <c r="C55" s="70" t="str">
        <f aca="false">IF(SUMIF(Horo82109[Client],B55,Horo82109[Durée])=0,"",SUMIF(Horo82109[Client],B55,Horo82109[Durée]))</f>
        <v/>
      </c>
    </row>
    <row r="56" customFormat="false" ht="15" hidden="false" customHeight="false" outlineLevel="0" collapsed="false">
      <c r="A56" s="67" t="str">
        <f aca="false">IF((SUMIF(Horo82109[Client],B56,Horo82109[Durée]) / Total)=0,"",(SUMIF(Horo82109[Client],B56,Horo82109[Durée]) / Total))</f>
        <v/>
      </c>
      <c r="B56" s="68" t="s">
        <v>68</v>
      </c>
      <c r="C56" s="70" t="str">
        <f aca="false">IF(SUMIF(Horo82109[Client],B56,Horo82109[Durée])=0,"",SUMIF(Horo82109[Client],B56,Horo82109[Durée]))</f>
        <v/>
      </c>
    </row>
    <row r="57" customFormat="false" ht="15" hidden="false" customHeight="false" outlineLevel="0" collapsed="false">
      <c r="A57" s="67" t="str">
        <f aca="false">IF((SUMIF(Horo82109[Client],B57,Horo82109[Durée]) / Total)=0,"",(SUMIF(Horo82109[Client],B57,Horo82109[Durée]) / Total))</f>
        <v/>
      </c>
      <c r="B57" s="68" t="s">
        <v>41</v>
      </c>
      <c r="C57" s="70" t="str">
        <f aca="false">IF(SUMIF(Horo82109[Client],B57,Horo82109[Durée])=0,"",SUMIF(Horo82109[Client],B57,Horo82109[Durée]))</f>
        <v/>
      </c>
    </row>
    <row r="58" customFormat="false" ht="15" hidden="false" customHeight="false" outlineLevel="0" collapsed="false">
      <c r="A58" s="67" t="n">
        <f aca="false">IF((SUMIF(Horo82109[Client],B58,Horo82109[Durée]) / Total)=0,"",(SUMIF(Horo82109[Client],B58,Horo82109[Durée]) / Total))</f>
        <v>0.012987012987013</v>
      </c>
      <c r="B58" s="68" t="s">
        <v>37</v>
      </c>
      <c r="C58" s="69" t="n">
        <f aca="false">IF(SUMIF(Horo82109[Client],B58,Horo82109[Durée])=0,"",SUMIF(Horo82109[Client],B58,Horo82109[Durée]))</f>
        <v>0.500000000000001</v>
      </c>
    </row>
    <row r="59" customFormat="false" ht="15" hidden="false" customHeight="false" outlineLevel="0" collapsed="false">
      <c r="A59" s="67" t="str">
        <f aca="false">IF((SUMIF(Horo82109[Client],B59,Horo82109[Durée]) / Total)=0,"",(SUMIF(Horo82109[Client],B59,Horo82109[Durée]) / Total))</f>
        <v/>
      </c>
      <c r="B59" s="68" t="s">
        <v>69</v>
      </c>
      <c r="C59" s="69" t="str">
        <f aca="false">IF(SUMIF(Horo82109[Client],B59,Horo82109[Durée])=0,"",SUMIF(Horo82109[Client],B59,Horo82109[Durée]))</f>
        <v/>
      </c>
    </row>
    <row r="60" customFormat="false" ht="15" hidden="false" customHeight="false" outlineLevel="0" collapsed="false">
      <c r="A60" s="67" t="str">
        <f aca="false">IF((SUMIF(Horo82109[Client],B60,Horo82109[Durée]) / Total)=0,"",(SUMIF(Horo82109[Client],B60,Horo82109[Durée]) / Total))</f>
        <v/>
      </c>
      <c r="B60" s="68" t="s">
        <v>70</v>
      </c>
      <c r="C60" s="70" t="str">
        <f aca="false">IF(SUMIF(Horo82109[Client],B60,Horo82109[Durée])=0,"",SUMIF(Horo82109[Client],B60,Horo82109[Durée]))</f>
        <v/>
      </c>
    </row>
    <row r="61" customFormat="false" ht="15" hidden="false" customHeight="false" outlineLevel="1" collapsed="false">
      <c r="A61" s="67" t="str">
        <f aca="false">IF((SUMIF(Horo82109[Client],B61,Horo82109[Durée]) / Total)=0,"",(SUMIF(Horo82109[Client],B61,Horo82109[Durée]) / Total))</f>
        <v/>
      </c>
      <c r="B61" s="68" t="s">
        <v>71</v>
      </c>
      <c r="C61" s="70" t="str">
        <f aca="false">IF(SUMIF(Horo82109[Client],B61,Horo82109[Durée])=0,"",SUMIF(Horo82109[Client],B61,Horo82109[Durée]))</f>
        <v/>
      </c>
    </row>
    <row r="62" customFormat="false" ht="15" hidden="false" customHeight="false" outlineLevel="1" collapsed="false">
      <c r="A62" s="67" t="str">
        <f aca="false">IF((SUMIF(Horo82109[Client],B62,Horo82109[Durée]) / Total)=0,"",(SUMIF(Horo82109[Client],B62,Horo82109[Durée]) / Total))</f>
        <v/>
      </c>
      <c r="B62" s="68" t="s">
        <v>72</v>
      </c>
      <c r="C62" s="70" t="str">
        <f aca="false">IF(SUMIF(Horo82109[Client],B62,Horo82109[Durée])=0,"",SUMIF(Horo82109[Client],B62,Horo82109[Durée]))</f>
        <v/>
      </c>
    </row>
    <row r="63" customFormat="false" ht="15" hidden="false" customHeight="false" outlineLevel="1" collapsed="false">
      <c r="A63" s="67" t="str">
        <f aca="false">IF((SUMIF(Horo82109[Client],B63,Horo82109[Durée]) / Total)=0,"",(SUMIF(Horo82109[Client],B63,Horo82109[Durée]) / Total))</f>
        <v/>
      </c>
      <c r="B63" s="68" t="s">
        <v>73</v>
      </c>
      <c r="C63" s="70" t="str">
        <f aca="false">IF(SUMIF(Horo82109[Client],B63,Horo82109[Durée])=0,"",SUMIF(Horo82109[Client],B63,Horo82109[Durée]))</f>
        <v/>
      </c>
    </row>
    <row r="64" customFormat="false" ht="15" hidden="false" customHeight="false" outlineLevel="1" collapsed="false">
      <c r="A64" s="67" t="str">
        <f aca="false">IF((SUMIF(Horo82109[Client],B64,Horo82109[Durée]) / Total)=0,"",(SUMIF(Horo82109[Client],B64,Horo82109[Durée]) / Total))</f>
        <v/>
      </c>
      <c r="B64" s="68" t="s">
        <v>74</v>
      </c>
      <c r="C64" s="70" t="str">
        <f aca="false">IF(SUMIF(Horo82109[Client],B64,Horo82109[Durée])=0,"",SUMIF(Horo82109[Client],B64,Horo82109[Durée]))</f>
        <v/>
      </c>
    </row>
    <row r="65" customFormat="false" ht="15" hidden="false" customHeight="false" outlineLevel="1" collapsed="false">
      <c r="A65" s="67" t="n">
        <f aca="false">IF((SUMIF(Horo82109[Client],B65,Horo82109[Durée]) / Total)=0,"",(SUMIF(Horo82109[Client],B65,Horo82109[Durée]) / Total))</f>
        <v>0.123376623376623</v>
      </c>
      <c r="B65" s="68" t="s">
        <v>75</v>
      </c>
      <c r="C65" s="69" t="n">
        <f aca="false">IF(SUMIF(Horo82109[Client],B65,Horo82109[Durée])=0,"",SUMIF(Horo82109[Client],B65,Horo82109[Durée]))</f>
        <v>4.75</v>
      </c>
    </row>
    <row r="66" customFormat="false" ht="15" hidden="false" customHeight="false" outlineLevel="1" collapsed="false">
      <c r="A66" s="67" t="str">
        <f aca="false">IF((SUMIF(Horo82109[Client],B66,Horo82109[Durée]) / Total)=0,"",(SUMIF(Horo82109[Client],B66,Horo82109[Durée]) / Total))</f>
        <v/>
      </c>
      <c r="B66" s="68" t="s">
        <v>76</v>
      </c>
      <c r="C66" s="70" t="str">
        <f aca="false">IF(SUMIF(Horo82109[Client],B66,Horo82109[Durée])=0,"",SUMIF(Horo82109[Client],B66,Horo82109[Durée]))</f>
        <v/>
      </c>
    </row>
    <row r="67" customFormat="false" ht="15" hidden="false" customHeight="false" outlineLevel="1" collapsed="false">
      <c r="A67" s="67" t="str">
        <f aca="false">IF((SUMIF(Horo82109[Client],B67,Horo82109[Durée]) / Total)=0,"",(SUMIF(Horo82109[Client],B67,Horo82109[Durée]) / Total))</f>
        <v/>
      </c>
      <c r="B67" s="68" t="s">
        <v>77</v>
      </c>
      <c r="C67" s="70" t="str">
        <f aca="false">IF(SUMIF(Horo82109[Client],B67,Horo82109[Durée])=0,"",SUMIF(Horo82109[Client],B67,Horo82109[Durée]))</f>
        <v/>
      </c>
    </row>
    <row r="68" customFormat="false" ht="15" hidden="false" customHeight="false" outlineLevel="1" collapsed="false">
      <c r="A68" s="67" t="str">
        <f aca="false">IF((SUMIF(Horo82109[Client],B68,Horo82109[Durée]) / Total)=0,"",(SUMIF(Horo82109[Client],B68,Horo82109[Durée]) / Total))</f>
        <v/>
      </c>
      <c r="B68" s="68" t="s">
        <v>45</v>
      </c>
      <c r="C68" s="70" t="str">
        <f aca="false">IF(SUMIF(Horo82109[Client],B68,Horo82109[Durée])=0,"",SUMIF(Horo82109[Client],B68,Horo82109[Durée]))</f>
        <v/>
      </c>
    </row>
    <row r="69" customFormat="false" ht="15" hidden="false" customHeight="false" outlineLevel="1" collapsed="false">
      <c r="A69" s="67" t="str">
        <f aca="false">IF((SUMIF(Horo82109[Client],B69,Horo82109[Durée]) / Total)=0,"",(SUMIF(Horo82109[Client],B69,Horo82109[Durée]) / Total))</f>
        <v/>
      </c>
      <c r="B69" s="68" t="s">
        <v>78</v>
      </c>
      <c r="C69" s="70" t="str">
        <f aca="false">IF(SUMIF(Horo82109[Client],B69,Horo82109[Durée])=0,"",SUMIF(Horo82109[Client],B69,Horo82109[Durée]))</f>
        <v/>
      </c>
    </row>
    <row r="70" customFormat="false" ht="15" hidden="false" customHeight="false" outlineLevel="1" collapsed="false">
      <c r="A70" s="67" t="str">
        <f aca="false">IF((SUMIF(Horo82109[Client],B70,Horo82109[Durée]) / Total)=0,"",(SUMIF(Horo82109[Client],B70,Horo82109[Durée]) / Total))</f>
        <v/>
      </c>
      <c r="B70" s="68" t="s">
        <v>79</v>
      </c>
      <c r="C70" s="70" t="str">
        <f aca="false">IF(SUMIF(Horo82109[Client],B70,Horo82109[Durée])=0,"",SUMIF(Horo82109[Client],B70,Horo82109[Durée]))</f>
        <v/>
      </c>
    </row>
    <row r="71" customFormat="false" ht="15" hidden="false" customHeight="false" outlineLevel="1" collapsed="false">
      <c r="A71" s="67" t="str">
        <f aca="false">IF((SUMIF(Horo82109[Client],B71,Horo82109[Durée]) / Total)=0,"",(SUMIF(Horo82109[Client],B71,Horo82109[Durée]) / Total))</f>
        <v/>
      </c>
      <c r="B71" s="68" t="s">
        <v>80</v>
      </c>
      <c r="C71" s="70" t="str">
        <f aca="false">IF(SUMIF(Horo82109[Client],B71,Horo82109[Durée])=0,"",SUMIF(Horo82109[Client],B71,Horo82109[Durée]))</f>
        <v/>
      </c>
    </row>
    <row r="72" customFormat="false" ht="15" hidden="false" customHeight="false" outlineLevel="1" collapsed="false">
      <c r="A72" s="67" t="str">
        <f aca="false">IF((SUMIF(Horo82109[Client],B72,Horo82109[Durée]) / Total)=0,"",(SUMIF(Horo82109[Client],B72,Horo82109[Durée]) / Total))</f>
        <v/>
      </c>
      <c r="B72" s="72" t="s">
        <v>81</v>
      </c>
      <c r="C72" s="69" t="str">
        <f aca="false">IF(SUMIF(Horo82109[Client],B72,Horo82109[Durée])=0,"",SUMIF(Horo82109[Client],B72,Horo82109[Durée]))</f>
        <v/>
      </c>
    </row>
    <row r="73" customFormat="false" ht="15" hidden="true" customHeight="false" outlineLevel="1" collapsed="false"/>
    <row r="74" customFormat="false" ht="15" hidden="true" customHeight="false" outlineLevel="1" collapsed="false"/>
    <row r="75" customFormat="false" ht="15" hidden="true" customHeight="false" outlineLevel="1" collapsed="false"/>
    <row r="76" customFormat="false" ht="15" hidden="true" customHeight="false" outlineLevel="1" collapsed="false"/>
    <row r="77" customFormat="false" ht="15" hidden="true" customHeight="false" outlineLevel="1" collapsed="false"/>
    <row r="78" customFormat="false" ht="15" hidden="true" customHeight="false" outlineLevel="1" collapsed="false"/>
    <row r="79" customFormat="false" ht="15" hidden="true" customHeight="false" outlineLevel="1" collapsed="false"/>
    <row r="80" customFormat="false" ht="15" hidden="true" customHeight="false" outlineLevel="1" collapsed="false"/>
    <row r="81" customFormat="false" ht="15" hidden="true" customHeight="false" outlineLevel="1" collapsed="false"/>
  </sheetData>
  <conditionalFormatting sqref="I37">
    <cfRule type="expression" priority="2" aboveAverage="0" equalAverage="0" bottom="0" percent="0" rank="0" text="" dxfId="164">
      <formula>A37="O"</formula>
    </cfRule>
  </conditionalFormatting>
  <conditionalFormatting sqref="I46">
    <cfRule type="expression" priority="3" aboveAverage="0" equalAverage="0" bottom="0" percent="0" rank="0" text="" dxfId="165">
      <formula>A46="O"</formula>
    </cfRule>
  </conditionalFormatting>
  <conditionalFormatting sqref="I48">
    <cfRule type="expression" priority="4" aboveAverage="0" equalAverage="0" bottom="0" percent="0" rank="0" text="" dxfId="166">
      <formula>A48="O"</formula>
    </cfRule>
  </conditionalFormatting>
  <conditionalFormatting sqref="H4:H37">
    <cfRule type="expression" priority="5" aboveAverage="0" equalAverage="0" bottom="0" percent="0" rank="0" text="" dxfId="167">
      <formula>A4="O"</formula>
    </cfRule>
  </conditionalFormatting>
  <conditionalFormatting sqref="K4:K37">
    <cfRule type="expression" priority="6" aboveAverage="0" equalAverage="0" bottom="0" percent="0" rank="0" text="" dxfId="168">
      <formula>A4="O"</formula>
    </cfRule>
    <cfRule type="expression" priority="7" aboveAverage="0" equalAverage="0" bottom="0" percent="0" rank="0" text="" dxfId="169">
      <formula>A4="O"</formula>
    </cfRule>
  </conditionalFormatting>
  <conditionalFormatting sqref="C4:C37">
    <cfRule type="expression" priority="8" aboveAverage="0" equalAverage="0" bottom="0" percent="0" rank="0" text="" dxfId="170">
      <formula>A4="O"</formula>
    </cfRule>
    <cfRule type="containsText" priority="9" operator="containsText" aboveAverage="0" equalAverage="0" bottom="0" percent="0" rank="0" text="Dimanche" dxfId="171">
      <formula>NOT(ISERROR(SEARCH("Dimanche",C4)))</formula>
    </cfRule>
    <cfRule type="containsText" priority="10" operator="containsText" aboveAverage="0" equalAverage="0" bottom="0" percent="0" rank="0" text="Samedi" dxfId="172">
      <formula>NOT(ISERROR(SEARCH("Samedi",C4)))</formula>
    </cfRule>
    <cfRule type="containsText" priority="11" operator="containsText" aboveAverage="0" equalAverage="0" bottom="0" percent="0" rank="0" text="Vendredi" dxfId="173">
      <formula>NOT(ISERROR(SEARCH("Vendredi",C4)))</formula>
    </cfRule>
    <cfRule type="containsText" priority="12" operator="containsText" aboveAverage="0" equalAverage="0" bottom="0" percent="0" rank="0" text="Jeudi" dxfId="174">
      <formula>NOT(ISERROR(SEARCH("Jeudi",C4)))</formula>
    </cfRule>
    <cfRule type="containsText" priority="13" operator="containsText" aboveAverage="0" equalAverage="0" bottom="0" percent="0" rank="0" text="Mercredi" dxfId="175">
      <formula>NOT(ISERROR(SEARCH("Mercredi",C4)))</formula>
    </cfRule>
    <cfRule type="containsText" priority="14" operator="containsText" aboveAverage="0" equalAverage="0" bottom="0" percent="0" rank="0" text="Mardi" dxfId="176">
      <formula>NOT(ISERROR(SEARCH("Mardi",C4)))</formula>
    </cfRule>
    <cfRule type="containsText" priority="15" operator="containsText" aboveAverage="0" equalAverage="0" bottom="0" percent="0" rank="0" text="Lundi" dxfId="177">
      <formula>NOT(ISERROR(SEARCH("Lundi",C4)))</formula>
    </cfRule>
  </conditionalFormatting>
  <conditionalFormatting sqref="G4:G37">
    <cfRule type="expression" priority="16" aboveAverage="0" equalAverage="0" bottom="0" percent="0" rank="0" text="" dxfId="178">
      <formula>A4="O"</formula>
    </cfRule>
  </conditionalFormatting>
  <conditionalFormatting sqref="J4:J37">
    <cfRule type="expression" priority="17" aboveAverage="0" equalAverage="0" bottom="0" percent="0" rank="0" text="" dxfId="179">
      <formula>A4="O"</formula>
    </cfRule>
  </conditionalFormatting>
  <conditionalFormatting sqref="F4:F37">
    <cfRule type="expression" priority="18" aboveAverage="0" equalAverage="0" bottom="0" percent="0" rank="0" text="" dxfId="180">
      <formula>A4="O"</formula>
    </cfRule>
  </conditionalFormatting>
  <conditionalFormatting sqref="B4:B37">
    <cfRule type="cellIs" priority="19" operator="equal" aboveAverage="0" equalAverage="0" bottom="0" percent="0" rank="0" text="" dxfId="181">
      <formula>0</formula>
    </cfRule>
    <cfRule type="expression" priority="20" aboveAverage="0" equalAverage="0" bottom="0" percent="0" rank="0" text="" dxfId="182">
      <formula>A4="O"</formula>
    </cfRule>
    <cfRule type="colorScale" priority="21">
      <colorScale>
        <cfvo type="percentile" val="10"/>
        <cfvo type="percentile" val="50"/>
        <cfvo type="percentile" val="90"/>
        <color rgb="FFFFC000"/>
        <color rgb="FFC55A11"/>
        <color rgb="FF2E75B6"/>
      </colorScale>
    </cfRule>
  </conditionalFormatting>
  <conditionalFormatting sqref="D4:D37">
    <cfRule type="expression" priority="22" aboveAverage="0" equalAverage="0" bottom="0" percent="0" rank="0" text="" dxfId="183">
      <formula>A4="O"</formula>
    </cfRule>
    <cfRule type="colorScale" priority="23">
      <colorScale>
        <cfvo type="min" val="0"/>
        <cfvo type="percentile" val="50"/>
        <cfvo type="max" val="0"/>
        <color rgb="FFFFC000"/>
        <color rgb="FFC55A11"/>
        <color rgb="FF2E75B6"/>
      </colorScale>
    </cfRule>
  </conditionalFormatting>
  <conditionalFormatting sqref="E4:E37">
    <cfRule type="expression" priority="24" aboveAverage="0" equalAverage="0" bottom="0" percent="0" rank="0" text="" dxfId="184">
      <formula>A4="O"</formula>
    </cfRule>
    <cfRule type="colorScale" priority="25">
      <colorScale>
        <cfvo type="min" val="0"/>
        <cfvo type="percentile" val="50"/>
        <cfvo type="max" val="0"/>
        <color rgb="FFFFC000"/>
        <color rgb="FFC55A11"/>
        <color rgb="FF2E75B6"/>
      </colorScale>
    </cfRule>
  </conditionalFormatting>
  <dataValidations count="5">
    <dataValidation allowBlank="true" errorStyle="stop" operator="between" showDropDown="false" showErrorMessage="true" showInputMessage="true" sqref="C4:C37" type="list">
      <formula1>Data!$C$2:$C$8</formula1>
      <formula2>0</formula2>
    </dataValidation>
    <dataValidation allowBlank="false" errorStyle="stop" operator="between" showDropDown="false" showErrorMessage="true" showInputMessage="true" sqref="F4:F37" type="list">
      <formula1>Data!$E$2:$E$30</formula1>
      <formula2>0</formula2>
    </dataValidation>
    <dataValidation allowBlank="true" errorStyle="information" errorTitle="OK ?" operator="between" showDropDown="false" showErrorMessage="true" showInputMessage="true" sqref="G4:G37" type="list">
      <formula1>Data!$D$2:$D$16</formula1>
      <formula2>0</formula2>
    </dataValidation>
    <dataValidation allowBlank="false" errorStyle="stop" operator="between" showDropDown="false" showErrorMessage="true" showInputMessage="true" sqref="H4:H37" type="list">
      <formula1>Data!$F$2:$F$50</formula1>
      <formula2>0</formula2>
    </dataValidation>
    <dataValidation allowBlank="true" errorStyle="stop" operator="between" showDropDown="false" showErrorMessage="true" showInputMessage="true" sqref="C1" type="list">
      <formula1>Data!$A$2:$A$106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  <tableParts>
    <tablePart r:id="rId2"/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E7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I13" activeCellId="0" sqref="I13"/>
    </sheetView>
  </sheetViews>
  <sheetFormatPr defaultColWidth="9.1484375" defaultRowHeight="15" zeroHeight="false" outlineLevelRow="1" outlineLevelCol="0"/>
  <cols>
    <col collapsed="false" customWidth="true" hidden="false" outlineLevel="0" max="1" min="1" style="1" width="5.57"/>
    <col collapsed="false" customWidth="true" hidden="false" outlineLevel="0" max="2" min="2" style="1" width="19.42"/>
    <col collapsed="false" customWidth="true" hidden="false" outlineLevel="0" max="3" min="3" style="1" width="18.29"/>
    <col collapsed="false" customWidth="true" hidden="false" outlineLevel="0" max="4" min="4" style="1" width="13.42"/>
    <col collapsed="false" customWidth="true" hidden="false" outlineLevel="0" max="5" min="5" style="1" width="10.57"/>
    <col collapsed="false" customWidth="true" hidden="false" outlineLevel="0" max="6" min="6" style="1" width="19"/>
    <col collapsed="false" customWidth="true" hidden="false" outlineLevel="0" max="7" min="7" style="1" width="11.43"/>
    <col collapsed="false" customWidth="true" hidden="false" outlineLevel="0" max="8" min="8" style="1" width="14.57"/>
    <col collapsed="false" customWidth="true" hidden="false" outlineLevel="0" max="9" min="9" style="1" width="19.29"/>
    <col collapsed="false" customWidth="true" hidden="false" outlineLevel="0" max="10" min="10" style="1" width="9.71"/>
    <col collapsed="false" customWidth="true" hidden="false" outlineLevel="0" max="11" min="11" style="1" width="7.29"/>
    <col collapsed="false" customWidth="true" hidden="false" outlineLevel="0" max="12" min="12" style="2" width="9.86"/>
    <col collapsed="false" customWidth="true" hidden="false" outlineLevel="0" max="13" min="13" style="1" width="6.14"/>
    <col collapsed="false" customWidth="true" hidden="false" outlineLevel="0" max="14" min="14" style="1" width="5"/>
    <col collapsed="false" customWidth="true" hidden="false" outlineLevel="0" max="15" min="15" style="1" width="5.57"/>
    <col collapsed="false" customWidth="true" hidden="false" outlineLevel="0" max="17" min="16" style="1" width="6.14"/>
    <col collapsed="false" customWidth="true" hidden="false" outlineLevel="0" max="18" min="18" style="1" width="8.29"/>
    <col collapsed="false" customWidth="true" hidden="false" outlineLevel="0" max="20" min="19" style="1" width="5"/>
    <col collapsed="false" customWidth="true" hidden="false" outlineLevel="0" max="21" min="21" style="1" width="6.14"/>
    <col collapsed="false" customWidth="true" hidden="true" outlineLevel="0" max="23" min="22" style="1" width="6.14"/>
    <col collapsed="false" customWidth="true" hidden="true" outlineLevel="0" max="24" min="24" style="1" width="12.71"/>
    <col collapsed="false" customWidth="false" hidden="true" outlineLevel="0" max="29" min="25" style="1" width="9.14"/>
    <col collapsed="false" customWidth="true" hidden="true" outlineLevel="0" max="30" min="30" style="1" width="10.57"/>
    <col collapsed="false" customWidth="true" hidden="true" outlineLevel="0" max="31" min="31" style="1" width="11.14"/>
    <col collapsed="false" customWidth="true" hidden="false" outlineLevel="0" max="32" min="32" style="1" width="9.57"/>
    <col collapsed="false" customWidth="false" hidden="false" outlineLevel="0" max="16384" min="33" style="1" width="9.14"/>
  </cols>
  <sheetData>
    <row r="1" customFormat="false" ht="17.35" hidden="false" customHeight="false" outlineLevel="0" collapsed="false">
      <c r="A1" s="3"/>
      <c r="B1" s="4" t="str">
        <f aca="false">"Semaine du :"</f>
        <v>Semaine du :</v>
      </c>
      <c r="C1" s="5" t="n">
        <v>44438</v>
      </c>
      <c r="D1" s="6" t="str">
        <f aca="false">"( "&amp;AVERAGE($E$2:$I$2)&amp;" )"</f>
        <v>( 8 )</v>
      </c>
      <c r="E1" s="7" t="str">
        <f aca="false">IFERROR("Lun.: " &amp; TEXT($Y$2,"00%"),"Lun.: 0%")</f>
        <v>Lun.: 00%</v>
      </c>
      <c r="F1" s="8" t="str">
        <f aca="false">IFERROR("Mar.: " &amp; TEXT($Z$2,"00%"),"Mar.: 0%")</f>
        <v>Mar.: 06%</v>
      </c>
      <c r="G1" s="8" t="str">
        <f aca="false">IFERROR("Mer.: " &amp; TEXT($AA$2,"00%"),"Mer.: 0%")</f>
        <v>Mer.: 00%</v>
      </c>
      <c r="H1" s="8" t="str">
        <f aca="false">IFERROR("Jeu.: " &amp; TEXT($AB$2,"00%"),"Jeu.: 0%")</f>
        <v>Jeu.: 00%</v>
      </c>
      <c r="I1" s="8" t="str">
        <f aca="false">IFERROR("Ven.: " &amp; TEXT($AC$2,"00%"),"Ven.: 0%")</f>
        <v>Ven.: 14%</v>
      </c>
      <c r="J1" s="9" t="str">
        <f aca="false">IFERROR("S.: " &amp; TEXT($AD$2,"00%"),"S.: 0%")</f>
        <v>S.: 00%</v>
      </c>
      <c r="K1" s="10" t="str">
        <f aca="false">IFERROR("D.: " &amp; TEXT($AE$2,"00%"), "D.: 0%")</f>
        <v>D.: 00%</v>
      </c>
      <c r="L1" s="11"/>
      <c r="M1" s="12" t="n">
        <f aca="false">M2/Total</f>
        <v>0.0454545454545454</v>
      </c>
      <c r="N1" s="12" t="n">
        <f aca="false">N2/$C$2</f>
        <v>0.0125</v>
      </c>
      <c r="O1" s="12" t="n">
        <f aca="false">O2/$C$2</f>
        <v>0.1</v>
      </c>
      <c r="P1" s="12" t="n">
        <f aca="false">P2/$C$2</f>
        <v>0.28125</v>
      </c>
      <c r="Q1" s="12" t="n">
        <f aca="false">Q2/$C$2</f>
        <v>0.3125</v>
      </c>
      <c r="R1" s="13" t="n">
        <f aca="false">R2/$C$2</f>
        <v>0.2</v>
      </c>
      <c r="S1" s="13" t="n">
        <f aca="false">S2/$C$2</f>
        <v>0</v>
      </c>
      <c r="T1" s="13" t="n">
        <f aca="false">T2/$C$2</f>
        <v>0</v>
      </c>
      <c r="U1" s="14" t="n">
        <f aca="false">U2/$C$2</f>
        <v>0.05</v>
      </c>
      <c r="V1" s="15"/>
      <c r="W1" s="16"/>
      <c r="X1" s="17" t="e">
        <f aca="false">SUM(#REF!)</f>
        <v>#REF!</v>
      </c>
      <c r="Y1" s="18" t="s">
        <v>0</v>
      </c>
      <c r="Z1" s="18" t="s">
        <v>1</v>
      </c>
      <c r="AA1" s="18" t="s">
        <v>2</v>
      </c>
      <c r="AB1" s="18" t="s">
        <v>3</v>
      </c>
      <c r="AC1" s="18" t="s">
        <v>4</v>
      </c>
      <c r="AD1" s="18" t="s">
        <v>5</v>
      </c>
      <c r="AE1" s="18" t="s">
        <v>6</v>
      </c>
    </row>
    <row r="2" customFormat="false" ht="22.05" hidden="false" customHeight="false" outlineLevel="0" collapsed="false">
      <c r="A2" s="3"/>
      <c r="B2" s="19" t="n">
        <f aca="false">X2</f>
        <v>0.1171875</v>
      </c>
      <c r="C2" s="20" t="n">
        <f aca="false">SUM(Horo82107[Durée])</f>
        <v>40</v>
      </c>
      <c r="D2" s="21" t="str">
        <f aca="false">ROUND(SUM(Horo82107[T]),2) &amp; " / " &amp; ROUND($C$2-SUM(Horo82107[T]),2)</f>
        <v>40 / 0</v>
      </c>
      <c r="E2" s="22" t="n">
        <f aca="false">SUMIF(Horo82107[Jour],"Lundi",Horo82107[Durée])</f>
        <v>8</v>
      </c>
      <c r="F2" s="23" t="n">
        <f aca="false">SUMIF(Horo82107[Jour],"Mardi",Horo82107[Durée])</f>
        <v>8</v>
      </c>
      <c r="G2" s="23" t="n">
        <f aca="false">SUMIF(Horo82107[Jour],"Mercredi",Horo82107[Durée])</f>
        <v>7.75</v>
      </c>
      <c r="H2" s="23" t="n">
        <f aca="false">SUMIF(Horo82107[Jour],"Jeudi",Horo82107[Durée])</f>
        <v>7.5</v>
      </c>
      <c r="I2" s="23" t="n">
        <f aca="false">SUMIF(Horo82107[Jour],"Vendredi",Horo82107[Durée])</f>
        <v>8.75</v>
      </c>
      <c r="J2" s="23" t="n">
        <f aca="false">SUMIF(Horo82107[Jour],"Samedi",Horo82107[Durée])</f>
        <v>0</v>
      </c>
      <c r="K2" s="23" t="n">
        <f aca="false">SUMIF(Horo82107[Jour],"Dimanche",Horo82107[Durée])</f>
        <v>0</v>
      </c>
      <c r="L2" s="24"/>
      <c r="M2" s="25" t="n">
        <f aca="false">SUM(Horo82107[GPF])</f>
        <v>1.75</v>
      </c>
      <c r="N2" s="25" t="n">
        <f aca="false">SUM(Horo82107[RI])</f>
        <v>0.500000000000001</v>
      </c>
      <c r="O2" s="25" t="n">
        <f aca="false">SUM(Horo82107[GB])</f>
        <v>4</v>
      </c>
      <c r="P2" s="25" t="n">
        <f aca="false">SUM(Horo82107[RD])</f>
        <v>11.25</v>
      </c>
      <c r="Q2" s="25" t="n">
        <f aca="false">SUM(Horo82107[FG])</f>
        <v>12.5</v>
      </c>
      <c r="R2" s="26" t="n">
        <f aca="false">SUM(Horo82107[CONGÉ])</f>
        <v>8</v>
      </c>
      <c r="S2" s="26" t="n">
        <f aca="false">SUM(Horo82107[PS])</f>
        <v>0</v>
      </c>
      <c r="T2" s="26" t="n">
        <f aca="false">SUM(Horo82107[TD])</f>
        <v>0</v>
      </c>
      <c r="U2" s="27" t="n">
        <f aca="false">SUM(Horo82107[N/C])</f>
        <v>2</v>
      </c>
      <c r="V2" s="17" t="n">
        <f aca="false">(C2-(SUM(N2:T2)))</f>
        <v>3.75</v>
      </c>
      <c r="W2" s="17" t="n">
        <f aca="false">C2-(R2+S2+T2)</f>
        <v>32</v>
      </c>
      <c r="X2" s="28" t="n">
        <f aca="false">V2/W2</f>
        <v>0.1171875</v>
      </c>
      <c r="Y2" s="29" t="n">
        <f aca="false">SUMIF(Horo82107[Jour],"Lundi",Horo82107[GPF]) / $E$2</f>
        <v>0</v>
      </c>
      <c r="Z2" s="29" t="n">
        <f aca="false">SUMIF(Horo82107[Jour],"Mardi",Horo82107[GPF]) / $F$2</f>
        <v>0.0624999999999998</v>
      </c>
      <c r="AA2" s="29" t="n">
        <f aca="false">SUMIF(Horo82107[Jour],"Mercredi",Horo82107[GPF]) / $G$2</f>
        <v>0</v>
      </c>
      <c r="AB2" s="29" t="n">
        <f aca="false">SUMIF(Horo82107[Jour],"Jeudi",Horo82107[GPF]) / $H$2</f>
        <v>0</v>
      </c>
      <c r="AC2" s="29" t="n">
        <f aca="false">SUMIF(Horo82107[Jour],"Vendredi",Horo82107[GPF]) / $I$2</f>
        <v>0.142857142857143</v>
      </c>
      <c r="AD2" s="29" t="n">
        <f aca="false">IFERROR(SUMIF(Horo82107[Jour],"Samedi",Horo82107[GPF]) / $J$2,0)</f>
        <v>0</v>
      </c>
      <c r="AE2" s="29" t="n">
        <f aca="false">IFERROR(SUMIF(Horo82107[Jour],"Dimanche",Horo82107[GPF]) / $K$2,0)</f>
        <v>0</v>
      </c>
    </row>
    <row r="3" customFormat="false" ht="15" hidden="false" customHeight="false" outlineLevel="0" collapsed="false">
      <c r="A3" s="30" t="s">
        <v>7</v>
      </c>
      <c r="B3" s="31" t="s">
        <v>8</v>
      </c>
      <c r="C3" s="31" t="s">
        <v>9</v>
      </c>
      <c r="D3" s="32" t="s">
        <v>10</v>
      </c>
      <c r="E3" s="33" t="s">
        <v>11</v>
      </c>
      <c r="F3" s="34" t="s">
        <v>12</v>
      </c>
      <c r="G3" s="34" t="s">
        <v>13</v>
      </c>
      <c r="H3" s="34" t="s">
        <v>14</v>
      </c>
      <c r="I3" s="35" t="s">
        <v>15</v>
      </c>
      <c r="J3" s="36" t="s">
        <v>16</v>
      </c>
      <c r="K3" s="36" t="s">
        <v>17</v>
      </c>
      <c r="L3" s="37" t="s">
        <v>18</v>
      </c>
      <c r="M3" s="38" t="s">
        <v>19</v>
      </c>
      <c r="N3" s="39" t="s">
        <v>20</v>
      </c>
      <c r="O3" s="39" t="s">
        <v>21</v>
      </c>
      <c r="P3" s="39" t="s">
        <v>22</v>
      </c>
      <c r="Q3" s="39" t="s">
        <v>23</v>
      </c>
      <c r="R3" s="40" t="s">
        <v>24</v>
      </c>
      <c r="S3" s="40" t="s">
        <v>25</v>
      </c>
      <c r="T3" s="41" t="s">
        <v>26</v>
      </c>
      <c r="U3" s="41" t="s">
        <v>27</v>
      </c>
      <c r="V3" s="42" t="s">
        <v>28</v>
      </c>
      <c r="W3" s="43" t="s">
        <v>29</v>
      </c>
      <c r="X3" s="44" t="s">
        <v>30</v>
      </c>
    </row>
    <row r="4" customFormat="false" ht="15" hidden="false" customHeight="false" outlineLevel="0" collapsed="false">
      <c r="A4" s="45" t="s">
        <v>31</v>
      </c>
      <c r="B4" s="46" t="n">
        <f aca="false">IF(Horo82107[[#This Row],[Jour]]="Lundi",$C$1+1, IF(Horo82107[[#This Row],[Jour]]="Mardi",$C$1+2, IF(Horo82107[[#This Row],[Jour]]="Mercredi",$C$1+3, IF(Horo82107[[#This Row],[Jour]]="Jeudi",$C$1+4, IF(Horo82107[[#This Row],[Jour]]="Vendredi",$C$1+5, IF(Horo82107[[#This Row],[Jour]]="Samedi",$C$1+6, IF(Horo82107[[#This Row],[Jour]]="Dimanche",$C$1, )))))))</f>
        <v>44439</v>
      </c>
      <c r="C4" s="47" t="s">
        <v>0</v>
      </c>
      <c r="D4" s="48" t="n">
        <v>0.333333333333333</v>
      </c>
      <c r="E4" s="48" t="n">
        <v>0.666666666666667</v>
      </c>
      <c r="F4" s="49" t="s">
        <v>32</v>
      </c>
      <c r="G4" s="49" t="s">
        <v>24</v>
      </c>
      <c r="H4" s="50" t="s">
        <v>33</v>
      </c>
      <c r="I4" s="51" t="s">
        <v>157</v>
      </c>
      <c r="J4" s="52" t="n">
        <f aca="false">IF(Horo82107[[#This Row],[Début]]=0,"",(Horo82107[[#This Row],[Durée (60)2]]-INT(Horo82107[[#This Row],[Durée (60)2]]))*24)</f>
        <v>8</v>
      </c>
      <c r="K4" s="53" t="n">
        <f aca="false">SUMIF(Horo82107[Jour],C4,Horo82107[Durée])</f>
        <v>8</v>
      </c>
      <c r="L4" s="54" t="n">
        <f aca="false">IFERROR(SUMIF(Horo82107[[#This Row],[Jour]],Horo82107[[#This Row],[Jour]],Horo82107[[#This Row],[GPF]]) / Horo82107[[#This Row],[hrs]],"")</f>
        <v>0</v>
      </c>
      <c r="M4" s="55" t="str">
        <f aca="false">IF("GPF"=Horo82107[[#This Row],[Tâche]],Horo82107[[#This Row],[Durée]],"")</f>
        <v/>
      </c>
      <c r="N4" s="56" t="str">
        <f aca="false">IF("RI"=Horo82107[[#This Row],[Tâche]],Horo82107[[#This Row],[Durée]],"")</f>
        <v/>
      </c>
      <c r="O4" s="56" t="str">
        <f aca="false">IF("GB"=Horo82107[[#This Row],[Tâche]],Horo82107[[#This Row],[Durée]],"")</f>
        <v/>
      </c>
      <c r="P4" s="56" t="str">
        <f aca="false">IF("RD"=Horo82107[[#This Row],[Tâche]],Horo82107[[#This Row],[Durée]],"")</f>
        <v/>
      </c>
      <c r="Q4" s="56" t="str">
        <f aca="false">IF("FG"=Horo82107[[#This Row],[Tâche]],Horo82107[[#This Row],[Durée]],"")</f>
        <v/>
      </c>
      <c r="R4" s="56" t="n">
        <f aca="false">IF("CONGÉ"=Horo82107[[#This Row],[Tâche]],Horo82107[[#This Row],[Durée]],"")</f>
        <v>8</v>
      </c>
      <c r="S4" s="57" t="str">
        <f aca="false">IF("PS"=Horo82107[[#This Row],[Tâche]],Horo82107[[#This Row],[Durée]],"")</f>
        <v/>
      </c>
      <c r="T4" s="56" t="str">
        <f aca="false">IF("TD"=Horo82107[[#This Row],[Tâche]],Horo82107[[#This Row],[Durée]],"")</f>
        <v/>
      </c>
      <c r="U4" s="55" t="str">
        <f aca="false">IF("N/C"=Horo82107[[#This Row],[Tâche]],Horo82107[[#This Row],[Durée]],"")</f>
        <v/>
      </c>
      <c r="V4" s="58"/>
      <c r="W4" s="59" t="n">
        <f aca="false">IF(Horo82107[[#This Row],[O]]="o",Horo82107[[#This Row],[Durée]],".")</f>
        <v>8</v>
      </c>
      <c r="X4" s="60" t="n">
        <f aca="false">IF(Horo82107[[#This Row],[Début]]=0,"",Horo82107[[#This Row],[Fin]]-Horo82107[[#This Row],[Début]])</f>
        <v>0.333333333333333</v>
      </c>
    </row>
    <row r="5" customFormat="false" ht="15" hidden="false" customHeight="false" outlineLevel="0" collapsed="false">
      <c r="A5" s="45" t="s">
        <v>31</v>
      </c>
      <c r="B5" s="46" t="n">
        <f aca="false">IF(Horo82107[[#This Row],[Jour]]="Lundi",$C$1+1, IF(Horo82107[[#This Row],[Jour]]="Mardi",$C$1+2, IF(Horo82107[[#This Row],[Jour]]="Mercredi",$C$1+3, IF(Horo82107[[#This Row],[Jour]]="Jeudi",$C$1+4, IF(Horo82107[[#This Row],[Jour]]="Vendredi",$C$1+5, IF(Horo82107[[#This Row],[Jour]]="Samedi",$C$1+6, IF(Horo82107[[#This Row],[Jour]]="Dimanche",$C$1, )))))))</f>
        <v>44440</v>
      </c>
      <c r="C5" s="47" t="s">
        <v>1</v>
      </c>
      <c r="D5" s="48" t="n">
        <v>0.333333333333333</v>
      </c>
      <c r="E5" s="48" t="n">
        <v>0.364583333333333</v>
      </c>
      <c r="F5" s="49" t="s">
        <v>32</v>
      </c>
      <c r="G5" s="49" t="s">
        <v>21</v>
      </c>
      <c r="H5" s="50" t="s">
        <v>94</v>
      </c>
      <c r="I5" s="51" t="s">
        <v>153</v>
      </c>
      <c r="J5" s="52" t="n">
        <f aca="false">IF(Horo82107[[#This Row],[Début]]=0,"",(Horo82107[[#This Row],[Durée (60)2]]-INT(Horo82107[[#This Row],[Durée (60)2]]))*24)</f>
        <v>0.75</v>
      </c>
      <c r="K5" s="62" t="n">
        <f aca="false">SUMIF(Horo82107[Jour],C5,Horo82107[Durée])</f>
        <v>8</v>
      </c>
      <c r="L5" s="54" t="n">
        <f aca="false">IFERROR(SUMIF(Horo82107[[#This Row],[Jour]],Horo82107[[#This Row],[Jour]],Horo82107[[#This Row],[GPF]]) / Horo82107[[#This Row],[hrs]],"")</f>
        <v>0</v>
      </c>
      <c r="M5" s="56" t="str">
        <f aca="false">IF("GPF"=Horo82107[[#This Row],[Tâche]],Horo82107[[#This Row],[Durée]],"")</f>
        <v/>
      </c>
      <c r="N5" s="56" t="str">
        <f aca="false">IF("RI"=Horo82107[[#This Row],[Tâche]],Horo82107[[#This Row],[Durée]],"")</f>
        <v/>
      </c>
      <c r="O5" s="56" t="n">
        <f aca="false">IF("GB"=Horo82107[[#This Row],[Tâche]],Horo82107[[#This Row],[Durée]],"")</f>
        <v>0.75</v>
      </c>
      <c r="P5" s="56" t="str">
        <f aca="false">IF("RD"=Horo82107[[#This Row],[Tâche]],Horo82107[[#This Row],[Durée]],"")</f>
        <v/>
      </c>
      <c r="Q5" s="56" t="str">
        <f aca="false">IF("FG"=Horo82107[[#This Row],[Tâche]],Horo82107[[#This Row],[Durée]],"")</f>
        <v/>
      </c>
      <c r="R5" s="56" t="str">
        <f aca="false">IF("CONGÉ"=Horo82107[[#This Row],[Tâche]],Horo82107[[#This Row],[Durée]],"")</f>
        <v/>
      </c>
      <c r="S5" s="57" t="str">
        <f aca="false">IF("PS"=Horo82107[[#This Row],[Tâche]],Horo82107[[#This Row],[Durée]],"")</f>
        <v/>
      </c>
      <c r="T5" s="56" t="str">
        <f aca="false">IF("TD"=Horo82107[[#This Row],[Tâche]],Horo82107[[#This Row],[Durée]],"")</f>
        <v/>
      </c>
      <c r="U5" s="55" t="str">
        <f aca="false">IF("N/C"=Horo82107[[#This Row],[Tâche]],Horo82107[[#This Row],[Durée]],"")</f>
        <v/>
      </c>
      <c r="V5" s="58"/>
      <c r="W5" s="59" t="n">
        <f aca="false">IF(Horo82107[[#This Row],[O]]="o",Horo82107[[#This Row],[Durée]],".")</f>
        <v>0.75</v>
      </c>
      <c r="X5" s="60" t="n">
        <f aca="false">IF(Horo82107[[#This Row],[Début]]=0,"",Horo82107[[#This Row],[Fin]]-Horo82107[[#This Row],[Début]])</f>
        <v>0.03125</v>
      </c>
    </row>
    <row r="6" customFormat="false" ht="15" hidden="false" customHeight="false" outlineLevel="0" collapsed="false">
      <c r="A6" s="45" t="s">
        <v>31</v>
      </c>
      <c r="B6" s="46" t="n">
        <f aca="false">IF(Horo82107[[#This Row],[Jour]]="Lundi",$C$1+1, IF(Horo82107[[#This Row],[Jour]]="Mardi",$C$1+2, IF(Horo82107[[#This Row],[Jour]]="Mercredi",$C$1+3, IF(Horo82107[[#This Row],[Jour]]="Jeudi",$C$1+4, IF(Horo82107[[#This Row],[Jour]]="Vendredi",$C$1+5, IF(Horo82107[[#This Row],[Jour]]="Samedi",$C$1+6, IF(Horo82107[[#This Row],[Jour]]="Dimanche",$C$1, )))))))</f>
        <v>44440</v>
      </c>
      <c r="C6" s="47" t="s">
        <v>1</v>
      </c>
      <c r="D6" s="48" t="n">
        <v>0.364583333333333</v>
      </c>
      <c r="E6" s="48" t="n">
        <v>0.385416666666667</v>
      </c>
      <c r="F6" s="49" t="s">
        <v>32</v>
      </c>
      <c r="G6" s="49" t="s">
        <v>20</v>
      </c>
      <c r="H6" s="50" t="s">
        <v>121</v>
      </c>
      <c r="I6" s="51"/>
      <c r="J6" s="52" t="n">
        <f aca="false">IF(Horo82107[[#This Row],[Début]]=0,"",(Horo82107[[#This Row],[Durée (60)2]]-INT(Horo82107[[#This Row],[Durée (60)2]]))*24)</f>
        <v>0.500000000000001</v>
      </c>
      <c r="K6" s="62" t="n">
        <f aca="false">SUMIF(Horo82107[Jour],C6,Horo82107[Durée])</f>
        <v>8</v>
      </c>
      <c r="L6" s="54" t="n">
        <f aca="false">IFERROR(SUMIF(Horo82107[[#This Row],[Jour]],Horo82107[[#This Row],[Jour]],Horo82107[[#This Row],[GPF]]) / Horo82107[[#This Row],[hrs]],"")</f>
        <v>0</v>
      </c>
      <c r="M6" s="56" t="str">
        <f aca="false">IF("GPF"=Horo82107[[#This Row],[Tâche]],Horo82107[[#This Row],[Durée]],"")</f>
        <v/>
      </c>
      <c r="N6" s="56" t="n">
        <f aca="false">IF("RI"=Horo82107[[#This Row],[Tâche]],Horo82107[[#This Row],[Durée]],"")</f>
        <v>0.500000000000001</v>
      </c>
      <c r="O6" s="56" t="str">
        <f aca="false">IF("GB"=Horo82107[[#This Row],[Tâche]],Horo82107[[#This Row],[Durée]],"")</f>
        <v/>
      </c>
      <c r="P6" s="63" t="str">
        <f aca="false">IF("RD"=Horo82107[[#This Row],[Tâche]],Horo82107[[#This Row],[Durée]],"")</f>
        <v/>
      </c>
      <c r="Q6" s="56" t="str">
        <f aca="false">IF("FG"=Horo82107[[#This Row],[Tâche]],Horo82107[[#This Row],[Durée]],"")</f>
        <v/>
      </c>
      <c r="R6" s="56" t="str">
        <f aca="false">IF("CONGÉ"=Horo82107[[#This Row],[Tâche]],Horo82107[[#This Row],[Durée]],"")</f>
        <v/>
      </c>
      <c r="S6" s="57" t="str">
        <f aca="false">IF("PS"=Horo82107[[#This Row],[Tâche]],Horo82107[[#This Row],[Durée]],"")</f>
        <v/>
      </c>
      <c r="T6" s="56" t="str">
        <f aca="false">IF("TD"=Horo82107[[#This Row],[Tâche]],Horo82107[[#This Row],[Durée]],"")</f>
        <v/>
      </c>
      <c r="U6" s="55" t="str">
        <f aca="false">IF("N/C"=Horo82107[[#This Row],[Tâche]],Horo82107[[#This Row],[Durée]],"")</f>
        <v/>
      </c>
      <c r="V6" s="58"/>
      <c r="W6" s="59" t="n">
        <f aca="false">IF(Horo82107[[#This Row],[O]]="o",Horo82107[[#This Row],[Durée]],".")</f>
        <v>0.500000000000001</v>
      </c>
      <c r="X6" s="60" t="n">
        <f aca="false">IF(Horo82107[[#This Row],[Début]]=0,"",Horo82107[[#This Row],[Fin]]-Horo82107[[#This Row],[Début]])</f>
        <v>0.0208333333333334</v>
      </c>
    </row>
    <row r="7" customFormat="false" ht="15" hidden="false" customHeight="false" outlineLevel="0" collapsed="false">
      <c r="A7" s="45" t="s">
        <v>31</v>
      </c>
      <c r="B7" s="46" t="n">
        <f aca="false">IF(Horo82107[[#This Row],[Jour]]="Lundi",$C$1+1, IF(Horo82107[[#This Row],[Jour]]="Mardi",$C$1+2, IF(Horo82107[[#This Row],[Jour]]="Mercredi",$C$1+3, IF(Horo82107[[#This Row],[Jour]]="Jeudi",$C$1+4, IF(Horo82107[[#This Row],[Jour]]="Vendredi",$C$1+5, IF(Horo82107[[#This Row],[Jour]]="Samedi",$C$1+6, IF(Horo82107[[#This Row],[Jour]]="Dimanche",$C$1, )))))))</f>
        <v>44440</v>
      </c>
      <c r="C7" s="47" t="s">
        <v>1</v>
      </c>
      <c r="D7" s="48" t="n">
        <v>0.385416666666667</v>
      </c>
      <c r="E7" s="48" t="n">
        <v>0.5</v>
      </c>
      <c r="F7" s="49" t="s">
        <v>32</v>
      </c>
      <c r="G7" s="49" t="s">
        <v>22</v>
      </c>
      <c r="H7" s="50"/>
      <c r="I7" s="61"/>
      <c r="J7" s="52" t="n">
        <f aca="false">IF(Horo82107[[#This Row],[Début]]=0,"",(Horo82107[[#This Row],[Durée (60)2]]-INT(Horo82107[[#This Row],[Durée (60)2]]))*24)</f>
        <v>2.75</v>
      </c>
      <c r="K7" s="62" t="n">
        <f aca="false">SUMIF(Horo82107[Jour],C7,Horo82107[Durée])</f>
        <v>8</v>
      </c>
      <c r="L7" s="54" t="n">
        <f aca="false">IFERROR(SUMIF(Horo82107[[#This Row],[Jour]],Horo82107[[#This Row],[Jour]],Horo82107[[#This Row],[GPF]]) / Horo82107[[#This Row],[hrs]],"")</f>
        <v>0</v>
      </c>
      <c r="M7" s="56" t="str">
        <f aca="false">IF("GPF"=Horo82107[[#This Row],[Tâche]],Horo82107[[#This Row],[Durée]],"")</f>
        <v/>
      </c>
      <c r="N7" s="56" t="str">
        <f aca="false">IF("RI"=Horo82107[[#This Row],[Tâche]],Horo82107[[#This Row],[Durée]],"")</f>
        <v/>
      </c>
      <c r="O7" s="56" t="str">
        <f aca="false">IF("GB"=Horo82107[[#This Row],[Tâche]],Horo82107[[#This Row],[Durée]],"")</f>
        <v/>
      </c>
      <c r="P7" s="56" t="n">
        <f aca="false">IF("RD"=Horo82107[[#This Row],[Tâche]],Horo82107[[#This Row],[Durée]],"")</f>
        <v>2.75</v>
      </c>
      <c r="Q7" s="56" t="str">
        <f aca="false">IF("FG"=Horo82107[[#This Row],[Tâche]],Horo82107[[#This Row],[Durée]],"")</f>
        <v/>
      </c>
      <c r="R7" s="56" t="str">
        <f aca="false">IF("CONGÉ"=Horo82107[[#This Row],[Tâche]],Horo82107[[#This Row],[Durée]],"")</f>
        <v/>
      </c>
      <c r="S7" s="57" t="str">
        <f aca="false">IF("PS"=Horo82107[[#This Row],[Tâche]],Horo82107[[#This Row],[Durée]],"")</f>
        <v/>
      </c>
      <c r="T7" s="56" t="str">
        <f aca="false">IF("TD"=Horo82107[[#This Row],[Tâche]],Horo82107[[#This Row],[Durée]],"")</f>
        <v/>
      </c>
      <c r="U7" s="55" t="str">
        <f aca="false">IF("N/C"=Horo82107[[#This Row],[Tâche]],Horo82107[[#This Row],[Durée]],"")</f>
        <v/>
      </c>
      <c r="V7" s="58"/>
      <c r="W7" s="59" t="n">
        <f aca="false">IF(Horo82107[[#This Row],[O]]="o",Horo82107[[#This Row],[Durée]],".")</f>
        <v>2.75</v>
      </c>
      <c r="X7" s="60" t="n">
        <f aca="false">IF(Horo82107[[#This Row],[Début]]=0,"",Horo82107[[#This Row],[Fin]]-Horo82107[[#This Row],[Début]])</f>
        <v>0.114583333333333</v>
      </c>
    </row>
    <row r="8" customFormat="false" ht="15" hidden="false" customHeight="false" outlineLevel="0" collapsed="false">
      <c r="A8" s="45" t="s">
        <v>31</v>
      </c>
      <c r="B8" s="46" t="n">
        <f aca="false">IF(Horo82107[[#This Row],[Jour]]="Lundi",$C$1+1, IF(Horo82107[[#This Row],[Jour]]="Mardi",$C$1+2, IF(Horo82107[[#This Row],[Jour]]="Mercredi",$C$1+3, IF(Horo82107[[#This Row],[Jour]]="Jeudi",$C$1+4, IF(Horo82107[[#This Row],[Jour]]="Vendredi",$C$1+5, IF(Horo82107[[#This Row],[Jour]]="Samedi",$C$1+6, IF(Horo82107[[#This Row],[Jour]]="Dimanche",$C$1, )))))))</f>
        <v>44440</v>
      </c>
      <c r="C8" s="47" t="s">
        <v>1</v>
      </c>
      <c r="D8" s="48" t="n">
        <v>0.5625</v>
      </c>
      <c r="E8" s="48" t="n">
        <v>0.645833333333333</v>
      </c>
      <c r="F8" s="49" t="s">
        <v>32</v>
      </c>
      <c r="G8" s="49" t="s">
        <v>23</v>
      </c>
      <c r="H8" s="50" t="s">
        <v>111</v>
      </c>
      <c r="I8" s="61"/>
      <c r="J8" s="52" t="n">
        <f aca="false">IF(Horo82107[[#This Row],[Début]]=0,"",(Horo82107[[#This Row],[Durée (60)2]]-INT(Horo82107[[#This Row],[Durée (60)2]]))*24)</f>
        <v>2</v>
      </c>
      <c r="K8" s="62" t="n">
        <f aca="false">SUMIF(Horo82107[Jour],C8,Horo82107[Durée])</f>
        <v>8</v>
      </c>
      <c r="L8" s="54" t="n">
        <f aca="false">IFERROR(SUMIF(Horo82107[[#This Row],[Jour]],Horo82107[[#This Row],[Jour]],Horo82107[[#This Row],[GPF]]) / Horo82107[[#This Row],[hrs]],"")</f>
        <v>0</v>
      </c>
      <c r="M8" s="56" t="str">
        <f aca="false">IF("GPF"=Horo82107[[#This Row],[Tâche]],Horo82107[[#This Row],[Durée]],"")</f>
        <v/>
      </c>
      <c r="N8" s="56" t="str">
        <f aca="false">IF("RI"=Horo82107[[#This Row],[Tâche]],Horo82107[[#This Row],[Durée]],"")</f>
        <v/>
      </c>
      <c r="O8" s="56" t="str">
        <f aca="false">IF("GB"=Horo82107[[#This Row],[Tâche]],Horo82107[[#This Row],[Durée]],"")</f>
        <v/>
      </c>
      <c r="P8" s="56" t="str">
        <f aca="false">IF("RD"=Horo82107[[#This Row],[Tâche]],Horo82107[[#This Row],[Durée]],"")</f>
        <v/>
      </c>
      <c r="Q8" s="103" t="n">
        <f aca="false">IF("FG"=Horo82107[[#This Row],[Tâche]],Horo82107[[#This Row],[Durée]],"")</f>
        <v>2</v>
      </c>
      <c r="R8" s="56" t="str">
        <f aca="false">IF("CONGÉ"=Horo82107[[#This Row],[Tâche]],Horo82107[[#This Row],[Durée]],"")</f>
        <v/>
      </c>
      <c r="S8" s="57" t="str">
        <f aca="false">IF("PS"=Horo82107[[#This Row],[Tâche]],Horo82107[[#This Row],[Durée]],"")</f>
        <v/>
      </c>
      <c r="T8" s="56" t="str">
        <f aca="false">IF("TD"=Horo82107[[#This Row],[Tâche]],Horo82107[[#This Row],[Durée]],"")</f>
        <v/>
      </c>
      <c r="U8" s="55" t="str">
        <f aca="false">IF("N/C"=Horo82107[[#This Row],[Tâche]],Horo82107[[#This Row],[Durée]],"")</f>
        <v/>
      </c>
      <c r="V8" s="58"/>
      <c r="W8" s="59" t="n">
        <f aca="false">IF(Horo82107[[#This Row],[O]]="o",Horo82107[[#This Row],[Durée]],".")</f>
        <v>2</v>
      </c>
      <c r="X8" s="60" t="n">
        <f aca="false">IF(Horo82107[[#This Row],[Début]]=0,"",Horo82107[[#This Row],[Fin]]-Horo82107[[#This Row],[Début]])</f>
        <v>0.0833333333333334</v>
      </c>
    </row>
    <row r="9" customFormat="false" ht="15" hidden="false" customHeight="false" outlineLevel="0" collapsed="false">
      <c r="A9" s="45" t="s">
        <v>31</v>
      </c>
      <c r="B9" s="46" t="n">
        <f aca="false">IF(Horo82107[[#This Row],[Jour]]="Lundi",$C$1+1, IF(Horo82107[[#This Row],[Jour]]="Mardi",$C$1+2, IF(Horo82107[[#This Row],[Jour]]="Mercredi",$C$1+3, IF(Horo82107[[#This Row],[Jour]]="Jeudi",$C$1+4, IF(Horo82107[[#This Row],[Jour]]="Vendredi",$C$1+5, IF(Horo82107[[#This Row],[Jour]]="Samedi",$C$1+6, IF(Horo82107[[#This Row],[Jour]]="Dimanche",$C$1, )))))))</f>
        <v>44440</v>
      </c>
      <c r="C9" s="47" t="s">
        <v>1</v>
      </c>
      <c r="D9" s="48" t="n">
        <v>0.645833333333333</v>
      </c>
      <c r="E9" s="48" t="n">
        <v>0.708333333333333</v>
      </c>
      <c r="F9" s="49" t="s">
        <v>32</v>
      </c>
      <c r="G9" s="49" t="s">
        <v>23</v>
      </c>
      <c r="H9" s="50" t="s">
        <v>109</v>
      </c>
      <c r="I9" s="61"/>
      <c r="J9" s="52" t="n">
        <f aca="false">IF(Horo82107[[#This Row],[Début]]=0,"",(Horo82107[[#This Row],[Durée (60)2]]-INT(Horo82107[[#This Row],[Durée (60)2]]))*24)</f>
        <v>1.5</v>
      </c>
      <c r="K9" s="62" t="n">
        <f aca="false">SUMIF(Horo82107[Jour],C9,Horo82107[Durée])</f>
        <v>8</v>
      </c>
      <c r="L9" s="54" t="n">
        <f aca="false">IFERROR(SUMIF(Horo82107[[#This Row],[Jour]],Horo82107[[#This Row],[Jour]],Horo82107[[#This Row],[GPF]]) / Horo82107[[#This Row],[hrs]],"")</f>
        <v>0</v>
      </c>
      <c r="M9" s="56" t="str">
        <f aca="false">IF("GPF"=Horo82107[[#This Row],[Tâche]],Horo82107[[#This Row],[Durée]],"")</f>
        <v/>
      </c>
      <c r="N9" s="56" t="str">
        <f aca="false">IF("RI"=Horo82107[[#This Row],[Tâche]],Horo82107[[#This Row],[Durée]],"")</f>
        <v/>
      </c>
      <c r="O9" s="56" t="str">
        <f aca="false">IF("GB"=Horo82107[[#This Row],[Tâche]],Horo82107[[#This Row],[Durée]],"")</f>
        <v/>
      </c>
      <c r="P9" s="56" t="str">
        <f aca="false">IF("RD"=Horo82107[[#This Row],[Tâche]],Horo82107[[#This Row],[Durée]],"")</f>
        <v/>
      </c>
      <c r="Q9" s="56" t="n">
        <f aca="false">IF("FG"=Horo82107[[#This Row],[Tâche]],Horo82107[[#This Row],[Durée]],"")</f>
        <v>1.5</v>
      </c>
      <c r="R9" s="56" t="str">
        <f aca="false">IF("CONGÉ"=Horo82107[[#This Row],[Tâche]],Horo82107[[#This Row],[Durée]],"")</f>
        <v/>
      </c>
      <c r="S9" s="57" t="str">
        <f aca="false">IF("PS"=Horo82107[[#This Row],[Tâche]],Horo82107[[#This Row],[Durée]],"")</f>
        <v/>
      </c>
      <c r="T9" s="56" t="str">
        <f aca="false">IF("TD"=Horo82107[[#This Row],[Tâche]],Horo82107[[#This Row],[Durée]],"")</f>
        <v/>
      </c>
      <c r="U9" s="55" t="str">
        <f aca="false">IF("N/C"=Horo82107[[#This Row],[Tâche]],Horo82107[[#This Row],[Durée]],"")</f>
        <v/>
      </c>
      <c r="V9" s="58"/>
      <c r="W9" s="59" t="n">
        <f aca="false">IF(Horo82107[[#This Row],[O]]="o",Horo82107[[#This Row],[Durée]],".")</f>
        <v>1.5</v>
      </c>
      <c r="X9" s="60" t="n">
        <f aca="false">IF(Horo82107[[#This Row],[Début]]=0,"",Horo82107[[#This Row],[Fin]]-Horo82107[[#This Row],[Début]])</f>
        <v>0.0625</v>
      </c>
    </row>
    <row r="10" customFormat="false" ht="15" hidden="false" customHeight="false" outlineLevel="0" collapsed="false">
      <c r="A10" s="45" t="s">
        <v>31</v>
      </c>
      <c r="B10" s="46" t="n">
        <f aca="false">IF(Horo82107[[#This Row],[Jour]]="Lundi",$C$1+1, IF(Horo82107[[#This Row],[Jour]]="Mardi",$C$1+2, IF(Horo82107[[#This Row],[Jour]]="Mercredi",$C$1+3, IF(Horo82107[[#This Row],[Jour]]="Jeudi",$C$1+4, IF(Horo82107[[#This Row],[Jour]]="Vendredi",$C$1+5, IF(Horo82107[[#This Row],[Jour]]="Samedi",$C$1+6, IF(Horo82107[[#This Row],[Jour]]="Dimanche",$C$1, )))))))</f>
        <v>44440</v>
      </c>
      <c r="C10" s="47" t="s">
        <v>1</v>
      </c>
      <c r="D10" s="48" t="n">
        <v>0.708333333333333</v>
      </c>
      <c r="E10" s="48" t="n">
        <v>0.729166666666667</v>
      </c>
      <c r="F10" s="49" t="s">
        <v>61</v>
      </c>
      <c r="G10" s="49" t="s">
        <v>19</v>
      </c>
      <c r="H10" s="50" t="s">
        <v>125</v>
      </c>
      <c r="I10" s="61" t="s">
        <v>158</v>
      </c>
      <c r="J10" s="52" t="n">
        <f aca="false">IF(Horo82107[[#This Row],[Début]]=0,"",(Horo82107[[#This Row],[Durée (60)2]]-INT(Horo82107[[#This Row],[Durée (60)2]]))*24)</f>
        <v>0.499999999999998</v>
      </c>
      <c r="K10" s="62" t="n">
        <f aca="false">SUMIF(Horo82107[Jour],C10,Horo82107[Durée])</f>
        <v>8</v>
      </c>
      <c r="L10" s="54" t="n">
        <f aca="false">IFERROR(SUMIF(Horo82107[[#This Row],[Jour]],Horo82107[[#This Row],[Jour]],Horo82107[[#This Row],[GPF]]) / Horo82107[[#This Row],[hrs]],"")</f>
        <v>0.0624999999999998</v>
      </c>
      <c r="M10" s="56" t="n">
        <f aca="false">IF("GPF"=Horo82107[[#This Row],[Tâche]],Horo82107[[#This Row],[Durée]],"")</f>
        <v>0.499999999999998</v>
      </c>
      <c r="N10" s="56" t="str">
        <f aca="false">IF("RI"=Horo82107[[#This Row],[Tâche]],Horo82107[[#This Row],[Durée]],"")</f>
        <v/>
      </c>
      <c r="O10" s="56" t="str">
        <f aca="false">IF("GB"=Horo82107[[#This Row],[Tâche]],Horo82107[[#This Row],[Durée]],"")</f>
        <v/>
      </c>
      <c r="P10" s="56" t="str">
        <f aca="false">IF("RD"=Horo82107[[#This Row],[Tâche]],Horo82107[[#This Row],[Durée]],"")</f>
        <v/>
      </c>
      <c r="Q10" s="56" t="str">
        <f aca="false">IF("FG"=Horo82107[[#This Row],[Tâche]],Horo82107[[#This Row],[Durée]],"")</f>
        <v/>
      </c>
      <c r="R10" s="56" t="str">
        <f aca="false">IF("CONGÉ"=Horo82107[[#This Row],[Tâche]],Horo82107[[#This Row],[Durée]],"")</f>
        <v/>
      </c>
      <c r="S10" s="57" t="str">
        <f aca="false">IF("PS"=Horo82107[[#This Row],[Tâche]],Horo82107[[#This Row],[Durée]],"")</f>
        <v/>
      </c>
      <c r="T10" s="56" t="str">
        <f aca="false">IF("TD"=Horo82107[[#This Row],[Tâche]],Horo82107[[#This Row],[Durée]],"")</f>
        <v/>
      </c>
      <c r="U10" s="55" t="str">
        <f aca="false">IF("N/C"=Horo82107[[#This Row],[Tâche]],Horo82107[[#This Row],[Durée]],"")</f>
        <v/>
      </c>
      <c r="V10" s="58"/>
      <c r="W10" s="59" t="n">
        <f aca="false">IF(Horo82107[[#This Row],[O]]="o",Horo82107[[#This Row],[Durée]],".")</f>
        <v>0.499999999999998</v>
      </c>
      <c r="X10" s="60" t="n">
        <f aca="false">IF(Horo82107[[#This Row],[Début]]=0,"",Horo82107[[#This Row],[Fin]]-Horo82107[[#This Row],[Début]])</f>
        <v>0.0208333333333333</v>
      </c>
    </row>
    <row r="11" customFormat="false" ht="15" hidden="false" customHeight="false" outlineLevel="0" collapsed="false">
      <c r="A11" s="45" t="s">
        <v>31</v>
      </c>
      <c r="B11" s="46" t="n">
        <f aca="false">IF(Horo82107[[#This Row],[Jour]]="Lundi",$C$1+1, IF(Horo82107[[#This Row],[Jour]]="Mardi",$C$1+2, IF(Horo82107[[#This Row],[Jour]]="Mercredi",$C$1+3, IF(Horo82107[[#This Row],[Jour]]="Jeudi",$C$1+4, IF(Horo82107[[#This Row],[Jour]]="Vendredi",$C$1+5, IF(Horo82107[[#This Row],[Jour]]="Samedi",$C$1+6, IF(Horo82107[[#This Row],[Jour]]="Dimanche",$C$1, )))))))</f>
        <v>44441</v>
      </c>
      <c r="C11" s="47" t="s">
        <v>2</v>
      </c>
      <c r="D11" s="48" t="n">
        <v>0.322916666666667</v>
      </c>
      <c r="E11" s="48" t="n">
        <v>0.354166666666667</v>
      </c>
      <c r="F11" s="49" t="s">
        <v>32</v>
      </c>
      <c r="G11" s="49" t="s">
        <v>21</v>
      </c>
      <c r="H11" s="50" t="s">
        <v>33</v>
      </c>
      <c r="I11" s="51"/>
      <c r="J11" s="52" t="n">
        <f aca="false">IF(Horo82107[[#This Row],[Début]]=0,"",(Horo82107[[#This Row],[Durée (60)2]]-INT(Horo82107[[#This Row],[Durée (60)2]]))*24)</f>
        <v>0.75</v>
      </c>
      <c r="K11" s="62" t="n">
        <f aca="false">SUMIF(Horo82107[Jour],C11,Horo82107[Durée])</f>
        <v>7.75</v>
      </c>
      <c r="L11" s="54" t="n">
        <f aca="false">IFERROR(SUMIF(Horo82107[[#This Row],[Jour]],Horo82107[[#This Row],[Jour]],Horo82107[[#This Row],[GPF]]) / Horo82107[[#This Row],[hrs]],"")</f>
        <v>0</v>
      </c>
      <c r="M11" s="56" t="str">
        <f aca="false">IF("GPF"=Horo82107[[#This Row],[Tâche]],Horo82107[[#This Row],[Durée]],"")</f>
        <v/>
      </c>
      <c r="N11" s="56" t="str">
        <f aca="false">IF("RI"=Horo82107[[#This Row],[Tâche]],Horo82107[[#This Row],[Durée]],"")</f>
        <v/>
      </c>
      <c r="O11" s="56" t="n">
        <f aca="false">IF("GB"=Horo82107[[#This Row],[Tâche]],Horo82107[[#This Row],[Durée]],"")</f>
        <v>0.75</v>
      </c>
      <c r="P11" s="56" t="str">
        <f aca="false">IF("RD"=Horo82107[[#This Row],[Tâche]],Horo82107[[#This Row],[Durée]],"")</f>
        <v/>
      </c>
      <c r="Q11" s="56" t="str">
        <f aca="false">IF("FG"=Horo82107[[#This Row],[Tâche]],Horo82107[[#This Row],[Durée]],"")</f>
        <v/>
      </c>
      <c r="R11" s="56" t="str">
        <f aca="false">IF("CONGÉ"=Horo82107[[#This Row],[Tâche]],Horo82107[[#This Row],[Durée]],"")</f>
        <v/>
      </c>
      <c r="S11" s="56" t="str">
        <f aca="false">IF("PS"=Horo82107[[#This Row],[Tâche]],Horo82107[[#This Row],[Durée]],"")</f>
        <v/>
      </c>
      <c r="T11" s="56" t="str">
        <f aca="false">IF("TD"=Horo82107[[#This Row],[Tâche]],Horo82107[[#This Row],[Durée]],"")</f>
        <v/>
      </c>
      <c r="U11" s="56" t="str">
        <f aca="false">IF("N/C"=Horo82107[[#This Row],[Tâche]],Horo82107[[#This Row],[Durée]],"")</f>
        <v/>
      </c>
      <c r="V11" s="58"/>
      <c r="W11" s="59" t="n">
        <f aca="false">IF(Horo82107[[#This Row],[O]]="o",Horo82107[[#This Row],[Durée]],".")</f>
        <v>0.75</v>
      </c>
      <c r="X11" s="64" t="n">
        <f aca="false">IF(Horo82107[[#This Row],[Début]]=0,"",Horo82107[[#This Row],[Fin]]-Horo82107[[#This Row],[Début]])</f>
        <v>0.03125</v>
      </c>
    </row>
    <row r="12" customFormat="false" ht="15" hidden="false" customHeight="false" outlineLevel="0" collapsed="false">
      <c r="A12" s="45" t="s">
        <v>31</v>
      </c>
      <c r="B12" s="46" t="n">
        <f aca="false">IF(Horo82107[[#This Row],[Jour]]="Lundi",$C$1+1, IF(Horo82107[[#This Row],[Jour]]="Mardi",$C$1+2, IF(Horo82107[[#This Row],[Jour]]="Mercredi",$C$1+3, IF(Horo82107[[#This Row],[Jour]]="Jeudi",$C$1+4, IF(Horo82107[[#This Row],[Jour]]="Vendredi",$C$1+5, IF(Horo82107[[#This Row],[Jour]]="Samedi",$C$1+6, IF(Horo82107[[#This Row],[Jour]]="Dimanche",$C$1, )))))))</f>
        <v>44441</v>
      </c>
      <c r="C12" s="47" t="s">
        <v>2</v>
      </c>
      <c r="D12" s="48" t="n">
        <v>0.354166666666667</v>
      </c>
      <c r="E12" s="48" t="n">
        <v>0.5</v>
      </c>
      <c r="F12" s="49" t="s">
        <v>32</v>
      </c>
      <c r="G12" s="49" t="s">
        <v>23</v>
      </c>
      <c r="H12" s="50" t="s">
        <v>109</v>
      </c>
      <c r="I12" s="61"/>
      <c r="J12" s="52" t="n">
        <f aca="false">IF(Horo82107[[#This Row],[Début]]=0,"",(Horo82107[[#This Row],[Durée (60)2]]-INT(Horo82107[[#This Row],[Durée (60)2]]))*24)</f>
        <v>3.5</v>
      </c>
      <c r="K12" s="62" t="n">
        <f aca="false">SUMIF(Horo82107[Jour],C12,Horo82107[Durée])</f>
        <v>7.75</v>
      </c>
      <c r="L12" s="54" t="n">
        <f aca="false">IFERROR(SUMIF(Horo82107[[#This Row],[Jour]],Horo82107[[#This Row],[Jour]],Horo82107[[#This Row],[GPF]]) / Horo82107[[#This Row],[hrs]],"")</f>
        <v>0</v>
      </c>
      <c r="M12" s="56" t="str">
        <f aca="false">IF("GPF"=Horo82107[[#This Row],[Tâche]],Horo82107[[#This Row],[Durée]],"")</f>
        <v/>
      </c>
      <c r="N12" s="56" t="str">
        <f aca="false">IF("RI"=Horo82107[[#This Row],[Tâche]],Horo82107[[#This Row],[Durée]],"")</f>
        <v/>
      </c>
      <c r="O12" s="56" t="str">
        <f aca="false">IF("GB"=Horo82107[[#This Row],[Tâche]],Horo82107[[#This Row],[Durée]],"")</f>
        <v/>
      </c>
      <c r="P12" s="63" t="str">
        <f aca="false">IF("RD"=Horo82107[[#This Row],[Tâche]],Horo82107[[#This Row],[Durée]],"")</f>
        <v/>
      </c>
      <c r="Q12" s="56" t="n">
        <f aca="false">IF("FG"=Horo82107[[#This Row],[Tâche]],Horo82107[[#This Row],[Durée]],"")</f>
        <v>3.5</v>
      </c>
      <c r="R12" s="56" t="str">
        <f aca="false">IF("CONGÉ"=Horo82107[[#This Row],[Tâche]],Horo82107[[#This Row],[Durée]],"")</f>
        <v/>
      </c>
      <c r="S12" s="57" t="str">
        <f aca="false">IF("PS"=Horo82107[[#This Row],[Tâche]],Horo82107[[#This Row],[Durée]],"")</f>
        <v/>
      </c>
      <c r="T12" s="56" t="str">
        <f aca="false">IF("TD"=Horo82107[[#This Row],[Tâche]],Horo82107[[#This Row],[Durée]],"")</f>
        <v/>
      </c>
      <c r="U12" s="55" t="str">
        <f aca="false">IF("N/C"=Horo82107[[#This Row],[Tâche]],Horo82107[[#This Row],[Durée]],"")</f>
        <v/>
      </c>
      <c r="V12" s="58"/>
      <c r="W12" s="59" t="n">
        <f aca="false">IF(Horo82107[[#This Row],[O]]="o",Horo82107[[#This Row],[Durée]],".")</f>
        <v>3.5</v>
      </c>
      <c r="X12" s="60" t="n">
        <f aca="false">IF(Horo82107[[#This Row],[Début]]=0,"",Horo82107[[#This Row],[Fin]]-Horo82107[[#This Row],[Début]])</f>
        <v>0.145833333333333</v>
      </c>
    </row>
    <row r="13" customFormat="false" ht="15" hidden="false" customHeight="false" outlineLevel="0" collapsed="false">
      <c r="A13" s="45" t="s">
        <v>31</v>
      </c>
      <c r="B13" s="46" t="n">
        <f aca="false">IF(Horo82107[[#This Row],[Jour]]="Lundi",$C$1+1, IF(Horo82107[[#This Row],[Jour]]="Mardi",$C$1+2, IF(Horo82107[[#This Row],[Jour]]="Mercredi",$C$1+3, IF(Horo82107[[#This Row],[Jour]]="Jeudi",$C$1+4, IF(Horo82107[[#This Row],[Jour]]="Vendredi",$C$1+5, IF(Horo82107[[#This Row],[Jour]]="Samedi",$C$1+6, IF(Horo82107[[#This Row],[Jour]]="Dimanche",$C$1, )))))))</f>
        <v>44441</v>
      </c>
      <c r="C13" s="47" t="s">
        <v>2</v>
      </c>
      <c r="D13" s="48" t="n">
        <v>0.5625</v>
      </c>
      <c r="E13" s="48" t="n">
        <v>0.604166666666667</v>
      </c>
      <c r="F13" s="49" t="s">
        <v>32</v>
      </c>
      <c r="G13" s="49" t="s">
        <v>23</v>
      </c>
      <c r="H13" s="50"/>
      <c r="I13" s="61"/>
      <c r="J13" s="52" t="n">
        <f aca="false">IF(Horo82107[[#This Row],[Début]]=0,"",(Horo82107[[#This Row],[Durée (60)2]]-INT(Horo82107[[#This Row],[Durée (60)2]]))*24)</f>
        <v>0.999999999999999</v>
      </c>
      <c r="K13" s="62" t="n">
        <f aca="false">SUMIF(Horo82107[Jour],C13,Horo82107[Durée])</f>
        <v>7.75</v>
      </c>
      <c r="L13" s="54" t="n">
        <f aca="false">IFERROR(SUMIF(Horo82107[[#This Row],[Jour]],Horo82107[[#This Row],[Jour]],Horo82107[[#This Row],[GPF]]) / Horo82107[[#This Row],[hrs]],"")</f>
        <v>0</v>
      </c>
      <c r="M13" s="56" t="str">
        <f aca="false">IF("GPF"=Horo82107[[#This Row],[Tâche]],Horo82107[[#This Row],[Durée]],"")</f>
        <v/>
      </c>
      <c r="N13" s="56" t="str">
        <f aca="false">IF("RI"=Horo82107[[#This Row],[Tâche]],Horo82107[[#This Row],[Durée]],"")</f>
        <v/>
      </c>
      <c r="O13" s="56" t="str">
        <f aca="false">IF("GB"=Horo82107[[#This Row],[Tâche]],Horo82107[[#This Row],[Durée]],"")</f>
        <v/>
      </c>
      <c r="P13" s="63" t="str">
        <f aca="false">IF("RD"=Horo82107[[#This Row],[Tâche]],Horo82107[[#This Row],[Durée]],"")</f>
        <v/>
      </c>
      <c r="Q13" s="56" t="n">
        <f aca="false">IF("FG"=Horo82107[[#This Row],[Tâche]],Horo82107[[#This Row],[Durée]],"")</f>
        <v>0.999999999999999</v>
      </c>
      <c r="R13" s="56" t="str">
        <f aca="false">IF("CONGÉ"=Horo82107[[#This Row],[Tâche]],Horo82107[[#This Row],[Durée]],"")</f>
        <v/>
      </c>
      <c r="S13" s="57" t="str">
        <f aca="false">IF("PS"=Horo82107[[#This Row],[Tâche]],Horo82107[[#This Row],[Durée]],"")</f>
        <v/>
      </c>
      <c r="T13" s="56" t="str">
        <f aca="false">IF("TD"=Horo82107[[#This Row],[Tâche]],Horo82107[[#This Row],[Durée]],"")</f>
        <v/>
      </c>
      <c r="U13" s="55" t="str">
        <f aca="false">IF("N/C"=Horo82107[[#This Row],[Tâche]],Horo82107[[#This Row],[Durée]],"")</f>
        <v/>
      </c>
      <c r="V13" s="58"/>
      <c r="W13" s="59" t="n">
        <f aca="false">IF(Horo82107[[#This Row],[O]]="o",Horo82107[[#This Row],[Durée]],".")</f>
        <v>0.999999999999999</v>
      </c>
      <c r="X13" s="60" t="n">
        <f aca="false">IF(Horo82107[[#This Row],[Début]]=0,"",Horo82107[[#This Row],[Fin]]-Horo82107[[#This Row],[Début]])</f>
        <v>0.0416666666666666</v>
      </c>
    </row>
    <row r="14" customFormat="false" ht="15" hidden="false" customHeight="false" outlineLevel="0" collapsed="false">
      <c r="A14" s="45" t="s">
        <v>31</v>
      </c>
      <c r="B14" s="46" t="n">
        <f aca="false">IF(Horo82107[[#This Row],[Jour]]="Lundi",$C$1+1, IF(Horo82107[[#This Row],[Jour]]="Mardi",$C$1+2, IF(Horo82107[[#This Row],[Jour]]="Mercredi",$C$1+3, IF(Horo82107[[#This Row],[Jour]]="Jeudi",$C$1+4, IF(Horo82107[[#This Row],[Jour]]="Vendredi",$C$1+5, IF(Horo82107[[#This Row],[Jour]]="Samedi",$C$1+6, IF(Horo82107[[#This Row],[Jour]]="Dimanche",$C$1, )))))))</f>
        <v>44441</v>
      </c>
      <c r="C14" s="47" t="s">
        <v>2</v>
      </c>
      <c r="D14" s="48" t="n">
        <v>0.604166666666667</v>
      </c>
      <c r="E14" s="48" t="n">
        <v>0.708333333333333</v>
      </c>
      <c r="F14" s="49" t="s">
        <v>32</v>
      </c>
      <c r="G14" s="49" t="s">
        <v>23</v>
      </c>
      <c r="H14" s="50" t="s">
        <v>109</v>
      </c>
      <c r="I14" s="61"/>
      <c r="J14" s="52" t="n">
        <f aca="false">IF(Horo82107[[#This Row],[Début]]=0,"",(Horo82107[[#This Row],[Durée (60)2]]-INT(Horo82107[[#This Row],[Durée (60)2]]))*24)</f>
        <v>2.5</v>
      </c>
      <c r="K14" s="62" t="n">
        <f aca="false">SUMIF(Horo82107[Jour],C14,Horo82107[Durée])</f>
        <v>7.75</v>
      </c>
      <c r="L14" s="54" t="n">
        <f aca="false">IFERROR(SUMIF(Horo82107[[#This Row],[Jour]],Horo82107[[#This Row],[Jour]],Horo82107[[#This Row],[GPF]]) / Horo82107[[#This Row],[hrs]],"")</f>
        <v>0</v>
      </c>
      <c r="M14" s="56" t="str">
        <f aca="false">IF("GPF"=Horo82107[[#This Row],[Tâche]],Horo82107[[#This Row],[Durée]],"")</f>
        <v/>
      </c>
      <c r="N14" s="56" t="str">
        <f aca="false">IF("RI"=Horo82107[[#This Row],[Tâche]],Horo82107[[#This Row],[Durée]],"")</f>
        <v/>
      </c>
      <c r="O14" s="56" t="str">
        <f aca="false">IF("GB"=Horo82107[[#This Row],[Tâche]],Horo82107[[#This Row],[Durée]],"")</f>
        <v/>
      </c>
      <c r="P14" s="56" t="str">
        <f aca="false">IF("RD"=Horo82107[[#This Row],[Tâche]],Horo82107[[#This Row],[Durée]],"")</f>
        <v/>
      </c>
      <c r="Q14" s="56" t="n">
        <f aca="false">IF("FG"=Horo82107[[#This Row],[Tâche]],Horo82107[[#This Row],[Durée]],"")</f>
        <v>2.5</v>
      </c>
      <c r="R14" s="56" t="str">
        <f aca="false">IF("CONGÉ"=Horo82107[[#This Row],[Tâche]],Horo82107[[#This Row],[Durée]],"")</f>
        <v/>
      </c>
      <c r="S14" s="57" t="str">
        <f aca="false">IF("PS"=Horo82107[[#This Row],[Tâche]],Horo82107[[#This Row],[Durée]],"")</f>
        <v/>
      </c>
      <c r="T14" s="56" t="str">
        <f aca="false">IF("TD"=Horo82107[[#This Row],[Tâche]],Horo82107[[#This Row],[Durée]],"")</f>
        <v/>
      </c>
      <c r="U14" s="55" t="str">
        <f aca="false">IF("N/C"=Horo82107[[#This Row],[Tâche]],Horo82107[[#This Row],[Durée]],"")</f>
        <v/>
      </c>
      <c r="V14" s="58"/>
      <c r="W14" s="59" t="n">
        <f aca="false">IF(Horo82107[[#This Row],[O]]="o",Horo82107[[#This Row],[Durée]],".")</f>
        <v>2.5</v>
      </c>
      <c r="X14" s="60" t="n">
        <f aca="false">IF(Horo82107[[#This Row],[Début]]=0,"",Horo82107[[#This Row],[Fin]]-Horo82107[[#This Row],[Début]])</f>
        <v>0.104166666666667</v>
      </c>
    </row>
    <row r="15" customFormat="false" ht="15" hidden="false" customHeight="false" outlineLevel="0" collapsed="false">
      <c r="A15" s="45" t="s">
        <v>31</v>
      </c>
      <c r="B15" s="46" t="n">
        <f aca="false">IF(Horo82107[[#This Row],[Jour]]="Lundi",$C$1+1, IF(Horo82107[[#This Row],[Jour]]="Mardi",$C$1+2, IF(Horo82107[[#This Row],[Jour]]="Mercredi",$C$1+3, IF(Horo82107[[#This Row],[Jour]]="Jeudi",$C$1+4, IF(Horo82107[[#This Row],[Jour]]="Vendredi",$C$1+5, IF(Horo82107[[#This Row],[Jour]]="Samedi",$C$1+6, IF(Horo82107[[#This Row],[Jour]]="Dimanche",$C$1, )))))))</f>
        <v>44442</v>
      </c>
      <c r="C15" s="47" t="s">
        <v>3</v>
      </c>
      <c r="D15" s="48" t="n">
        <v>0.333333333333333</v>
      </c>
      <c r="E15" s="48" t="n">
        <v>0.354166666666667</v>
      </c>
      <c r="F15" s="49" t="s">
        <v>32</v>
      </c>
      <c r="G15" s="49" t="s">
        <v>21</v>
      </c>
      <c r="H15" s="50" t="s">
        <v>33</v>
      </c>
      <c r="I15" s="51"/>
      <c r="J15" s="52" t="n">
        <f aca="false">IF(Horo82107[[#This Row],[Début]]=0,"",(Horo82107[[#This Row],[Durée (60)2]]-INT(Horo82107[[#This Row],[Durée (60)2]]))*24)</f>
        <v>0.500000000000001</v>
      </c>
      <c r="K15" s="62" t="n">
        <f aca="false">SUMIF(Horo82107[Jour],C15,Horo82107[Durée])</f>
        <v>7.5</v>
      </c>
      <c r="L15" s="54" t="n">
        <f aca="false">IFERROR(SUMIF(Horo82107[[#This Row],[Jour]],Horo82107[[#This Row],[Jour]],Horo82107[[#This Row],[GPF]]) / Horo82107[[#This Row],[hrs]],"")</f>
        <v>0</v>
      </c>
      <c r="M15" s="56" t="str">
        <f aca="false">IF("GPF"=Horo82107[[#This Row],[Tâche]],Horo82107[[#This Row],[Durée]],"")</f>
        <v/>
      </c>
      <c r="N15" s="56" t="str">
        <f aca="false">IF("RI"=Horo82107[[#This Row],[Tâche]],Horo82107[[#This Row],[Durée]],"")</f>
        <v/>
      </c>
      <c r="O15" s="56" t="n">
        <f aca="false">IF("GB"=Horo82107[[#This Row],[Tâche]],Horo82107[[#This Row],[Durée]],"")</f>
        <v>0.500000000000001</v>
      </c>
      <c r="P15" s="56" t="str">
        <f aca="false">IF("RD"=Horo82107[[#This Row],[Tâche]],Horo82107[[#This Row],[Durée]],"")</f>
        <v/>
      </c>
      <c r="Q15" s="56" t="str">
        <f aca="false">IF("FG"=Horo82107[[#This Row],[Tâche]],Horo82107[[#This Row],[Durée]],"")</f>
        <v/>
      </c>
      <c r="R15" s="56" t="str">
        <f aca="false">IF("CONGÉ"=Horo82107[[#This Row],[Tâche]],Horo82107[[#This Row],[Durée]],"")</f>
        <v/>
      </c>
      <c r="S15" s="56" t="str">
        <f aca="false">IF("PS"=Horo82107[[#This Row],[Tâche]],Horo82107[[#This Row],[Durée]],"")</f>
        <v/>
      </c>
      <c r="T15" s="56" t="str">
        <f aca="false">IF("TD"=Horo82107[[#This Row],[Tâche]],Horo82107[[#This Row],[Durée]],"")</f>
        <v/>
      </c>
      <c r="U15" s="56" t="str">
        <f aca="false">IF("N/C"=Horo82107[[#This Row],[Tâche]],Horo82107[[#This Row],[Durée]],"")</f>
        <v/>
      </c>
      <c r="V15" s="58"/>
      <c r="W15" s="59" t="n">
        <f aca="false">IF(Horo82107[[#This Row],[O]]="o",Horo82107[[#This Row],[Durée]],".")</f>
        <v>0.500000000000001</v>
      </c>
      <c r="X15" s="64" t="n">
        <f aca="false">IF(Horo82107[[#This Row],[Début]]=0,"",Horo82107[[#This Row],[Fin]]-Horo82107[[#This Row],[Début]])</f>
        <v>0.0208333333333334</v>
      </c>
    </row>
    <row r="16" customFormat="false" ht="15" hidden="false" customHeight="false" outlineLevel="0" collapsed="false">
      <c r="A16" s="45" t="s">
        <v>31</v>
      </c>
      <c r="B16" s="46" t="n">
        <f aca="false">IF(Horo82107[[#This Row],[Jour]]="Lundi",$C$1+1, IF(Horo82107[[#This Row],[Jour]]="Mardi",$C$1+2, IF(Horo82107[[#This Row],[Jour]]="Mercredi",$C$1+3, IF(Horo82107[[#This Row],[Jour]]="Jeudi",$C$1+4, IF(Horo82107[[#This Row],[Jour]]="Vendredi",$C$1+5, IF(Horo82107[[#This Row],[Jour]]="Samedi",$C$1+6, IF(Horo82107[[#This Row],[Jour]]="Dimanche",$C$1, )))))))</f>
        <v>44442</v>
      </c>
      <c r="C16" s="47" t="s">
        <v>3</v>
      </c>
      <c r="D16" s="48" t="n">
        <v>0.354166666666667</v>
      </c>
      <c r="E16" s="48" t="n">
        <v>0.5</v>
      </c>
      <c r="F16" s="49" t="s">
        <v>32</v>
      </c>
      <c r="G16" s="49" t="s">
        <v>22</v>
      </c>
      <c r="H16" s="50"/>
      <c r="I16" s="61" t="s">
        <v>159</v>
      </c>
      <c r="J16" s="52" t="n">
        <f aca="false">IF(Horo82107[[#This Row],[Début]]=0,"",(Horo82107[[#This Row],[Durée (60)2]]-INT(Horo82107[[#This Row],[Durée (60)2]]))*24)</f>
        <v>3.5</v>
      </c>
      <c r="K16" s="62" t="n">
        <f aca="false">SUMIF(Horo82107[Jour],C16,Horo82107[Durée])</f>
        <v>7.5</v>
      </c>
      <c r="L16" s="54" t="n">
        <f aca="false">IFERROR(SUMIF(Horo82107[[#This Row],[Jour]],Horo82107[[#This Row],[Jour]],Horo82107[[#This Row],[GPF]]) / Horo82107[[#This Row],[hrs]],"")</f>
        <v>0</v>
      </c>
      <c r="M16" s="56" t="str">
        <f aca="false">IF("GPF"=Horo82107[[#This Row],[Tâche]],Horo82107[[#This Row],[Durée]],"")</f>
        <v/>
      </c>
      <c r="N16" s="56" t="str">
        <f aca="false">IF("RI"=Horo82107[[#This Row],[Tâche]],Horo82107[[#This Row],[Durée]],"")</f>
        <v/>
      </c>
      <c r="O16" s="56" t="str">
        <f aca="false">IF("GB"=Horo82107[[#This Row],[Tâche]],Horo82107[[#This Row],[Durée]],"")</f>
        <v/>
      </c>
      <c r="P16" s="56" t="n">
        <f aca="false">IF("RD"=Horo82107[[#This Row],[Tâche]],Horo82107[[#This Row],[Durée]],"")</f>
        <v>3.5</v>
      </c>
      <c r="Q16" s="103" t="str">
        <f aca="false">IF("FG"=Horo82107[[#This Row],[Tâche]],Horo82107[[#This Row],[Durée]],"")</f>
        <v/>
      </c>
      <c r="R16" s="56" t="str">
        <f aca="false">IF("CONGÉ"=Horo82107[[#This Row],[Tâche]],Horo82107[[#This Row],[Durée]],"")</f>
        <v/>
      </c>
      <c r="S16" s="57" t="str">
        <f aca="false">IF("PS"=Horo82107[[#This Row],[Tâche]],Horo82107[[#This Row],[Durée]],"")</f>
        <v/>
      </c>
      <c r="T16" s="56" t="str">
        <f aca="false">IF("TD"=Horo82107[[#This Row],[Tâche]],Horo82107[[#This Row],[Durée]],"")</f>
        <v/>
      </c>
      <c r="U16" s="55" t="str">
        <f aca="false">IF("N/C"=Horo82107[[#This Row],[Tâche]],Horo82107[[#This Row],[Durée]],"")</f>
        <v/>
      </c>
      <c r="V16" s="58"/>
      <c r="W16" s="59" t="n">
        <f aca="false">IF(Horo82107[[#This Row],[O]]="o",Horo82107[[#This Row],[Durée]],".")</f>
        <v>3.5</v>
      </c>
      <c r="X16" s="60" t="n">
        <f aca="false">IF(Horo82107[[#This Row],[Début]]=0,"",Horo82107[[#This Row],[Fin]]-Horo82107[[#This Row],[Début]])</f>
        <v>0.145833333333333</v>
      </c>
    </row>
    <row r="17" customFormat="false" ht="15" hidden="false" customHeight="false" outlineLevel="0" collapsed="false">
      <c r="A17" s="45" t="s">
        <v>31</v>
      </c>
      <c r="B17" s="46" t="n">
        <f aca="false">IF(Horo82107[[#This Row],[Jour]]="Lundi",$C$1+1, IF(Horo82107[[#This Row],[Jour]]="Mardi",$C$1+2, IF(Horo82107[[#This Row],[Jour]]="Mercredi",$C$1+3, IF(Horo82107[[#This Row],[Jour]]="Jeudi",$C$1+4, IF(Horo82107[[#This Row],[Jour]]="Vendredi",$C$1+5, IF(Horo82107[[#This Row],[Jour]]="Samedi",$C$1+6, IF(Horo82107[[#This Row],[Jour]]="Dimanche",$C$1, )))))))</f>
        <v>44442</v>
      </c>
      <c r="C17" s="47" t="s">
        <v>3</v>
      </c>
      <c r="D17" s="48" t="n">
        <v>0.5625</v>
      </c>
      <c r="E17" s="48" t="n">
        <v>0.645833333333333</v>
      </c>
      <c r="F17" s="49" t="s">
        <v>75</v>
      </c>
      <c r="G17" s="49" t="s">
        <v>27</v>
      </c>
      <c r="H17" s="50" t="s">
        <v>33</v>
      </c>
      <c r="I17" s="61" t="s">
        <v>160</v>
      </c>
      <c r="J17" s="52" t="n">
        <f aca="false">IF(Horo82107[[#This Row],[Début]]=0,"",(Horo82107[[#This Row],[Durée (60)2]]-INT(Horo82107[[#This Row],[Durée (60)2]]))*24)</f>
        <v>2</v>
      </c>
      <c r="K17" s="62" t="n">
        <f aca="false">SUMIF(Horo82107[Jour],C17,Horo82107[Durée])</f>
        <v>7.5</v>
      </c>
      <c r="L17" s="54" t="n">
        <f aca="false">IFERROR(SUMIF(Horo82107[[#This Row],[Jour]],Horo82107[[#This Row],[Jour]],Horo82107[[#This Row],[GPF]]) / Horo82107[[#This Row],[hrs]],"")</f>
        <v>0</v>
      </c>
      <c r="M17" s="56" t="str">
        <f aca="false">IF("GPF"=Horo82107[[#This Row],[Tâche]],Horo82107[[#This Row],[Durée]],"")</f>
        <v/>
      </c>
      <c r="N17" s="56" t="str">
        <f aca="false">IF("RI"=Horo82107[[#This Row],[Tâche]],Horo82107[[#This Row],[Durée]],"")</f>
        <v/>
      </c>
      <c r="O17" s="56" t="str">
        <f aca="false">IF("GB"=Horo82107[[#This Row],[Tâche]],Horo82107[[#This Row],[Durée]],"")</f>
        <v/>
      </c>
      <c r="P17" s="56" t="str">
        <f aca="false">IF("RD"=Horo82107[[#This Row],[Tâche]],Horo82107[[#This Row],[Durée]],"")</f>
        <v/>
      </c>
      <c r="Q17" s="56" t="str">
        <f aca="false">IF("FG"=Horo82107[[#This Row],[Tâche]],Horo82107[[#This Row],[Durée]],"")</f>
        <v/>
      </c>
      <c r="R17" s="56" t="str">
        <f aca="false">IF("CONGÉ"=Horo82107[[#This Row],[Tâche]],Horo82107[[#This Row],[Durée]],"")</f>
        <v/>
      </c>
      <c r="S17" s="57" t="str">
        <f aca="false">IF("PS"=Horo82107[[#This Row],[Tâche]],Horo82107[[#This Row],[Durée]],"")</f>
        <v/>
      </c>
      <c r="T17" s="56" t="str">
        <f aca="false">IF("TD"=Horo82107[[#This Row],[Tâche]],Horo82107[[#This Row],[Durée]],"")</f>
        <v/>
      </c>
      <c r="U17" s="55" t="n">
        <f aca="false">IF("N/C"=Horo82107[[#This Row],[Tâche]],Horo82107[[#This Row],[Durée]],"")</f>
        <v>2</v>
      </c>
      <c r="V17" s="58"/>
      <c r="W17" s="59" t="n">
        <f aca="false">IF(Horo82107[[#This Row],[O]]="o",Horo82107[[#This Row],[Durée]],".")</f>
        <v>2</v>
      </c>
      <c r="X17" s="60" t="n">
        <f aca="false">IF(Horo82107[[#This Row],[Début]]=0,"",Horo82107[[#This Row],[Fin]]-Horo82107[[#This Row],[Début]])</f>
        <v>0.0833333333333334</v>
      </c>
    </row>
    <row r="18" customFormat="false" ht="15" hidden="false" customHeight="false" outlineLevel="0" collapsed="false">
      <c r="A18" s="45" t="s">
        <v>31</v>
      </c>
      <c r="B18" s="46" t="n">
        <f aca="false">IF(Horo82107[[#This Row],[Jour]]="Lundi",$C$1+1, IF(Horo82107[[#This Row],[Jour]]="Mardi",$C$1+2, IF(Horo82107[[#This Row],[Jour]]="Mercredi",$C$1+3, IF(Horo82107[[#This Row],[Jour]]="Jeudi",$C$1+4, IF(Horo82107[[#This Row],[Jour]]="Vendredi",$C$1+5, IF(Horo82107[[#This Row],[Jour]]="Samedi",$C$1+6, IF(Horo82107[[#This Row],[Jour]]="Dimanche",$C$1, )))))))</f>
        <v>44442</v>
      </c>
      <c r="C18" s="47" t="s">
        <v>3</v>
      </c>
      <c r="D18" s="48" t="n">
        <v>0.645833333333333</v>
      </c>
      <c r="E18" s="48" t="n">
        <v>0.708333333333333</v>
      </c>
      <c r="F18" s="49" t="s">
        <v>32</v>
      </c>
      <c r="G18" s="49" t="s">
        <v>22</v>
      </c>
      <c r="H18" s="50" t="s">
        <v>118</v>
      </c>
      <c r="I18" s="61" t="s">
        <v>161</v>
      </c>
      <c r="J18" s="52" t="n">
        <f aca="false">IF(Horo82107[[#This Row],[Début]]=0,"",(Horo82107[[#This Row],[Durée (60)2]]-INT(Horo82107[[#This Row],[Durée (60)2]]))*24)</f>
        <v>1.5</v>
      </c>
      <c r="K18" s="62" t="n">
        <f aca="false">SUMIF(Horo82107[Jour],C18,Horo82107[Durée])</f>
        <v>7.5</v>
      </c>
      <c r="L18" s="54" t="n">
        <f aca="false">IFERROR(SUMIF(Horo82107[[#This Row],[Jour]],Horo82107[[#This Row],[Jour]],Horo82107[[#This Row],[GPF]]) / Horo82107[[#This Row],[hrs]],"")</f>
        <v>0</v>
      </c>
      <c r="M18" s="56" t="str">
        <f aca="false">IF("GPF"=Horo82107[[#This Row],[Tâche]],Horo82107[[#This Row],[Durée]],"")</f>
        <v/>
      </c>
      <c r="N18" s="56" t="str">
        <f aca="false">IF("RI"=Horo82107[[#This Row],[Tâche]],Horo82107[[#This Row],[Durée]],"")</f>
        <v/>
      </c>
      <c r="O18" s="56" t="str">
        <f aca="false">IF("GB"=Horo82107[[#This Row],[Tâche]],Horo82107[[#This Row],[Durée]],"")</f>
        <v/>
      </c>
      <c r="P18" s="56" t="n">
        <f aca="false">IF("RD"=Horo82107[[#This Row],[Tâche]],Horo82107[[#This Row],[Durée]],"")</f>
        <v>1.5</v>
      </c>
      <c r="Q18" s="56" t="str">
        <f aca="false">IF("FG"=Horo82107[[#This Row],[Tâche]],Horo82107[[#This Row],[Durée]],"")</f>
        <v/>
      </c>
      <c r="R18" s="56" t="str">
        <f aca="false">IF("CONGÉ"=Horo82107[[#This Row],[Tâche]],Horo82107[[#This Row],[Durée]],"")</f>
        <v/>
      </c>
      <c r="S18" s="57" t="str">
        <f aca="false">IF("PS"=Horo82107[[#This Row],[Tâche]],Horo82107[[#This Row],[Durée]],"")</f>
        <v/>
      </c>
      <c r="T18" s="56" t="str">
        <f aca="false">IF("TD"=Horo82107[[#This Row],[Tâche]],Horo82107[[#This Row],[Durée]],"")</f>
        <v/>
      </c>
      <c r="U18" s="55" t="str">
        <f aca="false">IF("N/C"=Horo82107[[#This Row],[Tâche]],Horo82107[[#This Row],[Durée]],"")</f>
        <v/>
      </c>
      <c r="V18" s="58"/>
      <c r="W18" s="59" t="n">
        <f aca="false">IF(Horo82107[[#This Row],[O]]="o",Horo82107[[#This Row],[Durée]],".")</f>
        <v>1.5</v>
      </c>
      <c r="X18" s="60" t="n">
        <f aca="false">IF(Horo82107[[#This Row],[Début]]=0,"",Horo82107[[#This Row],[Fin]]-Horo82107[[#This Row],[Début]])</f>
        <v>0.0625</v>
      </c>
    </row>
    <row r="19" customFormat="false" ht="15" hidden="false" customHeight="false" outlineLevel="0" collapsed="false">
      <c r="A19" s="45" t="s">
        <v>31</v>
      </c>
      <c r="B19" s="46" t="n">
        <f aca="false">IF(Horo82107[[#This Row],[Jour]]="Lundi",$C$1+1, IF(Horo82107[[#This Row],[Jour]]="Mardi",$C$1+2, IF(Horo82107[[#This Row],[Jour]]="Mercredi",$C$1+3, IF(Horo82107[[#This Row],[Jour]]="Jeudi",$C$1+4, IF(Horo82107[[#This Row],[Jour]]="Vendredi",$C$1+5, IF(Horo82107[[#This Row],[Jour]]="Samedi",$C$1+6, IF(Horo82107[[#This Row],[Jour]]="Dimanche",$C$1, )))))))</f>
        <v>44443</v>
      </c>
      <c r="C19" s="47" t="s">
        <v>4</v>
      </c>
      <c r="D19" s="48" t="n">
        <v>0.3125</v>
      </c>
      <c r="E19" s="48" t="n">
        <v>0.354166666666667</v>
      </c>
      <c r="F19" s="49" t="s">
        <v>32</v>
      </c>
      <c r="G19" s="49" t="s">
        <v>21</v>
      </c>
      <c r="H19" s="50" t="s">
        <v>33</v>
      </c>
      <c r="I19" s="51"/>
      <c r="J19" s="52" t="n">
        <f aca="false">IF(Horo82107[[#This Row],[Début]]=0,"",(Horo82107[[#This Row],[Durée (60)2]]-INT(Horo82107[[#This Row],[Durée (60)2]]))*24)</f>
        <v>1</v>
      </c>
      <c r="K19" s="62" t="n">
        <f aca="false">SUMIF(Horo82107[Jour],C19,Horo82107[Durée])</f>
        <v>8.75</v>
      </c>
      <c r="L19" s="54" t="n">
        <f aca="false">IFERROR(SUMIF(Horo82107[[#This Row],[Jour]],Horo82107[[#This Row],[Jour]],Horo82107[[#This Row],[GPF]]) / Horo82107[[#This Row],[hrs]],"")</f>
        <v>0</v>
      </c>
      <c r="M19" s="56" t="str">
        <f aca="false">IF("GPF"=Horo82107[[#This Row],[Tâche]],Horo82107[[#This Row],[Durée]],"")</f>
        <v/>
      </c>
      <c r="N19" s="56" t="str">
        <f aca="false">IF("RI"=Horo82107[[#This Row],[Tâche]],Horo82107[[#This Row],[Durée]],"")</f>
        <v/>
      </c>
      <c r="O19" s="56" t="n">
        <f aca="false">IF("GB"=Horo82107[[#This Row],[Tâche]],Horo82107[[#This Row],[Durée]],"")</f>
        <v>1</v>
      </c>
      <c r="P19" s="63" t="str">
        <f aca="false">IF("RD"=Horo82107[[#This Row],[Tâche]],Horo82107[[#This Row],[Durée]],"")</f>
        <v/>
      </c>
      <c r="Q19" s="56" t="str">
        <f aca="false">IF("FG"=Horo82107[[#This Row],[Tâche]],Horo82107[[#This Row],[Durée]],"")</f>
        <v/>
      </c>
      <c r="R19" s="56" t="str">
        <f aca="false">IF("CONGÉ"=Horo82107[[#This Row],[Tâche]],Horo82107[[#This Row],[Durée]],"")</f>
        <v/>
      </c>
      <c r="S19" s="57" t="str">
        <f aca="false">IF("PS"=Horo82107[[#This Row],[Tâche]],Horo82107[[#This Row],[Durée]],"")</f>
        <v/>
      </c>
      <c r="T19" s="56" t="str">
        <f aca="false">IF("TD"=Horo82107[[#This Row],[Tâche]],Horo82107[[#This Row],[Durée]],"")</f>
        <v/>
      </c>
      <c r="U19" s="55" t="str">
        <f aca="false">IF("N/C"=Horo82107[[#This Row],[Tâche]],Horo82107[[#This Row],[Durée]],"")</f>
        <v/>
      </c>
      <c r="V19" s="58"/>
      <c r="W19" s="59" t="n">
        <f aca="false">IF(Horo82107[[#This Row],[O]]="o",Horo82107[[#This Row],[Durée]],".")</f>
        <v>1</v>
      </c>
      <c r="X19" s="60" t="n">
        <f aca="false">IF(Horo82107[[#This Row],[Début]]=0,"",Horo82107[[#This Row],[Fin]]-Horo82107[[#This Row],[Début]])</f>
        <v>0.0416666666666667</v>
      </c>
    </row>
    <row r="20" customFormat="false" ht="15" hidden="false" customHeight="false" outlineLevel="0" collapsed="false">
      <c r="A20" s="45" t="s">
        <v>31</v>
      </c>
      <c r="B20" s="46" t="n">
        <f aca="false">IF(Horo82107[[#This Row],[Jour]]="Lundi",$C$1+1, IF(Horo82107[[#This Row],[Jour]]="Mardi",$C$1+2, IF(Horo82107[[#This Row],[Jour]]="Mercredi",$C$1+3, IF(Horo82107[[#This Row],[Jour]]="Jeudi",$C$1+4, IF(Horo82107[[#This Row],[Jour]]="Vendredi",$C$1+5, IF(Horo82107[[#This Row],[Jour]]="Samedi",$C$1+6, IF(Horo82107[[#This Row],[Jour]]="Dimanche",$C$1, )))))))</f>
        <v>44443</v>
      </c>
      <c r="C20" s="47" t="s">
        <v>4</v>
      </c>
      <c r="D20" s="48" t="n">
        <v>0.354166666666667</v>
      </c>
      <c r="E20" s="48" t="n">
        <v>0.375</v>
      </c>
      <c r="F20" s="49" t="s">
        <v>75</v>
      </c>
      <c r="G20" s="49" t="s">
        <v>19</v>
      </c>
      <c r="H20" s="50" t="s">
        <v>55</v>
      </c>
      <c r="I20" s="61"/>
      <c r="J20" s="52" t="n">
        <f aca="false">IF(Horo82107[[#This Row],[Début]]=0,"",(Horo82107[[#This Row],[Durée (60)2]]-INT(Horo82107[[#This Row],[Durée (60)2]]))*24)</f>
        <v>0.5</v>
      </c>
      <c r="K20" s="62" t="n">
        <f aca="false">SUMIF(Horo82107[Jour],C20,Horo82107[Durée])</f>
        <v>8.75</v>
      </c>
      <c r="L20" s="54" t="n">
        <f aca="false">IFERROR(SUMIF(Horo82107[[#This Row],[Jour]],Horo82107[[#This Row],[Jour]],Horo82107[[#This Row],[GPF]]) / Horo82107[[#This Row],[hrs]],"")</f>
        <v>0.0571428571428571</v>
      </c>
      <c r="M20" s="56" t="n">
        <f aca="false">IF("GPF"=Horo82107[[#This Row],[Tâche]],Horo82107[[#This Row],[Durée]],"")</f>
        <v>0.5</v>
      </c>
      <c r="N20" s="56" t="str">
        <f aca="false">IF("RI"=Horo82107[[#This Row],[Tâche]],Horo82107[[#This Row],[Durée]],"")</f>
        <v/>
      </c>
      <c r="O20" s="56" t="str">
        <f aca="false">IF("GB"=Horo82107[[#This Row],[Tâche]],Horo82107[[#This Row],[Durée]],"")</f>
        <v/>
      </c>
      <c r="P20" s="56" t="str">
        <f aca="false">IF("RD"=Horo82107[[#This Row],[Tâche]],Horo82107[[#This Row],[Durée]],"")</f>
        <v/>
      </c>
      <c r="Q20" s="56" t="str">
        <f aca="false">IF("FG"=Horo82107[[#This Row],[Tâche]],Horo82107[[#This Row],[Durée]],"")</f>
        <v/>
      </c>
      <c r="R20" s="56" t="str">
        <f aca="false">IF("CONGÉ"=Horo82107[[#This Row],[Tâche]],Horo82107[[#This Row],[Durée]],"")</f>
        <v/>
      </c>
      <c r="S20" s="57" t="str">
        <f aca="false">IF("PS"=Horo82107[[#This Row],[Tâche]],Horo82107[[#This Row],[Durée]],"")</f>
        <v/>
      </c>
      <c r="T20" s="56" t="str">
        <f aca="false">IF("TD"=Horo82107[[#This Row],[Tâche]],Horo82107[[#This Row],[Durée]],"")</f>
        <v/>
      </c>
      <c r="U20" s="55" t="str">
        <f aca="false">IF("N/C"=Horo82107[[#This Row],[Tâche]],Horo82107[[#This Row],[Durée]],"")</f>
        <v/>
      </c>
      <c r="V20" s="58"/>
      <c r="W20" s="59" t="n">
        <f aca="false">IF(Horo82107[[#This Row],[O]]="o",Horo82107[[#This Row],[Durée]],".")</f>
        <v>0.5</v>
      </c>
      <c r="X20" s="60" t="n">
        <f aca="false">IF(Horo82107[[#This Row],[Début]]=0,"",Horo82107[[#This Row],[Fin]]-Horo82107[[#This Row],[Début]])</f>
        <v>0.0208333333333333</v>
      </c>
    </row>
    <row r="21" customFormat="false" ht="15" hidden="false" customHeight="false" outlineLevel="0" collapsed="false">
      <c r="A21" s="45" t="s">
        <v>31</v>
      </c>
      <c r="B21" s="46" t="n">
        <f aca="false">IF(Horo82107[[#This Row],[Jour]]="Lundi",$C$1+1, IF(Horo82107[[#This Row],[Jour]]="Mardi",$C$1+2, IF(Horo82107[[#This Row],[Jour]]="Mercredi",$C$1+3, IF(Horo82107[[#This Row],[Jour]]="Jeudi",$C$1+4, IF(Horo82107[[#This Row],[Jour]]="Vendredi",$C$1+5, IF(Horo82107[[#This Row],[Jour]]="Samedi",$C$1+6, IF(Horo82107[[#This Row],[Jour]]="Dimanche",$C$1, )))))))</f>
        <v>44443</v>
      </c>
      <c r="C21" s="47" t="s">
        <v>4</v>
      </c>
      <c r="D21" s="48" t="n">
        <v>0.375</v>
      </c>
      <c r="E21" s="48" t="n">
        <v>0.479166666666667</v>
      </c>
      <c r="F21" s="49" t="s">
        <v>32</v>
      </c>
      <c r="G21" s="49" t="s">
        <v>22</v>
      </c>
      <c r="H21" s="50" t="s">
        <v>118</v>
      </c>
      <c r="I21" s="61" t="s">
        <v>161</v>
      </c>
      <c r="J21" s="52" t="n">
        <f aca="false">IF(Horo82107[[#This Row],[Début]]=0,"",(Horo82107[[#This Row],[Durée (60)2]]-INT(Horo82107[[#This Row],[Durée (60)2]]))*24)</f>
        <v>2.5</v>
      </c>
      <c r="K21" s="62" t="n">
        <f aca="false">SUMIF(Horo82107[Jour],C21,Horo82107[Durée])</f>
        <v>8.75</v>
      </c>
      <c r="L21" s="54" t="n">
        <f aca="false">IFERROR(SUMIF(Horo82107[[#This Row],[Jour]],Horo82107[[#This Row],[Jour]],Horo82107[[#This Row],[GPF]]) / Horo82107[[#This Row],[hrs]],"")</f>
        <v>0</v>
      </c>
      <c r="M21" s="56" t="str">
        <f aca="false">IF("GPF"=Horo82107[[#This Row],[Tâche]],Horo82107[[#This Row],[Durée]],"")</f>
        <v/>
      </c>
      <c r="N21" s="56" t="str">
        <f aca="false">IF("RI"=Horo82107[[#This Row],[Tâche]],Horo82107[[#This Row],[Durée]],"")</f>
        <v/>
      </c>
      <c r="O21" s="56" t="str">
        <f aca="false">IF("GB"=Horo82107[[#This Row],[Tâche]],Horo82107[[#This Row],[Durée]],"")</f>
        <v/>
      </c>
      <c r="P21" s="56" t="n">
        <f aca="false">IF("RD"=Horo82107[[#This Row],[Tâche]],Horo82107[[#This Row],[Durée]],"")</f>
        <v>2.5</v>
      </c>
      <c r="Q21" s="56" t="str">
        <f aca="false">IF("FG"=Horo82107[[#This Row],[Tâche]],Horo82107[[#This Row],[Durée]],"")</f>
        <v/>
      </c>
      <c r="R21" s="56" t="str">
        <f aca="false">IF("CONGÉ"=Horo82107[[#This Row],[Tâche]],Horo82107[[#This Row],[Durée]],"")</f>
        <v/>
      </c>
      <c r="S21" s="57" t="str">
        <f aca="false">IF("PS"=Horo82107[[#This Row],[Tâche]],Horo82107[[#This Row],[Durée]],"")</f>
        <v/>
      </c>
      <c r="T21" s="56" t="str">
        <f aca="false">IF("TD"=Horo82107[[#This Row],[Tâche]],Horo82107[[#This Row],[Durée]],"")</f>
        <v/>
      </c>
      <c r="U21" s="55" t="str">
        <f aca="false">IF("N/C"=Horo82107[[#This Row],[Tâche]],Horo82107[[#This Row],[Durée]],"")</f>
        <v/>
      </c>
      <c r="V21" s="58"/>
      <c r="W21" s="59" t="n">
        <f aca="false">IF(Horo82107[[#This Row],[O]]="o",Horo82107[[#This Row],[Durée]],".")</f>
        <v>2.5</v>
      </c>
      <c r="X21" s="60" t="n">
        <f aca="false">IF(Horo82107[[#This Row],[Début]]=0,"",Horo82107[[#This Row],[Fin]]-Horo82107[[#This Row],[Début]])</f>
        <v>0.104166666666667</v>
      </c>
    </row>
    <row r="22" customFormat="false" ht="15" hidden="false" customHeight="false" outlineLevel="0" collapsed="false">
      <c r="A22" s="45" t="s">
        <v>31</v>
      </c>
      <c r="B22" s="46" t="n">
        <f aca="false">IF(Horo82107[[#This Row],[Jour]]="Lundi",$C$1+1, IF(Horo82107[[#This Row],[Jour]]="Mardi",$C$1+2, IF(Horo82107[[#This Row],[Jour]]="Mercredi",$C$1+3, IF(Horo82107[[#This Row],[Jour]]="Jeudi",$C$1+4, IF(Horo82107[[#This Row],[Jour]]="Vendredi",$C$1+5, IF(Horo82107[[#This Row],[Jour]]="Samedi",$C$1+6, IF(Horo82107[[#This Row],[Jour]]="Dimanche",$C$1, )))))))</f>
        <v>44443</v>
      </c>
      <c r="C22" s="47" t="s">
        <v>4</v>
      </c>
      <c r="D22" s="48" t="n">
        <v>0.479166666666667</v>
      </c>
      <c r="E22" s="48" t="n">
        <v>0.510416666666667</v>
      </c>
      <c r="F22" s="49" t="s">
        <v>59</v>
      </c>
      <c r="G22" s="49" t="s">
        <v>19</v>
      </c>
      <c r="H22" s="50" t="s">
        <v>55</v>
      </c>
      <c r="I22" s="61"/>
      <c r="J22" s="52" t="n">
        <f aca="false">IF(Horo82107[[#This Row],[Début]]=0,"",(Horo82107[[#This Row],[Durée (60)2]]-INT(Horo82107[[#This Row],[Durée (60)2]]))*24)</f>
        <v>0.749999999999999</v>
      </c>
      <c r="K22" s="62" t="n">
        <f aca="false">SUMIF(Horo82107[Jour],C22,Horo82107[Durée])</f>
        <v>8.75</v>
      </c>
      <c r="L22" s="54" t="n">
        <f aca="false">IFERROR(SUMIF(Horo82107[[#This Row],[Jour]],Horo82107[[#This Row],[Jour]],Horo82107[[#This Row],[GPF]]) / Horo82107[[#This Row],[hrs]],"")</f>
        <v>0.0857142857142856</v>
      </c>
      <c r="M22" s="56" t="n">
        <f aca="false">IF("GPF"=Horo82107[[#This Row],[Tâche]],Horo82107[[#This Row],[Durée]],"")</f>
        <v>0.749999999999999</v>
      </c>
      <c r="N22" s="56" t="str">
        <f aca="false">IF("RI"=Horo82107[[#This Row],[Tâche]],Horo82107[[#This Row],[Durée]],"")</f>
        <v/>
      </c>
      <c r="O22" s="56" t="str">
        <f aca="false">IF("GB"=Horo82107[[#This Row],[Tâche]],Horo82107[[#This Row],[Durée]],"")</f>
        <v/>
      </c>
      <c r="P22" s="56" t="str">
        <f aca="false">IF("RD"=Horo82107[[#This Row],[Tâche]],Horo82107[[#This Row],[Durée]],"")</f>
        <v/>
      </c>
      <c r="Q22" s="56" t="str">
        <f aca="false">IF("FG"=Horo82107[[#This Row],[Tâche]],Horo82107[[#This Row],[Durée]],"")</f>
        <v/>
      </c>
      <c r="R22" s="56" t="str">
        <f aca="false">IF("CONGÉ"=Horo82107[[#This Row],[Tâche]],Horo82107[[#This Row],[Durée]],"")</f>
        <v/>
      </c>
      <c r="S22" s="57" t="str">
        <f aca="false">IF("PS"=Horo82107[[#This Row],[Tâche]],Horo82107[[#This Row],[Durée]],"")</f>
        <v/>
      </c>
      <c r="T22" s="56" t="str">
        <f aca="false">IF("TD"=Horo82107[[#This Row],[Tâche]],Horo82107[[#This Row],[Durée]],"")</f>
        <v/>
      </c>
      <c r="U22" s="55" t="str">
        <f aca="false">IF("N/C"=Horo82107[[#This Row],[Tâche]],Horo82107[[#This Row],[Durée]],"")</f>
        <v/>
      </c>
      <c r="V22" s="58"/>
      <c r="W22" s="59" t="n">
        <f aca="false">IF(Horo82107[[#This Row],[O]]="o",Horo82107[[#This Row],[Durée]],".")</f>
        <v>0.749999999999999</v>
      </c>
      <c r="X22" s="60" t="n">
        <f aca="false">IF(Horo82107[[#This Row],[Début]]=0,"",Horo82107[[#This Row],[Fin]]-Horo82107[[#This Row],[Début]])</f>
        <v>0.0312499999999999</v>
      </c>
    </row>
    <row r="23" customFormat="false" ht="15" hidden="false" customHeight="false" outlineLevel="0" collapsed="false">
      <c r="A23" s="45" t="s">
        <v>31</v>
      </c>
      <c r="B23" s="46" t="n">
        <f aca="false">IF(Horo82107[[#This Row],[Jour]]="Lundi",$C$1+1, IF(Horo82107[[#This Row],[Jour]]="Mardi",$C$1+2, IF(Horo82107[[#This Row],[Jour]]="Mercredi",$C$1+3, IF(Horo82107[[#This Row],[Jour]]="Jeudi",$C$1+4, IF(Horo82107[[#This Row],[Jour]]="Vendredi",$C$1+5, IF(Horo82107[[#This Row],[Jour]]="Samedi",$C$1+6, IF(Horo82107[[#This Row],[Jour]]="Dimanche",$C$1, )))))))</f>
        <v>44443</v>
      </c>
      <c r="C23" s="47" t="s">
        <v>4</v>
      </c>
      <c r="D23" s="48" t="n">
        <v>0.583333333333333</v>
      </c>
      <c r="E23" s="48" t="n">
        <v>0.625</v>
      </c>
      <c r="F23" s="49" t="s">
        <v>32</v>
      </c>
      <c r="G23" s="49" t="s">
        <v>22</v>
      </c>
      <c r="H23" s="50" t="s">
        <v>118</v>
      </c>
      <c r="I23" s="61" t="s">
        <v>161</v>
      </c>
      <c r="J23" s="52" t="n">
        <f aca="false">IF(Horo82107[[#This Row],[Début]]=0,"",(Horo82107[[#This Row],[Durée (60)2]]-INT(Horo82107[[#This Row],[Durée (60)2]]))*24)</f>
        <v>0.999999999999999</v>
      </c>
      <c r="K23" s="62" t="n">
        <f aca="false">SUMIF(Horo82107[Jour],C23,Horo82107[Durée])</f>
        <v>8.75</v>
      </c>
      <c r="L23" s="54" t="n">
        <f aca="false">IFERROR(SUMIF(Horo82107[[#This Row],[Jour]],Horo82107[[#This Row],[Jour]],Horo82107[[#This Row],[GPF]]) / Horo82107[[#This Row],[hrs]],"")</f>
        <v>0</v>
      </c>
      <c r="M23" s="56" t="str">
        <f aca="false">IF("GPF"=Horo82107[[#This Row],[Tâche]],Horo82107[[#This Row],[Durée]],"")</f>
        <v/>
      </c>
      <c r="N23" s="56" t="str">
        <f aca="false">IF("RI"=Horo82107[[#This Row],[Tâche]],Horo82107[[#This Row],[Durée]],"")</f>
        <v/>
      </c>
      <c r="O23" s="56" t="str">
        <f aca="false">IF("GB"=Horo82107[[#This Row],[Tâche]],Horo82107[[#This Row],[Durée]],"")</f>
        <v/>
      </c>
      <c r="P23" s="56" t="n">
        <f aca="false">IF("RD"=Horo82107[[#This Row],[Tâche]],Horo82107[[#This Row],[Durée]],"")</f>
        <v>0.999999999999999</v>
      </c>
      <c r="Q23" s="56" t="str">
        <f aca="false">IF("FG"=Horo82107[[#This Row],[Tâche]],Horo82107[[#This Row],[Durée]],"")</f>
        <v/>
      </c>
      <c r="R23" s="56" t="str">
        <f aca="false">IF("CONGÉ"=Horo82107[[#This Row],[Tâche]],Horo82107[[#This Row],[Durée]],"")</f>
        <v/>
      </c>
      <c r="S23" s="57" t="str">
        <f aca="false">IF("PS"=Horo82107[[#This Row],[Tâche]],Horo82107[[#This Row],[Durée]],"")</f>
        <v/>
      </c>
      <c r="T23" s="56" t="str">
        <f aca="false">IF("TD"=Horo82107[[#This Row],[Tâche]],Horo82107[[#This Row],[Durée]],"")</f>
        <v/>
      </c>
      <c r="U23" s="55" t="str">
        <f aca="false">IF("N/C"=Horo82107[[#This Row],[Tâche]],Horo82107[[#This Row],[Durée]],"")</f>
        <v/>
      </c>
      <c r="V23" s="58"/>
      <c r="W23" s="59" t="n">
        <f aca="false">IF(Horo82107[[#This Row],[O]]="o",Horo82107[[#This Row],[Durée]],".")</f>
        <v>0.999999999999999</v>
      </c>
      <c r="X23" s="60" t="n">
        <f aca="false">IF(Horo82107[[#This Row],[Début]]=0,"",Horo82107[[#This Row],[Fin]]-Horo82107[[#This Row],[Début]])</f>
        <v>0.0416666666666666</v>
      </c>
    </row>
    <row r="24" customFormat="false" ht="15" hidden="false" customHeight="false" outlineLevel="0" collapsed="false">
      <c r="A24" s="45" t="s">
        <v>31</v>
      </c>
      <c r="B24" s="46" t="n">
        <f aca="false">IF(Horo82107[[#This Row],[Jour]]="Lundi",$C$1+1, IF(Horo82107[[#This Row],[Jour]]="Mardi",$C$1+2, IF(Horo82107[[#This Row],[Jour]]="Mercredi",$C$1+3, IF(Horo82107[[#This Row],[Jour]]="Jeudi",$C$1+4, IF(Horo82107[[#This Row],[Jour]]="Vendredi",$C$1+5, IF(Horo82107[[#This Row],[Jour]]="Samedi",$C$1+6, IF(Horo82107[[#This Row],[Jour]]="Dimanche",$C$1, )))))))</f>
        <v>44443</v>
      </c>
      <c r="C24" s="47" t="s">
        <v>4</v>
      </c>
      <c r="D24" s="48" t="n">
        <v>0.625</v>
      </c>
      <c r="E24" s="48" t="n">
        <v>0.708333333333333</v>
      </c>
      <c r="F24" s="49" t="s">
        <v>32</v>
      </c>
      <c r="G24" s="49" t="s">
        <v>23</v>
      </c>
      <c r="H24" s="50" t="s">
        <v>109</v>
      </c>
      <c r="I24" s="61"/>
      <c r="J24" s="52" t="n">
        <f aca="false">IF(Horo82107[[#This Row],[Début]]=0,"",(Horo82107[[#This Row],[Durée (60)2]]-INT(Horo82107[[#This Row],[Durée (60)2]]))*24)</f>
        <v>2</v>
      </c>
      <c r="K24" s="62" t="n">
        <f aca="false">SUMIF(Horo82107[Jour],C24,Horo82107[Durée])</f>
        <v>8.75</v>
      </c>
      <c r="L24" s="54" t="n">
        <f aca="false">IFERROR(SUMIF(Horo82107[[#This Row],[Jour]],Horo82107[[#This Row],[Jour]],Horo82107[[#This Row],[GPF]]) / Horo82107[[#This Row],[hrs]],"")</f>
        <v>0</v>
      </c>
      <c r="M24" s="56" t="str">
        <f aca="false">IF("GPF"=Horo82107[[#This Row],[Tâche]],Horo82107[[#This Row],[Durée]],"")</f>
        <v/>
      </c>
      <c r="N24" s="56" t="str">
        <f aca="false">IF("RI"=Horo82107[[#This Row],[Tâche]],Horo82107[[#This Row],[Durée]],"")</f>
        <v/>
      </c>
      <c r="O24" s="56" t="str">
        <f aca="false">IF("GB"=Horo82107[[#This Row],[Tâche]],Horo82107[[#This Row],[Durée]],"")</f>
        <v/>
      </c>
      <c r="P24" s="56" t="str">
        <f aca="false">IF("RD"=Horo82107[[#This Row],[Tâche]],Horo82107[[#This Row],[Durée]],"")</f>
        <v/>
      </c>
      <c r="Q24" s="56" t="n">
        <f aca="false">IF("FG"=Horo82107[[#This Row],[Tâche]],Horo82107[[#This Row],[Durée]],"")</f>
        <v>2</v>
      </c>
      <c r="R24" s="56" t="str">
        <f aca="false">IF("CONGÉ"=Horo82107[[#This Row],[Tâche]],Horo82107[[#This Row],[Durée]],"")</f>
        <v/>
      </c>
      <c r="S24" s="57" t="str">
        <f aca="false">IF("PS"=Horo82107[[#This Row],[Tâche]],Horo82107[[#This Row],[Durée]],"")</f>
        <v/>
      </c>
      <c r="T24" s="56" t="str">
        <f aca="false">IF("TD"=Horo82107[[#This Row],[Tâche]],Horo82107[[#This Row],[Durée]],"")</f>
        <v/>
      </c>
      <c r="U24" s="55" t="str">
        <f aca="false">IF("N/C"=Horo82107[[#This Row],[Tâche]],Horo82107[[#This Row],[Durée]],"")</f>
        <v/>
      </c>
      <c r="V24" s="58"/>
      <c r="W24" s="59" t="n">
        <f aca="false">IF(Horo82107[[#This Row],[O]]="o",Horo82107[[#This Row],[Durée]],".")</f>
        <v>2</v>
      </c>
      <c r="X24" s="60" t="n">
        <f aca="false">IF(Horo82107[[#This Row],[Début]]=0,"",Horo82107[[#This Row],[Fin]]-Horo82107[[#This Row],[Début]])</f>
        <v>0.0833333333333334</v>
      </c>
    </row>
    <row r="25" customFormat="false" ht="15" hidden="false" customHeight="false" outlineLevel="0" collapsed="false">
      <c r="A25" s="45" t="s">
        <v>31</v>
      </c>
      <c r="B25" s="46" t="n">
        <f aca="false">IF(Horo82107[[#This Row],[Jour]]="Lundi",$C$1+1, IF(Horo82107[[#This Row],[Jour]]="Mardi",$C$1+2, IF(Horo82107[[#This Row],[Jour]]="Mercredi",$C$1+3, IF(Horo82107[[#This Row],[Jour]]="Jeudi",$C$1+4, IF(Horo82107[[#This Row],[Jour]]="Vendredi",$C$1+5, IF(Horo82107[[#This Row],[Jour]]="Samedi",$C$1+6, IF(Horo82107[[#This Row],[Jour]]="Dimanche",$C$1, )))))))</f>
        <v>44443</v>
      </c>
      <c r="C25" s="47" t="s">
        <v>4</v>
      </c>
      <c r="D25" s="48" t="n">
        <v>0.708333333333333</v>
      </c>
      <c r="E25" s="48" t="n">
        <v>0.75</v>
      </c>
      <c r="F25" s="49" t="s">
        <v>32</v>
      </c>
      <c r="G25" s="49" t="s">
        <v>21</v>
      </c>
      <c r="H25" s="50" t="s">
        <v>33</v>
      </c>
      <c r="I25" s="61"/>
      <c r="J25" s="52" t="n">
        <f aca="false">IF(Horo82107[[#This Row],[Début]]=0,"",(Horo82107[[#This Row],[Durée (60)2]]-INT(Horo82107[[#This Row],[Durée (60)2]]))*24)</f>
        <v>0.999999999999999</v>
      </c>
      <c r="K25" s="62" t="n">
        <f aca="false">SUMIF(Horo82107[Jour],C25,Horo82107[Durée])</f>
        <v>8.75</v>
      </c>
      <c r="L25" s="54" t="n">
        <f aca="false">IFERROR(SUMIF(Horo82107[[#This Row],[Jour]],Horo82107[[#This Row],[Jour]],Horo82107[[#This Row],[GPF]]) / Horo82107[[#This Row],[hrs]],"")</f>
        <v>0</v>
      </c>
      <c r="M25" s="56" t="str">
        <f aca="false">IF("GPF"=Horo82107[[#This Row],[Tâche]],Horo82107[[#This Row],[Durée]],"")</f>
        <v/>
      </c>
      <c r="N25" s="56" t="str">
        <f aca="false">IF("RI"=Horo82107[[#This Row],[Tâche]],Horo82107[[#This Row],[Durée]],"")</f>
        <v/>
      </c>
      <c r="O25" s="56" t="n">
        <f aca="false">IF("GB"=Horo82107[[#This Row],[Tâche]],Horo82107[[#This Row],[Durée]],"")</f>
        <v>0.999999999999999</v>
      </c>
      <c r="P25" s="56" t="str">
        <f aca="false">IF("RD"=Horo82107[[#This Row],[Tâche]],Horo82107[[#This Row],[Durée]],"")</f>
        <v/>
      </c>
      <c r="Q25" s="56" t="str">
        <f aca="false">IF("FG"=Horo82107[[#This Row],[Tâche]],Horo82107[[#This Row],[Durée]],"")</f>
        <v/>
      </c>
      <c r="R25" s="56" t="str">
        <f aca="false">IF("CONGÉ"=Horo82107[[#This Row],[Tâche]],Horo82107[[#This Row],[Durée]],"")</f>
        <v/>
      </c>
      <c r="S25" s="57" t="str">
        <f aca="false">IF("PS"=Horo82107[[#This Row],[Tâche]],Horo82107[[#This Row],[Durée]],"")</f>
        <v/>
      </c>
      <c r="T25" s="56" t="str">
        <f aca="false">IF("TD"=Horo82107[[#This Row],[Tâche]],Horo82107[[#This Row],[Durée]],"")</f>
        <v/>
      </c>
      <c r="U25" s="55" t="str">
        <f aca="false">IF("N/C"=Horo82107[[#This Row],[Tâche]],Horo82107[[#This Row],[Durée]],"")</f>
        <v/>
      </c>
      <c r="V25" s="58"/>
      <c r="W25" s="59" t="n">
        <f aca="false">IF(Horo82107[[#This Row],[O]]="o",Horo82107[[#This Row],[Durée]],".")</f>
        <v>0.999999999999999</v>
      </c>
      <c r="X25" s="60" t="n">
        <f aca="false">IF(Horo82107[[#This Row],[Début]]=0,"",Horo82107[[#This Row],[Fin]]-Horo82107[[#This Row],[Début]])</f>
        <v>0.0416666666666666</v>
      </c>
    </row>
    <row r="26" customFormat="false" ht="15" hidden="false" customHeight="false" outlineLevel="0" collapsed="false">
      <c r="A26" s="45" t="s">
        <v>33</v>
      </c>
      <c r="B26" s="46" t="n">
        <f aca="false">IF(Horo82107[[#This Row],[Jour]]="Lundi",$C$1+1, IF(Horo82107[[#This Row],[Jour]]="Mardi",$C$1+2, IF(Horo82107[[#This Row],[Jour]]="Mercredi",$C$1+3, IF(Horo82107[[#This Row],[Jour]]="Jeudi",$C$1+4, IF(Horo82107[[#This Row],[Jour]]="Vendredi",$C$1+5, IF(Horo82107[[#This Row],[Jour]]="Samedi",$C$1+6, IF(Horo82107[[#This Row],[Jour]]="Dimanche",$C$1, )))))))</f>
        <v>0</v>
      </c>
      <c r="C26" s="47"/>
      <c r="D26" s="48"/>
      <c r="E26" s="48"/>
      <c r="F26" s="49" t="s">
        <v>32</v>
      </c>
      <c r="G26" s="49" t="s">
        <v>27</v>
      </c>
      <c r="H26" s="50" t="s">
        <v>33</v>
      </c>
      <c r="I26" s="61"/>
      <c r="J26" s="52" t="str">
        <f aca="false">IF(Horo82107[[#This Row],[Début]]=0,"",(Horo82107[[#This Row],[Durée (60)2]]-INT(Horo82107[[#This Row],[Durée (60)2]]))*24)</f>
        <v/>
      </c>
      <c r="K26" s="62" t="n">
        <f aca="false">SUMIF(Horo82107[Jour],C26,Horo82107[Durée])</f>
        <v>0</v>
      </c>
      <c r="L26" s="54" t="str">
        <f aca="false">IFERROR(SUMIF(Horo82107[[#This Row],[Jour]],Horo82107[[#This Row],[Jour]],Horo82107[[#This Row],[GPF]]) / Horo82107[[#This Row],[hrs]],"")</f>
        <v/>
      </c>
      <c r="M26" s="56" t="str">
        <f aca="false">IF("GPF"=Horo82107[[#This Row],[Tâche]],Horo82107[[#This Row],[Durée]],"")</f>
        <v/>
      </c>
      <c r="N26" s="56" t="str">
        <f aca="false">IF("RI"=Horo82107[[#This Row],[Tâche]],Horo82107[[#This Row],[Durée]],"")</f>
        <v/>
      </c>
      <c r="O26" s="56" t="str">
        <f aca="false">IF("GB"=Horo82107[[#This Row],[Tâche]],Horo82107[[#This Row],[Durée]],"")</f>
        <v/>
      </c>
      <c r="P26" s="56" t="str">
        <f aca="false">IF("RD"=Horo82107[[#This Row],[Tâche]],Horo82107[[#This Row],[Durée]],"")</f>
        <v/>
      </c>
      <c r="Q26" s="56" t="str">
        <f aca="false">IF("FG"=Horo82107[[#This Row],[Tâche]],Horo82107[[#This Row],[Durée]],"")</f>
        <v/>
      </c>
      <c r="R26" s="56" t="str">
        <f aca="false">IF("CONGÉ"=Horo82107[[#This Row],[Tâche]],Horo82107[[#This Row],[Durée]],"")</f>
        <v/>
      </c>
      <c r="S26" s="56" t="str">
        <f aca="false">IF("PS"=Horo82107[[#This Row],[Tâche]],Horo82107[[#This Row],[Durée]],"")</f>
        <v/>
      </c>
      <c r="T26" s="56" t="str">
        <f aca="false">IF("TD"=Horo82107[[#This Row],[Tâche]],Horo82107[[#This Row],[Durée]],"")</f>
        <v/>
      </c>
      <c r="U26" s="56" t="str">
        <f aca="false">IF("N/C"=Horo82107[[#This Row],[Tâche]],Horo82107[[#This Row],[Durée]],"")</f>
        <v/>
      </c>
      <c r="V26" s="58"/>
      <c r="W26" s="59" t="str">
        <f aca="false">IF(Horo82107[[#This Row],[O]]="o",Horo82107[[#This Row],[Durée]],".")</f>
        <v>.</v>
      </c>
      <c r="X26" s="64" t="str">
        <f aca="false">IF(Horo82107[[#This Row],[Début]]=0,"",Horo82107[[#This Row],[Fin]]-Horo82107[[#This Row],[Début]])</f>
        <v/>
      </c>
    </row>
    <row r="32" s="3" customFormat="true" ht="15" hidden="false" customHeight="false" outlineLevel="0" collapsed="false">
      <c r="L32" s="65"/>
    </row>
    <row r="33" customFormat="false" ht="15" hidden="false" customHeight="false" outlineLevel="0" collapsed="false">
      <c r="A33" s="66" t="s">
        <v>18</v>
      </c>
      <c r="B33" s="66" t="s">
        <v>57</v>
      </c>
      <c r="C33" s="66" t="s">
        <v>58</v>
      </c>
    </row>
    <row r="34" customFormat="false" ht="15" hidden="false" customHeight="false" outlineLevel="0" collapsed="false">
      <c r="A34" s="67" t="n">
        <f aca="false">IF((SUMIF(Horo82107[Client],B34,Horo82107[Durée]) / Total)=0,"",(SUMIF(Horo82107[Client],B34,Horo82107[Durée]) / Total))</f>
        <v>0.941558441558442</v>
      </c>
      <c r="B34" s="68" t="s">
        <v>32</v>
      </c>
      <c r="C34" s="69" t="n">
        <f aca="false">IF(SUMIF(Horo82107[Client],B34,Horo82107[Durée])=0,"",SUMIF(Horo82107[Client],B34,Horo82107[Durée]))</f>
        <v>36.25</v>
      </c>
    </row>
    <row r="35" customFormat="false" ht="15" hidden="false" customHeight="false" outlineLevel="0" collapsed="false">
      <c r="A35" s="67" t="n">
        <f aca="false">IF((SUMIF(Horo82107[Client],B35,Horo82107[Durée]) / Total)=0,"",(SUMIF(Horo82107[Client],B35,Horo82107[Durée]) / Total))</f>
        <v>0.0194805194805194</v>
      </c>
      <c r="B35" s="68" t="s">
        <v>59</v>
      </c>
      <c r="C35" s="69" t="n">
        <f aca="false">IF(SUMIF(Horo82107[Client],B35,Horo82107[Durée])=0,"",SUMIF(Horo82107[Client],B35,Horo82107[Durée]))</f>
        <v>0.749999999999999</v>
      </c>
      <c r="I35" s="61"/>
    </row>
    <row r="36" customFormat="false" ht="15" hidden="true" customHeight="false" outlineLevel="0" collapsed="false">
      <c r="A36" s="67" t="str">
        <f aca="false">IF((SUMIF(Horo82107[Client],B36,Horo82107[Durée]) / Total)=0,"",(SUMIF(Horo82107[Client],B36,Horo82107[Durée]) / Total))</f>
        <v/>
      </c>
      <c r="B36" s="68" t="s">
        <v>60</v>
      </c>
      <c r="C36" s="70" t="str">
        <f aca="false">IF(SUMIF(Horo82107[Client],B36,Horo82107[Durée])=0,"",SUMIF(Horo82107[Client],B36,Horo82107[Durée]))</f>
        <v/>
      </c>
    </row>
    <row r="37" customFormat="false" ht="15" hidden="false" customHeight="false" outlineLevel="0" collapsed="false">
      <c r="A37" s="67" t="n">
        <f aca="false">IF((SUMIF(Horo82107[Client],B37,Horo82107[Durée]) / Total)=0,"",(SUMIF(Horo82107[Client],B37,Horo82107[Durée]) / Total))</f>
        <v>0.0129870129870129</v>
      </c>
      <c r="B37" s="68" t="s">
        <v>61</v>
      </c>
      <c r="C37" s="70" t="n">
        <f aca="false">IF(SUMIF(Horo82107[Client],B37,Horo82107[Durée])=0,"",SUMIF(Horo82107[Client],B37,Horo82107[Durée]))</f>
        <v>0.499999999999998</v>
      </c>
      <c r="I37" s="61"/>
    </row>
    <row r="38" customFormat="false" ht="15" hidden="true" customHeight="false" outlineLevel="0" collapsed="false">
      <c r="A38" s="67" t="str">
        <f aca="false">IF((SUMIF(Horo82107[Client],B38,Horo82107[Durée]) / Total)=0,"",(SUMIF(Horo82107[Client],B38,Horo82107[Durée]) / Total))</f>
        <v/>
      </c>
      <c r="B38" s="68" t="s">
        <v>62</v>
      </c>
      <c r="C38" s="70" t="str">
        <f aca="false">IF(SUMIF(Horo82107[Client],B38,Horo82107[Durée])=0,"",SUMIF(Horo82107[Client],B38,Horo82107[Durée]))</f>
        <v/>
      </c>
    </row>
    <row r="39" customFormat="false" ht="15" hidden="true" customHeight="false" outlineLevel="0" collapsed="false">
      <c r="A39" s="67" t="str">
        <f aca="false">IF((SUMIF(Horo82107[Client],B39,Horo82107[Durée]) / Total)=0,"",(SUMIF(Horo82107[Client],B39,Horo82107[Durée]) / Total))</f>
        <v/>
      </c>
      <c r="B39" s="68" t="s">
        <v>63</v>
      </c>
      <c r="C39" s="69" t="str">
        <f aca="false">IF(SUMIF(Horo82107[Client],B39,Horo82107[Durée])=0,"",SUMIF(Horo82107[Client],B39,Horo82107[Durée]))</f>
        <v/>
      </c>
    </row>
    <row r="40" customFormat="false" ht="15" hidden="true" customHeight="false" outlineLevel="0" collapsed="false">
      <c r="A40" s="67" t="str">
        <f aca="false">IF((SUMIF(Horo82107[Client],B40,Horo82107[Durée]) / Total)=0,"",(SUMIF(Horo82107[Client],B40,Horo82107[Durée]) / Total))</f>
        <v/>
      </c>
      <c r="B40" s="68" t="s">
        <v>64</v>
      </c>
      <c r="C40" s="70" t="str">
        <f aca="false">IF(SUMIF(Horo82107[Client],B40,Horo82107[Durée])=0,"",SUMIF(Horo82107[Client],B40,Horo82107[Durée]))</f>
        <v/>
      </c>
    </row>
    <row r="41" customFormat="false" ht="15" hidden="true" customHeight="false" outlineLevel="0" collapsed="false">
      <c r="A41" s="67" t="str">
        <f aca="false">IF((SUMIF(Horo82107[Client],B41,Horo82107[Durée]) / Total)=0,"",(SUMIF(Horo82107[Client],B41,Horo82107[Durée]) / Total))</f>
        <v/>
      </c>
      <c r="B41" s="68" t="s">
        <v>65</v>
      </c>
      <c r="C41" s="70" t="str">
        <f aca="false">IF(SUMIF(Horo82107[Client],B41,Horo82107[Durée])=0,"",SUMIF(Horo82107[Client],B41,Horo82107[Durée]))</f>
        <v/>
      </c>
      <c r="F41" s="71"/>
    </row>
    <row r="42" customFormat="false" ht="15" hidden="true" customHeight="false" outlineLevel="0" collapsed="false">
      <c r="A42" s="67" t="str">
        <f aca="false">IF((SUMIF(Horo82107[Client],B42,Horo82107[Durée]) / Total)=0,"",(SUMIF(Horo82107[Client],B42,Horo82107[Durée]) / Total))</f>
        <v/>
      </c>
      <c r="B42" s="68" t="s">
        <v>66</v>
      </c>
      <c r="C42" s="69" t="str">
        <f aca="false">IF(SUMIF(Horo82107[Client],B42,Horo82107[Durée])=0,"",SUMIF(Horo82107[Client],B42,Horo82107[Durée]))</f>
        <v/>
      </c>
    </row>
    <row r="43" customFormat="false" ht="15" hidden="true" customHeight="false" outlineLevel="0" collapsed="false">
      <c r="A43" s="67" t="str">
        <f aca="false">IF((SUMIF(Horo82107[Client],B43,Horo82107[Durée]) / Total)=0,"",(SUMIF(Horo82107[Client],B43,Horo82107[Durée]) / Total))</f>
        <v/>
      </c>
      <c r="B43" s="68" t="s">
        <v>47</v>
      </c>
      <c r="C43" s="70" t="str">
        <f aca="false">IF(SUMIF(Horo82107[Client],B43,Horo82107[Durée])=0,"",SUMIF(Horo82107[Client],B43,Horo82107[Durée]))</f>
        <v/>
      </c>
    </row>
    <row r="44" customFormat="false" ht="15" hidden="true" customHeight="false" outlineLevel="0" collapsed="false">
      <c r="A44" s="67" t="str">
        <f aca="false">IF((SUMIF(Horo82107[Client],B44,Horo82107[Durée]) / Total)=0,"",(SUMIF(Horo82107[Client],B44,Horo82107[Durée]) / Total))</f>
        <v/>
      </c>
      <c r="B44" s="68" t="s">
        <v>67</v>
      </c>
      <c r="C44" s="70" t="str">
        <f aca="false">IF(SUMIF(Horo82107[Client],B44,Horo82107[Durée])=0,"",SUMIF(Horo82107[Client],B44,Horo82107[Durée]))</f>
        <v/>
      </c>
    </row>
    <row r="45" customFormat="false" ht="15" hidden="true" customHeight="false" outlineLevel="0" collapsed="false">
      <c r="A45" s="67" t="str">
        <f aca="false">IF((SUMIF(Horo82107[Client],B45,Horo82107[Durée]) / Total)=0,"",(SUMIF(Horo82107[Client],B45,Horo82107[Durée]) / Total))</f>
        <v/>
      </c>
      <c r="B45" s="68" t="s">
        <v>68</v>
      </c>
      <c r="C45" s="70" t="str">
        <f aca="false">IF(SUMIF(Horo82107[Client],B45,Horo82107[Durée])=0,"",SUMIF(Horo82107[Client],B45,Horo82107[Durée]))</f>
        <v/>
      </c>
    </row>
    <row r="46" customFormat="false" ht="15" hidden="true" customHeight="false" outlineLevel="0" collapsed="false">
      <c r="A46" s="67" t="str">
        <f aca="false">IF((SUMIF(Horo82107[Client],B46,Horo82107[Durée]) / Total)=0,"",(SUMIF(Horo82107[Client],B46,Horo82107[Durée]) / Total))</f>
        <v/>
      </c>
      <c r="B46" s="68" t="s">
        <v>41</v>
      </c>
      <c r="C46" s="70" t="str">
        <f aca="false">IF(SUMIF(Horo82107[Client],B46,Horo82107[Durée])=0,"",SUMIF(Horo82107[Client],B46,Horo82107[Durée]))</f>
        <v/>
      </c>
    </row>
    <row r="47" customFormat="false" ht="15" hidden="false" customHeight="false" outlineLevel="0" collapsed="false">
      <c r="A47" s="67" t="str">
        <f aca="false">IF((SUMIF(Horo82107[Client],B47,Horo82107[Durée]) / Total)=0,"",(SUMIF(Horo82107[Client],B47,Horo82107[Durée]) / Total))</f>
        <v/>
      </c>
      <c r="B47" s="68" t="s">
        <v>37</v>
      </c>
      <c r="C47" s="69" t="str">
        <f aca="false">IF(SUMIF(Horo82107[Client],B47,Horo82107[Durée])=0,"",SUMIF(Horo82107[Client],B47,Horo82107[Durée]))</f>
        <v/>
      </c>
    </row>
    <row r="48" customFormat="false" ht="15" hidden="true" customHeight="false" outlineLevel="0" collapsed="false">
      <c r="A48" s="67" t="str">
        <f aca="false">IF((SUMIF(Horo82107[Client],B48,Horo82107[Durée]) / Total)=0,"",(SUMIF(Horo82107[Client],B48,Horo82107[Durée]) / Total))</f>
        <v/>
      </c>
      <c r="B48" s="68" t="s">
        <v>69</v>
      </c>
      <c r="C48" s="69" t="str">
        <f aca="false">IF(SUMIF(Horo82107[Client],B48,Horo82107[Durée])=0,"",SUMIF(Horo82107[Client],B48,Horo82107[Durée]))</f>
        <v/>
      </c>
    </row>
    <row r="49" customFormat="false" ht="15" hidden="true" customHeight="false" outlineLevel="0" collapsed="false">
      <c r="A49" s="67" t="str">
        <f aca="false">IF((SUMIF(Horo82107[Client],B49,Horo82107[Durée]) / Total)=0,"",(SUMIF(Horo82107[Client],B49,Horo82107[Durée]) / Total))</f>
        <v/>
      </c>
      <c r="B49" s="68" t="s">
        <v>70</v>
      </c>
      <c r="C49" s="70" t="str">
        <f aca="false">IF(SUMIF(Horo82107[Client],B49,Horo82107[Durée])=0,"",SUMIF(Horo82107[Client],B49,Horo82107[Durée]))</f>
        <v/>
      </c>
    </row>
    <row r="50" customFormat="false" ht="15" hidden="true" customHeight="false" outlineLevel="1" collapsed="false">
      <c r="A50" s="67" t="str">
        <f aca="false">IF((SUMIF(Horo82107[Client],B50,Horo82107[Durée]) / Total)=0,"",(SUMIF(Horo82107[Client],B50,Horo82107[Durée]) / Total))</f>
        <v/>
      </c>
      <c r="B50" s="68" t="s">
        <v>71</v>
      </c>
      <c r="C50" s="70" t="str">
        <f aca="false">IF(SUMIF(Horo82107[Client],B50,Horo82107[Durée])=0,"",SUMIF(Horo82107[Client],B50,Horo82107[Durée]))</f>
        <v/>
      </c>
    </row>
    <row r="51" customFormat="false" ht="15" hidden="true" customHeight="false" outlineLevel="1" collapsed="false">
      <c r="A51" s="67" t="str">
        <f aca="false">IF((SUMIF(Horo82107[Client],B51,Horo82107[Durée]) / Total)=0,"",(SUMIF(Horo82107[Client],B51,Horo82107[Durée]) / Total))</f>
        <v/>
      </c>
      <c r="B51" s="68" t="s">
        <v>72</v>
      </c>
      <c r="C51" s="70" t="str">
        <f aca="false">IF(SUMIF(Horo82107[Client],B51,Horo82107[Durée])=0,"",SUMIF(Horo82107[Client],B51,Horo82107[Durée]))</f>
        <v/>
      </c>
    </row>
    <row r="52" customFormat="false" ht="15" hidden="true" customHeight="false" outlineLevel="1" collapsed="false">
      <c r="A52" s="67" t="str">
        <f aca="false">IF((SUMIF(Horo82107[Client],B52,Horo82107[Durée]) / Total)=0,"",(SUMIF(Horo82107[Client],B52,Horo82107[Durée]) / Total))</f>
        <v/>
      </c>
      <c r="B52" s="68" t="s">
        <v>73</v>
      </c>
      <c r="C52" s="70" t="str">
        <f aca="false">IF(SUMIF(Horo82107[Client],B52,Horo82107[Durée])=0,"",SUMIF(Horo82107[Client],B52,Horo82107[Durée]))</f>
        <v/>
      </c>
    </row>
    <row r="53" customFormat="false" ht="15" hidden="true" customHeight="false" outlineLevel="1" collapsed="false">
      <c r="A53" s="67" t="str">
        <f aca="false">IF((SUMIF(Horo82107[Client],B53,Horo82107[Durée]) / Total)=0,"",(SUMIF(Horo82107[Client],B53,Horo82107[Durée]) / Total))</f>
        <v/>
      </c>
      <c r="B53" s="68" t="s">
        <v>74</v>
      </c>
      <c r="C53" s="70" t="str">
        <f aca="false">IF(SUMIF(Horo82107[Client],B53,Horo82107[Durée])=0,"",SUMIF(Horo82107[Client],B53,Horo82107[Durée]))</f>
        <v/>
      </c>
    </row>
    <row r="54" customFormat="false" ht="15" hidden="false" customHeight="false" outlineLevel="1" collapsed="false">
      <c r="A54" s="67" t="n">
        <f aca="false">IF((SUMIF(Horo82107[Client],B54,Horo82107[Durée]) / Total)=0,"",(SUMIF(Horo82107[Client],B54,Horo82107[Durée]) / Total))</f>
        <v>0.0649350649350649</v>
      </c>
      <c r="B54" s="68" t="s">
        <v>75</v>
      </c>
      <c r="C54" s="69" t="n">
        <f aca="false">IF(SUMIF(Horo82107[Client],B54,Horo82107[Durée])=0,"",SUMIF(Horo82107[Client],B54,Horo82107[Durée]))</f>
        <v>2.5</v>
      </c>
    </row>
    <row r="55" customFormat="false" ht="15" hidden="true" customHeight="false" outlineLevel="1" collapsed="false">
      <c r="A55" s="67" t="str">
        <f aca="false">IF((SUMIF(Horo82107[Client],B55,Horo82107[Durée]) / Total)=0,"",(SUMIF(Horo82107[Client],B55,Horo82107[Durée]) / Total))</f>
        <v/>
      </c>
      <c r="B55" s="68" t="s">
        <v>76</v>
      </c>
      <c r="C55" s="70" t="str">
        <f aca="false">IF(SUMIF(Horo82107[Client],B55,Horo82107[Durée])=0,"",SUMIF(Horo82107[Client],B55,Horo82107[Durée]))</f>
        <v/>
      </c>
    </row>
    <row r="56" customFormat="false" ht="15" hidden="true" customHeight="false" outlineLevel="1" collapsed="false">
      <c r="A56" s="67" t="str">
        <f aca="false">IF((SUMIF(Horo82107[Client],B56,Horo82107[Durée]) / Total)=0,"",(SUMIF(Horo82107[Client],B56,Horo82107[Durée]) / Total))</f>
        <v/>
      </c>
      <c r="B56" s="68" t="s">
        <v>77</v>
      </c>
      <c r="C56" s="70" t="str">
        <f aca="false">IF(SUMIF(Horo82107[Client],B56,Horo82107[Durée])=0,"",SUMIF(Horo82107[Client],B56,Horo82107[Durée]))</f>
        <v/>
      </c>
    </row>
    <row r="57" customFormat="false" ht="15" hidden="true" customHeight="false" outlineLevel="1" collapsed="false">
      <c r="A57" s="67" t="str">
        <f aca="false">IF((SUMIF(Horo82107[Client],B57,Horo82107[Durée]) / Total)=0,"",(SUMIF(Horo82107[Client],B57,Horo82107[Durée]) / Total))</f>
        <v/>
      </c>
      <c r="B57" s="68" t="s">
        <v>45</v>
      </c>
      <c r="C57" s="70" t="str">
        <f aca="false">IF(SUMIF(Horo82107[Client],B57,Horo82107[Durée])=0,"",SUMIF(Horo82107[Client],B57,Horo82107[Durée]))</f>
        <v/>
      </c>
    </row>
    <row r="58" customFormat="false" ht="15" hidden="true" customHeight="false" outlineLevel="1" collapsed="false">
      <c r="A58" s="67" t="str">
        <f aca="false">IF((SUMIF(Horo82107[Client],B58,Horo82107[Durée]) / Total)=0,"",(SUMIF(Horo82107[Client],B58,Horo82107[Durée]) / Total))</f>
        <v/>
      </c>
      <c r="B58" s="68" t="s">
        <v>78</v>
      </c>
      <c r="C58" s="70" t="str">
        <f aca="false">IF(SUMIF(Horo82107[Client],B58,Horo82107[Durée])=0,"",SUMIF(Horo82107[Client],B58,Horo82107[Durée]))</f>
        <v/>
      </c>
    </row>
    <row r="59" customFormat="false" ht="15" hidden="true" customHeight="false" outlineLevel="1" collapsed="false">
      <c r="A59" s="67" t="str">
        <f aca="false">IF((SUMIF(Horo82107[Client],B59,Horo82107[Durée]) / Total)=0,"",(SUMIF(Horo82107[Client],B59,Horo82107[Durée]) / Total))</f>
        <v/>
      </c>
      <c r="B59" s="68" t="s">
        <v>79</v>
      </c>
      <c r="C59" s="70" t="str">
        <f aca="false">IF(SUMIF(Horo82107[Client],B59,Horo82107[Durée])=0,"",SUMIF(Horo82107[Client],B59,Horo82107[Durée]))</f>
        <v/>
      </c>
    </row>
    <row r="60" customFormat="false" ht="15" hidden="true" customHeight="false" outlineLevel="1" collapsed="false">
      <c r="A60" s="67" t="str">
        <f aca="false">IF((SUMIF(Horo82107[Client],B60,Horo82107[Durée]) / Total)=0,"",(SUMIF(Horo82107[Client],B60,Horo82107[Durée]) / Total))</f>
        <v/>
      </c>
      <c r="B60" s="68" t="s">
        <v>80</v>
      </c>
      <c r="C60" s="70" t="str">
        <f aca="false">IF(SUMIF(Horo82107[Client],B60,Horo82107[Durée])=0,"",SUMIF(Horo82107[Client],B60,Horo82107[Durée]))</f>
        <v/>
      </c>
    </row>
    <row r="61" customFormat="false" ht="15" hidden="true" customHeight="false" outlineLevel="1" collapsed="false">
      <c r="A61" s="67" t="str">
        <f aca="false">IF((SUMIF(Horo82107[Client],B61,Horo82107[Durée]) / Total)=0,"",(SUMIF(Horo82107[Client],B61,Horo82107[Durée]) / Total))</f>
        <v/>
      </c>
      <c r="B61" s="72" t="s">
        <v>81</v>
      </c>
      <c r="C61" s="69" t="str">
        <f aca="false">IF(SUMIF(Horo82107[Client],B61,Horo82107[Durée])=0,"",SUMIF(Horo82107[Client],B61,Horo82107[Durée]))</f>
        <v/>
      </c>
    </row>
    <row r="62" customFormat="false" ht="15" hidden="true" customHeight="false" outlineLevel="1" collapsed="false"/>
    <row r="63" customFormat="false" ht="15" hidden="true" customHeight="false" outlineLevel="1" collapsed="false"/>
    <row r="64" customFormat="false" ht="15" hidden="true" customHeight="false" outlineLevel="1" collapsed="false"/>
    <row r="65" customFormat="false" ht="15" hidden="true" customHeight="false" outlineLevel="1" collapsed="false"/>
    <row r="66" customFormat="false" ht="15" hidden="true" customHeight="false" outlineLevel="1" collapsed="false"/>
    <row r="67" customFormat="false" ht="15" hidden="true" customHeight="false" outlineLevel="1" collapsed="false"/>
    <row r="68" customFormat="false" ht="15" hidden="true" customHeight="false" outlineLevel="1" collapsed="false"/>
    <row r="69" customFormat="false" ht="15" hidden="true" customHeight="false" outlineLevel="1" collapsed="false"/>
    <row r="70" customFormat="false" ht="15" hidden="true" customHeight="false" outlineLevel="1" collapsed="false"/>
  </sheetData>
  <conditionalFormatting sqref="I26">
    <cfRule type="expression" priority="2" aboveAverage="0" equalAverage="0" bottom="0" percent="0" rank="0" text="" dxfId="207">
      <formula>A26="O"</formula>
    </cfRule>
  </conditionalFormatting>
  <conditionalFormatting sqref="I35">
    <cfRule type="expression" priority="3" aboveAverage="0" equalAverage="0" bottom="0" percent="0" rank="0" text="" dxfId="208">
      <formula>A35="O"</formula>
    </cfRule>
  </conditionalFormatting>
  <conditionalFormatting sqref="I37">
    <cfRule type="expression" priority="4" aboveAverage="0" equalAverage="0" bottom="0" percent="0" rank="0" text="" dxfId="209">
      <formula>A37="O"</formula>
    </cfRule>
  </conditionalFormatting>
  <conditionalFormatting sqref="H4:H26">
    <cfRule type="expression" priority="5" aboveAverage="0" equalAverage="0" bottom="0" percent="0" rank="0" text="" dxfId="210">
      <formula>A4="O"</formula>
    </cfRule>
  </conditionalFormatting>
  <conditionalFormatting sqref="K4:K26">
    <cfRule type="expression" priority="6" aboveAverage="0" equalAverage="0" bottom="0" percent="0" rank="0" text="" dxfId="211">
      <formula>A4="O"</formula>
    </cfRule>
    <cfRule type="expression" priority="7" aboveAverage="0" equalAverage="0" bottom="0" percent="0" rank="0" text="" dxfId="212">
      <formula>A4="O"</formula>
    </cfRule>
  </conditionalFormatting>
  <conditionalFormatting sqref="C4:C26">
    <cfRule type="expression" priority="8" aboveAverage="0" equalAverage="0" bottom="0" percent="0" rank="0" text="" dxfId="213">
      <formula>A4="O"</formula>
    </cfRule>
    <cfRule type="containsText" priority="9" operator="containsText" aboveAverage="0" equalAverage="0" bottom="0" percent="0" rank="0" text="Dimanche" dxfId="214">
      <formula>NOT(ISERROR(SEARCH("Dimanche",C4)))</formula>
    </cfRule>
    <cfRule type="containsText" priority="10" operator="containsText" aboveAverage="0" equalAverage="0" bottom="0" percent="0" rank="0" text="Samedi" dxfId="215">
      <formula>NOT(ISERROR(SEARCH("Samedi",C4)))</formula>
    </cfRule>
    <cfRule type="containsText" priority="11" operator="containsText" aboveAverage="0" equalAverage="0" bottom="0" percent="0" rank="0" text="Vendredi" dxfId="216">
      <formula>NOT(ISERROR(SEARCH("Vendredi",C4)))</formula>
    </cfRule>
    <cfRule type="containsText" priority="12" operator="containsText" aboveAverage="0" equalAverage="0" bottom="0" percent="0" rank="0" text="Jeudi" dxfId="217">
      <formula>NOT(ISERROR(SEARCH("Jeudi",C4)))</formula>
    </cfRule>
    <cfRule type="containsText" priority="13" operator="containsText" aboveAverage="0" equalAverage="0" bottom="0" percent="0" rank="0" text="Mercredi" dxfId="218">
      <formula>NOT(ISERROR(SEARCH("Mercredi",C4)))</formula>
    </cfRule>
    <cfRule type="containsText" priority="14" operator="containsText" aboveAverage="0" equalAverage="0" bottom="0" percent="0" rank="0" text="Mardi" dxfId="219">
      <formula>NOT(ISERROR(SEARCH("Mardi",C4)))</formula>
    </cfRule>
    <cfRule type="containsText" priority="15" operator="containsText" aboveAverage="0" equalAverage="0" bottom="0" percent="0" rank="0" text="Lundi" dxfId="220">
      <formula>NOT(ISERROR(SEARCH("Lundi",C4)))</formula>
    </cfRule>
  </conditionalFormatting>
  <conditionalFormatting sqref="G4:G26">
    <cfRule type="expression" priority="16" aboveAverage="0" equalAverage="0" bottom="0" percent="0" rank="0" text="" dxfId="221">
      <formula>A4="O"</formula>
    </cfRule>
  </conditionalFormatting>
  <conditionalFormatting sqref="J4:J26">
    <cfRule type="expression" priority="17" aboveAverage="0" equalAverage="0" bottom="0" percent="0" rank="0" text="" dxfId="222">
      <formula>A4="O"</formula>
    </cfRule>
  </conditionalFormatting>
  <conditionalFormatting sqref="F4:F26">
    <cfRule type="expression" priority="18" aboveAverage="0" equalAverage="0" bottom="0" percent="0" rank="0" text="" dxfId="223">
      <formula>A4="O"</formula>
    </cfRule>
  </conditionalFormatting>
  <conditionalFormatting sqref="B4:B26">
    <cfRule type="cellIs" priority="19" operator="equal" aboveAverage="0" equalAverage="0" bottom="0" percent="0" rank="0" text="" dxfId="224">
      <formula>0</formula>
    </cfRule>
    <cfRule type="expression" priority="20" aboveAverage="0" equalAverage="0" bottom="0" percent="0" rank="0" text="" dxfId="225">
      <formula>A4="O"</formula>
    </cfRule>
    <cfRule type="colorScale" priority="21">
      <colorScale>
        <cfvo type="percentile" val="10"/>
        <cfvo type="percentile" val="50"/>
        <cfvo type="percentile" val="90"/>
        <color rgb="FFFFC000"/>
        <color rgb="FFC55A11"/>
        <color rgb="FF2E75B6"/>
      </colorScale>
    </cfRule>
  </conditionalFormatting>
  <conditionalFormatting sqref="D4:D26">
    <cfRule type="expression" priority="22" aboveAverage="0" equalAverage="0" bottom="0" percent="0" rank="0" text="" dxfId="226">
      <formula>A4="O"</formula>
    </cfRule>
    <cfRule type="colorScale" priority="23">
      <colorScale>
        <cfvo type="min" val="0"/>
        <cfvo type="percentile" val="50"/>
        <cfvo type="max" val="0"/>
        <color rgb="FFFFC000"/>
        <color rgb="FFC55A11"/>
        <color rgb="FF2E75B6"/>
      </colorScale>
    </cfRule>
  </conditionalFormatting>
  <conditionalFormatting sqref="E4:E26">
    <cfRule type="expression" priority="24" aboveAverage="0" equalAverage="0" bottom="0" percent="0" rank="0" text="" dxfId="227">
      <formula>A4="O"</formula>
    </cfRule>
    <cfRule type="colorScale" priority="25">
      <colorScale>
        <cfvo type="min" val="0"/>
        <cfvo type="percentile" val="50"/>
        <cfvo type="max" val="0"/>
        <color rgb="FFFFC000"/>
        <color rgb="FFC55A11"/>
        <color rgb="FF2E75B6"/>
      </colorScale>
    </cfRule>
  </conditionalFormatting>
  <dataValidations count="5">
    <dataValidation allowBlank="true" errorStyle="stop" operator="between" showDropDown="false" showErrorMessage="true" showInputMessage="true" sqref="C4:C26" type="list">
      <formula1>Data!$C$2:$C$8</formula1>
      <formula2>0</formula2>
    </dataValidation>
    <dataValidation allowBlank="false" errorStyle="stop" operator="between" showDropDown="false" showErrorMessage="true" showInputMessage="true" sqref="F4:F26" type="list">
      <formula1>Data!$E$2:$E$30</formula1>
      <formula2>0</formula2>
    </dataValidation>
    <dataValidation allowBlank="true" errorStyle="information" errorTitle="OK ?" operator="between" showDropDown="false" showErrorMessage="true" showInputMessage="true" sqref="G4:G26" type="list">
      <formula1>Data!$D$2:$D$16</formula1>
      <formula2>0</formula2>
    </dataValidation>
    <dataValidation allowBlank="false" errorStyle="stop" operator="between" showDropDown="false" showErrorMessage="true" showInputMessage="true" sqref="H4:H26" type="list">
      <formula1>Data!$F$2:$F$50</formula1>
      <formula2>0</formula2>
    </dataValidation>
    <dataValidation allowBlank="true" errorStyle="stop" operator="between" showDropDown="false" showErrorMessage="true" showInputMessage="true" sqref="C1" type="list">
      <formula1>Data!$A$2:$A$106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  <tableParts>
    <tablePart r:id="rId2"/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E7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484375" defaultRowHeight="15" zeroHeight="false" outlineLevelRow="1" outlineLevelCol="0"/>
  <cols>
    <col collapsed="false" customWidth="true" hidden="false" outlineLevel="0" max="1" min="1" style="1" width="5.57"/>
    <col collapsed="false" customWidth="true" hidden="false" outlineLevel="0" max="2" min="2" style="1" width="19.42"/>
    <col collapsed="false" customWidth="true" hidden="false" outlineLevel="0" max="3" min="3" style="1" width="18.29"/>
    <col collapsed="false" customWidth="true" hidden="false" outlineLevel="0" max="4" min="4" style="1" width="13.42"/>
    <col collapsed="false" customWidth="true" hidden="false" outlineLevel="0" max="5" min="5" style="1" width="10.57"/>
    <col collapsed="false" customWidth="true" hidden="false" outlineLevel="0" max="6" min="6" style="1" width="19"/>
    <col collapsed="false" customWidth="true" hidden="false" outlineLevel="0" max="7" min="7" style="1" width="11.43"/>
    <col collapsed="false" customWidth="true" hidden="false" outlineLevel="0" max="8" min="8" style="1" width="14.57"/>
    <col collapsed="false" customWidth="true" hidden="false" outlineLevel="0" max="9" min="9" style="1" width="19.29"/>
    <col collapsed="false" customWidth="true" hidden="false" outlineLevel="0" max="10" min="10" style="1" width="9.71"/>
    <col collapsed="false" customWidth="true" hidden="false" outlineLevel="0" max="11" min="11" style="1" width="7.29"/>
    <col collapsed="false" customWidth="true" hidden="false" outlineLevel="0" max="12" min="12" style="2" width="9.86"/>
    <col collapsed="false" customWidth="true" hidden="false" outlineLevel="0" max="13" min="13" style="1" width="6.14"/>
    <col collapsed="false" customWidth="true" hidden="false" outlineLevel="0" max="14" min="14" style="1" width="5"/>
    <col collapsed="false" customWidth="true" hidden="false" outlineLevel="0" max="15" min="15" style="1" width="5.57"/>
    <col collapsed="false" customWidth="true" hidden="false" outlineLevel="0" max="17" min="16" style="1" width="6.14"/>
    <col collapsed="false" customWidth="true" hidden="false" outlineLevel="0" max="18" min="18" style="1" width="8.29"/>
    <col collapsed="false" customWidth="true" hidden="false" outlineLevel="0" max="20" min="19" style="1" width="5"/>
    <col collapsed="false" customWidth="true" hidden="false" outlineLevel="0" max="21" min="21" style="1" width="6.14"/>
    <col collapsed="false" customWidth="true" hidden="true" outlineLevel="0" max="23" min="22" style="1" width="6.14"/>
    <col collapsed="false" customWidth="true" hidden="true" outlineLevel="0" max="24" min="24" style="1" width="12.71"/>
    <col collapsed="false" customWidth="false" hidden="true" outlineLevel="0" max="29" min="25" style="1" width="9.14"/>
    <col collapsed="false" customWidth="true" hidden="true" outlineLevel="0" max="30" min="30" style="1" width="10.57"/>
    <col collapsed="false" customWidth="true" hidden="true" outlineLevel="0" max="31" min="31" style="1" width="11.14"/>
    <col collapsed="false" customWidth="true" hidden="false" outlineLevel="0" max="32" min="32" style="1" width="9.57"/>
    <col collapsed="false" customWidth="false" hidden="false" outlineLevel="0" max="16384" min="33" style="1" width="9.14"/>
  </cols>
  <sheetData>
    <row r="1" customFormat="false" ht="17.35" hidden="false" customHeight="false" outlineLevel="0" collapsed="false">
      <c r="A1" s="3"/>
      <c r="B1" s="4" t="str">
        <f aca="false">"Semaine du :"</f>
        <v>Semaine du :</v>
      </c>
      <c r="C1" s="5" t="n">
        <v>44431</v>
      </c>
      <c r="D1" s="6" t="str">
        <f aca="false">"( "&amp;AVERAGE($E$2:$I$2)&amp;" )"</f>
        <v>( 8 )</v>
      </c>
      <c r="E1" s="7" t="str">
        <f aca="false">IFERROR("Lun.: " &amp; TEXT($Y$2,"00%"),"Lun.: 0%")</f>
        <v>Lun.: 03%</v>
      </c>
      <c r="F1" s="8" t="str">
        <f aca="false">IFERROR("Mar.: " &amp; TEXT($Z$2,"00%"),"Mar.: 0%")</f>
        <v>Mar.: 00%</v>
      </c>
      <c r="G1" s="8" t="str">
        <f aca="false">IFERROR("Mer.: " &amp; TEXT($AA$2,"00%"),"Mer.: 0%")</f>
        <v>Mer.: 00%</v>
      </c>
      <c r="H1" s="8" t="str">
        <f aca="false">IFERROR("Jeu.: " &amp; TEXT($AB$2,"00%"),"Jeu.: 0%")</f>
        <v>Jeu.: 00%</v>
      </c>
      <c r="I1" s="8" t="str">
        <f aca="false">IFERROR("Ven.: " &amp; TEXT($AC$2,"00%"),"Ven.: 0%")</f>
        <v>Ven.: 13%</v>
      </c>
      <c r="J1" s="9" t="str">
        <f aca="false">IFERROR("S.: " &amp; TEXT($AD$2,"00%"),"S.: 0%")</f>
        <v>S.: 00%</v>
      </c>
      <c r="K1" s="10" t="str">
        <f aca="false">IFERROR("D.: " &amp; TEXT($AE$2,"00%"), "D.: 0%")</f>
        <v>D.: 00%</v>
      </c>
      <c r="L1" s="11"/>
      <c r="M1" s="12" t="n">
        <f aca="false">M2/Total</f>
        <v>0.0324675324675324</v>
      </c>
      <c r="N1" s="12" t="n">
        <f aca="false">N2/$C$2</f>
        <v>0.0125</v>
      </c>
      <c r="O1" s="12" t="n">
        <f aca="false">O2/$C$2</f>
        <v>0.175</v>
      </c>
      <c r="P1" s="12" t="n">
        <f aca="false">P2/$C$2</f>
        <v>0.14375</v>
      </c>
      <c r="Q1" s="12" t="n">
        <f aca="false">Q2/$C$2</f>
        <v>0.5875</v>
      </c>
      <c r="R1" s="13" t="n">
        <f aca="false">R2/$C$2</f>
        <v>0</v>
      </c>
      <c r="S1" s="13" t="n">
        <f aca="false">S2/$C$2</f>
        <v>0</v>
      </c>
      <c r="T1" s="13" t="n">
        <f aca="false">T2/$C$2</f>
        <v>0</v>
      </c>
      <c r="U1" s="14" t="n">
        <f aca="false">U2/$C$2</f>
        <v>0.05</v>
      </c>
      <c r="V1" s="15"/>
      <c r="W1" s="16"/>
      <c r="X1" s="17" t="e">
        <f aca="false">SUM(#REF!)</f>
        <v>#REF!</v>
      </c>
      <c r="Y1" s="18" t="s">
        <v>0</v>
      </c>
      <c r="Z1" s="18" t="s">
        <v>1</v>
      </c>
      <c r="AA1" s="18" t="s">
        <v>2</v>
      </c>
      <c r="AB1" s="18" t="s">
        <v>3</v>
      </c>
      <c r="AC1" s="18" t="s">
        <v>4</v>
      </c>
      <c r="AD1" s="18" t="s">
        <v>5</v>
      </c>
      <c r="AE1" s="18" t="s">
        <v>6</v>
      </c>
    </row>
    <row r="2" customFormat="false" ht="22.05" hidden="false" customHeight="false" outlineLevel="0" collapsed="false">
      <c r="A2" s="3"/>
      <c r="B2" s="19" t="n">
        <f aca="false">X2</f>
        <v>0.08125</v>
      </c>
      <c r="C2" s="20" t="n">
        <f aca="false">SUM(Horo82105[Durée])</f>
        <v>40</v>
      </c>
      <c r="D2" s="21" t="str">
        <f aca="false">ROUND(SUM(Horo82105[T]),2) &amp; " / " &amp; ROUND($C$2-SUM(Horo82105[T]),2)</f>
        <v>40 / 0</v>
      </c>
      <c r="E2" s="22" t="n">
        <f aca="false">SUMIF(Horo82105[Jour],"Lundi",Horo82105[Durée])</f>
        <v>8.75</v>
      </c>
      <c r="F2" s="23" t="n">
        <f aca="false">SUMIF(Horo82105[Jour],"Mardi",Horo82105[Durée])</f>
        <v>7.75</v>
      </c>
      <c r="G2" s="23" t="n">
        <f aca="false">SUMIF(Horo82105[Jour],"Mercredi",Horo82105[Durée])</f>
        <v>7</v>
      </c>
      <c r="H2" s="23" t="n">
        <f aca="false">SUMIF(Horo82105[Jour],"Jeudi",Horo82105[Durée])</f>
        <v>8.5</v>
      </c>
      <c r="I2" s="23" t="n">
        <f aca="false">SUMIF(Horo82105[Jour],"Vendredi",Horo82105[Durée])</f>
        <v>8</v>
      </c>
      <c r="J2" s="23" t="n">
        <f aca="false">SUMIF(Horo82105[Jour],"Samedi",Horo82105[Durée])</f>
        <v>0</v>
      </c>
      <c r="K2" s="23" t="n">
        <f aca="false">SUMIF(Horo82105[Jour],"Dimanche",Horo82105[Durée])</f>
        <v>0</v>
      </c>
      <c r="L2" s="24"/>
      <c r="M2" s="25" t="n">
        <f aca="false">SUM(Horo82105[GPF])</f>
        <v>1.25</v>
      </c>
      <c r="N2" s="25" t="n">
        <f aca="false">SUM(Horo82105[RI])</f>
        <v>0.500000000000001</v>
      </c>
      <c r="O2" s="25" t="n">
        <f aca="false">SUM(Horo82105[GB])</f>
        <v>7</v>
      </c>
      <c r="P2" s="25" t="n">
        <f aca="false">SUM(Horo82105[RD])</f>
        <v>5.75</v>
      </c>
      <c r="Q2" s="25" t="n">
        <f aca="false">SUM(Horo82105[FG])</f>
        <v>23.5</v>
      </c>
      <c r="R2" s="26" t="n">
        <f aca="false">SUM(Horo82105[CONGÉ])</f>
        <v>0</v>
      </c>
      <c r="S2" s="26" t="n">
        <f aca="false">SUM(Horo82105[PS])</f>
        <v>0</v>
      </c>
      <c r="T2" s="26" t="n">
        <f aca="false">SUM(Horo82105[TD])</f>
        <v>0</v>
      </c>
      <c r="U2" s="27" t="n">
        <f aca="false">SUM(Horo82105[N/C])</f>
        <v>2</v>
      </c>
      <c r="V2" s="17" t="n">
        <f aca="false">(C2-(SUM(N2:T2)))</f>
        <v>3.25</v>
      </c>
      <c r="W2" s="17" t="n">
        <f aca="false">C2-(R2+S2+T2)</f>
        <v>40</v>
      </c>
      <c r="X2" s="28" t="n">
        <f aca="false">V2/W2</f>
        <v>0.08125</v>
      </c>
      <c r="Y2" s="29" t="n">
        <f aca="false">SUMIF(Horo82105[Jour],"Lundi",Horo82105[GPF]) / $E$2</f>
        <v>0.0285714285714285</v>
      </c>
      <c r="Z2" s="29" t="n">
        <f aca="false">SUMIF(Horo82105[Jour],"Mardi",Horo82105[GPF]) / $F$2</f>
        <v>0</v>
      </c>
      <c r="AA2" s="29" t="n">
        <f aca="false">SUMIF(Horo82105[Jour],"Mercredi",Horo82105[GPF]) / $G$2</f>
        <v>0</v>
      </c>
      <c r="AB2" s="29" t="n">
        <f aca="false">SUMIF(Horo82105[Jour],"Jeudi",Horo82105[GPF]) / $H$2</f>
        <v>0</v>
      </c>
      <c r="AC2" s="29" t="n">
        <f aca="false">SUMIF(Horo82105[Jour],"Vendredi",Horo82105[GPF]) / $I$2</f>
        <v>0.125</v>
      </c>
      <c r="AD2" s="29" t="n">
        <f aca="false">IFERROR(SUMIF(Horo82105[Jour],"Samedi",Horo82105[GPF]) / $J$2,0)</f>
        <v>0</v>
      </c>
      <c r="AE2" s="29" t="n">
        <f aca="false">IFERROR(SUMIF(Horo82105[Jour],"Dimanche",Horo82105[GPF]) / $K$2,0)</f>
        <v>0</v>
      </c>
    </row>
    <row r="3" customFormat="false" ht="15" hidden="false" customHeight="false" outlineLevel="0" collapsed="false">
      <c r="A3" s="30" t="s">
        <v>7</v>
      </c>
      <c r="B3" s="31" t="s">
        <v>8</v>
      </c>
      <c r="C3" s="31" t="s">
        <v>9</v>
      </c>
      <c r="D3" s="32" t="s">
        <v>10</v>
      </c>
      <c r="E3" s="33" t="s">
        <v>11</v>
      </c>
      <c r="F3" s="34" t="s">
        <v>12</v>
      </c>
      <c r="G3" s="34" t="s">
        <v>13</v>
      </c>
      <c r="H3" s="34" t="s">
        <v>14</v>
      </c>
      <c r="I3" s="35" t="s">
        <v>15</v>
      </c>
      <c r="J3" s="36" t="s">
        <v>16</v>
      </c>
      <c r="K3" s="36" t="s">
        <v>17</v>
      </c>
      <c r="L3" s="37" t="s">
        <v>18</v>
      </c>
      <c r="M3" s="38" t="s">
        <v>19</v>
      </c>
      <c r="N3" s="39" t="s">
        <v>20</v>
      </c>
      <c r="O3" s="39" t="s">
        <v>21</v>
      </c>
      <c r="P3" s="39" t="s">
        <v>22</v>
      </c>
      <c r="Q3" s="39" t="s">
        <v>23</v>
      </c>
      <c r="R3" s="40" t="s">
        <v>24</v>
      </c>
      <c r="S3" s="40" t="s">
        <v>25</v>
      </c>
      <c r="T3" s="41" t="s">
        <v>26</v>
      </c>
      <c r="U3" s="41" t="s">
        <v>27</v>
      </c>
      <c r="V3" s="42" t="s">
        <v>28</v>
      </c>
      <c r="W3" s="43" t="s">
        <v>29</v>
      </c>
      <c r="X3" s="44" t="s">
        <v>30</v>
      </c>
    </row>
    <row r="4" customFormat="false" ht="15" hidden="false" customHeight="false" outlineLevel="0" collapsed="false">
      <c r="A4" s="45" t="s">
        <v>31</v>
      </c>
      <c r="B4" s="46" t="n">
        <f aca="false">IF(Horo82105[[#This Row],[Jour]]="Lundi",$C$1+1, IF(Horo82105[[#This Row],[Jour]]="Mardi",$C$1+2, IF(Horo82105[[#This Row],[Jour]]="Mercredi",$C$1+3, IF(Horo82105[[#This Row],[Jour]]="Jeudi",$C$1+4, IF(Horo82105[[#This Row],[Jour]]="Vendredi",$C$1+5, IF(Horo82105[[#This Row],[Jour]]="Samedi",$C$1+6, IF(Horo82105[[#This Row],[Jour]]="Dimanche",$C$1, )))))))</f>
        <v>44432</v>
      </c>
      <c r="C4" s="47" t="s">
        <v>0</v>
      </c>
      <c r="D4" s="48" t="n">
        <v>0.302083333333333</v>
      </c>
      <c r="E4" s="48" t="n">
        <v>0.364583333333333</v>
      </c>
      <c r="F4" s="49" t="s">
        <v>32</v>
      </c>
      <c r="G4" s="49" t="s">
        <v>21</v>
      </c>
      <c r="H4" s="50" t="s">
        <v>94</v>
      </c>
      <c r="I4" s="51" t="s">
        <v>153</v>
      </c>
      <c r="J4" s="52" t="n">
        <f aca="false">IF(Horo82105[[#This Row],[Début]]=0,"",(Horo82105[[#This Row],[Durée (60)2]]-INT(Horo82105[[#This Row],[Durée (60)2]]))*24)</f>
        <v>1.5</v>
      </c>
      <c r="K4" s="53" t="n">
        <f aca="false">SUMIF(Horo82105[Jour],C4,Horo82105[Durée])</f>
        <v>8.75</v>
      </c>
      <c r="L4" s="54" t="n">
        <f aca="false">IFERROR(SUMIF(Horo82105[[#This Row],[Jour]],Horo82105[[#This Row],[Jour]],Horo82105[[#This Row],[GPF]]) / Horo82105[[#This Row],[hrs]],"")</f>
        <v>0</v>
      </c>
      <c r="M4" s="55" t="str">
        <f aca="false">IF("GPF"=Horo82105[[#This Row],[Tâche]],Horo82105[[#This Row],[Durée]],"")</f>
        <v/>
      </c>
      <c r="N4" s="56" t="str">
        <f aca="false">IF("RI"=Horo82105[[#This Row],[Tâche]],Horo82105[[#This Row],[Durée]],"")</f>
        <v/>
      </c>
      <c r="O4" s="56" t="n">
        <f aca="false">IF("GB"=Horo82105[[#This Row],[Tâche]],Horo82105[[#This Row],[Durée]],"")</f>
        <v>1.5</v>
      </c>
      <c r="P4" s="56" t="str">
        <f aca="false">IF("RD"=Horo82105[[#This Row],[Tâche]],Horo82105[[#This Row],[Durée]],"")</f>
        <v/>
      </c>
      <c r="Q4" s="56" t="str">
        <f aca="false">IF("FG"=Horo82105[[#This Row],[Tâche]],Horo82105[[#This Row],[Durée]],"")</f>
        <v/>
      </c>
      <c r="R4" s="56" t="str">
        <f aca="false">IF("CONGÉ"=Horo82105[[#This Row],[Tâche]],Horo82105[[#This Row],[Durée]],"")</f>
        <v/>
      </c>
      <c r="S4" s="57" t="str">
        <f aca="false">IF("PS"=Horo82105[[#This Row],[Tâche]],Horo82105[[#This Row],[Durée]],"")</f>
        <v/>
      </c>
      <c r="T4" s="56" t="str">
        <f aca="false">IF("TD"=Horo82105[[#This Row],[Tâche]],Horo82105[[#This Row],[Durée]],"")</f>
        <v/>
      </c>
      <c r="U4" s="55" t="str">
        <f aca="false">IF("N/C"=Horo82105[[#This Row],[Tâche]],Horo82105[[#This Row],[Durée]],"")</f>
        <v/>
      </c>
      <c r="V4" s="58"/>
      <c r="W4" s="59" t="n">
        <f aca="false">IF(Horo82105[[#This Row],[O]]="o",Horo82105[[#This Row],[Durée]],".")</f>
        <v>1.5</v>
      </c>
      <c r="X4" s="60" t="n">
        <f aca="false">IF(Horo82105[[#This Row],[Début]]=0,"",Horo82105[[#This Row],[Fin]]-Horo82105[[#This Row],[Début]])</f>
        <v>0.0625</v>
      </c>
    </row>
    <row r="5" customFormat="false" ht="15" hidden="false" customHeight="false" outlineLevel="0" collapsed="false">
      <c r="A5" s="45" t="s">
        <v>31</v>
      </c>
      <c r="B5" s="46" t="n">
        <f aca="false">IF(Horo82105[[#This Row],[Jour]]="Lundi",$C$1+1, IF(Horo82105[[#This Row],[Jour]]="Mardi",$C$1+2, IF(Horo82105[[#This Row],[Jour]]="Mercredi",$C$1+3, IF(Horo82105[[#This Row],[Jour]]="Jeudi",$C$1+4, IF(Horo82105[[#This Row],[Jour]]="Vendredi",$C$1+5, IF(Horo82105[[#This Row],[Jour]]="Samedi",$C$1+6, IF(Horo82105[[#This Row],[Jour]]="Dimanche",$C$1, )))))))</f>
        <v>44432</v>
      </c>
      <c r="C5" s="47" t="s">
        <v>0</v>
      </c>
      <c r="D5" s="48" t="n">
        <v>0.364583333333333</v>
      </c>
      <c r="E5" s="48" t="n">
        <v>0.385416666666667</v>
      </c>
      <c r="F5" s="49" t="s">
        <v>32</v>
      </c>
      <c r="G5" s="49" t="s">
        <v>20</v>
      </c>
      <c r="H5" s="50" t="s">
        <v>121</v>
      </c>
      <c r="I5" s="51"/>
      <c r="J5" s="52" t="n">
        <f aca="false">IF(Horo82105[[#This Row],[Début]]=0,"",(Horo82105[[#This Row],[Durée (60)2]]-INT(Horo82105[[#This Row],[Durée (60)2]]))*24)</f>
        <v>0.500000000000001</v>
      </c>
      <c r="K5" s="62" t="n">
        <f aca="false">SUMIF(Horo82105[Jour],C5,Horo82105[Durée])</f>
        <v>8.75</v>
      </c>
      <c r="L5" s="54" t="n">
        <f aca="false">IFERROR(SUMIF(Horo82105[[#This Row],[Jour]],Horo82105[[#This Row],[Jour]],Horo82105[[#This Row],[GPF]]) / Horo82105[[#This Row],[hrs]],"")</f>
        <v>0</v>
      </c>
      <c r="M5" s="56" t="str">
        <f aca="false">IF("GPF"=Horo82105[[#This Row],[Tâche]],Horo82105[[#This Row],[Durée]],"")</f>
        <v/>
      </c>
      <c r="N5" s="56" t="n">
        <f aca="false">IF("RI"=Horo82105[[#This Row],[Tâche]],Horo82105[[#This Row],[Durée]],"")</f>
        <v>0.500000000000001</v>
      </c>
      <c r="O5" s="56" t="str">
        <f aca="false">IF("GB"=Horo82105[[#This Row],[Tâche]],Horo82105[[#This Row],[Durée]],"")</f>
        <v/>
      </c>
      <c r="P5" s="56" t="str">
        <f aca="false">IF("RD"=Horo82105[[#This Row],[Tâche]],Horo82105[[#This Row],[Durée]],"")</f>
        <v/>
      </c>
      <c r="Q5" s="56" t="str">
        <f aca="false">IF("FG"=Horo82105[[#This Row],[Tâche]],Horo82105[[#This Row],[Durée]],"")</f>
        <v/>
      </c>
      <c r="R5" s="56" t="str">
        <f aca="false">IF("CONGÉ"=Horo82105[[#This Row],[Tâche]],Horo82105[[#This Row],[Durée]],"")</f>
        <v/>
      </c>
      <c r="S5" s="57" t="str">
        <f aca="false">IF("PS"=Horo82105[[#This Row],[Tâche]],Horo82105[[#This Row],[Durée]],"")</f>
        <v/>
      </c>
      <c r="T5" s="56" t="str">
        <f aca="false">IF("TD"=Horo82105[[#This Row],[Tâche]],Horo82105[[#This Row],[Durée]],"")</f>
        <v/>
      </c>
      <c r="U5" s="55" t="str">
        <f aca="false">IF("N/C"=Horo82105[[#This Row],[Tâche]],Horo82105[[#This Row],[Durée]],"")</f>
        <v/>
      </c>
      <c r="V5" s="58"/>
      <c r="W5" s="59" t="n">
        <f aca="false">IF(Horo82105[[#This Row],[O]]="o",Horo82105[[#This Row],[Durée]],".")</f>
        <v>0.500000000000001</v>
      </c>
      <c r="X5" s="60" t="n">
        <f aca="false">IF(Horo82105[[#This Row],[Début]]=0,"",Horo82105[[#This Row],[Fin]]-Horo82105[[#This Row],[Début]])</f>
        <v>0.0208333333333334</v>
      </c>
    </row>
    <row r="6" customFormat="false" ht="15" hidden="false" customHeight="false" outlineLevel="0" collapsed="false">
      <c r="A6" s="45" t="s">
        <v>31</v>
      </c>
      <c r="B6" s="46" t="n">
        <f aca="false">IF(Horo82105[[#This Row],[Jour]]="Lundi",$C$1+1, IF(Horo82105[[#This Row],[Jour]]="Mardi",$C$1+2, IF(Horo82105[[#This Row],[Jour]]="Mercredi",$C$1+3, IF(Horo82105[[#This Row],[Jour]]="Jeudi",$C$1+4, IF(Horo82105[[#This Row],[Jour]]="Vendredi",$C$1+5, IF(Horo82105[[#This Row],[Jour]]="Samedi",$C$1+6, IF(Horo82105[[#This Row],[Jour]]="Dimanche",$C$1, )))))))</f>
        <v>44432</v>
      </c>
      <c r="C6" s="47" t="s">
        <v>0</v>
      </c>
      <c r="D6" s="48" t="n">
        <v>0.385416666666667</v>
      </c>
      <c r="E6" s="48" t="n">
        <v>0.395833333333333</v>
      </c>
      <c r="F6" s="49" t="s">
        <v>37</v>
      </c>
      <c r="G6" s="49" t="s">
        <v>19</v>
      </c>
      <c r="H6" s="50" t="s">
        <v>113</v>
      </c>
      <c r="I6" s="61" t="s">
        <v>162</v>
      </c>
      <c r="J6" s="52" t="n">
        <f aca="false">IF(Horo82105[[#This Row],[Début]]=0,"",(Horo82105[[#This Row],[Durée (60)2]]-INT(Horo82105[[#This Row],[Durée (60)2]]))*24)</f>
        <v>0.249999999999999</v>
      </c>
      <c r="K6" s="62" t="n">
        <f aca="false">SUMIF(Horo82105[Jour],C6,Horo82105[Durée])</f>
        <v>8.75</v>
      </c>
      <c r="L6" s="54" t="n">
        <f aca="false">IFERROR(SUMIF(Horo82105[[#This Row],[Jour]],Horo82105[[#This Row],[Jour]],Horo82105[[#This Row],[GPF]]) / Horo82105[[#This Row],[hrs]],"")</f>
        <v>0.0285714285714285</v>
      </c>
      <c r="M6" s="56" t="n">
        <f aca="false">IF("GPF"=Horo82105[[#This Row],[Tâche]],Horo82105[[#This Row],[Durée]],"")</f>
        <v>0.249999999999999</v>
      </c>
      <c r="N6" s="56" t="str">
        <f aca="false">IF("RI"=Horo82105[[#This Row],[Tâche]],Horo82105[[#This Row],[Durée]],"")</f>
        <v/>
      </c>
      <c r="O6" s="56" t="str">
        <f aca="false">IF("GB"=Horo82105[[#This Row],[Tâche]],Horo82105[[#This Row],[Durée]],"")</f>
        <v/>
      </c>
      <c r="P6" s="56" t="str">
        <f aca="false">IF("RD"=Horo82105[[#This Row],[Tâche]],Horo82105[[#This Row],[Durée]],"")</f>
        <v/>
      </c>
      <c r="Q6" s="56" t="str">
        <f aca="false">IF("FG"=Horo82105[[#This Row],[Tâche]],Horo82105[[#This Row],[Durée]],"")</f>
        <v/>
      </c>
      <c r="R6" s="56" t="str">
        <f aca="false">IF("CONGÉ"=Horo82105[[#This Row],[Tâche]],Horo82105[[#This Row],[Durée]],"")</f>
        <v/>
      </c>
      <c r="S6" s="57" t="str">
        <f aca="false">IF("PS"=Horo82105[[#This Row],[Tâche]],Horo82105[[#This Row],[Durée]],"")</f>
        <v/>
      </c>
      <c r="T6" s="56" t="str">
        <f aca="false">IF("TD"=Horo82105[[#This Row],[Tâche]],Horo82105[[#This Row],[Durée]],"")</f>
        <v/>
      </c>
      <c r="U6" s="55" t="str">
        <f aca="false">IF("N/C"=Horo82105[[#This Row],[Tâche]],Horo82105[[#This Row],[Durée]],"")</f>
        <v/>
      </c>
      <c r="V6" s="58"/>
      <c r="W6" s="59" t="n">
        <f aca="false">IF(Horo82105[[#This Row],[O]]="o",Horo82105[[#This Row],[Durée]],".")</f>
        <v>0.249999999999999</v>
      </c>
      <c r="X6" s="60" t="n">
        <f aca="false">IF(Horo82105[[#This Row],[Début]]=0,"",Horo82105[[#This Row],[Fin]]-Horo82105[[#This Row],[Début]])</f>
        <v>0.0104166666666666</v>
      </c>
    </row>
    <row r="7" customFormat="false" ht="15" hidden="false" customHeight="false" outlineLevel="0" collapsed="false">
      <c r="A7" s="45" t="s">
        <v>31</v>
      </c>
      <c r="B7" s="46" t="n">
        <f aca="false">IF(Horo82105[[#This Row],[Jour]]="Lundi",$C$1+1, IF(Horo82105[[#This Row],[Jour]]="Mardi",$C$1+2, IF(Horo82105[[#This Row],[Jour]]="Mercredi",$C$1+3, IF(Horo82105[[#This Row],[Jour]]="Jeudi",$C$1+4, IF(Horo82105[[#This Row],[Jour]]="Vendredi",$C$1+5, IF(Horo82105[[#This Row],[Jour]]="Samedi",$C$1+6, IF(Horo82105[[#This Row],[Jour]]="Dimanche",$C$1, )))))))</f>
        <v>44432</v>
      </c>
      <c r="C7" s="47" t="s">
        <v>0</v>
      </c>
      <c r="D7" s="48" t="n">
        <v>0.395833333333333</v>
      </c>
      <c r="E7" s="48" t="n">
        <v>0.4375</v>
      </c>
      <c r="F7" s="49" t="s">
        <v>32</v>
      </c>
      <c r="G7" s="49" t="s">
        <v>21</v>
      </c>
      <c r="H7" s="50" t="s">
        <v>33</v>
      </c>
      <c r="I7" s="51" t="s">
        <v>163</v>
      </c>
      <c r="J7" s="52" t="n">
        <f aca="false">IF(Horo82105[[#This Row],[Début]]=0,"",(Horo82105[[#This Row],[Durée (60)2]]-INT(Horo82105[[#This Row],[Durée (60)2]]))*24)</f>
        <v>1</v>
      </c>
      <c r="K7" s="62" t="n">
        <f aca="false">SUMIF(Horo82105[Jour],C7,Horo82105[Durée])</f>
        <v>8.75</v>
      </c>
      <c r="L7" s="54" t="n">
        <f aca="false">IFERROR(SUMIF(Horo82105[[#This Row],[Jour]],Horo82105[[#This Row],[Jour]],Horo82105[[#This Row],[GPF]]) / Horo82105[[#This Row],[hrs]],"")</f>
        <v>0</v>
      </c>
      <c r="M7" s="56" t="str">
        <f aca="false">IF("GPF"=Horo82105[[#This Row],[Tâche]],Horo82105[[#This Row],[Durée]],"")</f>
        <v/>
      </c>
      <c r="N7" s="56" t="str">
        <f aca="false">IF("RI"=Horo82105[[#This Row],[Tâche]],Horo82105[[#This Row],[Durée]],"")</f>
        <v/>
      </c>
      <c r="O7" s="56" t="n">
        <f aca="false">IF("GB"=Horo82105[[#This Row],[Tâche]],Horo82105[[#This Row],[Durée]],"")</f>
        <v>1</v>
      </c>
      <c r="P7" s="56" t="str">
        <f aca="false">IF("RD"=Horo82105[[#This Row],[Tâche]],Horo82105[[#This Row],[Durée]],"")</f>
        <v/>
      </c>
      <c r="Q7" s="56" t="str">
        <f aca="false">IF("FG"=Horo82105[[#This Row],[Tâche]],Horo82105[[#This Row],[Durée]],"")</f>
        <v/>
      </c>
      <c r="R7" s="56" t="str">
        <f aca="false">IF("CONGÉ"=Horo82105[[#This Row],[Tâche]],Horo82105[[#This Row],[Durée]],"")</f>
        <v/>
      </c>
      <c r="S7" s="57" t="str">
        <f aca="false">IF("PS"=Horo82105[[#This Row],[Tâche]],Horo82105[[#This Row],[Durée]],"")</f>
        <v/>
      </c>
      <c r="T7" s="56" t="str">
        <f aca="false">IF("TD"=Horo82105[[#This Row],[Tâche]],Horo82105[[#This Row],[Durée]],"")</f>
        <v/>
      </c>
      <c r="U7" s="55" t="str">
        <f aca="false">IF("N/C"=Horo82105[[#This Row],[Tâche]],Horo82105[[#This Row],[Durée]],"")</f>
        <v/>
      </c>
      <c r="V7" s="58"/>
      <c r="W7" s="59" t="n">
        <f aca="false">IF(Horo82105[[#This Row],[O]]="o",Horo82105[[#This Row],[Durée]],".")</f>
        <v>1</v>
      </c>
      <c r="X7" s="60" t="n">
        <f aca="false">IF(Horo82105[[#This Row],[Début]]=0,"",Horo82105[[#This Row],[Fin]]-Horo82105[[#This Row],[Début]])</f>
        <v>0.0416666666666667</v>
      </c>
    </row>
    <row r="8" customFormat="false" ht="15" hidden="false" customHeight="false" outlineLevel="0" collapsed="false">
      <c r="A8" s="45" t="s">
        <v>31</v>
      </c>
      <c r="B8" s="46" t="n">
        <f aca="false">IF(Horo82105[[#This Row],[Jour]]="Lundi",$C$1+1, IF(Horo82105[[#This Row],[Jour]]="Mardi",$C$1+2, IF(Horo82105[[#This Row],[Jour]]="Mercredi",$C$1+3, IF(Horo82105[[#This Row],[Jour]]="Jeudi",$C$1+4, IF(Horo82105[[#This Row],[Jour]]="Vendredi",$C$1+5, IF(Horo82105[[#This Row],[Jour]]="Samedi",$C$1+6, IF(Horo82105[[#This Row],[Jour]]="Dimanche",$C$1, )))))))</f>
        <v>44432</v>
      </c>
      <c r="C8" s="47" t="s">
        <v>0</v>
      </c>
      <c r="D8" s="48" t="n">
        <v>0.4375</v>
      </c>
      <c r="E8" s="48" t="n">
        <v>0.5</v>
      </c>
      <c r="F8" s="49" t="s">
        <v>32</v>
      </c>
      <c r="G8" s="49" t="s">
        <v>23</v>
      </c>
      <c r="H8" s="50" t="s">
        <v>109</v>
      </c>
      <c r="I8" s="61"/>
      <c r="J8" s="52" t="n">
        <f aca="false">IF(Horo82105[[#This Row],[Début]]=0,"",(Horo82105[[#This Row],[Durée (60)2]]-INT(Horo82105[[#This Row],[Durée (60)2]]))*24)</f>
        <v>1.5</v>
      </c>
      <c r="K8" s="62" t="n">
        <f aca="false">SUMIF(Horo82105[Jour],C8,Horo82105[Durée])</f>
        <v>8.75</v>
      </c>
      <c r="L8" s="54" t="n">
        <f aca="false">IFERROR(SUMIF(Horo82105[[#This Row],[Jour]],Horo82105[[#This Row],[Jour]],Horo82105[[#This Row],[GPF]]) / Horo82105[[#This Row],[hrs]],"")</f>
        <v>0</v>
      </c>
      <c r="M8" s="56" t="str">
        <f aca="false">IF("GPF"=Horo82105[[#This Row],[Tâche]],Horo82105[[#This Row],[Durée]],"")</f>
        <v/>
      </c>
      <c r="N8" s="56" t="str">
        <f aca="false">IF("RI"=Horo82105[[#This Row],[Tâche]],Horo82105[[#This Row],[Durée]],"")</f>
        <v/>
      </c>
      <c r="O8" s="56" t="str">
        <f aca="false">IF("GB"=Horo82105[[#This Row],[Tâche]],Horo82105[[#This Row],[Durée]],"")</f>
        <v/>
      </c>
      <c r="P8" s="56" t="str">
        <f aca="false">IF("RD"=Horo82105[[#This Row],[Tâche]],Horo82105[[#This Row],[Durée]],"")</f>
        <v/>
      </c>
      <c r="Q8" s="56" t="n">
        <f aca="false">IF("FG"=Horo82105[[#This Row],[Tâche]],Horo82105[[#This Row],[Durée]],"")</f>
        <v>1.5</v>
      </c>
      <c r="R8" s="56" t="str">
        <f aca="false">IF("CONGÉ"=Horo82105[[#This Row],[Tâche]],Horo82105[[#This Row],[Durée]],"")</f>
        <v/>
      </c>
      <c r="S8" s="57" t="str">
        <f aca="false">IF("PS"=Horo82105[[#This Row],[Tâche]],Horo82105[[#This Row],[Durée]],"")</f>
        <v/>
      </c>
      <c r="T8" s="56" t="str">
        <f aca="false">IF("TD"=Horo82105[[#This Row],[Tâche]],Horo82105[[#This Row],[Durée]],"")</f>
        <v/>
      </c>
      <c r="U8" s="55" t="str">
        <f aca="false">IF("N/C"=Horo82105[[#This Row],[Tâche]],Horo82105[[#This Row],[Durée]],"")</f>
        <v/>
      </c>
      <c r="V8" s="58"/>
      <c r="W8" s="59" t="n">
        <f aca="false">IF(Horo82105[[#This Row],[O]]="o",Horo82105[[#This Row],[Durée]],".")</f>
        <v>1.5</v>
      </c>
      <c r="X8" s="60" t="n">
        <f aca="false">IF(Horo82105[[#This Row],[Début]]=0,"",Horo82105[[#This Row],[Fin]]-Horo82105[[#This Row],[Début]])</f>
        <v>0.0625</v>
      </c>
    </row>
    <row r="9" customFormat="false" ht="15" hidden="false" customHeight="false" outlineLevel="0" collapsed="false">
      <c r="A9" s="45" t="s">
        <v>31</v>
      </c>
      <c r="B9" s="46" t="n">
        <f aca="false">IF(Horo82105[[#This Row],[Jour]]="Lundi",$C$1+1, IF(Horo82105[[#This Row],[Jour]]="Mardi",$C$1+2, IF(Horo82105[[#This Row],[Jour]]="Mercredi",$C$1+3, IF(Horo82105[[#This Row],[Jour]]="Jeudi",$C$1+4, IF(Horo82105[[#This Row],[Jour]]="Vendredi",$C$1+5, IF(Horo82105[[#This Row],[Jour]]="Samedi",$C$1+6, IF(Horo82105[[#This Row],[Jour]]="Dimanche",$C$1, )))))))</f>
        <v>44432</v>
      </c>
      <c r="C9" s="47" t="s">
        <v>0</v>
      </c>
      <c r="D9" s="48" t="n">
        <v>0.5625</v>
      </c>
      <c r="E9" s="48" t="n">
        <v>0.729166666666667</v>
      </c>
      <c r="F9" s="49" t="s">
        <v>32</v>
      </c>
      <c r="G9" s="49" t="s">
        <v>23</v>
      </c>
      <c r="H9" s="50" t="s">
        <v>109</v>
      </c>
      <c r="I9" s="61"/>
      <c r="J9" s="52" t="n">
        <f aca="false">IF(Horo82105[[#This Row],[Début]]=0,"",(Horo82105[[#This Row],[Durée (60)2]]-INT(Horo82105[[#This Row],[Durée (60)2]]))*24)</f>
        <v>4</v>
      </c>
      <c r="K9" s="62" t="n">
        <f aca="false">SUMIF(Horo82105[Jour],C9,Horo82105[Durée])</f>
        <v>8.75</v>
      </c>
      <c r="L9" s="54" t="n">
        <f aca="false">IFERROR(SUMIF(Horo82105[[#This Row],[Jour]],Horo82105[[#This Row],[Jour]],Horo82105[[#This Row],[GPF]]) / Horo82105[[#This Row],[hrs]],"")</f>
        <v>0</v>
      </c>
      <c r="M9" s="56" t="str">
        <f aca="false">IF("GPF"=Horo82105[[#This Row],[Tâche]],Horo82105[[#This Row],[Durée]],"")</f>
        <v/>
      </c>
      <c r="N9" s="56" t="str">
        <f aca="false">IF("RI"=Horo82105[[#This Row],[Tâche]],Horo82105[[#This Row],[Durée]],"")</f>
        <v/>
      </c>
      <c r="O9" s="56" t="str">
        <f aca="false">IF("GB"=Horo82105[[#This Row],[Tâche]],Horo82105[[#This Row],[Durée]],"")</f>
        <v/>
      </c>
      <c r="P9" s="56" t="str">
        <f aca="false">IF("RD"=Horo82105[[#This Row],[Tâche]],Horo82105[[#This Row],[Durée]],"")</f>
        <v/>
      </c>
      <c r="Q9" s="56" t="n">
        <f aca="false">IF("FG"=Horo82105[[#This Row],[Tâche]],Horo82105[[#This Row],[Durée]],"")</f>
        <v>4</v>
      </c>
      <c r="R9" s="56" t="str">
        <f aca="false">IF("CONGÉ"=Horo82105[[#This Row],[Tâche]],Horo82105[[#This Row],[Durée]],"")</f>
        <v/>
      </c>
      <c r="S9" s="57" t="str">
        <f aca="false">IF("PS"=Horo82105[[#This Row],[Tâche]],Horo82105[[#This Row],[Durée]],"")</f>
        <v/>
      </c>
      <c r="T9" s="56" t="str">
        <f aca="false">IF("TD"=Horo82105[[#This Row],[Tâche]],Horo82105[[#This Row],[Durée]],"")</f>
        <v/>
      </c>
      <c r="U9" s="55" t="str">
        <f aca="false">IF("N/C"=Horo82105[[#This Row],[Tâche]],Horo82105[[#This Row],[Durée]],"")</f>
        <v/>
      </c>
      <c r="V9" s="58"/>
      <c r="W9" s="59" t="n">
        <f aca="false">IF(Horo82105[[#This Row],[O]]="o",Horo82105[[#This Row],[Durée]],".")</f>
        <v>4</v>
      </c>
      <c r="X9" s="60" t="n">
        <f aca="false">IF(Horo82105[[#This Row],[Début]]=0,"",Horo82105[[#This Row],[Fin]]-Horo82105[[#This Row],[Début]])</f>
        <v>0.166666666666667</v>
      </c>
    </row>
    <row r="10" customFormat="false" ht="15" hidden="false" customHeight="false" outlineLevel="0" collapsed="false">
      <c r="A10" s="45" t="s">
        <v>31</v>
      </c>
      <c r="B10" s="46" t="n">
        <f aca="false">IF(Horo82105[[#This Row],[Jour]]="Lundi",$C$1+1, IF(Horo82105[[#This Row],[Jour]]="Mardi",$C$1+2, IF(Horo82105[[#This Row],[Jour]]="Mercredi",$C$1+3, IF(Horo82105[[#This Row],[Jour]]="Jeudi",$C$1+4, IF(Horo82105[[#This Row],[Jour]]="Vendredi",$C$1+5, IF(Horo82105[[#This Row],[Jour]]="Samedi",$C$1+6, IF(Horo82105[[#This Row],[Jour]]="Dimanche",$C$1, )))))))</f>
        <v>44433</v>
      </c>
      <c r="C10" s="47" t="s">
        <v>1</v>
      </c>
      <c r="D10" s="48" t="n">
        <v>0.333333333333333</v>
      </c>
      <c r="E10" s="48" t="n">
        <v>0.395833333333333</v>
      </c>
      <c r="F10" s="49" t="s">
        <v>32</v>
      </c>
      <c r="G10" s="49" t="s">
        <v>21</v>
      </c>
      <c r="H10" s="50" t="s">
        <v>33</v>
      </c>
      <c r="I10" s="51"/>
      <c r="J10" s="52" t="n">
        <f aca="false">IF(Horo82105[[#This Row],[Début]]=0,"",(Horo82105[[#This Row],[Durée (60)2]]-INT(Horo82105[[#This Row],[Durée (60)2]]))*24)</f>
        <v>1.5</v>
      </c>
      <c r="K10" s="62" t="n">
        <f aca="false">SUMIF(Horo82105[Jour],C10,Horo82105[Durée])</f>
        <v>7.75</v>
      </c>
      <c r="L10" s="54" t="n">
        <f aca="false">IFERROR(SUMIF(Horo82105[[#This Row],[Jour]],Horo82105[[#This Row],[Jour]],Horo82105[[#This Row],[GPF]]) / Horo82105[[#This Row],[hrs]],"")</f>
        <v>0</v>
      </c>
      <c r="M10" s="56" t="str">
        <f aca="false">IF("GPF"=Horo82105[[#This Row],[Tâche]],Horo82105[[#This Row],[Durée]],"")</f>
        <v/>
      </c>
      <c r="N10" s="56" t="str">
        <f aca="false">IF("RI"=Horo82105[[#This Row],[Tâche]],Horo82105[[#This Row],[Durée]],"")</f>
        <v/>
      </c>
      <c r="O10" s="56" t="n">
        <f aca="false">IF("GB"=Horo82105[[#This Row],[Tâche]],Horo82105[[#This Row],[Durée]],"")</f>
        <v>1.5</v>
      </c>
      <c r="P10" s="56" t="str">
        <f aca="false">IF("RD"=Horo82105[[#This Row],[Tâche]],Horo82105[[#This Row],[Durée]],"")</f>
        <v/>
      </c>
      <c r="Q10" s="56" t="str">
        <f aca="false">IF("FG"=Horo82105[[#This Row],[Tâche]],Horo82105[[#This Row],[Durée]],"")</f>
        <v/>
      </c>
      <c r="R10" s="56" t="str">
        <f aca="false">IF("CONGÉ"=Horo82105[[#This Row],[Tâche]],Horo82105[[#This Row],[Durée]],"")</f>
        <v/>
      </c>
      <c r="S10" s="57" t="str">
        <f aca="false">IF("PS"=Horo82105[[#This Row],[Tâche]],Horo82105[[#This Row],[Durée]],"")</f>
        <v/>
      </c>
      <c r="T10" s="56" t="str">
        <f aca="false">IF("TD"=Horo82105[[#This Row],[Tâche]],Horo82105[[#This Row],[Durée]],"")</f>
        <v/>
      </c>
      <c r="U10" s="55" t="str">
        <f aca="false">IF("N/C"=Horo82105[[#This Row],[Tâche]],Horo82105[[#This Row],[Durée]],"")</f>
        <v/>
      </c>
      <c r="V10" s="58"/>
      <c r="W10" s="59" t="n">
        <f aca="false">IF(Horo82105[[#This Row],[O]]="o",Horo82105[[#This Row],[Durée]],".")</f>
        <v>1.5</v>
      </c>
      <c r="X10" s="60" t="n">
        <f aca="false">IF(Horo82105[[#This Row],[Début]]=0,"",Horo82105[[#This Row],[Fin]]-Horo82105[[#This Row],[Début]])</f>
        <v>0.0625</v>
      </c>
    </row>
    <row r="11" customFormat="false" ht="15" hidden="false" customHeight="false" outlineLevel="0" collapsed="false">
      <c r="A11" s="45" t="s">
        <v>31</v>
      </c>
      <c r="B11" s="46" t="n">
        <f aca="false">IF(Horo82105[[#This Row],[Jour]]="Lundi",$C$1+1, IF(Horo82105[[#This Row],[Jour]]="Mardi",$C$1+2, IF(Horo82105[[#This Row],[Jour]]="Mercredi",$C$1+3, IF(Horo82105[[#This Row],[Jour]]="Jeudi",$C$1+4, IF(Horo82105[[#This Row],[Jour]]="Vendredi",$C$1+5, IF(Horo82105[[#This Row],[Jour]]="Samedi",$C$1+6, IF(Horo82105[[#This Row],[Jour]]="Dimanche",$C$1, )))))))</f>
        <v>44433</v>
      </c>
      <c r="C11" s="47" t="s">
        <v>1</v>
      </c>
      <c r="D11" s="48" t="n">
        <v>0.395833333333333</v>
      </c>
      <c r="E11" s="48" t="n">
        <v>0.447916666666667</v>
      </c>
      <c r="F11" s="49" t="s">
        <v>37</v>
      </c>
      <c r="G11" s="49" t="s">
        <v>22</v>
      </c>
      <c r="H11" s="50" t="s">
        <v>35</v>
      </c>
      <c r="I11" s="61" t="s">
        <v>164</v>
      </c>
      <c r="J11" s="52" t="n">
        <f aca="false">IF(Horo82105[[#This Row],[Début]]=0,"",(Horo82105[[#This Row],[Durée (60)2]]-INT(Horo82105[[#This Row],[Durée (60)2]]))*24)</f>
        <v>1.25</v>
      </c>
      <c r="K11" s="62" t="n">
        <f aca="false">SUMIF(Horo82105[Jour],C11,Horo82105[Durée])</f>
        <v>7.75</v>
      </c>
      <c r="L11" s="54" t="n">
        <f aca="false">IFERROR(SUMIF(Horo82105[[#This Row],[Jour]],Horo82105[[#This Row],[Jour]],Horo82105[[#This Row],[GPF]]) / Horo82105[[#This Row],[hrs]],"")</f>
        <v>0</v>
      </c>
      <c r="M11" s="56" t="str">
        <f aca="false">IF("GPF"=Horo82105[[#This Row],[Tâche]],Horo82105[[#This Row],[Durée]],"")</f>
        <v/>
      </c>
      <c r="N11" s="56" t="str">
        <f aca="false">IF("RI"=Horo82105[[#This Row],[Tâche]],Horo82105[[#This Row],[Durée]],"")</f>
        <v/>
      </c>
      <c r="O11" s="56" t="str">
        <f aca="false">IF("GB"=Horo82105[[#This Row],[Tâche]],Horo82105[[#This Row],[Durée]],"")</f>
        <v/>
      </c>
      <c r="P11" s="63" t="n">
        <f aca="false">IF("RD"=Horo82105[[#This Row],[Tâche]],Horo82105[[#This Row],[Durée]],"")</f>
        <v>1.25</v>
      </c>
      <c r="Q11" s="56" t="str">
        <f aca="false">IF("FG"=Horo82105[[#This Row],[Tâche]],Horo82105[[#This Row],[Durée]],"")</f>
        <v/>
      </c>
      <c r="R11" s="56" t="str">
        <f aca="false">IF("CONGÉ"=Horo82105[[#This Row],[Tâche]],Horo82105[[#This Row],[Durée]],"")</f>
        <v/>
      </c>
      <c r="S11" s="57" t="str">
        <f aca="false">IF("PS"=Horo82105[[#This Row],[Tâche]],Horo82105[[#This Row],[Durée]],"")</f>
        <v/>
      </c>
      <c r="T11" s="56" t="str">
        <f aca="false">IF("TD"=Horo82105[[#This Row],[Tâche]],Horo82105[[#This Row],[Durée]],"")</f>
        <v/>
      </c>
      <c r="U11" s="55" t="str">
        <f aca="false">IF("N/C"=Horo82105[[#This Row],[Tâche]],Horo82105[[#This Row],[Durée]],"")</f>
        <v/>
      </c>
      <c r="V11" s="58"/>
      <c r="W11" s="59" t="n">
        <f aca="false">IF(Horo82105[[#This Row],[O]]="o",Horo82105[[#This Row],[Durée]],".")</f>
        <v>1.25</v>
      </c>
      <c r="X11" s="60" t="n">
        <f aca="false">IF(Horo82105[[#This Row],[Début]]=0,"",Horo82105[[#This Row],[Fin]]-Horo82105[[#This Row],[Début]])</f>
        <v>0.0520833333333334</v>
      </c>
    </row>
    <row r="12" customFormat="false" ht="15" hidden="false" customHeight="false" outlineLevel="0" collapsed="false">
      <c r="A12" s="45" t="s">
        <v>31</v>
      </c>
      <c r="B12" s="46" t="n">
        <f aca="false">IF(Horo82105[[#This Row],[Jour]]="Lundi",$C$1+1, IF(Horo82105[[#This Row],[Jour]]="Mardi",$C$1+2, IF(Horo82105[[#This Row],[Jour]]="Mercredi",$C$1+3, IF(Horo82105[[#This Row],[Jour]]="Jeudi",$C$1+4, IF(Horo82105[[#This Row],[Jour]]="Vendredi",$C$1+5, IF(Horo82105[[#This Row],[Jour]]="Samedi",$C$1+6, IF(Horo82105[[#This Row],[Jour]]="Dimanche",$C$1, )))))))</f>
        <v>44433</v>
      </c>
      <c r="C12" s="47" t="s">
        <v>1</v>
      </c>
      <c r="D12" s="48" t="n">
        <v>0.4375</v>
      </c>
      <c r="E12" s="48" t="n">
        <v>0.5</v>
      </c>
      <c r="F12" s="49" t="s">
        <v>32</v>
      </c>
      <c r="G12" s="49" t="s">
        <v>23</v>
      </c>
      <c r="H12" s="50" t="s">
        <v>109</v>
      </c>
      <c r="I12" s="61"/>
      <c r="J12" s="52" t="n">
        <f aca="false">IF(Horo82105[[#This Row],[Début]]=0,"",(Horo82105[[#This Row],[Durée (60)2]]-INT(Horo82105[[#This Row],[Durée (60)2]]))*24)</f>
        <v>1.5</v>
      </c>
      <c r="K12" s="62" t="n">
        <f aca="false">SUMIF(Horo82105[Jour],C12,Horo82105[Durée])</f>
        <v>7.75</v>
      </c>
      <c r="L12" s="54" t="n">
        <f aca="false">IFERROR(SUMIF(Horo82105[[#This Row],[Jour]],Horo82105[[#This Row],[Jour]],Horo82105[[#This Row],[GPF]]) / Horo82105[[#This Row],[hrs]],"")</f>
        <v>0</v>
      </c>
      <c r="M12" s="56" t="str">
        <f aca="false">IF("GPF"=Horo82105[[#This Row],[Tâche]],Horo82105[[#This Row],[Durée]],"")</f>
        <v/>
      </c>
      <c r="N12" s="56" t="str">
        <f aca="false">IF("RI"=Horo82105[[#This Row],[Tâche]],Horo82105[[#This Row],[Durée]],"")</f>
        <v/>
      </c>
      <c r="O12" s="56" t="str">
        <f aca="false">IF("GB"=Horo82105[[#This Row],[Tâche]],Horo82105[[#This Row],[Durée]],"")</f>
        <v/>
      </c>
      <c r="P12" s="56" t="str">
        <f aca="false">IF("RD"=Horo82105[[#This Row],[Tâche]],Horo82105[[#This Row],[Durée]],"")</f>
        <v/>
      </c>
      <c r="Q12" s="56" t="n">
        <f aca="false">IF("FG"=Horo82105[[#This Row],[Tâche]],Horo82105[[#This Row],[Durée]],"")</f>
        <v>1.5</v>
      </c>
      <c r="R12" s="56" t="str">
        <f aca="false">IF("CONGÉ"=Horo82105[[#This Row],[Tâche]],Horo82105[[#This Row],[Durée]],"")</f>
        <v/>
      </c>
      <c r="S12" s="57" t="str">
        <f aca="false">IF("PS"=Horo82105[[#This Row],[Tâche]],Horo82105[[#This Row],[Durée]],"")</f>
        <v/>
      </c>
      <c r="T12" s="56" t="str">
        <f aca="false">IF("TD"=Horo82105[[#This Row],[Tâche]],Horo82105[[#This Row],[Durée]],"")</f>
        <v/>
      </c>
      <c r="U12" s="55" t="str">
        <f aca="false">IF("N/C"=Horo82105[[#This Row],[Tâche]],Horo82105[[#This Row],[Durée]],"")</f>
        <v/>
      </c>
      <c r="V12" s="58"/>
      <c r="W12" s="59" t="n">
        <f aca="false">IF(Horo82105[[#This Row],[O]]="o",Horo82105[[#This Row],[Durée]],".")</f>
        <v>1.5</v>
      </c>
      <c r="X12" s="60" t="n">
        <f aca="false">IF(Horo82105[[#This Row],[Début]]=0,"",Horo82105[[#This Row],[Fin]]-Horo82105[[#This Row],[Début]])</f>
        <v>0.0625</v>
      </c>
    </row>
    <row r="13" customFormat="false" ht="15" hidden="false" customHeight="false" outlineLevel="0" collapsed="false">
      <c r="A13" s="45" t="s">
        <v>31</v>
      </c>
      <c r="B13" s="46" t="n">
        <f aca="false">IF(Horo82105[[#This Row],[Jour]]="Lundi",$C$1+1, IF(Horo82105[[#This Row],[Jour]]="Mardi",$C$1+2, IF(Horo82105[[#This Row],[Jour]]="Mercredi",$C$1+3, IF(Horo82105[[#This Row],[Jour]]="Jeudi",$C$1+4, IF(Horo82105[[#This Row],[Jour]]="Vendredi",$C$1+5, IF(Horo82105[[#This Row],[Jour]]="Samedi",$C$1+6, IF(Horo82105[[#This Row],[Jour]]="Dimanche",$C$1, )))))))</f>
        <v>44433</v>
      </c>
      <c r="C13" s="47" t="s">
        <v>1</v>
      </c>
      <c r="D13" s="48" t="n">
        <v>0.5625</v>
      </c>
      <c r="E13" s="48" t="n">
        <v>0.645833333333333</v>
      </c>
      <c r="F13" s="49" t="s">
        <v>59</v>
      </c>
      <c r="G13" s="49" t="s">
        <v>27</v>
      </c>
      <c r="H13" s="50" t="s">
        <v>35</v>
      </c>
      <c r="I13" s="61" t="s">
        <v>160</v>
      </c>
      <c r="J13" s="52" t="n">
        <f aca="false">IF(Horo82105[[#This Row],[Début]]=0,"",(Horo82105[[#This Row],[Durée (60)2]]-INT(Horo82105[[#This Row],[Durée (60)2]]))*24)</f>
        <v>2</v>
      </c>
      <c r="K13" s="62" t="n">
        <f aca="false">SUMIF(Horo82105[Jour],C13,Horo82105[Durée])</f>
        <v>7.75</v>
      </c>
      <c r="L13" s="54" t="n">
        <f aca="false">IFERROR(SUMIF(Horo82105[[#This Row],[Jour]],Horo82105[[#This Row],[Jour]],Horo82105[[#This Row],[GPF]]) / Horo82105[[#This Row],[hrs]],"")</f>
        <v>0</v>
      </c>
      <c r="M13" s="56" t="str">
        <f aca="false">IF("GPF"=Horo82105[[#This Row],[Tâche]],Horo82105[[#This Row],[Durée]],"")</f>
        <v/>
      </c>
      <c r="N13" s="56" t="str">
        <f aca="false">IF("RI"=Horo82105[[#This Row],[Tâche]],Horo82105[[#This Row],[Durée]],"")</f>
        <v/>
      </c>
      <c r="O13" s="56" t="str">
        <f aca="false">IF("GB"=Horo82105[[#This Row],[Tâche]],Horo82105[[#This Row],[Durée]],"")</f>
        <v/>
      </c>
      <c r="P13" s="56" t="str">
        <f aca="false">IF("RD"=Horo82105[[#This Row],[Tâche]],Horo82105[[#This Row],[Durée]],"")</f>
        <v/>
      </c>
      <c r="Q13" s="103" t="str">
        <f aca="false">IF("FG"=Horo82105[[#This Row],[Tâche]],Horo82105[[#This Row],[Durée]],"")</f>
        <v/>
      </c>
      <c r="R13" s="56" t="str">
        <f aca="false">IF("CONGÉ"=Horo82105[[#This Row],[Tâche]],Horo82105[[#This Row],[Durée]],"")</f>
        <v/>
      </c>
      <c r="S13" s="57" t="str">
        <f aca="false">IF("PS"=Horo82105[[#This Row],[Tâche]],Horo82105[[#This Row],[Durée]],"")</f>
        <v/>
      </c>
      <c r="T13" s="56" t="str">
        <f aca="false">IF("TD"=Horo82105[[#This Row],[Tâche]],Horo82105[[#This Row],[Durée]],"")</f>
        <v/>
      </c>
      <c r="U13" s="55" t="n">
        <f aca="false">IF("N/C"=Horo82105[[#This Row],[Tâche]],Horo82105[[#This Row],[Durée]],"")</f>
        <v>2</v>
      </c>
      <c r="V13" s="58"/>
      <c r="W13" s="59" t="n">
        <f aca="false">IF(Horo82105[[#This Row],[O]]="o",Horo82105[[#This Row],[Durée]],".")</f>
        <v>2</v>
      </c>
      <c r="X13" s="60" t="n">
        <f aca="false">IF(Horo82105[[#This Row],[Début]]=0,"",Horo82105[[#This Row],[Fin]]-Horo82105[[#This Row],[Début]])</f>
        <v>0.0833333333333334</v>
      </c>
    </row>
    <row r="14" customFormat="false" ht="15" hidden="false" customHeight="false" outlineLevel="0" collapsed="false">
      <c r="A14" s="45" t="s">
        <v>31</v>
      </c>
      <c r="B14" s="46" t="n">
        <f aca="false">IF(Horo82105[[#This Row],[Jour]]="Lundi",$C$1+1, IF(Horo82105[[#This Row],[Jour]]="Mardi",$C$1+2, IF(Horo82105[[#This Row],[Jour]]="Mercredi",$C$1+3, IF(Horo82105[[#This Row],[Jour]]="Jeudi",$C$1+4, IF(Horo82105[[#This Row],[Jour]]="Vendredi",$C$1+5, IF(Horo82105[[#This Row],[Jour]]="Samedi",$C$1+6, IF(Horo82105[[#This Row],[Jour]]="Dimanche",$C$1, )))))))</f>
        <v>44433</v>
      </c>
      <c r="C14" s="47" t="s">
        <v>1</v>
      </c>
      <c r="D14" s="48" t="n">
        <v>0.645833333333333</v>
      </c>
      <c r="E14" s="48" t="n">
        <v>0.708333333333333</v>
      </c>
      <c r="F14" s="49" t="s">
        <v>32</v>
      </c>
      <c r="G14" s="49" t="s">
        <v>23</v>
      </c>
      <c r="H14" s="50" t="s">
        <v>109</v>
      </c>
      <c r="I14" s="61"/>
      <c r="J14" s="52" t="n">
        <f aca="false">IF(Horo82105[[#This Row],[Début]]=0,"",(Horo82105[[#This Row],[Durée (60)2]]-INT(Horo82105[[#This Row],[Durée (60)2]]))*24)</f>
        <v>1.5</v>
      </c>
      <c r="K14" s="62" t="n">
        <f aca="false">SUMIF(Horo82105[Jour],C14,Horo82105[Durée])</f>
        <v>7.75</v>
      </c>
      <c r="L14" s="54" t="n">
        <f aca="false">IFERROR(SUMIF(Horo82105[[#This Row],[Jour]],Horo82105[[#This Row],[Jour]],Horo82105[[#This Row],[GPF]]) / Horo82105[[#This Row],[hrs]],"")</f>
        <v>0</v>
      </c>
      <c r="M14" s="56" t="str">
        <f aca="false">IF("GPF"=Horo82105[[#This Row],[Tâche]],Horo82105[[#This Row],[Durée]],"")</f>
        <v/>
      </c>
      <c r="N14" s="56" t="str">
        <f aca="false">IF("RI"=Horo82105[[#This Row],[Tâche]],Horo82105[[#This Row],[Durée]],"")</f>
        <v/>
      </c>
      <c r="O14" s="56" t="str">
        <f aca="false">IF("GB"=Horo82105[[#This Row],[Tâche]],Horo82105[[#This Row],[Durée]],"")</f>
        <v/>
      </c>
      <c r="P14" s="56" t="str">
        <f aca="false">IF("RD"=Horo82105[[#This Row],[Tâche]],Horo82105[[#This Row],[Durée]],"")</f>
        <v/>
      </c>
      <c r="Q14" s="56" t="n">
        <f aca="false">IF("FG"=Horo82105[[#This Row],[Tâche]],Horo82105[[#This Row],[Durée]],"")</f>
        <v>1.5</v>
      </c>
      <c r="R14" s="56" t="str">
        <f aca="false">IF("CONGÉ"=Horo82105[[#This Row],[Tâche]],Horo82105[[#This Row],[Durée]],"")</f>
        <v/>
      </c>
      <c r="S14" s="57" t="str">
        <f aca="false">IF("PS"=Horo82105[[#This Row],[Tâche]],Horo82105[[#This Row],[Durée]],"")</f>
        <v/>
      </c>
      <c r="T14" s="56" t="str">
        <f aca="false">IF("TD"=Horo82105[[#This Row],[Tâche]],Horo82105[[#This Row],[Durée]],"")</f>
        <v/>
      </c>
      <c r="U14" s="55" t="str">
        <f aca="false">IF("N/C"=Horo82105[[#This Row],[Tâche]],Horo82105[[#This Row],[Durée]],"")</f>
        <v/>
      </c>
      <c r="V14" s="58"/>
      <c r="W14" s="59" t="n">
        <f aca="false">IF(Horo82105[[#This Row],[O]]="o",Horo82105[[#This Row],[Durée]],".")</f>
        <v>1.5</v>
      </c>
      <c r="X14" s="60" t="n">
        <f aca="false">IF(Horo82105[[#This Row],[Début]]=0,"",Horo82105[[#This Row],[Fin]]-Horo82105[[#This Row],[Début]])</f>
        <v>0.0625</v>
      </c>
    </row>
    <row r="15" customFormat="false" ht="15" hidden="false" customHeight="false" outlineLevel="0" collapsed="false">
      <c r="A15" s="45" t="s">
        <v>31</v>
      </c>
      <c r="B15" s="46" t="n">
        <f aca="false">IF(Horo82105[[#This Row],[Jour]]="Lundi",$C$1+1, IF(Horo82105[[#This Row],[Jour]]="Mardi",$C$1+2, IF(Horo82105[[#This Row],[Jour]]="Mercredi",$C$1+3, IF(Horo82105[[#This Row],[Jour]]="Jeudi",$C$1+4, IF(Horo82105[[#This Row],[Jour]]="Vendredi",$C$1+5, IF(Horo82105[[#This Row],[Jour]]="Samedi",$C$1+6, IF(Horo82105[[#This Row],[Jour]]="Dimanche",$C$1, )))))))</f>
        <v>44434</v>
      </c>
      <c r="C15" s="47" t="s">
        <v>2</v>
      </c>
      <c r="D15" s="48" t="n">
        <v>0.3125</v>
      </c>
      <c r="E15" s="48" t="n">
        <v>0.354166666666667</v>
      </c>
      <c r="F15" s="49" t="s">
        <v>32</v>
      </c>
      <c r="G15" s="49" t="s">
        <v>21</v>
      </c>
      <c r="H15" s="50" t="s">
        <v>33</v>
      </c>
      <c r="I15" s="51"/>
      <c r="J15" s="52" t="n">
        <f aca="false">IF(Horo82105[[#This Row],[Début]]=0,"",(Horo82105[[#This Row],[Durée (60)2]]-INT(Horo82105[[#This Row],[Durée (60)2]]))*24)</f>
        <v>1</v>
      </c>
      <c r="K15" s="62" t="n">
        <f aca="false">SUMIF(Horo82105[Jour],C15,Horo82105[Durée])</f>
        <v>7</v>
      </c>
      <c r="L15" s="54" t="n">
        <f aca="false">IFERROR(SUMIF(Horo82105[[#This Row],[Jour]],Horo82105[[#This Row],[Jour]],Horo82105[[#This Row],[GPF]]) / Horo82105[[#This Row],[hrs]],"")</f>
        <v>0</v>
      </c>
      <c r="M15" s="56" t="str">
        <f aca="false">IF("GPF"=Horo82105[[#This Row],[Tâche]],Horo82105[[#This Row],[Durée]],"")</f>
        <v/>
      </c>
      <c r="N15" s="56" t="str">
        <f aca="false">IF("RI"=Horo82105[[#This Row],[Tâche]],Horo82105[[#This Row],[Durée]],"")</f>
        <v/>
      </c>
      <c r="O15" s="56" t="n">
        <f aca="false">IF("GB"=Horo82105[[#This Row],[Tâche]],Horo82105[[#This Row],[Durée]],"")</f>
        <v>1</v>
      </c>
      <c r="P15" s="56" t="str">
        <f aca="false">IF("RD"=Horo82105[[#This Row],[Tâche]],Horo82105[[#This Row],[Durée]],"")</f>
        <v/>
      </c>
      <c r="Q15" s="56" t="str">
        <f aca="false">IF("FG"=Horo82105[[#This Row],[Tâche]],Horo82105[[#This Row],[Durée]],"")</f>
        <v/>
      </c>
      <c r="R15" s="56" t="str">
        <f aca="false">IF("CONGÉ"=Horo82105[[#This Row],[Tâche]],Horo82105[[#This Row],[Durée]],"")</f>
        <v/>
      </c>
      <c r="S15" s="56" t="str">
        <f aca="false">IF("PS"=Horo82105[[#This Row],[Tâche]],Horo82105[[#This Row],[Durée]],"")</f>
        <v/>
      </c>
      <c r="T15" s="56" t="str">
        <f aca="false">IF("TD"=Horo82105[[#This Row],[Tâche]],Horo82105[[#This Row],[Durée]],"")</f>
        <v/>
      </c>
      <c r="U15" s="56" t="str">
        <f aca="false">IF("N/C"=Horo82105[[#This Row],[Tâche]],Horo82105[[#This Row],[Durée]],"")</f>
        <v/>
      </c>
      <c r="V15" s="58"/>
      <c r="W15" s="59" t="n">
        <f aca="false">IF(Horo82105[[#This Row],[O]]="o",Horo82105[[#This Row],[Durée]],".")</f>
        <v>1</v>
      </c>
      <c r="X15" s="64" t="n">
        <f aca="false">IF(Horo82105[[#This Row],[Début]]=0,"",Horo82105[[#This Row],[Fin]]-Horo82105[[#This Row],[Début]])</f>
        <v>0.0416666666666667</v>
      </c>
    </row>
    <row r="16" customFormat="false" ht="15" hidden="false" customHeight="false" outlineLevel="0" collapsed="false">
      <c r="A16" s="45" t="s">
        <v>31</v>
      </c>
      <c r="B16" s="46" t="n">
        <f aca="false">IF(Horo82105[[#This Row],[Jour]]="Lundi",$C$1+1, IF(Horo82105[[#This Row],[Jour]]="Mardi",$C$1+2, IF(Horo82105[[#This Row],[Jour]]="Mercredi",$C$1+3, IF(Horo82105[[#This Row],[Jour]]="Jeudi",$C$1+4, IF(Horo82105[[#This Row],[Jour]]="Vendredi",$C$1+5, IF(Horo82105[[#This Row],[Jour]]="Samedi",$C$1+6, IF(Horo82105[[#This Row],[Jour]]="Dimanche",$C$1, )))))))</f>
        <v>44434</v>
      </c>
      <c r="C16" s="47" t="s">
        <v>2</v>
      </c>
      <c r="D16" s="48" t="n">
        <v>0.375</v>
      </c>
      <c r="E16" s="48" t="n">
        <v>0.5</v>
      </c>
      <c r="F16" s="49" t="s">
        <v>32</v>
      </c>
      <c r="G16" s="49" t="s">
        <v>23</v>
      </c>
      <c r="H16" s="50" t="s">
        <v>109</v>
      </c>
      <c r="I16" s="61"/>
      <c r="J16" s="52" t="n">
        <f aca="false">IF(Horo82105[[#This Row],[Début]]=0,"",(Horo82105[[#This Row],[Durée (60)2]]-INT(Horo82105[[#This Row],[Durée (60)2]]))*24)</f>
        <v>3</v>
      </c>
      <c r="K16" s="62" t="n">
        <f aca="false">SUMIF(Horo82105[Jour],C16,Horo82105[Durée])</f>
        <v>7</v>
      </c>
      <c r="L16" s="54" t="n">
        <f aca="false">IFERROR(SUMIF(Horo82105[[#This Row],[Jour]],Horo82105[[#This Row],[Jour]],Horo82105[[#This Row],[GPF]]) / Horo82105[[#This Row],[hrs]],"")</f>
        <v>0</v>
      </c>
      <c r="M16" s="56" t="str">
        <f aca="false">IF("GPF"=Horo82105[[#This Row],[Tâche]],Horo82105[[#This Row],[Durée]],"")</f>
        <v/>
      </c>
      <c r="N16" s="56" t="str">
        <f aca="false">IF("RI"=Horo82105[[#This Row],[Tâche]],Horo82105[[#This Row],[Durée]],"")</f>
        <v/>
      </c>
      <c r="O16" s="56" t="str">
        <f aca="false">IF("GB"=Horo82105[[#This Row],[Tâche]],Horo82105[[#This Row],[Durée]],"")</f>
        <v/>
      </c>
      <c r="P16" s="63" t="str">
        <f aca="false">IF("RD"=Horo82105[[#This Row],[Tâche]],Horo82105[[#This Row],[Durée]],"")</f>
        <v/>
      </c>
      <c r="Q16" s="56" t="n">
        <f aca="false">IF("FG"=Horo82105[[#This Row],[Tâche]],Horo82105[[#This Row],[Durée]],"")</f>
        <v>3</v>
      </c>
      <c r="R16" s="56" t="str">
        <f aca="false">IF("CONGÉ"=Horo82105[[#This Row],[Tâche]],Horo82105[[#This Row],[Durée]],"")</f>
        <v/>
      </c>
      <c r="S16" s="57" t="str">
        <f aca="false">IF("PS"=Horo82105[[#This Row],[Tâche]],Horo82105[[#This Row],[Durée]],"")</f>
        <v/>
      </c>
      <c r="T16" s="56" t="str">
        <f aca="false">IF("TD"=Horo82105[[#This Row],[Tâche]],Horo82105[[#This Row],[Durée]],"")</f>
        <v/>
      </c>
      <c r="U16" s="55" t="str">
        <f aca="false">IF("N/C"=Horo82105[[#This Row],[Tâche]],Horo82105[[#This Row],[Durée]],"")</f>
        <v/>
      </c>
      <c r="V16" s="58"/>
      <c r="W16" s="59" t="n">
        <f aca="false">IF(Horo82105[[#This Row],[O]]="o",Horo82105[[#This Row],[Durée]],".")</f>
        <v>3</v>
      </c>
      <c r="X16" s="60" t="n">
        <f aca="false">IF(Horo82105[[#This Row],[Début]]=0,"",Horo82105[[#This Row],[Fin]]-Horo82105[[#This Row],[Début]])</f>
        <v>0.125</v>
      </c>
    </row>
    <row r="17" customFormat="false" ht="15" hidden="false" customHeight="false" outlineLevel="0" collapsed="false">
      <c r="A17" s="45" t="s">
        <v>31</v>
      </c>
      <c r="B17" s="46" t="n">
        <f aca="false">IF(Horo82105[[#This Row],[Jour]]="Lundi",$C$1+1, IF(Horo82105[[#This Row],[Jour]]="Mardi",$C$1+2, IF(Horo82105[[#This Row],[Jour]]="Mercredi",$C$1+3, IF(Horo82105[[#This Row],[Jour]]="Jeudi",$C$1+4, IF(Horo82105[[#This Row],[Jour]]="Vendredi",$C$1+5, IF(Horo82105[[#This Row],[Jour]]="Samedi",$C$1+6, IF(Horo82105[[#This Row],[Jour]]="Dimanche",$C$1, )))))))</f>
        <v>44434</v>
      </c>
      <c r="C17" s="47" t="s">
        <v>2</v>
      </c>
      <c r="D17" s="48" t="n">
        <v>0.5625</v>
      </c>
      <c r="E17" s="48" t="n">
        <v>0.604166666666667</v>
      </c>
      <c r="F17" s="49" t="s">
        <v>75</v>
      </c>
      <c r="G17" s="49" t="s">
        <v>23</v>
      </c>
      <c r="H17" s="50" t="s">
        <v>111</v>
      </c>
      <c r="I17" s="61"/>
      <c r="J17" s="52" t="n">
        <f aca="false">IF(Horo82105[[#This Row],[Début]]=0,"",(Horo82105[[#This Row],[Durée (60)2]]-INT(Horo82105[[#This Row],[Durée (60)2]]))*24)</f>
        <v>0.999999999999999</v>
      </c>
      <c r="K17" s="62" t="n">
        <f aca="false">SUMIF(Horo82105[Jour],C17,Horo82105[Durée])</f>
        <v>7</v>
      </c>
      <c r="L17" s="54" t="n">
        <f aca="false">IFERROR(SUMIF(Horo82105[[#This Row],[Jour]],Horo82105[[#This Row],[Jour]],Horo82105[[#This Row],[GPF]]) / Horo82105[[#This Row],[hrs]],"")</f>
        <v>0</v>
      </c>
      <c r="M17" s="56" t="str">
        <f aca="false">IF("GPF"=Horo82105[[#This Row],[Tâche]],Horo82105[[#This Row],[Durée]],"")</f>
        <v/>
      </c>
      <c r="N17" s="56" t="str">
        <f aca="false">IF("RI"=Horo82105[[#This Row],[Tâche]],Horo82105[[#This Row],[Durée]],"")</f>
        <v/>
      </c>
      <c r="O17" s="56" t="str">
        <f aca="false">IF("GB"=Horo82105[[#This Row],[Tâche]],Horo82105[[#This Row],[Durée]],"")</f>
        <v/>
      </c>
      <c r="P17" s="63" t="str">
        <f aca="false">IF("RD"=Horo82105[[#This Row],[Tâche]],Horo82105[[#This Row],[Durée]],"")</f>
        <v/>
      </c>
      <c r="Q17" s="56" t="n">
        <f aca="false">IF("FG"=Horo82105[[#This Row],[Tâche]],Horo82105[[#This Row],[Durée]],"")</f>
        <v>0.999999999999999</v>
      </c>
      <c r="R17" s="56" t="str">
        <f aca="false">IF("CONGÉ"=Horo82105[[#This Row],[Tâche]],Horo82105[[#This Row],[Durée]],"")</f>
        <v/>
      </c>
      <c r="S17" s="57" t="str">
        <f aca="false">IF("PS"=Horo82105[[#This Row],[Tâche]],Horo82105[[#This Row],[Durée]],"")</f>
        <v/>
      </c>
      <c r="T17" s="56" t="str">
        <f aca="false">IF("TD"=Horo82105[[#This Row],[Tâche]],Horo82105[[#This Row],[Durée]],"")</f>
        <v/>
      </c>
      <c r="U17" s="55" t="str">
        <f aca="false">IF("N/C"=Horo82105[[#This Row],[Tâche]],Horo82105[[#This Row],[Durée]],"")</f>
        <v/>
      </c>
      <c r="V17" s="58"/>
      <c r="W17" s="59" t="n">
        <f aca="false">IF(Horo82105[[#This Row],[O]]="o",Horo82105[[#This Row],[Durée]],".")</f>
        <v>0.999999999999999</v>
      </c>
      <c r="X17" s="60" t="n">
        <f aca="false">IF(Horo82105[[#This Row],[Début]]=0,"",Horo82105[[#This Row],[Fin]]-Horo82105[[#This Row],[Début]])</f>
        <v>0.0416666666666666</v>
      </c>
    </row>
    <row r="18" customFormat="false" ht="15" hidden="false" customHeight="false" outlineLevel="0" collapsed="false">
      <c r="A18" s="45" t="s">
        <v>31</v>
      </c>
      <c r="B18" s="46" t="n">
        <f aca="false">IF(Horo82105[[#This Row],[Jour]]="Lundi",$C$1+1, IF(Horo82105[[#This Row],[Jour]]="Mardi",$C$1+2, IF(Horo82105[[#This Row],[Jour]]="Mercredi",$C$1+3, IF(Horo82105[[#This Row],[Jour]]="Jeudi",$C$1+4, IF(Horo82105[[#This Row],[Jour]]="Vendredi",$C$1+5, IF(Horo82105[[#This Row],[Jour]]="Samedi",$C$1+6, IF(Horo82105[[#This Row],[Jour]]="Dimanche",$C$1, )))))))</f>
        <v>44434</v>
      </c>
      <c r="C18" s="47" t="s">
        <v>2</v>
      </c>
      <c r="D18" s="48" t="n">
        <v>0.604166666666667</v>
      </c>
      <c r="E18" s="48" t="n">
        <v>0.6875</v>
      </c>
      <c r="F18" s="49" t="s">
        <v>32</v>
      </c>
      <c r="G18" s="49" t="s">
        <v>23</v>
      </c>
      <c r="H18" s="50" t="s">
        <v>109</v>
      </c>
      <c r="I18" s="61"/>
      <c r="J18" s="52" t="n">
        <f aca="false">IF(Horo82105[[#This Row],[Début]]=0,"",(Horo82105[[#This Row],[Durée (60)2]]-INT(Horo82105[[#This Row],[Durée (60)2]]))*24)</f>
        <v>2</v>
      </c>
      <c r="K18" s="62" t="n">
        <f aca="false">SUMIF(Horo82105[Jour],C18,Horo82105[Durée])</f>
        <v>7</v>
      </c>
      <c r="L18" s="54" t="n">
        <f aca="false">IFERROR(SUMIF(Horo82105[[#This Row],[Jour]],Horo82105[[#This Row],[Jour]],Horo82105[[#This Row],[GPF]]) / Horo82105[[#This Row],[hrs]],"")</f>
        <v>0</v>
      </c>
      <c r="M18" s="56" t="str">
        <f aca="false">IF("GPF"=Horo82105[[#This Row],[Tâche]],Horo82105[[#This Row],[Durée]],"")</f>
        <v/>
      </c>
      <c r="N18" s="56" t="str">
        <f aca="false">IF("RI"=Horo82105[[#This Row],[Tâche]],Horo82105[[#This Row],[Durée]],"")</f>
        <v/>
      </c>
      <c r="O18" s="56" t="str">
        <f aca="false">IF("GB"=Horo82105[[#This Row],[Tâche]],Horo82105[[#This Row],[Durée]],"")</f>
        <v/>
      </c>
      <c r="P18" s="56" t="str">
        <f aca="false">IF("RD"=Horo82105[[#This Row],[Tâche]],Horo82105[[#This Row],[Durée]],"")</f>
        <v/>
      </c>
      <c r="Q18" s="56" t="n">
        <f aca="false">IF("FG"=Horo82105[[#This Row],[Tâche]],Horo82105[[#This Row],[Durée]],"")</f>
        <v>2</v>
      </c>
      <c r="R18" s="56" t="str">
        <f aca="false">IF("CONGÉ"=Horo82105[[#This Row],[Tâche]],Horo82105[[#This Row],[Durée]],"")</f>
        <v/>
      </c>
      <c r="S18" s="57" t="str">
        <f aca="false">IF("PS"=Horo82105[[#This Row],[Tâche]],Horo82105[[#This Row],[Durée]],"")</f>
        <v/>
      </c>
      <c r="T18" s="56" t="str">
        <f aca="false">IF("TD"=Horo82105[[#This Row],[Tâche]],Horo82105[[#This Row],[Durée]],"")</f>
        <v/>
      </c>
      <c r="U18" s="55" t="str">
        <f aca="false">IF("N/C"=Horo82105[[#This Row],[Tâche]],Horo82105[[#This Row],[Durée]],"")</f>
        <v/>
      </c>
      <c r="V18" s="58"/>
      <c r="W18" s="59" t="n">
        <f aca="false">IF(Horo82105[[#This Row],[O]]="o",Horo82105[[#This Row],[Durée]],".")</f>
        <v>2</v>
      </c>
      <c r="X18" s="60" t="n">
        <f aca="false">IF(Horo82105[[#This Row],[Début]]=0,"",Horo82105[[#This Row],[Fin]]-Horo82105[[#This Row],[Début]])</f>
        <v>0.0833333333333334</v>
      </c>
    </row>
    <row r="19" customFormat="false" ht="15" hidden="false" customHeight="false" outlineLevel="0" collapsed="false">
      <c r="A19" s="45" t="s">
        <v>31</v>
      </c>
      <c r="B19" s="46" t="n">
        <f aca="false">IF(Horo82105[[#This Row],[Jour]]="Lundi",$C$1+1, IF(Horo82105[[#This Row],[Jour]]="Mardi",$C$1+2, IF(Horo82105[[#This Row],[Jour]]="Mercredi",$C$1+3, IF(Horo82105[[#This Row],[Jour]]="Jeudi",$C$1+4, IF(Horo82105[[#This Row],[Jour]]="Vendredi",$C$1+5, IF(Horo82105[[#This Row],[Jour]]="Samedi",$C$1+6, IF(Horo82105[[#This Row],[Jour]]="Dimanche",$C$1, )))))))</f>
        <v>44435</v>
      </c>
      <c r="C19" s="47" t="s">
        <v>3</v>
      </c>
      <c r="D19" s="48" t="n">
        <v>0.3125</v>
      </c>
      <c r="E19" s="48" t="n">
        <v>0.354166666666667</v>
      </c>
      <c r="F19" s="49" t="s">
        <v>32</v>
      </c>
      <c r="G19" s="49" t="s">
        <v>21</v>
      </c>
      <c r="H19" s="50" t="s">
        <v>33</v>
      </c>
      <c r="I19" s="51"/>
      <c r="J19" s="52" t="n">
        <f aca="false">IF(Horo82105[[#This Row],[Début]]=0,"",(Horo82105[[#This Row],[Durée (60)2]]-INT(Horo82105[[#This Row],[Durée (60)2]]))*24)</f>
        <v>1</v>
      </c>
      <c r="K19" s="62" t="n">
        <f aca="false">SUMIF(Horo82105[Jour],C19,Horo82105[Durée])</f>
        <v>8.5</v>
      </c>
      <c r="L19" s="54" t="n">
        <f aca="false">IFERROR(SUMIF(Horo82105[[#This Row],[Jour]],Horo82105[[#This Row],[Jour]],Horo82105[[#This Row],[GPF]]) / Horo82105[[#This Row],[hrs]],"")</f>
        <v>0</v>
      </c>
      <c r="M19" s="56" t="str">
        <f aca="false">IF("GPF"=Horo82105[[#This Row],[Tâche]],Horo82105[[#This Row],[Durée]],"")</f>
        <v/>
      </c>
      <c r="N19" s="56" t="str">
        <f aca="false">IF("RI"=Horo82105[[#This Row],[Tâche]],Horo82105[[#This Row],[Durée]],"")</f>
        <v/>
      </c>
      <c r="O19" s="56" t="n">
        <f aca="false">IF("GB"=Horo82105[[#This Row],[Tâche]],Horo82105[[#This Row],[Durée]],"")</f>
        <v>1</v>
      </c>
      <c r="P19" s="56" t="str">
        <f aca="false">IF("RD"=Horo82105[[#This Row],[Tâche]],Horo82105[[#This Row],[Durée]],"")</f>
        <v/>
      </c>
      <c r="Q19" s="56" t="str">
        <f aca="false">IF("FG"=Horo82105[[#This Row],[Tâche]],Horo82105[[#This Row],[Durée]],"")</f>
        <v/>
      </c>
      <c r="R19" s="56" t="str">
        <f aca="false">IF("CONGÉ"=Horo82105[[#This Row],[Tâche]],Horo82105[[#This Row],[Durée]],"")</f>
        <v/>
      </c>
      <c r="S19" s="56" t="str">
        <f aca="false">IF("PS"=Horo82105[[#This Row],[Tâche]],Horo82105[[#This Row],[Durée]],"")</f>
        <v/>
      </c>
      <c r="T19" s="56" t="str">
        <f aca="false">IF("TD"=Horo82105[[#This Row],[Tâche]],Horo82105[[#This Row],[Durée]],"")</f>
        <v/>
      </c>
      <c r="U19" s="56" t="str">
        <f aca="false">IF("N/C"=Horo82105[[#This Row],[Tâche]],Horo82105[[#This Row],[Durée]],"")</f>
        <v/>
      </c>
      <c r="V19" s="58"/>
      <c r="W19" s="59" t="n">
        <f aca="false">IF(Horo82105[[#This Row],[O]]="o",Horo82105[[#This Row],[Durée]],".")</f>
        <v>1</v>
      </c>
      <c r="X19" s="64" t="n">
        <f aca="false">IF(Horo82105[[#This Row],[Début]]=0,"",Horo82105[[#This Row],[Fin]]-Horo82105[[#This Row],[Début]])</f>
        <v>0.0416666666666667</v>
      </c>
    </row>
    <row r="20" customFormat="false" ht="15" hidden="false" customHeight="false" outlineLevel="0" collapsed="false">
      <c r="A20" s="45" t="s">
        <v>31</v>
      </c>
      <c r="B20" s="46" t="n">
        <f aca="false">IF(Horo82105[[#This Row],[Jour]]="Lundi",$C$1+1, IF(Horo82105[[#This Row],[Jour]]="Mardi",$C$1+2, IF(Horo82105[[#This Row],[Jour]]="Mercredi",$C$1+3, IF(Horo82105[[#This Row],[Jour]]="Jeudi",$C$1+4, IF(Horo82105[[#This Row],[Jour]]="Vendredi",$C$1+5, IF(Horo82105[[#This Row],[Jour]]="Samedi",$C$1+6, IF(Horo82105[[#This Row],[Jour]]="Dimanche",$C$1, )))))))</f>
        <v>44435</v>
      </c>
      <c r="C20" s="47" t="s">
        <v>3</v>
      </c>
      <c r="D20" s="48" t="n">
        <v>0.354166666666667</v>
      </c>
      <c r="E20" s="48" t="n">
        <v>0.5</v>
      </c>
      <c r="F20" s="49" t="s">
        <v>32</v>
      </c>
      <c r="G20" s="49" t="s">
        <v>22</v>
      </c>
      <c r="H20" s="50" t="s">
        <v>33</v>
      </c>
      <c r="I20" s="61"/>
      <c r="J20" s="52" t="n">
        <f aca="false">IF(Horo82105[[#This Row],[Début]]=0,"",(Horo82105[[#This Row],[Durée (60)2]]-INT(Horo82105[[#This Row],[Durée (60)2]]))*24)</f>
        <v>3.5</v>
      </c>
      <c r="K20" s="62" t="n">
        <f aca="false">SUMIF(Horo82105[Jour],C20,Horo82105[Durée])</f>
        <v>8.5</v>
      </c>
      <c r="L20" s="54" t="n">
        <f aca="false">IFERROR(SUMIF(Horo82105[[#This Row],[Jour]],Horo82105[[#This Row],[Jour]],Horo82105[[#This Row],[GPF]]) / Horo82105[[#This Row],[hrs]],"")</f>
        <v>0</v>
      </c>
      <c r="M20" s="56" t="str">
        <f aca="false">IF("GPF"=Horo82105[[#This Row],[Tâche]],Horo82105[[#This Row],[Durée]],"")</f>
        <v/>
      </c>
      <c r="N20" s="56" t="str">
        <f aca="false">IF("RI"=Horo82105[[#This Row],[Tâche]],Horo82105[[#This Row],[Durée]],"")</f>
        <v/>
      </c>
      <c r="O20" s="56" t="str">
        <f aca="false">IF("GB"=Horo82105[[#This Row],[Tâche]],Horo82105[[#This Row],[Durée]],"")</f>
        <v/>
      </c>
      <c r="P20" s="56" t="n">
        <f aca="false">IF("RD"=Horo82105[[#This Row],[Tâche]],Horo82105[[#This Row],[Durée]],"")</f>
        <v>3.5</v>
      </c>
      <c r="Q20" s="103" t="str">
        <f aca="false">IF("FG"=Horo82105[[#This Row],[Tâche]],Horo82105[[#This Row],[Durée]],"")</f>
        <v/>
      </c>
      <c r="R20" s="56" t="str">
        <f aca="false">IF("CONGÉ"=Horo82105[[#This Row],[Tâche]],Horo82105[[#This Row],[Durée]],"")</f>
        <v/>
      </c>
      <c r="S20" s="57" t="str">
        <f aca="false">IF("PS"=Horo82105[[#This Row],[Tâche]],Horo82105[[#This Row],[Durée]],"")</f>
        <v/>
      </c>
      <c r="T20" s="56" t="str">
        <f aca="false">IF("TD"=Horo82105[[#This Row],[Tâche]],Horo82105[[#This Row],[Durée]],"")</f>
        <v/>
      </c>
      <c r="U20" s="55" t="str">
        <f aca="false">IF("N/C"=Horo82105[[#This Row],[Tâche]],Horo82105[[#This Row],[Durée]],"")</f>
        <v/>
      </c>
      <c r="V20" s="58"/>
      <c r="W20" s="59" t="n">
        <f aca="false">IF(Horo82105[[#This Row],[O]]="o",Horo82105[[#This Row],[Durée]],".")</f>
        <v>3.5</v>
      </c>
      <c r="X20" s="60" t="n">
        <f aca="false">IF(Horo82105[[#This Row],[Début]]=0,"",Horo82105[[#This Row],[Fin]]-Horo82105[[#This Row],[Début]])</f>
        <v>0.145833333333333</v>
      </c>
    </row>
    <row r="21" customFormat="false" ht="15" hidden="false" customHeight="false" outlineLevel="0" collapsed="false">
      <c r="A21" s="45" t="s">
        <v>31</v>
      </c>
      <c r="B21" s="46" t="n">
        <f aca="false">IF(Horo82105[[#This Row],[Jour]]="Lundi",$C$1+1, IF(Horo82105[[#This Row],[Jour]]="Mardi",$C$1+2, IF(Horo82105[[#This Row],[Jour]]="Mercredi",$C$1+3, IF(Horo82105[[#This Row],[Jour]]="Jeudi",$C$1+4, IF(Horo82105[[#This Row],[Jour]]="Vendredi",$C$1+5, IF(Horo82105[[#This Row],[Jour]]="Samedi",$C$1+6, IF(Horo82105[[#This Row],[Jour]]="Dimanche",$C$1, )))))))</f>
        <v>44435</v>
      </c>
      <c r="C21" s="47" t="s">
        <v>3</v>
      </c>
      <c r="D21" s="48" t="n">
        <v>0.5625</v>
      </c>
      <c r="E21" s="48" t="n">
        <v>0.729166666666667</v>
      </c>
      <c r="F21" s="49" t="s">
        <v>32</v>
      </c>
      <c r="G21" s="49" t="s">
        <v>23</v>
      </c>
      <c r="H21" s="50" t="s">
        <v>109</v>
      </c>
      <c r="I21" s="61"/>
      <c r="J21" s="52" t="n">
        <f aca="false">IF(Horo82105[[#This Row],[Début]]=0,"",(Horo82105[[#This Row],[Durée (60)2]]-INT(Horo82105[[#This Row],[Durée (60)2]]))*24)</f>
        <v>4</v>
      </c>
      <c r="K21" s="62" t="n">
        <f aca="false">SUMIF(Horo82105[Jour],C21,Horo82105[Durée])</f>
        <v>8.5</v>
      </c>
      <c r="L21" s="54" t="n">
        <f aca="false">IFERROR(SUMIF(Horo82105[[#This Row],[Jour]],Horo82105[[#This Row],[Jour]],Horo82105[[#This Row],[GPF]]) / Horo82105[[#This Row],[hrs]],"")</f>
        <v>0</v>
      </c>
      <c r="M21" s="56" t="str">
        <f aca="false">IF("GPF"=Horo82105[[#This Row],[Tâche]],Horo82105[[#This Row],[Durée]],"")</f>
        <v/>
      </c>
      <c r="N21" s="56" t="str">
        <f aca="false">IF("RI"=Horo82105[[#This Row],[Tâche]],Horo82105[[#This Row],[Durée]],"")</f>
        <v/>
      </c>
      <c r="O21" s="56" t="str">
        <f aca="false">IF("GB"=Horo82105[[#This Row],[Tâche]],Horo82105[[#This Row],[Durée]],"")</f>
        <v/>
      </c>
      <c r="P21" s="56" t="str">
        <f aca="false">IF("RD"=Horo82105[[#This Row],[Tâche]],Horo82105[[#This Row],[Durée]],"")</f>
        <v/>
      </c>
      <c r="Q21" s="56" t="n">
        <f aca="false">IF("FG"=Horo82105[[#This Row],[Tâche]],Horo82105[[#This Row],[Durée]],"")</f>
        <v>4</v>
      </c>
      <c r="R21" s="56" t="str">
        <f aca="false">IF("CONGÉ"=Horo82105[[#This Row],[Tâche]],Horo82105[[#This Row],[Durée]],"")</f>
        <v/>
      </c>
      <c r="S21" s="57" t="str">
        <f aca="false">IF("PS"=Horo82105[[#This Row],[Tâche]],Horo82105[[#This Row],[Durée]],"")</f>
        <v/>
      </c>
      <c r="T21" s="56" t="str">
        <f aca="false">IF("TD"=Horo82105[[#This Row],[Tâche]],Horo82105[[#This Row],[Durée]],"")</f>
        <v/>
      </c>
      <c r="U21" s="55" t="str">
        <f aca="false">IF("N/C"=Horo82105[[#This Row],[Tâche]],Horo82105[[#This Row],[Durée]],"")</f>
        <v/>
      </c>
      <c r="V21" s="58"/>
      <c r="W21" s="59" t="n">
        <f aca="false">IF(Horo82105[[#This Row],[O]]="o",Horo82105[[#This Row],[Durée]],".")</f>
        <v>4</v>
      </c>
      <c r="X21" s="60" t="n">
        <f aca="false">IF(Horo82105[[#This Row],[Début]]=0,"",Horo82105[[#This Row],[Fin]]-Horo82105[[#This Row],[Début]])</f>
        <v>0.166666666666667</v>
      </c>
    </row>
    <row r="22" customFormat="false" ht="15" hidden="false" customHeight="false" outlineLevel="0" collapsed="false">
      <c r="A22" s="45" t="s">
        <v>31</v>
      </c>
      <c r="B22" s="46" t="n">
        <f aca="false">IF(Horo82105[[#This Row],[Jour]]="Lundi",$C$1+1, IF(Horo82105[[#This Row],[Jour]]="Mardi",$C$1+2, IF(Horo82105[[#This Row],[Jour]]="Mercredi",$C$1+3, IF(Horo82105[[#This Row],[Jour]]="Jeudi",$C$1+4, IF(Horo82105[[#This Row],[Jour]]="Vendredi",$C$1+5, IF(Horo82105[[#This Row],[Jour]]="Samedi",$C$1+6, IF(Horo82105[[#This Row],[Jour]]="Dimanche",$C$1, )))))))</f>
        <v>44436</v>
      </c>
      <c r="C22" s="47" t="s">
        <v>4</v>
      </c>
      <c r="D22" s="48" t="n">
        <v>0.3125</v>
      </c>
      <c r="E22" s="48" t="n">
        <v>0.354166666666667</v>
      </c>
      <c r="F22" s="49" t="s">
        <v>32</v>
      </c>
      <c r="G22" s="49" t="s">
        <v>21</v>
      </c>
      <c r="H22" s="50" t="s">
        <v>33</v>
      </c>
      <c r="I22" s="51"/>
      <c r="J22" s="52" t="n">
        <f aca="false">IF(Horo82105[[#This Row],[Début]]=0,"",(Horo82105[[#This Row],[Durée (60)2]]-INT(Horo82105[[#This Row],[Durée (60)2]]))*24)</f>
        <v>1</v>
      </c>
      <c r="K22" s="62" t="n">
        <f aca="false">SUMIF(Horo82105[Jour],C22,Horo82105[Durée])</f>
        <v>8</v>
      </c>
      <c r="L22" s="54" t="n">
        <f aca="false">IFERROR(SUMIF(Horo82105[[#This Row],[Jour]],Horo82105[[#This Row],[Jour]],Horo82105[[#This Row],[GPF]]) / Horo82105[[#This Row],[hrs]],"")</f>
        <v>0</v>
      </c>
      <c r="M22" s="56" t="str">
        <f aca="false">IF("GPF"=Horo82105[[#This Row],[Tâche]],Horo82105[[#This Row],[Durée]],"")</f>
        <v/>
      </c>
      <c r="N22" s="56" t="str">
        <f aca="false">IF("RI"=Horo82105[[#This Row],[Tâche]],Horo82105[[#This Row],[Durée]],"")</f>
        <v/>
      </c>
      <c r="O22" s="56" t="n">
        <f aca="false">IF("GB"=Horo82105[[#This Row],[Tâche]],Horo82105[[#This Row],[Durée]],"")</f>
        <v>1</v>
      </c>
      <c r="P22" s="63" t="str">
        <f aca="false">IF("RD"=Horo82105[[#This Row],[Tâche]],Horo82105[[#This Row],[Durée]],"")</f>
        <v/>
      </c>
      <c r="Q22" s="56" t="str">
        <f aca="false">IF("FG"=Horo82105[[#This Row],[Tâche]],Horo82105[[#This Row],[Durée]],"")</f>
        <v/>
      </c>
      <c r="R22" s="56" t="str">
        <f aca="false">IF("CONGÉ"=Horo82105[[#This Row],[Tâche]],Horo82105[[#This Row],[Durée]],"")</f>
        <v/>
      </c>
      <c r="S22" s="57" t="str">
        <f aca="false">IF("PS"=Horo82105[[#This Row],[Tâche]],Horo82105[[#This Row],[Durée]],"")</f>
        <v/>
      </c>
      <c r="T22" s="56" t="str">
        <f aca="false">IF("TD"=Horo82105[[#This Row],[Tâche]],Horo82105[[#This Row],[Durée]],"")</f>
        <v/>
      </c>
      <c r="U22" s="55" t="str">
        <f aca="false">IF("N/C"=Horo82105[[#This Row],[Tâche]],Horo82105[[#This Row],[Durée]],"")</f>
        <v/>
      </c>
      <c r="V22" s="58"/>
      <c r="W22" s="59" t="n">
        <f aca="false">IF(Horo82105[[#This Row],[O]]="o",Horo82105[[#This Row],[Durée]],".")</f>
        <v>1</v>
      </c>
      <c r="X22" s="60" t="n">
        <f aca="false">IF(Horo82105[[#This Row],[Début]]=0,"",Horo82105[[#This Row],[Fin]]-Horo82105[[#This Row],[Début]])</f>
        <v>0.0416666666666667</v>
      </c>
    </row>
    <row r="23" customFormat="false" ht="15" hidden="false" customHeight="false" outlineLevel="0" collapsed="false">
      <c r="A23" s="45" t="s">
        <v>31</v>
      </c>
      <c r="B23" s="46" t="n">
        <f aca="false">IF(Horo82105[[#This Row],[Jour]]="Lundi",$C$1+1, IF(Horo82105[[#This Row],[Jour]]="Mardi",$C$1+2, IF(Horo82105[[#This Row],[Jour]]="Mercredi",$C$1+3, IF(Horo82105[[#This Row],[Jour]]="Jeudi",$C$1+4, IF(Horo82105[[#This Row],[Jour]]="Vendredi",$C$1+5, IF(Horo82105[[#This Row],[Jour]]="Samedi",$C$1+6, IF(Horo82105[[#This Row],[Jour]]="Dimanche",$C$1, )))))))</f>
        <v>44436</v>
      </c>
      <c r="C23" s="47" t="s">
        <v>4</v>
      </c>
      <c r="D23" s="48" t="n">
        <v>0.354166666666667</v>
      </c>
      <c r="E23" s="48" t="n">
        <v>0.375</v>
      </c>
      <c r="F23" s="49" t="s">
        <v>75</v>
      </c>
      <c r="G23" s="49" t="s">
        <v>19</v>
      </c>
      <c r="H23" s="50" t="s">
        <v>55</v>
      </c>
      <c r="I23" s="61"/>
      <c r="J23" s="52" t="n">
        <f aca="false">IF(Horo82105[[#This Row],[Début]]=0,"",(Horo82105[[#This Row],[Durée (60)2]]-INT(Horo82105[[#This Row],[Durée (60)2]]))*24)</f>
        <v>0.5</v>
      </c>
      <c r="K23" s="62" t="n">
        <f aca="false">SUMIF(Horo82105[Jour],C23,Horo82105[Durée])</f>
        <v>8</v>
      </c>
      <c r="L23" s="54" t="n">
        <f aca="false">IFERROR(SUMIF(Horo82105[[#This Row],[Jour]],Horo82105[[#This Row],[Jour]],Horo82105[[#This Row],[GPF]]) / Horo82105[[#This Row],[hrs]],"")</f>
        <v>0.0624999999999999</v>
      </c>
      <c r="M23" s="56" t="n">
        <f aca="false">IF("GPF"=Horo82105[[#This Row],[Tâche]],Horo82105[[#This Row],[Durée]],"")</f>
        <v>0.5</v>
      </c>
      <c r="N23" s="56" t="str">
        <f aca="false">IF("RI"=Horo82105[[#This Row],[Tâche]],Horo82105[[#This Row],[Durée]],"")</f>
        <v/>
      </c>
      <c r="O23" s="56" t="str">
        <f aca="false">IF("GB"=Horo82105[[#This Row],[Tâche]],Horo82105[[#This Row],[Durée]],"")</f>
        <v/>
      </c>
      <c r="P23" s="56" t="str">
        <f aca="false">IF("RD"=Horo82105[[#This Row],[Tâche]],Horo82105[[#This Row],[Durée]],"")</f>
        <v/>
      </c>
      <c r="Q23" s="56" t="str">
        <f aca="false">IF("FG"=Horo82105[[#This Row],[Tâche]],Horo82105[[#This Row],[Durée]],"")</f>
        <v/>
      </c>
      <c r="R23" s="56" t="str">
        <f aca="false">IF("CONGÉ"=Horo82105[[#This Row],[Tâche]],Horo82105[[#This Row],[Durée]],"")</f>
        <v/>
      </c>
      <c r="S23" s="57" t="str">
        <f aca="false">IF("PS"=Horo82105[[#This Row],[Tâche]],Horo82105[[#This Row],[Durée]],"")</f>
        <v/>
      </c>
      <c r="T23" s="56" t="str">
        <f aca="false">IF("TD"=Horo82105[[#This Row],[Tâche]],Horo82105[[#This Row],[Durée]],"")</f>
        <v/>
      </c>
      <c r="U23" s="55" t="str">
        <f aca="false">IF("N/C"=Horo82105[[#This Row],[Tâche]],Horo82105[[#This Row],[Durée]],"")</f>
        <v/>
      </c>
      <c r="V23" s="58"/>
      <c r="W23" s="59" t="n">
        <f aca="false">IF(Horo82105[[#This Row],[O]]="o",Horo82105[[#This Row],[Durée]],".")</f>
        <v>0.5</v>
      </c>
      <c r="X23" s="60" t="n">
        <f aca="false">IF(Horo82105[[#This Row],[Début]]=0,"",Horo82105[[#This Row],[Fin]]-Horo82105[[#This Row],[Début]])</f>
        <v>0.0208333333333333</v>
      </c>
    </row>
    <row r="24" customFormat="false" ht="15" hidden="false" customHeight="false" outlineLevel="0" collapsed="false">
      <c r="A24" s="45" t="s">
        <v>31</v>
      </c>
      <c r="B24" s="46" t="n">
        <f aca="false">IF(Horo82105[[#This Row],[Jour]]="Lundi",$C$1+1, IF(Horo82105[[#This Row],[Jour]]="Mardi",$C$1+2, IF(Horo82105[[#This Row],[Jour]]="Mercredi",$C$1+3, IF(Horo82105[[#This Row],[Jour]]="Jeudi",$C$1+4, IF(Horo82105[[#This Row],[Jour]]="Vendredi",$C$1+5, IF(Horo82105[[#This Row],[Jour]]="Samedi",$C$1+6, IF(Horo82105[[#This Row],[Jour]]="Dimanche",$C$1, )))))))</f>
        <v>44436</v>
      </c>
      <c r="C24" s="47" t="s">
        <v>4</v>
      </c>
      <c r="D24" s="48" t="n">
        <v>0.375</v>
      </c>
      <c r="E24" s="48" t="n">
        <v>0.395833333333333</v>
      </c>
      <c r="F24" s="49" t="s">
        <v>59</v>
      </c>
      <c r="G24" s="49" t="s">
        <v>19</v>
      </c>
      <c r="H24" s="50" t="s">
        <v>55</v>
      </c>
      <c r="I24" s="61"/>
      <c r="J24" s="52" t="n">
        <f aca="false">IF(Horo82105[[#This Row],[Début]]=0,"",(Horo82105[[#This Row],[Durée (60)2]]-INT(Horo82105[[#This Row],[Durée (60)2]]))*24)</f>
        <v>0.5</v>
      </c>
      <c r="K24" s="62" t="n">
        <f aca="false">SUMIF(Horo82105[Jour],C24,Horo82105[Durée])</f>
        <v>8</v>
      </c>
      <c r="L24" s="54" t="n">
        <f aca="false">IFERROR(SUMIF(Horo82105[[#This Row],[Jour]],Horo82105[[#This Row],[Jour]],Horo82105[[#This Row],[GPF]]) / Horo82105[[#This Row],[hrs]],"")</f>
        <v>0.0624999999999999</v>
      </c>
      <c r="M24" s="56" t="n">
        <f aca="false">IF("GPF"=Horo82105[[#This Row],[Tâche]],Horo82105[[#This Row],[Durée]],"")</f>
        <v>0.5</v>
      </c>
      <c r="N24" s="56" t="str">
        <f aca="false">IF("RI"=Horo82105[[#This Row],[Tâche]],Horo82105[[#This Row],[Durée]],"")</f>
        <v/>
      </c>
      <c r="O24" s="56" t="str">
        <f aca="false">IF("GB"=Horo82105[[#This Row],[Tâche]],Horo82105[[#This Row],[Durée]],"")</f>
        <v/>
      </c>
      <c r="P24" s="56" t="str">
        <f aca="false">IF("RD"=Horo82105[[#This Row],[Tâche]],Horo82105[[#This Row],[Durée]],"")</f>
        <v/>
      </c>
      <c r="Q24" s="56" t="str">
        <f aca="false">IF("FG"=Horo82105[[#This Row],[Tâche]],Horo82105[[#This Row],[Durée]],"")</f>
        <v/>
      </c>
      <c r="R24" s="56" t="str">
        <f aca="false">IF("CONGÉ"=Horo82105[[#This Row],[Tâche]],Horo82105[[#This Row],[Durée]],"")</f>
        <v/>
      </c>
      <c r="S24" s="57" t="str">
        <f aca="false">IF("PS"=Horo82105[[#This Row],[Tâche]],Horo82105[[#This Row],[Durée]],"")</f>
        <v/>
      </c>
      <c r="T24" s="56" t="str">
        <f aca="false">IF("TD"=Horo82105[[#This Row],[Tâche]],Horo82105[[#This Row],[Durée]],"")</f>
        <v/>
      </c>
      <c r="U24" s="55" t="str">
        <f aca="false">IF("N/C"=Horo82105[[#This Row],[Tâche]],Horo82105[[#This Row],[Durée]],"")</f>
        <v/>
      </c>
      <c r="V24" s="58"/>
      <c r="W24" s="59" t="n">
        <f aca="false">IF(Horo82105[[#This Row],[O]]="o",Horo82105[[#This Row],[Durée]],".")</f>
        <v>0.5</v>
      </c>
      <c r="X24" s="60" t="n">
        <f aca="false">IF(Horo82105[[#This Row],[Début]]=0,"",Horo82105[[#This Row],[Fin]]-Horo82105[[#This Row],[Début]])</f>
        <v>0.0208333333333333</v>
      </c>
    </row>
    <row r="25" customFormat="false" ht="15" hidden="false" customHeight="false" outlineLevel="0" collapsed="false">
      <c r="A25" s="45" t="s">
        <v>31</v>
      </c>
      <c r="B25" s="46" t="n">
        <f aca="false">IF(Horo82105[[#This Row],[Jour]]="Lundi",$C$1+1, IF(Horo82105[[#This Row],[Jour]]="Mardi",$C$1+2, IF(Horo82105[[#This Row],[Jour]]="Mercredi",$C$1+3, IF(Horo82105[[#This Row],[Jour]]="Jeudi",$C$1+4, IF(Horo82105[[#This Row],[Jour]]="Vendredi",$C$1+5, IF(Horo82105[[#This Row],[Jour]]="Samedi",$C$1+6, IF(Horo82105[[#This Row],[Jour]]="Dimanche",$C$1, )))))))</f>
        <v>44436</v>
      </c>
      <c r="C25" s="47" t="s">
        <v>4</v>
      </c>
      <c r="D25" s="48" t="n">
        <v>0.395833333333333</v>
      </c>
      <c r="E25" s="48" t="n">
        <v>0.4375</v>
      </c>
      <c r="F25" s="49" t="s">
        <v>32</v>
      </c>
      <c r="G25" s="49" t="s">
        <v>22</v>
      </c>
      <c r="H25" s="50" t="s">
        <v>118</v>
      </c>
      <c r="I25" s="61" t="s">
        <v>165</v>
      </c>
      <c r="J25" s="52" t="n">
        <f aca="false">IF(Horo82105[[#This Row],[Début]]=0,"",(Horo82105[[#This Row],[Durée (60)2]]-INT(Horo82105[[#This Row],[Durée (60)2]]))*24)</f>
        <v>1</v>
      </c>
      <c r="K25" s="62" t="n">
        <f aca="false">SUMIF(Horo82105[Jour],C25,Horo82105[Durée])</f>
        <v>8</v>
      </c>
      <c r="L25" s="54" t="n">
        <f aca="false">IFERROR(SUMIF(Horo82105[[#This Row],[Jour]],Horo82105[[#This Row],[Jour]],Horo82105[[#This Row],[GPF]]) / Horo82105[[#This Row],[hrs]],"")</f>
        <v>0</v>
      </c>
      <c r="M25" s="56" t="str">
        <f aca="false">IF("GPF"=Horo82105[[#This Row],[Tâche]],Horo82105[[#This Row],[Durée]],"")</f>
        <v/>
      </c>
      <c r="N25" s="56" t="str">
        <f aca="false">IF("RI"=Horo82105[[#This Row],[Tâche]],Horo82105[[#This Row],[Durée]],"")</f>
        <v/>
      </c>
      <c r="O25" s="56" t="str">
        <f aca="false">IF("GB"=Horo82105[[#This Row],[Tâche]],Horo82105[[#This Row],[Durée]],"")</f>
        <v/>
      </c>
      <c r="P25" s="63" t="n">
        <f aca="false">IF("RD"=Horo82105[[#This Row],[Tâche]],Horo82105[[#This Row],[Durée]],"")</f>
        <v>1</v>
      </c>
      <c r="Q25" s="56" t="str">
        <f aca="false">IF("FG"=Horo82105[[#This Row],[Tâche]],Horo82105[[#This Row],[Durée]],"")</f>
        <v/>
      </c>
      <c r="R25" s="56" t="str">
        <f aca="false">IF("CONGÉ"=Horo82105[[#This Row],[Tâche]],Horo82105[[#This Row],[Durée]],"")</f>
        <v/>
      </c>
      <c r="S25" s="57" t="str">
        <f aca="false">IF("PS"=Horo82105[[#This Row],[Tâche]],Horo82105[[#This Row],[Durée]],"")</f>
        <v/>
      </c>
      <c r="T25" s="56" t="str">
        <f aca="false">IF("TD"=Horo82105[[#This Row],[Tâche]],Horo82105[[#This Row],[Durée]],"")</f>
        <v/>
      </c>
      <c r="U25" s="55" t="str">
        <f aca="false">IF("N/C"=Horo82105[[#This Row],[Tâche]],Horo82105[[#This Row],[Durée]],"")</f>
        <v/>
      </c>
      <c r="V25" s="58"/>
      <c r="W25" s="59" t="n">
        <f aca="false">IF(Horo82105[[#This Row],[O]]="o",Horo82105[[#This Row],[Durée]],".")</f>
        <v>1</v>
      </c>
      <c r="X25" s="60" t="n">
        <f aca="false">IF(Horo82105[[#This Row],[Début]]=0,"",Horo82105[[#This Row],[Fin]]-Horo82105[[#This Row],[Début]])</f>
        <v>0.0416666666666667</v>
      </c>
    </row>
    <row r="26" customFormat="false" ht="15" hidden="false" customHeight="false" outlineLevel="0" collapsed="false">
      <c r="A26" s="45" t="s">
        <v>31</v>
      </c>
      <c r="B26" s="46" t="n">
        <f aca="false">IF(Horo82105[[#This Row],[Jour]]="Lundi",$C$1+1, IF(Horo82105[[#This Row],[Jour]]="Mardi",$C$1+2, IF(Horo82105[[#This Row],[Jour]]="Mercredi",$C$1+3, IF(Horo82105[[#This Row],[Jour]]="Jeudi",$C$1+4, IF(Horo82105[[#This Row],[Jour]]="Vendredi",$C$1+5, IF(Horo82105[[#This Row],[Jour]]="Samedi",$C$1+6, IF(Horo82105[[#This Row],[Jour]]="Dimanche",$C$1, )))))))</f>
        <v>44436</v>
      </c>
      <c r="C26" s="47" t="s">
        <v>4</v>
      </c>
      <c r="D26" s="48" t="n">
        <v>0.4375</v>
      </c>
      <c r="E26" s="48" t="n">
        <v>0.5</v>
      </c>
      <c r="F26" s="49" t="s">
        <v>32</v>
      </c>
      <c r="G26" s="49" t="s">
        <v>23</v>
      </c>
      <c r="H26" s="50" t="s">
        <v>33</v>
      </c>
      <c r="I26" s="61"/>
      <c r="J26" s="52" t="n">
        <f aca="false">IF(Horo82105[[#This Row],[Début]]=0,"",(Horo82105[[#This Row],[Durée (60)2]]-INT(Horo82105[[#This Row],[Durée (60)2]]))*24)</f>
        <v>1.5</v>
      </c>
      <c r="K26" s="62" t="n">
        <f aca="false">SUMIF(Horo82105[Jour],C26,Horo82105[Durée])</f>
        <v>8</v>
      </c>
      <c r="L26" s="54" t="n">
        <f aca="false">IFERROR(SUMIF(Horo82105[[#This Row],[Jour]],Horo82105[[#This Row],[Jour]],Horo82105[[#This Row],[GPF]]) / Horo82105[[#This Row],[hrs]],"")</f>
        <v>0</v>
      </c>
      <c r="M26" s="56" t="str">
        <f aca="false">IF("GPF"=Horo82105[[#This Row],[Tâche]],Horo82105[[#This Row],[Durée]],"")</f>
        <v/>
      </c>
      <c r="N26" s="56" t="str">
        <f aca="false">IF("RI"=Horo82105[[#This Row],[Tâche]],Horo82105[[#This Row],[Durée]],"")</f>
        <v/>
      </c>
      <c r="O26" s="56" t="str">
        <f aca="false">IF("GB"=Horo82105[[#This Row],[Tâche]],Horo82105[[#This Row],[Durée]],"")</f>
        <v/>
      </c>
      <c r="P26" s="56" t="str">
        <f aca="false">IF("RD"=Horo82105[[#This Row],[Tâche]],Horo82105[[#This Row],[Durée]],"")</f>
        <v/>
      </c>
      <c r="Q26" s="63" t="n">
        <f aca="false">IF("FG"=Horo82105[[#This Row],[Tâche]],Horo82105[[#This Row],[Durée]],"")</f>
        <v>1.5</v>
      </c>
      <c r="R26" s="56" t="str">
        <f aca="false">IF("CONGÉ"=Horo82105[[#This Row],[Tâche]],Horo82105[[#This Row],[Durée]],"")</f>
        <v/>
      </c>
      <c r="S26" s="57" t="str">
        <f aca="false">IF("PS"=Horo82105[[#This Row],[Tâche]],Horo82105[[#This Row],[Durée]],"")</f>
        <v/>
      </c>
      <c r="T26" s="56" t="str">
        <f aca="false">IF("TD"=Horo82105[[#This Row],[Tâche]],Horo82105[[#This Row],[Durée]],"")</f>
        <v/>
      </c>
      <c r="U26" s="55" t="str">
        <f aca="false">IF("N/C"=Horo82105[[#This Row],[Tâche]],Horo82105[[#This Row],[Durée]],"")</f>
        <v/>
      </c>
      <c r="V26" s="58"/>
      <c r="W26" s="59" t="n">
        <f aca="false">IF(Horo82105[[#This Row],[O]]="o",Horo82105[[#This Row],[Durée]],".")</f>
        <v>1.5</v>
      </c>
      <c r="X26" s="60" t="n">
        <f aca="false">IF(Horo82105[[#This Row],[Début]]=0,"",Horo82105[[#This Row],[Fin]]-Horo82105[[#This Row],[Début]])</f>
        <v>0.0625</v>
      </c>
    </row>
    <row r="27" customFormat="false" ht="15" hidden="false" customHeight="false" outlineLevel="0" collapsed="false">
      <c r="A27" s="45" t="s">
        <v>31</v>
      </c>
      <c r="B27" s="46" t="n">
        <f aca="false">IF(Horo82105[[#This Row],[Jour]]="Lundi",$C$1+1, IF(Horo82105[[#This Row],[Jour]]="Mardi",$C$1+2, IF(Horo82105[[#This Row],[Jour]]="Mercredi",$C$1+3, IF(Horo82105[[#This Row],[Jour]]="Jeudi",$C$1+4, IF(Horo82105[[#This Row],[Jour]]="Vendredi",$C$1+5, IF(Horo82105[[#This Row],[Jour]]="Samedi",$C$1+6, IF(Horo82105[[#This Row],[Jour]]="Dimanche",$C$1, )))))))</f>
        <v>44436</v>
      </c>
      <c r="C27" s="47" t="s">
        <v>4</v>
      </c>
      <c r="D27" s="48" t="n">
        <v>0.5625</v>
      </c>
      <c r="E27" s="48" t="n">
        <v>0.708333333333333</v>
      </c>
      <c r="F27" s="49" t="s">
        <v>32</v>
      </c>
      <c r="G27" s="49" t="s">
        <v>23</v>
      </c>
      <c r="H27" s="50" t="s">
        <v>33</v>
      </c>
      <c r="I27" s="61"/>
      <c r="J27" s="52" t="n">
        <f aca="false">IF(Horo82105[[#This Row],[Début]]=0,"",(Horo82105[[#This Row],[Durée (60)2]]-INT(Horo82105[[#This Row],[Durée (60)2]]))*24)</f>
        <v>3.5</v>
      </c>
      <c r="K27" s="62" t="n">
        <f aca="false">SUMIF(Horo82105[Jour],C27,Horo82105[Durée])</f>
        <v>8</v>
      </c>
      <c r="L27" s="54" t="n">
        <f aca="false">IFERROR(SUMIF(Horo82105[[#This Row],[Jour]],Horo82105[[#This Row],[Jour]],Horo82105[[#This Row],[GPF]]) / Horo82105[[#This Row],[hrs]],"")</f>
        <v>0</v>
      </c>
      <c r="M27" s="56" t="str">
        <f aca="false">IF("GPF"=Horo82105[[#This Row],[Tâche]],Horo82105[[#This Row],[Durée]],"")</f>
        <v/>
      </c>
      <c r="N27" s="56" t="str">
        <f aca="false">IF("RI"=Horo82105[[#This Row],[Tâche]],Horo82105[[#This Row],[Durée]],"")</f>
        <v/>
      </c>
      <c r="O27" s="56" t="str">
        <f aca="false">IF("GB"=Horo82105[[#This Row],[Tâche]],Horo82105[[#This Row],[Durée]],"")</f>
        <v/>
      </c>
      <c r="P27" s="56" t="str">
        <f aca="false">IF("RD"=Horo82105[[#This Row],[Tâche]],Horo82105[[#This Row],[Durée]],"")</f>
        <v/>
      </c>
      <c r="Q27" s="56" t="n">
        <f aca="false">IF("FG"=Horo82105[[#This Row],[Tâche]],Horo82105[[#This Row],[Durée]],"")</f>
        <v>3.5</v>
      </c>
      <c r="R27" s="56" t="str">
        <f aca="false">IF("CONGÉ"=Horo82105[[#This Row],[Tâche]],Horo82105[[#This Row],[Durée]],"")</f>
        <v/>
      </c>
      <c r="S27" s="57" t="str">
        <f aca="false">IF("PS"=Horo82105[[#This Row],[Tâche]],Horo82105[[#This Row],[Durée]],"")</f>
        <v/>
      </c>
      <c r="T27" s="56" t="str">
        <f aca="false">IF("TD"=Horo82105[[#This Row],[Tâche]],Horo82105[[#This Row],[Durée]],"")</f>
        <v/>
      </c>
      <c r="U27" s="55" t="str">
        <f aca="false">IF("N/C"=Horo82105[[#This Row],[Tâche]],Horo82105[[#This Row],[Durée]],"")</f>
        <v/>
      </c>
      <c r="V27" s="58"/>
      <c r="W27" s="59" t="n">
        <f aca="false">IF(Horo82105[[#This Row],[O]]="o",Horo82105[[#This Row],[Durée]],".")</f>
        <v>3.5</v>
      </c>
      <c r="X27" s="60" t="n">
        <f aca="false">IF(Horo82105[[#This Row],[Début]]=0,"",Horo82105[[#This Row],[Fin]]-Horo82105[[#This Row],[Début]])</f>
        <v>0.145833333333333</v>
      </c>
    </row>
    <row r="28" customFormat="false" ht="15" hidden="false" customHeight="false" outlineLevel="0" collapsed="false">
      <c r="A28" s="45" t="s">
        <v>31</v>
      </c>
      <c r="B28" s="46" t="n">
        <f aca="false">IF(Horo82105[[#This Row],[Jour]]="Lundi",$C$1+1, IF(Horo82105[[#This Row],[Jour]]="Mardi",$C$1+2, IF(Horo82105[[#This Row],[Jour]]="Mercredi",$C$1+3, IF(Horo82105[[#This Row],[Jour]]="Jeudi",$C$1+4, IF(Horo82105[[#This Row],[Jour]]="Vendredi",$C$1+5, IF(Horo82105[[#This Row],[Jour]]="Samedi",$C$1+6, IF(Horo82105[[#This Row],[Jour]]="Dimanche",$C$1, )))))))</f>
        <v>44436</v>
      </c>
      <c r="C28" s="47" t="s">
        <v>4</v>
      </c>
      <c r="D28" s="48"/>
      <c r="E28" s="48"/>
      <c r="F28" s="49"/>
      <c r="G28" s="49"/>
      <c r="H28" s="50" t="s">
        <v>33</v>
      </c>
      <c r="I28" s="61"/>
      <c r="J28" s="52" t="str">
        <f aca="false">IF(Horo82105[[#This Row],[Début]]=0,"",(Horo82105[[#This Row],[Durée (60)2]]-INT(Horo82105[[#This Row],[Durée (60)2]]))*24)</f>
        <v/>
      </c>
      <c r="K28" s="62" t="n">
        <f aca="false">SUMIF(Horo82105[Jour],C28,Horo82105[Durée])</f>
        <v>8</v>
      </c>
      <c r="L28" s="54" t="n">
        <f aca="false">IFERROR(SUMIF(Horo82105[[#This Row],[Jour]],Horo82105[[#This Row],[Jour]],Horo82105[[#This Row],[GPF]]) / Horo82105[[#This Row],[hrs]],"")</f>
        <v>0</v>
      </c>
      <c r="M28" s="56" t="str">
        <f aca="false">IF("GPF"=Horo82105[[#This Row],[Tâche]],Horo82105[[#This Row],[Durée]],"")</f>
        <v/>
      </c>
      <c r="N28" s="56" t="str">
        <f aca="false">IF("RI"=Horo82105[[#This Row],[Tâche]],Horo82105[[#This Row],[Durée]],"")</f>
        <v/>
      </c>
      <c r="O28" s="56" t="str">
        <f aca="false">IF("GB"=Horo82105[[#This Row],[Tâche]],Horo82105[[#This Row],[Durée]],"")</f>
        <v/>
      </c>
      <c r="P28" s="56" t="str">
        <f aca="false">IF("RD"=Horo82105[[#This Row],[Tâche]],Horo82105[[#This Row],[Durée]],"")</f>
        <v/>
      </c>
      <c r="Q28" s="56" t="str">
        <f aca="false">IF("FG"=Horo82105[[#This Row],[Tâche]],Horo82105[[#This Row],[Durée]],"")</f>
        <v/>
      </c>
      <c r="R28" s="56" t="str">
        <f aca="false">IF("CONGÉ"=Horo82105[[#This Row],[Tâche]],Horo82105[[#This Row],[Durée]],"")</f>
        <v/>
      </c>
      <c r="S28" s="57" t="str">
        <f aca="false">IF("PS"=Horo82105[[#This Row],[Tâche]],Horo82105[[#This Row],[Durée]],"")</f>
        <v/>
      </c>
      <c r="T28" s="56" t="str">
        <f aca="false">IF("TD"=Horo82105[[#This Row],[Tâche]],Horo82105[[#This Row],[Durée]],"")</f>
        <v/>
      </c>
      <c r="U28" s="55" t="str">
        <f aca="false">IF("N/C"=Horo82105[[#This Row],[Tâche]],Horo82105[[#This Row],[Durée]],"")</f>
        <v/>
      </c>
      <c r="V28" s="58"/>
      <c r="W28" s="59" t="str">
        <f aca="false">IF(Horo82105[[#This Row],[O]]="o",Horo82105[[#This Row],[Durée]],".")</f>
        <v/>
      </c>
      <c r="X28" s="60" t="str">
        <f aca="false">IF(Horo82105[[#This Row],[Début]]=0,"",Horo82105[[#This Row],[Fin]]-Horo82105[[#This Row],[Début]])</f>
        <v/>
      </c>
    </row>
    <row r="29" customFormat="false" ht="15" hidden="false" customHeight="false" outlineLevel="0" collapsed="false">
      <c r="A29" s="45" t="s">
        <v>33</v>
      </c>
      <c r="B29" s="46" t="n">
        <f aca="false">IF(Horo82105[[#This Row],[Jour]]="Lundi",$C$1+1, IF(Horo82105[[#This Row],[Jour]]="Mardi",$C$1+2, IF(Horo82105[[#This Row],[Jour]]="Mercredi",$C$1+3, IF(Horo82105[[#This Row],[Jour]]="Jeudi",$C$1+4, IF(Horo82105[[#This Row],[Jour]]="Vendredi",$C$1+5, IF(Horo82105[[#This Row],[Jour]]="Samedi",$C$1+6, IF(Horo82105[[#This Row],[Jour]]="Dimanche",$C$1, )))))))</f>
        <v>0</v>
      </c>
      <c r="C29" s="47"/>
      <c r="D29" s="48"/>
      <c r="E29" s="48"/>
      <c r="F29" s="49" t="s">
        <v>32</v>
      </c>
      <c r="G29" s="49" t="s">
        <v>27</v>
      </c>
      <c r="H29" s="50" t="s">
        <v>33</v>
      </c>
      <c r="I29" s="61"/>
      <c r="J29" s="52" t="str">
        <f aca="false">IF(Horo82105[[#This Row],[Début]]=0,"",(Horo82105[[#This Row],[Durée (60)2]]-INT(Horo82105[[#This Row],[Durée (60)2]]))*24)</f>
        <v/>
      </c>
      <c r="K29" s="62" t="n">
        <f aca="false">SUMIF(Horo82105[Jour],C29,Horo82105[Durée])</f>
        <v>0</v>
      </c>
      <c r="L29" s="54" t="str">
        <f aca="false">IFERROR(SUMIF(Horo82105[[#This Row],[Jour]],Horo82105[[#This Row],[Jour]],Horo82105[[#This Row],[GPF]]) / Horo82105[[#This Row],[hrs]],"")</f>
        <v/>
      </c>
      <c r="M29" s="56" t="str">
        <f aca="false">IF("GPF"=Horo82105[[#This Row],[Tâche]],Horo82105[[#This Row],[Durée]],"")</f>
        <v/>
      </c>
      <c r="N29" s="56" t="str">
        <f aca="false">IF("RI"=Horo82105[[#This Row],[Tâche]],Horo82105[[#This Row],[Durée]],"")</f>
        <v/>
      </c>
      <c r="O29" s="56" t="str">
        <f aca="false">IF("GB"=Horo82105[[#This Row],[Tâche]],Horo82105[[#This Row],[Durée]],"")</f>
        <v/>
      </c>
      <c r="P29" s="56" t="str">
        <f aca="false">IF("RD"=Horo82105[[#This Row],[Tâche]],Horo82105[[#This Row],[Durée]],"")</f>
        <v/>
      </c>
      <c r="Q29" s="56" t="str">
        <f aca="false">IF("FG"=Horo82105[[#This Row],[Tâche]],Horo82105[[#This Row],[Durée]],"")</f>
        <v/>
      </c>
      <c r="R29" s="56" t="str">
        <f aca="false">IF("CONGÉ"=Horo82105[[#This Row],[Tâche]],Horo82105[[#This Row],[Durée]],"")</f>
        <v/>
      </c>
      <c r="S29" s="56" t="str">
        <f aca="false">IF("PS"=Horo82105[[#This Row],[Tâche]],Horo82105[[#This Row],[Durée]],"")</f>
        <v/>
      </c>
      <c r="T29" s="56" t="str">
        <f aca="false">IF("TD"=Horo82105[[#This Row],[Tâche]],Horo82105[[#This Row],[Durée]],"")</f>
        <v/>
      </c>
      <c r="U29" s="56" t="str">
        <f aca="false">IF("N/C"=Horo82105[[#This Row],[Tâche]],Horo82105[[#This Row],[Durée]],"")</f>
        <v/>
      </c>
      <c r="V29" s="58"/>
      <c r="W29" s="59" t="str">
        <f aca="false">IF(Horo82105[[#This Row],[O]]="o",Horo82105[[#This Row],[Durée]],".")</f>
        <v>.</v>
      </c>
      <c r="X29" s="64" t="str">
        <f aca="false">IF(Horo82105[[#This Row],[Début]]=0,"",Horo82105[[#This Row],[Fin]]-Horo82105[[#This Row],[Début]])</f>
        <v/>
      </c>
    </row>
    <row r="35" s="3" customFormat="true" ht="15" hidden="false" customHeight="false" outlineLevel="0" collapsed="false">
      <c r="L35" s="65"/>
    </row>
    <row r="36" customFormat="false" ht="15" hidden="false" customHeight="false" outlineLevel="0" collapsed="false">
      <c r="A36" s="66" t="s">
        <v>18</v>
      </c>
      <c r="B36" s="66" t="s">
        <v>57</v>
      </c>
      <c r="C36" s="66" t="s">
        <v>58</v>
      </c>
    </row>
    <row r="37" customFormat="false" ht="15" hidden="false" customHeight="false" outlineLevel="0" collapsed="false">
      <c r="A37" s="67" t="n">
        <f aca="false">IF((SUMIF(Horo82105[Client],B37,Horo82105[Durée]) / Total)=0,"",(SUMIF(Horo82105[Client],B37,Horo82105[Durée]) / Total))</f>
        <v>0.896103896103896</v>
      </c>
      <c r="B37" s="68" t="s">
        <v>32</v>
      </c>
      <c r="C37" s="69" t="n">
        <f aca="false">IF(SUMIF(Horo82105[Client],B37,Horo82105[Durée])=0,"",SUMIF(Horo82105[Client],B37,Horo82105[Durée]))</f>
        <v>34.5</v>
      </c>
    </row>
    <row r="38" customFormat="false" ht="15" hidden="false" customHeight="false" outlineLevel="0" collapsed="false">
      <c r="A38" s="67" t="n">
        <f aca="false">IF((SUMIF(Horo82105[Client],B38,Horo82105[Durée]) / Total)=0,"",(SUMIF(Horo82105[Client],B38,Horo82105[Durée]) / Total))</f>
        <v>0.0649350649350649</v>
      </c>
      <c r="B38" s="68" t="s">
        <v>59</v>
      </c>
      <c r="C38" s="69" t="n">
        <f aca="false">IF(SUMIF(Horo82105[Client],B38,Horo82105[Durée])=0,"",SUMIF(Horo82105[Client],B38,Horo82105[Durée]))</f>
        <v>2.5</v>
      </c>
      <c r="I38" s="61"/>
    </row>
    <row r="39" customFormat="false" ht="15" hidden="true" customHeight="false" outlineLevel="0" collapsed="false">
      <c r="A39" s="67" t="str">
        <f aca="false">IF((SUMIF(Horo82105[Client],B39,Horo82105[Durée]) / Total)=0,"",(SUMIF(Horo82105[Client],B39,Horo82105[Durée]) / Total))</f>
        <v/>
      </c>
      <c r="B39" s="68" t="s">
        <v>60</v>
      </c>
      <c r="C39" s="70" t="str">
        <f aca="false">IF(SUMIF(Horo82105[Client],B39,Horo82105[Durée])=0,"",SUMIF(Horo82105[Client],B39,Horo82105[Durée]))</f>
        <v/>
      </c>
    </row>
    <row r="40" customFormat="false" ht="15" hidden="false" customHeight="false" outlineLevel="0" collapsed="false">
      <c r="A40" s="67" t="str">
        <f aca="false">IF((SUMIF(Horo82105[Client],B40,Horo82105[Durée]) / Total)=0,"",(SUMIF(Horo82105[Client],B40,Horo82105[Durée]) / Total))</f>
        <v/>
      </c>
      <c r="B40" s="68" t="s">
        <v>61</v>
      </c>
      <c r="C40" s="70" t="str">
        <f aca="false">IF(SUMIF(Horo82105[Client],B40,Horo82105[Durée])=0,"",SUMIF(Horo82105[Client],B40,Horo82105[Durée]))</f>
        <v/>
      </c>
      <c r="I40" s="61"/>
    </row>
    <row r="41" customFormat="false" ht="15" hidden="true" customHeight="false" outlineLevel="0" collapsed="false">
      <c r="A41" s="67" t="str">
        <f aca="false">IF((SUMIF(Horo82105[Client],B41,Horo82105[Durée]) / Total)=0,"",(SUMIF(Horo82105[Client],B41,Horo82105[Durée]) / Total))</f>
        <v/>
      </c>
      <c r="B41" s="68" t="s">
        <v>62</v>
      </c>
      <c r="C41" s="70" t="str">
        <f aca="false">IF(SUMIF(Horo82105[Client],B41,Horo82105[Durée])=0,"",SUMIF(Horo82105[Client],B41,Horo82105[Durée]))</f>
        <v/>
      </c>
    </row>
    <row r="42" customFormat="false" ht="15" hidden="true" customHeight="false" outlineLevel="0" collapsed="false">
      <c r="A42" s="67" t="str">
        <f aca="false">IF((SUMIF(Horo82105[Client],B42,Horo82105[Durée]) / Total)=0,"",(SUMIF(Horo82105[Client],B42,Horo82105[Durée]) / Total))</f>
        <v/>
      </c>
      <c r="B42" s="68" t="s">
        <v>63</v>
      </c>
      <c r="C42" s="69" t="str">
        <f aca="false">IF(SUMIF(Horo82105[Client],B42,Horo82105[Durée])=0,"",SUMIF(Horo82105[Client],B42,Horo82105[Durée]))</f>
        <v/>
      </c>
    </row>
    <row r="43" customFormat="false" ht="15" hidden="true" customHeight="false" outlineLevel="0" collapsed="false">
      <c r="A43" s="67" t="str">
        <f aca="false">IF((SUMIF(Horo82105[Client],B43,Horo82105[Durée]) / Total)=0,"",(SUMIF(Horo82105[Client],B43,Horo82105[Durée]) / Total))</f>
        <v/>
      </c>
      <c r="B43" s="68" t="s">
        <v>64</v>
      </c>
      <c r="C43" s="70" t="str">
        <f aca="false">IF(SUMIF(Horo82105[Client],B43,Horo82105[Durée])=0,"",SUMIF(Horo82105[Client],B43,Horo82105[Durée]))</f>
        <v/>
      </c>
    </row>
    <row r="44" customFormat="false" ht="15" hidden="true" customHeight="false" outlineLevel="0" collapsed="false">
      <c r="A44" s="67" t="str">
        <f aca="false">IF((SUMIF(Horo82105[Client],B44,Horo82105[Durée]) / Total)=0,"",(SUMIF(Horo82105[Client],B44,Horo82105[Durée]) / Total))</f>
        <v/>
      </c>
      <c r="B44" s="68" t="s">
        <v>65</v>
      </c>
      <c r="C44" s="70" t="str">
        <f aca="false">IF(SUMIF(Horo82105[Client],B44,Horo82105[Durée])=0,"",SUMIF(Horo82105[Client],B44,Horo82105[Durée]))</f>
        <v/>
      </c>
      <c r="F44" s="71"/>
    </row>
    <row r="45" customFormat="false" ht="15" hidden="true" customHeight="false" outlineLevel="0" collapsed="false">
      <c r="A45" s="67" t="str">
        <f aca="false">IF((SUMIF(Horo82105[Client],B45,Horo82105[Durée]) / Total)=0,"",(SUMIF(Horo82105[Client],B45,Horo82105[Durée]) / Total))</f>
        <v/>
      </c>
      <c r="B45" s="68" t="s">
        <v>66</v>
      </c>
      <c r="C45" s="69" t="str">
        <f aca="false">IF(SUMIF(Horo82105[Client],B45,Horo82105[Durée])=0,"",SUMIF(Horo82105[Client],B45,Horo82105[Durée]))</f>
        <v/>
      </c>
    </row>
    <row r="46" customFormat="false" ht="15" hidden="true" customHeight="false" outlineLevel="0" collapsed="false">
      <c r="A46" s="67" t="str">
        <f aca="false">IF((SUMIF(Horo82105[Client],B46,Horo82105[Durée]) / Total)=0,"",(SUMIF(Horo82105[Client],B46,Horo82105[Durée]) / Total))</f>
        <v/>
      </c>
      <c r="B46" s="68" t="s">
        <v>47</v>
      </c>
      <c r="C46" s="70" t="str">
        <f aca="false">IF(SUMIF(Horo82105[Client],B46,Horo82105[Durée])=0,"",SUMIF(Horo82105[Client],B46,Horo82105[Durée]))</f>
        <v/>
      </c>
    </row>
    <row r="47" customFormat="false" ht="15" hidden="true" customHeight="false" outlineLevel="0" collapsed="false">
      <c r="A47" s="67" t="str">
        <f aca="false">IF((SUMIF(Horo82105[Client],B47,Horo82105[Durée]) / Total)=0,"",(SUMIF(Horo82105[Client],B47,Horo82105[Durée]) / Total))</f>
        <v/>
      </c>
      <c r="B47" s="68" t="s">
        <v>67</v>
      </c>
      <c r="C47" s="70" t="str">
        <f aca="false">IF(SUMIF(Horo82105[Client],B47,Horo82105[Durée])=0,"",SUMIF(Horo82105[Client],B47,Horo82105[Durée]))</f>
        <v/>
      </c>
    </row>
    <row r="48" customFormat="false" ht="15" hidden="true" customHeight="false" outlineLevel="0" collapsed="false">
      <c r="A48" s="67" t="str">
        <f aca="false">IF((SUMIF(Horo82105[Client],B48,Horo82105[Durée]) / Total)=0,"",(SUMIF(Horo82105[Client],B48,Horo82105[Durée]) / Total))</f>
        <v/>
      </c>
      <c r="B48" s="68" t="s">
        <v>68</v>
      </c>
      <c r="C48" s="70" t="str">
        <f aca="false">IF(SUMIF(Horo82105[Client],B48,Horo82105[Durée])=0,"",SUMIF(Horo82105[Client],B48,Horo82105[Durée]))</f>
        <v/>
      </c>
    </row>
    <row r="49" customFormat="false" ht="15" hidden="true" customHeight="false" outlineLevel="0" collapsed="false">
      <c r="A49" s="67" t="str">
        <f aca="false">IF((SUMIF(Horo82105[Client],B49,Horo82105[Durée]) / Total)=0,"",(SUMIF(Horo82105[Client],B49,Horo82105[Durée]) / Total))</f>
        <v/>
      </c>
      <c r="B49" s="68" t="s">
        <v>41</v>
      </c>
      <c r="C49" s="70" t="str">
        <f aca="false">IF(SUMIF(Horo82105[Client],B49,Horo82105[Durée])=0,"",SUMIF(Horo82105[Client],B49,Horo82105[Durée]))</f>
        <v/>
      </c>
    </row>
    <row r="50" customFormat="false" ht="15" hidden="false" customHeight="false" outlineLevel="0" collapsed="false">
      <c r="A50" s="67" t="n">
        <f aca="false">IF((SUMIF(Horo82105[Client],B50,Horo82105[Durée]) / Total)=0,"",(SUMIF(Horo82105[Client],B50,Horo82105[Durée]) / Total))</f>
        <v>0.038961038961039</v>
      </c>
      <c r="B50" s="68" t="s">
        <v>37</v>
      </c>
      <c r="C50" s="69" t="n">
        <f aca="false">IF(SUMIF(Horo82105[Client],B50,Horo82105[Durée])=0,"",SUMIF(Horo82105[Client],B50,Horo82105[Durée]))</f>
        <v>1.5</v>
      </c>
    </row>
    <row r="51" customFormat="false" ht="15" hidden="true" customHeight="false" outlineLevel="0" collapsed="false">
      <c r="A51" s="67" t="str">
        <f aca="false">IF((SUMIF(Horo82105[Client],B51,Horo82105[Durée]) / Total)=0,"",(SUMIF(Horo82105[Client],B51,Horo82105[Durée]) / Total))</f>
        <v/>
      </c>
      <c r="B51" s="68" t="s">
        <v>69</v>
      </c>
      <c r="C51" s="69" t="str">
        <f aca="false">IF(SUMIF(Horo82105[Client],B51,Horo82105[Durée])=0,"",SUMIF(Horo82105[Client],B51,Horo82105[Durée]))</f>
        <v/>
      </c>
    </row>
    <row r="52" customFormat="false" ht="15" hidden="true" customHeight="false" outlineLevel="0" collapsed="false">
      <c r="A52" s="67" t="str">
        <f aca="false">IF((SUMIF(Horo82105[Client],B52,Horo82105[Durée]) / Total)=0,"",(SUMIF(Horo82105[Client],B52,Horo82105[Durée]) / Total))</f>
        <v/>
      </c>
      <c r="B52" s="68" t="s">
        <v>70</v>
      </c>
      <c r="C52" s="70" t="str">
        <f aca="false">IF(SUMIF(Horo82105[Client],B52,Horo82105[Durée])=0,"",SUMIF(Horo82105[Client],B52,Horo82105[Durée]))</f>
        <v/>
      </c>
    </row>
    <row r="53" customFormat="false" ht="15" hidden="true" customHeight="false" outlineLevel="1" collapsed="false">
      <c r="A53" s="67" t="str">
        <f aca="false">IF((SUMIF(Horo82105[Client],B53,Horo82105[Durée]) / Total)=0,"",(SUMIF(Horo82105[Client],B53,Horo82105[Durée]) / Total))</f>
        <v/>
      </c>
      <c r="B53" s="68" t="s">
        <v>71</v>
      </c>
      <c r="C53" s="70" t="str">
        <f aca="false">IF(SUMIF(Horo82105[Client],B53,Horo82105[Durée])=0,"",SUMIF(Horo82105[Client],B53,Horo82105[Durée]))</f>
        <v/>
      </c>
    </row>
    <row r="54" customFormat="false" ht="15" hidden="true" customHeight="false" outlineLevel="1" collapsed="false">
      <c r="A54" s="67" t="str">
        <f aca="false">IF((SUMIF(Horo82105[Client],B54,Horo82105[Durée]) / Total)=0,"",(SUMIF(Horo82105[Client],B54,Horo82105[Durée]) / Total))</f>
        <v/>
      </c>
      <c r="B54" s="68" t="s">
        <v>72</v>
      </c>
      <c r="C54" s="70" t="str">
        <f aca="false">IF(SUMIF(Horo82105[Client],B54,Horo82105[Durée])=0,"",SUMIF(Horo82105[Client],B54,Horo82105[Durée]))</f>
        <v/>
      </c>
    </row>
    <row r="55" customFormat="false" ht="15" hidden="true" customHeight="false" outlineLevel="1" collapsed="false">
      <c r="A55" s="67" t="str">
        <f aca="false">IF((SUMIF(Horo82105[Client],B55,Horo82105[Durée]) / Total)=0,"",(SUMIF(Horo82105[Client],B55,Horo82105[Durée]) / Total))</f>
        <v/>
      </c>
      <c r="B55" s="68" t="s">
        <v>73</v>
      </c>
      <c r="C55" s="70" t="str">
        <f aca="false">IF(SUMIF(Horo82105[Client],B55,Horo82105[Durée])=0,"",SUMIF(Horo82105[Client],B55,Horo82105[Durée]))</f>
        <v/>
      </c>
    </row>
    <row r="56" customFormat="false" ht="15" hidden="true" customHeight="false" outlineLevel="1" collapsed="false">
      <c r="A56" s="67" t="str">
        <f aca="false">IF((SUMIF(Horo82105[Client],B56,Horo82105[Durée]) / Total)=0,"",(SUMIF(Horo82105[Client],B56,Horo82105[Durée]) / Total))</f>
        <v/>
      </c>
      <c r="B56" s="68" t="s">
        <v>74</v>
      </c>
      <c r="C56" s="70" t="str">
        <f aca="false">IF(SUMIF(Horo82105[Client],B56,Horo82105[Durée])=0,"",SUMIF(Horo82105[Client],B56,Horo82105[Durée]))</f>
        <v/>
      </c>
    </row>
    <row r="57" customFormat="false" ht="15" hidden="false" customHeight="false" outlineLevel="1" collapsed="false">
      <c r="A57" s="67" t="n">
        <f aca="false">IF((SUMIF(Horo82105[Client],B57,Horo82105[Durée]) / Total)=0,"",(SUMIF(Horo82105[Client],B57,Horo82105[Durée]) / Total))</f>
        <v>0.0389610389610389</v>
      </c>
      <c r="B57" s="68" t="s">
        <v>75</v>
      </c>
      <c r="C57" s="69" t="n">
        <f aca="false">IF(SUMIF(Horo82105[Client],B57,Horo82105[Durée])=0,"",SUMIF(Horo82105[Client],B57,Horo82105[Durée]))</f>
        <v>1.5</v>
      </c>
    </row>
    <row r="58" customFormat="false" ht="15" hidden="true" customHeight="false" outlineLevel="1" collapsed="false">
      <c r="A58" s="67" t="str">
        <f aca="false">IF((SUMIF(Horo82105[Client],B58,Horo82105[Durée]) / Total)=0,"",(SUMIF(Horo82105[Client],B58,Horo82105[Durée]) / Total))</f>
        <v/>
      </c>
      <c r="B58" s="68" t="s">
        <v>76</v>
      </c>
      <c r="C58" s="70" t="str">
        <f aca="false">IF(SUMIF(Horo82105[Client],B58,Horo82105[Durée])=0,"",SUMIF(Horo82105[Client],B58,Horo82105[Durée]))</f>
        <v/>
      </c>
    </row>
    <row r="59" customFormat="false" ht="15" hidden="true" customHeight="false" outlineLevel="1" collapsed="false">
      <c r="A59" s="67" t="str">
        <f aca="false">IF((SUMIF(Horo82105[Client],B59,Horo82105[Durée]) / Total)=0,"",(SUMIF(Horo82105[Client],B59,Horo82105[Durée]) / Total))</f>
        <v/>
      </c>
      <c r="B59" s="68" t="s">
        <v>77</v>
      </c>
      <c r="C59" s="70" t="str">
        <f aca="false">IF(SUMIF(Horo82105[Client],B59,Horo82105[Durée])=0,"",SUMIF(Horo82105[Client],B59,Horo82105[Durée]))</f>
        <v/>
      </c>
    </row>
    <row r="60" customFormat="false" ht="15" hidden="true" customHeight="false" outlineLevel="1" collapsed="false">
      <c r="A60" s="67" t="str">
        <f aca="false">IF((SUMIF(Horo82105[Client],B60,Horo82105[Durée]) / Total)=0,"",(SUMIF(Horo82105[Client],B60,Horo82105[Durée]) / Total))</f>
        <v/>
      </c>
      <c r="B60" s="68" t="s">
        <v>45</v>
      </c>
      <c r="C60" s="70" t="str">
        <f aca="false">IF(SUMIF(Horo82105[Client],B60,Horo82105[Durée])=0,"",SUMIF(Horo82105[Client],B60,Horo82105[Durée]))</f>
        <v/>
      </c>
    </row>
    <row r="61" customFormat="false" ht="15" hidden="true" customHeight="false" outlineLevel="1" collapsed="false">
      <c r="A61" s="67" t="str">
        <f aca="false">IF((SUMIF(Horo82105[Client],B61,Horo82105[Durée]) / Total)=0,"",(SUMIF(Horo82105[Client],B61,Horo82105[Durée]) / Total))</f>
        <v/>
      </c>
      <c r="B61" s="68" t="s">
        <v>78</v>
      </c>
      <c r="C61" s="70" t="str">
        <f aca="false">IF(SUMIF(Horo82105[Client],B61,Horo82105[Durée])=0,"",SUMIF(Horo82105[Client],B61,Horo82105[Durée]))</f>
        <v/>
      </c>
    </row>
    <row r="62" customFormat="false" ht="15" hidden="true" customHeight="false" outlineLevel="1" collapsed="false">
      <c r="A62" s="67" t="str">
        <f aca="false">IF((SUMIF(Horo82105[Client],B62,Horo82105[Durée]) / Total)=0,"",(SUMIF(Horo82105[Client],B62,Horo82105[Durée]) / Total))</f>
        <v/>
      </c>
      <c r="B62" s="68" t="s">
        <v>79</v>
      </c>
      <c r="C62" s="70" t="str">
        <f aca="false">IF(SUMIF(Horo82105[Client],B62,Horo82105[Durée])=0,"",SUMIF(Horo82105[Client],B62,Horo82105[Durée]))</f>
        <v/>
      </c>
    </row>
    <row r="63" customFormat="false" ht="15" hidden="true" customHeight="false" outlineLevel="1" collapsed="false">
      <c r="A63" s="67" t="str">
        <f aca="false">IF((SUMIF(Horo82105[Client],B63,Horo82105[Durée]) / Total)=0,"",(SUMIF(Horo82105[Client],B63,Horo82105[Durée]) / Total))</f>
        <v/>
      </c>
      <c r="B63" s="68" t="s">
        <v>80</v>
      </c>
      <c r="C63" s="70" t="str">
        <f aca="false">IF(SUMIF(Horo82105[Client],B63,Horo82105[Durée])=0,"",SUMIF(Horo82105[Client],B63,Horo82105[Durée]))</f>
        <v/>
      </c>
    </row>
    <row r="64" customFormat="false" ht="15" hidden="true" customHeight="false" outlineLevel="1" collapsed="false">
      <c r="A64" s="67" t="str">
        <f aca="false">IF((SUMIF(Horo82105[Client],B64,Horo82105[Durée]) / Total)=0,"",(SUMIF(Horo82105[Client],B64,Horo82105[Durée]) / Total))</f>
        <v/>
      </c>
      <c r="B64" s="72" t="s">
        <v>81</v>
      </c>
      <c r="C64" s="69" t="str">
        <f aca="false">IF(SUMIF(Horo82105[Client],B64,Horo82105[Durée])=0,"",SUMIF(Horo82105[Client],B64,Horo82105[Durée]))</f>
        <v/>
      </c>
    </row>
    <row r="65" customFormat="false" ht="15" hidden="true" customHeight="false" outlineLevel="1" collapsed="false"/>
    <row r="66" customFormat="false" ht="15" hidden="true" customHeight="false" outlineLevel="1" collapsed="false"/>
    <row r="67" customFormat="false" ht="15" hidden="true" customHeight="false" outlineLevel="1" collapsed="false"/>
    <row r="68" customFormat="false" ht="15" hidden="true" customHeight="false" outlineLevel="1" collapsed="false"/>
    <row r="69" customFormat="false" ht="15" hidden="true" customHeight="false" outlineLevel="1" collapsed="false"/>
    <row r="70" customFormat="false" ht="15" hidden="true" customHeight="false" outlineLevel="1" collapsed="false"/>
    <row r="71" customFormat="false" ht="15" hidden="true" customHeight="false" outlineLevel="1" collapsed="false"/>
    <row r="72" customFormat="false" ht="15" hidden="true" customHeight="false" outlineLevel="1" collapsed="false"/>
    <row r="73" customFormat="false" ht="15" hidden="true" customHeight="false" outlineLevel="1" collapsed="false"/>
  </sheetData>
  <conditionalFormatting sqref="I29">
    <cfRule type="expression" priority="2" aboveAverage="0" equalAverage="0" bottom="0" percent="0" rank="0" text="" dxfId="237">
      <formula>A29="O"</formula>
    </cfRule>
  </conditionalFormatting>
  <conditionalFormatting sqref="I38">
    <cfRule type="expression" priority="3" aboveAverage="0" equalAverage="0" bottom="0" percent="0" rank="0" text="" dxfId="238">
      <formula>A38="O"</formula>
    </cfRule>
  </conditionalFormatting>
  <conditionalFormatting sqref="I40">
    <cfRule type="expression" priority="4" aboveAverage="0" equalAverage="0" bottom="0" percent="0" rank="0" text="" dxfId="239">
      <formula>A40="O"</formula>
    </cfRule>
  </conditionalFormatting>
  <conditionalFormatting sqref="H4:H29">
    <cfRule type="expression" priority="5" aboveAverage="0" equalAverage="0" bottom="0" percent="0" rank="0" text="" dxfId="240">
      <formula>A4="O"</formula>
    </cfRule>
  </conditionalFormatting>
  <conditionalFormatting sqref="K4:K29">
    <cfRule type="expression" priority="6" aboveAverage="0" equalAverage="0" bottom="0" percent="0" rank="0" text="" dxfId="241">
      <formula>A4="O"</formula>
    </cfRule>
    <cfRule type="expression" priority="7" aboveAverage="0" equalAverage="0" bottom="0" percent="0" rank="0" text="" dxfId="242">
      <formula>A4="O"</formula>
    </cfRule>
  </conditionalFormatting>
  <conditionalFormatting sqref="C4:C29">
    <cfRule type="expression" priority="8" aboveAverage="0" equalAverage="0" bottom="0" percent="0" rank="0" text="" dxfId="243">
      <formula>A4="O"</formula>
    </cfRule>
    <cfRule type="containsText" priority="9" operator="containsText" aboveAverage="0" equalAverage="0" bottom="0" percent="0" rank="0" text="Dimanche" dxfId="244">
      <formula>NOT(ISERROR(SEARCH("Dimanche",C4)))</formula>
    </cfRule>
    <cfRule type="containsText" priority="10" operator="containsText" aboveAverage="0" equalAverage="0" bottom="0" percent="0" rank="0" text="Samedi" dxfId="245">
      <formula>NOT(ISERROR(SEARCH("Samedi",C4)))</formula>
    </cfRule>
    <cfRule type="containsText" priority="11" operator="containsText" aboveAverage="0" equalAverage="0" bottom="0" percent="0" rank="0" text="Vendredi" dxfId="246">
      <formula>NOT(ISERROR(SEARCH("Vendredi",C4)))</formula>
    </cfRule>
    <cfRule type="containsText" priority="12" operator="containsText" aboveAverage="0" equalAverage="0" bottom="0" percent="0" rank="0" text="Jeudi" dxfId="247">
      <formula>NOT(ISERROR(SEARCH("Jeudi",C4)))</formula>
    </cfRule>
    <cfRule type="containsText" priority="13" operator="containsText" aboveAverage="0" equalAverage="0" bottom="0" percent="0" rank="0" text="Mercredi" dxfId="248">
      <formula>NOT(ISERROR(SEARCH("Mercredi",C4)))</formula>
    </cfRule>
    <cfRule type="containsText" priority="14" operator="containsText" aboveAverage="0" equalAverage="0" bottom="0" percent="0" rank="0" text="Mardi" dxfId="249">
      <formula>NOT(ISERROR(SEARCH("Mardi",C4)))</formula>
    </cfRule>
    <cfRule type="containsText" priority="15" operator="containsText" aboveAverage="0" equalAverage="0" bottom="0" percent="0" rank="0" text="Lundi" dxfId="250">
      <formula>NOT(ISERROR(SEARCH("Lundi",C4)))</formula>
    </cfRule>
  </conditionalFormatting>
  <conditionalFormatting sqref="G4:G29">
    <cfRule type="expression" priority="16" aboveAverage="0" equalAverage="0" bottom="0" percent="0" rank="0" text="" dxfId="251">
      <formula>A4="O"</formula>
    </cfRule>
  </conditionalFormatting>
  <conditionalFormatting sqref="J4:J29">
    <cfRule type="expression" priority="17" aboveAverage="0" equalAverage="0" bottom="0" percent="0" rank="0" text="" dxfId="252">
      <formula>A4="O"</formula>
    </cfRule>
  </conditionalFormatting>
  <conditionalFormatting sqref="F4:F29">
    <cfRule type="expression" priority="18" aboveAverage="0" equalAverage="0" bottom="0" percent="0" rank="0" text="" dxfId="253">
      <formula>A4="O"</formula>
    </cfRule>
  </conditionalFormatting>
  <conditionalFormatting sqref="B4:B29">
    <cfRule type="cellIs" priority="19" operator="equal" aboveAverage="0" equalAverage="0" bottom="0" percent="0" rank="0" text="" dxfId="254">
      <formula>0</formula>
    </cfRule>
    <cfRule type="expression" priority="20" aboveAverage="0" equalAverage="0" bottom="0" percent="0" rank="0" text="" dxfId="255">
      <formula>A4="O"</formula>
    </cfRule>
    <cfRule type="colorScale" priority="21">
      <colorScale>
        <cfvo type="percentile" val="10"/>
        <cfvo type="percentile" val="50"/>
        <cfvo type="percentile" val="90"/>
        <color rgb="FFFFC000"/>
        <color rgb="FFC55A11"/>
        <color rgb="FF2E75B6"/>
      </colorScale>
    </cfRule>
  </conditionalFormatting>
  <conditionalFormatting sqref="D4:D29">
    <cfRule type="expression" priority="22" aboveAverage="0" equalAverage="0" bottom="0" percent="0" rank="0" text="" dxfId="256">
      <formula>A4="O"</formula>
    </cfRule>
    <cfRule type="colorScale" priority="23">
      <colorScale>
        <cfvo type="min" val="0"/>
        <cfvo type="percentile" val="50"/>
        <cfvo type="max" val="0"/>
        <color rgb="FFFFC000"/>
        <color rgb="FFC55A11"/>
        <color rgb="FF2E75B6"/>
      </colorScale>
    </cfRule>
  </conditionalFormatting>
  <conditionalFormatting sqref="E4:E29">
    <cfRule type="expression" priority="24" aboveAverage="0" equalAverage="0" bottom="0" percent="0" rank="0" text="" dxfId="257">
      <formula>A4="O"</formula>
    </cfRule>
    <cfRule type="colorScale" priority="25">
      <colorScale>
        <cfvo type="min" val="0"/>
        <cfvo type="percentile" val="50"/>
        <cfvo type="max" val="0"/>
        <color rgb="FFFFC000"/>
        <color rgb="FFC55A11"/>
        <color rgb="FF2E75B6"/>
      </colorScale>
    </cfRule>
  </conditionalFormatting>
  <dataValidations count="5">
    <dataValidation allowBlank="true" errorStyle="stop" operator="between" showDropDown="false" showErrorMessage="true" showInputMessage="true" sqref="C4:C29" type="list">
      <formula1>Data!$C$2:$C$8</formula1>
      <formula2>0</formula2>
    </dataValidation>
    <dataValidation allowBlank="false" errorStyle="stop" operator="between" showDropDown="false" showErrorMessage="true" showInputMessage="true" sqref="F4:F29" type="list">
      <formula1>Data!$E$2:$E$30</formula1>
      <formula2>0</formula2>
    </dataValidation>
    <dataValidation allowBlank="true" errorStyle="information" errorTitle="OK ?" operator="between" showDropDown="false" showErrorMessage="true" showInputMessage="true" sqref="G4:G29" type="list">
      <formula1>Data!$D$2:$D$16</formula1>
      <formula2>0</formula2>
    </dataValidation>
    <dataValidation allowBlank="false" errorStyle="stop" operator="between" showDropDown="false" showErrorMessage="true" showInputMessage="true" sqref="H4:H29" type="list">
      <formula1>Data!$F$2:$F$50</formula1>
      <formula2>0</formula2>
    </dataValidation>
    <dataValidation allowBlank="true" errorStyle="stop" operator="between" showDropDown="false" showErrorMessage="true" showInputMessage="true" sqref="C1" type="list">
      <formula1>Data!$A$2:$A$106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  <tableParts>
    <tablePart r:id="rId2"/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E81"/>
  <sheetViews>
    <sheetView showFormulas="false" showGridLines="true" showRowColHeaders="true" showZeros="true" rightToLeft="false" tabSelected="false" showOutlineSymbols="true" defaultGridColor="true" view="normal" topLeftCell="A6" colorId="64" zoomScale="100" zoomScaleNormal="100" zoomScalePageLayoutView="100" workbookViewId="0">
      <selection pane="topLeft" activeCell="C17" activeCellId="0" sqref="C17"/>
    </sheetView>
  </sheetViews>
  <sheetFormatPr defaultColWidth="9.1484375" defaultRowHeight="15" zeroHeight="false" outlineLevelRow="1" outlineLevelCol="0"/>
  <cols>
    <col collapsed="false" customWidth="true" hidden="false" outlineLevel="0" max="1" min="1" style="1" width="5.57"/>
    <col collapsed="false" customWidth="true" hidden="false" outlineLevel="0" max="2" min="2" style="1" width="19.42"/>
    <col collapsed="false" customWidth="true" hidden="false" outlineLevel="0" max="3" min="3" style="1" width="18.29"/>
    <col collapsed="false" customWidth="true" hidden="false" outlineLevel="0" max="4" min="4" style="1" width="13.42"/>
    <col collapsed="false" customWidth="true" hidden="false" outlineLevel="0" max="5" min="5" style="1" width="10.57"/>
    <col collapsed="false" customWidth="true" hidden="false" outlineLevel="0" max="6" min="6" style="1" width="19"/>
    <col collapsed="false" customWidth="true" hidden="false" outlineLevel="0" max="7" min="7" style="1" width="11.43"/>
    <col collapsed="false" customWidth="true" hidden="false" outlineLevel="0" max="8" min="8" style="1" width="14.57"/>
    <col collapsed="false" customWidth="true" hidden="false" outlineLevel="0" max="9" min="9" style="1" width="19.29"/>
    <col collapsed="false" customWidth="true" hidden="false" outlineLevel="0" max="10" min="10" style="1" width="9.71"/>
    <col collapsed="false" customWidth="true" hidden="false" outlineLevel="0" max="11" min="11" style="1" width="7.29"/>
    <col collapsed="false" customWidth="true" hidden="false" outlineLevel="0" max="12" min="12" style="2" width="9.86"/>
    <col collapsed="false" customWidth="true" hidden="false" outlineLevel="0" max="13" min="13" style="1" width="6.14"/>
    <col collapsed="false" customWidth="true" hidden="false" outlineLevel="0" max="14" min="14" style="1" width="5"/>
    <col collapsed="false" customWidth="true" hidden="false" outlineLevel="0" max="15" min="15" style="1" width="5.57"/>
    <col collapsed="false" customWidth="true" hidden="false" outlineLevel="0" max="17" min="16" style="1" width="6.14"/>
    <col collapsed="false" customWidth="true" hidden="false" outlineLevel="0" max="18" min="18" style="1" width="8.29"/>
    <col collapsed="false" customWidth="true" hidden="false" outlineLevel="0" max="20" min="19" style="1" width="5"/>
    <col collapsed="false" customWidth="true" hidden="false" outlineLevel="0" max="21" min="21" style="1" width="6.14"/>
    <col collapsed="false" customWidth="true" hidden="true" outlineLevel="0" max="23" min="22" style="1" width="6.14"/>
    <col collapsed="false" customWidth="true" hidden="true" outlineLevel="0" max="24" min="24" style="1" width="12.71"/>
    <col collapsed="false" customWidth="false" hidden="true" outlineLevel="0" max="29" min="25" style="1" width="9.14"/>
    <col collapsed="false" customWidth="true" hidden="true" outlineLevel="0" max="30" min="30" style="1" width="10.57"/>
    <col collapsed="false" customWidth="true" hidden="true" outlineLevel="0" max="31" min="31" style="1" width="11.14"/>
    <col collapsed="false" customWidth="true" hidden="false" outlineLevel="0" max="32" min="32" style="1" width="9.57"/>
    <col collapsed="false" customWidth="false" hidden="false" outlineLevel="0" max="16384" min="33" style="1" width="9.14"/>
  </cols>
  <sheetData>
    <row r="1" customFormat="false" ht="17.35" hidden="false" customHeight="false" outlineLevel="0" collapsed="false">
      <c r="A1" s="3"/>
      <c r="B1" s="4" t="str">
        <f aca="false">"Semaine du :"</f>
        <v>Semaine du :</v>
      </c>
      <c r="C1" s="5" t="n">
        <v>44424</v>
      </c>
      <c r="D1" s="6" t="str">
        <f aca="false">"( "&amp;AVERAGE($E$2:$I$2)&amp;" )"</f>
        <v>( 8 )</v>
      </c>
      <c r="E1" s="7" t="str">
        <f aca="false">IFERROR("Lun.: " &amp; TEXT($Y$2,"00%"),"Lun.: 0%")</f>
        <v>Lun.: 49%</v>
      </c>
      <c r="F1" s="8" t="str">
        <f aca="false">IFERROR("Mar.: " &amp; TEXT($Z$2,"00%"),"Mar.: 0%")</f>
        <v>Mar.: 18%</v>
      </c>
      <c r="G1" s="8" t="str">
        <f aca="false">IFERROR("Mer.: " &amp; TEXT($AA$2,"00%"),"Mer.: 0%")</f>
        <v>Mer.: 00%</v>
      </c>
      <c r="H1" s="8" t="str">
        <f aca="false">IFERROR("Jeu.: " &amp; TEXT($AB$2,"00%"),"Jeu.: 0%")</f>
        <v>Jeu.: 10%</v>
      </c>
      <c r="I1" s="8" t="str">
        <f aca="false">IFERROR("Ven.: " &amp; TEXT($AC$2,"00%"),"Ven.: 0%")</f>
        <v>Ven.: 15%</v>
      </c>
      <c r="J1" s="9" t="str">
        <f aca="false">IFERROR("S.: " &amp; TEXT($AD$2,"00%"),"S.: 0%")</f>
        <v>S.: 00%</v>
      </c>
      <c r="K1" s="10" t="str">
        <f aca="false">IFERROR("D.: " &amp; TEXT($AE$2,"00%"), "D.: 0%")</f>
        <v>D.: 00%</v>
      </c>
      <c r="L1" s="11"/>
      <c r="M1" s="12" t="n">
        <f aca="false">M2/Total</f>
        <v>0.194805194805195</v>
      </c>
      <c r="N1" s="12" t="n">
        <f aca="false">N2/$C$2</f>
        <v>0.0125</v>
      </c>
      <c r="O1" s="12" t="n">
        <f aca="false">O2/$C$2</f>
        <v>0.13125</v>
      </c>
      <c r="P1" s="12" t="n">
        <f aca="false">P2/$C$2</f>
        <v>0.31875</v>
      </c>
      <c r="Q1" s="12" t="n">
        <f aca="false">Q2/$C$2</f>
        <v>0.275</v>
      </c>
      <c r="R1" s="13" t="n">
        <f aca="false">R2/$C$2</f>
        <v>0</v>
      </c>
      <c r="S1" s="13" t="n">
        <f aca="false">S2/$C$2</f>
        <v>0</v>
      </c>
      <c r="T1" s="13" t="n">
        <f aca="false">T2/$C$2</f>
        <v>0</v>
      </c>
      <c r="U1" s="14" t="n">
        <f aca="false">U2/$C$2</f>
        <v>0.075</v>
      </c>
      <c r="V1" s="15"/>
      <c r="W1" s="16"/>
      <c r="X1" s="17" t="e">
        <f aca="false">SUM(#REF!)</f>
        <v>#REF!</v>
      </c>
      <c r="Y1" s="18" t="s">
        <v>0</v>
      </c>
      <c r="Z1" s="18" t="s">
        <v>1</v>
      </c>
      <c r="AA1" s="18" t="s">
        <v>2</v>
      </c>
      <c r="AB1" s="18" t="s">
        <v>3</v>
      </c>
      <c r="AC1" s="18" t="s">
        <v>4</v>
      </c>
      <c r="AD1" s="18" t="s">
        <v>5</v>
      </c>
      <c r="AE1" s="18" t="s">
        <v>6</v>
      </c>
    </row>
    <row r="2" customFormat="false" ht="22.05" hidden="false" customHeight="false" outlineLevel="0" collapsed="false">
      <c r="A2" s="3"/>
      <c r="B2" s="19" t="n">
        <f aca="false">X2</f>
        <v>0.2625</v>
      </c>
      <c r="C2" s="20" t="n">
        <f aca="false">SUM(Horo8250[Durée])</f>
        <v>40</v>
      </c>
      <c r="D2" s="21" t="str">
        <f aca="false">ROUND(SUM(Horo8250[T]),2) &amp; " / " &amp; ROUND($C$2-SUM(Horo8250[T]),2)</f>
        <v>40 / 0</v>
      </c>
      <c r="E2" s="22" t="n">
        <f aca="false">SUMIF(Horo8250[Jour],"Lundi",Horo8250[Durée])</f>
        <v>8.75</v>
      </c>
      <c r="F2" s="23" t="n">
        <f aca="false">SUMIF(Horo8250[Jour],"Mardi",Horo8250[Durée])</f>
        <v>8.5</v>
      </c>
      <c r="G2" s="23" t="n">
        <f aca="false">SUMIF(Horo8250[Jour],"Mercredi",Horo8250[Durée])</f>
        <v>8.5</v>
      </c>
      <c r="H2" s="23" t="n">
        <f aca="false">SUMIF(Horo8250[Jour],"Jeudi",Horo8250[Durée])</f>
        <v>7.75</v>
      </c>
      <c r="I2" s="23" t="n">
        <f aca="false">SUMIF(Horo8250[Jour],"Vendredi",Horo8250[Durée])</f>
        <v>6.5</v>
      </c>
      <c r="J2" s="23" t="n">
        <f aca="false">SUMIF(Horo8250[Jour],"Samedi",Horo8250[Durée])</f>
        <v>0</v>
      </c>
      <c r="K2" s="23" t="n">
        <f aca="false">SUMIF(Horo8250[Jour],"Dimanche",Horo8250[Durée])</f>
        <v>0</v>
      </c>
      <c r="L2" s="24"/>
      <c r="M2" s="25" t="n">
        <f aca="false">SUM(Horo8250[GPF])</f>
        <v>7.5</v>
      </c>
      <c r="N2" s="25" t="n">
        <f aca="false">SUM(Horo8250[RI])</f>
        <v>0.500000000000001</v>
      </c>
      <c r="O2" s="25" t="n">
        <f aca="false">SUM(Horo8250[GB])</f>
        <v>5.25</v>
      </c>
      <c r="P2" s="25" t="n">
        <f aca="false">SUM(Horo8250[RD])</f>
        <v>12.75</v>
      </c>
      <c r="Q2" s="25" t="n">
        <f aca="false">SUM(Horo8250[FG])</f>
        <v>11</v>
      </c>
      <c r="R2" s="26" t="n">
        <f aca="false">SUM(Horo8250[CONGÉ])</f>
        <v>0</v>
      </c>
      <c r="S2" s="26" t="n">
        <f aca="false">SUM(Horo8250[PS])</f>
        <v>0</v>
      </c>
      <c r="T2" s="26" t="n">
        <f aca="false">SUM(Horo8250[TD])</f>
        <v>0</v>
      </c>
      <c r="U2" s="27" t="n">
        <f aca="false">SUM(Horo8250[N/C])</f>
        <v>3</v>
      </c>
      <c r="V2" s="17" t="n">
        <f aca="false">(C2-(SUM(N2:T2)))</f>
        <v>10.5</v>
      </c>
      <c r="W2" s="17" t="n">
        <f aca="false">C2-(R2+S2+T2)</f>
        <v>40</v>
      </c>
      <c r="X2" s="28" t="n">
        <f aca="false">V2/W2</f>
        <v>0.2625</v>
      </c>
      <c r="Y2" s="29" t="n">
        <f aca="false">SUMIF(Horo8250[Jour],"Lundi",Horo8250[GPF]) / $E$2</f>
        <v>0.485714285714286</v>
      </c>
      <c r="Z2" s="29" t="n">
        <f aca="false">SUMIF(Horo8250[Jour],"Mardi",Horo8250[GPF]) / $F$2</f>
        <v>0.176470588235294</v>
      </c>
      <c r="AA2" s="29" t="n">
        <f aca="false">SUMIF(Horo8250[Jour],"Mercredi",Horo8250[GPF]) / $G$2</f>
        <v>0</v>
      </c>
      <c r="AB2" s="29" t="n">
        <f aca="false">SUMIF(Horo8250[Jour],"Jeudi",Horo8250[GPF]) / $H$2</f>
        <v>0.0967741935483871</v>
      </c>
      <c r="AC2" s="29" t="n">
        <f aca="false">SUMIF(Horo8250[Jour],"Vendredi",Horo8250[GPF]) / $I$2</f>
        <v>0.153846153846154</v>
      </c>
      <c r="AD2" s="29" t="n">
        <f aca="false">IFERROR(SUMIF(Horo8250[Jour],"Samedi",Horo8250[GPF]) / $J$2,0)</f>
        <v>0</v>
      </c>
      <c r="AE2" s="29" t="n">
        <f aca="false">IFERROR(SUMIF(Horo8250[Jour],"Dimanche",Horo8250[GPF]) / $K$2,0)</f>
        <v>0</v>
      </c>
    </row>
    <row r="3" customFormat="false" ht="15" hidden="false" customHeight="false" outlineLevel="0" collapsed="false">
      <c r="A3" s="30" t="s">
        <v>7</v>
      </c>
      <c r="B3" s="31" t="s">
        <v>8</v>
      </c>
      <c r="C3" s="31" t="s">
        <v>9</v>
      </c>
      <c r="D3" s="32" t="s">
        <v>10</v>
      </c>
      <c r="E3" s="33" t="s">
        <v>11</v>
      </c>
      <c r="F3" s="34" t="s">
        <v>12</v>
      </c>
      <c r="G3" s="34" t="s">
        <v>13</v>
      </c>
      <c r="H3" s="34" t="s">
        <v>14</v>
      </c>
      <c r="I3" s="35" t="s">
        <v>15</v>
      </c>
      <c r="J3" s="36" t="s">
        <v>16</v>
      </c>
      <c r="K3" s="36" t="s">
        <v>17</v>
      </c>
      <c r="L3" s="37" t="s">
        <v>18</v>
      </c>
      <c r="M3" s="38" t="s">
        <v>19</v>
      </c>
      <c r="N3" s="39" t="s">
        <v>20</v>
      </c>
      <c r="O3" s="39" t="s">
        <v>21</v>
      </c>
      <c r="P3" s="39" t="s">
        <v>22</v>
      </c>
      <c r="Q3" s="39" t="s">
        <v>23</v>
      </c>
      <c r="R3" s="40" t="s">
        <v>24</v>
      </c>
      <c r="S3" s="40" t="s">
        <v>25</v>
      </c>
      <c r="T3" s="41" t="s">
        <v>26</v>
      </c>
      <c r="U3" s="41" t="s">
        <v>27</v>
      </c>
      <c r="V3" s="42" t="s">
        <v>28</v>
      </c>
      <c r="W3" s="43" t="s">
        <v>29</v>
      </c>
      <c r="X3" s="44" t="s">
        <v>30</v>
      </c>
    </row>
    <row r="4" customFormat="false" ht="15" hidden="false" customHeight="false" outlineLevel="0" collapsed="false">
      <c r="A4" s="45" t="s">
        <v>31</v>
      </c>
      <c r="B4" s="46" t="n">
        <f aca="false">IF(Horo8250[[#This Row],[Jour]]="Lundi",$C$1+1, IF(Horo8250[[#This Row],[Jour]]="Mardi",$C$1+2, IF(Horo8250[[#This Row],[Jour]]="Mercredi",$C$1+3, IF(Horo8250[[#This Row],[Jour]]="Jeudi",$C$1+4, IF(Horo8250[[#This Row],[Jour]]="Vendredi",$C$1+5, IF(Horo8250[[#This Row],[Jour]]="Samedi",$C$1+6, IF(Horo8250[[#This Row],[Jour]]="Dimanche",$C$1, )))))))</f>
        <v>44425</v>
      </c>
      <c r="C4" s="47" t="s">
        <v>0</v>
      </c>
      <c r="D4" s="48" t="n">
        <v>0.302083333333333</v>
      </c>
      <c r="E4" s="48" t="n">
        <v>0.364583333333333</v>
      </c>
      <c r="F4" s="49" t="s">
        <v>32</v>
      </c>
      <c r="G4" s="49" t="s">
        <v>21</v>
      </c>
      <c r="H4" s="50" t="s">
        <v>94</v>
      </c>
      <c r="I4" s="51" t="s">
        <v>153</v>
      </c>
      <c r="J4" s="52" t="n">
        <f aca="false">IF(Horo8250[[#This Row],[Début]]=0,"",(Horo8250[[#This Row],[Durée (60)2]]-INT(Horo8250[[#This Row],[Durée (60)2]]))*24)</f>
        <v>1.5</v>
      </c>
      <c r="K4" s="53" t="n">
        <f aca="false">SUMIF(Horo8250[Jour],C4,Horo8250[Durée])</f>
        <v>8.75</v>
      </c>
      <c r="L4" s="54" t="n">
        <f aca="false">IFERROR(SUMIF(Horo8250[[#This Row],[Jour]],Horo8250[[#This Row],[Jour]],Horo8250[[#This Row],[GPF]]) / Horo8250[[#This Row],[hrs]],"")</f>
        <v>0</v>
      </c>
      <c r="M4" s="55" t="str">
        <f aca="false">IF("GPF"=Horo8250[[#This Row],[Tâche]],Horo8250[[#This Row],[Durée]],"")</f>
        <v/>
      </c>
      <c r="N4" s="56" t="str">
        <f aca="false">IF("RI"=Horo8250[[#This Row],[Tâche]],Horo8250[[#This Row],[Durée]],"")</f>
        <v/>
      </c>
      <c r="O4" s="56" t="n">
        <f aca="false">IF("GB"=Horo8250[[#This Row],[Tâche]],Horo8250[[#This Row],[Durée]],"")</f>
        <v>1.5</v>
      </c>
      <c r="P4" s="56" t="str">
        <f aca="false">IF("RD"=Horo8250[[#This Row],[Tâche]],Horo8250[[#This Row],[Durée]],"")</f>
        <v/>
      </c>
      <c r="Q4" s="56" t="str">
        <f aca="false">IF("FG"=Horo8250[[#This Row],[Tâche]],Horo8250[[#This Row],[Durée]],"")</f>
        <v/>
      </c>
      <c r="R4" s="56" t="str">
        <f aca="false">IF("CONGÉ"=Horo8250[[#This Row],[Tâche]],Horo8250[[#This Row],[Durée]],"")</f>
        <v/>
      </c>
      <c r="S4" s="57" t="str">
        <f aca="false">IF("PS"=Horo8250[[#This Row],[Tâche]],Horo8250[[#This Row],[Durée]],"")</f>
        <v/>
      </c>
      <c r="T4" s="56" t="str">
        <f aca="false">IF("TD"=Horo8250[[#This Row],[Tâche]],Horo8250[[#This Row],[Durée]],"")</f>
        <v/>
      </c>
      <c r="U4" s="55" t="str">
        <f aca="false">IF("N/C"=Horo8250[[#This Row],[Tâche]],Horo8250[[#This Row],[Durée]],"")</f>
        <v/>
      </c>
      <c r="V4" s="58"/>
      <c r="W4" s="59" t="n">
        <f aca="false">IF(Horo8250[[#This Row],[O]]="o",Horo8250[[#This Row],[Durée]],".")</f>
        <v>1.5</v>
      </c>
      <c r="X4" s="60" t="n">
        <f aca="false">IF(Horo8250[[#This Row],[Début]]=0,"",Horo8250[[#This Row],[Fin]]-Horo8250[[#This Row],[Début]])</f>
        <v>0.0625</v>
      </c>
    </row>
    <row r="5" customFormat="false" ht="15" hidden="false" customHeight="false" outlineLevel="0" collapsed="false">
      <c r="A5" s="45" t="s">
        <v>31</v>
      </c>
      <c r="B5" s="46" t="n">
        <f aca="false">IF(Horo8250[[#This Row],[Jour]]="Lundi",$C$1+1, IF(Horo8250[[#This Row],[Jour]]="Mardi",$C$1+2, IF(Horo8250[[#This Row],[Jour]]="Mercredi",$C$1+3, IF(Horo8250[[#This Row],[Jour]]="Jeudi",$C$1+4, IF(Horo8250[[#This Row],[Jour]]="Vendredi",$C$1+5, IF(Horo8250[[#This Row],[Jour]]="Samedi",$C$1+6, IF(Horo8250[[#This Row],[Jour]]="Dimanche",$C$1, )))))))</f>
        <v>44425</v>
      </c>
      <c r="C5" s="47" t="s">
        <v>0</v>
      </c>
      <c r="D5" s="48" t="n">
        <v>0.364583333333333</v>
      </c>
      <c r="E5" s="48" t="n">
        <v>0.385416666666667</v>
      </c>
      <c r="F5" s="49" t="s">
        <v>32</v>
      </c>
      <c r="G5" s="49" t="s">
        <v>20</v>
      </c>
      <c r="H5" s="50" t="s">
        <v>121</v>
      </c>
      <c r="I5" s="51"/>
      <c r="J5" s="52" t="n">
        <f aca="false">IF(Horo8250[[#This Row],[Début]]=0,"",(Horo8250[[#This Row],[Durée (60)2]]-INT(Horo8250[[#This Row],[Durée (60)2]]))*24)</f>
        <v>0.500000000000001</v>
      </c>
      <c r="K5" s="62" t="n">
        <f aca="false">SUMIF(Horo8250[Jour],C5,Horo8250[Durée])</f>
        <v>8.75</v>
      </c>
      <c r="L5" s="54" t="n">
        <f aca="false">IFERROR(SUMIF(Horo8250[[#This Row],[Jour]],Horo8250[[#This Row],[Jour]],Horo8250[[#This Row],[GPF]]) / Horo8250[[#This Row],[hrs]],"")</f>
        <v>0</v>
      </c>
      <c r="M5" s="56" t="str">
        <f aca="false">IF("GPF"=Horo8250[[#This Row],[Tâche]],Horo8250[[#This Row],[Durée]],"")</f>
        <v/>
      </c>
      <c r="N5" s="56" t="n">
        <f aca="false">IF("RI"=Horo8250[[#This Row],[Tâche]],Horo8250[[#This Row],[Durée]],"")</f>
        <v>0.500000000000001</v>
      </c>
      <c r="O5" s="56" t="str">
        <f aca="false">IF("GB"=Horo8250[[#This Row],[Tâche]],Horo8250[[#This Row],[Durée]],"")</f>
        <v/>
      </c>
      <c r="P5" s="56" t="str">
        <f aca="false">IF("RD"=Horo8250[[#This Row],[Tâche]],Horo8250[[#This Row],[Durée]],"")</f>
        <v/>
      </c>
      <c r="Q5" s="56" t="str">
        <f aca="false">IF("FG"=Horo8250[[#This Row],[Tâche]],Horo8250[[#This Row],[Durée]],"")</f>
        <v/>
      </c>
      <c r="R5" s="56" t="str">
        <f aca="false">IF("CONGÉ"=Horo8250[[#This Row],[Tâche]],Horo8250[[#This Row],[Durée]],"")</f>
        <v/>
      </c>
      <c r="S5" s="57" t="str">
        <f aca="false">IF("PS"=Horo8250[[#This Row],[Tâche]],Horo8250[[#This Row],[Durée]],"")</f>
        <v/>
      </c>
      <c r="T5" s="56" t="str">
        <f aca="false">IF("TD"=Horo8250[[#This Row],[Tâche]],Horo8250[[#This Row],[Durée]],"")</f>
        <v/>
      </c>
      <c r="U5" s="55" t="str">
        <f aca="false">IF("N/C"=Horo8250[[#This Row],[Tâche]],Horo8250[[#This Row],[Durée]],"")</f>
        <v/>
      </c>
      <c r="V5" s="58"/>
      <c r="W5" s="59" t="n">
        <f aca="false">IF(Horo8250[[#This Row],[O]]="o",Horo8250[[#This Row],[Durée]],".")</f>
        <v>0.500000000000001</v>
      </c>
      <c r="X5" s="60" t="n">
        <f aca="false">IF(Horo8250[[#This Row],[Début]]=0,"",Horo8250[[#This Row],[Fin]]-Horo8250[[#This Row],[Début]])</f>
        <v>0.0208333333333334</v>
      </c>
    </row>
    <row r="6" customFormat="false" ht="15" hidden="false" customHeight="false" outlineLevel="0" collapsed="false">
      <c r="A6" s="45" t="s">
        <v>31</v>
      </c>
      <c r="B6" s="46" t="n">
        <f aca="false">IF(Horo8250[[#This Row],[Jour]]="Lundi",$C$1+1, IF(Horo8250[[#This Row],[Jour]]="Mardi",$C$1+2, IF(Horo8250[[#This Row],[Jour]]="Mercredi",$C$1+3, IF(Horo8250[[#This Row],[Jour]]="Jeudi",$C$1+4, IF(Horo8250[[#This Row],[Jour]]="Vendredi",$C$1+5, IF(Horo8250[[#This Row],[Jour]]="Samedi",$C$1+6, IF(Horo8250[[#This Row],[Jour]]="Dimanche",$C$1, )))))))</f>
        <v>44425</v>
      </c>
      <c r="C6" s="47" t="s">
        <v>0</v>
      </c>
      <c r="D6" s="48" t="n">
        <v>0.385416666666667</v>
      </c>
      <c r="E6" s="48" t="n">
        <v>0.40625</v>
      </c>
      <c r="F6" s="49" t="s">
        <v>37</v>
      </c>
      <c r="G6" s="49" t="s">
        <v>19</v>
      </c>
      <c r="H6" s="50" t="s">
        <v>33</v>
      </c>
      <c r="I6" s="61" t="s">
        <v>166</v>
      </c>
      <c r="J6" s="52" t="n">
        <f aca="false">IF(Horo8250[[#This Row],[Début]]=0,"",(Horo8250[[#This Row],[Durée (60)2]]-INT(Horo8250[[#This Row],[Durée (60)2]]))*24)</f>
        <v>0.5</v>
      </c>
      <c r="K6" s="62" t="n">
        <f aca="false">SUMIF(Horo8250[Jour],C6,Horo8250[Durée])</f>
        <v>8.75</v>
      </c>
      <c r="L6" s="54" t="n">
        <f aca="false">IFERROR(SUMIF(Horo8250[[#This Row],[Jour]],Horo8250[[#This Row],[Jour]],Horo8250[[#This Row],[GPF]]) / Horo8250[[#This Row],[hrs]],"")</f>
        <v>0.0571428571428571</v>
      </c>
      <c r="M6" s="56" t="n">
        <f aca="false">IF("GPF"=Horo8250[[#This Row],[Tâche]],Horo8250[[#This Row],[Durée]],"")</f>
        <v>0.5</v>
      </c>
      <c r="N6" s="56" t="str">
        <f aca="false">IF("RI"=Horo8250[[#This Row],[Tâche]],Horo8250[[#This Row],[Durée]],"")</f>
        <v/>
      </c>
      <c r="O6" s="56" t="str">
        <f aca="false">IF("GB"=Horo8250[[#This Row],[Tâche]],Horo8250[[#This Row],[Durée]],"")</f>
        <v/>
      </c>
      <c r="P6" s="56" t="str">
        <f aca="false">IF("RD"=Horo8250[[#This Row],[Tâche]],Horo8250[[#This Row],[Durée]],"")</f>
        <v/>
      </c>
      <c r="Q6" s="56" t="str">
        <f aca="false">IF("FG"=Horo8250[[#This Row],[Tâche]],Horo8250[[#This Row],[Durée]],"")</f>
        <v/>
      </c>
      <c r="R6" s="56" t="str">
        <f aca="false">IF("CONGÉ"=Horo8250[[#This Row],[Tâche]],Horo8250[[#This Row],[Durée]],"")</f>
        <v/>
      </c>
      <c r="S6" s="57" t="str">
        <f aca="false">IF("PS"=Horo8250[[#This Row],[Tâche]],Horo8250[[#This Row],[Durée]],"")</f>
        <v/>
      </c>
      <c r="T6" s="56" t="str">
        <f aca="false">IF("TD"=Horo8250[[#This Row],[Tâche]],Horo8250[[#This Row],[Durée]],"")</f>
        <v/>
      </c>
      <c r="U6" s="55" t="str">
        <f aca="false">IF("N/C"=Horo8250[[#This Row],[Tâche]],Horo8250[[#This Row],[Durée]],"")</f>
        <v/>
      </c>
      <c r="V6" s="58"/>
      <c r="W6" s="59" t="n">
        <f aca="false">IF(Horo8250[[#This Row],[O]]="o",Horo8250[[#This Row],[Durée]],".")</f>
        <v>0.5</v>
      </c>
      <c r="X6" s="60" t="n">
        <f aca="false">IF(Horo8250[[#This Row],[Début]]=0,"",Horo8250[[#This Row],[Fin]]-Horo8250[[#This Row],[Début]])</f>
        <v>0.0208333333333333</v>
      </c>
    </row>
    <row r="7" customFormat="false" ht="15" hidden="false" customHeight="false" outlineLevel="0" collapsed="false">
      <c r="A7" s="45" t="s">
        <v>31</v>
      </c>
      <c r="B7" s="46" t="n">
        <f aca="false">IF(Horo8250[[#This Row],[Jour]]="Lundi",$C$1+1, IF(Horo8250[[#This Row],[Jour]]="Mardi",$C$1+2, IF(Horo8250[[#This Row],[Jour]]="Mercredi",$C$1+3, IF(Horo8250[[#This Row],[Jour]]="Jeudi",$C$1+4, IF(Horo8250[[#This Row],[Jour]]="Vendredi",$C$1+5, IF(Horo8250[[#This Row],[Jour]]="Samedi",$C$1+6, IF(Horo8250[[#This Row],[Jour]]="Dimanche",$C$1, )))))))</f>
        <v>44425</v>
      </c>
      <c r="C7" s="47" t="s">
        <v>0</v>
      </c>
      <c r="D7" s="48" t="n">
        <v>0.40625</v>
      </c>
      <c r="E7" s="48" t="n">
        <v>0.427083333333333</v>
      </c>
      <c r="F7" s="49" t="s">
        <v>37</v>
      </c>
      <c r="G7" s="49" t="s">
        <v>19</v>
      </c>
      <c r="H7" s="50" t="s">
        <v>114</v>
      </c>
      <c r="I7" s="51" t="s">
        <v>167</v>
      </c>
      <c r="J7" s="52" t="n">
        <f aca="false">IF(Horo8250[[#This Row],[Début]]=0,"",(Horo8250[[#This Row],[Durée (60)2]]-INT(Horo8250[[#This Row],[Durée (60)2]]))*24)</f>
        <v>0.5</v>
      </c>
      <c r="K7" s="62" t="n">
        <f aca="false">SUMIF(Horo8250[Jour],C7,Horo8250[Durée])</f>
        <v>8.75</v>
      </c>
      <c r="L7" s="54" t="n">
        <f aca="false">IFERROR(SUMIF(Horo8250[[#This Row],[Jour]],Horo8250[[#This Row],[Jour]],Horo8250[[#This Row],[GPF]]) / Horo8250[[#This Row],[hrs]],"")</f>
        <v>0.0571428571428571</v>
      </c>
      <c r="M7" s="56" t="n">
        <f aca="false">IF("GPF"=Horo8250[[#This Row],[Tâche]],Horo8250[[#This Row],[Durée]],"")</f>
        <v>0.5</v>
      </c>
      <c r="N7" s="56" t="str">
        <f aca="false">IF("RI"=Horo8250[[#This Row],[Tâche]],Horo8250[[#This Row],[Durée]],"")</f>
        <v/>
      </c>
      <c r="O7" s="56" t="str">
        <f aca="false">IF("GB"=Horo8250[[#This Row],[Tâche]],Horo8250[[#This Row],[Durée]],"")</f>
        <v/>
      </c>
      <c r="P7" s="56" t="str">
        <f aca="false">IF("RD"=Horo8250[[#This Row],[Tâche]],Horo8250[[#This Row],[Durée]],"")</f>
        <v/>
      </c>
      <c r="Q7" s="56" t="str">
        <f aca="false">IF("FG"=Horo8250[[#This Row],[Tâche]],Horo8250[[#This Row],[Durée]],"")</f>
        <v/>
      </c>
      <c r="R7" s="56" t="str">
        <f aca="false">IF("CONGÉ"=Horo8250[[#This Row],[Tâche]],Horo8250[[#This Row],[Durée]],"")</f>
        <v/>
      </c>
      <c r="S7" s="57" t="str">
        <f aca="false">IF("PS"=Horo8250[[#This Row],[Tâche]],Horo8250[[#This Row],[Durée]],"")</f>
        <v/>
      </c>
      <c r="T7" s="56" t="str">
        <f aca="false">IF("TD"=Horo8250[[#This Row],[Tâche]],Horo8250[[#This Row],[Durée]],"")</f>
        <v/>
      </c>
      <c r="U7" s="55" t="str">
        <f aca="false">IF("N/C"=Horo8250[[#This Row],[Tâche]],Horo8250[[#This Row],[Durée]],"")</f>
        <v/>
      </c>
      <c r="V7" s="58"/>
      <c r="W7" s="59" t="n">
        <f aca="false">IF(Horo8250[[#This Row],[O]]="o",Horo8250[[#This Row],[Durée]],".")</f>
        <v>0.5</v>
      </c>
      <c r="X7" s="60" t="n">
        <f aca="false">IF(Horo8250[[#This Row],[Début]]=0,"",Horo8250[[#This Row],[Fin]]-Horo8250[[#This Row],[Début]])</f>
        <v>0.0208333333333333</v>
      </c>
    </row>
    <row r="8" customFormat="false" ht="15" hidden="false" customHeight="false" outlineLevel="0" collapsed="false">
      <c r="A8" s="45" t="s">
        <v>31</v>
      </c>
      <c r="B8" s="46" t="n">
        <f aca="false">IF(Horo8250[[#This Row],[Jour]]="Lundi",$C$1+1, IF(Horo8250[[#This Row],[Jour]]="Mardi",$C$1+2, IF(Horo8250[[#This Row],[Jour]]="Mercredi",$C$1+3, IF(Horo8250[[#This Row],[Jour]]="Jeudi",$C$1+4, IF(Horo8250[[#This Row],[Jour]]="Vendredi",$C$1+5, IF(Horo8250[[#This Row],[Jour]]="Samedi",$C$1+6, IF(Horo8250[[#This Row],[Jour]]="Dimanche",$C$1, )))))))</f>
        <v>44425</v>
      </c>
      <c r="C8" s="47" t="s">
        <v>0</v>
      </c>
      <c r="D8" s="48" t="n">
        <v>0.5</v>
      </c>
      <c r="E8" s="48" t="n">
        <v>0.510416666666667</v>
      </c>
      <c r="F8" s="49" t="s">
        <v>37</v>
      </c>
      <c r="G8" s="49" t="s">
        <v>19</v>
      </c>
      <c r="H8" s="50" t="s">
        <v>114</v>
      </c>
      <c r="I8" s="61" t="s">
        <v>168</v>
      </c>
      <c r="J8" s="52" t="n">
        <f aca="false">IF(Horo8250[[#This Row],[Début]]=0,"",(Horo8250[[#This Row],[Durée (60)2]]-INT(Horo8250[[#This Row],[Durée (60)2]]))*24)</f>
        <v>0.249999999999999</v>
      </c>
      <c r="K8" s="62" t="n">
        <f aca="false">SUMIF(Horo8250[Jour],C8,Horo8250[Durée])</f>
        <v>8.75</v>
      </c>
      <c r="L8" s="54" t="n">
        <f aca="false">IFERROR(SUMIF(Horo8250[[#This Row],[Jour]],Horo8250[[#This Row],[Jour]],Horo8250[[#This Row],[GPF]]) / Horo8250[[#This Row],[hrs]],"")</f>
        <v>0.0285714285714285</v>
      </c>
      <c r="M8" s="56" t="n">
        <f aca="false">IF("GPF"=Horo8250[[#This Row],[Tâche]],Horo8250[[#This Row],[Durée]],"")</f>
        <v>0.249999999999999</v>
      </c>
      <c r="N8" s="56" t="str">
        <f aca="false">IF("RI"=Horo8250[[#This Row],[Tâche]],Horo8250[[#This Row],[Durée]],"")</f>
        <v/>
      </c>
      <c r="O8" s="56" t="str">
        <f aca="false">IF("GB"=Horo8250[[#This Row],[Tâche]],Horo8250[[#This Row],[Durée]],"")</f>
        <v/>
      </c>
      <c r="P8" s="56" t="str">
        <f aca="false">IF("RD"=Horo8250[[#This Row],[Tâche]],Horo8250[[#This Row],[Durée]],"")</f>
        <v/>
      </c>
      <c r="Q8" s="56" t="str">
        <f aca="false">IF("FG"=Horo8250[[#This Row],[Tâche]],Horo8250[[#This Row],[Durée]],"")</f>
        <v/>
      </c>
      <c r="R8" s="56" t="str">
        <f aca="false">IF("CONGÉ"=Horo8250[[#This Row],[Tâche]],Horo8250[[#This Row],[Durée]],"")</f>
        <v/>
      </c>
      <c r="S8" s="57" t="str">
        <f aca="false">IF("PS"=Horo8250[[#This Row],[Tâche]],Horo8250[[#This Row],[Durée]],"")</f>
        <v/>
      </c>
      <c r="T8" s="56" t="str">
        <f aca="false">IF("TD"=Horo8250[[#This Row],[Tâche]],Horo8250[[#This Row],[Durée]],"")</f>
        <v/>
      </c>
      <c r="U8" s="55" t="str">
        <f aca="false">IF("N/C"=Horo8250[[#This Row],[Tâche]],Horo8250[[#This Row],[Durée]],"")</f>
        <v/>
      </c>
      <c r="V8" s="58"/>
      <c r="W8" s="59" t="n">
        <f aca="false">IF(Horo8250[[#This Row],[O]]="o",Horo8250[[#This Row],[Durée]],".")</f>
        <v>0.249999999999999</v>
      </c>
      <c r="X8" s="60" t="n">
        <f aca="false">IF(Horo8250[[#This Row],[Début]]=0,"",Horo8250[[#This Row],[Fin]]-Horo8250[[#This Row],[Début]])</f>
        <v>0.0104166666666666</v>
      </c>
    </row>
    <row r="9" customFormat="false" ht="15" hidden="false" customHeight="false" outlineLevel="0" collapsed="false">
      <c r="A9" s="45" t="s">
        <v>31</v>
      </c>
      <c r="B9" s="46" t="n">
        <f aca="false">IF(Horo8250[[#This Row],[Jour]]="Lundi",$C$1+1, IF(Horo8250[[#This Row],[Jour]]="Mardi",$C$1+2, IF(Horo8250[[#This Row],[Jour]]="Mercredi",$C$1+3, IF(Horo8250[[#This Row],[Jour]]="Jeudi",$C$1+4, IF(Horo8250[[#This Row],[Jour]]="Vendredi",$C$1+5, IF(Horo8250[[#This Row],[Jour]]="Samedi",$C$1+6, IF(Horo8250[[#This Row],[Jour]]="Dimanche",$C$1, )))))))</f>
        <v>44425</v>
      </c>
      <c r="C9" s="47" t="s">
        <v>0</v>
      </c>
      <c r="D9" s="48" t="n">
        <v>0.510416666666667</v>
      </c>
      <c r="E9" s="48" t="n">
        <v>0.520833333333333</v>
      </c>
      <c r="F9" s="49" t="s">
        <v>37</v>
      </c>
      <c r="G9" s="49" t="s">
        <v>19</v>
      </c>
      <c r="H9" s="50" t="s">
        <v>114</v>
      </c>
      <c r="I9" s="61"/>
      <c r="J9" s="52" t="n">
        <f aca="false">IF(Horo8250[[#This Row],[Début]]=0,"",(Horo8250[[#This Row],[Durée (60)2]]-INT(Horo8250[[#This Row],[Durée (60)2]]))*24)</f>
        <v>0.250000000000002</v>
      </c>
      <c r="K9" s="62" t="n">
        <f aca="false">SUMIF(Horo8250[Jour],C9,Horo8250[Durée])</f>
        <v>8.75</v>
      </c>
      <c r="L9" s="54" t="n">
        <f aca="false">IFERROR(SUMIF(Horo8250[[#This Row],[Jour]],Horo8250[[#This Row],[Jour]],Horo8250[[#This Row],[GPF]]) / Horo8250[[#This Row],[hrs]],"")</f>
        <v>0.0285714285714288</v>
      </c>
      <c r="M9" s="56" t="n">
        <f aca="false">IF("GPF"=Horo8250[[#This Row],[Tâche]],Horo8250[[#This Row],[Durée]],"")</f>
        <v>0.250000000000002</v>
      </c>
      <c r="N9" s="56" t="str">
        <f aca="false">IF("RI"=Horo8250[[#This Row],[Tâche]],Horo8250[[#This Row],[Durée]],"")</f>
        <v/>
      </c>
      <c r="O9" s="56" t="str">
        <f aca="false">IF("GB"=Horo8250[[#This Row],[Tâche]],Horo8250[[#This Row],[Durée]],"")</f>
        <v/>
      </c>
      <c r="P9" s="56" t="str">
        <f aca="false">IF("RD"=Horo8250[[#This Row],[Tâche]],Horo8250[[#This Row],[Durée]],"")</f>
        <v/>
      </c>
      <c r="Q9" s="56" t="str">
        <f aca="false">IF("FG"=Horo8250[[#This Row],[Tâche]],Horo8250[[#This Row],[Durée]],"")</f>
        <v/>
      </c>
      <c r="R9" s="56" t="str">
        <f aca="false">IF("CONGÉ"=Horo8250[[#This Row],[Tâche]],Horo8250[[#This Row],[Durée]],"")</f>
        <v/>
      </c>
      <c r="S9" s="57" t="str">
        <f aca="false">IF("PS"=Horo8250[[#This Row],[Tâche]],Horo8250[[#This Row],[Durée]],"")</f>
        <v/>
      </c>
      <c r="T9" s="56" t="str">
        <f aca="false">IF("TD"=Horo8250[[#This Row],[Tâche]],Horo8250[[#This Row],[Durée]],"")</f>
        <v/>
      </c>
      <c r="U9" s="55" t="str">
        <f aca="false">IF("N/C"=Horo8250[[#This Row],[Tâche]],Horo8250[[#This Row],[Durée]],"")</f>
        <v/>
      </c>
      <c r="V9" s="58"/>
      <c r="W9" s="59" t="n">
        <f aca="false">IF(Horo8250[[#This Row],[O]]="o",Horo8250[[#This Row],[Durée]],".")</f>
        <v>0.250000000000002</v>
      </c>
      <c r="X9" s="60" t="n">
        <f aca="false">IF(Horo8250[[#This Row],[Début]]=0,"",Horo8250[[#This Row],[Fin]]-Horo8250[[#This Row],[Début]])</f>
        <v>0.0104166666666667</v>
      </c>
    </row>
    <row r="10" customFormat="false" ht="15" hidden="false" customHeight="false" outlineLevel="0" collapsed="false">
      <c r="A10" s="45" t="s">
        <v>31</v>
      </c>
      <c r="B10" s="46" t="n">
        <f aca="false">IF(Horo8250[[#This Row],[Jour]]="Lundi",$C$1+1, IF(Horo8250[[#This Row],[Jour]]="Mardi",$C$1+2, IF(Horo8250[[#This Row],[Jour]]="Mercredi",$C$1+3, IF(Horo8250[[#This Row],[Jour]]="Jeudi",$C$1+4, IF(Horo8250[[#This Row],[Jour]]="Vendredi",$C$1+5, IF(Horo8250[[#This Row],[Jour]]="Samedi",$C$1+6, IF(Horo8250[[#This Row],[Jour]]="Dimanche",$C$1, )))))))</f>
        <v>44425</v>
      </c>
      <c r="C10" s="47" t="s">
        <v>0</v>
      </c>
      <c r="D10" s="48" t="n">
        <v>0.552083333333333</v>
      </c>
      <c r="E10" s="48" t="n">
        <v>0.625</v>
      </c>
      <c r="F10" s="49" t="s">
        <v>37</v>
      </c>
      <c r="G10" s="49" t="s">
        <v>19</v>
      </c>
      <c r="H10" s="50" t="s">
        <v>114</v>
      </c>
      <c r="I10" s="61"/>
      <c r="J10" s="52" t="n">
        <f aca="false">IF(Horo8250[[#This Row],[Début]]=0,"",(Horo8250[[#This Row],[Durée (60)2]]-INT(Horo8250[[#This Row],[Durée (60)2]]))*24)</f>
        <v>1.75</v>
      </c>
      <c r="K10" s="62" t="n">
        <f aca="false">SUMIF(Horo8250[Jour],C10,Horo8250[Durée])</f>
        <v>8.75</v>
      </c>
      <c r="L10" s="54" t="n">
        <f aca="false">IFERROR(SUMIF(Horo8250[[#This Row],[Jour]],Horo8250[[#This Row],[Jour]],Horo8250[[#This Row],[GPF]]) / Horo8250[[#This Row],[hrs]],"")</f>
        <v>0.2</v>
      </c>
      <c r="M10" s="56" t="n">
        <f aca="false">IF("GPF"=Horo8250[[#This Row],[Tâche]],Horo8250[[#This Row],[Durée]],"")</f>
        <v>1.75</v>
      </c>
      <c r="N10" s="56" t="str">
        <f aca="false">IF("RI"=Horo8250[[#This Row],[Tâche]],Horo8250[[#This Row],[Durée]],"")</f>
        <v/>
      </c>
      <c r="O10" s="56" t="str">
        <f aca="false">IF("GB"=Horo8250[[#This Row],[Tâche]],Horo8250[[#This Row],[Durée]],"")</f>
        <v/>
      </c>
      <c r="P10" s="56" t="str">
        <f aca="false">IF("RD"=Horo8250[[#This Row],[Tâche]],Horo8250[[#This Row],[Durée]],"")</f>
        <v/>
      </c>
      <c r="Q10" s="56" t="str">
        <f aca="false">IF("FG"=Horo8250[[#This Row],[Tâche]],Horo8250[[#This Row],[Durée]],"")</f>
        <v/>
      </c>
      <c r="R10" s="56" t="str">
        <f aca="false">IF("CONGÉ"=Horo8250[[#This Row],[Tâche]],Horo8250[[#This Row],[Durée]],"")</f>
        <v/>
      </c>
      <c r="S10" s="57" t="str">
        <f aca="false">IF("PS"=Horo8250[[#This Row],[Tâche]],Horo8250[[#This Row],[Durée]],"")</f>
        <v/>
      </c>
      <c r="T10" s="56" t="str">
        <f aca="false">IF("TD"=Horo8250[[#This Row],[Tâche]],Horo8250[[#This Row],[Durée]],"")</f>
        <v/>
      </c>
      <c r="U10" s="55" t="str">
        <f aca="false">IF("N/C"=Horo8250[[#This Row],[Tâche]],Horo8250[[#This Row],[Durée]],"")</f>
        <v/>
      </c>
      <c r="V10" s="58"/>
      <c r="W10" s="59" t="n">
        <f aca="false">IF(Horo8250[[#This Row],[O]]="o",Horo8250[[#This Row],[Durée]],".")</f>
        <v>1.75</v>
      </c>
      <c r="X10" s="60" t="n">
        <f aca="false">IF(Horo8250[[#This Row],[Début]]=0,"",Horo8250[[#This Row],[Fin]]-Horo8250[[#This Row],[Début]])</f>
        <v>0.0729166666666666</v>
      </c>
    </row>
    <row r="11" customFormat="false" ht="15" hidden="false" customHeight="false" outlineLevel="0" collapsed="false">
      <c r="A11" s="45" t="s">
        <v>31</v>
      </c>
      <c r="B11" s="46" t="n">
        <f aca="false">IF(Horo8250[[#This Row],[Jour]]="Lundi",$C$1+1, IF(Horo8250[[#This Row],[Jour]]="Mardi",$C$1+2, IF(Horo8250[[#This Row],[Jour]]="Mercredi",$C$1+3, IF(Horo8250[[#This Row],[Jour]]="Jeudi",$C$1+4, IF(Horo8250[[#This Row],[Jour]]="Vendredi",$C$1+5, IF(Horo8250[[#This Row],[Jour]]="Samedi",$C$1+6, IF(Horo8250[[#This Row],[Jour]]="Dimanche",$C$1, )))))))</f>
        <v>44425</v>
      </c>
      <c r="C11" s="47" t="s">
        <v>0</v>
      </c>
      <c r="D11" s="48" t="n">
        <v>0.625</v>
      </c>
      <c r="E11" s="48" t="n">
        <v>0.645833333333333</v>
      </c>
      <c r="F11" s="49" t="s">
        <v>75</v>
      </c>
      <c r="G11" s="49" t="s">
        <v>19</v>
      </c>
      <c r="H11" s="50" t="s">
        <v>114</v>
      </c>
      <c r="I11" s="61" t="s">
        <v>169</v>
      </c>
      <c r="J11" s="52" t="n">
        <f aca="false">IF(Horo8250[[#This Row],[Début]]=0,"",(Horo8250[[#This Row],[Durée (60)2]]-INT(Horo8250[[#This Row],[Durée (60)2]]))*24)</f>
        <v>0.500000000000001</v>
      </c>
      <c r="K11" s="62" t="n">
        <f aca="false">SUMIF(Horo8250[Jour],C11,Horo8250[Durée])</f>
        <v>8.75</v>
      </c>
      <c r="L11" s="54" t="n">
        <f aca="false">IFERROR(SUMIF(Horo8250[[#This Row],[Jour]],Horo8250[[#This Row],[Jour]],Horo8250[[#This Row],[GPF]]) / Horo8250[[#This Row],[hrs]],"")</f>
        <v>0.0571428571428572</v>
      </c>
      <c r="M11" s="56" t="n">
        <f aca="false">IF("GPF"=Horo8250[[#This Row],[Tâche]],Horo8250[[#This Row],[Durée]],"")</f>
        <v>0.500000000000001</v>
      </c>
      <c r="N11" s="56" t="str">
        <f aca="false">IF("RI"=Horo8250[[#This Row],[Tâche]],Horo8250[[#This Row],[Durée]],"")</f>
        <v/>
      </c>
      <c r="O11" s="56" t="str">
        <f aca="false">IF("GB"=Horo8250[[#This Row],[Tâche]],Horo8250[[#This Row],[Durée]],"")</f>
        <v/>
      </c>
      <c r="P11" s="56" t="str">
        <f aca="false">IF("RD"=Horo8250[[#This Row],[Tâche]],Horo8250[[#This Row],[Durée]],"")</f>
        <v/>
      </c>
      <c r="Q11" s="56" t="str">
        <f aca="false">IF("FG"=Horo8250[[#This Row],[Tâche]],Horo8250[[#This Row],[Durée]],"")</f>
        <v/>
      </c>
      <c r="R11" s="56" t="str">
        <f aca="false">IF("CONGÉ"=Horo8250[[#This Row],[Tâche]],Horo8250[[#This Row],[Durée]],"")</f>
        <v/>
      </c>
      <c r="S11" s="57" t="str">
        <f aca="false">IF("PS"=Horo8250[[#This Row],[Tâche]],Horo8250[[#This Row],[Durée]],"")</f>
        <v/>
      </c>
      <c r="T11" s="56" t="str">
        <f aca="false">IF("TD"=Horo8250[[#This Row],[Tâche]],Horo8250[[#This Row],[Durée]],"")</f>
        <v/>
      </c>
      <c r="U11" s="55" t="str">
        <f aca="false">IF("N/C"=Horo8250[[#This Row],[Tâche]],Horo8250[[#This Row],[Durée]],"")</f>
        <v/>
      </c>
      <c r="V11" s="58"/>
      <c r="W11" s="59" t="n">
        <f aca="false">IF(Horo8250[[#This Row],[O]]="o",Horo8250[[#This Row],[Durée]],".")</f>
        <v>0.500000000000001</v>
      </c>
      <c r="X11" s="60" t="n">
        <f aca="false">IF(Horo8250[[#This Row],[Début]]=0,"",Horo8250[[#This Row],[Fin]]-Horo8250[[#This Row],[Début]])</f>
        <v>0.0208333333333334</v>
      </c>
    </row>
    <row r="12" customFormat="false" ht="15" hidden="false" customHeight="false" outlineLevel="0" collapsed="false">
      <c r="A12" s="45" t="s">
        <v>31</v>
      </c>
      <c r="B12" s="46" t="n">
        <f aca="false">IF(Horo8250[[#This Row],[Jour]]="Lundi",$C$1+1, IF(Horo8250[[#This Row],[Jour]]="Mardi",$C$1+2, IF(Horo8250[[#This Row],[Jour]]="Mercredi",$C$1+3, IF(Horo8250[[#This Row],[Jour]]="Jeudi",$C$1+4, IF(Horo8250[[#This Row],[Jour]]="Vendredi",$C$1+5, IF(Horo8250[[#This Row],[Jour]]="Samedi",$C$1+6, IF(Horo8250[[#This Row],[Jour]]="Dimanche",$C$1, )))))))</f>
        <v>44425</v>
      </c>
      <c r="C12" s="47" t="s">
        <v>0</v>
      </c>
      <c r="D12" s="48" t="n">
        <v>0.645833333333333</v>
      </c>
      <c r="E12" s="48" t="n">
        <v>0.75</v>
      </c>
      <c r="F12" s="49" t="s">
        <v>32</v>
      </c>
      <c r="G12" s="49" t="s">
        <v>23</v>
      </c>
      <c r="H12" s="50" t="s">
        <v>109</v>
      </c>
      <c r="I12" s="61"/>
      <c r="J12" s="52" t="n">
        <f aca="false">IF(Horo8250[[#This Row],[Début]]=0,"",(Horo8250[[#This Row],[Durée (60)2]]-INT(Horo8250[[#This Row],[Durée (60)2]]))*24)</f>
        <v>2.5</v>
      </c>
      <c r="K12" s="62" t="n">
        <f aca="false">SUMIF(Horo8250[Jour],C12,Horo8250[Durée])</f>
        <v>8.75</v>
      </c>
      <c r="L12" s="54" t="n">
        <f aca="false">IFERROR(SUMIF(Horo8250[[#This Row],[Jour]],Horo8250[[#This Row],[Jour]],Horo8250[[#This Row],[GPF]]) / Horo8250[[#This Row],[hrs]],"")</f>
        <v>0</v>
      </c>
      <c r="M12" s="56" t="str">
        <f aca="false">IF("GPF"=Horo8250[[#This Row],[Tâche]],Horo8250[[#This Row],[Durée]],"")</f>
        <v/>
      </c>
      <c r="N12" s="56" t="str">
        <f aca="false">IF("RI"=Horo8250[[#This Row],[Tâche]],Horo8250[[#This Row],[Durée]],"")</f>
        <v/>
      </c>
      <c r="O12" s="56" t="str">
        <f aca="false">IF("GB"=Horo8250[[#This Row],[Tâche]],Horo8250[[#This Row],[Durée]],"")</f>
        <v/>
      </c>
      <c r="P12" s="56" t="str">
        <f aca="false">IF("RD"=Horo8250[[#This Row],[Tâche]],Horo8250[[#This Row],[Durée]],"")</f>
        <v/>
      </c>
      <c r="Q12" s="63" t="n">
        <f aca="false">IF("FG"=Horo8250[[#This Row],[Tâche]],Horo8250[[#This Row],[Durée]],"")</f>
        <v>2.5</v>
      </c>
      <c r="R12" s="56" t="str">
        <f aca="false">IF("CONGÉ"=Horo8250[[#This Row],[Tâche]],Horo8250[[#This Row],[Durée]],"")</f>
        <v/>
      </c>
      <c r="S12" s="57" t="str">
        <f aca="false">IF("PS"=Horo8250[[#This Row],[Tâche]],Horo8250[[#This Row],[Durée]],"")</f>
        <v/>
      </c>
      <c r="T12" s="56" t="str">
        <f aca="false">IF("TD"=Horo8250[[#This Row],[Tâche]],Horo8250[[#This Row],[Durée]],"")</f>
        <v/>
      </c>
      <c r="U12" s="55" t="str">
        <f aca="false">IF("N/C"=Horo8250[[#This Row],[Tâche]],Horo8250[[#This Row],[Durée]],"")</f>
        <v/>
      </c>
      <c r="V12" s="58"/>
      <c r="W12" s="59" t="n">
        <f aca="false">IF(Horo8250[[#This Row],[O]]="o",Horo8250[[#This Row],[Durée]],".")</f>
        <v>2.5</v>
      </c>
      <c r="X12" s="60" t="n">
        <f aca="false">IF(Horo8250[[#This Row],[Début]]=0,"",Horo8250[[#This Row],[Fin]]-Horo8250[[#This Row],[Début]])</f>
        <v>0.104166666666667</v>
      </c>
    </row>
    <row r="13" customFormat="false" ht="15" hidden="false" customHeight="false" outlineLevel="0" collapsed="false">
      <c r="A13" s="45" t="s">
        <v>31</v>
      </c>
      <c r="B13" s="46" t="n">
        <f aca="false">IF(Horo8250[[#This Row],[Jour]]="Lundi",$C$1+1, IF(Horo8250[[#This Row],[Jour]]="Mardi",$C$1+2, IF(Horo8250[[#This Row],[Jour]]="Mercredi",$C$1+3, IF(Horo8250[[#This Row],[Jour]]="Jeudi",$C$1+4, IF(Horo8250[[#This Row],[Jour]]="Vendredi",$C$1+5, IF(Horo8250[[#This Row],[Jour]]="Samedi",$C$1+6, IF(Horo8250[[#This Row],[Jour]]="Dimanche",$C$1, )))))))</f>
        <v>44425</v>
      </c>
      <c r="C13" s="47" t="s">
        <v>0</v>
      </c>
      <c r="D13" s="48" t="n">
        <v>0.75</v>
      </c>
      <c r="E13" s="48" t="n">
        <v>0.770833333333333</v>
      </c>
      <c r="F13" s="49" t="s">
        <v>75</v>
      </c>
      <c r="G13" s="49" t="s">
        <v>19</v>
      </c>
      <c r="H13" s="50" t="s">
        <v>114</v>
      </c>
      <c r="I13" s="61" t="s">
        <v>170</v>
      </c>
      <c r="J13" s="52" t="n">
        <f aca="false">IF(Horo8250[[#This Row],[Début]]=0,"",(Horo8250[[#This Row],[Durée (60)2]]-INT(Horo8250[[#This Row],[Durée (60)2]]))*24)</f>
        <v>0.500000000000001</v>
      </c>
      <c r="K13" s="62" t="n">
        <f aca="false">SUMIF(Horo8250[Jour],C13,Horo8250[Durée])</f>
        <v>8.75</v>
      </c>
      <c r="L13" s="54" t="n">
        <f aca="false">IFERROR(SUMIF(Horo8250[[#This Row],[Jour]],Horo8250[[#This Row],[Jour]],Horo8250[[#This Row],[GPF]]) / Horo8250[[#This Row],[hrs]],"")</f>
        <v>0.0571428571428572</v>
      </c>
      <c r="M13" s="56" t="n">
        <f aca="false">IF("GPF"=Horo8250[[#This Row],[Tâche]],Horo8250[[#This Row],[Durée]],"")</f>
        <v>0.500000000000001</v>
      </c>
      <c r="N13" s="56" t="str">
        <f aca="false">IF("RI"=Horo8250[[#This Row],[Tâche]],Horo8250[[#This Row],[Durée]],"")</f>
        <v/>
      </c>
      <c r="O13" s="56" t="str">
        <f aca="false">IF("GB"=Horo8250[[#This Row],[Tâche]],Horo8250[[#This Row],[Durée]],"")</f>
        <v/>
      </c>
      <c r="P13" s="56" t="str">
        <f aca="false">IF("RD"=Horo8250[[#This Row],[Tâche]],Horo8250[[#This Row],[Durée]],"")</f>
        <v/>
      </c>
      <c r="Q13" s="56" t="str">
        <f aca="false">IF("FG"=Horo8250[[#This Row],[Tâche]],Horo8250[[#This Row],[Durée]],"")</f>
        <v/>
      </c>
      <c r="R13" s="56" t="str">
        <f aca="false">IF("CONGÉ"=Horo8250[[#This Row],[Tâche]],Horo8250[[#This Row],[Durée]],"")</f>
        <v/>
      </c>
      <c r="S13" s="57" t="str">
        <f aca="false">IF("PS"=Horo8250[[#This Row],[Tâche]],Horo8250[[#This Row],[Durée]],"")</f>
        <v/>
      </c>
      <c r="T13" s="56" t="str">
        <f aca="false">IF("TD"=Horo8250[[#This Row],[Tâche]],Horo8250[[#This Row],[Durée]],"")</f>
        <v/>
      </c>
      <c r="U13" s="55" t="str">
        <f aca="false">IF("N/C"=Horo8250[[#This Row],[Tâche]],Horo8250[[#This Row],[Durée]],"")</f>
        <v/>
      </c>
      <c r="V13" s="58"/>
      <c r="W13" s="59" t="n">
        <f aca="false">IF(Horo8250[[#This Row],[O]]="o",Horo8250[[#This Row],[Durée]],".")</f>
        <v>0.500000000000001</v>
      </c>
      <c r="X13" s="60" t="n">
        <f aca="false">IF(Horo8250[[#This Row],[Début]]=0,"",Horo8250[[#This Row],[Fin]]-Horo8250[[#This Row],[Début]])</f>
        <v>0.0208333333333334</v>
      </c>
    </row>
    <row r="14" customFormat="false" ht="15" hidden="false" customHeight="false" outlineLevel="0" collapsed="false">
      <c r="A14" s="45" t="s">
        <v>31</v>
      </c>
      <c r="B14" s="46" t="n">
        <f aca="false">IF(Horo8250[[#This Row],[Jour]]="Lundi",$C$1+1, IF(Horo8250[[#This Row],[Jour]]="Mardi",$C$1+2, IF(Horo8250[[#This Row],[Jour]]="Mercredi",$C$1+3, IF(Horo8250[[#This Row],[Jour]]="Jeudi",$C$1+4, IF(Horo8250[[#This Row],[Jour]]="Vendredi",$C$1+5, IF(Horo8250[[#This Row],[Jour]]="Samedi",$C$1+6, IF(Horo8250[[#This Row],[Jour]]="Dimanche",$C$1, )))))))</f>
        <v>44426</v>
      </c>
      <c r="C14" s="47" t="s">
        <v>1</v>
      </c>
      <c r="D14" s="48" t="n">
        <v>0.333333333333333</v>
      </c>
      <c r="E14" s="48" t="n">
        <v>0.385416666666667</v>
      </c>
      <c r="F14" s="49" t="s">
        <v>32</v>
      </c>
      <c r="G14" s="49" t="s">
        <v>21</v>
      </c>
      <c r="H14" s="50" t="s">
        <v>33</v>
      </c>
      <c r="I14" s="51"/>
      <c r="J14" s="52" t="n">
        <f aca="false">IF(Horo8250[[#This Row],[Début]]=0,"",(Horo8250[[#This Row],[Durée (60)2]]-INT(Horo8250[[#This Row],[Durée (60)2]]))*24)</f>
        <v>1.25</v>
      </c>
      <c r="K14" s="62" t="n">
        <f aca="false">SUMIF(Horo8250[Jour],C14,Horo8250[Durée])</f>
        <v>8.5</v>
      </c>
      <c r="L14" s="54" t="n">
        <f aca="false">IFERROR(SUMIF(Horo8250[[#This Row],[Jour]],Horo8250[[#This Row],[Jour]],Horo8250[[#This Row],[GPF]]) / Horo8250[[#This Row],[hrs]],"")</f>
        <v>0</v>
      </c>
      <c r="M14" s="56" t="str">
        <f aca="false">IF("GPF"=Horo8250[[#This Row],[Tâche]],Horo8250[[#This Row],[Durée]],"")</f>
        <v/>
      </c>
      <c r="N14" s="56" t="str">
        <f aca="false">IF("RI"=Horo8250[[#This Row],[Tâche]],Horo8250[[#This Row],[Durée]],"")</f>
        <v/>
      </c>
      <c r="O14" s="56" t="n">
        <f aca="false">IF("GB"=Horo8250[[#This Row],[Tâche]],Horo8250[[#This Row],[Durée]],"")</f>
        <v>1.25</v>
      </c>
      <c r="P14" s="56" t="str">
        <f aca="false">IF("RD"=Horo8250[[#This Row],[Tâche]],Horo8250[[#This Row],[Durée]],"")</f>
        <v/>
      </c>
      <c r="Q14" s="56" t="str">
        <f aca="false">IF("FG"=Horo8250[[#This Row],[Tâche]],Horo8250[[#This Row],[Durée]],"")</f>
        <v/>
      </c>
      <c r="R14" s="56" t="str">
        <f aca="false">IF("CONGÉ"=Horo8250[[#This Row],[Tâche]],Horo8250[[#This Row],[Durée]],"")</f>
        <v/>
      </c>
      <c r="S14" s="57" t="str">
        <f aca="false">IF("PS"=Horo8250[[#This Row],[Tâche]],Horo8250[[#This Row],[Durée]],"")</f>
        <v/>
      </c>
      <c r="T14" s="56" t="str">
        <f aca="false">IF("TD"=Horo8250[[#This Row],[Tâche]],Horo8250[[#This Row],[Durée]],"")</f>
        <v/>
      </c>
      <c r="U14" s="55" t="str">
        <f aca="false">IF("N/C"=Horo8250[[#This Row],[Tâche]],Horo8250[[#This Row],[Durée]],"")</f>
        <v/>
      </c>
      <c r="V14" s="58"/>
      <c r="W14" s="59" t="n">
        <f aca="false">IF(Horo8250[[#This Row],[O]]="o",Horo8250[[#This Row],[Durée]],".")</f>
        <v>1.25</v>
      </c>
      <c r="X14" s="60" t="n">
        <f aca="false">IF(Horo8250[[#This Row],[Début]]=0,"",Horo8250[[#This Row],[Fin]]-Horo8250[[#This Row],[Début]])</f>
        <v>0.0520833333333334</v>
      </c>
    </row>
    <row r="15" customFormat="false" ht="15" hidden="false" customHeight="false" outlineLevel="0" collapsed="false">
      <c r="A15" s="45" t="s">
        <v>31</v>
      </c>
      <c r="B15" s="46" t="n">
        <f aca="false">IF(Horo8250[[#This Row],[Jour]]="Lundi",$C$1+1, IF(Horo8250[[#This Row],[Jour]]="Mardi",$C$1+2, IF(Horo8250[[#This Row],[Jour]]="Mercredi",$C$1+3, IF(Horo8250[[#This Row],[Jour]]="Jeudi",$C$1+4, IF(Horo8250[[#This Row],[Jour]]="Vendredi",$C$1+5, IF(Horo8250[[#This Row],[Jour]]="Samedi",$C$1+6, IF(Horo8250[[#This Row],[Jour]]="Dimanche",$C$1, )))))))</f>
        <v>44426</v>
      </c>
      <c r="C15" s="47" t="s">
        <v>1</v>
      </c>
      <c r="D15" s="48" t="n">
        <v>0.385416666666667</v>
      </c>
      <c r="E15" s="48" t="n">
        <v>0.4375</v>
      </c>
      <c r="F15" s="49" t="s">
        <v>32</v>
      </c>
      <c r="G15" s="49" t="s">
        <v>22</v>
      </c>
      <c r="H15" s="50" t="s">
        <v>53</v>
      </c>
      <c r="I15" s="61"/>
      <c r="J15" s="52" t="n">
        <f aca="false">IF(Horo8250[[#This Row],[Début]]=0,"",(Horo8250[[#This Row],[Durée (60)2]]-INT(Horo8250[[#This Row],[Durée (60)2]]))*24)</f>
        <v>1.25</v>
      </c>
      <c r="K15" s="62" t="n">
        <f aca="false">SUMIF(Horo8250[Jour],C15,Horo8250[Durée])</f>
        <v>8.5</v>
      </c>
      <c r="L15" s="54" t="n">
        <f aca="false">IFERROR(SUMIF(Horo8250[[#This Row],[Jour]],Horo8250[[#This Row],[Jour]],Horo8250[[#This Row],[GPF]]) / Horo8250[[#This Row],[hrs]],"")</f>
        <v>0</v>
      </c>
      <c r="M15" s="56" t="str">
        <f aca="false">IF("GPF"=Horo8250[[#This Row],[Tâche]],Horo8250[[#This Row],[Durée]],"")</f>
        <v/>
      </c>
      <c r="N15" s="56" t="str">
        <f aca="false">IF("RI"=Horo8250[[#This Row],[Tâche]],Horo8250[[#This Row],[Durée]],"")</f>
        <v/>
      </c>
      <c r="O15" s="56" t="str">
        <f aca="false">IF("GB"=Horo8250[[#This Row],[Tâche]],Horo8250[[#This Row],[Durée]],"")</f>
        <v/>
      </c>
      <c r="P15" s="63" t="n">
        <f aca="false">IF("RD"=Horo8250[[#This Row],[Tâche]],Horo8250[[#This Row],[Durée]],"")</f>
        <v>1.25</v>
      </c>
      <c r="Q15" s="56" t="str">
        <f aca="false">IF("FG"=Horo8250[[#This Row],[Tâche]],Horo8250[[#This Row],[Durée]],"")</f>
        <v/>
      </c>
      <c r="R15" s="56" t="str">
        <f aca="false">IF("CONGÉ"=Horo8250[[#This Row],[Tâche]],Horo8250[[#This Row],[Durée]],"")</f>
        <v/>
      </c>
      <c r="S15" s="57" t="str">
        <f aca="false">IF("PS"=Horo8250[[#This Row],[Tâche]],Horo8250[[#This Row],[Durée]],"")</f>
        <v/>
      </c>
      <c r="T15" s="56" t="str">
        <f aca="false">IF("TD"=Horo8250[[#This Row],[Tâche]],Horo8250[[#This Row],[Durée]],"")</f>
        <v/>
      </c>
      <c r="U15" s="55" t="str">
        <f aca="false">IF("N/C"=Horo8250[[#This Row],[Tâche]],Horo8250[[#This Row],[Durée]],"")</f>
        <v/>
      </c>
      <c r="V15" s="58"/>
      <c r="W15" s="59" t="n">
        <f aca="false">IF(Horo8250[[#This Row],[O]]="o",Horo8250[[#This Row],[Durée]],".")</f>
        <v>1.25</v>
      </c>
      <c r="X15" s="60" t="n">
        <f aca="false">IF(Horo8250[[#This Row],[Début]]=0,"",Horo8250[[#This Row],[Fin]]-Horo8250[[#This Row],[Début]])</f>
        <v>0.0520833333333333</v>
      </c>
    </row>
    <row r="16" customFormat="false" ht="15" hidden="false" customHeight="false" outlineLevel="0" collapsed="false">
      <c r="A16" s="45" t="s">
        <v>31</v>
      </c>
      <c r="B16" s="46" t="n">
        <f aca="false">IF(Horo8250[[#This Row],[Jour]]="Lundi",$C$1+1, IF(Horo8250[[#This Row],[Jour]]="Mardi",$C$1+2, IF(Horo8250[[#This Row],[Jour]]="Mercredi",$C$1+3, IF(Horo8250[[#This Row],[Jour]]="Jeudi",$C$1+4, IF(Horo8250[[#This Row],[Jour]]="Vendredi",$C$1+5, IF(Horo8250[[#This Row],[Jour]]="Samedi",$C$1+6, IF(Horo8250[[#This Row],[Jour]]="Dimanche",$C$1, )))))))</f>
        <v>44426</v>
      </c>
      <c r="C16" s="47" t="s">
        <v>1</v>
      </c>
      <c r="D16" s="48" t="n">
        <v>0.4375</v>
      </c>
      <c r="E16" s="48" t="n">
        <v>0.5</v>
      </c>
      <c r="F16" s="49" t="s">
        <v>32</v>
      </c>
      <c r="G16" s="49" t="s">
        <v>22</v>
      </c>
      <c r="H16" s="50" t="s">
        <v>109</v>
      </c>
      <c r="I16" s="61" t="s">
        <v>171</v>
      </c>
      <c r="J16" s="52" t="n">
        <f aca="false">IF(Horo8250[[#This Row],[Début]]=0,"",(Horo8250[[#This Row],[Durée (60)2]]-INT(Horo8250[[#This Row],[Durée (60)2]]))*24)</f>
        <v>1.5</v>
      </c>
      <c r="K16" s="62" t="n">
        <f aca="false">SUMIF(Horo8250[Jour],C16,Horo8250[Durée])</f>
        <v>8.5</v>
      </c>
      <c r="L16" s="54" t="n">
        <f aca="false">IFERROR(SUMIF(Horo8250[[#This Row],[Jour]],Horo8250[[#This Row],[Jour]],Horo8250[[#This Row],[GPF]]) / Horo8250[[#This Row],[hrs]],"")</f>
        <v>0</v>
      </c>
      <c r="M16" s="56" t="str">
        <f aca="false">IF("GPF"=Horo8250[[#This Row],[Tâche]],Horo8250[[#This Row],[Durée]],"")</f>
        <v/>
      </c>
      <c r="N16" s="56" t="str">
        <f aca="false">IF("RI"=Horo8250[[#This Row],[Tâche]],Horo8250[[#This Row],[Durée]],"")</f>
        <v/>
      </c>
      <c r="O16" s="56" t="str">
        <f aca="false">IF("GB"=Horo8250[[#This Row],[Tâche]],Horo8250[[#This Row],[Durée]],"")</f>
        <v/>
      </c>
      <c r="P16" s="63" t="n">
        <f aca="false">IF("RD"=Horo8250[[#This Row],[Tâche]],Horo8250[[#This Row],[Durée]],"")</f>
        <v>1.5</v>
      </c>
      <c r="Q16" s="56" t="str">
        <f aca="false">IF("FG"=Horo8250[[#This Row],[Tâche]],Horo8250[[#This Row],[Durée]],"")</f>
        <v/>
      </c>
      <c r="R16" s="56" t="str">
        <f aca="false">IF("CONGÉ"=Horo8250[[#This Row],[Tâche]],Horo8250[[#This Row],[Durée]],"")</f>
        <v/>
      </c>
      <c r="S16" s="57" t="str">
        <f aca="false">IF("PS"=Horo8250[[#This Row],[Tâche]],Horo8250[[#This Row],[Durée]],"")</f>
        <v/>
      </c>
      <c r="T16" s="56" t="str">
        <f aca="false">IF("TD"=Horo8250[[#This Row],[Tâche]],Horo8250[[#This Row],[Durée]],"")</f>
        <v/>
      </c>
      <c r="U16" s="55" t="str">
        <f aca="false">IF("N/C"=Horo8250[[#This Row],[Tâche]],Horo8250[[#This Row],[Durée]],"")</f>
        <v/>
      </c>
      <c r="V16" s="58"/>
      <c r="W16" s="59" t="n">
        <f aca="false">IF(Horo8250[[#This Row],[O]]="o",Horo8250[[#This Row],[Durée]],".")</f>
        <v>1.5</v>
      </c>
      <c r="X16" s="60" t="n">
        <f aca="false">IF(Horo8250[[#This Row],[Début]]=0,"",Horo8250[[#This Row],[Fin]]-Horo8250[[#This Row],[Début]])</f>
        <v>0.0625</v>
      </c>
    </row>
    <row r="17" customFormat="false" ht="15" hidden="false" customHeight="false" outlineLevel="0" collapsed="false">
      <c r="A17" s="45" t="s">
        <v>31</v>
      </c>
      <c r="B17" s="46" t="n">
        <f aca="false">IF(Horo8250[[#This Row],[Jour]]="Lundi",$C$1+1, IF(Horo8250[[#This Row],[Jour]]="Mardi",$C$1+2, IF(Horo8250[[#This Row],[Jour]]="Mercredi",$C$1+3, IF(Horo8250[[#This Row],[Jour]]="Jeudi",$C$1+4, IF(Horo8250[[#This Row],[Jour]]="Vendredi",$C$1+5, IF(Horo8250[[#This Row],[Jour]]="Samedi",$C$1+6, IF(Horo8250[[#This Row],[Jour]]="Dimanche",$C$1, )))))))</f>
        <v>44426</v>
      </c>
      <c r="C17" s="47" t="s">
        <v>1</v>
      </c>
      <c r="D17" s="48" t="n">
        <v>0.5625</v>
      </c>
      <c r="E17" s="48" t="n">
        <v>0.6875</v>
      </c>
      <c r="F17" s="49" t="s">
        <v>75</v>
      </c>
      <c r="G17" s="49" t="s">
        <v>27</v>
      </c>
      <c r="H17" s="50" t="s">
        <v>35</v>
      </c>
      <c r="I17" s="61" t="s">
        <v>172</v>
      </c>
      <c r="J17" s="52" t="n">
        <f aca="false">IF(Horo8250[[#This Row],[Début]]=0,"",(Horo8250[[#This Row],[Durée (60)2]]-INT(Horo8250[[#This Row],[Durée (60)2]]))*24)</f>
        <v>3</v>
      </c>
      <c r="K17" s="62" t="n">
        <f aca="false">SUMIF(Horo8250[Jour],C17,Horo8250[Durée])</f>
        <v>8.5</v>
      </c>
      <c r="L17" s="54" t="n">
        <f aca="false">IFERROR(SUMIF(Horo8250[[#This Row],[Jour]],Horo8250[[#This Row],[Jour]],Horo8250[[#This Row],[GPF]]) / Horo8250[[#This Row],[hrs]],"")</f>
        <v>0</v>
      </c>
      <c r="M17" s="56" t="str">
        <f aca="false">IF("GPF"=Horo8250[[#This Row],[Tâche]],Horo8250[[#This Row],[Durée]],"")</f>
        <v/>
      </c>
      <c r="N17" s="56" t="str">
        <f aca="false">IF("RI"=Horo8250[[#This Row],[Tâche]],Horo8250[[#This Row],[Durée]],"")</f>
        <v/>
      </c>
      <c r="O17" s="56" t="str">
        <f aca="false">IF("GB"=Horo8250[[#This Row],[Tâche]],Horo8250[[#This Row],[Durée]],"")</f>
        <v/>
      </c>
      <c r="P17" s="56" t="str">
        <f aca="false">IF("RD"=Horo8250[[#This Row],[Tâche]],Horo8250[[#This Row],[Durée]],"")</f>
        <v/>
      </c>
      <c r="Q17" s="103" t="str">
        <f aca="false">IF("FG"=Horo8250[[#This Row],[Tâche]],Horo8250[[#This Row],[Durée]],"")</f>
        <v/>
      </c>
      <c r="R17" s="56" t="str">
        <f aca="false">IF("CONGÉ"=Horo8250[[#This Row],[Tâche]],Horo8250[[#This Row],[Durée]],"")</f>
        <v/>
      </c>
      <c r="S17" s="57" t="str">
        <f aca="false">IF("PS"=Horo8250[[#This Row],[Tâche]],Horo8250[[#This Row],[Durée]],"")</f>
        <v/>
      </c>
      <c r="T17" s="56" t="str">
        <f aca="false">IF("TD"=Horo8250[[#This Row],[Tâche]],Horo8250[[#This Row],[Durée]],"")</f>
        <v/>
      </c>
      <c r="U17" s="55" t="n">
        <f aca="false">IF("N/C"=Horo8250[[#This Row],[Tâche]],Horo8250[[#This Row],[Durée]],"")</f>
        <v>3</v>
      </c>
      <c r="V17" s="58"/>
      <c r="W17" s="59" t="n">
        <f aca="false">IF(Horo8250[[#This Row],[O]]="o",Horo8250[[#This Row],[Durée]],".")</f>
        <v>3</v>
      </c>
      <c r="X17" s="60" t="n">
        <f aca="false">IF(Horo8250[[#This Row],[Début]]=0,"",Horo8250[[#This Row],[Fin]]-Horo8250[[#This Row],[Début]])</f>
        <v>0.125</v>
      </c>
    </row>
    <row r="18" customFormat="false" ht="15" hidden="false" customHeight="false" outlineLevel="0" collapsed="false">
      <c r="A18" s="45" t="s">
        <v>31</v>
      </c>
      <c r="B18" s="46" t="n">
        <f aca="false">IF(Horo8250[[#This Row],[Jour]]="Lundi",$C$1+1, IF(Horo8250[[#This Row],[Jour]]="Mardi",$C$1+2, IF(Horo8250[[#This Row],[Jour]]="Mercredi",$C$1+3, IF(Horo8250[[#This Row],[Jour]]="Jeudi",$C$1+4, IF(Horo8250[[#This Row],[Jour]]="Vendredi",$C$1+5, IF(Horo8250[[#This Row],[Jour]]="Samedi",$C$1+6, IF(Horo8250[[#This Row],[Jour]]="Dimanche",$C$1, )))))))</f>
        <v>44426</v>
      </c>
      <c r="C18" s="47" t="s">
        <v>1</v>
      </c>
      <c r="D18" s="48" t="n">
        <v>0.6875</v>
      </c>
      <c r="E18" s="48" t="n">
        <v>0.708333333333333</v>
      </c>
      <c r="F18" s="49" t="s">
        <v>67</v>
      </c>
      <c r="G18" s="49" t="s">
        <v>19</v>
      </c>
      <c r="H18" s="50" t="s">
        <v>114</v>
      </c>
      <c r="I18" s="61" t="s">
        <v>173</v>
      </c>
      <c r="J18" s="52" t="n">
        <f aca="false">IF(Horo8250[[#This Row],[Début]]=0,"",(Horo8250[[#This Row],[Durée (60)2]]-INT(Horo8250[[#This Row],[Durée (60)2]]))*24)</f>
        <v>0.500000000000001</v>
      </c>
      <c r="K18" s="62" t="n">
        <f aca="false">SUMIF(Horo8250[Jour],C18,Horo8250[Durée])</f>
        <v>8.5</v>
      </c>
      <c r="L18" s="54" t="n">
        <f aca="false">IFERROR(SUMIF(Horo8250[[#This Row],[Jour]],Horo8250[[#This Row],[Jour]],Horo8250[[#This Row],[GPF]]) / Horo8250[[#This Row],[hrs]],"")</f>
        <v>0.0588235294117648</v>
      </c>
      <c r="M18" s="56" t="n">
        <f aca="false">IF("GPF"=Horo8250[[#This Row],[Tâche]],Horo8250[[#This Row],[Durée]],"")</f>
        <v>0.500000000000001</v>
      </c>
      <c r="N18" s="56" t="str">
        <f aca="false">IF("RI"=Horo8250[[#This Row],[Tâche]],Horo8250[[#This Row],[Durée]],"")</f>
        <v/>
      </c>
      <c r="O18" s="56" t="str">
        <f aca="false">IF("GB"=Horo8250[[#This Row],[Tâche]],Horo8250[[#This Row],[Durée]],"")</f>
        <v/>
      </c>
      <c r="P18" s="56" t="str">
        <f aca="false">IF("RD"=Horo8250[[#This Row],[Tâche]],Horo8250[[#This Row],[Durée]],"")</f>
        <v/>
      </c>
      <c r="Q18" s="56" t="str">
        <f aca="false">IF("FG"=Horo8250[[#This Row],[Tâche]],Horo8250[[#This Row],[Durée]],"")</f>
        <v/>
      </c>
      <c r="R18" s="56" t="str">
        <f aca="false">IF("CONGÉ"=Horo8250[[#This Row],[Tâche]],Horo8250[[#This Row],[Durée]],"")</f>
        <v/>
      </c>
      <c r="S18" s="57" t="str">
        <f aca="false">IF("PS"=Horo8250[[#This Row],[Tâche]],Horo8250[[#This Row],[Durée]],"")</f>
        <v/>
      </c>
      <c r="T18" s="56" t="str">
        <f aca="false">IF("TD"=Horo8250[[#This Row],[Tâche]],Horo8250[[#This Row],[Durée]],"")</f>
        <v/>
      </c>
      <c r="U18" s="55" t="str">
        <f aca="false">IF("N/C"=Horo8250[[#This Row],[Tâche]],Horo8250[[#This Row],[Durée]],"")</f>
        <v/>
      </c>
      <c r="V18" s="58"/>
      <c r="W18" s="59" t="n">
        <f aca="false">IF(Horo8250[[#This Row],[O]]="o",Horo8250[[#This Row],[Durée]],".")</f>
        <v>0.500000000000001</v>
      </c>
      <c r="X18" s="60" t="n">
        <f aca="false">IF(Horo8250[[#This Row],[Début]]=0,"",Horo8250[[#This Row],[Fin]]-Horo8250[[#This Row],[Début]])</f>
        <v>0.0208333333333334</v>
      </c>
    </row>
    <row r="19" customFormat="false" ht="15" hidden="false" customHeight="false" outlineLevel="0" collapsed="false">
      <c r="A19" s="45" t="s">
        <v>31</v>
      </c>
      <c r="B19" s="46" t="n">
        <f aca="false">IF(Horo8250[[#This Row],[Jour]]="Lundi",$C$1+1, IF(Horo8250[[#This Row],[Jour]]="Mardi",$C$1+2, IF(Horo8250[[#This Row],[Jour]]="Mercredi",$C$1+3, IF(Horo8250[[#This Row],[Jour]]="Jeudi",$C$1+4, IF(Horo8250[[#This Row],[Jour]]="Vendredi",$C$1+5, IF(Horo8250[[#This Row],[Jour]]="Samedi",$C$1+6, IF(Horo8250[[#This Row],[Jour]]="Dimanche",$C$1, )))))))</f>
        <v>44426</v>
      </c>
      <c r="C19" s="47" t="s">
        <v>1</v>
      </c>
      <c r="D19" s="48" t="n">
        <v>0.708333333333333</v>
      </c>
      <c r="E19" s="48" t="n">
        <v>0.75</v>
      </c>
      <c r="F19" s="49" t="s">
        <v>59</v>
      </c>
      <c r="G19" s="49" t="s">
        <v>19</v>
      </c>
      <c r="H19" s="50" t="s">
        <v>105</v>
      </c>
      <c r="I19" s="61" t="s">
        <v>174</v>
      </c>
      <c r="J19" s="52" t="n">
        <f aca="false">IF(Horo8250[[#This Row],[Début]]=0,"",(Horo8250[[#This Row],[Durée (60)2]]-INT(Horo8250[[#This Row],[Durée (60)2]]))*24)</f>
        <v>0.999999999999999</v>
      </c>
      <c r="K19" s="62" t="n">
        <f aca="false">SUMIF(Horo8250[Jour],C19,Horo8250[Durée])</f>
        <v>8.5</v>
      </c>
      <c r="L19" s="54" t="n">
        <f aca="false">IFERROR(SUMIF(Horo8250[[#This Row],[Jour]],Horo8250[[#This Row],[Jour]],Horo8250[[#This Row],[GPF]]) / Horo8250[[#This Row],[hrs]],"")</f>
        <v>0.117647058823529</v>
      </c>
      <c r="M19" s="56" t="n">
        <f aca="false">IF("GPF"=Horo8250[[#This Row],[Tâche]],Horo8250[[#This Row],[Durée]],"")</f>
        <v>0.999999999999999</v>
      </c>
      <c r="N19" s="56" t="str">
        <f aca="false">IF("RI"=Horo8250[[#This Row],[Tâche]],Horo8250[[#This Row],[Durée]],"")</f>
        <v/>
      </c>
      <c r="O19" s="56" t="str">
        <f aca="false">IF("GB"=Horo8250[[#This Row],[Tâche]],Horo8250[[#This Row],[Durée]],"")</f>
        <v/>
      </c>
      <c r="P19" s="56" t="str">
        <f aca="false">IF("RD"=Horo8250[[#This Row],[Tâche]],Horo8250[[#This Row],[Durée]],"")</f>
        <v/>
      </c>
      <c r="Q19" s="56" t="str">
        <f aca="false">IF("FG"=Horo8250[[#This Row],[Tâche]],Horo8250[[#This Row],[Durée]],"")</f>
        <v/>
      </c>
      <c r="R19" s="56" t="str">
        <f aca="false">IF("CONGÉ"=Horo8250[[#This Row],[Tâche]],Horo8250[[#This Row],[Durée]],"")</f>
        <v/>
      </c>
      <c r="S19" s="57" t="str">
        <f aca="false">IF("PS"=Horo8250[[#This Row],[Tâche]],Horo8250[[#This Row],[Durée]],"")</f>
        <v/>
      </c>
      <c r="T19" s="56" t="str">
        <f aca="false">IF("TD"=Horo8250[[#This Row],[Tâche]],Horo8250[[#This Row],[Durée]],"")</f>
        <v/>
      </c>
      <c r="U19" s="55" t="str">
        <f aca="false">IF("N/C"=Horo8250[[#This Row],[Tâche]],Horo8250[[#This Row],[Durée]],"")</f>
        <v/>
      </c>
      <c r="V19" s="58"/>
      <c r="W19" s="59" t="n">
        <f aca="false">IF(Horo8250[[#This Row],[O]]="o",Horo8250[[#This Row],[Durée]],".")</f>
        <v>0.999999999999999</v>
      </c>
      <c r="X19" s="60" t="n">
        <f aca="false">IF(Horo8250[[#This Row],[Début]]=0,"",Horo8250[[#This Row],[Fin]]-Horo8250[[#This Row],[Début]])</f>
        <v>0.0416666666666666</v>
      </c>
    </row>
    <row r="20" customFormat="false" ht="15" hidden="false" customHeight="false" outlineLevel="0" collapsed="false">
      <c r="A20" s="45" t="s">
        <v>31</v>
      </c>
      <c r="B20" s="46" t="n">
        <f aca="false">IF(Horo8250[[#This Row],[Jour]]="Lundi",$C$1+1, IF(Horo8250[[#This Row],[Jour]]="Mardi",$C$1+2, IF(Horo8250[[#This Row],[Jour]]="Mercredi",$C$1+3, IF(Horo8250[[#This Row],[Jour]]="Jeudi",$C$1+4, IF(Horo8250[[#This Row],[Jour]]="Vendredi",$C$1+5, IF(Horo8250[[#This Row],[Jour]]="Samedi",$C$1+6, IF(Horo8250[[#This Row],[Jour]]="Dimanche",$C$1, )))))))</f>
        <v>44427</v>
      </c>
      <c r="C20" s="47" t="s">
        <v>2</v>
      </c>
      <c r="D20" s="48" t="n">
        <v>0.3125</v>
      </c>
      <c r="E20" s="48" t="n">
        <v>0.354166666666667</v>
      </c>
      <c r="F20" s="49" t="s">
        <v>32</v>
      </c>
      <c r="G20" s="49" t="s">
        <v>21</v>
      </c>
      <c r="H20" s="50" t="s">
        <v>33</v>
      </c>
      <c r="I20" s="51"/>
      <c r="J20" s="52" t="n">
        <f aca="false">IF(Horo8250[[#This Row],[Début]]=0,"",(Horo8250[[#This Row],[Durée (60)2]]-INT(Horo8250[[#This Row],[Durée (60)2]]))*24)</f>
        <v>1</v>
      </c>
      <c r="K20" s="62" t="n">
        <f aca="false">SUMIF(Horo8250[Jour],C20,Horo8250[Durée])</f>
        <v>8.5</v>
      </c>
      <c r="L20" s="54" t="n">
        <f aca="false">IFERROR(SUMIF(Horo8250[[#This Row],[Jour]],Horo8250[[#This Row],[Jour]],Horo8250[[#This Row],[GPF]]) / Horo8250[[#This Row],[hrs]],"")</f>
        <v>0</v>
      </c>
      <c r="M20" s="56" t="str">
        <f aca="false">IF("GPF"=Horo8250[[#This Row],[Tâche]],Horo8250[[#This Row],[Durée]],"")</f>
        <v/>
      </c>
      <c r="N20" s="56" t="str">
        <f aca="false">IF("RI"=Horo8250[[#This Row],[Tâche]],Horo8250[[#This Row],[Durée]],"")</f>
        <v/>
      </c>
      <c r="O20" s="56" t="n">
        <f aca="false">IF("GB"=Horo8250[[#This Row],[Tâche]],Horo8250[[#This Row],[Durée]],"")</f>
        <v>1</v>
      </c>
      <c r="P20" s="56" t="str">
        <f aca="false">IF("RD"=Horo8250[[#This Row],[Tâche]],Horo8250[[#This Row],[Durée]],"")</f>
        <v/>
      </c>
      <c r="Q20" s="56" t="str">
        <f aca="false">IF("FG"=Horo8250[[#This Row],[Tâche]],Horo8250[[#This Row],[Durée]],"")</f>
        <v/>
      </c>
      <c r="R20" s="56" t="str">
        <f aca="false">IF("CONGÉ"=Horo8250[[#This Row],[Tâche]],Horo8250[[#This Row],[Durée]],"")</f>
        <v/>
      </c>
      <c r="S20" s="56" t="str">
        <f aca="false">IF("PS"=Horo8250[[#This Row],[Tâche]],Horo8250[[#This Row],[Durée]],"")</f>
        <v/>
      </c>
      <c r="T20" s="56" t="str">
        <f aca="false">IF("TD"=Horo8250[[#This Row],[Tâche]],Horo8250[[#This Row],[Durée]],"")</f>
        <v/>
      </c>
      <c r="U20" s="56" t="str">
        <f aca="false">IF("N/C"=Horo8250[[#This Row],[Tâche]],Horo8250[[#This Row],[Durée]],"")</f>
        <v/>
      </c>
      <c r="V20" s="58"/>
      <c r="W20" s="59" t="n">
        <f aca="false">IF(Horo8250[[#This Row],[O]]="o",Horo8250[[#This Row],[Durée]],".")</f>
        <v>1</v>
      </c>
      <c r="X20" s="64" t="n">
        <f aca="false">IF(Horo8250[[#This Row],[Début]]=0,"",Horo8250[[#This Row],[Fin]]-Horo8250[[#This Row],[Début]])</f>
        <v>0.0416666666666667</v>
      </c>
    </row>
    <row r="21" customFormat="false" ht="15" hidden="false" customHeight="false" outlineLevel="0" collapsed="false">
      <c r="A21" s="45" t="s">
        <v>31</v>
      </c>
      <c r="B21" s="46" t="n">
        <f aca="false">IF(Horo8250[[#This Row],[Jour]]="Lundi",$C$1+1, IF(Horo8250[[#This Row],[Jour]]="Mardi",$C$1+2, IF(Horo8250[[#This Row],[Jour]]="Mercredi",$C$1+3, IF(Horo8250[[#This Row],[Jour]]="Jeudi",$C$1+4, IF(Horo8250[[#This Row],[Jour]]="Vendredi",$C$1+5, IF(Horo8250[[#This Row],[Jour]]="Samedi",$C$1+6, IF(Horo8250[[#This Row],[Jour]]="Dimanche",$C$1, )))))))</f>
        <v>44427</v>
      </c>
      <c r="C21" s="47" t="s">
        <v>2</v>
      </c>
      <c r="D21" s="48" t="n">
        <v>0.354166666666667</v>
      </c>
      <c r="E21" s="48" t="n">
        <v>0.375</v>
      </c>
      <c r="F21" s="49" t="s">
        <v>59</v>
      </c>
      <c r="G21" s="49" t="s">
        <v>22</v>
      </c>
      <c r="H21" s="50" t="s">
        <v>53</v>
      </c>
      <c r="I21" s="61" t="s">
        <v>175</v>
      </c>
      <c r="J21" s="52" t="n">
        <f aca="false">IF(Horo8250[[#This Row],[Début]]=0,"",(Horo8250[[#This Row],[Durée (60)2]]-INT(Horo8250[[#This Row],[Durée (60)2]]))*24)</f>
        <v>0.5</v>
      </c>
      <c r="K21" s="62" t="n">
        <f aca="false">SUMIF(Horo8250[Jour],C21,Horo8250[Durée])</f>
        <v>8.5</v>
      </c>
      <c r="L21" s="54" t="n">
        <f aca="false">IFERROR(SUMIF(Horo8250[[#This Row],[Jour]],Horo8250[[#This Row],[Jour]],Horo8250[[#This Row],[GPF]]) / Horo8250[[#This Row],[hrs]],"")</f>
        <v>0</v>
      </c>
      <c r="M21" s="56" t="str">
        <f aca="false">IF("GPF"=Horo8250[[#This Row],[Tâche]],Horo8250[[#This Row],[Durée]],"")</f>
        <v/>
      </c>
      <c r="N21" s="56" t="str">
        <f aca="false">IF("RI"=Horo8250[[#This Row],[Tâche]],Horo8250[[#This Row],[Durée]],"")</f>
        <v/>
      </c>
      <c r="O21" s="56" t="str">
        <f aca="false">IF("GB"=Horo8250[[#This Row],[Tâche]],Horo8250[[#This Row],[Durée]],"")</f>
        <v/>
      </c>
      <c r="P21" s="63" t="n">
        <f aca="false">IF("RD"=Horo8250[[#This Row],[Tâche]],Horo8250[[#This Row],[Durée]],"")</f>
        <v>0.5</v>
      </c>
      <c r="Q21" s="56" t="str">
        <f aca="false">IF("FG"=Horo8250[[#This Row],[Tâche]],Horo8250[[#This Row],[Durée]],"")</f>
        <v/>
      </c>
      <c r="R21" s="56" t="str">
        <f aca="false">IF("CONGÉ"=Horo8250[[#This Row],[Tâche]],Horo8250[[#This Row],[Durée]],"")</f>
        <v/>
      </c>
      <c r="S21" s="57" t="str">
        <f aca="false">IF("PS"=Horo8250[[#This Row],[Tâche]],Horo8250[[#This Row],[Durée]],"")</f>
        <v/>
      </c>
      <c r="T21" s="56" t="str">
        <f aca="false">IF("TD"=Horo8250[[#This Row],[Tâche]],Horo8250[[#This Row],[Durée]],"")</f>
        <v/>
      </c>
      <c r="U21" s="55" t="str">
        <f aca="false">IF("N/C"=Horo8250[[#This Row],[Tâche]],Horo8250[[#This Row],[Durée]],"")</f>
        <v/>
      </c>
      <c r="V21" s="58"/>
      <c r="W21" s="59" t="n">
        <f aca="false">IF(Horo8250[[#This Row],[O]]="o",Horo8250[[#This Row],[Durée]],".")</f>
        <v>0.5</v>
      </c>
      <c r="X21" s="60" t="n">
        <f aca="false">IF(Horo8250[[#This Row],[Début]]=0,"",Horo8250[[#This Row],[Fin]]-Horo8250[[#This Row],[Début]])</f>
        <v>0.0208333333333333</v>
      </c>
    </row>
    <row r="22" customFormat="false" ht="15" hidden="false" customHeight="false" outlineLevel="0" collapsed="false">
      <c r="A22" s="45" t="s">
        <v>31</v>
      </c>
      <c r="B22" s="46" t="n">
        <f aca="false">IF(Horo8250[[#This Row],[Jour]]="Lundi",$C$1+1, IF(Horo8250[[#This Row],[Jour]]="Mardi",$C$1+2, IF(Horo8250[[#This Row],[Jour]]="Mercredi",$C$1+3, IF(Horo8250[[#This Row],[Jour]]="Jeudi",$C$1+4, IF(Horo8250[[#This Row],[Jour]]="Vendredi",$C$1+5, IF(Horo8250[[#This Row],[Jour]]="Samedi",$C$1+6, IF(Horo8250[[#This Row],[Jour]]="Dimanche",$C$1, )))))))</f>
        <v>44427</v>
      </c>
      <c r="C22" s="47" t="s">
        <v>2</v>
      </c>
      <c r="D22" s="48" t="n">
        <v>0.375</v>
      </c>
      <c r="E22" s="48" t="n">
        <v>0.5</v>
      </c>
      <c r="F22" s="49" t="s">
        <v>32</v>
      </c>
      <c r="G22" s="49" t="s">
        <v>23</v>
      </c>
      <c r="H22" s="50" t="s">
        <v>109</v>
      </c>
      <c r="I22" s="61"/>
      <c r="J22" s="52" t="n">
        <f aca="false">IF(Horo8250[[#This Row],[Début]]=0,"",(Horo8250[[#This Row],[Durée (60)2]]-INT(Horo8250[[#This Row],[Durée (60)2]]))*24)</f>
        <v>3</v>
      </c>
      <c r="K22" s="62" t="n">
        <f aca="false">SUMIF(Horo8250[Jour],C22,Horo8250[Durée])</f>
        <v>8.5</v>
      </c>
      <c r="L22" s="54" t="n">
        <f aca="false">IFERROR(SUMIF(Horo8250[[#This Row],[Jour]],Horo8250[[#This Row],[Jour]],Horo8250[[#This Row],[GPF]]) / Horo8250[[#This Row],[hrs]],"")</f>
        <v>0</v>
      </c>
      <c r="M22" s="56" t="str">
        <f aca="false">IF("GPF"=Horo8250[[#This Row],[Tâche]],Horo8250[[#This Row],[Durée]],"")</f>
        <v/>
      </c>
      <c r="N22" s="56" t="str">
        <f aca="false">IF("RI"=Horo8250[[#This Row],[Tâche]],Horo8250[[#This Row],[Durée]],"")</f>
        <v/>
      </c>
      <c r="O22" s="56" t="str">
        <f aca="false">IF("GB"=Horo8250[[#This Row],[Tâche]],Horo8250[[#This Row],[Durée]],"")</f>
        <v/>
      </c>
      <c r="P22" s="56" t="str">
        <f aca="false">IF("RD"=Horo8250[[#This Row],[Tâche]],Horo8250[[#This Row],[Durée]],"")</f>
        <v/>
      </c>
      <c r="Q22" s="63" t="n">
        <f aca="false">IF("FG"=Horo8250[[#This Row],[Tâche]],Horo8250[[#This Row],[Durée]],"")</f>
        <v>3</v>
      </c>
      <c r="R22" s="56" t="str">
        <f aca="false">IF("CONGÉ"=Horo8250[[#This Row],[Tâche]],Horo8250[[#This Row],[Durée]],"")</f>
        <v/>
      </c>
      <c r="S22" s="57" t="str">
        <f aca="false">IF("PS"=Horo8250[[#This Row],[Tâche]],Horo8250[[#This Row],[Durée]],"")</f>
        <v/>
      </c>
      <c r="T22" s="56" t="str">
        <f aca="false">IF("TD"=Horo8250[[#This Row],[Tâche]],Horo8250[[#This Row],[Durée]],"")</f>
        <v/>
      </c>
      <c r="U22" s="55" t="str">
        <f aca="false">IF("N/C"=Horo8250[[#This Row],[Tâche]],Horo8250[[#This Row],[Durée]],"")</f>
        <v/>
      </c>
      <c r="V22" s="58"/>
      <c r="W22" s="59" t="n">
        <f aca="false">IF(Horo8250[[#This Row],[O]]="o",Horo8250[[#This Row],[Durée]],".")</f>
        <v>3</v>
      </c>
      <c r="X22" s="60" t="n">
        <f aca="false">IF(Horo8250[[#This Row],[Début]]=0,"",Horo8250[[#This Row],[Fin]]-Horo8250[[#This Row],[Début]])</f>
        <v>0.125</v>
      </c>
    </row>
    <row r="23" customFormat="false" ht="15" hidden="false" customHeight="false" outlineLevel="0" collapsed="false">
      <c r="A23" s="45" t="s">
        <v>31</v>
      </c>
      <c r="B23" s="46" t="n">
        <f aca="false">IF(Horo8250[[#This Row],[Jour]]="Lundi",$C$1+1, IF(Horo8250[[#This Row],[Jour]]="Mardi",$C$1+2, IF(Horo8250[[#This Row],[Jour]]="Mercredi",$C$1+3, IF(Horo8250[[#This Row],[Jour]]="Jeudi",$C$1+4, IF(Horo8250[[#This Row],[Jour]]="Vendredi",$C$1+5, IF(Horo8250[[#This Row],[Jour]]="Samedi",$C$1+6, IF(Horo8250[[#This Row],[Jour]]="Dimanche",$C$1, )))))))</f>
        <v>44427</v>
      </c>
      <c r="C23" s="47" t="s">
        <v>2</v>
      </c>
      <c r="D23" s="48" t="n">
        <v>0.5625</v>
      </c>
      <c r="E23" s="48" t="n">
        <v>0.729166666666667</v>
      </c>
      <c r="F23" s="49" t="s">
        <v>32</v>
      </c>
      <c r="G23" s="49" t="s">
        <v>22</v>
      </c>
      <c r="H23" s="50" t="s">
        <v>118</v>
      </c>
      <c r="I23" s="61"/>
      <c r="J23" s="52" t="n">
        <f aca="false">IF(Horo8250[[#This Row],[Début]]=0,"",(Horo8250[[#This Row],[Durée (60)2]]-INT(Horo8250[[#This Row],[Durée (60)2]]))*24)</f>
        <v>4</v>
      </c>
      <c r="K23" s="62" t="n">
        <f aca="false">SUMIF(Horo8250[Jour],C23,Horo8250[Durée])</f>
        <v>8.5</v>
      </c>
      <c r="L23" s="54" t="n">
        <f aca="false">IFERROR(SUMIF(Horo8250[[#This Row],[Jour]],Horo8250[[#This Row],[Jour]],Horo8250[[#This Row],[GPF]]) / Horo8250[[#This Row],[hrs]],"")</f>
        <v>0</v>
      </c>
      <c r="M23" s="56" t="str">
        <f aca="false">IF("GPF"=Horo8250[[#This Row],[Tâche]],Horo8250[[#This Row],[Durée]],"")</f>
        <v/>
      </c>
      <c r="N23" s="56" t="str">
        <f aca="false">IF("RI"=Horo8250[[#This Row],[Tâche]],Horo8250[[#This Row],[Durée]],"")</f>
        <v/>
      </c>
      <c r="O23" s="56" t="str">
        <f aca="false">IF("GB"=Horo8250[[#This Row],[Tâche]],Horo8250[[#This Row],[Durée]],"")</f>
        <v/>
      </c>
      <c r="P23" s="63" t="n">
        <f aca="false">IF("RD"=Horo8250[[#This Row],[Tâche]],Horo8250[[#This Row],[Durée]],"")</f>
        <v>4</v>
      </c>
      <c r="Q23" s="56" t="str">
        <f aca="false">IF("FG"=Horo8250[[#This Row],[Tâche]],Horo8250[[#This Row],[Durée]],"")</f>
        <v/>
      </c>
      <c r="R23" s="56" t="str">
        <f aca="false">IF("CONGÉ"=Horo8250[[#This Row],[Tâche]],Horo8250[[#This Row],[Durée]],"")</f>
        <v/>
      </c>
      <c r="S23" s="57" t="str">
        <f aca="false">IF("PS"=Horo8250[[#This Row],[Tâche]],Horo8250[[#This Row],[Durée]],"")</f>
        <v/>
      </c>
      <c r="T23" s="56" t="str">
        <f aca="false">IF("TD"=Horo8250[[#This Row],[Tâche]],Horo8250[[#This Row],[Durée]],"")</f>
        <v/>
      </c>
      <c r="U23" s="55" t="str">
        <f aca="false">IF("N/C"=Horo8250[[#This Row],[Tâche]],Horo8250[[#This Row],[Durée]],"")</f>
        <v/>
      </c>
      <c r="V23" s="58"/>
      <c r="W23" s="59" t="n">
        <f aca="false">IF(Horo8250[[#This Row],[O]]="o",Horo8250[[#This Row],[Durée]],".")</f>
        <v>4</v>
      </c>
      <c r="X23" s="60" t="n">
        <f aca="false">IF(Horo8250[[#This Row],[Début]]=0,"",Horo8250[[#This Row],[Fin]]-Horo8250[[#This Row],[Début]])</f>
        <v>0.166666666666667</v>
      </c>
    </row>
    <row r="24" customFormat="false" ht="15" hidden="false" customHeight="false" outlineLevel="0" collapsed="false">
      <c r="A24" s="45" t="s">
        <v>31</v>
      </c>
      <c r="B24" s="46" t="n">
        <f aca="false">IF(Horo8250[[#This Row],[Jour]]="Lundi",$C$1+1, IF(Horo8250[[#This Row],[Jour]]="Mardi",$C$1+2, IF(Horo8250[[#This Row],[Jour]]="Mercredi",$C$1+3, IF(Horo8250[[#This Row],[Jour]]="Jeudi",$C$1+4, IF(Horo8250[[#This Row],[Jour]]="Vendredi",$C$1+5, IF(Horo8250[[#This Row],[Jour]]="Samedi",$C$1+6, IF(Horo8250[[#This Row],[Jour]]="Dimanche",$C$1, )))))))</f>
        <v>44428</v>
      </c>
      <c r="C24" s="47" t="s">
        <v>3</v>
      </c>
      <c r="D24" s="48" t="n">
        <v>0.3125</v>
      </c>
      <c r="E24" s="48" t="n">
        <v>0.333333333333333</v>
      </c>
      <c r="F24" s="49" t="s">
        <v>32</v>
      </c>
      <c r="G24" s="49" t="s">
        <v>21</v>
      </c>
      <c r="H24" s="50" t="s">
        <v>33</v>
      </c>
      <c r="I24" s="51"/>
      <c r="J24" s="52" t="n">
        <f aca="false">IF(Horo8250[[#This Row],[Début]]=0,"",(Horo8250[[#This Row],[Durée (60)2]]-INT(Horo8250[[#This Row],[Durée (60)2]]))*24)</f>
        <v>0.5</v>
      </c>
      <c r="K24" s="62" t="n">
        <f aca="false">SUMIF(Horo8250[Jour],C24,Horo8250[Durée])</f>
        <v>7.75</v>
      </c>
      <c r="L24" s="54" t="n">
        <f aca="false">IFERROR(SUMIF(Horo8250[[#This Row],[Jour]],Horo8250[[#This Row],[Jour]],Horo8250[[#This Row],[GPF]]) / Horo8250[[#This Row],[hrs]],"")</f>
        <v>0</v>
      </c>
      <c r="M24" s="56" t="str">
        <f aca="false">IF("GPF"=Horo8250[[#This Row],[Tâche]],Horo8250[[#This Row],[Durée]],"")</f>
        <v/>
      </c>
      <c r="N24" s="56" t="str">
        <f aca="false">IF("RI"=Horo8250[[#This Row],[Tâche]],Horo8250[[#This Row],[Durée]],"")</f>
        <v/>
      </c>
      <c r="O24" s="56" t="n">
        <f aca="false">IF("GB"=Horo8250[[#This Row],[Tâche]],Horo8250[[#This Row],[Durée]],"")</f>
        <v>0.5</v>
      </c>
      <c r="P24" s="56" t="str">
        <f aca="false">IF("RD"=Horo8250[[#This Row],[Tâche]],Horo8250[[#This Row],[Durée]],"")</f>
        <v/>
      </c>
      <c r="Q24" s="56" t="str">
        <f aca="false">IF("FG"=Horo8250[[#This Row],[Tâche]],Horo8250[[#This Row],[Durée]],"")</f>
        <v/>
      </c>
      <c r="R24" s="56" t="str">
        <f aca="false">IF("CONGÉ"=Horo8250[[#This Row],[Tâche]],Horo8250[[#This Row],[Durée]],"")</f>
        <v/>
      </c>
      <c r="S24" s="56" t="str">
        <f aca="false">IF("PS"=Horo8250[[#This Row],[Tâche]],Horo8250[[#This Row],[Durée]],"")</f>
        <v/>
      </c>
      <c r="T24" s="56" t="str">
        <f aca="false">IF("TD"=Horo8250[[#This Row],[Tâche]],Horo8250[[#This Row],[Durée]],"")</f>
        <v/>
      </c>
      <c r="U24" s="56" t="str">
        <f aca="false">IF("N/C"=Horo8250[[#This Row],[Tâche]],Horo8250[[#This Row],[Durée]],"")</f>
        <v/>
      </c>
      <c r="V24" s="58"/>
      <c r="W24" s="59" t="n">
        <f aca="false">IF(Horo8250[[#This Row],[O]]="o",Horo8250[[#This Row],[Durée]],".")</f>
        <v>0.5</v>
      </c>
      <c r="X24" s="64" t="n">
        <f aca="false">IF(Horo8250[[#This Row],[Début]]=0,"",Horo8250[[#This Row],[Fin]]-Horo8250[[#This Row],[Début]])</f>
        <v>0.0208333333333333</v>
      </c>
    </row>
    <row r="25" customFormat="false" ht="15" hidden="false" customHeight="false" outlineLevel="0" collapsed="false">
      <c r="A25" s="45" t="s">
        <v>31</v>
      </c>
      <c r="B25" s="46" t="n">
        <f aca="false">IF(Horo8250[[#This Row],[Jour]]="Lundi",$C$1+1, IF(Horo8250[[#This Row],[Jour]]="Mardi",$C$1+2, IF(Horo8250[[#This Row],[Jour]]="Mercredi",$C$1+3, IF(Horo8250[[#This Row],[Jour]]="Jeudi",$C$1+4, IF(Horo8250[[#This Row],[Jour]]="Vendredi",$C$1+5, IF(Horo8250[[#This Row],[Jour]]="Samedi",$C$1+6, IF(Horo8250[[#This Row],[Jour]]="Dimanche",$C$1, )))))))</f>
        <v>44428</v>
      </c>
      <c r="C25" s="47" t="s">
        <v>3</v>
      </c>
      <c r="D25" s="48" t="n">
        <v>0.333333333333333</v>
      </c>
      <c r="E25" s="48" t="n">
        <v>0.416666666666667</v>
      </c>
      <c r="F25" s="49" t="s">
        <v>59</v>
      </c>
      <c r="G25" s="49" t="s">
        <v>22</v>
      </c>
      <c r="H25" s="50" t="s">
        <v>111</v>
      </c>
      <c r="I25" s="61" t="s">
        <v>175</v>
      </c>
      <c r="J25" s="52" t="n">
        <f aca="false">IF(Horo8250[[#This Row],[Début]]=0,"",(Horo8250[[#This Row],[Durée (60)2]]-INT(Horo8250[[#This Row],[Durée (60)2]]))*24)</f>
        <v>2</v>
      </c>
      <c r="K25" s="62" t="n">
        <f aca="false">SUMIF(Horo8250[Jour],C25,Horo8250[Durée])</f>
        <v>7.75</v>
      </c>
      <c r="L25" s="54" t="n">
        <f aca="false">IFERROR(SUMIF(Horo8250[[#This Row],[Jour]],Horo8250[[#This Row],[Jour]],Horo8250[[#This Row],[GPF]]) / Horo8250[[#This Row],[hrs]],"")</f>
        <v>0</v>
      </c>
      <c r="M25" s="56" t="str">
        <f aca="false">IF("GPF"=Horo8250[[#This Row],[Tâche]],Horo8250[[#This Row],[Durée]],"")</f>
        <v/>
      </c>
      <c r="N25" s="56" t="str">
        <f aca="false">IF("RI"=Horo8250[[#This Row],[Tâche]],Horo8250[[#This Row],[Durée]],"")</f>
        <v/>
      </c>
      <c r="O25" s="56" t="str">
        <f aca="false">IF("GB"=Horo8250[[#This Row],[Tâche]],Horo8250[[#This Row],[Durée]],"")</f>
        <v/>
      </c>
      <c r="P25" s="56" t="n">
        <f aca="false">IF("RD"=Horo8250[[#This Row],[Tâche]],Horo8250[[#This Row],[Durée]],"")</f>
        <v>2</v>
      </c>
      <c r="Q25" s="103" t="str">
        <f aca="false">IF("FG"=Horo8250[[#This Row],[Tâche]],Horo8250[[#This Row],[Durée]],"")</f>
        <v/>
      </c>
      <c r="R25" s="56" t="str">
        <f aca="false">IF("CONGÉ"=Horo8250[[#This Row],[Tâche]],Horo8250[[#This Row],[Durée]],"")</f>
        <v/>
      </c>
      <c r="S25" s="57" t="str">
        <f aca="false">IF("PS"=Horo8250[[#This Row],[Tâche]],Horo8250[[#This Row],[Durée]],"")</f>
        <v/>
      </c>
      <c r="T25" s="56" t="str">
        <f aca="false">IF("TD"=Horo8250[[#This Row],[Tâche]],Horo8250[[#This Row],[Durée]],"")</f>
        <v/>
      </c>
      <c r="U25" s="55" t="str">
        <f aca="false">IF("N/C"=Horo8250[[#This Row],[Tâche]],Horo8250[[#This Row],[Durée]],"")</f>
        <v/>
      </c>
      <c r="V25" s="58"/>
      <c r="W25" s="59" t="n">
        <f aca="false">IF(Horo8250[[#This Row],[O]]="o",Horo8250[[#This Row],[Durée]],".")</f>
        <v>2</v>
      </c>
      <c r="X25" s="60" t="n">
        <f aca="false">IF(Horo8250[[#This Row],[Début]]=0,"",Horo8250[[#This Row],[Fin]]-Horo8250[[#This Row],[Début]])</f>
        <v>0.0833333333333334</v>
      </c>
    </row>
    <row r="26" customFormat="false" ht="15" hidden="false" customHeight="false" outlineLevel="0" collapsed="false">
      <c r="A26" s="45" t="s">
        <v>31</v>
      </c>
      <c r="B26" s="46" t="n">
        <f aca="false">IF(Horo8250[[#This Row],[Jour]]="Lundi",$C$1+1, IF(Horo8250[[#This Row],[Jour]]="Mardi",$C$1+2, IF(Horo8250[[#This Row],[Jour]]="Mercredi",$C$1+3, IF(Horo8250[[#This Row],[Jour]]="Jeudi",$C$1+4, IF(Horo8250[[#This Row],[Jour]]="Vendredi",$C$1+5, IF(Horo8250[[#This Row],[Jour]]="Samedi",$C$1+6, IF(Horo8250[[#This Row],[Jour]]="Dimanche",$C$1, )))))))</f>
        <v>44428</v>
      </c>
      <c r="C26" s="47" t="s">
        <v>3</v>
      </c>
      <c r="D26" s="48" t="n">
        <v>0.416666666666667</v>
      </c>
      <c r="E26" s="48" t="n">
        <v>0.447916666666667</v>
      </c>
      <c r="F26" s="49" t="s">
        <v>37</v>
      </c>
      <c r="G26" s="49" t="s">
        <v>19</v>
      </c>
      <c r="H26" s="50" t="s">
        <v>107</v>
      </c>
      <c r="I26" s="61" t="s">
        <v>176</v>
      </c>
      <c r="J26" s="52" t="n">
        <f aca="false">IF(Horo8250[[#This Row],[Début]]=0,"",(Horo8250[[#This Row],[Durée (60)2]]-INT(Horo8250[[#This Row],[Durée (60)2]]))*24)</f>
        <v>0.75</v>
      </c>
      <c r="K26" s="62" t="n">
        <f aca="false">SUMIF(Horo8250[Jour],C26,Horo8250[Durée])</f>
        <v>7.75</v>
      </c>
      <c r="L26" s="54" t="n">
        <f aca="false">IFERROR(SUMIF(Horo8250[[#This Row],[Jour]],Horo8250[[#This Row],[Jour]],Horo8250[[#This Row],[GPF]]) / Horo8250[[#This Row],[hrs]],"")</f>
        <v>0.0967741935483871</v>
      </c>
      <c r="M26" s="56" t="n">
        <f aca="false">IF("GPF"=Horo8250[[#This Row],[Tâche]],Horo8250[[#This Row],[Durée]],"")</f>
        <v>0.75</v>
      </c>
      <c r="N26" s="56" t="str">
        <f aca="false">IF("RI"=Horo8250[[#This Row],[Tâche]],Horo8250[[#This Row],[Durée]],"")</f>
        <v/>
      </c>
      <c r="O26" s="56" t="str">
        <f aca="false">IF("GB"=Horo8250[[#This Row],[Tâche]],Horo8250[[#This Row],[Durée]],"")</f>
        <v/>
      </c>
      <c r="P26" s="56" t="str">
        <f aca="false">IF("RD"=Horo8250[[#This Row],[Tâche]],Horo8250[[#This Row],[Durée]],"")</f>
        <v/>
      </c>
      <c r="Q26" s="56" t="str">
        <f aca="false">IF("FG"=Horo8250[[#This Row],[Tâche]],Horo8250[[#This Row],[Durée]],"")</f>
        <v/>
      </c>
      <c r="R26" s="56" t="str">
        <f aca="false">IF("CONGÉ"=Horo8250[[#This Row],[Tâche]],Horo8250[[#This Row],[Durée]],"")</f>
        <v/>
      </c>
      <c r="S26" s="57" t="str">
        <f aca="false">IF("PS"=Horo8250[[#This Row],[Tâche]],Horo8250[[#This Row],[Durée]],"")</f>
        <v/>
      </c>
      <c r="T26" s="56" t="str">
        <f aca="false">IF("TD"=Horo8250[[#This Row],[Tâche]],Horo8250[[#This Row],[Durée]],"")</f>
        <v/>
      </c>
      <c r="U26" s="55" t="str">
        <f aca="false">IF("N/C"=Horo8250[[#This Row],[Tâche]],Horo8250[[#This Row],[Durée]],"")</f>
        <v/>
      </c>
      <c r="V26" s="58"/>
      <c r="W26" s="59" t="n">
        <f aca="false">IF(Horo8250[[#This Row],[O]]="o",Horo8250[[#This Row],[Durée]],".")</f>
        <v>0.75</v>
      </c>
      <c r="X26" s="60" t="n">
        <f aca="false">IF(Horo8250[[#This Row],[Début]]=0,"",Horo8250[[#This Row],[Fin]]-Horo8250[[#This Row],[Début]])</f>
        <v>0.03125</v>
      </c>
    </row>
    <row r="27" customFormat="false" ht="15" hidden="false" customHeight="false" outlineLevel="0" collapsed="false">
      <c r="A27" s="45" t="s">
        <v>31</v>
      </c>
      <c r="B27" s="46" t="n">
        <f aca="false">IF(Horo8250[[#This Row],[Jour]]="Lundi",$C$1+1, IF(Horo8250[[#This Row],[Jour]]="Mardi",$C$1+2, IF(Horo8250[[#This Row],[Jour]]="Mercredi",$C$1+3, IF(Horo8250[[#This Row],[Jour]]="Jeudi",$C$1+4, IF(Horo8250[[#This Row],[Jour]]="Vendredi",$C$1+5, IF(Horo8250[[#This Row],[Jour]]="Samedi",$C$1+6, IF(Horo8250[[#This Row],[Jour]]="Dimanche",$C$1, )))))))</f>
        <v>44428</v>
      </c>
      <c r="C27" s="47" t="s">
        <v>3</v>
      </c>
      <c r="D27" s="48" t="n">
        <v>0.583333333333333</v>
      </c>
      <c r="E27" s="48" t="n">
        <v>0.625</v>
      </c>
      <c r="F27" s="49" t="s">
        <v>32</v>
      </c>
      <c r="G27" s="49" t="s">
        <v>22</v>
      </c>
      <c r="H27" s="50" t="s">
        <v>118</v>
      </c>
      <c r="I27" s="61"/>
      <c r="J27" s="52" t="n">
        <f aca="false">IF(Horo8250[[#This Row],[Début]]=0,"",(Horo8250[[#This Row],[Durée (60)2]]-INT(Horo8250[[#This Row],[Durée (60)2]]))*24)</f>
        <v>0.999999999999999</v>
      </c>
      <c r="K27" s="62" t="n">
        <f aca="false">SUMIF(Horo8250[Jour],C27,Horo8250[Durée])</f>
        <v>7.75</v>
      </c>
      <c r="L27" s="54" t="n">
        <f aca="false">IFERROR(SUMIF(Horo8250[[#This Row],[Jour]],Horo8250[[#This Row],[Jour]],Horo8250[[#This Row],[GPF]]) / Horo8250[[#This Row],[hrs]],"")</f>
        <v>0</v>
      </c>
      <c r="M27" s="56" t="str">
        <f aca="false">IF("GPF"=Horo8250[[#This Row],[Tâche]],Horo8250[[#This Row],[Durée]],"")</f>
        <v/>
      </c>
      <c r="N27" s="56" t="str">
        <f aca="false">IF("RI"=Horo8250[[#This Row],[Tâche]],Horo8250[[#This Row],[Durée]],"")</f>
        <v/>
      </c>
      <c r="O27" s="56" t="str">
        <f aca="false">IF("GB"=Horo8250[[#This Row],[Tâche]],Horo8250[[#This Row],[Durée]],"")</f>
        <v/>
      </c>
      <c r="P27" s="56" t="n">
        <f aca="false">IF("RD"=Horo8250[[#This Row],[Tâche]],Horo8250[[#This Row],[Durée]],"")</f>
        <v>0.999999999999999</v>
      </c>
      <c r="Q27" s="56" t="str">
        <f aca="false">IF("FG"=Horo8250[[#This Row],[Tâche]],Horo8250[[#This Row],[Durée]],"")</f>
        <v/>
      </c>
      <c r="R27" s="56" t="str">
        <f aca="false">IF("CONGÉ"=Horo8250[[#This Row],[Tâche]],Horo8250[[#This Row],[Durée]],"")</f>
        <v/>
      </c>
      <c r="S27" s="57" t="str">
        <f aca="false">IF("PS"=Horo8250[[#This Row],[Tâche]],Horo8250[[#This Row],[Durée]],"")</f>
        <v/>
      </c>
      <c r="T27" s="56" t="str">
        <f aca="false">IF("TD"=Horo8250[[#This Row],[Tâche]],Horo8250[[#This Row],[Durée]],"")</f>
        <v/>
      </c>
      <c r="U27" s="55" t="str">
        <f aca="false">IF("N/C"=Horo8250[[#This Row],[Tâche]],Horo8250[[#This Row],[Durée]],"")</f>
        <v/>
      </c>
      <c r="V27" s="58"/>
      <c r="W27" s="59" t="n">
        <f aca="false">IF(Horo8250[[#This Row],[O]]="o",Horo8250[[#This Row],[Durée]],".")</f>
        <v>0.999999999999999</v>
      </c>
      <c r="X27" s="60" t="n">
        <f aca="false">IF(Horo8250[[#This Row],[Début]]=0,"",Horo8250[[#This Row],[Fin]]-Horo8250[[#This Row],[Début]])</f>
        <v>0.0416666666666666</v>
      </c>
    </row>
    <row r="28" customFormat="false" ht="15" hidden="false" customHeight="false" outlineLevel="0" collapsed="false">
      <c r="A28" s="45" t="s">
        <v>31</v>
      </c>
      <c r="B28" s="46" t="n">
        <f aca="false">IF(Horo8250[[#This Row],[Jour]]="Lundi",$C$1+1, IF(Horo8250[[#This Row],[Jour]]="Mardi",$C$1+2, IF(Horo8250[[#This Row],[Jour]]="Mercredi",$C$1+3, IF(Horo8250[[#This Row],[Jour]]="Jeudi",$C$1+4, IF(Horo8250[[#This Row],[Jour]]="Vendredi",$C$1+5, IF(Horo8250[[#This Row],[Jour]]="Samedi",$C$1+6, IF(Horo8250[[#This Row],[Jour]]="Dimanche",$C$1, )))))))</f>
        <v>44428</v>
      </c>
      <c r="C28" s="47" t="s">
        <v>3</v>
      </c>
      <c r="D28" s="48" t="n">
        <v>0.625</v>
      </c>
      <c r="E28" s="48" t="n">
        <v>0.770833333333333</v>
      </c>
      <c r="F28" s="49" t="s">
        <v>32</v>
      </c>
      <c r="G28" s="49" t="s">
        <v>23</v>
      </c>
      <c r="H28" s="50" t="s">
        <v>109</v>
      </c>
      <c r="I28" s="61"/>
      <c r="J28" s="52" t="n">
        <f aca="false">IF(Horo8250[[#This Row],[Début]]=0,"",(Horo8250[[#This Row],[Durée (60)2]]-INT(Horo8250[[#This Row],[Durée (60)2]]))*24)</f>
        <v>3.5</v>
      </c>
      <c r="K28" s="62" t="n">
        <f aca="false">SUMIF(Horo8250[Jour],C28,Horo8250[Durée])</f>
        <v>7.75</v>
      </c>
      <c r="L28" s="54" t="n">
        <f aca="false">IFERROR(SUMIF(Horo8250[[#This Row],[Jour]],Horo8250[[#This Row],[Jour]],Horo8250[[#This Row],[GPF]]) / Horo8250[[#This Row],[hrs]],"")</f>
        <v>0</v>
      </c>
      <c r="M28" s="56" t="str">
        <f aca="false">IF("GPF"=Horo8250[[#This Row],[Tâche]],Horo8250[[#This Row],[Durée]],"")</f>
        <v/>
      </c>
      <c r="N28" s="56" t="str">
        <f aca="false">IF("RI"=Horo8250[[#This Row],[Tâche]],Horo8250[[#This Row],[Durée]],"")</f>
        <v/>
      </c>
      <c r="O28" s="56" t="str">
        <f aca="false">IF("GB"=Horo8250[[#This Row],[Tâche]],Horo8250[[#This Row],[Durée]],"")</f>
        <v/>
      </c>
      <c r="P28" s="103" t="str">
        <f aca="false">IF("RD"=Horo8250[[#This Row],[Tâche]],Horo8250[[#This Row],[Durée]],"")</f>
        <v/>
      </c>
      <c r="Q28" s="56" t="n">
        <f aca="false">IF("FG"=Horo8250[[#This Row],[Tâche]],Horo8250[[#This Row],[Durée]],"")</f>
        <v>3.5</v>
      </c>
      <c r="R28" s="56" t="str">
        <f aca="false">IF("CONGÉ"=Horo8250[[#This Row],[Tâche]],Horo8250[[#This Row],[Durée]],"")</f>
        <v/>
      </c>
      <c r="S28" s="57" t="str">
        <f aca="false">IF("PS"=Horo8250[[#This Row],[Tâche]],Horo8250[[#This Row],[Durée]],"")</f>
        <v/>
      </c>
      <c r="T28" s="56" t="str">
        <f aca="false">IF("TD"=Horo8250[[#This Row],[Tâche]],Horo8250[[#This Row],[Durée]],"")</f>
        <v/>
      </c>
      <c r="U28" s="55" t="str">
        <f aca="false">IF("N/C"=Horo8250[[#This Row],[Tâche]],Horo8250[[#This Row],[Durée]],"")</f>
        <v/>
      </c>
      <c r="V28" s="58"/>
      <c r="W28" s="59" t="n">
        <f aca="false">IF(Horo8250[[#This Row],[O]]="o",Horo8250[[#This Row],[Durée]],".")</f>
        <v>3.5</v>
      </c>
      <c r="X28" s="60" t="n">
        <f aca="false">IF(Horo8250[[#This Row],[Début]]=0,"",Horo8250[[#This Row],[Fin]]-Horo8250[[#This Row],[Début]])</f>
        <v>0.145833333333333</v>
      </c>
    </row>
    <row r="29" customFormat="false" ht="15" hidden="false" customHeight="false" outlineLevel="0" collapsed="false">
      <c r="A29" s="45" t="s">
        <v>31</v>
      </c>
      <c r="B29" s="46" t="n">
        <f aca="false">IF(Horo8250[[#This Row],[Jour]]="Lundi",$C$1+1, IF(Horo8250[[#This Row],[Jour]]="Mardi",$C$1+2, IF(Horo8250[[#This Row],[Jour]]="Mercredi",$C$1+3, IF(Horo8250[[#This Row],[Jour]]="Jeudi",$C$1+4, IF(Horo8250[[#This Row],[Jour]]="Vendredi",$C$1+5, IF(Horo8250[[#This Row],[Jour]]="Samedi",$C$1+6, IF(Horo8250[[#This Row],[Jour]]="Dimanche",$C$1, )))))))</f>
        <v>44429</v>
      </c>
      <c r="C29" s="47" t="s">
        <v>4</v>
      </c>
      <c r="D29" s="48" t="n">
        <v>0.3125</v>
      </c>
      <c r="E29" s="48" t="n">
        <v>0.354166666666667</v>
      </c>
      <c r="F29" s="49" t="s">
        <v>32</v>
      </c>
      <c r="G29" s="49" t="s">
        <v>22</v>
      </c>
      <c r="H29" s="50"/>
      <c r="I29" s="51"/>
      <c r="J29" s="52" t="n">
        <f aca="false">IF(Horo8250[[#This Row],[Début]]=0,"",(Horo8250[[#This Row],[Durée (60)2]]-INT(Horo8250[[#This Row],[Durée (60)2]]))*24)</f>
        <v>1</v>
      </c>
      <c r="K29" s="62" t="n">
        <f aca="false">SUMIF(Horo8250[Jour],C29,Horo8250[Durée])</f>
        <v>6.5</v>
      </c>
      <c r="L29" s="54" t="n">
        <f aca="false">IFERROR(SUMIF(Horo8250[[#This Row],[Jour]],Horo8250[[#This Row],[Jour]],Horo8250[[#This Row],[GPF]]) / Horo8250[[#This Row],[hrs]],"")</f>
        <v>0</v>
      </c>
      <c r="M29" s="56" t="str">
        <f aca="false">IF("GPF"=Horo8250[[#This Row],[Tâche]],Horo8250[[#This Row],[Durée]],"")</f>
        <v/>
      </c>
      <c r="N29" s="56" t="str">
        <f aca="false">IF("RI"=Horo8250[[#This Row],[Tâche]],Horo8250[[#This Row],[Durée]],"")</f>
        <v/>
      </c>
      <c r="O29" s="56" t="str">
        <f aca="false">IF("GB"=Horo8250[[#This Row],[Tâche]],Horo8250[[#This Row],[Durée]],"")</f>
        <v/>
      </c>
      <c r="P29" s="63" t="n">
        <f aca="false">IF("RD"=Horo8250[[#This Row],[Tâche]],Horo8250[[#This Row],[Durée]],"")</f>
        <v>1</v>
      </c>
      <c r="Q29" s="56" t="str">
        <f aca="false">IF("FG"=Horo8250[[#This Row],[Tâche]],Horo8250[[#This Row],[Durée]],"")</f>
        <v/>
      </c>
      <c r="R29" s="56" t="str">
        <f aca="false">IF("CONGÉ"=Horo8250[[#This Row],[Tâche]],Horo8250[[#This Row],[Durée]],"")</f>
        <v/>
      </c>
      <c r="S29" s="57" t="str">
        <f aca="false">IF("PS"=Horo8250[[#This Row],[Tâche]],Horo8250[[#This Row],[Durée]],"")</f>
        <v/>
      </c>
      <c r="T29" s="56" t="str">
        <f aca="false">IF("TD"=Horo8250[[#This Row],[Tâche]],Horo8250[[#This Row],[Durée]],"")</f>
        <v/>
      </c>
      <c r="U29" s="55" t="str">
        <f aca="false">IF("N/C"=Horo8250[[#This Row],[Tâche]],Horo8250[[#This Row],[Durée]],"")</f>
        <v/>
      </c>
      <c r="V29" s="58"/>
      <c r="W29" s="59" t="n">
        <f aca="false">IF(Horo8250[[#This Row],[O]]="o",Horo8250[[#This Row],[Durée]],".")</f>
        <v>1</v>
      </c>
      <c r="X29" s="60" t="n">
        <f aca="false">IF(Horo8250[[#This Row],[Début]]=0,"",Horo8250[[#This Row],[Fin]]-Horo8250[[#This Row],[Début]])</f>
        <v>0.0416666666666667</v>
      </c>
    </row>
    <row r="30" customFormat="false" ht="15" hidden="false" customHeight="false" outlineLevel="0" collapsed="false">
      <c r="A30" s="45" t="s">
        <v>31</v>
      </c>
      <c r="B30" s="46" t="n">
        <f aca="false">IF(Horo8250[[#This Row],[Jour]]="Lundi",$C$1+1, IF(Horo8250[[#This Row],[Jour]]="Mardi",$C$1+2, IF(Horo8250[[#This Row],[Jour]]="Mercredi",$C$1+3, IF(Horo8250[[#This Row],[Jour]]="Jeudi",$C$1+4, IF(Horo8250[[#This Row],[Jour]]="Vendredi",$C$1+5, IF(Horo8250[[#This Row],[Jour]]="Samedi",$C$1+6, IF(Horo8250[[#This Row],[Jour]]="Dimanche",$C$1, )))))))</f>
        <v>44429</v>
      </c>
      <c r="C30" s="47" t="s">
        <v>4</v>
      </c>
      <c r="D30" s="48" t="n">
        <v>0.354166666666667</v>
      </c>
      <c r="E30" s="48" t="n">
        <v>0.375</v>
      </c>
      <c r="F30" s="49" t="s">
        <v>75</v>
      </c>
      <c r="G30" s="49" t="s">
        <v>19</v>
      </c>
      <c r="H30" s="50" t="s">
        <v>55</v>
      </c>
      <c r="I30" s="61"/>
      <c r="J30" s="52" t="n">
        <f aca="false">IF(Horo8250[[#This Row],[Début]]=0,"",(Horo8250[[#This Row],[Durée (60)2]]-INT(Horo8250[[#This Row],[Durée (60)2]]))*24)</f>
        <v>0.5</v>
      </c>
      <c r="K30" s="62" t="n">
        <f aca="false">SUMIF(Horo8250[Jour],C30,Horo8250[Durée])</f>
        <v>6.5</v>
      </c>
      <c r="L30" s="54" t="n">
        <f aca="false">IFERROR(SUMIF(Horo8250[[#This Row],[Jour]],Horo8250[[#This Row],[Jour]],Horo8250[[#This Row],[GPF]]) / Horo8250[[#This Row],[hrs]],"")</f>
        <v>0.0769230769230768</v>
      </c>
      <c r="M30" s="56" t="n">
        <f aca="false">IF("GPF"=Horo8250[[#This Row],[Tâche]],Horo8250[[#This Row],[Durée]],"")</f>
        <v>0.5</v>
      </c>
      <c r="N30" s="56" t="str">
        <f aca="false">IF("RI"=Horo8250[[#This Row],[Tâche]],Horo8250[[#This Row],[Durée]],"")</f>
        <v/>
      </c>
      <c r="O30" s="56" t="str">
        <f aca="false">IF("GB"=Horo8250[[#This Row],[Tâche]],Horo8250[[#This Row],[Durée]],"")</f>
        <v/>
      </c>
      <c r="P30" s="56" t="str">
        <f aca="false">IF("RD"=Horo8250[[#This Row],[Tâche]],Horo8250[[#This Row],[Durée]],"")</f>
        <v/>
      </c>
      <c r="Q30" s="56" t="str">
        <f aca="false">IF("FG"=Horo8250[[#This Row],[Tâche]],Horo8250[[#This Row],[Durée]],"")</f>
        <v/>
      </c>
      <c r="R30" s="56" t="str">
        <f aca="false">IF("CONGÉ"=Horo8250[[#This Row],[Tâche]],Horo8250[[#This Row],[Durée]],"")</f>
        <v/>
      </c>
      <c r="S30" s="57" t="str">
        <f aca="false">IF("PS"=Horo8250[[#This Row],[Tâche]],Horo8250[[#This Row],[Durée]],"")</f>
        <v/>
      </c>
      <c r="T30" s="56" t="str">
        <f aca="false">IF("TD"=Horo8250[[#This Row],[Tâche]],Horo8250[[#This Row],[Durée]],"")</f>
        <v/>
      </c>
      <c r="U30" s="55" t="str">
        <f aca="false">IF("N/C"=Horo8250[[#This Row],[Tâche]],Horo8250[[#This Row],[Durée]],"")</f>
        <v/>
      </c>
      <c r="V30" s="58"/>
      <c r="W30" s="59" t="n">
        <f aca="false">IF(Horo8250[[#This Row],[O]]="o",Horo8250[[#This Row],[Durée]],".")</f>
        <v>0.5</v>
      </c>
      <c r="X30" s="60" t="n">
        <f aca="false">IF(Horo8250[[#This Row],[Début]]=0,"",Horo8250[[#This Row],[Fin]]-Horo8250[[#This Row],[Début]])</f>
        <v>0.0208333333333333</v>
      </c>
    </row>
    <row r="31" customFormat="false" ht="15" hidden="false" customHeight="false" outlineLevel="0" collapsed="false">
      <c r="A31" s="45" t="s">
        <v>31</v>
      </c>
      <c r="B31" s="46" t="n">
        <f aca="false">IF(Horo8250[[#This Row],[Jour]]="Lundi",$C$1+1, IF(Horo8250[[#This Row],[Jour]]="Mardi",$C$1+2, IF(Horo8250[[#This Row],[Jour]]="Mercredi",$C$1+3, IF(Horo8250[[#This Row],[Jour]]="Jeudi",$C$1+4, IF(Horo8250[[#This Row],[Jour]]="Vendredi",$C$1+5, IF(Horo8250[[#This Row],[Jour]]="Samedi",$C$1+6, IF(Horo8250[[#This Row],[Jour]]="Dimanche",$C$1, )))))))</f>
        <v>44429</v>
      </c>
      <c r="C31" s="47" t="s">
        <v>4</v>
      </c>
      <c r="D31" s="48" t="n">
        <v>0.375</v>
      </c>
      <c r="E31" s="48" t="n">
        <v>0.395833333333333</v>
      </c>
      <c r="F31" s="49" t="s">
        <v>59</v>
      </c>
      <c r="G31" s="49" t="s">
        <v>19</v>
      </c>
      <c r="H31" s="50" t="s">
        <v>55</v>
      </c>
      <c r="I31" s="61"/>
      <c r="J31" s="52" t="n">
        <f aca="false">IF(Horo8250[[#This Row],[Début]]=0,"",(Horo8250[[#This Row],[Durée (60)2]]-INT(Horo8250[[#This Row],[Durée (60)2]]))*24)</f>
        <v>0.5</v>
      </c>
      <c r="K31" s="62" t="n">
        <f aca="false">SUMIF(Horo8250[Jour],C31,Horo8250[Durée])</f>
        <v>6.5</v>
      </c>
      <c r="L31" s="54" t="n">
        <f aca="false">IFERROR(SUMIF(Horo8250[[#This Row],[Jour]],Horo8250[[#This Row],[Jour]],Horo8250[[#This Row],[GPF]]) / Horo8250[[#This Row],[hrs]],"")</f>
        <v>0.0769230769230768</v>
      </c>
      <c r="M31" s="56" t="n">
        <f aca="false">IF("GPF"=Horo8250[[#This Row],[Tâche]],Horo8250[[#This Row],[Durée]],"")</f>
        <v>0.5</v>
      </c>
      <c r="N31" s="56" t="str">
        <f aca="false">IF("RI"=Horo8250[[#This Row],[Tâche]],Horo8250[[#This Row],[Durée]],"")</f>
        <v/>
      </c>
      <c r="O31" s="56" t="str">
        <f aca="false">IF("GB"=Horo8250[[#This Row],[Tâche]],Horo8250[[#This Row],[Durée]],"")</f>
        <v/>
      </c>
      <c r="P31" s="56" t="str">
        <f aca="false">IF("RD"=Horo8250[[#This Row],[Tâche]],Horo8250[[#This Row],[Durée]],"")</f>
        <v/>
      </c>
      <c r="Q31" s="56" t="str">
        <f aca="false">IF("FG"=Horo8250[[#This Row],[Tâche]],Horo8250[[#This Row],[Durée]],"")</f>
        <v/>
      </c>
      <c r="R31" s="56" t="str">
        <f aca="false">IF("CONGÉ"=Horo8250[[#This Row],[Tâche]],Horo8250[[#This Row],[Durée]],"")</f>
        <v/>
      </c>
      <c r="S31" s="57" t="str">
        <f aca="false">IF("PS"=Horo8250[[#This Row],[Tâche]],Horo8250[[#This Row],[Durée]],"")</f>
        <v/>
      </c>
      <c r="T31" s="56" t="str">
        <f aca="false">IF("TD"=Horo8250[[#This Row],[Tâche]],Horo8250[[#This Row],[Durée]],"")</f>
        <v/>
      </c>
      <c r="U31" s="55" t="str">
        <f aca="false">IF("N/C"=Horo8250[[#This Row],[Tâche]],Horo8250[[#This Row],[Durée]],"")</f>
        <v/>
      </c>
      <c r="V31" s="58"/>
      <c r="W31" s="59" t="n">
        <f aca="false">IF(Horo8250[[#This Row],[O]]="o",Horo8250[[#This Row],[Durée]],".")</f>
        <v>0.5</v>
      </c>
      <c r="X31" s="60" t="n">
        <f aca="false">IF(Horo8250[[#This Row],[Début]]=0,"",Horo8250[[#This Row],[Fin]]-Horo8250[[#This Row],[Début]])</f>
        <v>0.0208333333333333</v>
      </c>
    </row>
    <row r="32" customFormat="false" ht="15" hidden="false" customHeight="false" outlineLevel="0" collapsed="false">
      <c r="A32" s="45" t="s">
        <v>31</v>
      </c>
      <c r="B32" s="46" t="n">
        <f aca="false">IF(Horo8250[[#This Row],[Jour]]="Lundi",$C$1+1, IF(Horo8250[[#This Row],[Jour]]="Mardi",$C$1+2, IF(Horo8250[[#This Row],[Jour]]="Mercredi",$C$1+3, IF(Horo8250[[#This Row],[Jour]]="Jeudi",$C$1+4, IF(Horo8250[[#This Row],[Jour]]="Vendredi",$C$1+5, IF(Horo8250[[#This Row],[Jour]]="Samedi",$C$1+6, IF(Horo8250[[#This Row],[Jour]]="Dimanche",$C$1, )))))))</f>
        <v>44429</v>
      </c>
      <c r="C32" s="47" t="s">
        <v>4</v>
      </c>
      <c r="D32" s="48" t="n">
        <v>0.395833333333333</v>
      </c>
      <c r="E32" s="48" t="n">
        <v>0.416666666666667</v>
      </c>
      <c r="F32" s="49" t="s">
        <v>32</v>
      </c>
      <c r="G32" s="49" t="s">
        <v>22</v>
      </c>
      <c r="H32" s="50"/>
      <c r="I32" s="61" t="s">
        <v>177</v>
      </c>
      <c r="J32" s="52" t="n">
        <f aca="false">IF(Horo8250[[#This Row],[Début]]=0,"",(Horo8250[[#This Row],[Durée (60)2]]-INT(Horo8250[[#This Row],[Durée (60)2]]))*24)</f>
        <v>0.500000000000001</v>
      </c>
      <c r="K32" s="62" t="n">
        <f aca="false">SUMIF(Horo8250[Jour],C32,Horo8250[Durée])</f>
        <v>6.5</v>
      </c>
      <c r="L32" s="54" t="n">
        <f aca="false">IFERROR(SUMIF(Horo8250[[#This Row],[Jour]],Horo8250[[#This Row],[Jour]],Horo8250[[#This Row],[GPF]]) / Horo8250[[#This Row],[hrs]],"")</f>
        <v>0</v>
      </c>
      <c r="M32" s="56" t="str">
        <f aca="false">IF("GPF"=Horo8250[[#This Row],[Tâche]],Horo8250[[#This Row],[Durée]],"")</f>
        <v/>
      </c>
      <c r="N32" s="56" t="str">
        <f aca="false">IF("RI"=Horo8250[[#This Row],[Tâche]],Horo8250[[#This Row],[Durée]],"")</f>
        <v/>
      </c>
      <c r="O32" s="56" t="str">
        <f aca="false">IF("GB"=Horo8250[[#This Row],[Tâche]],Horo8250[[#This Row],[Durée]],"")</f>
        <v/>
      </c>
      <c r="P32" s="63" t="n">
        <f aca="false">IF("RD"=Horo8250[[#This Row],[Tâche]],Horo8250[[#This Row],[Durée]],"")</f>
        <v>0.500000000000001</v>
      </c>
      <c r="Q32" s="56" t="str">
        <f aca="false">IF("FG"=Horo8250[[#This Row],[Tâche]],Horo8250[[#This Row],[Durée]],"")</f>
        <v/>
      </c>
      <c r="R32" s="56" t="str">
        <f aca="false">IF("CONGÉ"=Horo8250[[#This Row],[Tâche]],Horo8250[[#This Row],[Durée]],"")</f>
        <v/>
      </c>
      <c r="S32" s="57" t="str">
        <f aca="false">IF("PS"=Horo8250[[#This Row],[Tâche]],Horo8250[[#This Row],[Durée]],"")</f>
        <v/>
      </c>
      <c r="T32" s="56" t="str">
        <f aca="false">IF("TD"=Horo8250[[#This Row],[Tâche]],Horo8250[[#This Row],[Durée]],"")</f>
        <v/>
      </c>
      <c r="U32" s="55" t="str">
        <f aca="false">IF("N/C"=Horo8250[[#This Row],[Tâche]],Horo8250[[#This Row],[Durée]],"")</f>
        <v/>
      </c>
      <c r="V32" s="58"/>
      <c r="W32" s="59" t="n">
        <f aca="false">IF(Horo8250[[#This Row],[O]]="o",Horo8250[[#This Row],[Durée]],".")</f>
        <v>0.500000000000001</v>
      </c>
      <c r="X32" s="60" t="n">
        <f aca="false">IF(Horo8250[[#This Row],[Début]]=0,"",Horo8250[[#This Row],[Fin]]-Horo8250[[#This Row],[Début]])</f>
        <v>0.0208333333333334</v>
      </c>
    </row>
    <row r="33" customFormat="false" ht="15" hidden="false" customHeight="false" outlineLevel="0" collapsed="false">
      <c r="A33" s="45" t="s">
        <v>31</v>
      </c>
      <c r="B33" s="46" t="n">
        <f aca="false">IF(Horo8250[[#This Row],[Jour]]="Lundi",$C$1+1, IF(Horo8250[[#This Row],[Jour]]="Mardi",$C$1+2, IF(Horo8250[[#This Row],[Jour]]="Mercredi",$C$1+3, IF(Horo8250[[#This Row],[Jour]]="Jeudi",$C$1+4, IF(Horo8250[[#This Row],[Jour]]="Vendredi",$C$1+5, IF(Horo8250[[#This Row],[Jour]]="Samedi",$C$1+6, IF(Horo8250[[#This Row],[Jour]]="Dimanche",$C$1, )))))))</f>
        <v>44429</v>
      </c>
      <c r="C33" s="47" t="s">
        <v>4</v>
      </c>
      <c r="D33" s="48" t="n">
        <v>0.416666666666667</v>
      </c>
      <c r="E33" s="48" t="n">
        <v>0.5</v>
      </c>
      <c r="F33" s="49" t="s">
        <v>32</v>
      </c>
      <c r="G33" s="49" t="s">
        <v>23</v>
      </c>
      <c r="H33" s="50" t="s">
        <v>109</v>
      </c>
      <c r="I33" s="61"/>
      <c r="J33" s="52" t="n">
        <f aca="false">IF(Horo8250[[#This Row],[Début]]=0,"",(Horo8250[[#This Row],[Durée (60)2]]-INT(Horo8250[[#This Row],[Durée (60)2]]))*24)</f>
        <v>2</v>
      </c>
      <c r="K33" s="62" t="n">
        <f aca="false">SUMIF(Horo8250[Jour],C33,Horo8250[Durée])</f>
        <v>6.5</v>
      </c>
      <c r="L33" s="54" t="n">
        <f aca="false">IFERROR(SUMIF(Horo8250[[#This Row],[Jour]],Horo8250[[#This Row],[Jour]],Horo8250[[#This Row],[GPF]]) / Horo8250[[#This Row],[hrs]],"")</f>
        <v>0</v>
      </c>
      <c r="M33" s="56" t="str">
        <f aca="false">IF("GPF"=Horo8250[[#This Row],[Tâche]],Horo8250[[#This Row],[Durée]],"")</f>
        <v/>
      </c>
      <c r="N33" s="56" t="str">
        <f aca="false">IF("RI"=Horo8250[[#This Row],[Tâche]],Horo8250[[#This Row],[Durée]],"")</f>
        <v/>
      </c>
      <c r="O33" s="56" t="str">
        <f aca="false">IF("GB"=Horo8250[[#This Row],[Tâche]],Horo8250[[#This Row],[Durée]],"")</f>
        <v/>
      </c>
      <c r="P33" s="56" t="str">
        <f aca="false">IF("RD"=Horo8250[[#This Row],[Tâche]],Horo8250[[#This Row],[Durée]],"")</f>
        <v/>
      </c>
      <c r="Q33" s="63" t="n">
        <f aca="false">IF("FG"=Horo8250[[#This Row],[Tâche]],Horo8250[[#This Row],[Durée]],"")</f>
        <v>2</v>
      </c>
      <c r="R33" s="56" t="str">
        <f aca="false">IF("CONGÉ"=Horo8250[[#This Row],[Tâche]],Horo8250[[#This Row],[Durée]],"")</f>
        <v/>
      </c>
      <c r="S33" s="57" t="str">
        <f aca="false">IF("PS"=Horo8250[[#This Row],[Tâche]],Horo8250[[#This Row],[Durée]],"")</f>
        <v/>
      </c>
      <c r="T33" s="56" t="str">
        <f aca="false">IF("TD"=Horo8250[[#This Row],[Tâche]],Horo8250[[#This Row],[Durée]],"")</f>
        <v/>
      </c>
      <c r="U33" s="55" t="str">
        <f aca="false">IF("N/C"=Horo8250[[#This Row],[Tâche]],Horo8250[[#This Row],[Durée]],"")</f>
        <v/>
      </c>
      <c r="V33" s="58"/>
      <c r="W33" s="59" t="n">
        <f aca="false">IF(Horo8250[[#This Row],[O]]="o",Horo8250[[#This Row],[Durée]],".")</f>
        <v>2</v>
      </c>
      <c r="X33" s="60" t="n">
        <f aca="false">IF(Horo8250[[#This Row],[Début]]=0,"",Horo8250[[#This Row],[Fin]]-Horo8250[[#This Row],[Début]])</f>
        <v>0.0833333333333333</v>
      </c>
    </row>
    <row r="34" customFormat="false" ht="15" hidden="false" customHeight="false" outlineLevel="0" collapsed="false">
      <c r="A34" s="45" t="s">
        <v>31</v>
      </c>
      <c r="B34" s="46" t="n">
        <f aca="false">IF(Horo8250[[#This Row],[Jour]]="Lundi",$C$1+1, IF(Horo8250[[#This Row],[Jour]]="Mardi",$C$1+2, IF(Horo8250[[#This Row],[Jour]]="Mercredi",$C$1+3, IF(Horo8250[[#This Row],[Jour]]="Jeudi",$C$1+4, IF(Horo8250[[#This Row],[Jour]]="Vendredi",$C$1+5, IF(Horo8250[[#This Row],[Jour]]="Samedi",$C$1+6, IF(Horo8250[[#This Row],[Jour]]="Dimanche",$C$1, )))))))</f>
        <v>44429</v>
      </c>
      <c r="C34" s="47" t="s">
        <v>4</v>
      </c>
      <c r="D34" s="48" t="n">
        <v>0.5625</v>
      </c>
      <c r="E34" s="48" t="n">
        <v>0.604166666666667</v>
      </c>
      <c r="F34" s="49" t="s">
        <v>32</v>
      </c>
      <c r="G34" s="49" t="s">
        <v>21</v>
      </c>
      <c r="H34" s="50"/>
      <c r="I34" s="61"/>
      <c r="J34" s="52" t="n">
        <f aca="false">IF(Horo8250[[#This Row],[Début]]=0,"",(Horo8250[[#This Row],[Durée (60)2]]-INT(Horo8250[[#This Row],[Durée (60)2]]))*24)</f>
        <v>0.999999999999999</v>
      </c>
      <c r="K34" s="62" t="n">
        <f aca="false">SUMIF(Horo8250[Jour],C34,Horo8250[Durée])</f>
        <v>6.5</v>
      </c>
      <c r="L34" s="54" t="n">
        <f aca="false">IFERROR(SUMIF(Horo8250[[#This Row],[Jour]],Horo8250[[#This Row],[Jour]],Horo8250[[#This Row],[GPF]]) / Horo8250[[#This Row],[hrs]],"")</f>
        <v>0</v>
      </c>
      <c r="M34" s="56" t="str">
        <f aca="false">IF("GPF"=Horo8250[[#This Row],[Tâche]],Horo8250[[#This Row],[Durée]],"")</f>
        <v/>
      </c>
      <c r="N34" s="56" t="str">
        <f aca="false">IF("RI"=Horo8250[[#This Row],[Tâche]],Horo8250[[#This Row],[Durée]],"")</f>
        <v/>
      </c>
      <c r="O34" s="56" t="n">
        <f aca="false">IF("GB"=Horo8250[[#This Row],[Tâche]],Horo8250[[#This Row],[Durée]],"")</f>
        <v>0.999999999999999</v>
      </c>
      <c r="P34" s="56" t="str">
        <f aca="false">IF("RD"=Horo8250[[#This Row],[Tâche]],Horo8250[[#This Row],[Durée]],"")</f>
        <v/>
      </c>
      <c r="Q34" s="56" t="str">
        <f aca="false">IF("FG"=Horo8250[[#This Row],[Tâche]],Horo8250[[#This Row],[Durée]],"")</f>
        <v/>
      </c>
      <c r="R34" s="56" t="str">
        <f aca="false">IF("CONGÉ"=Horo8250[[#This Row],[Tâche]],Horo8250[[#This Row],[Durée]],"")</f>
        <v/>
      </c>
      <c r="S34" s="57" t="str">
        <f aca="false">IF("PS"=Horo8250[[#This Row],[Tâche]],Horo8250[[#This Row],[Durée]],"")</f>
        <v/>
      </c>
      <c r="T34" s="56" t="str">
        <f aca="false">IF("TD"=Horo8250[[#This Row],[Tâche]],Horo8250[[#This Row],[Durée]],"")</f>
        <v/>
      </c>
      <c r="U34" s="55" t="str">
        <f aca="false">IF("N/C"=Horo8250[[#This Row],[Tâche]],Horo8250[[#This Row],[Durée]],"")</f>
        <v/>
      </c>
      <c r="V34" s="58"/>
      <c r="W34" s="59" t="n">
        <f aca="false">IF(Horo8250[[#This Row],[O]]="o",Horo8250[[#This Row],[Durée]],".")</f>
        <v>0.999999999999999</v>
      </c>
      <c r="X34" s="60" t="n">
        <f aca="false">IF(Horo8250[[#This Row],[Début]]=0,"",Horo8250[[#This Row],[Fin]]-Horo8250[[#This Row],[Début]])</f>
        <v>0.0416666666666666</v>
      </c>
    </row>
    <row r="35" customFormat="false" ht="15" hidden="false" customHeight="false" outlineLevel="0" collapsed="false">
      <c r="A35" s="45" t="s">
        <v>31</v>
      </c>
      <c r="B35" s="46" t="n">
        <f aca="false">IF(Horo8250[[#This Row],[Jour]]="Lundi",$C$1+1, IF(Horo8250[[#This Row],[Jour]]="Mardi",$C$1+2, IF(Horo8250[[#This Row],[Jour]]="Mercredi",$C$1+3, IF(Horo8250[[#This Row],[Jour]]="Jeudi",$C$1+4, IF(Horo8250[[#This Row],[Jour]]="Vendredi",$C$1+5, IF(Horo8250[[#This Row],[Jour]]="Samedi",$C$1+6, IF(Horo8250[[#This Row],[Jour]]="Dimanche",$C$1, )))))))</f>
        <v>44429</v>
      </c>
      <c r="C35" s="47" t="s">
        <v>4</v>
      </c>
      <c r="D35" s="48" t="n">
        <v>0.604166666666667</v>
      </c>
      <c r="E35" s="48" t="n">
        <v>0.645833333333333</v>
      </c>
      <c r="F35" s="49" t="s">
        <v>32</v>
      </c>
      <c r="G35" s="49" t="s">
        <v>22</v>
      </c>
      <c r="H35" s="50" t="s">
        <v>118</v>
      </c>
      <c r="I35" s="61" t="s">
        <v>178</v>
      </c>
      <c r="J35" s="52" t="n">
        <f aca="false">IF(Horo8250[[#This Row],[Début]]=0,"",(Horo8250[[#This Row],[Durée (60)2]]-INT(Horo8250[[#This Row],[Durée (60)2]]))*24)</f>
        <v>1</v>
      </c>
      <c r="K35" s="62" t="n">
        <f aca="false">SUMIF(Horo8250[Jour],C35,Horo8250[Durée])</f>
        <v>6.5</v>
      </c>
      <c r="L35" s="54" t="n">
        <f aca="false">IFERROR(SUMIF(Horo8250[[#This Row],[Jour]],Horo8250[[#This Row],[Jour]],Horo8250[[#This Row],[GPF]]) / Horo8250[[#This Row],[hrs]],"")</f>
        <v>0</v>
      </c>
      <c r="M35" s="56" t="str">
        <f aca="false">IF("GPF"=Horo8250[[#This Row],[Tâche]],Horo8250[[#This Row],[Durée]],"")</f>
        <v/>
      </c>
      <c r="N35" s="56" t="str">
        <f aca="false">IF("RI"=Horo8250[[#This Row],[Tâche]],Horo8250[[#This Row],[Durée]],"")</f>
        <v/>
      </c>
      <c r="O35" s="56" t="str">
        <f aca="false">IF("GB"=Horo8250[[#This Row],[Tâche]],Horo8250[[#This Row],[Durée]],"")</f>
        <v/>
      </c>
      <c r="P35" s="63" t="n">
        <f aca="false">IF("RD"=Horo8250[[#This Row],[Tâche]],Horo8250[[#This Row],[Durée]],"")</f>
        <v>1</v>
      </c>
      <c r="Q35" s="56" t="str">
        <f aca="false">IF("FG"=Horo8250[[#This Row],[Tâche]],Horo8250[[#This Row],[Durée]],"")</f>
        <v/>
      </c>
      <c r="R35" s="56" t="str">
        <f aca="false">IF("CONGÉ"=Horo8250[[#This Row],[Tâche]],Horo8250[[#This Row],[Durée]],"")</f>
        <v/>
      </c>
      <c r="S35" s="57" t="str">
        <f aca="false">IF("PS"=Horo8250[[#This Row],[Tâche]],Horo8250[[#This Row],[Durée]],"")</f>
        <v/>
      </c>
      <c r="T35" s="56" t="str">
        <f aca="false">IF("TD"=Horo8250[[#This Row],[Tâche]],Horo8250[[#This Row],[Durée]],"")</f>
        <v/>
      </c>
      <c r="U35" s="55" t="str">
        <f aca="false">IF("N/C"=Horo8250[[#This Row],[Tâche]],Horo8250[[#This Row],[Durée]],"")</f>
        <v/>
      </c>
      <c r="V35" s="58"/>
      <c r="W35" s="59" t="n">
        <f aca="false">IF(Horo8250[[#This Row],[O]]="o",Horo8250[[#This Row],[Durée]],".")</f>
        <v>1</v>
      </c>
      <c r="X35" s="60" t="n">
        <f aca="false">IF(Horo8250[[#This Row],[Début]]=0,"",Horo8250[[#This Row],[Fin]]-Horo8250[[#This Row],[Début]])</f>
        <v>0.0416666666666667</v>
      </c>
    </row>
    <row r="36" customFormat="false" ht="15" hidden="false" customHeight="false" outlineLevel="0" collapsed="false">
      <c r="A36" s="45" t="str">
        <f aca="false">IF(Horo8250[[#This Row],[Date]]="",".",".")</f>
        <v>.</v>
      </c>
      <c r="B36" s="46" t="n">
        <f aca="false">IF(Horo8250[[#This Row],[Jour]]="Lundi",$C$1+1, IF(Horo8250[[#This Row],[Jour]]="Mardi",$C$1+2, IF(Horo8250[[#This Row],[Jour]]="Mercredi",$C$1+3, IF(Horo8250[[#This Row],[Jour]]="Jeudi",$C$1+4, IF(Horo8250[[#This Row],[Jour]]="Vendredi",$C$1+5, IF(Horo8250[[#This Row],[Jour]]="Samedi",$C$1+6, IF(Horo8250[[#This Row],[Jour]]="Dimanche",$C$1, )))))))</f>
        <v>44429</v>
      </c>
      <c r="C36" s="47" t="s">
        <v>4</v>
      </c>
      <c r="D36" s="48"/>
      <c r="E36" s="48"/>
      <c r="F36" s="49" t="s">
        <v>32</v>
      </c>
      <c r="G36" s="49" t="s">
        <v>27</v>
      </c>
      <c r="H36" s="50" t="s">
        <v>33</v>
      </c>
      <c r="I36" s="61"/>
      <c r="J36" s="52" t="str">
        <f aca="false">IF(Horo8250[[#This Row],[Début]]=0,"",(Horo8250[[#This Row],[Durée (60)2]]-INT(Horo8250[[#This Row],[Durée (60)2]]))*24)</f>
        <v/>
      </c>
      <c r="K36" s="62" t="n">
        <f aca="false">SUMIF(Horo8250[Jour],C36,Horo8250[Durée])</f>
        <v>6.5</v>
      </c>
      <c r="L36" s="54" t="n">
        <f aca="false">IFERROR(SUMIF(Horo8250[[#This Row],[Jour]],Horo8250[[#This Row],[Jour]],Horo8250[[#This Row],[GPF]]) / Horo8250[[#This Row],[hrs]],"")</f>
        <v>0</v>
      </c>
      <c r="M36" s="56" t="str">
        <f aca="false">IF("GPF"=Horo8250[[#This Row],[Tâche]],Horo8250[[#This Row],[Durée]],"")</f>
        <v/>
      </c>
      <c r="N36" s="56" t="str">
        <f aca="false">IF("RI"=Horo8250[[#This Row],[Tâche]],Horo8250[[#This Row],[Durée]],"")</f>
        <v/>
      </c>
      <c r="O36" s="56" t="str">
        <f aca="false">IF("GB"=Horo8250[[#This Row],[Tâche]],Horo8250[[#This Row],[Durée]],"")</f>
        <v/>
      </c>
      <c r="P36" s="56" t="str">
        <f aca="false">IF("RD"=Horo8250[[#This Row],[Tâche]],Horo8250[[#This Row],[Durée]],"")</f>
        <v/>
      </c>
      <c r="Q36" s="56" t="str">
        <f aca="false">IF("FG"=Horo8250[[#This Row],[Tâche]],Horo8250[[#This Row],[Durée]],"")</f>
        <v/>
      </c>
      <c r="R36" s="56" t="str">
        <f aca="false">IF("CONGÉ"=Horo8250[[#This Row],[Tâche]],Horo8250[[#This Row],[Durée]],"")</f>
        <v/>
      </c>
      <c r="S36" s="57" t="str">
        <f aca="false">IF("PS"=Horo8250[[#This Row],[Tâche]],Horo8250[[#This Row],[Durée]],"")</f>
        <v/>
      </c>
      <c r="T36" s="56" t="str">
        <f aca="false">IF("TD"=Horo8250[[#This Row],[Tâche]],Horo8250[[#This Row],[Durée]],"")</f>
        <v/>
      </c>
      <c r="U36" s="55" t="str">
        <f aca="false">IF("N/C"=Horo8250[[#This Row],[Tâche]],Horo8250[[#This Row],[Durée]],"")</f>
        <v/>
      </c>
      <c r="V36" s="58"/>
      <c r="W36" s="59" t="str">
        <f aca="false">IF(Horo8250[[#This Row],[O]]="o",Horo8250[[#This Row],[Durée]],".")</f>
        <v>.</v>
      </c>
      <c r="X36" s="60" t="str">
        <f aca="false">IF(Horo8250[[#This Row],[Début]]=0,"",Horo8250[[#This Row],[Fin]]-Horo8250[[#This Row],[Début]])</f>
        <v/>
      </c>
    </row>
    <row r="37" customFormat="false" ht="15" hidden="false" customHeight="false" outlineLevel="0" collapsed="false">
      <c r="A37" s="45" t="s">
        <v>33</v>
      </c>
      <c r="B37" s="46" t="n">
        <f aca="false">IF(Horo8250[[#This Row],[Jour]]="Lundi",$C$1+1, IF(Horo8250[[#This Row],[Jour]]="Mardi",$C$1+2, IF(Horo8250[[#This Row],[Jour]]="Mercredi",$C$1+3, IF(Horo8250[[#This Row],[Jour]]="Jeudi",$C$1+4, IF(Horo8250[[#This Row],[Jour]]="Vendredi",$C$1+5, IF(Horo8250[[#This Row],[Jour]]="Samedi",$C$1+6, IF(Horo8250[[#This Row],[Jour]]="Dimanche",$C$1, )))))))</f>
        <v>0</v>
      </c>
      <c r="C37" s="47"/>
      <c r="D37" s="48"/>
      <c r="E37" s="48"/>
      <c r="F37" s="49" t="s">
        <v>32</v>
      </c>
      <c r="G37" s="49" t="s">
        <v>27</v>
      </c>
      <c r="H37" s="50" t="s">
        <v>33</v>
      </c>
      <c r="I37" s="61"/>
      <c r="J37" s="52" t="str">
        <f aca="false">IF(Horo8250[[#This Row],[Début]]=0,"",(Horo8250[[#This Row],[Durée (60)2]]-INT(Horo8250[[#This Row],[Durée (60)2]]))*24)</f>
        <v/>
      </c>
      <c r="K37" s="62" t="n">
        <f aca="false">SUMIF(Horo8250[Jour],C37,Horo8250[Durée])</f>
        <v>0</v>
      </c>
      <c r="L37" s="54" t="str">
        <f aca="false">IFERROR(SUMIF(Horo8250[[#This Row],[Jour]],Horo8250[[#This Row],[Jour]],Horo8250[[#This Row],[GPF]]) / Horo8250[[#This Row],[hrs]],"")</f>
        <v/>
      </c>
      <c r="M37" s="56" t="str">
        <f aca="false">IF("GPF"=Horo8250[[#This Row],[Tâche]],Horo8250[[#This Row],[Durée]],"")</f>
        <v/>
      </c>
      <c r="N37" s="56" t="str">
        <f aca="false">IF("RI"=Horo8250[[#This Row],[Tâche]],Horo8250[[#This Row],[Durée]],"")</f>
        <v/>
      </c>
      <c r="O37" s="56" t="str">
        <f aca="false">IF("GB"=Horo8250[[#This Row],[Tâche]],Horo8250[[#This Row],[Durée]],"")</f>
        <v/>
      </c>
      <c r="P37" s="56" t="str">
        <f aca="false">IF("RD"=Horo8250[[#This Row],[Tâche]],Horo8250[[#This Row],[Durée]],"")</f>
        <v/>
      </c>
      <c r="Q37" s="56" t="str">
        <f aca="false">IF("FG"=Horo8250[[#This Row],[Tâche]],Horo8250[[#This Row],[Durée]],"")</f>
        <v/>
      </c>
      <c r="R37" s="56" t="str">
        <f aca="false">IF("CONGÉ"=Horo8250[[#This Row],[Tâche]],Horo8250[[#This Row],[Durée]],"")</f>
        <v/>
      </c>
      <c r="S37" s="56" t="str">
        <f aca="false">IF("PS"=Horo8250[[#This Row],[Tâche]],Horo8250[[#This Row],[Durée]],"")</f>
        <v/>
      </c>
      <c r="T37" s="56" t="str">
        <f aca="false">IF("TD"=Horo8250[[#This Row],[Tâche]],Horo8250[[#This Row],[Durée]],"")</f>
        <v/>
      </c>
      <c r="U37" s="56" t="str">
        <f aca="false">IF("N/C"=Horo8250[[#This Row],[Tâche]],Horo8250[[#This Row],[Durée]],"")</f>
        <v/>
      </c>
      <c r="V37" s="58"/>
      <c r="W37" s="59" t="str">
        <f aca="false">IF(Horo8250[[#This Row],[O]]="o",Horo8250[[#This Row],[Durée]],".")</f>
        <v>.</v>
      </c>
      <c r="X37" s="64" t="str">
        <f aca="false">IF(Horo8250[[#This Row],[Début]]=0,"",Horo8250[[#This Row],[Fin]]-Horo8250[[#This Row],[Début]])</f>
        <v/>
      </c>
    </row>
    <row r="43" s="3" customFormat="true" ht="15" hidden="false" customHeight="false" outlineLevel="0" collapsed="false">
      <c r="L43" s="65"/>
    </row>
    <row r="44" customFormat="false" ht="15" hidden="false" customHeight="false" outlineLevel="0" collapsed="false">
      <c r="A44" s="66" t="s">
        <v>18</v>
      </c>
      <c r="B44" s="66" t="s">
        <v>57</v>
      </c>
      <c r="C44" s="66" t="s">
        <v>58</v>
      </c>
    </row>
    <row r="45" customFormat="false" ht="15" hidden="false" customHeight="false" outlineLevel="0" collapsed="false">
      <c r="A45" s="67" t="n">
        <f aca="false">IF((SUMIF(Horo8250[Client],B45,Horo8250[Durée]) / Total)=0,"",(SUMIF(Horo8250[Client],B45,Horo8250[Durée]) / Total))</f>
        <v>0.701298701298701</v>
      </c>
      <c r="B45" s="68" t="s">
        <v>32</v>
      </c>
      <c r="C45" s="69" t="n">
        <f aca="false">IF(SUMIF(Horo8250[Client],B45,Horo8250[Durée])=0,"",SUMIF(Horo8250[Client],B45,Horo8250[Durée]))</f>
        <v>27</v>
      </c>
    </row>
    <row r="46" customFormat="false" ht="15" hidden="false" customHeight="false" outlineLevel="0" collapsed="false">
      <c r="A46" s="67" t="n">
        <f aca="false">IF((SUMIF(Horo8250[Client],B46,Horo8250[Durée]) / Total)=0,"",(SUMIF(Horo8250[Client],B46,Horo8250[Durée]) / Total))</f>
        <v>0.103896103896104</v>
      </c>
      <c r="B46" s="68" t="s">
        <v>59</v>
      </c>
      <c r="C46" s="69" t="n">
        <f aca="false">IF(SUMIF(Horo8250[Client],B46,Horo8250[Durée])=0,"",SUMIF(Horo8250[Client],B46,Horo8250[Durée]))</f>
        <v>4</v>
      </c>
      <c r="I46" s="61"/>
    </row>
    <row r="47" customFormat="false" ht="15" hidden="true" customHeight="false" outlineLevel="0" collapsed="false">
      <c r="A47" s="67" t="str">
        <f aca="false">IF((SUMIF(Horo8250[Client],B47,Horo8250[Durée]) / Total)=0,"",(SUMIF(Horo8250[Client],B47,Horo8250[Durée]) / Total))</f>
        <v/>
      </c>
      <c r="B47" s="68" t="s">
        <v>60</v>
      </c>
      <c r="C47" s="70" t="str">
        <f aca="false">IF(SUMIF(Horo8250[Client],B47,Horo8250[Durée])=0,"",SUMIF(Horo8250[Client],B47,Horo8250[Durée]))</f>
        <v/>
      </c>
    </row>
    <row r="48" customFormat="false" ht="15" hidden="false" customHeight="false" outlineLevel="0" collapsed="false">
      <c r="A48" s="67" t="str">
        <f aca="false">IF((SUMIF(Horo8250[Client],B48,Horo8250[Durée]) / Total)=0,"",(SUMIF(Horo8250[Client],B48,Horo8250[Durée]) / Total))</f>
        <v/>
      </c>
      <c r="B48" s="68" t="s">
        <v>61</v>
      </c>
      <c r="C48" s="70" t="str">
        <f aca="false">IF(SUMIF(Horo8250[Client],B48,Horo8250[Durée])=0,"",SUMIF(Horo8250[Client],B48,Horo8250[Durée]))</f>
        <v/>
      </c>
      <c r="I48" s="61"/>
    </row>
    <row r="49" customFormat="false" ht="15" hidden="true" customHeight="false" outlineLevel="0" collapsed="false">
      <c r="A49" s="67" t="str">
        <f aca="false">IF((SUMIF(Horo8250[Client],B49,Horo8250[Durée]) / Total)=0,"",(SUMIF(Horo8250[Client],B49,Horo8250[Durée]) / Total))</f>
        <v/>
      </c>
      <c r="B49" s="68" t="s">
        <v>62</v>
      </c>
      <c r="C49" s="70" t="str">
        <f aca="false">IF(SUMIF(Horo8250[Client],B49,Horo8250[Durée])=0,"",SUMIF(Horo8250[Client],B49,Horo8250[Durée]))</f>
        <v/>
      </c>
    </row>
    <row r="50" customFormat="false" ht="15" hidden="true" customHeight="false" outlineLevel="0" collapsed="false">
      <c r="A50" s="67" t="str">
        <f aca="false">IF((SUMIF(Horo8250[Client],B50,Horo8250[Durée]) / Total)=0,"",(SUMIF(Horo8250[Client],B50,Horo8250[Durée]) / Total))</f>
        <v/>
      </c>
      <c r="B50" s="68" t="s">
        <v>63</v>
      </c>
      <c r="C50" s="69" t="str">
        <f aca="false">IF(SUMIF(Horo8250[Client],B50,Horo8250[Durée])=0,"",SUMIF(Horo8250[Client],B50,Horo8250[Durée]))</f>
        <v/>
      </c>
    </row>
    <row r="51" customFormat="false" ht="15" hidden="true" customHeight="false" outlineLevel="0" collapsed="false">
      <c r="A51" s="67" t="str">
        <f aca="false">IF((SUMIF(Horo8250[Client],B51,Horo8250[Durée]) / Total)=0,"",(SUMIF(Horo8250[Client],B51,Horo8250[Durée]) / Total))</f>
        <v/>
      </c>
      <c r="B51" s="68" t="s">
        <v>64</v>
      </c>
      <c r="C51" s="70" t="str">
        <f aca="false">IF(SUMIF(Horo8250[Client],B51,Horo8250[Durée])=0,"",SUMIF(Horo8250[Client],B51,Horo8250[Durée]))</f>
        <v/>
      </c>
    </row>
    <row r="52" customFormat="false" ht="15" hidden="true" customHeight="false" outlineLevel="0" collapsed="false">
      <c r="A52" s="67" t="str">
        <f aca="false">IF((SUMIF(Horo8250[Client],B52,Horo8250[Durée]) / Total)=0,"",(SUMIF(Horo8250[Client],B52,Horo8250[Durée]) / Total))</f>
        <v/>
      </c>
      <c r="B52" s="68" t="s">
        <v>65</v>
      </c>
      <c r="C52" s="70" t="str">
        <f aca="false">IF(SUMIF(Horo8250[Client],B52,Horo8250[Durée])=0,"",SUMIF(Horo8250[Client],B52,Horo8250[Durée]))</f>
        <v/>
      </c>
      <c r="F52" s="71"/>
    </row>
    <row r="53" customFormat="false" ht="15" hidden="true" customHeight="false" outlineLevel="0" collapsed="false">
      <c r="A53" s="67" t="str">
        <f aca="false">IF((SUMIF(Horo8250[Client],B53,Horo8250[Durée]) / Total)=0,"",(SUMIF(Horo8250[Client],B53,Horo8250[Durée]) / Total))</f>
        <v/>
      </c>
      <c r="B53" s="68" t="s">
        <v>66</v>
      </c>
      <c r="C53" s="69" t="str">
        <f aca="false">IF(SUMIF(Horo8250[Client],B53,Horo8250[Durée])=0,"",SUMIF(Horo8250[Client],B53,Horo8250[Durée]))</f>
        <v/>
      </c>
    </row>
    <row r="54" customFormat="false" ht="15" hidden="true" customHeight="false" outlineLevel="0" collapsed="false">
      <c r="A54" s="67" t="str">
        <f aca="false">IF((SUMIF(Horo8250[Client],B54,Horo8250[Durée]) / Total)=0,"",(SUMIF(Horo8250[Client],B54,Horo8250[Durée]) / Total))</f>
        <v/>
      </c>
      <c r="B54" s="68" t="s">
        <v>47</v>
      </c>
      <c r="C54" s="70" t="str">
        <f aca="false">IF(SUMIF(Horo8250[Client],B54,Horo8250[Durée])=0,"",SUMIF(Horo8250[Client],B54,Horo8250[Durée]))</f>
        <v/>
      </c>
    </row>
    <row r="55" customFormat="false" ht="15" hidden="true" customHeight="false" outlineLevel="0" collapsed="false">
      <c r="A55" s="67" t="n">
        <f aca="false">IF((SUMIF(Horo8250[Client],B55,Horo8250[Durée]) / Total)=0,"",(SUMIF(Horo8250[Client],B55,Horo8250[Durée]) / Total))</f>
        <v>0.012987012987013</v>
      </c>
      <c r="B55" s="68" t="s">
        <v>67</v>
      </c>
      <c r="C55" s="70" t="n">
        <f aca="false">IF(SUMIF(Horo8250[Client],B55,Horo8250[Durée])=0,"",SUMIF(Horo8250[Client],B55,Horo8250[Durée]))</f>
        <v>0.500000000000001</v>
      </c>
    </row>
    <row r="56" customFormat="false" ht="15" hidden="true" customHeight="false" outlineLevel="0" collapsed="false">
      <c r="A56" s="67" t="str">
        <f aca="false">IF((SUMIF(Horo8250[Client],B56,Horo8250[Durée]) / Total)=0,"",(SUMIF(Horo8250[Client],B56,Horo8250[Durée]) / Total))</f>
        <v/>
      </c>
      <c r="B56" s="68" t="s">
        <v>68</v>
      </c>
      <c r="C56" s="70" t="str">
        <f aca="false">IF(SUMIF(Horo8250[Client],B56,Horo8250[Durée])=0,"",SUMIF(Horo8250[Client],B56,Horo8250[Durée]))</f>
        <v/>
      </c>
    </row>
    <row r="57" customFormat="false" ht="15" hidden="true" customHeight="false" outlineLevel="0" collapsed="false">
      <c r="A57" s="67" t="str">
        <f aca="false">IF((SUMIF(Horo8250[Client],B57,Horo8250[Durée]) / Total)=0,"",(SUMIF(Horo8250[Client],B57,Horo8250[Durée]) / Total))</f>
        <v/>
      </c>
      <c r="B57" s="68" t="s">
        <v>41</v>
      </c>
      <c r="C57" s="70" t="str">
        <f aca="false">IF(SUMIF(Horo8250[Client],B57,Horo8250[Durée])=0,"",SUMIF(Horo8250[Client],B57,Horo8250[Durée]))</f>
        <v/>
      </c>
    </row>
    <row r="58" customFormat="false" ht="15" hidden="false" customHeight="false" outlineLevel="0" collapsed="false">
      <c r="A58" s="67" t="n">
        <f aca="false">IF((SUMIF(Horo8250[Client],B58,Horo8250[Durée]) / Total)=0,"",(SUMIF(Horo8250[Client],B58,Horo8250[Durée]) / Total))</f>
        <v>0.103896103896104</v>
      </c>
      <c r="B58" s="68" t="s">
        <v>37</v>
      </c>
      <c r="C58" s="69" t="n">
        <f aca="false">IF(SUMIF(Horo8250[Client],B58,Horo8250[Durée])=0,"",SUMIF(Horo8250[Client],B58,Horo8250[Durée]))</f>
        <v>4</v>
      </c>
    </row>
    <row r="59" customFormat="false" ht="15" hidden="true" customHeight="false" outlineLevel="0" collapsed="false">
      <c r="A59" s="67" t="str">
        <f aca="false">IF((SUMIF(Horo8250[Client],B59,Horo8250[Durée]) / Total)=0,"",(SUMIF(Horo8250[Client],B59,Horo8250[Durée]) / Total))</f>
        <v/>
      </c>
      <c r="B59" s="68" t="s">
        <v>69</v>
      </c>
      <c r="C59" s="69" t="str">
        <f aca="false">IF(SUMIF(Horo8250[Client],B59,Horo8250[Durée])=0,"",SUMIF(Horo8250[Client],B59,Horo8250[Durée]))</f>
        <v/>
      </c>
    </row>
    <row r="60" customFormat="false" ht="15" hidden="true" customHeight="false" outlineLevel="0" collapsed="false">
      <c r="A60" s="67" t="str">
        <f aca="false">IF((SUMIF(Horo8250[Client],B60,Horo8250[Durée]) / Total)=0,"",(SUMIF(Horo8250[Client],B60,Horo8250[Durée]) / Total))</f>
        <v/>
      </c>
      <c r="B60" s="68" t="s">
        <v>70</v>
      </c>
      <c r="C60" s="70" t="str">
        <f aca="false">IF(SUMIF(Horo8250[Client],B60,Horo8250[Durée])=0,"",SUMIF(Horo8250[Client],B60,Horo8250[Durée]))</f>
        <v/>
      </c>
    </row>
    <row r="61" customFormat="false" ht="15" hidden="true" customHeight="false" outlineLevel="1" collapsed="false">
      <c r="A61" s="67" t="str">
        <f aca="false">IF((SUMIF(Horo8250[Client],B61,Horo8250[Durée]) / Total)=0,"",(SUMIF(Horo8250[Client],B61,Horo8250[Durée]) / Total))</f>
        <v/>
      </c>
      <c r="B61" s="68" t="s">
        <v>71</v>
      </c>
      <c r="C61" s="70" t="str">
        <f aca="false">IF(SUMIF(Horo8250[Client],B61,Horo8250[Durée])=0,"",SUMIF(Horo8250[Client],B61,Horo8250[Durée]))</f>
        <v/>
      </c>
    </row>
    <row r="62" customFormat="false" ht="15" hidden="true" customHeight="false" outlineLevel="1" collapsed="false">
      <c r="A62" s="67" t="str">
        <f aca="false">IF((SUMIF(Horo8250[Client],B62,Horo8250[Durée]) / Total)=0,"",(SUMIF(Horo8250[Client],B62,Horo8250[Durée]) / Total))</f>
        <v/>
      </c>
      <c r="B62" s="68" t="s">
        <v>72</v>
      </c>
      <c r="C62" s="70" t="str">
        <f aca="false">IF(SUMIF(Horo8250[Client],B62,Horo8250[Durée])=0,"",SUMIF(Horo8250[Client],B62,Horo8250[Durée]))</f>
        <v/>
      </c>
    </row>
    <row r="63" customFormat="false" ht="15" hidden="true" customHeight="false" outlineLevel="1" collapsed="false">
      <c r="A63" s="67" t="str">
        <f aca="false">IF((SUMIF(Horo8250[Client],B63,Horo8250[Durée]) / Total)=0,"",(SUMIF(Horo8250[Client],B63,Horo8250[Durée]) / Total))</f>
        <v/>
      </c>
      <c r="B63" s="68" t="s">
        <v>73</v>
      </c>
      <c r="C63" s="70" t="str">
        <f aca="false">IF(SUMIF(Horo8250[Client],B63,Horo8250[Durée])=0,"",SUMIF(Horo8250[Client],B63,Horo8250[Durée]))</f>
        <v/>
      </c>
    </row>
    <row r="64" customFormat="false" ht="15" hidden="true" customHeight="false" outlineLevel="1" collapsed="false">
      <c r="A64" s="67" t="str">
        <f aca="false">IF((SUMIF(Horo8250[Client],B64,Horo8250[Durée]) / Total)=0,"",(SUMIF(Horo8250[Client],B64,Horo8250[Durée]) / Total))</f>
        <v/>
      </c>
      <c r="B64" s="68" t="s">
        <v>74</v>
      </c>
      <c r="C64" s="70" t="str">
        <f aca="false">IF(SUMIF(Horo8250[Client],B64,Horo8250[Durée])=0,"",SUMIF(Horo8250[Client],B64,Horo8250[Durée]))</f>
        <v/>
      </c>
    </row>
    <row r="65" customFormat="false" ht="15" hidden="false" customHeight="false" outlineLevel="1" collapsed="false">
      <c r="A65" s="67" t="n">
        <f aca="false">IF((SUMIF(Horo8250[Client],B65,Horo8250[Durée]) / Total)=0,"",(SUMIF(Horo8250[Client],B65,Horo8250[Durée]) / Total))</f>
        <v>0.116883116883117</v>
      </c>
      <c r="B65" s="68" t="s">
        <v>75</v>
      </c>
      <c r="C65" s="69" t="n">
        <f aca="false">IF(SUMIF(Horo8250[Client],B65,Horo8250[Durée])=0,"",SUMIF(Horo8250[Client],B65,Horo8250[Durée]))</f>
        <v>4.5</v>
      </c>
    </row>
    <row r="66" customFormat="false" ht="15" hidden="true" customHeight="false" outlineLevel="1" collapsed="false">
      <c r="A66" s="67" t="str">
        <f aca="false">IF((SUMIF(Horo8250[Client],B66,Horo8250[Durée]) / Total)=0,"",(SUMIF(Horo8250[Client],B66,Horo8250[Durée]) / Total))</f>
        <v/>
      </c>
      <c r="B66" s="68" t="s">
        <v>76</v>
      </c>
      <c r="C66" s="70" t="str">
        <f aca="false">IF(SUMIF(Horo8250[Client],B66,Horo8250[Durée])=0,"",SUMIF(Horo8250[Client],B66,Horo8250[Durée]))</f>
        <v/>
      </c>
    </row>
    <row r="67" customFormat="false" ht="15" hidden="true" customHeight="false" outlineLevel="1" collapsed="false">
      <c r="A67" s="67" t="str">
        <f aca="false">IF((SUMIF(Horo8250[Client],B67,Horo8250[Durée]) / Total)=0,"",(SUMIF(Horo8250[Client],B67,Horo8250[Durée]) / Total))</f>
        <v/>
      </c>
      <c r="B67" s="68" t="s">
        <v>77</v>
      </c>
      <c r="C67" s="70" t="str">
        <f aca="false">IF(SUMIF(Horo8250[Client],B67,Horo8250[Durée])=0,"",SUMIF(Horo8250[Client],B67,Horo8250[Durée]))</f>
        <v/>
      </c>
    </row>
    <row r="68" customFormat="false" ht="15" hidden="true" customHeight="false" outlineLevel="1" collapsed="false">
      <c r="A68" s="67" t="str">
        <f aca="false">IF((SUMIF(Horo8250[Client],B68,Horo8250[Durée]) / Total)=0,"",(SUMIF(Horo8250[Client],B68,Horo8250[Durée]) / Total))</f>
        <v/>
      </c>
      <c r="B68" s="68" t="s">
        <v>45</v>
      </c>
      <c r="C68" s="70" t="str">
        <f aca="false">IF(SUMIF(Horo8250[Client],B68,Horo8250[Durée])=0,"",SUMIF(Horo8250[Client],B68,Horo8250[Durée]))</f>
        <v/>
      </c>
    </row>
    <row r="69" customFormat="false" ht="15" hidden="true" customHeight="false" outlineLevel="1" collapsed="false">
      <c r="A69" s="67" t="str">
        <f aca="false">IF((SUMIF(Horo8250[Client],B69,Horo8250[Durée]) / Total)=0,"",(SUMIF(Horo8250[Client],B69,Horo8250[Durée]) / Total))</f>
        <v/>
      </c>
      <c r="B69" s="68" t="s">
        <v>78</v>
      </c>
      <c r="C69" s="70" t="str">
        <f aca="false">IF(SUMIF(Horo8250[Client],B69,Horo8250[Durée])=0,"",SUMIF(Horo8250[Client],B69,Horo8250[Durée]))</f>
        <v/>
      </c>
    </row>
    <row r="70" customFormat="false" ht="15" hidden="true" customHeight="false" outlineLevel="1" collapsed="false">
      <c r="A70" s="67" t="str">
        <f aca="false">IF((SUMIF(Horo8250[Client],B70,Horo8250[Durée]) / Total)=0,"",(SUMIF(Horo8250[Client],B70,Horo8250[Durée]) / Total))</f>
        <v/>
      </c>
      <c r="B70" s="68" t="s">
        <v>79</v>
      </c>
      <c r="C70" s="70" t="str">
        <f aca="false">IF(SUMIF(Horo8250[Client],B70,Horo8250[Durée])=0,"",SUMIF(Horo8250[Client],B70,Horo8250[Durée]))</f>
        <v/>
      </c>
    </row>
    <row r="71" customFormat="false" ht="15" hidden="true" customHeight="false" outlineLevel="1" collapsed="false">
      <c r="A71" s="67" t="str">
        <f aca="false">IF((SUMIF(Horo8250[Client],B71,Horo8250[Durée]) / Total)=0,"",(SUMIF(Horo8250[Client],B71,Horo8250[Durée]) / Total))</f>
        <v/>
      </c>
      <c r="B71" s="68" t="s">
        <v>80</v>
      </c>
      <c r="C71" s="70" t="str">
        <f aca="false">IF(SUMIF(Horo8250[Client],B71,Horo8250[Durée])=0,"",SUMIF(Horo8250[Client],B71,Horo8250[Durée]))</f>
        <v/>
      </c>
    </row>
    <row r="72" customFormat="false" ht="15" hidden="true" customHeight="false" outlineLevel="1" collapsed="false">
      <c r="A72" s="67" t="str">
        <f aca="false">IF((SUMIF(Horo8250[Client],B72,Horo8250[Durée]) / Total)=0,"",(SUMIF(Horo8250[Client],B72,Horo8250[Durée]) / Total))</f>
        <v/>
      </c>
      <c r="B72" s="72" t="s">
        <v>81</v>
      </c>
      <c r="C72" s="69" t="str">
        <f aca="false">IF(SUMIF(Horo8250[Client],B72,Horo8250[Durée])=0,"",SUMIF(Horo8250[Client],B72,Horo8250[Durée]))</f>
        <v/>
      </c>
    </row>
    <row r="73" customFormat="false" ht="15" hidden="true" customHeight="false" outlineLevel="1" collapsed="false"/>
    <row r="74" customFormat="false" ht="15" hidden="true" customHeight="false" outlineLevel="1" collapsed="false"/>
    <row r="75" customFormat="false" ht="15" hidden="true" customHeight="false" outlineLevel="1" collapsed="false"/>
    <row r="76" customFormat="false" ht="15" hidden="true" customHeight="false" outlineLevel="1" collapsed="false"/>
    <row r="77" customFormat="false" ht="15" hidden="true" customHeight="false" outlineLevel="1" collapsed="false"/>
    <row r="78" customFormat="false" ht="15" hidden="true" customHeight="false" outlineLevel="1" collapsed="false"/>
    <row r="79" customFormat="false" ht="15" hidden="true" customHeight="false" outlineLevel="1" collapsed="false"/>
    <row r="80" customFormat="false" ht="15" hidden="true" customHeight="false" outlineLevel="1" collapsed="false"/>
    <row r="81" customFormat="false" ht="15" hidden="true" customHeight="false" outlineLevel="1" collapsed="false"/>
  </sheetData>
  <conditionalFormatting sqref="I37">
    <cfRule type="expression" priority="2" aboveAverage="0" equalAverage="0" bottom="0" percent="0" rank="0" text="" dxfId="279">
      <formula>A37="O"</formula>
    </cfRule>
  </conditionalFormatting>
  <conditionalFormatting sqref="I46">
    <cfRule type="expression" priority="3" aboveAverage="0" equalAverage="0" bottom="0" percent="0" rank="0" text="" dxfId="280">
      <formula>A46="O"</formula>
    </cfRule>
  </conditionalFormatting>
  <conditionalFormatting sqref="I48">
    <cfRule type="expression" priority="4" aboveAverage="0" equalAverage="0" bottom="0" percent="0" rank="0" text="" dxfId="281">
      <formula>A48="O"</formula>
    </cfRule>
  </conditionalFormatting>
  <conditionalFormatting sqref="H4:H37">
    <cfRule type="expression" priority="5" aboveAverage="0" equalAverage="0" bottom="0" percent="0" rank="0" text="" dxfId="282">
      <formula>A4="O"</formula>
    </cfRule>
  </conditionalFormatting>
  <conditionalFormatting sqref="K4:K37">
    <cfRule type="expression" priority="6" aboveAverage="0" equalAverage="0" bottom="0" percent="0" rank="0" text="" dxfId="283">
      <formula>A4="O"</formula>
    </cfRule>
    <cfRule type="expression" priority="7" aboveAverage="0" equalAverage="0" bottom="0" percent="0" rank="0" text="" dxfId="284">
      <formula>A4="O"</formula>
    </cfRule>
  </conditionalFormatting>
  <conditionalFormatting sqref="C4:C37">
    <cfRule type="expression" priority="8" aboveAverage="0" equalAverage="0" bottom="0" percent="0" rank="0" text="" dxfId="285">
      <formula>A4="O"</formula>
    </cfRule>
    <cfRule type="containsText" priority="9" operator="containsText" aboveAverage="0" equalAverage="0" bottom="0" percent="0" rank="0" text="Dimanche" dxfId="286">
      <formula>NOT(ISERROR(SEARCH("Dimanche",C4)))</formula>
    </cfRule>
    <cfRule type="containsText" priority="10" operator="containsText" aboveAverage="0" equalAverage="0" bottom="0" percent="0" rank="0" text="Samedi" dxfId="287">
      <formula>NOT(ISERROR(SEARCH("Samedi",C4)))</formula>
    </cfRule>
    <cfRule type="containsText" priority="11" operator="containsText" aboveAverage="0" equalAverage="0" bottom="0" percent="0" rank="0" text="Vendredi" dxfId="288">
      <formula>NOT(ISERROR(SEARCH("Vendredi",C4)))</formula>
    </cfRule>
    <cfRule type="containsText" priority="12" operator="containsText" aboveAverage="0" equalAverage="0" bottom="0" percent="0" rank="0" text="Jeudi" dxfId="289">
      <formula>NOT(ISERROR(SEARCH("Jeudi",C4)))</formula>
    </cfRule>
    <cfRule type="containsText" priority="13" operator="containsText" aboveAverage="0" equalAverage="0" bottom="0" percent="0" rank="0" text="Mercredi" dxfId="290">
      <formula>NOT(ISERROR(SEARCH("Mercredi",C4)))</formula>
    </cfRule>
    <cfRule type="containsText" priority="14" operator="containsText" aboveAverage="0" equalAverage="0" bottom="0" percent="0" rank="0" text="Mardi" dxfId="291">
      <formula>NOT(ISERROR(SEARCH("Mardi",C4)))</formula>
    </cfRule>
    <cfRule type="containsText" priority="15" operator="containsText" aboveAverage="0" equalAverage="0" bottom="0" percent="0" rank="0" text="Lundi" dxfId="292">
      <formula>NOT(ISERROR(SEARCH("Lundi",C4)))</formula>
    </cfRule>
  </conditionalFormatting>
  <conditionalFormatting sqref="G4:G37">
    <cfRule type="expression" priority="16" aboveAverage="0" equalAverage="0" bottom="0" percent="0" rank="0" text="" dxfId="293">
      <formula>A4="O"</formula>
    </cfRule>
  </conditionalFormatting>
  <conditionalFormatting sqref="J4:J37">
    <cfRule type="expression" priority="17" aboveAverage="0" equalAverage="0" bottom="0" percent="0" rank="0" text="" dxfId="294">
      <formula>A4="O"</formula>
    </cfRule>
  </conditionalFormatting>
  <conditionalFormatting sqref="F4:F37">
    <cfRule type="expression" priority="18" aboveAverage="0" equalAverage="0" bottom="0" percent="0" rank="0" text="" dxfId="295">
      <formula>A4="O"</formula>
    </cfRule>
  </conditionalFormatting>
  <conditionalFormatting sqref="B4:B37">
    <cfRule type="cellIs" priority="19" operator="equal" aboveAverage="0" equalAverage="0" bottom="0" percent="0" rank="0" text="" dxfId="296">
      <formula>0</formula>
    </cfRule>
    <cfRule type="expression" priority="20" aboveAverage="0" equalAverage="0" bottom="0" percent="0" rank="0" text="" dxfId="297">
      <formula>A4="O"</formula>
    </cfRule>
    <cfRule type="colorScale" priority="21">
      <colorScale>
        <cfvo type="percentile" val="10"/>
        <cfvo type="percentile" val="50"/>
        <cfvo type="percentile" val="90"/>
        <color rgb="FFFFC000"/>
        <color rgb="FFC55A11"/>
        <color rgb="FF2E75B6"/>
      </colorScale>
    </cfRule>
  </conditionalFormatting>
  <conditionalFormatting sqref="D4:D37">
    <cfRule type="expression" priority="22" aboveAverage="0" equalAverage="0" bottom="0" percent="0" rank="0" text="" dxfId="298">
      <formula>A4="O"</formula>
    </cfRule>
    <cfRule type="colorScale" priority="23">
      <colorScale>
        <cfvo type="min" val="0"/>
        <cfvo type="percentile" val="50"/>
        <cfvo type="max" val="0"/>
        <color rgb="FFFFC000"/>
        <color rgb="FFC55A11"/>
        <color rgb="FF2E75B6"/>
      </colorScale>
    </cfRule>
  </conditionalFormatting>
  <conditionalFormatting sqref="E4:E37">
    <cfRule type="expression" priority="24" aboveAverage="0" equalAverage="0" bottom="0" percent="0" rank="0" text="" dxfId="299">
      <formula>A4="O"</formula>
    </cfRule>
    <cfRule type="colorScale" priority="25">
      <colorScale>
        <cfvo type="min" val="0"/>
        <cfvo type="percentile" val="50"/>
        <cfvo type="max" val="0"/>
        <color rgb="FFFFC000"/>
        <color rgb="FFC55A11"/>
        <color rgb="FF2E75B6"/>
      </colorScale>
    </cfRule>
  </conditionalFormatting>
  <dataValidations count="5">
    <dataValidation allowBlank="true" errorStyle="stop" operator="between" showDropDown="false" showErrorMessage="true" showInputMessage="true" sqref="C4:C37" type="list">
      <formula1>Data!$C$2:$C$8</formula1>
      <formula2>0</formula2>
    </dataValidation>
    <dataValidation allowBlank="false" errorStyle="stop" operator="between" showDropDown="false" showErrorMessage="true" showInputMessage="true" sqref="F4:F37" type="list">
      <formula1>Data!$E$2:$E$30</formula1>
      <formula2>0</formula2>
    </dataValidation>
    <dataValidation allowBlank="true" errorStyle="information" errorTitle="OK ?" operator="between" showDropDown="false" showErrorMessage="true" showInputMessage="true" sqref="G4:G37" type="list">
      <formula1>Data!$D$2:$D$16</formula1>
      <formula2>0</formula2>
    </dataValidation>
    <dataValidation allowBlank="false" errorStyle="stop" operator="between" showDropDown="false" showErrorMessage="true" showInputMessage="true" sqref="H4:H37" type="list">
      <formula1>Data!$F$2:$F$50</formula1>
      <formula2>0</formula2>
    </dataValidation>
    <dataValidation allowBlank="true" errorStyle="stop" operator="between" showDropDown="false" showErrorMessage="true" showInputMessage="true" sqref="C1" type="list">
      <formula1>Data!$A$2:$A$106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  <tableParts>
    <tablePart r:id="rId2"/>
    <tablePart r:id="rId3"/>
  </tablePart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E74"/>
  <sheetViews>
    <sheetView showFormulas="false" showGridLines="true" showRowColHeaders="true" showZeros="true" rightToLeft="false" tabSelected="false" showOutlineSymbols="true" defaultGridColor="true" view="normal" topLeftCell="A3" colorId="64" zoomScale="100" zoomScaleNormal="100" zoomScalePageLayoutView="100" workbookViewId="0">
      <selection pane="topLeft" activeCell="I11" activeCellId="0" sqref="I11"/>
    </sheetView>
  </sheetViews>
  <sheetFormatPr defaultColWidth="9.1484375" defaultRowHeight="15" zeroHeight="false" outlineLevelRow="1" outlineLevelCol="0"/>
  <cols>
    <col collapsed="false" customWidth="true" hidden="false" outlineLevel="0" max="1" min="1" style="1" width="5.57"/>
    <col collapsed="false" customWidth="true" hidden="false" outlineLevel="0" max="2" min="2" style="1" width="19.42"/>
    <col collapsed="false" customWidth="true" hidden="false" outlineLevel="0" max="3" min="3" style="1" width="18.29"/>
    <col collapsed="false" customWidth="true" hidden="false" outlineLevel="0" max="4" min="4" style="1" width="13.42"/>
    <col collapsed="false" customWidth="true" hidden="false" outlineLevel="0" max="5" min="5" style="1" width="10.57"/>
    <col collapsed="false" customWidth="true" hidden="false" outlineLevel="0" max="6" min="6" style="1" width="19"/>
    <col collapsed="false" customWidth="true" hidden="false" outlineLevel="0" max="7" min="7" style="1" width="11.43"/>
    <col collapsed="false" customWidth="true" hidden="false" outlineLevel="0" max="8" min="8" style="1" width="14.57"/>
    <col collapsed="false" customWidth="true" hidden="false" outlineLevel="0" max="9" min="9" style="1" width="19.29"/>
    <col collapsed="false" customWidth="true" hidden="false" outlineLevel="0" max="10" min="10" style="1" width="9.71"/>
    <col collapsed="false" customWidth="true" hidden="false" outlineLevel="0" max="11" min="11" style="1" width="7.29"/>
    <col collapsed="false" customWidth="true" hidden="false" outlineLevel="0" max="12" min="12" style="2" width="9.86"/>
    <col collapsed="false" customWidth="true" hidden="false" outlineLevel="0" max="13" min="13" style="1" width="6.14"/>
    <col collapsed="false" customWidth="true" hidden="false" outlineLevel="0" max="14" min="14" style="1" width="5"/>
    <col collapsed="false" customWidth="true" hidden="false" outlineLevel="0" max="15" min="15" style="1" width="5.57"/>
    <col collapsed="false" customWidth="true" hidden="false" outlineLevel="0" max="17" min="16" style="1" width="6.14"/>
    <col collapsed="false" customWidth="true" hidden="false" outlineLevel="0" max="18" min="18" style="1" width="8.29"/>
    <col collapsed="false" customWidth="true" hidden="false" outlineLevel="0" max="20" min="19" style="1" width="5"/>
    <col collapsed="false" customWidth="true" hidden="false" outlineLevel="0" max="21" min="21" style="1" width="6.14"/>
    <col collapsed="false" customWidth="true" hidden="true" outlineLevel="0" max="23" min="22" style="1" width="6.14"/>
    <col collapsed="false" customWidth="true" hidden="true" outlineLevel="0" max="24" min="24" style="1" width="12.71"/>
    <col collapsed="false" customWidth="false" hidden="true" outlineLevel="0" max="29" min="25" style="1" width="9.14"/>
    <col collapsed="false" customWidth="true" hidden="true" outlineLevel="0" max="30" min="30" style="1" width="10.57"/>
    <col collapsed="false" customWidth="true" hidden="true" outlineLevel="0" max="31" min="31" style="1" width="11.14"/>
    <col collapsed="false" customWidth="true" hidden="false" outlineLevel="0" max="32" min="32" style="1" width="9.57"/>
    <col collapsed="false" customWidth="false" hidden="false" outlineLevel="0" max="16384" min="33" style="1" width="9.14"/>
  </cols>
  <sheetData>
    <row r="1" customFormat="false" ht="17.35" hidden="false" customHeight="false" outlineLevel="0" collapsed="false">
      <c r="A1" s="3"/>
      <c r="B1" s="4" t="str">
        <f aca="false">"Semaine du :"</f>
        <v>Semaine du :</v>
      </c>
      <c r="C1" s="5" t="n">
        <v>44403</v>
      </c>
      <c r="D1" s="6" t="str">
        <f aca="false">"( "&amp;AVERAGE($E$2:$I$2)&amp;" )"</f>
        <v>( 8 )</v>
      </c>
      <c r="E1" s="7" t="str">
        <f aca="false">IFERROR("Lun.: " &amp; TEXT($Y$2,"00%"),"Lun.: 0%")</f>
        <v>Lun.: 06%</v>
      </c>
      <c r="F1" s="8" t="str">
        <f aca="false">IFERROR("Mar.: " &amp; TEXT($Z$2,"00%"),"Mar.: 0%")</f>
        <v>Mar.: 13%</v>
      </c>
      <c r="G1" s="8" t="str">
        <f aca="false">IFERROR("Mer.: " &amp; TEXT($AA$2,"00%"),"Mer.: 0%")</f>
        <v>Mer.: 28%</v>
      </c>
      <c r="H1" s="8" t="str">
        <f aca="false">IFERROR("Jeu.: " &amp; TEXT($AB$2,"00%"),"Jeu.: 0%")</f>
        <v>Jeu.: 00%</v>
      </c>
      <c r="I1" s="8" t="str">
        <f aca="false">IFERROR("Ven.: " &amp; TEXT($AC$2,"00%"),"Ven.: 0%")</f>
        <v>Ven.: 00%</v>
      </c>
      <c r="J1" s="9" t="str">
        <f aca="false">IFERROR("S.: " &amp; TEXT($AD$2,"00%"),"S.: 0%")</f>
        <v>S.: 00%</v>
      </c>
      <c r="K1" s="10" t="str">
        <f aca="false">IFERROR("D.: " &amp; TEXT($AE$2,"00%"), "D.: 0%")</f>
        <v>D.: 00%</v>
      </c>
      <c r="L1" s="11"/>
      <c r="M1" s="12" t="n">
        <f aca="false">M2/Total</f>
        <v>0.0974025974025974</v>
      </c>
      <c r="N1" s="12" t="n">
        <f aca="false">N2/$C$2</f>
        <v>0.0125</v>
      </c>
      <c r="O1" s="12" t="n">
        <f aca="false">O2/$C$2</f>
        <v>0.1875</v>
      </c>
      <c r="P1" s="12" t="n">
        <f aca="false">P2/$C$2</f>
        <v>0.03125</v>
      </c>
      <c r="Q1" s="12" t="n">
        <f aca="false">Q2/$C$2</f>
        <v>0.45</v>
      </c>
      <c r="R1" s="13" t="n">
        <f aca="false">R2/$C$2</f>
        <v>0.2</v>
      </c>
      <c r="S1" s="13" t="n">
        <f aca="false">S2/$C$2</f>
        <v>0</v>
      </c>
      <c r="T1" s="13" t="n">
        <f aca="false">T2/$C$2</f>
        <v>0</v>
      </c>
      <c r="U1" s="14" t="n">
        <f aca="false">U2/$C$2</f>
        <v>0.025</v>
      </c>
      <c r="V1" s="15"/>
      <c r="W1" s="16"/>
      <c r="X1" s="17" t="e">
        <f aca="false">SUM(#REF!)</f>
        <v>#REF!</v>
      </c>
      <c r="Y1" s="18" t="s">
        <v>0</v>
      </c>
      <c r="Z1" s="18" t="s">
        <v>1</v>
      </c>
      <c r="AA1" s="18" t="s">
        <v>2</v>
      </c>
      <c r="AB1" s="18" t="s">
        <v>3</v>
      </c>
      <c r="AC1" s="18" t="s">
        <v>4</v>
      </c>
      <c r="AD1" s="18" t="s">
        <v>5</v>
      </c>
      <c r="AE1" s="18" t="s">
        <v>6</v>
      </c>
    </row>
    <row r="2" customFormat="false" ht="22.05" hidden="false" customHeight="false" outlineLevel="0" collapsed="false">
      <c r="A2" s="3"/>
      <c r="B2" s="19" t="n">
        <f aca="false">X2</f>
        <v>0.1484375</v>
      </c>
      <c r="C2" s="20" t="n">
        <f aca="false">SUM(Horo82103[Durée])</f>
        <v>40</v>
      </c>
      <c r="D2" s="21" t="str">
        <f aca="false">ROUND(SUM(Horo82103[T]),2) &amp; " / " &amp; ROUND($C$2-SUM(Horo82103[T]),2)</f>
        <v>40 / 0</v>
      </c>
      <c r="E2" s="22" t="n">
        <f aca="false">SUMIF(Horo82103[Jour],"Lundi",Horo82103[Durée])</f>
        <v>8</v>
      </c>
      <c r="F2" s="23" t="n">
        <f aca="false">SUMIF(Horo82103[Jour],"Mardi",Horo82103[Durée])</f>
        <v>8</v>
      </c>
      <c r="G2" s="23" t="n">
        <f aca="false">SUMIF(Horo82103[Jour],"Mercredi",Horo82103[Durée])</f>
        <v>8</v>
      </c>
      <c r="H2" s="23" t="n">
        <f aca="false">SUMIF(Horo82103[Jour],"Jeudi",Horo82103[Durée])</f>
        <v>8</v>
      </c>
      <c r="I2" s="23" t="n">
        <f aca="false">SUMIF(Horo82103[Jour],"Vendredi",Horo82103[Durée])</f>
        <v>8</v>
      </c>
      <c r="J2" s="23" t="n">
        <f aca="false">SUMIF(Horo82103[Jour],"Samedi",Horo82103[Durée])</f>
        <v>0</v>
      </c>
      <c r="K2" s="23" t="n">
        <f aca="false">SUMIF(Horo82103[Jour],"Dimanche",Horo82103[Durée])</f>
        <v>0</v>
      </c>
      <c r="L2" s="24"/>
      <c r="M2" s="25" t="n">
        <f aca="false">SUM(Horo82103[GPF])</f>
        <v>3.75</v>
      </c>
      <c r="N2" s="25" t="n">
        <f aca="false">SUM(Horo82103[RI])</f>
        <v>0.500000000000001</v>
      </c>
      <c r="O2" s="25" t="n">
        <f aca="false">SUM(Horo82103[GB])</f>
        <v>7.5</v>
      </c>
      <c r="P2" s="25" t="n">
        <f aca="false">SUM(Horo82103[RD])</f>
        <v>1.25</v>
      </c>
      <c r="Q2" s="25" t="n">
        <f aca="false">SUM(Horo82103[FG])</f>
        <v>18</v>
      </c>
      <c r="R2" s="26" t="n">
        <f aca="false">SUM(Horo82103[CONGÉ])</f>
        <v>8</v>
      </c>
      <c r="S2" s="26" t="n">
        <f aca="false">SUM(Horo82103[PS])</f>
        <v>0</v>
      </c>
      <c r="T2" s="26" t="n">
        <f aca="false">SUM(Horo82103[TD])</f>
        <v>0</v>
      </c>
      <c r="U2" s="27" t="n">
        <f aca="false">SUM(Horo82103[N/C])</f>
        <v>1</v>
      </c>
      <c r="V2" s="17" t="n">
        <f aca="false">(C2-(SUM(N2:T2)))</f>
        <v>4.75000000000001</v>
      </c>
      <c r="W2" s="17" t="n">
        <f aca="false">C2-(R2+S2+T2)</f>
        <v>32</v>
      </c>
      <c r="X2" s="28" t="n">
        <f aca="false">V2/W2</f>
        <v>0.1484375</v>
      </c>
      <c r="Y2" s="29" t="n">
        <f aca="false">SUMIF(Horo82103[Jour],"Lundi",Horo82103[GPF]) / $E$2</f>
        <v>0.0625000000000001</v>
      </c>
      <c r="Z2" s="29" t="n">
        <f aca="false">SUMIF(Horo82103[Jour],"Mardi",Horo82103[GPF]) / $F$2</f>
        <v>0.125</v>
      </c>
      <c r="AA2" s="29" t="n">
        <f aca="false">SUMIF(Horo82103[Jour],"Mercredi",Horo82103[GPF]) / $G$2</f>
        <v>0.28125</v>
      </c>
      <c r="AB2" s="29" t="n">
        <f aca="false">SUMIF(Horo82103[Jour],"Jeudi",Horo82103[GPF]) / $H$2</f>
        <v>0</v>
      </c>
      <c r="AC2" s="29" t="n">
        <f aca="false">SUMIF(Horo82103[Jour],"Vendredi",Horo82103[GPF]) / $I$2</f>
        <v>0</v>
      </c>
      <c r="AD2" s="29" t="n">
        <f aca="false">IFERROR(SUMIF(Horo82103[Jour],"Samedi",Horo82103[GPF]) / $J$2,0)</f>
        <v>0</v>
      </c>
      <c r="AE2" s="29" t="n">
        <f aca="false">IFERROR(SUMIF(Horo82103[Jour],"Dimanche",Horo82103[GPF]) / $K$2,0)</f>
        <v>0</v>
      </c>
    </row>
    <row r="3" customFormat="false" ht="15" hidden="false" customHeight="false" outlineLevel="0" collapsed="false">
      <c r="A3" s="30" t="s">
        <v>7</v>
      </c>
      <c r="B3" s="31" t="s">
        <v>8</v>
      </c>
      <c r="C3" s="31" t="s">
        <v>9</v>
      </c>
      <c r="D3" s="32" t="s">
        <v>10</v>
      </c>
      <c r="E3" s="33" t="s">
        <v>11</v>
      </c>
      <c r="F3" s="34" t="s">
        <v>12</v>
      </c>
      <c r="G3" s="34" t="s">
        <v>13</v>
      </c>
      <c r="H3" s="34" t="s">
        <v>14</v>
      </c>
      <c r="I3" s="35" t="s">
        <v>15</v>
      </c>
      <c r="J3" s="36" t="s">
        <v>16</v>
      </c>
      <c r="K3" s="36" t="s">
        <v>17</v>
      </c>
      <c r="L3" s="37" t="s">
        <v>18</v>
      </c>
      <c r="M3" s="38" t="s">
        <v>19</v>
      </c>
      <c r="N3" s="39" t="s">
        <v>20</v>
      </c>
      <c r="O3" s="39" t="s">
        <v>21</v>
      </c>
      <c r="P3" s="39" t="s">
        <v>22</v>
      </c>
      <c r="Q3" s="39" t="s">
        <v>23</v>
      </c>
      <c r="R3" s="40" t="s">
        <v>24</v>
      </c>
      <c r="S3" s="40" t="s">
        <v>25</v>
      </c>
      <c r="T3" s="41" t="s">
        <v>26</v>
      </c>
      <c r="U3" s="41" t="s">
        <v>27</v>
      </c>
      <c r="V3" s="42" t="s">
        <v>28</v>
      </c>
      <c r="W3" s="43" t="s">
        <v>29</v>
      </c>
      <c r="X3" s="44" t="s">
        <v>30</v>
      </c>
    </row>
    <row r="4" customFormat="false" ht="15" hidden="false" customHeight="false" outlineLevel="0" collapsed="false">
      <c r="A4" s="45" t="s">
        <v>31</v>
      </c>
      <c r="B4" s="46" t="n">
        <f aca="false">IF(Horo82103[[#This Row],[Jour]]="Lundi",$C$1+1, IF(Horo82103[[#This Row],[Jour]]="Mardi",$C$1+2, IF(Horo82103[[#This Row],[Jour]]="Mercredi",$C$1+3, IF(Horo82103[[#This Row],[Jour]]="Jeudi",$C$1+4, IF(Horo82103[[#This Row],[Jour]]="Vendredi",$C$1+5, IF(Horo82103[[#This Row],[Jour]]="Samedi",$C$1+6, IF(Horo82103[[#This Row],[Jour]]="Dimanche",$C$1, )))))))</f>
        <v>44404</v>
      </c>
      <c r="C4" s="47" t="s">
        <v>0</v>
      </c>
      <c r="D4" s="48" t="n">
        <v>0.302083333333333</v>
      </c>
      <c r="E4" s="48" t="n">
        <v>0.364583333333333</v>
      </c>
      <c r="F4" s="49" t="s">
        <v>32</v>
      </c>
      <c r="G4" s="49" t="s">
        <v>21</v>
      </c>
      <c r="H4" s="50" t="s">
        <v>94</v>
      </c>
      <c r="I4" s="51" t="s">
        <v>153</v>
      </c>
      <c r="J4" s="52" t="n">
        <f aca="false">IF(Horo82103[[#This Row],[Début]]=0,"",(Horo82103[[#This Row],[Durée (60)2]]-INT(Horo82103[[#This Row],[Durée (60)2]]))*24)</f>
        <v>1.5</v>
      </c>
      <c r="K4" s="53" t="n">
        <f aca="false">SUMIF(Horo82103[Jour],C4,Horo82103[Durée])</f>
        <v>8</v>
      </c>
      <c r="L4" s="54" t="n">
        <f aca="false">IFERROR(SUMIF(Horo82103[[#This Row],[Jour]],Horo82103[[#This Row],[Jour]],Horo82103[[#This Row],[GPF]]) / Horo82103[[#This Row],[hrs]],"")</f>
        <v>0</v>
      </c>
      <c r="M4" s="55" t="str">
        <f aca="false">IF("GPF"=Horo82103[[#This Row],[Tâche]],Horo82103[[#This Row],[Durée]],"")</f>
        <v/>
      </c>
      <c r="N4" s="56" t="str">
        <f aca="false">IF("RI"=Horo82103[[#This Row],[Tâche]],Horo82103[[#This Row],[Durée]],"")</f>
        <v/>
      </c>
      <c r="O4" s="56" t="n">
        <f aca="false">IF("GB"=Horo82103[[#This Row],[Tâche]],Horo82103[[#This Row],[Durée]],"")</f>
        <v>1.5</v>
      </c>
      <c r="P4" s="56" t="str">
        <f aca="false">IF("RD"=Horo82103[[#This Row],[Tâche]],Horo82103[[#This Row],[Durée]],"")</f>
        <v/>
      </c>
      <c r="Q4" s="56" t="str">
        <f aca="false">IF("FG"=Horo82103[[#This Row],[Tâche]],Horo82103[[#This Row],[Durée]],"")</f>
        <v/>
      </c>
      <c r="R4" s="56" t="str">
        <f aca="false">IF("CONGÉ"=Horo82103[[#This Row],[Tâche]],Horo82103[[#This Row],[Durée]],"")</f>
        <v/>
      </c>
      <c r="S4" s="57" t="str">
        <f aca="false">IF("PS"=Horo82103[[#This Row],[Tâche]],Horo82103[[#This Row],[Durée]],"")</f>
        <v/>
      </c>
      <c r="T4" s="56" t="str">
        <f aca="false">IF("TD"=Horo82103[[#This Row],[Tâche]],Horo82103[[#This Row],[Durée]],"")</f>
        <v/>
      </c>
      <c r="U4" s="55" t="str">
        <f aca="false">IF("N/C"=Horo82103[[#This Row],[Tâche]],Horo82103[[#This Row],[Durée]],"")</f>
        <v/>
      </c>
      <c r="V4" s="58"/>
      <c r="W4" s="59" t="n">
        <f aca="false">IF(Horo82103[[#This Row],[O]]="o",Horo82103[[#This Row],[Durée]],".")</f>
        <v>1.5</v>
      </c>
      <c r="X4" s="60" t="n">
        <f aca="false">IF(Horo82103[[#This Row],[Début]]=0,"",Horo82103[[#This Row],[Fin]]-Horo82103[[#This Row],[Début]])</f>
        <v>0.0625</v>
      </c>
    </row>
    <row r="5" customFormat="false" ht="15" hidden="false" customHeight="false" outlineLevel="0" collapsed="false">
      <c r="A5" s="45" t="s">
        <v>31</v>
      </c>
      <c r="B5" s="46" t="n">
        <f aca="false">IF(Horo82103[[#This Row],[Jour]]="Lundi",$C$1+1, IF(Horo82103[[#This Row],[Jour]]="Mardi",$C$1+2, IF(Horo82103[[#This Row],[Jour]]="Mercredi",$C$1+3, IF(Horo82103[[#This Row],[Jour]]="Jeudi",$C$1+4, IF(Horo82103[[#This Row],[Jour]]="Vendredi",$C$1+5, IF(Horo82103[[#This Row],[Jour]]="Samedi",$C$1+6, IF(Horo82103[[#This Row],[Jour]]="Dimanche",$C$1, )))))))</f>
        <v>44404</v>
      </c>
      <c r="C5" s="47" t="s">
        <v>0</v>
      </c>
      <c r="D5" s="48" t="n">
        <v>0.364583333333333</v>
      </c>
      <c r="E5" s="48" t="n">
        <v>0.385416666666667</v>
      </c>
      <c r="F5" s="49" t="s">
        <v>32</v>
      </c>
      <c r="G5" s="49" t="s">
        <v>20</v>
      </c>
      <c r="H5" s="50" t="s">
        <v>121</v>
      </c>
      <c r="I5" s="51"/>
      <c r="J5" s="52" t="n">
        <f aca="false">IF(Horo82103[[#This Row],[Début]]=0,"",(Horo82103[[#This Row],[Durée (60)2]]-INT(Horo82103[[#This Row],[Durée (60)2]]))*24)</f>
        <v>0.500000000000001</v>
      </c>
      <c r="K5" s="62" t="n">
        <f aca="false">SUMIF(Horo82103[Jour],C5,Horo82103[Durée])</f>
        <v>8</v>
      </c>
      <c r="L5" s="54" t="n">
        <f aca="false">IFERROR(SUMIF(Horo82103[[#This Row],[Jour]],Horo82103[[#This Row],[Jour]],Horo82103[[#This Row],[GPF]]) / Horo82103[[#This Row],[hrs]],"")</f>
        <v>0</v>
      </c>
      <c r="M5" s="56" t="str">
        <f aca="false">IF("GPF"=Horo82103[[#This Row],[Tâche]],Horo82103[[#This Row],[Durée]],"")</f>
        <v/>
      </c>
      <c r="N5" s="56" t="n">
        <f aca="false">IF("RI"=Horo82103[[#This Row],[Tâche]],Horo82103[[#This Row],[Durée]],"")</f>
        <v>0.500000000000001</v>
      </c>
      <c r="O5" s="56" t="str">
        <f aca="false">IF("GB"=Horo82103[[#This Row],[Tâche]],Horo82103[[#This Row],[Durée]],"")</f>
        <v/>
      </c>
      <c r="P5" s="56" t="str">
        <f aca="false">IF("RD"=Horo82103[[#This Row],[Tâche]],Horo82103[[#This Row],[Durée]],"")</f>
        <v/>
      </c>
      <c r="Q5" s="56" t="str">
        <f aca="false">IF("FG"=Horo82103[[#This Row],[Tâche]],Horo82103[[#This Row],[Durée]],"")</f>
        <v/>
      </c>
      <c r="R5" s="56" t="str">
        <f aca="false">IF("CONGÉ"=Horo82103[[#This Row],[Tâche]],Horo82103[[#This Row],[Durée]],"")</f>
        <v/>
      </c>
      <c r="S5" s="57" t="str">
        <f aca="false">IF("PS"=Horo82103[[#This Row],[Tâche]],Horo82103[[#This Row],[Durée]],"")</f>
        <v/>
      </c>
      <c r="T5" s="56" t="str">
        <f aca="false">IF("TD"=Horo82103[[#This Row],[Tâche]],Horo82103[[#This Row],[Durée]],"")</f>
        <v/>
      </c>
      <c r="U5" s="55" t="str">
        <f aca="false">IF("N/C"=Horo82103[[#This Row],[Tâche]],Horo82103[[#This Row],[Durée]],"")</f>
        <v/>
      </c>
      <c r="V5" s="58"/>
      <c r="W5" s="59" t="n">
        <f aca="false">IF(Horo82103[[#This Row],[O]]="o",Horo82103[[#This Row],[Durée]],".")</f>
        <v>0.500000000000001</v>
      </c>
      <c r="X5" s="60" t="n">
        <f aca="false">IF(Horo82103[[#This Row],[Début]]=0,"",Horo82103[[#This Row],[Fin]]-Horo82103[[#This Row],[Début]])</f>
        <v>0.0208333333333334</v>
      </c>
    </row>
    <row r="6" customFormat="false" ht="15" hidden="false" customHeight="false" outlineLevel="0" collapsed="false">
      <c r="A6" s="45" t="s">
        <v>31</v>
      </c>
      <c r="B6" s="46" t="n">
        <f aca="false">IF(Horo82103[[#This Row],[Jour]]="Lundi",$C$1+1, IF(Horo82103[[#This Row],[Jour]]="Mardi",$C$1+2, IF(Horo82103[[#This Row],[Jour]]="Mercredi",$C$1+3, IF(Horo82103[[#This Row],[Jour]]="Jeudi",$C$1+4, IF(Horo82103[[#This Row],[Jour]]="Vendredi",$C$1+5, IF(Horo82103[[#This Row],[Jour]]="Samedi",$C$1+6, IF(Horo82103[[#This Row],[Jour]]="Dimanche",$C$1, )))))))</f>
        <v>44404</v>
      </c>
      <c r="C6" s="47" t="s">
        <v>0</v>
      </c>
      <c r="D6" s="48" t="n">
        <v>0.395833333333333</v>
      </c>
      <c r="E6" s="48" t="n">
        <v>0.416666666666667</v>
      </c>
      <c r="F6" s="49" t="s">
        <v>75</v>
      </c>
      <c r="G6" s="49" t="s">
        <v>19</v>
      </c>
      <c r="H6" s="50" t="s">
        <v>55</v>
      </c>
      <c r="I6" s="51"/>
      <c r="J6" s="52" t="n">
        <f aca="false">IF(Horo82103[[#This Row],[Début]]=0,"",(Horo82103[[#This Row],[Durée (60)2]]-INT(Horo82103[[#This Row],[Durée (60)2]]))*24)</f>
        <v>0.500000000000001</v>
      </c>
      <c r="K6" s="62" t="n">
        <f aca="false">SUMIF(Horo82103[Jour],C6,Horo82103[Durée])</f>
        <v>8</v>
      </c>
      <c r="L6" s="54" t="n">
        <f aca="false">IFERROR(SUMIF(Horo82103[[#This Row],[Jour]],Horo82103[[#This Row],[Jour]],Horo82103[[#This Row],[GPF]]) / Horo82103[[#This Row],[hrs]],"")</f>
        <v>0.0625000000000001</v>
      </c>
      <c r="M6" s="56" t="n">
        <f aca="false">IF("GPF"=Horo82103[[#This Row],[Tâche]],Horo82103[[#This Row],[Durée]],"")</f>
        <v>0.500000000000001</v>
      </c>
      <c r="N6" s="56" t="str">
        <f aca="false">IF("RI"=Horo82103[[#This Row],[Tâche]],Horo82103[[#This Row],[Durée]],"")</f>
        <v/>
      </c>
      <c r="O6" s="56" t="str">
        <f aca="false">IF("GB"=Horo82103[[#This Row],[Tâche]],Horo82103[[#This Row],[Durée]],"")</f>
        <v/>
      </c>
      <c r="P6" s="56" t="str">
        <f aca="false">IF("RD"=Horo82103[[#This Row],[Tâche]],Horo82103[[#This Row],[Durée]],"")</f>
        <v/>
      </c>
      <c r="Q6" s="56" t="str">
        <f aca="false">IF("FG"=Horo82103[[#This Row],[Tâche]],Horo82103[[#This Row],[Durée]],"")</f>
        <v/>
      </c>
      <c r="R6" s="56" t="str">
        <f aca="false">IF("CONGÉ"=Horo82103[[#This Row],[Tâche]],Horo82103[[#This Row],[Durée]],"")</f>
        <v/>
      </c>
      <c r="S6" s="57" t="str">
        <f aca="false">IF("PS"=Horo82103[[#This Row],[Tâche]],Horo82103[[#This Row],[Durée]],"")</f>
        <v/>
      </c>
      <c r="T6" s="56" t="str">
        <f aca="false">IF("TD"=Horo82103[[#This Row],[Tâche]],Horo82103[[#This Row],[Durée]],"")</f>
        <v/>
      </c>
      <c r="U6" s="55" t="str">
        <f aca="false">IF("N/C"=Horo82103[[#This Row],[Tâche]],Horo82103[[#This Row],[Durée]],"")</f>
        <v/>
      </c>
      <c r="V6" s="58"/>
      <c r="W6" s="59" t="n">
        <f aca="false">IF(Horo82103[[#This Row],[O]]="o",Horo82103[[#This Row],[Durée]],".")</f>
        <v>0.500000000000001</v>
      </c>
      <c r="X6" s="60" t="n">
        <f aca="false">IF(Horo82103[[#This Row],[Début]]=0,"",Horo82103[[#This Row],[Fin]]-Horo82103[[#This Row],[Début]])</f>
        <v>0.0208333333333334</v>
      </c>
    </row>
    <row r="7" customFormat="false" ht="15" hidden="false" customHeight="false" outlineLevel="0" collapsed="false">
      <c r="A7" s="45" t="s">
        <v>31</v>
      </c>
      <c r="B7" s="46" t="n">
        <f aca="false">IF(Horo82103[[#This Row],[Jour]]="Lundi",$C$1+1, IF(Horo82103[[#This Row],[Jour]]="Mardi",$C$1+2, IF(Horo82103[[#This Row],[Jour]]="Mercredi",$C$1+3, IF(Horo82103[[#This Row],[Jour]]="Jeudi",$C$1+4, IF(Horo82103[[#This Row],[Jour]]="Vendredi",$C$1+5, IF(Horo82103[[#This Row],[Jour]]="Samedi",$C$1+6, IF(Horo82103[[#This Row],[Jour]]="Dimanche",$C$1, )))))))</f>
        <v>44404</v>
      </c>
      <c r="C7" s="47" t="s">
        <v>0</v>
      </c>
      <c r="D7" s="48" t="n">
        <v>0.416666666666667</v>
      </c>
      <c r="E7" s="48" t="n">
        <v>0.5</v>
      </c>
      <c r="F7" s="49" t="s">
        <v>32</v>
      </c>
      <c r="G7" s="49" t="s">
        <v>23</v>
      </c>
      <c r="H7" s="50" t="s">
        <v>109</v>
      </c>
      <c r="I7" s="61"/>
      <c r="J7" s="52" t="n">
        <f aca="false">IF(Horo82103[[#This Row],[Début]]=0,"",(Horo82103[[#This Row],[Durée (60)2]]-INT(Horo82103[[#This Row],[Durée (60)2]]))*24)</f>
        <v>2</v>
      </c>
      <c r="K7" s="62" t="n">
        <f aca="false">SUMIF(Horo82103[Jour],C7,Horo82103[Durée])</f>
        <v>8</v>
      </c>
      <c r="L7" s="54" t="n">
        <f aca="false">IFERROR(SUMIF(Horo82103[[#This Row],[Jour]],Horo82103[[#This Row],[Jour]],Horo82103[[#This Row],[GPF]]) / Horo82103[[#This Row],[hrs]],"")</f>
        <v>0</v>
      </c>
      <c r="M7" s="56" t="str">
        <f aca="false">IF("GPF"=Horo82103[[#This Row],[Tâche]],Horo82103[[#This Row],[Durée]],"")</f>
        <v/>
      </c>
      <c r="N7" s="56" t="str">
        <f aca="false">IF("RI"=Horo82103[[#This Row],[Tâche]],Horo82103[[#This Row],[Durée]],"")</f>
        <v/>
      </c>
      <c r="O7" s="56" t="str">
        <f aca="false">IF("GB"=Horo82103[[#This Row],[Tâche]],Horo82103[[#This Row],[Durée]],"")</f>
        <v/>
      </c>
      <c r="P7" s="56" t="str">
        <f aca="false">IF("RD"=Horo82103[[#This Row],[Tâche]],Horo82103[[#This Row],[Durée]],"")</f>
        <v/>
      </c>
      <c r="Q7" s="56" t="n">
        <f aca="false">IF("FG"=Horo82103[[#This Row],[Tâche]],Horo82103[[#This Row],[Durée]],"")</f>
        <v>2</v>
      </c>
      <c r="R7" s="56" t="str">
        <f aca="false">IF("CONGÉ"=Horo82103[[#This Row],[Tâche]],Horo82103[[#This Row],[Durée]],"")</f>
        <v/>
      </c>
      <c r="S7" s="57" t="str">
        <f aca="false">IF("PS"=Horo82103[[#This Row],[Tâche]],Horo82103[[#This Row],[Durée]],"")</f>
        <v/>
      </c>
      <c r="T7" s="56" t="str">
        <f aca="false">IF("TD"=Horo82103[[#This Row],[Tâche]],Horo82103[[#This Row],[Durée]],"")</f>
        <v/>
      </c>
      <c r="U7" s="55" t="str">
        <f aca="false">IF("N/C"=Horo82103[[#This Row],[Tâche]],Horo82103[[#This Row],[Durée]],"")</f>
        <v/>
      </c>
      <c r="V7" s="58"/>
      <c r="W7" s="59" t="n">
        <f aca="false">IF(Horo82103[[#This Row],[O]]="o",Horo82103[[#This Row],[Durée]],".")</f>
        <v>2</v>
      </c>
      <c r="X7" s="60" t="n">
        <f aca="false">IF(Horo82103[[#This Row],[Début]]=0,"",Horo82103[[#This Row],[Fin]]-Horo82103[[#This Row],[Début]])</f>
        <v>0.0833333333333333</v>
      </c>
    </row>
    <row r="8" customFormat="false" ht="15" hidden="false" customHeight="false" outlineLevel="0" collapsed="false">
      <c r="A8" s="45" t="s">
        <v>31</v>
      </c>
      <c r="B8" s="46" t="n">
        <f aca="false">IF(Horo82103[[#This Row],[Jour]]="Lundi",$C$1+1, IF(Horo82103[[#This Row],[Jour]]="Mardi",$C$1+2, IF(Horo82103[[#This Row],[Jour]]="Mercredi",$C$1+3, IF(Horo82103[[#This Row],[Jour]]="Jeudi",$C$1+4, IF(Horo82103[[#This Row],[Jour]]="Vendredi",$C$1+5, IF(Horo82103[[#This Row],[Jour]]="Samedi",$C$1+6, IF(Horo82103[[#This Row],[Jour]]="Dimanche",$C$1, )))))))</f>
        <v>44404</v>
      </c>
      <c r="C8" s="47" t="s">
        <v>0</v>
      </c>
      <c r="D8" s="48" t="n">
        <v>0.541666666666667</v>
      </c>
      <c r="E8" s="48" t="n">
        <v>0.625</v>
      </c>
      <c r="F8" s="49" t="s">
        <v>32</v>
      </c>
      <c r="G8" s="49" t="s">
        <v>23</v>
      </c>
      <c r="H8" s="50" t="s">
        <v>109</v>
      </c>
      <c r="I8" s="61"/>
      <c r="J8" s="52" t="n">
        <f aca="false">IF(Horo82103[[#This Row],[Début]]=0,"",(Horo82103[[#This Row],[Durée (60)2]]-INT(Horo82103[[#This Row],[Durée (60)2]]))*24)</f>
        <v>2</v>
      </c>
      <c r="K8" s="62" t="n">
        <f aca="false">SUMIF(Horo82103[Jour],C8,Horo82103[Durée])</f>
        <v>8</v>
      </c>
      <c r="L8" s="54" t="n">
        <f aca="false">IFERROR(SUMIF(Horo82103[[#This Row],[Jour]],Horo82103[[#This Row],[Jour]],Horo82103[[#This Row],[GPF]]) / Horo82103[[#This Row],[hrs]],"")</f>
        <v>0</v>
      </c>
      <c r="M8" s="56" t="str">
        <f aca="false">IF("GPF"=Horo82103[[#This Row],[Tâche]],Horo82103[[#This Row],[Durée]],"")</f>
        <v/>
      </c>
      <c r="N8" s="56" t="str">
        <f aca="false">IF("RI"=Horo82103[[#This Row],[Tâche]],Horo82103[[#This Row],[Durée]],"")</f>
        <v/>
      </c>
      <c r="O8" s="56" t="str">
        <f aca="false">IF("GB"=Horo82103[[#This Row],[Tâche]],Horo82103[[#This Row],[Durée]],"")</f>
        <v/>
      </c>
      <c r="P8" s="56" t="str">
        <f aca="false">IF("RD"=Horo82103[[#This Row],[Tâche]],Horo82103[[#This Row],[Durée]],"")</f>
        <v/>
      </c>
      <c r="Q8" s="56" t="n">
        <f aca="false">IF("FG"=Horo82103[[#This Row],[Tâche]],Horo82103[[#This Row],[Durée]],"")</f>
        <v>2</v>
      </c>
      <c r="R8" s="56" t="str">
        <f aca="false">IF("CONGÉ"=Horo82103[[#This Row],[Tâche]],Horo82103[[#This Row],[Durée]],"")</f>
        <v/>
      </c>
      <c r="S8" s="57" t="str">
        <f aca="false">IF("PS"=Horo82103[[#This Row],[Tâche]],Horo82103[[#This Row],[Durée]],"")</f>
        <v/>
      </c>
      <c r="T8" s="56" t="str">
        <f aca="false">IF("TD"=Horo82103[[#This Row],[Tâche]],Horo82103[[#This Row],[Durée]],"")</f>
        <v/>
      </c>
      <c r="U8" s="55" t="str">
        <f aca="false">IF("N/C"=Horo82103[[#This Row],[Tâche]],Horo82103[[#This Row],[Durée]],"")</f>
        <v/>
      </c>
      <c r="V8" s="58"/>
      <c r="W8" s="59" t="n">
        <f aca="false">IF(Horo82103[[#This Row],[O]]="o",Horo82103[[#This Row],[Durée]],".")</f>
        <v>2</v>
      </c>
      <c r="X8" s="60" t="n">
        <f aca="false">IF(Horo82103[[#This Row],[Début]]=0,"",Horo82103[[#This Row],[Fin]]-Horo82103[[#This Row],[Début]])</f>
        <v>0.0833333333333334</v>
      </c>
    </row>
    <row r="9" customFormat="false" ht="15" hidden="false" customHeight="false" outlineLevel="0" collapsed="false">
      <c r="A9" s="45" t="s">
        <v>31</v>
      </c>
      <c r="B9" s="46" t="n">
        <f aca="false">IF(Horo82103[[#This Row],[Jour]]="Lundi",$C$1+1, IF(Horo82103[[#This Row],[Jour]]="Mardi",$C$1+2, IF(Horo82103[[#This Row],[Jour]]="Mercredi",$C$1+3, IF(Horo82103[[#This Row],[Jour]]="Jeudi",$C$1+4, IF(Horo82103[[#This Row],[Jour]]="Vendredi",$C$1+5, IF(Horo82103[[#This Row],[Jour]]="Samedi",$C$1+6, IF(Horo82103[[#This Row],[Jour]]="Dimanche",$C$1, )))))))</f>
        <v>44404</v>
      </c>
      <c r="C9" s="47" t="s">
        <v>0</v>
      </c>
      <c r="D9" s="48" t="n">
        <v>0.625</v>
      </c>
      <c r="E9" s="48" t="n">
        <v>0.6875</v>
      </c>
      <c r="F9" s="49" t="s">
        <v>32</v>
      </c>
      <c r="G9" s="49" t="s">
        <v>21</v>
      </c>
      <c r="H9" s="50" t="s">
        <v>112</v>
      </c>
      <c r="I9" s="61"/>
      <c r="J9" s="52" t="n">
        <f aca="false">IF(Horo82103[[#This Row],[Début]]=0,"",(Horo82103[[#This Row],[Durée (60)2]]-INT(Horo82103[[#This Row],[Durée (60)2]]))*24)</f>
        <v>1.5</v>
      </c>
      <c r="K9" s="62" t="n">
        <f aca="false">SUMIF(Horo82103[Jour],C9,Horo82103[Durée])</f>
        <v>8</v>
      </c>
      <c r="L9" s="54" t="n">
        <f aca="false">IFERROR(SUMIF(Horo82103[[#This Row],[Jour]],Horo82103[[#This Row],[Jour]],Horo82103[[#This Row],[GPF]]) / Horo82103[[#This Row],[hrs]],"")</f>
        <v>0</v>
      </c>
      <c r="M9" s="56" t="str">
        <f aca="false">IF("GPF"=Horo82103[[#This Row],[Tâche]],Horo82103[[#This Row],[Durée]],"")</f>
        <v/>
      </c>
      <c r="N9" s="56" t="str">
        <f aca="false">IF("RI"=Horo82103[[#This Row],[Tâche]],Horo82103[[#This Row],[Durée]],"")</f>
        <v/>
      </c>
      <c r="O9" s="56" t="n">
        <f aca="false">IF("GB"=Horo82103[[#This Row],[Tâche]],Horo82103[[#This Row],[Durée]],"")</f>
        <v>1.5</v>
      </c>
      <c r="P9" s="56" t="str">
        <f aca="false">IF("RD"=Horo82103[[#This Row],[Tâche]],Horo82103[[#This Row],[Durée]],"")</f>
        <v/>
      </c>
      <c r="Q9" s="56" t="str">
        <f aca="false">IF("FG"=Horo82103[[#This Row],[Tâche]],Horo82103[[#This Row],[Durée]],"")</f>
        <v/>
      </c>
      <c r="R9" s="56" t="str">
        <f aca="false">IF("CONGÉ"=Horo82103[[#This Row],[Tâche]],Horo82103[[#This Row],[Durée]],"")</f>
        <v/>
      </c>
      <c r="S9" s="57" t="str">
        <f aca="false">IF("PS"=Horo82103[[#This Row],[Tâche]],Horo82103[[#This Row],[Durée]],"")</f>
        <v/>
      </c>
      <c r="T9" s="56" t="str">
        <f aca="false">IF("TD"=Horo82103[[#This Row],[Tâche]],Horo82103[[#This Row],[Durée]],"")</f>
        <v/>
      </c>
      <c r="U9" s="55" t="str">
        <f aca="false">IF("N/C"=Horo82103[[#This Row],[Tâche]],Horo82103[[#This Row],[Durée]],"")</f>
        <v/>
      </c>
      <c r="V9" s="58"/>
      <c r="W9" s="59" t="n">
        <f aca="false">IF(Horo82103[[#This Row],[O]]="o",Horo82103[[#This Row],[Durée]],".")</f>
        <v>1.5</v>
      </c>
      <c r="X9" s="60" t="n">
        <f aca="false">IF(Horo82103[[#This Row],[Début]]=0,"",Horo82103[[#This Row],[Fin]]-Horo82103[[#This Row],[Début]])</f>
        <v>0.0625</v>
      </c>
    </row>
    <row r="10" customFormat="false" ht="15" hidden="false" customHeight="false" outlineLevel="0" collapsed="false">
      <c r="A10" s="45" t="s">
        <v>31</v>
      </c>
      <c r="B10" s="46" t="n">
        <f aca="false">IF(Horo82103[[#This Row],[Jour]]="Lundi",$C$1+1, IF(Horo82103[[#This Row],[Jour]]="Mardi",$C$1+2, IF(Horo82103[[#This Row],[Jour]]="Mercredi",$C$1+3, IF(Horo82103[[#This Row],[Jour]]="Jeudi",$C$1+4, IF(Horo82103[[#This Row],[Jour]]="Vendredi",$C$1+5, IF(Horo82103[[#This Row],[Jour]]="Samedi",$C$1+6, IF(Horo82103[[#This Row],[Jour]]="Dimanche",$C$1, )))))))</f>
        <v>44405</v>
      </c>
      <c r="C10" s="47" t="s">
        <v>1</v>
      </c>
      <c r="D10" s="48" t="n">
        <v>0.3125</v>
      </c>
      <c r="E10" s="48" t="n">
        <v>0.354166666666667</v>
      </c>
      <c r="F10" s="49" t="s">
        <v>32</v>
      </c>
      <c r="G10" s="49" t="s">
        <v>21</v>
      </c>
      <c r="H10" s="50" t="s">
        <v>33</v>
      </c>
      <c r="I10" s="51"/>
      <c r="J10" s="52" t="n">
        <f aca="false">IF(Horo82103[[#This Row],[Début]]=0,"",(Horo82103[[#This Row],[Durée (60)2]]-INT(Horo82103[[#This Row],[Durée (60)2]]))*24)</f>
        <v>1</v>
      </c>
      <c r="K10" s="62" t="n">
        <f aca="false">SUMIF(Horo82103[Jour],C10,Horo82103[Durée])</f>
        <v>8</v>
      </c>
      <c r="L10" s="54" t="n">
        <f aca="false">IFERROR(SUMIF(Horo82103[[#This Row],[Jour]],Horo82103[[#This Row],[Jour]],Horo82103[[#This Row],[GPF]]) / Horo82103[[#This Row],[hrs]],"")</f>
        <v>0</v>
      </c>
      <c r="M10" s="56" t="str">
        <f aca="false">IF("GPF"=Horo82103[[#This Row],[Tâche]],Horo82103[[#This Row],[Durée]],"")</f>
        <v/>
      </c>
      <c r="N10" s="56" t="str">
        <f aca="false">IF("RI"=Horo82103[[#This Row],[Tâche]],Horo82103[[#This Row],[Durée]],"")</f>
        <v/>
      </c>
      <c r="O10" s="56" t="n">
        <f aca="false">IF("GB"=Horo82103[[#This Row],[Tâche]],Horo82103[[#This Row],[Durée]],"")</f>
        <v>1</v>
      </c>
      <c r="P10" s="56" t="str">
        <f aca="false">IF("RD"=Horo82103[[#This Row],[Tâche]],Horo82103[[#This Row],[Durée]],"")</f>
        <v/>
      </c>
      <c r="Q10" s="56" t="str">
        <f aca="false">IF("FG"=Horo82103[[#This Row],[Tâche]],Horo82103[[#This Row],[Durée]],"")</f>
        <v/>
      </c>
      <c r="R10" s="56" t="str">
        <f aca="false">IF("CONGÉ"=Horo82103[[#This Row],[Tâche]],Horo82103[[#This Row],[Durée]],"")</f>
        <v/>
      </c>
      <c r="S10" s="57" t="str">
        <f aca="false">IF("PS"=Horo82103[[#This Row],[Tâche]],Horo82103[[#This Row],[Durée]],"")</f>
        <v/>
      </c>
      <c r="T10" s="56" t="str">
        <f aca="false">IF("TD"=Horo82103[[#This Row],[Tâche]],Horo82103[[#This Row],[Durée]],"")</f>
        <v/>
      </c>
      <c r="U10" s="55" t="str">
        <f aca="false">IF("N/C"=Horo82103[[#This Row],[Tâche]],Horo82103[[#This Row],[Durée]],"")</f>
        <v/>
      </c>
      <c r="V10" s="58"/>
      <c r="W10" s="59" t="n">
        <f aca="false">IF(Horo82103[[#This Row],[O]]="o",Horo82103[[#This Row],[Durée]],".")</f>
        <v>1</v>
      </c>
      <c r="X10" s="60" t="n">
        <f aca="false">IF(Horo82103[[#This Row],[Début]]=0,"",Horo82103[[#This Row],[Fin]]-Horo82103[[#This Row],[Début]])</f>
        <v>0.0416666666666667</v>
      </c>
    </row>
    <row r="11" customFormat="false" ht="15" hidden="false" customHeight="false" outlineLevel="0" collapsed="false">
      <c r="A11" s="45" t="s">
        <v>31</v>
      </c>
      <c r="B11" s="46" t="n">
        <f aca="false">IF(Horo82103[[#This Row],[Jour]]="Lundi",$C$1+1, IF(Horo82103[[#This Row],[Jour]]="Mardi",$C$1+2, IF(Horo82103[[#This Row],[Jour]]="Mercredi",$C$1+3, IF(Horo82103[[#This Row],[Jour]]="Jeudi",$C$1+4, IF(Horo82103[[#This Row],[Jour]]="Vendredi",$C$1+5, IF(Horo82103[[#This Row],[Jour]]="Samedi",$C$1+6, IF(Horo82103[[#This Row],[Jour]]="Dimanche",$C$1, )))))))</f>
        <v>44405</v>
      </c>
      <c r="C11" s="47" t="s">
        <v>1</v>
      </c>
      <c r="D11" s="48" t="n">
        <v>0.354166666666667</v>
      </c>
      <c r="E11" s="48" t="n">
        <v>0.385416666666667</v>
      </c>
      <c r="F11" s="49" t="s">
        <v>61</v>
      </c>
      <c r="G11" s="49" t="s">
        <v>19</v>
      </c>
      <c r="H11" s="50" t="s">
        <v>35</v>
      </c>
      <c r="I11" s="61" t="s">
        <v>179</v>
      </c>
      <c r="J11" s="52" t="n">
        <f aca="false">IF(Horo82103[[#This Row],[Début]]=0,"",(Horo82103[[#This Row],[Durée (60)2]]-INT(Horo82103[[#This Row],[Durée (60)2]]))*24)</f>
        <v>0.75</v>
      </c>
      <c r="K11" s="62" t="n">
        <f aca="false">SUMIF(Horo82103[Jour],C11,Horo82103[Durée])</f>
        <v>8</v>
      </c>
      <c r="L11" s="54" t="n">
        <f aca="false">IFERROR(SUMIF(Horo82103[[#This Row],[Jour]],Horo82103[[#This Row],[Jour]],Horo82103[[#This Row],[GPF]]) / Horo82103[[#This Row],[hrs]],"")</f>
        <v>0.09375</v>
      </c>
      <c r="M11" s="56" t="n">
        <f aca="false">IF("GPF"=Horo82103[[#This Row],[Tâche]],Horo82103[[#This Row],[Durée]],"")</f>
        <v>0.75</v>
      </c>
      <c r="N11" s="56" t="str">
        <f aca="false">IF("RI"=Horo82103[[#This Row],[Tâche]],Horo82103[[#This Row],[Durée]],"")</f>
        <v/>
      </c>
      <c r="O11" s="56" t="str">
        <f aca="false">IF("GB"=Horo82103[[#This Row],[Tâche]],Horo82103[[#This Row],[Durée]],"")</f>
        <v/>
      </c>
      <c r="P11" s="56" t="str">
        <f aca="false">IF("RD"=Horo82103[[#This Row],[Tâche]],Horo82103[[#This Row],[Durée]],"")</f>
        <v/>
      </c>
      <c r="Q11" s="56" t="str">
        <f aca="false">IF("FG"=Horo82103[[#This Row],[Tâche]],Horo82103[[#This Row],[Durée]],"")</f>
        <v/>
      </c>
      <c r="R11" s="56" t="str">
        <f aca="false">IF("CONGÉ"=Horo82103[[#This Row],[Tâche]],Horo82103[[#This Row],[Durée]],"")</f>
        <v/>
      </c>
      <c r="S11" s="57" t="str">
        <f aca="false">IF("PS"=Horo82103[[#This Row],[Tâche]],Horo82103[[#This Row],[Durée]],"")</f>
        <v/>
      </c>
      <c r="T11" s="56" t="str">
        <f aca="false">IF("TD"=Horo82103[[#This Row],[Tâche]],Horo82103[[#This Row],[Durée]],"")</f>
        <v/>
      </c>
      <c r="U11" s="55" t="str">
        <f aca="false">IF("N/C"=Horo82103[[#This Row],[Tâche]],Horo82103[[#This Row],[Durée]],"")</f>
        <v/>
      </c>
      <c r="V11" s="58"/>
      <c r="W11" s="59" t="n">
        <f aca="false">IF(Horo82103[[#This Row],[O]]="o",Horo82103[[#This Row],[Durée]],".")</f>
        <v>0.75</v>
      </c>
      <c r="X11" s="60" t="n">
        <f aca="false">IF(Horo82103[[#This Row],[Début]]=0,"",Horo82103[[#This Row],[Fin]]-Horo82103[[#This Row],[Début]])</f>
        <v>0.03125</v>
      </c>
    </row>
    <row r="12" customFormat="false" ht="15" hidden="false" customHeight="false" outlineLevel="0" collapsed="false">
      <c r="A12" s="45" t="s">
        <v>31</v>
      </c>
      <c r="B12" s="46" t="n">
        <f aca="false">IF(Horo82103[[#This Row],[Jour]]="Lundi",$C$1+1, IF(Horo82103[[#This Row],[Jour]]="Mardi",$C$1+2, IF(Horo82103[[#This Row],[Jour]]="Mercredi",$C$1+3, IF(Horo82103[[#This Row],[Jour]]="Jeudi",$C$1+4, IF(Horo82103[[#This Row],[Jour]]="Vendredi",$C$1+5, IF(Horo82103[[#This Row],[Jour]]="Samedi",$C$1+6, IF(Horo82103[[#This Row],[Jour]]="Dimanche",$C$1, )))))))</f>
        <v>44405</v>
      </c>
      <c r="C12" s="47" t="s">
        <v>1</v>
      </c>
      <c r="D12" s="48" t="n">
        <v>0.385416666666667</v>
      </c>
      <c r="E12" s="48" t="n">
        <v>0.395833333333333</v>
      </c>
      <c r="F12" s="49" t="s">
        <v>61</v>
      </c>
      <c r="G12" s="49" t="s">
        <v>19</v>
      </c>
      <c r="H12" s="50" t="s">
        <v>33</v>
      </c>
      <c r="I12" s="61" t="s">
        <v>180</v>
      </c>
      <c r="J12" s="52" t="n">
        <f aca="false">IF(Horo82103[[#This Row],[Début]]=0,"",(Horo82103[[#This Row],[Durée (60)2]]-INT(Horo82103[[#This Row],[Durée (60)2]]))*24)</f>
        <v>0.249999999999999</v>
      </c>
      <c r="K12" s="62" t="n">
        <f aca="false">SUMIF(Horo82103[Jour],C12,Horo82103[Durée])</f>
        <v>8</v>
      </c>
      <c r="L12" s="54" t="n">
        <f aca="false">IFERROR(SUMIF(Horo82103[[#This Row],[Jour]],Horo82103[[#This Row],[Jour]],Horo82103[[#This Row],[GPF]]) / Horo82103[[#This Row],[hrs]],"")</f>
        <v>0.0312499999999999</v>
      </c>
      <c r="M12" s="56" t="n">
        <f aca="false">IF("GPF"=Horo82103[[#This Row],[Tâche]],Horo82103[[#This Row],[Durée]],"")</f>
        <v>0.249999999999999</v>
      </c>
      <c r="N12" s="56" t="str">
        <f aca="false">IF("RI"=Horo82103[[#This Row],[Tâche]],Horo82103[[#This Row],[Durée]],"")</f>
        <v/>
      </c>
      <c r="O12" s="56" t="str">
        <f aca="false">IF("GB"=Horo82103[[#This Row],[Tâche]],Horo82103[[#This Row],[Durée]],"")</f>
        <v/>
      </c>
      <c r="P12" s="56" t="str">
        <f aca="false">IF("RD"=Horo82103[[#This Row],[Tâche]],Horo82103[[#This Row],[Durée]],"")</f>
        <v/>
      </c>
      <c r="Q12" s="56" t="str">
        <f aca="false">IF("FG"=Horo82103[[#This Row],[Tâche]],Horo82103[[#This Row],[Durée]],"")</f>
        <v/>
      </c>
      <c r="R12" s="56" t="str">
        <f aca="false">IF("CONGÉ"=Horo82103[[#This Row],[Tâche]],Horo82103[[#This Row],[Durée]],"")</f>
        <v/>
      </c>
      <c r="S12" s="57" t="str">
        <f aca="false">IF("PS"=Horo82103[[#This Row],[Tâche]],Horo82103[[#This Row],[Durée]],"")</f>
        <v/>
      </c>
      <c r="T12" s="56" t="str">
        <f aca="false">IF("TD"=Horo82103[[#This Row],[Tâche]],Horo82103[[#This Row],[Durée]],"")</f>
        <v/>
      </c>
      <c r="U12" s="55" t="str">
        <f aca="false">IF("N/C"=Horo82103[[#This Row],[Tâche]],Horo82103[[#This Row],[Durée]],"")</f>
        <v/>
      </c>
      <c r="V12" s="58"/>
      <c r="W12" s="59" t="n">
        <f aca="false">IF(Horo82103[[#This Row],[O]]="o",Horo82103[[#This Row],[Durée]],".")</f>
        <v>0.249999999999999</v>
      </c>
      <c r="X12" s="60" t="n">
        <f aca="false">IF(Horo82103[[#This Row],[Début]]=0,"",Horo82103[[#This Row],[Fin]]-Horo82103[[#This Row],[Début]])</f>
        <v>0.0104166666666666</v>
      </c>
    </row>
    <row r="13" customFormat="false" ht="15" hidden="false" customHeight="false" outlineLevel="0" collapsed="false">
      <c r="A13" s="45" t="s">
        <v>31</v>
      </c>
      <c r="B13" s="46" t="n">
        <f aca="false">IF(Horo82103[[#This Row],[Jour]]="Lundi",$C$1+1, IF(Horo82103[[#This Row],[Jour]]="Mardi",$C$1+2, IF(Horo82103[[#This Row],[Jour]]="Mercredi",$C$1+3, IF(Horo82103[[#This Row],[Jour]]="Jeudi",$C$1+4, IF(Horo82103[[#This Row],[Jour]]="Vendredi",$C$1+5, IF(Horo82103[[#This Row],[Jour]]="Samedi",$C$1+6, IF(Horo82103[[#This Row],[Jour]]="Dimanche",$C$1, )))))))</f>
        <v>44405</v>
      </c>
      <c r="C13" s="47" t="s">
        <v>1</v>
      </c>
      <c r="D13" s="48" t="n">
        <v>0.416666666666667</v>
      </c>
      <c r="E13" s="48" t="n">
        <v>0.5</v>
      </c>
      <c r="F13" s="49" t="s">
        <v>32</v>
      </c>
      <c r="G13" s="49" t="s">
        <v>23</v>
      </c>
      <c r="H13" s="50" t="s">
        <v>109</v>
      </c>
      <c r="I13" s="61"/>
      <c r="J13" s="52" t="n">
        <f aca="false">IF(Horo82103[[#This Row],[Début]]=0,"",(Horo82103[[#This Row],[Durée (60)2]]-INT(Horo82103[[#This Row],[Durée (60)2]]))*24)</f>
        <v>2</v>
      </c>
      <c r="K13" s="62" t="n">
        <f aca="false">SUMIF(Horo82103[Jour],C13,Horo82103[Durée])</f>
        <v>8</v>
      </c>
      <c r="L13" s="54" t="n">
        <f aca="false">IFERROR(SUMIF(Horo82103[[#This Row],[Jour]],Horo82103[[#This Row],[Jour]],Horo82103[[#This Row],[GPF]]) / Horo82103[[#This Row],[hrs]],"")</f>
        <v>0</v>
      </c>
      <c r="M13" s="56" t="str">
        <f aca="false">IF("GPF"=Horo82103[[#This Row],[Tâche]],Horo82103[[#This Row],[Durée]],"")</f>
        <v/>
      </c>
      <c r="N13" s="56" t="str">
        <f aca="false">IF("RI"=Horo82103[[#This Row],[Tâche]],Horo82103[[#This Row],[Durée]],"")</f>
        <v/>
      </c>
      <c r="O13" s="56" t="str">
        <f aca="false">IF("GB"=Horo82103[[#This Row],[Tâche]],Horo82103[[#This Row],[Durée]],"")</f>
        <v/>
      </c>
      <c r="P13" s="56" t="str">
        <f aca="false">IF("RD"=Horo82103[[#This Row],[Tâche]],Horo82103[[#This Row],[Durée]],"")</f>
        <v/>
      </c>
      <c r="Q13" s="56" t="n">
        <f aca="false">IF("FG"=Horo82103[[#This Row],[Tâche]],Horo82103[[#This Row],[Durée]],"")</f>
        <v>2</v>
      </c>
      <c r="R13" s="56" t="str">
        <f aca="false">IF("CONGÉ"=Horo82103[[#This Row],[Tâche]],Horo82103[[#This Row],[Durée]],"")</f>
        <v/>
      </c>
      <c r="S13" s="57" t="str">
        <f aca="false">IF("PS"=Horo82103[[#This Row],[Tâche]],Horo82103[[#This Row],[Durée]],"")</f>
        <v/>
      </c>
      <c r="T13" s="56" t="str">
        <f aca="false">IF("TD"=Horo82103[[#This Row],[Tâche]],Horo82103[[#This Row],[Durée]],"")</f>
        <v/>
      </c>
      <c r="U13" s="55" t="str">
        <f aca="false">IF("N/C"=Horo82103[[#This Row],[Tâche]],Horo82103[[#This Row],[Durée]],"")</f>
        <v/>
      </c>
      <c r="V13" s="58"/>
      <c r="W13" s="59" t="n">
        <f aca="false">IF(Horo82103[[#This Row],[O]]="o",Horo82103[[#This Row],[Durée]],".")</f>
        <v>2</v>
      </c>
      <c r="X13" s="60" t="n">
        <f aca="false">IF(Horo82103[[#This Row],[Début]]=0,"",Horo82103[[#This Row],[Fin]]-Horo82103[[#This Row],[Début]])</f>
        <v>0.0833333333333333</v>
      </c>
    </row>
    <row r="14" customFormat="false" ht="15" hidden="false" customHeight="false" outlineLevel="0" collapsed="false">
      <c r="A14" s="45" t="s">
        <v>31</v>
      </c>
      <c r="B14" s="46" t="n">
        <f aca="false">IF(Horo82103[[#This Row],[Jour]]="Lundi",$C$1+1, IF(Horo82103[[#This Row],[Jour]]="Mardi",$C$1+2, IF(Horo82103[[#This Row],[Jour]]="Mercredi",$C$1+3, IF(Horo82103[[#This Row],[Jour]]="Jeudi",$C$1+4, IF(Horo82103[[#This Row],[Jour]]="Vendredi",$C$1+5, IF(Horo82103[[#This Row],[Jour]]="Samedi",$C$1+6, IF(Horo82103[[#This Row],[Jour]]="Dimanche",$C$1, )))))))</f>
        <v>44405</v>
      </c>
      <c r="C14" s="47" t="s">
        <v>1</v>
      </c>
      <c r="D14" s="48" t="n">
        <v>0.5625</v>
      </c>
      <c r="E14" s="48" t="n">
        <v>0.604166666666667</v>
      </c>
      <c r="F14" s="49" t="s">
        <v>32</v>
      </c>
      <c r="G14" s="49" t="s">
        <v>23</v>
      </c>
      <c r="H14" s="50" t="s">
        <v>109</v>
      </c>
      <c r="I14" s="61"/>
      <c r="J14" s="52" t="n">
        <f aca="false">IF(Horo82103[[#This Row],[Début]]=0,"",(Horo82103[[#This Row],[Durée (60)2]]-INT(Horo82103[[#This Row],[Durée (60)2]]))*24)</f>
        <v>0.999999999999999</v>
      </c>
      <c r="K14" s="62" t="n">
        <f aca="false">SUMIF(Horo82103[Jour],C14,Horo82103[Durée])</f>
        <v>8</v>
      </c>
      <c r="L14" s="54" t="n">
        <f aca="false">IFERROR(SUMIF(Horo82103[[#This Row],[Jour]],Horo82103[[#This Row],[Jour]],Horo82103[[#This Row],[GPF]]) / Horo82103[[#This Row],[hrs]],"")</f>
        <v>0</v>
      </c>
      <c r="M14" s="56" t="str">
        <f aca="false">IF("GPF"=Horo82103[[#This Row],[Tâche]],Horo82103[[#This Row],[Durée]],"")</f>
        <v/>
      </c>
      <c r="N14" s="56" t="str">
        <f aca="false">IF("RI"=Horo82103[[#This Row],[Tâche]],Horo82103[[#This Row],[Durée]],"")</f>
        <v/>
      </c>
      <c r="O14" s="56" t="str">
        <f aca="false">IF("GB"=Horo82103[[#This Row],[Tâche]],Horo82103[[#This Row],[Durée]],"")</f>
        <v/>
      </c>
      <c r="P14" s="56" t="str">
        <f aca="false">IF("RD"=Horo82103[[#This Row],[Tâche]],Horo82103[[#This Row],[Durée]],"")</f>
        <v/>
      </c>
      <c r="Q14" s="56" t="n">
        <f aca="false">IF("FG"=Horo82103[[#This Row],[Tâche]],Horo82103[[#This Row],[Durée]],"")</f>
        <v>0.999999999999999</v>
      </c>
      <c r="R14" s="56" t="str">
        <f aca="false">IF("CONGÉ"=Horo82103[[#This Row],[Tâche]],Horo82103[[#This Row],[Durée]],"")</f>
        <v/>
      </c>
      <c r="S14" s="57" t="str">
        <f aca="false">IF("PS"=Horo82103[[#This Row],[Tâche]],Horo82103[[#This Row],[Durée]],"")</f>
        <v/>
      </c>
      <c r="T14" s="56" t="str">
        <f aca="false">IF("TD"=Horo82103[[#This Row],[Tâche]],Horo82103[[#This Row],[Durée]],"")</f>
        <v/>
      </c>
      <c r="U14" s="55" t="str">
        <f aca="false">IF("N/C"=Horo82103[[#This Row],[Tâche]],Horo82103[[#This Row],[Durée]],"")</f>
        <v/>
      </c>
      <c r="V14" s="58"/>
      <c r="W14" s="59" t="n">
        <f aca="false">IF(Horo82103[[#This Row],[O]]="o",Horo82103[[#This Row],[Durée]],".")</f>
        <v>0.999999999999999</v>
      </c>
      <c r="X14" s="60" t="n">
        <f aca="false">IF(Horo82103[[#This Row],[Début]]=0,"",Horo82103[[#This Row],[Fin]]-Horo82103[[#This Row],[Début]])</f>
        <v>0.0416666666666666</v>
      </c>
    </row>
    <row r="15" customFormat="false" ht="15" hidden="false" customHeight="false" outlineLevel="0" collapsed="false">
      <c r="A15" s="45" t="s">
        <v>31</v>
      </c>
      <c r="B15" s="46" t="n">
        <f aca="false">IF(Horo82103[[#This Row],[Jour]]="Lundi",$C$1+1, IF(Horo82103[[#This Row],[Jour]]="Mardi",$C$1+2, IF(Horo82103[[#This Row],[Jour]]="Mercredi",$C$1+3, IF(Horo82103[[#This Row],[Jour]]="Jeudi",$C$1+4, IF(Horo82103[[#This Row],[Jour]]="Vendredi",$C$1+5, IF(Horo82103[[#This Row],[Jour]]="Samedi",$C$1+6, IF(Horo82103[[#This Row],[Jour]]="Dimanche",$C$1, )))))))</f>
        <v>44405</v>
      </c>
      <c r="C15" s="47" t="s">
        <v>1</v>
      </c>
      <c r="D15" s="48" t="n">
        <v>0.791666666666667</v>
      </c>
      <c r="E15" s="48" t="n">
        <v>0.916666666666667</v>
      </c>
      <c r="F15" s="49" t="s">
        <v>32</v>
      </c>
      <c r="G15" s="49" t="s">
        <v>23</v>
      </c>
      <c r="H15" s="50" t="s">
        <v>109</v>
      </c>
      <c r="I15" s="61"/>
      <c r="J15" s="52" t="n">
        <f aca="false">IF(Horo82103[[#This Row],[Début]]=0,"",(Horo82103[[#This Row],[Durée (60)2]]-INT(Horo82103[[#This Row],[Durée (60)2]]))*24)</f>
        <v>3</v>
      </c>
      <c r="K15" s="62" t="n">
        <f aca="false">SUMIF(Horo82103[Jour],C15,Horo82103[Durée])</f>
        <v>8</v>
      </c>
      <c r="L15" s="54" t="n">
        <f aca="false">IFERROR(SUMIF(Horo82103[[#This Row],[Jour]],Horo82103[[#This Row],[Jour]],Horo82103[[#This Row],[GPF]]) / Horo82103[[#This Row],[hrs]],"")</f>
        <v>0</v>
      </c>
      <c r="M15" s="56" t="str">
        <f aca="false">IF("GPF"=Horo82103[[#This Row],[Tâche]],Horo82103[[#This Row],[Durée]],"")</f>
        <v/>
      </c>
      <c r="N15" s="56" t="str">
        <f aca="false">IF("RI"=Horo82103[[#This Row],[Tâche]],Horo82103[[#This Row],[Durée]],"")</f>
        <v/>
      </c>
      <c r="O15" s="56" t="str">
        <f aca="false">IF("GB"=Horo82103[[#This Row],[Tâche]],Horo82103[[#This Row],[Durée]],"")</f>
        <v/>
      </c>
      <c r="P15" s="56" t="str">
        <f aca="false">IF("RD"=Horo82103[[#This Row],[Tâche]],Horo82103[[#This Row],[Durée]],"")</f>
        <v/>
      </c>
      <c r="Q15" s="56" t="n">
        <f aca="false">IF("FG"=Horo82103[[#This Row],[Tâche]],Horo82103[[#This Row],[Durée]],"")</f>
        <v>3</v>
      </c>
      <c r="R15" s="56" t="str">
        <f aca="false">IF("CONGÉ"=Horo82103[[#This Row],[Tâche]],Horo82103[[#This Row],[Durée]],"")</f>
        <v/>
      </c>
      <c r="S15" s="57" t="str">
        <f aca="false">IF("PS"=Horo82103[[#This Row],[Tâche]],Horo82103[[#This Row],[Durée]],"")</f>
        <v/>
      </c>
      <c r="T15" s="56" t="str">
        <f aca="false">IF("TD"=Horo82103[[#This Row],[Tâche]],Horo82103[[#This Row],[Durée]],"")</f>
        <v/>
      </c>
      <c r="U15" s="55" t="str">
        <f aca="false">IF("N/C"=Horo82103[[#This Row],[Tâche]],Horo82103[[#This Row],[Durée]],"")</f>
        <v/>
      </c>
      <c r="V15" s="58"/>
      <c r="W15" s="59" t="n">
        <f aca="false">IF(Horo82103[[#This Row],[O]]="o",Horo82103[[#This Row],[Durée]],".")</f>
        <v>3</v>
      </c>
      <c r="X15" s="60" t="n">
        <f aca="false">IF(Horo82103[[#This Row],[Début]]=0,"",Horo82103[[#This Row],[Fin]]-Horo82103[[#This Row],[Début]])</f>
        <v>0.125</v>
      </c>
    </row>
    <row r="16" customFormat="false" ht="15" hidden="false" customHeight="false" outlineLevel="0" collapsed="false">
      <c r="A16" s="45" t="s">
        <v>31</v>
      </c>
      <c r="B16" s="46" t="n">
        <f aca="false">IF(Horo82103[[#This Row],[Jour]]="Lundi",$C$1+1, IF(Horo82103[[#This Row],[Jour]]="Mardi",$C$1+2, IF(Horo82103[[#This Row],[Jour]]="Mercredi",$C$1+3, IF(Horo82103[[#This Row],[Jour]]="Jeudi",$C$1+4, IF(Horo82103[[#This Row],[Jour]]="Vendredi",$C$1+5, IF(Horo82103[[#This Row],[Jour]]="Samedi",$C$1+6, IF(Horo82103[[#This Row],[Jour]]="Dimanche",$C$1, )))))))</f>
        <v>44406</v>
      </c>
      <c r="C16" s="47" t="s">
        <v>2</v>
      </c>
      <c r="D16" s="48" t="n">
        <v>0.3125</v>
      </c>
      <c r="E16" s="48" t="n">
        <v>0.354166666666667</v>
      </c>
      <c r="F16" s="49" t="s">
        <v>32</v>
      </c>
      <c r="G16" s="49" t="s">
        <v>21</v>
      </c>
      <c r="H16" s="50" t="s">
        <v>33</v>
      </c>
      <c r="I16" s="51"/>
      <c r="J16" s="52" t="n">
        <f aca="false">IF(Horo82103[[#This Row],[Début]]=0,"",(Horo82103[[#This Row],[Durée (60)2]]-INT(Horo82103[[#This Row],[Durée (60)2]]))*24)</f>
        <v>1</v>
      </c>
      <c r="K16" s="62" t="n">
        <f aca="false">SUMIF(Horo82103[Jour],C16,Horo82103[Durée])</f>
        <v>8</v>
      </c>
      <c r="L16" s="54" t="n">
        <f aca="false">IFERROR(SUMIF(Horo82103[[#This Row],[Jour]],Horo82103[[#This Row],[Jour]],Horo82103[[#This Row],[GPF]]) / Horo82103[[#This Row],[hrs]],"")</f>
        <v>0</v>
      </c>
      <c r="M16" s="56" t="str">
        <f aca="false">IF("GPF"=Horo82103[[#This Row],[Tâche]],Horo82103[[#This Row],[Durée]],"")</f>
        <v/>
      </c>
      <c r="N16" s="56" t="str">
        <f aca="false">IF("RI"=Horo82103[[#This Row],[Tâche]],Horo82103[[#This Row],[Durée]],"")</f>
        <v/>
      </c>
      <c r="O16" s="56" t="n">
        <f aca="false">IF("GB"=Horo82103[[#This Row],[Tâche]],Horo82103[[#This Row],[Durée]],"")</f>
        <v>1</v>
      </c>
      <c r="P16" s="56" t="str">
        <f aca="false">IF("RD"=Horo82103[[#This Row],[Tâche]],Horo82103[[#This Row],[Durée]],"")</f>
        <v/>
      </c>
      <c r="Q16" s="56" t="str">
        <f aca="false">IF("FG"=Horo82103[[#This Row],[Tâche]],Horo82103[[#This Row],[Durée]],"")</f>
        <v/>
      </c>
      <c r="R16" s="56" t="str">
        <f aca="false">IF("CONGÉ"=Horo82103[[#This Row],[Tâche]],Horo82103[[#This Row],[Durée]],"")</f>
        <v/>
      </c>
      <c r="S16" s="56" t="str">
        <f aca="false">IF("PS"=Horo82103[[#This Row],[Tâche]],Horo82103[[#This Row],[Durée]],"")</f>
        <v/>
      </c>
      <c r="T16" s="56" t="str">
        <f aca="false">IF("TD"=Horo82103[[#This Row],[Tâche]],Horo82103[[#This Row],[Durée]],"")</f>
        <v/>
      </c>
      <c r="U16" s="56" t="str">
        <f aca="false">IF("N/C"=Horo82103[[#This Row],[Tâche]],Horo82103[[#This Row],[Durée]],"")</f>
        <v/>
      </c>
      <c r="V16" s="58"/>
      <c r="W16" s="59" t="n">
        <f aca="false">IF(Horo82103[[#This Row],[O]]="o",Horo82103[[#This Row],[Durée]],".")</f>
        <v>1</v>
      </c>
      <c r="X16" s="64" t="n">
        <f aca="false">IF(Horo82103[[#This Row],[Début]]=0,"",Horo82103[[#This Row],[Fin]]-Horo82103[[#This Row],[Début]])</f>
        <v>0.0416666666666667</v>
      </c>
    </row>
    <row r="17" customFormat="false" ht="15" hidden="false" customHeight="false" outlineLevel="0" collapsed="false">
      <c r="A17" s="45" t="s">
        <v>31</v>
      </c>
      <c r="B17" s="46" t="n">
        <f aca="false">IF(Horo82103[[#This Row],[Jour]]="Lundi",$C$1+1, IF(Horo82103[[#This Row],[Jour]]="Mardi",$C$1+2, IF(Horo82103[[#This Row],[Jour]]="Mercredi",$C$1+3, IF(Horo82103[[#This Row],[Jour]]="Jeudi",$C$1+4, IF(Horo82103[[#This Row],[Jour]]="Vendredi",$C$1+5, IF(Horo82103[[#This Row],[Jour]]="Samedi",$C$1+6, IF(Horo82103[[#This Row],[Jour]]="Dimanche",$C$1, )))))))</f>
        <v>44406</v>
      </c>
      <c r="C17" s="47" t="s">
        <v>2</v>
      </c>
      <c r="D17" s="48" t="n">
        <v>0.354166666666667</v>
      </c>
      <c r="E17" s="48" t="n">
        <v>0.395833333333333</v>
      </c>
      <c r="F17" s="49" t="s">
        <v>32</v>
      </c>
      <c r="G17" s="49" t="s">
        <v>21</v>
      </c>
      <c r="H17" s="50" t="s">
        <v>33</v>
      </c>
      <c r="I17" s="61"/>
      <c r="J17" s="52" t="n">
        <f aca="false">IF(Horo82103[[#This Row],[Début]]=0,"",(Horo82103[[#This Row],[Durée (60)2]]-INT(Horo82103[[#This Row],[Durée (60)2]]))*24)</f>
        <v>0.999999999999999</v>
      </c>
      <c r="K17" s="62" t="n">
        <f aca="false">SUMIF(Horo82103[Jour],C17,Horo82103[Durée])</f>
        <v>8</v>
      </c>
      <c r="L17" s="54" t="n">
        <f aca="false">IFERROR(SUMIF(Horo82103[[#This Row],[Jour]],Horo82103[[#This Row],[Jour]],Horo82103[[#This Row],[GPF]]) / Horo82103[[#This Row],[hrs]],"")</f>
        <v>0</v>
      </c>
      <c r="M17" s="56" t="str">
        <f aca="false">IF("GPF"=Horo82103[[#This Row],[Tâche]],Horo82103[[#This Row],[Durée]],"")</f>
        <v/>
      </c>
      <c r="N17" s="56" t="str">
        <f aca="false">IF("RI"=Horo82103[[#This Row],[Tâche]],Horo82103[[#This Row],[Durée]],"")</f>
        <v/>
      </c>
      <c r="O17" s="56" t="n">
        <f aca="false">IF("GB"=Horo82103[[#This Row],[Tâche]],Horo82103[[#This Row],[Durée]],"")</f>
        <v>0.999999999999999</v>
      </c>
      <c r="P17" s="56" t="str">
        <f aca="false">IF("RD"=Horo82103[[#This Row],[Tâche]],Horo82103[[#This Row],[Durée]],"")</f>
        <v/>
      </c>
      <c r="Q17" s="56" t="str">
        <f aca="false">IF("FG"=Horo82103[[#This Row],[Tâche]],Horo82103[[#This Row],[Durée]],"")</f>
        <v/>
      </c>
      <c r="R17" s="56" t="str">
        <f aca="false">IF("CONGÉ"=Horo82103[[#This Row],[Tâche]],Horo82103[[#This Row],[Durée]],"")</f>
        <v/>
      </c>
      <c r="S17" s="57" t="str">
        <f aca="false">IF("PS"=Horo82103[[#This Row],[Tâche]],Horo82103[[#This Row],[Durée]],"")</f>
        <v/>
      </c>
      <c r="T17" s="56" t="str">
        <f aca="false">IF("TD"=Horo82103[[#This Row],[Tâche]],Horo82103[[#This Row],[Durée]],"")</f>
        <v/>
      </c>
      <c r="U17" s="55" t="str">
        <f aca="false">IF("N/C"=Horo82103[[#This Row],[Tâche]],Horo82103[[#This Row],[Durée]],"")</f>
        <v/>
      </c>
      <c r="V17" s="58"/>
      <c r="W17" s="59" t="n">
        <f aca="false">IF(Horo82103[[#This Row],[O]]="o",Horo82103[[#This Row],[Durée]],".")</f>
        <v>0.999999999999999</v>
      </c>
      <c r="X17" s="60" t="n">
        <f aca="false">IF(Horo82103[[#This Row],[Début]]=0,"",Horo82103[[#This Row],[Fin]]-Horo82103[[#This Row],[Début]])</f>
        <v>0.0416666666666666</v>
      </c>
    </row>
    <row r="18" customFormat="false" ht="15" hidden="false" customHeight="false" outlineLevel="0" collapsed="false">
      <c r="A18" s="45" t="s">
        <v>31</v>
      </c>
      <c r="B18" s="46" t="n">
        <f aca="false">IF(Horo82103[[#This Row],[Jour]]="Lundi",$C$1+1, IF(Horo82103[[#This Row],[Jour]]="Mardi",$C$1+2, IF(Horo82103[[#This Row],[Jour]]="Mercredi",$C$1+3, IF(Horo82103[[#This Row],[Jour]]="Jeudi",$C$1+4, IF(Horo82103[[#This Row],[Jour]]="Vendredi",$C$1+5, IF(Horo82103[[#This Row],[Jour]]="Samedi",$C$1+6, IF(Horo82103[[#This Row],[Jour]]="Dimanche",$C$1, )))))))</f>
        <v>44406</v>
      </c>
      <c r="C18" s="47" t="s">
        <v>2</v>
      </c>
      <c r="D18" s="48" t="n">
        <v>0.395833333333333</v>
      </c>
      <c r="E18" s="48" t="n">
        <v>0.416666666666667</v>
      </c>
      <c r="F18" s="49" t="s">
        <v>37</v>
      </c>
      <c r="G18" s="49" t="s">
        <v>19</v>
      </c>
      <c r="H18" s="50" t="s">
        <v>55</v>
      </c>
      <c r="I18" s="61"/>
      <c r="J18" s="52" t="n">
        <f aca="false">IF(Horo82103[[#This Row],[Début]]=0,"",(Horo82103[[#This Row],[Durée (60)2]]-INT(Horo82103[[#This Row],[Durée (60)2]]))*24)</f>
        <v>0.500000000000001</v>
      </c>
      <c r="K18" s="62" t="n">
        <f aca="false">SUMIF(Horo82103[Jour],C18,Horo82103[Durée])</f>
        <v>8</v>
      </c>
      <c r="L18" s="54" t="n">
        <f aca="false">IFERROR(SUMIF(Horo82103[[#This Row],[Jour]],Horo82103[[#This Row],[Jour]],Horo82103[[#This Row],[GPF]]) / Horo82103[[#This Row],[hrs]],"")</f>
        <v>0.0625000000000001</v>
      </c>
      <c r="M18" s="56" t="n">
        <f aca="false">IF("GPF"=Horo82103[[#This Row],[Tâche]],Horo82103[[#This Row],[Durée]],"")</f>
        <v>0.500000000000001</v>
      </c>
      <c r="N18" s="56" t="str">
        <f aca="false">IF("RI"=Horo82103[[#This Row],[Tâche]],Horo82103[[#This Row],[Durée]],"")</f>
        <v/>
      </c>
      <c r="O18" s="56" t="str">
        <f aca="false">IF("GB"=Horo82103[[#This Row],[Tâche]],Horo82103[[#This Row],[Durée]],"")</f>
        <v/>
      </c>
      <c r="P18" s="56" t="str">
        <f aca="false">IF("RD"=Horo82103[[#This Row],[Tâche]],Horo82103[[#This Row],[Durée]],"")</f>
        <v/>
      </c>
      <c r="Q18" s="56" t="str">
        <f aca="false">IF("FG"=Horo82103[[#This Row],[Tâche]],Horo82103[[#This Row],[Durée]],"")</f>
        <v/>
      </c>
      <c r="R18" s="56" t="str">
        <f aca="false">IF("CONGÉ"=Horo82103[[#This Row],[Tâche]],Horo82103[[#This Row],[Durée]],"")</f>
        <v/>
      </c>
      <c r="S18" s="57" t="str">
        <f aca="false">IF("PS"=Horo82103[[#This Row],[Tâche]],Horo82103[[#This Row],[Durée]],"")</f>
        <v/>
      </c>
      <c r="T18" s="56" t="str">
        <f aca="false">IF("TD"=Horo82103[[#This Row],[Tâche]],Horo82103[[#This Row],[Durée]],"")</f>
        <v/>
      </c>
      <c r="U18" s="55" t="str">
        <f aca="false">IF("N/C"=Horo82103[[#This Row],[Tâche]],Horo82103[[#This Row],[Durée]],"")</f>
        <v/>
      </c>
      <c r="V18" s="58"/>
      <c r="W18" s="59" t="n">
        <f aca="false">IF(Horo82103[[#This Row],[O]]="o",Horo82103[[#This Row],[Durée]],".")</f>
        <v>0.500000000000001</v>
      </c>
      <c r="X18" s="60" t="n">
        <f aca="false">IF(Horo82103[[#This Row],[Début]]=0,"",Horo82103[[#This Row],[Fin]]-Horo82103[[#This Row],[Début]])</f>
        <v>0.0208333333333334</v>
      </c>
    </row>
    <row r="19" customFormat="false" ht="15" hidden="false" customHeight="false" outlineLevel="0" collapsed="false">
      <c r="A19" s="45" t="s">
        <v>31</v>
      </c>
      <c r="B19" s="46" t="n">
        <f aca="false">IF(Horo82103[[#This Row],[Jour]]="Lundi",$C$1+1, IF(Horo82103[[#This Row],[Jour]]="Mardi",$C$1+2, IF(Horo82103[[#This Row],[Jour]]="Mercredi",$C$1+3, IF(Horo82103[[#This Row],[Jour]]="Jeudi",$C$1+4, IF(Horo82103[[#This Row],[Jour]]="Vendredi",$C$1+5, IF(Horo82103[[#This Row],[Jour]]="Samedi",$C$1+6, IF(Horo82103[[#This Row],[Jour]]="Dimanche",$C$1, )))))))</f>
        <v>44406</v>
      </c>
      <c r="C19" s="47" t="s">
        <v>2</v>
      </c>
      <c r="D19" s="48" t="n">
        <v>0.4375</v>
      </c>
      <c r="E19" s="48" t="n">
        <v>0.5</v>
      </c>
      <c r="F19" s="49" t="s">
        <v>32</v>
      </c>
      <c r="G19" s="49" t="s">
        <v>23</v>
      </c>
      <c r="H19" s="50" t="s">
        <v>109</v>
      </c>
      <c r="I19" s="61"/>
      <c r="J19" s="52" t="n">
        <f aca="false">IF(Horo82103[[#This Row],[Début]]=0,"",(Horo82103[[#This Row],[Durée (60)2]]-INT(Horo82103[[#This Row],[Durée (60)2]]))*24)</f>
        <v>1.5</v>
      </c>
      <c r="K19" s="62" t="n">
        <f aca="false">SUMIF(Horo82103[Jour],C19,Horo82103[Durée])</f>
        <v>8</v>
      </c>
      <c r="L19" s="54" t="n">
        <f aca="false">IFERROR(SUMIF(Horo82103[[#This Row],[Jour]],Horo82103[[#This Row],[Jour]],Horo82103[[#This Row],[GPF]]) / Horo82103[[#This Row],[hrs]],"")</f>
        <v>0</v>
      </c>
      <c r="M19" s="56" t="str">
        <f aca="false">IF("GPF"=Horo82103[[#This Row],[Tâche]],Horo82103[[#This Row],[Durée]],"")</f>
        <v/>
      </c>
      <c r="N19" s="56" t="str">
        <f aca="false">IF("RI"=Horo82103[[#This Row],[Tâche]],Horo82103[[#This Row],[Durée]],"")</f>
        <v/>
      </c>
      <c r="O19" s="56" t="str">
        <f aca="false">IF("GB"=Horo82103[[#This Row],[Tâche]],Horo82103[[#This Row],[Durée]],"")</f>
        <v/>
      </c>
      <c r="P19" s="56" t="str">
        <f aca="false">IF("RD"=Horo82103[[#This Row],[Tâche]],Horo82103[[#This Row],[Durée]],"")</f>
        <v/>
      </c>
      <c r="Q19" s="56" t="n">
        <f aca="false">IF("FG"=Horo82103[[#This Row],[Tâche]],Horo82103[[#This Row],[Durée]],"")</f>
        <v>1.5</v>
      </c>
      <c r="R19" s="56" t="str">
        <f aca="false">IF("CONGÉ"=Horo82103[[#This Row],[Tâche]],Horo82103[[#This Row],[Durée]],"")</f>
        <v/>
      </c>
      <c r="S19" s="57" t="str">
        <f aca="false">IF("PS"=Horo82103[[#This Row],[Tâche]],Horo82103[[#This Row],[Durée]],"")</f>
        <v/>
      </c>
      <c r="T19" s="56" t="str">
        <f aca="false">IF("TD"=Horo82103[[#This Row],[Tâche]],Horo82103[[#This Row],[Durée]],"")</f>
        <v/>
      </c>
      <c r="U19" s="55" t="str">
        <f aca="false">IF("N/C"=Horo82103[[#This Row],[Tâche]],Horo82103[[#This Row],[Durée]],"")</f>
        <v/>
      </c>
      <c r="V19" s="58"/>
      <c r="W19" s="59" t="n">
        <f aca="false">IF(Horo82103[[#This Row],[O]]="o",Horo82103[[#This Row],[Durée]],".")</f>
        <v>1.5</v>
      </c>
      <c r="X19" s="60" t="n">
        <f aca="false">IF(Horo82103[[#This Row],[Début]]=0,"",Horo82103[[#This Row],[Fin]]-Horo82103[[#This Row],[Début]])</f>
        <v>0.0625</v>
      </c>
    </row>
    <row r="20" customFormat="false" ht="15" hidden="false" customHeight="false" outlineLevel="0" collapsed="false">
      <c r="A20" s="45" t="s">
        <v>31</v>
      </c>
      <c r="B20" s="46" t="n">
        <f aca="false">IF(Horo82103[[#This Row],[Jour]]="Lundi",$C$1+1, IF(Horo82103[[#This Row],[Jour]]="Mardi",$C$1+2, IF(Horo82103[[#This Row],[Jour]]="Mercredi",$C$1+3, IF(Horo82103[[#This Row],[Jour]]="Jeudi",$C$1+4, IF(Horo82103[[#This Row],[Jour]]="Vendredi",$C$1+5, IF(Horo82103[[#This Row],[Jour]]="Samedi",$C$1+6, IF(Horo82103[[#This Row],[Jour]]="Dimanche",$C$1, )))))))</f>
        <v>44406</v>
      </c>
      <c r="C20" s="47" t="s">
        <v>2</v>
      </c>
      <c r="D20" s="48" t="n">
        <v>0.572916666666667</v>
      </c>
      <c r="E20" s="48" t="n">
        <v>0.614583333333333</v>
      </c>
      <c r="F20" s="49" t="s">
        <v>32</v>
      </c>
      <c r="G20" s="49" t="s">
        <v>23</v>
      </c>
      <c r="H20" s="50" t="s">
        <v>109</v>
      </c>
      <c r="I20" s="61"/>
      <c r="J20" s="52" t="n">
        <f aca="false">IF(Horo82103[[#This Row],[Début]]=0,"",(Horo82103[[#This Row],[Durée (60)2]]-INT(Horo82103[[#This Row],[Durée (60)2]]))*24)</f>
        <v>1</v>
      </c>
      <c r="K20" s="62" t="n">
        <f aca="false">SUMIF(Horo82103[Jour],C20,Horo82103[Durée])</f>
        <v>8</v>
      </c>
      <c r="L20" s="54" t="n">
        <f aca="false">IFERROR(SUMIF(Horo82103[[#This Row],[Jour]],Horo82103[[#This Row],[Jour]],Horo82103[[#This Row],[GPF]]) / Horo82103[[#This Row],[hrs]],"")</f>
        <v>0</v>
      </c>
      <c r="M20" s="56" t="str">
        <f aca="false">IF("GPF"=Horo82103[[#This Row],[Tâche]],Horo82103[[#This Row],[Durée]],"")</f>
        <v/>
      </c>
      <c r="N20" s="56" t="str">
        <f aca="false">IF("RI"=Horo82103[[#This Row],[Tâche]],Horo82103[[#This Row],[Durée]],"")</f>
        <v/>
      </c>
      <c r="O20" s="56" t="str">
        <f aca="false">IF("GB"=Horo82103[[#This Row],[Tâche]],Horo82103[[#This Row],[Durée]],"")</f>
        <v/>
      </c>
      <c r="P20" s="56" t="str">
        <f aca="false">IF("RD"=Horo82103[[#This Row],[Tâche]],Horo82103[[#This Row],[Durée]],"")</f>
        <v/>
      </c>
      <c r="Q20" s="56" t="n">
        <f aca="false">IF("FG"=Horo82103[[#This Row],[Tâche]],Horo82103[[#This Row],[Durée]],"")</f>
        <v>1</v>
      </c>
      <c r="R20" s="56" t="str">
        <f aca="false">IF("CONGÉ"=Horo82103[[#This Row],[Tâche]],Horo82103[[#This Row],[Durée]],"")</f>
        <v/>
      </c>
      <c r="S20" s="57" t="str">
        <f aca="false">IF("PS"=Horo82103[[#This Row],[Tâche]],Horo82103[[#This Row],[Durée]],"")</f>
        <v/>
      </c>
      <c r="T20" s="56" t="str">
        <f aca="false">IF("TD"=Horo82103[[#This Row],[Tâche]],Horo82103[[#This Row],[Durée]],"")</f>
        <v/>
      </c>
      <c r="U20" s="55" t="str">
        <f aca="false">IF("N/C"=Horo82103[[#This Row],[Tâche]],Horo82103[[#This Row],[Durée]],"")</f>
        <v/>
      </c>
      <c r="V20" s="58"/>
      <c r="W20" s="59" t="n">
        <f aca="false">IF(Horo82103[[#This Row],[O]]="o",Horo82103[[#This Row],[Durée]],".")</f>
        <v>1</v>
      </c>
      <c r="X20" s="60" t="n">
        <f aca="false">IF(Horo82103[[#This Row],[Début]]=0,"",Horo82103[[#This Row],[Fin]]-Horo82103[[#This Row],[Début]])</f>
        <v>0.0416666666666667</v>
      </c>
    </row>
    <row r="21" customFormat="false" ht="15" hidden="false" customHeight="false" outlineLevel="0" collapsed="false">
      <c r="A21" s="45" t="s">
        <v>31</v>
      </c>
      <c r="B21" s="46" t="n">
        <f aca="false">IF(Horo82103[[#This Row],[Jour]]="Lundi",$C$1+1, IF(Horo82103[[#This Row],[Jour]]="Mardi",$C$1+2, IF(Horo82103[[#This Row],[Jour]]="Mercredi",$C$1+3, IF(Horo82103[[#This Row],[Jour]]="Jeudi",$C$1+4, IF(Horo82103[[#This Row],[Jour]]="Vendredi",$C$1+5, IF(Horo82103[[#This Row],[Jour]]="Samedi",$C$1+6, IF(Horo82103[[#This Row],[Jour]]="Dimanche",$C$1, )))))))</f>
        <v>44406</v>
      </c>
      <c r="C21" s="47" t="s">
        <v>2</v>
      </c>
      <c r="D21" s="48" t="n">
        <v>0.65625</v>
      </c>
      <c r="E21" s="48" t="n">
        <v>0.697916666666667</v>
      </c>
      <c r="F21" s="49" t="s">
        <v>32</v>
      </c>
      <c r="G21" s="49" t="s">
        <v>22</v>
      </c>
      <c r="H21" s="50"/>
      <c r="I21" s="61"/>
      <c r="J21" s="52" t="n">
        <f aca="false">IF(Horo82103[[#This Row],[Début]]=0,"",(Horo82103[[#This Row],[Durée (60)2]]-INT(Horo82103[[#This Row],[Durée (60)2]]))*24)</f>
        <v>0.999999999999999</v>
      </c>
      <c r="K21" s="62" t="n">
        <f aca="false">SUMIF(Horo82103[Jour],C21,Horo82103[Durée])</f>
        <v>8</v>
      </c>
      <c r="L21" s="54" t="n">
        <f aca="false">IFERROR(SUMIF(Horo82103[[#This Row],[Jour]],Horo82103[[#This Row],[Jour]],Horo82103[[#This Row],[GPF]]) / Horo82103[[#This Row],[hrs]],"")</f>
        <v>0</v>
      </c>
      <c r="M21" s="56" t="str">
        <f aca="false">IF("GPF"=Horo82103[[#This Row],[Tâche]],Horo82103[[#This Row],[Durée]],"")</f>
        <v/>
      </c>
      <c r="N21" s="56" t="str">
        <f aca="false">IF("RI"=Horo82103[[#This Row],[Tâche]],Horo82103[[#This Row],[Durée]],"")</f>
        <v/>
      </c>
      <c r="O21" s="56" t="str">
        <f aca="false">IF("GB"=Horo82103[[#This Row],[Tâche]],Horo82103[[#This Row],[Durée]],"")</f>
        <v/>
      </c>
      <c r="P21" s="56" t="n">
        <f aca="false">IF("RD"=Horo82103[[#This Row],[Tâche]],Horo82103[[#This Row],[Durée]],"")</f>
        <v>0.999999999999999</v>
      </c>
      <c r="Q21" s="56" t="str">
        <f aca="false">IF("FG"=Horo82103[[#This Row],[Tâche]],Horo82103[[#This Row],[Durée]],"")</f>
        <v/>
      </c>
      <c r="R21" s="56" t="str">
        <f aca="false">IF("CONGÉ"=Horo82103[[#This Row],[Tâche]],Horo82103[[#This Row],[Durée]],"")</f>
        <v/>
      </c>
      <c r="S21" s="57" t="str">
        <f aca="false">IF("PS"=Horo82103[[#This Row],[Tâche]],Horo82103[[#This Row],[Durée]],"")</f>
        <v/>
      </c>
      <c r="T21" s="56" t="str">
        <f aca="false">IF("TD"=Horo82103[[#This Row],[Tâche]],Horo82103[[#This Row],[Durée]],"")</f>
        <v/>
      </c>
      <c r="U21" s="55" t="str">
        <f aca="false">IF("N/C"=Horo82103[[#This Row],[Tâche]],Horo82103[[#This Row],[Durée]],"")</f>
        <v/>
      </c>
      <c r="V21" s="58"/>
      <c r="W21" s="59" t="n">
        <f aca="false">IF(Horo82103[[#This Row],[O]]="o",Horo82103[[#This Row],[Durée]],".")</f>
        <v>0.999999999999999</v>
      </c>
      <c r="X21" s="60" t="n">
        <f aca="false">IF(Horo82103[[#This Row],[Début]]=0,"",Horo82103[[#This Row],[Fin]]-Horo82103[[#This Row],[Début]])</f>
        <v>0.0416666666666666</v>
      </c>
    </row>
    <row r="22" customFormat="false" ht="15" hidden="false" customHeight="false" outlineLevel="0" collapsed="false">
      <c r="A22" s="45" t="s">
        <v>31</v>
      </c>
      <c r="B22" s="46" t="n">
        <f aca="false">IF(Horo82103[[#This Row],[Jour]]="Lundi",$C$1+1, IF(Horo82103[[#This Row],[Jour]]="Mardi",$C$1+2, IF(Horo82103[[#This Row],[Jour]]="Mercredi",$C$1+3, IF(Horo82103[[#This Row],[Jour]]="Jeudi",$C$1+4, IF(Horo82103[[#This Row],[Jour]]="Vendredi",$C$1+5, IF(Horo82103[[#This Row],[Jour]]="Samedi",$C$1+6, IF(Horo82103[[#This Row],[Jour]]="Dimanche",$C$1, )))))))</f>
        <v>44406</v>
      </c>
      <c r="C22" s="47" t="s">
        <v>2</v>
      </c>
      <c r="D22" s="48" t="n">
        <v>0.614583333333333</v>
      </c>
      <c r="E22" s="48" t="n">
        <v>0.65625</v>
      </c>
      <c r="F22" s="49" t="s">
        <v>72</v>
      </c>
      <c r="G22" s="49" t="s">
        <v>19</v>
      </c>
      <c r="H22" s="50" t="s">
        <v>114</v>
      </c>
      <c r="I22" s="61" t="s">
        <v>181</v>
      </c>
      <c r="J22" s="52" t="n">
        <f aca="false">IF(Horo82103[[#This Row],[Début]]=0,"",(Horo82103[[#This Row],[Durée (60)2]]-INT(Horo82103[[#This Row],[Durée (60)2]]))*24)</f>
        <v>0.999999999999999</v>
      </c>
      <c r="K22" s="62" t="n">
        <f aca="false">SUMIF(Horo82103[Jour],C22,Horo82103[Durée])</f>
        <v>8</v>
      </c>
      <c r="L22" s="54" t="n">
        <f aca="false">IFERROR(SUMIF(Horo82103[[#This Row],[Jour]],Horo82103[[#This Row],[Jour]],Horo82103[[#This Row],[GPF]]) / Horo82103[[#This Row],[hrs]],"")</f>
        <v>0.125</v>
      </c>
      <c r="M22" s="56" t="n">
        <f aca="false">IF("GPF"=Horo82103[[#This Row],[Tâche]],Horo82103[[#This Row],[Durée]],"")</f>
        <v>0.999999999999999</v>
      </c>
      <c r="N22" s="56" t="str">
        <f aca="false">IF("RI"=Horo82103[[#This Row],[Tâche]],Horo82103[[#This Row],[Durée]],"")</f>
        <v/>
      </c>
      <c r="O22" s="56" t="str">
        <f aca="false">IF("GB"=Horo82103[[#This Row],[Tâche]],Horo82103[[#This Row],[Durée]],"")</f>
        <v/>
      </c>
      <c r="P22" s="56" t="str">
        <f aca="false">IF("RD"=Horo82103[[#This Row],[Tâche]],Horo82103[[#This Row],[Durée]],"")</f>
        <v/>
      </c>
      <c r="Q22" s="56" t="str">
        <f aca="false">IF("FG"=Horo82103[[#This Row],[Tâche]],Horo82103[[#This Row],[Durée]],"")</f>
        <v/>
      </c>
      <c r="R22" s="56" t="str">
        <f aca="false">IF("CONGÉ"=Horo82103[[#This Row],[Tâche]],Horo82103[[#This Row],[Durée]],"")</f>
        <v/>
      </c>
      <c r="S22" s="57" t="str">
        <f aca="false">IF("PS"=Horo82103[[#This Row],[Tâche]],Horo82103[[#This Row],[Durée]],"")</f>
        <v/>
      </c>
      <c r="T22" s="56" t="str">
        <f aca="false">IF("TD"=Horo82103[[#This Row],[Tâche]],Horo82103[[#This Row],[Durée]],"")</f>
        <v/>
      </c>
      <c r="U22" s="55" t="str">
        <f aca="false">IF("N/C"=Horo82103[[#This Row],[Tâche]],Horo82103[[#This Row],[Durée]],"")</f>
        <v/>
      </c>
      <c r="V22" s="58"/>
      <c r="W22" s="59" t="n">
        <f aca="false">IF(Horo82103[[#This Row],[O]]="o",Horo82103[[#This Row],[Durée]],".")</f>
        <v>0.999999999999999</v>
      </c>
      <c r="X22" s="60" t="n">
        <f aca="false">IF(Horo82103[[#This Row],[Début]]=0,"",Horo82103[[#This Row],[Fin]]-Horo82103[[#This Row],[Début]])</f>
        <v>0.0416666666666666</v>
      </c>
    </row>
    <row r="23" customFormat="false" ht="15" hidden="false" customHeight="false" outlineLevel="0" collapsed="false">
      <c r="A23" s="45" t="s">
        <v>31</v>
      </c>
      <c r="B23" s="46" t="n">
        <f aca="false">IF(Horo82103[[#This Row],[Jour]]="Lundi",$C$1+1, IF(Horo82103[[#This Row],[Jour]]="Mardi",$C$1+2, IF(Horo82103[[#This Row],[Jour]]="Mercredi",$C$1+3, IF(Horo82103[[#This Row],[Jour]]="Jeudi",$C$1+4, IF(Horo82103[[#This Row],[Jour]]="Vendredi",$C$1+5, IF(Horo82103[[#This Row],[Jour]]="Samedi",$C$1+6, IF(Horo82103[[#This Row],[Jour]]="Dimanche",$C$1, )))))))</f>
        <v>44406</v>
      </c>
      <c r="C23" s="47" t="s">
        <v>2</v>
      </c>
      <c r="D23" s="48" t="n">
        <v>0.697916666666667</v>
      </c>
      <c r="E23" s="48" t="n">
        <v>0.729166666666667</v>
      </c>
      <c r="F23" s="49" t="s">
        <v>72</v>
      </c>
      <c r="G23" s="49" t="s">
        <v>19</v>
      </c>
      <c r="H23" s="50" t="s">
        <v>114</v>
      </c>
      <c r="I23" s="61" t="s">
        <v>182</v>
      </c>
      <c r="J23" s="52" t="n">
        <f aca="false">IF(Horo82103[[#This Row],[Début]]=0,"",(Horo82103[[#This Row],[Durée (60)2]]-INT(Horo82103[[#This Row],[Durée (60)2]]))*24)</f>
        <v>0.75</v>
      </c>
      <c r="K23" s="62" t="n">
        <f aca="false">SUMIF(Horo82103[Jour],C23,Horo82103[Durée])</f>
        <v>8</v>
      </c>
      <c r="L23" s="54" t="n">
        <f aca="false">IFERROR(SUMIF(Horo82103[[#This Row],[Jour]],Horo82103[[#This Row],[Jour]],Horo82103[[#This Row],[GPF]]) / Horo82103[[#This Row],[hrs]],"")</f>
        <v>0.09375</v>
      </c>
      <c r="M23" s="56" t="n">
        <f aca="false">IF("GPF"=Horo82103[[#This Row],[Tâche]],Horo82103[[#This Row],[Durée]],"")</f>
        <v>0.75</v>
      </c>
      <c r="N23" s="56" t="str">
        <f aca="false">IF("RI"=Horo82103[[#This Row],[Tâche]],Horo82103[[#This Row],[Durée]],"")</f>
        <v/>
      </c>
      <c r="O23" s="56" t="str">
        <f aca="false">IF("GB"=Horo82103[[#This Row],[Tâche]],Horo82103[[#This Row],[Durée]],"")</f>
        <v/>
      </c>
      <c r="P23" s="56" t="str">
        <f aca="false">IF("RD"=Horo82103[[#This Row],[Tâche]],Horo82103[[#This Row],[Durée]],"")</f>
        <v/>
      </c>
      <c r="Q23" s="56" t="str">
        <f aca="false">IF("FG"=Horo82103[[#This Row],[Tâche]],Horo82103[[#This Row],[Durée]],"")</f>
        <v/>
      </c>
      <c r="R23" s="56" t="str">
        <f aca="false">IF("CONGÉ"=Horo82103[[#This Row],[Tâche]],Horo82103[[#This Row],[Durée]],"")</f>
        <v/>
      </c>
      <c r="S23" s="57" t="str">
        <f aca="false">IF("PS"=Horo82103[[#This Row],[Tâche]],Horo82103[[#This Row],[Durée]],"")</f>
        <v/>
      </c>
      <c r="T23" s="56" t="str">
        <f aca="false">IF("TD"=Horo82103[[#This Row],[Tâche]],Horo82103[[#This Row],[Durée]],"")</f>
        <v/>
      </c>
      <c r="U23" s="55" t="str">
        <f aca="false">IF("N/C"=Horo82103[[#This Row],[Tâche]],Horo82103[[#This Row],[Durée]],"")</f>
        <v/>
      </c>
      <c r="V23" s="58"/>
      <c r="W23" s="59" t="n">
        <f aca="false">IF(Horo82103[[#This Row],[O]]="o",Horo82103[[#This Row],[Durée]],".")</f>
        <v>0.75</v>
      </c>
      <c r="X23" s="60" t="n">
        <f aca="false">IF(Horo82103[[#This Row],[Début]]=0,"",Horo82103[[#This Row],[Fin]]-Horo82103[[#This Row],[Début]])</f>
        <v>0.03125</v>
      </c>
    </row>
    <row r="24" customFormat="false" ht="15" hidden="false" customHeight="false" outlineLevel="0" collapsed="false">
      <c r="A24" s="45" t="s">
        <v>31</v>
      </c>
      <c r="B24" s="46" t="n">
        <f aca="false">IF(Horo82103[[#This Row],[Jour]]="Lundi",$C$1+1, IF(Horo82103[[#This Row],[Jour]]="Mardi",$C$1+2, IF(Horo82103[[#This Row],[Jour]]="Mercredi",$C$1+3, IF(Horo82103[[#This Row],[Jour]]="Jeudi",$C$1+4, IF(Horo82103[[#This Row],[Jour]]="Vendredi",$C$1+5, IF(Horo82103[[#This Row],[Jour]]="Samedi",$C$1+6, IF(Horo82103[[#This Row],[Jour]]="Dimanche",$C$1, )))))))</f>
        <v>44406</v>
      </c>
      <c r="C24" s="47" t="s">
        <v>2</v>
      </c>
      <c r="D24" s="48" t="n">
        <v>0.760416666666667</v>
      </c>
      <c r="E24" s="48" t="n">
        <v>0.770833333333333</v>
      </c>
      <c r="F24" s="49" t="s">
        <v>72</v>
      </c>
      <c r="G24" s="49" t="s">
        <v>22</v>
      </c>
      <c r="H24" s="50" t="s">
        <v>114</v>
      </c>
      <c r="I24" s="61" t="s">
        <v>183</v>
      </c>
      <c r="J24" s="52" t="n">
        <f aca="false">IF(Horo82103[[#This Row],[Début]]=0,"",(Horo82103[[#This Row],[Durée (60)2]]-INT(Horo82103[[#This Row],[Durée (60)2]]))*24)</f>
        <v>0.250000000000002</v>
      </c>
      <c r="K24" s="62" t="n">
        <f aca="false">SUMIF(Horo82103[Jour],C24,Horo82103[Durée])</f>
        <v>8</v>
      </c>
      <c r="L24" s="54" t="n">
        <f aca="false">IFERROR(SUMIF(Horo82103[[#This Row],[Jour]],Horo82103[[#This Row],[Jour]],Horo82103[[#This Row],[GPF]]) / Horo82103[[#This Row],[hrs]],"")</f>
        <v>0</v>
      </c>
      <c r="M24" s="56" t="str">
        <f aca="false">IF("GPF"=Horo82103[[#This Row],[Tâche]],Horo82103[[#This Row],[Durée]],"")</f>
        <v/>
      </c>
      <c r="N24" s="56" t="str">
        <f aca="false">IF("RI"=Horo82103[[#This Row],[Tâche]],Horo82103[[#This Row],[Durée]],"")</f>
        <v/>
      </c>
      <c r="O24" s="56" t="str">
        <f aca="false">IF("GB"=Horo82103[[#This Row],[Tâche]],Horo82103[[#This Row],[Durée]],"")</f>
        <v/>
      </c>
      <c r="P24" s="56" t="n">
        <f aca="false">IF("RD"=Horo82103[[#This Row],[Tâche]],Horo82103[[#This Row],[Durée]],"")</f>
        <v>0.250000000000002</v>
      </c>
      <c r="Q24" s="56" t="str">
        <f aca="false">IF("FG"=Horo82103[[#This Row],[Tâche]],Horo82103[[#This Row],[Durée]],"")</f>
        <v/>
      </c>
      <c r="R24" s="56" t="str">
        <f aca="false">IF("CONGÉ"=Horo82103[[#This Row],[Tâche]],Horo82103[[#This Row],[Durée]],"")</f>
        <v/>
      </c>
      <c r="S24" s="57" t="str">
        <f aca="false">IF("PS"=Horo82103[[#This Row],[Tâche]],Horo82103[[#This Row],[Durée]],"")</f>
        <v/>
      </c>
      <c r="T24" s="56" t="str">
        <f aca="false">IF("TD"=Horo82103[[#This Row],[Tâche]],Horo82103[[#This Row],[Durée]],"")</f>
        <v/>
      </c>
      <c r="U24" s="55" t="str">
        <f aca="false">IF("N/C"=Horo82103[[#This Row],[Tâche]],Horo82103[[#This Row],[Durée]],"")</f>
        <v/>
      </c>
      <c r="V24" s="58"/>
      <c r="W24" s="59" t="n">
        <f aca="false">IF(Horo82103[[#This Row],[O]]="o",Horo82103[[#This Row],[Durée]],".")</f>
        <v>0.250000000000002</v>
      </c>
      <c r="X24" s="60" t="n">
        <f aca="false">IF(Horo82103[[#This Row],[Début]]=0,"",Horo82103[[#This Row],[Fin]]-Horo82103[[#This Row],[Début]])</f>
        <v>0.0104166666666667</v>
      </c>
    </row>
    <row r="25" customFormat="false" ht="15" hidden="false" customHeight="false" outlineLevel="0" collapsed="false">
      <c r="A25" s="45" t="s">
        <v>31</v>
      </c>
      <c r="B25" s="46" t="n">
        <f aca="false">IF(Horo82103[[#This Row],[Jour]]="Lundi",$C$1+1, IF(Horo82103[[#This Row],[Jour]]="Mardi",$C$1+2, IF(Horo82103[[#This Row],[Jour]]="Mercredi",$C$1+3, IF(Horo82103[[#This Row],[Jour]]="Jeudi",$C$1+4, IF(Horo82103[[#This Row],[Jour]]="Vendredi",$C$1+5, IF(Horo82103[[#This Row],[Jour]]="Samedi",$C$1+6, IF(Horo82103[[#This Row],[Jour]]="Dimanche",$C$1, )))))))</f>
        <v>44407</v>
      </c>
      <c r="C25" s="47" t="s">
        <v>3</v>
      </c>
      <c r="D25" s="48" t="n">
        <v>0.3125</v>
      </c>
      <c r="E25" s="48" t="n">
        <v>0.375</v>
      </c>
      <c r="F25" s="49" t="s">
        <v>32</v>
      </c>
      <c r="G25" s="49" t="s">
        <v>21</v>
      </c>
      <c r="H25" s="50" t="s">
        <v>33</v>
      </c>
      <c r="I25" s="51"/>
      <c r="J25" s="52" t="n">
        <f aca="false">IF(Horo82103[[#This Row],[Début]]=0,"",(Horo82103[[#This Row],[Durée (60)2]]-INT(Horo82103[[#This Row],[Durée (60)2]]))*24)</f>
        <v>1.5</v>
      </c>
      <c r="K25" s="62" t="n">
        <f aca="false">SUMIF(Horo82103[Jour],C25,Horo82103[Durée])</f>
        <v>8</v>
      </c>
      <c r="L25" s="54" t="n">
        <f aca="false">IFERROR(SUMIF(Horo82103[[#This Row],[Jour]],Horo82103[[#This Row],[Jour]],Horo82103[[#This Row],[GPF]]) / Horo82103[[#This Row],[hrs]],"")</f>
        <v>0</v>
      </c>
      <c r="M25" s="56" t="str">
        <f aca="false">IF("GPF"=Horo82103[[#This Row],[Tâche]],Horo82103[[#This Row],[Durée]],"")</f>
        <v/>
      </c>
      <c r="N25" s="56" t="str">
        <f aca="false">IF("RI"=Horo82103[[#This Row],[Tâche]],Horo82103[[#This Row],[Durée]],"")</f>
        <v/>
      </c>
      <c r="O25" s="56" t="n">
        <f aca="false">IF("GB"=Horo82103[[#This Row],[Tâche]],Horo82103[[#This Row],[Durée]],"")</f>
        <v>1.5</v>
      </c>
      <c r="P25" s="56" t="str">
        <f aca="false">IF("RD"=Horo82103[[#This Row],[Tâche]],Horo82103[[#This Row],[Durée]],"")</f>
        <v/>
      </c>
      <c r="Q25" s="56" t="str">
        <f aca="false">IF("FG"=Horo82103[[#This Row],[Tâche]],Horo82103[[#This Row],[Durée]],"")</f>
        <v/>
      </c>
      <c r="R25" s="56" t="str">
        <f aca="false">IF("CONGÉ"=Horo82103[[#This Row],[Tâche]],Horo82103[[#This Row],[Durée]],"")</f>
        <v/>
      </c>
      <c r="S25" s="56" t="str">
        <f aca="false">IF("PS"=Horo82103[[#This Row],[Tâche]],Horo82103[[#This Row],[Durée]],"")</f>
        <v/>
      </c>
      <c r="T25" s="56" t="str">
        <f aca="false">IF("TD"=Horo82103[[#This Row],[Tâche]],Horo82103[[#This Row],[Durée]],"")</f>
        <v/>
      </c>
      <c r="U25" s="56" t="str">
        <f aca="false">IF("N/C"=Horo82103[[#This Row],[Tâche]],Horo82103[[#This Row],[Durée]],"")</f>
        <v/>
      </c>
      <c r="V25" s="58"/>
      <c r="W25" s="59" t="n">
        <f aca="false">IF(Horo82103[[#This Row],[O]]="o",Horo82103[[#This Row],[Durée]],".")</f>
        <v>1.5</v>
      </c>
      <c r="X25" s="64" t="n">
        <f aca="false">IF(Horo82103[[#This Row],[Début]]=0,"",Horo82103[[#This Row],[Fin]]-Horo82103[[#This Row],[Début]])</f>
        <v>0.0625</v>
      </c>
    </row>
    <row r="26" customFormat="false" ht="15" hidden="false" customHeight="false" outlineLevel="0" collapsed="false">
      <c r="A26" s="45" t="s">
        <v>31</v>
      </c>
      <c r="B26" s="46" t="n">
        <f aca="false">IF(Horo82103[[#This Row],[Jour]]="Lundi",$C$1+1, IF(Horo82103[[#This Row],[Jour]]="Mardi",$C$1+2, IF(Horo82103[[#This Row],[Jour]]="Mercredi",$C$1+3, IF(Horo82103[[#This Row],[Jour]]="Jeudi",$C$1+4, IF(Horo82103[[#This Row],[Jour]]="Vendredi",$C$1+5, IF(Horo82103[[#This Row],[Jour]]="Samedi",$C$1+6, IF(Horo82103[[#This Row],[Jour]]="Dimanche",$C$1, )))))))</f>
        <v>44407</v>
      </c>
      <c r="C26" s="47" t="s">
        <v>3</v>
      </c>
      <c r="D26" s="48" t="n">
        <v>0.375</v>
      </c>
      <c r="E26" s="48" t="n">
        <v>0.5</v>
      </c>
      <c r="F26" s="49" t="s">
        <v>32</v>
      </c>
      <c r="G26" s="49" t="s">
        <v>23</v>
      </c>
      <c r="H26" s="50" t="s">
        <v>109</v>
      </c>
      <c r="I26" s="61"/>
      <c r="J26" s="52" t="n">
        <f aca="false">IF(Horo82103[[#This Row],[Début]]=0,"",(Horo82103[[#This Row],[Durée (60)2]]-INT(Horo82103[[#This Row],[Durée (60)2]]))*24)</f>
        <v>3</v>
      </c>
      <c r="K26" s="62" t="n">
        <f aca="false">SUMIF(Horo82103[Jour],C26,Horo82103[Durée])</f>
        <v>8</v>
      </c>
      <c r="L26" s="54" t="n">
        <f aca="false">IFERROR(SUMIF(Horo82103[[#This Row],[Jour]],Horo82103[[#This Row],[Jour]],Horo82103[[#This Row],[GPF]]) / Horo82103[[#This Row],[hrs]],"")</f>
        <v>0</v>
      </c>
      <c r="M26" s="56" t="str">
        <f aca="false">IF("GPF"=Horo82103[[#This Row],[Tâche]],Horo82103[[#This Row],[Durée]],"")</f>
        <v/>
      </c>
      <c r="N26" s="56" t="str">
        <f aca="false">IF("RI"=Horo82103[[#This Row],[Tâche]],Horo82103[[#This Row],[Durée]],"")</f>
        <v/>
      </c>
      <c r="O26" s="56" t="str">
        <f aca="false">IF("GB"=Horo82103[[#This Row],[Tâche]],Horo82103[[#This Row],[Durée]],"")</f>
        <v/>
      </c>
      <c r="P26" s="56" t="str">
        <f aca="false">IF("RD"=Horo82103[[#This Row],[Tâche]],Horo82103[[#This Row],[Durée]],"")</f>
        <v/>
      </c>
      <c r="Q26" s="56" t="n">
        <f aca="false">IF("FG"=Horo82103[[#This Row],[Tâche]],Horo82103[[#This Row],[Durée]],"")</f>
        <v>3</v>
      </c>
      <c r="R26" s="56" t="str">
        <f aca="false">IF("CONGÉ"=Horo82103[[#This Row],[Tâche]],Horo82103[[#This Row],[Durée]],"")</f>
        <v/>
      </c>
      <c r="S26" s="57" t="str">
        <f aca="false">IF("PS"=Horo82103[[#This Row],[Tâche]],Horo82103[[#This Row],[Durée]],"")</f>
        <v/>
      </c>
      <c r="T26" s="56" t="str">
        <f aca="false">IF("TD"=Horo82103[[#This Row],[Tâche]],Horo82103[[#This Row],[Durée]],"")</f>
        <v/>
      </c>
      <c r="U26" s="55" t="str">
        <f aca="false">IF("N/C"=Horo82103[[#This Row],[Tâche]],Horo82103[[#This Row],[Durée]],"")</f>
        <v/>
      </c>
      <c r="V26" s="58"/>
      <c r="W26" s="59" t="n">
        <f aca="false">IF(Horo82103[[#This Row],[O]]="o",Horo82103[[#This Row],[Durée]],".")</f>
        <v>3</v>
      </c>
      <c r="X26" s="60" t="n">
        <f aca="false">IF(Horo82103[[#This Row],[Début]]=0,"",Horo82103[[#This Row],[Fin]]-Horo82103[[#This Row],[Début]])</f>
        <v>0.125</v>
      </c>
    </row>
    <row r="27" customFormat="false" ht="15" hidden="false" customHeight="false" outlineLevel="0" collapsed="false">
      <c r="A27" s="45" t="s">
        <v>31</v>
      </c>
      <c r="B27" s="46" t="n">
        <f aca="false">IF(Horo82103[[#This Row],[Jour]]="Lundi",$C$1+1, IF(Horo82103[[#This Row],[Jour]]="Mardi",$C$1+2, IF(Horo82103[[#This Row],[Jour]]="Mercredi",$C$1+3, IF(Horo82103[[#This Row],[Jour]]="Jeudi",$C$1+4, IF(Horo82103[[#This Row],[Jour]]="Vendredi",$C$1+5, IF(Horo82103[[#This Row],[Jour]]="Samedi",$C$1+6, IF(Horo82103[[#This Row],[Jour]]="Dimanche",$C$1, )))))))</f>
        <v>44407</v>
      </c>
      <c r="C27" s="47" t="s">
        <v>3</v>
      </c>
      <c r="D27" s="48" t="n">
        <v>0.5625</v>
      </c>
      <c r="E27" s="48" t="n">
        <v>0.666666666666667</v>
      </c>
      <c r="F27" s="49" t="s">
        <v>32</v>
      </c>
      <c r="G27" s="49" t="s">
        <v>23</v>
      </c>
      <c r="H27" s="50" t="s">
        <v>109</v>
      </c>
      <c r="I27" s="61"/>
      <c r="J27" s="52" t="n">
        <f aca="false">IF(Horo82103[[#This Row],[Début]]=0,"",(Horo82103[[#This Row],[Durée (60)2]]-INT(Horo82103[[#This Row],[Durée (60)2]]))*24)</f>
        <v>2.5</v>
      </c>
      <c r="K27" s="62" t="n">
        <f aca="false">SUMIF(Horo82103[Jour],C27,Horo82103[Durée])</f>
        <v>8</v>
      </c>
      <c r="L27" s="54" t="n">
        <f aca="false">IFERROR(SUMIF(Horo82103[[#This Row],[Jour]],Horo82103[[#This Row],[Jour]],Horo82103[[#This Row],[GPF]]) / Horo82103[[#This Row],[hrs]],"")</f>
        <v>0</v>
      </c>
      <c r="M27" s="56" t="str">
        <f aca="false">IF("GPF"=Horo82103[[#This Row],[Tâche]],Horo82103[[#This Row],[Durée]],"")</f>
        <v/>
      </c>
      <c r="N27" s="56" t="str">
        <f aca="false">IF("RI"=Horo82103[[#This Row],[Tâche]],Horo82103[[#This Row],[Durée]],"")</f>
        <v/>
      </c>
      <c r="O27" s="56" t="str">
        <f aca="false">IF("GB"=Horo82103[[#This Row],[Tâche]],Horo82103[[#This Row],[Durée]],"")</f>
        <v/>
      </c>
      <c r="P27" s="56" t="str">
        <f aca="false">IF("RD"=Horo82103[[#This Row],[Tâche]],Horo82103[[#This Row],[Durée]],"")</f>
        <v/>
      </c>
      <c r="Q27" s="56" t="n">
        <f aca="false">IF("FG"=Horo82103[[#This Row],[Tâche]],Horo82103[[#This Row],[Durée]],"")</f>
        <v>2.5</v>
      </c>
      <c r="R27" s="56" t="str">
        <f aca="false">IF("CONGÉ"=Horo82103[[#This Row],[Tâche]],Horo82103[[#This Row],[Durée]],"")</f>
        <v/>
      </c>
      <c r="S27" s="57" t="str">
        <f aca="false">IF("PS"=Horo82103[[#This Row],[Tâche]],Horo82103[[#This Row],[Durée]],"")</f>
        <v/>
      </c>
      <c r="T27" s="56" t="str">
        <f aca="false">IF("TD"=Horo82103[[#This Row],[Tâche]],Horo82103[[#This Row],[Durée]],"")</f>
        <v/>
      </c>
      <c r="U27" s="55" t="str">
        <f aca="false">IF("N/C"=Horo82103[[#This Row],[Tâche]],Horo82103[[#This Row],[Durée]],"")</f>
        <v/>
      </c>
      <c r="V27" s="58"/>
      <c r="W27" s="59" t="n">
        <f aca="false">IF(Horo82103[[#This Row],[O]]="o",Horo82103[[#This Row],[Durée]],".")</f>
        <v>2.5</v>
      </c>
      <c r="X27" s="60" t="n">
        <f aca="false">IF(Horo82103[[#This Row],[Début]]=0,"",Horo82103[[#This Row],[Fin]]-Horo82103[[#This Row],[Début]])</f>
        <v>0.104166666666667</v>
      </c>
    </row>
    <row r="28" customFormat="false" ht="15" hidden="false" customHeight="false" outlineLevel="0" collapsed="false">
      <c r="A28" s="45" t="s">
        <v>31</v>
      </c>
      <c r="B28" s="46" t="n">
        <f aca="false">IF(Horo82103[[#This Row],[Jour]]="Lundi",$C$1+1, IF(Horo82103[[#This Row],[Jour]]="Mardi",$C$1+2, IF(Horo82103[[#This Row],[Jour]]="Mercredi",$C$1+3, IF(Horo82103[[#This Row],[Jour]]="Jeudi",$C$1+4, IF(Horo82103[[#This Row],[Jour]]="Vendredi",$C$1+5, IF(Horo82103[[#This Row],[Jour]]="Samedi",$C$1+6, IF(Horo82103[[#This Row],[Jour]]="Dimanche",$C$1, )))))))</f>
        <v>44407</v>
      </c>
      <c r="C28" s="47" t="s">
        <v>3</v>
      </c>
      <c r="D28" s="48" t="n">
        <v>0.666666666666667</v>
      </c>
      <c r="E28" s="48" t="n">
        <v>0.708333333333333</v>
      </c>
      <c r="F28" s="49" t="s">
        <v>32</v>
      </c>
      <c r="G28" s="49" t="s">
        <v>27</v>
      </c>
      <c r="H28" s="50" t="s">
        <v>33</v>
      </c>
      <c r="I28" s="61"/>
      <c r="J28" s="52" t="n">
        <f aca="false">IF(Horo82103[[#This Row],[Début]]=0,"",(Horo82103[[#This Row],[Durée (60)2]]-INT(Horo82103[[#This Row],[Durée (60)2]]))*24)</f>
        <v>1</v>
      </c>
      <c r="K28" s="62" t="n">
        <f aca="false">SUMIF(Horo82103[Jour],C28,Horo82103[Durée])</f>
        <v>8</v>
      </c>
      <c r="L28" s="54" t="n">
        <f aca="false">IFERROR(SUMIF(Horo82103[[#This Row],[Jour]],Horo82103[[#This Row],[Jour]],Horo82103[[#This Row],[GPF]]) / Horo82103[[#This Row],[hrs]],"")</f>
        <v>0</v>
      </c>
      <c r="M28" s="56" t="str">
        <f aca="false">IF("GPF"=Horo82103[[#This Row],[Tâche]],Horo82103[[#This Row],[Durée]],"")</f>
        <v/>
      </c>
      <c r="N28" s="56" t="str">
        <f aca="false">IF("RI"=Horo82103[[#This Row],[Tâche]],Horo82103[[#This Row],[Durée]],"")</f>
        <v/>
      </c>
      <c r="O28" s="56" t="str">
        <f aca="false">IF("GB"=Horo82103[[#This Row],[Tâche]],Horo82103[[#This Row],[Durée]],"")</f>
        <v/>
      </c>
      <c r="P28" s="56" t="str">
        <f aca="false">IF("RD"=Horo82103[[#This Row],[Tâche]],Horo82103[[#This Row],[Durée]],"")</f>
        <v/>
      </c>
      <c r="Q28" s="56" t="str">
        <f aca="false">IF("FG"=Horo82103[[#This Row],[Tâche]],Horo82103[[#This Row],[Durée]],"")</f>
        <v/>
      </c>
      <c r="R28" s="56" t="str">
        <f aca="false">IF("CONGÉ"=Horo82103[[#This Row],[Tâche]],Horo82103[[#This Row],[Durée]],"")</f>
        <v/>
      </c>
      <c r="S28" s="57" t="str">
        <f aca="false">IF("PS"=Horo82103[[#This Row],[Tâche]],Horo82103[[#This Row],[Durée]],"")</f>
        <v/>
      </c>
      <c r="T28" s="56" t="str">
        <f aca="false">IF("TD"=Horo82103[[#This Row],[Tâche]],Horo82103[[#This Row],[Durée]],"")</f>
        <v/>
      </c>
      <c r="U28" s="55" t="n">
        <f aca="false">IF("N/C"=Horo82103[[#This Row],[Tâche]],Horo82103[[#This Row],[Durée]],"")</f>
        <v>1</v>
      </c>
      <c r="V28" s="58"/>
      <c r="W28" s="59" t="n">
        <f aca="false">IF(Horo82103[[#This Row],[O]]="o",Horo82103[[#This Row],[Durée]],".")</f>
        <v>1</v>
      </c>
      <c r="X28" s="60" t="n">
        <f aca="false">IF(Horo82103[[#This Row],[Début]]=0,"",Horo82103[[#This Row],[Fin]]-Horo82103[[#This Row],[Début]])</f>
        <v>0.0416666666666667</v>
      </c>
    </row>
    <row r="29" customFormat="false" ht="15" hidden="false" customHeight="false" outlineLevel="0" collapsed="false">
      <c r="A29" s="45" t="s">
        <v>31</v>
      </c>
      <c r="B29" s="46" t="n">
        <f aca="false">IF(Horo82103[[#This Row],[Jour]]="Lundi",$C$1+1, IF(Horo82103[[#This Row],[Jour]]="Mardi",$C$1+2, IF(Horo82103[[#This Row],[Jour]]="Mercredi",$C$1+3, IF(Horo82103[[#This Row],[Jour]]="Jeudi",$C$1+4, IF(Horo82103[[#This Row],[Jour]]="Vendredi",$C$1+5, IF(Horo82103[[#This Row],[Jour]]="Samedi",$C$1+6, IF(Horo82103[[#This Row],[Jour]]="Dimanche",$C$1, )))))))</f>
        <v>44408</v>
      </c>
      <c r="C29" s="47" t="s">
        <v>4</v>
      </c>
      <c r="D29" s="48" t="n">
        <v>0.333333333333333</v>
      </c>
      <c r="E29" s="48" t="n">
        <v>0.666666666666667</v>
      </c>
      <c r="F29" s="49" t="s">
        <v>32</v>
      </c>
      <c r="G29" s="49" t="s">
        <v>24</v>
      </c>
      <c r="H29" s="50" t="s">
        <v>130</v>
      </c>
      <c r="I29" s="51"/>
      <c r="J29" s="52" t="n">
        <f aca="false">IF(Horo82103[[#This Row],[Début]]=0,"",(Horo82103[[#This Row],[Durée (60)2]]-INT(Horo82103[[#This Row],[Durée (60)2]]))*24)</f>
        <v>8</v>
      </c>
      <c r="K29" s="62" t="n">
        <f aca="false">SUMIF(Horo82103[Jour],C29,Horo82103[Durée])</f>
        <v>8</v>
      </c>
      <c r="L29" s="54" t="n">
        <f aca="false">IFERROR(SUMIF(Horo82103[[#This Row],[Jour]],Horo82103[[#This Row],[Jour]],Horo82103[[#This Row],[GPF]]) / Horo82103[[#This Row],[hrs]],"")</f>
        <v>0</v>
      </c>
      <c r="M29" s="56" t="str">
        <f aca="false">IF("GPF"=Horo82103[[#This Row],[Tâche]],Horo82103[[#This Row],[Durée]],"")</f>
        <v/>
      </c>
      <c r="N29" s="56" t="str">
        <f aca="false">IF("RI"=Horo82103[[#This Row],[Tâche]],Horo82103[[#This Row],[Durée]],"")</f>
        <v/>
      </c>
      <c r="O29" s="56" t="str">
        <f aca="false">IF("GB"=Horo82103[[#This Row],[Tâche]],Horo82103[[#This Row],[Durée]],"")</f>
        <v/>
      </c>
      <c r="P29" s="56" t="str">
        <f aca="false">IF("RD"=Horo82103[[#This Row],[Tâche]],Horo82103[[#This Row],[Durée]],"")</f>
        <v/>
      </c>
      <c r="Q29" s="56" t="str">
        <f aca="false">IF("FG"=Horo82103[[#This Row],[Tâche]],Horo82103[[#This Row],[Durée]],"")</f>
        <v/>
      </c>
      <c r="R29" s="56" t="n">
        <f aca="false">IF("CONGÉ"=Horo82103[[#This Row],[Tâche]],Horo82103[[#This Row],[Durée]],"")</f>
        <v>8</v>
      </c>
      <c r="S29" s="57" t="str">
        <f aca="false">IF("PS"=Horo82103[[#This Row],[Tâche]],Horo82103[[#This Row],[Durée]],"")</f>
        <v/>
      </c>
      <c r="T29" s="56" t="str">
        <f aca="false">IF("TD"=Horo82103[[#This Row],[Tâche]],Horo82103[[#This Row],[Durée]],"")</f>
        <v/>
      </c>
      <c r="U29" s="55" t="str">
        <f aca="false">IF("N/C"=Horo82103[[#This Row],[Tâche]],Horo82103[[#This Row],[Durée]],"")</f>
        <v/>
      </c>
      <c r="V29" s="58"/>
      <c r="W29" s="59" t="n">
        <f aca="false">IF(Horo82103[[#This Row],[O]]="o",Horo82103[[#This Row],[Durée]],".")</f>
        <v>8</v>
      </c>
      <c r="X29" s="60" t="n">
        <f aca="false">IF(Horo82103[[#This Row],[Début]]=0,"",Horo82103[[#This Row],[Fin]]-Horo82103[[#This Row],[Début]])</f>
        <v>0.333333333333333</v>
      </c>
    </row>
    <row r="30" customFormat="false" ht="15" hidden="false" customHeight="false" outlineLevel="0" collapsed="false">
      <c r="A30" s="45" t="s">
        <v>33</v>
      </c>
      <c r="B30" s="46" t="n">
        <f aca="false">IF(Horo82103[[#This Row],[Jour]]="Lundi",$C$1+1, IF(Horo82103[[#This Row],[Jour]]="Mardi",$C$1+2, IF(Horo82103[[#This Row],[Jour]]="Mercredi",$C$1+3, IF(Horo82103[[#This Row],[Jour]]="Jeudi",$C$1+4, IF(Horo82103[[#This Row],[Jour]]="Vendredi",$C$1+5, IF(Horo82103[[#This Row],[Jour]]="Samedi",$C$1+6, IF(Horo82103[[#This Row],[Jour]]="Dimanche",$C$1, )))))))</f>
        <v>0</v>
      </c>
      <c r="C30" s="47"/>
      <c r="D30" s="48"/>
      <c r="E30" s="48"/>
      <c r="F30" s="49" t="s">
        <v>32</v>
      </c>
      <c r="G30" s="49" t="s">
        <v>27</v>
      </c>
      <c r="H30" s="50" t="s">
        <v>33</v>
      </c>
      <c r="I30" s="61"/>
      <c r="J30" s="52" t="str">
        <f aca="false">IF(Horo82103[[#This Row],[Début]]=0,"",(Horo82103[[#This Row],[Durée (60)2]]-INT(Horo82103[[#This Row],[Durée (60)2]]))*24)</f>
        <v/>
      </c>
      <c r="K30" s="62" t="n">
        <f aca="false">SUMIF(Horo82103[Jour],C30,Horo82103[Durée])</f>
        <v>0</v>
      </c>
      <c r="L30" s="54" t="str">
        <f aca="false">IFERROR(SUMIF(Horo82103[[#This Row],[Jour]],Horo82103[[#This Row],[Jour]],Horo82103[[#This Row],[GPF]]) / Horo82103[[#This Row],[hrs]],"")</f>
        <v/>
      </c>
      <c r="M30" s="56" t="str">
        <f aca="false">IF("GPF"=Horo82103[[#This Row],[Tâche]],Horo82103[[#This Row],[Durée]],"")</f>
        <v/>
      </c>
      <c r="N30" s="56" t="str">
        <f aca="false">IF("RI"=Horo82103[[#This Row],[Tâche]],Horo82103[[#This Row],[Durée]],"")</f>
        <v/>
      </c>
      <c r="O30" s="56" t="str">
        <f aca="false">IF("GB"=Horo82103[[#This Row],[Tâche]],Horo82103[[#This Row],[Durée]],"")</f>
        <v/>
      </c>
      <c r="P30" s="56" t="str">
        <f aca="false">IF("RD"=Horo82103[[#This Row],[Tâche]],Horo82103[[#This Row],[Durée]],"")</f>
        <v/>
      </c>
      <c r="Q30" s="56" t="str">
        <f aca="false">IF("FG"=Horo82103[[#This Row],[Tâche]],Horo82103[[#This Row],[Durée]],"")</f>
        <v/>
      </c>
      <c r="R30" s="56" t="str">
        <f aca="false">IF("CONGÉ"=Horo82103[[#This Row],[Tâche]],Horo82103[[#This Row],[Durée]],"")</f>
        <v/>
      </c>
      <c r="S30" s="56" t="str">
        <f aca="false">IF("PS"=Horo82103[[#This Row],[Tâche]],Horo82103[[#This Row],[Durée]],"")</f>
        <v/>
      </c>
      <c r="T30" s="56" t="str">
        <f aca="false">IF("TD"=Horo82103[[#This Row],[Tâche]],Horo82103[[#This Row],[Durée]],"")</f>
        <v/>
      </c>
      <c r="U30" s="56" t="str">
        <f aca="false">IF("N/C"=Horo82103[[#This Row],[Tâche]],Horo82103[[#This Row],[Durée]],"")</f>
        <v/>
      </c>
      <c r="V30" s="58"/>
      <c r="W30" s="59" t="str">
        <f aca="false">IF(Horo82103[[#This Row],[O]]="o",Horo82103[[#This Row],[Durée]],".")</f>
        <v>.</v>
      </c>
      <c r="X30" s="64" t="str">
        <f aca="false">IF(Horo82103[[#This Row],[Début]]=0,"",Horo82103[[#This Row],[Fin]]-Horo82103[[#This Row],[Début]])</f>
        <v/>
      </c>
    </row>
    <row r="36" s="3" customFormat="true" ht="15" hidden="false" customHeight="false" outlineLevel="0" collapsed="false">
      <c r="L36" s="65"/>
    </row>
    <row r="37" customFormat="false" ht="15" hidden="false" customHeight="false" outlineLevel="0" collapsed="false">
      <c r="A37" s="66" t="s">
        <v>18</v>
      </c>
      <c r="B37" s="66" t="s">
        <v>57</v>
      </c>
      <c r="C37" s="66" t="s">
        <v>58</v>
      </c>
    </row>
    <row r="38" customFormat="false" ht="15" hidden="false" customHeight="false" outlineLevel="0" collapsed="false">
      <c r="A38" s="67" t="n">
        <f aca="false">IF((SUMIF(Horo82103[Client],B38,Horo82103[Durée]) / Total)=0,"",(SUMIF(Horo82103[Client],B38,Horo82103[Durée]) / Total))</f>
        <v>0.935064935064935</v>
      </c>
      <c r="B38" s="68" t="s">
        <v>32</v>
      </c>
      <c r="C38" s="69" t="n">
        <f aca="false">IF(SUMIF(Horo82103[Client],B38,Horo82103[Durée])=0,"",SUMIF(Horo82103[Client],B38,Horo82103[Durée]))</f>
        <v>36</v>
      </c>
    </row>
    <row r="39" customFormat="false" ht="15" hidden="false" customHeight="false" outlineLevel="0" collapsed="false">
      <c r="A39" s="67" t="str">
        <f aca="false">IF((SUMIF(Horo82103[Client],B39,Horo82103[Durée]) / Total)=0,"",(SUMIF(Horo82103[Client],B39,Horo82103[Durée]) / Total))</f>
        <v/>
      </c>
      <c r="B39" s="68" t="s">
        <v>59</v>
      </c>
      <c r="C39" s="69" t="str">
        <f aca="false">IF(SUMIF(Horo82103[Client],B39,Horo82103[Durée])=0,"",SUMIF(Horo82103[Client],B39,Horo82103[Durée]))</f>
        <v/>
      </c>
      <c r="I39" s="61"/>
    </row>
    <row r="40" customFormat="false" ht="15" hidden="true" customHeight="false" outlineLevel="0" collapsed="false">
      <c r="A40" s="67" t="str">
        <f aca="false">IF((SUMIF(Horo82103[Client],B40,Horo82103[Durée]) / Total)=0,"",(SUMIF(Horo82103[Client],B40,Horo82103[Durée]) / Total))</f>
        <v/>
      </c>
      <c r="B40" s="68" t="s">
        <v>60</v>
      </c>
      <c r="C40" s="70" t="str">
        <f aca="false">IF(SUMIF(Horo82103[Client],B40,Horo82103[Durée])=0,"",SUMIF(Horo82103[Client],B40,Horo82103[Durée]))</f>
        <v/>
      </c>
    </row>
    <row r="41" customFormat="false" ht="15" hidden="false" customHeight="false" outlineLevel="0" collapsed="false">
      <c r="A41" s="67" t="n">
        <f aca="false">IF((SUMIF(Horo82103[Client],B41,Horo82103[Durée]) / Total)=0,"",(SUMIF(Horo82103[Client],B41,Horo82103[Durée]) / Total))</f>
        <v>0.025974025974026</v>
      </c>
      <c r="B41" s="68" t="s">
        <v>61</v>
      </c>
      <c r="C41" s="70" t="n">
        <f aca="false">IF(SUMIF(Horo82103[Client],B41,Horo82103[Durée])=0,"",SUMIF(Horo82103[Client],B41,Horo82103[Durée]))</f>
        <v>0.999999999999999</v>
      </c>
      <c r="I41" s="61"/>
    </row>
    <row r="42" customFormat="false" ht="15" hidden="true" customHeight="false" outlineLevel="0" collapsed="false">
      <c r="A42" s="67" t="str">
        <f aca="false">IF((SUMIF(Horo82103[Client],B42,Horo82103[Durée]) / Total)=0,"",(SUMIF(Horo82103[Client],B42,Horo82103[Durée]) / Total))</f>
        <v/>
      </c>
      <c r="B42" s="68" t="s">
        <v>62</v>
      </c>
      <c r="C42" s="70" t="str">
        <f aca="false">IF(SUMIF(Horo82103[Client],B42,Horo82103[Durée])=0,"",SUMIF(Horo82103[Client],B42,Horo82103[Durée]))</f>
        <v/>
      </c>
    </row>
    <row r="43" customFormat="false" ht="15" hidden="true" customHeight="false" outlineLevel="0" collapsed="false">
      <c r="A43" s="67" t="str">
        <f aca="false">IF((SUMIF(Horo82103[Client],B43,Horo82103[Durée]) / Total)=0,"",(SUMIF(Horo82103[Client],B43,Horo82103[Durée]) / Total))</f>
        <v/>
      </c>
      <c r="B43" s="68" t="s">
        <v>63</v>
      </c>
      <c r="C43" s="69" t="str">
        <f aca="false">IF(SUMIF(Horo82103[Client],B43,Horo82103[Durée])=0,"",SUMIF(Horo82103[Client],B43,Horo82103[Durée]))</f>
        <v/>
      </c>
    </row>
    <row r="44" customFormat="false" ht="15" hidden="true" customHeight="false" outlineLevel="0" collapsed="false">
      <c r="A44" s="67" t="str">
        <f aca="false">IF((SUMIF(Horo82103[Client],B44,Horo82103[Durée]) / Total)=0,"",(SUMIF(Horo82103[Client],B44,Horo82103[Durée]) / Total))</f>
        <v/>
      </c>
      <c r="B44" s="68" t="s">
        <v>64</v>
      </c>
      <c r="C44" s="70" t="str">
        <f aca="false">IF(SUMIF(Horo82103[Client],B44,Horo82103[Durée])=0,"",SUMIF(Horo82103[Client],B44,Horo82103[Durée]))</f>
        <v/>
      </c>
    </row>
    <row r="45" customFormat="false" ht="15" hidden="true" customHeight="false" outlineLevel="0" collapsed="false">
      <c r="A45" s="67" t="str">
        <f aca="false">IF((SUMIF(Horo82103[Client],B45,Horo82103[Durée]) / Total)=0,"",(SUMIF(Horo82103[Client],B45,Horo82103[Durée]) / Total))</f>
        <v/>
      </c>
      <c r="B45" s="68" t="s">
        <v>65</v>
      </c>
      <c r="C45" s="70" t="str">
        <f aca="false">IF(SUMIF(Horo82103[Client],B45,Horo82103[Durée])=0,"",SUMIF(Horo82103[Client],B45,Horo82103[Durée]))</f>
        <v/>
      </c>
      <c r="F45" s="71"/>
    </row>
    <row r="46" customFormat="false" ht="15" hidden="true" customHeight="false" outlineLevel="0" collapsed="false">
      <c r="A46" s="67" t="str">
        <f aca="false">IF((SUMIF(Horo82103[Client],B46,Horo82103[Durée]) / Total)=0,"",(SUMIF(Horo82103[Client],B46,Horo82103[Durée]) / Total))</f>
        <v/>
      </c>
      <c r="B46" s="68" t="s">
        <v>66</v>
      </c>
      <c r="C46" s="69" t="str">
        <f aca="false">IF(SUMIF(Horo82103[Client],B46,Horo82103[Durée])=0,"",SUMIF(Horo82103[Client],B46,Horo82103[Durée]))</f>
        <v/>
      </c>
    </row>
    <row r="47" customFormat="false" ht="15" hidden="true" customHeight="false" outlineLevel="0" collapsed="false">
      <c r="A47" s="67" t="str">
        <f aca="false">IF((SUMIF(Horo82103[Client],B47,Horo82103[Durée]) / Total)=0,"",(SUMIF(Horo82103[Client],B47,Horo82103[Durée]) / Total))</f>
        <v/>
      </c>
      <c r="B47" s="68" t="s">
        <v>47</v>
      </c>
      <c r="C47" s="70" t="str">
        <f aca="false">IF(SUMIF(Horo82103[Client],B47,Horo82103[Durée])=0,"",SUMIF(Horo82103[Client],B47,Horo82103[Durée]))</f>
        <v/>
      </c>
    </row>
    <row r="48" customFormat="false" ht="15" hidden="true" customHeight="false" outlineLevel="0" collapsed="false">
      <c r="A48" s="67" t="str">
        <f aca="false">IF((SUMIF(Horo82103[Client],B48,Horo82103[Durée]) / Total)=0,"",(SUMIF(Horo82103[Client],B48,Horo82103[Durée]) / Total))</f>
        <v/>
      </c>
      <c r="B48" s="68" t="s">
        <v>67</v>
      </c>
      <c r="C48" s="70" t="str">
        <f aca="false">IF(SUMIF(Horo82103[Client],B48,Horo82103[Durée])=0,"",SUMIF(Horo82103[Client],B48,Horo82103[Durée]))</f>
        <v/>
      </c>
    </row>
    <row r="49" customFormat="false" ht="15" hidden="true" customHeight="false" outlineLevel="0" collapsed="false">
      <c r="A49" s="67" t="str">
        <f aca="false">IF((SUMIF(Horo82103[Client],B49,Horo82103[Durée]) / Total)=0,"",(SUMIF(Horo82103[Client],B49,Horo82103[Durée]) / Total))</f>
        <v/>
      </c>
      <c r="B49" s="68" t="s">
        <v>68</v>
      </c>
      <c r="C49" s="70" t="str">
        <f aca="false">IF(SUMIF(Horo82103[Client],B49,Horo82103[Durée])=0,"",SUMIF(Horo82103[Client],B49,Horo82103[Durée]))</f>
        <v/>
      </c>
    </row>
    <row r="50" customFormat="false" ht="15" hidden="true" customHeight="false" outlineLevel="0" collapsed="false">
      <c r="A50" s="67" t="str">
        <f aca="false">IF((SUMIF(Horo82103[Client],B50,Horo82103[Durée]) / Total)=0,"",(SUMIF(Horo82103[Client],B50,Horo82103[Durée]) / Total))</f>
        <v/>
      </c>
      <c r="B50" s="68" t="s">
        <v>41</v>
      </c>
      <c r="C50" s="70" t="str">
        <f aca="false">IF(SUMIF(Horo82103[Client],B50,Horo82103[Durée])=0,"",SUMIF(Horo82103[Client],B50,Horo82103[Durée]))</f>
        <v/>
      </c>
    </row>
    <row r="51" customFormat="false" ht="15" hidden="false" customHeight="false" outlineLevel="0" collapsed="false">
      <c r="A51" s="67" t="n">
        <f aca="false">IF((SUMIF(Horo82103[Client],B51,Horo82103[Durée]) / Total)=0,"",(SUMIF(Horo82103[Client],B51,Horo82103[Durée]) / Total))</f>
        <v>0.012987012987013</v>
      </c>
      <c r="B51" s="68" t="s">
        <v>37</v>
      </c>
      <c r="C51" s="69" t="n">
        <f aca="false">IF(SUMIF(Horo82103[Client],B51,Horo82103[Durée])=0,"",SUMIF(Horo82103[Client],B51,Horo82103[Durée]))</f>
        <v>0.500000000000001</v>
      </c>
    </row>
    <row r="52" customFormat="false" ht="15" hidden="true" customHeight="false" outlineLevel="0" collapsed="false">
      <c r="A52" s="67" t="str">
        <f aca="false">IF((SUMIF(Horo82103[Client],B52,Horo82103[Durée]) / Total)=0,"",(SUMIF(Horo82103[Client],B52,Horo82103[Durée]) / Total))</f>
        <v/>
      </c>
      <c r="B52" s="68" t="s">
        <v>69</v>
      </c>
      <c r="C52" s="69" t="str">
        <f aca="false">IF(SUMIF(Horo82103[Client],B52,Horo82103[Durée])=0,"",SUMIF(Horo82103[Client],B52,Horo82103[Durée]))</f>
        <v/>
      </c>
    </row>
    <row r="53" customFormat="false" ht="15" hidden="true" customHeight="false" outlineLevel="0" collapsed="false">
      <c r="A53" s="67" t="str">
        <f aca="false">IF((SUMIF(Horo82103[Client],B53,Horo82103[Durée]) / Total)=0,"",(SUMIF(Horo82103[Client],B53,Horo82103[Durée]) / Total))</f>
        <v/>
      </c>
      <c r="B53" s="68" t="s">
        <v>70</v>
      </c>
      <c r="C53" s="70" t="str">
        <f aca="false">IF(SUMIF(Horo82103[Client],B53,Horo82103[Durée])=0,"",SUMIF(Horo82103[Client],B53,Horo82103[Durée]))</f>
        <v/>
      </c>
    </row>
    <row r="54" customFormat="false" ht="15" hidden="true" customHeight="false" outlineLevel="1" collapsed="false">
      <c r="A54" s="67" t="str">
        <f aca="false">IF((SUMIF(Horo82103[Client],B54,Horo82103[Durée]) / Total)=0,"",(SUMIF(Horo82103[Client],B54,Horo82103[Durée]) / Total))</f>
        <v/>
      </c>
      <c r="B54" s="68" t="s">
        <v>71</v>
      </c>
      <c r="C54" s="70" t="str">
        <f aca="false">IF(SUMIF(Horo82103[Client],B54,Horo82103[Durée])=0,"",SUMIF(Horo82103[Client],B54,Horo82103[Durée]))</f>
        <v/>
      </c>
    </row>
    <row r="55" customFormat="false" ht="15" hidden="true" customHeight="false" outlineLevel="1" collapsed="false">
      <c r="A55" s="67" t="n">
        <f aca="false">IF((SUMIF(Horo82103[Client],B55,Horo82103[Durée]) / Total)=0,"",(SUMIF(Horo82103[Client],B55,Horo82103[Durée]) / Total))</f>
        <v>0.051948051948052</v>
      </c>
      <c r="B55" s="68" t="s">
        <v>72</v>
      </c>
      <c r="C55" s="70" t="n">
        <f aca="false">IF(SUMIF(Horo82103[Client],B55,Horo82103[Durée])=0,"",SUMIF(Horo82103[Client],B55,Horo82103[Durée]))</f>
        <v>2</v>
      </c>
    </row>
    <row r="56" customFormat="false" ht="15" hidden="true" customHeight="false" outlineLevel="1" collapsed="false">
      <c r="A56" s="67" t="str">
        <f aca="false">IF((SUMIF(Horo82103[Client],B56,Horo82103[Durée]) / Total)=0,"",(SUMIF(Horo82103[Client],B56,Horo82103[Durée]) / Total))</f>
        <v/>
      </c>
      <c r="B56" s="68" t="s">
        <v>73</v>
      </c>
      <c r="C56" s="70" t="str">
        <f aca="false">IF(SUMIF(Horo82103[Client],B56,Horo82103[Durée])=0,"",SUMIF(Horo82103[Client],B56,Horo82103[Durée]))</f>
        <v/>
      </c>
    </row>
    <row r="57" customFormat="false" ht="15" hidden="true" customHeight="false" outlineLevel="1" collapsed="false">
      <c r="A57" s="67" t="str">
        <f aca="false">IF((SUMIF(Horo82103[Client],B57,Horo82103[Durée]) / Total)=0,"",(SUMIF(Horo82103[Client],B57,Horo82103[Durée]) / Total))</f>
        <v/>
      </c>
      <c r="B57" s="68" t="s">
        <v>74</v>
      </c>
      <c r="C57" s="70" t="str">
        <f aca="false">IF(SUMIF(Horo82103[Client],B57,Horo82103[Durée])=0,"",SUMIF(Horo82103[Client],B57,Horo82103[Durée]))</f>
        <v/>
      </c>
    </row>
    <row r="58" customFormat="false" ht="15" hidden="false" customHeight="false" outlineLevel="1" collapsed="false">
      <c r="A58" s="67" t="n">
        <f aca="false">IF((SUMIF(Horo82103[Client],B58,Horo82103[Durée]) / Total)=0,"",(SUMIF(Horo82103[Client],B58,Horo82103[Durée]) / Total))</f>
        <v>0.012987012987013</v>
      </c>
      <c r="B58" s="68" t="s">
        <v>75</v>
      </c>
      <c r="C58" s="69" t="n">
        <f aca="false">IF(SUMIF(Horo82103[Client],B58,Horo82103[Durée])=0,"",SUMIF(Horo82103[Client],B58,Horo82103[Durée]))</f>
        <v>0.500000000000001</v>
      </c>
    </row>
    <row r="59" customFormat="false" ht="15" hidden="true" customHeight="false" outlineLevel="1" collapsed="false">
      <c r="A59" s="67" t="str">
        <f aca="false">IF((SUMIF(Horo82103[Client],B59,Horo82103[Durée]) / Total)=0,"",(SUMIF(Horo82103[Client],B59,Horo82103[Durée]) / Total))</f>
        <v/>
      </c>
      <c r="B59" s="68" t="s">
        <v>76</v>
      </c>
      <c r="C59" s="70" t="str">
        <f aca="false">IF(SUMIF(Horo82103[Client],B59,Horo82103[Durée])=0,"",SUMIF(Horo82103[Client],B59,Horo82103[Durée]))</f>
        <v/>
      </c>
    </row>
    <row r="60" customFormat="false" ht="15" hidden="true" customHeight="false" outlineLevel="1" collapsed="false">
      <c r="A60" s="67" t="str">
        <f aca="false">IF((SUMIF(Horo82103[Client],B60,Horo82103[Durée]) / Total)=0,"",(SUMIF(Horo82103[Client],B60,Horo82103[Durée]) / Total))</f>
        <v/>
      </c>
      <c r="B60" s="68" t="s">
        <v>77</v>
      </c>
      <c r="C60" s="70" t="str">
        <f aca="false">IF(SUMIF(Horo82103[Client],B60,Horo82103[Durée])=0,"",SUMIF(Horo82103[Client],B60,Horo82103[Durée]))</f>
        <v/>
      </c>
    </row>
    <row r="61" customFormat="false" ht="15" hidden="true" customHeight="false" outlineLevel="1" collapsed="false">
      <c r="A61" s="67" t="str">
        <f aca="false">IF((SUMIF(Horo82103[Client],B61,Horo82103[Durée]) / Total)=0,"",(SUMIF(Horo82103[Client],B61,Horo82103[Durée]) / Total))</f>
        <v/>
      </c>
      <c r="B61" s="68" t="s">
        <v>45</v>
      </c>
      <c r="C61" s="70" t="str">
        <f aca="false">IF(SUMIF(Horo82103[Client],B61,Horo82103[Durée])=0,"",SUMIF(Horo82103[Client],B61,Horo82103[Durée]))</f>
        <v/>
      </c>
    </row>
    <row r="62" customFormat="false" ht="15" hidden="true" customHeight="false" outlineLevel="1" collapsed="false">
      <c r="A62" s="67" t="str">
        <f aca="false">IF((SUMIF(Horo82103[Client],B62,Horo82103[Durée]) / Total)=0,"",(SUMIF(Horo82103[Client],B62,Horo82103[Durée]) / Total))</f>
        <v/>
      </c>
      <c r="B62" s="68" t="s">
        <v>78</v>
      </c>
      <c r="C62" s="70" t="str">
        <f aca="false">IF(SUMIF(Horo82103[Client],B62,Horo82103[Durée])=0,"",SUMIF(Horo82103[Client],B62,Horo82103[Durée]))</f>
        <v/>
      </c>
    </row>
    <row r="63" customFormat="false" ht="15" hidden="true" customHeight="false" outlineLevel="1" collapsed="false">
      <c r="A63" s="67" t="str">
        <f aca="false">IF((SUMIF(Horo82103[Client],B63,Horo82103[Durée]) / Total)=0,"",(SUMIF(Horo82103[Client],B63,Horo82103[Durée]) / Total))</f>
        <v/>
      </c>
      <c r="B63" s="68" t="s">
        <v>79</v>
      </c>
      <c r="C63" s="70" t="str">
        <f aca="false">IF(SUMIF(Horo82103[Client],B63,Horo82103[Durée])=0,"",SUMIF(Horo82103[Client],B63,Horo82103[Durée]))</f>
        <v/>
      </c>
    </row>
    <row r="64" customFormat="false" ht="15" hidden="true" customHeight="false" outlineLevel="1" collapsed="false">
      <c r="A64" s="67" t="str">
        <f aca="false">IF((SUMIF(Horo82103[Client],B64,Horo82103[Durée]) / Total)=0,"",(SUMIF(Horo82103[Client],B64,Horo82103[Durée]) / Total))</f>
        <v/>
      </c>
      <c r="B64" s="68" t="s">
        <v>80</v>
      </c>
      <c r="C64" s="70" t="str">
        <f aca="false">IF(SUMIF(Horo82103[Client],B64,Horo82103[Durée])=0,"",SUMIF(Horo82103[Client],B64,Horo82103[Durée]))</f>
        <v/>
      </c>
    </row>
    <row r="65" customFormat="false" ht="15" hidden="true" customHeight="false" outlineLevel="1" collapsed="false">
      <c r="A65" s="67" t="str">
        <f aca="false">IF((SUMIF(Horo82103[Client],B65,Horo82103[Durée]) / Total)=0,"",(SUMIF(Horo82103[Client],B65,Horo82103[Durée]) / Total))</f>
        <v/>
      </c>
      <c r="B65" s="72" t="s">
        <v>81</v>
      </c>
      <c r="C65" s="69" t="str">
        <f aca="false">IF(SUMIF(Horo82103[Client],B65,Horo82103[Durée])=0,"",SUMIF(Horo82103[Client],B65,Horo82103[Durée]))</f>
        <v/>
      </c>
    </row>
    <row r="66" customFormat="false" ht="15" hidden="true" customHeight="false" outlineLevel="1" collapsed="false"/>
    <row r="67" customFormat="false" ht="15" hidden="true" customHeight="false" outlineLevel="1" collapsed="false"/>
    <row r="68" customFormat="false" ht="15" hidden="true" customHeight="false" outlineLevel="1" collapsed="false"/>
    <row r="69" customFormat="false" ht="15" hidden="true" customHeight="false" outlineLevel="1" collapsed="false"/>
    <row r="70" customFormat="false" ht="15" hidden="true" customHeight="false" outlineLevel="1" collapsed="false"/>
    <row r="71" customFormat="false" ht="15" hidden="true" customHeight="false" outlineLevel="1" collapsed="false"/>
    <row r="72" customFormat="false" ht="15" hidden="true" customHeight="false" outlineLevel="1" collapsed="false"/>
    <row r="73" customFormat="false" ht="15" hidden="true" customHeight="false" outlineLevel="1" collapsed="false"/>
    <row r="74" customFormat="false" ht="15" hidden="true" customHeight="false" outlineLevel="1" collapsed="false"/>
  </sheetData>
  <conditionalFormatting sqref="I30">
    <cfRule type="expression" priority="2" aboveAverage="0" equalAverage="0" bottom="0" percent="0" rank="0" text="" dxfId="313">
      <formula>A30="O"</formula>
    </cfRule>
  </conditionalFormatting>
  <conditionalFormatting sqref="I39">
    <cfRule type="expression" priority="3" aboveAverage="0" equalAverage="0" bottom="0" percent="0" rank="0" text="" dxfId="314">
      <formula>A39="O"</formula>
    </cfRule>
  </conditionalFormatting>
  <conditionalFormatting sqref="I41">
    <cfRule type="expression" priority="4" aboveAverage="0" equalAverage="0" bottom="0" percent="0" rank="0" text="" dxfId="315">
      <formula>A41="O"</formula>
    </cfRule>
  </conditionalFormatting>
  <conditionalFormatting sqref="H4:H30">
    <cfRule type="expression" priority="5" aboveAverage="0" equalAverage="0" bottom="0" percent="0" rank="0" text="" dxfId="316">
      <formula>A4="O"</formula>
    </cfRule>
  </conditionalFormatting>
  <conditionalFormatting sqref="K4:K30">
    <cfRule type="expression" priority="6" aboveAverage="0" equalAverage="0" bottom="0" percent="0" rank="0" text="" dxfId="317">
      <formula>A4="O"</formula>
    </cfRule>
    <cfRule type="expression" priority="7" aboveAverage="0" equalAverage="0" bottom="0" percent="0" rank="0" text="" dxfId="318">
      <formula>A4="O"</formula>
    </cfRule>
  </conditionalFormatting>
  <conditionalFormatting sqref="C4:C30">
    <cfRule type="expression" priority="8" aboveAverage="0" equalAverage="0" bottom="0" percent="0" rank="0" text="" dxfId="319">
      <formula>A4="O"</formula>
    </cfRule>
    <cfRule type="containsText" priority="9" operator="containsText" aboveAverage="0" equalAverage="0" bottom="0" percent="0" rank="0" text="Dimanche" dxfId="320">
      <formula>NOT(ISERROR(SEARCH("Dimanche",C4)))</formula>
    </cfRule>
    <cfRule type="containsText" priority="10" operator="containsText" aboveAverage="0" equalAverage="0" bottom="0" percent="0" rank="0" text="Samedi" dxfId="321">
      <formula>NOT(ISERROR(SEARCH("Samedi",C4)))</formula>
    </cfRule>
    <cfRule type="containsText" priority="11" operator="containsText" aboveAverage="0" equalAverage="0" bottom="0" percent="0" rank="0" text="Vendredi" dxfId="322">
      <formula>NOT(ISERROR(SEARCH("Vendredi",C4)))</formula>
    </cfRule>
    <cfRule type="containsText" priority="12" operator="containsText" aboveAverage="0" equalAverage="0" bottom="0" percent="0" rank="0" text="Jeudi" dxfId="323">
      <formula>NOT(ISERROR(SEARCH("Jeudi",C4)))</formula>
    </cfRule>
    <cfRule type="containsText" priority="13" operator="containsText" aboveAverage="0" equalAverage="0" bottom="0" percent="0" rank="0" text="Mercredi" dxfId="324">
      <formula>NOT(ISERROR(SEARCH("Mercredi",C4)))</formula>
    </cfRule>
    <cfRule type="containsText" priority="14" operator="containsText" aboveAverage="0" equalAverage="0" bottom="0" percent="0" rank="0" text="Mardi" dxfId="325">
      <formula>NOT(ISERROR(SEARCH("Mardi",C4)))</formula>
    </cfRule>
    <cfRule type="containsText" priority="15" operator="containsText" aboveAverage="0" equalAverage="0" bottom="0" percent="0" rank="0" text="Lundi" dxfId="326">
      <formula>NOT(ISERROR(SEARCH("Lundi",C4)))</formula>
    </cfRule>
  </conditionalFormatting>
  <conditionalFormatting sqref="G4:G30">
    <cfRule type="expression" priority="16" aboveAverage="0" equalAverage="0" bottom="0" percent="0" rank="0" text="" dxfId="327">
      <formula>A4="O"</formula>
    </cfRule>
  </conditionalFormatting>
  <conditionalFormatting sqref="J4:J30">
    <cfRule type="expression" priority="17" aboveAverage="0" equalAverage="0" bottom="0" percent="0" rank="0" text="" dxfId="328">
      <formula>A4="O"</formula>
    </cfRule>
  </conditionalFormatting>
  <conditionalFormatting sqref="F4:F30">
    <cfRule type="expression" priority="18" aboveAverage="0" equalAverage="0" bottom="0" percent="0" rank="0" text="" dxfId="329">
      <formula>A4="O"</formula>
    </cfRule>
  </conditionalFormatting>
  <conditionalFormatting sqref="B4:B30">
    <cfRule type="cellIs" priority="19" operator="equal" aboveAverage="0" equalAverage="0" bottom="0" percent="0" rank="0" text="" dxfId="330">
      <formula>0</formula>
    </cfRule>
    <cfRule type="expression" priority="20" aboveAverage="0" equalAverage="0" bottom="0" percent="0" rank="0" text="" dxfId="331">
      <formula>A4="O"</formula>
    </cfRule>
    <cfRule type="colorScale" priority="21">
      <colorScale>
        <cfvo type="percentile" val="10"/>
        <cfvo type="percentile" val="50"/>
        <cfvo type="percentile" val="90"/>
        <color rgb="FFFFC000"/>
        <color rgb="FFC55A11"/>
        <color rgb="FF2E75B6"/>
      </colorScale>
    </cfRule>
  </conditionalFormatting>
  <conditionalFormatting sqref="D4:D30">
    <cfRule type="expression" priority="22" aboveAverage="0" equalAverage="0" bottom="0" percent="0" rank="0" text="" dxfId="332">
      <formula>A4="O"</formula>
    </cfRule>
    <cfRule type="colorScale" priority="23">
      <colorScale>
        <cfvo type="min" val="0"/>
        <cfvo type="percentile" val="50"/>
        <cfvo type="max" val="0"/>
        <color rgb="FFFFC000"/>
        <color rgb="FFC55A11"/>
        <color rgb="FF2E75B6"/>
      </colorScale>
    </cfRule>
  </conditionalFormatting>
  <conditionalFormatting sqref="E4:E30">
    <cfRule type="expression" priority="24" aboveAverage="0" equalAverage="0" bottom="0" percent="0" rank="0" text="" dxfId="333">
      <formula>A4="O"</formula>
    </cfRule>
    <cfRule type="colorScale" priority="25">
      <colorScale>
        <cfvo type="min" val="0"/>
        <cfvo type="percentile" val="50"/>
        <cfvo type="max" val="0"/>
        <color rgb="FFFFC000"/>
        <color rgb="FFC55A11"/>
        <color rgb="FF2E75B6"/>
      </colorScale>
    </cfRule>
  </conditionalFormatting>
  <dataValidations count="5">
    <dataValidation allowBlank="true" errorStyle="stop" operator="between" showDropDown="false" showErrorMessage="true" showInputMessage="true" sqref="C4:C30" type="list">
      <formula1>Data!$C$2:$C$8</formula1>
      <formula2>0</formula2>
    </dataValidation>
    <dataValidation allowBlank="false" errorStyle="stop" operator="between" showDropDown="false" showErrorMessage="true" showInputMessage="true" sqref="F4:F30" type="list">
      <formula1>Data!$E$2:$E$30</formula1>
      <formula2>0</formula2>
    </dataValidation>
    <dataValidation allowBlank="true" errorStyle="information" errorTitle="OK ?" operator="between" showDropDown="false" showErrorMessage="true" showInputMessage="true" sqref="G4:G30" type="list">
      <formula1>Data!$D$2:$D$16</formula1>
      <formula2>0</formula2>
    </dataValidation>
    <dataValidation allowBlank="false" errorStyle="stop" operator="between" showDropDown="false" showErrorMessage="true" showInputMessage="true" sqref="H4:H30" type="list">
      <formula1>Data!$F$2:$F$50</formula1>
      <formula2>0</formula2>
    </dataValidation>
    <dataValidation allowBlank="true" errorStyle="stop" operator="between" showDropDown="false" showErrorMessage="true" showInputMessage="true" sqref="C1" type="list">
      <formula1>Data!$A$2:$A$106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  <tableParts>
    <tablePart r:id="rId2"/>
    <tablePart r:id="rId3"/>
  </tableParts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E67"/>
  <sheetViews>
    <sheetView showFormulas="false" showGridLines="true" showRowColHeaders="true" showZeros="true" rightToLeft="false" tabSelected="false" showOutlineSymbols="true" defaultGridColor="true" view="normal" topLeftCell="A3" colorId="64" zoomScale="100" zoomScaleNormal="100" zoomScalePageLayoutView="100" workbookViewId="0">
      <selection pane="topLeft" activeCell="I11" activeCellId="0" sqref="I11"/>
    </sheetView>
  </sheetViews>
  <sheetFormatPr defaultColWidth="9.1484375" defaultRowHeight="15" zeroHeight="false" outlineLevelRow="1" outlineLevelCol="0"/>
  <cols>
    <col collapsed="false" customWidth="true" hidden="false" outlineLevel="0" max="1" min="1" style="1" width="5.57"/>
    <col collapsed="false" customWidth="true" hidden="false" outlineLevel="0" max="2" min="2" style="1" width="19.42"/>
    <col collapsed="false" customWidth="true" hidden="false" outlineLevel="0" max="3" min="3" style="1" width="18.29"/>
    <col collapsed="false" customWidth="true" hidden="false" outlineLevel="0" max="4" min="4" style="1" width="13.42"/>
    <col collapsed="false" customWidth="true" hidden="false" outlineLevel="0" max="5" min="5" style="1" width="10.57"/>
    <col collapsed="false" customWidth="true" hidden="false" outlineLevel="0" max="6" min="6" style="1" width="19"/>
    <col collapsed="false" customWidth="true" hidden="false" outlineLevel="0" max="7" min="7" style="1" width="11.43"/>
    <col collapsed="false" customWidth="true" hidden="false" outlineLevel="0" max="8" min="8" style="1" width="14.57"/>
    <col collapsed="false" customWidth="true" hidden="false" outlineLevel="0" max="9" min="9" style="1" width="19.29"/>
    <col collapsed="false" customWidth="true" hidden="false" outlineLevel="0" max="10" min="10" style="1" width="9.71"/>
    <col collapsed="false" customWidth="true" hidden="false" outlineLevel="0" max="11" min="11" style="1" width="7.29"/>
    <col collapsed="false" customWidth="true" hidden="false" outlineLevel="0" max="12" min="12" style="2" width="9.86"/>
    <col collapsed="false" customWidth="true" hidden="false" outlineLevel="0" max="13" min="13" style="1" width="6.14"/>
    <col collapsed="false" customWidth="true" hidden="false" outlineLevel="0" max="14" min="14" style="1" width="5"/>
    <col collapsed="false" customWidth="true" hidden="false" outlineLevel="0" max="15" min="15" style="1" width="5.57"/>
    <col collapsed="false" customWidth="true" hidden="false" outlineLevel="0" max="17" min="16" style="1" width="6.14"/>
    <col collapsed="false" customWidth="true" hidden="false" outlineLevel="0" max="18" min="18" style="1" width="8.29"/>
    <col collapsed="false" customWidth="true" hidden="false" outlineLevel="0" max="20" min="19" style="1" width="5"/>
    <col collapsed="false" customWidth="true" hidden="false" outlineLevel="0" max="21" min="21" style="1" width="6.14"/>
    <col collapsed="false" customWidth="true" hidden="true" outlineLevel="0" max="23" min="22" style="1" width="6.14"/>
    <col collapsed="false" customWidth="true" hidden="true" outlineLevel="0" max="24" min="24" style="1" width="12.71"/>
    <col collapsed="false" customWidth="false" hidden="true" outlineLevel="0" max="29" min="25" style="1" width="9.14"/>
    <col collapsed="false" customWidth="true" hidden="true" outlineLevel="0" max="30" min="30" style="1" width="10.57"/>
    <col collapsed="false" customWidth="true" hidden="true" outlineLevel="0" max="31" min="31" style="1" width="11.14"/>
    <col collapsed="false" customWidth="true" hidden="false" outlineLevel="0" max="32" min="32" style="1" width="9.57"/>
    <col collapsed="false" customWidth="false" hidden="false" outlineLevel="0" max="16384" min="33" style="1" width="9.14"/>
  </cols>
  <sheetData>
    <row r="1" customFormat="false" ht="17.35" hidden="false" customHeight="false" outlineLevel="0" collapsed="false">
      <c r="A1" s="3"/>
      <c r="B1" s="4" t="str">
        <f aca="false">"Semaine du :"</f>
        <v>Semaine du :</v>
      </c>
      <c r="C1" s="5" t="n">
        <v>44396</v>
      </c>
      <c r="D1" s="6" t="str">
        <f aca="false">"( "&amp;AVERAGE($E$2:$I$2)&amp;" )"</f>
        <v>( 8 )</v>
      </c>
      <c r="E1" s="7" t="str">
        <f aca="false">IFERROR("Lun.: " &amp; TEXT($Y$2,"00%"),"Lun.: 0%")</f>
        <v>Lun.: 00%</v>
      </c>
      <c r="F1" s="8" t="str">
        <f aca="false">IFERROR("Mar.: " &amp; TEXT($Z$2,"00%"),"Mar.: 0%")</f>
        <v>Mar.: 00%</v>
      </c>
      <c r="G1" s="8" t="str">
        <f aca="false">IFERROR("Mer.: " &amp; TEXT($AA$2,"00%"),"Mer.: 0%")</f>
        <v>Mer.: 25%</v>
      </c>
      <c r="H1" s="8" t="str">
        <f aca="false">IFERROR("Jeu.: " &amp; TEXT($AB$2,"00%"),"Jeu.: 0%")</f>
        <v>Jeu.: 03%</v>
      </c>
      <c r="I1" s="8" t="str">
        <f aca="false">IFERROR("Ven.: " &amp; TEXT($AC$2,"00%"),"Ven.: 0%")</f>
        <v>Ven.: 00%</v>
      </c>
      <c r="J1" s="9" t="str">
        <f aca="false">IFERROR("S.: " &amp; TEXT($AD$2,"00%"),"S.: 0%")</f>
        <v>S.: 00%</v>
      </c>
      <c r="K1" s="10" t="str">
        <f aca="false">IFERROR("D.: " &amp; TEXT($AE$2,"00%"), "D.: 0%")</f>
        <v>D.: 00%</v>
      </c>
      <c r="L1" s="11"/>
      <c r="M1" s="12" t="n">
        <f aca="false">M2/Total</f>
        <v>0.0584415584415584</v>
      </c>
      <c r="N1" s="12" t="n">
        <f aca="false">N2/$C$2</f>
        <v>0.0125</v>
      </c>
      <c r="O1" s="12" t="n">
        <f aca="false">O2/$C$2</f>
        <v>0.2</v>
      </c>
      <c r="P1" s="12" t="n">
        <f aca="false">P2/$C$2</f>
        <v>0.0375</v>
      </c>
      <c r="Q1" s="12" t="n">
        <f aca="false">Q2/$C$2</f>
        <v>0.40625</v>
      </c>
      <c r="R1" s="13" t="n">
        <f aca="false">R2/$C$2</f>
        <v>0.2</v>
      </c>
      <c r="S1" s="13" t="n">
        <f aca="false">S2/$C$2</f>
        <v>0</v>
      </c>
      <c r="T1" s="13" t="n">
        <f aca="false">T2/$C$2</f>
        <v>0</v>
      </c>
      <c r="U1" s="14" t="n">
        <f aca="false">U2/$C$2</f>
        <v>0.0875</v>
      </c>
      <c r="V1" s="15"/>
      <c r="W1" s="16"/>
      <c r="X1" s="17" t="e">
        <f aca="false">SUM(#REF!)</f>
        <v>#REF!</v>
      </c>
      <c r="Y1" s="18" t="s">
        <v>0</v>
      </c>
      <c r="Z1" s="18" t="s">
        <v>1</v>
      </c>
      <c r="AA1" s="18" t="s">
        <v>2</v>
      </c>
      <c r="AB1" s="18" t="s">
        <v>3</v>
      </c>
      <c r="AC1" s="18" t="s">
        <v>4</v>
      </c>
      <c r="AD1" s="18" t="s">
        <v>5</v>
      </c>
      <c r="AE1" s="18" t="s">
        <v>6</v>
      </c>
    </row>
    <row r="2" customFormat="false" ht="22.05" hidden="false" customHeight="false" outlineLevel="0" collapsed="false">
      <c r="A2" s="3"/>
      <c r="B2" s="19" t="n">
        <f aca="false">X2</f>
        <v>0.1796875</v>
      </c>
      <c r="C2" s="20" t="n">
        <f aca="false">SUM(Horo82101[Durée])</f>
        <v>40</v>
      </c>
      <c r="D2" s="21" t="str">
        <f aca="false">ROUND(SUM(Horo82101[T]),2) &amp; " / " &amp; ROUND($C$2-SUM(Horo82101[T]),2)</f>
        <v>0 / 40</v>
      </c>
      <c r="E2" s="22" t="n">
        <f aca="false">SUMIF(Horo82101[Jour],"Lundi",Horo82101[Durée])</f>
        <v>8</v>
      </c>
      <c r="F2" s="23" t="n">
        <f aca="false">SUMIF(Horo82101[Jour],"Mardi",Horo82101[Durée])</f>
        <v>8</v>
      </c>
      <c r="G2" s="23" t="n">
        <f aca="false">SUMIF(Horo82101[Jour],"Mercredi",Horo82101[Durée])</f>
        <v>8</v>
      </c>
      <c r="H2" s="23" t="n">
        <f aca="false">SUMIF(Horo82101[Jour],"Jeudi",Horo82101[Durée])</f>
        <v>8</v>
      </c>
      <c r="I2" s="23" t="n">
        <f aca="false">SUMIF(Horo82101[Jour],"Vendredi",Horo82101[Durée])</f>
        <v>8</v>
      </c>
      <c r="J2" s="23" t="n">
        <f aca="false">SUMIF(Horo82101[Jour],"Samedi",Horo82101[Durée])</f>
        <v>0</v>
      </c>
      <c r="K2" s="23" t="n">
        <f aca="false">SUMIF(Horo82101[Jour],"Dimanche",Horo82101[Durée])</f>
        <v>0</v>
      </c>
      <c r="L2" s="24"/>
      <c r="M2" s="25" t="n">
        <f aca="false">SUM(Horo82101[GPF])</f>
        <v>2.25</v>
      </c>
      <c r="N2" s="25" t="n">
        <f aca="false">SUM(Horo82101[RI])</f>
        <v>0.500000000000001</v>
      </c>
      <c r="O2" s="25" t="n">
        <f aca="false">SUM(Horo82101[GB])</f>
        <v>8</v>
      </c>
      <c r="P2" s="25" t="n">
        <f aca="false">SUM(Horo82101[RD])</f>
        <v>1.5</v>
      </c>
      <c r="Q2" s="25" t="n">
        <f aca="false">SUM(Horo82101[FG])</f>
        <v>16.25</v>
      </c>
      <c r="R2" s="26" t="n">
        <f aca="false">SUM(Horo82101[CONGÉ])</f>
        <v>8</v>
      </c>
      <c r="S2" s="26" t="n">
        <f aca="false">SUM(Horo82101[PS])</f>
        <v>0</v>
      </c>
      <c r="T2" s="26" t="n">
        <f aca="false">SUM(Horo82101[TD])</f>
        <v>0</v>
      </c>
      <c r="U2" s="27" t="n">
        <f aca="false">SUM(Horo82101[N/C])</f>
        <v>3.5</v>
      </c>
      <c r="V2" s="17" t="n">
        <f aca="false">(C2-(SUM(N2:T2)))</f>
        <v>5.75</v>
      </c>
      <c r="W2" s="17" t="n">
        <f aca="false">C2-(R2+S2+T2)</f>
        <v>32</v>
      </c>
      <c r="X2" s="28" t="n">
        <f aca="false">V2/W2</f>
        <v>0.1796875</v>
      </c>
      <c r="Y2" s="29" t="n">
        <f aca="false">SUMIF(Horo82101[Jour],"Lundi",Horo82101[GPF]) / $E$2</f>
        <v>0</v>
      </c>
      <c r="Z2" s="29" t="n">
        <f aca="false">SUMIF(Horo82101[Jour],"Mardi",Horo82101[GPF]) / $F$2</f>
        <v>0</v>
      </c>
      <c r="AA2" s="29" t="n">
        <f aca="false">SUMIF(Horo82101[Jour],"Mercredi",Horo82101[GPF]) / $G$2</f>
        <v>0.25</v>
      </c>
      <c r="AB2" s="29" t="n">
        <f aca="false">SUMIF(Horo82101[Jour],"Jeudi",Horo82101[GPF]) / $H$2</f>
        <v>0.0312499999999999</v>
      </c>
      <c r="AC2" s="29" t="n">
        <f aca="false">SUMIF(Horo82101[Jour],"Vendredi",Horo82101[GPF]) / $I$2</f>
        <v>0</v>
      </c>
      <c r="AD2" s="29" t="n">
        <f aca="false">IFERROR(SUMIF(Horo82101[Jour],"Samedi",Horo82101[GPF]) / $J$2,0)</f>
        <v>0</v>
      </c>
      <c r="AE2" s="29" t="n">
        <f aca="false">IFERROR(SUMIF(Horo82101[Jour],"Dimanche",Horo82101[GPF]) / $K$2,0)</f>
        <v>0</v>
      </c>
    </row>
    <row r="3" customFormat="false" ht="15" hidden="false" customHeight="false" outlineLevel="0" collapsed="false">
      <c r="A3" s="30" t="s">
        <v>7</v>
      </c>
      <c r="B3" s="31" t="s">
        <v>8</v>
      </c>
      <c r="C3" s="31" t="s">
        <v>9</v>
      </c>
      <c r="D3" s="32" t="s">
        <v>10</v>
      </c>
      <c r="E3" s="33" t="s">
        <v>11</v>
      </c>
      <c r="F3" s="34" t="s">
        <v>12</v>
      </c>
      <c r="G3" s="34" t="s">
        <v>13</v>
      </c>
      <c r="H3" s="34" t="s">
        <v>14</v>
      </c>
      <c r="I3" s="35" t="s">
        <v>15</v>
      </c>
      <c r="J3" s="36" t="s">
        <v>16</v>
      </c>
      <c r="K3" s="36" t="s">
        <v>17</v>
      </c>
      <c r="L3" s="37" t="s">
        <v>18</v>
      </c>
      <c r="M3" s="38" t="s">
        <v>19</v>
      </c>
      <c r="N3" s="39" t="s">
        <v>20</v>
      </c>
      <c r="O3" s="39" t="s">
        <v>21</v>
      </c>
      <c r="P3" s="39" t="s">
        <v>22</v>
      </c>
      <c r="Q3" s="39" t="s">
        <v>23</v>
      </c>
      <c r="R3" s="40" t="s">
        <v>24</v>
      </c>
      <c r="S3" s="40" t="s">
        <v>25</v>
      </c>
      <c r="T3" s="41" t="s">
        <v>26</v>
      </c>
      <c r="U3" s="41" t="s">
        <v>27</v>
      </c>
      <c r="V3" s="42" t="s">
        <v>28</v>
      </c>
      <c r="W3" s="43" t="s">
        <v>29</v>
      </c>
      <c r="X3" s="44" t="s">
        <v>30</v>
      </c>
    </row>
    <row r="4" customFormat="false" ht="15" hidden="false" customHeight="false" outlineLevel="0" collapsed="false">
      <c r="A4" s="45" t="s">
        <v>33</v>
      </c>
      <c r="B4" s="46" t="n">
        <f aca="false">IF(Horo82101[[#This Row],[Jour]]="Lundi",$C$1+1, IF(Horo82101[[#This Row],[Jour]]="Mardi",$C$1+2, IF(Horo82101[[#This Row],[Jour]]="Mercredi",$C$1+3, IF(Horo82101[[#This Row],[Jour]]="Jeudi",$C$1+4, IF(Horo82101[[#This Row],[Jour]]="Vendredi",$C$1+5, IF(Horo82101[[#This Row],[Jour]]="Samedi",$C$1+6, IF(Horo82101[[#This Row],[Jour]]="Dimanche",$C$1, )))))))</f>
        <v>44397</v>
      </c>
      <c r="C4" s="47" t="s">
        <v>0</v>
      </c>
      <c r="D4" s="48" t="n">
        <v>0.302083333333333</v>
      </c>
      <c r="E4" s="48" t="n">
        <v>0.364583333333333</v>
      </c>
      <c r="F4" s="49" t="s">
        <v>32</v>
      </c>
      <c r="G4" s="49" t="s">
        <v>21</v>
      </c>
      <c r="H4" s="50" t="s">
        <v>33</v>
      </c>
      <c r="I4" s="51" t="s">
        <v>153</v>
      </c>
      <c r="J4" s="52" t="n">
        <f aca="false">IF(Horo82101[[#This Row],[Début]]=0,"",(Horo82101[[#This Row],[Durée (60)2]]-INT(Horo82101[[#This Row],[Durée (60)2]]))*24)</f>
        <v>1.5</v>
      </c>
      <c r="K4" s="53" t="n">
        <f aca="false">SUMIF(Horo82101[Jour],C4,Horo82101[Durée])</f>
        <v>8</v>
      </c>
      <c r="L4" s="54" t="n">
        <f aca="false">IFERROR(SUMIF(Horo82101[[#This Row],[Jour]],Horo82101[[#This Row],[Jour]],Horo82101[[#This Row],[GPF]]) / Horo82101[[#This Row],[hrs]],"")</f>
        <v>0</v>
      </c>
      <c r="M4" s="55" t="str">
        <f aca="false">IF("GPF"=Horo82101[[#This Row],[Tâche]],Horo82101[[#This Row],[Durée]],"")</f>
        <v/>
      </c>
      <c r="N4" s="56" t="str">
        <f aca="false">IF("RI"=Horo82101[[#This Row],[Tâche]],Horo82101[[#This Row],[Durée]],"")</f>
        <v/>
      </c>
      <c r="O4" s="56" t="n">
        <f aca="false">IF("GB"=Horo82101[[#This Row],[Tâche]],Horo82101[[#This Row],[Durée]],"")</f>
        <v>1.5</v>
      </c>
      <c r="P4" s="56" t="str">
        <f aca="false">IF("RD"=Horo82101[[#This Row],[Tâche]],Horo82101[[#This Row],[Durée]],"")</f>
        <v/>
      </c>
      <c r="Q4" s="56" t="str">
        <f aca="false">IF("FG"=Horo82101[[#This Row],[Tâche]],Horo82101[[#This Row],[Durée]],"")</f>
        <v/>
      </c>
      <c r="R4" s="56" t="str">
        <f aca="false">IF("CONGÉ"=Horo82101[[#This Row],[Tâche]],Horo82101[[#This Row],[Durée]],"")</f>
        <v/>
      </c>
      <c r="S4" s="57" t="str">
        <f aca="false">IF("PS"=Horo82101[[#This Row],[Tâche]],Horo82101[[#This Row],[Durée]],"")</f>
        <v/>
      </c>
      <c r="T4" s="56" t="str">
        <f aca="false">IF("TD"=Horo82101[[#This Row],[Tâche]],Horo82101[[#This Row],[Durée]],"")</f>
        <v/>
      </c>
      <c r="U4" s="55" t="str">
        <f aca="false">IF("N/C"=Horo82101[[#This Row],[Tâche]],Horo82101[[#This Row],[Durée]],"")</f>
        <v/>
      </c>
      <c r="V4" s="58"/>
      <c r="W4" s="59" t="str">
        <f aca="false">IF(Horo82101[[#This Row],[O]]="o",Horo82101[[#This Row],[Durée]],".")</f>
        <v>.</v>
      </c>
      <c r="X4" s="60" t="n">
        <f aca="false">IF(Horo82101[[#This Row],[Début]]=0,"",Horo82101[[#This Row],[Fin]]-Horo82101[[#This Row],[Début]])</f>
        <v>0.0625</v>
      </c>
    </row>
    <row r="5" customFormat="false" ht="15" hidden="false" customHeight="false" outlineLevel="0" collapsed="false">
      <c r="A5" s="45" t="s">
        <v>33</v>
      </c>
      <c r="B5" s="46" t="n">
        <f aca="false">IF(Horo82101[[#This Row],[Jour]]="Lundi",$C$1+1, IF(Horo82101[[#This Row],[Jour]]="Mardi",$C$1+2, IF(Horo82101[[#This Row],[Jour]]="Mercredi",$C$1+3, IF(Horo82101[[#This Row],[Jour]]="Jeudi",$C$1+4, IF(Horo82101[[#This Row],[Jour]]="Vendredi",$C$1+5, IF(Horo82101[[#This Row],[Jour]]="Samedi",$C$1+6, IF(Horo82101[[#This Row],[Jour]]="Dimanche",$C$1, )))))))</f>
        <v>44397</v>
      </c>
      <c r="C5" s="47" t="s">
        <v>0</v>
      </c>
      <c r="D5" s="48" t="n">
        <v>0.364583333333333</v>
      </c>
      <c r="E5" s="48" t="n">
        <v>0.385416666666667</v>
      </c>
      <c r="F5" s="49" t="s">
        <v>32</v>
      </c>
      <c r="G5" s="49" t="s">
        <v>20</v>
      </c>
      <c r="H5" s="50" t="s">
        <v>121</v>
      </c>
      <c r="I5" s="51"/>
      <c r="J5" s="52" t="n">
        <f aca="false">IF(Horo82101[[#This Row],[Début]]=0,"",(Horo82101[[#This Row],[Durée (60)2]]-INT(Horo82101[[#This Row],[Durée (60)2]]))*24)</f>
        <v>0.500000000000001</v>
      </c>
      <c r="K5" s="62" t="n">
        <f aca="false">SUMIF(Horo82101[Jour],C5,Horo82101[Durée])</f>
        <v>8</v>
      </c>
      <c r="L5" s="54" t="n">
        <f aca="false">IFERROR(SUMIF(Horo82101[[#This Row],[Jour]],Horo82101[[#This Row],[Jour]],Horo82101[[#This Row],[GPF]]) / Horo82101[[#This Row],[hrs]],"")</f>
        <v>0</v>
      </c>
      <c r="M5" s="56" t="str">
        <f aca="false">IF("GPF"=Horo82101[[#This Row],[Tâche]],Horo82101[[#This Row],[Durée]],"")</f>
        <v/>
      </c>
      <c r="N5" s="56" t="n">
        <f aca="false">IF("RI"=Horo82101[[#This Row],[Tâche]],Horo82101[[#This Row],[Durée]],"")</f>
        <v>0.500000000000001</v>
      </c>
      <c r="O5" s="56" t="str">
        <f aca="false">IF("GB"=Horo82101[[#This Row],[Tâche]],Horo82101[[#This Row],[Durée]],"")</f>
        <v/>
      </c>
      <c r="P5" s="56" t="str">
        <f aca="false">IF("RD"=Horo82101[[#This Row],[Tâche]],Horo82101[[#This Row],[Durée]],"")</f>
        <v/>
      </c>
      <c r="Q5" s="56" t="str">
        <f aca="false">IF("FG"=Horo82101[[#This Row],[Tâche]],Horo82101[[#This Row],[Durée]],"")</f>
        <v/>
      </c>
      <c r="R5" s="56" t="str">
        <f aca="false">IF("CONGÉ"=Horo82101[[#This Row],[Tâche]],Horo82101[[#This Row],[Durée]],"")</f>
        <v/>
      </c>
      <c r="S5" s="57" t="str">
        <f aca="false">IF("PS"=Horo82101[[#This Row],[Tâche]],Horo82101[[#This Row],[Durée]],"")</f>
        <v/>
      </c>
      <c r="T5" s="56" t="str">
        <f aca="false">IF("TD"=Horo82101[[#This Row],[Tâche]],Horo82101[[#This Row],[Durée]],"")</f>
        <v/>
      </c>
      <c r="U5" s="55" t="str">
        <f aca="false">IF("N/C"=Horo82101[[#This Row],[Tâche]],Horo82101[[#This Row],[Durée]],"")</f>
        <v/>
      </c>
      <c r="V5" s="58"/>
      <c r="W5" s="59" t="str">
        <f aca="false">IF(Horo82101[[#This Row],[O]]="o",Horo82101[[#This Row],[Durée]],".")</f>
        <v>.</v>
      </c>
      <c r="X5" s="60" t="n">
        <f aca="false">IF(Horo82101[[#This Row],[Début]]=0,"",Horo82101[[#This Row],[Fin]]-Horo82101[[#This Row],[Début]])</f>
        <v>0.0208333333333334</v>
      </c>
    </row>
    <row r="6" customFormat="false" ht="15" hidden="false" customHeight="false" outlineLevel="0" collapsed="false">
      <c r="A6" s="45" t="s">
        <v>33</v>
      </c>
      <c r="B6" s="46" t="n">
        <f aca="false">IF(Horo82101[[#This Row],[Jour]]="Lundi",$C$1+1, IF(Horo82101[[#This Row],[Jour]]="Mardi",$C$1+2, IF(Horo82101[[#This Row],[Jour]]="Mercredi",$C$1+3, IF(Horo82101[[#This Row],[Jour]]="Jeudi",$C$1+4, IF(Horo82101[[#This Row],[Jour]]="Vendredi",$C$1+5, IF(Horo82101[[#This Row],[Jour]]="Samedi",$C$1+6, IF(Horo82101[[#This Row],[Jour]]="Dimanche",$C$1, )))))))</f>
        <v>44397</v>
      </c>
      <c r="C6" s="47" t="s">
        <v>0</v>
      </c>
      <c r="D6" s="48" t="n">
        <v>0.395833333333333</v>
      </c>
      <c r="E6" s="48" t="n">
        <v>0.5</v>
      </c>
      <c r="F6" s="49" t="s">
        <v>32</v>
      </c>
      <c r="G6" s="49" t="s">
        <v>23</v>
      </c>
      <c r="H6" s="50" t="s">
        <v>109</v>
      </c>
      <c r="I6" s="51"/>
      <c r="J6" s="52" t="n">
        <f aca="false">IF(Horo82101[[#This Row],[Début]]=0,"",(Horo82101[[#This Row],[Durée (60)2]]-INT(Horo82101[[#This Row],[Durée (60)2]]))*24)</f>
        <v>2.5</v>
      </c>
      <c r="K6" s="62" t="n">
        <f aca="false">SUMIF(Horo82101[Jour],C6,Horo82101[Durée])</f>
        <v>8</v>
      </c>
      <c r="L6" s="54" t="n">
        <f aca="false">IFERROR(SUMIF(Horo82101[[#This Row],[Jour]],Horo82101[[#This Row],[Jour]],Horo82101[[#This Row],[GPF]]) / Horo82101[[#This Row],[hrs]],"")</f>
        <v>0</v>
      </c>
      <c r="M6" s="56" t="str">
        <f aca="false">IF("GPF"=Horo82101[[#This Row],[Tâche]],Horo82101[[#This Row],[Durée]],"")</f>
        <v/>
      </c>
      <c r="N6" s="56" t="str">
        <f aca="false">IF("RI"=Horo82101[[#This Row],[Tâche]],Horo82101[[#This Row],[Durée]],"")</f>
        <v/>
      </c>
      <c r="O6" s="56" t="str">
        <f aca="false">IF("GB"=Horo82101[[#This Row],[Tâche]],Horo82101[[#This Row],[Durée]],"")</f>
        <v/>
      </c>
      <c r="P6" s="56" t="str">
        <f aca="false">IF("RD"=Horo82101[[#This Row],[Tâche]],Horo82101[[#This Row],[Durée]],"")</f>
        <v/>
      </c>
      <c r="Q6" s="56" t="n">
        <f aca="false">IF("FG"=Horo82101[[#This Row],[Tâche]],Horo82101[[#This Row],[Durée]],"")</f>
        <v>2.5</v>
      </c>
      <c r="R6" s="56" t="str">
        <f aca="false">IF("CONGÉ"=Horo82101[[#This Row],[Tâche]],Horo82101[[#This Row],[Durée]],"")</f>
        <v/>
      </c>
      <c r="S6" s="57" t="str">
        <f aca="false">IF("PS"=Horo82101[[#This Row],[Tâche]],Horo82101[[#This Row],[Durée]],"")</f>
        <v/>
      </c>
      <c r="T6" s="56" t="str">
        <f aca="false">IF("TD"=Horo82101[[#This Row],[Tâche]],Horo82101[[#This Row],[Durée]],"")</f>
        <v/>
      </c>
      <c r="U6" s="55" t="str">
        <f aca="false">IF("N/C"=Horo82101[[#This Row],[Tâche]],Horo82101[[#This Row],[Durée]],"")</f>
        <v/>
      </c>
      <c r="V6" s="58"/>
      <c r="W6" s="59" t="str">
        <f aca="false">IF(Horo82101[[#This Row],[O]]="o",Horo82101[[#This Row],[Durée]],".")</f>
        <v>.</v>
      </c>
      <c r="X6" s="60" t="n">
        <f aca="false">IF(Horo82101[[#This Row],[Début]]=0,"",Horo82101[[#This Row],[Fin]]-Horo82101[[#This Row],[Début]])</f>
        <v>0.104166666666667</v>
      </c>
    </row>
    <row r="7" customFormat="false" ht="15" hidden="false" customHeight="false" outlineLevel="0" collapsed="false">
      <c r="A7" s="45" t="s">
        <v>33</v>
      </c>
      <c r="B7" s="46" t="n">
        <f aca="false">IF(Horo82101[[#This Row],[Jour]]="Lundi",$C$1+1, IF(Horo82101[[#This Row],[Jour]]="Mardi",$C$1+2, IF(Horo82101[[#This Row],[Jour]]="Mercredi",$C$1+3, IF(Horo82101[[#This Row],[Jour]]="Jeudi",$C$1+4, IF(Horo82101[[#This Row],[Jour]]="Vendredi",$C$1+5, IF(Horo82101[[#This Row],[Jour]]="Samedi",$C$1+6, IF(Horo82101[[#This Row],[Jour]]="Dimanche",$C$1, )))))))</f>
        <v>44397</v>
      </c>
      <c r="C7" s="47" t="s">
        <v>0</v>
      </c>
      <c r="D7" s="48" t="n">
        <v>0.583333333333333</v>
      </c>
      <c r="E7" s="48" t="n">
        <v>0.666666666666667</v>
      </c>
      <c r="F7" s="49" t="s">
        <v>32</v>
      </c>
      <c r="G7" s="49" t="s">
        <v>23</v>
      </c>
      <c r="H7" s="50" t="s">
        <v>109</v>
      </c>
      <c r="I7" s="61"/>
      <c r="J7" s="52" t="n">
        <f aca="false">IF(Horo82101[[#This Row],[Début]]=0,"",(Horo82101[[#This Row],[Durée (60)2]]-INT(Horo82101[[#This Row],[Durée (60)2]]))*24)</f>
        <v>2</v>
      </c>
      <c r="K7" s="62" t="n">
        <f aca="false">SUMIF(Horo82101[Jour],C7,Horo82101[Durée])</f>
        <v>8</v>
      </c>
      <c r="L7" s="54" t="n">
        <f aca="false">IFERROR(SUMIF(Horo82101[[#This Row],[Jour]],Horo82101[[#This Row],[Jour]],Horo82101[[#This Row],[GPF]]) / Horo82101[[#This Row],[hrs]],"")</f>
        <v>0</v>
      </c>
      <c r="M7" s="56" t="str">
        <f aca="false">IF("GPF"=Horo82101[[#This Row],[Tâche]],Horo82101[[#This Row],[Durée]],"")</f>
        <v/>
      </c>
      <c r="N7" s="56" t="str">
        <f aca="false">IF("RI"=Horo82101[[#This Row],[Tâche]],Horo82101[[#This Row],[Durée]],"")</f>
        <v/>
      </c>
      <c r="O7" s="56" t="str">
        <f aca="false">IF("GB"=Horo82101[[#This Row],[Tâche]],Horo82101[[#This Row],[Durée]],"")</f>
        <v/>
      </c>
      <c r="P7" s="56" t="str">
        <f aca="false">IF("RD"=Horo82101[[#This Row],[Tâche]],Horo82101[[#This Row],[Durée]],"")</f>
        <v/>
      </c>
      <c r="Q7" s="56" t="n">
        <f aca="false">IF("FG"=Horo82101[[#This Row],[Tâche]],Horo82101[[#This Row],[Durée]],"")</f>
        <v>2</v>
      </c>
      <c r="R7" s="56" t="str">
        <f aca="false">IF("CONGÉ"=Horo82101[[#This Row],[Tâche]],Horo82101[[#This Row],[Durée]],"")</f>
        <v/>
      </c>
      <c r="S7" s="57" t="str">
        <f aca="false">IF("PS"=Horo82101[[#This Row],[Tâche]],Horo82101[[#This Row],[Durée]],"")</f>
        <v/>
      </c>
      <c r="T7" s="56" t="str">
        <f aca="false">IF("TD"=Horo82101[[#This Row],[Tâche]],Horo82101[[#This Row],[Durée]],"")</f>
        <v/>
      </c>
      <c r="U7" s="55" t="str">
        <f aca="false">IF("N/C"=Horo82101[[#This Row],[Tâche]],Horo82101[[#This Row],[Durée]],"")</f>
        <v/>
      </c>
      <c r="V7" s="58"/>
      <c r="W7" s="59" t="str">
        <f aca="false">IF(Horo82101[[#This Row],[O]]="o",Horo82101[[#This Row],[Durée]],".")</f>
        <v>.</v>
      </c>
      <c r="X7" s="60" t="n">
        <f aca="false">IF(Horo82101[[#This Row],[Début]]=0,"",Horo82101[[#This Row],[Fin]]-Horo82101[[#This Row],[Début]])</f>
        <v>0.0833333333333333</v>
      </c>
    </row>
    <row r="8" customFormat="false" ht="15" hidden="false" customHeight="false" outlineLevel="0" collapsed="false">
      <c r="A8" s="45" t="s">
        <v>33</v>
      </c>
      <c r="B8" s="46" t="n">
        <f aca="false">IF(Horo82101[[#This Row],[Jour]]="Lundi",$C$1+1, IF(Horo82101[[#This Row],[Jour]]="Mardi",$C$1+2, IF(Horo82101[[#This Row],[Jour]]="Mercredi",$C$1+3, IF(Horo82101[[#This Row],[Jour]]="Jeudi",$C$1+4, IF(Horo82101[[#This Row],[Jour]]="Vendredi",$C$1+5, IF(Horo82101[[#This Row],[Jour]]="Samedi",$C$1+6, IF(Horo82101[[#This Row],[Jour]]="Dimanche",$C$1, )))))))</f>
        <v>44397</v>
      </c>
      <c r="C8" s="47" t="s">
        <v>0</v>
      </c>
      <c r="D8" s="48" t="n">
        <v>0.666666666666667</v>
      </c>
      <c r="E8" s="48" t="n">
        <v>0.729166666666667</v>
      </c>
      <c r="F8" s="49" t="s">
        <v>32</v>
      </c>
      <c r="G8" s="49" t="s">
        <v>21</v>
      </c>
      <c r="H8" s="50"/>
      <c r="I8" s="61"/>
      <c r="J8" s="52" t="n">
        <f aca="false">IF(Horo82101[[#This Row],[Début]]=0,"",(Horo82101[[#This Row],[Durée (60)2]]-INT(Horo82101[[#This Row],[Durée (60)2]]))*24)</f>
        <v>1.5</v>
      </c>
      <c r="K8" s="62" t="n">
        <f aca="false">SUMIF(Horo82101[Jour],C8,Horo82101[Durée])</f>
        <v>8</v>
      </c>
      <c r="L8" s="54" t="n">
        <f aca="false">IFERROR(SUMIF(Horo82101[[#This Row],[Jour]],Horo82101[[#This Row],[Jour]],Horo82101[[#This Row],[GPF]]) / Horo82101[[#This Row],[hrs]],"")</f>
        <v>0</v>
      </c>
      <c r="M8" s="56" t="str">
        <f aca="false">IF("GPF"=Horo82101[[#This Row],[Tâche]],Horo82101[[#This Row],[Durée]],"")</f>
        <v/>
      </c>
      <c r="N8" s="56" t="str">
        <f aca="false">IF("RI"=Horo82101[[#This Row],[Tâche]],Horo82101[[#This Row],[Durée]],"")</f>
        <v/>
      </c>
      <c r="O8" s="56" t="n">
        <f aca="false">IF("GB"=Horo82101[[#This Row],[Tâche]],Horo82101[[#This Row],[Durée]],"")</f>
        <v>1.5</v>
      </c>
      <c r="P8" s="56" t="str">
        <f aca="false">IF("RD"=Horo82101[[#This Row],[Tâche]],Horo82101[[#This Row],[Durée]],"")</f>
        <v/>
      </c>
      <c r="Q8" s="56" t="str">
        <f aca="false">IF("FG"=Horo82101[[#This Row],[Tâche]],Horo82101[[#This Row],[Durée]],"")</f>
        <v/>
      </c>
      <c r="R8" s="56" t="str">
        <f aca="false">IF("CONGÉ"=Horo82101[[#This Row],[Tâche]],Horo82101[[#This Row],[Durée]],"")</f>
        <v/>
      </c>
      <c r="S8" s="57" t="str">
        <f aca="false">IF("PS"=Horo82101[[#This Row],[Tâche]],Horo82101[[#This Row],[Durée]],"")</f>
        <v/>
      </c>
      <c r="T8" s="56" t="str">
        <f aca="false">IF("TD"=Horo82101[[#This Row],[Tâche]],Horo82101[[#This Row],[Durée]],"")</f>
        <v/>
      </c>
      <c r="U8" s="55" t="str">
        <f aca="false">IF("N/C"=Horo82101[[#This Row],[Tâche]],Horo82101[[#This Row],[Durée]],"")</f>
        <v/>
      </c>
      <c r="V8" s="58"/>
      <c r="W8" s="59" t="str">
        <f aca="false">IF(Horo82101[[#This Row],[O]]="o",Horo82101[[#This Row],[Durée]],".")</f>
        <v>.</v>
      </c>
      <c r="X8" s="60" t="n">
        <f aca="false">IF(Horo82101[[#This Row],[Début]]=0,"",Horo82101[[#This Row],[Fin]]-Horo82101[[#This Row],[Début]])</f>
        <v>0.0625</v>
      </c>
    </row>
    <row r="9" customFormat="false" ht="15" hidden="false" customHeight="false" outlineLevel="0" collapsed="false">
      <c r="A9" s="45" t="s">
        <v>33</v>
      </c>
      <c r="B9" s="46" t="n">
        <f aca="false">IF(Horo82101[[#This Row],[Jour]]="Lundi",$C$1+1, IF(Horo82101[[#This Row],[Jour]]="Mardi",$C$1+2, IF(Horo82101[[#This Row],[Jour]]="Mercredi",$C$1+3, IF(Horo82101[[#This Row],[Jour]]="Jeudi",$C$1+4, IF(Horo82101[[#This Row],[Jour]]="Vendredi",$C$1+5, IF(Horo82101[[#This Row],[Jour]]="Samedi",$C$1+6, IF(Horo82101[[#This Row],[Jour]]="Dimanche",$C$1, )))))))</f>
        <v>44398</v>
      </c>
      <c r="C9" s="47" t="s">
        <v>1</v>
      </c>
      <c r="D9" s="48" t="n">
        <v>0.333333333333333</v>
      </c>
      <c r="E9" s="48" t="n">
        <v>0.666666666666667</v>
      </c>
      <c r="F9" s="49" t="s">
        <v>32</v>
      </c>
      <c r="G9" s="49" t="s">
        <v>24</v>
      </c>
      <c r="H9" s="50"/>
      <c r="I9" s="51" t="s">
        <v>184</v>
      </c>
      <c r="J9" s="52" t="n">
        <f aca="false">IF(Horo82101[[#This Row],[Début]]=0,"",(Horo82101[[#This Row],[Durée (60)2]]-INT(Horo82101[[#This Row],[Durée (60)2]]))*24)</f>
        <v>8</v>
      </c>
      <c r="K9" s="62" t="n">
        <f aca="false">SUMIF(Horo82101[Jour],C9,Horo82101[Durée])</f>
        <v>8</v>
      </c>
      <c r="L9" s="54" t="n">
        <f aca="false">IFERROR(SUMIF(Horo82101[[#This Row],[Jour]],Horo82101[[#This Row],[Jour]],Horo82101[[#This Row],[GPF]]) / Horo82101[[#This Row],[hrs]],"")</f>
        <v>0</v>
      </c>
      <c r="M9" s="56" t="str">
        <f aca="false">IF("GPF"=Horo82101[[#This Row],[Tâche]],Horo82101[[#This Row],[Durée]],"")</f>
        <v/>
      </c>
      <c r="N9" s="56" t="str">
        <f aca="false">IF("RI"=Horo82101[[#This Row],[Tâche]],Horo82101[[#This Row],[Durée]],"")</f>
        <v/>
      </c>
      <c r="O9" s="56" t="str">
        <f aca="false">IF("GB"=Horo82101[[#This Row],[Tâche]],Horo82101[[#This Row],[Durée]],"")</f>
        <v/>
      </c>
      <c r="P9" s="56" t="str">
        <f aca="false">IF("RD"=Horo82101[[#This Row],[Tâche]],Horo82101[[#This Row],[Durée]],"")</f>
        <v/>
      </c>
      <c r="Q9" s="56" t="str">
        <f aca="false">IF("FG"=Horo82101[[#This Row],[Tâche]],Horo82101[[#This Row],[Durée]],"")</f>
        <v/>
      </c>
      <c r="R9" s="56" t="n">
        <f aca="false">IF("CONGÉ"=Horo82101[[#This Row],[Tâche]],Horo82101[[#This Row],[Durée]],"")</f>
        <v>8</v>
      </c>
      <c r="S9" s="57" t="str">
        <f aca="false">IF("PS"=Horo82101[[#This Row],[Tâche]],Horo82101[[#This Row],[Durée]],"")</f>
        <v/>
      </c>
      <c r="T9" s="56" t="str">
        <f aca="false">IF("TD"=Horo82101[[#This Row],[Tâche]],Horo82101[[#This Row],[Durée]],"")</f>
        <v/>
      </c>
      <c r="U9" s="55" t="str">
        <f aca="false">IF("N/C"=Horo82101[[#This Row],[Tâche]],Horo82101[[#This Row],[Durée]],"")</f>
        <v/>
      </c>
      <c r="V9" s="58"/>
      <c r="W9" s="59" t="str">
        <f aca="false">IF(Horo82101[[#This Row],[O]]="o",Horo82101[[#This Row],[Durée]],".")</f>
        <v>.</v>
      </c>
      <c r="X9" s="60" t="n">
        <f aca="false">IF(Horo82101[[#This Row],[Début]]=0,"",Horo82101[[#This Row],[Fin]]-Horo82101[[#This Row],[Début]])</f>
        <v>0.333333333333333</v>
      </c>
    </row>
    <row r="10" customFormat="false" ht="15" hidden="false" customHeight="false" outlineLevel="0" collapsed="false">
      <c r="A10" s="45" t="s">
        <v>33</v>
      </c>
      <c r="B10" s="46" t="n">
        <f aca="false">IF(Horo82101[[#This Row],[Jour]]="Lundi",$C$1+1, IF(Horo82101[[#This Row],[Jour]]="Mardi",$C$1+2, IF(Horo82101[[#This Row],[Jour]]="Mercredi",$C$1+3, IF(Horo82101[[#This Row],[Jour]]="Jeudi",$C$1+4, IF(Horo82101[[#This Row],[Jour]]="Vendredi",$C$1+5, IF(Horo82101[[#This Row],[Jour]]="Samedi",$C$1+6, IF(Horo82101[[#This Row],[Jour]]="Dimanche",$C$1, )))))))</f>
        <v>44399</v>
      </c>
      <c r="C10" s="47" t="s">
        <v>2</v>
      </c>
      <c r="D10" s="48" t="n">
        <v>0.3125</v>
      </c>
      <c r="E10" s="48" t="n">
        <v>0.354166666666667</v>
      </c>
      <c r="F10" s="49" t="s">
        <v>32</v>
      </c>
      <c r="G10" s="49" t="s">
        <v>21</v>
      </c>
      <c r="H10" s="50" t="s">
        <v>112</v>
      </c>
      <c r="I10" s="51"/>
      <c r="J10" s="52" t="n">
        <f aca="false">IF(Horo82101[[#This Row],[Début]]=0,"",(Horo82101[[#This Row],[Durée (60)2]]-INT(Horo82101[[#This Row],[Durée (60)2]]))*24)</f>
        <v>1</v>
      </c>
      <c r="K10" s="62" t="n">
        <f aca="false">SUMIF(Horo82101[Jour],C10,Horo82101[Durée])</f>
        <v>8</v>
      </c>
      <c r="L10" s="54" t="n">
        <f aca="false">IFERROR(SUMIF(Horo82101[[#This Row],[Jour]],Horo82101[[#This Row],[Jour]],Horo82101[[#This Row],[GPF]]) / Horo82101[[#This Row],[hrs]],"")</f>
        <v>0</v>
      </c>
      <c r="M10" s="56" t="str">
        <f aca="false">IF("GPF"=Horo82101[[#This Row],[Tâche]],Horo82101[[#This Row],[Durée]],"")</f>
        <v/>
      </c>
      <c r="N10" s="56" t="str">
        <f aca="false">IF("RI"=Horo82101[[#This Row],[Tâche]],Horo82101[[#This Row],[Durée]],"")</f>
        <v/>
      </c>
      <c r="O10" s="56" t="n">
        <f aca="false">IF("GB"=Horo82101[[#This Row],[Tâche]],Horo82101[[#This Row],[Durée]],"")</f>
        <v>1</v>
      </c>
      <c r="P10" s="56" t="str">
        <f aca="false">IF("RD"=Horo82101[[#This Row],[Tâche]],Horo82101[[#This Row],[Durée]],"")</f>
        <v/>
      </c>
      <c r="Q10" s="56" t="str">
        <f aca="false">IF("FG"=Horo82101[[#This Row],[Tâche]],Horo82101[[#This Row],[Durée]],"")</f>
        <v/>
      </c>
      <c r="R10" s="56" t="str">
        <f aca="false">IF("CONGÉ"=Horo82101[[#This Row],[Tâche]],Horo82101[[#This Row],[Durée]],"")</f>
        <v/>
      </c>
      <c r="S10" s="56" t="str">
        <f aca="false">IF("PS"=Horo82101[[#This Row],[Tâche]],Horo82101[[#This Row],[Durée]],"")</f>
        <v/>
      </c>
      <c r="T10" s="56" t="str">
        <f aca="false">IF("TD"=Horo82101[[#This Row],[Tâche]],Horo82101[[#This Row],[Durée]],"")</f>
        <v/>
      </c>
      <c r="U10" s="56" t="str">
        <f aca="false">IF("N/C"=Horo82101[[#This Row],[Tâche]],Horo82101[[#This Row],[Durée]],"")</f>
        <v/>
      </c>
      <c r="V10" s="58"/>
      <c r="W10" s="59" t="str">
        <f aca="false">IF(Horo82101[[#This Row],[O]]="o",Horo82101[[#This Row],[Durée]],".")</f>
        <v>.</v>
      </c>
      <c r="X10" s="64" t="n">
        <f aca="false">IF(Horo82101[[#This Row],[Début]]=0,"",Horo82101[[#This Row],[Fin]]-Horo82101[[#This Row],[Début]])</f>
        <v>0.0416666666666667</v>
      </c>
    </row>
    <row r="11" customFormat="false" ht="15" hidden="false" customHeight="false" outlineLevel="0" collapsed="false">
      <c r="A11" s="45" t="s">
        <v>33</v>
      </c>
      <c r="B11" s="46" t="n">
        <f aca="false">IF(Horo82101[[#This Row],[Jour]]="Lundi",$C$1+1, IF(Horo82101[[#This Row],[Jour]]="Mardi",$C$1+2, IF(Horo82101[[#This Row],[Jour]]="Mercredi",$C$1+3, IF(Horo82101[[#This Row],[Jour]]="Jeudi",$C$1+4, IF(Horo82101[[#This Row],[Jour]]="Vendredi",$C$1+5, IF(Horo82101[[#This Row],[Jour]]="Samedi",$C$1+6, IF(Horo82101[[#This Row],[Jour]]="Dimanche",$C$1, )))))))</f>
        <v>44399</v>
      </c>
      <c r="C11" s="47" t="s">
        <v>2</v>
      </c>
      <c r="D11" s="48" t="n">
        <v>0.354166666666667</v>
      </c>
      <c r="E11" s="48" t="n">
        <v>0.4375</v>
      </c>
      <c r="F11" s="49" t="s">
        <v>61</v>
      </c>
      <c r="G11" s="49" t="s">
        <v>19</v>
      </c>
      <c r="H11" s="50" t="s">
        <v>42</v>
      </c>
      <c r="I11" s="61" t="s">
        <v>185</v>
      </c>
      <c r="J11" s="52" t="n">
        <f aca="false">IF(Horo82101[[#This Row],[Début]]=0,"",(Horo82101[[#This Row],[Durée (60)2]]-INT(Horo82101[[#This Row],[Durée (60)2]]))*24)</f>
        <v>2</v>
      </c>
      <c r="K11" s="62" t="n">
        <f aca="false">SUMIF(Horo82101[Jour],C11,Horo82101[Durée])</f>
        <v>8</v>
      </c>
      <c r="L11" s="54" t="n">
        <f aca="false">IFERROR(SUMIF(Horo82101[[#This Row],[Jour]],Horo82101[[#This Row],[Jour]],Horo82101[[#This Row],[GPF]]) / Horo82101[[#This Row],[hrs]],"")</f>
        <v>0.25</v>
      </c>
      <c r="M11" s="56" t="n">
        <f aca="false">IF("GPF"=Horo82101[[#This Row],[Tâche]],Horo82101[[#This Row],[Durée]],"")</f>
        <v>2</v>
      </c>
      <c r="N11" s="56" t="str">
        <f aca="false">IF("RI"=Horo82101[[#This Row],[Tâche]],Horo82101[[#This Row],[Durée]],"")</f>
        <v/>
      </c>
      <c r="O11" s="56" t="str">
        <f aca="false">IF("GB"=Horo82101[[#This Row],[Tâche]],Horo82101[[#This Row],[Durée]],"")</f>
        <v/>
      </c>
      <c r="P11" s="56" t="str">
        <f aca="false">IF("RD"=Horo82101[[#This Row],[Tâche]],Horo82101[[#This Row],[Durée]],"")</f>
        <v/>
      </c>
      <c r="Q11" s="56" t="str">
        <f aca="false">IF("FG"=Horo82101[[#This Row],[Tâche]],Horo82101[[#This Row],[Durée]],"")</f>
        <v/>
      </c>
      <c r="R11" s="56" t="str">
        <f aca="false">IF("CONGÉ"=Horo82101[[#This Row],[Tâche]],Horo82101[[#This Row],[Durée]],"")</f>
        <v/>
      </c>
      <c r="S11" s="57" t="str">
        <f aca="false">IF("PS"=Horo82101[[#This Row],[Tâche]],Horo82101[[#This Row],[Durée]],"")</f>
        <v/>
      </c>
      <c r="T11" s="56" t="str">
        <f aca="false">IF("TD"=Horo82101[[#This Row],[Tâche]],Horo82101[[#This Row],[Durée]],"")</f>
        <v/>
      </c>
      <c r="U11" s="55" t="str">
        <f aca="false">IF("N/C"=Horo82101[[#This Row],[Tâche]],Horo82101[[#This Row],[Durée]],"")</f>
        <v/>
      </c>
      <c r="V11" s="58"/>
      <c r="W11" s="59" t="str">
        <f aca="false">IF(Horo82101[[#This Row],[O]]="o",Horo82101[[#This Row],[Durée]],".")</f>
        <v>.</v>
      </c>
      <c r="X11" s="60" t="n">
        <f aca="false">IF(Horo82101[[#This Row],[Début]]=0,"",Horo82101[[#This Row],[Fin]]-Horo82101[[#This Row],[Début]])</f>
        <v>0.0833333333333333</v>
      </c>
    </row>
    <row r="12" customFormat="false" ht="15" hidden="false" customHeight="false" outlineLevel="0" collapsed="false">
      <c r="A12" s="45" t="s">
        <v>33</v>
      </c>
      <c r="B12" s="46" t="n">
        <f aca="false">IF(Horo82101[[#This Row],[Jour]]="Lundi",$C$1+1, IF(Horo82101[[#This Row],[Jour]]="Mardi",$C$1+2, IF(Horo82101[[#This Row],[Jour]]="Mercredi",$C$1+3, IF(Horo82101[[#This Row],[Jour]]="Jeudi",$C$1+4, IF(Horo82101[[#This Row],[Jour]]="Vendredi",$C$1+5, IF(Horo82101[[#This Row],[Jour]]="Samedi",$C$1+6, IF(Horo82101[[#This Row],[Jour]]="Dimanche",$C$1, )))))))</f>
        <v>44399</v>
      </c>
      <c r="C12" s="47" t="s">
        <v>2</v>
      </c>
      <c r="D12" s="48" t="n">
        <v>0.4375</v>
      </c>
      <c r="E12" s="48" t="n">
        <v>0.5</v>
      </c>
      <c r="F12" s="49" t="s">
        <v>32</v>
      </c>
      <c r="G12" s="49" t="s">
        <v>22</v>
      </c>
      <c r="H12" s="50" t="s">
        <v>33</v>
      </c>
      <c r="I12" s="61"/>
      <c r="J12" s="52" t="n">
        <f aca="false">IF(Horo82101[[#This Row],[Début]]=0,"",(Horo82101[[#This Row],[Durée (60)2]]-INT(Horo82101[[#This Row],[Durée (60)2]]))*24)</f>
        <v>1.5</v>
      </c>
      <c r="K12" s="62" t="n">
        <f aca="false">SUMIF(Horo82101[Jour],C12,Horo82101[Durée])</f>
        <v>8</v>
      </c>
      <c r="L12" s="54" t="n">
        <f aca="false">IFERROR(SUMIF(Horo82101[[#This Row],[Jour]],Horo82101[[#This Row],[Jour]],Horo82101[[#This Row],[GPF]]) / Horo82101[[#This Row],[hrs]],"")</f>
        <v>0</v>
      </c>
      <c r="M12" s="56" t="str">
        <f aca="false">IF("GPF"=Horo82101[[#This Row],[Tâche]],Horo82101[[#This Row],[Durée]],"")</f>
        <v/>
      </c>
      <c r="N12" s="56" t="str">
        <f aca="false">IF("RI"=Horo82101[[#This Row],[Tâche]],Horo82101[[#This Row],[Durée]],"")</f>
        <v/>
      </c>
      <c r="O12" s="56" t="str">
        <f aca="false">IF("GB"=Horo82101[[#This Row],[Tâche]],Horo82101[[#This Row],[Durée]],"")</f>
        <v/>
      </c>
      <c r="P12" s="56" t="n">
        <f aca="false">IF("RD"=Horo82101[[#This Row],[Tâche]],Horo82101[[#This Row],[Durée]],"")</f>
        <v>1.5</v>
      </c>
      <c r="Q12" s="56" t="str">
        <f aca="false">IF("FG"=Horo82101[[#This Row],[Tâche]],Horo82101[[#This Row],[Durée]],"")</f>
        <v/>
      </c>
      <c r="R12" s="56" t="str">
        <f aca="false">IF("CONGÉ"=Horo82101[[#This Row],[Tâche]],Horo82101[[#This Row],[Durée]],"")</f>
        <v/>
      </c>
      <c r="S12" s="57" t="str">
        <f aca="false">IF("PS"=Horo82101[[#This Row],[Tâche]],Horo82101[[#This Row],[Durée]],"")</f>
        <v/>
      </c>
      <c r="T12" s="56" t="str">
        <f aca="false">IF("TD"=Horo82101[[#This Row],[Tâche]],Horo82101[[#This Row],[Durée]],"")</f>
        <v/>
      </c>
      <c r="U12" s="55" t="str">
        <f aca="false">IF("N/C"=Horo82101[[#This Row],[Tâche]],Horo82101[[#This Row],[Durée]],"")</f>
        <v/>
      </c>
      <c r="V12" s="58"/>
      <c r="W12" s="59" t="str">
        <f aca="false">IF(Horo82101[[#This Row],[O]]="o",Horo82101[[#This Row],[Durée]],".")</f>
        <v>.</v>
      </c>
      <c r="X12" s="60" t="n">
        <f aca="false">IF(Horo82101[[#This Row],[Début]]=0,"",Horo82101[[#This Row],[Fin]]-Horo82101[[#This Row],[Début]])</f>
        <v>0.0625</v>
      </c>
    </row>
    <row r="13" customFormat="false" ht="15" hidden="false" customHeight="false" outlineLevel="0" collapsed="false">
      <c r="A13" s="45" t="s">
        <v>33</v>
      </c>
      <c r="B13" s="46" t="n">
        <f aca="false">IF(Horo82101[[#This Row],[Jour]]="Lundi",$C$1+1, IF(Horo82101[[#This Row],[Jour]]="Mardi",$C$1+2, IF(Horo82101[[#This Row],[Jour]]="Mercredi",$C$1+3, IF(Horo82101[[#This Row],[Jour]]="Jeudi",$C$1+4, IF(Horo82101[[#This Row],[Jour]]="Vendredi",$C$1+5, IF(Horo82101[[#This Row],[Jour]]="Samedi",$C$1+6, IF(Horo82101[[#This Row],[Jour]]="Dimanche",$C$1, )))))))</f>
        <v>44399</v>
      </c>
      <c r="C13" s="47" t="s">
        <v>2</v>
      </c>
      <c r="D13" s="48" t="n">
        <v>0.604166666666667</v>
      </c>
      <c r="E13" s="48" t="n">
        <v>0.75</v>
      </c>
      <c r="F13" s="49" t="s">
        <v>32</v>
      </c>
      <c r="G13" s="49" t="s">
        <v>23</v>
      </c>
      <c r="H13" s="50" t="s">
        <v>109</v>
      </c>
      <c r="I13" s="61"/>
      <c r="J13" s="52" t="n">
        <f aca="false">IF(Horo82101[[#This Row],[Début]]=0,"",(Horo82101[[#This Row],[Durée (60)2]]-INT(Horo82101[[#This Row],[Durée (60)2]]))*24)</f>
        <v>3.5</v>
      </c>
      <c r="K13" s="62" t="n">
        <f aca="false">SUMIF(Horo82101[Jour],C13,Horo82101[Durée])</f>
        <v>8</v>
      </c>
      <c r="L13" s="54" t="n">
        <f aca="false">IFERROR(SUMIF(Horo82101[[#This Row],[Jour]],Horo82101[[#This Row],[Jour]],Horo82101[[#This Row],[GPF]]) / Horo82101[[#This Row],[hrs]],"")</f>
        <v>0</v>
      </c>
      <c r="M13" s="56" t="str">
        <f aca="false">IF("GPF"=Horo82101[[#This Row],[Tâche]],Horo82101[[#This Row],[Durée]],"")</f>
        <v/>
      </c>
      <c r="N13" s="56" t="str">
        <f aca="false">IF("RI"=Horo82101[[#This Row],[Tâche]],Horo82101[[#This Row],[Durée]],"")</f>
        <v/>
      </c>
      <c r="O13" s="56" t="str">
        <f aca="false">IF("GB"=Horo82101[[#This Row],[Tâche]],Horo82101[[#This Row],[Durée]],"")</f>
        <v/>
      </c>
      <c r="P13" s="56" t="str">
        <f aca="false">IF("RD"=Horo82101[[#This Row],[Tâche]],Horo82101[[#This Row],[Durée]],"")</f>
        <v/>
      </c>
      <c r="Q13" s="56" t="n">
        <f aca="false">IF("FG"=Horo82101[[#This Row],[Tâche]],Horo82101[[#This Row],[Durée]],"")</f>
        <v>3.5</v>
      </c>
      <c r="R13" s="56" t="str">
        <f aca="false">IF("CONGÉ"=Horo82101[[#This Row],[Tâche]],Horo82101[[#This Row],[Durée]],"")</f>
        <v/>
      </c>
      <c r="S13" s="57" t="str">
        <f aca="false">IF("PS"=Horo82101[[#This Row],[Tâche]],Horo82101[[#This Row],[Durée]],"")</f>
        <v/>
      </c>
      <c r="T13" s="56" t="str">
        <f aca="false">IF("TD"=Horo82101[[#This Row],[Tâche]],Horo82101[[#This Row],[Durée]],"")</f>
        <v/>
      </c>
      <c r="U13" s="55" t="str">
        <f aca="false">IF("N/C"=Horo82101[[#This Row],[Tâche]],Horo82101[[#This Row],[Durée]],"")</f>
        <v/>
      </c>
      <c r="V13" s="58"/>
      <c r="W13" s="59" t="str">
        <f aca="false">IF(Horo82101[[#This Row],[O]]="o",Horo82101[[#This Row],[Durée]],".")</f>
        <v>.</v>
      </c>
      <c r="X13" s="60" t="n">
        <f aca="false">IF(Horo82101[[#This Row],[Début]]=0,"",Horo82101[[#This Row],[Fin]]-Horo82101[[#This Row],[Début]])</f>
        <v>0.145833333333333</v>
      </c>
    </row>
    <row r="14" customFormat="false" ht="15" hidden="false" customHeight="false" outlineLevel="0" collapsed="false">
      <c r="A14" s="45" t="s">
        <v>33</v>
      </c>
      <c r="B14" s="46" t="n">
        <f aca="false">IF(Horo82101[[#This Row],[Jour]]="Lundi",$C$1+1, IF(Horo82101[[#This Row],[Jour]]="Mardi",$C$1+2, IF(Horo82101[[#This Row],[Jour]]="Mercredi",$C$1+3, IF(Horo82101[[#This Row],[Jour]]="Jeudi",$C$1+4, IF(Horo82101[[#This Row],[Jour]]="Vendredi",$C$1+5, IF(Horo82101[[#This Row],[Jour]]="Samedi",$C$1+6, IF(Horo82101[[#This Row],[Jour]]="Dimanche",$C$1, )))))))</f>
        <v>44400</v>
      </c>
      <c r="C14" s="47" t="s">
        <v>3</v>
      </c>
      <c r="D14" s="48" t="n">
        <v>0.3125</v>
      </c>
      <c r="E14" s="48" t="n">
        <v>0.333333333333333</v>
      </c>
      <c r="F14" s="49" t="s">
        <v>32</v>
      </c>
      <c r="G14" s="49" t="s">
        <v>21</v>
      </c>
      <c r="H14" s="50" t="s">
        <v>33</v>
      </c>
      <c r="I14" s="51"/>
      <c r="J14" s="52" t="n">
        <f aca="false">IF(Horo82101[[#This Row],[Début]]=0,"",(Horo82101[[#This Row],[Durée (60)2]]-INT(Horo82101[[#This Row],[Durée (60)2]]))*24)</f>
        <v>0.5</v>
      </c>
      <c r="K14" s="62" t="n">
        <f aca="false">SUMIF(Horo82101[Jour],C14,Horo82101[Durée])</f>
        <v>8</v>
      </c>
      <c r="L14" s="54" t="n">
        <f aca="false">IFERROR(SUMIF(Horo82101[[#This Row],[Jour]],Horo82101[[#This Row],[Jour]],Horo82101[[#This Row],[GPF]]) / Horo82101[[#This Row],[hrs]],"")</f>
        <v>0</v>
      </c>
      <c r="M14" s="56" t="str">
        <f aca="false">IF("GPF"=Horo82101[[#This Row],[Tâche]],Horo82101[[#This Row],[Durée]],"")</f>
        <v/>
      </c>
      <c r="N14" s="56" t="str">
        <f aca="false">IF("RI"=Horo82101[[#This Row],[Tâche]],Horo82101[[#This Row],[Durée]],"")</f>
        <v/>
      </c>
      <c r="O14" s="56" t="n">
        <f aca="false">IF("GB"=Horo82101[[#This Row],[Tâche]],Horo82101[[#This Row],[Durée]],"")</f>
        <v>0.5</v>
      </c>
      <c r="P14" s="56" t="str">
        <f aca="false">IF("RD"=Horo82101[[#This Row],[Tâche]],Horo82101[[#This Row],[Durée]],"")</f>
        <v/>
      </c>
      <c r="Q14" s="56" t="str">
        <f aca="false">IF("FG"=Horo82101[[#This Row],[Tâche]],Horo82101[[#This Row],[Durée]],"")</f>
        <v/>
      </c>
      <c r="R14" s="56" t="str">
        <f aca="false">IF("CONGÉ"=Horo82101[[#This Row],[Tâche]],Horo82101[[#This Row],[Durée]],"")</f>
        <v/>
      </c>
      <c r="S14" s="56" t="str">
        <f aca="false">IF("PS"=Horo82101[[#This Row],[Tâche]],Horo82101[[#This Row],[Durée]],"")</f>
        <v/>
      </c>
      <c r="T14" s="56" t="str">
        <f aca="false">IF("TD"=Horo82101[[#This Row],[Tâche]],Horo82101[[#This Row],[Durée]],"")</f>
        <v/>
      </c>
      <c r="U14" s="56" t="str">
        <f aca="false">IF("N/C"=Horo82101[[#This Row],[Tâche]],Horo82101[[#This Row],[Durée]],"")</f>
        <v/>
      </c>
      <c r="V14" s="58"/>
      <c r="W14" s="59" t="str">
        <f aca="false">IF(Horo82101[[#This Row],[O]]="o",Horo82101[[#This Row],[Durée]],".")</f>
        <v>.</v>
      </c>
      <c r="X14" s="64" t="n">
        <f aca="false">IF(Horo82101[[#This Row],[Début]]=0,"",Horo82101[[#This Row],[Fin]]-Horo82101[[#This Row],[Début]])</f>
        <v>0.0208333333333333</v>
      </c>
    </row>
    <row r="15" customFormat="false" ht="15" hidden="false" customHeight="false" outlineLevel="0" collapsed="false">
      <c r="A15" s="45" t="s">
        <v>33</v>
      </c>
      <c r="B15" s="46" t="n">
        <f aca="false">IF(Horo82101[[#This Row],[Jour]]="Lundi",$C$1+1, IF(Horo82101[[#This Row],[Jour]]="Mardi",$C$1+2, IF(Horo82101[[#This Row],[Jour]]="Mercredi",$C$1+3, IF(Horo82101[[#This Row],[Jour]]="Jeudi",$C$1+4, IF(Horo82101[[#This Row],[Jour]]="Vendredi",$C$1+5, IF(Horo82101[[#This Row],[Jour]]="Samedi",$C$1+6, IF(Horo82101[[#This Row],[Jour]]="Dimanche",$C$1, )))))))</f>
        <v>44400</v>
      </c>
      <c r="C15" s="47" t="s">
        <v>3</v>
      </c>
      <c r="D15" s="48" t="n">
        <v>0.385416666666667</v>
      </c>
      <c r="E15" s="48" t="n">
        <v>0.395833333333333</v>
      </c>
      <c r="F15" s="49" t="s">
        <v>37</v>
      </c>
      <c r="G15" s="49" t="s">
        <v>19</v>
      </c>
      <c r="H15" s="50" t="s">
        <v>123</v>
      </c>
      <c r="I15" s="61" t="s">
        <v>186</v>
      </c>
      <c r="J15" s="52" t="n">
        <f aca="false">IF(Horo82101[[#This Row],[Début]]=0,"",(Horo82101[[#This Row],[Durée (60)2]]-INT(Horo82101[[#This Row],[Durée (60)2]]))*24)</f>
        <v>0.249999999999999</v>
      </c>
      <c r="K15" s="62" t="n">
        <f aca="false">SUMIF(Horo82101[Jour],C15,Horo82101[Durée])</f>
        <v>8</v>
      </c>
      <c r="L15" s="54" t="n">
        <f aca="false">IFERROR(SUMIF(Horo82101[[#This Row],[Jour]],Horo82101[[#This Row],[Jour]],Horo82101[[#This Row],[GPF]]) / Horo82101[[#This Row],[hrs]],"")</f>
        <v>0.0312499999999999</v>
      </c>
      <c r="M15" s="56" t="n">
        <f aca="false">IF("GPF"=Horo82101[[#This Row],[Tâche]],Horo82101[[#This Row],[Durée]],"")</f>
        <v>0.249999999999999</v>
      </c>
      <c r="N15" s="56" t="str">
        <f aca="false">IF("RI"=Horo82101[[#This Row],[Tâche]],Horo82101[[#This Row],[Durée]],"")</f>
        <v/>
      </c>
      <c r="O15" s="56" t="str">
        <f aca="false">IF("GB"=Horo82101[[#This Row],[Tâche]],Horo82101[[#This Row],[Durée]],"")</f>
        <v/>
      </c>
      <c r="P15" s="56" t="str">
        <f aca="false">IF("RD"=Horo82101[[#This Row],[Tâche]],Horo82101[[#This Row],[Durée]],"")</f>
        <v/>
      </c>
      <c r="Q15" s="56" t="str">
        <f aca="false">IF("FG"=Horo82101[[#This Row],[Tâche]],Horo82101[[#This Row],[Durée]],"")</f>
        <v/>
      </c>
      <c r="R15" s="56" t="str">
        <f aca="false">IF("CONGÉ"=Horo82101[[#This Row],[Tâche]],Horo82101[[#This Row],[Durée]],"")</f>
        <v/>
      </c>
      <c r="S15" s="57" t="str">
        <f aca="false">IF("PS"=Horo82101[[#This Row],[Tâche]],Horo82101[[#This Row],[Durée]],"")</f>
        <v/>
      </c>
      <c r="T15" s="56" t="str">
        <f aca="false">IF("TD"=Horo82101[[#This Row],[Tâche]],Horo82101[[#This Row],[Durée]],"")</f>
        <v/>
      </c>
      <c r="U15" s="55" t="str">
        <f aca="false">IF("N/C"=Horo82101[[#This Row],[Tâche]],Horo82101[[#This Row],[Durée]],"")</f>
        <v/>
      </c>
      <c r="V15" s="58"/>
      <c r="W15" s="59" t="str">
        <f aca="false">IF(Horo82101[[#This Row],[O]]="o",Horo82101[[#This Row],[Durée]],".")</f>
        <v>.</v>
      </c>
      <c r="X15" s="60" t="n">
        <f aca="false">IF(Horo82101[[#This Row],[Début]]=0,"",Horo82101[[#This Row],[Fin]]-Horo82101[[#This Row],[Début]])</f>
        <v>0.0104166666666666</v>
      </c>
    </row>
    <row r="16" customFormat="false" ht="15" hidden="false" customHeight="false" outlineLevel="0" collapsed="false">
      <c r="A16" s="45" t="s">
        <v>33</v>
      </c>
      <c r="B16" s="46" t="n">
        <f aca="false">IF(Horo82101[[#This Row],[Jour]]="Lundi",$C$1+1, IF(Horo82101[[#This Row],[Jour]]="Mardi",$C$1+2, IF(Horo82101[[#This Row],[Jour]]="Mercredi",$C$1+3, IF(Horo82101[[#This Row],[Jour]]="Jeudi",$C$1+4, IF(Horo82101[[#This Row],[Jour]]="Vendredi",$C$1+5, IF(Horo82101[[#This Row],[Jour]]="Samedi",$C$1+6, IF(Horo82101[[#This Row],[Jour]]="Dimanche",$C$1, )))))))</f>
        <v>44400</v>
      </c>
      <c r="C16" s="47" t="s">
        <v>3</v>
      </c>
      <c r="D16" s="48" t="n">
        <v>0.40625</v>
      </c>
      <c r="E16" s="48" t="n">
        <v>0.5</v>
      </c>
      <c r="F16" s="49" t="s">
        <v>32</v>
      </c>
      <c r="G16" s="49" t="s">
        <v>23</v>
      </c>
      <c r="H16" s="50" t="s">
        <v>109</v>
      </c>
      <c r="I16" s="61"/>
      <c r="J16" s="52" t="n">
        <f aca="false">IF(Horo82101[[#This Row],[Début]]=0,"",(Horo82101[[#This Row],[Durée (60)2]]-INT(Horo82101[[#This Row],[Durée (60)2]]))*24)</f>
        <v>2.25</v>
      </c>
      <c r="K16" s="62" t="n">
        <f aca="false">SUMIF(Horo82101[Jour],C16,Horo82101[Durée])</f>
        <v>8</v>
      </c>
      <c r="L16" s="54" t="n">
        <f aca="false">IFERROR(SUMIF(Horo82101[[#This Row],[Jour]],Horo82101[[#This Row],[Jour]],Horo82101[[#This Row],[GPF]]) / Horo82101[[#This Row],[hrs]],"")</f>
        <v>0</v>
      </c>
      <c r="M16" s="56" t="str">
        <f aca="false">IF("GPF"=Horo82101[[#This Row],[Tâche]],Horo82101[[#This Row],[Durée]],"")</f>
        <v/>
      </c>
      <c r="N16" s="56" t="str">
        <f aca="false">IF("RI"=Horo82101[[#This Row],[Tâche]],Horo82101[[#This Row],[Durée]],"")</f>
        <v/>
      </c>
      <c r="O16" s="56" t="str">
        <f aca="false">IF("GB"=Horo82101[[#This Row],[Tâche]],Horo82101[[#This Row],[Durée]],"")</f>
        <v/>
      </c>
      <c r="P16" s="56" t="str">
        <f aca="false">IF("RD"=Horo82101[[#This Row],[Tâche]],Horo82101[[#This Row],[Durée]],"")</f>
        <v/>
      </c>
      <c r="Q16" s="56" t="n">
        <f aca="false">IF("FG"=Horo82101[[#This Row],[Tâche]],Horo82101[[#This Row],[Durée]],"")</f>
        <v>2.25</v>
      </c>
      <c r="R16" s="56" t="str">
        <f aca="false">IF("CONGÉ"=Horo82101[[#This Row],[Tâche]],Horo82101[[#This Row],[Durée]],"")</f>
        <v/>
      </c>
      <c r="S16" s="57" t="str">
        <f aca="false">IF("PS"=Horo82101[[#This Row],[Tâche]],Horo82101[[#This Row],[Durée]],"")</f>
        <v/>
      </c>
      <c r="T16" s="56" t="str">
        <f aca="false">IF("TD"=Horo82101[[#This Row],[Tâche]],Horo82101[[#This Row],[Durée]],"")</f>
        <v/>
      </c>
      <c r="U16" s="55" t="str">
        <f aca="false">IF("N/C"=Horo82101[[#This Row],[Tâche]],Horo82101[[#This Row],[Durée]],"")</f>
        <v/>
      </c>
      <c r="V16" s="58"/>
      <c r="W16" s="59" t="str">
        <f aca="false">IF(Horo82101[[#This Row],[O]]="o",Horo82101[[#This Row],[Durée]],".")</f>
        <v>.</v>
      </c>
      <c r="X16" s="60" t="n">
        <f aca="false">IF(Horo82101[[#This Row],[Début]]=0,"",Horo82101[[#This Row],[Fin]]-Horo82101[[#This Row],[Début]])</f>
        <v>0.09375</v>
      </c>
    </row>
    <row r="17" customFormat="false" ht="15" hidden="false" customHeight="false" outlineLevel="0" collapsed="false">
      <c r="A17" s="45" t="s">
        <v>33</v>
      </c>
      <c r="B17" s="46" t="n">
        <f aca="false">IF(Horo82101[[#This Row],[Jour]]="Lundi",$C$1+1, IF(Horo82101[[#This Row],[Jour]]="Mardi",$C$1+2, IF(Horo82101[[#This Row],[Jour]]="Mercredi",$C$1+3, IF(Horo82101[[#This Row],[Jour]]="Jeudi",$C$1+4, IF(Horo82101[[#This Row],[Jour]]="Vendredi",$C$1+5, IF(Horo82101[[#This Row],[Jour]]="Samedi",$C$1+6, IF(Horo82101[[#This Row],[Jour]]="Dimanche",$C$1, )))))))</f>
        <v>44400</v>
      </c>
      <c r="C17" s="47" t="s">
        <v>3</v>
      </c>
      <c r="D17" s="48" t="n">
        <v>0.583333333333333</v>
      </c>
      <c r="E17" s="48" t="n">
        <v>0.708333333333333</v>
      </c>
      <c r="F17" s="49" t="s">
        <v>32</v>
      </c>
      <c r="G17" s="49" t="s">
        <v>23</v>
      </c>
      <c r="H17" s="50" t="s">
        <v>109</v>
      </c>
      <c r="I17" s="61"/>
      <c r="J17" s="52" t="n">
        <f aca="false">IF(Horo82101[[#This Row],[Début]]=0,"",(Horo82101[[#This Row],[Durée (60)2]]-INT(Horo82101[[#This Row],[Durée (60)2]]))*24)</f>
        <v>3</v>
      </c>
      <c r="K17" s="62" t="n">
        <f aca="false">SUMIF(Horo82101[Jour],C17,Horo82101[Durée])</f>
        <v>8</v>
      </c>
      <c r="L17" s="54" t="n">
        <f aca="false">IFERROR(SUMIF(Horo82101[[#This Row],[Jour]],Horo82101[[#This Row],[Jour]],Horo82101[[#This Row],[GPF]]) / Horo82101[[#This Row],[hrs]],"")</f>
        <v>0</v>
      </c>
      <c r="M17" s="56" t="str">
        <f aca="false">IF("GPF"=Horo82101[[#This Row],[Tâche]],Horo82101[[#This Row],[Durée]],"")</f>
        <v/>
      </c>
      <c r="N17" s="56" t="str">
        <f aca="false">IF("RI"=Horo82101[[#This Row],[Tâche]],Horo82101[[#This Row],[Durée]],"")</f>
        <v/>
      </c>
      <c r="O17" s="56" t="str">
        <f aca="false">IF("GB"=Horo82101[[#This Row],[Tâche]],Horo82101[[#This Row],[Durée]],"")</f>
        <v/>
      </c>
      <c r="P17" s="56" t="str">
        <f aca="false">IF("RD"=Horo82101[[#This Row],[Tâche]],Horo82101[[#This Row],[Durée]],"")</f>
        <v/>
      </c>
      <c r="Q17" s="56" t="n">
        <f aca="false">IF("FG"=Horo82101[[#This Row],[Tâche]],Horo82101[[#This Row],[Durée]],"")</f>
        <v>3</v>
      </c>
      <c r="R17" s="56" t="str">
        <f aca="false">IF("CONGÉ"=Horo82101[[#This Row],[Tâche]],Horo82101[[#This Row],[Durée]],"")</f>
        <v/>
      </c>
      <c r="S17" s="57" t="str">
        <f aca="false">IF("PS"=Horo82101[[#This Row],[Tâche]],Horo82101[[#This Row],[Durée]],"")</f>
        <v/>
      </c>
      <c r="T17" s="56" t="str">
        <f aca="false">IF("TD"=Horo82101[[#This Row],[Tâche]],Horo82101[[#This Row],[Durée]],"")</f>
        <v/>
      </c>
      <c r="U17" s="55" t="str">
        <f aca="false">IF("N/C"=Horo82101[[#This Row],[Tâche]],Horo82101[[#This Row],[Durée]],"")</f>
        <v/>
      </c>
      <c r="V17" s="58"/>
      <c r="W17" s="59" t="str">
        <f aca="false">IF(Horo82101[[#This Row],[O]]="o",Horo82101[[#This Row],[Durée]],".")</f>
        <v>.</v>
      </c>
      <c r="X17" s="60" t="n">
        <f aca="false">IF(Horo82101[[#This Row],[Début]]=0,"",Horo82101[[#This Row],[Fin]]-Horo82101[[#This Row],[Début]])</f>
        <v>0.125</v>
      </c>
    </row>
    <row r="18" customFormat="false" ht="15" hidden="false" customHeight="false" outlineLevel="0" collapsed="false">
      <c r="A18" s="45" t="s">
        <v>33</v>
      </c>
      <c r="B18" s="46" t="n">
        <f aca="false">IF(Horo82101[[#This Row],[Jour]]="Lundi",$C$1+1, IF(Horo82101[[#This Row],[Jour]]="Mardi",$C$1+2, IF(Horo82101[[#This Row],[Jour]]="Mercredi",$C$1+3, IF(Horo82101[[#This Row],[Jour]]="Jeudi",$C$1+4, IF(Horo82101[[#This Row],[Jour]]="Vendredi",$C$1+5, IF(Horo82101[[#This Row],[Jour]]="Samedi",$C$1+6, IF(Horo82101[[#This Row],[Jour]]="Dimanche",$C$1, )))))))</f>
        <v>44400</v>
      </c>
      <c r="C18" s="47" t="s">
        <v>3</v>
      </c>
      <c r="D18" s="48" t="n">
        <v>0.708333333333333</v>
      </c>
      <c r="E18" s="48" t="n">
        <v>0.791666666666667</v>
      </c>
      <c r="F18" s="49" t="s">
        <v>32</v>
      </c>
      <c r="G18" s="49" t="s">
        <v>21</v>
      </c>
      <c r="H18" s="50" t="s">
        <v>112</v>
      </c>
      <c r="I18" s="61"/>
      <c r="J18" s="52" t="n">
        <f aca="false">IF(Horo82101[[#This Row],[Début]]=0,"",(Horo82101[[#This Row],[Durée (60)2]]-INT(Horo82101[[#This Row],[Durée (60)2]]))*24)</f>
        <v>2</v>
      </c>
      <c r="K18" s="62" t="n">
        <f aca="false">SUMIF(Horo82101[Jour],C18,Horo82101[Durée])</f>
        <v>8</v>
      </c>
      <c r="L18" s="54" t="n">
        <f aca="false">IFERROR(SUMIF(Horo82101[[#This Row],[Jour]],Horo82101[[#This Row],[Jour]],Horo82101[[#This Row],[GPF]]) / Horo82101[[#This Row],[hrs]],"")</f>
        <v>0</v>
      </c>
      <c r="M18" s="56" t="str">
        <f aca="false">IF("GPF"=Horo82101[[#This Row],[Tâche]],Horo82101[[#This Row],[Durée]],"")</f>
        <v/>
      </c>
      <c r="N18" s="56" t="str">
        <f aca="false">IF("RI"=Horo82101[[#This Row],[Tâche]],Horo82101[[#This Row],[Durée]],"")</f>
        <v/>
      </c>
      <c r="O18" s="56" t="n">
        <f aca="false">IF("GB"=Horo82101[[#This Row],[Tâche]],Horo82101[[#This Row],[Durée]],"")</f>
        <v>2</v>
      </c>
      <c r="P18" s="56" t="str">
        <f aca="false">IF("RD"=Horo82101[[#This Row],[Tâche]],Horo82101[[#This Row],[Durée]],"")</f>
        <v/>
      </c>
      <c r="Q18" s="56" t="str">
        <f aca="false">IF("FG"=Horo82101[[#This Row],[Tâche]],Horo82101[[#This Row],[Durée]],"")</f>
        <v/>
      </c>
      <c r="R18" s="56" t="str">
        <f aca="false">IF("CONGÉ"=Horo82101[[#This Row],[Tâche]],Horo82101[[#This Row],[Durée]],"")</f>
        <v/>
      </c>
      <c r="S18" s="57" t="str">
        <f aca="false">IF("PS"=Horo82101[[#This Row],[Tâche]],Horo82101[[#This Row],[Durée]],"")</f>
        <v/>
      </c>
      <c r="T18" s="56" t="str">
        <f aca="false">IF("TD"=Horo82101[[#This Row],[Tâche]],Horo82101[[#This Row],[Durée]],"")</f>
        <v/>
      </c>
      <c r="U18" s="55" t="str">
        <f aca="false">IF("N/C"=Horo82101[[#This Row],[Tâche]],Horo82101[[#This Row],[Durée]],"")</f>
        <v/>
      </c>
      <c r="V18" s="58"/>
      <c r="W18" s="59" t="str">
        <f aca="false">IF(Horo82101[[#This Row],[O]]="o",Horo82101[[#This Row],[Durée]],".")</f>
        <v>.</v>
      </c>
      <c r="X18" s="60" t="n">
        <f aca="false">IF(Horo82101[[#This Row],[Début]]=0,"",Horo82101[[#This Row],[Fin]]-Horo82101[[#This Row],[Début]])</f>
        <v>0.0833333333333333</v>
      </c>
    </row>
    <row r="19" customFormat="false" ht="15" hidden="false" customHeight="false" outlineLevel="0" collapsed="false">
      <c r="A19" s="45" t="s">
        <v>33</v>
      </c>
      <c r="B19" s="46" t="n">
        <f aca="false">IF(Horo82101[[#This Row],[Jour]]="Lundi",$C$1+1, IF(Horo82101[[#This Row],[Jour]]="Mardi",$C$1+2, IF(Horo82101[[#This Row],[Jour]]="Mercredi",$C$1+3, IF(Horo82101[[#This Row],[Jour]]="Jeudi",$C$1+4, IF(Horo82101[[#This Row],[Jour]]="Vendredi",$C$1+5, IF(Horo82101[[#This Row],[Jour]]="Samedi",$C$1+6, IF(Horo82101[[#This Row],[Jour]]="Dimanche",$C$1, )))))))</f>
        <v>44401</v>
      </c>
      <c r="C19" s="47" t="s">
        <v>4</v>
      </c>
      <c r="D19" s="48" t="n">
        <v>0.3125</v>
      </c>
      <c r="E19" s="48" t="n">
        <v>0.354166666666667</v>
      </c>
      <c r="F19" s="49" t="s">
        <v>32</v>
      </c>
      <c r="G19" s="49" t="s">
        <v>21</v>
      </c>
      <c r="H19" s="50" t="s">
        <v>33</v>
      </c>
      <c r="I19" s="51"/>
      <c r="J19" s="52" t="n">
        <f aca="false">IF(Horo82101[[#This Row],[Début]]=0,"",(Horo82101[[#This Row],[Durée (60)2]]-INT(Horo82101[[#This Row],[Durée (60)2]]))*24)</f>
        <v>1</v>
      </c>
      <c r="K19" s="62" t="n">
        <f aca="false">SUMIF(Horo82101[Jour],C19,Horo82101[Durée])</f>
        <v>8</v>
      </c>
      <c r="L19" s="54" t="n">
        <f aca="false">IFERROR(SUMIF(Horo82101[[#This Row],[Jour]],Horo82101[[#This Row],[Jour]],Horo82101[[#This Row],[GPF]]) / Horo82101[[#This Row],[hrs]],"")</f>
        <v>0</v>
      </c>
      <c r="M19" s="56" t="str">
        <f aca="false">IF("GPF"=Horo82101[[#This Row],[Tâche]],Horo82101[[#This Row],[Durée]],"")</f>
        <v/>
      </c>
      <c r="N19" s="56" t="str">
        <f aca="false">IF("RI"=Horo82101[[#This Row],[Tâche]],Horo82101[[#This Row],[Durée]],"")</f>
        <v/>
      </c>
      <c r="O19" s="56" t="n">
        <f aca="false">IF("GB"=Horo82101[[#This Row],[Tâche]],Horo82101[[#This Row],[Durée]],"")</f>
        <v>1</v>
      </c>
      <c r="P19" s="56" t="str">
        <f aca="false">IF("RD"=Horo82101[[#This Row],[Tâche]],Horo82101[[#This Row],[Durée]],"")</f>
        <v/>
      </c>
      <c r="Q19" s="56" t="str">
        <f aca="false">IF("FG"=Horo82101[[#This Row],[Tâche]],Horo82101[[#This Row],[Durée]],"")</f>
        <v/>
      </c>
      <c r="R19" s="56" t="str">
        <f aca="false">IF("CONGÉ"=Horo82101[[#This Row],[Tâche]],Horo82101[[#This Row],[Durée]],"")</f>
        <v/>
      </c>
      <c r="S19" s="57" t="str">
        <f aca="false">IF("PS"=Horo82101[[#This Row],[Tâche]],Horo82101[[#This Row],[Durée]],"")</f>
        <v/>
      </c>
      <c r="T19" s="56" t="str">
        <f aca="false">IF("TD"=Horo82101[[#This Row],[Tâche]],Horo82101[[#This Row],[Durée]],"")</f>
        <v/>
      </c>
      <c r="U19" s="55" t="str">
        <f aca="false">IF("N/C"=Horo82101[[#This Row],[Tâche]],Horo82101[[#This Row],[Durée]],"")</f>
        <v/>
      </c>
      <c r="V19" s="58"/>
      <c r="W19" s="59" t="str">
        <f aca="false">IF(Horo82101[[#This Row],[O]]="o",Horo82101[[#This Row],[Durée]],".")</f>
        <v>.</v>
      </c>
      <c r="X19" s="60" t="n">
        <f aca="false">IF(Horo82101[[#This Row],[Début]]=0,"",Horo82101[[#This Row],[Fin]]-Horo82101[[#This Row],[Début]])</f>
        <v>0.0416666666666667</v>
      </c>
    </row>
    <row r="20" customFormat="false" ht="15" hidden="false" customHeight="false" outlineLevel="0" collapsed="false">
      <c r="A20" s="45" t="s">
        <v>33</v>
      </c>
      <c r="B20" s="46" t="n">
        <f aca="false">IF(Horo82101[[#This Row],[Jour]]="Lundi",$C$1+1, IF(Horo82101[[#This Row],[Jour]]="Mardi",$C$1+2, IF(Horo82101[[#This Row],[Jour]]="Mercredi",$C$1+3, IF(Horo82101[[#This Row],[Jour]]="Jeudi",$C$1+4, IF(Horo82101[[#This Row],[Jour]]="Vendredi",$C$1+5, IF(Horo82101[[#This Row],[Jour]]="Samedi",$C$1+6, IF(Horo82101[[#This Row],[Jour]]="Dimanche",$C$1, )))))))</f>
        <v>44401</v>
      </c>
      <c r="C20" s="47" t="s">
        <v>4</v>
      </c>
      <c r="D20" s="48" t="n">
        <v>0.354166666666667</v>
      </c>
      <c r="E20" s="48" t="n">
        <v>0.375</v>
      </c>
      <c r="F20" s="49" t="s">
        <v>32</v>
      </c>
      <c r="G20" s="49" t="s">
        <v>21</v>
      </c>
      <c r="H20" s="50" t="s">
        <v>33</v>
      </c>
      <c r="I20" s="61"/>
      <c r="J20" s="52" t="n">
        <f aca="false">IF(Horo82101[[#This Row],[Début]]=0,"",(Horo82101[[#This Row],[Durée (60)2]]-INT(Horo82101[[#This Row],[Durée (60)2]]))*24)</f>
        <v>0.5</v>
      </c>
      <c r="K20" s="62" t="n">
        <f aca="false">SUMIF(Horo82101[Jour],C20,Horo82101[Durée])</f>
        <v>8</v>
      </c>
      <c r="L20" s="54" t="n">
        <f aca="false">IFERROR(SUMIF(Horo82101[[#This Row],[Jour]],Horo82101[[#This Row],[Jour]],Horo82101[[#This Row],[GPF]]) / Horo82101[[#This Row],[hrs]],"")</f>
        <v>0</v>
      </c>
      <c r="M20" s="56" t="str">
        <f aca="false">IF("GPF"=Horo82101[[#This Row],[Tâche]],Horo82101[[#This Row],[Durée]],"")</f>
        <v/>
      </c>
      <c r="N20" s="56" t="str">
        <f aca="false">IF("RI"=Horo82101[[#This Row],[Tâche]],Horo82101[[#This Row],[Durée]],"")</f>
        <v/>
      </c>
      <c r="O20" s="56" t="n">
        <f aca="false">IF("GB"=Horo82101[[#This Row],[Tâche]],Horo82101[[#This Row],[Durée]],"")</f>
        <v>0.5</v>
      </c>
      <c r="P20" s="56" t="str">
        <f aca="false">IF("RD"=Horo82101[[#This Row],[Tâche]],Horo82101[[#This Row],[Durée]],"")</f>
        <v/>
      </c>
      <c r="Q20" s="56" t="str">
        <f aca="false">IF("FG"=Horo82101[[#This Row],[Tâche]],Horo82101[[#This Row],[Durée]],"")</f>
        <v/>
      </c>
      <c r="R20" s="56" t="str">
        <f aca="false">IF("CONGÉ"=Horo82101[[#This Row],[Tâche]],Horo82101[[#This Row],[Durée]],"")</f>
        <v/>
      </c>
      <c r="S20" s="57" t="str">
        <f aca="false">IF("PS"=Horo82101[[#This Row],[Tâche]],Horo82101[[#This Row],[Durée]],"")</f>
        <v/>
      </c>
      <c r="T20" s="56" t="str">
        <f aca="false">IF("TD"=Horo82101[[#This Row],[Tâche]],Horo82101[[#This Row],[Durée]],"")</f>
        <v/>
      </c>
      <c r="U20" s="55" t="str">
        <f aca="false">IF("N/C"=Horo82101[[#This Row],[Tâche]],Horo82101[[#This Row],[Durée]],"")</f>
        <v/>
      </c>
      <c r="V20" s="58"/>
      <c r="W20" s="59" t="str">
        <f aca="false">IF(Horo82101[[#This Row],[O]]="o",Horo82101[[#This Row],[Durée]],".")</f>
        <v>.</v>
      </c>
      <c r="X20" s="60" t="n">
        <f aca="false">IF(Horo82101[[#This Row],[Début]]=0,"",Horo82101[[#This Row],[Fin]]-Horo82101[[#This Row],[Début]])</f>
        <v>0.0208333333333333</v>
      </c>
    </row>
    <row r="21" customFormat="false" ht="15" hidden="false" customHeight="false" outlineLevel="0" collapsed="false">
      <c r="A21" s="45" t="s">
        <v>33</v>
      </c>
      <c r="B21" s="46" t="n">
        <f aca="false">IF(Horo82101[[#This Row],[Jour]]="Lundi",$C$1+1, IF(Horo82101[[#This Row],[Jour]]="Mardi",$C$1+2, IF(Horo82101[[#This Row],[Jour]]="Mercredi",$C$1+3, IF(Horo82101[[#This Row],[Jour]]="Jeudi",$C$1+4, IF(Horo82101[[#This Row],[Jour]]="Vendredi",$C$1+5, IF(Horo82101[[#This Row],[Jour]]="Samedi",$C$1+6, IF(Horo82101[[#This Row],[Jour]]="Dimanche",$C$1, )))))))</f>
        <v>44401</v>
      </c>
      <c r="C21" s="47" t="s">
        <v>4</v>
      </c>
      <c r="D21" s="48" t="n">
        <v>0.375</v>
      </c>
      <c r="E21" s="48" t="n">
        <v>0.5</v>
      </c>
      <c r="F21" s="49" t="s">
        <v>32</v>
      </c>
      <c r="G21" s="49" t="s">
        <v>23</v>
      </c>
      <c r="H21" s="50" t="s">
        <v>109</v>
      </c>
      <c r="I21" s="51"/>
      <c r="J21" s="52" t="n">
        <f aca="false">IF(Horo82101[[#This Row],[Début]]=0,"",(Horo82101[[#This Row],[Durée (60)2]]-INT(Horo82101[[#This Row],[Durée (60)2]]))*24)</f>
        <v>3</v>
      </c>
      <c r="K21" s="62" t="n">
        <f aca="false">SUMIF(Horo82101[Jour],C21,Horo82101[Durée])</f>
        <v>8</v>
      </c>
      <c r="L21" s="54" t="n">
        <f aca="false">IFERROR(SUMIF(Horo82101[[#This Row],[Jour]],Horo82101[[#This Row],[Jour]],Horo82101[[#This Row],[GPF]]) / Horo82101[[#This Row],[hrs]],"")</f>
        <v>0</v>
      </c>
      <c r="M21" s="56" t="str">
        <f aca="false">IF("GPF"=Horo82101[[#This Row],[Tâche]],Horo82101[[#This Row],[Durée]],"")</f>
        <v/>
      </c>
      <c r="N21" s="56" t="str">
        <f aca="false">IF("RI"=Horo82101[[#This Row],[Tâche]],Horo82101[[#This Row],[Durée]],"")</f>
        <v/>
      </c>
      <c r="O21" s="56" t="str">
        <f aca="false">IF("GB"=Horo82101[[#This Row],[Tâche]],Horo82101[[#This Row],[Durée]],"")</f>
        <v/>
      </c>
      <c r="P21" s="56" t="str">
        <f aca="false">IF("RD"=Horo82101[[#This Row],[Tâche]],Horo82101[[#This Row],[Durée]],"")</f>
        <v/>
      </c>
      <c r="Q21" s="56" t="n">
        <f aca="false">IF("FG"=Horo82101[[#This Row],[Tâche]],Horo82101[[#This Row],[Durée]],"")</f>
        <v>3</v>
      </c>
      <c r="R21" s="56" t="str">
        <f aca="false">IF("CONGÉ"=Horo82101[[#This Row],[Tâche]],Horo82101[[#This Row],[Durée]],"")</f>
        <v/>
      </c>
      <c r="S21" s="57" t="str">
        <f aca="false">IF("PS"=Horo82101[[#This Row],[Tâche]],Horo82101[[#This Row],[Durée]],"")</f>
        <v/>
      </c>
      <c r="T21" s="56" t="str">
        <f aca="false">IF("TD"=Horo82101[[#This Row],[Tâche]],Horo82101[[#This Row],[Durée]],"")</f>
        <v/>
      </c>
      <c r="U21" s="55" t="str">
        <f aca="false">IF("N/C"=Horo82101[[#This Row],[Tâche]],Horo82101[[#This Row],[Durée]],"")</f>
        <v/>
      </c>
      <c r="V21" s="58"/>
      <c r="W21" s="59" t="str">
        <f aca="false">IF(Horo82101[[#This Row],[O]]="o",Horo82101[[#This Row],[Durée]],".")</f>
        <v>.</v>
      </c>
      <c r="X21" s="60" t="n">
        <f aca="false">IF(Horo82101[[#This Row],[Début]]=0,"",Horo82101[[#This Row],[Fin]]-Horo82101[[#This Row],[Début]])</f>
        <v>0.125</v>
      </c>
    </row>
    <row r="22" customFormat="false" ht="15" hidden="false" customHeight="false" outlineLevel="0" collapsed="false">
      <c r="A22" s="45" t="s">
        <v>33</v>
      </c>
      <c r="B22" s="46" t="n">
        <f aca="false">IF(Horo82101[[#This Row],[Jour]]="Lundi",$C$1+1, IF(Horo82101[[#This Row],[Jour]]="Mardi",$C$1+2, IF(Horo82101[[#This Row],[Jour]]="Mercredi",$C$1+3, IF(Horo82101[[#This Row],[Jour]]="Jeudi",$C$1+4, IF(Horo82101[[#This Row],[Jour]]="Vendredi",$C$1+5, IF(Horo82101[[#This Row],[Jour]]="Samedi",$C$1+6, IF(Horo82101[[#This Row],[Jour]]="Dimanche",$C$1, )))))))</f>
        <v>44401</v>
      </c>
      <c r="C22" s="47" t="s">
        <v>4</v>
      </c>
      <c r="D22" s="48" t="n">
        <v>0.541666666666667</v>
      </c>
      <c r="E22" s="48" t="n">
        <v>0.6875</v>
      </c>
      <c r="F22" s="49" t="s">
        <v>32</v>
      </c>
      <c r="G22" s="49" t="s">
        <v>27</v>
      </c>
      <c r="H22" s="50" t="s">
        <v>116</v>
      </c>
      <c r="I22" s="61"/>
      <c r="J22" s="52" t="n">
        <f aca="false">IF(Horo82101[[#This Row],[Début]]=0,"",(Horo82101[[#This Row],[Durée (60)2]]-INT(Horo82101[[#This Row],[Durée (60)2]]))*24)</f>
        <v>3.5</v>
      </c>
      <c r="K22" s="62" t="n">
        <f aca="false">SUMIF(Horo82101[Jour],C22,Horo82101[Durée])</f>
        <v>8</v>
      </c>
      <c r="L22" s="54" t="n">
        <f aca="false">IFERROR(SUMIF(Horo82101[[#This Row],[Jour]],Horo82101[[#This Row],[Jour]],Horo82101[[#This Row],[GPF]]) / Horo82101[[#This Row],[hrs]],"")</f>
        <v>0</v>
      </c>
      <c r="M22" s="56" t="str">
        <f aca="false">IF("GPF"=Horo82101[[#This Row],[Tâche]],Horo82101[[#This Row],[Durée]],"")</f>
        <v/>
      </c>
      <c r="N22" s="56" t="str">
        <f aca="false">IF("RI"=Horo82101[[#This Row],[Tâche]],Horo82101[[#This Row],[Durée]],"")</f>
        <v/>
      </c>
      <c r="O22" s="56" t="str">
        <f aca="false">IF("GB"=Horo82101[[#This Row],[Tâche]],Horo82101[[#This Row],[Durée]],"")</f>
        <v/>
      </c>
      <c r="P22" s="56" t="str">
        <f aca="false">IF("RD"=Horo82101[[#This Row],[Tâche]],Horo82101[[#This Row],[Durée]],"")</f>
        <v/>
      </c>
      <c r="Q22" s="56" t="str">
        <f aca="false">IF("FG"=Horo82101[[#This Row],[Tâche]],Horo82101[[#This Row],[Durée]],"")</f>
        <v/>
      </c>
      <c r="R22" s="56" t="str">
        <f aca="false">IF("CONGÉ"=Horo82101[[#This Row],[Tâche]],Horo82101[[#This Row],[Durée]],"")</f>
        <v/>
      </c>
      <c r="S22" s="57" t="str">
        <f aca="false">IF("PS"=Horo82101[[#This Row],[Tâche]],Horo82101[[#This Row],[Durée]],"")</f>
        <v/>
      </c>
      <c r="T22" s="56" t="str">
        <f aca="false">IF("TD"=Horo82101[[#This Row],[Tâche]],Horo82101[[#This Row],[Durée]],"")</f>
        <v/>
      </c>
      <c r="U22" s="55" t="n">
        <f aca="false">IF("N/C"=Horo82101[[#This Row],[Tâche]],Horo82101[[#This Row],[Durée]],"")</f>
        <v>3.5</v>
      </c>
      <c r="V22" s="58"/>
      <c r="W22" s="59" t="str">
        <f aca="false">IF(Horo82101[[#This Row],[O]]="o",Horo82101[[#This Row],[Durée]],".")</f>
        <v>.</v>
      </c>
      <c r="X22" s="60" t="n">
        <f aca="false">IF(Horo82101[[#This Row],[Début]]=0,"",Horo82101[[#This Row],[Fin]]-Horo82101[[#This Row],[Début]])</f>
        <v>0.145833333333333</v>
      </c>
    </row>
    <row r="23" customFormat="false" ht="15" hidden="false" customHeight="false" outlineLevel="0" collapsed="false">
      <c r="A23" s="45" t="s">
        <v>33</v>
      </c>
      <c r="B23" s="46" t="n">
        <f aca="false">IF(Horo82101[[#This Row],[Jour]]="Lundi",$C$1+1, IF(Horo82101[[#This Row],[Jour]]="Mardi",$C$1+2, IF(Horo82101[[#This Row],[Jour]]="Mercredi",$C$1+3, IF(Horo82101[[#This Row],[Jour]]="Jeudi",$C$1+4, IF(Horo82101[[#This Row],[Jour]]="Vendredi",$C$1+5, IF(Horo82101[[#This Row],[Jour]]="Samedi",$C$1+6, IF(Horo82101[[#This Row],[Jour]]="Dimanche",$C$1, )))))))</f>
        <v>0</v>
      </c>
      <c r="C23" s="47"/>
      <c r="D23" s="48"/>
      <c r="E23" s="48"/>
      <c r="F23" s="49" t="s">
        <v>32</v>
      </c>
      <c r="G23" s="49" t="s">
        <v>27</v>
      </c>
      <c r="H23" s="50" t="s">
        <v>33</v>
      </c>
      <c r="I23" s="61"/>
      <c r="J23" s="52" t="str">
        <f aca="false">IF(Horo82101[[#This Row],[Début]]=0,"",(Horo82101[[#This Row],[Durée (60)2]]-INT(Horo82101[[#This Row],[Durée (60)2]]))*24)</f>
        <v/>
      </c>
      <c r="K23" s="62" t="n">
        <f aca="false">SUMIF(Horo82101[Jour],C23,Horo82101[Durée])</f>
        <v>0</v>
      </c>
      <c r="L23" s="54" t="str">
        <f aca="false">IFERROR(SUMIF(Horo82101[[#This Row],[Jour]],Horo82101[[#This Row],[Jour]],Horo82101[[#This Row],[GPF]]) / Horo82101[[#This Row],[hrs]],"")</f>
        <v/>
      </c>
      <c r="M23" s="56" t="str">
        <f aca="false">IF("GPF"=Horo82101[[#This Row],[Tâche]],Horo82101[[#This Row],[Durée]],"")</f>
        <v/>
      </c>
      <c r="N23" s="56" t="str">
        <f aca="false">IF("RI"=Horo82101[[#This Row],[Tâche]],Horo82101[[#This Row],[Durée]],"")</f>
        <v/>
      </c>
      <c r="O23" s="56" t="str">
        <f aca="false">IF("GB"=Horo82101[[#This Row],[Tâche]],Horo82101[[#This Row],[Durée]],"")</f>
        <v/>
      </c>
      <c r="P23" s="56" t="str">
        <f aca="false">IF("RD"=Horo82101[[#This Row],[Tâche]],Horo82101[[#This Row],[Durée]],"")</f>
        <v/>
      </c>
      <c r="Q23" s="56" t="str">
        <f aca="false">IF("FG"=Horo82101[[#This Row],[Tâche]],Horo82101[[#This Row],[Durée]],"")</f>
        <v/>
      </c>
      <c r="R23" s="56" t="str">
        <f aca="false">IF("CONGÉ"=Horo82101[[#This Row],[Tâche]],Horo82101[[#This Row],[Durée]],"")</f>
        <v/>
      </c>
      <c r="S23" s="56" t="str">
        <f aca="false">IF("PS"=Horo82101[[#This Row],[Tâche]],Horo82101[[#This Row],[Durée]],"")</f>
        <v/>
      </c>
      <c r="T23" s="56" t="str">
        <f aca="false">IF("TD"=Horo82101[[#This Row],[Tâche]],Horo82101[[#This Row],[Durée]],"")</f>
        <v/>
      </c>
      <c r="U23" s="56" t="str">
        <f aca="false">IF("N/C"=Horo82101[[#This Row],[Tâche]],Horo82101[[#This Row],[Durée]],"")</f>
        <v/>
      </c>
      <c r="V23" s="58"/>
      <c r="W23" s="59" t="str">
        <f aca="false">IF(Horo82101[[#This Row],[O]]="o",Horo82101[[#This Row],[Durée]],".")</f>
        <v>.</v>
      </c>
      <c r="X23" s="64" t="str">
        <f aca="false">IF(Horo82101[[#This Row],[Début]]=0,"",Horo82101[[#This Row],[Fin]]-Horo82101[[#This Row],[Début]])</f>
        <v/>
      </c>
    </row>
    <row r="29" s="3" customFormat="true" ht="15" hidden="false" customHeight="false" outlineLevel="0" collapsed="false">
      <c r="L29" s="65"/>
    </row>
    <row r="30" customFormat="false" ht="15" hidden="false" customHeight="false" outlineLevel="0" collapsed="false">
      <c r="A30" s="66" t="s">
        <v>18</v>
      </c>
      <c r="B30" s="66" t="s">
        <v>57</v>
      </c>
      <c r="C30" s="66" t="s">
        <v>58</v>
      </c>
    </row>
    <row r="31" customFormat="false" ht="15" hidden="false" customHeight="false" outlineLevel="0" collapsed="false">
      <c r="A31" s="67" t="n">
        <f aca="false">IF((SUMIF(Horo82101[Client],B31,Horo82101[Durée]) / Total)=0,"",(SUMIF(Horo82101[Client],B31,Horo82101[Durée]) / Total))</f>
        <v>0.980519480519481</v>
      </c>
      <c r="B31" s="68" t="s">
        <v>32</v>
      </c>
      <c r="C31" s="69" t="n">
        <f aca="false">IF(SUMIF(Horo82101[Client],B31,Horo82101[Durée])=0,"",SUMIF(Horo82101[Client],B31,Horo82101[Durée]))</f>
        <v>37.75</v>
      </c>
    </row>
    <row r="32" customFormat="false" ht="15" hidden="false" customHeight="false" outlineLevel="0" collapsed="false">
      <c r="A32" s="67" t="str">
        <f aca="false">IF((SUMIF(Horo82101[Client],B32,Horo82101[Durée]) / Total)=0,"",(SUMIF(Horo82101[Client],B32,Horo82101[Durée]) / Total))</f>
        <v/>
      </c>
      <c r="B32" s="68" t="s">
        <v>59</v>
      </c>
      <c r="C32" s="69" t="str">
        <f aca="false">IF(SUMIF(Horo82101[Client],B32,Horo82101[Durée])=0,"",SUMIF(Horo82101[Client],B32,Horo82101[Durée]))</f>
        <v/>
      </c>
      <c r="I32" s="61"/>
    </row>
    <row r="33" customFormat="false" ht="15" hidden="true" customHeight="false" outlineLevel="0" collapsed="false">
      <c r="A33" s="67" t="str">
        <f aca="false">IF((SUMIF(Horo82101[Client],B33,Horo82101[Durée]) / Total)=0,"",(SUMIF(Horo82101[Client],B33,Horo82101[Durée]) / Total))</f>
        <v/>
      </c>
      <c r="B33" s="68" t="s">
        <v>60</v>
      </c>
      <c r="C33" s="70" t="str">
        <f aca="false">IF(SUMIF(Horo82101[Client],B33,Horo82101[Durée])=0,"",SUMIF(Horo82101[Client],B33,Horo82101[Durée]))</f>
        <v/>
      </c>
    </row>
    <row r="34" customFormat="false" ht="15" hidden="false" customHeight="false" outlineLevel="0" collapsed="false">
      <c r="A34" s="67" t="n">
        <f aca="false">IF((SUMIF(Horo82101[Client],B34,Horo82101[Durée]) / Total)=0,"",(SUMIF(Horo82101[Client],B34,Horo82101[Durée]) / Total))</f>
        <v>0.0519480519480519</v>
      </c>
      <c r="B34" s="68" t="s">
        <v>61</v>
      </c>
      <c r="C34" s="70" t="n">
        <f aca="false">IF(SUMIF(Horo82101[Client],B34,Horo82101[Durée])=0,"",SUMIF(Horo82101[Client],B34,Horo82101[Durée]))</f>
        <v>2</v>
      </c>
      <c r="I34" s="61"/>
    </row>
    <row r="35" customFormat="false" ht="15" hidden="true" customHeight="false" outlineLevel="0" collapsed="false">
      <c r="A35" s="67" t="str">
        <f aca="false">IF((SUMIF(Horo82101[Client],B35,Horo82101[Durée]) / Total)=0,"",(SUMIF(Horo82101[Client],B35,Horo82101[Durée]) / Total))</f>
        <v/>
      </c>
      <c r="B35" s="68" t="s">
        <v>62</v>
      </c>
      <c r="C35" s="70" t="str">
        <f aca="false">IF(SUMIF(Horo82101[Client],B35,Horo82101[Durée])=0,"",SUMIF(Horo82101[Client],B35,Horo82101[Durée]))</f>
        <v/>
      </c>
    </row>
    <row r="36" customFormat="false" ht="15" hidden="true" customHeight="false" outlineLevel="0" collapsed="false">
      <c r="A36" s="67" t="str">
        <f aca="false">IF((SUMIF(Horo82101[Client],B36,Horo82101[Durée]) / Total)=0,"",(SUMIF(Horo82101[Client],B36,Horo82101[Durée]) / Total))</f>
        <v/>
      </c>
      <c r="B36" s="68" t="s">
        <v>63</v>
      </c>
      <c r="C36" s="69" t="str">
        <f aca="false">IF(SUMIF(Horo82101[Client],B36,Horo82101[Durée])=0,"",SUMIF(Horo82101[Client],B36,Horo82101[Durée]))</f>
        <v/>
      </c>
    </row>
    <row r="37" customFormat="false" ht="15" hidden="true" customHeight="false" outlineLevel="0" collapsed="false">
      <c r="A37" s="67" t="str">
        <f aca="false">IF((SUMIF(Horo82101[Client],B37,Horo82101[Durée]) / Total)=0,"",(SUMIF(Horo82101[Client],B37,Horo82101[Durée]) / Total))</f>
        <v/>
      </c>
      <c r="B37" s="68" t="s">
        <v>64</v>
      </c>
      <c r="C37" s="70" t="str">
        <f aca="false">IF(SUMIF(Horo82101[Client],B37,Horo82101[Durée])=0,"",SUMIF(Horo82101[Client],B37,Horo82101[Durée]))</f>
        <v/>
      </c>
    </row>
    <row r="38" customFormat="false" ht="15" hidden="true" customHeight="false" outlineLevel="0" collapsed="false">
      <c r="A38" s="67" t="str">
        <f aca="false">IF((SUMIF(Horo82101[Client],B38,Horo82101[Durée]) / Total)=0,"",(SUMIF(Horo82101[Client],B38,Horo82101[Durée]) / Total))</f>
        <v/>
      </c>
      <c r="B38" s="68" t="s">
        <v>65</v>
      </c>
      <c r="C38" s="70" t="str">
        <f aca="false">IF(SUMIF(Horo82101[Client],B38,Horo82101[Durée])=0,"",SUMIF(Horo82101[Client],B38,Horo82101[Durée]))</f>
        <v/>
      </c>
      <c r="F38" s="71"/>
    </row>
    <row r="39" customFormat="false" ht="15" hidden="true" customHeight="false" outlineLevel="0" collapsed="false">
      <c r="A39" s="67" t="str">
        <f aca="false">IF((SUMIF(Horo82101[Client],B39,Horo82101[Durée]) / Total)=0,"",(SUMIF(Horo82101[Client],B39,Horo82101[Durée]) / Total))</f>
        <v/>
      </c>
      <c r="B39" s="68" t="s">
        <v>66</v>
      </c>
      <c r="C39" s="69" t="str">
        <f aca="false">IF(SUMIF(Horo82101[Client],B39,Horo82101[Durée])=0,"",SUMIF(Horo82101[Client],B39,Horo82101[Durée]))</f>
        <v/>
      </c>
    </row>
    <row r="40" customFormat="false" ht="15" hidden="true" customHeight="false" outlineLevel="0" collapsed="false">
      <c r="A40" s="67" t="str">
        <f aca="false">IF((SUMIF(Horo82101[Client],B40,Horo82101[Durée]) / Total)=0,"",(SUMIF(Horo82101[Client],B40,Horo82101[Durée]) / Total))</f>
        <v/>
      </c>
      <c r="B40" s="68" t="s">
        <v>47</v>
      </c>
      <c r="C40" s="70" t="str">
        <f aca="false">IF(SUMIF(Horo82101[Client],B40,Horo82101[Durée])=0,"",SUMIF(Horo82101[Client],B40,Horo82101[Durée]))</f>
        <v/>
      </c>
    </row>
    <row r="41" customFormat="false" ht="15" hidden="true" customHeight="false" outlineLevel="0" collapsed="false">
      <c r="A41" s="67" t="str">
        <f aca="false">IF((SUMIF(Horo82101[Client],B41,Horo82101[Durée]) / Total)=0,"",(SUMIF(Horo82101[Client],B41,Horo82101[Durée]) / Total))</f>
        <v/>
      </c>
      <c r="B41" s="68" t="s">
        <v>67</v>
      </c>
      <c r="C41" s="70" t="str">
        <f aca="false">IF(SUMIF(Horo82101[Client],B41,Horo82101[Durée])=0,"",SUMIF(Horo82101[Client],B41,Horo82101[Durée]))</f>
        <v/>
      </c>
    </row>
    <row r="42" customFormat="false" ht="15" hidden="true" customHeight="false" outlineLevel="0" collapsed="false">
      <c r="A42" s="67" t="str">
        <f aca="false">IF((SUMIF(Horo82101[Client],B42,Horo82101[Durée]) / Total)=0,"",(SUMIF(Horo82101[Client],B42,Horo82101[Durée]) / Total))</f>
        <v/>
      </c>
      <c r="B42" s="68" t="s">
        <v>68</v>
      </c>
      <c r="C42" s="70" t="str">
        <f aca="false">IF(SUMIF(Horo82101[Client],B42,Horo82101[Durée])=0,"",SUMIF(Horo82101[Client],B42,Horo82101[Durée]))</f>
        <v/>
      </c>
    </row>
    <row r="43" customFormat="false" ht="15" hidden="true" customHeight="false" outlineLevel="0" collapsed="false">
      <c r="A43" s="67" t="str">
        <f aca="false">IF((SUMIF(Horo82101[Client],B43,Horo82101[Durée]) / Total)=0,"",(SUMIF(Horo82101[Client],B43,Horo82101[Durée]) / Total))</f>
        <v/>
      </c>
      <c r="B43" s="68" t="s">
        <v>41</v>
      </c>
      <c r="C43" s="70" t="str">
        <f aca="false">IF(SUMIF(Horo82101[Client],B43,Horo82101[Durée])=0,"",SUMIF(Horo82101[Client],B43,Horo82101[Durée]))</f>
        <v/>
      </c>
    </row>
    <row r="44" customFormat="false" ht="15" hidden="false" customHeight="false" outlineLevel="0" collapsed="false">
      <c r="A44" s="67" t="n">
        <f aca="false">IF((SUMIF(Horo82101[Client],B44,Horo82101[Durée]) / Total)=0,"",(SUMIF(Horo82101[Client],B44,Horo82101[Durée]) / Total))</f>
        <v>0.00649350649350647</v>
      </c>
      <c r="B44" s="68" t="s">
        <v>37</v>
      </c>
      <c r="C44" s="69" t="n">
        <f aca="false">IF(SUMIF(Horo82101[Client],B44,Horo82101[Durée])=0,"",SUMIF(Horo82101[Client],B44,Horo82101[Durée]))</f>
        <v>0.249999999999999</v>
      </c>
    </row>
    <row r="45" customFormat="false" ht="15" hidden="true" customHeight="false" outlineLevel="0" collapsed="false">
      <c r="A45" s="67" t="str">
        <f aca="false">IF((SUMIF(Horo82101[Client],B45,Horo82101[Durée]) / Total)=0,"",(SUMIF(Horo82101[Client],B45,Horo82101[Durée]) / Total))</f>
        <v/>
      </c>
      <c r="B45" s="68" t="s">
        <v>69</v>
      </c>
      <c r="C45" s="69" t="str">
        <f aca="false">IF(SUMIF(Horo82101[Client],B45,Horo82101[Durée])=0,"",SUMIF(Horo82101[Client],B45,Horo82101[Durée]))</f>
        <v/>
      </c>
    </row>
    <row r="46" customFormat="false" ht="15" hidden="true" customHeight="false" outlineLevel="0" collapsed="false">
      <c r="A46" s="67" t="str">
        <f aca="false">IF((SUMIF(Horo82101[Client],B46,Horo82101[Durée]) / Total)=0,"",(SUMIF(Horo82101[Client],B46,Horo82101[Durée]) / Total))</f>
        <v/>
      </c>
      <c r="B46" s="68" t="s">
        <v>70</v>
      </c>
      <c r="C46" s="70" t="str">
        <f aca="false">IF(SUMIF(Horo82101[Client],B46,Horo82101[Durée])=0,"",SUMIF(Horo82101[Client],B46,Horo82101[Durée]))</f>
        <v/>
      </c>
    </row>
    <row r="47" customFormat="false" ht="15" hidden="true" customHeight="false" outlineLevel="1" collapsed="false">
      <c r="A47" s="67" t="str">
        <f aca="false">IF((SUMIF(Horo82101[Client],B47,Horo82101[Durée]) / Total)=0,"",(SUMIF(Horo82101[Client],B47,Horo82101[Durée]) / Total))</f>
        <v/>
      </c>
      <c r="B47" s="68" t="s">
        <v>71</v>
      </c>
      <c r="C47" s="70" t="str">
        <f aca="false">IF(SUMIF(Horo82101[Client],B47,Horo82101[Durée])=0,"",SUMIF(Horo82101[Client],B47,Horo82101[Durée]))</f>
        <v/>
      </c>
    </row>
    <row r="48" customFormat="false" ht="15" hidden="true" customHeight="false" outlineLevel="1" collapsed="false">
      <c r="A48" s="67" t="str">
        <f aca="false">IF((SUMIF(Horo82101[Client],B48,Horo82101[Durée]) / Total)=0,"",(SUMIF(Horo82101[Client],B48,Horo82101[Durée]) / Total))</f>
        <v/>
      </c>
      <c r="B48" s="68" t="s">
        <v>72</v>
      </c>
      <c r="C48" s="70" t="str">
        <f aca="false">IF(SUMIF(Horo82101[Client],B48,Horo82101[Durée])=0,"",SUMIF(Horo82101[Client],B48,Horo82101[Durée]))</f>
        <v/>
      </c>
    </row>
    <row r="49" customFormat="false" ht="15" hidden="true" customHeight="false" outlineLevel="1" collapsed="false">
      <c r="A49" s="67" t="str">
        <f aca="false">IF((SUMIF(Horo82101[Client],B49,Horo82101[Durée]) / Total)=0,"",(SUMIF(Horo82101[Client],B49,Horo82101[Durée]) / Total))</f>
        <v/>
      </c>
      <c r="B49" s="68" t="s">
        <v>73</v>
      </c>
      <c r="C49" s="70" t="str">
        <f aca="false">IF(SUMIF(Horo82101[Client],B49,Horo82101[Durée])=0,"",SUMIF(Horo82101[Client],B49,Horo82101[Durée]))</f>
        <v/>
      </c>
    </row>
    <row r="50" customFormat="false" ht="15" hidden="true" customHeight="false" outlineLevel="1" collapsed="false">
      <c r="A50" s="67" t="str">
        <f aca="false">IF((SUMIF(Horo82101[Client],B50,Horo82101[Durée]) / Total)=0,"",(SUMIF(Horo82101[Client],B50,Horo82101[Durée]) / Total))</f>
        <v/>
      </c>
      <c r="B50" s="68" t="s">
        <v>74</v>
      </c>
      <c r="C50" s="70" t="str">
        <f aca="false">IF(SUMIF(Horo82101[Client],B50,Horo82101[Durée])=0,"",SUMIF(Horo82101[Client],B50,Horo82101[Durée]))</f>
        <v/>
      </c>
    </row>
    <row r="51" customFormat="false" ht="15" hidden="false" customHeight="false" outlineLevel="1" collapsed="false">
      <c r="A51" s="67" t="str">
        <f aca="false">IF((SUMIF(Horo82101[Client],B51,Horo82101[Durée]) / Total)=0,"",(SUMIF(Horo82101[Client],B51,Horo82101[Durée]) / Total))</f>
        <v/>
      </c>
      <c r="B51" s="68" t="s">
        <v>75</v>
      </c>
      <c r="C51" s="69" t="str">
        <f aca="false">IF(SUMIF(Horo82101[Client],B51,Horo82101[Durée])=0,"",SUMIF(Horo82101[Client],B51,Horo82101[Durée]))</f>
        <v/>
      </c>
    </row>
    <row r="52" customFormat="false" ht="15" hidden="true" customHeight="false" outlineLevel="1" collapsed="false">
      <c r="A52" s="67" t="str">
        <f aca="false">IF((SUMIF(Horo82101[Client],B52,Horo82101[Durée]) / Total)=0,"",(SUMIF(Horo82101[Client],B52,Horo82101[Durée]) / Total))</f>
        <v/>
      </c>
      <c r="B52" s="68" t="s">
        <v>76</v>
      </c>
      <c r="C52" s="70" t="str">
        <f aca="false">IF(SUMIF(Horo82101[Client],B52,Horo82101[Durée])=0,"",SUMIF(Horo82101[Client],B52,Horo82101[Durée]))</f>
        <v/>
      </c>
    </row>
    <row r="53" customFormat="false" ht="15" hidden="true" customHeight="false" outlineLevel="1" collapsed="false">
      <c r="A53" s="67" t="str">
        <f aca="false">IF((SUMIF(Horo82101[Client],B53,Horo82101[Durée]) / Total)=0,"",(SUMIF(Horo82101[Client],B53,Horo82101[Durée]) / Total))</f>
        <v/>
      </c>
      <c r="B53" s="68" t="s">
        <v>77</v>
      </c>
      <c r="C53" s="70" t="str">
        <f aca="false">IF(SUMIF(Horo82101[Client],B53,Horo82101[Durée])=0,"",SUMIF(Horo82101[Client],B53,Horo82101[Durée]))</f>
        <v/>
      </c>
    </row>
    <row r="54" customFormat="false" ht="15" hidden="true" customHeight="false" outlineLevel="1" collapsed="false">
      <c r="A54" s="67" t="str">
        <f aca="false">IF((SUMIF(Horo82101[Client],B54,Horo82101[Durée]) / Total)=0,"",(SUMIF(Horo82101[Client],B54,Horo82101[Durée]) / Total))</f>
        <v/>
      </c>
      <c r="B54" s="68" t="s">
        <v>45</v>
      </c>
      <c r="C54" s="70" t="str">
        <f aca="false">IF(SUMIF(Horo82101[Client],B54,Horo82101[Durée])=0,"",SUMIF(Horo82101[Client],B54,Horo82101[Durée]))</f>
        <v/>
      </c>
    </row>
    <row r="55" customFormat="false" ht="15" hidden="true" customHeight="false" outlineLevel="1" collapsed="false">
      <c r="A55" s="67" t="str">
        <f aca="false">IF((SUMIF(Horo82101[Client],B55,Horo82101[Durée]) / Total)=0,"",(SUMIF(Horo82101[Client],B55,Horo82101[Durée]) / Total))</f>
        <v/>
      </c>
      <c r="B55" s="68" t="s">
        <v>78</v>
      </c>
      <c r="C55" s="70" t="str">
        <f aca="false">IF(SUMIF(Horo82101[Client],B55,Horo82101[Durée])=0,"",SUMIF(Horo82101[Client],B55,Horo82101[Durée]))</f>
        <v/>
      </c>
    </row>
    <row r="56" customFormat="false" ht="15" hidden="true" customHeight="false" outlineLevel="1" collapsed="false">
      <c r="A56" s="67" t="str">
        <f aca="false">IF((SUMIF(Horo82101[Client],B56,Horo82101[Durée]) / Total)=0,"",(SUMIF(Horo82101[Client],B56,Horo82101[Durée]) / Total))</f>
        <v/>
      </c>
      <c r="B56" s="68" t="s">
        <v>79</v>
      </c>
      <c r="C56" s="70" t="str">
        <f aca="false">IF(SUMIF(Horo82101[Client],B56,Horo82101[Durée])=0,"",SUMIF(Horo82101[Client],B56,Horo82101[Durée]))</f>
        <v/>
      </c>
    </row>
    <row r="57" customFormat="false" ht="15" hidden="true" customHeight="false" outlineLevel="1" collapsed="false">
      <c r="A57" s="67" t="str">
        <f aca="false">IF((SUMIF(Horo82101[Client],B57,Horo82101[Durée]) / Total)=0,"",(SUMIF(Horo82101[Client],B57,Horo82101[Durée]) / Total))</f>
        <v/>
      </c>
      <c r="B57" s="68" t="s">
        <v>80</v>
      </c>
      <c r="C57" s="70" t="str">
        <f aca="false">IF(SUMIF(Horo82101[Client],B57,Horo82101[Durée])=0,"",SUMIF(Horo82101[Client],B57,Horo82101[Durée]))</f>
        <v/>
      </c>
    </row>
    <row r="58" customFormat="false" ht="15" hidden="true" customHeight="false" outlineLevel="1" collapsed="false">
      <c r="A58" s="67" t="str">
        <f aca="false">IF((SUMIF(Horo82101[Client],B58,Horo82101[Durée]) / Total)=0,"",(SUMIF(Horo82101[Client],B58,Horo82101[Durée]) / Total))</f>
        <v/>
      </c>
      <c r="B58" s="72" t="s">
        <v>81</v>
      </c>
      <c r="C58" s="69" t="str">
        <f aca="false">IF(SUMIF(Horo82101[Client],B58,Horo82101[Durée])=0,"",SUMIF(Horo82101[Client],B58,Horo82101[Durée]))</f>
        <v/>
      </c>
    </row>
    <row r="59" customFormat="false" ht="15" hidden="true" customHeight="false" outlineLevel="1" collapsed="false"/>
    <row r="60" customFormat="false" ht="15" hidden="true" customHeight="false" outlineLevel="1" collapsed="false"/>
    <row r="61" customFormat="false" ht="15" hidden="true" customHeight="false" outlineLevel="1" collapsed="false"/>
    <row r="62" customFormat="false" ht="15" hidden="true" customHeight="false" outlineLevel="1" collapsed="false"/>
    <row r="63" customFormat="false" ht="15" hidden="true" customHeight="false" outlineLevel="1" collapsed="false"/>
    <row r="64" customFormat="false" ht="15" hidden="true" customHeight="false" outlineLevel="1" collapsed="false"/>
    <row r="65" customFormat="false" ht="15" hidden="true" customHeight="false" outlineLevel="1" collapsed="false"/>
    <row r="66" customFormat="false" ht="15" hidden="true" customHeight="false" outlineLevel="1" collapsed="false"/>
    <row r="67" customFormat="false" ht="15" hidden="true" customHeight="false" outlineLevel="1" collapsed="false"/>
  </sheetData>
  <conditionalFormatting sqref="I23">
    <cfRule type="expression" priority="2" aboveAverage="0" equalAverage="0" bottom="0" percent="0" rank="0" text="" dxfId="341">
      <formula>A23="O"</formula>
    </cfRule>
  </conditionalFormatting>
  <conditionalFormatting sqref="I32">
    <cfRule type="expression" priority="3" aboveAverage="0" equalAverage="0" bottom="0" percent="0" rank="0" text="" dxfId="342">
      <formula>A32="O"</formula>
    </cfRule>
  </conditionalFormatting>
  <conditionalFormatting sqref="I34">
    <cfRule type="expression" priority="4" aboveAverage="0" equalAverage="0" bottom="0" percent="0" rank="0" text="" dxfId="343">
      <formula>A34="O"</formula>
    </cfRule>
  </conditionalFormatting>
  <conditionalFormatting sqref="H4:H23">
    <cfRule type="expression" priority="5" aboveAverage="0" equalAverage="0" bottom="0" percent="0" rank="0" text="" dxfId="344">
      <formula>A4="O"</formula>
    </cfRule>
  </conditionalFormatting>
  <conditionalFormatting sqref="K4:K23">
    <cfRule type="expression" priority="6" aboveAverage="0" equalAverage="0" bottom="0" percent="0" rank="0" text="" dxfId="345">
      <formula>A4="O"</formula>
    </cfRule>
    <cfRule type="expression" priority="7" aboveAverage="0" equalAverage="0" bottom="0" percent="0" rank="0" text="" dxfId="346">
      <formula>A4="O"</formula>
    </cfRule>
  </conditionalFormatting>
  <conditionalFormatting sqref="C4:C23">
    <cfRule type="expression" priority="8" aboveAverage="0" equalAverage="0" bottom="0" percent="0" rank="0" text="" dxfId="347">
      <formula>A4="O"</formula>
    </cfRule>
    <cfRule type="containsText" priority="9" operator="containsText" aboveAverage="0" equalAverage="0" bottom="0" percent="0" rank="0" text="Dimanche" dxfId="348">
      <formula>NOT(ISERROR(SEARCH("Dimanche",C4)))</formula>
    </cfRule>
    <cfRule type="containsText" priority="10" operator="containsText" aboveAverage="0" equalAverage="0" bottom="0" percent="0" rank="0" text="Samedi" dxfId="349">
      <formula>NOT(ISERROR(SEARCH("Samedi",C4)))</formula>
    </cfRule>
    <cfRule type="containsText" priority="11" operator="containsText" aboveAverage="0" equalAverage="0" bottom="0" percent="0" rank="0" text="Vendredi" dxfId="350">
      <formula>NOT(ISERROR(SEARCH("Vendredi",C4)))</formula>
    </cfRule>
    <cfRule type="containsText" priority="12" operator="containsText" aboveAverage="0" equalAverage="0" bottom="0" percent="0" rank="0" text="Jeudi" dxfId="351">
      <formula>NOT(ISERROR(SEARCH("Jeudi",C4)))</formula>
    </cfRule>
    <cfRule type="containsText" priority="13" operator="containsText" aboveAverage="0" equalAverage="0" bottom="0" percent="0" rank="0" text="Mercredi" dxfId="352">
      <formula>NOT(ISERROR(SEARCH("Mercredi",C4)))</formula>
    </cfRule>
    <cfRule type="containsText" priority="14" operator="containsText" aboveAverage="0" equalAverage="0" bottom="0" percent="0" rank="0" text="Mardi" dxfId="353">
      <formula>NOT(ISERROR(SEARCH("Mardi",C4)))</formula>
    </cfRule>
    <cfRule type="containsText" priority="15" operator="containsText" aboveAverage="0" equalAverage="0" bottom="0" percent="0" rank="0" text="Lundi" dxfId="354">
      <formula>NOT(ISERROR(SEARCH("Lundi",C4)))</formula>
    </cfRule>
  </conditionalFormatting>
  <conditionalFormatting sqref="G4:G23">
    <cfRule type="expression" priority="16" aboveAverage="0" equalAverage="0" bottom="0" percent="0" rank="0" text="" dxfId="355">
      <formula>A4="O"</formula>
    </cfRule>
  </conditionalFormatting>
  <conditionalFormatting sqref="J4:J23">
    <cfRule type="expression" priority="17" aboveAverage="0" equalAverage="0" bottom="0" percent="0" rank="0" text="" dxfId="356">
      <formula>A4="O"</formula>
    </cfRule>
  </conditionalFormatting>
  <conditionalFormatting sqref="F4:F23">
    <cfRule type="expression" priority="18" aboveAverage="0" equalAverage="0" bottom="0" percent="0" rank="0" text="" dxfId="357">
      <formula>A4="O"</formula>
    </cfRule>
  </conditionalFormatting>
  <conditionalFormatting sqref="B4:B23">
    <cfRule type="cellIs" priority="19" operator="equal" aboveAverage="0" equalAverage="0" bottom="0" percent="0" rank="0" text="" dxfId="358">
      <formula>0</formula>
    </cfRule>
    <cfRule type="expression" priority="20" aboveAverage="0" equalAverage="0" bottom="0" percent="0" rank="0" text="" dxfId="359">
      <formula>A4="O"</formula>
    </cfRule>
    <cfRule type="colorScale" priority="21">
      <colorScale>
        <cfvo type="percentile" val="10"/>
        <cfvo type="percentile" val="50"/>
        <cfvo type="percentile" val="90"/>
        <color rgb="FFFFC000"/>
        <color rgb="FFC55A11"/>
        <color rgb="FF2E75B6"/>
      </colorScale>
    </cfRule>
  </conditionalFormatting>
  <conditionalFormatting sqref="D4:D23">
    <cfRule type="expression" priority="22" aboveAverage="0" equalAverage="0" bottom="0" percent="0" rank="0" text="" dxfId="360">
      <formula>A4="O"</formula>
    </cfRule>
    <cfRule type="colorScale" priority="23">
      <colorScale>
        <cfvo type="min" val="0"/>
        <cfvo type="percentile" val="50"/>
        <cfvo type="max" val="0"/>
        <color rgb="FFFFC000"/>
        <color rgb="FFC55A11"/>
        <color rgb="FF2E75B6"/>
      </colorScale>
    </cfRule>
  </conditionalFormatting>
  <conditionalFormatting sqref="E4:E23">
    <cfRule type="expression" priority="24" aboveAverage="0" equalAverage="0" bottom="0" percent="0" rank="0" text="" dxfId="361">
      <formula>A4="O"</formula>
    </cfRule>
    <cfRule type="colorScale" priority="25">
      <colorScale>
        <cfvo type="min" val="0"/>
        <cfvo type="percentile" val="50"/>
        <cfvo type="max" val="0"/>
        <color rgb="FFFFC000"/>
        <color rgb="FFC55A11"/>
        <color rgb="FF2E75B6"/>
      </colorScale>
    </cfRule>
  </conditionalFormatting>
  <dataValidations count="5">
    <dataValidation allowBlank="true" errorStyle="stop" operator="between" showDropDown="false" showErrorMessage="true" showInputMessage="true" sqref="C4:C23" type="list">
      <formula1>Data!$C$2:$C$8</formula1>
      <formula2>0</formula2>
    </dataValidation>
    <dataValidation allowBlank="false" errorStyle="stop" operator="between" showDropDown="false" showErrorMessage="true" showInputMessage="true" sqref="F4:F23" type="list">
      <formula1>Data!$E$2:$E$30</formula1>
      <formula2>0</formula2>
    </dataValidation>
    <dataValidation allowBlank="true" errorStyle="information" errorTitle="OK ?" operator="between" showDropDown="false" showErrorMessage="true" showInputMessage="true" sqref="G4:G23" type="list">
      <formula1>Data!$D$2:$D$16</formula1>
      <formula2>0</formula2>
    </dataValidation>
    <dataValidation allowBlank="false" errorStyle="stop" operator="between" showDropDown="false" showErrorMessage="true" showInputMessage="true" sqref="H4:H23" type="list">
      <formula1>Data!$F$2:$F$50</formula1>
      <formula2>0</formula2>
    </dataValidation>
    <dataValidation allowBlank="true" errorStyle="stop" operator="between" showDropDown="false" showErrorMessage="true" showInputMessage="true" sqref="C1" type="list">
      <formula1>Data!$A$2:$A$106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  <tableParts>
    <tablePart r:id="rId2"/>
    <tablePart r:id="rId3"/>
  </tableParts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E8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25" activePane="bottomLeft" state="frozen"/>
      <selection pane="topLeft" activeCell="A1" activeCellId="0" sqref="A1"/>
      <selection pane="bottomLeft" activeCell="I38" activeCellId="0" sqref="I38"/>
    </sheetView>
  </sheetViews>
  <sheetFormatPr defaultColWidth="9.1484375" defaultRowHeight="15" zeroHeight="false" outlineLevelRow="1" outlineLevelCol="0"/>
  <cols>
    <col collapsed="false" customWidth="true" hidden="false" outlineLevel="0" max="1" min="1" style="1" width="5.57"/>
    <col collapsed="false" customWidth="true" hidden="false" outlineLevel="0" max="2" min="2" style="1" width="19.42"/>
    <col collapsed="false" customWidth="true" hidden="false" outlineLevel="0" max="3" min="3" style="1" width="18.29"/>
    <col collapsed="false" customWidth="true" hidden="false" outlineLevel="0" max="4" min="4" style="1" width="13.42"/>
    <col collapsed="false" customWidth="true" hidden="false" outlineLevel="0" max="5" min="5" style="1" width="10.57"/>
    <col collapsed="false" customWidth="true" hidden="false" outlineLevel="0" max="6" min="6" style="1" width="19"/>
    <col collapsed="false" customWidth="true" hidden="false" outlineLevel="0" max="7" min="7" style="1" width="11.43"/>
    <col collapsed="false" customWidth="true" hidden="false" outlineLevel="0" max="8" min="8" style="1" width="14.57"/>
    <col collapsed="false" customWidth="true" hidden="false" outlineLevel="0" max="9" min="9" style="1" width="19.29"/>
    <col collapsed="false" customWidth="true" hidden="false" outlineLevel="0" max="10" min="10" style="1" width="9.71"/>
    <col collapsed="false" customWidth="true" hidden="false" outlineLevel="0" max="11" min="11" style="1" width="7.29"/>
    <col collapsed="false" customWidth="true" hidden="false" outlineLevel="0" max="12" min="12" style="2" width="9.86"/>
    <col collapsed="false" customWidth="true" hidden="false" outlineLevel="0" max="13" min="13" style="1" width="6.14"/>
    <col collapsed="false" customWidth="true" hidden="false" outlineLevel="0" max="14" min="14" style="1" width="5"/>
    <col collapsed="false" customWidth="true" hidden="false" outlineLevel="0" max="15" min="15" style="1" width="5.57"/>
    <col collapsed="false" customWidth="true" hidden="false" outlineLevel="0" max="17" min="16" style="1" width="6.14"/>
    <col collapsed="false" customWidth="true" hidden="false" outlineLevel="0" max="18" min="18" style="1" width="8.29"/>
    <col collapsed="false" customWidth="true" hidden="false" outlineLevel="0" max="20" min="19" style="1" width="5"/>
    <col collapsed="false" customWidth="true" hidden="false" outlineLevel="0" max="21" min="21" style="1" width="6.14"/>
    <col collapsed="false" customWidth="true" hidden="true" outlineLevel="0" max="23" min="22" style="1" width="6.14"/>
    <col collapsed="false" customWidth="true" hidden="true" outlineLevel="0" max="24" min="24" style="1" width="12.71"/>
    <col collapsed="false" customWidth="false" hidden="true" outlineLevel="0" max="29" min="25" style="1" width="9.14"/>
    <col collapsed="false" customWidth="true" hidden="true" outlineLevel="0" max="30" min="30" style="1" width="10.57"/>
    <col collapsed="false" customWidth="true" hidden="true" outlineLevel="0" max="31" min="31" style="1" width="11.14"/>
    <col collapsed="false" customWidth="true" hidden="false" outlineLevel="0" max="32" min="32" style="1" width="9.57"/>
    <col collapsed="false" customWidth="false" hidden="false" outlineLevel="0" max="16384" min="33" style="1" width="9.14"/>
  </cols>
  <sheetData>
    <row r="1" customFormat="false" ht="17.35" hidden="false" customHeight="false" outlineLevel="0" collapsed="false">
      <c r="A1" s="3"/>
      <c r="B1" s="4" t="str">
        <f aca="false">"Semaine du :"</f>
        <v>Semaine du :</v>
      </c>
      <c r="C1" s="5" t="n">
        <v>44389</v>
      </c>
      <c r="D1" s="6" t="str">
        <f aca="false">"( "&amp;AVERAGE($E$2:$I$2)&amp;" )"</f>
        <v>( 8 )</v>
      </c>
      <c r="E1" s="7" t="str">
        <f aca="false">IFERROR("Lun.: " &amp; TEXT($Y$2,"00%"),"Lun.: 0%")</f>
        <v>Lun.: 19%</v>
      </c>
      <c r="F1" s="8" t="str">
        <f aca="false">IFERROR("Mar.: " &amp; TEXT($Z$2,"00%"),"Mar.: 0%")</f>
        <v>Mar.: 38%</v>
      </c>
      <c r="G1" s="8" t="str">
        <f aca="false">IFERROR("Mer.: " &amp; TEXT($AA$2,"00%"),"Mer.: 0%")</f>
        <v>Mer.: 48%</v>
      </c>
      <c r="H1" s="8" t="str">
        <f aca="false">IFERROR("Jeu.: " &amp; TEXT($AB$2,"00%"),"Jeu.: 0%")</f>
        <v>Jeu.: 71%</v>
      </c>
      <c r="I1" s="8" t="str">
        <f aca="false">IFERROR("Ven.: " &amp; TEXT($AC$2,"00%"),"Ven.: 0%")</f>
        <v>Ven.: 33%</v>
      </c>
      <c r="J1" s="9" t="str">
        <f aca="false">IFERROR("S.: " &amp; TEXT($AD$2,"00%"),"S.: 0%")</f>
        <v>S.: 00%</v>
      </c>
      <c r="K1" s="10" t="str">
        <f aca="false">IFERROR("D.: " &amp; TEXT($AE$2,"00%"), "D.: 0%")</f>
        <v>D.: 00%</v>
      </c>
      <c r="L1" s="11"/>
      <c r="M1" s="12" t="n">
        <f aca="false">M2/Total</f>
        <v>0.448051948051948</v>
      </c>
      <c r="N1" s="12" t="n">
        <f aca="false">N2/$C$2</f>
        <v>0.0125</v>
      </c>
      <c r="O1" s="12" t="n">
        <f aca="false">O2/$C$2</f>
        <v>0.14375</v>
      </c>
      <c r="P1" s="12" t="n">
        <f aca="false">P2/$C$2</f>
        <v>0.175</v>
      </c>
      <c r="Q1" s="12" t="n">
        <f aca="false">Q2/$C$2</f>
        <v>0.2375</v>
      </c>
      <c r="R1" s="13" t="n">
        <f aca="false">R2/$C$2</f>
        <v>0</v>
      </c>
      <c r="S1" s="13" t="n">
        <f aca="false">S2/$C$2</f>
        <v>0</v>
      </c>
      <c r="T1" s="13" t="n">
        <f aca="false">T2/$C$2</f>
        <v>0</v>
      </c>
      <c r="U1" s="14" t="n">
        <f aca="false">U2/$C$2</f>
        <v>0</v>
      </c>
      <c r="V1" s="15"/>
      <c r="W1" s="16"/>
      <c r="X1" s="17" t="e">
        <f aca="false">SUM(#REF!)</f>
        <v>#REF!</v>
      </c>
      <c r="Y1" s="18" t="s">
        <v>0</v>
      </c>
      <c r="Z1" s="18" t="s">
        <v>1</v>
      </c>
      <c r="AA1" s="18" t="s">
        <v>2</v>
      </c>
      <c r="AB1" s="18" t="s">
        <v>3</v>
      </c>
      <c r="AC1" s="18" t="s">
        <v>4</v>
      </c>
      <c r="AD1" s="18" t="s">
        <v>5</v>
      </c>
      <c r="AE1" s="18" t="s">
        <v>6</v>
      </c>
    </row>
    <row r="2" customFormat="false" ht="22.05" hidden="false" customHeight="false" outlineLevel="0" collapsed="false">
      <c r="A2" s="3"/>
      <c r="B2" s="19" t="n">
        <f aca="false">X2</f>
        <v>0.43125</v>
      </c>
      <c r="C2" s="20" t="n">
        <f aca="false">SUM(Horo8299[Durée])</f>
        <v>40</v>
      </c>
      <c r="D2" s="21" t="str">
        <f aca="false">ROUND(SUM(Horo8299[T]),2) &amp; " / " &amp; ROUND($C$2-SUM(Horo8299[T]),2)</f>
        <v>0 / 40</v>
      </c>
      <c r="E2" s="22" t="n">
        <f aca="false">SUMIF(Horo8299[Jour],"Lundi",Horo8299[Durée])</f>
        <v>8</v>
      </c>
      <c r="F2" s="23" t="n">
        <f aca="false">SUMIF(Horo8299[Jour],"Mardi",Horo8299[Durée])</f>
        <v>8</v>
      </c>
      <c r="G2" s="23" t="n">
        <f aca="false">SUMIF(Horo8299[Jour],"Mercredi",Horo8299[Durée])</f>
        <v>6.25</v>
      </c>
      <c r="H2" s="23" t="n">
        <f aca="false">SUMIF(Horo8299[Jour],"Jeudi",Horo8299[Durée])</f>
        <v>10.25</v>
      </c>
      <c r="I2" s="23" t="n">
        <f aca="false">SUMIF(Horo8299[Jour],"Vendredi",Horo8299[Durée])</f>
        <v>7.5</v>
      </c>
      <c r="J2" s="23" t="n">
        <f aca="false">SUMIF(Horo8299[Jour],"Samedi",Horo8299[Durée])</f>
        <v>0</v>
      </c>
      <c r="K2" s="23" t="n">
        <f aca="false">SUMIF(Horo8299[Jour],"Dimanche",Horo8299[Durée])</f>
        <v>0</v>
      </c>
      <c r="L2" s="24"/>
      <c r="M2" s="25" t="n">
        <f aca="false">SUM(Horo8299[GPF])</f>
        <v>17.25</v>
      </c>
      <c r="N2" s="25" t="n">
        <f aca="false">SUM(Horo8299[RI])</f>
        <v>0.500000000000001</v>
      </c>
      <c r="O2" s="25" t="n">
        <f aca="false">SUM(Horo8299[GB])</f>
        <v>5.75</v>
      </c>
      <c r="P2" s="25" t="n">
        <f aca="false">SUM(Horo8299[RD])</f>
        <v>7</v>
      </c>
      <c r="Q2" s="25" t="n">
        <f aca="false">SUM(Horo8299[FG])</f>
        <v>9.5</v>
      </c>
      <c r="R2" s="26" t="n">
        <f aca="false">SUM(Horo8299[CONGÉ])</f>
        <v>0</v>
      </c>
      <c r="S2" s="26" t="n">
        <f aca="false">SUM(Horo8299[PS])</f>
        <v>0</v>
      </c>
      <c r="T2" s="26" t="n">
        <f aca="false">SUM(Horo8299[TD])</f>
        <v>0</v>
      </c>
      <c r="U2" s="27" t="n">
        <f aca="false">SUM(Horo8299[N/C])</f>
        <v>0</v>
      </c>
      <c r="V2" s="17" t="n">
        <f aca="false">(C2-(SUM(N2:T2)))</f>
        <v>17.25</v>
      </c>
      <c r="W2" s="17" t="n">
        <f aca="false">C2-(R2+S2+T2)</f>
        <v>40</v>
      </c>
      <c r="X2" s="28" t="n">
        <f aca="false">V2/W2</f>
        <v>0.43125</v>
      </c>
      <c r="Y2" s="29" t="n">
        <f aca="false">SUMIF(Horo8299[Jour],"Lundi",Horo8299[GPF]) / $E$2</f>
        <v>0.1875</v>
      </c>
      <c r="Z2" s="29" t="n">
        <f aca="false">SUMIF(Horo8299[Jour],"Mardi",Horo8299[GPF]) / $F$2</f>
        <v>0.375</v>
      </c>
      <c r="AA2" s="29" t="n">
        <f aca="false">SUMIF(Horo8299[Jour],"Mercredi",Horo8299[GPF]) / $G$2</f>
        <v>0.48</v>
      </c>
      <c r="AB2" s="29" t="n">
        <f aca="false">SUMIF(Horo8299[Jour],"Jeudi",Horo8299[GPF]) / $H$2</f>
        <v>0.707317073170732</v>
      </c>
      <c r="AC2" s="29" t="n">
        <f aca="false">SUMIF(Horo8299[Jour],"Vendredi",Horo8299[GPF]) / $I$2</f>
        <v>0.333333333333333</v>
      </c>
      <c r="AD2" s="29" t="n">
        <f aca="false">IFERROR(SUMIF(Horo8299[Jour],"Samedi",Horo8299[GPF]) / $J$2,0)</f>
        <v>0</v>
      </c>
      <c r="AE2" s="29" t="n">
        <f aca="false">IFERROR(SUMIF(Horo8299[Jour],"Dimanche",Horo8299[GPF]) / $K$2,0)</f>
        <v>0</v>
      </c>
    </row>
    <row r="3" customFormat="false" ht="15" hidden="false" customHeight="false" outlineLevel="0" collapsed="false">
      <c r="A3" s="30" t="s">
        <v>7</v>
      </c>
      <c r="B3" s="31" t="s">
        <v>8</v>
      </c>
      <c r="C3" s="31" t="s">
        <v>9</v>
      </c>
      <c r="D3" s="32" t="s">
        <v>10</v>
      </c>
      <c r="E3" s="33" t="s">
        <v>11</v>
      </c>
      <c r="F3" s="34" t="s">
        <v>12</v>
      </c>
      <c r="G3" s="34" t="s">
        <v>13</v>
      </c>
      <c r="H3" s="34" t="s">
        <v>14</v>
      </c>
      <c r="I3" s="35" t="s">
        <v>15</v>
      </c>
      <c r="J3" s="36" t="s">
        <v>16</v>
      </c>
      <c r="K3" s="36" t="s">
        <v>17</v>
      </c>
      <c r="L3" s="37" t="s">
        <v>18</v>
      </c>
      <c r="M3" s="38" t="s">
        <v>19</v>
      </c>
      <c r="N3" s="39" t="s">
        <v>20</v>
      </c>
      <c r="O3" s="39" t="s">
        <v>21</v>
      </c>
      <c r="P3" s="39" t="s">
        <v>22</v>
      </c>
      <c r="Q3" s="39" t="s">
        <v>23</v>
      </c>
      <c r="R3" s="40" t="s">
        <v>24</v>
      </c>
      <c r="S3" s="40" t="s">
        <v>25</v>
      </c>
      <c r="T3" s="41" t="s">
        <v>26</v>
      </c>
      <c r="U3" s="41" t="s">
        <v>27</v>
      </c>
      <c r="V3" s="42" t="s">
        <v>28</v>
      </c>
      <c r="W3" s="43" t="s">
        <v>29</v>
      </c>
      <c r="X3" s="44" t="s">
        <v>30</v>
      </c>
    </row>
    <row r="4" customFormat="false" ht="15" hidden="false" customHeight="false" outlineLevel="0" collapsed="false">
      <c r="A4" s="45" t="s">
        <v>33</v>
      </c>
      <c r="B4" s="46" t="n">
        <f aca="false">IF(Horo8299[[#This Row],[Jour]]="Lundi",$C$1+1, IF(Horo8299[[#This Row],[Jour]]="Mardi",$C$1+2, IF(Horo8299[[#This Row],[Jour]]="Mercredi",$C$1+3, IF(Horo8299[[#This Row],[Jour]]="Jeudi",$C$1+4, IF(Horo8299[[#This Row],[Jour]]="Vendredi",$C$1+5, IF(Horo8299[[#This Row],[Jour]]="Samedi",$C$1+6, IF(Horo8299[[#This Row],[Jour]]="Dimanche",$C$1, )))))))</f>
        <v>44390</v>
      </c>
      <c r="C4" s="47" t="s">
        <v>0</v>
      </c>
      <c r="D4" s="48" t="n">
        <v>0.3125</v>
      </c>
      <c r="E4" s="48" t="n">
        <v>0.364583333333333</v>
      </c>
      <c r="F4" s="49" t="s">
        <v>32</v>
      </c>
      <c r="G4" s="49" t="s">
        <v>21</v>
      </c>
      <c r="H4" s="50" t="s">
        <v>33</v>
      </c>
      <c r="I4" s="51" t="s">
        <v>153</v>
      </c>
      <c r="J4" s="52" t="n">
        <f aca="false">IF(Horo8299[[#This Row],[Début]]=0,"",(Horo8299[[#This Row],[Durée (60)2]]-INT(Horo8299[[#This Row],[Durée (60)2]]))*24)</f>
        <v>1.25</v>
      </c>
      <c r="K4" s="53" t="n">
        <f aca="false">SUMIF(Horo8299[Jour],C4,Horo8299[Durée])</f>
        <v>8</v>
      </c>
      <c r="L4" s="54" t="n">
        <f aca="false">IFERROR(SUMIF(Horo8299[[#This Row],[Jour]],Horo8299[[#This Row],[Jour]],Horo8299[[#This Row],[GPF]]) / Horo8299[[#This Row],[hrs]],"")</f>
        <v>0</v>
      </c>
      <c r="M4" s="55" t="str">
        <f aca="false">IF("GPF"=Horo8299[[#This Row],[Tâche]],Horo8299[[#This Row],[Durée]],"")</f>
        <v/>
      </c>
      <c r="N4" s="56" t="str">
        <f aca="false">IF("RI"=Horo8299[[#This Row],[Tâche]],Horo8299[[#This Row],[Durée]],"")</f>
        <v/>
      </c>
      <c r="O4" s="56" t="n">
        <f aca="false">IF("GB"=Horo8299[[#This Row],[Tâche]],Horo8299[[#This Row],[Durée]],"")</f>
        <v>1.25</v>
      </c>
      <c r="P4" s="56" t="str">
        <f aca="false">IF("RD"=Horo8299[[#This Row],[Tâche]],Horo8299[[#This Row],[Durée]],"")</f>
        <v/>
      </c>
      <c r="Q4" s="56" t="str">
        <f aca="false">IF("FG"=Horo8299[[#This Row],[Tâche]],Horo8299[[#This Row],[Durée]],"")</f>
        <v/>
      </c>
      <c r="R4" s="56" t="str">
        <f aca="false">IF("CONGÉ"=Horo8299[[#This Row],[Tâche]],Horo8299[[#This Row],[Durée]],"")</f>
        <v/>
      </c>
      <c r="S4" s="57" t="str">
        <f aca="false">IF("PS"=Horo8299[[#This Row],[Tâche]],Horo8299[[#This Row],[Durée]],"")</f>
        <v/>
      </c>
      <c r="T4" s="56" t="str">
        <f aca="false">IF("TD"=Horo8299[[#This Row],[Tâche]],Horo8299[[#This Row],[Durée]],"")</f>
        <v/>
      </c>
      <c r="U4" s="55" t="str">
        <f aca="false">IF("N/C"=Horo8299[[#This Row],[Tâche]],Horo8299[[#This Row],[Durée]],"")</f>
        <v/>
      </c>
      <c r="V4" s="58"/>
      <c r="W4" s="59" t="str">
        <f aca="false">IF(Horo8299[[#This Row],[O]]="o",Horo8299[[#This Row],[Durée]],".")</f>
        <v>.</v>
      </c>
      <c r="X4" s="60" t="n">
        <f aca="false">IF(Horo8299[[#This Row],[Début]]=0,"",Horo8299[[#This Row],[Fin]]-Horo8299[[#This Row],[Début]])</f>
        <v>0.0520833333333333</v>
      </c>
    </row>
    <row r="5" customFormat="false" ht="15" hidden="false" customHeight="false" outlineLevel="0" collapsed="false">
      <c r="A5" s="45" t="s">
        <v>33</v>
      </c>
      <c r="B5" s="46" t="n">
        <f aca="false">IF(Horo8299[[#This Row],[Jour]]="Lundi",$C$1+1, IF(Horo8299[[#This Row],[Jour]]="Mardi",$C$1+2, IF(Horo8299[[#This Row],[Jour]]="Mercredi",$C$1+3, IF(Horo8299[[#This Row],[Jour]]="Jeudi",$C$1+4, IF(Horo8299[[#This Row],[Jour]]="Vendredi",$C$1+5, IF(Horo8299[[#This Row],[Jour]]="Samedi",$C$1+6, IF(Horo8299[[#This Row],[Jour]]="Dimanche",$C$1, )))))))</f>
        <v>44390</v>
      </c>
      <c r="C5" s="47" t="s">
        <v>0</v>
      </c>
      <c r="D5" s="48" t="n">
        <v>0.364583333333333</v>
      </c>
      <c r="E5" s="48" t="n">
        <v>0.385416666666667</v>
      </c>
      <c r="F5" s="49" t="s">
        <v>32</v>
      </c>
      <c r="G5" s="49" t="s">
        <v>20</v>
      </c>
      <c r="H5" s="50" t="s">
        <v>121</v>
      </c>
      <c r="I5" s="51"/>
      <c r="J5" s="52" t="n">
        <f aca="false">IF(Horo8299[[#This Row],[Début]]=0,"",(Horo8299[[#This Row],[Durée (60)2]]-INT(Horo8299[[#This Row],[Durée (60)2]]))*24)</f>
        <v>0.500000000000001</v>
      </c>
      <c r="K5" s="62" t="n">
        <f aca="false">SUMIF(Horo8299[Jour],C5,Horo8299[Durée])</f>
        <v>8</v>
      </c>
      <c r="L5" s="54" t="n">
        <f aca="false">IFERROR(SUMIF(Horo8299[[#This Row],[Jour]],Horo8299[[#This Row],[Jour]],Horo8299[[#This Row],[GPF]]) / Horo8299[[#This Row],[hrs]],"")</f>
        <v>0</v>
      </c>
      <c r="M5" s="56" t="str">
        <f aca="false">IF("GPF"=Horo8299[[#This Row],[Tâche]],Horo8299[[#This Row],[Durée]],"")</f>
        <v/>
      </c>
      <c r="N5" s="56" t="n">
        <f aca="false">IF("RI"=Horo8299[[#This Row],[Tâche]],Horo8299[[#This Row],[Durée]],"")</f>
        <v>0.500000000000001</v>
      </c>
      <c r="O5" s="56" t="str">
        <f aca="false">IF("GB"=Horo8299[[#This Row],[Tâche]],Horo8299[[#This Row],[Durée]],"")</f>
        <v/>
      </c>
      <c r="P5" s="56" t="str">
        <f aca="false">IF("RD"=Horo8299[[#This Row],[Tâche]],Horo8299[[#This Row],[Durée]],"")</f>
        <v/>
      </c>
      <c r="Q5" s="56" t="str">
        <f aca="false">IF("FG"=Horo8299[[#This Row],[Tâche]],Horo8299[[#This Row],[Durée]],"")</f>
        <v/>
      </c>
      <c r="R5" s="56" t="str">
        <f aca="false">IF("CONGÉ"=Horo8299[[#This Row],[Tâche]],Horo8299[[#This Row],[Durée]],"")</f>
        <v/>
      </c>
      <c r="S5" s="57" t="str">
        <f aca="false">IF("PS"=Horo8299[[#This Row],[Tâche]],Horo8299[[#This Row],[Durée]],"")</f>
        <v/>
      </c>
      <c r="T5" s="56" t="str">
        <f aca="false">IF("TD"=Horo8299[[#This Row],[Tâche]],Horo8299[[#This Row],[Durée]],"")</f>
        <v/>
      </c>
      <c r="U5" s="55" t="str">
        <f aca="false">IF("N/C"=Horo8299[[#This Row],[Tâche]],Horo8299[[#This Row],[Durée]],"")</f>
        <v/>
      </c>
      <c r="V5" s="58"/>
      <c r="W5" s="59" t="str">
        <f aca="false">IF(Horo8299[[#This Row],[O]]="o",Horo8299[[#This Row],[Durée]],".")</f>
        <v>.</v>
      </c>
      <c r="X5" s="60" t="n">
        <f aca="false">IF(Horo8299[[#This Row],[Début]]=0,"",Horo8299[[#This Row],[Fin]]-Horo8299[[#This Row],[Début]])</f>
        <v>0.0208333333333334</v>
      </c>
    </row>
    <row r="6" customFormat="false" ht="15" hidden="false" customHeight="false" outlineLevel="0" collapsed="false">
      <c r="A6" s="45" t="s">
        <v>33</v>
      </c>
      <c r="B6" s="46" t="n">
        <f aca="false">IF(Horo8299[[#This Row],[Jour]]="Lundi",$C$1+1, IF(Horo8299[[#This Row],[Jour]]="Mardi",$C$1+2, IF(Horo8299[[#This Row],[Jour]]="Mercredi",$C$1+3, IF(Horo8299[[#This Row],[Jour]]="Jeudi",$C$1+4, IF(Horo8299[[#This Row],[Jour]]="Vendredi",$C$1+5, IF(Horo8299[[#This Row],[Jour]]="Samedi",$C$1+6, IF(Horo8299[[#This Row],[Jour]]="Dimanche",$C$1, )))))))</f>
        <v>44390</v>
      </c>
      <c r="C6" s="47" t="s">
        <v>0</v>
      </c>
      <c r="D6" s="48" t="n">
        <v>0.385416666666667</v>
      </c>
      <c r="E6" s="48" t="n">
        <v>0.395833333333333</v>
      </c>
      <c r="F6" s="49" t="s">
        <v>32</v>
      </c>
      <c r="G6" s="49" t="s">
        <v>21</v>
      </c>
      <c r="H6" s="50" t="s">
        <v>112</v>
      </c>
      <c r="I6" s="51"/>
      <c r="J6" s="52" t="n">
        <f aca="false">IF(Horo8299[[#This Row],[Début]]=0,"",(Horo8299[[#This Row],[Durée (60)2]]-INT(Horo8299[[#This Row],[Durée (60)2]]))*24)</f>
        <v>0.249999999999999</v>
      </c>
      <c r="K6" s="62" t="n">
        <f aca="false">SUMIF(Horo8299[Jour],C6,Horo8299[Durée])</f>
        <v>8</v>
      </c>
      <c r="L6" s="54" t="n">
        <f aca="false">IFERROR(SUMIF(Horo8299[[#This Row],[Jour]],Horo8299[[#This Row],[Jour]],Horo8299[[#This Row],[GPF]]) / Horo8299[[#This Row],[hrs]],"")</f>
        <v>0</v>
      </c>
      <c r="M6" s="56" t="str">
        <f aca="false">IF("GPF"=Horo8299[[#This Row],[Tâche]],Horo8299[[#This Row],[Durée]],"")</f>
        <v/>
      </c>
      <c r="N6" s="56" t="str">
        <f aca="false">IF("RI"=Horo8299[[#This Row],[Tâche]],Horo8299[[#This Row],[Durée]],"")</f>
        <v/>
      </c>
      <c r="O6" s="56" t="n">
        <f aca="false">IF("GB"=Horo8299[[#This Row],[Tâche]],Horo8299[[#This Row],[Durée]],"")</f>
        <v>0.249999999999999</v>
      </c>
      <c r="P6" s="56" t="str">
        <f aca="false">IF("RD"=Horo8299[[#This Row],[Tâche]],Horo8299[[#This Row],[Durée]],"")</f>
        <v/>
      </c>
      <c r="Q6" s="56" t="str">
        <f aca="false">IF("FG"=Horo8299[[#This Row],[Tâche]],Horo8299[[#This Row],[Durée]],"")</f>
        <v/>
      </c>
      <c r="R6" s="56" t="str">
        <f aca="false">IF("CONGÉ"=Horo8299[[#This Row],[Tâche]],Horo8299[[#This Row],[Durée]],"")</f>
        <v/>
      </c>
      <c r="S6" s="57" t="str">
        <f aca="false">IF("PS"=Horo8299[[#This Row],[Tâche]],Horo8299[[#This Row],[Durée]],"")</f>
        <v/>
      </c>
      <c r="T6" s="56" t="str">
        <f aca="false">IF("TD"=Horo8299[[#This Row],[Tâche]],Horo8299[[#This Row],[Durée]],"")</f>
        <v/>
      </c>
      <c r="U6" s="55" t="str">
        <f aca="false">IF("N/C"=Horo8299[[#This Row],[Tâche]],Horo8299[[#This Row],[Durée]],"")</f>
        <v/>
      </c>
      <c r="V6" s="58"/>
      <c r="W6" s="59" t="str">
        <f aca="false">IF(Horo8299[[#This Row],[O]]="o",Horo8299[[#This Row],[Durée]],".")</f>
        <v>.</v>
      </c>
      <c r="X6" s="60" t="n">
        <f aca="false">IF(Horo8299[[#This Row],[Début]]=0,"",Horo8299[[#This Row],[Fin]]-Horo8299[[#This Row],[Début]])</f>
        <v>0.0104166666666666</v>
      </c>
    </row>
    <row r="7" customFormat="false" ht="15" hidden="false" customHeight="false" outlineLevel="0" collapsed="false">
      <c r="A7" s="45" t="s">
        <v>33</v>
      </c>
      <c r="B7" s="46" t="n">
        <f aca="false">IF(Horo8299[[#This Row],[Jour]]="Lundi",$C$1+1, IF(Horo8299[[#This Row],[Jour]]="Mardi",$C$1+2, IF(Horo8299[[#This Row],[Jour]]="Mercredi",$C$1+3, IF(Horo8299[[#This Row],[Jour]]="Jeudi",$C$1+4, IF(Horo8299[[#This Row],[Jour]]="Vendredi",$C$1+5, IF(Horo8299[[#This Row],[Jour]]="Samedi",$C$1+6, IF(Horo8299[[#This Row],[Jour]]="Dimanche",$C$1, )))))))</f>
        <v>44390</v>
      </c>
      <c r="C7" s="47" t="s">
        <v>0</v>
      </c>
      <c r="D7" s="48" t="n">
        <v>0.416666666666667</v>
      </c>
      <c r="E7" s="48" t="n">
        <v>0.458333333333333</v>
      </c>
      <c r="F7" s="49" t="s">
        <v>59</v>
      </c>
      <c r="G7" s="49" t="s">
        <v>19</v>
      </c>
      <c r="H7" s="50" t="s">
        <v>106</v>
      </c>
      <c r="I7" s="61" t="s">
        <v>187</v>
      </c>
      <c r="J7" s="52" t="n">
        <f aca="false">IF(Horo8299[[#This Row],[Début]]=0,"",(Horo8299[[#This Row],[Durée (60)2]]-INT(Horo8299[[#This Row],[Durée (60)2]]))*24)</f>
        <v>0.999999999999999</v>
      </c>
      <c r="K7" s="62" t="n">
        <f aca="false">SUMIF(Horo8299[Jour],C7,Horo8299[Durée])</f>
        <v>8</v>
      </c>
      <c r="L7" s="54" t="n">
        <f aca="false">IFERROR(SUMIF(Horo8299[[#This Row],[Jour]],Horo8299[[#This Row],[Jour]],Horo8299[[#This Row],[GPF]]) / Horo8299[[#This Row],[hrs]],"")</f>
        <v>0.125</v>
      </c>
      <c r="M7" s="56" t="n">
        <f aca="false">IF("GPF"=Horo8299[[#This Row],[Tâche]],Horo8299[[#This Row],[Durée]],"")</f>
        <v>0.999999999999999</v>
      </c>
      <c r="N7" s="56" t="str">
        <f aca="false">IF("RI"=Horo8299[[#This Row],[Tâche]],Horo8299[[#This Row],[Durée]],"")</f>
        <v/>
      </c>
      <c r="O7" s="56" t="str">
        <f aca="false">IF("GB"=Horo8299[[#This Row],[Tâche]],Horo8299[[#This Row],[Durée]],"")</f>
        <v/>
      </c>
      <c r="P7" s="56" t="str">
        <f aca="false">IF("RD"=Horo8299[[#This Row],[Tâche]],Horo8299[[#This Row],[Durée]],"")</f>
        <v/>
      </c>
      <c r="Q7" s="56" t="str">
        <f aca="false">IF("FG"=Horo8299[[#This Row],[Tâche]],Horo8299[[#This Row],[Durée]],"")</f>
        <v/>
      </c>
      <c r="R7" s="56" t="str">
        <f aca="false">IF("CONGÉ"=Horo8299[[#This Row],[Tâche]],Horo8299[[#This Row],[Durée]],"")</f>
        <v/>
      </c>
      <c r="S7" s="57" t="str">
        <f aca="false">IF("PS"=Horo8299[[#This Row],[Tâche]],Horo8299[[#This Row],[Durée]],"")</f>
        <v/>
      </c>
      <c r="T7" s="56" t="str">
        <f aca="false">IF("TD"=Horo8299[[#This Row],[Tâche]],Horo8299[[#This Row],[Durée]],"")</f>
        <v/>
      </c>
      <c r="U7" s="55" t="str">
        <f aca="false">IF("N/C"=Horo8299[[#This Row],[Tâche]],Horo8299[[#This Row],[Durée]],"")</f>
        <v/>
      </c>
      <c r="V7" s="58"/>
      <c r="W7" s="59" t="str">
        <f aca="false">IF(Horo8299[[#This Row],[O]]="o",Horo8299[[#This Row],[Durée]],".")</f>
        <v>.</v>
      </c>
      <c r="X7" s="60" t="n">
        <f aca="false">IF(Horo8299[[#This Row],[Début]]=0,"",Horo8299[[#This Row],[Fin]]-Horo8299[[#This Row],[Début]])</f>
        <v>0.0416666666666666</v>
      </c>
    </row>
    <row r="8" customFormat="false" ht="15" hidden="false" customHeight="false" outlineLevel="0" collapsed="false">
      <c r="A8" s="45" t="s">
        <v>33</v>
      </c>
      <c r="B8" s="46" t="n">
        <f aca="false">IF(Horo8299[[#This Row],[Jour]]="Lundi",$C$1+1, IF(Horo8299[[#This Row],[Jour]]="Mardi",$C$1+2, IF(Horo8299[[#This Row],[Jour]]="Mercredi",$C$1+3, IF(Horo8299[[#This Row],[Jour]]="Jeudi",$C$1+4, IF(Horo8299[[#This Row],[Jour]]="Vendredi",$C$1+5, IF(Horo8299[[#This Row],[Jour]]="Samedi",$C$1+6, IF(Horo8299[[#This Row],[Jour]]="Dimanche",$C$1, )))))))</f>
        <v>44390</v>
      </c>
      <c r="C8" s="47" t="s">
        <v>0</v>
      </c>
      <c r="D8" s="48" t="n">
        <v>0.458333333333333</v>
      </c>
      <c r="E8" s="48" t="n">
        <v>0.479166666666667</v>
      </c>
      <c r="F8" s="49" t="s">
        <v>32</v>
      </c>
      <c r="G8" s="49" t="s">
        <v>22</v>
      </c>
      <c r="H8" s="50" t="s">
        <v>118</v>
      </c>
      <c r="I8" s="61"/>
      <c r="J8" s="52" t="n">
        <f aca="false">IF(Horo8299[[#This Row],[Début]]=0,"",(Horo8299[[#This Row],[Durée (60)2]]-INT(Horo8299[[#This Row],[Durée (60)2]]))*24)</f>
        <v>0.500000000000001</v>
      </c>
      <c r="K8" s="62" t="n">
        <f aca="false">SUMIF(Horo8299[Jour],C8,Horo8299[Durée])</f>
        <v>8</v>
      </c>
      <c r="L8" s="54" t="n">
        <f aca="false">IFERROR(SUMIF(Horo8299[[#This Row],[Jour]],Horo8299[[#This Row],[Jour]],Horo8299[[#This Row],[GPF]]) / Horo8299[[#This Row],[hrs]],"")</f>
        <v>0</v>
      </c>
      <c r="M8" s="56" t="str">
        <f aca="false">IF("GPF"=Horo8299[[#This Row],[Tâche]],Horo8299[[#This Row],[Durée]],"")</f>
        <v/>
      </c>
      <c r="N8" s="56" t="str">
        <f aca="false">IF("RI"=Horo8299[[#This Row],[Tâche]],Horo8299[[#This Row],[Durée]],"")</f>
        <v/>
      </c>
      <c r="O8" s="56" t="str">
        <f aca="false">IF("GB"=Horo8299[[#This Row],[Tâche]],Horo8299[[#This Row],[Durée]],"")</f>
        <v/>
      </c>
      <c r="P8" s="56" t="n">
        <f aca="false">IF("RD"=Horo8299[[#This Row],[Tâche]],Horo8299[[#This Row],[Durée]],"")</f>
        <v>0.500000000000001</v>
      </c>
      <c r="Q8" s="56" t="str">
        <f aca="false">IF("FG"=Horo8299[[#This Row],[Tâche]],Horo8299[[#This Row],[Durée]],"")</f>
        <v/>
      </c>
      <c r="R8" s="56" t="str">
        <f aca="false">IF("CONGÉ"=Horo8299[[#This Row],[Tâche]],Horo8299[[#This Row],[Durée]],"")</f>
        <v/>
      </c>
      <c r="S8" s="57" t="str">
        <f aca="false">IF("PS"=Horo8299[[#This Row],[Tâche]],Horo8299[[#This Row],[Durée]],"")</f>
        <v/>
      </c>
      <c r="T8" s="56" t="str">
        <f aca="false">IF("TD"=Horo8299[[#This Row],[Tâche]],Horo8299[[#This Row],[Durée]],"")</f>
        <v/>
      </c>
      <c r="U8" s="55" t="str">
        <f aca="false">IF("N/C"=Horo8299[[#This Row],[Tâche]],Horo8299[[#This Row],[Durée]],"")</f>
        <v/>
      </c>
      <c r="V8" s="58"/>
      <c r="W8" s="59" t="str">
        <f aca="false">IF(Horo8299[[#This Row],[O]]="o",Horo8299[[#This Row],[Durée]],".")</f>
        <v>.</v>
      </c>
      <c r="X8" s="60" t="n">
        <f aca="false">IF(Horo8299[[#This Row],[Début]]=0,"",Horo8299[[#This Row],[Fin]]-Horo8299[[#This Row],[Début]])</f>
        <v>0.0208333333333334</v>
      </c>
    </row>
    <row r="9" customFormat="false" ht="15" hidden="false" customHeight="false" outlineLevel="0" collapsed="false">
      <c r="A9" s="45" t="s">
        <v>33</v>
      </c>
      <c r="B9" s="46" t="n">
        <f aca="false">IF(Horo8299[[#This Row],[Jour]]="Lundi",$C$1+1, IF(Horo8299[[#This Row],[Jour]]="Mardi",$C$1+2, IF(Horo8299[[#This Row],[Jour]]="Mercredi",$C$1+3, IF(Horo8299[[#This Row],[Jour]]="Jeudi",$C$1+4, IF(Horo8299[[#This Row],[Jour]]="Vendredi",$C$1+5, IF(Horo8299[[#This Row],[Jour]]="Samedi",$C$1+6, IF(Horo8299[[#This Row],[Jour]]="Dimanche",$C$1, )))))))</f>
        <v>44390</v>
      </c>
      <c r="C9" s="47" t="s">
        <v>0</v>
      </c>
      <c r="D9" s="48" t="n">
        <v>0.583333333333333</v>
      </c>
      <c r="E9" s="48" t="n">
        <v>0.604166666666667</v>
      </c>
      <c r="F9" s="49" t="s">
        <v>60</v>
      </c>
      <c r="G9" s="49" t="s">
        <v>23</v>
      </c>
      <c r="H9" s="50" t="s">
        <v>42</v>
      </c>
      <c r="I9" s="61" t="s">
        <v>188</v>
      </c>
      <c r="J9" s="52" t="n">
        <f aca="false">IF(Horo8299[[#This Row],[Début]]=0,"",(Horo8299[[#This Row],[Durée (60)2]]-INT(Horo8299[[#This Row],[Durée (60)2]]))*24)</f>
        <v>0.499999999999998</v>
      </c>
      <c r="K9" s="62" t="n">
        <f aca="false">SUMIF(Horo8299[Jour],C9,Horo8299[Durée])</f>
        <v>8</v>
      </c>
      <c r="L9" s="54" t="n">
        <f aca="false">IFERROR(SUMIF(Horo8299[[#This Row],[Jour]],Horo8299[[#This Row],[Jour]],Horo8299[[#This Row],[GPF]]) / Horo8299[[#This Row],[hrs]],"")</f>
        <v>0</v>
      </c>
      <c r="M9" s="56" t="str">
        <f aca="false">IF("GPF"=Horo8299[[#This Row],[Tâche]],Horo8299[[#This Row],[Durée]],"")</f>
        <v/>
      </c>
      <c r="N9" s="56" t="str">
        <f aca="false">IF("RI"=Horo8299[[#This Row],[Tâche]],Horo8299[[#This Row],[Durée]],"")</f>
        <v/>
      </c>
      <c r="O9" s="56" t="str">
        <f aca="false">IF("GB"=Horo8299[[#This Row],[Tâche]],Horo8299[[#This Row],[Durée]],"")</f>
        <v/>
      </c>
      <c r="P9" s="56" t="str">
        <f aca="false">IF("RD"=Horo8299[[#This Row],[Tâche]],Horo8299[[#This Row],[Durée]],"")</f>
        <v/>
      </c>
      <c r="Q9" s="56" t="n">
        <f aca="false">IF("FG"=Horo8299[[#This Row],[Tâche]],Horo8299[[#This Row],[Durée]],"")</f>
        <v>0.499999999999998</v>
      </c>
      <c r="R9" s="56" t="str">
        <f aca="false">IF("CONGÉ"=Horo8299[[#This Row],[Tâche]],Horo8299[[#This Row],[Durée]],"")</f>
        <v/>
      </c>
      <c r="S9" s="57" t="str">
        <f aca="false">IF("PS"=Horo8299[[#This Row],[Tâche]],Horo8299[[#This Row],[Durée]],"")</f>
        <v/>
      </c>
      <c r="T9" s="56" t="str">
        <f aca="false">IF("TD"=Horo8299[[#This Row],[Tâche]],Horo8299[[#This Row],[Durée]],"")</f>
        <v/>
      </c>
      <c r="U9" s="55" t="str">
        <f aca="false">IF("N/C"=Horo8299[[#This Row],[Tâche]],Horo8299[[#This Row],[Durée]],"")</f>
        <v/>
      </c>
      <c r="V9" s="58"/>
      <c r="W9" s="59" t="str">
        <f aca="false">IF(Horo8299[[#This Row],[O]]="o",Horo8299[[#This Row],[Durée]],".")</f>
        <v>.</v>
      </c>
      <c r="X9" s="60" t="n">
        <f aca="false">IF(Horo8299[[#This Row],[Début]]=0,"",Horo8299[[#This Row],[Fin]]-Horo8299[[#This Row],[Début]])</f>
        <v>0.0208333333333333</v>
      </c>
    </row>
    <row r="10" customFormat="false" ht="15" hidden="false" customHeight="false" outlineLevel="0" collapsed="false">
      <c r="A10" s="45" t="s">
        <v>33</v>
      </c>
      <c r="B10" s="46" t="n">
        <f aca="false">IF(Horo8299[[#This Row],[Jour]]="Lundi",$C$1+1, IF(Horo8299[[#This Row],[Jour]]="Mardi",$C$1+2, IF(Horo8299[[#This Row],[Jour]]="Mercredi",$C$1+3, IF(Horo8299[[#This Row],[Jour]]="Jeudi",$C$1+4, IF(Horo8299[[#This Row],[Jour]]="Vendredi",$C$1+5, IF(Horo8299[[#This Row],[Jour]]="Samedi",$C$1+6, IF(Horo8299[[#This Row],[Jour]]="Dimanche",$C$1, )))))))</f>
        <v>44390</v>
      </c>
      <c r="C10" s="47" t="s">
        <v>0</v>
      </c>
      <c r="D10" s="48" t="n">
        <v>0.604166666666667</v>
      </c>
      <c r="E10" s="48" t="n">
        <v>0.625</v>
      </c>
      <c r="F10" s="49" t="s">
        <v>60</v>
      </c>
      <c r="G10" s="49" t="s">
        <v>19</v>
      </c>
      <c r="H10" s="50" t="s">
        <v>42</v>
      </c>
      <c r="I10" s="61" t="s">
        <v>189</v>
      </c>
      <c r="J10" s="52" t="n">
        <f aca="false">IF(Horo8299[[#This Row],[Début]]=0,"",(Horo8299[[#This Row],[Durée (60)2]]-INT(Horo8299[[#This Row],[Durée (60)2]]))*24)</f>
        <v>0.500000000000001</v>
      </c>
      <c r="K10" s="62" t="n">
        <f aca="false">SUMIF(Horo8299[Jour],C10,Horo8299[Durée])</f>
        <v>8</v>
      </c>
      <c r="L10" s="54" t="n">
        <f aca="false">IFERROR(SUMIF(Horo8299[[#This Row],[Jour]],Horo8299[[#This Row],[Jour]],Horo8299[[#This Row],[GPF]]) / Horo8299[[#This Row],[hrs]],"")</f>
        <v>0.0625000000000001</v>
      </c>
      <c r="M10" s="56" t="n">
        <f aca="false">IF("GPF"=Horo8299[[#This Row],[Tâche]],Horo8299[[#This Row],[Durée]],"")</f>
        <v>0.500000000000001</v>
      </c>
      <c r="N10" s="56" t="str">
        <f aca="false">IF("RI"=Horo8299[[#This Row],[Tâche]],Horo8299[[#This Row],[Durée]],"")</f>
        <v/>
      </c>
      <c r="O10" s="56" t="str">
        <f aca="false">IF("GB"=Horo8299[[#This Row],[Tâche]],Horo8299[[#This Row],[Durée]],"")</f>
        <v/>
      </c>
      <c r="P10" s="56" t="str">
        <f aca="false">IF("RD"=Horo8299[[#This Row],[Tâche]],Horo8299[[#This Row],[Durée]],"")</f>
        <v/>
      </c>
      <c r="Q10" s="56" t="str">
        <f aca="false">IF("FG"=Horo8299[[#This Row],[Tâche]],Horo8299[[#This Row],[Durée]],"")</f>
        <v/>
      </c>
      <c r="R10" s="56" t="str">
        <f aca="false">IF("CONGÉ"=Horo8299[[#This Row],[Tâche]],Horo8299[[#This Row],[Durée]],"")</f>
        <v/>
      </c>
      <c r="S10" s="57" t="str">
        <f aca="false">IF("PS"=Horo8299[[#This Row],[Tâche]],Horo8299[[#This Row],[Durée]],"")</f>
        <v/>
      </c>
      <c r="T10" s="56" t="str">
        <f aca="false">IF("TD"=Horo8299[[#This Row],[Tâche]],Horo8299[[#This Row],[Durée]],"")</f>
        <v/>
      </c>
      <c r="U10" s="55" t="str">
        <f aca="false">IF("N/C"=Horo8299[[#This Row],[Tâche]],Horo8299[[#This Row],[Durée]],"")</f>
        <v/>
      </c>
      <c r="V10" s="58"/>
      <c r="W10" s="59" t="str">
        <f aca="false">IF(Horo8299[[#This Row],[O]]="o",Horo8299[[#This Row],[Durée]],".")</f>
        <v>.</v>
      </c>
      <c r="X10" s="60" t="n">
        <f aca="false">IF(Horo8299[[#This Row],[Début]]=0,"",Horo8299[[#This Row],[Fin]]-Horo8299[[#This Row],[Début]])</f>
        <v>0.0208333333333334</v>
      </c>
    </row>
    <row r="11" customFormat="false" ht="15" hidden="false" customHeight="false" outlineLevel="0" collapsed="false">
      <c r="A11" s="45" t="s">
        <v>33</v>
      </c>
      <c r="B11" s="46" t="n">
        <f aca="false">IF(Horo8299[[#This Row],[Jour]]="Lundi",$C$1+1, IF(Horo8299[[#This Row],[Jour]]="Mardi",$C$1+2, IF(Horo8299[[#This Row],[Jour]]="Mercredi",$C$1+3, IF(Horo8299[[#This Row],[Jour]]="Jeudi",$C$1+4, IF(Horo8299[[#This Row],[Jour]]="Vendredi",$C$1+5, IF(Horo8299[[#This Row],[Jour]]="Samedi",$C$1+6, IF(Horo8299[[#This Row],[Jour]]="Dimanche",$C$1, )))))))</f>
        <v>44390</v>
      </c>
      <c r="C11" s="47" t="s">
        <v>0</v>
      </c>
      <c r="D11" s="48" t="n">
        <v>0.625</v>
      </c>
      <c r="E11" s="48" t="n">
        <v>0.6875</v>
      </c>
      <c r="F11" s="49" t="s">
        <v>60</v>
      </c>
      <c r="G11" s="49" t="s">
        <v>23</v>
      </c>
      <c r="H11" s="50" t="s">
        <v>42</v>
      </c>
      <c r="I11" s="51" t="s">
        <v>190</v>
      </c>
      <c r="J11" s="52" t="n">
        <f aca="false">IF(Horo8299[[#This Row],[Début]]=0,"",(Horo8299[[#This Row],[Durée (60)2]]-INT(Horo8299[[#This Row],[Durée (60)2]]))*24)</f>
        <v>1.5</v>
      </c>
      <c r="K11" s="62" t="n">
        <f aca="false">SUMIF(Horo8299[Jour],C11,Horo8299[Durée])</f>
        <v>8</v>
      </c>
      <c r="L11" s="54" t="n">
        <f aca="false">IFERROR(SUMIF(Horo8299[[#This Row],[Jour]],Horo8299[[#This Row],[Jour]],Horo8299[[#This Row],[GPF]]) / Horo8299[[#This Row],[hrs]],"")</f>
        <v>0</v>
      </c>
      <c r="M11" s="56" t="str">
        <f aca="false">IF("GPF"=Horo8299[[#This Row],[Tâche]],Horo8299[[#This Row],[Durée]],"")</f>
        <v/>
      </c>
      <c r="N11" s="56" t="str">
        <f aca="false">IF("RI"=Horo8299[[#This Row],[Tâche]],Horo8299[[#This Row],[Durée]],"")</f>
        <v/>
      </c>
      <c r="O11" s="56" t="str">
        <f aca="false">IF("GB"=Horo8299[[#This Row],[Tâche]],Horo8299[[#This Row],[Durée]],"")</f>
        <v/>
      </c>
      <c r="P11" s="56" t="str">
        <f aca="false">IF("RD"=Horo8299[[#This Row],[Tâche]],Horo8299[[#This Row],[Durée]],"")</f>
        <v/>
      </c>
      <c r="Q11" s="56" t="n">
        <f aca="false">IF("FG"=Horo8299[[#This Row],[Tâche]],Horo8299[[#This Row],[Durée]],"")</f>
        <v>1.5</v>
      </c>
      <c r="R11" s="56" t="str">
        <f aca="false">IF("CONGÉ"=Horo8299[[#This Row],[Tâche]],Horo8299[[#This Row],[Durée]],"")</f>
        <v/>
      </c>
      <c r="S11" s="57" t="str">
        <f aca="false">IF("PS"=Horo8299[[#This Row],[Tâche]],Horo8299[[#This Row],[Durée]],"")</f>
        <v/>
      </c>
      <c r="T11" s="56" t="str">
        <f aca="false">IF("TD"=Horo8299[[#This Row],[Tâche]],Horo8299[[#This Row],[Durée]],"")</f>
        <v/>
      </c>
      <c r="U11" s="55" t="str">
        <f aca="false">IF("N/C"=Horo8299[[#This Row],[Tâche]],Horo8299[[#This Row],[Durée]],"")</f>
        <v/>
      </c>
      <c r="V11" s="58"/>
      <c r="W11" s="59" t="str">
        <f aca="false">IF(Horo8299[[#This Row],[O]]="o",Horo8299[[#This Row],[Durée]],".")</f>
        <v>.</v>
      </c>
      <c r="X11" s="60" t="n">
        <f aca="false">IF(Horo8299[[#This Row],[Début]]=0,"",Horo8299[[#This Row],[Fin]]-Horo8299[[#This Row],[Début]])</f>
        <v>0.0625</v>
      </c>
    </row>
    <row r="12" customFormat="false" ht="15" hidden="false" customHeight="false" outlineLevel="0" collapsed="false">
      <c r="A12" s="45" t="s">
        <v>33</v>
      </c>
      <c r="B12" s="46" t="n">
        <f aca="false">IF(Horo8299[[#This Row],[Jour]]="Lundi",$C$1+1, IF(Horo8299[[#This Row],[Jour]]="Mardi",$C$1+2, IF(Horo8299[[#This Row],[Jour]]="Mercredi",$C$1+3, IF(Horo8299[[#This Row],[Jour]]="Jeudi",$C$1+4, IF(Horo8299[[#This Row],[Jour]]="Vendredi",$C$1+5, IF(Horo8299[[#This Row],[Jour]]="Samedi",$C$1+6, IF(Horo8299[[#This Row],[Jour]]="Dimanche",$C$1, )))))))</f>
        <v>44390</v>
      </c>
      <c r="C12" s="47" t="s">
        <v>0</v>
      </c>
      <c r="D12" s="48" t="n">
        <v>0.6875</v>
      </c>
      <c r="E12" s="48" t="n">
        <v>0.708333333333333</v>
      </c>
      <c r="F12" s="49" t="s">
        <v>60</v>
      </c>
      <c r="G12" s="49" t="s">
        <v>23</v>
      </c>
      <c r="H12" s="50" t="s">
        <v>42</v>
      </c>
      <c r="I12" s="51" t="s">
        <v>191</v>
      </c>
      <c r="J12" s="52" t="n">
        <f aca="false">IF(Horo8299[[#This Row],[Début]]=0,"",(Horo8299[[#This Row],[Durée (60)2]]-INT(Horo8299[[#This Row],[Durée (60)2]]))*24)</f>
        <v>0.500000000000001</v>
      </c>
      <c r="K12" s="62" t="n">
        <f aca="false">SUMIF(Horo8299[Jour],C12,Horo8299[Durée])</f>
        <v>8</v>
      </c>
      <c r="L12" s="54" t="n">
        <f aca="false">IFERROR(SUMIF(Horo8299[[#This Row],[Jour]],Horo8299[[#This Row],[Jour]],Horo8299[[#This Row],[GPF]]) / Horo8299[[#This Row],[hrs]],"")</f>
        <v>0</v>
      </c>
      <c r="M12" s="56" t="str">
        <f aca="false">IF("GPF"=Horo8299[[#This Row],[Tâche]],Horo8299[[#This Row],[Durée]],"")</f>
        <v/>
      </c>
      <c r="N12" s="56" t="str">
        <f aca="false">IF("RI"=Horo8299[[#This Row],[Tâche]],Horo8299[[#This Row],[Durée]],"")</f>
        <v/>
      </c>
      <c r="O12" s="56" t="str">
        <f aca="false">IF("GB"=Horo8299[[#This Row],[Tâche]],Horo8299[[#This Row],[Durée]],"")</f>
        <v/>
      </c>
      <c r="P12" s="56" t="str">
        <f aca="false">IF("RD"=Horo8299[[#This Row],[Tâche]],Horo8299[[#This Row],[Durée]],"")</f>
        <v/>
      </c>
      <c r="Q12" s="56" t="n">
        <f aca="false">IF("FG"=Horo8299[[#This Row],[Tâche]],Horo8299[[#This Row],[Durée]],"")</f>
        <v>0.500000000000001</v>
      </c>
      <c r="R12" s="56" t="str">
        <f aca="false">IF("CONGÉ"=Horo8299[[#This Row],[Tâche]],Horo8299[[#This Row],[Durée]],"")</f>
        <v/>
      </c>
      <c r="S12" s="57" t="str">
        <f aca="false">IF("PS"=Horo8299[[#This Row],[Tâche]],Horo8299[[#This Row],[Durée]],"")</f>
        <v/>
      </c>
      <c r="T12" s="56" t="str">
        <f aca="false">IF("TD"=Horo8299[[#This Row],[Tâche]],Horo8299[[#This Row],[Durée]],"")</f>
        <v/>
      </c>
      <c r="U12" s="55" t="str">
        <f aca="false">IF("N/C"=Horo8299[[#This Row],[Tâche]],Horo8299[[#This Row],[Durée]],"")</f>
        <v/>
      </c>
      <c r="V12" s="58"/>
      <c r="W12" s="59" t="str">
        <f aca="false">IF(Horo8299[[#This Row],[O]]="o",Horo8299[[#This Row],[Durée]],".")</f>
        <v>.</v>
      </c>
      <c r="X12" s="60" t="n">
        <f aca="false">IF(Horo8299[[#This Row],[Début]]=0,"",Horo8299[[#This Row],[Fin]]-Horo8299[[#This Row],[Début]])</f>
        <v>0.0208333333333334</v>
      </c>
    </row>
    <row r="13" customFormat="false" ht="15" hidden="false" customHeight="false" outlineLevel="0" collapsed="false">
      <c r="A13" s="45" t="s">
        <v>33</v>
      </c>
      <c r="B13" s="46" t="n">
        <f aca="false">IF(Horo8299[[#This Row],[Jour]]="Lundi",$C$1+1, IF(Horo8299[[#This Row],[Jour]]="Mardi",$C$1+2, IF(Horo8299[[#This Row],[Jour]]="Mercredi",$C$1+3, IF(Horo8299[[#This Row],[Jour]]="Jeudi",$C$1+4, IF(Horo8299[[#This Row],[Jour]]="Vendredi",$C$1+5, IF(Horo8299[[#This Row],[Jour]]="Samedi",$C$1+6, IF(Horo8299[[#This Row],[Jour]]="Dimanche",$C$1, )))))))</f>
        <v>44390</v>
      </c>
      <c r="C13" s="47" t="s">
        <v>0</v>
      </c>
      <c r="D13" s="48" t="n">
        <v>0.708333333333333</v>
      </c>
      <c r="E13" s="48" t="n">
        <v>0.770833333333333</v>
      </c>
      <c r="F13" s="49" t="s">
        <v>32</v>
      </c>
      <c r="G13" s="49" t="s">
        <v>22</v>
      </c>
      <c r="H13" s="50" t="s">
        <v>118</v>
      </c>
      <c r="I13" s="61"/>
      <c r="J13" s="52" t="n">
        <f aca="false">IF(Horo8299[[#This Row],[Début]]=0,"",(Horo8299[[#This Row],[Durée (60)2]]-INT(Horo8299[[#This Row],[Durée (60)2]]))*24)</f>
        <v>1.5</v>
      </c>
      <c r="K13" s="62" t="n">
        <f aca="false">SUMIF(Horo8299[Jour],C13,Horo8299[Durée])</f>
        <v>8</v>
      </c>
      <c r="L13" s="54" t="n">
        <f aca="false">IFERROR(SUMIF(Horo8299[[#This Row],[Jour]],Horo8299[[#This Row],[Jour]],Horo8299[[#This Row],[GPF]]) / Horo8299[[#This Row],[hrs]],"")</f>
        <v>0</v>
      </c>
      <c r="M13" s="56" t="str">
        <f aca="false">IF("GPF"=Horo8299[[#This Row],[Tâche]],Horo8299[[#This Row],[Durée]],"")</f>
        <v/>
      </c>
      <c r="N13" s="56" t="str">
        <f aca="false">IF("RI"=Horo8299[[#This Row],[Tâche]],Horo8299[[#This Row],[Durée]],"")</f>
        <v/>
      </c>
      <c r="O13" s="56" t="str">
        <f aca="false">IF("GB"=Horo8299[[#This Row],[Tâche]],Horo8299[[#This Row],[Durée]],"")</f>
        <v/>
      </c>
      <c r="P13" s="56" t="n">
        <f aca="false">IF("RD"=Horo8299[[#This Row],[Tâche]],Horo8299[[#This Row],[Durée]],"")</f>
        <v>1.5</v>
      </c>
      <c r="Q13" s="56" t="str">
        <f aca="false">IF("FG"=Horo8299[[#This Row],[Tâche]],Horo8299[[#This Row],[Durée]],"")</f>
        <v/>
      </c>
      <c r="R13" s="56" t="str">
        <f aca="false">IF("CONGÉ"=Horo8299[[#This Row],[Tâche]],Horo8299[[#This Row],[Durée]],"")</f>
        <v/>
      </c>
      <c r="S13" s="57" t="str">
        <f aca="false">IF("PS"=Horo8299[[#This Row],[Tâche]],Horo8299[[#This Row],[Durée]],"")</f>
        <v/>
      </c>
      <c r="T13" s="56" t="str">
        <f aca="false">IF("TD"=Horo8299[[#This Row],[Tâche]],Horo8299[[#This Row],[Durée]],"")</f>
        <v/>
      </c>
      <c r="U13" s="55" t="str">
        <f aca="false">IF("N/C"=Horo8299[[#This Row],[Tâche]],Horo8299[[#This Row],[Durée]],"")</f>
        <v/>
      </c>
      <c r="V13" s="58"/>
      <c r="W13" s="59" t="str">
        <f aca="false">IF(Horo8299[[#This Row],[O]]="o",Horo8299[[#This Row],[Durée]],".")</f>
        <v>.</v>
      </c>
      <c r="X13" s="60" t="n">
        <f aca="false">IF(Horo8299[[#This Row],[Début]]=0,"",Horo8299[[#This Row],[Fin]]-Horo8299[[#This Row],[Début]])</f>
        <v>0.0625</v>
      </c>
    </row>
    <row r="14" customFormat="false" ht="15" hidden="false" customHeight="false" outlineLevel="0" collapsed="false">
      <c r="A14" s="45" t="s">
        <v>33</v>
      </c>
      <c r="B14" s="46" t="n">
        <f aca="false">IF(Horo8299[[#This Row],[Jour]]="Lundi",$C$1+1, IF(Horo8299[[#This Row],[Jour]]="Mardi",$C$1+2, IF(Horo8299[[#This Row],[Jour]]="Mercredi",$C$1+3, IF(Horo8299[[#This Row],[Jour]]="Jeudi",$C$1+4, IF(Horo8299[[#This Row],[Jour]]="Vendredi",$C$1+5, IF(Horo8299[[#This Row],[Jour]]="Samedi",$C$1+6, IF(Horo8299[[#This Row],[Jour]]="Dimanche",$C$1, )))))))</f>
        <v>44391</v>
      </c>
      <c r="C14" s="47" t="s">
        <v>1</v>
      </c>
      <c r="D14" s="48" t="n">
        <v>0.34375</v>
      </c>
      <c r="E14" s="48" t="n">
        <v>0.385416666666667</v>
      </c>
      <c r="F14" s="49" t="s">
        <v>32</v>
      </c>
      <c r="G14" s="49" t="s">
        <v>21</v>
      </c>
      <c r="H14" s="50" t="s">
        <v>112</v>
      </c>
      <c r="I14" s="61"/>
      <c r="J14" s="52" t="n">
        <f aca="false">IF(Horo8299[[#This Row],[Début]]=0,"",(Horo8299[[#This Row],[Durée (60)2]]-INT(Horo8299[[#This Row],[Durée (60)2]]))*24)</f>
        <v>1</v>
      </c>
      <c r="K14" s="62" t="n">
        <f aca="false">SUMIF(Horo8299[Jour],C14,Horo8299[Durée])</f>
        <v>8</v>
      </c>
      <c r="L14" s="54" t="n">
        <f aca="false">IFERROR(SUMIF(Horo8299[[#This Row],[Jour]],Horo8299[[#This Row],[Jour]],Horo8299[[#This Row],[GPF]]) / Horo8299[[#This Row],[hrs]],"")</f>
        <v>0</v>
      </c>
      <c r="M14" s="56" t="str">
        <f aca="false">IF("GPF"=Horo8299[[#This Row],[Tâche]],Horo8299[[#This Row],[Durée]],"")</f>
        <v/>
      </c>
      <c r="N14" s="56" t="str">
        <f aca="false">IF("RI"=Horo8299[[#This Row],[Tâche]],Horo8299[[#This Row],[Durée]],"")</f>
        <v/>
      </c>
      <c r="O14" s="56" t="n">
        <f aca="false">IF("GB"=Horo8299[[#This Row],[Tâche]],Horo8299[[#This Row],[Durée]],"")</f>
        <v>1</v>
      </c>
      <c r="P14" s="56" t="str">
        <f aca="false">IF("RD"=Horo8299[[#This Row],[Tâche]],Horo8299[[#This Row],[Durée]],"")</f>
        <v/>
      </c>
      <c r="Q14" s="56" t="str">
        <f aca="false">IF("FG"=Horo8299[[#This Row],[Tâche]],Horo8299[[#This Row],[Durée]],"")</f>
        <v/>
      </c>
      <c r="R14" s="56" t="str">
        <f aca="false">IF("CONGÉ"=Horo8299[[#This Row],[Tâche]],Horo8299[[#This Row],[Durée]],"")</f>
        <v/>
      </c>
      <c r="S14" s="57" t="str">
        <f aca="false">IF("PS"=Horo8299[[#This Row],[Tâche]],Horo8299[[#This Row],[Durée]],"")</f>
        <v/>
      </c>
      <c r="T14" s="56" t="str">
        <f aca="false">IF("TD"=Horo8299[[#This Row],[Tâche]],Horo8299[[#This Row],[Durée]],"")</f>
        <v/>
      </c>
      <c r="U14" s="55" t="str">
        <f aca="false">IF("N/C"=Horo8299[[#This Row],[Tâche]],Horo8299[[#This Row],[Durée]],"")</f>
        <v/>
      </c>
      <c r="V14" s="58"/>
      <c r="W14" s="59" t="str">
        <f aca="false">IF(Horo8299[[#This Row],[O]]="o",Horo8299[[#This Row],[Durée]],".")</f>
        <v>.</v>
      </c>
      <c r="X14" s="60" t="n">
        <f aca="false">IF(Horo8299[[#This Row],[Début]]=0,"",Horo8299[[#This Row],[Fin]]-Horo8299[[#This Row],[Début]])</f>
        <v>0.0416666666666667</v>
      </c>
    </row>
    <row r="15" customFormat="false" ht="15" hidden="false" customHeight="false" outlineLevel="0" collapsed="false">
      <c r="A15" s="45" t="s">
        <v>33</v>
      </c>
      <c r="B15" s="46" t="n">
        <f aca="false">IF(Horo8299[[#This Row],[Jour]]="Lundi",$C$1+1, IF(Horo8299[[#This Row],[Jour]]="Mardi",$C$1+2, IF(Horo8299[[#This Row],[Jour]]="Mercredi",$C$1+3, IF(Horo8299[[#This Row],[Jour]]="Jeudi",$C$1+4, IF(Horo8299[[#This Row],[Jour]]="Vendredi",$C$1+5, IF(Horo8299[[#This Row],[Jour]]="Samedi",$C$1+6, IF(Horo8299[[#This Row],[Jour]]="Dimanche",$C$1, )))))))</f>
        <v>44391</v>
      </c>
      <c r="C15" s="47" t="s">
        <v>1</v>
      </c>
      <c r="D15" s="48" t="n">
        <v>0.385416666666667</v>
      </c>
      <c r="E15" s="48" t="n">
        <v>0.46875</v>
      </c>
      <c r="F15" s="49" t="s">
        <v>60</v>
      </c>
      <c r="G15" s="49" t="s">
        <v>19</v>
      </c>
      <c r="H15" s="50" t="s">
        <v>42</v>
      </c>
      <c r="I15" s="51" t="s">
        <v>192</v>
      </c>
      <c r="J15" s="52" t="n">
        <f aca="false">IF(Horo8299[[#This Row],[Début]]=0,"",(Horo8299[[#This Row],[Durée (60)2]]-INT(Horo8299[[#This Row],[Durée (60)2]]))*24)</f>
        <v>2</v>
      </c>
      <c r="K15" s="62" t="n">
        <f aca="false">SUMIF(Horo8299[Jour],C15,Horo8299[Durée])</f>
        <v>8</v>
      </c>
      <c r="L15" s="54" t="n">
        <f aca="false">IFERROR(SUMIF(Horo8299[[#This Row],[Jour]],Horo8299[[#This Row],[Jour]],Horo8299[[#This Row],[GPF]]) / Horo8299[[#This Row],[hrs]],"")</f>
        <v>0.25</v>
      </c>
      <c r="M15" s="56" t="n">
        <f aca="false">IF("GPF"=Horo8299[[#This Row],[Tâche]],Horo8299[[#This Row],[Durée]],"")</f>
        <v>2</v>
      </c>
      <c r="N15" s="56" t="str">
        <f aca="false">IF("RI"=Horo8299[[#This Row],[Tâche]],Horo8299[[#This Row],[Durée]],"")</f>
        <v/>
      </c>
      <c r="O15" s="56" t="str">
        <f aca="false">IF("GB"=Horo8299[[#This Row],[Tâche]],Horo8299[[#This Row],[Durée]],"")</f>
        <v/>
      </c>
      <c r="P15" s="56" t="str">
        <f aca="false">IF("RD"=Horo8299[[#This Row],[Tâche]],Horo8299[[#This Row],[Durée]],"")</f>
        <v/>
      </c>
      <c r="Q15" s="56" t="str">
        <f aca="false">IF("FG"=Horo8299[[#This Row],[Tâche]],Horo8299[[#This Row],[Durée]],"")</f>
        <v/>
      </c>
      <c r="R15" s="56" t="str">
        <f aca="false">IF("CONGÉ"=Horo8299[[#This Row],[Tâche]],Horo8299[[#This Row],[Durée]],"")</f>
        <v/>
      </c>
      <c r="S15" s="57" t="str">
        <f aca="false">IF("PS"=Horo8299[[#This Row],[Tâche]],Horo8299[[#This Row],[Durée]],"")</f>
        <v/>
      </c>
      <c r="T15" s="56" t="str">
        <f aca="false">IF("TD"=Horo8299[[#This Row],[Tâche]],Horo8299[[#This Row],[Durée]],"")</f>
        <v/>
      </c>
      <c r="U15" s="55" t="str">
        <f aca="false">IF("N/C"=Horo8299[[#This Row],[Tâche]],Horo8299[[#This Row],[Durée]],"")</f>
        <v/>
      </c>
      <c r="V15" s="58"/>
      <c r="W15" s="59" t="str">
        <f aca="false">IF(Horo8299[[#This Row],[O]]="o",Horo8299[[#This Row],[Durée]],".")</f>
        <v>.</v>
      </c>
      <c r="X15" s="60" t="n">
        <f aca="false">IF(Horo8299[[#This Row],[Début]]=0,"",Horo8299[[#This Row],[Fin]]-Horo8299[[#This Row],[Début]])</f>
        <v>0.0833333333333333</v>
      </c>
    </row>
    <row r="16" customFormat="false" ht="15" hidden="false" customHeight="false" outlineLevel="0" collapsed="false">
      <c r="A16" s="45" t="s">
        <v>33</v>
      </c>
      <c r="B16" s="46" t="n">
        <f aca="false">IF(Horo8299[[#This Row],[Jour]]="Lundi",$C$1+1, IF(Horo8299[[#This Row],[Jour]]="Mardi",$C$1+2, IF(Horo8299[[#This Row],[Jour]]="Mercredi",$C$1+3, IF(Horo8299[[#This Row],[Jour]]="Jeudi",$C$1+4, IF(Horo8299[[#This Row],[Jour]]="Vendredi",$C$1+5, IF(Horo8299[[#This Row],[Jour]]="Samedi",$C$1+6, IF(Horo8299[[#This Row],[Jour]]="Dimanche",$C$1, )))))))</f>
        <v>44391</v>
      </c>
      <c r="C16" s="47" t="s">
        <v>1</v>
      </c>
      <c r="D16" s="48" t="n">
        <v>0.46875</v>
      </c>
      <c r="E16" s="48" t="n">
        <v>0.5</v>
      </c>
      <c r="F16" s="49" t="s">
        <v>32</v>
      </c>
      <c r="G16" s="49" t="s">
        <v>23</v>
      </c>
      <c r="H16" s="50" t="s">
        <v>33</v>
      </c>
      <c r="I16" s="61"/>
      <c r="J16" s="52" t="n">
        <f aca="false">IF(Horo8299[[#This Row],[Début]]=0,"",(Horo8299[[#This Row],[Durée (60)2]]-INT(Horo8299[[#This Row],[Durée (60)2]]))*24)</f>
        <v>0.75</v>
      </c>
      <c r="K16" s="62" t="n">
        <f aca="false">SUMIF(Horo8299[Jour],C16,Horo8299[Durée])</f>
        <v>8</v>
      </c>
      <c r="L16" s="54" t="n">
        <f aca="false">IFERROR(SUMIF(Horo8299[[#This Row],[Jour]],Horo8299[[#This Row],[Jour]],Horo8299[[#This Row],[GPF]]) / Horo8299[[#This Row],[hrs]],"")</f>
        <v>0</v>
      </c>
      <c r="M16" s="56" t="str">
        <f aca="false">IF("GPF"=Horo8299[[#This Row],[Tâche]],Horo8299[[#This Row],[Durée]],"")</f>
        <v/>
      </c>
      <c r="N16" s="56" t="str">
        <f aca="false">IF("RI"=Horo8299[[#This Row],[Tâche]],Horo8299[[#This Row],[Durée]],"")</f>
        <v/>
      </c>
      <c r="O16" s="56" t="str">
        <f aca="false">IF("GB"=Horo8299[[#This Row],[Tâche]],Horo8299[[#This Row],[Durée]],"")</f>
        <v/>
      </c>
      <c r="P16" s="56" t="str">
        <f aca="false">IF("RD"=Horo8299[[#This Row],[Tâche]],Horo8299[[#This Row],[Durée]],"")</f>
        <v/>
      </c>
      <c r="Q16" s="56" t="n">
        <f aca="false">IF("FG"=Horo8299[[#This Row],[Tâche]],Horo8299[[#This Row],[Durée]],"")</f>
        <v>0.75</v>
      </c>
      <c r="R16" s="56" t="str">
        <f aca="false">IF("CONGÉ"=Horo8299[[#This Row],[Tâche]],Horo8299[[#This Row],[Durée]],"")</f>
        <v/>
      </c>
      <c r="S16" s="57" t="str">
        <f aca="false">IF("PS"=Horo8299[[#This Row],[Tâche]],Horo8299[[#This Row],[Durée]],"")</f>
        <v/>
      </c>
      <c r="T16" s="56" t="str">
        <f aca="false">IF("TD"=Horo8299[[#This Row],[Tâche]],Horo8299[[#This Row],[Durée]],"")</f>
        <v/>
      </c>
      <c r="U16" s="55" t="str">
        <f aca="false">IF("N/C"=Horo8299[[#This Row],[Tâche]],Horo8299[[#This Row],[Durée]],"")</f>
        <v/>
      </c>
      <c r="V16" s="58"/>
      <c r="W16" s="59" t="str">
        <f aca="false">IF(Horo8299[[#This Row],[O]]="o",Horo8299[[#This Row],[Durée]],".")</f>
        <v>.</v>
      </c>
      <c r="X16" s="60" t="n">
        <f aca="false">IF(Horo8299[[#This Row],[Début]]=0,"",Horo8299[[#This Row],[Fin]]-Horo8299[[#This Row],[Début]])</f>
        <v>0.03125</v>
      </c>
    </row>
    <row r="17" customFormat="false" ht="15" hidden="false" customHeight="false" outlineLevel="0" collapsed="false">
      <c r="A17" s="45" t="s">
        <v>33</v>
      </c>
      <c r="B17" s="46" t="n">
        <f aca="false">IF(Horo8299[[#This Row],[Jour]]="Lundi",$C$1+1, IF(Horo8299[[#This Row],[Jour]]="Mardi",$C$1+2, IF(Horo8299[[#This Row],[Jour]]="Mercredi",$C$1+3, IF(Horo8299[[#This Row],[Jour]]="Jeudi",$C$1+4, IF(Horo8299[[#This Row],[Jour]]="Vendredi",$C$1+5, IF(Horo8299[[#This Row],[Jour]]="Samedi",$C$1+6, IF(Horo8299[[#This Row],[Jour]]="Dimanche",$C$1, )))))))</f>
        <v>44391</v>
      </c>
      <c r="C17" s="47" t="s">
        <v>1</v>
      </c>
      <c r="D17" s="48" t="n">
        <v>0.572916666666667</v>
      </c>
      <c r="E17" s="48" t="n">
        <v>0.59375</v>
      </c>
      <c r="F17" s="49" t="s">
        <v>32</v>
      </c>
      <c r="G17" s="49" t="s">
        <v>23</v>
      </c>
      <c r="H17" s="50" t="s">
        <v>33</v>
      </c>
      <c r="I17" s="51"/>
      <c r="J17" s="52" t="n">
        <f aca="false">IF(Horo8299[[#This Row],[Début]]=0,"",(Horo8299[[#This Row],[Durée (60)2]]-INT(Horo8299[[#This Row],[Durée (60)2]]))*24)</f>
        <v>0.500000000000001</v>
      </c>
      <c r="K17" s="62" t="n">
        <f aca="false">SUMIF(Horo8299[Jour],C17,Horo8299[Durée])</f>
        <v>8</v>
      </c>
      <c r="L17" s="54" t="n">
        <f aca="false">IFERROR(SUMIF(Horo8299[[#This Row],[Jour]],Horo8299[[#This Row],[Jour]],Horo8299[[#This Row],[GPF]]) / Horo8299[[#This Row],[hrs]],"")</f>
        <v>0</v>
      </c>
      <c r="M17" s="56" t="str">
        <f aca="false">IF("GPF"=Horo8299[[#This Row],[Tâche]],Horo8299[[#This Row],[Durée]],"")</f>
        <v/>
      </c>
      <c r="N17" s="56" t="str">
        <f aca="false">IF("RI"=Horo8299[[#This Row],[Tâche]],Horo8299[[#This Row],[Durée]],"")</f>
        <v/>
      </c>
      <c r="O17" s="56" t="str">
        <f aca="false">IF("GB"=Horo8299[[#This Row],[Tâche]],Horo8299[[#This Row],[Durée]],"")</f>
        <v/>
      </c>
      <c r="P17" s="56" t="str">
        <f aca="false">IF("RD"=Horo8299[[#This Row],[Tâche]],Horo8299[[#This Row],[Durée]],"")</f>
        <v/>
      </c>
      <c r="Q17" s="56" t="n">
        <f aca="false">IF("FG"=Horo8299[[#This Row],[Tâche]],Horo8299[[#This Row],[Durée]],"")</f>
        <v>0.500000000000001</v>
      </c>
      <c r="R17" s="56" t="str">
        <f aca="false">IF("CONGÉ"=Horo8299[[#This Row],[Tâche]],Horo8299[[#This Row],[Durée]],"")</f>
        <v/>
      </c>
      <c r="S17" s="57" t="str">
        <f aca="false">IF("PS"=Horo8299[[#This Row],[Tâche]],Horo8299[[#This Row],[Durée]],"")</f>
        <v/>
      </c>
      <c r="T17" s="56" t="str">
        <f aca="false">IF("TD"=Horo8299[[#This Row],[Tâche]],Horo8299[[#This Row],[Durée]],"")</f>
        <v/>
      </c>
      <c r="U17" s="55" t="str">
        <f aca="false">IF("N/C"=Horo8299[[#This Row],[Tâche]],Horo8299[[#This Row],[Durée]],"")</f>
        <v/>
      </c>
      <c r="V17" s="58"/>
      <c r="W17" s="59" t="str">
        <f aca="false">IF(Horo8299[[#This Row],[O]]="o",Horo8299[[#This Row],[Durée]],".")</f>
        <v>.</v>
      </c>
      <c r="X17" s="60" t="n">
        <f aca="false">IF(Horo8299[[#This Row],[Début]]=0,"",Horo8299[[#This Row],[Fin]]-Horo8299[[#This Row],[Début]])</f>
        <v>0.0208333333333334</v>
      </c>
    </row>
    <row r="18" customFormat="false" ht="15" hidden="false" customHeight="false" outlineLevel="0" collapsed="false">
      <c r="A18" s="45" t="s">
        <v>33</v>
      </c>
      <c r="B18" s="46" t="n">
        <f aca="false">IF(Horo8299[[#This Row],[Jour]]="Lundi",$C$1+1, IF(Horo8299[[#This Row],[Jour]]="Mardi",$C$1+2, IF(Horo8299[[#This Row],[Jour]]="Mercredi",$C$1+3, IF(Horo8299[[#This Row],[Jour]]="Jeudi",$C$1+4, IF(Horo8299[[#This Row],[Jour]]="Vendredi",$C$1+5, IF(Horo8299[[#This Row],[Jour]]="Samedi",$C$1+6, IF(Horo8299[[#This Row],[Jour]]="Dimanche",$C$1, )))))))</f>
        <v>44391</v>
      </c>
      <c r="C18" s="47" t="s">
        <v>1</v>
      </c>
      <c r="D18" s="48" t="n">
        <v>0.604166666666667</v>
      </c>
      <c r="E18" s="48" t="n">
        <v>0.645833333333333</v>
      </c>
      <c r="F18" s="49" t="s">
        <v>59</v>
      </c>
      <c r="G18" s="49" t="s">
        <v>19</v>
      </c>
      <c r="H18" s="50" t="s">
        <v>106</v>
      </c>
      <c r="I18" s="51" t="s">
        <v>187</v>
      </c>
      <c r="J18" s="52" t="n">
        <f aca="false">IF(Horo8299[[#This Row],[Début]]=0,"",(Horo8299[[#This Row],[Durée (60)2]]-INT(Horo8299[[#This Row],[Durée (60)2]]))*24)</f>
        <v>1</v>
      </c>
      <c r="K18" s="62" t="n">
        <f aca="false">SUMIF(Horo8299[Jour],C18,Horo8299[Durée])</f>
        <v>8</v>
      </c>
      <c r="L18" s="54" t="n">
        <f aca="false">IFERROR(SUMIF(Horo8299[[#This Row],[Jour]],Horo8299[[#This Row],[Jour]],Horo8299[[#This Row],[GPF]]) / Horo8299[[#This Row],[hrs]],"")</f>
        <v>0.125</v>
      </c>
      <c r="M18" s="56" t="n">
        <f aca="false">IF("GPF"=Horo8299[[#This Row],[Tâche]],Horo8299[[#This Row],[Durée]],"")</f>
        <v>1</v>
      </c>
      <c r="N18" s="56" t="str">
        <f aca="false">IF("RI"=Horo8299[[#This Row],[Tâche]],Horo8299[[#This Row],[Durée]],"")</f>
        <v/>
      </c>
      <c r="O18" s="56" t="str">
        <f aca="false">IF("GB"=Horo8299[[#This Row],[Tâche]],Horo8299[[#This Row],[Durée]],"")</f>
        <v/>
      </c>
      <c r="P18" s="56" t="str">
        <f aca="false">IF("RD"=Horo8299[[#This Row],[Tâche]],Horo8299[[#This Row],[Durée]],"")</f>
        <v/>
      </c>
      <c r="Q18" s="56" t="str">
        <f aca="false">IF("FG"=Horo8299[[#This Row],[Tâche]],Horo8299[[#This Row],[Durée]],"")</f>
        <v/>
      </c>
      <c r="R18" s="56" t="str">
        <f aca="false">IF("CONGÉ"=Horo8299[[#This Row],[Tâche]],Horo8299[[#This Row],[Durée]],"")</f>
        <v/>
      </c>
      <c r="S18" s="57" t="str">
        <f aca="false">IF("PS"=Horo8299[[#This Row],[Tâche]],Horo8299[[#This Row],[Durée]],"")</f>
        <v/>
      </c>
      <c r="T18" s="56" t="str">
        <f aca="false">IF("TD"=Horo8299[[#This Row],[Tâche]],Horo8299[[#This Row],[Durée]],"")</f>
        <v/>
      </c>
      <c r="U18" s="55" t="str">
        <f aca="false">IF("N/C"=Horo8299[[#This Row],[Tâche]],Horo8299[[#This Row],[Durée]],"")</f>
        <v/>
      </c>
      <c r="V18" s="58"/>
      <c r="W18" s="59" t="str">
        <f aca="false">IF(Horo8299[[#This Row],[O]]="o",Horo8299[[#This Row],[Durée]],".")</f>
        <v>.</v>
      </c>
      <c r="X18" s="60" t="n">
        <f aca="false">IF(Horo8299[[#This Row],[Début]]=0,"",Horo8299[[#This Row],[Fin]]-Horo8299[[#This Row],[Début]])</f>
        <v>0.0416666666666667</v>
      </c>
    </row>
    <row r="19" customFormat="false" ht="15" hidden="false" customHeight="false" outlineLevel="0" collapsed="false">
      <c r="A19" s="45" t="s">
        <v>33</v>
      </c>
      <c r="B19" s="46" t="n">
        <f aca="false">IF(Horo8299[[#This Row],[Jour]]="Lundi",$C$1+1, IF(Horo8299[[#This Row],[Jour]]="Mardi",$C$1+2, IF(Horo8299[[#This Row],[Jour]]="Mercredi",$C$1+3, IF(Horo8299[[#This Row],[Jour]]="Jeudi",$C$1+4, IF(Horo8299[[#This Row],[Jour]]="Vendredi",$C$1+5, IF(Horo8299[[#This Row],[Jour]]="Samedi",$C$1+6, IF(Horo8299[[#This Row],[Jour]]="Dimanche",$C$1, )))))))</f>
        <v>44391</v>
      </c>
      <c r="C19" s="47" t="s">
        <v>1</v>
      </c>
      <c r="D19" s="48" t="n">
        <v>0.645833333333333</v>
      </c>
      <c r="E19" s="48" t="n">
        <v>0.760416666666667</v>
      </c>
      <c r="F19" s="49" t="s">
        <v>32</v>
      </c>
      <c r="G19" s="49" t="s">
        <v>22</v>
      </c>
      <c r="H19" s="50" t="s">
        <v>33</v>
      </c>
      <c r="I19" s="51"/>
      <c r="J19" s="52" t="n">
        <f aca="false">IF(Horo8299[[#This Row],[Début]]=0,"",(Horo8299[[#This Row],[Durée (60)2]]-INT(Horo8299[[#This Row],[Durée (60)2]]))*24)</f>
        <v>2.75</v>
      </c>
      <c r="K19" s="62" t="n">
        <f aca="false">SUMIF(Horo8299[Jour],C19,Horo8299[Durée])</f>
        <v>8</v>
      </c>
      <c r="L19" s="54" t="n">
        <f aca="false">IFERROR(SUMIF(Horo8299[[#This Row],[Jour]],Horo8299[[#This Row],[Jour]],Horo8299[[#This Row],[GPF]]) / Horo8299[[#This Row],[hrs]],"")</f>
        <v>0</v>
      </c>
      <c r="M19" s="56" t="str">
        <f aca="false">IF("GPF"=Horo8299[[#This Row],[Tâche]],Horo8299[[#This Row],[Durée]],"")</f>
        <v/>
      </c>
      <c r="N19" s="56" t="str">
        <f aca="false">IF("RI"=Horo8299[[#This Row],[Tâche]],Horo8299[[#This Row],[Durée]],"")</f>
        <v/>
      </c>
      <c r="O19" s="56" t="str">
        <f aca="false">IF("GB"=Horo8299[[#This Row],[Tâche]],Horo8299[[#This Row],[Durée]],"")</f>
        <v/>
      </c>
      <c r="P19" s="56" t="n">
        <f aca="false">IF("RD"=Horo8299[[#This Row],[Tâche]],Horo8299[[#This Row],[Durée]],"")</f>
        <v>2.75</v>
      </c>
      <c r="Q19" s="56" t="str">
        <f aca="false">IF("FG"=Horo8299[[#This Row],[Tâche]],Horo8299[[#This Row],[Durée]],"")</f>
        <v/>
      </c>
      <c r="R19" s="56" t="str">
        <f aca="false">IF("CONGÉ"=Horo8299[[#This Row],[Tâche]],Horo8299[[#This Row],[Durée]],"")</f>
        <v/>
      </c>
      <c r="S19" s="57" t="str">
        <f aca="false">IF("PS"=Horo8299[[#This Row],[Tâche]],Horo8299[[#This Row],[Durée]],"")</f>
        <v/>
      </c>
      <c r="T19" s="56" t="str">
        <f aca="false">IF("TD"=Horo8299[[#This Row],[Tâche]],Horo8299[[#This Row],[Durée]],"")</f>
        <v/>
      </c>
      <c r="U19" s="55" t="str">
        <f aca="false">IF("N/C"=Horo8299[[#This Row],[Tâche]],Horo8299[[#This Row],[Durée]],"")</f>
        <v/>
      </c>
      <c r="V19" s="58"/>
      <c r="W19" s="59" t="str">
        <f aca="false">IF(Horo8299[[#This Row],[O]]="o",Horo8299[[#This Row],[Durée]],".")</f>
        <v>.</v>
      </c>
      <c r="X19" s="60" t="n">
        <f aca="false">IF(Horo8299[[#This Row],[Début]]=0,"",Horo8299[[#This Row],[Fin]]-Horo8299[[#This Row],[Début]])</f>
        <v>0.114583333333333</v>
      </c>
    </row>
    <row r="20" customFormat="false" ht="15" hidden="false" customHeight="false" outlineLevel="0" collapsed="false">
      <c r="A20" s="45" t="s">
        <v>33</v>
      </c>
      <c r="B20" s="46" t="n">
        <f aca="false">IF(Horo8299[[#This Row],[Jour]]="Lundi",$C$1+1, IF(Horo8299[[#This Row],[Jour]]="Mardi",$C$1+2, IF(Horo8299[[#This Row],[Jour]]="Mercredi",$C$1+3, IF(Horo8299[[#This Row],[Jour]]="Jeudi",$C$1+4, IF(Horo8299[[#This Row],[Jour]]="Vendredi",$C$1+5, IF(Horo8299[[#This Row],[Jour]]="Samedi",$C$1+6, IF(Horo8299[[#This Row],[Jour]]="Dimanche",$C$1, )))))))</f>
        <v>44392</v>
      </c>
      <c r="C20" s="47" t="s">
        <v>2</v>
      </c>
      <c r="D20" s="48" t="n">
        <v>0.3125</v>
      </c>
      <c r="E20" s="48" t="n">
        <v>0.333333333333333</v>
      </c>
      <c r="F20" s="49" t="s">
        <v>32</v>
      </c>
      <c r="G20" s="49" t="s">
        <v>21</v>
      </c>
      <c r="H20" s="50" t="s">
        <v>33</v>
      </c>
      <c r="I20" s="51"/>
      <c r="J20" s="52" t="n">
        <f aca="false">IF(Horo8299[[#This Row],[Début]]=0,"",(Horo8299[[#This Row],[Durée (60)2]]-INT(Horo8299[[#This Row],[Durée (60)2]]))*24)</f>
        <v>0.5</v>
      </c>
      <c r="K20" s="62" t="n">
        <f aca="false">SUMIF(Horo8299[Jour],C20,Horo8299[Durée])</f>
        <v>6.25</v>
      </c>
      <c r="L20" s="54" t="n">
        <f aca="false">IFERROR(SUMIF(Horo8299[[#This Row],[Jour]],Horo8299[[#This Row],[Jour]],Horo8299[[#This Row],[GPF]]) / Horo8299[[#This Row],[hrs]],"")</f>
        <v>0</v>
      </c>
      <c r="M20" s="56" t="str">
        <f aca="false">IF("GPF"=Horo8299[[#This Row],[Tâche]],Horo8299[[#This Row],[Durée]],"")</f>
        <v/>
      </c>
      <c r="N20" s="56" t="str">
        <f aca="false">IF("RI"=Horo8299[[#This Row],[Tâche]],Horo8299[[#This Row],[Durée]],"")</f>
        <v/>
      </c>
      <c r="O20" s="56" t="n">
        <f aca="false">IF("GB"=Horo8299[[#This Row],[Tâche]],Horo8299[[#This Row],[Durée]],"")</f>
        <v>0.5</v>
      </c>
      <c r="P20" s="56" t="str">
        <f aca="false">IF("RD"=Horo8299[[#This Row],[Tâche]],Horo8299[[#This Row],[Durée]],"")</f>
        <v/>
      </c>
      <c r="Q20" s="56" t="str">
        <f aca="false">IF("FG"=Horo8299[[#This Row],[Tâche]],Horo8299[[#This Row],[Durée]],"")</f>
        <v/>
      </c>
      <c r="R20" s="56" t="str">
        <f aca="false">IF("CONGÉ"=Horo8299[[#This Row],[Tâche]],Horo8299[[#This Row],[Durée]],"")</f>
        <v/>
      </c>
      <c r="S20" s="56" t="str">
        <f aca="false">IF("PS"=Horo8299[[#This Row],[Tâche]],Horo8299[[#This Row],[Durée]],"")</f>
        <v/>
      </c>
      <c r="T20" s="56" t="str">
        <f aca="false">IF("TD"=Horo8299[[#This Row],[Tâche]],Horo8299[[#This Row],[Durée]],"")</f>
        <v/>
      </c>
      <c r="U20" s="56" t="str">
        <f aca="false">IF("N/C"=Horo8299[[#This Row],[Tâche]],Horo8299[[#This Row],[Durée]],"")</f>
        <v/>
      </c>
      <c r="V20" s="58"/>
      <c r="W20" s="59" t="str">
        <f aca="false">IF(Horo8299[[#This Row],[O]]="o",Horo8299[[#This Row],[Durée]],".")</f>
        <v>.</v>
      </c>
      <c r="X20" s="64" t="n">
        <f aca="false">IF(Horo8299[[#This Row],[Début]]=0,"",Horo8299[[#This Row],[Fin]]-Horo8299[[#This Row],[Début]])</f>
        <v>0.0208333333333333</v>
      </c>
    </row>
    <row r="21" customFormat="false" ht="15" hidden="false" customHeight="false" outlineLevel="0" collapsed="false">
      <c r="A21" s="45" t="s">
        <v>33</v>
      </c>
      <c r="B21" s="46" t="n">
        <f aca="false">IF(Horo8299[[#This Row],[Jour]]="Lundi",$C$1+1, IF(Horo8299[[#This Row],[Jour]]="Mardi",$C$1+2, IF(Horo8299[[#This Row],[Jour]]="Mercredi",$C$1+3, IF(Horo8299[[#This Row],[Jour]]="Jeudi",$C$1+4, IF(Horo8299[[#This Row],[Jour]]="Vendredi",$C$1+5, IF(Horo8299[[#This Row],[Jour]]="Samedi",$C$1+6, IF(Horo8299[[#This Row],[Jour]]="Dimanche",$C$1, )))))))</f>
        <v>44392</v>
      </c>
      <c r="C21" s="47" t="s">
        <v>2</v>
      </c>
      <c r="D21" s="48" t="n">
        <v>0.333333333333333</v>
      </c>
      <c r="E21" s="48" t="n">
        <v>0.375</v>
      </c>
      <c r="F21" s="49" t="s">
        <v>59</v>
      </c>
      <c r="G21" s="49" t="s">
        <v>19</v>
      </c>
      <c r="H21" s="50" t="s">
        <v>33</v>
      </c>
      <c r="I21" s="61" t="s">
        <v>193</v>
      </c>
      <c r="J21" s="52" t="n">
        <f aca="false">IF(Horo8299[[#This Row],[Début]]=0,"",(Horo8299[[#This Row],[Durée (60)2]]-INT(Horo8299[[#This Row],[Durée (60)2]]))*24)</f>
        <v>1</v>
      </c>
      <c r="K21" s="62" t="n">
        <f aca="false">SUMIF(Horo8299[Jour],C21,Horo8299[Durée])</f>
        <v>6.25</v>
      </c>
      <c r="L21" s="54" t="n">
        <f aca="false">IFERROR(SUMIF(Horo8299[[#This Row],[Jour]],Horo8299[[#This Row],[Jour]],Horo8299[[#This Row],[GPF]]) / Horo8299[[#This Row],[hrs]],"")</f>
        <v>0.16</v>
      </c>
      <c r="M21" s="56" t="n">
        <f aca="false">IF("GPF"=Horo8299[[#This Row],[Tâche]],Horo8299[[#This Row],[Durée]],"")</f>
        <v>1</v>
      </c>
      <c r="N21" s="56" t="str">
        <f aca="false">IF("RI"=Horo8299[[#This Row],[Tâche]],Horo8299[[#This Row],[Durée]],"")</f>
        <v/>
      </c>
      <c r="O21" s="56" t="str">
        <f aca="false">IF("GB"=Horo8299[[#This Row],[Tâche]],Horo8299[[#This Row],[Durée]],"")</f>
        <v/>
      </c>
      <c r="P21" s="56" t="str">
        <f aca="false">IF("RD"=Horo8299[[#This Row],[Tâche]],Horo8299[[#This Row],[Durée]],"")</f>
        <v/>
      </c>
      <c r="Q21" s="56" t="str">
        <f aca="false">IF("FG"=Horo8299[[#This Row],[Tâche]],Horo8299[[#This Row],[Durée]],"")</f>
        <v/>
      </c>
      <c r="R21" s="56" t="str">
        <f aca="false">IF("CONGÉ"=Horo8299[[#This Row],[Tâche]],Horo8299[[#This Row],[Durée]],"")</f>
        <v/>
      </c>
      <c r="S21" s="57" t="str">
        <f aca="false">IF("PS"=Horo8299[[#This Row],[Tâche]],Horo8299[[#This Row],[Durée]],"")</f>
        <v/>
      </c>
      <c r="T21" s="56" t="str">
        <f aca="false">IF("TD"=Horo8299[[#This Row],[Tâche]],Horo8299[[#This Row],[Durée]],"")</f>
        <v/>
      </c>
      <c r="U21" s="55" t="str">
        <f aca="false">IF("N/C"=Horo8299[[#This Row],[Tâche]],Horo8299[[#This Row],[Durée]],"")</f>
        <v/>
      </c>
      <c r="V21" s="58"/>
      <c r="W21" s="59" t="str">
        <f aca="false">IF(Horo8299[[#This Row],[O]]="o",Horo8299[[#This Row],[Durée]],".")</f>
        <v>.</v>
      </c>
      <c r="X21" s="60" t="n">
        <f aca="false">IF(Horo8299[[#This Row],[Début]]=0,"",Horo8299[[#This Row],[Fin]]-Horo8299[[#This Row],[Début]])</f>
        <v>0.0416666666666667</v>
      </c>
    </row>
    <row r="22" customFormat="false" ht="15" hidden="false" customHeight="false" outlineLevel="0" collapsed="false">
      <c r="A22" s="45" t="s">
        <v>33</v>
      </c>
      <c r="B22" s="46" t="n">
        <f aca="false">IF(Horo8299[[#This Row],[Jour]]="Lundi",$C$1+1, IF(Horo8299[[#This Row],[Jour]]="Mardi",$C$1+2, IF(Horo8299[[#This Row],[Jour]]="Mercredi",$C$1+3, IF(Horo8299[[#This Row],[Jour]]="Jeudi",$C$1+4, IF(Horo8299[[#This Row],[Jour]]="Vendredi",$C$1+5, IF(Horo8299[[#This Row],[Jour]]="Samedi",$C$1+6, IF(Horo8299[[#This Row],[Jour]]="Dimanche",$C$1, )))))))</f>
        <v>44392</v>
      </c>
      <c r="C22" s="47" t="s">
        <v>2</v>
      </c>
      <c r="D22" s="48" t="n">
        <v>0.375</v>
      </c>
      <c r="E22" s="48" t="n">
        <v>0.395833333333333</v>
      </c>
      <c r="F22" s="49" t="s">
        <v>75</v>
      </c>
      <c r="G22" s="49" t="s">
        <v>19</v>
      </c>
      <c r="H22" s="50" t="s">
        <v>123</v>
      </c>
      <c r="I22" s="61" t="s">
        <v>194</v>
      </c>
      <c r="J22" s="52" t="n">
        <f aca="false">IF(Horo8299[[#This Row],[Début]]=0,"",(Horo8299[[#This Row],[Durée (60)2]]-INT(Horo8299[[#This Row],[Durée (60)2]]))*24)</f>
        <v>0.5</v>
      </c>
      <c r="K22" s="62" t="n">
        <f aca="false">SUMIF(Horo8299[Jour],C22,Horo8299[Durée])</f>
        <v>6.25</v>
      </c>
      <c r="L22" s="54" t="n">
        <f aca="false">IFERROR(SUMIF(Horo8299[[#This Row],[Jour]],Horo8299[[#This Row],[Jour]],Horo8299[[#This Row],[GPF]]) / Horo8299[[#This Row],[hrs]],"")</f>
        <v>0.0799999999999999</v>
      </c>
      <c r="M22" s="56" t="n">
        <f aca="false">IF("GPF"=Horo8299[[#This Row],[Tâche]],Horo8299[[#This Row],[Durée]],"")</f>
        <v>0.5</v>
      </c>
      <c r="N22" s="56" t="str">
        <f aca="false">IF("RI"=Horo8299[[#This Row],[Tâche]],Horo8299[[#This Row],[Durée]],"")</f>
        <v/>
      </c>
      <c r="O22" s="56" t="str">
        <f aca="false">IF("GB"=Horo8299[[#This Row],[Tâche]],Horo8299[[#This Row],[Durée]],"")</f>
        <v/>
      </c>
      <c r="P22" s="56" t="str">
        <f aca="false">IF("RD"=Horo8299[[#This Row],[Tâche]],Horo8299[[#This Row],[Durée]],"")</f>
        <v/>
      </c>
      <c r="Q22" s="56" t="str">
        <f aca="false">IF("FG"=Horo8299[[#This Row],[Tâche]],Horo8299[[#This Row],[Durée]],"")</f>
        <v/>
      </c>
      <c r="R22" s="56" t="str">
        <f aca="false">IF("CONGÉ"=Horo8299[[#This Row],[Tâche]],Horo8299[[#This Row],[Durée]],"")</f>
        <v/>
      </c>
      <c r="S22" s="57" t="str">
        <f aca="false">IF("PS"=Horo8299[[#This Row],[Tâche]],Horo8299[[#This Row],[Durée]],"")</f>
        <v/>
      </c>
      <c r="T22" s="56" t="str">
        <f aca="false">IF("TD"=Horo8299[[#This Row],[Tâche]],Horo8299[[#This Row],[Durée]],"")</f>
        <v/>
      </c>
      <c r="U22" s="55" t="str">
        <f aca="false">IF("N/C"=Horo8299[[#This Row],[Tâche]],Horo8299[[#This Row],[Durée]],"")</f>
        <v/>
      </c>
      <c r="V22" s="58"/>
      <c r="W22" s="59" t="str">
        <f aca="false">IF(Horo8299[[#This Row],[O]]="o",Horo8299[[#This Row],[Durée]],".")</f>
        <v>.</v>
      </c>
      <c r="X22" s="60" t="n">
        <f aca="false">IF(Horo8299[[#This Row],[Début]]=0,"",Horo8299[[#This Row],[Fin]]-Horo8299[[#This Row],[Début]])</f>
        <v>0.0208333333333333</v>
      </c>
    </row>
    <row r="23" customFormat="false" ht="15" hidden="false" customHeight="false" outlineLevel="0" collapsed="false">
      <c r="A23" s="45" t="s">
        <v>33</v>
      </c>
      <c r="B23" s="46" t="n">
        <f aca="false">IF(Horo8299[[#This Row],[Jour]]="Lundi",$C$1+1, IF(Horo8299[[#This Row],[Jour]]="Mardi",$C$1+2, IF(Horo8299[[#This Row],[Jour]]="Mercredi",$C$1+3, IF(Horo8299[[#This Row],[Jour]]="Jeudi",$C$1+4, IF(Horo8299[[#This Row],[Jour]]="Vendredi",$C$1+5, IF(Horo8299[[#This Row],[Jour]]="Samedi",$C$1+6, IF(Horo8299[[#This Row],[Jour]]="Dimanche",$C$1, )))))))</f>
        <v>44392</v>
      </c>
      <c r="C23" s="47" t="s">
        <v>2</v>
      </c>
      <c r="D23" s="48" t="n">
        <v>0.395833333333333</v>
      </c>
      <c r="E23" s="48" t="n">
        <v>0.40625</v>
      </c>
      <c r="F23" s="49" t="s">
        <v>59</v>
      </c>
      <c r="G23" s="49" t="s">
        <v>19</v>
      </c>
      <c r="H23" s="50" t="s">
        <v>114</v>
      </c>
      <c r="I23" s="61" t="s">
        <v>193</v>
      </c>
      <c r="J23" s="52" t="n">
        <f aca="false">IF(Horo8299[[#This Row],[Début]]=0,"",(Horo8299[[#This Row],[Durée (60)2]]-INT(Horo8299[[#This Row],[Durée (60)2]]))*24)</f>
        <v>0.25</v>
      </c>
      <c r="K23" s="62" t="n">
        <f aca="false">SUMIF(Horo8299[Jour],C23,Horo8299[Durée])</f>
        <v>6.25</v>
      </c>
      <c r="L23" s="54" t="n">
        <f aca="false">IFERROR(SUMIF(Horo8299[[#This Row],[Jour]],Horo8299[[#This Row],[Jour]],Horo8299[[#This Row],[GPF]]) / Horo8299[[#This Row],[hrs]],"")</f>
        <v>0.0400000000000001</v>
      </c>
      <c r="M23" s="56" t="n">
        <f aca="false">IF("GPF"=Horo8299[[#This Row],[Tâche]],Horo8299[[#This Row],[Durée]],"")</f>
        <v>0.25</v>
      </c>
      <c r="N23" s="56" t="str">
        <f aca="false">IF("RI"=Horo8299[[#This Row],[Tâche]],Horo8299[[#This Row],[Durée]],"")</f>
        <v/>
      </c>
      <c r="O23" s="56" t="str">
        <f aca="false">IF("GB"=Horo8299[[#This Row],[Tâche]],Horo8299[[#This Row],[Durée]],"")</f>
        <v/>
      </c>
      <c r="P23" s="56" t="str">
        <f aca="false">IF("RD"=Horo8299[[#This Row],[Tâche]],Horo8299[[#This Row],[Durée]],"")</f>
        <v/>
      </c>
      <c r="Q23" s="56" t="str">
        <f aca="false">IF("FG"=Horo8299[[#This Row],[Tâche]],Horo8299[[#This Row],[Durée]],"")</f>
        <v/>
      </c>
      <c r="R23" s="56" t="str">
        <f aca="false">IF("CONGÉ"=Horo8299[[#This Row],[Tâche]],Horo8299[[#This Row],[Durée]],"")</f>
        <v/>
      </c>
      <c r="S23" s="57" t="str">
        <f aca="false">IF("PS"=Horo8299[[#This Row],[Tâche]],Horo8299[[#This Row],[Durée]],"")</f>
        <v/>
      </c>
      <c r="T23" s="56" t="str">
        <f aca="false">IF("TD"=Horo8299[[#This Row],[Tâche]],Horo8299[[#This Row],[Durée]],"")</f>
        <v/>
      </c>
      <c r="U23" s="55" t="str">
        <f aca="false">IF("N/C"=Horo8299[[#This Row],[Tâche]],Horo8299[[#This Row],[Durée]],"")</f>
        <v/>
      </c>
      <c r="V23" s="58"/>
      <c r="W23" s="59" t="str">
        <f aca="false">IF(Horo8299[[#This Row],[O]]="o",Horo8299[[#This Row],[Durée]],".")</f>
        <v>.</v>
      </c>
      <c r="X23" s="60" t="n">
        <f aca="false">IF(Horo8299[[#This Row],[Début]]=0,"",Horo8299[[#This Row],[Fin]]-Horo8299[[#This Row],[Début]])</f>
        <v>0.0104166666666667</v>
      </c>
    </row>
    <row r="24" customFormat="false" ht="15" hidden="false" customHeight="false" outlineLevel="0" collapsed="false">
      <c r="A24" s="45" t="s">
        <v>33</v>
      </c>
      <c r="B24" s="46" t="n">
        <f aca="false">IF(Horo8299[[#This Row],[Jour]]="Lundi",$C$1+1, IF(Horo8299[[#This Row],[Jour]]="Mardi",$C$1+2, IF(Horo8299[[#This Row],[Jour]]="Mercredi",$C$1+3, IF(Horo8299[[#This Row],[Jour]]="Jeudi",$C$1+4, IF(Horo8299[[#This Row],[Jour]]="Vendredi",$C$1+5, IF(Horo8299[[#This Row],[Jour]]="Samedi",$C$1+6, IF(Horo8299[[#This Row],[Jour]]="Dimanche",$C$1, )))))))</f>
        <v>44392</v>
      </c>
      <c r="C24" s="47" t="s">
        <v>2</v>
      </c>
      <c r="D24" s="48" t="n">
        <v>0.40625</v>
      </c>
      <c r="E24" s="48" t="n">
        <v>0.427083333333333</v>
      </c>
      <c r="F24" s="49" t="s">
        <v>32</v>
      </c>
      <c r="G24" s="49" t="s">
        <v>22</v>
      </c>
      <c r="H24" s="50" t="s">
        <v>33</v>
      </c>
      <c r="I24" s="61"/>
      <c r="J24" s="52" t="n">
        <f aca="false">IF(Horo8299[[#This Row],[Début]]=0,"",(Horo8299[[#This Row],[Durée (60)2]]-INT(Horo8299[[#This Row],[Durée (60)2]]))*24)</f>
        <v>0.5</v>
      </c>
      <c r="K24" s="62" t="n">
        <f aca="false">SUMIF(Horo8299[Jour],C24,Horo8299[Durée])</f>
        <v>6.25</v>
      </c>
      <c r="L24" s="54" t="n">
        <f aca="false">IFERROR(SUMIF(Horo8299[[#This Row],[Jour]],Horo8299[[#This Row],[Jour]],Horo8299[[#This Row],[GPF]]) / Horo8299[[#This Row],[hrs]],"")</f>
        <v>0</v>
      </c>
      <c r="M24" s="56" t="str">
        <f aca="false">IF("GPF"=Horo8299[[#This Row],[Tâche]],Horo8299[[#This Row],[Durée]],"")</f>
        <v/>
      </c>
      <c r="N24" s="56" t="str">
        <f aca="false">IF("RI"=Horo8299[[#This Row],[Tâche]],Horo8299[[#This Row],[Durée]],"")</f>
        <v/>
      </c>
      <c r="O24" s="56" t="str">
        <f aca="false">IF("GB"=Horo8299[[#This Row],[Tâche]],Horo8299[[#This Row],[Durée]],"")</f>
        <v/>
      </c>
      <c r="P24" s="56" t="n">
        <f aca="false">IF("RD"=Horo8299[[#This Row],[Tâche]],Horo8299[[#This Row],[Durée]],"")</f>
        <v>0.5</v>
      </c>
      <c r="Q24" s="56" t="str">
        <f aca="false">IF("FG"=Horo8299[[#This Row],[Tâche]],Horo8299[[#This Row],[Durée]],"")</f>
        <v/>
      </c>
      <c r="R24" s="56" t="str">
        <f aca="false">IF("CONGÉ"=Horo8299[[#This Row],[Tâche]],Horo8299[[#This Row],[Durée]],"")</f>
        <v/>
      </c>
      <c r="S24" s="57" t="str">
        <f aca="false">IF("PS"=Horo8299[[#This Row],[Tâche]],Horo8299[[#This Row],[Durée]],"")</f>
        <v/>
      </c>
      <c r="T24" s="56" t="str">
        <f aca="false">IF("TD"=Horo8299[[#This Row],[Tâche]],Horo8299[[#This Row],[Durée]],"")</f>
        <v/>
      </c>
      <c r="U24" s="55" t="str">
        <f aca="false">IF("N/C"=Horo8299[[#This Row],[Tâche]],Horo8299[[#This Row],[Durée]],"")</f>
        <v/>
      </c>
      <c r="V24" s="58"/>
      <c r="W24" s="59" t="str">
        <f aca="false">IF(Horo8299[[#This Row],[O]]="o",Horo8299[[#This Row],[Durée]],".")</f>
        <v>.</v>
      </c>
      <c r="X24" s="60" t="n">
        <f aca="false">IF(Horo8299[[#This Row],[Début]]=0,"",Horo8299[[#This Row],[Fin]]-Horo8299[[#This Row],[Début]])</f>
        <v>0.0208333333333333</v>
      </c>
    </row>
    <row r="25" customFormat="false" ht="15" hidden="false" customHeight="false" outlineLevel="0" collapsed="false">
      <c r="A25" s="45" t="s">
        <v>33</v>
      </c>
      <c r="B25" s="46" t="n">
        <f aca="false">IF(Horo8299[[#This Row],[Jour]]="Lundi",$C$1+1, IF(Horo8299[[#This Row],[Jour]]="Mardi",$C$1+2, IF(Horo8299[[#This Row],[Jour]]="Mercredi",$C$1+3, IF(Horo8299[[#This Row],[Jour]]="Jeudi",$C$1+4, IF(Horo8299[[#This Row],[Jour]]="Vendredi",$C$1+5, IF(Horo8299[[#This Row],[Jour]]="Samedi",$C$1+6, IF(Horo8299[[#This Row],[Jour]]="Dimanche",$C$1, )))))))</f>
        <v>44392</v>
      </c>
      <c r="C25" s="47" t="s">
        <v>2</v>
      </c>
      <c r="D25" s="48" t="n">
        <v>0.427083333333333</v>
      </c>
      <c r="E25" s="48" t="n">
        <v>0.479166666666667</v>
      </c>
      <c r="F25" s="49" t="s">
        <v>59</v>
      </c>
      <c r="G25" s="49" t="s">
        <v>19</v>
      </c>
      <c r="H25" s="50" t="s">
        <v>106</v>
      </c>
      <c r="I25" s="61" t="s">
        <v>195</v>
      </c>
      <c r="J25" s="52" t="n">
        <f aca="false">IF(Horo8299[[#This Row],[Début]]=0,"",(Horo8299[[#This Row],[Durée (60)2]]-INT(Horo8299[[#This Row],[Durée (60)2]]))*24)</f>
        <v>1.25</v>
      </c>
      <c r="K25" s="62" t="n">
        <f aca="false">SUMIF(Horo8299[Jour],C25,Horo8299[Durée])</f>
        <v>6.25</v>
      </c>
      <c r="L25" s="54" t="n">
        <f aca="false">IFERROR(SUMIF(Horo8299[[#This Row],[Jour]],Horo8299[[#This Row],[Jour]],Horo8299[[#This Row],[GPF]]) / Horo8299[[#This Row],[hrs]],"")</f>
        <v>0.2</v>
      </c>
      <c r="M25" s="56" t="n">
        <f aca="false">IF("GPF"=Horo8299[[#This Row],[Tâche]],Horo8299[[#This Row],[Durée]],"")</f>
        <v>1.25</v>
      </c>
      <c r="N25" s="56" t="str">
        <f aca="false">IF("RI"=Horo8299[[#This Row],[Tâche]],Horo8299[[#This Row],[Durée]],"")</f>
        <v/>
      </c>
      <c r="O25" s="56" t="str">
        <f aca="false">IF("GB"=Horo8299[[#This Row],[Tâche]],Horo8299[[#This Row],[Durée]],"")</f>
        <v/>
      </c>
      <c r="P25" s="56" t="str">
        <f aca="false">IF("RD"=Horo8299[[#This Row],[Tâche]],Horo8299[[#This Row],[Durée]],"")</f>
        <v/>
      </c>
      <c r="Q25" s="56" t="str">
        <f aca="false">IF("FG"=Horo8299[[#This Row],[Tâche]],Horo8299[[#This Row],[Durée]],"")</f>
        <v/>
      </c>
      <c r="R25" s="56" t="str">
        <f aca="false">IF("CONGÉ"=Horo8299[[#This Row],[Tâche]],Horo8299[[#This Row],[Durée]],"")</f>
        <v/>
      </c>
      <c r="S25" s="57" t="str">
        <f aca="false">IF("PS"=Horo8299[[#This Row],[Tâche]],Horo8299[[#This Row],[Durée]],"")</f>
        <v/>
      </c>
      <c r="T25" s="56" t="str">
        <f aca="false">IF("TD"=Horo8299[[#This Row],[Tâche]],Horo8299[[#This Row],[Durée]],"")</f>
        <v/>
      </c>
      <c r="U25" s="55" t="str">
        <f aca="false">IF("N/C"=Horo8299[[#This Row],[Tâche]],Horo8299[[#This Row],[Durée]],"")</f>
        <v/>
      </c>
      <c r="V25" s="58"/>
      <c r="W25" s="59" t="str">
        <f aca="false">IF(Horo8299[[#This Row],[O]]="o",Horo8299[[#This Row],[Durée]],".")</f>
        <v>.</v>
      </c>
      <c r="X25" s="60" t="n">
        <f aca="false">IF(Horo8299[[#This Row],[Début]]=0,"",Horo8299[[#This Row],[Fin]]-Horo8299[[#This Row],[Début]])</f>
        <v>0.0520833333333334</v>
      </c>
    </row>
    <row r="26" customFormat="false" ht="15" hidden="false" customHeight="false" outlineLevel="0" collapsed="false">
      <c r="A26" s="45" t="s">
        <v>33</v>
      </c>
      <c r="B26" s="46" t="n">
        <f aca="false">IF(Horo8299[[#This Row],[Jour]]="Lundi",$C$1+1, IF(Horo8299[[#This Row],[Jour]]="Mardi",$C$1+2, IF(Horo8299[[#This Row],[Jour]]="Mercredi",$C$1+3, IF(Horo8299[[#This Row],[Jour]]="Jeudi",$C$1+4, IF(Horo8299[[#This Row],[Jour]]="Vendredi",$C$1+5, IF(Horo8299[[#This Row],[Jour]]="Samedi",$C$1+6, IF(Horo8299[[#This Row],[Jour]]="Dimanche",$C$1, )))))))</f>
        <v>44392</v>
      </c>
      <c r="C26" s="47" t="s">
        <v>2</v>
      </c>
      <c r="D26" s="48" t="n">
        <v>0.708333333333333</v>
      </c>
      <c r="E26" s="48" t="n">
        <v>0.739583333333333</v>
      </c>
      <c r="F26" s="49" t="s">
        <v>32</v>
      </c>
      <c r="G26" s="49" t="s">
        <v>21</v>
      </c>
      <c r="H26" s="50"/>
      <c r="I26" s="61"/>
      <c r="J26" s="52" t="n">
        <f aca="false">IF(Horo8299[[#This Row],[Début]]=0,"",(Horo8299[[#This Row],[Durée (60)2]]-INT(Horo8299[[#This Row],[Durée (60)2]]))*24)</f>
        <v>0.75</v>
      </c>
      <c r="K26" s="62" t="n">
        <f aca="false">SUMIF(Horo8299[Jour],C26,Horo8299[Durée])</f>
        <v>6.25</v>
      </c>
      <c r="L26" s="54" t="n">
        <f aca="false">IFERROR(SUMIF(Horo8299[[#This Row],[Jour]],Horo8299[[#This Row],[Jour]],Horo8299[[#This Row],[GPF]]) / Horo8299[[#This Row],[hrs]],"")</f>
        <v>0</v>
      </c>
      <c r="M26" s="56" t="str">
        <f aca="false">IF("GPF"=Horo8299[[#This Row],[Tâche]],Horo8299[[#This Row],[Durée]],"")</f>
        <v/>
      </c>
      <c r="N26" s="56" t="str">
        <f aca="false">IF("RI"=Horo8299[[#This Row],[Tâche]],Horo8299[[#This Row],[Durée]],"")</f>
        <v/>
      </c>
      <c r="O26" s="56" t="n">
        <f aca="false">IF("GB"=Horo8299[[#This Row],[Tâche]],Horo8299[[#This Row],[Durée]],"")</f>
        <v>0.75</v>
      </c>
      <c r="P26" s="56" t="str">
        <f aca="false">IF("RD"=Horo8299[[#This Row],[Tâche]],Horo8299[[#This Row],[Durée]],"")</f>
        <v/>
      </c>
      <c r="Q26" s="56" t="str">
        <f aca="false">IF("FG"=Horo8299[[#This Row],[Tâche]],Horo8299[[#This Row],[Durée]],"")</f>
        <v/>
      </c>
      <c r="R26" s="56" t="str">
        <f aca="false">IF("CONGÉ"=Horo8299[[#This Row],[Tâche]],Horo8299[[#This Row],[Durée]],"")</f>
        <v/>
      </c>
      <c r="S26" s="57" t="str">
        <f aca="false">IF("PS"=Horo8299[[#This Row],[Tâche]],Horo8299[[#This Row],[Durée]],"")</f>
        <v/>
      </c>
      <c r="T26" s="56" t="str">
        <f aca="false">IF("TD"=Horo8299[[#This Row],[Tâche]],Horo8299[[#This Row],[Durée]],"")</f>
        <v/>
      </c>
      <c r="U26" s="55" t="str">
        <f aca="false">IF("N/C"=Horo8299[[#This Row],[Tâche]],Horo8299[[#This Row],[Durée]],"")</f>
        <v/>
      </c>
      <c r="V26" s="58"/>
      <c r="W26" s="59" t="str">
        <f aca="false">IF(Horo8299[[#This Row],[O]]="o",Horo8299[[#This Row],[Durée]],".")</f>
        <v>.</v>
      </c>
      <c r="X26" s="60" t="n">
        <f aca="false">IF(Horo8299[[#This Row],[Début]]=0,"",Horo8299[[#This Row],[Fin]]-Horo8299[[#This Row],[Début]])</f>
        <v>0.03125</v>
      </c>
    </row>
    <row r="27" customFormat="false" ht="15" hidden="false" customHeight="false" outlineLevel="0" collapsed="false">
      <c r="A27" s="45" t="s">
        <v>33</v>
      </c>
      <c r="B27" s="46" t="n">
        <f aca="false">IF(Horo8299[[#This Row],[Jour]]="Lundi",$C$1+1, IF(Horo8299[[#This Row],[Jour]]="Mardi",$C$1+2, IF(Horo8299[[#This Row],[Jour]]="Mercredi",$C$1+3, IF(Horo8299[[#This Row],[Jour]]="Jeudi",$C$1+4, IF(Horo8299[[#This Row],[Jour]]="Vendredi",$C$1+5, IF(Horo8299[[#This Row],[Jour]]="Samedi",$C$1+6, IF(Horo8299[[#This Row],[Jour]]="Dimanche",$C$1, )))))))</f>
        <v>44392</v>
      </c>
      <c r="C27" s="47" t="s">
        <v>2</v>
      </c>
      <c r="D27" s="48" t="n">
        <v>0.75</v>
      </c>
      <c r="E27" s="48" t="n">
        <v>0.8125</v>
      </c>
      <c r="F27" s="49" t="s">
        <v>32</v>
      </c>
      <c r="G27" s="49" t="s">
        <v>23</v>
      </c>
      <c r="H27" s="50" t="s">
        <v>109</v>
      </c>
      <c r="I27" s="61"/>
      <c r="J27" s="52" t="n">
        <f aca="false">IF(Horo8299[[#This Row],[Début]]=0,"",(Horo8299[[#This Row],[Durée (60)2]]-INT(Horo8299[[#This Row],[Durée (60)2]]))*24)</f>
        <v>1.5</v>
      </c>
      <c r="K27" s="62" t="n">
        <f aca="false">SUMIF(Horo8299[Jour],C27,Horo8299[Durée])</f>
        <v>6.25</v>
      </c>
      <c r="L27" s="54" t="n">
        <f aca="false">IFERROR(SUMIF(Horo8299[[#This Row],[Jour]],Horo8299[[#This Row],[Jour]],Horo8299[[#This Row],[GPF]]) / Horo8299[[#This Row],[hrs]],"")</f>
        <v>0</v>
      </c>
      <c r="M27" s="56" t="str">
        <f aca="false">IF("GPF"=Horo8299[[#This Row],[Tâche]],Horo8299[[#This Row],[Durée]],"")</f>
        <v/>
      </c>
      <c r="N27" s="56" t="str">
        <f aca="false">IF("RI"=Horo8299[[#This Row],[Tâche]],Horo8299[[#This Row],[Durée]],"")</f>
        <v/>
      </c>
      <c r="O27" s="56" t="str">
        <f aca="false">IF("GB"=Horo8299[[#This Row],[Tâche]],Horo8299[[#This Row],[Durée]],"")</f>
        <v/>
      </c>
      <c r="P27" s="56" t="str">
        <f aca="false">IF("RD"=Horo8299[[#This Row],[Tâche]],Horo8299[[#This Row],[Durée]],"")</f>
        <v/>
      </c>
      <c r="Q27" s="56" t="n">
        <f aca="false">IF("FG"=Horo8299[[#This Row],[Tâche]],Horo8299[[#This Row],[Durée]],"")</f>
        <v>1.5</v>
      </c>
      <c r="R27" s="56" t="str">
        <f aca="false">IF("CONGÉ"=Horo8299[[#This Row],[Tâche]],Horo8299[[#This Row],[Durée]],"")</f>
        <v/>
      </c>
      <c r="S27" s="57" t="str">
        <f aca="false">IF("PS"=Horo8299[[#This Row],[Tâche]],Horo8299[[#This Row],[Durée]],"")</f>
        <v/>
      </c>
      <c r="T27" s="56" t="str">
        <f aca="false">IF("TD"=Horo8299[[#This Row],[Tâche]],Horo8299[[#This Row],[Durée]],"")</f>
        <v/>
      </c>
      <c r="U27" s="55" t="str">
        <f aca="false">IF("N/C"=Horo8299[[#This Row],[Tâche]],Horo8299[[#This Row],[Durée]],"")</f>
        <v/>
      </c>
      <c r="V27" s="58"/>
      <c r="W27" s="59" t="str">
        <f aca="false">IF(Horo8299[[#This Row],[O]]="o",Horo8299[[#This Row],[Durée]],".")</f>
        <v>.</v>
      </c>
      <c r="X27" s="60" t="n">
        <f aca="false">IF(Horo8299[[#This Row],[Début]]=0,"",Horo8299[[#This Row],[Fin]]-Horo8299[[#This Row],[Début]])</f>
        <v>0.0625</v>
      </c>
    </row>
    <row r="28" customFormat="false" ht="15" hidden="false" customHeight="false" outlineLevel="0" collapsed="false">
      <c r="A28" s="45" t="s">
        <v>33</v>
      </c>
      <c r="B28" s="46" t="n">
        <f aca="false">IF(Horo8299[[#This Row],[Jour]]="Lundi",$C$1+1, IF(Horo8299[[#This Row],[Jour]]="Mardi",$C$1+2, IF(Horo8299[[#This Row],[Jour]]="Mercredi",$C$1+3, IF(Horo8299[[#This Row],[Jour]]="Jeudi",$C$1+4, IF(Horo8299[[#This Row],[Jour]]="Vendredi",$C$1+5, IF(Horo8299[[#This Row],[Jour]]="Samedi",$C$1+6, IF(Horo8299[[#This Row],[Jour]]="Dimanche",$C$1, )))))))</f>
        <v>44393</v>
      </c>
      <c r="C28" s="47" t="s">
        <v>3</v>
      </c>
      <c r="D28" s="48" t="n">
        <v>0.3125</v>
      </c>
      <c r="E28" s="48" t="n">
        <v>0.333333333333333</v>
      </c>
      <c r="F28" s="49" t="s">
        <v>32</v>
      </c>
      <c r="G28" s="49" t="s">
        <v>21</v>
      </c>
      <c r="H28" s="50" t="s">
        <v>33</v>
      </c>
      <c r="I28" s="51"/>
      <c r="J28" s="52" t="n">
        <f aca="false">IF(Horo8299[[#This Row],[Début]]=0,"",(Horo8299[[#This Row],[Durée (60)2]]-INT(Horo8299[[#This Row],[Durée (60)2]]))*24)</f>
        <v>0.5</v>
      </c>
      <c r="K28" s="62" t="n">
        <f aca="false">SUMIF(Horo8299[Jour],C28,Horo8299[Durée])</f>
        <v>10.25</v>
      </c>
      <c r="L28" s="54" t="n">
        <f aca="false">IFERROR(SUMIF(Horo8299[[#This Row],[Jour]],Horo8299[[#This Row],[Jour]],Horo8299[[#This Row],[GPF]]) / Horo8299[[#This Row],[hrs]],"")</f>
        <v>0</v>
      </c>
      <c r="M28" s="56" t="str">
        <f aca="false">IF("GPF"=Horo8299[[#This Row],[Tâche]],Horo8299[[#This Row],[Durée]],"")</f>
        <v/>
      </c>
      <c r="N28" s="56" t="str">
        <f aca="false">IF("RI"=Horo8299[[#This Row],[Tâche]],Horo8299[[#This Row],[Durée]],"")</f>
        <v/>
      </c>
      <c r="O28" s="56" t="n">
        <f aca="false">IF("GB"=Horo8299[[#This Row],[Tâche]],Horo8299[[#This Row],[Durée]],"")</f>
        <v>0.5</v>
      </c>
      <c r="P28" s="56" t="str">
        <f aca="false">IF("RD"=Horo8299[[#This Row],[Tâche]],Horo8299[[#This Row],[Durée]],"")</f>
        <v/>
      </c>
      <c r="Q28" s="56" t="str">
        <f aca="false">IF("FG"=Horo8299[[#This Row],[Tâche]],Horo8299[[#This Row],[Durée]],"")</f>
        <v/>
      </c>
      <c r="R28" s="56" t="str">
        <f aca="false">IF("CONGÉ"=Horo8299[[#This Row],[Tâche]],Horo8299[[#This Row],[Durée]],"")</f>
        <v/>
      </c>
      <c r="S28" s="56" t="str">
        <f aca="false">IF("PS"=Horo8299[[#This Row],[Tâche]],Horo8299[[#This Row],[Durée]],"")</f>
        <v/>
      </c>
      <c r="T28" s="56" t="str">
        <f aca="false">IF("TD"=Horo8299[[#This Row],[Tâche]],Horo8299[[#This Row],[Durée]],"")</f>
        <v/>
      </c>
      <c r="U28" s="56" t="str">
        <f aca="false">IF("N/C"=Horo8299[[#This Row],[Tâche]],Horo8299[[#This Row],[Durée]],"")</f>
        <v/>
      </c>
      <c r="V28" s="58"/>
      <c r="W28" s="59" t="str">
        <f aca="false">IF(Horo8299[[#This Row],[O]]="o",Horo8299[[#This Row],[Durée]],".")</f>
        <v>.</v>
      </c>
      <c r="X28" s="64" t="n">
        <f aca="false">IF(Horo8299[[#This Row],[Début]]=0,"",Horo8299[[#This Row],[Fin]]-Horo8299[[#This Row],[Début]])</f>
        <v>0.0208333333333333</v>
      </c>
    </row>
    <row r="29" customFormat="false" ht="15" hidden="false" customHeight="false" outlineLevel="0" collapsed="false">
      <c r="A29" s="45" t="s">
        <v>33</v>
      </c>
      <c r="B29" s="46" t="n">
        <f aca="false">IF(Horo8299[[#This Row],[Jour]]="Lundi",$C$1+1, IF(Horo8299[[#This Row],[Jour]]="Mardi",$C$1+2, IF(Horo8299[[#This Row],[Jour]]="Mercredi",$C$1+3, IF(Horo8299[[#This Row],[Jour]]="Jeudi",$C$1+4, IF(Horo8299[[#This Row],[Jour]]="Vendredi",$C$1+5, IF(Horo8299[[#This Row],[Jour]]="Samedi",$C$1+6, IF(Horo8299[[#This Row],[Jour]]="Dimanche",$C$1, )))))))</f>
        <v>44393</v>
      </c>
      <c r="C29" s="47" t="s">
        <v>3</v>
      </c>
      <c r="D29" s="48" t="n">
        <v>0.333333333333333</v>
      </c>
      <c r="E29" s="48" t="n">
        <v>0.458333333333333</v>
      </c>
      <c r="F29" s="49" t="s">
        <v>61</v>
      </c>
      <c r="G29" s="49" t="s">
        <v>19</v>
      </c>
      <c r="H29" s="50" t="s">
        <v>42</v>
      </c>
      <c r="I29" s="61" t="s">
        <v>196</v>
      </c>
      <c r="J29" s="52" t="n">
        <f aca="false">IF(Horo8299[[#This Row],[Début]]=0,"",(Horo8299[[#This Row],[Durée (60)2]]-INT(Horo8299[[#This Row],[Durée (60)2]]))*24)</f>
        <v>3</v>
      </c>
      <c r="K29" s="62" t="n">
        <f aca="false">SUMIF(Horo8299[Jour],C29,Horo8299[Durée])</f>
        <v>10.25</v>
      </c>
      <c r="L29" s="54" t="n">
        <f aca="false">IFERROR(SUMIF(Horo8299[[#This Row],[Jour]],Horo8299[[#This Row],[Jour]],Horo8299[[#This Row],[GPF]]) / Horo8299[[#This Row],[hrs]],"")</f>
        <v>0.292682926829268</v>
      </c>
      <c r="M29" s="56" t="n">
        <f aca="false">IF("GPF"=Horo8299[[#This Row],[Tâche]],Horo8299[[#This Row],[Durée]],"")</f>
        <v>3</v>
      </c>
      <c r="N29" s="56" t="str">
        <f aca="false">IF("RI"=Horo8299[[#This Row],[Tâche]],Horo8299[[#This Row],[Durée]],"")</f>
        <v/>
      </c>
      <c r="O29" s="56" t="str">
        <f aca="false">IF("GB"=Horo8299[[#This Row],[Tâche]],Horo8299[[#This Row],[Durée]],"")</f>
        <v/>
      </c>
      <c r="P29" s="56" t="str">
        <f aca="false">IF("RD"=Horo8299[[#This Row],[Tâche]],Horo8299[[#This Row],[Durée]],"")</f>
        <v/>
      </c>
      <c r="Q29" s="56" t="str">
        <f aca="false">IF("FG"=Horo8299[[#This Row],[Tâche]],Horo8299[[#This Row],[Durée]],"")</f>
        <v/>
      </c>
      <c r="R29" s="56" t="str">
        <f aca="false">IF("CONGÉ"=Horo8299[[#This Row],[Tâche]],Horo8299[[#This Row],[Durée]],"")</f>
        <v/>
      </c>
      <c r="S29" s="57" t="str">
        <f aca="false">IF("PS"=Horo8299[[#This Row],[Tâche]],Horo8299[[#This Row],[Durée]],"")</f>
        <v/>
      </c>
      <c r="T29" s="56" t="str">
        <f aca="false">IF("TD"=Horo8299[[#This Row],[Tâche]],Horo8299[[#This Row],[Durée]],"")</f>
        <v/>
      </c>
      <c r="U29" s="55" t="str">
        <f aca="false">IF("N/C"=Horo8299[[#This Row],[Tâche]],Horo8299[[#This Row],[Durée]],"")</f>
        <v/>
      </c>
      <c r="V29" s="58"/>
      <c r="W29" s="59" t="str">
        <f aca="false">IF(Horo8299[[#This Row],[O]]="o",Horo8299[[#This Row],[Durée]],".")</f>
        <v>.</v>
      </c>
      <c r="X29" s="60" t="n">
        <f aca="false">IF(Horo8299[[#This Row],[Début]]=0,"",Horo8299[[#This Row],[Fin]]-Horo8299[[#This Row],[Début]])</f>
        <v>0.125</v>
      </c>
    </row>
    <row r="30" customFormat="false" ht="15" hidden="false" customHeight="false" outlineLevel="0" collapsed="false">
      <c r="A30" s="45" t="s">
        <v>33</v>
      </c>
      <c r="B30" s="46" t="n">
        <f aca="false">IF(Horo8299[[#This Row],[Jour]]="Lundi",$C$1+1, IF(Horo8299[[#This Row],[Jour]]="Mardi",$C$1+2, IF(Horo8299[[#This Row],[Jour]]="Mercredi",$C$1+3, IF(Horo8299[[#This Row],[Jour]]="Jeudi",$C$1+4, IF(Horo8299[[#This Row],[Jour]]="Vendredi",$C$1+5, IF(Horo8299[[#This Row],[Jour]]="Samedi",$C$1+6, IF(Horo8299[[#This Row],[Jour]]="Dimanche",$C$1, )))))))</f>
        <v>44393</v>
      </c>
      <c r="C30" s="47" t="s">
        <v>3</v>
      </c>
      <c r="D30" s="48" t="n">
        <v>0.458333333333333</v>
      </c>
      <c r="E30" s="48" t="n">
        <v>0.5</v>
      </c>
      <c r="F30" s="49" t="s">
        <v>61</v>
      </c>
      <c r="G30" s="49" t="s">
        <v>22</v>
      </c>
      <c r="H30" s="50" t="s">
        <v>33</v>
      </c>
      <c r="I30" s="61"/>
      <c r="J30" s="52" t="n">
        <f aca="false">IF(Horo8299[[#This Row],[Début]]=0,"",(Horo8299[[#This Row],[Durée (60)2]]-INT(Horo8299[[#This Row],[Durée (60)2]]))*24)</f>
        <v>1</v>
      </c>
      <c r="K30" s="62" t="n">
        <f aca="false">SUMIF(Horo8299[Jour],C30,Horo8299[Durée])</f>
        <v>10.25</v>
      </c>
      <c r="L30" s="54" t="n">
        <f aca="false">IFERROR(SUMIF(Horo8299[[#This Row],[Jour]],Horo8299[[#This Row],[Jour]],Horo8299[[#This Row],[GPF]]) / Horo8299[[#This Row],[hrs]],"")</f>
        <v>0</v>
      </c>
      <c r="M30" s="56" t="str">
        <f aca="false">IF("GPF"=Horo8299[[#This Row],[Tâche]],Horo8299[[#This Row],[Durée]],"")</f>
        <v/>
      </c>
      <c r="N30" s="56" t="str">
        <f aca="false">IF("RI"=Horo8299[[#This Row],[Tâche]],Horo8299[[#This Row],[Durée]],"")</f>
        <v/>
      </c>
      <c r="O30" s="56" t="str">
        <f aca="false">IF("GB"=Horo8299[[#This Row],[Tâche]],Horo8299[[#This Row],[Durée]],"")</f>
        <v/>
      </c>
      <c r="P30" s="56" t="n">
        <f aca="false">IF("RD"=Horo8299[[#This Row],[Tâche]],Horo8299[[#This Row],[Durée]],"")</f>
        <v>1</v>
      </c>
      <c r="Q30" s="56" t="str">
        <f aca="false">IF("FG"=Horo8299[[#This Row],[Tâche]],Horo8299[[#This Row],[Durée]],"")</f>
        <v/>
      </c>
      <c r="R30" s="56" t="str">
        <f aca="false">IF("CONGÉ"=Horo8299[[#This Row],[Tâche]],Horo8299[[#This Row],[Durée]],"")</f>
        <v/>
      </c>
      <c r="S30" s="57" t="str">
        <f aca="false">IF("PS"=Horo8299[[#This Row],[Tâche]],Horo8299[[#This Row],[Durée]],"")</f>
        <v/>
      </c>
      <c r="T30" s="56" t="str">
        <f aca="false">IF("TD"=Horo8299[[#This Row],[Tâche]],Horo8299[[#This Row],[Durée]],"")</f>
        <v/>
      </c>
      <c r="U30" s="55" t="str">
        <f aca="false">IF("N/C"=Horo8299[[#This Row],[Tâche]],Horo8299[[#This Row],[Durée]],"")</f>
        <v/>
      </c>
      <c r="V30" s="58"/>
      <c r="W30" s="59" t="str">
        <f aca="false">IF(Horo8299[[#This Row],[O]]="o",Horo8299[[#This Row],[Durée]],".")</f>
        <v>.</v>
      </c>
      <c r="X30" s="60" t="n">
        <f aca="false">IF(Horo8299[[#This Row],[Début]]=0,"",Horo8299[[#This Row],[Fin]]-Horo8299[[#This Row],[Début]])</f>
        <v>0.0416666666666667</v>
      </c>
    </row>
    <row r="31" customFormat="false" ht="15" hidden="false" customHeight="false" outlineLevel="0" collapsed="false">
      <c r="A31" s="45" t="s">
        <v>33</v>
      </c>
      <c r="B31" s="46" t="n">
        <f aca="false">IF(Horo8299[[#This Row],[Jour]]="Lundi",$C$1+1, IF(Horo8299[[#This Row],[Jour]]="Mardi",$C$1+2, IF(Horo8299[[#This Row],[Jour]]="Mercredi",$C$1+3, IF(Horo8299[[#This Row],[Jour]]="Jeudi",$C$1+4, IF(Horo8299[[#This Row],[Jour]]="Vendredi",$C$1+5, IF(Horo8299[[#This Row],[Jour]]="Samedi",$C$1+6, IF(Horo8299[[#This Row],[Jour]]="Dimanche",$C$1, )))))))</f>
        <v>44393</v>
      </c>
      <c r="C31" s="47" t="s">
        <v>3</v>
      </c>
      <c r="D31" s="48" t="n">
        <v>0.604166666666667</v>
      </c>
      <c r="E31" s="48" t="n">
        <v>0.6875</v>
      </c>
      <c r="F31" s="49" t="s">
        <v>61</v>
      </c>
      <c r="G31" s="49" t="s">
        <v>19</v>
      </c>
      <c r="H31" s="50" t="s">
        <v>42</v>
      </c>
      <c r="I31" s="61" t="s">
        <v>197</v>
      </c>
      <c r="J31" s="52" t="n">
        <f aca="false">IF(Horo8299[[#This Row],[Début]]=0,"",(Horo8299[[#This Row],[Durée (60)2]]-INT(Horo8299[[#This Row],[Durée (60)2]]))*24)</f>
        <v>2</v>
      </c>
      <c r="K31" s="62" t="n">
        <f aca="false">SUMIF(Horo8299[Jour],C31,Horo8299[Durée])</f>
        <v>10.25</v>
      </c>
      <c r="L31" s="54" t="n">
        <f aca="false">IFERROR(SUMIF(Horo8299[[#This Row],[Jour]],Horo8299[[#This Row],[Jour]],Horo8299[[#This Row],[GPF]]) / Horo8299[[#This Row],[hrs]],"")</f>
        <v>0.195121951219512</v>
      </c>
      <c r="M31" s="56" t="n">
        <f aca="false">IF("GPF"=Horo8299[[#This Row],[Tâche]],Horo8299[[#This Row],[Durée]],"")</f>
        <v>2</v>
      </c>
      <c r="N31" s="56" t="str">
        <f aca="false">IF("RI"=Horo8299[[#This Row],[Tâche]],Horo8299[[#This Row],[Durée]],"")</f>
        <v/>
      </c>
      <c r="O31" s="56" t="str">
        <f aca="false">IF("GB"=Horo8299[[#This Row],[Tâche]],Horo8299[[#This Row],[Durée]],"")</f>
        <v/>
      </c>
      <c r="P31" s="56" t="str">
        <f aca="false">IF("RD"=Horo8299[[#This Row],[Tâche]],Horo8299[[#This Row],[Durée]],"")</f>
        <v/>
      </c>
      <c r="Q31" s="56" t="str">
        <f aca="false">IF("FG"=Horo8299[[#This Row],[Tâche]],Horo8299[[#This Row],[Durée]],"")</f>
        <v/>
      </c>
      <c r="R31" s="56" t="str">
        <f aca="false">IF("CONGÉ"=Horo8299[[#This Row],[Tâche]],Horo8299[[#This Row],[Durée]],"")</f>
        <v/>
      </c>
      <c r="S31" s="57" t="str">
        <f aca="false">IF("PS"=Horo8299[[#This Row],[Tâche]],Horo8299[[#This Row],[Durée]],"")</f>
        <v/>
      </c>
      <c r="T31" s="56" t="str">
        <f aca="false">IF("TD"=Horo8299[[#This Row],[Tâche]],Horo8299[[#This Row],[Durée]],"")</f>
        <v/>
      </c>
      <c r="U31" s="55" t="str">
        <f aca="false">IF("N/C"=Horo8299[[#This Row],[Tâche]],Horo8299[[#This Row],[Durée]],"")</f>
        <v/>
      </c>
      <c r="V31" s="58"/>
      <c r="W31" s="59" t="str">
        <f aca="false">IF(Horo8299[[#This Row],[O]]="o",Horo8299[[#This Row],[Durée]],".")</f>
        <v>.</v>
      </c>
      <c r="X31" s="60" t="n">
        <f aca="false">IF(Horo8299[[#This Row],[Début]]=0,"",Horo8299[[#This Row],[Fin]]-Horo8299[[#This Row],[Début]])</f>
        <v>0.0833333333333334</v>
      </c>
    </row>
    <row r="32" customFormat="false" ht="15" hidden="false" customHeight="false" outlineLevel="0" collapsed="false">
      <c r="A32" s="45" t="s">
        <v>33</v>
      </c>
      <c r="B32" s="46" t="n">
        <f aca="false">IF(Horo8299[[#This Row],[Jour]]="Lundi",$C$1+1, IF(Horo8299[[#This Row],[Jour]]="Mardi",$C$1+2, IF(Horo8299[[#This Row],[Jour]]="Mercredi",$C$1+3, IF(Horo8299[[#This Row],[Jour]]="Jeudi",$C$1+4, IF(Horo8299[[#This Row],[Jour]]="Vendredi",$C$1+5, IF(Horo8299[[#This Row],[Jour]]="Samedi",$C$1+6, IF(Horo8299[[#This Row],[Jour]]="Dimanche",$C$1, )))))))</f>
        <v>44393</v>
      </c>
      <c r="C32" s="47" t="s">
        <v>3</v>
      </c>
      <c r="D32" s="48" t="n">
        <v>0.6875</v>
      </c>
      <c r="E32" s="48" t="n">
        <v>0.75</v>
      </c>
      <c r="F32" s="49" t="s">
        <v>32</v>
      </c>
      <c r="G32" s="49" t="s">
        <v>23</v>
      </c>
      <c r="H32" s="50" t="s">
        <v>109</v>
      </c>
      <c r="I32" s="61"/>
      <c r="J32" s="52" t="n">
        <f aca="false">IF(Horo8299[[#This Row],[Début]]=0,"",(Horo8299[[#This Row],[Durée (60)2]]-INT(Horo8299[[#This Row],[Durée (60)2]]))*24)</f>
        <v>1.5</v>
      </c>
      <c r="K32" s="62" t="n">
        <f aca="false">SUMIF(Horo8299[Jour],C32,Horo8299[Durée])</f>
        <v>10.25</v>
      </c>
      <c r="L32" s="54" t="n">
        <f aca="false">IFERROR(SUMIF(Horo8299[[#This Row],[Jour]],Horo8299[[#This Row],[Jour]],Horo8299[[#This Row],[GPF]]) / Horo8299[[#This Row],[hrs]],"")</f>
        <v>0</v>
      </c>
      <c r="M32" s="56" t="str">
        <f aca="false">IF("GPF"=Horo8299[[#This Row],[Tâche]],Horo8299[[#This Row],[Durée]],"")</f>
        <v/>
      </c>
      <c r="N32" s="56" t="str">
        <f aca="false">IF("RI"=Horo8299[[#This Row],[Tâche]],Horo8299[[#This Row],[Durée]],"")</f>
        <v/>
      </c>
      <c r="O32" s="56" t="str">
        <f aca="false">IF("GB"=Horo8299[[#This Row],[Tâche]],Horo8299[[#This Row],[Durée]],"")</f>
        <v/>
      </c>
      <c r="P32" s="56" t="str">
        <f aca="false">IF("RD"=Horo8299[[#This Row],[Tâche]],Horo8299[[#This Row],[Durée]],"")</f>
        <v/>
      </c>
      <c r="Q32" s="56" t="n">
        <f aca="false">IF("FG"=Horo8299[[#This Row],[Tâche]],Horo8299[[#This Row],[Durée]],"")</f>
        <v>1.5</v>
      </c>
      <c r="R32" s="56" t="str">
        <f aca="false">IF("CONGÉ"=Horo8299[[#This Row],[Tâche]],Horo8299[[#This Row],[Durée]],"")</f>
        <v/>
      </c>
      <c r="S32" s="57" t="str">
        <f aca="false">IF("PS"=Horo8299[[#This Row],[Tâche]],Horo8299[[#This Row],[Durée]],"")</f>
        <v/>
      </c>
      <c r="T32" s="56" t="str">
        <f aca="false">IF("TD"=Horo8299[[#This Row],[Tâche]],Horo8299[[#This Row],[Durée]],"")</f>
        <v/>
      </c>
      <c r="U32" s="55" t="str">
        <f aca="false">IF("N/C"=Horo8299[[#This Row],[Tâche]],Horo8299[[#This Row],[Durée]],"")</f>
        <v/>
      </c>
      <c r="V32" s="58"/>
      <c r="W32" s="59" t="str">
        <f aca="false">IF(Horo8299[[#This Row],[O]]="o",Horo8299[[#This Row],[Durée]],".")</f>
        <v>.</v>
      </c>
      <c r="X32" s="60" t="n">
        <f aca="false">IF(Horo8299[[#This Row],[Début]]=0,"",Horo8299[[#This Row],[Fin]]-Horo8299[[#This Row],[Début]])</f>
        <v>0.0625</v>
      </c>
    </row>
    <row r="33" customFormat="false" ht="15" hidden="false" customHeight="false" outlineLevel="0" collapsed="false">
      <c r="A33" s="45" t="s">
        <v>33</v>
      </c>
      <c r="B33" s="46" t="n">
        <f aca="false">IF(Horo8299[[#This Row],[Jour]]="Lundi",$C$1+1, IF(Horo8299[[#This Row],[Jour]]="Mardi",$C$1+2, IF(Horo8299[[#This Row],[Jour]]="Mercredi",$C$1+3, IF(Horo8299[[#This Row],[Jour]]="Jeudi",$C$1+4, IF(Horo8299[[#This Row],[Jour]]="Vendredi",$C$1+5, IF(Horo8299[[#This Row],[Jour]]="Samedi",$C$1+6, IF(Horo8299[[#This Row],[Jour]]="Dimanche",$C$1, )))))))</f>
        <v>44393</v>
      </c>
      <c r="C33" s="47" t="s">
        <v>3</v>
      </c>
      <c r="D33" s="48" t="n">
        <v>0.75</v>
      </c>
      <c r="E33" s="48" t="n">
        <v>0.822916666666667</v>
      </c>
      <c r="F33" s="49" t="s">
        <v>59</v>
      </c>
      <c r="G33" s="49" t="s">
        <v>19</v>
      </c>
      <c r="H33" s="50" t="s">
        <v>114</v>
      </c>
      <c r="I33" s="61" t="s">
        <v>198</v>
      </c>
      <c r="J33" s="52" t="n">
        <f aca="false">IF(Horo8299[[#This Row],[Début]]=0,"",(Horo8299[[#This Row],[Durée (60)2]]-INT(Horo8299[[#This Row],[Durée (60)2]]))*24)</f>
        <v>1.75</v>
      </c>
      <c r="K33" s="62" t="n">
        <f aca="false">SUMIF(Horo8299[Jour],C33,Horo8299[Durée])</f>
        <v>10.25</v>
      </c>
      <c r="L33" s="54" t="n">
        <f aca="false">IFERROR(SUMIF(Horo8299[[#This Row],[Jour]],Horo8299[[#This Row],[Jour]],Horo8299[[#This Row],[GPF]]) / Horo8299[[#This Row],[hrs]],"")</f>
        <v>0.170731707317073</v>
      </c>
      <c r="M33" s="56" t="n">
        <f aca="false">IF("GPF"=Horo8299[[#This Row],[Tâche]],Horo8299[[#This Row],[Durée]],"")</f>
        <v>1.75</v>
      </c>
      <c r="N33" s="56" t="str">
        <f aca="false">IF("RI"=Horo8299[[#This Row],[Tâche]],Horo8299[[#This Row],[Durée]],"")</f>
        <v/>
      </c>
      <c r="O33" s="56" t="str">
        <f aca="false">IF("GB"=Horo8299[[#This Row],[Tâche]],Horo8299[[#This Row],[Durée]],"")</f>
        <v/>
      </c>
      <c r="P33" s="56" t="str">
        <f aca="false">IF("RD"=Horo8299[[#This Row],[Tâche]],Horo8299[[#This Row],[Durée]],"")</f>
        <v/>
      </c>
      <c r="Q33" s="56" t="str">
        <f aca="false">IF("FG"=Horo8299[[#This Row],[Tâche]],Horo8299[[#This Row],[Durée]],"")</f>
        <v/>
      </c>
      <c r="R33" s="56" t="str">
        <f aca="false">IF("CONGÉ"=Horo8299[[#This Row],[Tâche]],Horo8299[[#This Row],[Durée]],"")</f>
        <v/>
      </c>
      <c r="S33" s="57" t="str">
        <f aca="false">IF("PS"=Horo8299[[#This Row],[Tâche]],Horo8299[[#This Row],[Durée]],"")</f>
        <v/>
      </c>
      <c r="T33" s="56" t="str">
        <f aca="false">IF("TD"=Horo8299[[#This Row],[Tâche]],Horo8299[[#This Row],[Durée]],"")</f>
        <v/>
      </c>
      <c r="U33" s="55" t="str">
        <f aca="false">IF("N/C"=Horo8299[[#This Row],[Tâche]],Horo8299[[#This Row],[Durée]],"")</f>
        <v/>
      </c>
      <c r="V33" s="58"/>
      <c r="W33" s="59" t="str">
        <f aca="false">IF(Horo8299[[#This Row],[O]]="o",Horo8299[[#This Row],[Durée]],".")</f>
        <v>.</v>
      </c>
      <c r="X33" s="60" t="n">
        <f aca="false">IF(Horo8299[[#This Row],[Début]]=0,"",Horo8299[[#This Row],[Fin]]-Horo8299[[#This Row],[Début]])</f>
        <v>0.0729166666666666</v>
      </c>
    </row>
    <row r="34" customFormat="false" ht="15" hidden="false" customHeight="false" outlineLevel="0" collapsed="false">
      <c r="A34" s="45" t="s">
        <v>33</v>
      </c>
      <c r="B34" s="46" t="n">
        <f aca="false">IF(Horo8299[[#This Row],[Jour]]="Lundi",$C$1+1, IF(Horo8299[[#This Row],[Jour]]="Mardi",$C$1+2, IF(Horo8299[[#This Row],[Jour]]="Mercredi",$C$1+3, IF(Horo8299[[#This Row],[Jour]]="Jeudi",$C$1+4, IF(Horo8299[[#This Row],[Jour]]="Vendredi",$C$1+5, IF(Horo8299[[#This Row],[Jour]]="Samedi",$C$1+6, IF(Horo8299[[#This Row],[Jour]]="Dimanche",$C$1, )))))))</f>
        <v>44393</v>
      </c>
      <c r="C34" s="47" t="s">
        <v>3</v>
      </c>
      <c r="D34" s="48" t="n">
        <v>0.84375</v>
      </c>
      <c r="E34" s="48" t="n">
        <v>0.864583333333333</v>
      </c>
      <c r="F34" s="49" t="s">
        <v>59</v>
      </c>
      <c r="G34" s="49" t="s">
        <v>19</v>
      </c>
      <c r="H34" s="50" t="s">
        <v>114</v>
      </c>
      <c r="I34" s="61" t="s">
        <v>199</v>
      </c>
      <c r="J34" s="52" t="n">
        <f aca="false">IF(Horo8299[[#This Row],[Début]]=0,"",(Horo8299[[#This Row],[Durée (60)2]]-INT(Horo8299[[#This Row],[Durée (60)2]]))*24)</f>
        <v>0.500000000000001</v>
      </c>
      <c r="K34" s="62" t="n">
        <f aca="false">SUMIF(Horo8299[Jour],C34,Horo8299[Durée])</f>
        <v>10.25</v>
      </c>
      <c r="L34" s="54" t="n">
        <f aca="false">IFERROR(SUMIF(Horo8299[[#This Row],[Jour]],Horo8299[[#This Row],[Jour]],Horo8299[[#This Row],[GPF]]) / Horo8299[[#This Row],[hrs]],"")</f>
        <v>0.0487804878048781</v>
      </c>
      <c r="M34" s="56" t="n">
        <f aca="false">IF("GPF"=Horo8299[[#This Row],[Tâche]],Horo8299[[#This Row],[Durée]],"")</f>
        <v>0.500000000000001</v>
      </c>
      <c r="N34" s="56" t="str">
        <f aca="false">IF("RI"=Horo8299[[#This Row],[Tâche]],Horo8299[[#This Row],[Durée]],"")</f>
        <v/>
      </c>
      <c r="O34" s="56" t="str">
        <f aca="false">IF("GB"=Horo8299[[#This Row],[Tâche]],Horo8299[[#This Row],[Durée]],"")</f>
        <v/>
      </c>
      <c r="P34" s="56" t="str">
        <f aca="false">IF("RD"=Horo8299[[#This Row],[Tâche]],Horo8299[[#This Row],[Durée]],"")</f>
        <v/>
      </c>
      <c r="Q34" s="56" t="str">
        <f aca="false">IF("FG"=Horo8299[[#This Row],[Tâche]],Horo8299[[#This Row],[Durée]],"")</f>
        <v/>
      </c>
      <c r="R34" s="56" t="str">
        <f aca="false">IF("CONGÉ"=Horo8299[[#This Row],[Tâche]],Horo8299[[#This Row],[Durée]],"")</f>
        <v/>
      </c>
      <c r="S34" s="57" t="str">
        <f aca="false">IF("PS"=Horo8299[[#This Row],[Tâche]],Horo8299[[#This Row],[Durée]],"")</f>
        <v/>
      </c>
      <c r="T34" s="56" t="str">
        <f aca="false">IF("TD"=Horo8299[[#This Row],[Tâche]],Horo8299[[#This Row],[Durée]],"")</f>
        <v/>
      </c>
      <c r="U34" s="55" t="str">
        <f aca="false">IF("N/C"=Horo8299[[#This Row],[Tâche]],Horo8299[[#This Row],[Durée]],"")</f>
        <v/>
      </c>
      <c r="V34" s="58"/>
      <c r="W34" s="59" t="str">
        <f aca="false">IF(Horo8299[[#This Row],[O]]="o",Horo8299[[#This Row],[Durée]],".")</f>
        <v>.</v>
      </c>
      <c r="X34" s="60" t="n">
        <f aca="false">IF(Horo8299[[#This Row],[Début]]=0,"",Horo8299[[#This Row],[Fin]]-Horo8299[[#This Row],[Début]])</f>
        <v>0.0208333333333334</v>
      </c>
    </row>
    <row r="35" customFormat="false" ht="15" hidden="false" customHeight="false" outlineLevel="0" collapsed="false">
      <c r="A35" s="45" t="s">
        <v>33</v>
      </c>
      <c r="B35" s="46" t="n">
        <f aca="false">IF(Horo8299[[#This Row],[Jour]]="Lundi",$C$1+1, IF(Horo8299[[#This Row],[Jour]]="Mardi",$C$1+2, IF(Horo8299[[#This Row],[Jour]]="Mercredi",$C$1+3, IF(Horo8299[[#This Row],[Jour]]="Jeudi",$C$1+4, IF(Horo8299[[#This Row],[Jour]]="Vendredi",$C$1+5, IF(Horo8299[[#This Row],[Jour]]="Samedi",$C$1+6, IF(Horo8299[[#This Row],[Jour]]="Dimanche",$C$1, )))))))</f>
        <v>44394</v>
      </c>
      <c r="C35" s="47" t="s">
        <v>4</v>
      </c>
      <c r="D35" s="48" t="n">
        <v>0.322916666666667</v>
      </c>
      <c r="E35" s="48" t="n">
        <v>0.354166666666667</v>
      </c>
      <c r="F35" s="49" t="s">
        <v>32</v>
      </c>
      <c r="G35" s="49" t="s">
        <v>21</v>
      </c>
      <c r="H35" s="50" t="s">
        <v>33</v>
      </c>
      <c r="I35" s="51"/>
      <c r="J35" s="52" t="n">
        <f aca="false">IF(Horo8299[[#This Row],[Début]]=0,"",(Horo8299[[#This Row],[Durée (60)2]]-INT(Horo8299[[#This Row],[Durée (60)2]]))*24)</f>
        <v>0.75</v>
      </c>
      <c r="K35" s="62" t="n">
        <f aca="false">SUMIF(Horo8299[Jour],C35,Horo8299[Durée])</f>
        <v>7.5</v>
      </c>
      <c r="L35" s="54" t="n">
        <f aca="false">IFERROR(SUMIF(Horo8299[[#This Row],[Jour]],Horo8299[[#This Row],[Jour]],Horo8299[[#This Row],[GPF]]) / Horo8299[[#This Row],[hrs]],"")</f>
        <v>0</v>
      </c>
      <c r="M35" s="56" t="str">
        <f aca="false">IF("GPF"=Horo8299[[#This Row],[Tâche]],Horo8299[[#This Row],[Durée]],"")</f>
        <v/>
      </c>
      <c r="N35" s="56" t="str">
        <f aca="false">IF("RI"=Horo8299[[#This Row],[Tâche]],Horo8299[[#This Row],[Durée]],"")</f>
        <v/>
      </c>
      <c r="O35" s="56" t="n">
        <f aca="false">IF("GB"=Horo8299[[#This Row],[Tâche]],Horo8299[[#This Row],[Durée]],"")</f>
        <v>0.75</v>
      </c>
      <c r="P35" s="56" t="str">
        <f aca="false">IF("RD"=Horo8299[[#This Row],[Tâche]],Horo8299[[#This Row],[Durée]],"")</f>
        <v/>
      </c>
      <c r="Q35" s="56" t="str">
        <f aca="false">IF("FG"=Horo8299[[#This Row],[Tâche]],Horo8299[[#This Row],[Durée]],"")</f>
        <v/>
      </c>
      <c r="R35" s="56" t="str">
        <f aca="false">IF("CONGÉ"=Horo8299[[#This Row],[Tâche]],Horo8299[[#This Row],[Durée]],"")</f>
        <v/>
      </c>
      <c r="S35" s="57" t="str">
        <f aca="false">IF("PS"=Horo8299[[#This Row],[Tâche]],Horo8299[[#This Row],[Durée]],"")</f>
        <v/>
      </c>
      <c r="T35" s="56" t="str">
        <f aca="false">IF("TD"=Horo8299[[#This Row],[Tâche]],Horo8299[[#This Row],[Durée]],"")</f>
        <v/>
      </c>
      <c r="U35" s="55" t="str">
        <f aca="false">IF("N/C"=Horo8299[[#This Row],[Tâche]],Horo8299[[#This Row],[Durée]],"")</f>
        <v/>
      </c>
      <c r="V35" s="58"/>
      <c r="W35" s="59" t="str">
        <f aca="false">IF(Horo8299[[#This Row],[O]]="o",Horo8299[[#This Row],[Durée]],".")</f>
        <v>.</v>
      </c>
      <c r="X35" s="60" t="n">
        <f aca="false">IF(Horo8299[[#This Row],[Début]]=0,"",Horo8299[[#This Row],[Fin]]-Horo8299[[#This Row],[Début]])</f>
        <v>0.03125</v>
      </c>
    </row>
    <row r="36" customFormat="false" ht="15" hidden="false" customHeight="false" outlineLevel="0" collapsed="false">
      <c r="A36" s="45" t="s">
        <v>33</v>
      </c>
      <c r="B36" s="46" t="n">
        <f aca="false">IF(Horo8299[[#This Row],[Jour]]="Lundi",$C$1+1, IF(Horo8299[[#This Row],[Jour]]="Mardi",$C$1+2, IF(Horo8299[[#This Row],[Jour]]="Mercredi",$C$1+3, IF(Horo8299[[#This Row],[Jour]]="Jeudi",$C$1+4, IF(Horo8299[[#This Row],[Jour]]="Vendredi",$C$1+5, IF(Horo8299[[#This Row],[Jour]]="Samedi",$C$1+6, IF(Horo8299[[#This Row],[Jour]]="Dimanche",$C$1, )))))))</f>
        <v>44394</v>
      </c>
      <c r="C36" s="47" t="s">
        <v>4</v>
      </c>
      <c r="D36" s="48" t="n">
        <v>0.354166666666667</v>
      </c>
      <c r="E36" s="48" t="n">
        <v>0.375</v>
      </c>
      <c r="F36" s="49" t="s">
        <v>75</v>
      </c>
      <c r="G36" s="49" t="s">
        <v>19</v>
      </c>
      <c r="H36" s="50" t="s">
        <v>55</v>
      </c>
      <c r="I36" s="51"/>
      <c r="J36" s="52" t="n">
        <f aca="false">IF(Horo8299[[#This Row],[Début]]=0,"",(Horo8299[[#This Row],[Durée (60)2]]-INT(Horo8299[[#This Row],[Durée (60)2]]))*24)</f>
        <v>0.5</v>
      </c>
      <c r="K36" s="62" t="n">
        <f aca="false">SUMIF(Horo8299[Jour],C36,Horo8299[Durée])</f>
        <v>7.5</v>
      </c>
      <c r="L36" s="54" t="n">
        <f aca="false">IFERROR(SUMIF(Horo8299[[#This Row],[Jour]],Horo8299[[#This Row],[Jour]],Horo8299[[#This Row],[GPF]]) / Horo8299[[#This Row],[hrs]],"")</f>
        <v>0.0666666666666666</v>
      </c>
      <c r="M36" s="56" t="n">
        <f aca="false">IF("GPF"=Horo8299[[#This Row],[Tâche]],Horo8299[[#This Row],[Durée]],"")</f>
        <v>0.5</v>
      </c>
      <c r="N36" s="56" t="str">
        <f aca="false">IF("RI"=Horo8299[[#This Row],[Tâche]],Horo8299[[#This Row],[Durée]],"")</f>
        <v/>
      </c>
      <c r="O36" s="56" t="str">
        <f aca="false">IF("GB"=Horo8299[[#This Row],[Tâche]],Horo8299[[#This Row],[Durée]],"")</f>
        <v/>
      </c>
      <c r="P36" s="56" t="str">
        <f aca="false">IF("RD"=Horo8299[[#This Row],[Tâche]],Horo8299[[#This Row],[Durée]],"")</f>
        <v/>
      </c>
      <c r="Q36" s="56" t="str">
        <f aca="false">IF("FG"=Horo8299[[#This Row],[Tâche]],Horo8299[[#This Row],[Durée]],"")</f>
        <v/>
      </c>
      <c r="R36" s="56" t="str">
        <f aca="false">IF("CONGÉ"=Horo8299[[#This Row],[Tâche]],Horo8299[[#This Row],[Durée]],"")</f>
        <v/>
      </c>
      <c r="S36" s="57" t="str">
        <f aca="false">IF("PS"=Horo8299[[#This Row],[Tâche]],Horo8299[[#This Row],[Durée]],"")</f>
        <v/>
      </c>
      <c r="T36" s="56" t="str">
        <f aca="false">IF("TD"=Horo8299[[#This Row],[Tâche]],Horo8299[[#This Row],[Durée]],"")</f>
        <v/>
      </c>
      <c r="U36" s="55" t="str">
        <f aca="false">IF("N/C"=Horo8299[[#This Row],[Tâche]],Horo8299[[#This Row],[Durée]],"")</f>
        <v/>
      </c>
      <c r="V36" s="58"/>
      <c r="W36" s="59" t="str">
        <f aca="false">IF(Horo8299[[#This Row],[O]]="o",Horo8299[[#This Row],[Durée]],".")</f>
        <v>.</v>
      </c>
      <c r="X36" s="60" t="n">
        <f aca="false">IF(Horo8299[[#This Row],[Début]]=0,"",Horo8299[[#This Row],[Fin]]-Horo8299[[#This Row],[Début]])</f>
        <v>0.0208333333333333</v>
      </c>
    </row>
    <row r="37" customFormat="false" ht="15" hidden="false" customHeight="false" outlineLevel="0" collapsed="false">
      <c r="A37" s="45" t="s">
        <v>33</v>
      </c>
      <c r="B37" s="46" t="n">
        <f aca="false">IF(Horo8299[[#This Row],[Jour]]="Lundi",$C$1+1, IF(Horo8299[[#This Row],[Jour]]="Mardi",$C$1+2, IF(Horo8299[[#This Row],[Jour]]="Mercredi",$C$1+3, IF(Horo8299[[#This Row],[Jour]]="Jeudi",$C$1+4, IF(Horo8299[[#This Row],[Jour]]="Vendredi",$C$1+5, IF(Horo8299[[#This Row],[Jour]]="Samedi",$C$1+6, IF(Horo8299[[#This Row],[Jour]]="Dimanche",$C$1, )))))))</f>
        <v>44394</v>
      </c>
      <c r="C37" s="47" t="s">
        <v>4</v>
      </c>
      <c r="D37" s="48" t="n">
        <v>0.375</v>
      </c>
      <c r="E37" s="48" t="n">
        <v>0.395833333333333</v>
      </c>
      <c r="F37" s="49" t="s">
        <v>59</v>
      </c>
      <c r="G37" s="49" t="s">
        <v>19</v>
      </c>
      <c r="H37" s="50" t="s">
        <v>55</v>
      </c>
      <c r="I37" s="51"/>
      <c r="J37" s="52" t="n">
        <f aca="false">IF(Horo8299[[#This Row],[Début]]=0,"",(Horo8299[[#This Row],[Durée (60)2]]-INT(Horo8299[[#This Row],[Durée (60)2]]))*24)</f>
        <v>0.5</v>
      </c>
      <c r="K37" s="62" t="n">
        <f aca="false">SUMIF(Horo8299[Jour],C37,Horo8299[Durée])</f>
        <v>7.5</v>
      </c>
      <c r="L37" s="54" t="n">
        <f aca="false">IFERROR(SUMIF(Horo8299[[#This Row],[Jour]],Horo8299[[#This Row],[Jour]],Horo8299[[#This Row],[GPF]]) / Horo8299[[#This Row],[hrs]],"")</f>
        <v>0.0666666666666666</v>
      </c>
      <c r="M37" s="56" t="n">
        <f aca="false">IF("GPF"=Horo8299[[#This Row],[Tâche]],Horo8299[[#This Row],[Durée]],"")</f>
        <v>0.5</v>
      </c>
      <c r="N37" s="56" t="str">
        <f aca="false">IF("RI"=Horo8299[[#This Row],[Tâche]],Horo8299[[#This Row],[Durée]],"")</f>
        <v/>
      </c>
      <c r="O37" s="56" t="str">
        <f aca="false">IF("GB"=Horo8299[[#This Row],[Tâche]],Horo8299[[#This Row],[Durée]],"")</f>
        <v/>
      </c>
      <c r="P37" s="56" t="str">
        <f aca="false">IF("RD"=Horo8299[[#This Row],[Tâche]],Horo8299[[#This Row],[Durée]],"")</f>
        <v/>
      </c>
      <c r="Q37" s="56" t="str">
        <f aca="false">IF("FG"=Horo8299[[#This Row],[Tâche]],Horo8299[[#This Row],[Durée]],"")</f>
        <v/>
      </c>
      <c r="R37" s="56" t="str">
        <f aca="false">IF("CONGÉ"=Horo8299[[#This Row],[Tâche]],Horo8299[[#This Row],[Durée]],"")</f>
        <v/>
      </c>
      <c r="S37" s="57" t="str">
        <f aca="false">IF("PS"=Horo8299[[#This Row],[Tâche]],Horo8299[[#This Row],[Durée]],"")</f>
        <v/>
      </c>
      <c r="T37" s="56" t="str">
        <f aca="false">IF("TD"=Horo8299[[#This Row],[Tâche]],Horo8299[[#This Row],[Durée]],"")</f>
        <v/>
      </c>
      <c r="U37" s="55" t="str">
        <f aca="false">IF("N/C"=Horo8299[[#This Row],[Tâche]],Horo8299[[#This Row],[Durée]],"")</f>
        <v/>
      </c>
      <c r="V37" s="58"/>
      <c r="W37" s="59" t="str">
        <f aca="false">IF(Horo8299[[#This Row],[O]]="o",Horo8299[[#This Row],[Durée]],".")</f>
        <v>.</v>
      </c>
      <c r="X37" s="60" t="n">
        <f aca="false">IF(Horo8299[[#This Row],[Début]]=0,"",Horo8299[[#This Row],[Fin]]-Horo8299[[#This Row],[Début]])</f>
        <v>0.0208333333333333</v>
      </c>
    </row>
    <row r="38" customFormat="false" ht="15" hidden="false" customHeight="false" outlineLevel="0" collapsed="false">
      <c r="A38" s="45" t="s">
        <v>33</v>
      </c>
      <c r="B38" s="46" t="n">
        <f aca="false">IF(Horo8299[[#This Row],[Jour]]="Lundi",$C$1+1, IF(Horo8299[[#This Row],[Jour]]="Mardi",$C$1+2, IF(Horo8299[[#This Row],[Jour]]="Mercredi",$C$1+3, IF(Horo8299[[#This Row],[Jour]]="Jeudi",$C$1+4, IF(Horo8299[[#This Row],[Jour]]="Vendredi",$C$1+5, IF(Horo8299[[#This Row],[Jour]]="Samedi",$C$1+6, IF(Horo8299[[#This Row],[Jour]]="Dimanche",$C$1, )))))))</f>
        <v>44394</v>
      </c>
      <c r="C38" s="47" t="s">
        <v>4</v>
      </c>
      <c r="D38" s="48" t="n">
        <v>0.40625</v>
      </c>
      <c r="E38" s="48" t="n">
        <v>0.46875</v>
      </c>
      <c r="F38" s="49" t="s">
        <v>61</v>
      </c>
      <c r="G38" s="49" t="s">
        <v>19</v>
      </c>
      <c r="H38" s="50" t="s">
        <v>42</v>
      </c>
      <c r="I38" s="61" t="s">
        <v>200</v>
      </c>
      <c r="J38" s="52" t="n">
        <f aca="false">IF(Horo8299[[#This Row],[Début]]=0,"",(Horo8299[[#This Row],[Durée (60)2]]-INT(Horo8299[[#This Row],[Durée (60)2]]))*24)</f>
        <v>1.5</v>
      </c>
      <c r="K38" s="62" t="n">
        <f aca="false">SUMIF(Horo8299[Jour],C38,Horo8299[Durée])</f>
        <v>7.5</v>
      </c>
      <c r="L38" s="54" t="n">
        <f aca="false">IFERROR(SUMIF(Horo8299[[#This Row],[Jour]],Horo8299[[#This Row],[Jour]],Horo8299[[#This Row],[GPF]]) / Horo8299[[#This Row],[hrs]],"")</f>
        <v>0.2</v>
      </c>
      <c r="M38" s="56" t="n">
        <f aca="false">IF("GPF"=Horo8299[[#This Row],[Tâche]],Horo8299[[#This Row],[Durée]],"")</f>
        <v>1.5</v>
      </c>
      <c r="N38" s="56" t="str">
        <f aca="false">IF("RI"=Horo8299[[#This Row],[Tâche]],Horo8299[[#This Row],[Durée]],"")</f>
        <v/>
      </c>
      <c r="O38" s="56" t="str">
        <f aca="false">IF("GB"=Horo8299[[#This Row],[Tâche]],Horo8299[[#This Row],[Durée]],"")</f>
        <v/>
      </c>
      <c r="P38" s="56" t="str">
        <f aca="false">IF("RD"=Horo8299[[#This Row],[Tâche]],Horo8299[[#This Row],[Durée]],"")</f>
        <v/>
      </c>
      <c r="Q38" s="56" t="str">
        <f aca="false">IF("FG"=Horo8299[[#This Row],[Tâche]],Horo8299[[#This Row],[Durée]],"")</f>
        <v/>
      </c>
      <c r="R38" s="56" t="str">
        <f aca="false">IF("CONGÉ"=Horo8299[[#This Row],[Tâche]],Horo8299[[#This Row],[Durée]],"")</f>
        <v/>
      </c>
      <c r="S38" s="57" t="str">
        <f aca="false">IF("PS"=Horo8299[[#This Row],[Tâche]],Horo8299[[#This Row],[Durée]],"")</f>
        <v/>
      </c>
      <c r="T38" s="56" t="str">
        <f aca="false">IF("TD"=Horo8299[[#This Row],[Tâche]],Horo8299[[#This Row],[Durée]],"")</f>
        <v/>
      </c>
      <c r="U38" s="55" t="str">
        <f aca="false">IF("N/C"=Horo8299[[#This Row],[Tâche]],Horo8299[[#This Row],[Durée]],"")</f>
        <v/>
      </c>
      <c r="V38" s="58"/>
      <c r="W38" s="59" t="str">
        <f aca="false">IF(Horo8299[[#This Row],[O]]="o",Horo8299[[#This Row],[Durée]],".")</f>
        <v>.</v>
      </c>
      <c r="X38" s="60" t="n">
        <f aca="false">IF(Horo8299[[#This Row],[Début]]=0,"",Horo8299[[#This Row],[Fin]]-Horo8299[[#This Row],[Début]])</f>
        <v>0.0625</v>
      </c>
    </row>
    <row r="39" customFormat="false" ht="15" hidden="false" customHeight="false" outlineLevel="0" collapsed="false">
      <c r="A39" s="45" t="s">
        <v>33</v>
      </c>
      <c r="B39" s="46" t="n">
        <f aca="false">IF(Horo8299[[#This Row],[Jour]]="Lundi",$C$1+1, IF(Horo8299[[#This Row],[Jour]]="Mardi",$C$1+2, IF(Horo8299[[#This Row],[Jour]]="Mercredi",$C$1+3, IF(Horo8299[[#This Row],[Jour]]="Jeudi",$C$1+4, IF(Horo8299[[#This Row],[Jour]]="Vendredi",$C$1+5, IF(Horo8299[[#This Row],[Jour]]="Samedi",$C$1+6, IF(Horo8299[[#This Row],[Jour]]="Dimanche",$C$1, )))))))</f>
        <v>44394</v>
      </c>
      <c r="C39" s="47" t="s">
        <v>4</v>
      </c>
      <c r="D39" s="48" t="n">
        <v>0.46875</v>
      </c>
      <c r="E39" s="48" t="n">
        <v>0.5</v>
      </c>
      <c r="F39" s="49" t="s">
        <v>32</v>
      </c>
      <c r="G39" s="49" t="s">
        <v>22</v>
      </c>
      <c r="H39" s="50" t="s">
        <v>33</v>
      </c>
      <c r="I39" s="61"/>
      <c r="J39" s="52" t="n">
        <f aca="false">IF(Horo8299[[#This Row],[Début]]=0,"",(Horo8299[[#This Row],[Durée (60)2]]-INT(Horo8299[[#This Row],[Durée (60)2]]))*24)</f>
        <v>0.75</v>
      </c>
      <c r="K39" s="62" t="n">
        <f aca="false">SUMIF(Horo8299[Jour],C39,Horo8299[Durée])</f>
        <v>7.5</v>
      </c>
      <c r="L39" s="54" t="n">
        <f aca="false">IFERROR(SUMIF(Horo8299[[#This Row],[Jour]],Horo8299[[#This Row],[Jour]],Horo8299[[#This Row],[GPF]]) / Horo8299[[#This Row],[hrs]],"")</f>
        <v>0</v>
      </c>
      <c r="M39" s="56" t="str">
        <f aca="false">IF("GPF"=Horo8299[[#This Row],[Tâche]],Horo8299[[#This Row],[Durée]],"")</f>
        <v/>
      </c>
      <c r="N39" s="56" t="str">
        <f aca="false">IF("RI"=Horo8299[[#This Row],[Tâche]],Horo8299[[#This Row],[Durée]],"")</f>
        <v/>
      </c>
      <c r="O39" s="56" t="str">
        <f aca="false">IF("GB"=Horo8299[[#This Row],[Tâche]],Horo8299[[#This Row],[Durée]],"")</f>
        <v/>
      </c>
      <c r="P39" s="56" t="n">
        <f aca="false">IF("RD"=Horo8299[[#This Row],[Tâche]],Horo8299[[#This Row],[Durée]],"")</f>
        <v>0.75</v>
      </c>
      <c r="Q39" s="56" t="str">
        <f aca="false">IF("FG"=Horo8299[[#This Row],[Tâche]],Horo8299[[#This Row],[Durée]],"")</f>
        <v/>
      </c>
      <c r="R39" s="56" t="str">
        <f aca="false">IF("CONGÉ"=Horo8299[[#This Row],[Tâche]],Horo8299[[#This Row],[Durée]],"")</f>
        <v/>
      </c>
      <c r="S39" s="57" t="str">
        <f aca="false">IF("PS"=Horo8299[[#This Row],[Tâche]],Horo8299[[#This Row],[Durée]],"")</f>
        <v/>
      </c>
      <c r="T39" s="56" t="str">
        <f aca="false">IF("TD"=Horo8299[[#This Row],[Tâche]],Horo8299[[#This Row],[Durée]],"")</f>
        <v/>
      </c>
      <c r="U39" s="55" t="str">
        <f aca="false">IF("N/C"=Horo8299[[#This Row],[Tâche]],Horo8299[[#This Row],[Durée]],"")</f>
        <v/>
      </c>
      <c r="V39" s="58"/>
      <c r="W39" s="59" t="str">
        <f aca="false">IF(Horo8299[[#This Row],[O]]="o",Horo8299[[#This Row],[Durée]],".")</f>
        <v>.</v>
      </c>
      <c r="X39" s="60" t="n">
        <f aca="false">IF(Horo8299[[#This Row],[Début]]=0,"",Horo8299[[#This Row],[Fin]]-Horo8299[[#This Row],[Début]])</f>
        <v>0.03125</v>
      </c>
    </row>
    <row r="40" customFormat="false" ht="15" hidden="false" customHeight="false" outlineLevel="0" collapsed="false">
      <c r="A40" s="45" t="s">
        <v>33</v>
      </c>
      <c r="B40" s="46" t="n">
        <f aca="false">IF(Horo8299[[#This Row],[Jour]]="Lundi",$C$1+1, IF(Horo8299[[#This Row],[Jour]]="Mardi",$C$1+2, IF(Horo8299[[#This Row],[Jour]]="Mercredi",$C$1+3, IF(Horo8299[[#This Row],[Jour]]="Jeudi",$C$1+4, IF(Horo8299[[#This Row],[Jour]]="Vendredi",$C$1+5, IF(Horo8299[[#This Row],[Jour]]="Samedi",$C$1+6, IF(Horo8299[[#This Row],[Jour]]="Dimanche",$C$1, )))))))</f>
        <v>44394</v>
      </c>
      <c r="C40" s="47" t="s">
        <v>4</v>
      </c>
      <c r="D40" s="48" t="n">
        <v>0.541666666666667</v>
      </c>
      <c r="E40" s="48" t="n">
        <v>0.572916666666667</v>
      </c>
      <c r="F40" s="49" t="s">
        <v>32</v>
      </c>
      <c r="G40" s="49" t="s">
        <v>21</v>
      </c>
      <c r="H40" s="50" t="s">
        <v>33</v>
      </c>
      <c r="I40" s="61"/>
      <c r="J40" s="52" t="n">
        <f aca="false">IF(Horo8299[[#This Row],[Début]]=0,"",(Horo8299[[#This Row],[Durée (60)2]]-INT(Horo8299[[#This Row],[Durée (60)2]]))*24)</f>
        <v>0.75</v>
      </c>
      <c r="K40" s="62" t="n">
        <f aca="false">SUMIF(Horo8299[Jour],C40,Horo8299[Durée])</f>
        <v>7.5</v>
      </c>
      <c r="L40" s="54" t="n">
        <f aca="false">IFERROR(SUMIF(Horo8299[[#This Row],[Jour]],Horo8299[[#This Row],[Jour]],Horo8299[[#This Row],[GPF]]) / Horo8299[[#This Row],[hrs]],"")</f>
        <v>0</v>
      </c>
      <c r="M40" s="56" t="str">
        <f aca="false">IF("GPF"=Horo8299[[#This Row],[Tâche]],Horo8299[[#This Row],[Durée]],"")</f>
        <v/>
      </c>
      <c r="N40" s="56" t="str">
        <f aca="false">IF("RI"=Horo8299[[#This Row],[Tâche]],Horo8299[[#This Row],[Durée]],"")</f>
        <v/>
      </c>
      <c r="O40" s="56" t="n">
        <f aca="false">IF("GB"=Horo8299[[#This Row],[Tâche]],Horo8299[[#This Row],[Durée]],"")</f>
        <v>0.75</v>
      </c>
      <c r="P40" s="56" t="str">
        <f aca="false">IF("RD"=Horo8299[[#This Row],[Tâche]],Horo8299[[#This Row],[Durée]],"")</f>
        <v/>
      </c>
      <c r="Q40" s="56" t="str">
        <f aca="false">IF("FG"=Horo8299[[#This Row],[Tâche]],Horo8299[[#This Row],[Durée]],"")</f>
        <v/>
      </c>
      <c r="R40" s="56" t="str">
        <f aca="false">IF("CONGÉ"=Horo8299[[#This Row],[Tâche]],Horo8299[[#This Row],[Durée]],"")</f>
        <v/>
      </c>
      <c r="S40" s="57" t="str">
        <f aca="false">IF("PS"=Horo8299[[#This Row],[Tâche]],Horo8299[[#This Row],[Durée]],"")</f>
        <v/>
      </c>
      <c r="T40" s="56" t="str">
        <f aca="false">IF("TD"=Horo8299[[#This Row],[Tâche]],Horo8299[[#This Row],[Durée]],"")</f>
        <v/>
      </c>
      <c r="U40" s="55" t="str">
        <f aca="false">IF("N/C"=Horo8299[[#This Row],[Tâche]],Horo8299[[#This Row],[Durée]],"")</f>
        <v/>
      </c>
      <c r="V40" s="58"/>
      <c r="W40" s="59" t="str">
        <f aca="false">IF(Horo8299[[#This Row],[O]]="o",Horo8299[[#This Row],[Durée]],".")</f>
        <v>.</v>
      </c>
      <c r="X40" s="60" t="n">
        <f aca="false">IF(Horo8299[[#This Row],[Début]]=0,"",Horo8299[[#This Row],[Fin]]-Horo8299[[#This Row],[Début]])</f>
        <v>0.03125</v>
      </c>
    </row>
    <row r="41" customFormat="false" ht="15" hidden="false" customHeight="false" outlineLevel="0" collapsed="false">
      <c r="A41" s="45" t="str">
        <f aca="false">IF(Horo8299[[#This Row],[Date]]="",".",".")</f>
        <v>.</v>
      </c>
      <c r="B41" s="46" t="n">
        <f aca="false">IF(Horo8299[[#This Row],[Jour]]="Lundi",$C$1+1, IF(Horo8299[[#This Row],[Jour]]="Mardi",$C$1+2, IF(Horo8299[[#This Row],[Jour]]="Mercredi",$C$1+3, IF(Horo8299[[#This Row],[Jour]]="Jeudi",$C$1+4, IF(Horo8299[[#This Row],[Jour]]="Vendredi",$C$1+5, IF(Horo8299[[#This Row],[Jour]]="Samedi",$C$1+6, IF(Horo8299[[#This Row],[Jour]]="Dimanche",$C$1, )))))))</f>
        <v>44394</v>
      </c>
      <c r="C41" s="47" t="s">
        <v>4</v>
      </c>
      <c r="D41" s="48" t="n">
        <v>0.75</v>
      </c>
      <c r="E41" s="48" t="n">
        <v>0.864583333333333</v>
      </c>
      <c r="F41" s="49" t="s">
        <v>32</v>
      </c>
      <c r="G41" s="49" t="s">
        <v>23</v>
      </c>
      <c r="H41" s="50" t="s">
        <v>109</v>
      </c>
      <c r="I41" s="61"/>
      <c r="J41" s="52" t="n">
        <f aca="false">IF(Horo8299[[#This Row],[Début]]=0,"",(Horo8299[[#This Row],[Durée (60)2]]-INT(Horo8299[[#This Row],[Durée (60)2]]))*24)</f>
        <v>2.75</v>
      </c>
      <c r="K41" s="62" t="n">
        <f aca="false">SUMIF(Horo8299[Jour],C41,Horo8299[Durée])</f>
        <v>7.5</v>
      </c>
      <c r="L41" s="54" t="n">
        <f aca="false">IFERROR(SUMIF(Horo8299[[#This Row],[Jour]],Horo8299[[#This Row],[Jour]],Horo8299[[#This Row],[GPF]]) / Horo8299[[#This Row],[hrs]],"")</f>
        <v>0</v>
      </c>
      <c r="M41" s="56" t="str">
        <f aca="false">IF("GPF"=Horo8299[[#This Row],[Tâche]],Horo8299[[#This Row],[Durée]],"")</f>
        <v/>
      </c>
      <c r="N41" s="56" t="str">
        <f aca="false">IF("RI"=Horo8299[[#This Row],[Tâche]],Horo8299[[#This Row],[Durée]],"")</f>
        <v/>
      </c>
      <c r="O41" s="56" t="str">
        <f aca="false">IF("GB"=Horo8299[[#This Row],[Tâche]],Horo8299[[#This Row],[Durée]],"")</f>
        <v/>
      </c>
      <c r="P41" s="56" t="str">
        <f aca="false">IF("RD"=Horo8299[[#This Row],[Tâche]],Horo8299[[#This Row],[Durée]],"")</f>
        <v/>
      </c>
      <c r="Q41" s="56" t="n">
        <f aca="false">IF("FG"=Horo8299[[#This Row],[Tâche]],Horo8299[[#This Row],[Durée]],"")</f>
        <v>2.75</v>
      </c>
      <c r="R41" s="56" t="str">
        <f aca="false">IF("CONGÉ"=Horo8299[[#This Row],[Tâche]],Horo8299[[#This Row],[Durée]],"")</f>
        <v/>
      </c>
      <c r="S41" s="57" t="str">
        <f aca="false">IF("PS"=Horo8299[[#This Row],[Tâche]],Horo8299[[#This Row],[Durée]],"")</f>
        <v/>
      </c>
      <c r="T41" s="56" t="str">
        <f aca="false">IF("TD"=Horo8299[[#This Row],[Tâche]],Horo8299[[#This Row],[Durée]],"")</f>
        <v/>
      </c>
      <c r="U41" s="55" t="str">
        <f aca="false">IF("N/C"=Horo8299[[#This Row],[Tâche]],Horo8299[[#This Row],[Durée]],"")</f>
        <v/>
      </c>
      <c r="V41" s="58"/>
      <c r="W41" s="59" t="str">
        <f aca="false">IF(Horo8299[[#This Row],[O]]="o",Horo8299[[#This Row],[Durée]],".")</f>
        <v>.</v>
      </c>
      <c r="X41" s="60" t="n">
        <f aca="false">IF(Horo8299[[#This Row],[Début]]=0,"",Horo8299[[#This Row],[Fin]]-Horo8299[[#This Row],[Début]])</f>
        <v>0.114583333333333</v>
      </c>
    </row>
    <row r="42" customFormat="false" ht="15" hidden="false" customHeight="false" outlineLevel="0" collapsed="false">
      <c r="A42" s="45" t="s">
        <v>33</v>
      </c>
      <c r="B42" s="46" t="n">
        <f aca="false">IF(Horo8299[[#This Row],[Jour]]="Lundi",$C$1+1, IF(Horo8299[[#This Row],[Jour]]="Mardi",$C$1+2, IF(Horo8299[[#This Row],[Jour]]="Mercredi",$C$1+3, IF(Horo8299[[#This Row],[Jour]]="Jeudi",$C$1+4, IF(Horo8299[[#This Row],[Jour]]="Vendredi",$C$1+5, IF(Horo8299[[#This Row],[Jour]]="Samedi",$C$1+6, IF(Horo8299[[#This Row],[Jour]]="Dimanche",$C$1, )))))))</f>
        <v>0</v>
      </c>
      <c r="C42" s="47"/>
      <c r="D42" s="48"/>
      <c r="E42" s="48"/>
      <c r="F42" s="49" t="s">
        <v>32</v>
      </c>
      <c r="G42" s="49" t="s">
        <v>27</v>
      </c>
      <c r="H42" s="50" t="s">
        <v>33</v>
      </c>
      <c r="I42" s="61"/>
      <c r="J42" s="52" t="str">
        <f aca="false">IF(Horo8299[[#This Row],[Début]]=0,"",(Horo8299[[#This Row],[Durée (60)2]]-INT(Horo8299[[#This Row],[Durée (60)2]]))*24)</f>
        <v/>
      </c>
      <c r="K42" s="62" t="n">
        <f aca="false">SUMIF(Horo8299[Jour],C42,Horo8299[Durée])</f>
        <v>0</v>
      </c>
      <c r="L42" s="54" t="str">
        <f aca="false">IFERROR(SUMIF(Horo8299[[#This Row],[Jour]],Horo8299[[#This Row],[Jour]],Horo8299[[#This Row],[GPF]]) / Horo8299[[#This Row],[hrs]],"")</f>
        <v/>
      </c>
      <c r="M42" s="56" t="str">
        <f aca="false">IF("GPF"=Horo8299[[#This Row],[Tâche]],Horo8299[[#This Row],[Durée]],"")</f>
        <v/>
      </c>
      <c r="N42" s="56" t="str">
        <f aca="false">IF("RI"=Horo8299[[#This Row],[Tâche]],Horo8299[[#This Row],[Durée]],"")</f>
        <v/>
      </c>
      <c r="O42" s="56" t="str">
        <f aca="false">IF("GB"=Horo8299[[#This Row],[Tâche]],Horo8299[[#This Row],[Durée]],"")</f>
        <v/>
      </c>
      <c r="P42" s="56" t="str">
        <f aca="false">IF("RD"=Horo8299[[#This Row],[Tâche]],Horo8299[[#This Row],[Durée]],"")</f>
        <v/>
      </c>
      <c r="Q42" s="56" t="str">
        <f aca="false">IF("FG"=Horo8299[[#This Row],[Tâche]],Horo8299[[#This Row],[Durée]],"")</f>
        <v/>
      </c>
      <c r="R42" s="56" t="str">
        <f aca="false">IF("CONGÉ"=Horo8299[[#This Row],[Tâche]],Horo8299[[#This Row],[Durée]],"")</f>
        <v/>
      </c>
      <c r="S42" s="56" t="str">
        <f aca="false">IF("PS"=Horo8299[[#This Row],[Tâche]],Horo8299[[#This Row],[Durée]],"")</f>
        <v/>
      </c>
      <c r="T42" s="56" t="str">
        <f aca="false">IF("TD"=Horo8299[[#This Row],[Tâche]],Horo8299[[#This Row],[Durée]],"")</f>
        <v/>
      </c>
      <c r="U42" s="56" t="str">
        <f aca="false">IF("N/C"=Horo8299[[#This Row],[Tâche]],Horo8299[[#This Row],[Durée]],"")</f>
        <v/>
      </c>
      <c r="V42" s="58"/>
      <c r="W42" s="59" t="str">
        <f aca="false">IF(Horo8299[[#This Row],[O]]="o",Horo8299[[#This Row],[Durée]],".")</f>
        <v>.</v>
      </c>
      <c r="X42" s="64" t="str">
        <f aca="false">IF(Horo8299[[#This Row],[Début]]=0,"",Horo8299[[#This Row],[Fin]]-Horo8299[[#This Row],[Début]])</f>
        <v/>
      </c>
    </row>
    <row r="48" s="3" customFormat="true" ht="15" hidden="false" customHeight="false" outlineLevel="0" collapsed="false">
      <c r="L48" s="65"/>
    </row>
    <row r="49" customFormat="false" ht="15" hidden="false" customHeight="false" outlineLevel="0" collapsed="false">
      <c r="A49" s="66" t="s">
        <v>18</v>
      </c>
      <c r="B49" s="66" t="s">
        <v>57</v>
      </c>
      <c r="C49" s="66" t="s">
        <v>58</v>
      </c>
    </row>
    <row r="50" customFormat="false" ht="15" hidden="false" customHeight="false" outlineLevel="0" collapsed="false">
      <c r="A50" s="67" t="n">
        <f aca="false">IF((SUMIF(Horo8299[Client],B50,Horo8299[Durée]) / Total)=0,"",(SUMIF(Horo8299[Client],B50,Horo8299[Durée]) / Total))</f>
        <v>0.5</v>
      </c>
      <c r="B50" s="68" t="s">
        <v>32</v>
      </c>
      <c r="C50" s="69" t="n">
        <f aca="false">IF(SUMIF(Horo8299[Client],B50,Horo8299[Durée])=0,"",SUMIF(Horo8299[Client],B50,Horo8299[Durée]))</f>
        <v>19.25</v>
      </c>
    </row>
    <row r="51" customFormat="false" ht="15" hidden="false" customHeight="false" outlineLevel="0" collapsed="false">
      <c r="A51" s="67" t="n">
        <f aca="false">IF((SUMIF(Horo8299[Client],B51,Horo8299[Durée]) / Total)=0,"",(SUMIF(Horo8299[Client],B51,Horo8299[Durée]) / Total))</f>
        <v>0.188311688311688</v>
      </c>
      <c r="B51" s="68" t="s">
        <v>59</v>
      </c>
      <c r="C51" s="69" t="n">
        <f aca="false">IF(SUMIF(Horo8299[Client],B51,Horo8299[Durée])=0,"",SUMIF(Horo8299[Client],B51,Horo8299[Durée]))</f>
        <v>7.25</v>
      </c>
      <c r="I51" s="61"/>
    </row>
    <row r="52" customFormat="false" ht="15" hidden="true" customHeight="false" outlineLevel="0" collapsed="false">
      <c r="A52" s="67" t="n">
        <f aca="false">IF((SUMIF(Horo8299[Client],B52,Horo8299[Durée]) / Total)=0,"",(SUMIF(Horo8299[Client],B52,Horo8299[Durée]) / Total))</f>
        <v>0.12987012987013</v>
      </c>
      <c r="B52" s="68" t="s">
        <v>60</v>
      </c>
      <c r="C52" s="70" t="n">
        <f aca="false">IF(SUMIF(Horo8299[Client],B52,Horo8299[Durée])=0,"",SUMIF(Horo8299[Client],B52,Horo8299[Durée]))</f>
        <v>5</v>
      </c>
    </row>
    <row r="53" customFormat="false" ht="15" hidden="false" customHeight="false" outlineLevel="0" collapsed="false">
      <c r="A53" s="67" t="n">
        <f aca="false">IF((SUMIF(Horo8299[Client],B53,Horo8299[Durée]) / Total)=0,"",(SUMIF(Horo8299[Client],B53,Horo8299[Durée]) / Total))</f>
        <v>0.194805194805195</v>
      </c>
      <c r="B53" s="68" t="s">
        <v>61</v>
      </c>
      <c r="C53" s="70" t="n">
        <f aca="false">IF(SUMIF(Horo8299[Client],B53,Horo8299[Durée])=0,"",SUMIF(Horo8299[Client],B53,Horo8299[Durée]))</f>
        <v>7.5</v>
      </c>
      <c r="I53" s="61"/>
    </row>
    <row r="54" customFormat="false" ht="15" hidden="true" customHeight="false" outlineLevel="0" collapsed="false">
      <c r="A54" s="67" t="str">
        <f aca="false">IF((SUMIF(Horo8299[Client],B54,Horo8299[Durée]) / Total)=0,"",(SUMIF(Horo8299[Client],B54,Horo8299[Durée]) / Total))</f>
        <v/>
      </c>
      <c r="B54" s="68" t="s">
        <v>62</v>
      </c>
      <c r="C54" s="70" t="str">
        <f aca="false">IF(SUMIF(Horo8299[Client],B54,Horo8299[Durée])=0,"",SUMIF(Horo8299[Client],B54,Horo8299[Durée]))</f>
        <v/>
      </c>
    </row>
    <row r="55" customFormat="false" ht="15" hidden="true" customHeight="false" outlineLevel="0" collapsed="false">
      <c r="A55" s="67" t="str">
        <f aca="false">IF((SUMIF(Horo8299[Client],B55,Horo8299[Durée]) / Total)=0,"",(SUMIF(Horo8299[Client],B55,Horo8299[Durée]) / Total))</f>
        <v/>
      </c>
      <c r="B55" s="68" t="s">
        <v>63</v>
      </c>
      <c r="C55" s="69" t="str">
        <f aca="false">IF(SUMIF(Horo8299[Client],B55,Horo8299[Durée])=0,"",SUMIF(Horo8299[Client],B55,Horo8299[Durée]))</f>
        <v/>
      </c>
    </row>
    <row r="56" customFormat="false" ht="15" hidden="true" customHeight="false" outlineLevel="0" collapsed="false">
      <c r="A56" s="67" t="str">
        <f aca="false">IF((SUMIF(Horo8299[Client],B56,Horo8299[Durée]) / Total)=0,"",(SUMIF(Horo8299[Client],B56,Horo8299[Durée]) / Total))</f>
        <v/>
      </c>
      <c r="B56" s="68" t="s">
        <v>64</v>
      </c>
      <c r="C56" s="70" t="str">
        <f aca="false">IF(SUMIF(Horo8299[Client],B56,Horo8299[Durée])=0,"",SUMIF(Horo8299[Client],B56,Horo8299[Durée]))</f>
        <v/>
      </c>
    </row>
    <row r="57" customFormat="false" ht="15" hidden="true" customHeight="false" outlineLevel="0" collapsed="false">
      <c r="A57" s="67" t="str">
        <f aca="false">IF((SUMIF(Horo8299[Client],B57,Horo8299[Durée]) / Total)=0,"",(SUMIF(Horo8299[Client],B57,Horo8299[Durée]) / Total))</f>
        <v/>
      </c>
      <c r="B57" s="68" t="s">
        <v>65</v>
      </c>
      <c r="C57" s="70" t="str">
        <f aca="false">IF(SUMIF(Horo8299[Client],B57,Horo8299[Durée])=0,"",SUMIF(Horo8299[Client],B57,Horo8299[Durée]))</f>
        <v/>
      </c>
      <c r="F57" s="71"/>
    </row>
    <row r="58" customFormat="false" ht="15" hidden="true" customHeight="false" outlineLevel="0" collapsed="false">
      <c r="A58" s="67" t="str">
        <f aca="false">IF((SUMIF(Horo8299[Client],B58,Horo8299[Durée]) / Total)=0,"",(SUMIF(Horo8299[Client],B58,Horo8299[Durée]) / Total))</f>
        <v/>
      </c>
      <c r="B58" s="68" t="s">
        <v>66</v>
      </c>
      <c r="C58" s="69" t="str">
        <f aca="false">IF(SUMIF(Horo8299[Client],B58,Horo8299[Durée])=0,"",SUMIF(Horo8299[Client],B58,Horo8299[Durée]))</f>
        <v/>
      </c>
    </row>
    <row r="59" customFormat="false" ht="15" hidden="true" customHeight="false" outlineLevel="0" collapsed="false">
      <c r="A59" s="67" t="str">
        <f aca="false">IF((SUMIF(Horo8299[Client],B59,Horo8299[Durée]) / Total)=0,"",(SUMIF(Horo8299[Client],B59,Horo8299[Durée]) / Total))</f>
        <v/>
      </c>
      <c r="B59" s="68" t="s">
        <v>47</v>
      </c>
      <c r="C59" s="70" t="str">
        <f aca="false">IF(SUMIF(Horo8299[Client],B59,Horo8299[Durée])=0,"",SUMIF(Horo8299[Client],B59,Horo8299[Durée]))</f>
        <v/>
      </c>
    </row>
    <row r="60" customFormat="false" ht="15" hidden="true" customHeight="false" outlineLevel="0" collapsed="false">
      <c r="A60" s="67" t="str">
        <f aca="false">IF((SUMIF(Horo8299[Client],B60,Horo8299[Durée]) / Total)=0,"",(SUMIF(Horo8299[Client],B60,Horo8299[Durée]) / Total))</f>
        <v/>
      </c>
      <c r="B60" s="68" t="s">
        <v>67</v>
      </c>
      <c r="C60" s="70" t="str">
        <f aca="false">IF(SUMIF(Horo8299[Client],B60,Horo8299[Durée])=0,"",SUMIF(Horo8299[Client],B60,Horo8299[Durée]))</f>
        <v/>
      </c>
    </row>
    <row r="61" customFormat="false" ht="15" hidden="true" customHeight="false" outlineLevel="0" collapsed="false">
      <c r="A61" s="67" t="str">
        <f aca="false">IF((SUMIF(Horo8299[Client],B61,Horo8299[Durée]) / Total)=0,"",(SUMIF(Horo8299[Client],B61,Horo8299[Durée]) / Total))</f>
        <v/>
      </c>
      <c r="B61" s="68" t="s">
        <v>68</v>
      </c>
      <c r="C61" s="70" t="str">
        <f aca="false">IF(SUMIF(Horo8299[Client],B61,Horo8299[Durée])=0,"",SUMIF(Horo8299[Client],B61,Horo8299[Durée]))</f>
        <v/>
      </c>
    </row>
    <row r="62" customFormat="false" ht="15" hidden="true" customHeight="false" outlineLevel="0" collapsed="false">
      <c r="A62" s="67" t="str">
        <f aca="false">IF((SUMIF(Horo8299[Client],B62,Horo8299[Durée]) / Total)=0,"",(SUMIF(Horo8299[Client],B62,Horo8299[Durée]) / Total))</f>
        <v/>
      </c>
      <c r="B62" s="68" t="s">
        <v>41</v>
      </c>
      <c r="C62" s="70" t="str">
        <f aca="false">IF(SUMIF(Horo8299[Client],B62,Horo8299[Durée])=0,"",SUMIF(Horo8299[Client],B62,Horo8299[Durée]))</f>
        <v/>
      </c>
    </row>
    <row r="63" customFormat="false" ht="15" hidden="false" customHeight="false" outlineLevel="0" collapsed="false">
      <c r="A63" s="67" t="str">
        <f aca="false">IF((SUMIF(Horo8299[Client],B63,Horo8299[Durée]) / Total)=0,"",(SUMIF(Horo8299[Client],B63,Horo8299[Durée]) / Total))</f>
        <v/>
      </c>
      <c r="B63" s="68" t="s">
        <v>37</v>
      </c>
      <c r="C63" s="69" t="str">
        <f aca="false">IF(SUMIF(Horo8299[Client],B63,Horo8299[Durée])=0,"",SUMIF(Horo8299[Client],B63,Horo8299[Durée]))</f>
        <v/>
      </c>
    </row>
    <row r="64" customFormat="false" ht="15" hidden="true" customHeight="false" outlineLevel="0" collapsed="false">
      <c r="A64" s="67" t="str">
        <f aca="false">IF((SUMIF(Horo8299[Client],B64,Horo8299[Durée]) / Total)=0,"",(SUMIF(Horo8299[Client],B64,Horo8299[Durée]) / Total))</f>
        <v/>
      </c>
      <c r="B64" s="68" t="s">
        <v>69</v>
      </c>
      <c r="C64" s="69" t="str">
        <f aca="false">IF(SUMIF(Horo8299[Client],B64,Horo8299[Durée])=0,"",SUMIF(Horo8299[Client],B64,Horo8299[Durée]))</f>
        <v/>
      </c>
    </row>
    <row r="65" customFormat="false" ht="15" hidden="true" customHeight="false" outlineLevel="0" collapsed="false">
      <c r="A65" s="67" t="str">
        <f aca="false">IF((SUMIF(Horo8299[Client],B65,Horo8299[Durée]) / Total)=0,"",(SUMIF(Horo8299[Client],B65,Horo8299[Durée]) / Total))</f>
        <v/>
      </c>
      <c r="B65" s="68" t="s">
        <v>70</v>
      </c>
      <c r="C65" s="70" t="str">
        <f aca="false">IF(SUMIF(Horo8299[Client],B65,Horo8299[Durée])=0,"",SUMIF(Horo8299[Client],B65,Horo8299[Durée]))</f>
        <v/>
      </c>
    </row>
    <row r="66" customFormat="false" ht="15" hidden="true" customHeight="false" outlineLevel="1" collapsed="false">
      <c r="A66" s="67" t="str">
        <f aca="false">IF((SUMIF(Horo8299[Client],B66,Horo8299[Durée]) / Total)=0,"",(SUMIF(Horo8299[Client],B66,Horo8299[Durée]) / Total))</f>
        <v/>
      </c>
      <c r="B66" s="68" t="s">
        <v>71</v>
      </c>
      <c r="C66" s="70" t="str">
        <f aca="false">IF(SUMIF(Horo8299[Client],B66,Horo8299[Durée])=0,"",SUMIF(Horo8299[Client],B66,Horo8299[Durée]))</f>
        <v/>
      </c>
    </row>
    <row r="67" customFormat="false" ht="15" hidden="true" customHeight="false" outlineLevel="1" collapsed="false">
      <c r="A67" s="67" t="str">
        <f aca="false">IF((SUMIF(Horo8299[Client],B67,Horo8299[Durée]) / Total)=0,"",(SUMIF(Horo8299[Client],B67,Horo8299[Durée]) / Total))</f>
        <v/>
      </c>
      <c r="B67" s="68" t="s">
        <v>72</v>
      </c>
      <c r="C67" s="70" t="str">
        <f aca="false">IF(SUMIF(Horo8299[Client],B67,Horo8299[Durée])=0,"",SUMIF(Horo8299[Client],B67,Horo8299[Durée]))</f>
        <v/>
      </c>
    </row>
    <row r="68" customFormat="false" ht="15" hidden="true" customHeight="false" outlineLevel="1" collapsed="false">
      <c r="A68" s="67" t="str">
        <f aca="false">IF((SUMIF(Horo8299[Client],B68,Horo8299[Durée]) / Total)=0,"",(SUMIF(Horo8299[Client],B68,Horo8299[Durée]) / Total))</f>
        <v/>
      </c>
      <c r="B68" s="68" t="s">
        <v>73</v>
      </c>
      <c r="C68" s="70" t="str">
        <f aca="false">IF(SUMIF(Horo8299[Client],B68,Horo8299[Durée])=0,"",SUMIF(Horo8299[Client],B68,Horo8299[Durée]))</f>
        <v/>
      </c>
    </row>
    <row r="69" customFormat="false" ht="15" hidden="true" customHeight="false" outlineLevel="1" collapsed="false">
      <c r="A69" s="67" t="str">
        <f aca="false">IF((SUMIF(Horo8299[Client],B69,Horo8299[Durée]) / Total)=0,"",(SUMIF(Horo8299[Client],B69,Horo8299[Durée]) / Total))</f>
        <v/>
      </c>
      <c r="B69" s="68" t="s">
        <v>74</v>
      </c>
      <c r="C69" s="70" t="str">
        <f aca="false">IF(SUMIF(Horo8299[Client],B69,Horo8299[Durée])=0,"",SUMIF(Horo8299[Client],B69,Horo8299[Durée]))</f>
        <v/>
      </c>
    </row>
    <row r="70" customFormat="false" ht="15" hidden="false" customHeight="false" outlineLevel="1" collapsed="false">
      <c r="A70" s="67" t="n">
        <f aca="false">IF((SUMIF(Horo8299[Client],B70,Horo8299[Durée]) / Total)=0,"",(SUMIF(Horo8299[Client],B70,Horo8299[Durée]) / Total))</f>
        <v>0.025974025974026</v>
      </c>
      <c r="B70" s="68" t="s">
        <v>75</v>
      </c>
      <c r="C70" s="69" t="n">
        <f aca="false">IF(SUMIF(Horo8299[Client],B70,Horo8299[Durée])=0,"",SUMIF(Horo8299[Client],B70,Horo8299[Durée]))</f>
        <v>0.999999999999999</v>
      </c>
    </row>
    <row r="71" customFormat="false" ht="15" hidden="true" customHeight="false" outlineLevel="1" collapsed="false">
      <c r="A71" s="67" t="str">
        <f aca="false">IF((SUMIF(Horo8299[Client],B71,Horo8299[Durée]) / Total)=0,"",(SUMIF(Horo8299[Client],B71,Horo8299[Durée]) / Total))</f>
        <v/>
      </c>
      <c r="B71" s="68" t="s">
        <v>76</v>
      </c>
      <c r="C71" s="70" t="str">
        <f aca="false">IF(SUMIF(Horo8299[Client],B71,Horo8299[Durée])=0,"",SUMIF(Horo8299[Client],B71,Horo8299[Durée]))</f>
        <v/>
      </c>
    </row>
    <row r="72" customFormat="false" ht="15" hidden="true" customHeight="false" outlineLevel="1" collapsed="false">
      <c r="A72" s="67" t="str">
        <f aca="false">IF((SUMIF(Horo8299[Client],B72,Horo8299[Durée]) / Total)=0,"",(SUMIF(Horo8299[Client],B72,Horo8299[Durée]) / Total))</f>
        <v/>
      </c>
      <c r="B72" s="68" t="s">
        <v>77</v>
      </c>
      <c r="C72" s="70" t="str">
        <f aca="false">IF(SUMIF(Horo8299[Client],B72,Horo8299[Durée])=0,"",SUMIF(Horo8299[Client],B72,Horo8299[Durée]))</f>
        <v/>
      </c>
    </row>
    <row r="73" customFormat="false" ht="15" hidden="true" customHeight="false" outlineLevel="1" collapsed="false">
      <c r="A73" s="67" t="str">
        <f aca="false">IF((SUMIF(Horo8299[Client],B73,Horo8299[Durée]) / Total)=0,"",(SUMIF(Horo8299[Client],B73,Horo8299[Durée]) / Total))</f>
        <v/>
      </c>
      <c r="B73" s="68" t="s">
        <v>45</v>
      </c>
      <c r="C73" s="70" t="str">
        <f aca="false">IF(SUMIF(Horo8299[Client],B73,Horo8299[Durée])=0,"",SUMIF(Horo8299[Client],B73,Horo8299[Durée]))</f>
        <v/>
      </c>
    </row>
    <row r="74" customFormat="false" ht="15" hidden="true" customHeight="false" outlineLevel="1" collapsed="false">
      <c r="A74" s="67" t="str">
        <f aca="false">IF((SUMIF(Horo8299[Client],B74,Horo8299[Durée]) / Total)=0,"",(SUMIF(Horo8299[Client],B74,Horo8299[Durée]) / Total))</f>
        <v/>
      </c>
      <c r="B74" s="68" t="s">
        <v>78</v>
      </c>
      <c r="C74" s="70" t="str">
        <f aca="false">IF(SUMIF(Horo8299[Client],B74,Horo8299[Durée])=0,"",SUMIF(Horo8299[Client],B74,Horo8299[Durée]))</f>
        <v/>
      </c>
    </row>
    <row r="75" customFormat="false" ht="15" hidden="true" customHeight="false" outlineLevel="1" collapsed="false">
      <c r="A75" s="67" t="str">
        <f aca="false">IF((SUMIF(Horo8299[Client],B75,Horo8299[Durée]) / Total)=0,"",(SUMIF(Horo8299[Client],B75,Horo8299[Durée]) / Total))</f>
        <v/>
      </c>
      <c r="B75" s="68" t="s">
        <v>79</v>
      </c>
      <c r="C75" s="70" t="str">
        <f aca="false">IF(SUMIF(Horo8299[Client],B75,Horo8299[Durée])=0,"",SUMIF(Horo8299[Client],B75,Horo8299[Durée]))</f>
        <v/>
      </c>
    </row>
    <row r="76" customFormat="false" ht="15" hidden="true" customHeight="false" outlineLevel="1" collapsed="false">
      <c r="A76" s="67" t="str">
        <f aca="false">IF((SUMIF(Horo8299[Client],B76,Horo8299[Durée]) / Total)=0,"",(SUMIF(Horo8299[Client],B76,Horo8299[Durée]) / Total))</f>
        <v/>
      </c>
      <c r="B76" s="68" t="s">
        <v>80</v>
      </c>
      <c r="C76" s="70" t="str">
        <f aca="false">IF(SUMIF(Horo8299[Client],B76,Horo8299[Durée])=0,"",SUMIF(Horo8299[Client],B76,Horo8299[Durée]))</f>
        <v/>
      </c>
    </row>
    <row r="77" customFormat="false" ht="15" hidden="true" customHeight="false" outlineLevel="1" collapsed="false">
      <c r="A77" s="67" t="str">
        <f aca="false">IF((SUMIF(Horo8299[Client],B77,Horo8299[Durée]) / Total)=0,"",(SUMIF(Horo8299[Client],B77,Horo8299[Durée]) / Total))</f>
        <v/>
      </c>
      <c r="B77" s="72" t="s">
        <v>81</v>
      </c>
      <c r="C77" s="69" t="str">
        <f aca="false">IF(SUMIF(Horo8299[Client],B77,Horo8299[Durée])=0,"",SUMIF(Horo8299[Client],B77,Horo8299[Durée]))</f>
        <v/>
      </c>
    </row>
    <row r="78" customFormat="false" ht="15" hidden="true" customHeight="false" outlineLevel="1" collapsed="false"/>
    <row r="79" customFormat="false" ht="15" hidden="true" customHeight="false" outlineLevel="1" collapsed="false"/>
    <row r="80" customFormat="false" ht="15" hidden="true" customHeight="false" outlineLevel="1" collapsed="false"/>
    <row r="81" customFormat="false" ht="15" hidden="true" customHeight="false" outlineLevel="1" collapsed="false"/>
    <row r="82" customFormat="false" ht="15" hidden="true" customHeight="false" outlineLevel="1" collapsed="false"/>
    <row r="83" customFormat="false" ht="15" hidden="true" customHeight="false" outlineLevel="1" collapsed="false"/>
    <row r="84" customFormat="false" ht="15" hidden="true" customHeight="false" outlineLevel="1" collapsed="false"/>
    <row r="85" customFormat="false" ht="15" hidden="true" customHeight="false" outlineLevel="1" collapsed="false"/>
    <row r="86" customFormat="false" ht="15" hidden="true" customHeight="false" outlineLevel="1" collapsed="false"/>
  </sheetData>
  <conditionalFormatting sqref="I42">
    <cfRule type="expression" priority="2" aboveAverage="0" equalAverage="0" bottom="0" percent="0" rank="0" text="" dxfId="384">
      <formula>A42="O"</formula>
    </cfRule>
  </conditionalFormatting>
  <conditionalFormatting sqref="I51">
    <cfRule type="expression" priority="3" aboveAverage="0" equalAverage="0" bottom="0" percent="0" rank="0" text="" dxfId="385">
      <formula>A51="O"</formula>
    </cfRule>
  </conditionalFormatting>
  <conditionalFormatting sqref="I53">
    <cfRule type="expression" priority="4" aboveAverage="0" equalAverage="0" bottom="0" percent="0" rank="0" text="" dxfId="386">
      <formula>A53="O"</formula>
    </cfRule>
  </conditionalFormatting>
  <conditionalFormatting sqref="H4:H42">
    <cfRule type="expression" priority="5" aboveAverage="0" equalAverage="0" bottom="0" percent="0" rank="0" text="" dxfId="387">
      <formula>A4="O"</formula>
    </cfRule>
  </conditionalFormatting>
  <conditionalFormatting sqref="K4:K42">
    <cfRule type="expression" priority="6" aboveAverage="0" equalAverage="0" bottom="0" percent="0" rank="0" text="" dxfId="388">
      <formula>A4="O"</formula>
    </cfRule>
    <cfRule type="expression" priority="7" aboveAverage="0" equalAverage="0" bottom="0" percent="0" rank="0" text="" dxfId="389">
      <formula>A4="O"</formula>
    </cfRule>
  </conditionalFormatting>
  <conditionalFormatting sqref="C4:C42">
    <cfRule type="expression" priority="8" aboveAverage="0" equalAverage="0" bottom="0" percent="0" rank="0" text="" dxfId="390">
      <formula>A4="O"</formula>
    </cfRule>
    <cfRule type="containsText" priority="9" operator="containsText" aboveAverage="0" equalAverage="0" bottom="0" percent="0" rank="0" text="Dimanche" dxfId="391">
      <formula>NOT(ISERROR(SEARCH("Dimanche",C4)))</formula>
    </cfRule>
    <cfRule type="containsText" priority="10" operator="containsText" aboveAverage="0" equalAverage="0" bottom="0" percent="0" rank="0" text="Samedi" dxfId="392">
      <formula>NOT(ISERROR(SEARCH("Samedi",C4)))</formula>
    </cfRule>
    <cfRule type="containsText" priority="11" operator="containsText" aboveAverage="0" equalAverage="0" bottom="0" percent="0" rank="0" text="Vendredi" dxfId="393">
      <formula>NOT(ISERROR(SEARCH("Vendredi",C4)))</formula>
    </cfRule>
    <cfRule type="containsText" priority="12" operator="containsText" aboveAverage="0" equalAverage="0" bottom="0" percent="0" rank="0" text="Jeudi" dxfId="394">
      <formula>NOT(ISERROR(SEARCH("Jeudi",C4)))</formula>
    </cfRule>
    <cfRule type="containsText" priority="13" operator="containsText" aboveAverage="0" equalAverage="0" bottom="0" percent="0" rank="0" text="Mercredi" dxfId="395">
      <formula>NOT(ISERROR(SEARCH("Mercredi",C4)))</formula>
    </cfRule>
    <cfRule type="containsText" priority="14" operator="containsText" aboveAverage="0" equalAverage="0" bottom="0" percent="0" rank="0" text="Mardi" dxfId="396">
      <formula>NOT(ISERROR(SEARCH("Mardi",C4)))</formula>
    </cfRule>
    <cfRule type="containsText" priority="15" operator="containsText" aboveAverage="0" equalAverage="0" bottom="0" percent="0" rank="0" text="Lundi" dxfId="397">
      <formula>NOT(ISERROR(SEARCH("Lundi",C4)))</formula>
    </cfRule>
  </conditionalFormatting>
  <conditionalFormatting sqref="G4:G42">
    <cfRule type="expression" priority="16" aboveAverage="0" equalAverage="0" bottom="0" percent="0" rank="0" text="" dxfId="398">
      <formula>A4="O"</formula>
    </cfRule>
  </conditionalFormatting>
  <conditionalFormatting sqref="J4:J42">
    <cfRule type="expression" priority="17" aboveAverage="0" equalAverage="0" bottom="0" percent="0" rank="0" text="" dxfId="399">
      <formula>A4="O"</formula>
    </cfRule>
  </conditionalFormatting>
  <conditionalFormatting sqref="F4:F42">
    <cfRule type="expression" priority="18" aboveAverage="0" equalAverage="0" bottom="0" percent="0" rank="0" text="" dxfId="400">
      <formula>A4="O"</formula>
    </cfRule>
  </conditionalFormatting>
  <conditionalFormatting sqref="B4:B42">
    <cfRule type="cellIs" priority="19" operator="equal" aboveAverage="0" equalAverage="0" bottom="0" percent="0" rank="0" text="" dxfId="401">
      <formula>0</formula>
    </cfRule>
    <cfRule type="expression" priority="20" aboveAverage="0" equalAverage="0" bottom="0" percent="0" rank="0" text="" dxfId="402">
      <formula>A4="O"</formula>
    </cfRule>
    <cfRule type="colorScale" priority="21">
      <colorScale>
        <cfvo type="percentile" val="10"/>
        <cfvo type="percentile" val="50"/>
        <cfvo type="percentile" val="90"/>
        <color rgb="FFFFC000"/>
        <color rgb="FFC55A11"/>
        <color rgb="FF2E75B6"/>
      </colorScale>
    </cfRule>
  </conditionalFormatting>
  <conditionalFormatting sqref="D4:D42">
    <cfRule type="expression" priority="22" aboveAverage="0" equalAverage="0" bottom="0" percent="0" rank="0" text="" dxfId="403">
      <formula>A4="O"</formula>
    </cfRule>
    <cfRule type="colorScale" priority="23">
      <colorScale>
        <cfvo type="min" val="0"/>
        <cfvo type="percentile" val="50"/>
        <cfvo type="max" val="0"/>
        <color rgb="FFFFC000"/>
        <color rgb="FFC55A11"/>
        <color rgb="FF2E75B6"/>
      </colorScale>
    </cfRule>
  </conditionalFormatting>
  <conditionalFormatting sqref="E4:E42">
    <cfRule type="expression" priority="24" aboveAverage="0" equalAverage="0" bottom="0" percent="0" rank="0" text="" dxfId="404">
      <formula>A4="O"</formula>
    </cfRule>
    <cfRule type="colorScale" priority="25">
      <colorScale>
        <cfvo type="min" val="0"/>
        <cfvo type="percentile" val="50"/>
        <cfvo type="max" val="0"/>
        <color rgb="FFFFC000"/>
        <color rgb="FFC55A11"/>
        <color rgb="FF2E75B6"/>
      </colorScale>
    </cfRule>
  </conditionalFormatting>
  <dataValidations count="5">
    <dataValidation allowBlank="true" errorStyle="stop" operator="between" showDropDown="false" showErrorMessage="true" showInputMessage="true" sqref="C4:C42" type="list">
      <formula1>Data!$C$2:$C$8</formula1>
      <formula2>0</formula2>
    </dataValidation>
    <dataValidation allowBlank="false" errorStyle="stop" operator="between" showDropDown="false" showErrorMessage="true" showInputMessage="true" sqref="F4:F42" type="list">
      <formula1>Data!$E$2:$E$30</formula1>
      <formula2>0</formula2>
    </dataValidation>
    <dataValidation allowBlank="true" errorStyle="information" errorTitle="OK ?" operator="between" showDropDown="false" showErrorMessage="true" showInputMessage="true" sqref="G4:G42" type="list">
      <formula1>Data!$D$2:$D$16</formula1>
      <formula2>0</formula2>
    </dataValidation>
    <dataValidation allowBlank="false" errorStyle="stop" operator="between" showDropDown="false" showErrorMessage="true" showInputMessage="true" sqref="H4:H42" type="list">
      <formula1>Data!$F$2:$F$50</formula1>
      <formula2>0</formula2>
    </dataValidation>
    <dataValidation allowBlank="true" errorStyle="stop" operator="between" showDropDown="false" showErrorMessage="true" showInputMessage="true" sqref="C1" type="list">
      <formula1>Data!$A$2:$A$106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  <tableParts>
    <tablePart r:id="rId2"/>
    <tablePart r:id="rId3"/>
  </tableParts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J15" activeCellId="0" sqref="J15"/>
    </sheetView>
  </sheetViews>
  <sheetFormatPr defaultColWidth="8.6796875" defaultRowHeight="15" zeroHeight="false" outlineLevelRow="0" outlineLevelCol="0"/>
  <sheetData/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E6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G108" activeCellId="0" sqref="G108"/>
    </sheetView>
  </sheetViews>
  <sheetFormatPr defaultColWidth="9.1484375" defaultRowHeight="15" zeroHeight="false" outlineLevelRow="1" outlineLevelCol="0"/>
  <cols>
    <col collapsed="false" customWidth="true" hidden="false" outlineLevel="0" max="1" min="1" style="1" width="5.57"/>
    <col collapsed="false" customWidth="true" hidden="false" outlineLevel="0" max="2" min="2" style="1" width="19.42"/>
    <col collapsed="false" customWidth="true" hidden="false" outlineLevel="0" max="3" min="3" style="1" width="18.29"/>
    <col collapsed="false" customWidth="true" hidden="false" outlineLevel="0" max="4" min="4" style="1" width="13.42"/>
    <col collapsed="false" customWidth="true" hidden="false" outlineLevel="0" max="5" min="5" style="1" width="10.57"/>
    <col collapsed="false" customWidth="true" hidden="false" outlineLevel="0" max="6" min="6" style="1" width="19"/>
    <col collapsed="false" customWidth="true" hidden="false" outlineLevel="0" max="7" min="7" style="1" width="11.43"/>
    <col collapsed="false" customWidth="true" hidden="false" outlineLevel="0" max="8" min="8" style="1" width="14.57"/>
    <col collapsed="false" customWidth="true" hidden="false" outlineLevel="0" max="9" min="9" style="1" width="19.29"/>
    <col collapsed="false" customWidth="true" hidden="false" outlineLevel="0" max="10" min="10" style="1" width="9.71"/>
    <col collapsed="false" customWidth="true" hidden="false" outlineLevel="0" max="11" min="11" style="1" width="7.29"/>
    <col collapsed="false" customWidth="true" hidden="false" outlineLevel="0" max="12" min="12" style="2" width="9.86"/>
    <col collapsed="false" customWidth="true" hidden="false" outlineLevel="0" max="13" min="13" style="1" width="6.14"/>
    <col collapsed="false" customWidth="true" hidden="false" outlineLevel="0" max="14" min="14" style="1" width="5"/>
    <col collapsed="false" customWidth="true" hidden="false" outlineLevel="0" max="15" min="15" style="1" width="5.57"/>
    <col collapsed="false" customWidth="true" hidden="false" outlineLevel="0" max="17" min="16" style="1" width="6.14"/>
    <col collapsed="false" customWidth="true" hidden="false" outlineLevel="0" max="18" min="18" style="1" width="8.29"/>
    <col collapsed="false" customWidth="true" hidden="false" outlineLevel="0" max="20" min="19" style="1" width="5"/>
    <col collapsed="false" customWidth="true" hidden="false" outlineLevel="0" max="23" min="21" style="1" width="6.14"/>
    <col collapsed="false" customWidth="true" hidden="false" outlineLevel="0" max="24" min="24" style="1" width="12.71"/>
    <col collapsed="false" customWidth="false" hidden="false" outlineLevel="0" max="30" min="25" style="1" width="9.14"/>
    <col collapsed="false" customWidth="true" hidden="false" outlineLevel="0" max="31" min="31" style="1" width="11.14"/>
    <col collapsed="false" customWidth="true" hidden="false" outlineLevel="0" max="32" min="32" style="1" width="9.57"/>
    <col collapsed="false" customWidth="false" hidden="false" outlineLevel="0" max="16384" min="33" style="1" width="9.14"/>
  </cols>
  <sheetData>
    <row r="1" customFormat="false" ht="17.35" hidden="false" customHeight="false" outlineLevel="0" collapsed="false">
      <c r="A1" s="3"/>
      <c r="B1" s="4" t="str">
        <f aca="false">"Semaine du :"</f>
        <v>Semaine du :</v>
      </c>
      <c r="C1" s="5" t="n">
        <v>44375</v>
      </c>
      <c r="D1" s="6" t="str">
        <f aca="false">"( "&amp;AVERAGE($E$2:$I$2)&amp;" )"</f>
        <v>( 8 )</v>
      </c>
      <c r="E1" s="7" t="str">
        <f aca="false">IFERROR("Lun.: " &amp; TEXT($Y$2,"00%"),"Lun.: 0%")</f>
        <v>Lun.: 00%</v>
      </c>
      <c r="F1" s="8" t="str">
        <f aca="false">IFERROR("Mar.: " &amp; TEXT($Z$2,"00%"),"Mar.: 0%")</f>
        <v>Mar.: 00%</v>
      </c>
      <c r="G1" s="8" t="str">
        <f aca="false">IFERROR("Mer.: " &amp; TEXT($AA$2,"00%"),"Mer.: 0%")</f>
        <v>Mer.: 00%</v>
      </c>
      <c r="H1" s="8" t="str">
        <f aca="false">IFERROR("Jeu.: " &amp; TEXT($AB$2,"00%"),"Jeu.: 0%")</f>
        <v>Jeu.: 00%</v>
      </c>
      <c r="I1" s="8" t="str">
        <f aca="false">IFERROR("Ven.: " &amp; TEXT($AC$2,"00%"),"Ven.: 0%")</f>
        <v>Ven.: 38%</v>
      </c>
      <c r="J1" s="9" t="str">
        <f aca="false">IFERROR("S.: " &amp; TEXT($AD$2,"00%"),"S.: 0%")</f>
        <v>S.: 0%</v>
      </c>
      <c r="K1" s="10" t="str">
        <f aca="false">IFERROR("D.: " &amp; TEXT($AE$2,"00%"), "D.: 0%")</f>
        <v>D.: 0%</v>
      </c>
      <c r="L1" s="11"/>
      <c r="M1" s="12" t="n">
        <f aca="false">M2/Total</f>
        <v>0.0779220779220779</v>
      </c>
      <c r="N1" s="12" t="n">
        <f aca="false">N2/$C$2</f>
        <v>0</v>
      </c>
      <c r="O1" s="12" t="n">
        <f aca="false">O2/$C$2</f>
        <v>0.0875000000000001</v>
      </c>
      <c r="P1" s="12" t="n">
        <f aca="false">P2/$C$2</f>
        <v>0.1625</v>
      </c>
      <c r="Q1" s="12" t="n">
        <f aca="false">Q2/$C$2</f>
        <v>0.175</v>
      </c>
      <c r="R1" s="13" t="n">
        <f aca="false">R2/$C$2</f>
        <v>0.4</v>
      </c>
      <c r="S1" s="13" t="n">
        <f aca="false">S2/$C$2</f>
        <v>0</v>
      </c>
      <c r="T1" s="13" t="n">
        <f aca="false">T2/$C$2</f>
        <v>0</v>
      </c>
      <c r="U1" s="104" t="n">
        <f aca="false">U2/$C$2</f>
        <v>0.1</v>
      </c>
      <c r="V1" s="15" t="n">
        <f aca="false">C2-(+M2+N2+O2+P2+Q2+R2+S2+T2+U2)</f>
        <v>0</v>
      </c>
      <c r="W1" s="105" t="n">
        <f aca="false">C2-SUM(M2:U2)</f>
        <v>0</v>
      </c>
      <c r="X1" s="17"/>
      <c r="Y1" s="18" t="s">
        <v>0</v>
      </c>
      <c r="Z1" s="18" t="s">
        <v>1</v>
      </c>
      <c r="AA1" s="18" t="s">
        <v>2</v>
      </c>
      <c r="AB1" s="18" t="s">
        <v>3</v>
      </c>
      <c r="AC1" s="18" t="s">
        <v>4</v>
      </c>
      <c r="AD1" s="18" t="s">
        <v>5</v>
      </c>
      <c r="AE1" s="18" t="s">
        <v>6</v>
      </c>
    </row>
    <row r="2" customFormat="false" ht="22.05" hidden="false" customHeight="false" outlineLevel="0" collapsed="false">
      <c r="A2" s="3"/>
      <c r="B2" s="19" t="n">
        <f aca="false">X2</f>
        <v>0.166666666666667</v>
      </c>
      <c r="C2" s="20" t="n">
        <f aca="false">SUM(Horo8297[Durée])</f>
        <v>40</v>
      </c>
      <c r="D2" s="21" t="str">
        <f aca="false">ROUND(SUM(Horo8297[T]),2) &amp; " / " &amp; ROUND($C$2-SUM(Horo8297[T]),2)</f>
        <v>40 / 0</v>
      </c>
      <c r="E2" s="22" t="n">
        <f aca="false">SUMIF(Horo8297[Jour],"Lundi",Horo8297[Durée])</f>
        <v>8</v>
      </c>
      <c r="F2" s="23" t="n">
        <f aca="false">SUMIF(Horo8297[Jour],"Mardi",Horo8297[Durée])</f>
        <v>8</v>
      </c>
      <c r="G2" s="23" t="n">
        <f aca="false">SUMIF(Horo8297[Jour],"Mercredi",Horo8297[Durée])</f>
        <v>8</v>
      </c>
      <c r="H2" s="23" t="n">
        <f aca="false">SUMIF(Horo8297[Jour],"Jeudi",Horo8297[Durée])</f>
        <v>8</v>
      </c>
      <c r="I2" s="23" t="n">
        <f aca="false">SUMIF(Horo8297[Jour],"Vendredi",Horo8297[Durée])</f>
        <v>8</v>
      </c>
      <c r="J2" s="23" t="n">
        <f aca="false">SUMIF(Horo8297[Jour],"Samedi",Horo8297[Durée])</f>
        <v>0</v>
      </c>
      <c r="K2" s="23" t="n">
        <f aca="false">SUMIF(Horo8297[Jour],"Dimanche",Horo8297[Durée])</f>
        <v>0</v>
      </c>
      <c r="L2" s="24"/>
      <c r="M2" s="25" t="n">
        <f aca="false">SUM(Horo8297[GPF])</f>
        <v>3</v>
      </c>
      <c r="N2" s="25" t="n">
        <f aca="false">SUM(Horo8297[RI])</f>
        <v>0</v>
      </c>
      <c r="O2" s="25" t="n">
        <f aca="false">SUM(Horo8297[GB])</f>
        <v>3.5</v>
      </c>
      <c r="P2" s="25" t="n">
        <f aca="false">SUM(Horo8297[RD])</f>
        <v>6.5</v>
      </c>
      <c r="Q2" s="25" t="n">
        <f aca="false">SUM(Horo8297[FG])</f>
        <v>7</v>
      </c>
      <c r="R2" s="26" t="n">
        <f aca="false">SUM(Horo8297[CONGÉ])</f>
        <v>16</v>
      </c>
      <c r="S2" s="26" t="n">
        <f aca="false">SUM(Horo8297[PS])</f>
        <v>0</v>
      </c>
      <c r="T2" s="26" t="n">
        <f aca="false">SUM(Horo8297[TD])</f>
        <v>0</v>
      </c>
      <c r="U2" s="106" t="n">
        <f aca="false">SUM(Horo8297[N/C])</f>
        <v>4</v>
      </c>
      <c r="V2" s="107" t="n">
        <f aca="false">C2-(SUM(M2:T2))</f>
        <v>4</v>
      </c>
      <c r="W2" s="107" t="n">
        <f aca="false">C2-(R2+S2+T2)</f>
        <v>24</v>
      </c>
      <c r="X2" s="28" t="n">
        <f aca="false">V2/W2</f>
        <v>0.166666666666667</v>
      </c>
      <c r="Y2" s="29" t="n">
        <f aca="false">SUMIF(Horo8297[Jour],"Lundi",Horo8297[GPF]) / $E$2</f>
        <v>0</v>
      </c>
      <c r="Z2" s="29" t="n">
        <f aca="false">SUMIF(Horo8297[Jour],"Mardi",Horo8297[GPF]) / $F$2</f>
        <v>0</v>
      </c>
      <c r="AA2" s="29" t="n">
        <f aca="false">SUMIF(Horo8297[Jour],"Mercredi",Horo8297[GPF]) / $G$2</f>
        <v>0</v>
      </c>
      <c r="AB2" s="29" t="n">
        <f aca="false">SUMIF(Horo8297[Jour],"Jeudi",Horo8297[GPF]) / $H$2</f>
        <v>0</v>
      </c>
      <c r="AC2" s="29" t="n">
        <f aca="false">SUMIF(Horo8297[Jour],"Vendredi",Horo8297[GPF]) / $I$2</f>
        <v>0.375</v>
      </c>
      <c r="AD2" s="29" t="e">
        <f aca="false">SUMIF(Horo8297[Jour],"Samedi",Horo8297[GPF]) / $J$2</f>
        <v>#DIV/0!</v>
      </c>
      <c r="AE2" s="29" t="e">
        <f aca="false">SUMIF(Horo8297[Jour],"Dimanche",Horo8297[GPF]) / $K$2</f>
        <v>#DIV/0!</v>
      </c>
    </row>
    <row r="3" customFormat="false" ht="15" hidden="false" customHeight="false" outlineLevel="0" collapsed="false">
      <c r="A3" s="30" t="s">
        <v>7</v>
      </c>
      <c r="B3" s="31" t="s">
        <v>8</v>
      </c>
      <c r="C3" s="31" t="s">
        <v>9</v>
      </c>
      <c r="D3" s="32" t="s">
        <v>10</v>
      </c>
      <c r="E3" s="33" t="s">
        <v>11</v>
      </c>
      <c r="F3" s="34" t="s">
        <v>12</v>
      </c>
      <c r="G3" s="34" t="s">
        <v>13</v>
      </c>
      <c r="H3" s="34" t="s">
        <v>14</v>
      </c>
      <c r="I3" s="35" t="s">
        <v>15</v>
      </c>
      <c r="J3" s="36" t="s">
        <v>16</v>
      </c>
      <c r="K3" s="36" t="s">
        <v>17</v>
      </c>
      <c r="L3" s="37" t="s">
        <v>18</v>
      </c>
      <c r="M3" s="38" t="s">
        <v>19</v>
      </c>
      <c r="N3" s="39" t="s">
        <v>20</v>
      </c>
      <c r="O3" s="39" t="s">
        <v>21</v>
      </c>
      <c r="P3" s="39" t="s">
        <v>22</v>
      </c>
      <c r="Q3" s="39" t="s">
        <v>23</v>
      </c>
      <c r="R3" s="40" t="s">
        <v>24</v>
      </c>
      <c r="S3" s="40" t="s">
        <v>25</v>
      </c>
      <c r="T3" s="41" t="s">
        <v>26</v>
      </c>
      <c r="U3" s="108" t="s">
        <v>27</v>
      </c>
      <c r="V3" s="109" t="s">
        <v>28</v>
      </c>
      <c r="W3" s="110" t="s">
        <v>29</v>
      </c>
      <c r="X3" s="44" t="s">
        <v>30</v>
      </c>
    </row>
    <row r="4" customFormat="false" ht="15" hidden="false" customHeight="false" outlineLevel="0" collapsed="false">
      <c r="A4" s="45" t="s">
        <v>31</v>
      </c>
      <c r="B4" s="111" t="n">
        <f aca="false">IF(Horo8297[[#This Row],[Jour]]="Lundi",$C$1+1, IF(Horo8297[[#This Row],[Jour]]="Mardi",$C$1+2, IF(Horo8297[[#This Row],[Jour]]="Mercredi",$C$1+3, IF(Horo8297[[#This Row],[Jour]]="Jeudi",$C$1+4, IF(Horo8297[[#This Row],[Jour]]="Vendredi",$C$1+5, IF(Horo8297[[#This Row],[Jour]]="Samedi",$C$1+6, IF(Horo8297[[#This Row],[Jour]]="Dimanche",$C$1, )))))))</f>
        <v>44376</v>
      </c>
      <c r="C4" s="47" t="s">
        <v>0</v>
      </c>
      <c r="D4" s="48" t="n">
        <v>0.333333333333333</v>
      </c>
      <c r="E4" s="48" t="n">
        <v>0.666666666666667</v>
      </c>
      <c r="F4" s="49" t="s">
        <v>32</v>
      </c>
      <c r="G4" s="49" t="s">
        <v>24</v>
      </c>
      <c r="H4" s="50" t="s">
        <v>201</v>
      </c>
      <c r="I4" s="61" t="s">
        <v>202</v>
      </c>
      <c r="J4" s="52" t="n">
        <f aca="false">IF(Horo8297[[#This Row],[Début]]=0,"",(Horo8297[[#This Row],[Durée (60)2]]-INT(Horo8297[[#This Row],[Durée (60)2]]))*24)</f>
        <v>8</v>
      </c>
      <c r="K4" s="53" t="n">
        <f aca="false">SUMIF(Horo8297[Jour],C4,Horo8297[Durée])</f>
        <v>8</v>
      </c>
      <c r="L4" s="54" t="n">
        <f aca="false">IFERROR(SUMIF(Horo8297[[#This Row],[Jour]],Horo8297[[#This Row],[Jour]],Horo8297[[#This Row],[GPF]]) / Horo8297[[#This Row],[hrs]],"")</f>
        <v>0</v>
      </c>
      <c r="M4" s="55" t="str">
        <f aca="false">IF("GPF"=Horo8297[[#This Row],[Tâche]],Horo8297[[#This Row],[Durée]],"")</f>
        <v/>
      </c>
      <c r="N4" s="56" t="str">
        <f aca="false">IF("RI"=Horo8297[[#This Row],[Tâche]],Horo8297[[#This Row],[Durée]],"")</f>
        <v/>
      </c>
      <c r="O4" s="56" t="str">
        <f aca="false">IF("GB"=Horo8297[[#This Row],[Tâche]],Horo8297[[#This Row],[Durée]],"")</f>
        <v/>
      </c>
      <c r="P4" s="56" t="str">
        <f aca="false">IF("RD"=Horo8297[[#This Row],[Tâche]],Horo8297[[#This Row],[Durée]],"")</f>
        <v/>
      </c>
      <c r="Q4" s="56" t="str">
        <f aca="false">IF("FG"=Horo8297[[#This Row],[Tâche]],Horo8297[[#This Row],[Durée]],"")</f>
        <v/>
      </c>
      <c r="R4" s="56" t="n">
        <f aca="false">IF("CONGÉ"=Horo8297[[#This Row],[Tâche]],Horo8297[[#This Row],[Durée]],"")</f>
        <v>8</v>
      </c>
      <c r="S4" s="57" t="str">
        <f aca="false">IF("PS"=Horo8297[[#This Row],[Tâche]],Horo8297[[#This Row],[Durée]],"")</f>
        <v/>
      </c>
      <c r="T4" s="56" t="str">
        <f aca="false">IF("TD"=Horo8297[[#This Row],[Tâche]],Horo8297[[#This Row],[Durée]],"")</f>
        <v/>
      </c>
      <c r="U4" s="55" t="str">
        <f aca="false">IF("N/C"=Horo8297[[#This Row],[Tâche]],Horo8297[[#This Row],[Durée]],"")</f>
        <v/>
      </c>
      <c r="V4" s="58"/>
      <c r="W4" s="59" t="n">
        <f aca="false">IF(Horo8297[[#This Row],[O]]="o",Horo8297[[#This Row],[Durée]],".")</f>
        <v>8</v>
      </c>
      <c r="X4" s="60" t="n">
        <f aca="false">IF(Horo8297[[#This Row],[Début]]=0,"",Horo8297[[#This Row],[Fin]]-Horo8297[[#This Row],[Début]])</f>
        <v>0.333333333333333</v>
      </c>
    </row>
    <row r="5" customFormat="false" ht="15" hidden="false" customHeight="false" outlineLevel="0" collapsed="false">
      <c r="A5" s="45" t="s">
        <v>31</v>
      </c>
      <c r="B5" s="111" t="n">
        <f aca="false">IF(Horo8297[[#This Row],[Jour]]="Lundi",$C$1+1, IF(Horo8297[[#This Row],[Jour]]="Mardi",$C$1+2, IF(Horo8297[[#This Row],[Jour]]="Mercredi",$C$1+3, IF(Horo8297[[#This Row],[Jour]]="Jeudi",$C$1+4, IF(Horo8297[[#This Row],[Jour]]="Vendredi",$C$1+5, IF(Horo8297[[#This Row],[Jour]]="Samedi",$C$1+6, IF(Horo8297[[#This Row],[Jour]]="Dimanche",$C$1, )))))))</f>
        <v>44377</v>
      </c>
      <c r="C5" s="47" t="s">
        <v>1</v>
      </c>
      <c r="D5" s="48" t="n">
        <v>0.333333333333333</v>
      </c>
      <c r="E5" s="48" t="n">
        <v>0.666666666666667</v>
      </c>
      <c r="F5" s="49" t="s">
        <v>32</v>
      </c>
      <c r="G5" s="49" t="s">
        <v>24</v>
      </c>
      <c r="H5" s="50" t="s">
        <v>201</v>
      </c>
      <c r="I5" s="61" t="s">
        <v>203</v>
      </c>
      <c r="J5" s="52" t="n">
        <f aca="false">IF(Horo8297[[#This Row],[Début]]=0,"",(Horo8297[[#This Row],[Durée (60)2]]-INT(Horo8297[[#This Row],[Durée (60)2]]))*24)</f>
        <v>8</v>
      </c>
      <c r="K5" s="62" t="n">
        <f aca="false">SUMIF(Horo8297[Jour],C5,Horo8297[Durée])</f>
        <v>8</v>
      </c>
      <c r="L5" s="54" t="n">
        <f aca="false">IFERROR(SUMIF(Horo8297[[#This Row],[Jour]],Horo8297[[#This Row],[Jour]],Horo8297[[#This Row],[GPF]]) / Horo8297[[#This Row],[hrs]],"")</f>
        <v>0</v>
      </c>
      <c r="M5" s="56" t="str">
        <f aca="false">IF("GPF"=Horo8297[[#This Row],[Tâche]],Horo8297[[#This Row],[Durée]],"")</f>
        <v/>
      </c>
      <c r="N5" s="56" t="str">
        <f aca="false">IF("RI"=Horo8297[[#This Row],[Tâche]],Horo8297[[#This Row],[Durée]],"")</f>
        <v/>
      </c>
      <c r="O5" s="56" t="str">
        <f aca="false">IF("GB"=Horo8297[[#This Row],[Tâche]],Horo8297[[#This Row],[Durée]],"")</f>
        <v/>
      </c>
      <c r="P5" s="56" t="str">
        <f aca="false">IF("RD"=Horo8297[[#This Row],[Tâche]],Horo8297[[#This Row],[Durée]],"")</f>
        <v/>
      </c>
      <c r="Q5" s="56" t="str">
        <f aca="false">IF("FG"=Horo8297[[#This Row],[Tâche]],Horo8297[[#This Row],[Durée]],"")</f>
        <v/>
      </c>
      <c r="R5" s="56" t="n">
        <f aca="false">IF("CONGÉ"=Horo8297[[#This Row],[Tâche]],Horo8297[[#This Row],[Durée]],"")</f>
        <v>8</v>
      </c>
      <c r="S5" s="57" t="str">
        <f aca="false">IF("PS"=Horo8297[[#This Row],[Tâche]],Horo8297[[#This Row],[Durée]],"")</f>
        <v/>
      </c>
      <c r="T5" s="56" t="str">
        <f aca="false">IF("TD"=Horo8297[[#This Row],[Tâche]],Horo8297[[#This Row],[Durée]],"")</f>
        <v/>
      </c>
      <c r="U5" s="55" t="str">
        <f aca="false">IF("N/C"=Horo8297[[#This Row],[Tâche]],Horo8297[[#This Row],[Durée]],"")</f>
        <v/>
      </c>
      <c r="V5" s="58"/>
      <c r="W5" s="59" t="n">
        <f aca="false">IF(Horo8297[[#This Row],[O]]="o",Horo8297[[#This Row],[Durée]],".")</f>
        <v>8</v>
      </c>
      <c r="X5" s="60" t="n">
        <f aca="false">IF(Horo8297[[#This Row],[Début]]=0,"",Horo8297[[#This Row],[Fin]]-Horo8297[[#This Row],[Début]])</f>
        <v>0.333333333333333</v>
      </c>
    </row>
    <row r="6" customFormat="false" ht="15" hidden="false" customHeight="false" outlineLevel="0" collapsed="false">
      <c r="A6" s="45" t="s">
        <v>31</v>
      </c>
      <c r="B6" s="111" t="n">
        <f aca="false">IF(Horo8297[[#This Row],[Jour]]="Lundi",$C$1+1, IF(Horo8297[[#This Row],[Jour]]="Mardi",$C$1+2, IF(Horo8297[[#This Row],[Jour]]="Mercredi",$C$1+3, IF(Horo8297[[#This Row],[Jour]]="Jeudi",$C$1+4, IF(Horo8297[[#This Row],[Jour]]="Vendredi",$C$1+5, IF(Horo8297[[#This Row],[Jour]]="Samedi",$C$1+6, IF(Horo8297[[#This Row],[Jour]]="Dimanche",$C$1, )))))))</f>
        <v>44378</v>
      </c>
      <c r="C6" s="47" t="s">
        <v>2</v>
      </c>
      <c r="D6" s="48" t="n">
        <v>0.333333333333333</v>
      </c>
      <c r="E6" s="48" t="n">
        <v>0.395833333333333</v>
      </c>
      <c r="F6" s="49" t="s">
        <v>32</v>
      </c>
      <c r="G6" s="49" t="s">
        <v>21</v>
      </c>
      <c r="H6" s="50" t="s">
        <v>94</v>
      </c>
      <c r="I6" s="61" t="s">
        <v>112</v>
      </c>
      <c r="J6" s="52" t="n">
        <f aca="false">IF(Horo8297[[#This Row],[Début]]=0,"",(Horo8297[[#This Row],[Durée (60)2]]-INT(Horo8297[[#This Row],[Durée (60)2]]))*24)</f>
        <v>1.5</v>
      </c>
      <c r="K6" s="62" t="n">
        <f aca="false">SUMIF(Horo8297[Jour],C6,Horo8297[Durée])</f>
        <v>8</v>
      </c>
      <c r="L6" s="54" t="n">
        <f aca="false">IFERROR(SUMIF(Horo8297[[#This Row],[Jour]],Horo8297[[#This Row],[Jour]],Horo8297[[#This Row],[GPF]]) / Horo8297[[#This Row],[hrs]],"")</f>
        <v>0</v>
      </c>
      <c r="M6" s="56" t="str">
        <f aca="false">IF("GPF"=Horo8297[[#This Row],[Tâche]],Horo8297[[#This Row],[Durée]],"")</f>
        <v/>
      </c>
      <c r="N6" s="56" t="str">
        <f aca="false">IF("RI"=Horo8297[[#This Row],[Tâche]],Horo8297[[#This Row],[Durée]],"")</f>
        <v/>
      </c>
      <c r="O6" s="56" t="n">
        <f aca="false">IF("GB"=Horo8297[[#This Row],[Tâche]],Horo8297[[#This Row],[Durée]],"")</f>
        <v>1.5</v>
      </c>
      <c r="P6" s="56" t="str">
        <f aca="false">IF("RD"=Horo8297[[#This Row],[Tâche]],Horo8297[[#This Row],[Durée]],"")</f>
        <v/>
      </c>
      <c r="Q6" s="56" t="str">
        <f aca="false">IF("FG"=Horo8297[[#This Row],[Tâche]],Horo8297[[#This Row],[Durée]],"")</f>
        <v/>
      </c>
      <c r="R6" s="56" t="str">
        <f aca="false">IF("CONGÉ"=Horo8297[[#This Row],[Tâche]],Horo8297[[#This Row],[Durée]],"")</f>
        <v/>
      </c>
      <c r="S6" s="56" t="str">
        <f aca="false">IF("PS"=Horo8297[[#This Row],[Tâche]],Horo8297[[#This Row],[Durée]],"")</f>
        <v/>
      </c>
      <c r="T6" s="56" t="str">
        <f aca="false">IF("TD"=Horo8297[[#This Row],[Tâche]],Horo8297[[#This Row],[Durée]],"")</f>
        <v/>
      </c>
      <c r="U6" s="56" t="str">
        <f aca="false">IF("N/C"=Horo8297[[#This Row],[Tâche]],Horo8297[[#This Row],[Durée]],"")</f>
        <v/>
      </c>
      <c r="V6" s="58"/>
      <c r="W6" s="59" t="n">
        <f aca="false">IF(Horo8297[[#This Row],[O]]="o",Horo8297[[#This Row],[Durée]],".")</f>
        <v>1.5</v>
      </c>
      <c r="X6" s="64" t="n">
        <f aca="false">IF(Horo8297[[#This Row],[Début]]=0,"",Horo8297[[#This Row],[Fin]]-Horo8297[[#This Row],[Début]])</f>
        <v>0.0625</v>
      </c>
    </row>
    <row r="7" customFormat="false" ht="15" hidden="false" customHeight="false" outlineLevel="0" collapsed="false">
      <c r="A7" s="45" t="s">
        <v>31</v>
      </c>
      <c r="B7" s="111" t="n">
        <f aca="false">IF(Horo8297[[#This Row],[Jour]]="Lundi",$C$1+1, IF(Horo8297[[#This Row],[Jour]]="Mardi",$C$1+2, IF(Horo8297[[#This Row],[Jour]]="Mercredi",$C$1+3, IF(Horo8297[[#This Row],[Jour]]="Jeudi",$C$1+4, IF(Horo8297[[#This Row],[Jour]]="Vendredi",$C$1+5, IF(Horo8297[[#This Row],[Jour]]="Samedi",$C$1+6, IF(Horo8297[[#This Row],[Jour]]="Dimanche",$C$1, )))))))</f>
        <v>44378</v>
      </c>
      <c r="C7" s="47" t="s">
        <v>2</v>
      </c>
      <c r="D7" s="48" t="n">
        <v>0.395833333333333</v>
      </c>
      <c r="E7" s="48" t="n">
        <v>0.5</v>
      </c>
      <c r="F7" s="49" t="s">
        <v>32</v>
      </c>
      <c r="G7" s="49" t="s">
        <v>22</v>
      </c>
      <c r="H7" s="50" t="s">
        <v>118</v>
      </c>
      <c r="I7" s="61"/>
      <c r="J7" s="52" t="n">
        <f aca="false">IF(Horo8297[[#This Row],[Début]]=0,"",(Horo8297[[#This Row],[Durée (60)2]]-INT(Horo8297[[#This Row],[Durée (60)2]]))*24)</f>
        <v>2.5</v>
      </c>
      <c r="K7" s="62" t="n">
        <f aca="false">SUMIF(Horo8297[Jour],C7,Horo8297[Durée])</f>
        <v>8</v>
      </c>
      <c r="L7" s="54" t="n">
        <f aca="false">IFERROR(SUMIF(Horo8297[[#This Row],[Jour]],Horo8297[[#This Row],[Jour]],Horo8297[[#This Row],[GPF]]) / Horo8297[[#This Row],[hrs]],"")</f>
        <v>0</v>
      </c>
      <c r="M7" s="56" t="str">
        <f aca="false">IF("GPF"=Horo8297[[#This Row],[Tâche]],Horo8297[[#This Row],[Durée]],"")</f>
        <v/>
      </c>
      <c r="N7" s="56" t="str">
        <f aca="false">IF("RI"=Horo8297[[#This Row],[Tâche]],Horo8297[[#This Row],[Durée]],"")</f>
        <v/>
      </c>
      <c r="O7" s="56" t="str">
        <f aca="false">IF("GB"=Horo8297[[#This Row],[Tâche]],Horo8297[[#This Row],[Durée]],"")</f>
        <v/>
      </c>
      <c r="P7" s="56" t="n">
        <f aca="false">IF("RD"=Horo8297[[#This Row],[Tâche]],Horo8297[[#This Row],[Durée]],"")</f>
        <v>2.5</v>
      </c>
      <c r="Q7" s="56" t="str">
        <f aca="false">IF("FG"=Horo8297[[#This Row],[Tâche]],Horo8297[[#This Row],[Durée]],"")</f>
        <v/>
      </c>
      <c r="R7" s="56" t="str">
        <f aca="false">IF("CONGÉ"=Horo8297[[#This Row],[Tâche]],Horo8297[[#This Row],[Durée]],"")</f>
        <v/>
      </c>
      <c r="S7" s="57" t="str">
        <f aca="false">IF("PS"=Horo8297[[#This Row],[Tâche]],Horo8297[[#This Row],[Durée]],"")</f>
        <v/>
      </c>
      <c r="T7" s="56" t="str">
        <f aca="false">IF("TD"=Horo8297[[#This Row],[Tâche]],Horo8297[[#This Row],[Durée]],"")</f>
        <v/>
      </c>
      <c r="U7" s="55" t="str">
        <f aca="false">IF("N/C"=Horo8297[[#This Row],[Tâche]],Horo8297[[#This Row],[Durée]],"")</f>
        <v/>
      </c>
      <c r="V7" s="58"/>
      <c r="W7" s="59" t="n">
        <f aca="false">IF(Horo8297[[#This Row],[O]]="o",Horo8297[[#This Row],[Durée]],".")</f>
        <v>2.5</v>
      </c>
      <c r="X7" s="60" t="n">
        <f aca="false">IF(Horo8297[[#This Row],[Début]]=0,"",Horo8297[[#This Row],[Fin]]-Horo8297[[#This Row],[Début]])</f>
        <v>0.104166666666667</v>
      </c>
    </row>
    <row r="8" customFormat="false" ht="15" hidden="false" customHeight="false" outlineLevel="0" collapsed="false">
      <c r="A8" s="45" t="s">
        <v>31</v>
      </c>
      <c r="B8" s="111" t="n">
        <f aca="false">IF(Horo8297[[#This Row],[Jour]]="Lundi",$C$1+1, IF(Horo8297[[#This Row],[Jour]]="Mardi",$C$1+2, IF(Horo8297[[#This Row],[Jour]]="Mercredi",$C$1+3, IF(Horo8297[[#This Row],[Jour]]="Jeudi",$C$1+4, IF(Horo8297[[#This Row],[Jour]]="Vendredi",$C$1+5, IF(Horo8297[[#This Row],[Jour]]="Samedi",$C$1+6, IF(Horo8297[[#This Row],[Jour]]="Dimanche",$C$1, )))))))</f>
        <v>44378</v>
      </c>
      <c r="C8" s="47" t="s">
        <v>2</v>
      </c>
      <c r="D8" s="48" t="n">
        <v>0.5625</v>
      </c>
      <c r="E8" s="48" t="n">
        <v>0.666666666666667</v>
      </c>
      <c r="F8" s="49" t="s">
        <v>32</v>
      </c>
      <c r="G8" s="49" t="s">
        <v>23</v>
      </c>
      <c r="H8" s="50" t="s">
        <v>111</v>
      </c>
      <c r="I8" s="61"/>
      <c r="J8" s="52" t="n">
        <f aca="false">IF(Horo8297[[#This Row],[Début]]=0,"",(Horo8297[[#This Row],[Durée (60)2]]-INT(Horo8297[[#This Row],[Durée (60)2]]))*24)</f>
        <v>2.5</v>
      </c>
      <c r="K8" s="62" t="n">
        <f aca="false">SUMIF(Horo8297[Jour],C8,Horo8297[Durée])</f>
        <v>8</v>
      </c>
      <c r="L8" s="54" t="n">
        <f aca="false">IFERROR(SUMIF(Horo8297[[#This Row],[Jour]],Horo8297[[#This Row],[Jour]],Horo8297[[#This Row],[GPF]]) / Horo8297[[#This Row],[hrs]],"")</f>
        <v>0</v>
      </c>
      <c r="M8" s="56" t="str">
        <f aca="false">IF("GPF"=Horo8297[[#This Row],[Tâche]],Horo8297[[#This Row],[Durée]],"")</f>
        <v/>
      </c>
      <c r="N8" s="56" t="str">
        <f aca="false">IF("RI"=Horo8297[[#This Row],[Tâche]],Horo8297[[#This Row],[Durée]],"")</f>
        <v/>
      </c>
      <c r="O8" s="56" t="str">
        <f aca="false">IF("GB"=Horo8297[[#This Row],[Tâche]],Horo8297[[#This Row],[Durée]],"")</f>
        <v/>
      </c>
      <c r="P8" s="56" t="str">
        <f aca="false">IF("RD"=Horo8297[[#This Row],[Tâche]],Horo8297[[#This Row],[Durée]],"")</f>
        <v/>
      </c>
      <c r="Q8" s="56" t="n">
        <f aca="false">IF("FG"=Horo8297[[#This Row],[Tâche]],Horo8297[[#This Row],[Durée]],"")</f>
        <v>2.5</v>
      </c>
      <c r="R8" s="56" t="str">
        <f aca="false">IF("CONGÉ"=Horo8297[[#This Row],[Tâche]],Horo8297[[#This Row],[Durée]],"")</f>
        <v/>
      </c>
      <c r="S8" s="57" t="str">
        <f aca="false">IF("PS"=Horo8297[[#This Row],[Tâche]],Horo8297[[#This Row],[Durée]],"")</f>
        <v/>
      </c>
      <c r="T8" s="56" t="str">
        <f aca="false">IF("TD"=Horo8297[[#This Row],[Tâche]],Horo8297[[#This Row],[Durée]],"")</f>
        <v/>
      </c>
      <c r="U8" s="55" t="str">
        <f aca="false">IF("N/C"=Horo8297[[#This Row],[Tâche]],Horo8297[[#This Row],[Durée]],"")</f>
        <v/>
      </c>
      <c r="V8" s="58"/>
      <c r="W8" s="59" t="n">
        <f aca="false">IF(Horo8297[[#This Row],[O]]="o",Horo8297[[#This Row],[Durée]],".")</f>
        <v>2.5</v>
      </c>
      <c r="X8" s="60" t="n">
        <f aca="false">IF(Horo8297[[#This Row],[Début]]=0,"",Horo8297[[#This Row],[Fin]]-Horo8297[[#This Row],[Début]])</f>
        <v>0.104166666666667</v>
      </c>
    </row>
    <row r="9" customFormat="false" ht="15" hidden="false" customHeight="false" outlineLevel="0" collapsed="false">
      <c r="A9" s="45" t="s">
        <v>31</v>
      </c>
      <c r="B9" s="111" t="n">
        <f aca="false">IF(Horo8297[[#This Row],[Jour]]="Lundi",$C$1+1, IF(Horo8297[[#This Row],[Jour]]="Mardi",$C$1+2, IF(Horo8297[[#This Row],[Jour]]="Mercredi",$C$1+3, IF(Horo8297[[#This Row],[Jour]]="Jeudi",$C$1+4, IF(Horo8297[[#This Row],[Jour]]="Vendredi",$C$1+5, IF(Horo8297[[#This Row],[Jour]]="Samedi",$C$1+6, IF(Horo8297[[#This Row],[Jour]]="Dimanche",$C$1, )))))))</f>
        <v>44378</v>
      </c>
      <c r="C9" s="47" t="s">
        <v>2</v>
      </c>
      <c r="D9" s="48" t="n">
        <v>0.666666666666667</v>
      </c>
      <c r="E9" s="48" t="n">
        <v>0.729166666666667</v>
      </c>
      <c r="F9" s="49" t="s">
        <v>32</v>
      </c>
      <c r="G9" s="49" t="s">
        <v>23</v>
      </c>
      <c r="H9" s="50" t="s">
        <v>204</v>
      </c>
      <c r="I9" s="61" t="s">
        <v>205</v>
      </c>
      <c r="J9" s="52" t="n">
        <f aca="false">IF(Horo8297[[#This Row],[Début]]=0,"",(Horo8297[[#This Row],[Durée (60)2]]-INT(Horo8297[[#This Row],[Durée (60)2]]))*24)</f>
        <v>1.5</v>
      </c>
      <c r="K9" s="62" t="n">
        <f aca="false">SUMIF(Horo8297[Jour],C9,Horo8297[Durée])</f>
        <v>8</v>
      </c>
      <c r="L9" s="54" t="n">
        <f aca="false">IFERROR(SUMIF(Horo8297[[#This Row],[Jour]],Horo8297[[#This Row],[Jour]],Horo8297[[#This Row],[GPF]]) / Horo8297[[#This Row],[hrs]],"")</f>
        <v>0</v>
      </c>
      <c r="M9" s="56" t="str">
        <f aca="false">IF("GPF"=Horo8297[[#This Row],[Tâche]],Horo8297[[#This Row],[Durée]],"")</f>
        <v/>
      </c>
      <c r="N9" s="56" t="str">
        <f aca="false">IF("RI"=Horo8297[[#This Row],[Tâche]],Horo8297[[#This Row],[Durée]],"")</f>
        <v/>
      </c>
      <c r="O9" s="56" t="str">
        <f aca="false">IF("GB"=Horo8297[[#This Row],[Tâche]],Horo8297[[#This Row],[Durée]],"")</f>
        <v/>
      </c>
      <c r="P9" s="56" t="str">
        <f aca="false">IF("RD"=Horo8297[[#This Row],[Tâche]],Horo8297[[#This Row],[Durée]],"")</f>
        <v/>
      </c>
      <c r="Q9" s="56" t="n">
        <f aca="false">IF("FG"=Horo8297[[#This Row],[Tâche]],Horo8297[[#This Row],[Durée]],"")</f>
        <v>1.5</v>
      </c>
      <c r="R9" s="56" t="str">
        <f aca="false">IF("CONGÉ"=Horo8297[[#This Row],[Tâche]],Horo8297[[#This Row],[Durée]],"")</f>
        <v/>
      </c>
      <c r="S9" s="57" t="str">
        <f aca="false">IF("PS"=Horo8297[[#This Row],[Tâche]],Horo8297[[#This Row],[Durée]],"")</f>
        <v/>
      </c>
      <c r="T9" s="56" t="str">
        <f aca="false">IF("TD"=Horo8297[[#This Row],[Tâche]],Horo8297[[#This Row],[Durée]],"")</f>
        <v/>
      </c>
      <c r="U9" s="55" t="str">
        <f aca="false">IF("N/C"=Horo8297[[#This Row],[Tâche]],Horo8297[[#This Row],[Durée]],"")</f>
        <v/>
      </c>
      <c r="V9" s="58"/>
      <c r="W9" s="59" t="n">
        <f aca="false">IF(Horo8297[[#This Row],[O]]="o",Horo8297[[#This Row],[Durée]],".")</f>
        <v>1.5</v>
      </c>
      <c r="X9" s="60" t="n">
        <f aca="false">IF(Horo8297[[#This Row],[Début]]=0,"",Horo8297[[#This Row],[Fin]]-Horo8297[[#This Row],[Début]])</f>
        <v>0.0625</v>
      </c>
    </row>
    <row r="10" customFormat="false" ht="15" hidden="false" customHeight="false" outlineLevel="0" collapsed="false">
      <c r="A10" s="45" t="s">
        <v>31</v>
      </c>
      <c r="B10" s="111" t="n">
        <f aca="false">IF(Horo8297[[#This Row],[Jour]]="Lundi",$C$1+1, IF(Horo8297[[#This Row],[Jour]]="Mardi",$C$1+2, IF(Horo8297[[#This Row],[Jour]]="Mercredi",$C$1+3, IF(Horo8297[[#This Row],[Jour]]="Jeudi",$C$1+4, IF(Horo8297[[#This Row],[Jour]]="Vendredi",$C$1+5, IF(Horo8297[[#This Row],[Jour]]="Samedi",$C$1+6, IF(Horo8297[[#This Row],[Jour]]="Dimanche",$C$1, )))))))</f>
        <v>44379</v>
      </c>
      <c r="C10" s="47" t="s">
        <v>3</v>
      </c>
      <c r="D10" s="48" t="n">
        <v>0.333333333333333</v>
      </c>
      <c r="E10" s="48" t="n">
        <v>0.375</v>
      </c>
      <c r="F10" s="49" t="s">
        <v>32</v>
      </c>
      <c r="G10" s="49" t="s">
        <v>21</v>
      </c>
      <c r="H10" s="50" t="s">
        <v>201</v>
      </c>
      <c r="I10" s="61" t="s">
        <v>112</v>
      </c>
      <c r="J10" s="52" t="n">
        <f aca="false">IF(Horo8297[[#This Row],[Début]]=0,"",(Horo8297[[#This Row],[Durée (60)2]]-INT(Horo8297[[#This Row],[Durée (60)2]]))*24)</f>
        <v>1</v>
      </c>
      <c r="K10" s="62" t="n">
        <f aca="false">SUMIF(Horo8297[Jour],C10,Horo8297[Durée])</f>
        <v>8</v>
      </c>
      <c r="L10" s="54" t="n">
        <f aca="false">IFERROR(SUMIF(Horo8297[[#This Row],[Jour]],Horo8297[[#This Row],[Jour]],Horo8297[[#This Row],[GPF]]) / Horo8297[[#This Row],[hrs]],"")</f>
        <v>0</v>
      </c>
      <c r="M10" s="56" t="str">
        <f aca="false">IF("GPF"=Horo8297[[#This Row],[Tâche]],Horo8297[[#This Row],[Durée]],"")</f>
        <v/>
      </c>
      <c r="N10" s="56" t="str">
        <f aca="false">IF("RI"=Horo8297[[#This Row],[Tâche]],Horo8297[[#This Row],[Durée]],"")</f>
        <v/>
      </c>
      <c r="O10" s="56" t="n">
        <f aca="false">IF("GB"=Horo8297[[#This Row],[Tâche]],Horo8297[[#This Row],[Durée]],"")</f>
        <v>1</v>
      </c>
      <c r="P10" s="56" t="str">
        <f aca="false">IF("RD"=Horo8297[[#This Row],[Tâche]],Horo8297[[#This Row],[Durée]],"")</f>
        <v/>
      </c>
      <c r="Q10" s="56" t="str">
        <f aca="false">IF("FG"=Horo8297[[#This Row],[Tâche]],Horo8297[[#This Row],[Durée]],"")</f>
        <v/>
      </c>
      <c r="R10" s="56" t="str">
        <f aca="false">IF("CONGÉ"=Horo8297[[#This Row],[Tâche]],Horo8297[[#This Row],[Durée]],"")</f>
        <v/>
      </c>
      <c r="S10" s="56" t="str">
        <f aca="false">IF("PS"=Horo8297[[#This Row],[Tâche]],Horo8297[[#This Row],[Durée]],"")</f>
        <v/>
      </c>
      <c r="T10" s="56" t="str">
        <f aca="false">IF("TD"=Horo8297[[#This Row],[Tâche]],Horo8297[[#This Row],[Durée]],"")</f>
        <v/>
      </c>
      <c r="U10" s="56" t="str">
        <f aca="false">IF("N/C"=Horo8297[[#This Row],[Tâche]],Horo8297[[#This Row],[Durée]],"")</f>
        <v/>
      </c>
      <c r="V10" s="58"/>
      <c r="W10" s="59" t="n">
        <f aca="false">IF(Horo8297[[#This Row],[O]]="o",Horo8297[[#This Row],[Durée]],".")</f>
        <v>1</v>
      </c>
      <c r="X10" s="64" t="n">
        <f aca="false">IF(Horo8297[[#This Row],[Début]]=0,"",Horo8297[[#This Row],[Fin]]-Horo8297[[#This Row],[Début]])</f>
        <v>0.0416666666666667</v>
      </c>
    </row>
    <row r="11" customFormat="false" ht="15" hidden="false" customHeight="false" outlineLevel="0" collapsed="false">
      <c r="A11" s="45" t="s">
        <v>31</v>
      </c>
      <c r="B11" s="111" t="n">
        <f aca="false">IF(Horo8297[[#This Row],[Jour]]="Lundi",$C$1+1, IF(Horo8297[[#This Row],[Jour]]="Mardi",$C$1+2, IF(Horo8297[[#This Row],[Jour]]="Mercredi",$C$1+3, IF(Horo8297[[#This Row],[Jour]]="Jeudi",$C$1+4, IF(Horo8297[[#This Row],[Jour]]="Vendredi",$C$1+5, IF(Horo8297[[#This Row],[Jour]]="Samedi",$C$1+6, IF(Horo8297[[#This Row],[Jour]]="Dimanche",$C$1, )))))))</f>
        <v>44379</v>
      </c>
      <c r="C11" s="47" t="s">
        <v>3</v>
      </c>
      <c r="D11" s="48" t="n">
        <v>0.375</v>
      </c>
      <c r="E11" s="48" t="n">
        <v>0.458333333333333</v>
      </c>
      <c r="F11" s="49" t="s">
        <v>32</v>
      </c>
      <c r="G11" s="49" t="s">
        <v>23</v>
      </c>
      <c r="H11" s="50" t="s">
        <v>111</v>
      </c>
      <c r="I11" s="61"/>
      <c r="J11" s="52" t="n">
        <f aca="false">IF(Horo8297[[#This Row],[Début]]=0,"",(Horo8297[[#This Row],[Durée (60)2]]-INT(Horo8297[[#This Row],[Durée (60)2]]))*24)</f>
        <v>2</v>
      </c>
      <c r="K11" s="62" t="n">
        <f aca="false">SUMIF(Horo8297[Jour],C11,Horo8297[Durée])</f>
        <v>8</v>
      </c>
      <c r="L11" s="54" t="n">
        <f aca="false">IFERROR(SUMIF(Horo8297[[#This Row],[Jour]],Horo8297[[#This Row],[Jour]],Horo8297[[#This Row],[GPF]]) / Horo8297[[#This Row],[hrs]],"")</f>
        <v>0</v>
      </c>
      <c r="M11" s="56" t="str">
        <f aca="false">IF("GPF"=Horo8297[[#This Row],[Tâche]],Horo8297[[#This Row],[Durée]],"")</f>
        <v/>
      </c>
      <c r="N11" s="56" t="str">
        <f aca="false">IF("RI"=Horo8297[[#This Row],[Tâche]],Horo8297[[#This Row],[Durée]],"")</f>
        <v/>
      </c>
      <c r="O11" s="56" t="str">
        <f aca="false">IF("GB"=Horo8297[[#This Row],[Tâche]],Horo8297[[#This Row],[Durée]],"")</f>
        <v/>
      </c>
      <c r="P11" s="56" t="str">
        <f aca="false">IF("RD"=Horo8297[[#This Row],[Tâche]],Horo8297[[#This Row],[Durée]],"")</f>
        <v/>
      </c>
      <c r="Q11" s="56" t="n">
        <f aca="false">IF("FG"=Horo8297[[#This Row],[Tâche]],Horo8297[[#This Row],[Durée]],"")</f>
        <v>2</v>
      </c>
      <c r="R11" s="56" t="str">
        <f aca="false">IF("CONGÉ"=Horo8297[[#This Row],[Tâche]],Horo8297[[#This Row],[Durée]],"")</f>
        <v/>
      </c>
      <c r="S11" s="57" t="str">
        <f aca="false">IF("PS"=Horo8297[[#This Row],[Tâche]],Horo8297[[#This Row],[Durée]],"")</f>
        <v/>
      </c>
      <c r="T11" s="56" t="str">
        <f aca="false">IF("TD"=Horo8297[[#This Row],[Tâche]],Horo8297[[#This Row],[Durée]],"")</f>
        <v/>
      </c>
      <c r="U11" s="55" t="str">
        <f aca="false">IF("N/C"=Horo8297[[#This Row],[Tâche]],Horo8297[[#This Row],[Durée]],"")</f>
        <v/>
      </c>
      <c r="V11" s="58"/>
      <c r="W11" s="59" t="n">
        <f aca="false">IF(Horo8297[[#This Row],[O]]="o",Horo8297[[#This Row],[Durée]],".")</f>
        <v>2</v>
      </c>
      <c r="X11" s="60" t="n">
        <f aca="false">IF(Horo8297[[#This Row],[Début]]=0,"",Horo8297[[#This Row],[Fin]]-Horo8297[[#This Row],[Début]])</f>
        <v>0.0833333333333333</v>
      </c>
    </row>
    <row r="12" customFormat="false" ht="15" hidden="false" customHeight="false" outlineLevel="0" collapsed="false">
      <c r="A12" s="45" t="s">
        <v>31</v>
      </c>
      <c r="B12" s="46" t="n">
        <f aca="false">IF(Horo8297[[#This Row],[Jour]]="Lundi",$C$1+1, IF(Horo8297[[#This Row],[Jour]]="Mardi",$C$1+2, IF(Horo8297[[#This Row],[Jour]]="Mercredi",$C$1+3, IF(Horo8297[[#This Row],[Jour]]="Jeudi",$C$1+4, IF(Horo8297[[#This Row],[Jour]]="Vendredi",$C$1+5, IF(Horo8297[[#This Row],[Jour]]="Samedi",$C$1+6, IF(Horo8297[[#This Row],[Jour]]="Dimanche",$C$1, )))))))</f>
        <v>44379</v>
      </c>
      <c r="C12" s="47" t="s">
        <v>3</v>
      </c>
      <c r="D12" s="48" t="n">
        <v>0.541666666666667</v>
      </c>
      <c r="E12" s="48" t="n">
        <v>0.583333333333333</v>
      </c>
      <c r="F12" s="49" t="s">
        <v>32</v>
      </c>
      <c r="G12" s="49" t="s">
        <v>23</v>
      </c>
      <c r="H12" s="50" t="s">
        <v>204</v>
      </c>
      <c r="I12" s="61" t="s">
        <v>205</v>
      </c>
      <c r="J12" s="52" t="n">
        <f aca="false">IF(Horo8297[[#This Row],[Début]]=0,"",(Horo8297[[#This Row],[Durée (60)2]]-INT(Horo8297[[#This Row],[Durée (60)2]]))*24)</f>
        <v>1</v>
      </c>
      <c r="K12" s="62" t="n">
        <f aca="false">SUMIF(Horo8297[Jour],C12,Horo8297[Durée])</f>
        <v>8</v>
      </c>
      <c r="L12" s="54" t="n">
        <f aca="false">IFERROR(SUMIF(Horo8297[[#This Row],[Jour]],Horo8297[[#This Row],[Jour]],Horo8297[[#This Row],[GPF]]) / Horo8297[[#This Row],[hrs]],"")</f>
        <v>0</v>
      </c>
      <c r="M12" s="56" t="str">
        <f aca="false">IF("GPF"=Horo8297[[#This Row],[Tâche]],Horo8297[[#This Row],[Durée]],"")</f>
        <v/>
      </c>
      <c r="N12" s="56" t="str">
        <f aca="false">IF("RI"=Horo8297[[#This Row],[Tâche]],Horo8297[[#This Row],[Durée]],"")</f>
        <v/>
      </c>
      <c r="O12" s="56" t="str">
        <f aca="false">IF("GB"=Horo8297[[#This Row],[Tâche]],Horo8297[[#This Row],[Durée]],"")</f>
        <v/>
      </c>
      <c r="P12" s="56" t="str">
        <f aca="false">IF("RD"=Horo8297[[#This Row],[Tâche]],Horo8297[[#This Row],[Durée]],"")</f>
        <v/>
      </c>
      <c r="Q12" s="56" t="n">
        <f aca="false">IF("FG"=Horo8297[[#This Row],[Tâche]],Horo8297[[#This Row],[Durée]],"")</f>
        <v>1</v>
      </c>
      <c r="R12" s="56" t="str">
        <f aca="false">IF("CONGÉ"=Horo8297[[#This Row],[Tâche]],Horo8297[[#This Row],[Durée]],"")</f>
        <v/>
      </c>
      <c r="S12" s="57" t="str">
        <f aca="false">IF("PS"=Horo8297[[#This Row],[Tâche]],Horo8297[[#This Row],[Durée]],"")</f>
        <v/>
      </c>
      <c r="T12" s="56" t="str">
        <f aca="false">IF("TD"=Horo8297[[#This Row],[Tâche]],Horo8297[[#This Row],[Durée]],"")</f>
        <v/>
      </c>
      <c r="U12" s="55" t="str">
        <f aca="false">IF("N/C"=Horo8297[[#This Row],[Tâche]],Horo8297[[#This Row],[Durée]],"")</f>
        <v/>
      </c>
      <c r="V12" s="58"/>
      <c r="W12" s="59" t="n">
        <f aca="false">IF(Horo8297[[#This Row],[O]]="o",Horo8297[[#This Row],[Durée]],".")</f>
        <v>1</v>
      </c>
      <c r="X12" s="60" t="n">
        <f aca="false">IF(Horo8297[[#This Row],[Début]]=0,"",Horo8297[[#This Row],[Fin]]-Horo8297[[#This Row],[Début]])</f>
        <v>0.0416666666666667</v>
      </c>
    </row>
    <row r="13" customFormat="false" ht="15" hidden="false" customHeight="false" outlineLevel="0" collapsed="false">
      <c r="A13" s="45" t="s">
        <v>31</v>
      </c>
      <c r="B13" s="111" t="n">
        <f aca="false">IF(Horo8297[[#This Row],[Jour]]="Lundi",$C$1+1, IF(Horo8297[[#This Row],[Jour]]="Mardi",$C$1+2, IF(Horo8297[[#This Row],[Jour]]="Mercredi",$C$1+3, IF(Horo8297[[#This Row],[Jour]]="Jeudi",$C$1+4, IF(Horo8297[[#This Row],[Jour]]="Vendredi",$C$1+5, IF(Horo8297[[#This Row],[Jour]]="Samedi",$C$1+6, IF(Horo8297[[#This Row],[Jour]]="Dimanche",$C$1, )))))))</f>
        <v>44379</v>
      </c>
      <c r="C13" s="47" t="s">
        <v>3</v>
      </c>
      <c r="D13" s="48" t="n">
        <v>0.583333333333333</v>
      </c>
      <c r="E13" s="48" t="n">
        <v>0.75</v>
      </c>
      <c r="F13" s="49" t="s">
        <v>32</v>
      </c>
      <c r="G13" s="49" t="s">
        <v>22</v>
      </c>
      <c r="H13" s="50" t="s">
        <v>118</v>
      </c>
      <c r="I13" s="61"/>
      <c r="J13" s="52" t="n">
        <f aca="false">IF(Horo8297[[#This Row],[Début]]=0,"",(Horo8297[[#This Row],[Durée (60)2]]-INT(Horo8297[[#This Row],[Durée (60)2]]))*24)</f>
        <v>4</v>
      </c>
      <c r="K13" s="62" t="n">
        <f aca="false">SUMIF(Horo8297[Jour],C13,Horo8297[Durée])</f>
        <v>8</v>
      </c>
      <c r="L13" s="54" t="n">
        <f aca="false">IFERROR(SUMIF(Horo8297[[#This Row],[Jour]],Horo8297[[#This Row],[Jour]],Horo8297[[#This Row],[GPF]]) / Horo8297[[#This Row],[hrs]],"")</f>
        <v>0</v>
      </c>
      <c r="M13" s="56" t="str">
        <f aca="false">IF("GPF"=Horo8297[[#This Row],[Tâche]],Horo8297[[#This Row],[Durée]],"")</f>
        <v/>
      </c>
      <c r="N13" s="56" t="str">
        <f aca="false">IF("RI"=Horo8297[[#This Row],[Tâche]],Horo8297[[#This Row],[Durée]],"")</f>
        <v/>
      </c>
      <c r="O13" s="56" t="str">
        <f aca="false">IF("GB"=Horo8297[[#This Row],[Tâche]],Horo8297[[#This Row],[Durée]],"")</f>
        <v/>
      </c>
      <c r="P13" s="56" t="n">
        <f aca="false">IF("RD"=Horo8297[[#This Row],[Tâche]],Horo8297[[#This Row],[Durée]],"")</f>
        <v>4</v>
      </c>
      <c r="Q13" s="56" t="str">
        <f aca="false">IF("FG"=Horo8297[[#This Row],[Tâche]],Horo8297[[#This Row],[Durée]],"")</f>
        <v/>
      </c>
      <c r="R13" s="56" t="str">
        <f aca="false">IF("CONGÉ"=Horo8297[[#This Row],[Tâche]],Horo8297[[#This Row],[Durée]],"")</f>
        <v/>
      </c>
      <c r="S13" s="57" t="str">
        <f aca="false">IF("PS"=Horo8297[[#This Row],[Tâche]],Horo8297[[#This Row],[Durée]],"")</f>
        <v/>
      </c>
      <c r="T13" s="56" t="str">
        <f aca="false">IF("TD"=Horo8297[[#This Row],[Tâche]],Horo8297[[#This Row],[Durée]],"")</f>
        <v/>
      </c>
      <c r="U13" s="55" t="str">
        <f aca="false">IF("N/C"=Horo8297[[#This Row],[Tâche]],Horo8297[[#This Row],[Durée]],"")</f>
        <v/>
      </c>
      <c r="V13" s="58"/>
      <c r="W13" s="59" t="n">
        <f aca="false">IF(Horo8297[[#This Row],[O]]="o",Horo8297[[#This Row],[Durée]],".")</f>
        <v>4</v>
      </c>
      <c r="X13" s="60" t="n">
        <f aca="false">IF(Horo8297[[#This Row],[Début]]=0,"",Horo8297[[#This Row],[Fin]]-Horo8297[[#This Row],[Début]])</f>
        <v>0.166666666666667</v>
      </c>
    </row>
    <row r="14" customFormat="false" ht="15" hidden="false" customHeight="false" outlineLevel="0" collapsed="false">
      <c r="A14" s="45" t="s">
        <v>31</v>
      </c>
      <c r="B14" s="111" t="n">
        <f aca="false">IF(Horo8297[[#This Row],[Jour]]="Lundi",$C$1+1, IF(Horo8297[[#This Row],[Jour]]="Mardi",$C$1+2, IF(Horo8297[[#This Row],[Jour]]="Mercredi",$C$1+3, IF(Horo8297[[#This Row],[Jour]]="Jeudi",$C$1+4, IF(Horo8297[[#This Row],[Jour]]="Vendredi",$C$1+5, IF(Horo8297[[#This Row],[Jour]]="Samedi",$C$1+6, IF(Horo8297[[#This Row],[Jour]]="Dimanche",$C$1, )))))))</f>
        <v>44380</v>
      </c>
      <c r="C14" s="47" t="s">
        <v>4</v>
      </c>
      <c r="D14" s="48" t="n">
        <v>0.333333333333333</v>
      </c>
      <c r="E14" s="48" t="n">
        <v>0.354166666666667</v>
      </c>
      <c r="F14" s="49" t="s">
        <v>32</v>
      </c>
      <c r="G14" s="49" t="s">
        <v>21</v>
      </c>
      <c r="H14" s="50" t="s">
        <v>201</v>
      </c>
      <c r="I14" s="61" t="s">
        <v>112</v>
      </c>
      <c r="J14" s="52" t="n">
        <f aca="false">IF(Horo8297[[#This Row],[Début]]=0,"",(Horo8297[[#This Row],[Durée (60)2]]-INT(Horo8297[[#This Row],[Durée (60)2]]))*24)</f>
        <v>0.500000000000001</v>
      </c>
      <c r="K14" s="62" t="n">
        <f aca="false">SUMIF(Horo8297[Jour],C14,Horo8297[Durée])</f>
        <v>8</v>
      </c>
      <c r="L14" s="54" t="n">
        <f aca="false">IFERROR(SUMIF(Horo8297[[#This Row],[Jour]],Horo8297[[#This Row],[Jour]],Horo8297[[#This Row],[GPF]]) / Horo8297[[#This Row],[hrs]],"")</f>
        <v>0</v>
      </c>
      <c r="M14" s="56" t="str">
        <f aca="false">IF("GPF"=Horo8297[[#This Row],[Tâche]],Horo8297[[#This Row],[Durée]],"")</f>
        <v/>
      </c>
      <c r="N14" s="56" t="str">
        <f aca="false">IF("RI"=Horo8297[[#This Row],[Tâche]],Horo8297[[#This Row],[Durée]],"")</f>
        <v/>
      </c>
      <c r="O14" s="56" t="n">
        <f aca="false">IF("GB"=Horo8297[[#This Row],[Tâche]],Horo8297[[#This Row],[Durée]],"")</f>
        <v>0.500000000000001</v>
      </c>
      <c r="P14" s="56" t="str">
        <f aca="false">IF("RD"=Horo8297[[#This Row],[Tâche]],Horo8297[[#This Row],[Durée]],"")</f>
        <v/>
      </c>
      <c r="Q14" s="56" t="str">
        <f aca="false">IF("FG"=Horo8297[[#This Row],[Tâche]],Horo8297[[#This Row],[Durée]],"")</f>
        <v/>
      </c>
      <c r="R14" s="56" t="str">
        <f aca="false">IF("CONGÉ"=Horo8297[[#This Row],[Tâche]],Horo8297[[#This Row],[Durée]],"")</f>
        <v/>
      </c>
      <c r="S14" s="57" t="str">
        <f aca="false">IF("PS"=Horo8297[[#This Row],[Tâche]],Horo8297[[#This Row],[Durée]],"")</f>
        <v/>
      </c>
      <c r="T14" s="56" t="str">
        <f aca="false">IF("TD"=Horo8297[[#This Row],[Tâche]],Horo8297[[#This Row],[Durée]],"")</f>
        <v/>
      </c>
      <c r="U14" s="55" t="str">
        <f aca="false">IF("N/C"=Horo8297[[#This Row],[Tâche]],Horo8297[[#This Row],[Durée]],"")</f>
        <v/>
      </c>
      <c r="V14" s="58"/>
      <c r="W14" s="59" t="n">
        <f aca="false">IF(Horo8297[[#This Row],[O]]="o",Horo8297[[#This Row],[Durée]],".")</f>
        <v>0.500000000000001</v>
      </c>
      <c r="X14" s="60" t="n">
        <f aca="false">IF(Horo8297[[#This Row],[Début]]=0,"",Horo8297[[#This Row],[Fin]]-Horo8297[[#This Row],[Début]])</f>
        <v>0.0208333333333334</v>
      </c>
    </row>
    <row r="15" customFormat="false" ht="15" hidden="false" customHeight="false" outlineLevel="0" collapsed="false">
      <c r="A15" s="45" t="s">
        <v>31</v>
      </c>
      <c r="B15" s="111" t="n">
        <f aca="false">IF(Horo8297[[#This Row],[Jour]]="Lundi",$C$1+1, IF(Horo8297[[#This Row],[Jour]]="Mardi",$C$1+2, IF(Horo8297[[#This Row],[Jour]]="Mercredi",$C$1+3, IF(Horo8297[[#This Row],[Jour]]="Jeudi",$C$1+4, IF(Horo8297[[#This Row],[Jour]]="Vendredi",$C$1+5, IF(Horo8297[[#This Row],[Jour]]="Samedi",$C$1+6, IF(Horo8297[[#This Row],[Jour]]="Dimanche",$C$1, )))))))</f>
        <v>44380</v>
      </c>
      <c r="C15" s="47" t="s">
        <v>4</v>
      </c>
      <c r="D15" s="48" t="n">
        <v>0.354166666666667</v>
      </c>
      <c r="E15" s="48" t="n">
        <v>0.375</v>
      </c>
      <c r="F15" s="49" t="s">
        <v>75</v>
      </c>
      <c r="G15" s="49" t="s">
        <v>19</v>
      </c>
      <c r="H15" s="50" t="s">
        <v>55</v>
      </c>
      <c r="I15" s="61"/>
      <c r="J15" s="52" t="n">
        <f aca="false">IF(Horo8297[[#This Row],[Début]]=0,"",(Horo8297[[#This Row],[Durée (60)2]]-INT(Horo8297[[#This Row],[Durée (60)2]]))*24)</f>
        <v>0.5</v>
      </c>
      <c r="K15" s="62" t="n">
        <f aca="false">SUMIF(Horo8297[Jour],C15,Horo8297[Durée])</f>
        <v>8</v>
      </c>
      <c r="L15" s="54" t="n">
        <f aca="false">IFERROR(SUMIF(Horo8297[[#This Row],[Jour]],Horo8297[[#This Row],[Jour]],Horo8297[[#This Row],[GPF]]) / Horo8297[[#This Row],[hrs]],"")</f>
        <v>0.0624999999999999</v>
      </c>
      <c r="M15" s="56" t="n">
        <f aca="false">IF("GPF"=Horo8297[[#This Row],[Tâche]],Horo8297[[#This Row],[Durée]],"")</f>
        <v>0.5</v>
      </c>
      <c r="N15" s="56" t="str">
        <f aca="false">IF("RI"=Horo8297[[#This Row],[Tâche]],Horo8297[[#This Row],[Durée]],"")</f>
        <v/>
      </c>
      <c r="O15" s="56" t="str">
        <f aca="false">IF("GB"=Horo8297[[#This Row],[Tâche]],Horo8297[[#This Row],[Durée]],"")</f>
        <v/>
      </c>
      <c r="P15" s="56" t="str">
        <f aca="false">IF("RD"=Horo8297[[#This Row],[Tâche]],Horo8297[[#This Row],[Durée]],"")</f>
        <v/>
      </c>
      <c r="Q15" s="56" t="str">
        <f aca="false">IF("FG"=Horo8297[[#This Row],[Tâche]],Horo8297[[#This Row],[Durée]],"")</f>
        <v/>
      </c>
      <c r="R15" s="56" t="str">
        <f aca="false">IF("CONGÉ"=Horo8297[[#This Row],[Tâche]],Horo8297[[#This Row],[Durée]],"")</f>
        <v/>
      </c>
      <c r="S15" s="57" t="str">
        <f aca="false">IF("PS"=Horo8297[[#This Row],[Tâche]],Horo8297[[#This Row],[Durée]],"")</f>
        <v/>
      </c>
      <c r="T15" s="56" t="str">
        <f aca="false">IF("TD"=Horo8297[[#This Row],[Tâche]],Horo8297[[#This Row],[Durée]],"")</f>
        <v/>
      </c>
      <c r="U15" s="55" t="str">
        <f aca="false">IF("N/C"=Horo8297[[#This Row],[Tâche]],Horo8297[[#This Row],[Durée]],"")</f>
        <v/>
      </c>
      <c r="V15" s="58"/>
      <c r="W15" s="59" t="n">
        <f aca="false">IF(Horo8297[[#This Row],[O]]="o",Horo8297[[#This Row],[Durée]],".")</f>
        <v>0.5</v>
      </c>
      <c r="X15" s="60" t="n">
        <f aca="false">IF(Horo8297[[#This Row],[Début]]=0,"",Horo8297[[#This Row],[Fin]]-Horo8297[[#This Row],[Début]])</f>
        <v>0.0208333333333333</v>
      </c>
    </row>
    <row r="16" customFormat="false" ht="15" hidden="false" customHeight="false" outlineLevel="0" collapsed="false">
      <c r="A16" s="45" t="s">
        <v>31</v>
      </c>
      <c r="B16" s="111" t="n">
        <f aca="false">IF(Horo8297[[#This Row],[Jour]]="Lundi",$C$1+1, IF(Horo8297[[#This Row],[Jour]]="Mardi",$C$1+2, IF(Horo8297[[#This Row],[Jour]]="Mercredi",$C$1+3, IF(Horo8297[[#This Row],[Jour]]="Jeudi",$C$1+4, IF(Horo8297[[#This Row],[Jour]]="Vendredi",$C$1+5, IF(Horo8297[[#This Row],[Jour]]="Samedi",$C$1+6, IF(Horo8297[[#This Row],[Jour]]="Dimanche",$C$1, )))))))</f>
        <v>44380</v>
      </c>
      <c r="C16" s="47" t="s">
        <v>4</v>
      </c>
      <c r="D16" s="48" t="n">
        <v>0.375</v>
      </c>
      <c r="E16" s="48" t="n">
        <v>0.395833333333333</v>
      </c>
      <c r="F16" s="49" t="s">
        <v>59</v>
      </c>
      <c r="G16" s="49" t="s">
        <v>19</v>
      </c>
      <c r="H16" s="50" t="s">
        <v>55</v>
      </c>
      <c r="I16" s="61"/>
      <c r="J16" s="52" t="n">
        <f aca="false">IF(Horo8297[[#This Row],[Début]]=0,"",(Horo8297[[#This Row],[Durée (60)2]]-INT(Horo8297[[#This Row],[Durée (60)2]]))*24)</f>
        <v>0.5</v>
      </c>
      <c r="K16" s="62" t="n">
        <f aca="false">SUMIF(Horo8297[Jour],C16,Horo8297[Durée])</f>
        <v>8</v>
      </c>
      <c r="L16" s="54" t="n">
        <f aca="false">IFERROR(SUMIF(Horo8297[[#This Row],[Jour]],Horo8297[[#This Row],[Jour]],Horo8297[[#This Row],[GPF]]) / Horo8297[[#This Row],[hrs]],"")</f>
        <v>0.0624999999999999</v>
      </c>
      <c r="M16" s="56" t="n">
        <f aca="false">IF("GPF"=Horo8297[[#This Row],[Tâche]],Horo8297[[#This Row],[Durée]],"")</f>
        <v>0.5</v>
      </c>
      <c r="N16" s="56" t="str">
        <f aca="false">IF("RI"=Horo8297[[#This Row],[Tâche]],Horo8297[[#This Row],[Durée]],"")</f>
        <v/>
      </c>
      <c r="O16" s="56" t="str">
        <f aca="false">IF("GB"=Horo8297[[#This Row],[Tâche]],Horo8297[[#This Row],[Durée]],"")</f>
        <v/>
      </c>
      <c r="P16" s="56" t="str">
        <f aca="false">IF("RD"=Horo8297[[#This Row],[Tâche]],Horo8297[[#This Row],[Durée]],"")</f>
        <v/>
      </c>
      <c r="Q16" s="56" t="str">
        <f aca="false">IF("FG"=Horo8297[[#This Row],[Tâche]],Horo8297[[#This Row],[Durée]],"")</f>
        <v/>
      </c>
      <c r="R16" s="56" t="str">
        <f aca="false">IF("CONGÉ"=Horo8297[[#This Row],[Tâche]],Horo8297[[#This Row],[Durée]],"")</f>
        <v/>
      </c>
      <c r="S16" s="57" t="str">
        <f aca="false">IF("PS"=Horo8297[[#This Row],[Tâche]],Horo8297[[#This Row],[Durée]],"")</f>
        <v/>
      </c>
      <c r="T16" s="56" t="str">
        <f aca="false">IF("TD"=Horo8297[[#This Row],[Tâche]],Horo8297[[#This Row],[Durée]],"")</f>
        <v/>
      </c>
      <c r="U16" s="55" t="str">
        <f aca="false">IF("N/C"=Horo8297[[#This Row],[Tâche]],Horo8297[[#This Row],[Durée]],"")</f>
        <v/>
      </c>
      <c r="V16" s="58"/>
      <c r="W16" s="59" t="n">
        <f aca="false">IF(Horo8297[[#This Row],[O]]="o",Horo8297[[#This Row],[Durée]],".")</f>
        <v>0.5</v>
      </c>
      <c r="X16" s="60" t="n">
        <f aca="false">IF(Horo8297[[#This Row],[Début]]=0,"",Horo8297[[#This Row],[Fin]]-Horo8297[[#This Row],[Début]])</f>
        <v>0.0208333333333333</v>
      </c>
    </row>
    <row r="17" customFormat="false" ht="15" hidden="false" customHeight="false" outlineLevel="0" collapsed="false">
      <c r="A17" s="45" t="s">
        <v>31</v>
      </c>
      <c r="B17" s="46" t="n">
        <f aca="false">IF(Horo8297[[#This Row],[Jour]]="Lundi",$C$1+1, IF(Horo8297[[#This Row],[Jour]]="Mardi",$C$1+2, IF(Horo8297[[#This Row],[Jour]]="Mercredi",$C$1+3, IF(Horo8297[[#This Row],[Jour]]="Jeudi",$C$1+4, IF(Horo8297[[#This Row],[Jour]]="Vendredi",$C$1+5, IF(Horo8297[[#This Row],[Jour]]="Samedi",$C$1+6, IF(Horo8297[[#This Row],[Jour]]="Dimanche",$C$1, )))))))</f>
        <v>44380</v>
      </c>
      <c r="C17" s="47" t="s">
        <v>4</v>
      </c>
      <c r="D17" s="48" t="n">
        <v>0.395833333333333</v>
      </c>
      <c r="E17" s="48" t="n">
        <v>0.416666666666667</v>
      </c>
      <c r="F17" s="49" t="s">
        <v>32</v>
      </c>
      <c r="G17" s="49" t="s">
        <v>21</v>
      </c>
      <c r="H17" s="50" t="s">
        <v>201</v>
      </c>
      <c r="I17" s="61" t="s">
        <v>94</v>
      </c>
      <c r="J17" s="52" t="n">
        <f aca="false">IF(Horo8297[[#This Row],[Début]]=0,"",(Horo8297[[#This Row],[Durée (60)2]]-INT(Horo8297[[#This Row],[Durée (60)2]]))*24)</f>
        <v>0.500000000000001</v>
      </c>
      <c r="K17" s="62" t="n">
        <f aca="false">SUMIF(Horo8297[Jour],C17,Horo8297[Durée])</f>
        <v>8</v>
      </c>
      <c r="L17" s="54" t="n">
        <f aca="false">IFERROR(SUMIF(Horo8297[[#This Row],[Jour]],Horo8297[[#This Row],[Jour]],Horo8297[[#This Row],[GPF]]) / Horo8297[[#This Row],[hrs]],"")</f>
        <v>0</v>
      </c>
      <c r="M17" s="56" t="str">
        <f aca="false">IF("GPF"=Horo8297[[#This Row],[Tâche]],Horo8297[[#This Row],[Durée]],"")</f>
        <v/>
      </c>
      <c r="N17" s="56" t="str">
        <f aca="false">IF("RI"=Horo8297[[#This Row],[Tâche]],Horo8297[[#This Row],[Durée]],"")</f>
        <v/>
      </c>
      <c r="O17" s="56" t="n">
        <f aca="false">IF("GB"=Horo8297[[#This Row],[Tâche]],Horo8297[[#This Row],[Durée]],"")</f>
        <v>0.500000000000001</v>
      </c>
      <c r="P17" s="56" t="str">
        <f aca="false">IF("RD"=Horo8297[[#This Row],[Tâche]],Horo8297[[#This Row],[Durée]],"")</f>
        <v/>
      </c>
      <c r="Q17" s="56" t="str">
        <f aca="false">IF("FG"=Horo8297[[#This Row],[Tâche]],Horo8297[[#This Row],[Durée]],"")</f>
        <v/>
      </c>
      <c r="R17" s="56" t="str">
        <f aca="false">IF("CONGÉ"=Horo8297[[#This Row],[Tâche]],Horo8297[[#This Row],[Durée]],"")</f>
        <v/>
      </c>
      <c r="S17" s="57" t="str">
        <f aca="false">IF("PS"=Horo8297[[#This Row],[Tâche]],Horo8297[[#This Row],[Durée]],"")</f>
        <v/>
      </c>
      <c r="T17" s="56" t="str">
        <f aca="false">IF("TD"=Horo8297[[#This Row],[Tâche]],Horo8297[[#This Row],[Durée]],"")</f>
        <v/>
      </c>
      <c r="U17" s="55" t="str">
        <f aca="false">IF("N/C"=Horo8297[[#This Row],[Tâche]],Horo8297[[#This Row],[Durée]],"")</f>
        <v/>
      </c>
      <c r="V17" s="58"/>
      <c r="W17" s="59" t="n">
        <f aca="false">IF(Horo8297[[#This Row],[O]]="o",Horo8297[[#This Row],[Durée]],".")</f>
        <v>0.500000000000001</v>
      </c>
      <c r="X17" s="60" t="n">
        <f aca="false">IF(Horo8297[[#This Row],[Début]]=0,"",Horo8297[[#This Row],[Fin]]-Horo8297[[#This Row],[Début]])</f>
        <v>0.0208333333333334</v>
      </c>
    </row>
    <row r="18" customFormat="false" ht="15" hidden="false" customHeight="false" outlineLevel="0" collapsed="false">
      <c r="A18" s="45" t="s">
        <v>31</v>
      </c>
      <c r="B18" s="111" t="n">
        <f aca="false">IF(Horo8297[[#This Row],[Jour]]="Lundi",$C$1+1, IF(Horo8297[[#This Row],[Jour]]="Mardi",$C$1+2, IF(Horo8297[[#This Row],[Jour]]="Mercredi",$C$1+3, IF(Horo8297[[#This Row],[Jour]]="Jeudi",$C$1+4, IF(Horo8297[[#This Row],[Jour]]="Vendredi",$C$1+5, IF(Horo8297[[#This Row],[Jour]]="Samedi",$C$1+6, IF(Horo8297[[#This Row],[Jour]]="Dimanche",$C$1, )))))))</f>
        <v>44380</v>
      </c>
      <c r="C18" s="47" t="s">
        <v>4</v>
      </c>
      <c r="D18" s="48" t="n">
        <v>0.416666666666667</v>
      </c>
      <c r="E18" s="48" t="n">
        <v>0.5</v>
      </c>
      <c r="F18" s="49" t="s">
        <v>63</v>
      </c>
      <c r="G18" s="49" t="s">
        <v>19</v>
      </c>
      <c r="H18" s="50" t="s">
        <v>114</v>
      </c>
      <c r="I18" s="61" t="s">
        <v>206</v>
      </c>
      <c r="J18" s="52" t="n">
        <f aca="false">IF(Horo8297[[#This Row],[Début]]=0,"",(Horo8297[[#This Row],[Durée (60)2]]-INT(Horo8297[[#This Row],[Durée (60)2]]))*24)</f>
        <v>2</v>
      </c>
      <c r="K18" s="62" t="n">
        <f aca="false">SUMIF(Horo8297[Jour],C18,Horo8297[Durée])</f>
        <v>8</v>
      </c>
      <c r="L18" s="54" t="n">
        <f aca="false">IFERROR(SUMIF(Horo8297[[#This Row],[Jour]],Horo8297[[#This Row],[Jour]],Horo8297[[#This Row],[GPF]]) / Horo8297[[#This Row],[hrs]],"")</f>
        <v>0.25</v>
      </c>
      <c r="M18" s="56" t="n">
        <f aca="false">IF("GPF"=Horo8297[[#This Row],[Tâche]],Horo8297[[#This Row],[Durée]],"")</f>
        <v>2</v>
      </c>
      <c r="N18" s="56" t="str">
        <f aca="false">IF("RI"=Horo8297[[#This Row],[Tâche]],Horo8297[[#This Row],[Durée]],"")</f>
        <v/>
      </c>
      <c r="O18" s="56" t="str">
        <f aca="false">IF("GB"=Horo8297[[#This Row],[Tâche]],Horo8297[[#This Row],[Durée]],"")</f>
        <v/>
      </c>
      <c r="P18" s="56" t="str">
        <f aca="false">IF("RD"=Horo8297[[#This Row],[Tâche]],Horo8297[[#This Row],[Durée]],"")</f>
        <v/>
      </c>
      <c r="Q18" s="56" t="str">
        <f aca="false">IF("FG"=Horo8297[[#This Row],[Tâche]],Horo8297[[#This Row],[Durée]],"")</f>
        <v/>
      </c>
      <c r="R18" s="56" t="str">
        <f aca="false">IF("CONGÉ"=Horo8297[[#This Row],[Tâche]],Horo8297[[#This Row],[Durée]],"")</f>
        <v/>
      </c>
      <c r="S18" s="57" t="str">
        <f aca="false">IF("PS"=Horo8297[[#This Row],[Tâche]],Horo8297[[#This Row],[Durée]],"")</f>
        <v/>
      </c>
      <c r="T18" s="56" t="str">
        <f aca="false">IF("TD"=Horo8297[[#This Row],[Tâche]],Horo8297[[#This Row],[Durée]],"")</f>
        <v/>
      </c>
      <c r="U18" s="55" t="str">
        <f aca="false">IF("N/C"=Horo8297[[#This Row],[Tâche]],Horo8297[[#This Row],[Durée]],"")</f>
        <v/>
      </c>
      <c r="V18" s="58"/>
      <c r="W18" s="59" t="n">
        <f aca="false">IF(Horo8297[[#This Row],[O]]="o",Horo8297[[#This Row],[Durée]],".")</f>
        <v>2</v>
      </c>
      <c r="X18" s="60" t="n">
        <f aca="false">IF(Horo8297[[#This Row],[Début]]=0,"",Horo8297[[#This Row],[Fin]]-Horo8297[[#This Row],[Début]])</f>
        <v>0.0833333333333333</v>
      </c>
    </row>
    <row r="19" customFormat="false" ht="15" hidden="false" customHeight="false" outlineLevel="0" collapsed="false">
      <c r="A19" s="45" t="s">
        <v>31</v>
      </c>
      <c r="B19" s="111" t="n">
        <f aca="false">IF(Horo8297[[#This Row],[Jour]]="Lundi",$C$1+1, IF(Horo8297[[#This Row],[Jour]]="Mardi",$C$1+2, IF(Horo8297[[#This Row],[Jour]]="Mercredi",$C$1+3, IF(Horo8297[[#This Row],[Jour]]="Jeudi",$C$1+4, IF(Horo8297[[#This Row],[Jour]]="Vendredi",$C$1+5, IF(Horo8297[[#This Row],[Jour]]="Samedi",$C$1+6, IF(Horo8297[[#This Row],[Jour]]="Dimanche",$C$1, )))))))</f>
        <v>44380</v>
      </c>
      <c r="C19" s="47" t="s">
        <v>4</v>
      </c>
      <c r="D19" s="48" t="n">
        <v>0.541666666666667</v>
      </c>
      <c r="E19" s="48" t="n">
        <v>0.708333333333333</v>
      </c>
      <c r="F19" s="49" t="s">
        <v>32</v>
      </c>
      <c r="G19" s="49" t="s">
        <v>27</v>
      </c>
      <c r="H19" s="50" t="s">
        <v>201</v>
      </c>
      <c r="I19" s="61" t="s">
        <v>207</v>
      </c>
      <c r="J19" s="52" t="n">
        <f aca="false">IF(Horo8297[[#This Row],[Début]]=0,"",(Horo8297[[#This Row],[Durée (60)2]]-INT(Horo8297[[#This Row],[Durée (60)2]]))*24)</f>
        <v>4</v>
      </c>
      <c r="K19" s="62" t="n">
        <f aca="false">SUMIF(Horo8297[Jour],C19,Horo8297[Durée])</f>
        <v>8</v>
      </c>
      <c r="L19" s="54" t="n">
        <f aca="false">IFERROR(SUMIF(Horo8297[[#This Row],[Jour]],Horo8297[[#This Row],[Jour]],Horo8297[[#This Row],[GPF]]) / Horo8297[[#This Row],[hrs]],"")</f>
        <v>0</v>
      </c>
      <c r="M19" s="56" t="str">
        <f aca="false">IF("GPF"=Horo8297[[#This Row],[Tâche]],Horo8297[[#This Row],[Durée]],"")</f>
        <v/>
      </c>
      <c r="N19" s="56" t="str">
        <f aca="false">IF("RI"=Horo8297[[#This Row],[Tâche]],Horo8297[[#This Row],[Durée]],"")</f>
        <v/>
      </c>
      <c r="O19" s="56" t="str">
        <f aca="false">IF("GB"=Horo8297[[#This Row],[Tâche]],Horo8297[[#This Row],[Durée]],"")</f>
        <v/>
      </c>
      <c r="P19" s="56" t="str">
        <f aca="false">IF("RD"=Horo8297[[#This Row],[Tâche]],Horo8297[[#This Row],[Durée]],"")</f>
        <v/>
      </c>
      <c r="Q19" s="56" t="str">
        <f aca="false">IF("FG"=Horo8297[[#This Row],[Tâche]],Horo8297[[#This Row],[Durée]],"")</f>
        <v/>
      </c>
      <c r="R19" s="56" t="str">
        <f aca="false">IF("CONGÉ"=Horo8297[[#This Row],[Tâche]],Horo8297[[#This Row],[Durée]],"")</f>
        <v/>
      </c>
      <c r="S19" s="57" t="str">
        <f aca="false">IF("PS"=Horo8297[[#This Row],[Tâche]],Horo8297[[#This Row],[Durée]],"")</f>
        <v/>
      </c>
      <c r="T19" s="56" t="str">
        <f aca="false">IF("TD"=Horo8297[[#This Row],[Tâche]],Horo8297[[#This Row],[Durée]],"")</f>
        <v/>
      </c>
      <c r="U19" s="55" t="n">
        <f aca="false">IF("N/C"=Horo8297[[#This Row],[Tâche]],Horo8297[[#This Row],[Durée]],"")</f>
        <v>4</v>
      </c>
      <c r="V19" s="58"/>
      <c r="W19" s="59" t="n">
        <f aca="false">IF(Horo8297[[#This Row],[O]]="o",Horo8297[[#This Row],[Durée]],".")</f>
        <v>4</v>
      </c>
      <c r="X19" s="60" t="n">
        <f aca="false">IF(Horo8297[[#This Row],[Début]]=0,"",Horo8297[[#This Row],[Fin]]-Horo8297[[#This Row],[Début]])</f>
        <v>0.166666666666667</v>
      </c>
    </row>
    <row r="20" customFormat="false" ht="15" hidden="true" customHeight="false" outlineLevel="0" collapsed="false">
      <c r="A20" s="45" t="s">
        <v>33</v>
      </c>
      <c r="B20" s="111" t="n">
        <f aca="false">IF(Horo8297[[#This Row],[Jour]]="Lundi",$C$1+1, IF(Horo8297[[#This Row],[Jour]]="Mardi",$C$1+2, IF(Horo8297[[#This Row],[Jour]]="Mercredi",$C$1+3, IF(Horo8297[[#This Row],[Jour]]="Jeudi",$C$1+4, IF(Horo8297[[#This Row],[Jour]]="Vendredi",$C$1+5, IF(Horo8297[[#This Row],[Jour]]="Samedi",$C$1+6, IF(Horo8297[[#This Row],[Jour]]="Dimanche",$C$1, )))))))</f>
        <v>0</v>
      </c>
      <c r="C20" s="47"/>
      <c r="D20" s="48"/>
      <c r="E20" s="48"/>
      <c r="F20" s="49"/>
      <c r="G20" s="49"/>
      <c r="H20" s="50" t="s">
        <v>201</v>
      </c>
      <c r="I20" s="61"/>
      <c r="J20" s="52" t="n">
        <v>0</v>
      </c>
      <c r="K20" s="62" t="n">
        <f aca="false">SUMIF(Horo8297[Jour],C20,Horo8297[Durée])</f>
        <v>0</v>
      </c>
      <c r="L20" s="54" t="str">
        <f aca="false">IFERROR(SUMIF(Horo8297[[#This Row],[Jour]],Horo8297[[#This Row],[Jour]],Horo8297[[#This Row],[GPF]]) / Horo8297[[#This Row],[hrs]],"")</f>
        <v/>
      </c>
      <c r="M20" s="56" t="str">
        <f aca="false">IF("GPF"=Horo8297[[#This Row],[Tâche]],Horo8297[[#This Row],[Durée]],"")</f>
        <v/>
      </c>
      <c r="N20" s="56" t="str">
        <f aca="false">IF("RI"=Horo8297[[#This Row],[Tâche]],Horo8297[[#This Row],[Durée]],"")</f>
        <v/>
      </c>
      <c r="O20" s="56" t="str">
        <f aca="false">IF("GB"=Horo8297[[#This Row],[Tâche]],Horo8297[[#This Row],[Durée]],"")</f>
        <v/>
      </c>
      <c r="P20" s="56" t="str">
        <f aca="false">IF("RD"=Horo8297[[#This Row],[Tâche]],Horo8297[[#This Row],[Durée]],"")</f>
        <v/>
      </c>
      <c r="Q20" s="56" t="str">
        <f aca="false">IF("FG"=Horo8297[[#This Row],[Tâche]],Horo8297[[#This Row],[Durée]],"")</f>
        <v/>
      </c>
      <c r="R20" s="56" t="str">
        <f aca="false">IF("CONGÉ"=Horo8297[[#This Row],[Tâche]],Horo8297[[#This Row],[Durée]],"")</f>
        <v/>
      </c>
      <c r="S20" s="56" t="str">
        <f aca="false">IF("PS"=Horo8297[[#This Row],[Tâche]],Horo8297[[#This Row],[Durée]],"")</f>
        <v/>
      </c>
      <c r="T20" s="56" t="str">
        <f aca="false">IF("TD"=Horo8297[[#This Row],[Tâche]],Horo8297[[#This Row],[Durée]],"")</f>
        <v/>
      </c>
      <c r="U20" s="56" t="str">
        <f aca="false">IF("N/C"=Horo8297[[#This Row],[Tâche]],Horo8297[[#This Row],[Durée]],"")</f>
        <v/>
      </c>
      <c r="V20" s="58"/>
      <c r="W20" s="59" t="str">
        <f aca="false">IF(Horo8297[[#This Row],[O]]="o",Horo8297[[#This Row],[Durée]],".")</f>
        <v>.</v>
      </c>
      <c r="X20" s="64" t="str">
        <f aca="false">IF(Horo8297[[#This Row],[Début]]=0,"",Horo8297[[#This Row],[Fin]]-Horo8297[[#This Row],[Début]])</f>
        <v/>
      </c>
    </row>
    <row r="26" s="3" customFormat="true" ht="15" hidden="false" customHeight="false" outlineLevel="0" collapsed="false">
      <c r="L26" s="65"/>
    </row>
    <row r="27" customFormat="false" ht="15" hidden="false" customHeight="false" outlineLevel="0" collapsed="false">
      <c r="A27" s="66" t="s">
        <v>18</v>
      </c>
      <c r="B27" s="66" t="s">
        <v>57</v>
      </c>
      <c r="C27" s="66" t="s">
        <v>58</v>
      </c>
    </row>
    <row r="28" customFormat="false" ht="15" hidden="false" customHeight="false" outlineLevel="0" collapsed="false">
      <c r="A28" s="67" t="n">
        <f aca="false">IF((SUMIF(Horo8297[Client],B28,Horo8297[Durée]) / Total)=0,"",(SUMIF(Horo8297[Client],B28,Horo8297[Durée]) / Total))</f>
        <v>0.961038961038961</v>
      </c>
      <c r="B28" s="68" t="s">
        <v>32</v>
      </c>
      <c r="C28" s="69" t="n">
        <f aca="false">IF(SUMIF(Horo8297[Client],B28,Horo8297[Durée])=0,"",SUMIF(Horo8297[Client],B28,Horo8297[Durée]))</f>
        <v>37</v>
      </c>
    </row>
    <row r="29" customFormat="false" ht="15" hidden="false" customHeight="false" outlineLevel="0" collapsed="false">
      <c r="A29" s="67" t="n">
        <f aca="false">IF((SUMIF(Horo8297[Client],B29,Horo8297[Durée]) / Total)=0,"",(SUMIF(Horo8297[Client],B29,Horo8297[Durée]) / Total))</f>
        <v>0.012987012987013</v>
      </c>
      <c r="B29" s="68" t="s">
        <v>59</v>
      </c>
      <c r="C29" s="69" t="n">
        <f aca="false">IF(SUMIF(Horo8297[Client],B29,Horo8297[Durée])=0,"",SUMIF(Horo8297[Client],B29,Horo8297[Durée]))</f>
        <v>0.5</v>
      </c>
      <c r="I29" s="61"/>
    </row>
    <row r="30" customFormat="false" ht="15" hidden="true" customHeight="false" outlineLevel="0" collapsed="false">
      <c r="A30" s="67" t="str">
        <f aca="false">IF((SUMIF(Horo8297[Client],B30,Horo8297[Durée]) / Total)=0,"",(SUMIF(Horo8297[Client],B30,Horo8297[Durée]) / Total))</f>
        <v/>
      </c>
      <c r="B30" s="68" t="s">
        <v>60</v>
      </c>
      <c r="C30" s="70" t="str">
        <f aca="false">IF(SUMIF(Horo8297[Client],B30,Horo8297[Durée])=0,"",SUMIF(Horo8297[Client],B30,Horo8297[Durée]))</f>
        <v/>
      </c>
    </row>
    <row r="31" customFormat="false" ht="15" hidden="false" customHeight="false" outlineLevel="0" collapsed="false">
      <c r="A31" s="67" t="str">
        <f aca="false">IF((SUMIF(Horo8297[Client],B31,Horo8297[Durée]) / Total)=0,"",(SUMIF(Horo8297[Client],B31,Horo8297[Durée]) / Total))</f>
        <v/>
      </c>
      <c r="B31" s="68" t="s">
        <v>61</v>
      </c>
      <c r="C31" s="70" t="str">
        <f aca="false">IF(SUMIF(Horo8297[Client],B31,Horo8297[Durée])=0,"",SUMIF(Horo8297[Client],B31,Horo8297[Durée]))</f>
        <v/>
      </c>
      <c r="I31" s="61"/>
    </row>
    <row r="32" customFormat="false" ht="15" hidden="true" customHeight="false" outlineLevel="0" collapsed="false">
      <c r="A32" s="67" t="str">
        <f aca="false">IF((SUMIF(Horo8297[Client],B32,Horo8297[Durée]) / Total)=0,"",(SUMIF(Horo8297[Client],B32,Horo8297[Durée]) / Total))</f>
        <v/>
      </c>
      <c r="B32" s="68" t="s">
        <v>62</v>
      </c>
      <c r="C32" s="70" t="str">
        <f aca="false">IF(SUMIF(Horo8297[Client],B32,Horo8297[Durée])=0,"",SUMIF(Horo8297[Client],B32,Horo8297[Durée]))</f>
        <v/>
      </c>
    </row>
    <row r="33" customFormat="false" ht="15" hidden="true" customHeight="false" outlineLevel="0" collapsed="false">
      <c r="A33" s="67" t="n">
        <f aca="false">IF((SUMIF(Horo8297[Client],B33,Horo8297[Durée]) / Total)=0,"",(SUMIF(Horo8297[Client],B33,Horo8297[Durée]) / Total))</f>
        <v>0.0519480519480519</v>
      </c>
      <c r="B33" s="68" t="s">
        <v>63</v>
      </c>
      <c r="C33" s="69" t="n">
        <f aca="false">IF(SUMIF(Horo8297[Client],B33,Horo8297[Durée])=0,"",SUMIF(Horo8297[Client],B33,Horo8297[Durée]))</f>
        <v>2</v>
      </c>
    </row>
    <row r="34" customFormat="false" ht="15" hidden="true" customHeight="false" outlineLevel="0" collapsed="false">
      <c r="A34" s="67" t="str">
        <f aca="false">IF((SUMIF(Horo8297[Client],B34,Horo8297[Durée]) / Total)=0,"",(SUMIF(Horo8297[Client],B34,Horo8297[Durée]) / Total))</f>
        <v/>
      </c>
      <c r="B34" s="68" t="s">
        <v>64</v>
      </c>
      <c r="C34" s="70" t="str">
        <f aca="false">IF(SUMIF(Horo8297[Client],B34,Horo8297[Durée])=0,"",SUMIF(Horo8297[Client],B34,Horo8297[Durée]))</f>
        <v/>
      </c>
    </row>
    <row r="35" customFormat="false" ht="15" hidden="true" customHeight="false" outlineLevel="0" collapsed="false">
      <c r="A35" s="67" t="str">
        <f aca="false">IF((SUMIF(Horo8297[Client],B35,Horo8297[Durée]) / Total)=0,"",(SUMIF(Horo8297[Client],B35,Horo8297[Durée]) / Total))</f>
        <v/>
      </c>
      <c r="B35" s="68" t="s">
        <v>65</v>
      </c>
      <c r="C35" s="70" t="str">
        <f aca="false">IF(SUMIF(Horo8297[Client],B35,Horo8297[Durée])=0,"",SUMIF(Horo8297[Client],B35,Horo8297[Durée]))</f>
        <v/>
      </c>
      <c r="F35" s="71"/>
    </row>
    <row r="36" customFormat="false" ht="15" hidden="true" customHeight="false" outlineLevel="0" collapsed="false">
      <c r="A36" s="67" t="str">
        <f aca="false">IF((SUMIF(Horo8297[Client],B36,Horo8297[Durée]) / Total)=0,"",(SUMIF(Horo8297[Client],B36,Horo8297[Durée]) / Total))</f>
        <v/>
      </c>
      <c r="B36" s="68" t="s">
        <v>66</v>
      </c>
      <c r="C36" s="69" t="str">
        <f aca="false">IF(SUMIF(Horo8297[Client],B36,Horo8297[Durée])=0,"",SUMIF(Horo8297[Client],B36,Horo8297[Durée]))</f>
        <v/>
      </c>
    </row>
    <row r="37" customFormat="false" ht="15" hidden="true" customHeight="false" outlineLevel="0" collapsed="false">
      <c r="A37" s="67" t="str">
        <f aca="false">IF((SUMIF(Horo8297[Client],B37,Horo8297[Durée]) / Total)=0,"",(SUMIF(Horo8297[Client],B37,Horo8297[Durée]) / Total))</f>
        <v/>
      </c>
      <c r="B37" s="68" t="s">
        <v>47</v>
      </c>
      <c r="C37" s="70" t="str">
        <f aca="false">IF(SUMIF(Horo8297[Client],B37,Horo8297[Durée])=0,"",SUMIF(Horo8297[Client],B37,Horo8297[Durée]))</f>
        <v/>
      </c>
    </row>
    <row r="38" customFormat="false" ht="15" hidden="true" customHeight="false" outlineLevel="0" collapsed="false">
      <c r="A38" s="67" t="str">
        <f aca="false">IF((SUMIF(Horo8297[Client],B38,Horo8297[Durée]) / Total)=0,"",(SUMIF(Horo8297[Client],B38,Horo8297[Durée]) / Total))</f>
        <v/>
      </c>
      <c r="B38" s="68" t="s">
        <v>67</v>
      </c>
      <c r="C38" s="70" t="str">
        <f aca="false">IF(SUMIF(Horo8297[Client],B38,Horo8297[Durée])=0,"",SUMIF(Horo8297[Client],B38,Horo8297[Durée]))</f>
        <v/>
      </c>
    </row>
    <row r="39" customFormat="false" ht="15" hidden="true" customHeight="false" outlineLevel="0" collapsed="false">
      <c r="A39" s="67" t="str">
        <f aca="false">IF((SUMIF(Horo8297[Client],B39,Horo8297[Durée]) / Total)=0,"",(SUMIF(Horo8297[Client],B39,Horo8297[Durée]) / Total))</f>
        <v/>
      </c>
      <c r="B39" s="68" t="s">
        <v>68</v>
      </c>
      <c r="C39" s="70" t="str">
        <f aca="false">IF(SUMIF(Horo8297[Client],B39,Horo8297[Durée])=0,"",SUMIF(Horo8297[Client],B39,Horo8297[Durée]))</f>
        <v/>
      </c>
    </row>
    <row r="40" customFormat="false" ht="15" hidden="true" customHeight="false" outlineLevel="0" collapsed="false">
      <c r="A40" s="67" t="str">
        <f aca="false">IF((SUMIF(Horo8297[Client],B40,Horo8297[Durée]) / Total)=0,"",(SUMIF(Horo8297[Client],B40,Horo8297[Durée]) / Total))</f>
        <v/>
      </c>
      <c r="B40" s="68" t="s">
        <v>41</v>
      </c>
      <c r="C40" s="70" t="str">
        <f aca="false">IF(SUMIF(Horo8297[Client],B40,Horo8297[Durée])=0,"",SUMIF(Horo8297[Client],B40,Horo8297[Durée]))</f>
        <v/>
      </c>
    </row>
    <row r="41" customFormat="false" ht="15" hidden="false" customHeight="false" outlineLevel="0" collapsed="false">
      <c r="A41" s="67" t="str">
        <f aca="false">IF((SUMIF(Horo8297[Client],B41,Horo8297[Durée]) / Total)=0,"",(SUMIF(Horo8297[Client],B41,Horo8297[Durée]) / Total))</f>
        <v/>
      </c>
      <c r="B41" s="68" t="s">
        <v>37</v>
      </c>
      <c r="C41" s="69" t="str">
        <f aca="false">IF(SUMIF(Horo8297[Client],B41,Horo8297[Durée])=0,"",SUMIF(Horo8297[Client],B41,Horo8297[Durée]))</f>
        <v/>
      </c>
    </row>
    <row r="42" customFormat="false" ht="15" hidden="true" customHeight="false" outlineLevel="0" collapsed="false">
      <c r="A42" s="67" t="str">
        <f aca="false">IF((SUMIF(Horo8297[Client],B42,Horo8297[Durée]) / Total)=0,"",(SUMIF(Horo8297[Client],B42,Horo8297[Durée]) / Total))</f>
        <v/>
      </c>
      <c r="B42" s="68" t="s">
        <v>69</v>
      </c>
      <c r="C42" s="69" t="str">
        <f aca="false">IF(SUMIF(Horo8297[Client],B42,Horo8297[Durée])=0,"",SUMIF(Horo8297[Client],B42,Horo8297[Durée]))</f>
        <v/>
      </c>
    </row>
    <row r="43" customFormat="false" ht="15" hidden="true" customHeight="false" outlineLevel="0" collapsed="false">
      <c r="A43" s="67" t="str">
        <f aca="false">IF((SUMIF(Horo8297[Client],B43,Horo8297[Durée]) / Total)=0,"",(SUMIF(Horo8297[Client],B43,Horo8297[Durée]) / Total))</f>
        <v/>
      </c>
      <c r="B43" s="68" t="s">
        <v>70</v>
      </c>
      <c r="C43" s="70" t="str">
        <f aca="false">IF(SUMIF(Horo8297[Client],B43,Horo8297[Durée])=0,"",SUMIF(Horo8297[Client],B43,Horo8297[Durée]))</f>
        <v/>
      </c>
    </row>
    <row r="44" customFormat="false" ht="15" hidden="true" customHeight="false" outlineLevel="1" collapsed="false">
      <c r="A44" s="67" t="str">
        <f aca="false">IF((SUMIF(Horo8297[Client],B44,Horo8297[Durée]) / Total)=0,"",(SUMIF(Horo8297[Client],B44,Horo8297[Durée]) / Total))</f>
        <v/>
      </c>
      <c r="B44" s="68" t="s">
        <v>71</v>
      </c>
      <c r="C44" s="70" t="str">
        <f aca="false">IF(SUMIF(Horo8297[Client],B44,Horo8297[Durée])=0,"",SUMIF(Horo8297[Client],B44,Horo8297[Durée]))</f>
        <v/>
      </c>
    </row>
    <row r="45" customFormat="false" ht="15" hidden="true" customHeight="false" outlineLevel="1" collapsed="false">
      <c r="A45" s="67" t="str">
        <f aca="false">IF((SUMIF(Horo8297[Client],B45,Horo8297[Durée]) / Total)=0,"",(SUMIF(Horo8297[Client],B45,Horo8297[Durée]) / Total))</f>
        <v/>
      </c>
      <c r="B45" s="68" t="s">
        <v>72</v>
      </c>
      <c r="C45" s="70" t="str">
        <f aca="false">IF(SUMIF(Horo8297[Client],B45,Horo8297[Durée])=0,"",SUMIF(Horo8297[Client],B45,Horo8297[Durée]))</f>
        <v/>
      </c>
    </row>
    <row r="46" customFormat="false" ht="15" hidden="true" customHeight="false" outlineLevel="1" collapsed="false">
      <c r="A46" s="67" t="str">
        <f aca="false">IF((SUMIF(Horo8297[Client],B46,Horo8297[Durée]) / Total)=0,"",(SUMIF(Horo8297[Client],B46,Horo8297[Durée]) / Total))</f>
        <v/>
      </c>
      <c r="B46" s="68" t="s">
        <v>73</v>
      </c>
      <c r="C46" s="70" t="str">
        <f aca="false">IF(SUMIF(Horo8297[Client],B46,Horo8297[Durée])=0,"",SUMIF(Horo8297[Client],B46,Horo8297[Durée]))</f>
        <v/>
      </c>
    </row>
    <row r="47" customFormat="false" ht="15" hidden="true" customHeight="false" outlineLevel="1" collapsed="false">
      <c r="A47" s="67" t="str">
        <f aca="false">IF((SUMIF(Horo8297[Client],B47,Horo8297[Durée]) / Total)=0,"",(SUMIF(Horo8297[Client],B47,Horo8297[Durée]) / Total))</f>
        <v/>
      </c>
      <c r="B47" s="68" t="s">
        <v>74</v>
      </c>
      <c r="C47" s="70" t="str">
        <f aca="false">IF(SUMIF(Horo8297[Client],B47,Horo8297[Durée])=0,"",SUMIF(Horo8297[Client],B47,Horo8297[Durée]))</f>
        <v/>
      </c>
    </row>
    <row r="48" customFormat="false" ht="15" hidden="false" customHeight="false" outlineLevel="1" collapsed="false">
      <c r="A48" s="67" t="n">
        <f aca="false">IF((SUMIF(Horo8297[Client],B48,Horo8297[Durée]) / Total)=0,"",(SUMIF(Horo8297[Client],B48,Horo8297[Durée]) / Total))</f>
        <v>0.012987012987013</v>
      </c>
      <c r="B48" s="68" t="s">
        <v>75</v>
      </c>
      <c r="C48" s="69" t="n">
        <f aca="false">IF(SUMIF(Horo8297[Client],B48,Horo8297[Durée])=0,"",SUMIF(Horo8297[Client],B48,Horo8297[Durée]))</f>
        <v>0.5</v>
      </c>
    </row>
    <row r="49" customFormat="false" ht="15" hidden="true" customHeight="false" outlineLevel="1" collapsed="false">
      <c r="A49" s="67" t="str">
        <f aca="false">IF((SUMIF(Horo8297[Client],B49,Horo8297[Durée]) / Total)=0,"",(SUMIF(Horo8297[Client],B49,Horo8297[Durée]) / Total))</f>
        <v/>
      </c>
      <c r="B49" s="68" t="s">
        <v>76</v>
      </c>
      <c r="C49" s="70" t="str">
        <f aca="false">IF(SUMIF(Horo8297[Client],B49,Horo8297[Durée])=0,"",SUMIF(Horo8297[Client],B49,Horo8297[Durée]))</f>
        <v/>
      </c>
    </row>
    <row r="50" customFormat="false" ht="15" hidden="true" customHeight="false" outlineLevel="1" collapsed="false">
      <c r="A50" s="67" t="str">
        <f aca="false">IF((SUMIF(Horo8297[Client],B50,Horo8297[Durée]) / Total)=0,"",(SUMIF(Horo8297[Client],B50,Horo8297[Durée]) / Total))</f>
        <v/>
      </c>
      <c r="B50" s="68" t="s">
        <v>77</v>
      </c>
      <c r="C50" s="70" t="str">
        <f aca="false">IF(SUMIF(Horo8297[Client],B50,Horo8297[Durée])=0,"",SUMIF(Horo8297[Client],B50,Horo8297[Durée]))</f>
        <v/>
      </c>
    </row>
    <row r="51" customFormat="false" ht="15" hidden="true" customHeight="false" outlineLevel="1" collapsed="false">
      <c r="A51" s="67" t="str">
        <f aca="false">IF((SUMIF(Horo8297[Client],B51,Horo8297[Durée]) / Total)=0,"",(SUMIF(Horo8297[Client],B51,Horo8297[Durée]) / Total))</f>
        <v/>
      </c>
      <c r="B51" s="68" t="s">
        <v>45</v>
      </c>
      <c r="C51" s="70" t="str">
        <f aca="false">IF(SUMIF(Horo8297[Client],B51,Horo8297[Durée])=0,"",SUMIF(Horo8297[Client],B51,Horo8297[Durée]))</f>
        <v/>
      </c>
    </row>
    <row r="52" customFormat="false" ht="15" hidden="true" customHeight="false" outlineLevel="1" collapsed="false">
      <c r="A52" s="67" t="str">
        <f aca="false">IF((SUMIF(Horo8297[Client],B52,Horo8297[Durée]) / Total)=0,"",(SUMIF(Horo8297[Client],B52,Horo8297[Durée]) / Total))</f>
        <v/>
      </c>
      <c r="B52" s="68" t="s">
        <v>78</v>
      </c>
      <c r="C52" s="70" t="str">
        <f aca="false">IF(SUMIF(Horo8297[Client],B52,Horo8297[Durée])=0,"",SUMIF(Horo8297[Client],B52,Horo8297[Durée]))</f>
        <v/>
      </c>
    </row>
    <row r="53" customFormat="false" ht="15" hidden="true" customHeight="false" outlineLevel="1" collapsed="false">
      <c r="A53" s="67" t="str">
        <f aca="false">IF((SUMIF(Horo8297[Client],B53,Horo8297[Durée]) / Total)=0,"",(SUMIF(Horo8297[Client],B53,Horo8297[Durée]) / Total))</f>
        <v/>
      </c>
      <c r="B53" s="68" t="s">
        <v>79</v>
      </c>
      <c r="C53" s="70" t="str">
        <f aca="false">IF(SUMIF(Horo8297[Client],B53,Horo8297[Durée])=0,"",SUMIF(Horo8297[Client],B53,Horo8297[Durée]))</f>
        <v/>
      </c>
    </row>
    <row r="54" customFormat="false" ht="15" hidden="true" customHeight="false" outlineLevel="1" collapsed="false">
      <c r="A54" s="67" t="str">
        <f aca="false">IF((SUMIF(Horo8297[Client],B54,Horo8297[Durée]) / Total)=0,"",(SUMIF(Horo8297[Client],B54,Horo8297[Durée]) / Total))</f>
        <v/>
      </c>
      <c r="B54" s="68" t="s">
        <v>80</v>
      </c>
      <c r="C54" s="70" t="str">
        <f aca="false">IF(SUMIF(Horo8297[Client],B54,Horo8297[Durée])=0,"",SUMIF(Horo8297[Client],B54,Horo8297[Durée]))</f>
        <v/>
      </c>
    </row>
    <row r="55" customFormat="false" ht="15" hidden="true" customHeight="false" outlineLevel="1" collapsed="false">
      <c r="A55" s="67" t="str">
        <f aca="false">IF((SUMIF(Horo8297[Client],B55,Horo8297[Durée]) / Total)=0,"",(SUMIF(Horo8297[Client],B55,Horo8297[Durée]) / Total))</f>
        <v/>
      </c>
      <c r="B55" s="72" t="s">
        <v>81</v>
      </c>
      <c r="C55" s="69" t="str">
        <f aca="false">IF(SUMIF(Horo8297[Client],B55,Horo8297[Durée])=0,"",SUMIF(Horo8297[Client],B55,Horo8297[Durée]))</f>
        <v/>
      </c>
    </row>
    <row r="56" customFormat="false" ht="15" hidden="true" customHeight="false" outlineLevel="1" collapsed="false"/>
    <row r="57" customFormat="false" ht="15" hidden="true" customHeight="false" outlineLevel="1" collapsed="false"/>
    <row r="58" customFormat="false" ht="15" hidden="true" customHeight="false" outlineLevel="1" collapsed="false"/>
    <row r="59" customFormat="false" ht="15" hidden="true" customHeight="false" outlineLevel="1" collapsed="false"/>
    <row r="60" customFormat="false" ht="15" hidden="true" customHeight="false" outlineLevel="1" collapsed="false"/>
    <row r="61" customFormat="false" ht="15" hidden="true" customHeight="false" outlineLevel="1" collapsed="false"/>
    <row r="62" customFormat="false" ht="15" hidden="true" customHeight="false" outlineLevel="1" collapsed="false"/>
    <row r="63" customFormat="false" ht="15" hidden="true" customHeight="false" outlineLevel="1" collapsed="false"/>
    <row r="64" customFormat="false" ht="15" hidden="true" customHeight="false" outlineLevel="1" collapsed="false"/>
  </sheetData>
  <conditionalFormatting sqref="I4:I20">
    <cfRule type="expression" priority="2" aboveAverage="0" equalAverage="0" bottom="0" percent="0" rank="0" text="" dxfId="412">
      <formula>A4="O"</formula>
    </cfRule>
  </conditionalFormatting>
  <conditionalFormatting sqref="I29">
    <cfRule type="expression" priority="3" aboveAverage="0" equalAverage="0" bottom="0" percent="0" rank="0" text="" dxfId="413">
      <formula>A29="O"</formula>
    </cfRule>
  </conditionalFormatting>
  <conditionalFormatting sqref="I31">
    <cfRule type="expression" priority="4" aboveAverage="0" equalAverage="0" bottom="0" percent="0" rank="0" text="" dxfId="414">
      <formula>A31="O"</formula>
    </cfRule>
  </conditionalFormatting>
  <conditionalFormatting sqref="H4:H20">
    <cfRule type="expression" priority="5" aboveAverage="0" equalAverage="0" bottom="0" percent="0" rank="0" text="" dxfId="415">
      <formula>A4="O"</formula>
    </cfRule>
  </conditionalFormatting>
  <conditionalFormatting sqref="K4:K20">
    <cfRule type="expression" priority="6" aboveAverage="0" equalAverage="0" bottom="0" percent="0" rank="0" text="" dxfId="416">
      <formula>A4="O"</formula>
    </cfRule>
    <cfRule type="expression" priority="7" aboveAverage="0" equalAverage="0" bottom="0" percent="0" rank="0" text="" dxfId="417">
      <formula>A4="O"</formula>
    </cfRule>
  </conditionalFormatting>
  <conditionalFormatting sqref="C4:C20">
    <cfRule type="expression" priority="8" aboveAverage="0" equalAverage="0" bottom="0" percent="0" rank="0" text="" dxfId="418">
      <formula>A4="O"</formula>
    </cfRule>
    <cfRule type="containsText" priority="9" operator="containsText" aboveAverage="0" equalAverage="0" bottom="0" percent="0" rank="0" text="Dimanche" dxfId="419">
      <formula>NOT(ISERROR(SEARCH("Dimanche",C4)))</formula>
    </cfRule>
    <cfRule type="containsText" priority="10" operator="containsText" aboveAverage="0" equalAverage="0" bottom="0" percent="0" rank="0" text="Samedi" dxfId="420">
      <formula>NOT(ISERROR(SEARCH("Samedi",C4)))</formula>
    </cfRule>
    <cfRule type="containsText" priority="11" operator="containsText" aboveAverage="0" equalAverage="0" bottom="0" percent="0" rank="0" text="Vendredi" dxfId="421">
      <formula>NOT(ISERROR(SEARCH("Vendredi",C4)))</formula>
    </cfRule>
    <cfRule type="containsText" priority="12" operator="containsText" aboveAverage="0" equalAverage="0" bottom="0" percent="0" rank="0" text="Jeudi" dxfId="422">
      <formula>NOT(ISERROR(SEARCH("Jeudi",C4)))</formula>
    </cfRule>
    <cfRule type="containsText" priority="13" operator="containsText" aboveAverage="0" equalAverage="0" bottom="0" percent="0" rank="0" text="Mercredi" dxfId="423">
      <formula>NOT(ISERROR(SEARCH("Mercredi",C4)))</formula>
    </cfRule>
    <cfRule type="containsText" priority="14" operator="containsText" aboveAverage="0" equalAverage="0" bottom="0" percent="0" rank="0" text="Mardi" dxfId="424">
      <formula>NOT(ISERROR(SEARCH("Mardi",C4)))</formula>
    </cfRule>
    <cfRule type="containsText" priority="15" operator="containsText" aboveAverage="0" equalAverage="0" bottom="0" percent="0" rank="0" text="Lundi" dxfId="425">
      <formula>NOT(ISERROR(SEARCH("Lundi",C4)))</formula>
    </cfRule>
  </conditionalFormatting>
  <conditionalFormatting sqref="G4:G20">
    <cfRule type="expression" priority="16" aboveAverage="0" equalAverage="0" bottom="0" percent="0" rank="0" text="" dxfId="426">
      <formula>A4="O"</formula>
    </cfRule>
  </conditionalFormatting>
  <conditionalFormatting sqref="J4:J20">
    <cfRule type="expression" priority="17" aboveAverage="0" equalAverage="0" bottom="0" percent="0" rank="0" text="" dxfId="427">
      <formula>A4="O"</formula>
    </cfRule>
  </conditionalFormatting>
  <conditionalFormatting sqref="F4:F20">
    <cfRule type="expression" priority="18" aboveAverage="0" equalAverage="0" bottom="0" percent="0" rank="0" text="" dxfId="428">
      <formula>A4="O"</formula>
    </cfRule>
  </conditionalFormatting>
  <conditionalFormatting sqref="B4:B20">
    <cfRule type="cellIs" priority="19" operator="equal" aboveAverage="0" equalAverage="0" bottom="0" percent="0" rank="0" text="" dxfId="429">
      <formula>0</formula>
    </cfRule>
    <cfRule type="expression" priority="20" aboveAverage="0" equalAverage="0" bottom="0" percent="0" rank="0" text="" dxfId="430">
      <formula>A4="O"</formula>
    </cfRule>
    <cfRule type="colorScale" priority="21">
      <colorScale>
        <cfvo type="percentile" val="10"/>
        <cfvo type="percentile" val="50"/>
        <cfvo type="percentile" val="90"/>
        <color rgb="FFFFC000"/>
        <color rgb="FFC55A11"/>
        <color rgb="FF2E75B6"/>
      </colorScale>
    </cfRule>
  </conditionalFormatting>
  <conditionalFormatting sqref="D4:D20">
    <cfRule type="expression" priority="22" aboveAverage="0" equalAverage="0" bottom="0" percent="0" rank="0" text="" dxfId="431">
      <formula>A4="O"</formula>
    </cfRule>
    <cfRule type="colorScale" priority="23">
      <colorScale>
        <cfvo type="min" val="0"/>
        <cfvo type="percentile" val="50"/>
        <cfvo type="max" val="0"/>
        <color rgb="FFFFC000"/>
        <color rgb="FFC55A11"/>
        <color rgb="FF2E75B6"/>
      </colorScale>
    </cfRule>
  </conditionalFormatting>
  <conditionalFormatting sqref="E4:E20">
    <cfRule type="expression" priority="24" aboveAverage="0" equalAverage="0" bottom="0" percent="0" rank="0" text="" dxfId="432">
      <formula>A4="O"</formula>
    </cfRule>
    <cfRule type="colorScale" priority="25">
      <colorScale>
        <cfvo type="min" val="0"/>
        <cfvo type="percentile" val="50"/>
        <cfvo type="max" val="0"/>
        <color rgb="FFFFC000"/>
        <color rgb="FFC55A11"/>
        <color rgb="FF2E75B6"/>
      </colorScale>
    </cfRule>
  </conditionalFormatting>
  <dataValidations count="5">
    <dataValidation allowBlank="true" errorStyle="stop" operator="between" showDropDown="false" showErrorMessage="true" showInputMessage="true" sqref="C4:C20" type="list">
      <formula1>Data!$C$2:$C$8</formula1>
      <formula2>0</formula2>
    </dataValidation>
    <dataValidation allowBlank="false" errorStyle="stop" operator="between" showDropDown="false" showErrorMessage="true" showInputMessage="true" sqref="F4:F20" type="list">
      <formula1>Data!$E$2:$E$30</formula1>
      <formula2>0</formula2>
    </dataValidation>
    <dataValidation allowBlank="true" errorStyle="information" errorTitle="OK ?" operator="between" showDropDown="false" showErrorMessage="true" showInputMessage="true" sqref="G4:G20" type="list">
      <formula1>Data!$D$2:$D$16</formula1>
      <formula2>0</formula2>
    </dataValidation>
    <dataValidation allowBlank="false" errorStyle="stop" operator="between" showDropDown="false" showErrorMessage="true" showInputMessage="true" sqref="H4:H20" type="list">
      <formula1>Data!$F$2:$F$50</formula1>
      <formula2>0</formula2>
    </dataValidation>
    <dataValidation allowBlank="true" errorStyle="stop" operator="between" showDropDown="false" showErrorMessage="true" showInputMessage="true" sqref="C1" type="list">
      <formula1>Data!$A$2:$A$106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  <tableParts>
    <tablePart r:id="rId2"/>
    <tablePart r:id="rId3"/>
  </tableParts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E7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I15" activeCellId="0" sqref="I15"/>
    </sheetView>
  </sheetViews>
  <sheetFormatPr defaultColWidth="9.1484375" defaultRowHeight="15" zeroHeight="false" outlineLevelRow="1" outlineLevelCol="0"/>
  <cols>
    <col collapsed="false" customWidth="true" hidden="false" outlineLevel="0" max="1" min="1" style="1" width="5.57"/>
    <col collapsed="false" customWidth="true" hidden="false" outlineLevel="0" max="2" min="2" style="1" width="19.42"/>
    <col collapsed="false" customWidth="true" hidden="false" outlineLevel="0" max="3" min="3" style="1" width="18.29"/>
    <col collapsed="false" customWidth="true" hidden="false" outlineLevel="0" max="4" min="4" style="1" width="13.42"/>
    <col collapsed="false" customWidth="true" hidden="false" outlineLevel="0" max="5" min="5" style="1" width="10.57"/>
    <col collapsed="false" customWidth="true" hidden="false" outlineLevel="0" max="6" min="6" style="1" width="19"/>
    <col collapsed="false" customWidth="true" hidden="false" outlineLevel="0" max="7" min="7" style="1" width="11.43"/>
    <col collapsed="false" customWidth="true" hidden="false" outlineLevel="0" max="8" min="8" style="1" width="14.57"/>
    <col collapsed="false" customWidth="true" hidden="false" outlineLevel="0" max="9" min="9" style="1" width="19.29"/>
    <col collapsed="false" customWidth="true" hidden="false" outlineLevel="0" max="10" min="10" style="1" width="9.71"/>
    <col collapsed="false" customWidth="true" hidden="false" outlineLevel="0" max="11" min="11" style="1" width="7.29"/>
    <col collapsed="false" customWidth="true" hidden="false" outlineLevel="0" max="12" min="12" style="2" width="9.86"/>
    <col collapsed="false" customWidth="true" hidden="false" outlineLevel="0" max="13" min="13" style="1" width="6.14"/>
    <col collapsed="false" customWidth="true" hidden="false" outlineLevel="0" max="14" min="14" style="1" width="5"/>
    <col collapsed="false" customWidth="true" hidden="false" outlineLevel="0" max="15" min="15" style="1" width="5.57"/>
    <col collapsed="false" customWidth="true" hidden="false" outlineLevel="0" max="17" min="16" style="1" width="6.14"/>
    <col collapsed="false" customWidth="true" hidden="false" outlineLevel="0" max="18" min="18" style="1" width="8.29"/>
    <col collapsed="false" customWidth="true" hidden="false" outlineLevel="0" max="20" min="19" style="1" width="5"/>
    <col collapsed="false" customWidth="true" hidden="false" outlineLevel="0" max="21" min="21" style="1" width="6.14"/>
    <col collapsed="false" customWidth="true" hidden="true" outlineLevel="0" max="23" min="22" style="1" width="6.14"/>
    <col collapsed="false" customWidth="true" hidden="true" outlineLevel="0" max="24" min="24" style="1" width="12.71"/>
    <col collapsed="false" customWidth="false" hidden="true" outlineLevel="0" max="31" min="25" style="1" width="9.14"/>
    <col collapsed="false" customWidth="true" hidden="false" outlineLevel="0" max="32" min="32" style="1" width="9.57"/>
    <col collapsed="false" customWidth="false" hidden="false" outlineLevel="0" max="16384" min="33" style="1" width="9.14"/>
  </cols>
  <sheetData>
    <row r="1" customFormat="false" ht="17.35" hidden="false" customHeight="false" outlineLevel="0" collapsed="false">
      <c r="A1" s="3"/>
      <c r="B1" s="4" t="str">
        <f aca="false">"Semaine du :"</f>
        <v>Semaine du :</v>
      </c>
      <c r="C1" s="5" t="n">
        <v>44368</v>
      </c>
      <c r="D1" s="6" t="str">
        <f aca="false">"( "&amp;AVERAGE($E$2:$I$2)&amp;" )"</f>
        <v>( 8 )</v>
      </c>
      <c r="E1" s="7" t="str">
        <f aca="false">IFERROR("Lun.: " &amp; TEXT($Y$2,"00%"),"Lun.: 0%")</f>
        <v>Lun.: 24%</v>
      </c>
      <c r="F1" s="8" t="str">
        <f aca="false">IFERROR("Mar.: " &amp; TEXT($Z$2,"00%"),"Mar.: 0%")</f>
        <v>Mar.: 00%</v>
      </c>
      <c r="G1" s="8" t="str">
        <f aca="false">IFERROR("Mer.: " &amp; TEXT($AA$2,"00%"),"Mer.: 0%")</f>
        <v>Mer.: 44%</v>
      </c>
      <c r="H1" s="8" t="str">
        <f aca="false">IFERROR("Jeu.: " &amp; TEXT($AB$2,"00%"),"Jeu.: 0%")</f>
        <v>Jeu.: 46%</v>
      </c>
      <c r="I1" s="8" t="str">
        <f aca="false">IFERROR("Ven.: " &amp; TEXT($AC$2,"00%"),"Ven.: 0%")</f>
        <v>Ven.: 33%</v>
      </c>
      <c r="J1" s="9" t="str">
        <f aca="false">IFERROR("S.: " &amp; TEXT($AD$2,"00%"),"S.: 0%")</f>
        <v>S.: 0%</v>
      </c>
      <c r="K1" s="10" t="str">
        <f aca="false">IFERROR("D.: " &amp; TEXT($AE$2,"00%"), "D.: 0%")</f>
        <v>D.: 0%</v>
      </c>
      <c r="L1" s="11"/>
      <c r="M1" s="12" t="n">
        <f aca="false">M2/Total</f>
        <v>0.311688311688312</v>
      </c>
      <c r="N1" s="12" t="n">
        <f aca="false">N2/$C$2</f>
        <v>0.0125</v>
      </c>
      <c r="O1" s="12" t="n">
        <f aca="false">O2/$C$2</f>
        <v>0.0812500000000001</v>
      </c>
      <c r="P1" s="12" t="n">
        <f aca="false">P2/$C$2</f>
        <v>0.19375</v>
      </c>
      <c r="Q1" s="12" t="n">
        <f aca="false">Q2/$C$2</f>
        <v>0.2125</v>
      </c>
      <c r="R1" s="13" t="n">
        <f aca="false">R2/$C$2</f>
        <v>0.2</v>
      </c>
      <c r="S1" s="13" t="n">
        <f aca="false">S2/$C$2</f>
        <v>0</v>
      </c>
      <c r="T1" s="13" t="n">
        <f aca="false">T2/$C$2</f>
        <v>0</v>
      </c>
      <c r="U1" s="14" t="n">
        <f aca="false">U2/$C$2</f>
        <v>0</v>
      </c>
      <c r="V1" s="112"/>
      <c r="W1" s="16"/>
      <c r="X1" s="17" t="e">
        <f aca="false">SUM(#REF!)</f>
        <v>#REF!</v>
      </c>
      <c r="Y1" s="18" t="s">
        <v>0</v>
      </c>
      <c r="Z1" s="18" t="s">
        <v>1</v>
      </c>
      <c r="AA1" s="18" t="s">
        <v>2</v>
      </c>
      <c r="AB1" s="18" t="s">
        <v>3</v>
      </c>
      <c r="AC1" s="18" t="s">
        <v>4</v>
      </c>
      <c r="AD1" s="18" t="s">
        <v>5</v>
      </c>
      <c r="AE1" s="18" t="s">
        <v>6</v>
      </c>
    </row>
    <row r="2" customFormat="false" ht="22.05" hidden="false" customHeight="false" outlineLevel="0" collapsed="false">
      <c r="A2" s="3"/>
      <c r="B2" s="19" t="n">
        <f aca="false">X2</f>
        <v>0.344262295081967</v>
      </c>
      <c r="C2" s="20" t="n">
        <f aca="false">SUM(Horo8295[Durée])</f>
        <v>40</v>
      </c>
      <c r="D2" s="21" t="str">
        <f aca="false">ROUND(SUM(Horo8295[T]),2) &amp; " / " &amp; ROUND($C$2-SUM(Horo8295[T]),2)</f>
        <v>40 / 0</v>
      </c>
      <c r="E2" s="22" t="n">
        <f aca="false">SUMIF(Horo8295[Jour],"Lundi",Horo8295[Durée])</f>
        <v>7.25</v>
      </c>
      <c r="F2" s="23" t="n">
        <f aca="false">SUMIF(Horo8295[Jour],"Mardi",Horo8295[Durée])</f>
        <v>8</v>
      </c>
      <c r="G2" s="23" t="n">
        <f aca="false">SUMIF(Horo8295[Jour],"Mercredi",Horo8295[Durée])</f>
        <v>8</v>
      </c>
      <c r="H2" s="23" t="n">
        <f aca="false">SUMIF(Horo8295[Jour],"Jeudi",Horo8295[Durée])</f>
        <v>9.25</v>
      </c>
      <c r="I2" s="23" t="n">
        <f aca="false">SUMIF(Horo8295[Jour],"Vendredi",Horo8295[Durée])</f>
        <v>7.5</v>
      </c>
      <c r="J2" s="23" t="n">
        <f aca="false">SUMIF(Horo8295[Jour],"Samedi",Horo8295[Durée])</f>
        <v>0</v>
      </c>
      <c r="K2" s="23" t="n">
        <f aca="false">SUMIF(Horo8295[Jour],"Dimanche",Horo8295[Durée])</f>
        <v>0</v>
      </c>
      <c r="L2" s="24"/>
      <c r="M2" s="25" t="n">
        <f aca="false">SUM(Horo8295[GPF])</f>
        <v>12</v>
      </c>
      <c r="N2" s="25" t="n">
        <f aca="false">SUM(Horo8295[RI])</f>
        <v>0.500000000000001</v>
      </c>
      <c r="O2" s="25" t="n">
        <f aca="false">SUM(Horo8295[GB])</f>
        <v>3.25</v>
      </c>
      <c r="P2" s="25" t="n">
        <f aca="false">SUM(Horo8295[RD])</f>
        <v>7.75</v>
      </c>
      <c r="Q2" s="25" t="n">
        <f aca="false">SUM(Horo8295[FG])</f>
        <v>8.5</v>
      </c>
      <c r="R2" s="26" t="n">
        <f aca="false">SUM(Horo8295[CONGÉ])</f>
        <v>8</v>
      </c>
      <c r="S2" s="26" t="n">
        <f aca="false">SUM(Horo8295[PS])</f>
        <v>0</v>
      </c>
      <c r="T2" s="26" t="n">
        <f aca="false">SUM(Horo8295[TD])</f>
        <v>0</v>
      </c>
      <c r="U2" s="27" t="n">
        <f aca="false">SUM(Horo8295[N/C])</f>
        <v>0</v>
      </c>
      <c r="V2" s="17" t="n">
        <f aca="false">(Total-(SUM(N2:U2)))</f>
        <v>10.5</v>
      </c>
      <c r="W2" s="17" t="n">
        <f aca="false">Total-(R2+S2+T2+U2)</f>
        <v>30.5</v>
      </c>
      <c r="X2" s="28" t="n">
        <f aca="false">V2/W2</f>
        <v>0.344262295081967</v>
      </c>
      <c r="Y2" s="29" t="n">
        <f aca="false">SUMIF(Horo8295[Jour],"Lundi",Horo8295[GPF]) / $E$2</f>
        <v>0.241379310344828</v>
      </c>
      <c r="Z2" s="29" t="n">
        <f aca="false">SUMIF(Horo8295[Jour],"Mardi",Horo8295[GPF]) / $F$2</f>
        <v>0</v>
      </c>
      <c r="AA2" s="29" t="n">
        <f aca="false">SUMIF(Horo8295[Jour],"Mercredi",Horo8295[GPF]) / $G$2</f>
        <v>0.4375</v>
      </c>
      <c r="AB2" s="29" t="n">
        <f aca="false">SUMIF(Horo8295[Jour],"Jeudi",Horo8295[GPF]) / $H$2</f>
        <v>0.459459459459459</v>
      </c>
      <c r="AC2" s="29" t="n">
        <f aca="false">SUMIF(Horo8295[Jour],"Vendredi",Horo8295[GPF]) / $I$2</f>
        <v>0.333333333333333</v>
      </c>
      <c r="AD2" s="29" t="e">
        <f aca="false">SUMIF(Horo8295[Jour],"Samedi",Horo8295[GPF]) / $J$2</f>
        <v>#DIV/0!</v>
      </c>
      <c r="AE2" s="29" t="e">
        <f aca="false">SUMIF(Horo8295[Jour],"Dimanche",Horo8295[GPF]) / $K$2</f>
        <v>#DIV/0!</v>
      </c>
    </row>
    <row r="3" customFormat="false" ht="15" hidden="false" customHeight="false" outlineLevel="0" collapsed="false">
      <c r="A3" s="30" t="s">
        <v>7</v>
      </c>
      <c r="B3" s="31" t="s">
        <v>8</v>
      </c>
      <c r="C3" s="31" t="s">
        <v>9</v>
      </c>
      <c r="D3" s="32" t="s">
        <v>10</v>
      </c>
      <c r="E3" s="33" t="s">
        <v>11</v>
      </c>
      <c r="F3" s="34" t="s">
        <v>12</v>
      </c>
      <c r="G3" s="34" t="s">
        <v>13</v>
      </c>
      <c r="H3" s="34" t="s">
        <v>14</v>
      </c>
      <c r="I3" s="35" t="s">
        <v>15</v>
      </c>
      <c r="J3" s="36" t="s">
        <v>16</v>
      </c>
      <c r="K3" s="36" t="s">
        <v>17</v>
      </c>
      <c r="L3" s="37" t="s">
        <v>18</v>
      </c>
      <c r="M3" s="38" t="s">
        <v>19</v>
      </c>
      <c r="N3" s="39" t="s">
        <v>20</v>
      </c>
      <c r="O3" s="39" t="s">
        <v>21</v>
      </c>
      <c r="P3" s="39" t="s">
        <v>22</v>
      </c>
      <c r="Q3" s="39" t="s">
        <v>23</v>
      </c>
      <c r="R3" s="40" t="s">
        <v>24</v>
      </c>
      <c r="S3" s="40" t="s">
        <v>25</v>
      </c>
      <c r="T3" s="41" t="s">
        <v>26</v>
      </c>
      <c r="U3" s="41" t="s">
        <v>27</v>
      </c>
      <c r="V3" s="42" t="s">
        <v>28</v>
      </c>
      <c r="W3" s="43" t="s">
        <v>29</v>
      </c>
      <c r="X3" s="44" t="s">
        <v>30</v>
      </c>
    </row>
    <row r="4" customFormat="false" ht="15" hidden="false" customHeight="false" outlineLevel="0" collapsed="false">
      <c r="A4" s="45" t="s">
        <v>31</v>
      </c>
      <c r="B4" s="111" t="n">
        <f aca="false">IF(Horo8295[[#This Row],[Jour]]="Lundi",$C$1+1, IF(Horo8295[[#This Row],[Jour]]="Mardi",$C$1+2, IF(Horo8295[[#This Row],[Jour]]="Mercredi",$C$1+3, IF(Horo8295[[#This Row],[Jour]]="Jeudi",$C$1+4, IF(Horo8295[[#This Row],[Jour]]="Vendredi",$C$1+5, IF(Horo8295[[#This Row],[Jour]]="Samedi",$C$1+6, IF(Horo8295[[#This Row],[Jour]]="Dimanche",$C$1, )))))))</f>
        <v>44369</v>
      </c>
      <c r="C4" s="47" t="s">
        <v>0</v>
      </c>
      <c r="D4" s="48" t="n">
        <v>0.333333333333333</v>
      </c>
      <c r="E4" s="48" t="n">
        <v>0.364583333333333</v>
      </c>
      <c r="F4" s="49" t="s">
        <v>32</v>
      </c>
      <c r="G4" s="49" t="s">
        <v>21</v>
      </c>
      <c r="H4" s="50" t="s">
        <v>94</v>
      </c>
      <c r="I4" s="61"/>
      <c r="J4" s="52" t="n">
        <f aca="false">IF(Horo8295[[#This Row],[Début]]=0,"",(Horo8295[[#This Row],[Durée (60)2]]-INT(Horo8295[[#This Row],[Durée (60)2]]))*24)</f>
        <v>0.75</v>
      </c>
      <c r="K4" s="53" t="n">
        <f aca="false">SUMIF(Horo8295[Jour],C4,Horo8295[Durée])</f>
        <v>7.25</v>
      </c>
      <c r="L4" s="54" t="n">
        <f aca="false">IFERROR(SUMIF(Horo8295[[#This Row],[Jour]],Horo8295[[#This Row],[Jour]],Horo8295[[#This Row],[GPF]]) / Horo8295[[#This Row],[hrs]],"")</f>
        <v>0</v>
      </c>
      <c r="M4" s="55" t="str">
        <f aca="false">IF("GPF"=Horo8295[[#This Row],[Tâche]],Horo8295[[#This Row],[Durée]],"")</f>
        <v/>
      </c>
      <c r="N4" s="56" t="str">
        <f aca="false">IF("RI"=Horo8295[[#This Row],[Tâche]],Horo8295[[#This Row],[Durée]],"")</f>
        <v/>
      </c>
      <c r="O4" s="56" t="n">
        <f aca="false">IF("GB"=Horo8295[[#This Row],[Tâche]],Horo8295[[#This Row],[Durée]],"")</f>
        <v>0.75</v>
      </c>
      <c r="P4" s="56" t="str">
        <f aca="false">IF("RD"=Horo8295[[#This Row],[Tâche]],Horo8295[[#This Row],[Durée]],"")</f>
        <v/>
      </c>
      <c r="Q4" s="56" t="str">
        <f aca="false">IF("FG"=Horo8295[[#This Row],[Tâche]],Horo8295[[#This Row],[Durée]],"")</f>
        <v/>
      </c>
      <c r="R4" s="56" t="str">
        <f aca="false">IF("CONGÉ"=Horo8295[[#This Row],[Tâche]],Horo8295[[#This Row],[Durée]],"")</f>
        <v/>
      </c>
      <c r="S4" s="57" t="str">
        <f aca="false">IF("PS"=Horo8295[[#This Row],[Tâche]],Horo8295[[#This Row],[Durée]],"")</f>
        <v/>
      </c>
      <c r="T4" s="56" t="str">
        <f aca="false">IF("TD"=Horo8295[[#This Row],[Tâche]],Horo8295[[#This Row],[Durée]],"")</f>
        <v/>
      </c>
      <c r="U4" s="55" t="str">
        <f aca="false">IF("N/C"=Horo8295[[#This Row],[Tâche]],Horo8295[[#This Row],[Durée]],"")</f>
        <v/>
      </c>
      <c r="V4" s="58"/>
      <c r="W4" s="59" t="n">
        <f aca="false">IF(Horo8295[[#This Row],[O]]="o",Horo8295[[#This Row],[Durée]],".")</f>
        <v>0.75</v>
      </c>
      <c r="X4" s="60" t="n">
        <f aca="false">IF(Horo8295[[#This Row],[Début]]=0,"",Horo8295[[#This Row],[Fin]]-Horo8295[[#This Row],[Début]])</f>
        <v>0.03125</v>
      </c>
    </row>
    <row r="5" customFormat="false" ht="15" hidden="false" customHeight="false" outlineLevel="0" collapsed="false">
      <c r="A5" s="45" t="s">
        <v>31</v>
      </c>
      <c r="B5" s="111" t="n">
        <f aca="false">IF(Horo8295[[#This Row],[Jour]]="Lundi",$C$1+1, IF(Horo8295[[#This Row],[Jour]]="Mardi",$C$1+2, IF(Horo8295[[#This Row],[Jour]]="Mercredi",$C$1+3, IF(Horo8295[[#This Row],[Jour]]="Jeudi",$C$1+4, IF(Horo8295[[#This Row],[Jour]]="Vendredi",$C$1+5, IF(Horo8295[[#This Row],[Jour]]="Samedi",$C$1+6, IF(Horo8295[[#This Row],[Jour]]="Dimanche",$C$1, )))))))</f>
        <v>44369</v>
      </c>
      <c r="C5" s="47" t="s">
        <v>0</v>
      </c>
      <c r="D5" s="48" t="n">
        <v>0.364583333333333</v>
      </c>
      <c r="E5" s="48" t="n">
        <v>0.385416666666667</v>
      </c>
      <c r="F5" s="49" t="s">
        <v>32</v>
      </c>
      <c r="G5" s="49" t="s">
        <v>20</v>
      </c>
      <c r="H5" s="50" t="s">
        <v>121</v>
      </c>
      <c r="I5" s="61"/>
      <c r="J5" s="52" t="n">
        <f aca="false">IF(Horo8295[[#This Row],[Début]]=0,"",(Horo8295[[#This Row],[Durée (60)2]]-INT(Horo8295[[#This Row],[Durée (60)2]]))*24)</f>
        <v>0.500000000000001</v>
      </c>
      <c r="K5" s="53" t="n">
        <f aca="false">SUMIF(Horo8295[Jour],C5,Horo8295[Durée])</f>
        <v>7.25</v>
      </c>
      <c r="L5" s="54" t="n">
        <f aca="false">IFERROR(SUMIF(Horo8295[[#This Row],[Jour]],Horo8295[[#This Row],[Jour]],Horo8295[[#This Row],[GPF]]) / Horo8295[[#This Row],[hrs]],"")</f>
        <v>0</v>
      </c>
      <c r="M5" s="55" t="str">
        <f aca="false">IF("GPF"=Horo8295[[#This Row],[Tâche]],Horo8295[[#This Row],[Durée]],"")</f>
        <v/>
      </c>
      <c r="N5" s="56" t="n">
        <f aca="false">IF("RI"=Horo8295[[#This Row],[Tâche]],Horo8295[[#This Row],[Durée]],"")</f>
        <v>0.500000000000001</v>
      </c>
      <c r="O5" s="56" t="str">
        <f aca="false">IF("GB"=Horo8295[[#This Row],[Tâche]],Horo8295[[#This Row],[Durée]],"")</f>
        <v/>
      </c>
      <c r="P5" s="56" t="str">
        <f aca="false">IF("RD"=Horo8295[[#This Row],[Tâche]],Horo8295[[#This Row],[Durée]],"")</f>
        <v/>
      </c>
      <c r="Q5" s="56" t="str">
        <f aca="false">IF("FG"=Horo8295[[#This Row],[Tâche]],Horo8295[[#This Row],[Durée]],"")</f>
        <v/>
      </c>
      <c r="R5" s="56" t="str">
        <f aca="false">IF("CONGÉ"=Horo8295[[#This Row],[Tâche]],Horo8295[[#This Row],[Durée]],"")</f>
        <v/>
      </c>
      <c r="S5" s="57" t="str">
        <f aca="false">IF("PS"=Horo8295[[#This Row],[Tâche]],Horo8295[[#This Row],[Durée]],"")</f>
        <v/>
      </c>
      <c r="T5" s="56" t="str">
        <f aca="false">IF("TD"=Horo8295[[#This Row],[Tâche]],Horo8295[[#This Row],[Durée]],"")</f>
        <v/>
      </c>
      <c r="U5" s="55" t="str">
        <f aca="false">IF("N/C"=Horo8295[[#This Row],[Tâche]],Horo8295[[#This Row],[Durée]],"")</f>
        <v/>
      </c>
      <c r="V5" s="58"/>
      <c r="W5" s="59" t="n">
        <f aca="false">IF(Horo8295[[#This Row],[O]]="o",Horo8295[[#This Row],[Durée]],".")</f>
        <v>0.500000000000001</v>
      </c>
      <c r="X5" s="60" t="n">
        <f aca="false">IF(Horo8295[[#This Row],[Début]]=0,"",Horo8295[[#This Row],[Fin]]-Horo8295[[#This Row],[Début]])</f>
        <v>0.0208333333333334</v>
      </c>
    </row>
    <row r="6" customFormat="false" ht="15" hidden="false" customHeight="false" outlineLevel="0" collapsed="false">
      <c r="A6" s="45" t="s">
        <v>31</v>
      </c>
      <c r="B6" s="111" t="n">
        <f aca="false">IF(Horo8295[[#This Row],[Jour]]="Lundi",$C$1+1, IF(Horo8295[[#This Row],[Jour]]="Mardi",$C$1+2, IF(Horo8295[[#This Row],[Jour]]="Mercredi",$C$1+3, IF(Horo8295[[#This Row],[Jour]]="Jeudi",$C$1+4, IF(Horo8295[[#This Row],[Jour]]="Vendredi",$C$1+5, IF(Horo8295[[#This Row],[Jour]]="Samedi",$C$1+6, IF(Horo8295[[#This Row],[Jour]]="Dimanche",$C$1, )))))))</f>
        <v>44369</v>
      </c>
      <c r="C6" s="47" t="s">
        <v>0</v>
      </c>
      <c r="D6" s="48" t="n">
        <v>0.395833333333333</v>
      </c>
      <c r="E6" s="48" t="n">
        <v>0.416666666666667</v>
      </c>
      <c r="F6" s="49" t="s">
        <v>37</v>
      </c>
      <c r="G6" s="49" t="s">
        <v>19</v>
      </c>
      <c r="H6" s="50" t="s">
        <v>55</v>
      </c>
      <c r="I6" s="61"/>
      <c r="J6" s="52" t="n">
        <f aca="false">IF(Horo8295[[#This Row],[Début]]=0,"",(Horo8295[[#This Row],[Durée (60)2]]-INT(Horo8295[[#This Row],[Durée (60)2]]))*24)</f>
        <v>0.500000000000001</v>
      </c>
      <c r="K6" s="62" t="n">
        <f aca="false">SUMIF(Horo8295[Jour],C6,Horo8295[Durée])</f>
        <v>7.25</v>
      </c>
      <c r="L6" s="54" t="n">
        <f aca="false">IFERROR(SUMIF(Horo8295[[#This Row],[Jour]],Horo8295[[#This Row],[Jour]],Horo8295[[#This Row],[GPF]]) / Horo8295[[#This Row],[hrs]],"")</f>
        <v>0.0689655172413794</v>
      </c>
      <c r="M6" s="56" t="n">
        <f aca="false">IF("GPF"=Horo8295[[#This Row],[Tâche]],Horo8295[[#This Row],[Durée]],"")</f>
        <v>0.500000000000001</v>
      </c>
      <c r="N6" s="56" t="str">
        <f aca="false">IF("RI"=Horo8295[[#This Row],[Tâche]],Horo8295[[#This Row],[Durée]],"")</f>
        <v/>
      </c>
      <c r="O6" s="56" t="str">
        <f aca="false">IF("GB"=Horo8295[[#This Row],[Tâche]],Horo8295[[#This Row],[Durée]],"")</f>
        <v/>
      </c>
      <c r="P6" s="56" t="str">
        <f aca="false">IF("RD"=Horo8295[[#This Row],[Tâche]],Horo8295[[#This Row],[Durée]],"")</f>
        <v/>
      </c>
      <c r="Q6" s="56" t="str">
        <f aca="false">IF("FG"=Horo8295[[#This Row],[Tâche]],Horo8295[[#This Row],[Durée]],"")</f>
        <v/>
      </c>
      <c r="R6" s="56" t="str">
        <f aca="false">IF("CONGÉ"=Horo8295[[#This Row],[Tâche]],Horo8295[[#This Row],[Durée]],"")</f>
        <v/>
      </c>
      <c r="S6" s="57" t="str">
        <f aca="false">IF("PS"=Horo8295[[#This Row],[Tâche]],Horo8295[[#This Row],[Durée]],"")</f>
        <v/>
      </c>
      <c r="T6" s="56" t="str">
        <f aca="false">IF("TD"=Horo8295[[#This Row],[Tâche]],Horo8295[[#This Row],[Durée]],"")</f>
        <v/>
      </c>
      <c r="U6" s="55" t="str">
        <f aca="false">IF("N/C"=Horo8295[[#This Row],[Tâche]],Horo8295[[#This Row],[Durée]],"")</f>
        <v/>
      </c>
      <c r="V6" s="58"/>
      <c r="W6" s="59" t="n">
        <f aca="false">IF(Horo8295[[#This Row],[O]]="o",Horo8295[[#This Row],[Durée]],".")</f>
        <v>0.500000000000001</v>
      </c>
      <c r="X6" s="60" t="n">
        <f aca="false">IF(Horo8295[[#This Row],[Début]]=0,"",Horo8295[[#This Row],[Fin]]-Horo8295[[#This Row],[Début]])</f>
        <v>0.0208333333333334</v>
      </c>
    </row>
    <row r="7" customFormat="false" ht="15" hidden="false" customHeight="false" outlineLevel="0" collapsed="false">
      <c r="A7" s="45" t="s">
        <v>31</v>
      </c>
      <c r="B7" s="111" t="n">
        <f aca="false">IF(Horo8295[[#This Row],[Jour]]="Lundi",$C$1+1, IF(Horo8295[[#This Row],[Jour]]="Mardi",$C$1+2, IF(Horo8295[[#This Row],[Jour]]="Mercredi",$C$1+3, IF(Horo8295[[#This Row],[Jour]]="Jeudi",$C$1+4, IF(Horo8295[[#This Row],[Jour]]="Vendredi",$C$1+5, IF(Horo8295[[#This Row],[Jour]]="Samedi",$C$1+6, IF(Horo8295[[#This Row],[Jour]]="Dimanche",$C$1, )))))))</f>
        <v>44369</v>
      </c>
      <c r="C7" s="47" t="s">
        <v>0</v>
      </c>
      <c r="D7" s="48" t="n">
        <v>0.416666666666667</v>
      </c>
      <c r="E7" s="48" t="n">
        <v>0.5</v>
      </c>
      <c r="F7" s="49" t="s">
        <v>32</v>
      </c>
      <c r="G7" s="49" t="s">
        <v>22</v>
      </c>
      <c r="H7" s="50" t="s">
        <v>201</v>
      </c>
      <c r="I7" s="61"/>
      <c r="J7" s="52" t="n">
        <f aca="false">IF(Horo8295[[#This Row],[Début]]=0,"",(Horo8295[[#This Row],[Durée (60)2]]-INT(Horo8295[[#This Row],[Durée (60)2]]))*24)</f>
        <v>2</v>
      </c>
      <c r="K7" s="62" t="n">
        <f aca="false">SUMIF(Horo8295[Jour],C7,Horo8295[Durée])</f>
        <v>7.25</v>
      </c>
      <c r="L7" s="54" t="n">
        <f aca="false">IFERROR(SUMIF(Horo8295[[#This Row],[Jour]],Horo8295[[#This Row],[Jour]],Horo8295[[#This Row],[GPF]]) / Horo8295[[#This Row],[hrs]],"")</f>
        <v>0</v>
      </c>
      <c r="M7" s="56" t="str">
        <f aca="false">IF("GPF"=Horo8295[[#This Row],[Tâche]],Horo8295[[#This Row],[Durée]],"")</f>
        <v/>
      </c>
      <c r="N7" s="56" t="str">
        <f aca="false">IF("RI"=Horo8295[[#This Row],[Tâche]],Horo8295[[#This Row],[Durée]],"")</f>
        <v/>
      </c>
      <c r="O7" s="56" t="str">
        <f aca="false">IF("GB"=Horo8295[[#This Row],[Tâche]],Horo8295[[#This Row],[Durée]],"")</f>
        <v/>
      </c>
      <c r="P7" s="56" t="n">
        <f aca="false">IF("RD"=Horo8295[[#This Row],[Tâche]],Horo8295[[#This Row],[Durée]],"")</f>
        <v>2</v>
      </c>
      <c r="Q7" s="56" t="str">
        <f aca="false">IF("FG"=Horo8295[[#This Row],[Tâche]],Horo8295[[#This Row],[Durée]],"")</f>
        <v/>
      </c>
      <c r="R7" s="56" t="str">
        <f aca="false">IF("CONGÉ"=Horo8295[[#This Row],[Tâche]],Horo8295[[#This Row],[Durée]],"")</f>
        <v/>
      </c>
      <c r="S7" s="57" t="str">
        <f aca="false">IF("PS"=Horo8295[[#This Row],[Tâche]],Horo8295[[#This Row],[Durée]],"")</f>
        <v/>
      </c>
      <c r="T7" s="56" t="str">
        <f aca="false">IF("TD"=Horo8295[[#This Row],[Tâche]],Horo8295[[#This Row],[Durée]],"")</f>
        <v/>
      </c>
      <c r="U7" s="55" t="str">
        <f aca="false">IF("N/C"=Horo8295[[#This Row],[Tâche]],Horo8295[[#This Row],[Durée]],"")</f>
        <v/>
      </c>
      <c r="V7" s="58"/>
      <c r="W7" s="59" t="n">
        <f aca="false">IF(Horo8295[[#This Row],[O]]="o",Horo8295[[#This Row],[Durée]],".")</f>
        <v>2</v>
      </c>
      <c r="X7" s="60" t="n">
        <f aca="false">IF(Horo8295[[#This Row],[Début]]=0,"",Horo8295[[#This Row],[Fin]]-Horo8295[[#This Row],[Début]])</f>
        <v>0.0833333333333333</v>
      </c>
    </row>
    <row r="8" customFormat="false" ht="15" hidden="false" customHeight="false" outlineLevel="0" collapsed="false">
      <c r="A8" s="45" t="s">
        <v>31</v>
      </c>
      <c r="B8" s="111" t="n">
        <f aca="false">IF(Horo8295[[#This Row],[Jour]]="Lundi",$C$1+1, IF(Horo8295[[#This Row],[Jour]]="Mardi",$C$1+2, IF(Horo8295[[#This Row],[Jour]]="Mercredi",$C$1+3, IF(Horo8295[[#This Row],[Jour]]="Jeudi",$C$1+4, IF(Horo8295[[#This Row],[Jour]]="Vendredi",$C$1+5, IF(Horo8295[[#This Row],[Jour]]="Samedi",$C$1+6, IF(Horo8295[[#This Row],[Jour]]="Dimanche",$C$1, )))))))</f>
        <v>44369</v>
      </c>
      <c r="C8" s="47" t="s">
        <v>0</v>
      </c>
      <c r="D8" s="48" t="n">
        <v>0.5625</v>
      </c>
      <c r="E8" s="48" t="n">
        <v>0.572916666666667</v>
      </c>
      <c r="F8" s="49" t="s">
        <v>37</v>
      </c>
      <c r="G8" s="49" t="s">
        <v>22</v>
      </c>
      <c r="H8" s="50" t="s">
        <v>201</v>
      </c>
      <c r="I8" s="61"/>
      <c r="J8" s="52" t="n">
        <f aca="false">IF(Horo8295[[#This Row],[Début]]=0,"",(Horo8295[[#This Row],[Durée (60)2]]-INT(Horo8295[[#This Row],[Durée (60)2]]))*24)</f>
        <v>0.249999999999999</v>
      </c>
      <c r="K8" s="62" t="n">
        <f aca="false">SUMIF(Horo8295[Jour],C8,Horo8295[Durée])</f>
        <v>7.25</v>
      </c>
      <c r="L8" s="54" t="n">
        <f aca="false">IFERROR(SUMIF(Horo8295[[#This Row],[Jour]],Horo8295[[#This Row],[Jour]],Horo8295[[#This Row],[GPF]]) / Horo8295[[#This Row],[hrs]],"")</f>
        <v>0</v>
      </c>
      <c r="M8" s="56" t="str">
        <f aca="false">IF("GPF"=Horo8295[[#This Row],[Tâche]],Horo8295[[#This Row],[Durée]],"")</f>
        <v/>
      </c>
      <c r="N8" s="56" t="str">
        <f aca="false">IF("RI"=Horo8295[[#This Row],[Tâche]],Horo8295[[#This Row],[Durée]],"")</f>
        <v/>
      </c>
      <c r="O8" s="56" t="str">
        <f aca="false">IF("GB"=Horo8295[[#This Row],[Tâche]],Horo8295[[#This Row],[Durée]],"")</f>
        <v/>
      </c>
      <c r="P8" s="56" t="n">
        <f aca="false">IF("RD"=Horo8295[[#This Row],[Tâche]],Horo8295[[#This Row],[Durée]],"")</f>
        <v>0.249999999999999</v>
      </c>
      <c r="Q8" s="56" t="str">
        <f aca="false">IF("FG"=Horo8295[[#This Row],[Tâche]],Horo8295[[#This Row],[Durée]],"")</f>
        <v/>
      </c>
      <c r="R8" s="56" t="str">
        <f aca="false">IF("CONGÉ"=Horo8295[[#This Row],[Tâche]],Horo8295[[#This Row],[Durée]],"")</f>
        <v/>
      </c>
      <c r="S8" s="57" t="str">
        <f aca="false">IF("PS"=Horo8295[[#This Row],[Tâche]],Horo8295[[#This Row],[Durée]],"")</f>
        <v/>
      </c>
      <c r="T8" s="56" t="str">
        <f aca="false">IF("TD"=Horo8295[[#This Row],[Tâche]],Horo8295[[#This Row],[Durée]],"")</f>
        <v/>
      </c>
      <c r="U8" s="55" t="str">
        <f aca="false">IF("N/C"=Horo8295[[#This Row],[Tâche]],Horo8295[[#This Row],[Durée]],"")</f>
        <v/>
      </c>
      <c r="V8" s="58"/>
      <c r="W8" s="59" t="n">
        <f aca="false">IF(Horo8295[[#This Row],[O]]="o",Horo8295[[#This Row],[Durée]],".")</f>
        <v>0.249999999999999</v>
      </c>
      <c r="X8" s="60" t="n">
        <f aca="false">IF(Horo8295[[#This Row],[Début]]=0,"",Horo8295[[#This Row],[Fin]]-Horo8295[[#This Row],[Début]])</f>
        <v>0.0104166666666666</v>
      </c>
    </row>
    <row r="9" customFormat="false" ht="15" hidden="false" customHeight="false" outlineLevel="0" collapsed="false">
      <c r="A9" s="45" t="s">
        <v>31</v>
      </c>
      <c r="B9" s="111" t="n">
        <f aca="false">IF(Horo8295[[#This Row],[Jour]]="Lundi",$C$1+1, IF(Horo8295[[#This Row],[Jour]]="Mardi",$C$1+2, IF(Horo8295[[#This Row],[Jour]]="Mercredi",$C$1+3, IF(Horo8295[[#This Row],[Jour]]="Jeudi",$C$1+4, IF(Horo8295[[#This Row],[Jour]]="Vendredi",$C$1+5, IF(Horo8295[[#This Row],[Jour]]="Samedi",$C$1+6, IF(Horo8295[[#This Row],[Jour]]="Dimanche",$C$1, )))))))</f>
        <v>44369</v>
      </c>
      <c r="C9" s="47" t="s">
        <v>0</v>
      </c>
      <c r="D9" s="48" t="n">
        <v>0.572916666666667</v>
      </c>
      <c r="E9" s="48" t="n">
        <v>0.625</v>
      </c>
      <c r="F9" s="49" t="s">
        <v>61</v>
      </c>
      <c r="G9" s="49" t="s">
        <v>19</v>
      </c>
      <c r="H9" s="50" t="s">
        <v>114</v>
      </c>
      <c r="I9" s="61" t="s">
        <v>208</v>
      </c>
      <c r="J9" s="52" t="n">
        <f aca="false">IF(Horo8295[[#This Row],[Début]]=0,"",(Horo8295[[#This Row],[Durée (60)2]]-INT(Horo8295[[#This Row],[Durée (60)2]]))*24)</f>
        <v>1.25</v>
      </c>
      <c r="K9" s="62" t="n">
        <f aca="false">SUMIF(Horo8295[Jour],C9,Horo8295[Durée])</f>
        <v>7.25</v>
      </c>
      <c r="L9" s="54" t="n">
        <f aca="false">IFERROR(SUMIF(Horo8295[[#This Row],[Jour]],Horo8295[[#This Row],[Jour]],Horo8295[[#This Row],[GPF]]) / Horo8295[[#This Row],[hrs]],"")</f>
        <v>0.172413793103448</v>
      </c>
      <c r="M9" s="56" t="n">
        <f aca="false">IF("GPF"=Horo8295[[#This Row],[Tâche]],Horo8295[[#This Row],[Durée]],"")</f>
        <v>1.25</v>
      </c>
      <c r="N9" s="56" t="str">
        <f aca="false">IF("RI"=Horo8295[[#This Row],[Tâche]],Horo8295[[#This Row],[Durée]],"")</f>
        <v/>
      </c>
      <c r="O9" s="56" t="str">
        <f aca="false">IF("GB"=Horo8295[[#This Row],[Tâche]],Horo8295[[#This Row],[Durée]],"")</f>
        <v/>
      </c>
      <c r="P9" s="56" t="str">
        <f aca="false">IF("RD"=Horo8295[[#This Row],[Tâche]],Horo8295[[#This Row],[Durée]],"")</f>
        <v/>
      </c>
      <c r="Q9" s="56" t="str">
        <f aca="false">IF("FG"=Horo8295[[#This Row],[Tâche]],Horo8295[[#This Row],[Durée]],"")</f>
        <v/>
      </c>
      <c r="R9" s="56" t="str">
        <f aca="false">IF("CONGÉ"=Horo8295[[#This Row],[Tâche]],Horo8295[[#This Row],[Durée]],"")</f>
        <v/>
      </c>
      <c r="S9" s="57" t="str">
        <f aca="false">IF("PS"=Horo8295[[#This Row],[Tâche]],Horo8295[[#This Row],[Durée]],"")</f>
        <v/>
      </c>
      <c r="T9" s="56" t="str">
        <f aca="false">IF("TD"=Horo8295[[#This Row],[Tâche]],Horo8295[[#This Row],[Durée]],"")</f>
        <v/>
      </c>
      <c r="U9" s="55" t="str">
        <f aca="false">IF("N/C"=Horo8295[[#This Row],[Tâche]],Horo8295[[#This Row],[Durée]],"")</f>
        <v/>
      </c>
      <c r="V9" s="58"/>
      <c r="W9" s="59" t="n">
        <f aca="false">IF(Horo8295[[#This Row],[O]]="o",Horo8295[[#This Row],[Durée]],".")</f>
        <v>1.25</v>
      </c>
      <c r="X9" s="60" t="n">
        <f aca="false">IF(Horo8295[[#This Row],[Début]]=0,"",Horo8295[[#This Row],[Fin]]-Horo8295[[#This Row],[Début]])</f>
        <v>0.0520833333333334</v>
      </c>
    </row>
    <row r="10" customFormat="false" ht="15" hidden="false" customHeight="false" outlineLevel="0" collapsed="false">
      <c r="A10" s="45" t="s">
        <v>31</v>
      </c>
      <c r="B10" s="111" t="n">
        <f aca="false">IF(Horo8295[[#This Row],[Jour]]="Lundi",$C$1+1, IF(Horo8295[[#This Row],[Jour]]="Mardi",$C$1+2, IF(Horo8295[[#This Row],[Jour]]="Mercredi",$C$1+3, IF(Horo8295[[#This Row],[Jour]]="Jeudi",$C$1+4, IF(Horo8295[[#This Row],[Jour]]="Vendredi",$C$1+5, IF(Horo8295[[#This Row],[Jour]]="Samedi",$C$1+6, IF(Horo8295[[#This Row],[Jour]]="Dimanche",$C$1, )))))))</f>
        <v>44369</v>
      </c>
      <c r="C10" s="47" t="s">
        <v>0</v>
      </c>
      <c r="D10" s="48" t="n">
        <v>0.625</v>
      </c>
      <c r="E10" s="48" t="n">
        <v>0.708333333333333</v>
      </c>
      <c r="F10" s="49" t="s">
        <v>32</v>
      </c>
      <c r="G10" s="49" t="s">
        <v>23</v>
      </c>
      <c r="H10" s="50" t="s">
        <v>204</v>
      </c>
      <c r="I10" s="61" t="s">
        <v>205</v>
      </c>
      <c r="J10" s="52" t="n">
        <f aca="false">IF(Horo8295[[#This Row],[Début]]=0,"",(Horo8295[[#This Row],[Durée (60)2]]-INT(Horo8295[[#This Row],[Durée (60)2]]))*24)</f>
        <v>2</v>
      </c>
      <c r="K10" s="62" t="n">
        <f aca="false">SUMIF(Horo8295[Jour],C10,Horo8295[Durée])</f>
        <v>7.25</v>
      </c>
      <c r="L10" s="54" t="n">
        <f aca="false">IFERROR(SUMIF(Horo8295[[#This Row],[Jour]],Horo8295[[#This Row],[Jour]],Horo8295[[#This Row],[GPF]]) / Horo8295[[#This Row],[hrs]],"")</f>
        <v>0</v>
      </c>
      <c r="M10" s="56" t="str">
        <f aca="false">IF("GPF"=Horo8295[[#This Row],[Tâche]],Horo8295[[#This Row],[Durée]],"")</f>
        <v/>
      </c>
      <c r="N10" s="56" t="str">
        <f aca="false">IF("RI"=Horo8295[[#This Row],[Tâche]],Horo8295[[#This Row],[Durée]],"")</f>
        <v/>
      </c>
      <c r="O10" s="56" t="str">
        <f aca="false">IF("GB"=Horo8295[[#This Row],[Tâche]],Horo8295[[#This Row],[Durée]],"")</f>
        <v/>
      </c>
      <c r="P10" s="56" t="str">
        <f aca="false">IF("RD"=Horo8295[[#This Row],[Tâche]],Horo8295[[#This Row],[Durée]],"")</f>
        <v/>
      </c>
      <c r="Q10" s="56" t="n">
        <f aca="false">IF("FG"=Horo8295[[#This Row],[Tâche]],Horo8295[[#This Row],[Durée]],"")</f>
        <v>2</v>
      </c>
      <c r="R10" s="56" t="str">
        <f aca="false">IF("CONGÉ"=Horo8295[[#This Row],[Tâche]],Horo8295[[#This Row],[Durée]],"")</f>
        <v/>
      </c>
      <c r="S10" s="57" t="str">
        <f aca="false">IF("PS"=Horo8295[[#This Row],[Tâche]],Horo8295[[#This Row],[Durée]],"")</f>
        <v/>
      </c>
      <c r="T10" s="56" t="str">
        <f aca="false">IF("TD"=Horo8295[[#This Row],[Tâche]],Horo8295[[#This Row],[Durée]],"")</f>
        <v/>
      </c>
      <c r="U10" s="55" t="str">
        <f aca="false">IF("N/C"=Horo8295[[#This Row],[Tâche]],Horo8295[[#This Row],[Durée]],"")</f>
        <v/>
      </c>
      <c r="V10" s="58"/>
      <c r="W10" s="59" t="n">
        <f aca="false">IF(Horo8295[[#This Row],[O]]="o",Horo8295[[#This Row],[Durée]],".")</f>
        <v>2</v>
      </c>
      <c r="X10" s="60" t="n">
        <f aca="false">IF(Horo8295[[#This Row],[Début]]=0,"",Horo8295[[#This Row],[Fin]]-Horo8295[[#This Row],[Début]])</f>
        <v>0.0833333333333334</v>
      </c>
    </row>
    <row r="11" customFormat="false" ht="15" hidden="false" customHeight="false" outlineLevel="0" collapsed="false">
      <c r="A11" s="45" t="s">
        <v>31</v>
      </c>
      <c r="B11" s="111" t="n">
        <f aca="false">IF(Horo8295[[#This Row],[Jour]]="Lundi",$C$1+1, IF(Horo8295[[#This Row],[Jour]]="Mardi",$C$1+2, IF(Horo8295[[#This Row],[Jour]]="Mercredi",$C$1+3, IF(Horo8295[[#This Row],[Jour]]="Jeudi",$C$1+4, IF(Horo8295[[#This Row],[Jour]]="Vendredi",$C$1+5, IF(Horo8295[[#This Row],[Jour]]="Samedi",$C$1+6, IF(Horo8295[[#This Row],[Jour]]="Dimanche",$C$1, )))))))</f>
        <v>44370</v>
      </c>
      <c r="C11" s="47" t="s">
        <v>1</v>
      </c>
      <c r="D11" s="48" t="n">
        <v>0.333333333333333</v>
      </c>
      <c r="E11" s="48" t="n">
        <v>0.666666666666667</v>
      </c>
      <c r="F11" s="49" t="s">
        <v>32</v>
      </c>
      <c r="G11" s="49" t="s">
        <v>24</v>
      </c>
      <c r="H11" s="50" t="s">
        <v>201</v>
      </c>
      <c r="I11" s="61" t="s">
        <v>209</v>
      </c>
      <c r="J11" s="52" t="n">
        <f aca="false">IF(Horo8295[[#This Row],[Début]]=0,"",(Horo8295[[#This Row],[Durée (60)2]]-INT(Horo8295[[#This Row],[Durée (60)2]]))*24)</f>
        <v>8</v>
      </c>
      <c r="K11" s="62" t="n">
        <f aca="false">SUMIF(Horo8295[Jour],C11,Horo8295[Durée])</f>
        <v>8</v>
      </c>
      <c r="L11" s="54" t="n">
        <f aca="false">IFERROR(SUMIF(Horo8295[[#This Row],[Jour]],Horo8295[[#This Row],[Jour]],Horo8295[[#This Row],[GPF]]) / Horo8295[[#This Row],[hrs]],"")</f>
        <v>0</v>
      </c>
      <c r="M11" s="56" t="str">
        <f aca="false">IF("GPF"=Horo8295[[#This Row],[Tâche]],Horo8295[[#This Row],[Durée]],"")</f>
        <v/>
      </c>
      <c r="N11" s="56" t="str">
        <f aca="false">IF("RI"=Horo8295[[#This Row],[Tâche]],Horo8295[[#This Row],[Durée]],"")</f>
        <v/>
      </c>
      <c r="O11" s="56" t="str">
        <f aca="false">IF("GB"=Horo8295[[#This Row],[Tâche]],Horo8295[[#This Row],[Durée]],"")</f>
        <v/>
      </c>
      <c r="P11" s="56" t="str">
        <f aca="false">IF("RD"=Horo8295[[#This Row],[Tâche]],Horo8295[[#This Row],[Durée]],"")</f>
        <v/>
      </c>
      <c r="Q11" s="56" t="str">
        <f aca="false">IF("FG"=Horo8295[[#This Row],[Tâche]],Horo8295[[#This Row],[Durée]],"")</f>
        <v/>
      </c>
      <c r="R11" s="56" t="n">
        <f aca="false">IF("CONGÉ"=Horo8295[[#This Row],[Tâche]],Horo8295[[#This Row],[Durée]],"")</f>
        <v>8</v>
      </c>
      <c r="S11" s="57" t="str">
        <f aca="false">IF("PS"=Horo8295[[#This Row],[Tâche]],Horo8295[[#This Row],[Durée]],"")</f>
        <v/>
      </c>
      <c r="T11" s="56" t="str">
        <f aca="false">IF("TD"=Horo8295[[#This Row],[Tâche]],Horo8295[[#This Row],[Durée]],"")</f>
        <v/>
      </c>
      <c r="U11" s="55" t="str">
        <f aca="false">IF("N/C"=Horo8295[[#This Row],[Tâche]],Horo8295[[#This Row],[Durée]],"")</f>
        <v/>
      </c>
      <c r="V11" s="58"/>
      <c r="W11" s="59" t="n">
        <f aca="false">IF(Horo8295[[#This Row],[O]]="o",Horo8295[[#This Row],[Durée]],".")</f>
        <v>8</v>
      </c>
      <c r="X11" s="60" t="n">
        <f aca="false">IF(Horo8295[[#This Row],[Début]]=0,"",Horo8295[[#This Row],[Fin]]-Horo8295[[#This Row],[Début]])</f>
        <v>0.333333333333333</v>
      </c>
    </row>
    <row r="12" customFormat="false" ht="15" hidden="false" customHeight="false" outlineLevel="0" collapsed="false">
      <c r="A12" s="45" t="s">
        <v>31</v>
      </c>
      <c r="B12" s="111" t="n">
        <f aca="false">IF(Horo8295[[#This Row],[Jour]]="Lundi",$C$1+1, IF(Horo8295[[#This Row],[Jour]]="Mardi",$C$1+2, IF(Horo8295[[#This Row],[Jour]]="Mercredi",$C$1+3, IF(Horo8295[[#This Row],[Jour]]="Jeudi",$C$1+4, IF(Horo8295[[#This Row],[Jour]]="Vendredi",$C$1+5, IF(Horo8295[[#This Row],[Jour]]="Samedi",$C$1+6, IF(Horo8295[[#This Row],[Jour]]="Dimanche",$C$1, )))))))</f>
        <v>44371</v>
      </c>
      <c r="C12" s="47" t="s">
        <v>2</v>
      </c>
      <c r="D12" s="48" t="n">
        <v>0.333333333333333</v>
      </c>
      <c r="E12" s="48" t="n">
        <v>0.354166666666667</v>
      </c>
      <c r="F12" s="49" t="s">
        <v>32</v>
      </c>
      <c r="G12" s="49" t="s">
        <v>21</v>
      </c>
      <c r="H12" s="50" t="s">
        <v>201</v>
      </c>
      <c r="I12" s="61"/>
      <c r="J12" s="52" t="n">
        <f aca="false">IF(Horo8295[[#This Row],[Début]]=0,"",(Horo8295[[#This Row],[Durée (60)2]]-INT(Horo8295[[#This Row],[Durée (60)2]]))*24)</f>
        <v>0.500000000000001</v>
      </c>
      <c r="K12" s="62" t="n">
        <f aca="false">SUMIF(Horo8295[Jour],C12,Horo8295[Durée])</f>
        <v>8</v>
      </c>
      <c r="L12" s="54" t="n">
        <f aca="false">IFERROR(SUMIF(Horo8295[[#This Row],[Jour]],Horo8295[[#This Row],[Jour]],Horo8295[[#This Row],[GPF]]) / Horo8295[[#This Row],[hrs]],"")</f>
        <v>0</v>
      </c>
      <c r="M12" s="56" t="str">
        <f aca="false">IF("GPF"=Horo8295[[#This Row],[Tâche]],Horo8295[[#This Row],[Durée]],"")</f>
        <v/>
      </c>
      <c r="N12" s="56" t="str">
        <f aca="false">IF("RI"=Horo8295[[#This Row],[Tâche]],Horo8295[[#This Row],[Durée]],"")</f>
        <v/>
      </c>
      <c r="O12" s="56" t="n">
        <f aca="false">IF("GB"=Horo8295[[#This Row],[Tâche]],Horo8295[[#This Row],[Durée]],"")</f>
        <v>0.500000000000001</v>
      </c>
      <c r="P12" s="56" t="str">
        <f aca="false">IF("RD"=Horo8295[[#This Row],[Tâche]],Horo8295[[#This Row],[Durée]],"")</f>
        <v/>
      </c>
      <c r="Q12" s="56" t="str">
        <f aca="false">IF("FG"=Horo8295[[#This Row],[Tâche]],Horo8295[[#This Row],[Durée]],"")</f>
        <v/>
      </c>
      <c r="R12" s="56" t="str">
        <f aca="false">IF("CONGÉ"=Horo8295[[#This Row],[Tâche]],Horo8295[[#This Row],[Durée]],"")</f>
        <v/>
      </c>
      <c r="S12" s="56" t="str">
        <f aca="false">IF("PS"=Horo8295[[#This Row],[Tâche]],Horo8295[[#This Row],[Durée]],"")</f>
        <v/>
      </c>
      <c r="T12" s="56" t="str">
        <f aca="false">IF("TD"=Horo8295[[#This Row],[Tâche]],Horo8295[[#This Row],[Durée]],"")</f>
        <v/>
      </c>
      <c r="U12" s="56" t="str">
        <f aca="false">IF("N/C"=Horo8295[[#This Row],[Tâche]],Horo8295[[#This Row],[Durée]],"")</f>
        <v/>
      </c>
      <c r="V12" s="58"/>
      <c r="W12" s="59" t="n">
        <f aca="false">IF(Horo8295[[#This Row],[O]]="o",Horo8295[[#This Row],[Durée]],".")</f>
        <v>0.500000000000001</v>
      </c>
      <c r="X12" s="64" t="n">
        <f aca="false">IF(Horo8295[[#This Row],[Début]]=0,"",Horo8295[[#This Row],[Fin]]-Horo8295[[#This Row],[Début]])</f>
        <v>0.0208333333333334</v>
      </c>
    </row>
    <row r="13" customFormat="false" ht="15" hidden="false" customHeight="false" outlineLevel="0" collapsed="false">
      <c r="A13" s="45" t="s">
        <v>31</v>
      </c>
      <c r="B13" s="111" t="n">
        <f aca="false">IF(Horo8295[[#This Row],[Jour]]="Lundi",$C$1+1, IF(Horo8295[[#This Row],[Jour]]="Mardi",$C$1+2, IF(Horo8295[[#This Row],[Jour]]="Mercredi",$C$1+3, IF(Horo8295[[#This Row],[Jour]]="Jeudi",$C$1+4, IF(Horo8295[[#This Row],[Jour]]="Vendredi",$C$1+5, IF(Horo8295[[#This Row],[Jour]]="Samedi",$C$1+6, IF(Horo8295[[#This Row],[Jour]]="Dimanche",$C$1, )))))))</f>
        <v>44371</v>
      </c>
      <c r="C13" s="47" t="s">
        <v>2</v>
      </c>
      <c r="D13" s="48" t="n">
        <v>0.354166666666667</v>
      </c>
      <c r="E13" s="48" t="n">
        <v>0.375</v>
      </c>
      <c r="F13" s="49" t="s">
        <v>32</v>
      </c>
      <c r="G13" s="49" t="s">
        <v>23</v>
      </c>
      <c r="H13" s="50" t="s">
        <v>111</v>
      </c>
      <c r="I13" s="61"/>
      <c r="J13" s="52" t="n">
        <f aca="false">IF(Horo8295[[#This Row],[Début]]=0,"",(Horo8295[[#This Row],[Durée (60)2]]-INT(Horo8295[[#This Row],[Durée (60)2]]))*24)</f>
        <v>0.5</v>
      </c>
      <c r="K13" s="62" t="n">
        <f aca="false">SUMIF(Horo8295[Jour],C13,Horo8295[Durée])</f>
        <v>8</v>
      </c>
      <c r="L13" s="54" t="n">
        <f aca="false">IFERROR(SUMIF(Horo8295[[#This Row],[Jour]],Horo8295[[#This Row],[Jour]],Horo8295[[#This Row],[GPF]]) / Horo8295[[#This Row],[hrs]],"")</f>
        <v>0</v>
      </c>
      <c r="M13" s="56" t="str">
        <f aca="false">IF("GPF"=Horo8295[[#This Row],[Tâche]],Horo8295[[#This Row],[Durée]],"")</f>
        <v/>
      </c>
      <c r="N13" s="56" t="str">
        <f aca="false">IF("RI"=Horo8295[[#This Row],[Tâche]],Horo8295[[#This Row],[Durée]],"")</f>
        <v/>
      </c>
      <c r="O13" s="56" t="str">
        <f aca="false">IF("GB"=Horo8295[[#This Row],[Tâche]],Horo8295[[#This Row],[Durée]],"")</f>
        <v/>
      </c>
      <c r="P13" s="56" t="str">
        <f aca="false">IF("RD"=Horo8295[[#This Row],[Tâche]],Horo8295[[#This Row],[Durée]],"")</f>
        <v/>
      </c>
      <c r="Q13" s="56" t="n">
        <f aca="false">IF("FG"=Horo8295[[#This Row],[Tâche]],Horo8295[[#This Row],[Durée]],"")</f>
        <v>0.5</v>
      </c>
      <c r="R13" s="56" t="str">
        <f aca="false">IF("CONGÉ"=Horo8295[[#This Row],[Tâche]],Horo8295[[#This Row],[Durée]],"")</f>
        <v/>
      </c>
      <c r="S13" s="57" t="str">
        <f aca="false">IF("PS"=Horo8295[[#This Row],[Tâche]],Horo8295[[#This Row],[Durée]],"")</f>
        <v/>
      </c>
      <c r="T13" s="56" t="str">
        <f aca="false">IF("TD"=Horo8295[[#This Row],[Tâche]],Horo8295[[#This Row],[Durée]],"")</f>
        <v/>
      </c>
      <c r="U13" s="55" t="str">
        <f aca="false">IF("N/C"=Horo8295[[#This Row],[Tâche]],Horo8295[[#This Row],[Durée]],"")</f>
        <v/>
      </c>
      <c r="V13" s="58"/>
      <c r="W13" s="59" t="n">
        <f aca="false">IF(Horo8295[[#This Row],[O]]="o",Horo8295[[#This Row],[Durée]],".")</f>
        <v>0.5</v>
      </c>
      <c r="X13" s="60" t="n">
        <f aca="false">IF(Horo8295[[#This Row],[Début]]=0,"",Horo8295[[#This Row],[Fin]]-Horo8295[[#This Row],[Début]])</f>
        <v>0.0208333333333333</v>
      </c>
    </row>
    <row r="14" customFormat="false" ht="15" hidden="false" customHeight="false" outlineLevel="0" collapsed="false">
      <c r="A14" s="45" t="s">
        <v>31</v>
      </c>
      <c r="B14" s="111" t="n">
        <f aca="false">IF(Horo8295[[#This Row],[Jour]]="Lundi",$C$1+1, IF(Horo8295[[#This Row],[Jour]]="Mardi",$C$1+2, IF(Horo8295[[#This Row],[Jour]]="Mercredi",$C$1+3, IF(Horo8295[[#This Row],[Jour]]="Jeudi",$C$1+4, IF(Horo8295[[#This Row],[Jour]]="Vendredi",$C$1+5, IF(Horo8295[[#This Row],[Jour]]="Samedi",$C$1+6, IF(Horo8295[[#This Row],[Jour]]="Dimanche",$C$1, )))))))</f>
        <v>44371</v>
      </c>
      <c r="C14" s="47" t="s">
        <v>2</v>
      </c>
      <c r="D14" s="48" t="n">
        <v>0.375</v>
      </c>
      <c r="E14" s="48" t="n">
        <v>0.416666666666667</v>
      </c>
      <c r="F14" s="49" t="s">
        <v>61</v>
      </c>
      <c r="G14" s="49" t="s">
        <v>19</v>
      </c>
      <c r="H14" s="50" t="s">
        <v>42</v>
      </c>
      <c r="I14" s="61" t="s">
        <v>210</v>
      </c>
      <c r="J14" s="52" t="n">
        <f aca="false">IF(Horo8295[[#This Row],[Début]]=0,"",(Horo8295[[#This Row],[Durée (60)2]]-INT(Horo8295[[#This Row],[Durée (60)2]]))*24)</f>
        <v>1</v>
      </c>
      <c r="K14" s="62" t="n">
        <f aca="false">SUMIF(Horo8295[Jour],C14,Horo8295[Durée])</f>
        <v>8</v>
      </c>
      <c r="L14" s="54" t="n">
        <f aca="false">IFERROR(SUMIF(Horo8295[[#This Row],[Jour]],Horo8295[[#This Row],[Jour]],Horo8295[[#This Row],[GPF]]) / Horo8295[[#This Row],[hrs]],"")</f>
        <v>0.125</v>
      </c>
      <c r="M14" s="56" t="n">
        <f aca="false">IF("GPF"=Horo8295[[#This Row],[Tâche]],Horo8295[[#This Row],[Durée]],"")</f>
        <v>1</v>
      </c>
      <c r="N14" s="56" t="str">
        <f aca="false">IF("RI"=Horo8295[[#This Row],[Tâche]],Horo8295[[#This Row],[Durée]],"")</f>
        <v/>
      </c>
      <c r="O14" s="56" t="str">
        <f aca="false">IF("GB"=Horo8295[[#This Row],[Tâche]],Horo8295[[#This Row],[Durée]],"")</f>
        <v/>
      </c>
      <c r="P14" s="56" t="str">
        <f aca="false">IF("RD"=Horo8295[[#This Row],[Tâche]],Horo8295[[#This Row],[Durée]],"")</f>
        <v/>
      </c>
      <c r="Q14" s="56" t="str">
        <f aca="false">IF("FG"=Horo8295[[#This Row],[Tâche]],Horo8295[[#This Row],[Durée]],"")</f>
        <v/>
      </c>
      <c r="R14" s="56" t="str">
        <f aca="false">IF("CONGÉ"=Horo8295[[#This Row],[Tâche]],Horo8295[[#This Row],[Durée]],"")</f>
        <v/>
      </c>
      <c r="S14" s="57" t="str">
        <f aca="false">IF("PS"=Horo8295[[#This Row],[Tâche]],Horo8295[[#This Row],[Durée]],"")</f>
        <v/>
      </c>
      <c r="T14" s="56" t="str">
        <f aca="false">IF("TD"=Horo8295[[#This Row],[Tâche]],Horo8295[[#This Row],[Durée]],"")</f>
        <v/>
      </c>
      <c r="U14" s="55" t="str">
        <f aca="false">IF("N/C"=Horo8295[[#This Row],[Tâche]],Horo8295[[#This Row],[Durée]],"")</f>
        <v/>
      </c>
      <c r="V14" s="58"/>
      <c r="W14" s="59" t="n">
        <f aca="false">IF(Horo8295[[#This Row],[O]]="o",Horo8295[[#This Row],[Durée]],".")</f>
        <v>1</v>
      </c>
      <c r="X14" s="60" t="n">
        <f aca="false">IF(Horo8295[[#This Row],[Début]]=0,"",Horo8295[[#This Row],[Fin]]-Horo8295[[#This Row],[Début]])</f>
        <v>0.0416666666666667</v>
      </c>
    </row>
    <row r="15" customFormat="false" ht="15" hidden="false" customHeight="false" outlineLevel="0" collapsed="false">
      <c r="A15" s="45" t="s">
        <v>31</v>
      </c>
      <c r="B15" s="111" t="n">
        <f aca="false">IF(Horo8295[[#This Row],[Jour]]="Lundi",$C$1+1, IF(Horo8295[[#This Row],[Jour]]="Mardi",$C$1+2, IF(Horo8295[[#This Row],[Jour]]="Mercredi",$C$1+3, IF(Horo8295[[#This Row],[Jour]]="Jeudi",$C$1+4, IF(Horo8295[[#This Row],[Jour]]="Vendredi",$C$1+5, IF(Horo8295[[#This Row],[Jour]]="Samedi",$C$1+6, IF(Horo8295[[#This Row],[Jour]]="Dimanche",$C$1, )))))))</f>
        <v>44371</v>
      </c>
      <c r="C15" s="47" t="s">
        <v>2</v>
      </c>
      <c r="D15" s="48" t="n">
        <v>0.4375</v>
      </c>
      <c r="E15" s="48" t="n">
        <v>0.5</v>
      </c>
      <c r="F15" s="49" t="s">
        <v>61</v>
      </c>
      <c r="G15" s="49" t="s">
        <v>22</v>
      </c>
      <c r="H15" s="50" t="s">
        <v>42</v>
      </c>
      <c r="I15" s="61" t="s">
        <v>211</v>
      </c>
      <c r="J15" s="52" t="n">
        <f aca="false">IF(Horo8295[[#This Row],[Début]]=0,"",(Horo8295[[#This Row],[Durée (60)2]]-INT(Horo8295[[#This Row],[Durée (60)2]]))*24)</f>
        <v>1.5</v>
      </c>
      <c r="K15" s="62" t="n">
        <f aca="false">SUMIF(Horo8295[Jour],C15,Horo8295[Durée])</f>
        <v>8</v>
      </c>
      <c r="L15" s="54" t="n">
        <f aca="false">IFERROR(SUMIF(Horo8295[[#This Row],[Jour]],Horo8295[[#This Row],[Jour]],Horo8295[[#This Row],[GPF]]) / Horo8295[[#This Row],[hrs]],"")</f>
        <v>0</v>
      </c>
      <c r="M15" s="56" t="str">
        <f aca="false">IF("GPF"=Horo8295[[#This Row],[Tâche]],Horo8295[[#This Row],[Durée]],"")</f>
        <v/>
      </c>
      <c r="N15" s="56" t="str">
        <f aca="false">IF("RI"=Horo8295[[#This Row],[Tâche]],Horo8295[[#This Row],[Durée]],"")</f>
        <v/>
      </c>
      <c r="O15" s="56" t="str">
        <f aca="false">IF("GB"=Horo8295[[#This Row],[Tâche]],Horo8295[[#This Row],[Durée]],"")</f>
        <v/>
      </c>
      <c r="P15" s="56" t="n">
        <f aca="false">IF("RD"=Horo8295[[#This Row],[Tâche]],Horo8295[[#This Row],[Durée]],"")</f>
        <v>1.5</v>
      </c>
      <c r="Q15" s="56" t="str">
        <f aca="false">IF("FG"=Horo8295[[#This Row],[Tâche]],Horo8295[[#This Row],[Durée]],"")</f>
        <v/>
      </c>
      <c r="R15" s="56" t="str">
        <f aca="false">IF("CONGÉ"=Horo8295[[#This Row],[Tâche]],Horo8295[[#This Row],[Durée]],"")</f>
        <v/>
      </c>
      <c r="S15" s="57" t="str">
        <f aca="false">IF("PS"=Horo8295[[#This Row],[Tâche]],Horo8295[[#This Row],[Durée]],"")</f>
        <v/>
      </c>
      <c r="T15" s="56" t="str">
        <f aca="false">IF("TD"=Horo8295[[#This Row],[Tâche]],Horo8295[[#This Row],[Durée]],"")</f>
        <v/>
      </c>
      <c r="U15" s="55" t="str">
        <f aca="false">IF("N/C"=Horo8295[[#This Row],[Tâche]],Horo8295[[#This Row],[Durée]],"")</f>
        <v/>
      </c>
      <c r="V15" s="58"/>
      <c r="W15" s="59" t="n">
        <f aca="false">IF(Horo8295[[#This Row],[O]]="o",Horo8295[[#This Row],[Durée]],".")</f>
        <v>1.5</v>
      </c>
      <c r="X15" s="60" t="n">
        <f aca="false">IF(Horo8295[[#This Row],[Début]]=0,"",Horo8295[[#This Row],[Fin]]-Horo8295[[#This Row],[Début]])</f>
        <v>0.0625</v>
      </c>
    </row>
    <row r="16" customFormat="false" ht="15" hidden="false" customHeight="false" outlineLevel="0" collapsed="false">
      <c r="A16" s="45" t="s">
        <v>31</v>
      </c>
      <c r="B16" s="111" t="n">
        <f aca="false">IF(Horo8295[[#This Row],[Jour]]="Lundi",$C$1+1, IF(Horo8295[[#This Row],[Jour]]="Mardi",$C$1+2, IF(Horo8295[[#This Row],[Jour]]="Mercredi",$C$1+3, IF(Horo8295[[#This Row],[Jour]]="Jeudi",$C$1+4, IF(Horo8295[[#This Row],[Jour]]="Vendredi",$C$1+5, IF(Horo8295[[#This Row],[Jour]]="Samedi",$C$1+6, IF(Horo8295[[#This Row],[Jour]]="Dimanche",$C$1, )))))))</f>
        <v>44371</v>
      </c>
      <c r="C16" s="47" t="s">
        <v>2</v>
      </c>
      <c r="D16" s="48" t="n">
        <v>0.5625</v>
      </c>
      <c r="E16" s="48" t="n">
        <v>0.645833333333333</v>
      </c>
      <c r="F16" s="49" t="s">
        <v>75</v>
      </c>
      <c r="G16" s="49" t="s">
        <v>23</v>
      </c>
      <c r="H16" s="50" t="s">
        <v>53</v>
      </c>
      <c r="I16" s="61" t="s">
        <v>212</v>
      </c>
      <c r="J16" s="52" t="n">
        <f aca="false">IF(Horo8295[[#This Row],[Début]]=0,"",(Horo8295[[#This Row],[Durée (60)2]]-INT(Horo8295[[#This Row],[Durée (60)2]]))*24)</f>
        <v>2</v>
      </c>
      <c r="K16" s="62" t="n">
        <f aca="false">SUMIF(Horo8295[Jour],C16,Horo8295[Durée])</f>
        <v>8</v>
      </c>
      <c r="L16" s="54" t="n">
        <f aca="false">IFERROR(SUMIF(Horo8295[[#This Row],[Jour]],Horo8295[[#This Row],[Jour]],Horo8295[[#This Row],[GPF]]) / Horo8295[[#This Row],[hrs]],"")</f>
        <v>0</v>
      </c>
      <c r="M16" s="56" t="str">
        <f aca="false">IF("GPF"=Horo8295[[#This Row],[Tâche]],Horo8295[[#This Row],[Durée]],"")</f>
        <v/>
      </c>
      <c r="N16" s="56" t="str">
        <f aca="false">IF("RI"=Horo8295[[#This Row],[Tâche]],Horo8295[[#This Row],[Durée]],"")</f>
        <v/>
      </c>
      <c r="O16" s="56" t="str">
        <f aca="false">IF("GB"=Horo8295[[#This Row],[Tâche]],Horo8295[[#This Row],[Durée]],"")</f>
        <v/>
      </c>
      <c r="P16" s="56" t="str">
        <f aca="false">IF("RD"=Horo8295[[#This Row],[Tâche]],Horo8295[[#This Row],[Durée]],"")</f>
        <v/>
      </c>
      <c r="Q16" s="56" t="n">
        <f aca="false">IF("FG"=Horo8295[[#This Row],[Tâche]],Horo8295[[#This Row],[Durée]],"")</f>
        <v>2</v>
      </c>
      <c r="R16" s="56" t="str">
        <f aca="false">IF("CONGÉ"=Horo8295[[#This Row],[Tâche]],Horo8295[[#This Row],[Durée]],"")</f>
        <v/>
      </c>
      <c r="S16" s="57" t="str">
        <f aca="false">IF("PS"=Horo8295[[#This Row],[Tâche]],Horo8295[[#This Row],[Durée]],"")</f>
        <v/>
      </c>
      <c r="T16" s="56" t="str">
        <f aca="false">IF("TD"=Horo8295[[#This Row],[Tâche]],Horo8295[[#This Row],[Durée]],"")</f>
        <v/>
      </c>
      <c r="U16" s="55" t="str">
        <f aca="false">IF("N/C"=Horo8295[[#This Row],[Tâche]],Horo8295[[#This Row],[Durée]],"")</f>
        <v/>
      </c>
      <c r="V16" s="58"/>
      <c r="W16" s="59" t="n">
        <f aca="false">IF(Horo8295[[#This Row],[O]]="o",Horo8295[[#This Row],[Durée]],".")</f>
        <v>2</v>
      </c>
      <c r="X16" s="60" t="n">
        <f aca="false">IF(Horo8295[[#This Row],[Début]]=0,"",Horo8295[[#This Row],[Fin]]-Horo8295[[#This Row],[Début]])</f>
        <v>0.0833333333333334</v>
      </c>
    </row>
    <row r="17" customFormat="false" ht="15" hidden="false" customHeight="false" outlineLevel="0" collapsed="false">
      <c r="A17" s="45" t="s">
        <v>31</v>
      </c>
      <c r="B17" s="111" t="n">
        <f aca="false">IF(Horo8295[[#This Row],[Jour]]="Lundi",$C$1+1, IF(Horo8295[[#This Row],[Jour]]="Mardi",$C$1+2, IF(Horo8295[[#This Row],[Jour]]="Mercredi",$C$1+3, IF(Horo8295[[#This Row],[Jour]]="Jeudi",$C$1+4, IF(Horo8295[[#This Row],[Jour]]="Vendredi",$C$1+5, IF(Horo8295[[#This Row],[Jour]]="Samedi",$C$1+6, IF(Horo8295[[#This Row],[Jour]]="Dimanche",$C$1, )))))))</f>
        <v>44371</v>
      </c>
      <c r="C17" s="47" t="s">
        <v>2</v>
      </c>
      <c r="D17" s="48" t="n">
        <v>0.645833333333333</v>
      </c>
      <c r="E17" s="48" t="n">
        <v>0.75</v>
      </c>
      <c r="F17" s="49" t="s">
        <v>61</v>
      </c>
      <c r="G17" s="49" t="s">
        <v>19</v>
      </c>
      <c r="H17" s="50" t="s">
        <v>42</v>
      </c>
      <c r="I17" s="61" t="s">
        <v>213</v>
      </c>
      <c r="J17" s="52" t="n">
        <f aca="false">IF(Horo8295[[#This Row],[Début]]=0,"",(Horo8295[[#This Row],[Durée (60)2]]-INT(Horo8295[[#This Row],[Durée (60)2]]))*24)</f>
        <v>2.5</v>
      </c>
      <c r="K17" s="62" t="n">
        <f aca="false">SUMIF(Horo8295[Jour],C17,Horo8295[Durée])</f>
        <v>8</v>
      </c>
      <c r="L17" s="54" t="n">
        <f aca="false">IFERROR(SUMIF(Horo8295[[#This Row],[Jour]],Horo8295[[#This Row],[Jour]],Horo8295[[#This Row],[GPF]]) / Horo8295[[#This Row],[hrs]],"")</f>
        <v>0.3125</v>
      </c>
      <c r="M17" s="56" t="n">
        <f aca="false">IF("GPF"=Horo8295[[#This Row],[Tâche]],Horo8295[[#This Row],[Durée]],"")</f>
        <v>2.5</v>
      </c>
      <c r="N17" s="56" t="str">
        <f aca="false">IF("RI"=Horo8295[[#This Row],[Tâche]],Horo8295[[#This Row],[Durée]],"")</f>
        <v/>
      </c>
      <c r="O17" s="56" t="str">
        <f aca="false">IF("GB"=Horo8295[[#This Row],[Tâche]],Horo8295[[#This Row],[Durée]],"")</f>
        <v/>
      </c>
      <c r="P17" s="56" t="str">
        <f aca="false">IF("RD"=Horo8295[[#This Row],[Tâche]],Horo8295[[#This Row],[Durée]],"")</f>
        <v/>
      </c>
      <c r="Q17" s="56" t="str">
        <f aca="false">IF("FG"=Horo8295[[#This Row],[Tâche]],Horo8295[[#This Row],[Durée]],"")</f>
        <v/>
      </c>
      <c r="R17" s="56" t="str">
        <f aca="false">IF("CONGÉ"=Horo8295[[#This Row],[Tâche]],Horo8295[[#This Row],[Durée]],"")</f>
        <v/>
      </c>
      <c r="S17" s="57" t="str">
        <f aca="false">IF("PS"=Horo8295[[#This Row],[Tâche]],Horo8295[[#This Row],[Durée]],"")</f>
        <v/>
      </c>
      <c r="T17" s="56" t="str">
        <f aca="false">IF("TD"=Horo8295[[#This Row],[Tâche]],Horo8295[[#This Row],[Durée]],"")</f>
        <v/>
      </c>
      <c r="U17" s="55" t="str">
        <f aca="false">IF("N/C"=Horo8295[[#This Row],[Tâche]],Horo8295[[#This Row],[Durée]],"")</f>
        <v/>
      </c>
      <c r="V17" s="58"/>
      <c r="W17" s="59" t="n">
        <f aca="false">IF(Horo8295[[#This Row],[O]]="o",Horo8295[[#This Row],[Durée]],".")</f>
        <v>2.5</v>
      </c>
      <c r="X17" s="60" t="n">
        <f aca="false">IF(Horo8295[[#This Row],[Début]]=0,"",Horo8295[[#This Row],[Fin]]-Horo8295[[#This Row],[Début]])</f>
        <v>0.104166666666667</v>
      </c>
    </row>
    <row r="18" customFormat="false" ht="15" hidden="false" customHeight="false" outlineLevel="0" collapsed="false">
      <c r="A18" s="45" t="s">
        <v>31</v>
      </c>
      <c r="B18" s="111" t="n">
        <f aca="false">IF(Horo8295[[#This Row],[Jour]]="Lundi",$C$1+1, IF(Horo8295[[#This Row],[Jour]]="Mardi",$C$1+2, IF(Horo8295[[#This Row],[Jour]]="Mercredi",$C$1+3, IF(Horo8295[[#This Row],[Jour]]="Jeudi",$C$1+4, IF(Horo8295[[#This Row],[Jour]]="Vendredi",$C$1+5, IF(Horo8295[[#This Row],[Jour]]="Samedi",$C$1+6, IF(Horo8295[[#This Row],[Jour]]="Dimanche",$C$1, )))))))</f>
        <v>44372</v>
      </c>
      <c r="C18" s="47" t="s">
        <v>3</v>
      </c>
      <c r="D18" s="48" t="n">
        <v>0.333333333333333</v>
      </c>
      <c r="E18" s="48" t="n">
        <v>0.375</v>
      </c>
      <c r="F18" s="49" t="s">
        <v>32</v>
      </c>
      <c r="G18" s="49" t="s">
        <v>21</v>
      </c>
      <c r="H18" s="50"/>
      <c r="I18" s="61"/>
      <c r="J18" s="52" t="n">
        <f aca="false">IF(Horo8295[[#This Row],[Début]]=0,"",(Horo8295[[#This Row],[Durée (60)2]]-INT(Horo8295[[#This Row],[Durée (60)2]]))*24)</f>
        <v>1</v>
      </c>
      <c r="K18" s="62" t="n">
        <f aca="false">SUMIF(Horo8295[Jour],C18,Horo8295[Durée])</f>
        <v>9.25</v>
      </c>
      <c r="L18" s="54" t="n">
        <f aca="false">IFERROR(SUMIF(Horo8295[[#This Row],[Jour]],Horo8295[[#This Row],[Jour]],Horo8295[[#This Row],[GPF]]) / Horo8295[[#This Row],[hrs]],"")</f>
        <v>0</v>
      </c>
      <c r="M18" s="56" t="str">
        <f aca="false">IF("GPF"=Horo8295[[#This Row],[Tâche]],Horo8295[[#This Row],[Durée]],"")</f>
        <v/>
      </c>
      <c r="N18" s="56" t="str">
        <f aca="false">IF("RI"=Horo8295[[#This Row],[Tâche]],Horo8295[[#This Row],[Durée]],"")</f>
        <v/>
      </c>
      <c r="O18" s="56" t="n">
        <f aca="false">IF("GB"=Horo8295[[#This Row],[Tâche]],Horo8295[[#This Row],[Durée]],"")</f>
        <v>1</v>
      </c>
      <c r="P18" s="56" t="str">
        <f aca="false">IF("RD"=Horo8295[[#This Row],[Tâche]],Horo8295[[#This Row],[Durée]],"")</f>
        <v/>
      </c>
      <c r="Q18" s="56" t="str">
        <f aca="false">IF("FG"=Horo8295[[#This Row],[Tâche]],Horo8295[[#This Row],[Durée]],"")</f>
        <v/>
      </c>
      <c r="R18" s="56" t="str">
        <f aca="false">IF("CONGÉ"=Horo8295[[#This Row],[Tâche]],Horo8295[[#This Row],[Durée]],"")</f>
        <v/>
      </c>
      <c r="S18" s="56" t="str">
        <f aca="false">IF("PS"=Horo8295[[#This Row],[Tâche]],Horo8295[[#This Row],[Durée]],"")</f>
        <v/>
      </c>
      <c r="T18" s="56" t="str">
        <f aca="false">IF("TD"=Horo8295[[#This Row],[Tâche]],Horo8295[[#This Row],[Durée]],"")</f>
        <v/>
      </c>
      <c r="U18" s="56" t="str">
        <f aca="false">IF("N/C"=Horo8295[[#This Row],[Tâche]],Horo8295[[#This Row],[Durée]],"")</f>
        <v/>
      </c>
      <c r="V18" s="58"/>
      <c r="W18" s="59" t="n">
        <f aca="false">IF(Horo8295[[#This Row],[O]]="o",Horo8295[[#This Row],[Durée]],".")</f>
        <v>1</v>
      </c>
      <c r="X18" s="64" t="n">
        <f aca="false">IF(Horo8295[[#This Row],[Début]]=0,"",Horo8295[[#This Row],[Fin]]-Horo8295[[#This Row],[Début]])</f>
        <v>0.0416666666666667</v>
      </c>
    </row>
    <row r="19" customFormat="false" ht="15" hidden="false" customHeight="false" outlineLevel="0" collapsed="false">
      <c r="A19" s="45" t="s">
        <v>31</v>
      </c>
      <c r="B19" s="111" t="n">
        <f aca="false">IF(Horo8295[[#This Row],[Jour]]="Lundi",$C$1+1, IF(Horo8295[[#This Row],[Jour]]="Mardi",$C$1+2, IF(Horo8295[[#This Row],[Jour]]="Mercredi",$C$1+3, IF(Horo8295[[#This Row],[Jour]]="Jeudi",$C$1+4, IF(Horo8295[[#This Row],[Jour]]="Vendredi",$C$1+5, IF(Horo8295[[#This Row],[Jour]]="Samedi",$C$1+6, IF(Horo8295[[#This Row],[Jour]]="Dimanche",$C$1, )))))))</f>
        <v>44372</v>
      </c>
      <c r="C19" s="47" t="s">
        <v>3</v>
      </c>
      <c r="D19" s="48" t="n">
        <v>0.375</v>
      </c>
      <c r="E19" s="48" t="n">
        <v>0.395833333333333</v>
      </c>
      <c r="F19" s="49" t="s">
        <v>59</v>
      </c>
      <c r="G19" s="49" t="s">
        <v>19</v>
      </c>
      <c r="H19" s="50" t="s">
        <v>55</v>
      </c>
      <c r="I19" s="61"/>
      <c r="J19" s="52" t="n">
        <f aca="false">IF(Horo8295[[#This Row],[Début]]=0,"",(Horo8295[[#This Row],[Durée (60)2]]-INT(Horo8295[[#This Row],[Durée (60)2]]))*24)</f>
        <v>0.5</v>
      </c>
      <c r="K19" s="62" t="n">
        <f aca="false">SUMIF(Horo8295[Jour],C19,Horo8295[Durée])</f>
        <v>9.25</v>
      </c>
      <c r="L19" s="54" t="n">
        <f aca="false">IFERROR(SUMIF(Horo8295[[#This Row],[Jour]],Horo8295[[#This Row],[Jour]],Horo8295[[#This Row],[GPF]]) / Horo8295[[#This Row],[hrs]],"")</f>
        <v>0.054054054054054</v>
      </c>
      <c r="M19" s="56" t="n">
        <f aca="false">IF("GPF"=Horo8295[[#This Row],[Tâche]],Horo8295[[#This Row],[Durée]],"")</f>
        <v>0.5</v>
      </c>
      <c r="N19" s="56" t="str">
        <f aca="false">IF("RI"=Horo8295[[#This Row],[Tâche]],Horo8295[[#This Row],[Durée]],"")</f>
        <v/>
      </c>
      <c r="O19" s="56" t="str">
        <f aca="false">IF("GB"=Horo8295[[#This Row],[Tâche]],Horo8295[[#This Row],[Durée]],"")</f>
        <v/>
      </c>
      <c r="P19" s="56" t="str">
        <f aca="false">IF("RD"=Horo8295[[#This Row],[Tâche]],Horo8295[[#This Row],[Durée]],"")</f>
        <v/>
      </c>
      <c r="Q19" s="56" t="str">
        <f aca="false">IF("FG"=Horo8295[[#This Row],[Tâche]],Horo8295[[#This Row],[Durée]],"")</f>
        <v/>
      </c>
      <c r="R19" s="56" t="str">
        <f aca="false">IF("CONGÉ"=Horo8295[[#This Row],[Tâche]],Horo8295[[#This Row],[Durée]],"")</f>
        <v/>
      </c>
      <c r="S19" s="57" t="str">
        <f aca="false">IF("PS"=Horo8295[[#This Row],[Tâche]],Horo8295[[#This Row],[Durée]],"")</f>
        <v/>
      </c>
      <c r="T19" s="56" t="str">
        <f aca="false">IF("TD"=Horo8295[[#This Row],[Tâche]],Horo8295[[#This Row],[Durée]],"")</f>
        <v/>
      </c>
      <c r="U19" s="55" t="str">
        <f aca="false">IF("N/C"=Horo8295[[#This Row],[Tâche]],Horo8295[[#This Row],[Durée]],"")</f>
        <v/>
      </c>
      <c r="V19" s="58"/>
      <c r="W19" s="59" t="n">
        <f aca="false">IF(Horo8295[[#This Row],[O]]="o",Horo8295[[#This Row],[Durée]],".")</f>
        <v>0.5</v>
      </c>
      <c r="X19" s="60" t="n">
        <f aca="false">IF(Horo8295[[#This Row],[Début]]=0,"",Horo8295[[#This Row],[Fin]]-Horo8295[[#This Row],[Début]])</f>
        <v>0.0208333333333333</v>
      </c>
    </row>
    <row r="20" customFormat="false" ht="15" hidden="false" customHeight="false" outlineLevel="0" collapsed="false">
      <c r="A20" s="45" t="s">
        <v>31</v>
      </c>
      <c r="B20" s="111" t="n">
        <f aca="false">IF(Horo8295[[#This Row],[Jour]]="Lundi",$C$1+1, IF(Horo8295[[#This Row],[Jour]]="Mardi",$C$1+2, IF(Horo8295[[#This Row],[Jour]]="Mercredi",$C$1+3, IF(Horo8295[[#This Row],[Jour]]="Jeudi",$C$1+4, IF(Horo8295[[#This Row],[Jour]]="Vendredi",$C$1+5, IF(Horo8295[[#This Row],[Jour]]="Samedi",$C$1+6, IF(Horo8295[[#This Row],[Jour]]="Dimanche",$C$1, )))))))</f>
        <v>44372</v>
      </c>
      <c r="C20" s="47" t="s">
        <v>3</v>
      </c>
      <c r="D20" s="48" t="n">
        <v>0.395833333333333</v>
      </c>
      <c r="E20" s="48" t="n">
        <v>0.5</v>
      </c>
      <c r="F20" s="49" t="s">
        <v>61</v>
      </c>
      <c r="G20" s="49" t="s">
        <v>19</v>
      </c>
      <c r="H20" s="50" t="s">
        <v>42</v>
      </c>
      <c r="I20" s="61" t="s">
        <v>214</v>
      </c>
      <c r="J20" s="52" t="n">
        <f aca="false">IF(Horo8295[[#This Row],[Début]]=0,"",(Horo8295[[#This Row],[Durée (60)2]]-INT(Horo8295[[#This Row],[Durée (60)2]]))*24)</f>
        <v>2.5</v>
      </c>
      <c r="K20" s="62" t="n">
        <f aca="false">SUMIF(Horo8295[Jour],C20,Horo8295[Durée])</f>
        <v>9.25</v>
      </c>
      <c r="L20" s="54" t="n">
        <f aca="false">IFERROR(SUMIF(Horo8295[[#This Row],[Jour]],Horo8295[[#This Row],[Jour]],Horo8295[[#This Row],[GPF]]) / Horo8295[[#This Row],[hrs]],"")</f>
        <v>0.27027027027027</v>
      </c>
      <c r="M20" s="56" t="n">
        <f aca="false">IF("GPF"=Horo8295[[#This Row],[Tâche]],Horo8295[[#This Row],[Durée]],"")</f>
        <v>2.5</v>
      </c>
      <c r="N20" s="56" t="str">
        <f aca="false">IF("RI"=Horo8295[[#This Row],[Tâche]],Horo8295[[#This Row],[Durée]],"")</f>
        <v/>
      </c>
      <c r="O20" s="56" t="str">
        <f aca="false">IF("GB"=Horo8295[[#This Row],[Tâche]],Horo8295[[#This Row],[Durée]],"")</f>
        <v/>
      </c>
      <c r="P20" s="56" t="str">
        <f aca="false">IF("RD"=Horo8295[[#This Row],[Tâche]],Horo8295[[#This Row],[Durée]],"")</f>
        <v/>
      </c>
      <c r="Q20" s="56" t="str">
        <f aca="false">IF("FG"=Horo8295[[#This Row],[Tâche]],Horo8295[[#This Row],[Durée]],"")</f>
        <v/>
      </c>
      <c r="R20" s="56" t="str">
        <f aca="false">IF("CONGÉ"=Horo8295[[#This Row],[Tâche]],Horo8295[[#This Row],[Durée]],"")</f>
        <v/>
      </c>
      <c r="S20" s="57" t="str">
        <f aca="false">IF("PS"=Horo8295[[#This Row],[Tâche]],Horo8295[[#This Row],[Durée]],"")</f>
        <v/>
      </c>
      <c r="T20" s="56" t="str">
        <f aca="false">IF("TD"=Horo8295[[#This Row],[Tâche]],Horo8295[[#This Row],[Durée]],"")</f>
        <v/>
      </c>
      <c r="U20" s="55" t="str">
        <f aca="false">IF("N/C"=Horo8295[[#This Row],[Tâche]],Horo8295[[#This Row],[Durée]],"")</f>
        <v/>
      </c>
      <c r="V20" s="58"/>
      <c r="W20" s="59" t="n">
        <f aca="false">IF(Horo8295[[#This Row],[O]]="o",Horo8295[[#This Row],[Durée]],".")</f>
        <v>2.5</v>
      </c>
      <c r="X20" s="60" t="n">
        <f aca="false">IF(Horo8295[[#This Row],[Début]]=0,"",Horo8295[[#This Row],[Fin]]-Horo8295[[#This Row],[Début]])</f>
        <v>0.104166666666667</v>
      </c>
    </row>
    <row r="21" customFormat="false" ht="15" hidden="false" customHeight="false" outlineLevel="0" collapsed="false">
      <c r="A21" s="45" t="s">
        <v>31</v>
      </c>
      <c r="B21" s="111" t="n">
        <f aca="false">IF(Horo8295[[#This Row],[Jour]]="Lundi",$C$1+1, IF(Horo8295[[#This Row],[Jour]]="Mardi",$C$1+2, IF(Horo8295[[#This Row],[Jour]]="Mercredi",$C$1+3, IF(Horo8295[[#This Row],[Jour]]="Jeudi",$C$1+4, IF(Horo8295[[#This Row],[Jour]]="Vendredi",$C$1+5, IF(Horo8295[[#This Row],[Jour]]="Samedi",$C$1+6, IF(Horo8295[[#This Row],[Jour]]="Dimanche",$C$1, )))))))</f>
        <v>44372</v>
      </c>
      <c r="C21" s="47" t="s">
        <v>3</v>
      </c>
      <c r="D21" s="48" t="n">
        <v>0.552083333333333</v>
      </c>
      <c r="E21" s="48" t="n">
        <v>0.604166666666667</v>
      </c>
      <c r="F21" s="49" t="s">
        <v>61</v>
      </c>
      <c r="G21" s="49" t="s">
        <v>19</v>
      </c>
      <c r="H21" s="50" t="s">
        <v>42</v>
      </c>
      <c r="I21" s="61" t="s">
        <v>214</v>
      </c>
      <c r="J21" s="52" t="n">
        <f aca="false">IF(Horo8295[[#This Row],[Début]]=0,"",(Horo8295[[#This Row],[Durée (60)2]]-INT(Horo8295[[#This Row],[Durée (60)2]]))*24)</f>
        <v>1.25</v>
      </c>
      <c r="K21" s="62" t="n">
        <f aca="false">SUMIF(Horo8295[Jour],C21,Horo8295[Durée])</f>
        <v>9.25</v>
      </c>
      <c r="L21" s="54" t="n">
        <f aca="false">IFERROR(SUMIF(Horo8295[[#This Row],[Jour]],Horo8295[[#This Row],[Jour]],Horo8295[[#This Row],[GPF]]) / Horo8295[[#This Row],[hrs]],"")</f>
        <v>0.135135135135135</v>
      </c>
      <c r="M21" s="56" t="n">
        <f aca="false">IF("GPF"=Horo8295[[#This Row],[Tâche]],Horo8295[[#This Row],[Durée]],"")</f>
        <v>1.25</v>
      </c>
      <c r="N21" s="56" t="str">
        <f aca="false">IF("RI"=Horo8295[[#This Row],[Tâche]],Horo8295[[#This Row],[Durée]],"")</f>
        <v/>
      </c>
      <c r="O21" s="56" t="str">
        <f aca="false">IF("GB"=Horo8295[[#This Row],[Tâche]],Horo8295[[#This Row],[Durée]],"")</f>
        <v/>
      </c>
      <c r="P21" s="56" t="str">
        <f aca="false">IF("RD"=Horo8295[[#This Row],[Tâche]],Horo8295[[#This Row],[Durée]],"")</f>
        <v/>
      </c>
      <c r="Q21" s="56" t="str">
        <f aca="false">IF("FG"=Horo8295[[#This Row],[Tâche]],Horo8295[[#This Row],[Durée]],"")</f>
        <v/>
      </c>
      <c r="R21" s="56" t="str">
        <f aca="false">IF("CONGÉ"=Horo8295[[#This Row],[Tâche]],Horo8295[[#This Row],[Durée]],"")</f>
        <v/>
      </c>
      <c r="S21" s="57" t="str">
        <f aca="false">IF("PS"=Horo8295[[#This Row],[Tâche]],Horo8295[[#This Row],[Durée]],"")</f>
        <v/>
      </c>
      <c r="T21" s="56" t="str">
        <f aca="false">IF("TD"=Horo8295[[#This Row],[Tâche]],Horo8295[[#This Row],[Durée]],"")</f>
        <v/>
      </c>
      <c r="U21" s="55" t="str">
        <f aca="false">IF("N/C"=Horo8295[[#This Row],[Tâche]],Horo8295[[#This Row],[Durée]],"")</f>
        <v/>
      </c>
      <c r="V21" s="58"/>
      <c r="W21" s="59" t="n">
        <f aca="false">IF(Horo8295[[#This Row],[O]]="o",Horo8295[[#This Row],[Durée]],".")</f>
        <v>1.25</v>
      </c>
      <c r="X21" s="60" t="n">
        <f aca="false">IF(Horo8295[[#This Row],[Début]]=0,"",Horo8295[[#This Row],[Fin]]-Horo8295[[#This Row],[Début]])</f>
        <v>0.0520833333333333</v>
      </c>
    </row>
    <row r="22" customFormat="false" ht="15" hidden="false" customHeight="false" outlineLevel="0" collapsed="false">
      <c r="A22" s="45" t="s">
        <v>31</v>
      </c>
      <c r="B22" s="111" t="n">
        <f aca="false">IF(Horo8295[[#This Row],[Jour]]="Lundi",$C$1+1, IF(Horo8295[[#This Row],[Jour]]="Mardi",$C$1+2, IF(Horo8295[[#This Row],[Jour]]="Mercredi",$C$1+3, IF(Horo8295[[#This Row],[Jour]]="Jeudi",$C$1+4, IF(Horo8295[[#This Row],[Jour]]="Vendredi",$C$1+5, IF(Horo8295[[#This Row],[Jour]]="Samedi",$C$1+6, IF(Horo8295[[#This Row],[Jour]]="Dimanche",$C$1, )))))))</f>
        <v>44372</v>
      </c>
      <c r="C22" s="47" t="s">
        <v>3</v>
      </c>
      <c r="D22" s="48" t="n">
        <v>0.625</v>
      </c>
      <c r="E22" s="48" t="n">
        <v>0.666666666666667</v>
      </c>
      <c r="F22" s="49" t="s">
        <v>32</v>
      </c>
      <c r="G22" s="49" t="s">
        <v>22</v>
      </c>
      <c r="H22" s="50" t="s">
        <v>201</v>
      </c>
      <c r="I22" s="61"/>
      <c r="J22" s="52" t="n">
        <f aca="false">IF(Horo8295[[#This Row],[Début]]=0,"",(Horo8295[[#This Row],[Durée (60)2]]-INT(Horo8295[[#This Row],[Durée (60)2]]))*24)</f>
        <v>0.999999999999999</v>
      </c>
      <c r="K22" s="62" t="n">
        <f aca="false">SUMIF(Horo8295[Jour],C22,Horo8295[Durée])</f>
        <v>9.25</v>
      </c>
      <c r="L22" s="54" t="n">
        <f aca="false">IFERROR(SUMIF(Horo8295[[#This Row],[Jour]],Horo8295[[#This Row],[Jour]],Horo8295[[#This Row],[GPF]]) / Horo8295[[#This Row],[hrs]],"")</f>
        <v>0</v>
      </c>
      <c r="M22" s="56" t="str">
        <f aca="false">IF("GPF"=Horo8295[[#This Row],[Tâche]],Horo8295[[#This Row],[Durée]],"")</f>
        <v/>
      </c>
      <c r="N22" s="56" t="str">
        <f aca="false">IF("RI"=Horo8295[[#This Row],[Tâche]],Horo8295[[#This Row],[Durée]],"")</f>
        <v/>
      </c>
      <c r="O22" s="56" t="str">
        <f aca="false">IF("GB"=Horo8295[[#This Row],[Tâche]],Horo8295[[#This Row],[Durée]],"")</f>
        <v/>
      </c>
      <c r="P22" s="56" t="n">
        <f aca="false">IF("RD"=Horo8295[[#This Row],[Tâche]],Horo8295[[#This Row],[Durée]],"")</f>
        <v>0.999999999999999</v>
      </c>
      <c r="Q22" s="56" t="str">
        <f aca="false">IF("FG"=Horo8295[[#This Row],[Tâche]],Horo8295[[#This Row],[Durée]],"")</f>
        <v/>
      </c>
      <c r="R22" s="56" t="str">
        <f aca="false">IF("CONGÉ"=Horo8295[[#This Row],[Tâche]],Horo8295[[#This Row],[Durée]],"")</f>
        <v/>
      </c>
      <c r="S22" s="57" t="str">
        <f aca="false">IF("PS"=Horo8295[[#This Row],[Tâche]],Horo8295[[#This Row],[Durée]],"")</f>
        <v/>
      </c>
      <c r="T22" s="56" t="str">
        <f aca="false">IF("TD"=Horo8295[[#This Row],[Tâche]],Horo8295[[#This Row],[Durée]],"")</f>
        <v/>
      </c>
      <c r="U22" s="55" t="str">
        <f aca="false">IF("N/C"=Horo8295[[#This Row],[Tâche]],Horo8295[[#This Row],[Durée]],"")</f>
        <v/>
      </c>
      <c r="V22" s="58"/>
      <c r="W22" s="59" t="n">
        <f aca="false">IF(Horo8295[[#This Row],[O]]="o",Horo8295[[#This Row],[Durée]],".")</f>
        <v>0.999999999999999</v>
      </c>
      <c r="X22" s="60" t="n">
        <f aca="false">IF(Horo8295[[#This Row],[Début]]=0,"",Horo8295[[#This Row],[Fin]]-Horo8295[[#This Row],[Début]])</f>
        <v>0.0416666666666666</v>
      </c>
    </row>
    <row r="23" customFormat="false" ht="15" hidden="false" customHeight="false" outlineLevel="0" collapsed="false">
      <c r="A23" s="45" t="s">
        <v>31</v>
      </c>
      <c r="B23" s="111" t="n">
        <f aca="false">IF(Horo8295[[#This Row],[Jour]]="Lundi",$C$1+1, IF(Horo8295[[#This Row],[Jour]]="Mardi",$C$1+2, IF(Horo8295[[#This Row],[Jour]]="Mercredi",$C$1+3, IF(Horo8295[[#This Row],[Jour]]="Jeudi",$C$1+4, IF(Horo8295[[#This Row],[Jour]]="Vendredi",$C$1+5, IF(Horo8295[[#This Row],[Jour]]="Samedi",$C$1+6, IF(Horo8295[[#This Row],[Jour]]="Dimanche",$C$1, )))))))</f>
        <v>44372</v>
      </c>
      <c r="C23" s="47" t="s">
        <v>3</v>
      </c>
      <c r="D23" s="48" t="n">
        <v>0.666666666666667</v>
      </c>
      <c r="E23" s="48" t="n">
        <v>0.708333333333333</v>
      </c>
      <c r="F23" s="49" t="s">
        <v>32</v>
      </c>
      <c r="G23" s="49" t="s">
        <v>23</v>
      </c>
      <c r="H23" s="50" t="s">
        <v>111</v>
      </c>
      <c r="I23" s="61"/>
      <c r="J23" s="52" t="n">
        <f aca="false">IF(Horo8295[[#This Row],[Début]]=0,"",(Horo8295[[#This Row],[Durée (60)2]]-INT(Horo8295[[#This Row],[Durée (60)2]]))*24)</f>
        <v>1</v>
      </c>
      <c r="K23" s="62" t="n">
        <f aca="false">SUMIF(Horo8295[Jour],C23,Horo8295[Durée])</f>
        <v>9.25</v>
      </c>
      <c r="L23" s="54" t="n">
        <f aca="false">IFERROR(SUMIF(Horo8295[[#This Row],[Jour]],Horo8295[[#This Row],[Jour]],Horo8295[[#This Row],[GPF]]) / Horo8295[[#This Row],[hrs]],"")</f>
        <v>0</v>
      </c>
      <c r="M23" s="56" t="str">
        <f aca="false">IF("GPF"=Horo8295[[#This Row],[Tâche]],Horo8295[[#This Row],[Durée]],"")</f>
        <v/>
      </c>
      <c r="N23" s="56" t="str">
        <f aca="false">IF("RI"=Horo8295[[#This Row],[Tâche]],Horo8295[[#This Row],[Durée]],"")</f>
        <v/>
      </c>
      <c r="O23" s="56" t="str">
        <f aca="false">IF("GB"=Horo8295[[#This Row],[Tâche]],Horo8295[[#This Row],[Durée]],"")</f>
        <v/>
      </c>
      <c r="P23" s="56" t="str">
        <f aca="false">IF("RD"=Horo8295[[#This Row],[Tâche]],Horo8295[[#This Row],[Durée]],"")</f>
        <v/>
      </c>
      <c r="Q23" s="56" t="n">
        <f aca="false">IF("FG"=Horo8295[[#This Row],[Tâche]],Horo8295[[#This Row],[Durée]],"")</f>
        <v>1</v>
      </c>
      <c r="R23" s="56" t="str">
        <f aca="false">IF("CONGÉ"=Horo8295[[#This Row],[Tâche]],Horo8295[[#This Row],[Durée]],"")</f>
        <v/>
      </c>
      <c r="S23" s="57" t="str">
        <f aca="false">IF("PS"=Horo8295[[#This Row],[Tâche]],Horo8295[[#This Row],[Durée]],"")</f>
        <v/>
      </c>
      <c r="T23" s="56" t="str">
        <f aca="false">IF("TD"=Horo8295[[#This Row],[Tâche]],Horo8295[[#This Row],[Durée]],"")</f>
        <v/>
      </c>
      <c r="U23" s="55" t="str">
        <f aca="false">IF("N/C"=Horo8295[[#This Row],[Tâche]],Horo8295[[#This Row],[Durée]],"")</f>
        <v/>
      </c>
      <c r="V23" s="58"/>
      <c r="W23" s="59" t="n">
        <f aca="false">IF(Horo8295[[#This Row],[O]]="o",Horo8295[[#This Row],[Durée]],".")</f>
        <v>1</v>
      </c>
      <c r="X23" s="60" t="n">
        <f aca="false">IF(Horo8295[[#This Row],[Début]]=0,"",Horo8295[[#This Row],[Fin]]-Horo8295[[#This Row],[Début]])</f>
        <v>0.0416666666666667</v>
      </c>
    </row>
    <row r="24" customFormat="false" ht="15" hidden="false" customHeight="false" outlineLevel="0" collapsed="false">
      <c r="A24" s="45" t="s">
        <v>31</v>
      </c>
      <c r="B24" s="111" t="n">
        <f aca="false">IF(Horo8295[[#This Row],[Jour]]="Lundi",$C$1+1, IF(Horo8295[[#This Row],[Jour]]="Mardi",$C$1+2, IF(Horo8295[[#This Row],[Jour]]="Mercredi",$C$1+3, IF(Horo8295[[#This Row],[Jour]]="Jeudi",$C$1+4, IF(Horo8295[[#This Row],[Jour]]="Vendredi",$C$1+5, IF(Horo8295[[#This Row],[Jour]]="Samedi",$C$1+6, IF(Horo8295[[#This Row],[Jour]]="Dimanche",$C$1, )))))))</f>
        <v>44372</v>
      </c>
      <c r="C24" s="47" t="s">
        <v>3</v>
      </c>
      <c r="D24" s="48" t="n">
        <v>0.708333333333333</v>
      </c>
      <c r="E24" s="48" t="n">
        <v>0.791666666666667</v>
      </c>
      <c r="F24" s="49" t="s">
        <v>32</v>
      </c>
      <c r="G24" s="49" t="s">
        <v>23</v>
      </c>
      <c r="H24" s="50" t="s">
        <v>204</v>
      </c>
      <c r="I24" s="61" t="s">
        <v>205</v>
      </c>
      <c r="J24" s="52" t="n">
        <f aca="false">IF(Horo8295[[#This Row],[Début]]=0,"",(Horo8295[[#This Row],[Durée (60)2]]-INT(Horo8295[[#This Row],[Durée (60)2]]))*24)</f>
        <v>2</v>
      </c>
      <c r="K24" s="62" t="n">
        <f aca="false">SUMIF(Horo8295[Jour],C24,Horo8295[Durée])</f>
        <v>9.25</v>
      </c>
      <c r="L24" s="54" t="n">
        <f aca="false">IFERROR(SUMIF(Horo8295[[#This Row],[Jour]],Horo8295[[#This Row],[Jour]],Horo8295[[#This Row],[GPF]]) / Horo8295[[#This Row],[hrs]],"")</f>
        <v>0</v>
      </c>
      <c r="M24" s="56" t="str">
        <f aca="false">IF("GPF"=Horo8295[[#This Row],[Tâche]],Horo8295[[#This Row],[Durée]],"")</f>
        <v/>
      </c>
      <c r="N24" s="56" t="str">
        <f aca="false">IF("RI"=Horo8295[[#This Row],[Tâche]],Horo8295[[#This Row],[Durée]],"")</f>
        <v/>
      </c>
      <c r="O24" s="56" t="str">
        <f aca="false">IF("GB"=Horo8295[[#This Row],[Tâche]],Horo8295[[#This Row],[Durée]],"")</f>
        <v/>
      </c>
      <c r="P24" s="56" t="str">
        <f aca="false">IF("RD"=Horo8295[[#This Row],[Tâche]],Horo8295[[#This Row],[Durée]],"")</f>
        <v/>
      </c>
      <c r="Q24" s="56" t="n">
        <f aca="false">IF("FG"=Horo8295[[#This Row],[Tâche]],Horo8295[[#This Row],[Durée]],"")</f>
        <v>2</v>
      </c>
      <c r="R24" s="56" t="str">
        <f aca="false">IF("CONGÉ"=Horo8295[[#This Row],[Tâche]],Horo8295[[#This Row],[Durée]],"")</f>
        <v/>
      </c>
      <c r="S24" s="57" t="str">
        <f aca="false">IF("PS"=Horo8295[[#This Row],[Tâche]],Horo8295[[#This Row],[Durée]],"")</f>
        <v/>
      </c>
      <c r="T24" s="56" t="str">
        <f aca="false">IF("TD"=Horo8295[[#This Row],[Tâche]],Horo8295[[#This Row],[Durée]],"")</f>
        <v/>
      </c>
      <c r="U24" s="55" t="str">
        <f aca="false">IF("N/C"=Horo8295[[#This Row],[Tâche]],Horo8295[[#This Row],[Durée]],"")</f>
        <v/>
      </c>
      <c r="V24" s="58"/>
      <c r="W24" s="59" t="n">
        <f aca="false">IF(Horo8295[[#This Row],[O]]="o",Horo8295[[#This Row],[Durée]],".")</f>
        <v>2</v>
      </c>
      <c r="X24" s="60" t="n">
        <f aca="false">IF(Horo8295[[#This Row],[Début]]=0,"",Horo8295[[#This Row],[Fin]]-Horo8295[[#This Row],[Début]])</f>
        <v>0.0833333333333333</v>
      </c>
    </row>
    <row r="25" customFormat="false" ht="15" hidden="false" customHeight="false" outlineLevel="0" collapsed="false">
      <c r="A25" s="45" t="s">
        <v>31</v>
      </c>
      <c r="B25" s="111" t="n">
        <f aca="false">IF(Horo8295[[#This Row],[Jour]]="Lundi",$C$1+1, IF(Horo8295[[#This Row],[Jour]]="Mardi",$C$1+2, IF(Horo8295[[#This Row],[Jour]]="Mercredi",$C$1+3, IF(Horo8295[[#This Row],[Jour]]="Jeudi",$C$1+4, IF(Horo8295[[#This Row],[Jour]]="Vendredi",$C$1+5, IF(Horo8295[[#This Row],[Jour]]="Samedi",$C$1+6, IF(Horo8295[[#This Row],[Jour]]="Dimanche",$C$1, )))))))</f>
        <v>44373</v>
      </c>
      <c r="C25" s="47" t="s">
        <v>4</v>
      </c>
      <c r="D25" s="48" t="n">
        <v>0.333333333333333</v>
      </c>
      <c r="E25" s="48" t="n">
        <v>0.354166666666667</v>
      </c>
      <c r="F25" s="49" t="s">
        <v>32</v>
      </c>
      <c r="G25" s="49" t="s">
        <v>22</v>
      </c>
      <c r="H25" s="50" t="s">
        <v>201</v>
      </c>
      <c r="I25" s="61"/>
      <c r="J25" s="52" t="n">
        <f aca="false">IF(Horo8295[[#This Row],[Début]]=0,"",(Horo8295[[#This Row],[Durée (60)2]]-INT(Horo8295[[#This Row],[Durée (60)2]]))*24)</f>
        <v>0.500000000000001</v>
      </c>
      <c r="K25" s="62" t="n">
        <f aca="false">SUMIF(Horo8295[Jour],C25,Horo8295[Durée])</f>
        <v>7.5</v>
      </c>
      <c r="L25" s="54" t="n">
        <f aca="false">IFERROR(SUMIF(Horo8295[[#This Row],[Jour]],Horo8295[[#This Row],[Jour]],Horo8295[[#This Row],[GPF]]) / Horo8295[[#This Row],[hrs]],"")</f>
        <v>0</v>
      </c>
      <c r="M25" s="56" t="str">
        <f aca="false">IF("GPF"=Horo8295[[#This Row],[Tâche]],Horo8295[[#This Row],[Durée]],"")</f>
        <v/>
      </c>
      <c r="N25" s="56" t="str">
        <f aca="false">IF("RI"=Horo8295[[#This Row],[Tâche]],Horo8295[[#This Row],[Durée]],"")</f>
        <v/>
      </c>
      <c r="O25" s="56" t="str">
        <f aca="false">IF("GB"=Horo8295[[#This Row],[Tâche]],Horo8295[[#This Row],[Durée]],"")</f>
        <v/>
      </c>
      <c r="P25" s="56" t="n">
        <f aca="false">IF("RD"=Horo8295[[#This Row],[Tâche]],Horo8295[[#This Row],[Durée]],"")</f>
        <v>0.500000000000001</v>
      </c>
      <c r="Q25" s="56" t="str">
        <f aca="false">IF("FG"=Horo8295[[#This Row],[Tâche]],Horo8295[[#This Row],[Durée]],"")</f>
        <v/>
      </c>
      <c r="R25" s="56" t="str">
        <f aca="false">IF("CONGÉ"=Horo8295[[#This Row],[Tâche]],Horo8295[[#This Row],[Durée]],"")</f>
        <v/>
      </c>
      <c r="S25" s="57" t="str">
        <f aca="false">IF("PS"=Horo8295[[#This Row],[Tâche]],Horo8295[[#This Row],[Durée]],"")</f>
        <v/>
      </c>
      <c r="T25" s="56" t="str">
        <f aca="false">IF("TD"=Horo8295[[#This Row],[Tâche]],Horo8295[[#This Row],[Durée]],"")</f>
        <v/>
      </c>
      <c r="U25" s="55" t="str">
        <f aca="false">IF("N/C"=Horo8295[[#This Row],[Tâche]],Horo8295[[#This Row],[Durée]],"")</f>
        <v/>
      </c>
      <c r="V25" s="58"/>
      <c r="W25" s="59" t="n">
        <f aca="false">IF(Horo8295[[#This Row],[O]]="o",Horo8295[[#This Row],[Durée]],".")</f>
        <v>0.500000000000001</v>
      </c>
      <c r="X25" s="60" t="n">
        <f aca="false">IF(Horo8295[[#This Row],[Début]]=0,"",Horo8295[[#This Row],[Fin]]-Horo8295[[#This Row],[Début]])</f>
        <v>0.0208333333333334</v>
      </c>
    </row>
    <row r="26" customFormat="false" ht="15" hidden="false" customHeight="false" outlineLevel="0" collapsed="false">
      <c r="A26" s="45" t="s">
        <v>31</v>
      </c>
      <c r="B26" s="111" t="n">
        <f aca="false">IF(Horo8295[[#This Row],[Jour]]="Lundi",$C$1+1, IF(Horo8295[[#This Row],[Jour]]="Mardi",$C$1+2, IF(Horo8295[[#This Row],[Jour]]="Mercredi",$C$1+3, IF(Horo8295[[#This Row],[Jour]]="Jeudi",$C$1+4, IF(Horo8295[[#This Row],[Jour]]="Vendredi",$C$1+5, IF(Horo8295[[#This Row],[Jour]]="Samedi",$C$1+6, IF(Horo8295[[#This Row],[Jour]]="Dimanche",$C$1, )))))))</f>
        <v>44373</v>
      </c>
      <c r="C26" s="47" t="s">
        <v>4</v>
      </c>
      <c r="D26" s="48" t="n">
        <v>0.354166666666667</v>
      </c>
      <c r="E26" s="48" t="n">
        <v>0.416666666666667</v>
      </c>
      <c r="F26" s="49" t="s">
        <v>61</v>
      </c>
      <c r="G26" s="49" t="s">
        <v>19</v>
      </c>
      <c r="H26" s="50" t="s">
        <v>42</v>
      </c>
      <c r="I26" s="61" t="s">
        <v>215</v>
      </c>
      <c r="J26" s="52" t="n">
        <f aca="false">IF(Horo8295[[#This Row],[Début]]=0,"",(Horo8295[[#This Row],[Durée (60)2]]-INT(Horo8295[[#This Row],[Durée (60)2]]))*24)</f>
        <v>1.5</v>
      </c>
      <c r="K26" s="62" t="n">
        <f aca="false">SUMIF(Horo8295[Jour],C26,Horo8295[Durée])</f>
        <v>7.5</v>
      </c>
      <c r="L26" s="54" t="n">
        <f aca="false">IFERROR(SUMIF(Horo8295[[#This Row],[Jour]],Horo8295[[#This Row],[Jour]],Horo8295[[#This Row],[GPF]]) / Horo8295[[#This Row],[hrs]],"")</f>
        <v>0.2</v>
      </c>
      <c r="M26" s="56" t="n">
        <f aca="false">IF("GPF"=Horo8295[[#This Row],[Tâche]],Horo8295[[#This Row],[Durée]],"")</f>
        <v>1.5</v>
      </c>
      <c r="N26" s="56" t="str">
        <f aca="false">IF("RI"=Horo8295[[#This Row],[Tâche]],Horo8295[[#This Row],[Durée]],"")</f>
        <v/>
      </c>
      <c r="O26" s="56" t="str">
        <f aca="false">IF("GB"=Horo8295[[#This Row],[Tâche]],Horo8295[[#This Row],[Durée]],"")</f>
        <v/>
      </c>
      <c r="P26" s="56" t="str">
        <f aca="false">IF("RD"=Horo8295[[#This Row],[Tâche]],Horo8295[[#This Row],[Durée]],"")</f>
        <v/>
      </c>
      <c r="Q26" s="56" t="str">
        <f aca="false">IF("FG"=Horo8295[[#This Row],[Tâche]],Horo8295[[#This Row],[Durée]],"")</f>
        <v/>
      </c>
      <c r="R26" s="56" t="str">
        <f aca="false">IF("CONGÉ"=Horo8295[[#This Row],[Tâche]],Horo8295[[#This Row],[Durée]],"")</f>
        <v/>
      </c>
      <c r="S26" s="57" t="str">
        <f aca="false">IF("PS"=Horo8295[[#This Row],[Tâche]],Horo8295[[#This Row],[Durée]],"")</f>
        <v/>
      </c>
      <c r="T26" s="56" t="str">
        <f aca="false">IF("TD"=Horo8295[[#This Row],[Tâche]],Horo8295[[#This Row],[Durée]],"")</f>
        <v/>
      </c>
      <c r="U26" s="55" t="str">
        <f aca="false">IF("N/C"=Horo8295[[#This Row],[Tâche]],Horo8295[[#This Row],[Durée]],"")</f>
        <v/>
      </c>
      <c r="V26" s="58"/>
      <c r="W26" s="59" t="n">
        <f aca="false">IF(Horo8295[[#This Row],[O]]="o",Horo8295[[#This Row],[Durée]],".")</f>
        <v>1.5</v>
      </c>
      <c r="X26" s="60" t="n">
        <f aca="false">IF(Horo8295[[#This Row],[Début]]=0,"",Horo8295[[#This Row],[Fin]]-Horo8295[[#This Row],[Début]])</f>
        <v>0.0625</v>
      </c>
    </row>
    <row r="27" customFormat="false" ht="15" hidden="false" customHeight="false" outlineLevel="0" collapsed="false">
      <c r="A27" s="45" t="s">
        <v>31</v>
      </c>
      <c r="B27" s="111" t="n">
        <f aca="false">IF(Horo8295[[#This Row],[Jour]]="Lundi",$C$1+1, IF(Horo8295[[#This Row],[Jour]]="Mardi",$C$1+2, IF(Horo8295[[#This Row],[Jour]]="Mercredi",$C$1+3, IF(Horo8295[[#This Row],[Jour]]="Jeudi",$C$1+4, IF(Horo8295[[#This Row],[Jour]]="Vendredi",$C$1+5, IF(Horo8295[[#This Row],[Jour]]="Samedi",$C$1+6, IF(Horo8295[[#This Row],[Jour]]="Dimanche",$C$1, )))))))</f>
        <v>44373</v>
      </c>
      <c r="C27" s="47" t="s">
        <v>4</v>
      </c>
      <c r="D27" s="48" t="n">
        <v>0.4375</v>
      </c>
      <c r="E27" s="48" t="n">
        <v>0.479166666666667</v>
      </c>
      <c r="F27" s="49" t="s">
        <v>61</v>
      </c>
      <c r="G27" s="49" t="s">
        <v>19</v>
      </c>
      <c r="H27" s="50" t="s">
        <v>42</v>
      </c>
      <c r="I27" s="61" t="s">
        <v>216</v>
      </c>
      <c r="J27" s="52" t="n">
        <f aca="false">IF(Horo8295[[#This Row],[Début]]=0,"",(Horo8295[[#This Row],[Durée (60)2]]-INT(Horo8295[[#This Row],[Durée (60)2]]))*24)</f>
        <v>1</v>
      </c>
      <c r="K27" s="62" t="n">
        <f aca="false">SUMIF(Horo8295[Jour],C27,Horo8295[Durée])</f>
        <v>7.5</v>
      </c>
      <c r="L27" s="54" t="n">
        <f aca="false">IFERROR(SUMIF(Horo8295[[#This Row],[Jour]],Horo8295[[#This Row],[Jour]],Horo8295[[#This Row],[GPF]]) / Horo8295[[#This Row],[hrs]],"")</f>
        <v>0.133333333333333</v>
      </c>
      <c r="M27" s="56" t="n">
        <f aca="false">IF("GPF"=Horo8295[[#This Row],[Tâche]],Horo8295[[#This Row],[Durée]],"")</f>
        <v>1</v>
      </c>
      <c r="N27" s="56" t="str">
        <f aca="false">IF("RI"=Horo8295[[#This Row],[Tâche]],Horo8295[[#This Row],[Durée]],"")</f>
        <v/>
      </c>
      <c r="O27" s="56" t="str">
        <f aca="false">IF("GB"=Horo8295[[#This Row],[Tâche]],Horo8295[[#This Row],[Durée]],"")</f>
        <v/>
      </c>
      <c r="P27" s="56" t="str">
        <f aca="false">IF("RD"=Horo8295[[#This Row],[Tâche]],Horo8295[[#This Row],[Durée]],"")</f>
        <v/>
      </c>
      <c r="Q27" s="56" t="str">
        <f aca="false">IF("FG"=Horo8295[[#This Row],[Tâche]],Horo8295[[#This Row],[Durée]],"")</f>
        <v/>
      </c>
      <c r="R27" s="56" t="str">
        <f aca="false">IF("CONGÉ"=Horo8295[[#This Row],[Tâche]],Horo8295[[#This Row],[Durée]],"")</f>
        <v/>
      </c>
      <c r="S27" s="57" t="str">
        <f aca="false">IF("PS"=Horo8295[[#This Row],[Tâche]],Horo8295[[#This Row],[Durée]],"")</f>
        <v/>
      </c>
      <c r="T27" s="56" t="str">
        <f aca="false">IF("TD"=Horo8295[[#This Row],[Tâche]],Horo8295[[#This Row],[Durée]],"")</f>
        <v/>
      </c>
      <c r="U27" s="55" t="str">
        <f aca="false">IF("N/C"=Horo8295[[#This Row],[Tâche]],Horo8295[[#This Row],[Durée]],"")</f>
        <v/>
      </c>
      <c r="V27" s="58"/>
      <c r="W27" s="59" t="n">
        <f aca="false">IF(Horo8295[[#This Row],[O]]="o",Horo8295[[#This Row],[Durée]],".")</f>
        <v>1</v>
      </c>
      <c r="X27" s="60" t="n">
        <f aca="false">IF(Horo8295[[#This Row],[Début]]=0,"",Horo8295[[#This Row],[Fin]]-Horo8295[[#This Row],[Début]])</f>
        <v>0.0416666666666667</v>
      </c>
    </row>
    <row r="28" customFormat="false" ht="15" hidden="false" customHeight="false" outlineLevel="0" collapsed="false">
      <c r="A28" s="45" t="s">
        <v>31</v>
      </c>
      <c r="B28" s="111" t="n">
        <f aca="false">IF(Horo8295[[#This Row],[Jour]]="Lundi",$C$1+1, IF(Horo8295[[#This Row],[Jour]]="Mardi",$C$1+2, IF(Horo8295[[#This Row],[Jour]]="Mercredi",$C$1+3, IF(Horo8295[[#This Row],[Jour]]="Jeudi",$C$1+4, IF(Horo8295[[#This Row],[Jour]]="Vendredi",$C$1+5, IF(Horo8295[[#This Row],[Jour]]="Samedi",$C$1+6, IF(Horo8295[[#This Row],[Jour]]="Dimanche",$C$1, )))))))</f>
        <v>44373</v>
      </c>
      <c r="C28" s="47" t="s">
        <v>4</v>
      </c>
      <c r="D28" s="48" t="n">
        <v>0.5625</v>
      </c>
      <c r="E28" s="48" t="n">
        <v>0.666666666666667</v>
      </c>
      <c r="F28" s="49" t="s">
        <v>32</v>
      </c>
      <c r="G28" s="49" t="s">
        <v>22</v>
      </c>
      <c r="H28" s="50" t="s">
        <v>114</v>
      </c>
      <c r="I28" s="61" t="s">
        <v>217</v>
      </c>
      <c r="J28" s="52" t="n">
        <f aca="false">IF(Horo8295[[#This Row],[Début]]=0,"",(Horo8295[[#This Row],[Durée (60)2]]-INT(Horo8295[[#This Row],[Durée (60)2]]))*24)</f>
        <v>2.5</v>
      </c>
      <c r="K28" s="62" t="n">
        <f aca="false">SUMIF(Horo8295[Jour],C28,Horo8295[Durée])</f>
        <v>7.5</v>
      </c>
      <c r="L28" s="54" t="n">
        <f aca="false">IFERROR(SUMIF(Horo8295[[#This Row],[Jour]],Horo8295[[#This Row],[Jour]],Horo8295[[#This Row],[GPF]]) / Horo8295[[#This Row],[hrs]],"")</f>
        <v>0</v>
      </c>
      <c r="M28" s="56" t="str">
        <f aca="false">IF("GPF"=Horo8295[[#This Row],[Tâche]],Horo8295[[#This Row],[Durée]],"")</f>
        <v/>
      </c>
      <c r="N28" s="56" t="str">
        <f aca="false">IF("RI"=Horo8295[[#This Row],[Tâche]],Horo8295[[#This Row],[Durée]],"")</f>
        <v/>
      </c>
      <c r="O28" s="56" t="str">
        <f aca="false">IF("GB"=Horo8295[[#This Row],[Tâche]],Horo8295[[#This Row],[Durée]],"")</f>
        <v/>
      </c>
      <c r="P28" s="56" t="n">
        <f aca="false">IF("RD"=Horo8295[[#This Row],[Tâche]],Horo8295[[#This Row],[Durée]],"")</f>
        <v>2.5</v>
      </c>
      <c r="Q28" s="56" t="str">
        <f aca="false">IF("FG"=Horo8295[[#This Row],[Tâche]],Horo8295[[#This Row],[Durée]],"")</f>
        <v/>
      </c>
      <c r="R28" s="56" t="str">
        <f aca="false">IF("CONGÉ"=Horo8295[[#This Row],[Tâche]],Horo8295[[#This Row],[Durée]],"")</f>
        <v/>
      </c>
      <c r="S28" s="57" t="str">
        <f aca="false">IF("PS"=Horo8295[[#This Row],[Tâche]],Horo8295[[#This Row],[Durée]],"")</f>
        <v/>
      </c>
      <c r="T28" s="56" t="str">
        <f aca="false">IF("TD"=Horo8295[[#This Row],[Tâche]],Horo8295[[#This Row],[Durée]],"")</f>
        <v/>
      </c>
      <c r="U28" s="55" t="str">
        <f aca="false">IF("N/C"=Horo8295[[#This Row],[Tâche]],Horo8295[[#This Row],[Durée]],"")</f>
        <v/>
      </c>
      <c r="V28" s="58"/>
      <c r="W28" s="59" t="n">
        <f aca="false">IF(Horo8295[[#This Row],[O]]="o",Horo8295[[#This Row],[Durée]],".")</f>
        <v>2.5</v>
      </c>
      <c r="X28" s="60" t="n">
        <f aca="false">IF(Horo8295[[#This Row],[Début]]=0,"",Horo8295[[#This Row],[Fin]]-Horo8295[[#This Row],[Début]])</f>
        <v>0.104166666666667</v>
      </c>
    </row>
    <row r="29" customFormat="false" ht="15" hidden="false" customHeight="false" outlineLevel="0" collapsed="false">
      <c r="A29" s="45" t="s">
        <v>31</v>
      </c>
      <c r="B29" s="111" t="n">
        <f aca="false">IF(Horo8295[[#This Row],[Jour]]="Lundi",$C$1+1, IF(Horo8295[[#This Row],[Jour]]="Mardi",$C$1+2, IF(Horo8295[[#This Row],[Jour]]="Mercredi",$C$1+3, IF(Horo8295[[#This Row],[Jour]]="Jeudi",$C$1+4, IF(Horo8295[[#This Row],[Jour]]="Vendredi",$C$1+5, IF(Horo8295[[#This Row],[Jour]]="Samedi",$C$1+6, IF(Horo8295[[#This Row],[Jour]]="Dimanche",$C$1, )))))))</f>
        <v>44373</v>
      </c>
      <c r="C29" s="47" t="s">
        <v>4</v>
      </c>
      <c r="D29" s="48" t="n">
        <v>0.666666666666667</v>
      </c>
      <c r="E29" s="48" t="n">
        <v>0.708333333333333</v>
      </c>
      <c r="F29" s="49" t="s">
        <v>32</v>
      </c>
      <c r="G29" s="49" t="s">
        <v>21</v>
      </c>
      <c r="H29" s="50"/>
      <c r="I29" s="61"/>
      <c r="J29" s="52" t="n">
        <f aca="false">IF(Horo8295[[#This Row],[Début]]=0,"",(Horo8295[[#This Row],[Durée (60)2]]-INT(Horo8295[[#This Row],[Durée (60)2]]))*24)</f>
        <v>1</v>
      </c>
      <c r="K29" s="62" t="n">
        <f aca="false">SUMIF(Horo8295[Jour],C29,Horo8295[Durée])</f>
        <v>7.5</v>
      </c>
      <c r="L29" s="54" t="n">
        <f aca="false">IFERROR(SUMIF(Horo8295[[#This Row],[Jour]],Horo8295[[#This Row],[Jour]],Horo8295[[#This Row],[GPF]]) / Horo8295[[#This Row],[hrs]],"")</f>
        <v>0</v>
      </c>
      <c r="M29" s="56" t="str">
        <f aca="false">IF("GPF"=Horo8295[[#This Row],[Tâche]],Horo8295[[#This Row],[Durée]],"")</f>
        <v/>
      </c>
      <c r="N29" s="56" t="str">
        <f aca="false">IF("RI"=Horo8295[[#This Row],[Tâche]],Horo8295[[#This Row],[Durée]],"")</f>
        <v/>
      </c>
      <c r="O29" s="56" t="n">
        <f aca="false">IF("GB"=Horo8295[[#This Row],[Tâche]],Horo8295[[#This Row],[Durée]],"")</f>
        <v>1</v>
      </c>
      <c r="P29" s="56" t="str">
        <f aca="false">IF("RD"=Horo8295[[#This Row],[Tâche]],Horo8295[[#This Row],[Durée]],"")</f>
        <v/>
      </c>
      <c r="Q29" s="56" t="str">
        <f aca="false">IF("FG"=Horo8295[[#This Row],[Tâche]],Horo8295[[#This Row],[Durée]],"")</f>
        <v/>
      </c>
      <c r="R29" s="56" t="str">
        <f aca="false">IF("CONGÉ"=Horo8295[[#This Row],[Tâche]],Horo8295[[#This Row],[Durée]],"")</f>
        <v/>
      </c>
      <c r="S29" s="57" t="str">
        <f aca="false">IF("PS"=Horo8295[[#This Row],[Tâche]],Horo8295[[#This Row],[Durée]],"")</f>
        <v/>
      </c>
      <c r="T29" s="56" t="str">
        <f aca="false">IF("TD"=Horo8295[[#This Row],[Tâche]],Horo8295[[#This Row],[Durée]],"")</f>
        <v/>
      </c>
      <c r="U29" s="55" t="str">
        <f aca="false">IF("N/C"=Horo8295[[#This Row],[Tâche]],Horo8295[[#This Row],[Durée]],"")</f>
        <v/>
      </c>
      <c r="V29" s="58"/>
      <c r="W29" s="59" t="n">
        <f aca="false">IF(Horo8295[[#This Row],[O]]="o",Horo8295[[#This Row],[Durée]],".")</f>
        <v>1</v>
      </c>
      <c r="X29" s="60" t="n">
        <f aca="false">IF(Horo8295[[#This Row],[Début]]=0,"",Horo8295[[#This Row],[Fin]]-Horo8295[[#This Row],[Début]])</f>
        <v>0.0416666666666667</v>
      </c>
    </row>
    <row r="30" customFormat="false" ht="15" hidden="false" customHeight="false" outlineLevel="0" collapsed="false">
      <c r="A30" s="45" t="s">
        <v>31</v>
      </c>
      <c r="B30" s="111" t="n">
        <f aca="false">IF(Horo8295[[#This Row],[Jour]]="Lundi",$C$1+1, IF(Horo8295[[#This Row],[Jour]]="Mardi",$C$1+2, IF(Horo8295[[#This Row],[Jour]]="Mercredi",$C$1+3, IF(Horo8295[[#This Row],[Jour]]="Jeudi",$C$1+4, IF(Horo8295[[#This Row],[Jour]]="Vendredi",$C$1+5, IF(Horo8295[[#This Row],[Jour]]="Samedi",$C$1+6, IF(Horo8295[[#This Row],[Jour]]="Dimanche",$C$1, )))))))</f>
        <v>44373</v>
      </c>
      <c r="C30" s="47" t="s">
        <v>4</v>
      </c>
      <c r="D30" s="48" t="n">
        <v>0.708333333333333</v>
      </c>
      <c r="E30" s="48" t="n">
        <v>0.75</v>
      </c>
      <c r="F30" s="49" t="s">
        <v>32</v>
      </c>
      <c r="G30" s="49" t="s">
        <v>23</v>
      </c>
      <c r="H30" s="50" t="s">
        <v>111</v>
      </c>
      <c r="I30" s="61"/>
      <c r="J30" s="52" t="n">
        <f aca="false">IF(Horo8295[[#This Row],[Début]]=0,"",(Horo8295[[#This Row],[Durée (60)2]]-INT(Horo8295[[#This Row],[Durée (60)2]]))*24)</f>
        <v>0.999999999999999</v>
      </c>
      <c r="K30" s="62" t="n">
        <f aca="false">SUMIF(Horo8295[Jour],C30,Horo8295[Durée])</f>
        <v>7.5</v>
      </c>
      <c r="L30" s="54" t="n">
        <f aca="false">IFERROR(SUMIF(Horo8295[[#This Row],[Jour]],Horo8295[[#This Row],[Jour]],Horo8295[[#This Row],[GPF]]) / Horo8295[[#This Row],[hrs]],"")</f>
        <v>0</v>
      </c>
      <c r="M30" s="56" t="str">
        <f aca="false">IF("GPF"=Horo8295[[#This Row],[Tâche]],Horo8295[[#This Row],[Durée]],"")</f>
        <v/>
      </c>
      <c r="N30" s="56" t="str">
        <f aca="false">IF("RI"=Horo8295[[#This Row],[Tâche]],Horo8295[[#This Row],[Durée]],"")</f>
        <v/>
      </c>
      <c r="O30" s="56" t="str">
        <f aca="false">IF("GB"=Horo8295[[#This Row],[Tâche]],Horo8295[[#This Row],[Durée]],"")</f>
        <v/>
      </c>
      <c r="P30" s="56" t="str">
        <f aca="false">IF("RD"=Horo8295[[#This Row],[Tâche]],Horo8295[[#This Row],[Durée]],"")</f>
        <v/>
      </c>
      <c r="Q30" s="56" t="n">
        <f aca="false">IF("FG"=Horo8295[[#This Row],[Tâche]],Horo8295[[#This Row],[Durée]],"")</f>
        <v>0.999999999999999</v>
      </c>
      <c r="R30" s="56" t="str">
        <f aca="false">IF("CONGÉ"=Horo8295[[#This Row],[Tâche]],Horo8295[[#This Row],[Durée]],"")</f>
        <v/>
      </c>
      <c r="S30" s="57" t="str">
        <f aca="false">IF("PS"=Horo8295[[#This Row],[Tâche]],Horo8295[[#This Row],[Durée]],"")</f>
        <v/>
      </c>
      <c r="T30" s="56" t="str">
        <f aca="false">IF("TD"=Horo8295[[#This Row],[Tâche]],Horo8295[[#This Row],[Durée]],"")</f>
        <v/>
      </c>
      <c r="U30" s="55" t="str">
        <f aca="false">IF("N/C"=Horo8295[[#This Row],[Tâche]],Horo8295[[#This Row],[Durée]],"")</f>
        <v/>
      </c>
      <c r="V30" s="58"/>
      <c r="W30" s="59" t="n">
        <f aca="false">IF(Horo8295[[#This Row],[O]]="o",Horo8295[[#This Row],[Durée]],".")</f>
        <v>0.999999999999999</v>
      </c>
      <c r="X30" s="60" t="n">
        <f aca="false">IF(Horo8295[[#This Row],[Début]]=0,"",Horo8295[[#This Row],[Fin]]-Horo8295[[#This Row],[Début]])</f>
        <v>0.0416666666666666</v>
      </c>
    </row>
    <row r="31" customFormat="false" ht="15" hidden="false" customHeight="false" outlineLevel="0" collapsed="false">
      <c r="A31" s="45" t="s">
        <v>33</v>
      </c>
      <c r="B31" s="111" t="n">
        <f aca="false">IF(Horo8295[[#This Row],[Jour]]="Lundi",$C$1+1, IF(Horo8295[[#This Row],[Jour]]="Mardi",$C$1+2, IF(Horo8295[[#This Row],[Jour]]="Mercredi",$C$1+3, IF(Horo8295[[#This Row],[Jour]]="Jeudi",$C$1+4, IF(Horo8295[[#This Row],[Jour]]="Vendredi",$C$1+5, IF(Horo8295[[#This Row],[Jour]]="Samedi",$C$1+6, IF(Horo8295[[#This Row],[Jour]]="Dimanche",$C$1, )))))))</f>
        <v>0</v>
      </c>
      <c r="C31" s="47"/>
      <c r="D31" s="48"/>
      <c r="E31" s="48"/>
      <c r="F31" s="49"/>
      <c r="G31" s="49"/>
      <c r="H31" s="50" t="s">
        <v>201</v>
      </c>
      <c r="I31" s="61"/>
      <c r="J31" s="52" t="str">
        <f aca="false">IF(Horo8295[[#This Row],[Début]]=0,"",(Horo8295[[#This Row],[Durée (60)2]]-INT(Horo8295[[#This Row],[Durée (60)2]]))*24)</f>
        <v/>
      </c>
      <c r="K31" s="62" t="n">
        <f aca="false">SUMIF(Horo8295[Jour],C31,Horo8295[Durée])</f>
        <v>0</v>
      </c>
      <c r="L31" s="54" t="str">
        <f aca="false">IFERROR(SUMIF(Horo8295[[#This Row],[Jour]],Horo8295[[#This Row],[Jour]],Horo8295[[#This Row],[GPF]]) / Horo8295[[#This Row],[hrs]],"")</f>
        <v/>
      </c>
      <c r="M31" s="56" t="str">
        <f aca="false">IF("GPF"=Horo8295[[#This Row],[Tâche]],Horo8295[[#This Row],[Durée]],"")</f>
        <v/>
      </c>
      <c r="N31" s="56" t="str">
        <f aca="false">IF("RI"=Horo8295[[#This Row],[Tâche]],Horo8295[[#This Row],[Durée]],"")</f>
        <v/>
      </c>
      <c r="O31" s="56" t="str">
        <f aca="false">IF("GB"=Horo8295[[#This Row],[Tâche]],Horo8295[[#This Row],[Durée]],"")</f>
        <v/>
      </c>
      <c r="P31" s="56" t="str">
        <f aca="false">IF("RD"=Horo8295[[#This Row],[Tâche]],Horo8295[[#This Row],[Durée]],"")</f>
        <v/>
      </c>
      <c r="Q31" s="56" t="str">
        <f aca="false">IF("FG"=Horo8295[[#This Row],[Tâche]],Horo8295[[#This Row],[Durée]],"")</f>
        <v/>
      </c>
      <c r="R31" s="56" t="str">
        <f aca="false">IF("CONGÉ"=Horo8295[[#This Row],[Tâche]],Horo8295[[#This Row],[Durée]],"")</f>
        <v/>
      </c>
      <c r="S31" s="56" t="str">
        <f aca="false">IF("PS"=Horo8295[[#This Row],[Tâche]],Horo8295[[#This Row],[Durée]],"")</f>
        <v/>
      </c>
      <c r="T31" s="56" t="str">
        <f aca="false">IF("TD"=Horo8295[[#This Row],[Tâche]],Horo8295[[#This Row],[Durée]],"")</f>
        <v/>
      </c>
      <c r="U31" s="56" t="str">
        <f aca="false">IF("N/C"=Horo8295[[#This Row],[Tâche]],Horo8295[[#This Row],[Durée]],"")</f>
        <v/>
      </c>
      <c r="V31" s="58"/>
      <c r="W31" s="59" t="str">
        <f aca="false">IF(Horo8295[[#This Row],[O]]="o",Horo8295[[#This Row],[Durée]],".")</f>
        <v>.</v>
      </c>
      <c r="X31" s="64" t="str">
        <f aca="false">IF(Horo8295[[#This Row],[Début]]=0,"",Horo8295[[#This Row],[Fin]]-Horo8295[[#This Row],[Début]])</f>
        <v/>
      </c>
    </row>
    <row r="37" s="3" customFormat="true" ht="15" hidden="false" customHeight="false" outlineLevel="0" collapsed="false">
      <c r="L37" s="65"/>
    </row>
    <row r="38" customFormat="false" ht="15" hidden="false" customHeight="false" outlineLevel="0" collapsed="false">
      <c r="A38" s="66" t="s">
        <v>18</v>
      </c>
      <c r="B38" s="66" t="s">
        <v>57</v>
      </c>
      <c r="C38" s="66" t="s">
        <v>58</v>
      </c>
    </row>
    <row r="39" customFormat="false" ht="15" hidden="false" customHeight="false" outlineLevel="0" collapsed="false">
      <c r="A39" s="67" t="n">
        <f aca="false">IF((SUMIF(Horo8295[Client],B39,Horo8295[Durée]) / Total)=0,"",(SUMIF(Horo8295[Client],B39,Horo8295[Durée]) / Total))</f>
        <v>0.62987012987013</v>
      </c>
      <c r="B39" s="68" t="s">
        <v>32</v>
      </c>
      <c r="C39" s="69" t="n">
        <f aca="false">IF(SUMIF(Horo8295[Client],B39,Horo8295[Durée])=0,"",SUMIF(Horo8295[Client],B39,Horo8295[Durée]))</f>
        <v>24.25</v>
      </c>
    </row>
    <row r="40" customFormat="false" ht="15" hidden="false" customHeight="false" outlineLevel="0" collapsed="false">
      <c r="A40" s="67" t="n">
        <f aca="false">IF((SUMIF(Horo8295[Client],B40,Horo8295[Durée]) / Total)=0,"",(SUMIF(Horo8295[Client],B40,Horo8295[Durée]) / Total))</f>
        <v>0.012987012987013</v>
      </c>
      <c r="B40" s="68" t="s">
        <v>59</v>
      </c>
      <c r="C40" s="69" t="n">
        <f aca="false">IF(SUMIF(Horo8295[Client],B40,Horo8295[Durée])=0,"",SUMIF(Horo8295[Client],B40,Horo8295[Durée]))</f>
        <v>0.5</v>
      </c>
      <c r="I40" s="61"/>
    </row>
    <row r="41" customFormat="false" ht="15" hidden="true" customHeight="false" outlineLevel="0" collapsed="false">
      <c r="A41" s="67" t="str">
        <f aca="false">IF((SUMIF(Horo8295[Client],B41,Horo8295[Durée]) / Total)=0,"",(SUMIF(Horo8295[Client],B41,Horo8295[Durée]) / Total))</f>
        <v/>
      </c>
      <c r="B41" s="68" t="s">
        <v>60</v>
      </c>
      <c r="C41" s="70" t="str">
        <f aca="false">IF(SUMIF(Horo8295[Client],B41,Horo8295[Durée])=0,"",SUMIF(Horo8295[Client],B41,Horo8295[Durée]))</f>
        <v/>
      </c>
    </row>
    <row r="42" customFormat="false" ht="15" hidden="false" customHeight="false" outlineLevel="0" collapsed="false">
      <c r="A42" s="67" t="n">
        <f aca="false">IF((SUMIF(Horo8295[Client],B42,Horo8295[Durée]) / Total)=0,"",(SUMIF(Horo8295[Client],B42,Horo8295[Durée]) / Total))</f>
        <v>0.324675324675325</v>
      </c>
      <c r="B42" s="68" t="s">
        <v>61</v>
      </c>
      <c r="C42" s="70" t="n">
        <f aca="false">IF(SUMIF(Horo8295[Client],B42,Horo8295[Durée])=0,"",SUMIF(Horo8295[Client],B42,Horo8295[Durée]))</f>
        <v>12.5</v>
      </c>
      <c r="I42" s="61"/>
    </row>
    <row r="43" customFormat="false" ht="15" hidden="true" customHeight="false" outlineLevel="0" collapsed="false">
      <c r="A43" s="67" t="str">
        <f aca="false">IF((SUMIF(Horo8295[Client],B43,Horo8295[Durée]) / Total)=0,"",(SUMIF(Horo8295[Client],B43,Horo8295[Durée]) / Total))</f>
        <v/>
      </c>
      <c r="B43" s="68" t="s">
        <v>62</v>
      </c>
      <c r="C43" s="70" t="str">
        <f aca="false">IF(SUMIF(Horo8295[Client],B43,Horo8295[Durée])=0,"",SUMIF(Horo8295[Client],B43,Horo8295[Durée]))</f>
        <v/>
      </c>
    </row>
    <row r="44" customFormat="false" ht="15" hidden="true" customHeight="false" outlineLevel="0" collapsed="false">
      <c r="A44" s="67" t="str">
        <f aca="false">IF((SUMIF(Horo8295[Client],B44,Horo8295[Durée]) / Total)=0,"",(SUMIF(Horo8295[Client],B44,Horo8295[Durée]) / Total))</f>
        <v/>
      </c>
      <c r="B44" s="68" t="s">
        <v>63</v>
      </c>
      <c r="C44" s="69" t="str">
        <f aca="false">IF(SUMIF(Horo8295[Client],B44,Horo8295[Durée])=0,"",SUMIF(Horo8295[Client],B44,Horo8295[Durée]))</f>
        <v/>
      </c>
    </row>
    <row r="45" customFormat="false" ht="15" hidden="true" customHeight="false" outlineLevel="0" collapsed="false">
      <c r="A45" s="67" t="str">
        <f aca="false">IF((SUMIF(Horo8295[Client],B45,Horo8295[Durée]) / Total)=0,"",(SUMIF(Horo8295[Client],B45,Horo8295[Durée]) / Total))</f>
        <v/>
      </c>
      <c r="B45" s="68" t="s">
        <v>64</v>
      </c>
      <c r="C45" s="70" t="str">
        <f aca="false">IF(SUMIF(Horo8295[Client],B45,Horo8295[Durée])=0,"",SUMIF(Horo8295[Client],B45,Horo8295[Durée]))</f>
        <v/>
      </c>
    </row>
    <row r="46" customFormat="false" ht="15" hidden="true" customHeight="false" outlineLevel="0" collapsed="false">
      <c r="A46" s="67" t="str">
        <f aca="false">IF((SUMIF(Horo8295[Client],B46,Horo8295[Durée]) / Total)=0,"",(SUMIF(Horo8295[Client],B46,Horo8295[Durée]) / Total))</f>
        <v/>
      </c>
      <c r="B46" s="68" t="s">
        <v>65</v>
      </c>
      <c r="C46" s="70" t="str">
        <f aca="false">IF(SUMIF(Horo8295[Client],B46,Horo8295[Durée])=0,"",SUMIF(Horo8295[Client],B46,Horo8295[Durée]))</f>
        <v/>
      </c>
      <c r="F46" s="71"/>
    </row>
    <row r="47" customFormat="false" ht="15" hidden="true" customHeight="false" outlineLevel="0" collapsed="false">
      <c r="A47" s="67" t="str">
        <f aca="false">IF((SUMIF(Horo8295[Client],B47,Horo8295[Durée]) / Total)=0,"",(SUMIF(Horo8295[Client],B47,Horo8295[Durée]) / Total))</f>
        <v/>
      </c>
      <c r="B47" s="68" t="s">
        <v>66</v>
      </c>
      <c r="C47" s="69" t="str">
        <f aca="false">IF(SUMIF(Horo8295[Client],B47,Horo8295[Durée])=0,"",SUMIF(Horo8295[Client],B47,Horo8295[Durée]))</f>
        <v/>
      </c>
    </row>
    <row r="48" customFormat="false" ht="15" hidden="true" customHeight="false" outlineLevel="0" collapsed="false">
      <c r="A48" s="67" t="str">
        <f aca="false">IF((SUMIF(Horo8295[Client],B48,Horo8295[Durée]) / Total)=0,"",(SUMIF(Horo8295[Client],B48,Horo8295[Durée]) / Total))</f>
        <v/>
      </c>
      <c r="B48" s="68" t="s">
        <v>47</v>
      </c>
      <c r="C48" s="70" t="str">
        <f aca="false">IF(SUMIF(Horo8295[Client],B48,Horo8295[Durée])=0,"",SUMIF(Horo8295[Client],B48,Horo8295[Durée]))</f>
        <v/>
      </c>
    </row>
    <row r="49" customFormat="false" ht="15" hidden="true" customHeight="false" outlineLevel="0" collapsed="false">
      <c r="A49" s="67" t="str">
        <f aca="false">IF((SUMIF(Horo8295[Client],B49,Horo8295[Durée]) / Total)=0,"",(SUMIF(Horo8295[Client],B49,Horo8295[Durée]) / Total))</f>
        <v/>
      </c>
      <c r="B49" s="68" t="s">
        <v>67</v>
      </c>
      <c r="C49" s="70" t="str">
        <f aca="false">IF(SUMIF(Horo8295[Client],B49,Horo8295[Durée])=0,"",SUMIF(Horo8295[Client],B49,Horo8295[Durée]))</f>
        <v/>
      </c>
    </row>
    <row r="50" customFormat="false" ht="15" hidden="true" customHeight="false" outlineLevel="0" collapsed="false">
      <c r="A50" s="67" t="str">
        <f aca="false">IF((SUMIF(Horo8295[Client],B50,Horo8295[Durée]) / Total)=0,"",(SUMIF(Horo8295[Client],B50,Horo8295[Durée]) / Total))</f>
        <v/>
      </c>
      <c r="B50" s="68" t="s">
        <v>68</v>
      </c>
      <c r="C50" s="70" t="str">
        <f aca="false">IF(SUMIF(Horo8295[Client],B50,Horo8295[Durée])=0,"",SUMIF(Horo8295[Client],B50,Horo8295[Durée]))</f>
        <v/>
      </c>
    </row>
    <row r="51" customFormat="false" ht="15" hidden="true" customHeight="false" outlineLevel="0" collapsed="false">
      <c r="A51" s="67" t="str">
        <f aca="false">IF((SUMIF(Horo8295[Client],B51,Horo8295[Durée]) / Total)=0,"",(SUMIF(Horo8295[Client],B51,Horo8295[Durée]) / Total))</f>
        <v/>
      </c>
      <c r="B51" s="68" t="s">
        <v>41</v>
      </c>
      <c r="C51" s="70" t="str">
        <f aca="false">IF(SUMIF(Horo8295[Client],B51,Horo8295[Durée])=0,"",SUMIF(Horo8295[Client],B51,Horo8295[Durée]))</f>
        <v/>
      </c>
    </row>
    <row r="52" customFormat="false" ht="15" hidden="false" customHeight="false" outlineLevel="0" collapsed="false">
      <c r="A52" s="67" t="n">
        <f aca="false">IF((SUMIF(Horo8295[Client],B52,Horo8295[Durée]) / Total)=0,"",(SUMIF(Horo8295[Client],B52,Horo8295[Durée]) / Total))</f>
        <v>0.0194805194805195</v>
      </c>
      <c r="B52" s="68" t="s">
        <v>37</v>
      </c>
      <c r="C52" s="69" t="n">
        <f aca="false">IF(SUMIF(Horo8295[Client],B52,Horo8295[Durée])=0,"",SUMIF(Horo8295[Client],B52,Horo8295[Durée]))</f>
        <v>0.75</v>
      </c>
    </row>
    <row r="53" customFormat="false" ht="15" hidden="true" customHeight="false" outlineLevel="0" collapsed="false">
      <c r="A53" s="67" t="str">
        <f aca="false">IF((SUMIF(Horo8295[Client],B53,Horo8295[Durée]) / Total)=0,"",(SUMIF(Horo8295[Client],B53,Horo8295[Durée]) / Total))</f>
        <v/>
      </c>
      <c r="B53" s="68" t="s">
        <v>69</v>
      </c>
      <c r="C53" s="69" t="str">
        <f aca="false">IF(SUMIF(Horo8295[Client],B53,Horo8295[Durée])=0,"",SUMIF(Horo8295[Client],B53,Horo8295[Durée]))</f>
        <v/>
      </c>
    </row>
    <row r="54" customFormat="false" ht="15" hidden="true" customHeight="false" outlineLevel="0" collapsed="false">
      <c r="A54" s="67" t="str">
        <f aca="false">IF((SUMIF(Horo8295[Client],B54,Horo8295[Durée]) / Total)=0,"",(SUMIF(Horo8295[Client],B54,Horo8295[Durée]) / Total))</f>
        <v/>
      </c>
      <c r="B54" s="68" t="s">
        <v>70</v>
      </c>
      <c r="C54" s="70" t="str">
        <f aca="false">IF(SUMIF(Horo8295[Client],B54,Horo8295[Durée])=0,"",SUMIF(Horo8295[Client],B54,Horo8295[Durée]))</f>
        <v/>
      </c>
    </row>
    <row r="55" customFormat="false" ht="15" hidden="true" customHeight="false" outlineLevel="1" collapsed="false">
      <c r="A55" s="67" t="str">
        <f aca="false">IF((SUMIF(Horo8295[Client],B55,Horo8295[Durée]) / Total)=0,"",(SUMIF(Horo8295[Client],B55,Horo8295[Durée]) / Total))</f>
        <v/>
      </c>
      <c r="B55" s="68" t="s">
        <v>71</v>
      </c>
      <c r="C55" s="70" t="str">
        <f aca="false">IF(SUMIF(Horo8295[Client],B55,Horo8295[Durée])=0,"",SUMIF(Horo8295[Client],B55,Horo8295[Durée]))</f>
        <v/>
      </c>
    </row>
    <row r="56" customFormat="false" ht="15" hidden="true" customHeight="false" outlineLevel="1" collapsed="false">
      <c r="A56" s="67" t="str">
        <f aca="false">IF((SUMIF(Horo8295[Client],B56,Horo8295[Durée]) / Total)=0,"",(SUMIF(Horo8295[Client],B56,Horo8295[Durée]) / Total))</f>
        <v/>
      </c>
      <c r="B56" s="68" t="s">
        <v>72</v>
      </c>
      <c r="C56" s="70" t="str">
        <f aca="false">IF(SUMIF(Horo8295[Client],B56,Horo8295[Durée])=0,"",SUMIF(Horo8295[Client],B56,Horo8295[Durée]))</f>
        <v/>
      </c>
    </row>
    <row r="57" customFormat="false" ht="15" hidden="true" customHeight="false" outlineLevel="1" collapsed="false">
      <c r="A57" s="67" t="str">
        <f aca="false">IF((SUMIF(Horo8295[Client],B57,Horo8295[Durée]) / Total)=0,"",(SUMIF(Horo8295[Client],B57,Horo8295[Durée]) / Total))</f>
        <v/>
      </c>
      <c r="B57" s="68" t="s">
        <v>73</v>
      </c>
      <c r="C57" s="70" t="str">
        <f aca="false">IF(SUMIF(Horo8295[Client],B57,Horo8295[Durée])=0,"",SUMIF(Horo8295[Client],B57,Horo8295[Durée]))</f>
        <v/>
      </c>
    </row>
    <row r="58" customFormat="false" ht="15" hidden="true" customHeight="false" outlineLevel="1" collapsed="false">
      <c r="A58" s="67" t="str">
        <f aca="false">IF((SUMIF(Horo8295[Client],B58,Horo8295[Durée]) / Total)=0,"",(SUMIF(Horo8295[Client],B58,Horo8295[Durée]) / Total))</f>
        <v/>
      </c>
      <c r="B58" s="68" t="s">
        <v>74</v>
      </c>
      <c r="C58" s="70" t="str">
        <f aca="false">IF(SUMIF(Horo8295[Client],B58,Horo8295[Durée])=0,"",SUMIF(Horo8295[Client],B58,Horo8295[Durée]))</f>
        <v/>
      </c>
    </row>
    <row r="59" customFormat="false" ht="15" hidden="false" customHeight="false" outlineLevel="1" collapsed="false">
      <c r="A59" s="67" t="n">
        <f aca="false">IF((SUMIF(Horo8295[Client],B59,Horo8295[Durée]) / Total)=0,"",(SUMIF(Horo8295[Client],B59,Horo8295[Durée]) / Total))</f>
        <v>0.051948051948052</v>
      </c>
      <c r="B59" s="68" t="s">
        <v>75</v>
      </c>
      <c r="C59" s="69" t="n">
        <f aca="false">IF(SUMIF(Horo8295[Client],B59,Horo8295[Durée])=0,"",SUMIF(Horo8295[Client],B59,Horo8295[Durée]))</f>
        <v>2</v>
      </c>
    </row>
    <row r="60" customFormat="false" ht="15" hidden="true" customHeight="false" outlineLevel="1" collapsed="false">
      <c r="A60" s="67" t="str">
        <f aca="false">IF((SUMIF(Horo8295[Client],B60,Horo8295[Durée]) / Total)=0,"",(SUMIF(Horo8295[Client],B60,Horo8295[Durée]) / Total))</f>
        <v/>
      </c>
      <c r="B60" s="68" t="s">
        <v>76</v>
      </c>
      <c r="C60" s="70" t="str">
        <f aca="false">IF(SUMIF(Horo8295[Client],B60,Horo8295[Durée])=0,"",SUMIF(Horo8295[Client],B60,Horo8295[Durée]))</f>
        <v/>
      </c>
    </row>
    <row r="61" customFormat="false" ht="15" hidden="true" customHeight="false" outlineLevel="1" collapsed="false">
      <c r="A61" s="67" t="str">
        <f aca="false">IF((SUMIF(Horo8295[Client],B61,Horo8295[Durée]) / Total)=0,"",(SUMIF(Horo8295[Client],B61,Horo8295[Durée]) / Total))</f>
        <v/>
      </c>
      <c r="B61" s="68" t="s">
        <v>77</v>
      </c>
      <c r="C61" s="70" t="str">
        <f aca="false">IF(SUMIF(Horo8295[Client],B61,Horo8295[Durée])=0,"",SUMIF(Horo8295[Client],B61,Horo8295[Durée]))</f>
        <v/>
      </c>
    </row>
    <row r="62" customFormat="false" ht="15" hidden="true" customHeight="false" outlineLevel="1" collapsed="false">
      <c r="A62" s="67" t="str">
        <f aca="false">IF((SUMIF(Horo8295[Client],B62,Horo8295[Durée]) / Total)=0,"",(SUMIF(Horo8295[Client],B62,Horo8295[Durée]) / Total))</f>
        <v/>
      </c>
      <c r="B62" s="68" t="s">
        <v>45</v>
      </c>
      <c r="C62" s="70" t="str">
        <f aca="false">IF(SUMIF(Horo8295[Client],B62,Horo8295[Durée])=0,"",SUMIF(Horo8295[Client],B62,Horo8295[Durée]))</f>
        <v/>
      </c>
    </row>
    <row r="63" customFormat="false" ht="15" hidden="true" customHeight="false" outlineLevel="1" collapsed="false">
      <c r="A63" s="67" t="str">
        <f aca="false">IF((SUMIF(Horo8295[Client],B63,Horo8295[Durée]) / Total)=0,"",(SUMIF(Horo8295[Client],B63,Horo8295[Durée]) / Total))</f>
        <v/>
      </c>
      <c r="B63" s="68" t="s">
        <v>78</v>
      </c>
      <c r="C63" s="70" t="str">
        <f aca="false">IF(SUMIF(Horo8295[Client],B63,Horo8295[Durée])=0,"",SUMIF(Horo8295[Client],B63,Horo8295[Durée]))</f>
        <v/>
      </c>
    </row>
    <row r="64" customFormat="false" ht="15" hidden="true" customHeight="false" outlineLevel="1" collapsed="false">
      <c r="A64" s="67" t="str">
        <f aca="false">IF((SUMIF(Horo8295[Client],B64,Horo8295[Durée]) / Total)=0,"",(SUMIF(Horo8295[Client],B64,Horo8295[Durée]) / Total))</f>
        <v/>
      </c>
      <c r="B64" s="68" t="s">
        <v>79</v>
      </c>
      <c r="C64" s="70" t="str">
        <f aca="false">IF(SUMIF(Horo8295[Client],B64,Horo8295[Durée])=0,"",SUMIF(Horo8295[Client],B64,Horo8295[Durée]))</f>
        <v/>
      </c>
    </row>
    <row r="65" customFormat="false" ht="15" hidden="true" customHeight="false" outlineLevel="1" collapsed="false">
      <c r="A65" s="67" t="str">
        <f aca="false">IF((SUMIF(Horo8295[Client],B65,Horo8295[Durée]) / Total)=0,"",(SUMIF(Horo8295[Client],B65,Horo8295[Durée]) / Total))</f>
        <v/>
      </c>
      <c r="B65" s="68" t="s">
        <v>80</v>
      </c>
      <c r="C65" s="70" t="str">
        <f aca="false">IF(SUMIF(Horo8295[Client],B65,Horo8295[Durée])=0,"",SUMIF(Horo8295[Client],B65,Horo8295[Durée]))</f>
        <v/>
      </c>
    </row>
    <row r="66" customFormat="false" ht="15" hidden="true" customHeight="false" outlineLevel="1" collapsed="false">
      <c r="A66" s="67" t="str">
        <f aca="false">IF((SUMIF(Horo8295[Client],B66,Horo8295[Durée]) / Total)=0,"",(SUMIF(Horo8295[Client],B66,Horo8295[Durée]) / Total))</f>
        <v/>
      </c>
      <c r="B66" s="72" t="s">
        <v>81</v>
      </c>
      <c r="C66" s="69" t="str">
        <f aca="false">IF(SUMIF(Horo8295[Client],B66,Horo8295[Durée])=0,"",SUMIF(Horo8295[Client],B66,Horo8295[Durée]))</f>
        <v/>
      </c>
    </row>
    <row r="67" customFormat="false" ht="15" hidden="true" customHeight="false" outlineLevel="1" collapsed="false"/>
    <row r="68" customFormat="false" ht="15" hidden="true" customHeight="false" outlineLevel="1" collapsed="false"/>
    <row r="69" customFormat="false" ht="15" hidden="true" customHeight="false" outlineLevel="1" collapsed="false"/>
    <row r="70" customFormat="false" ht="15" hidden="true" customHeight="false" outlineLevel="1" collapsed="false"/>
    <row r="71" customFormat="false" ht="15" hidden="true" customHeight="false" outlineLevel="1" collapsed="false"/>
    <row r="72" customFormat="false" ht="15" hidden="true" customHeight="false" outlineLevel="1" collapsed="false"/>
    <row r="73" customFormat="false" ht="15" hidden="true" customHeight="false" outlineLevel="1" collapsed="false"/>
    <row r="74" customFormat="false" ht="15" hidden="true" customHeight="false" outlineLevel="1" collapsed="false"/>
    <row r="75" customFormat="false" ht="15" hidden="true" customHeight="false" outlineLevel="1" collapsed="false"/>
  </sheetData>
  <conditionalFormatting sqref="I4:I31">
    <cfRule type="expression" priority="2" aboveAverage="0" equalAverage="0" bottom="0" percent="0" rank="0" text="" dxfId="435">
      <formula>A4="O"</formula>
    </cfRule>
  </conditionalFormatting>
  <conditionalFormatting sqref="I40">
    <cfRule type="expression" priority="3" aboveAverage="0" equalAverage="0" bottom="0" percent="0" rank="0" text="" dxfId="436">
      <formula>A40="O"</formula>
    </cfRule>
  </conditionalFormatting>
  <conditionalFormatting sqref="I42">
    <cfRule type="expression" priority="4" aboveAverage="0" equalAverage="0" bottom="0" percent="0" rank="0" text="" dxfId="437">
      <formula>A42="O"</formula>
    </cfRule>
  </conditionalFormatting>
  <conditionalFormatting sqref="H4:H31">
    <cfRule type="expression" priority="5" aboveAverage="0" equalAverage="0" bottom="0" percent="0" rank="0" text="" dxfId="438">
      <formula>A4="O"</formula>
    </cfRule>
  </conditionalFormatting>
  <conditionalFormatting sqref="K4:K31">
    <cfRule type="expression" priority="6" aboveAverage="0" equalAverage="0" bottom="0" percent="0" rank="0" text="" dxfId="439">
      <formula>A4="O"</formula>
    </cfRule>
    <cfRule type="expression" priority="7" aboveAverage="0" equalAverage="0" bottom="0" percent="0" rank="0" text="" dxfId="440">
      <formula>A4="O"</formula>
    </cfRule>
  </conditionalFormatting>
  <conditionalFormatting sqref="C4:C31">
    <cfRule type="expression" priority="8" aboveAverage="0" equalAverage="0" bottom="0" percent="0" rank="0" text="" dxfId="441">
      <formula>A4="O"</formula>
    </cfRule>
    <cfRule type="containsText" priority="9" operator="containsText" aboveAverage="0" equalAverage="0" bottom="0" percent="0" rank="0" text="Dimanche" dxfId="442">
      <formula>NOT(ISERROR(SEARCH("Dimanche",C4)))</formula>
    </cfRule>
    <cfRule type="containsText" priority="10" operator="containsText" aboveAverage="0" equalAverage="0" bottom="0" percent="0" rank="0" text="Samedi" dxfId="443">
      <formula>NOT(ISERROR(SEARCH("Samedi",C4)))</formula>
    </cfRule>
    <cfRule type="containsText" priority="11" operator="containsText" aboveAverage="0" equalAverage="0" bottom="0" percent="0" rank="0" text="Vendredi" dxfId="444">
      <formula>NOT(ISERROR(SEARCH("Vendredi",C4)))</formula>
    </cfRule>
    <cfRule type="containsText" priority="12" operator="containsText" aboveAverage="0" equalAverage="0" bottom="0" percent="0" rank="0" text="Jeudi" dxfId="445">
      <formula>NOT(ISERROR(SEARCH("Jeudi",C4)))</formula>
    </cfRule>
    <cfRule type="containsText" priority="13" operator="containsText" aboveAverage="0" equalAverage="0" bottom="0" percent="0" rank="0" text="Mercredi" dxfId="446">
      <formula>NOT(ISERROR(SEARCH("Mercredi",C4)))</formula>
    </cfRule>
    <cfRule type="containsText" priority="14" operator="containsText" aboveAverage="0" equalAverage="0" bottom="0" percent="0" rank="0" text="Mardi" dxfId="447">
      <formula>NOT(ISERROR(SEARCH("Mardi",C4)))</formula>
    </cfRule>
    <cfRule type="containsText" priority="15" operator="containsText" aboveAverage="0" equalAverage="0" bottom="0" percent="0" rank="0" text="Lundi" dxfId="448">
      <formula>NOT(ISERROR(SEARCH("Lundi",C4)))</formula>
    </cfRule>
  </conditionalFormatting>
  <conditionalFormatting sqref="G4:G31">
    <cfRule type="expression" priority="16" aboveAverage="0" equalAverage="0" bottom="0" percent="0" rank="0" text="" dxfId="449">
      <formula>A4="O"</formula>
    </cfRule>
  </conditionalFormatting>
  <conditionalFormatting sqref="J4:J31">
    <cfRule type="expression" priority="17" aboveAverage="0" equalAverage="0" bottom="0" percent="0" rank="0" text="" dxfId="450">
      <formula>A4="O"</formula>
    </cfRule>
  </conditionalFormatting>
  <conditionalFormatting sqref="F4:F31">
    <cfRule type="expression" priority="18" aboveAverage="0" equalAverage="0" bottom="0" percent="0" rank="0" text="" dxfId="451">
      <formula>A4="O"</formula>
    </cfRule>
  </conditionalFormatting>
  <conditionalFormatting sqref="B4:B31">
    <cfRule type="cellIs" priority="19" operator="equal" aboveAverage="0" equalAverage="0" bottom="0" percent="0" rank="0" text="" dxfId="452">
      <formula>0</formula>
    </cfRule>
    <cfRule type="expression" priority="20" aboveAverage="0" equalAverage="0" bottom="0" percent="0" rank="0" text="" dxfId="453">
      <formula>A4="O"</formula>
    </cfRule>
    <cfRule type="colorScale" priority="21">
      <colorScale>
        <cfvo type="percentile" val="10"/>
        <cfvo type="percentile" val="50"/>
        <cfvo type="percentile" val="90"/>
        <color rgb="FFFFC000"/>
        <color rgb="FFC55A11"/>
        <color rgb="FF2E75B6"/>
      </colorScale>
    </cfRule>
  </conditionalFormatting>
  <conditionalFormatting sqref="D4:D31">
    <cfRule type="expression" priority="22" aboveAverage="0" equalAverage="0" bottom="0" percent="0" rank="0" text="" dxfId="454">
      <formula>A4="O"</formula>
    </cfRule>
    <cfRule type="colorScale" priority="23">
      <colorScale>
        <cfvo type="min" val="0"/>
        <cfvo type="percentile" val="50"/>
        <cfvo type="max" val="0"/>
        <color rgb="FFFFC000"/>
        <color rgb="FFC55A11"/>
        <color rgb="FF2E75B6"/>
      </colorScale>
    </cfRule>
  </conditionalFormatting>
  <conditionalFormatting sqref="E4:E31">
    <cfRule type="expression" priority="24" aboveAverage="0" equalAverage="0" bottom="0" percent="0" rank="0" text="" dxfId="455">
      <formula>A4="O"</formula>
    </cfRule>
    <cfRule type="colorScale" priority="25">
      <colorScale>
        <cfvo type="min" val="0"/>
        <cfvo type="percentile" val="50"/>
        <cfvo type="max" val="0"/>
        <color rgb="FFFFC000"/>
        <color rgb="FFC55A11"/>
        <color rgb="FF2E75B6"/>
      </colorScale>
    </cfRule>
  </conditionalFormatting>
  <dataValidations count="5">
    <dataValidation allowBlank="true" errorStyle="stop" operator="between" showDropDown="false" showErrorMessage="true" showInputMessage="true" sqref="C4:C31" type="list">
      <formula1>Data!$C$2:$C$8</formula1>
      <formula2>0</formula2>
    </dataValidation>
    <dataValidation allowBlank="false" errorStyle="stop" operator="between" showDropDown="false" showErrorMessage="true" showInputMessage="true" sqref="F4:F31" type="list">
      <formula1>Data!$E$2:$E$30</formula1>
      <formula2>0</formula2>
    </dataValidation>
    <dataValidation allowBlank="true" errorStyle="information" errorTitle="OK ?" operator="between" showDropDown="false" showErrorMessage="true" showInputMessage="true" sqref="G4:G31" type="list">
      <formula1>Data!$D$2:$D$16</formula1>
      <formula2>0</formula2>
    </dataValidation>
    <dataValidation allowBlank="false" errorStyle="stop" operator="between" showDropDown="false" showErrorMessage="true" showInputMessage="true" sqref="H4:H31" type="list">
      <formula1>Data!$F$2:$F$50</formula1>
      <formula2>0</formula2>
    </dataValidation>
    <dataValidation allowBlank="true" errorStyle="stop" operator="between" showDropDown="false" showErrorMessage="true" showInputMessage="true" sqref="C1" type="list">
      <formula1>Data!$A$2:$A$106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  <tableParts>
    <tablePart r:id="rId2"/>
    <tablePart r:id="rId3"/>
  </tableParts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E8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I17" activeCellId="0" sqref="I17"/>
    </sheetView>
  </sheetViews>
  <sheetFormatPr defaultColWidth="9.1484375" defaultRowHeight="15" zeroHeight="false" outlineLevelRow="1" outlineLevelCol="0"/>
  <cols>
    <col collapsed="false" customWidth="true" hidden="false" outlineLevel="0" max="1" min="1" style="1" width="5.57"/>
    <col collapsed="false" customWidth="true" hidden="false" outlineLevel="0" max="2" min="2" style="1" width="19.42"/>
    <col collapsed="false" customWidth="true" hidden="false" outlineLevel="0" max="3" min="3" style="1" width="18.29"/>
    <col collapsed="false" customWidth="true" hidden="false" outlineLevel="0" max="4" min="4" style="1" width="13.42"/>
    <col collapsed="false" customWidth="true" hidden="false" outlineLevel="0" max="5" min="5" style="1" width="10.57"/>
    <col collapsed="false" customWidth="true" hidden="false" outlineLevel="0" max="6" min="6" style="1" width="19"/>
    <col collapsed="false" customWidth="true" hidden="false" outlineLevel="0" max="7" min="7" style="1" width="11.43"/>
    <col collapsed="false" customWidth="true" hidden="false" outlineLevel="0" max="8" min="8" style="1" width="14.57"/>
    <col collapsed="false" customWidth="true" hidden="false" outlineLevel="0" max="9" min="9" style="1" width="19.29"/>
    <col collapsed="false" customWidth="true" hidden="false" outlineLevel="0" max="10" min="10" style="1" width="9.71"/>
    <col collapsed="false" customWidth="true" hidden="false" outlineLevel="0" max="11" min="11" style="1" width="7.29"/>
    <col collapsed="false" customWidth="true" hidden="false" outlineLevel="0" max="12" min="12" style="2" width="9.86"/>
    <col collapsed="false" customWidth="true" hidden="false" outlineLevel="0" max="13" min="13" style="1" width="6.14"/>
    <col collapsed="false" customWidth="true" hidden="false" outlineLevel="0" max="14" min="14" style="1" width="5"/>
    <col collapsed="false" customWidth="true" hidden="false" outlineLevel="0" max="15" min="15" style="1" width="5.57"/>
    <col collapsed="false" customWidth="true" hidden="false" outlineLevel="0" max="17" min="16" style="1" width="6.14"/>
    <col collapsed="false" customWidth="true" hidden="false" outlineLevel="0" max="18" min="18" style="1" width="8.29"/>
    <col collapsed="false" customWidth="true" hidden="false" outlineLevel="0" max="20" min="19" style="1" width="5"/>
    <col collapsed="false" customWidth="true" hidden="false" outlineLevel="0" max="21" min="21" style="1" width="6.14"/>
    <col collapsed="false" customWidth="true" hidden="true" outlineLevel="0" max="23" min="22" style="1" width="6.14"/>
    <col collapsed="false" customWidth="true" hidden="true" outlineLevel="0" max="24" min="24" style="1" width="12.71"/>
    <col collapsed="false" customWidth="false" hidden="true" outlineLevel="0" max="31" min="25" style="1" width="9.14"/>
    <col collapsed="false" customWidth="true" hidden="false" outlineLevel="0" max="32" min="32" style="1" width="9.57"/>
    <col collapsed="false" customWidth="false" hidden="false" outlineLevel="0" max="16384" min="33" style="1" width="9.14"/>
  </cols>
  <sheetData>
    <row r="1" customFormat="false" ht="17.35" hidden="false" customHeight="false" outlineLevel="0" collapsed="false">
      <c r="A1" s="3"/>
      <c r="B1" s="4" t="str">
        <f aca="false">"Semaine du :" &amp; Data!D41</f>
        <v>Semaine du :</v>
      </c>
      <c r="C1" s="5" t="n">
        <v>44361</v>
      </c>
      <c r="D1" s="6" t="str">
        <f aca="false">"( "&amp;AVERAGE($E$2:$I$2)&amp;" )"</f>
        <v>( 8.05 )</v>
      </c>
      <c r="E1" s="7" t="str">
        <f aca="false">IFERROR("Lun.: " &amp; TEXT($Y$2,"00%"),"Lun.: 0%")</f>
        <v>Lun.: 05%</v>
      </c>
      <c r="F1" s="8" t="str">
        <f aca="false">IFERROR("Mar.: " &amp; TEXT($Z$2,"00%"),"Mar.: 0%")</f>
        <v>Mar.: 23%</v>
      </c>
      <c r="G1" s="8" t="str">
        <f aca="false">IFERROR("Mer.: " &amp; TEXT($AA$2,"00%"),"Mer.: 0%")</f>
        <v>Mer.: 63%</v>
      </c>
      <c r="H1" s="8" t="str">
        <f aca="false">IFERROR("Jeu.: " &amp; TEXT($AB$2,"00%"),"Jeu.: 0%")</f>
        <v>Jeu.: 100%</v>
      </c>
      <c r="I1" s="8" t="str">
        <f aca="false">IFERROR("Ven.: " &amp; TEXT($AC$2,"00%"),"Ven.: 0%")</f>
        <v>Ven.: 25%</v>
      </c>
      <c r="J1" s="9" t="str">
        <f aca="false">IFERROR("S.: " &amp; TEXT($AD$2,"00%"),"S.: 0%")</f>
        <v>S.: 0%</v>
      </c>
      <c r="K1" s="10" t="str">
        <f aca="false">IFERROR("D.: " &amp; TEXT($AE$2,"00%"), "D.: 0%")</f>
        <v>D.: 0%</v>
      </c>
      <c r="L1" s="11"/>
      <c r="M1" s="12" t="n">
        <f aca="false">M2/Total</f>
        <v>0.441558441558442</v>
      </c>
      <c r="N1" s="12" t="n">
        <f aca="false">N2/$C$2</f>
        <v>0.0124223602484472</v>
      </c>
      <c r="O1" s="12" t="n">
        <f aca="false">O2/$C$2</f>
        <v>0.093167701863354</v>
      </c>
      <c r="P1" s="12" t="n">
        <f aca="false">P2/$C$2</f>
        <v>0.22360248447205</v>
      </c>
      <c r="Q1" s="12" t="n">
        <f aca="false">Q2/$C$2</f>
        <v>0.236024844720497</v>
      </c>
      <c r="R1" s="13" t="n">
        <f aca="false">R2/$C$2</f>
        <v>0</v>
      </c>
      <c r="S1" s="13" t="n">
        <f aca="false">S2/$C$2</f>
        <v>0</v>
      </c>
      <c r="T1" s="13" t="n">
        <f aca="false">T2/$C$2</f>
        <v>0</v>
      </c>
      <c r="U1" s="14" t="n">
        <f aca="false">U2/$C$2</f>
        <v>0.0124223602484472</v>
      </c>
      <c r="V1" s="112"/>
      <c r="W1" s="16"/>
      <c r="X1" s="17" t="e">
        <f aca="false">SUM(#REF!)</f>
        <v>#REF!</v>
      </c>
      <c r="Y1" s="18" t="s">
        <v>0</v>
      </c>
      <c r="Z1" s="18" t="s">
        <v>1</v>
      </c>
      <c r="AA1" s="18" t="s">
        <v>2</v>
      </c>
      <c r="AB1" s="18" t="s">
        <v>3</v>
      </c>
      <c r="AC1" s="18" t="s">
        <v>4</v>
      </c>
      <c r="AD1" s="18" t="s">
        <v>5</v>
      </c>
      <c r="AE1" s="18" t="s">
        <v>6</v>
      </c>
    </row>
    <row r="2" customFormat="false" ht="22.05" hidden="false" customHeight="false" outlineLevel="0" collapsed="false">
      <c r="A2" s="3"/>
      <c r="B2" s="19" t="n">
        <f aca="false">X2</f>
        <v>0.401315789473684</v>
      </c>
      <c r="C2" s="20" t="n">
        <f aca="false">SUM(Horo8293[Durée])</f>
        <v>40.25</v>
      </c>
      <c r="D2" s="21" t="str">
        <f aca="false">ROUND(SUM(Horo8293[T]),2) &amp; " / " &amp; ROUND($C$2-SUM(Horo8293[T]),2)</f>
        <v>39.75 / 0.5</v>
      </c>
      <c r="E2" s="22" t="n">
        <f aca="false">SUMIF(Horo8293[Jour],"Lundi",Horo8293[Durée])</f>
        <v>9.5</v>
      </c>
      <c r="F2" s="23" t="n">
        <f aca="false">SUMIF(Horo8293[Jour],"Mardi",Horo8293[Durée])</f>
        <v>8.75</v>
      </c>
      <c r="G2" s="23" t="n">
        <f aca="false">SUMIF(Horo8293[Jour],"Mercredi",Horo8293[Durée])</f>
        <v>8</v>
      </c>
      <c r="H2" s="23" t="n">
        <f aca="false">SUMIF(Horo8293[Jour],"Jeudi",Horo8293[Durée])</f>
        <v>8</v>
      </c>
      <c r="I2" s="23" t="n">
        <f aca="false">SUMIF(Horo8293[Jour],"Vendredi",Horo8293[Durée])</f>
        <v>6</v>
      </c>
      <c r="J2" s="23" t="n">
        <f aca="false">SUMIF(Horo8293[Jour],"Samedi",Horo8293[Durée])</f>
        <v>0</v>
      </c>
      <c r="K2" s="23" t="n">
        <f aca="false">SUMIF(Horo8293[Jour],"Dimanche",Horo8293[Durée])</f>
        <v>0</v>
      </c>
      <c r="L2" s="24"/>
      <c r="M2" s="25" t="n">
        <f aca="false">SUM(Horo8293[GPF])</f>
        <v>17</v>
      </c>
      <c r="N2" s="25" t="n">
        <f aca="false">SUM(Horo8293[RI])</f>
        <v>0.500000000000001</v>
      </c>
      <c r="O2" s="25" t="n">
        <f aca="false">SUM(Horo8293[GB])</f>
        <v>3.75</v>
      </c>
      <c r="P2" s="25" t="n">
        <f aca="false">SUM(Horo8293[RD])</f>
        <v>9</v>
      </c>
      <c r="Q2" s="25" t="n">
        <f aca="false">SUM(Horo8293[FG])</f>
        <v>9.5</v>
      </c>
      <c r="R2" s="26" t="n">
        <f aca="false">SUM(Horo8293[CONGÉ])</f>
        <v>0</v>
      </c>
      <c r="S2" s="26" t="n">
        <f aca="false">SUM(Horo8293[PS])</f>
        <v>0</v>
      </c>
      <c r="T2" s="26" t="n">
        <f aca="false">SUM(Horo8293[TD])</f>
        <v>0</v>
      </c>
      <c r="U2" s="27" t="n">
        <f aca="false">SUM(Horo8293[N/C])</f>
        <v>0.5</v>
      </c>
      <c r="V2" s="17" t="n">
        <f aca="false">(Total-(SUM(N2:U2)))</f>
        <v>15.25</v>
      </c>
      <c r="W2" s="17" t="n">
        <f aca="false">Total-(R2+S2+T2+U2)</f>
        <v>38</v>
      </c>
      <c r="X2" s="28" t="n">
        <f aca="false">V2/W2</f>
        <v>0.401315789473684</v>
      </c>
      <c r="Y2" s="29" t="n">
        <f aca="false">SUMIF(Horo8293[Jour],"Lundi",Horo8293[GPF]) / $E$2</f>
        <v>0.0526315789473684</v>
      </c>
      <c r="Z2" s="29" t="n">
        <f aca="false">SUMIF(Horo8293[Jour],"Mardi",Horo8293[GPF]) / $F$2</f>
        <v>0.228571428571429</v>
      </c>
      <c r="AA2" s="29" t="n">
        <f aca="false">SUMIF(Horo8293[Jour],"Mercredi",Horo8293[GPF]) / $G$2</f>
        <v>0.625</v>
      </c>
      <c r="AB2" s="29" t="n">
        <f aca="false">SUMIF(Horo8293[Jour],"Jeudi",Horo8293[GPF]) / $H$2</f>
        <v>1</v>
      </c>
      <c r="AC2" s="29" t="n">
        <f aca="false">SUMIF(Horo8293[Jour],"Vendredi",Horo8293[GPF]) / $I$2</f>
        <v>0.25</v>
      </c>
      <c r="AD2" s="29" t="e">
        <f aca="false">SUMIF(Horo8293[Jour],"Samedi",Horo8293[GPF]) / $J$2</f>
        <v>#DIV/0!</v>
      </c>
      <c r="AE2" s="29" t="e">
        <f aca="false">SUMIF(Horo8293[Jour],"Dimanche",Horo8293[GPF]) / $K$2</f>
        <v>#DIV/0!</v>
      </c>
    </row>
    <row r="3" customFormat="false" ht="15" hidden="false" customHeight="false" outlineLevel="0" collapsed="false">
      <c r="A3" s="30" t="s">
        <v>7</v>
      </c>
      <c r="B3" s="31" t="s">
        <v>8</v>
      </c>
      <c r="C3" s="31" t="s">
        <v>9</v>
      </c>
      <c r="D3" s="32" t="s">
        <v>10</v>
      </c>
      <c r="E3" s="33" t="s">
        <v>11</v>
      </c>
      <c r="F3" s="34" t="s">
        <v>12</v>
      </c>
      <c r="G3" s="34" t="s">
        <v>13</v>
      </c>
      <c r="H3" s="34" t="s">
        <v>14</v>
      </c>
      <c r="I3" s="35" t="s">
        <v>15</v>
      </c>
      <c r="J3" s="36" t="s">
        <v>16</v>
      </c>
      <c r="K3" s="36" t="s">
        <v>17</v>
      </c>
      <c r="L3" s="37" t="s">
        <v>18</v>
      </c>
      <c r="M3" s="38" t="s">
        <v>19</v>
      </c>
      <c r="N3" s="39" t="s">
        <v>20</v>
      </c>
      <c r="O3" s="39" t="s">
        <v>21</v>
      </c>
      <c r="P3" s="39" t="s">
        <v>22</v>
      </c>
      <c r="Q3" s="39" t="s">
        <v>23</v>
      </c>
      <c r="R3" s="40" t="s">
        <v>24</v>
      </c>
      <c r="S3" s="40" t="s">
        <v>25</v>
      </c>
      <c r="T3" s="41" t="s">
        <v>26</v>
      </c>
      <c r="U3" s="41" t="s">
        <v>27</v>
      </c>
      <c r="V3" s="42" t="s">
        <v>28</v>
      </c>
      <c r="W3" s="43" t="s">
        <v>29</v>
      </c>
      <c r="X3" s="44" t="s">
        <v>30</v>
      </c>
    </row>
    <row r="4" customFormat="false" ht="15" hidden="false" customHeight="false" outlineLevel="0" collapsed="false">
      <c r="A4" s="45" t="s">
        <v>31</v>
      </c>
      <c r="B4" s="111" t="n">
        <f aca="false">IF(Horo8293[[#This Row],[Jour]]="Lundi",$C$1+1, IF(Horo8293[[#This Row],[Jour]]="Mardi",$C$1+2, IF(Horo8293[[#This Row],[Jour]]="Mercredi",$C$1+3, IF(Horo8293[[#This Row],[Jour]]="Jeudi",$C$1+4, IF(Horo8293[[#This Row],[Jour]]="Vendredi",$C$1+5, IF(Horo8293[[#This Row],[Jour]]="Samedi",$C$1+6, IF(Horo8293[[#This Row],[Jour]]="Dimanche",$C$1, )))))))</f>
        <v>44362</v>
      </c>
      <c r="C4" s="47" t="s">
        <v>0</v>
      </c>
      <c r="D4" s="48" t="n">
        <v>0.322916666666667</v>
      </c>
      <c r="E4" s="48" t="n">
        <v>0.364583333333333</v>
      </c>
      <c r="F4" s="49" t="s">
        <v>32</v>
      </c>
      <c r="G4" s="49" t="s">
        <v>21</v>
      </c>
      <c r="H4" s="50" t="s">
        <v>94</v>
      </c>
      <c r="I4" s="61"/>
      <c r="J4" s="52" t="n">
        <f aca="false">IF(Horo8293[[#This Row],[Début]]=0,"",(Horo8293[[#This Row],[Durée (60)2]]-INT(Horo8293[[#This Row],[Durée (60)2]]))*24)</f>
        <v>0.999999999999999</v>
      </c>
      <c r="K4" s="53" t="n">
        <f aca="false">SUMIF(Horo8293[Jour],C4,Horo8293[Durée])</f>
        <v>9.5</v>
      </c>
      <c r="L4" s="54" t="n">
        <f aca="false">IFERROR(SUMIF(Horo8293[[#This Row],[Jour]],Horo8293[[#This Row],[Jour]],Horo8293[[#This Row],[GPF]]) / Horo8293[[#This Row],[hrs]],"")</f>
        <v>0</v>
      </c>
      <c r="M4" s="55" t="str">
        <f aca="false">IF("GPF"=Horo8293[[#This Row],[Tâche]],Horo8293[[#This Row],[Durée]],"")</f>
        <v/>
      </c>
      <c r="N4" s="56" t="str">
        <f aca="false">IF("RI"=Horo8293[[#This Row],[Tâche]],Horo8293[[#This Row],[Durée]],"")</f>
        <v/>
      </c>
      <c r="O4" s="56" t="n">
        <f aca="false">IF("GB"=Horo8293[[#This Row],[Tâche]],Horo8293[[#This Row],[Durée]],"")</f>
        <v>0.999999999999999</v>
      </c>
      <c r="P4" s="56" t="str">
        <f aca="false">IF("RD"=Horo8293[[#This Row],[Tâche]],Horo8293[[#This Row],[Durée]],"")</f>
        <v/>
      </c>
      <c r="Q4" s="56" t="str">
        <f aca="false">IF("FG"=Horo8293[[#This Row],[Tâche]],Horo8293[[#This Row],[Durée]],"")</f>
        <v/>
      </c>
      <c r="R4" s="56" t="str">
        <f aca="false">IF("CONGÉ"=Horo8293[[#This Row],[Tâche]],Horo8293[[#This Row],[Durée]],"")</f>
        <v/>
      </c>
      <c r="S4" s="57" t="str">
        <f aca="false">IF("PS"=Horo8293[[#This Row],[Tâche]],Horo8293[[#This Row],[Durée]],"")</f>
        <v/>
      </c>
      <c r="T4" s="56" t="str">
        <f aca="false">IF("TD"=Horo8293[[#This Row],[Tâche]],Horo8293[[#This Row],[Durée]],"")</f>
        <v/>
      </c>
      <c r="U4" s="55" t="str">
        <f aca="false">IF("N/C"=Horo8293[[#This Row],[Tâche]],Horo8293[[#This Row],[Durée]],"")</f>
        <v/>
      </c>
      <c r="V4" s="58"/>
      <c r="W4" s="59" t="n">
        <f aca="false">IF(Horo8293[[#This Row],[O]]="o",Horo8293[[#This Row],[Durée]],".")</f>
        <v>0.999999999999999</v>
      </c>
      <c r="X4" s="60" t="n">
        <f aca="false">IF(Horo8293[[#This Row],[Début]]=0,"",Horo8293[[#This Row],[Fin]]-Horo8293[[#This Row],[Début]])</f>
        <v>0.0416666666666666</v>
      </c>
    </row>
    <row r="5" customFormat="false" ht="15" hidden="false" customHeight="false" outlineLevel="0" collapsed="false">
      <c r="A5" s="45" t="s">
        <v>31</v>
      </c>
      <c r="B5" s="111" t="n">
        <f aca="false">IF(Horo8293[[#This Row],[Jour]]="Lundi",$C$1+1, IF(Horo8293[[#This Row],[Jour]]="Mardi",$C$1+2, IF(Horo8293[[#This Row],[Jour]]="Mercredi",$C$1+3, IF(Horo8293[[#This Row],[Jour]]="Jeudi",$C$1+4, IF(Horo8293[[#This Row],[Jour]]="Vendredi",$C$1+5, IF(Horo8293[[#This Row],[Jour]]="Samedi",$C$1+6, IF(Horo8293[[#This Row],[Jour]]="Dimanche",$C$1, )))))))</f>
        <v>44362</v>
      </c>
      <c r="C5" s="47" t="s">
        <v>0</v>
      </c>
      <c r="D5" s="48" t="n">
        <v>0.364583333333333</v>
      </c>
      <c r="E5" s="48" t="n">
        <v>0.385416666666667</v>
      </c>
      <c r="F5" s="49" t="s">
        <v>32</v>
      </c>
      <c r="G5" s="49" t="s">
        <v>20</v>
      </c>
      <c r="H5" s="50" t="s">
        <v>121</v>
      </c>
      <c r="I5" s="61"/>
      <c r="J5" s="52" t="n">
        <f aca="false">IF(Horo8293[[#This Row],[Début]]=0,"",(Horo8293[[#This Row],[Durée (60)2]]-INT(Horo8293[[#This Row],[Durée (60)2]]))*24)</f>
        <v>0.500000000000001</v>
      </c>
      <c r="K5" s="53" t="n">
        <f aca="false">SUMIF(Horo8293[Jour],C5,Horo8293[Durée])</f>
        <v>9.5</v>
      </c>
      <c r="L5" s="54" t="n">
        <f aca="false">IFERROR(SUMIF(Horo8293[[#This Row],[Jour]],Horo8293[[#This Row],[Jour]],Horo8293[[#This Row],[GPF]]) / Horo8293[[#This Row],[hrs]],"")</f>
        <v>0</v>
      </c>
      <c r="M5" s="55" t="str">
        <f aca="false">IF("GPF"=Horo8293[[#This Row],[Tâche]],Horo8293[[#This Row],[Durée]],"")</f>
        <v/>
      </c>
      <c r="N5" s="56" t="n">
        <f aca="false">IF("RI"=Horo8293[[#This Row],[Tâche]],Horo8293[[#This Row],[Durée]],"")</f>
        <v>0.500000000000001</v>
      </c>
      <c r="O5" s="56" t="str">
        <f aca="false">IF("GB"=Horo8293[[#This Row],[Tâche]],Horo8293[[#This Row],[Durée]],"")</f>
        <v/>
      </c>
      <c r="P5" s="56" t="str">
        <f aca="false">IF("RD"=Horo8293[[#This Row],[Tâche]],Horo8293[[#This Row],[Durée]],"")</f>
        <v/>
      </c>
      <c r="Q5" s="56" t="str">
        <f aca="false">IF("FG"=Horo8293[[#This Row],[Tâche]],Horo8293[[#This Row],[Durée]],"")</f>
        <v/>
      </c>
      <c r="R5" s="56" t="str">
        <f aca="false">IF("CONGÉ"=Horo8293[[#This Row],[Tâche]],Horo8293[[#This Row],[Durée]],"")</f>
        <v/>
      </c>
      <c r="S5" s="57" t="str">
        <f aca="false">IF("PS"=Horo8293[[#This Row],[Tâche]],Horo8293[[#This Row],[Durée]],"")</f>
        <v/>
      </c>
      <c r="T5" s="56" t="str">
        <f aca="false">IF("TD"=Horo8293[[#This Row],[Tâche]],Horo8293[[#This Row],[Durée]],"")</f>
        <v/>
      </c>
      <c r="U5" s="55" t="str">
        <f aca="false">IF("N/C"=Horo8293[[#This Row],[Tâche]],Horo8293[[#This Row],[Durée]],"")</f>
        <v/>
      </c>
      <c r="V5" s="58"/>
      <c r="W5" s="59" t="n">
        <f aca="false">IF(Horo8293[[#This Row],[O]]="o",Horo8293[[#This Row],[Durée]],".")</f>
        <v>0.500000000000001</v>
      </c>
      <c r="X5" s="60" t="n">
        <f aca="false">IF(Horo8293[[#This Row],[Début]]=0,"",Horo8293[[#This Row],[Fin]]-Horo8293[[#This Row],[Début]])</f>
        <v>0.0208333333333334</v>
      </c>
    </row>
    <row r="6" customFormat="false" ht="15" hidden="false" customHeight="false" outlineLevel="0" collapsed="false">
      <c r="A6" s="45" t="s">
        <v>31</v>
      </c>
      <c r="B6" s="111" t="n">
        <f aca="false">IF(Horo8293[[#This Row],[Jour]]="Lundi",$C$1+1, IF(Horo8293[[#This Row],[Jour]]="Mardi",$C$1+2, IF(Horo8293[[#This Row],[Jour]]="Mercredi",$C$1+3, IF(Horo8293[[#This Row],[Jour]]="Jeudi",$C$1+4, IF(Horo8293[[#This Row],[Jour]]="Vendredi",$C$1+5, IF(Horo8293[[#This Row],[Jour]]="Samedi",$C$1+6, IF(Horo8293[[#This Row],[Jour]]="Dimanche",$C$1, )))))))</f>
        <v>44362</v>
      </c>
      <c r="C6" s="47" t="s">
        <v>0</v>
      </c>
      <c r="D6" s="48" t="n">
        <v>0.385416666666667</v>
      </c>
      <c r="E6" s="48" t="n">
        <v>0.40625</v>
      </c>
      <c r="F6" s="49" t="s">
        <v>61</v>
      </c>
      <c r="G6" s="49" t="s">
        <v>19</v>
      </c>
      <c r="H6" s="50" t="s">
        <v>98</v>
      </c>
      <c r="I6" s="61" t="s">
        <v>218</v>
      </c>
      <c r="J6" s="52" t="n">
        <f aca="false">IF(Horo8293[[#This Row],[Début]]=0,"",(Horo8293[[#This Row],[Durée (60)2]]-INT(Horo8293[[#This Row],[Durée (60)2]]))*24)</f>
        <v>0.5</v>
      </c>
      <c r="K6" s="62" t="n">
        <f aca="false">SUMIF(Horo8293[Jour],C6,Horo8293[Durée])</f>
        <v>9.5</v>
      </c>
      <c r="L6" s="54" t="n">
        <f aca="false">IFERROR(SUMIF(Horo8293[[#This Row],[Jour]],Horo8293[[#This Row],[Jour]],Horo8293[[#This Row],[GPF]]) / Horo8293[[#This Row],[hrs]],"")</f>
        <v>0.0526315789473684</v>
      </c>
      <c r="M6" s="56" t="n">
        <f aca="false">IF("GPF"=Horo8293[[#This Row],[Tâche]],Horo8293[[#This Row],[Durée]],"")</f>
        <v>0.5</v>
      </c>
      <c r="N6" s="56" t="str">
        <f aca="false">IF("RI"=Horo8293[[#This Row],[Tâche]],Horo8293[[#This Row],[Durée]],"")</f>
        <v/>
      </c>
      <c r="O6" s="56" t="str">
        <f aca="false">IF("GB"=Horo8293[[#This Row],[Tâche]],Horo8293[[#This Row],[Durée]],"")</f>
        <v/>
      </c>
      <c r="P6" s="56" t="str">
        <f aca="false">IF("RD"=Horo8293[[#This Row],[Tâche]],Horo8293[[#This Row],[Durée]],"")</f>
        <v/>
      </c>
      <c r="Q6" s="56" t="str">
        <f aca="false">IF("FG"=Horo8293[[#This Row],[Tâche]],Horo8293[[#This Row],[Durée]],"")</f>
        <v/>
      </c>
      <c r="R6" s="56" t="str">
        <f aca="false">IF("CONGÉ"=Horo8293[[#This Row],[Tâche]],Horo8293[[#This Row],[Durée]],"")</f>
        <v/>
      </c>
      <c r="S6" s="57" t="str">
        <f aca="false">IF("PS"=Horo8293[[#This Row],[Tâche]],Horo8293[[#This Row],[Durée]],"")</f>
        <v/>
      </c>
      <c r="T6" s="56" t="str">
        <f aca="false">IF("TD"=Horo8293[[#This Row],[Tâche]],Horo8293[[#This Row],[Durée]],"")</f>
        <v/>
      </c>
      <c r="U6" s="55" t="str">
        <f aca="false">IF("N/C"=Horo8293[[#This Row],[Tâche]],Horo8293[[#This Row],[Durée]],"")</f>
        <v/>
      </c>
      <c r="V6" s="58"/>
      <c r="W6" s="59" t="n">
        <f aca="false">IF(Horo8293[[#This Row],[O]]="o",Horo8293[[#This Row],[Durée]],".")</f>
        <v>0.5</v>
      </c>
      <c r="X6" s="60" t="n">
        <f aca="false">IF(Horo8293[[#This Row],[Début]]=0,"",Horo8293[[#This Row],[Fin]]-Horo8293[[#This Row],[Début]])</f>
        <v>0.0208333333333333</v>
      </c>
    </row>
    <row r="7" customFormat="false" ht="15" hidden="false" customHeight="false" outlineLevel="0" collapsed="false">
      <c r="A7" s="45" t="s">
        <v>31</v>
      </c>
      <c r="B7" s="111" t="n">
        <f aca="false">IF(Horo8293[[#This Row],[Jour]]="Lundi",$C$1+1, IF(Horo8293[[#This Row],[Jour]]="Mardi",$C$1+2, IF(Horo8293[[#This Row],[Jour]]="Mercredi",$C$1+3, IF(Horo8293[[#This Row],[Jour]]="Jeudi",$C$1+4, IF(Horo8293[[#This Row],[Jour]]="Vendredi",$C$1+5, IF(Horo8293[[#This Row],[Jour]]="Samedi",$C$1+6, IF(Horo8293[[#This Row],[Jour]]="Dimanche",$C$1, )))))))</f>
        <v>44362</v>
      </c>
      <c r="C7" s="47" t="s">
        <v>0</v>
      </c>
      <c r="D7" s="48" t="n">
        <v>0.416666666666667</v>
      </c>
      <c r="E7" s="48" t="n">
        <v>0.479166666666667</v>
      </c>
      <c r="F7" s="49" t="s">
        <v>59</v>
      </c>
      <c r="G7" s="49" t="s">
        <v>22</v>
      </c>
      <c r="H7" s="50" t="s">
        <v>103</v>
      </c>
      <c r="I7" s="61" t="s">
        <v>219</v>
      </c>
      <c r="J7" s="52" t="n">
        <f aca="false">IF(Horo8293[[#This Row],[Début]]=0,"",(Horo8293[[#This Row],[Durée (60)2]]-INT(Horo8293[[#This Row],[Durée (60)2]]))*24)</f>
        <v>1.5</v>
      </c>
      <c r="K7" s="62" t="n">
        <f aca="false">SUMIF(Horo8293[Jour],C7,Horo8293[Durée])</f>
        <v>9.5</v>
      </c>
      <c r="L7" s="54" t="n">
        <f aca="false">IFERROR(SUMIF(Horo8293[[#This Row],[Jour]],Horo8293[[#This Row],[Jour]],Horo8293[[#This Row],[GPF]]) / Horo8293[[#This Row],[hrs]],"")</f>
        <v>0</v>
      </c>
      <c r="M7" s="56" t="str">
        <f aca="false">IF("GPF"=Horo8293[[#This Row],[Tâche]],Horo8293[[#This Row],[Durée]],"")</f>
        <v/>
      </c>
      <c r="N7" s="56" t="str">
        <f aca="false">IF("RI"=Horo8293[[#This Row],[Tâche]],Horo8293[[#This Row],[Durée]],"")</f>
        <v/>
      </c>
      <c r="O7" s="56" t="str">
        <f aca="false">IF("GB"=Horo8293[[#This Row],[Tâche]],Horo8293[[#This Row],[Durée]],"")</f>
        <v/>
      </c>
      <c r="P7" s="56" t="n">
        <f aca="false">IF("RD"=Horo8293[[#This Row],[Tâche]],Horo8293[[#This Row],[Durée]],"")</f>
        <v>1.5</v>
      </c>
      <c r="Q7" s="56" t="str">
        <f aca="false">IF("FG"=Horo8293[[#This Row],[Tâche]],Horo8293[[#This Row],[Durée]],"")</f>
        <v/>
      </c>
      <c r="R7" s="56" t="str">
        <f aca="false">IF("CONGÉ"=Horo8293[[#This Row],[Tâche]],Horo8293[[#This Row],[Durée]],"")</f>
        <v/>
      </c>
      <c r="S7" s="57" t="str">
        <f aca="false">IF("PS"=Horo8293[[#This Row],[Tâche]],Horo8293[[#This Row],[Durée]],"")</f>
        <v/>
      </c>
      <c r="T7" s="56" t="str">
        <f aca="false">IF("TD"=Horo8293[[#This Row],[Tâche]],Horo8293[[#This Row],[Durée]],"")</f>
        <v/>
      </c>
      <c r="U7" s="55" t="str">
        <f aca="false">IF("N/C"=Horo8293[[#This Row],[Tâche]],Horo8293[[#This Row],[Durée]],"")</f>
        <v/>
      </c>
      <c r="V7" s="58"/>
      <c r="W7" s="59" t="n">
        <f aca="false">IF(Horo8293[[#This Row],[O]]="o",Horo8293[[#This Row],[Durée]],".")</f>
        <v>1.5</v>
      </c>
      <c r="X7" s="60" t="n">
        <f aca="false">IF(Horo8293[[#This Row],[Début]]=0,"",Horo8293[[#This Row],[Fin]]-Horo8293[[#This Row],[Début]])</f>
        <v>0.0625</v>
      </c>
    </row>
    <row r="8" customFormat="false" ht="15" hidden="false" customHeight="false" outlineLevel="0" collapsed="false">
      <c r="A8" s="45" t="s">
        <v>31</v>
      </c>
      <c r="B8" s="111" t="n">
        <f aca="false">IF(Horo8293[[#This Row],[Jour]]="Lundi",$C$1+1, IF(Horo8293[[#This Row],[Jour]]="Mardi",$C$1+2, IF(Horo8293[[#This Row],[Jour]]="Mercredi",$C$1+3, IF(Horo8293[[#This Row],[Jour]]="Jeudi",$C$1+4, IF(Horo8293[[#This Row],[Jour]]="Vendredi",$C$1+5, IF(Horo8293[[#This Row],[Jour]]="Samedi",$C$1+6, IF(Horo8293[[#This Row],[Jour]]="Dimanche",$C$1, )))))))</f>
        <v>44362</v>
      </c>
      <c r="C8" s="47" t="s">
        <v>0</v>
      </c>
      <c r="D8" s="48" t="n">
        <v>0.479166666666667</v>
      </c>
      <c r="E8" s="48" t="n">
        <v>0.5</v>
      </c>
      <c r="F8" s="49" t="s">
        <v>59</v>
      </c>
      <c r="G8" s="49" t="s">
        <v>23</v>
      </c>
      <c r="H8" s="50" t="s">
        <v>103</v>
      </c>
      <c r="I8" s="61" t="s">
        <v>220</v>
      </c>
      <c r="J8" s="52" t="n">
        <f aca="false">IF(Horo8293[[#This Row],[Début]]=0,"",(Horo8293[[#This Row],[Durée (60)2]]-INT(Horo8293[[#This Row],[Durée (60)2]]))*24)</f>
        <v>0.5</v>
      </c>
      <c r="K8" s="62" t="n">
        <f aca="false">SUMIF(Horo8293[Jour],C8,Horo8293[Durée])</f>
        <v>9.5</v>
      </c>
      <c r="L8" s="54" t="n">
        <f aca="false">IFERROR(SUMIF(Horo8293[[#This Row],[Jour]],Horo8293[[#This Row],[Jour]],Horo8293[[#This Row],[GPF]]) / Horo8293[[#This Row],[hrs]],"")</f>
        <v>0</v>
      </c>
      <c r="M8" s="56" t="str">
        <f aca="false">IF("GPF"=Horo8293[[#This Row],[Tâche]],Horo8293[[#This Row],[Durée]],"")</f>
        <v/>
      </c>
      <c r="N8" s="56" t="str">
        <f aca="false">IF("RI"=Horo8293[[#This Row],[Tâche]],Horo8293[[#This Row],[Durée]],"")</f>
        <v/>
      </c>
      <c r="O8" s="56" t="str">
        <f aca="false">IF("GB"=Horo8293[[#This Row],[Tâche]],Horo8293[[#This Row],[Durée]],"")</f>
        <v/>
      </c>
      <c r="P8" s="56" t="str">
        <f aca="false">IF("RD"=Horo8293[[#This Row],[Tâche]],Horo8293[[#This Row],[Durée]],"")</f>
        <v/>
      </c>
      <c r="Q8" s="56" t="n">
        <f aca="false">IF("FG"=Horo8293[[#This Row],[Tâche]],Horo8293[[#This Row],[Durée]],"")</f>
        <v>0.5</v>
      </c>
      <c r="R8" s="56" t="str">
        <f aca="false">IF("CONGÉ"=Horo8293[[#This Row],[Tâche]],Horo8293[[#This Row],[Durée]],"")</f>
        <v/>
      </c>
      <c r="S8" s="57" t="str">
        <f aca="false">IF("PS"=Horo8293[[#This Row],[Tâche]],Horo8293[[#This Row],[Durée]],"")</f>
        <v/>
      </c>
      <c r="T8" s="56" t="str">
        <f aca="false">IF("TD"=Horo8293[[#This Row],[Tâche]],Horo8293[[#This Row],[Durée]],"")</f>
        <v/>
      </c>
      <c r="U8" s="55" t="str">
        <f aca="false">IF("N/C"=Horo8293[[#This Row],[Tâche]],Horo8293[[#This Row],[Durée]],"")</f>
        <v/>
      </c>
      <c r="V8" s="58"/>
      <c r="W8" s="59" t="n">
        <f aca="false">IF(Horo8293[[#This Row],[O]]="o",Horo8293[[#This Row],[Durée]],".")</f>
        <v>0.5</v>
      </c>
      <c r="X8" s="60" t="n">
        <f aca="false">IF(Horo8293[[#This Row],[Début]]=0,"",Horo8293[[#This Row],[Fin]]-Horo8293[[#This Row],[Début]])</f>
        <v>0.0208333333333333</v>
      </c>
    </row>
    <row r="9" customFormat="false" ht="15" hidden="false" customHeight="false" outlineLevel="0" collapsed="false">
      <c r="A9" s="45" t="s">
        <v>31</v>
      </c>
      <c r="B9" s="111" t="n">
        <f aca="false">IF(Horo8293[[#This Row],[Jour]]="Lundi",$C$1+1, IF(Horo8293[[#This Row],[Jour]]="Mardi",$C$1+2, IF(Horo8293[[#This Row],[Jour]]="Mercredi",$C$1+3, IF(Horo8293[[#This Row],[Jour]]="Jeudi",$C$1+4, IF(Horo8293[[#This Row],[Jour]]="Vendredi",$C$1+5, IF(Horo8293[[#This Row],[Jour]]="Samedi",$C$1+6, IF(Horo8293[[#This Row],[Jour]]="Dimanche",$C$1, )))))))</f>
        <v>44362</v>
      </c>
      <c r="C9" s="47" t="s">
        <v>0</v>
      </c>
      <c r="D9" s="48" t="n">
        <v>0.583333333333333</v>
      </c>
      <c r="E9" s="48" t="n">
        <v>0.6875</v>
      </c>
      <c r="F9" s="49" t="s">
        <v>59</v>
      </c>
      <c r="G9" s="49" t="s">
        <v>22</v>
      </c>
      <c r="H9" s="50" t="s">
        <v>103</v>
      </c>
      <c r="I9" s="61" t="s">
        <v>221</v>
      </c>
      <c r="J9" s="52" t="n">
        <f aca="false">IF(Horo8293[[#This Row],[Début]]=0,"",(Horo8293[[#This Row],[Durée (60)2]]-INT(Horo8293[[#This Row],[Durée (60)2]]))*24)</f>
        <v>2.5</v>
      </c>
      <c r="K9" s="62" t="n">
        <f aca="false">SUMIF(Horo8293[Jour],C9,Horo8293[Durée])</f>
        <v>9.5</v>
      </c>
      <c r="L9" s="54" t="n">
        <f aca="false">IFERROR(SUMIF(Horo8293[[#This Row],[Jour]],Horo8293[[#This Row],[Jour]],Horo8293[[#This Row],[GPF]]) / Horo8293[[#This Row],[hrs]],"")</f>
        <v>0</v>
      </c>
      <c r="M9" s="56" t="str">
        <f aca="false">IF("GPF"=Horo8293[[#This Row],[Tâche]],Horo8293[[#This Row],[Durée]],"")</f>
        <v/>
      </c>
      <c r="N9" s="56" t="str">
        <f aca="false">IF("RI"=Horo8293[[#This Row],[Tâche]],Horo8293[[#This Row],[Durée]],"")</f>
        <v/>
      </c>
      <c r="O9" s="56" t="str">
        <f aca="false">IF("GB"=Horo8293[[#This Row],[Tâche]],Horo8293[[#This Row],[Durée]],"")</f>
        <v/>
      </c>
      <c r="P9" s="56" t="n">
        <f aca="false">IF("RD"=Horo8293[[#This Row],[Tâche]],Horo8293[[#This Row],[Durée]],"")</f>
        <v>2.5</v>
      </c>
      <c r="Q9" s="56" t="str">
        <f aca="false">IF("FG"=Horo8293[[#This Row],[Tâche]],Horo8293[[#This Row],[Durée]],"")</f>
        <v/>
      </c>
      <c r="R9" s="56" t="str">
        <f aca="false">IF("CONGÉ"=Horo8293[[#This Row],[Tâche]],Horo8293[[#This Row],[Durée]],"")</f>
        <v/>
      </c>
      <c r="S9" s="57" t="str">
        <f aca="false">IF("PS"=Horo8293[[#This Row],[Tâche]],Horo8293[[#This Row],[Durée]],"")</f>
        <v/>
      </c>
      <c r="T9" s="56" t="str">
        <f aca="false">IF("TD"=Horo8293[[#This Row],[Tâche]],Horo8293[[#This Row],[Durée]],"")</f>
        <v/>
      </c>
      <c r="U9" s="55" t="str">
        <f aca="false">IF("N/C"=Horo8293[[#This Row],[Tâche]],Horo8293[[#This Row],[Durée]],"")</f>
        <v/>
      </c>
      <c r="V9" s="58"/>
      <c r="W9" s="59" t="n">
        <f aca="false">IF(Horo8293[[#This Row],[O]]="o",Horo8293[[#This Row],[Durée]],".")</f>
        <v>2.5</v>
      </c>
      <c r="X9" s="60" t="n">
        <f aca="false">IF(Horo8293[[#This Row],[Début]]=0,"",Horo8293[[#This Row],[Fin]]-Horo8293[[#This Row],[Début]])</f>
        <v>0.104166666666667</v>
      </c>
    </row>
    <row r="10" customFormat="false" ht="15" hidden="false" customHeight="false" outlineLevel="0" collapsed="false">
      <c r="A10" s="45" t="s">
        <v>31</v>
      </c>
      <c r="B10" s="111" t="n">
        <f aca="false">IF(Horo8293[[#This Row],[Jour]]="Lundi",$C$1+1, IF(Horo8293[[#This Row],[Jour]]="Mardi",$C$1+2, IF(Horo8293[[#This Row],[Jour]]="Mercredi",$C$1+3, IF(Horo8293[[#This Row],[Jour]]="Jeudi",$C$1+4, IF(Horo8293[[#This Row],[Jour]]="Vendredi",$C$1+5, IF(Horo8293[[#This Row],[Jour]]="Samedi",$C$1+6, IF(Horo8293[[#This Row],[Jour]]="Dimanche",$C$1, )))))))</f>
        <v>44362</v>
      </c>
      <c r="C10" s="47" t="s">
        <v>0</v>
      </c>
      <c r="D10" s="48" t="n">
        <v>0.6875</v>
      </c>
      <c r="E10" s="48" t="n">
        <v>0.75</v>
      </c>
      <c r="F10" s="49" t="s">
        <v>32</v>
      </c>
      <c r="G10" s="49" t="s">
        <v>23</v>
      </c>
      <c r="H10" s="50" t="s">
        <v>204</v>
      </c>
      <c r="I10" s="61" t="s">
        <v>205</v>
      </c>
      <c r="J10" s="52" t="n">
        <f aca="false">IF(Horo8293[[#This Row],[Début]]=0,"",(Horo8293[[#This Row],[Durée (60)2]]-INT(Horo8293[[#This Row],[Durée (60)2]]))*24)</f>
        <v>1.5</v>
      </c>
      <c r="K10" s="62" t="n">
        <f aca="false">SUMIF(Horo8293[Jour],C10,Horo8293[Durée])</f>
        <v>9.5</v>
      </c>
      <c r="L10" s="54" t="n">
        <f aca="false">IFERROR(SUMIF(Horo8293[[#This Row],[Jour]],Horo8293[[#This Row],[Jour]],Horo8293[[#This Row],[GPF]]) / Horo8293[[#This Row],[hrs]],"")</f>
        <v>0</v>
      </c>
      <c r="M10" s="56" t="str">
        <f aca="false">IF("GPF"=Horo8293[[#This Row],[Tâche]],Horo8293[[#This Row],[Durée]],"")</f>
        <v/>
      </c>
      <c r="N10" s="56" t="str">
        <f aca="false">IF("RI"=Horo8293[[#This Row],[Tâche]],Horo8293[[#This Row],[Durée]],"")</f>
        <v/>
      </c>
      <c r="O10" s="56" t="str">
        <f aca="false">IF("GB"=Horo8293[[#This Row],[Tâche]],Horo8293[[#This Row],[Durée]],"")</f>
        <v/>
      </c>
      <c r="P10" s="56" t="str">
        <f aca="false">IF("RD"=Horo8293[[#This Row],[Tâche]],Horo8293[[#This Row],[Durée]],"")</f>
        <v/>
      </c>
      <c r="Q10" s="56" t="n">
        <f aca="false">IF("FG"=Horo8293[[#This Row],[Tâche]],Horo8293[[#This Row],[Durée]],"")</f>
        <v>1.5</v>
      </c>
      <c r="R10" s="56" t="str">
        <f aca="false">IF("CONGÉ"=Horo8293[[#This Row],[Tâche]],Horo8293[[#This Row],[Durée]],"")</f>
        <v/>
      </c>
      <c r="S10" s="57" t="str">
        <f aca="false">IF("PS"=Horo8293[[#This Row],[Tâche]],Horo8293[[#This Row],[Durée]],"")</f>
        <v/>
      </c>
      <c r="T10" s="56" t="str">
        <f aca="false">IF("TD"=Horo8293[[#This Row],[Tâche]],Horo8293[[#This Row],[Durée]],"")</f>
        <v/>
      </c>
      <c r="U10" s="55" t="str">
        <f aca="false">IF("N/C"=Horo8293[[#This Row],[Tâche]],Horo8293[[#This Row],[Durée]],"")</f>
        <v/>
      </c>
      <c r="V10" s="58"/>
      <c r="W10" s="59" t="n">
        <f aca="false">IF(Horo8293[[#This Row],[O]]="o",Horo8293[[#This Row],[Durée]],".")</f>
        <v>1.5</v>
      </c>
      <c r="X10" s="60" t="n">
        <f aca="false">IF(Horo8293[[#This Row],[Début]]=0,"",Horo8293[[#This Row],[Fin]]-Horo8293[[#This Row],[Début]])</f>
        <v>0.0625</v>
      </c>
    </row>
    <row r="11" customFormat="false" ht="15" hidden="false" customHeight="false" outlineLevel="0" collapsed="false">
      <c r="A11" s="45" t="s">
        <v>31</v>
      </c>
      <c r="B11" s="46" t="n">
        <f aca="false">IF(Horo8293[[#This Row],[Jour]]="Lundi",$C$1+1, IF(Horo8293[[#This Row],[Jour]]="Mardi",$C$1+2, IF(Horo8293[[#This Row],[Jour]]="Mercredi",$C$1+3, IF(Horo8293[[#This Row],[Jour]]="Jeudi",$C$1+4, IF(Horo8293[[#This Row],[Jour]]="Vendredi",$C$1+5, IF(Horo8293[[#This Row],[Jour]]="Samedi",$C$1+6, IF(Horo8293[[#This Row],[Jour]]="Dimanche",$C$1, )))))))</f>
        <v>44362</v>
      </c>
      <c r="C11" s="47" t="s">
        <v>0</v>
      </c>
      <c r="D11" s="48" t="n">
        <v>0.75</v>
      </c>
      <c r="E11" s="48" t="n">
        <v>0.8125</v>
      </c>
      <c r="F11" s="49" t="s">
        <v>32</v>
      </c>
      <c r="G11" s="49" t="s">
        <v>23</v>
      </c>
      <c r="H11" s="50" t="s">
        <v>204</v>
      </c>
      <c r="I11" s="61" t="s">
        <v>205</v>
      </c>
      <c r="J11" s="52" t="n">
        <f aca="false">IF(Horo8293[[#This Row],[Début]]=0,"",(Horo8293[[#This Row],[Durée (60)2]]-INT(Horo8293[[#This Row],[Durée (60)2]]))*24)</f>
        <v>1.5</v>
      </c>
      <c r="K11" s="62" t="n">
        <f aca="false">SUMIF(Horo8293[Jour],C11,Horo8293[Durée])</f>
        <v>9.5</v>
      </c>
      <c r="L11" s="54" t="n">
        <f aca="false">IFERROR(SUMIF(Horo8293[[#This Row],[Jour]],Horo8293[[#This Row],[Jour]],Horo8293[[#This Row],[GPF]]) / Horo8293[[#This Row],[hrs]],"")</f>
        <v>0</v>
      </c>
      <c r="M11" s="56" t="str">
        <f aca="false">IF("GPF"=Horo8293[[#This Row],[Tâche]],Horo8293[[#This Row],[Durée]],"")</f>
        <v/>
      </c>
      <c r="N11" s="56" t="str">
        <f aca="false">IF("RI"=Horo8293[[#This Row],[Tâche]],Horo8293[[#This Row],[Durée]],"")</f>
        <v/>
      </c>
      <c r="O11" s="56" t="str">
        <f aca="false">IF("GB"=Horo8293[[#This Row],[Tâche]],Horo8293[[#This Row],[Durée]],"")</f>
        <v/>
      </c>
      <c r="P11" s="56" t="str">
        <f aca="false">IF("RD"=Horo8293[[#This Row],[Tâche]],Horo8293[[#This Row],[Durée]],"")</f>
        <v/>
      </c>
      <c r="Q11" s="56" t="n">
        <f aca="false">IF("FG"=Horo8293[[#This Row],[Tâche]],Horo8293[[#This Row],[Durée]],"")</f>
        <v>1.5</v>
      </c>
      <c r="R11" s="56" t="str">
        <f aca="false">IF("CONGÉ"=Horo8293[[#This Row],[Tâche]],Horo8293[[#This Row],[Durée]],"")</f>
        <v/>
      </c>
      <c r="S11" s="57" t="str">
        <f aca="false">IF("PS"=Horo8293[[#This Row],[Tâche]],Horo8293[[#This Row],[Durée]],"")</f>
        <v/>
      </c>
      <c r="T11" s="56" t="str">
        <f aca="false">IF("TD"=Horo8293[[#This Row],[Tâche]],Horo8293[[#This Row],[Durée]],"")</f>
        <v/>
      </c>
      <c r="U11" s="55" t="str">
        <f aca="false">IF("N/C"=Horo8293[[#This Row],[Tâche]],Horo8293[[#This Row],[Durée]],"")</f>
        <v/>
      </c>
      <c r="V11" s="58"/>
      <c r="W11" s="59" t="n">
        <f aca="false">IF(Horo8293[[#This Row],[O]]="o",Horo8293[[#This Row],[Durée]],".")</f>
        <v>1.5</v>
      </c>
      <c r="X11" s="60" t="n">
        <f aca="false">IF(Horo8293[[#This Row],[Début]]=0,"",Horo8293[[#This Row],[Fin]]-Horo8293[[#This Row],[Début]])</f>
        <v>0.0625</v>
      </c>
    </row>
    <row r="12" customFormat="false" ht="15" hidden="false" customHeight="false" outlineLevel="0" collapsed="false">
      <c r="A12" s="45" t="s">
        <v>31</v>
      </c>
      <c r="B12" s="111" t="n">
        <f aca="false">IF(Horo8293[[#This Row],[Jour]]="Lundi",$C$1+1, IF(Horo8293[[#This Row],[Jour]]="Mardi",$C$1+2, IF(Horo8293[[#This Row],[Jour]]="Mercredi",$C$1+3, IF(Horo8293[[#This Row],[Jour]]="Jeudi",$C$1+4, IF(Horo8293[[#This Row],[Jour]]="Vendredi",$C$1+5, IF(Horo8293[[#This Row],[Jour]]="Samedi",$C$1+6, IF(Horo8293[[#This Row],[Jour]]="Dimanche",$C$1, )))))))</f>
        <v>44363</v>
      </c>
      <c r="C12" s="47" t="s">
        <v>1</v>
      </c>
      <c r="D12" s="48" t="n">
        <v>0.333333333333333</v>
      </c>
      <c r="E12" s="48" t="n">
        <v>0.395833333333333</v>
      </c>
      <c r="F12" s="49" t="s">
        <v>61</v>
      </c>
      <c r="G12" s="49" t="s">
        <v>22</v>
      </c>
      <c r="H12" s="50" t="s">
        <v>201</v>
      </c>
      <c r="I12" s="61" t="s">
        <v>222</v>
      </c>
      <c r="J12" s="52" t="n">
        <f aca="false">IF(Horo8293[[#This Row],[Début]]=0,"",(Horo8293[[#This Row],[Durée (60)2]]-INT(Horo8293[[#This Row],[Durée (60)2]]))*24)</f>
        <v>1.5</v>
      </c>
      <c r="K12" s="62" t="n">
        <f aca="false">SUMIF(Horo8293[Jour],C12,Horo8293[Durée])</f>
        <v>8.75</v>
      </c>
      <c r="L12" s="54" t="n">
        <f aca="false">IFERROR(SUMIF(Horo8293[[#This Row],[Jour]],Horo8293[[#This Row],[Jour]],Horo8293[[#This Row],[GPF]]) / Horo8293[[#This Row],[hrs]],"")</f>
        <v>0</v>
      </c>
      <c r="M12" s="56" t="str">
        <f aca="false">IF("GPF"=Horo8293[[#This Row],[Tâche]],Horo8293[[#This Row],[Durée]],"")</f>
        <v/>
      </c>
      <c r="N12" s="56" t="str">
        <f aca="false">IF("RI"=Horo8293[[#This Row],[Tâche]],Horo8293[[#This Row],[Durée]],"")</f>
        <v/>
      </c>
      <c r="O12" s="56" t="str">
        <f aca="false">IF("GB"=Horo8293[[#This Row],[Tâche]],Horo8293[[#This Row],[Durée]],"")</f>
        <v/>
      </c>
      <c r="P12" s="56" t="n">
        <f aca="false">IF("RD"=Horo8293[[#This Row],[Tâche]],Horo8293[[#This Row],[Durée]],"")</f>
        <v>1.5</v>
      </c>
      <c r="Q12" s="56" t="str">
        <f aca="false">IF("FG"=Horo8293[[#This Row],[Tâche]],Horo8293[[#This Row],[Durée]],"")</f>
        <v/>
      </c>
      <c r="R12" s="56" t="str">
        <f aca="false">IF("CONGÉ"=Horo8293[[#This Row],[Tâche]],Horo8293[[#This Row],[Durée]],"")</f>
        <v/>
      </c>
      <c r="S12" s="57" t="str">
        <f aca="false">IF("PS"=Horo8293[[#This Row],[Tâche]],Horo8293[[#This Row],[Durée]],"")</f>
        <v/>
      </c>
      <c r="T12" s="56" t="str">
        <f aca="false">IF("TD"=Horo8293[[#This Row],[Tâche]],Horo8293[[#This Row],[Durée]],"")</f>
        <v/>
      </c>
      <c r="U12" s="55" t="str">
        <f aca="false">IF("N/C"=Horo8293[[#This Row],[Tâche]],Horo8293[[#This Row],[Durée]],"")</f>
        <v/>
      </c>
      <c r="V12" s="58"/>
      <c r="W12" s="59" t="n">
        <f aca="false">IF(Horo8293[[#This Row],[O]]="o",Horo8293[[#This Row],[Durée]],".")</f>
        <v>1.5</v>
      </c>
      <c r="X12" s="60" t="n">
        <f aca="false">IF(Horo8293[[#This Row],[Début]]=0,"",Horo8293[[#This Row],[Fin]]-Horo8293[[#This Row],[Début]])</f>
        <v>0.0625</v>
      </c>
    </row>
    <row r="13" customFormat="false" ht="15" hidden="false" customHeight="false" outlineLevel="0" collapsed="false">
      <c r="A13" s="45" t="s">
        <v>31</v>
      </c>
      <c r="B13" s="111" t="n">
        <f aca="false">IF(Horo8293[[#This Row],[Jour]]="Lundi",$C$1+1, IF(Horo8293[[#This Row],[Jour]]="Mardi",$C$1+2, IF(Horo8293[[#This Row],[Jour]]="Mercredi",$C$1+3, IF(Horo8293[[#This Row],[Jour]]="Jeudi",$C$1+4, IF(Horo8293[[#This Row],[Jour]]="Vendredi",$C$1+5, IF(Horo8293[[#This Row],[Jour]]="Samedi",$C$1+6, IF(Horo8293[[#This Row],[Jour]]="Dimanche",$C$1, )))))))</f>
        <v>44363</v>
      </c>
      <c r="C13" s="47" t="s">
        <v>1</v>
      </c>
      <c r="D13" s="48" t="n">
        <v>0.395833333333333</v>
      </c>
      <c r="E13" s="48" t="n">
        <v>0.416666666666667</v>
      </c>
      <c r="F13" s="49" t="s">
        <v>63</v>
      </c>
      <c r="G13" s="49" t="s">
        <v>19</v>
      </c>
      <c r="H13" s="50" t="s">
        <v>124</v>
      </c>
      <c r="I13" s="61"/>
      <c r="J13" s="52" t="n">
        <f aca="false">IF(Horo8293[[#This Row],[Début]]=0,"",(Horo8293[[#This Row],[Durée (60)2]]-INT(Horo8293[[#This Row],[Durée (60)2]]))*24)</f>
        <v>0.500000000000001</v>
      </c>
      <c r="K13" s="62" t="n">
        <f aca="false">SUMIF(Horo8293[Jour],C13,Horo8293[Durée])</f>
        <v>8.75</v>
      </c>
      <c r="L13" s="54" t="n">
        <f aca="false">IFERROR(SUMIF(Horo8293[[#This Row],[Jour]],Horo8293[[#This Row],[Jour]],Horo8293[[#This Row],[GPF]]) / Horo8293[[#This Row],[hrs]],"")</f>
        <v>0.0571428571428572</v>
      </c>
      <c r="M13" s="56" t="n">
        <f aca="false">IF("GPF"=Horo8293[[#This Row],[Tâche]],Horo8293[[#This Row],[Durée]],"")</f>
        <v>0.500000000000001</v>
      </c>
      <c r="N13" s="56" t="str">
        <f aca="false">IF("RI"=Horo8293[[#This Row],[Tâche]],Horo8293[[#This Row],[Durée]],"")</f>
        <v/>
      </c>
      <c r="O13" s="56" t="str">
        <f aca="false">IF("GB"=Horo8293[[#This Row],[Tâche]],Horo8293[[#This Row],[Durée]],"")</f>
        <v/>
      </c>
      <c r="P13" s="56" t="str">
        <f aca="false">IF("RD"=Horo8293[[#This Row],[Tâche]],Horo8293[[#This Row],[Durée]],"")</f>
        <v/>
      </c>
      <c r="Q13" s="56" t="str">
        <f aca="false">IF("FG"=Horo8293[[#This Row],[Tâche]],Horo8293[[#This Row],[Durée]],"")</f>
        <v/>
      </c>
      <c r="R13" s="56" t="str">
        <f aca="false">IF("CONGÉ"=Horo8293[[#This Row],[Tâche]],Horo8293[[#This Row],[Durée]],"")</f>
        <v/>
      </c>
      <c r="S13" s="57" t="str">
        <f aca="false">IF("PS"=Horo8293[[#This Row],[Tâche]],Horo8293[[#This Row],[Durée]],"")</f>
        <v/>
      </c>
      <c r="T13" s="56" t="str">
        <f aca="false">IF("TD"=Horo8293[[#This Row],[Tâche]],Horo8293[[#This Row],[Durée]],"")</f>
        <v/>
      </c>
      <c r="U13" s="55" t="str">
        <f aca="false">IF("N/C"=Horo8293[[#This Row],[Tâche]],Horo8293[[#This Row],[Durée]],"")</f>
        <v/>
      </c>
      <c r="V13" s="58"/>
      <c r="W13" s="59" t="n">
        <f aca="false">IF(Horo8293[[#This Row],[O]]="o",Horo8293[[#This Row],[Durée]],".")</f>
        <v>0.500000000000001</v>
      </c>
      <c r="X13" s="60" t="n">
        <f aca="false">IF(Horo8293[[#This Row],[Début]]=0,"",Horo8293[[#This Row],[Fin]]-Horo8293[[#This Row],[Début]])</f>
        <v>0.0208333333333334</v>
      </c>
    </row>
    <row r="14" customFormat="false" ht="15" hidden="false" customHeight="false" outlineLevel="0" collapsed="false">
      <c r="A14" s="45" t="s">
        <v>31</v>
      </c>
      <c r="B14" s="111" t="n">
        <f aca="false">IF(Horo8293[[#This Row],[Jour]]="Lundi",$C$1+1, IF(Horo8293[[#This Row],[Jour]]="Mardi",$C$1+2, IF(Horo8293[[#This Row],[Jour]]="Mercredi",$C$1+3, IF(Horo8293[[#This Row],[Jour]]="Jeudi",$C$1+4, IF(Horo8293[[#This Row],[Jour]]="Vendredi",$C$1+5, IF(Horo8293[[#This Row],[Jour]]="Samedi",$C$1+6, IF(Horo8293[[#This Row],[Jour]]="Dimanche",$C$1, )))))))</f>
        <v>44363</v>
      </c>
      <c r="C14" s="47" t="s">
        <v>1</v>
      </c>
      <c r="D14" s="48" t="n">
        <v>0.416666666666667</v>
      </c>
      <c r="E14" s="48" t="n">
        <v>0.416666666666667</v>
      </c>
      <c r="F14" s="49" t="s">
        <v>61</v>
      </c>
      <c r="G14" s="49" t="s">
        <v>27</v>
      </c>
      <c r="H14" s="50" t="s">
        <v>201</v>
      </c>
      <c r="I14" s="61" t="s">
        <v>223</v>
      </c>
      <c r="J14" s="52" t="n">
        <f aca="false">IF(Horo8293[[#This Row],[Début]]=0,"",(Horo8293[[#This Row],[Durée (60)2]]-INT(Horo8293[[#This Row],[Durée (60)2]]))*24)</f>
        <v>0</v>
      </c>
      <c r="K14" s="62" t="n">
        <f aca="false">SUMIF(Horo8293[Jour],C14,Horo8293[Durée])</f>
        <v>8.75</v>
      </c>
      <c r="L14" s="54" t="n">
        <f aca="false">IFERROR(SUMIF(Horo8293[[#This Row],[Jour]],Horo8293[[#This Row],[Jour]],Horo8293[[#This Row],[GPF]]) / Horo8293[[#This Row],[hrs]],"")</f>
        <v>0</v>
      </c>
      <c r="M14" s="56" t="str">
        <f aca="false">IF("GPF"=Horo8293[[#This Row],[Tâche]],Horo8293[[#This Row],[Durée]],"")</f>
        <v/>
      </c>
      <c r="N14" s="56" t="str">
        <f aca="false">IF("RI"=Horo8293[[#This Row],[Tâche]],Horo8293[[#This Row],[Durée]],"")</f>
        <v/>
      </c>
      <c r="O14" s="56" t="str">
        <f aca="false">IF("GB"=Horo8293[[#This Row],[Tâche]],Horo8293[[#This Row],[Durée]],"")</f>
        <v/>
      </c>
      <c r="P14" s="56" t="str">
        <f aca="false">IF("RD"=Horo8293[[#This Row],[Tâche]],Horo8293[[#This Row],[Durée]],"")</f>
        <v/>
      </c>
      <c r="Q14" s="56" t="str">
        <f aca="false">IF("FG"=Horo8293[[#This Row],[Tâche]],Horo8293[[#This Row],[Durée]],"")</f>
        <v/>
      </c>
      <c r="R14" s="56" t="str">
        <f aca="false">IF("CONGÉ"=Horo8293[[#This Row],[Tâche]],Horo8293[[#This Row],[Durée]],"")</f>
        <v/>
      </c>
      <c r="S14" s="57" t="str">
        <f aca="false">IF("PS"=Horo8293[[#This Row],[Tâche]],Horo8293[[#This Row],[Durée]],"")</f>
        <v/>
      </c>
      <c r="T14" s="56" t="str">
        <f aca="false">IF("TD"=Horo8293[[#This Row],[Tâche]],Horo8293[[#This Row],[Durée]],"")</f>
        <v/>
      </c>
      <c r="U14" s="55" t="n">
        <f aca="false">IF("N/C"=Horo8293[[#This Row],[Tâche]],Horo8293[[#This Row],[Durée]],"")</f>
        <v>0</v>
      </c>
      <c r="V14" s="58"/>
      <c r="W14" s="59" t="n">
        <f aca="false">IF(Horo8293[[#This Row],[O]]="o",Horo8293[[#This Row],[Durée]],".")</f>
        <v>0</v>
      </c>
      <c r="X14" s="60" t="n">
        <f aca="false">IF(Horo8293[[#This Row],[Début]]=0,"",Horo8293[[#This Row],[Fin]]-Horo8293[[#This Row],[Début]])</f>
        <v>0</v>
      </c>
    </row>
    <row r="15" customFormat="false" ht="15" hidden="false" customHeight="false" outlineLevel="0" collapsed="false">
      <c r="A15" s="45" t="s">
        <v>31</v>
      </c>
      <c r="B15" s="111" t="n">
        <f aca="false">IF(Horo8293[[#This Row],[Jour]]="Lundi",$C$1+1, IF(Horo8293[[#This Row],[Jour]]="Mardi",$C$1+2, IF(Horo8293[[#This Row],[Jour]]="Mercredi",$C$1+3, IF(Horo8293[[#This Row],[Jour]]="Jeudi",$C$1+4, IF(Horo8293[[#This Row],[Jour]]="Vendredi",$C$1+5, IF(Horo8293[[#This Row],[Jour]]="Samedi",$C$1+6, IF(Horo8293[[#This Row],[Jour]]="Dimanche",$C$1, )))))))</f>
        <v>44363</v>
      </c>
      <c r="C15" s="47" t="s">
        <v>1</v>
      </c>
      <c r="D15" s="48" t="n">
        <v>0.447916666666667</v>
      </c>
      <c r="E15" s="48" t="n">
        <v>0.479166666666667</v>
      </c>
      <c r="F15" s="49" t="s">
        <v>61</v>
      </c>
      <c r="G15" s="49" t="s">
        <v>19</v>
      </c>
      <c r="H15" s="50" t="s">
        <v>114</v>
      </c>
      <c r="I15" s="61" t="s">
        <v>224</v>
      </c>
      <c r="J15" s="52" t="n">
        <f aca="false">IF(Horo8293[[#This Row],[Début]]=0,"",(Horo8293[[#This Row],[Durée (60)2]]-INT(Horo8293[[#This Row],[Durée (60)2]]))*24)</f>
        <v>0.75</v>
      </c>
      <c r="K15" s="62" t="n">
        <f aca="false">SUMIF(Horo8293[Jour],C15,Horo8293[Durée])</f>
        <v>8.75</v>
      </c>
      <c r="L15" s="54" t="n">
        <f aca="false">IFERROR(SUMIF(Horo8293[[#This Row],[Jour]],Horo8293[[#This Row],[Jour]],Horo8293[[#This Row],[GPF]]) / Horo8293[[#This Row],[hrs]],"")</f>
        <v>0.0857142857142857</v>
      </c>
      <c r="M15" s="56" t="n">
        <f aca="false">IF("GPF"=Horo8293[[#This Row],[Tâche]],Horo8293[[#This Row],[Durée]],"")</f>
        <v>0.75</v>
      </c>
      <c r="N15" s="56" t="str">
        <f aca="false">IF("RI"=Horo8293[[#This Row],[Tâche]],Horo8293[[#This Row],[Durée]],"")</f>
        <v/>
      </c>
      <c r="O15" s="56" t="str">
        <f aca="false">IF("GB"=Horo8293[[#This Row],[Tâche]],Horo8293[[#This Row],[Durée]],"")</f>
        <v/>
      </c>
      <c r="P15" s="56" t="str">
        <f aca="false">IF("RD"=Horo8293[[#This Row],[Tâche]],Horo8293[[#This Row],[Durée]],"")</f>
        <v/>
      </c>
      <c r="Q15" s="56" t="str">
        <f aca="false">IF("FG"=Horo8293[[#This Row],[Tâche]],Horo8293[[#This Row],[Durée]],"")</f>
        <v/>
      </c>
      <c r="R15" s="56" t="str">
        <f aca="false">IF("CONGÉ"=Horo8293[[#This Row],[Tâche]],Horo8293[[#This Row],[Durée]],"")</f>
        <v/>
      </c>
      <c r="S15" s="57" t="str">
        <f aca="false">IF("PS"=Horo8293[[#This Row],[Tâche]],Horo8293[[#This Row],[Durée]],"")</f>
        <v/>
      </c>
      <c r="T15" s="56" t="str">
        <f aca="false">IF("TD"=Horo8293[[#This Row],[Tâche]],Horo8293[[#This Row],[Durée]],"")</f>
        <v/>
      </c>
      <c r="U15" s="55" t="str">
        <f aca="false">IF("N/C"=Horo8293[[#This Row],[Tâche]],Horo8293[[#This Row],[Durée]],"")</f>
        <v/>
      </c>
      <c r="V15" s="58"/>
      <c r="W15" s="59" t="n">
        <f aca="false">IF(Horo8293[[#This Row],[O]]="o",Horo8293[[#This Row],[Durée]],".")</f>
        <v>0.75</v>
      </c>
      <c r="X15" s="60" t="n">
        <f aca="false">IF(Horo8293[[#This Row],[Début]]=0,"",Horo8293[[#This Row],[Fin]]-Horo8293[[#This Row],[Début]])</f>
        <v>0.03125</v>
      </c>
    </row>
    <row r="16" customFormat="false" ht="15" hidden="false" customHeight="false" outlineLevel="0" collapsed="false">
      <c r="A16" s="45" t="s">
        <v>31</v>
      </c>
      <c r="B16" s="111" t="n">
        <f aca="false">IF(Horo8293[[#This Row],[Jour]]="Lundi",$C$1+1, IF(Horo8293[[#This Row],[Jour]]="Mardi",$C$1+2, IF(Horo8293[[#This Row],[Jour]]="Mercredi",$C$1+3, IF(Horo8293[[#This Row],[Jour]]="Jeudi",$C$1+4, IF(Horo8293[[#This Row],[Jour]]="Vendredi",$C$1+5, IF(Horo8293[[#This Row],[Jour]]="Samedi",$C$1+6, IF(Horo8293[[#This Row],[Jour]]="Dimanche",$C$1, )))))))</f>
        <v>44363</v>
      </c>
      <c r="C16" s="47" t="s">
        <v>1</v>
      </c>
      <c r="D16" s="48" t="n">
        <v>0.479166666666667</v>
      </c>
      <c r="E16" s="48" t="n">
        <v>0.5</v>
      </c>
      <c r="F16" s="49" t="s">
        <v>32</v>
      </c>
      <c r="G16" s="49" t="s">
        <v>23</v>
      </c>
      <c r="H16" s="50" t="s">
        <v>204</v>
      </c>
      <c r="I16" s="61" t="s">
        <v>205</v>
      </c>
      <c r="J16" s="52" t="n">
        <f aca="false">IF(Horo8293[[#This Row],[Début]]=0,"",(Horo8293[[#This Row],[Durée (60)2]]-INT(Horo8293[[#This Row],[Durée (60)2]]))*24)</f>
        <v>0.5</v>
      </c>
      <c r="K16" s="62" t="n">
        <f aca="false">SUMIF(Horo8293[Jour],C16,Horo8293[Durée])</f>
        <v>8.75</v>
      </c>
      <c r="L16" s="54" t="n">
        <f aca="false">IFERROR(SUMIF(Horo8293[[#This Row],[Jour]],Horo8293[[#This Row],[Jour]],Horo8293[[#This Row],[GPF]]) / Horo8293[[#This Row],[hrs]],"")</f>
        <v>0</v>
      </c>
      <c r="M16" s="56" t="str">
        <f aca="false">IF("GPF"=Horo8293[[#This Row],[Tâche]],Horo8293[[#This Row],[Durée]],"")</f>
        <v/>
      </c>
      <c r="N16" s="56" t="str">
        <f aca="false">IF("RI"=Horo8293[[#This Row],[Tâche]],Horo8293[[#This Row],[Durée]],"")</f>
        <v/>
      </c>
      <c r="O16" s="56" t="str">
        <f aca="false">IF("GB"=Horo8293[[#This Row],[Tâche]],Horo8293[[#This Row],[Durée]],"")</f>
        <v/>
      </c>
      <c r="P16" s="56" t="str">
        <f aca="false">IF("RD"=Horo8293[[#This Row],[Tâche]],Horo8293[[#This Row],[Durée]],"")</f>
        <v/>
      </c>
      <c r="Q16" s="56" t="n">
        <f aca="false">IF("FG"=Horo8293[[#This Row],[Tâche]],Horo8293[[#This Row],[Durée]],"")</f>
        <v>0.5</v>
      </c>
      <c r="R16" s="56" t="str">
        <f aca="false">IF("CONGÉ"=Horo8293[[#This Row],[Tâche]],Horo8293[[#This Row],[Durée]],"")</f>
        <v/>
      </c>
      <c r="S16" s="57" t="str">
        <f aca="false">IF("PS"=Horo8293[[#This Row],[Tâche]],Horo8293[[#This Row],[Durée]],"")</f>
        <v/>
      </c>
      <c r="T16" s="56" t="str">
        <f aca="false">IF("TD"=Horo8293[[#This Row],[Tâche]],Horo8293[[#This Row],[Durée]],"")</f>
        <v/>
      </c>
      <c r="U16" s="55" t="str">
        <f aca="false">IF("N/C"=Horo8293[[#This Row],[Tâche]],Horo8293[[#This Row],[Durée]],"")</f>
        <v/>
      </c>
      <c r="V16" s="58"/>
      <c r="W16" s="59" t="n">
        <f aca="false">IF(Horo8293[[#This Row],[O]]="o",Horo8293[[#This Row],[Durée]],".")</f>
        <v>0.5</v>
      </c>
      <c r="X16" s="60" t="n">
        <f aca="false">IF(Horo8293[[#This Row],[Début]]=0,"",Horo8293[[#This Row],[Fin]]-Horo8293[[#This Row],[Début]])</f>
        <v>0.0208333333333333</v>
      </c>
    </row>
    <row r="17" customFormat="false" ht="15" hidden="false" customHeight="false" outlineLevel="0" collapsed="false">
      <c r="A17" s="45" t="s">
        <v>31</v>
      </c>
      <c r="B17" s="111" t="n">
        <f aca="false">IF(Horo8293[[#This Row],[Jour]]="Lundi",$C$1+1, IF(Horo8293[[#This Row],[Jour]]="Mardi",$C$1+2, IF(Horo8293[[#This Row],[Jour]]="Mercredi",$C$1+3, IF(Horo8293[[#This Row],[Jour]]="Jeudi",$C$1+4, IF(Horo8293[[#This Row],[Jour]]="Vendredi",$C$1+5, IF(Horo8293[[#This Row],[Jour]]="Samedi",$C$1+6, IF(Horo8293[[#This Row],[Jour]]="Dimanche",$C$1, )))))))</f>
        <v>44363</v>
      </c>
      <c r="C17" s="47" t="s">
        <v>1</v>
      </c>
      <c r="D17" s="48" t="n">
        <v>0.5625</v>
      </c>
      <c r="E17" s="48" t="n">
        <v>0.583333333333333</v>
      </c>
      <c r="F17" s="49" t="s">
        <v>61</v>
      </c>
      <c r="G17" s="49" t="s">
        <v>19</v>
      </c>
      <c r="H17" s="50" t="s">
        <v>35</v>
      </c>
      <c r="I17" s="61" t="s">
        <v>225</v>
      </c>
      <c r="J17" s="52" t="n">
        <f aca="false">IF(Horo8293[[#This Row],[Début]]=0,"",(Horo8293[[#This Row],[Durée (60)2]]-INT(Horo8293[[#This Row],[Durée (60)2]]))*24)</f>
        <v>0.500000000000001</v>
      </c>
      <c r="K17" s="62" t="n">
        <f aca="false">SUMIF(Horo8293[Jour],C17,Horo8293[Durée])</f>
        <v>8.75</v>
      </c>
      <c r="L17" s="54" t="n">
        <f aca="false">IFERROR(SUMIF(Horo8293[[#This Row],[Jour]],Horo8293[[#This Row],[Jour]],Horo8293[[#This Row],[GPF]]) / Horo8293[[#This Row],[hrs]],"")</f>
        <v>0.0571428571428572</v>
      </c>
      <c r="M17" s="56" t="n">
        <f aca="false">IF("GPF"=Horo8293[[#This Row],[Tâche]],Horo8293[[#This Row],[Durée]],"")</f>
        <v>0.500000000000001</v>
      </c>
      <c r="N17" s="56" t="str">
        <f aca="false">IF("RI"=Horo8293[[#This Row],[Tâche]],Horo8293[[#This Row],[Durée]],"")</f>
        <v/>
      </c>
      <c r="O17" s="56" t="str">
        <f aca="false">IF("GB"=Horo8293[[#This Row],[Tâche]],Horo8293[[#This Row],[Durée]],"")</f>
        <v/>
      </c>
      <c r="P17" s="56" t="str">
        <f aca="false">IF("RD"=Horo8293[[#This Row],[Tâche]],Horo8293[[#This Row],[Durée]],"")</f>
        <v/>
      </c>
      <c r="Q17" s="56" t="str">
        <f aca="false">IF("FG"=Horo8293[[#This Row],[Tâche]],Horo8293[[#This Row],[Durée]],"")</f>
        <v/>
      </c>
      <c r="R17" s="56" t="str">
        <f aca="false">IF("CONGÉ"=Horo8293[[#This Row],[Tâche]],Horo8293[[#This Row],[Durée]],"")</f>
        <v/>
      </c>
      <c r="S17" s="57" t="str">
        <f aca="false">IF("PS"=Horo8293[[#This Row],[Tâche]],Horo8293[[#This Row],[Durée]],"")</f>
        <v/>
      </c>
      <c r="T17" s="56" t="str">
        <f aca="false">IF("TD"=Horo8293[[#This Row],[Tâche]],Horo8293[[#This Row],[Durée]],"")</f>
        <v/>
      </c>
      <c r="U17" s="55" t="str">
        <f aca="false">IF("N/C"=Horo8293[[#This Row],[Tâche]],Horo8293[[#This Row],[Durée]],"")</f>
        <v/>
      </c>
      <c r="V17" s="58"/>
      <c r="W17" s="59" t="n">
        <f aca="false">IF(Horo8293[[#This Row],[O]]="o",Horo8293[[#This Row],[Durée]],".")</f>
        <v>0.500000000000001</v>
      </c>
      <c r="X17" s="60" t="n">
        <f aca="false">IF(Horo8293[[#This Row],[Début]]=0,"",Horo8293[[#This Row],[Fin]]-Horo8293[[#This Row],[Début]])</f>
        <v>0.0208333333333334</v>
      </c>
    </row>
    <row r="18" customFormat="false" ht="15" hidden="false" customHeight="false" outlineLevel="0" collapsed="false">
      <c r="A18" s="45" t="s">
        <v>31</v>
      </c>
      <c r="B18" s="111" t="n">
        <f aca="false">IF(Horo8293[[#This Row],[Jour]]="Lundi",$C$1+1, IF(Horo8293[[#This Row],[Jour]]="Mardi",$C$1+2, IF(Horo8293[[#This Row],[Jour]]="Mercredi",$C$1+3, IF(Horo8293[[#This Row],[Jour]]="Jeudi",$C$1+4, IF(Horo8293[[#This Row],[Jour]]="Vendredi",$C$1+5, IF(Horo8293[[#This Row],[Jour]]="Samedi",$C$1+6, IF(Horo8293[[#This Row],[Jour]]="Dimanche",$C$1, )))))))</f>
        <v>44363</v>
      </c>
      <c r="C18" s="47" t="s">
        <v>1</v>
      </c>
      <c r="D18" s="48" t="n">
        <v>0.583333333333333</v>
      </c>
      <c r="E18" s="48" t="n">
        <v>0.614583333333333</v>
      </c>
      <c r="F18" s="49" t="s">
        <v>32</v>
      </c>
      <c r="G18" s="49" t="s">
        <v>21</v>
      </c>
      <c r="H18" s="50" t="s">
        <v>201</v>
      </c>
      <c r="I18" s="61"/>
      <c r="J18" s="52" t="n">
        <f aca="false">IF(Horo8293[[#This Row],[Début]]=0,"",(Horo8293[[#This Row],[Durée (60)2]]-INT(Horo8293[[#This Row],[Durée (60)2]]))*24)</f>
        <v>0.75</v>
      </c>
      <c r="K18" s="62" t="n">
        <f aca="false">SUMIF(Horo8293[Jour],C18,Horo8293[Durée])</f>
        <v>8.75</v>
      </c>
      <c r="L18" s="54" t="n">
        <f aca="false">IFERROR(SUMIF(Horo8293[[#This Row],[Jour]],Horo8293[[#This Row],[Jour]],Horo8293[[#This Row],[GPF]]) / Horo8293[[#This Row],[hrs]],"")</f>
        <v>0</v>
      </c>
      <c r="M18" s="56" t="str">
        <f aca="false">IF("GPF"=Horo8293[[#This Row],[Tâche]],Horo8293[[#This Row],[Durée]],"")</f>
        <v/>
      </c>
      <c r="N18" s="56" t="str">
        <f aca="false">IF("RI"=Horo8293[[#This Row],[Tâche]],Horo8293[[#This Row],[Durée]],"")</f>
        <v/>
      </c>
      <c r="O18" s="56" t="n">
        <f aca="false">IF("GB"=Horo8293[[#This Row],[Tâche]],Horo8293[[#This Row],[Durée]],"")</f>
        <v>0.75</v>
      </c>
      <c r="P18" s="56" t="str">
        <f aca="false">IF("RD"=Horo8293[[#This Row],[Tâche]],Horo8293[[#This Row],[Durée]],"")</f>
        <v/>
      </c>
      <c r="Q18" s="56" t="str">
        <f aca="false">IF("FG"=Horo8293[[#This Row],[Tâche]],Horo8293[[#This Row],[Durée]],"")</f>
        <v/>
      </c>
      <c r="R18" s="56" t="str">
        <f aca="false">IF("CONGÉ"=Horo8293[[#This Row],[Tâche]],Horo8293[[#This Row],[Durée]],"")</f>
        <v/>
      </c>
      <c r="S18" s="57" t="str">
        <f aca="false">IF("PS"=Horo8293[[#This Row],[Tâche]],Horo8293[[#This Row],[Durée]],"")</f>
        <v/>
      </c>
      <c r="T18" s="56" t="str">
        <f aca="false">IF("TD"=Horo8293[[#This Row],[Tâche]],Horo8293[[#This Row],[Durée]],"")</f>
        <v/>
      </c>
      <c r="U18" s="55" t="str">
        <f aca="false">IF("N/C"=Horo8293[[#This Row],[Tâche]],Horo8293[[#This Row],[Durée]],"")</f>
        <v/>
      </c>
      <c r="V18" s="58"/>
      <c r="W18" s="59" t="n">
        <f aca="false">IF(Horo8293[[#This Row],[O]]="o",Horo8293[[#This Row],[Durée]],".")</f>
        <v>0.75</v>
      </c>
      <c r="X18" s="60" t="n">
        <f aca="false">IF(Horo8293[[#This Row],[Début]]=0,"",Horo8293[[#This Row],[Fin]]-Horo8293[[#This Row],[Début]])</f>
        <v>0.03125</v>
      </c>
    </row>
    <row r="19" customFormat="false" ht="15" hidden="false" customHeight="false" outlineLevel="0" collapsed="false">
      <c r="A19" s="45" t="s">
        <v>31</v>
      </c>
      <c r="B19" s="111" t="n">
        <f aca="false">IF(Horo8293[[#This Row],[Jour]]="Lundi",$C$1+1, IF(Horo8293[[#This Row],[Jour]]="Mardi",$C$1+2, IF(Horo8293[[#This Row],[Jour]]="Mercredi",$C$1+3, IF(Horo8293[[#This Row],[Jour]]="Jeudi",$C$1+4, IF(Horo8293[[#This Row],[Jour]]="Vendredi",$C$1+5, IF(Horo8293[[#This Row],[Jour]]="Samedi",$C$1+6, IF(Horo8293[[#This Row],[Jour]]="Dimanche",$C$1, )))))))</f>
        <v>44363</v>
      </c>
      <c r="C19" s="47" t="s">
        <v>1</v>
      </c>
      <c r="D19" s="48" t="n">
        <v>0.614583333333333</v>
      </c>
      <c r="E19" s="48" t="n">
        <v>0.625</v>
      </c>
      <c r="F19" s="49" t="s">
        <v>61</v>
      </c>
      <c r="G19" s="49" t="s">
        <v>19</v>
      </c>
      <c r="H19" s="50" t="s">
        <v>114</v>
      </c>
      <c r="I19" s="61" t="s">
        <v>226</v>
      </c>
      <c r="J19" s="52" t="n">
        <f aca="false">IF(Horo8293[[#This Row],[Début]]=0,"",(Horo8293[[#This Row],[Durée (60)2]]-INT(Horo8293[[#This Row],[Durée (60)2]]))*24)</f>
        <v>0.249999999999999</v>
      </c>
      <c r="K19" s="62" t="n">
        <f aca="false">SUMIF(Horo8293[Jour],C19,Horo8293[Durée])</f>
        <v>8.75</v>
      </c>
      <c r="L19" s="54" t="n">
        <f aca="false">IFERROR(SUMIF(Horo8293[[#This Row],[Jour]],Horo8293[[#This Row],[Jour]],Horo8293[[#This Row],[GPF]]) / Horo8293[[#This Row],[hrs]],"")</f>
        <v>0.0285714285714285</v>
      </c>
      <c r="M19" s="56" t="n">
        <f aca="false">IF("GPF"=Horo8293[[#This Row],[Tâche]],Horo8293[[#This Row],[Durée]],"")</f>
        <v>0.249999999999999</v>
      </c>
      <c r="N19" s="56" t="str">
        <f aca="false">IF("RI"=Horo8293[[#This Row],[Tâche]],Horo8293[[#This Row],[Durée]],"")</f>
        <v/>
      </c>
      <c r="O19" s="56" t="str">
        <f aca="false">IF("GB"=Horo8293[[#This Row],[Tâche]],Horo8293[[#This Row],[Durée]],"")</f>
        <v/>
      </c>
      <c r="P19" s="56" t="str">
        <f aca="false">IF("RD"=Horo8293[[#This Row],[Tâche]],Horo8293[[#This Row],[Durée]],"")</f>
        <v/>
      </c>
      <c r="Q19" s="56" t="str">
        <f aca="false">IF("FG"=Horo8293[[#This Row],[Tâche]],Horo8293[[#This Row],[Durée]],"")</f>
        <v/>
      </c>
      <c r="R19" s="56" t="str">
        <f aca="false">IF("CONGÉ"=Horo8293[[#This Row],[Tâche]],Horo8293[[#This Row],[Durée]],"")</f>
        <v/>
      </c>
      <c r="S19" s="57" t="str">
        <f aca="false">IF("PS"=Horo8293[[#This Row],[Tâche]],Horo8293[[#This Row],[Durée]],"")</f>
        <v/>
      </c>
      <c r="T19" s="56" t="str">
        <f aca="false">IF("TD"=Horo8293[[#This Row],[Tâche]],Horo8293[[#This Row],[Durée]],"")</f>
        <v/>
      </c>
      <c r="U19" s="55" t="str">
        <f aca="false">IF("N/C"=Horo8293[[#This Row],[Tâche]],Horo8293[[#This Row],[Durée]],"")</f>
        <v/>
      </c>
      <c r="V19" s="58"/>
      <c r="W19" s="59" t="n">
        <f aca="false">IF(Horo8293[[#This Row],[O]]="o",Horo8293[[#This Row],[Durée]],".")</f>
        <v>0.249999999999999</v>
      </c>
      <c r="X19" s="60" t="n">
        <f aca="false">IF(Horo8293[[#This Row],[Début]]=0,"",Horo8293[[#This Row],[Fin]]-Horo8293[[#This Row],[Début]])</f>
        <v>0.0104166666666666</v>
      </c>
    </row>
    <row r="20" customFormat="false" ht="15" hidden="false" customHeight="false" outlineLevel="0" collapsed="false">
      <c r="A20" s="45" t="s">
        <v>31</v>
      </c>
      <c r="B20" s="111" t="n">
        <f aca="false">IF(Horo8293[[#This Row],[Jour]]="Lundi",$C$1+1, IF(Horo8293[[#This Row],[Jour]]="Mardi",$C$1+2, IF(Horo8293[[#This Row],[Jour]]="Mercredi",$C$1+3, IF(Horo8293[[#This Row],[Jour]]="Jeudi",$C$1+4, IF(Horo8293[[#This Row],[Jour]]="Vendredi",$C$1+5, IF(Horo8293[[#This Row],[Jour]]="Samedi",$C$1+6, IF(Horo8293[[#This Row],[Jour]]="Dimanche",$C$1, )))))))</f>
        <v>44363</v>
      </c>
      <c r="C20" s="47" t="s">
        <v>1</v>
      </c>
      <c r="D20" s="48" t="n">
        <v>0.625</v>
      </c>
      <c r="E20" s="48" t="n">
        <v>0.729166666666667</v>
      </c>
      <c r="F20" s="49" t="s">
        <v>61</v>
      </c>
      <c r="G20" s="49" t="s">
        <v>22</v>
      </c>
      <c r="H20" s="50"/>
      <c r="I20" s="61" t="s">
        <v>227</v>
      </c>
      <c r="J20" s="52" t="n">
        <f aca="false">IF(Horo8293[[#This Row],[Début]]=0,"",(Horo8293[[#This Row],[Durée (60)2]]-INT(Horo8293[[#This Row],[Durée (60)2]]))*24)</f>
        <v>2.5</v>
      </c>
      <c r="K20" s="62" t="n">
        <f aca="false">SUMIF(Horo8293[Jour],C20,Horo8293[Durée])</f>
        <v>8.75</v>
      </c>
      <c r="L20" s="54" t="n">
        <f aca="false">IFERROR(SUMIF(Horo8293[[#This Row],[Jour]],Horo8293[[#This Row],[Jour]],Horo8293[[#This Row],[GPF]]) / Horo8293[[#This Row],[hrs]],"")</f>
        <v>0</v>
      </c>
      <c r="M20" s="56" t="str">
        <f aca="false">IF("GPF"=Horo8293[[#This Row],[Tâche]],Horo8293[[#This Row],[Durée]],"")</f>
        <v/>
      </c>
      <c r="N20" s="56" t="str">
        <f aca="false">IF("RI"=Horo8293[[#This Row],[Tâche]],Horo8293[[#This Row],[Durée]],"")</f>
        <v/>
      </c>
      <c r="O20" s="56" t="str">
        <f aca="false">IF("GB"=Horo8293[[#This Row],[Tâche]],Horo8293[[#This Row],[Durée]],"")</f>
        <v/>
      </c>
      <c r="P20" s="56" t="n">
        <f aca="false">IF("RD"=Horo8293[[#This Row],[Tâche]],Horo8293[[#This Row],[Durée]],"")</f>
        <v>2.5</v>
      </c>
      <c r="Q20" s="56" t="str">
        <f aca="false">IF("FG"=Horo8293[[#This Row],[Tâche]],Horo8293[[#This Row],[Durée]],"")</f>
        <v/>
      </c>
      <c r="R20" s="56" t="str">
        <f aca="false">IF("CONGÉ"=Horo8293[[#This Row],[Tâche]],Horo8293[[#This Row],[Durée]],"")</f>
        <v/>
      </c>
      <c r="S20" s="57" t="str">
        <f aca="false">IF("PS"=Horo8293[[#This Row],[Tâche]],Horo8293[[#This Row],[Durée]],"")</f>
        <v/>
      </c>
      <c r="T20" s="56" t="str">
        <f aca="false">IF("TD"=Horo8293[[#This Row],[Tâche]],Horo8293[[#This Row],[Durée]],"")</f>
        <v/>
      </c>
      <c r="U20" s="55" t="str">
        <f aca="false">IF("N/C"=Horo8293[[#This Row],[Tâche]],Horo8293[[#This Row],[Durée]],"")</f>
        <v/>
      </c>
      <c r="V20" s="58"/>
      <c r="W20" s="59" t="n">
        <f aca="false">IF(Horo8293[[#This Row],[O]]="o",Horo8293[[#This Row],[Durée]],".")</f>
        <v>2.5</v>
      </c>
      <c r="X20" s="60" t="n">
        <f aca="false">IF(Horo8293[[#This Row],[Début]]=0,"",Horo8293[[#This Row],[Fin]]-Horo8293[[#This Row],[Début]])</f>
        <v>0.104166666666667</v>
      </c>
    </row>
    <row r="21" customFormat="false" ht="15" hidden="false" customHeight="false" outlineLevel="0" collapsed="false">
      <c r="A21" s="45" t="s">
        <v>31</v>
      </c>
      <c r="B21" s="111" t="n">
        <f aca="false">IF(Horo8293[[#This Row],[Jour]]="Lundi",$C$1+1, IF(Horo8293[[#This Row],[Jour]]="Mardi",$C$1+2, IF(Horo8293[[#This Row],[Jour]]="Mercredi",$C$1+3, IF(Horo8293[[#This Row],[Jour]]="Jeudi",$C$1+4, IF(Horo8293[[#This Row],[Jour]]="Vendredi",$C$1+5, IF(Horo8293[[#This Row],[Jour]]="Samedi",$C$1+6, IF(Horo8293[[#This Row],[Jour]]="Dimanche",$C$1, )))))))</f>
        <v>44363</v>
      </c>
      <c r="C21" s="47" t="s">
        <v>1</v>
      </c>
      <c r="D21" s="48" t="n">
        <v>0.729166666666667</v>
      </c>
      <c r="E21" s="48" t="n">
        <v>0.791666666666667</v>
      </c>
      <c r="F21" s="49" t="s">
        <v>32</v>
      </c>
      <c r="G21" s="49" t="s">
        <v>23</v>
      </c>
      <c r="H21" s="50" t="s">
        <v>204</v>
      </c>
      <c r="I21" s="61" t="s">
        <v>205</v>
      </c>
      <c r="J21" s="52" t="n">
        <f aca="false">IF(Horo8293[[#This Row],[Début]]=0,"",(Horo8293[[#This Row],[Durée (60)2]]-INT(Horo8293[[#This Row],[Durée (60)2]]))*24)</f>
        <v>1.5</v>
      </c>
      <c r="K21" s="62" t="n">
        <f aca="false">SUMIF(Horo8293[Jour],C21,Horo8293[Durée])</f>
        <v>8.75</v>
      </c>
      <c r="L21" s="54" t="n">
        <f aca="false">IFERROR(SUMIF(Horo8293[[#This Row],[Jour]],Horo8293[[#This Row],[Jour]],Horo8293[[#This Row],[GPF]]) / Horo8293[[#This Row],[hrs]],"")</f>
        <v>0</v>
      </c>
      <c r="M21" s="56" t="str">
        <f aca="false">IF("GPF"=Horo8293[[#This Row],[Tâche]],Horo8293[[#This Row],[Durée]],"")</f>
        <v/>
      </c>
      <c r="N21" s="56" t="str">
        <f aca="false">IF("RI"=Horo8293[[#This Row],[Tâche]],Horo8293[[#This Row],[Durée]],"")</f>
        <v/>
      </c>
      <c r="O21" s="56" t="str">
        <f aca="false">IF("GB"=Horo8293[[#This Row],[Tâche]],Horo8293[[#This Row],[Durée]],"")</f>
        <v/>
      </c>
      <c r="P21" s="56" t="str">
        <f aca="false">IF("RD"=Horo8293[[#This Row],[Tâche]],Horo8293[[#This Row],[Durée]],"")</f>
        <v/>
      </c>
      <c r="Q21" s="56" t="n">
        <f aca="false">IF("FG"=Horo8293[[#This Row],[Tâche]],Horo8293[[#This Row],[Durée]],"")</f>
        <v>1.5</v>
      </c>
      <c r="R21" s="56" t="str">
        <f aca="false">IF("CONGÉ"=Horo8293[[#This Row],[Tâche]],Horo8293[[#This Row],[Durée]],"")</f>
        <v/>
      </c>
      <c r="S21" s="57" t="str">
        <f aca="false">IF("PS"=Horo8293[[#This Row],[Tâche]],Horo8293[[#This Row],[Durée]],"")</f>
        <v/>
      </c>
      <c r="T21" s="56" t="str">
        <f aca="false">IF("TD"=Horo8293[[#This Row],[Tâche]],Horo8293[[#This Row],[Durée]],"")</f>
        <v/>
      </c>
      <c r="U21" s="55" t="str">
        <f aca="false">IF("N/C"=Horo8293[[#This Row],[Tâche]],Horo8293[[#This Row],[Durée]],"")</f>
        <v/>
      </c>
      <c r="V21" s="58"/>
      <c r="W21" s="59" t="n">
        <f aca="false">IF(Horo8293[[#This Row],[O]]="o",Horo8293[[#This Row],[Durée]],".")</f>
        <v>1.5</v>
      </c>
      <c r="X21" s="60" t="n">
        <f aca="false">IF(Horo8293[[#This Row],[Début]]=0,"",Horo8293[[#This Row],[Fin]]-Horo8293[[#This Row],[Début]])</f>
        <v>0.0625</v>
      </c>
    </row>
    <row r="22" customFormat="false" ht="15" hidden="false" customHeight="false" outlineLevel="0" collapsed="false">
      <c r="A22" s="45" t="s">
        <v>31</v>
      </c>
      <c r="B22" s="111" t="n">
        <f aca="false">IF(Horo8293[[#This Row],[Jour]]="Lundi",$C$1+1, IF(Horo8293[[#This Row],[Jour]]="Mardi",$C$1+2, IF(Horo8293[[#This Row],[Jour]]="Mercredi",$C$1+3, IF(Horo8293[[#This Row],[Jour]]="Jeudi",$C$1+4, IF(Horo8293[[#This Row],[Jour]]="Vendredi",$C$1+5, IF(Horo8293[[#This Row],[Jour]]="Samedi",$C$1+6, IF(Horo8293[[#This Row],[Jour]]="Dimanche",$C$1, )))))))</f>
        <v>44364</v>
      </c>
      <c r="C22" s="47" t="s">
        <v>2</v>
      </c>
      <c r="D22" s="48" t="n">
        <v>0.333333333333333</v>
      </c>
      <c r="E22" s="48" t="n">
        <v>0.354166666666667</v>
      </c>
      <c r="F22" s="49" t="s">
        <v>32</v>
      </c>
      <c r="G22" s="49" t="s">
        <v>21</v>
      </c>
      <c r="H22" s="50" t="s">
        <v>201</v>
      </c>
      <c r="I22" s="61"/>
      <c r="J22" s="52" t="n">
        <f aca="false">IF(Horo8293[[#This Row],[Début]]=0,"",(Horo8293[[#This Row],[Durée (60)2]]-INT(Horo8293[[#This Row],[Durée (60)2]]))*24)</f>
        <v>0.500000000000001</v>
      </c>
      <c r="K22" s="62" t="n">
        <f aca="false">SUMIF(Horo8293[Jour],C22,Horo8293[Durée])</f>
        <v>8</v>
      </c>
      <c r="L22" s="54" t="n">
        <f aca="false">IFERROR(SUMIF(Horo8293[[#This Row],[Jour]],Horo8293[[#This Row],[Jour]],Horo8293[[#This Row],[GPF]]) / Horo8293[[#This Row],[hrs]],"")</f>
        <v>0</v>
      </c>
      <c r="M22" s="56" t="str">
        <f aca="false">IF("GPF"=Horo8293[[#This Row],[Tâche]],Horo8293[[#This Row],[Durée]],"")</f>
        <v/>
      </c>
      <c r="N22" s="56" t="str">
        <f aca="false">IF("RI"=Horo8293[[#This Row],[Tâche]],Horo8293[[#This Row],[Durée]],"")</f>
        <v/>
      </c>
      <c r="O22" s="56" t="n">
        <f aca="false">IF("GB"=Horo8293[[#This Row],[Tâche]],Horo8293[[#This Row],[Durée]],"")</f>
        <v>0.500000000000001</v>
      </c>
      <c r="P22" s="56" t="str">
        <f aca="false">IF("RD"=Horo8293[[#This Row],[Tâche]],Horo8293[[#This Row],[Durée]],"")</f>
        <v/>
      </c>
      <c r="Q22" s="56" t="str">
        <f aca="false">IF("FG"=Horo8293[[#This Row],[Tâche]],Horo8293[[#This Row],[Durée]],"")</f>
        <v/>
      </c>
      <c r="R22" s="56" t="str">
        <f aca="false">IF("CONGÉ"=Horo8293[[#This Row],[Tâche]],Horo8293[[#This Row],[Durée]],"")</f>
        <v/>
      </c>
      <c r="S22" s="56" t="str">
        <f aca="false">IF("PS"=Horo8293[[#This Row],[Tâche]],Horo8293[[#This Row],[Durée]],"")</f>
        <v/>
      </c>
      <c r="T22" s="56" t="str">
        <f aca="false">IF("TD"=Horo8293[[#This Row],[Tâche]],Horo8293[[#This Row],[Durée]],"")</f>
        <v/>
      </c>
      <c r="U22" s="56" t="str">
        <f aca="false">IF("N/C"=Horo8293[[#This Row],[Tâche]],Horo8293[[#This Row],[Durée]],"")</f>
        <v/>
      </c>
      <c r="V22" s="58"/>
      <c r="W22" s="59" t="n">
        <f aca="false">IF(Horo8293[[#This Row],[O]]="o",Horo8293[[#This Row],[Durée]],".")</f>
        <v>0.500000000000001</v>
      </c>
      <c r="X22" s="64" t="n">
        <f aca="false">IF(Horo8293[[#This Row],[Début]]=0,"",Horo8293[[#This Row],[Fin]]-Horo8293[[#This Row],[Début]])</f>
        <v>0.0208333333333334</v>
      </c>
    </row>
    <row r="23" customFormat="false" ht="15" hidden="false" customHeight="false" outlineLevel="0" collapsed="false">
      <c r="A23" s="45" t="s">
        <v>33</v>
      </c>
      <c r="B23" s="111" t="n">
        <f aca="false">IF(Horo8293[[#This Row],[Jour]]="Lundi",$C$1+1, IF(Horo8293[[#This Row],[Jour]]="Mardi",$C$1+2, IF(Horo8293[[#This Row],[Jour]]="Mercredi",$C$1+3, IF(Horo8293[[#This Row],[Jour]]="Jeudi",$C$1+4, IF(Horo8293[[#This Row],[Jour]]="Vendredi",$C$1+5, IF(Horo8293[[#This Row],[Jour]]="Samedi",$C$1+6, IF(Horo8293[[#This Row],[Jour]]="Dimanche",$C$1, )))))))</f>
        <v>44364</v>
      </c>
      <c r="C23" s="47" t="s">
        <v>2</v>
      </c>
      <c r="D23" s="48" t="n">
        <v>0.354166666666667</v>
      </c>
      <c r="E23" s="48" t="n">
        <v>0.375</v>
      </c>
      <c r="F23" s="49" t="s">
        <v>61</v>
      </c>
      <c r="G23" s="49" t="s">
        <v>27</v>
      </c>
      <c r="H23" s="50" t="s">
        <v>35</v>
      </c>
      <c r="I23" s="61" t="s">
        <v>228</v>
      </c>
      <c r="J23" s="52" t="n">
        <f aca="false">IF(Horo8293[[#This Row],[Début]]=0,"",(Horo8293[[#This Row],[Durée (60)2]]-INT(Horo8293[[#This Row],[Durée (60)2]]))*24)</f>
        <v>0.5</v>
      </c>
      <c r="K23" s="62" t="n">
        <f aca="false">SUMIF(Horo8293[Jour],C23,Horo8293[Durée])</f>
        <v>8</v>
      </c>
      <c r="L23" s="54" t="n">
        <f aca="false">IFERROR(SUMIF(Horo8293[[#This Row],[Jour]],Horo8293[[#This Row],[Jour]],Horo8293[[#This Row],[GPF]]) / Horo8293[[#This Row],[hrs]],"")</f>
        <v>0</v>
      </c>
      <c r="M23" s="56" t="str">
        <f aca="false">IF("GPF"=Horo8293[[#This Row],[Tâche]],Horo8293[[#This Row],[Durée]],"")</f>
        <v/>
      </c>
      <c r="N23" s="56" t="str">
        <f aca="false">IF("RI"=Horo8293[[#This Row],[Tâche]],Horo8293[[#This Row],[Durée]],"")</f>
        <v/>
      </c>
      <c r="O23" s="56" t="str">
        <f aca="false">IF("GB"=Horo8293[[#This Row],[Tâche]],Horo8293[[#This Row],[Durée]],"")</f>
        <v/>
      </c>
      <c r="P23" s="56" t="str">
        <f aca="false">IF("RD"=Horo8293[[#This Row],[Tâche]],Horo8293[[#This Row],[Durée]],"")</f>
        <v/>
      </c>
      <c r="Q23" s="56" t="str">
        <f aca="false">IF("FG"=Horo8293[[#This Row],[Tâche]],Horo8293[[#This Row],[Durée]],"")</f>
        <v/>
      </c>
      <c r="R23" s="56" t="str">
        <f aca="false">IF("CONGÉ"=Horo8293[[#This Row],[Tâche]],Horo8293[[#This Row],[Durée]],"")</f>
        <v/>
      </c>
      <c r="S23" s="57" t="str">
        <f aca="false">IF("PS"=Horo8293[[#This Row],[Tâche]],Horo8293[[#This Row],[Durée]],"")</f>
        <v/>
      </c>
      <c r="T23" s="56" t="str">
        <f aca="false">IF("TD"=Horo8293[[#This Row],[Tâche]],Horo8293[[#This Row],[Durée]],"")</f>
        <v/>
      </c>
      <c r="U23" s="55" t="n">
        <f aca="false">IF("N/C"=Horo8293[[#This Row],[Tâche]],Horo8293[[#This Row],[Durée]],"")</f>
        <v>0.5</v>
      </c>
      <c r="V23" s="58"/>
      <c r="W23" s="59" t="str">
        <f aca="false">IF(Horo8293[[#This Row],[O]]="o",Horo8293[[#This Row],[Durée]],".")</f>
        <v>.</v>
      </c>
      <c r="X23" s="60" t="n">
        <f aca="false">IF(Horo8293[[#This Row],[Début]]=0,"",Horo8293[[#This Row],[Fin]]-Horo8293[[#This Row],[Début]])</f>
        <v>0.0208333333333333</v>
      </c>
    </row>
    <row r="24" customFormat="false" ht="15" hidden="false" customHeight="false" outlineLevel="0" collapsed="false">
      <c r="A24" s="45" t="s">
        <v>31</v>
      </c>
      <c r="B24" s="111" t="n">
        <f aca="false">IF(Horo8293[[#This Row],[Jour]]="Lundi",$C$1+1, IF(Horo8293[[#This Row],[Jour]]="Mardi",$C$1+2, IF(Horo8293[[#This Row],[Jour]]="Mercredi",$C$1+3, IF(Horo8293[[#This Row],[Jour]]="Jeudi",$C$1+4, IF(Horo8293[[#This Row],[Jour]]="Vendredi",$C$1+5, IF(Horo8293[[#This Row],[Jour]]="Samedi",$C$1+6, IF(Horo8293[[#This Row],[Jour]]="Dimanche",$C$1, )))))))</f>
        <v>44364</v>
      </c>
      <c r="C24" s="47" t="s">
        <v>2</v>
      </c>
      <c r="D24" s="48" t="n">
        <v>0.375</v>
      </c>
      <c r="E24" s="48" t="n">
        <v>0.5</v>
      </c>
      <c r="F24" s="49" t="s">
        <v>61</v>
      </c>
      <c r="G24" s="49" t="s">
        <v>19</v>
      </c>
      <c r="H24" s="50" t="s">
        <v>114</v>
      </c>
      <c r="I24" s="61" t="s">
        <v>229</v>
      </c>
      <c r="J24" s="52" t="n">
        <f aca="false">IF(Horo8293[[#This Row],[Début]]=0,"",(Horo8293[[#This Row],[Durée (60)2]]-INT(Horo8293[[#This Row],[Durée (60)2]]))*24)</f>
        <v>3</v>
      </c>
      <c r="K24" s="62" t="n">
        <f aca="false">SUMIF(Horo8293[Jour],C24,Horo8293[Durée])</f>
        <v>8</v>
      </c>
      <c r="L24" s="54" t="n">
        <f aca="false">IFERROR(SUMIF(Horo8293[[#This Row],[Jour]],Horo8293[[#This Row],[Jour]],Horo8293[[#This Row],[GPF]]) / Horo8293[[#This Row],[hrs]],"")</f>
        <v>0.375</v>
      </c>
      <c r="M24" s="56" t="n">
        <f aca="false">IF("GPF"=Horo8293[[#This Row],[Tâche]],Horo8293[[#This Row],[Durée]],"")</f>
        <v>3</v>
      </c>
      <c r="N24" s="56" t="str">
        <f aca="false">IF("RI"=Horo8293[[#This Row],[Tâche]],Horo8293[[#This Row],[Durée]],"")</f>
        <v/>
      </c>
      <c r="O24" s="56" t="str">
        <f aca="false">IF("GB"=Horo8293[[#This Row],[Tâche]],Horo8293[[#This Row],[Durée]],"")</f>
        <v/>
      </c>
      <c r="P24" s="56" t="str">
        <f aca="false">IF("RD"=Horo8293[[#This Row],[Tâche]],Horo8293[[#This Row],[Durée]],"")</f>
        <v/>
      </c>
      <c r="Q24" s="56" t="str">
        <f aca="false">IF("FG"=Horo8293[[#This Row],[Tâche]],Horo8293[[#This Row],[Durée]],"")</f>
        <v/>
      </c>
      <c r="R24" s="56" t="str">
        <f aca="false">IF("CONGÉ"=Horo8293[[#This Row],[Tâche]],Horo8293[[#This Row],[Durée]],"")</f>
        <v/>
      </c>
      <c r="S24" s="57" t="str">
        <f aca="false">IF("PS"=Horo8293[[#This Row],[Tâche]],Horo8293[[#This Row],[Durée]],"")</f>
        <v/>
      </c>
      <c r="T24" s="56" t="str">
        <f aca="false">IF("TD"=Horo8293[[#This Row],[Tâche]],Horo8293[[#This Row],[Durée]],"")</f>
        <v/>
      </c>
      <c r="U24" s="55" t="str">
        <f aca="false">IF("N/C"=Horo8293[[#This Row],[Tâche]],Horo8293[[#This Row],[Durée]],"")</f>
        <v/>
      </c>
      <c r="V24" s="58"/>
      <c r="W24" s="59" t="n">
        <f aca="false">IF(Horo8293[[#This Row],[O]]="o",Horo8293[[#This Row],[Durée]],".")</f>
        <v>3</v>
      </c>
      <c r="X24" s="60" t="n">
        <f aca="false">IF(Horo8293[[#This Row],[Début]]=0,"",Horo8293[[#This Row],[Fin]]-Horo8293[[#This Row],[Début]])</f>
        <v>0.125</v>
      </c>
    </row>
    <row r="25" customFormat="false" ht="15" hidden="false" customHeight="false" outlineLevel="0" collapsed="false">
      <c r="A25" s="45" t="s">
        <v>31</v>
      </c>
      <c r="B25" s="111" t="n">
        <f aca="false">IF(Horo8293[[#This Row],[Jour]]="Lundi",$C$1+1, IF(Horo8293[[#This Row],[Jour]]="Mardi",$C$1+2, IF(Horo8293[[#This Row],[Jour]]="Mercredi",$C$1+3, IF(Horo8293[[#This Row],[Jour]]="Jeudi",$C$1+4, IF(Horo8293[[#This Row],[Jour]]="Vendredi",$C$1+5, IF(Horo8293[[#This Row],[Jour]]="Samedi",$C$1+6, IF(Horo8293[[#This Row],[Jour]]="Dimanche",$C$1, )))))))</f>
        <v>44364</v>
      </c>
      <c r="C25" s="47" t="s">
        <v>2</v>
      </c>
      <c r="D25" s="48" t="n">
        <v>0.583333333333333</v>
      </c>
      <c r="E25" s="48" t="n">
        <v>0.666666666666667</v>
      </c>
      <c r="F25" s="49" t="s">
        <v>61</v>
      </c>
      <c r="G25" s="49" t="s">
        <v>19</v>
      </c>
      <c r="H25" s="50" t="s">
        <v>114</v>
      </c>
      <c r="I25" s="61" t="s">
        <v>229</v>
      </c>
      <c r="J25" s="52" t="n">
        <f aca="false">IF(Horo8293[[#This Row],[Début]]=0,"",(Horo8293[[#This Row],[Durée (60)2]]-INT(Horo8293[[#This Row],[Durée (60)2]]))*24)</f>
        <v>2</v>
      </c>
      <c r="K25" s="62" t="n">
        <f aca="false">SUMIF(Horo8293[Jour],C25,Horo8293[Durée])</f>
        <v>8</v>
      </c>
      <c r="L25" s="54" t="n">
        <f aca="false">IFERROR(SUMIF(Horo8293[[#This Row],[Jour]],Horo8293[[#This Row],[Jour]],Horo8293[[#This Row],[GPF]]) / Horo8293[[#This Row],[hrs]],"")</f>
        <v>0.25</v>
      </c>
      <c r="M25" s="56" t="n">
        <f aca="false">IF("GPF"=Horo8293[[#This Row],[Tâche]],Horo8293[[#This Row],[Durée]],"")</f>
        <v>2</v>
      </c>
      <c r="N25" s="56" t="str">
        <f aca="false">IF("RI"=Horo8293[[#This Row],[Tâche]],Horo8293[[#This Row],[Durée]],"")</f>
        <v/>
      </c>
      <c r="O25" s="56" t="str">
        <f aca="false">IF("GB"=Horo8293[[#This Row],[Tâche]],Horo8293[[#This Row],[Durée]],"")</f>
        <v/>
      </c>
      <c r="P25" s="56" t="str">
        <f aca="false">IF("RD"=Horo8293[[#This Row],[Tâche]],Horo8293[[#This Row],[Durée]],"")</f>
        <v/>
      </c>
      <c r="Q25" s="56" t="str">
        <f aca="false">IF("FG"=Horo8293[[#This Row],[Tâche]],Horo8293[[#This Row],[Durée]],"")</f>
        <v/>
      </c>
      <c r="R25" s="56" t="str">
        <f aca="false">IF("CONGÉ"=Horo8293[[#This Row],[Tâche]],Horo8293[[#This Row],[Durée]],"")</f>
        <v/>
      </c>
      <c r="S25" s="57" t="str">
        <f aca="false">IF("PS"=Horo8293[[#This Row],[Tâche]],Horo8293[[#This Row],[Durée]],"")</f>
        <v/>
      </c>
      <c r="T25" s="56" t="str">
        <f aca="false">IF("TD"=Horo8293[[#This Row],[Tâche]],Horo8293[[#This Row],[Durée]],"")</f>
        <v/>
      </c>
      <c r="U25" s="55" t="str">
        <f aca="false">IF("N/C"=Horo8293[[#This Row],[Tâche]],Horo8293[[#This Row],[Durée]],"")</f>
        <v/>
      </c>
      <c r="V25" s="58"/>
      <c r="W25" s="59" t="n">
        <f aca="false">IF(Horo8293[[#This Row],[O]]="o",Horo8293[[#This Row],[Durée]],".")</f>
        <v>2</v>
      </c>
      <c r="X25" s="60" t="n">
        <f aca="false">IF(Horo8293[[#This Row],[Début]]=0,"",Horo8293[[#This Row],[Fin]]-Horo8293[[#This Row],[Début]])</f>
        <v>0.0833333333333333</v>
      </c>
    </row>
    <row r="26" customFormat="false" ht="15" hidden="false" customHeight="false" outlineLevel="0" collapsed="false">
      <c r="A26" s="45" t="s">
        <v>31</v>
      </c>
      <c r="B26" s="111" t="n">
        <f aca="false">IF(Horo8293[[#This Row],[Jour]]="Lundi",$C$1+1, IF(Horo8293[[#This Row],[Jour]]="Mardi",$C$1+2, IF(Horo8293[[#This Row],[Jour]]="Mercredi",$C$1+3, IF(Horo8293[[#This Row],[Jour]]="Jeudi",$C$1+4, IF(Horo8293[[#This Row],[Jour]]="Vendredi",$C$1+5, IF(Horo8293[[#This Row],[Jour]]="Samedi",$C$1+6, IF(Horo8293[[#This Row],[Jour]]="Dimanche",$C$1, )))))))</f>
        <v>44364</v>
      </c>
      <c r="C26" s="47" t="s">
        <v>2</v>
      </c>
      <c r="D26" s="48" t="n">
        <v>0.666666666666667</v>
      </c>
      <c r="E26" s="48" t="n">
        <v>0.708333333333333</v>
      </c>
      <c r="F26" s="49" t="s">
        <v>32</v>
      </c>
      <c r="G26" s="49" t="s">
        <v>22</v>
      </c>
      <c r="H26" s="50" t="s">
        <v>201</v>
      </c>
      <c r="I26" s="61"/>
      <c r="J26" s="52" t="n">
        <f aca="false">IF(Horo8293[[#This Row],[Début]]=0,"",(Horo8293[[#This Row],[Durée (60)2]]-INT(Horo8293[[#This Row],[Durée (60)2]]))*24)</f>
        <v>1</v>
      </c>
      <c r="K26" s="62" t="n">
        <f aca="false">SUMIF(Horo8293[Jour],C26,Horo8293[Durée])</f>
        <v>8</v>
      </c>
      <c r="L26" s="54" t="n">
        <f aca="false">IFERROR(SUMIF(Horo8293[[#This Row],[Jour]],Horo8293[[#This Row],[Jour]],Horo8293[[#This Row],[GPF]]) / Horo8293[[#This Row],[hrs]],"")</f>
        <v>0</v>
      </c>
      <c r="M26" s="56" t="str">
        <f aca="false">IF("GPF"=Horo8293[[#This Row],[Tâche]],Horo8293[[#This Row],[Durée]],"")</f>
        <v/>
      </c>
      <c r="N26" s="56" t="str">
        <f aca="false">IF("RI"=Horo8293[[#This Row],[Tâche]],Horo8293[[#This Row],[Durée]],"")</f>
        <v/>
      </c>
      <c r="O26" s="56" t="str">
        <f aca="false">IF("GB"=Horo8293[[#This Row],[Tâche]],Horo8293[[#This Row],[Durée]],"")</f>
        <v/>
      </c>
      <c r="P26" s="56" t="n">
        <f aca="false">IF("RD"=Horo8293[[#This Row],[Tâche]],Horo8293[[#This Row],[Durée]],"")</f>
        <v>1</v>
      </c>
      <c r="Q26" s="56" t="str">
        <f aca="false">IF("FG"=Horo8293[[#This Row],[Tâche]],Horo8293[[#This Row],[Durée]],"")</f>
        <v/>
      </c>
      <c r="R26" s="56" t="str">
        <f aca="false">IF("CONGÉ"=Horo8293[[#This Row],[Tâche]],Horo8293[[#This Row],[Durée]],"")</f>
        <v/>
      </c>
      <c r="S26" s="57" t="str">
        <f aca="false">IF("PS"=Horo8293[[#This Row],[Tâche]],Horo8293[[#This Row],[Durée]],"")</f>
        <v/>
      </c>
      <c r="T26" s="56" t="str">
        <f aca="false">IF("TD"=Horo8293[[#This Row],[Tâche]],Horo8293[[#This Row],[Durée]],"")</f>
        <v/>
      </c>
      <c r="U26" s="55" t="str">
        <f aca="false">IF("N/C"=Horo8293[[#This Row],[Tâche]],Horo8293[[#This Row],[Durée]],"")</f>
        <v/>
      </c>
      <c r="V26" s="58"/>
      <c r="W26" s="59" t="n">
        <f aca="false">IF(Horo8293[[#This Row],[O]]="o",Horo8293[[#This Row],[Durée]],".")</f>
        <v>1</v>
      </c>
      <c r="X26" s="60" t="n">
        <f aca="false">IF(Horo8293[[#This Row],[Début]]=0,"",Horo8293[[#This Row],[Fin]]-Horo8293[[#This Row],[Début]])</f>
        <v>0.0416666666666667</v>
      </c>
    </row>
    <row r="27" customFormat="false" ht="15" hidden="false" customHeight="false" outlineLevel="0" collapsed="false">
      <c r="A27" s="45" t="s">
        <v>31</v>
      </c>
      <c r="B27" s="111" t="n">
        <f aca="false">IF(Horo8293[[#This Row],[Jour]]="Lundi",$C$1+1, IF(Horo8293[[#This Row],[Jour]]="Mardi",$C$1+2, IF(Horo8293[[#This Row],[Jour]]="Mercredi",$C$1+3, IF(Horo8293[[#This Row],[Jour]]="Jeudi",$C$1+4, IF(Horo8293[[#This Row],[Jour]]="Vendredi",$C$1+5, IF(Horo8293[[#This Row],[Jour]]="Samedi",$C$1+6, IF(Horo8293[[#This Row],[Jour]]="Dimanche",$C$1, )))))))</f>
        <v>44364</v>
      </c>
      <c r="C27" s="47" t="s">
        <v>2</v>
      </c>
      <c r="D27" s="48" t="n">
        <v>0.708333333333333</v>
      </c>
      <c r="E27" s="48" t="n">
        <v>0.75</v>
      </c>
      <c r="F27" s="49" t="s">
        <v>32</v>
      </c>
      <c r="G27" s="49" t="s">
        <v>23</v>
      </c>
      <c r="H27" s="50" t="s">
        <v>201</v>
      </c>
      <c r="I27" s="61"/>
      <c r="J27" s="52" t="n">
        <f aca="false">IF(Horo8293[[#This Row],[Début]]=0,"",(Horo8293[[#This Row],[Durée (60)2]]-INT(Horo8293[[#This Row],[Durée (60)2]]))*24)</f>
        <v>0.999999999999999</v>
      </c>
      <c r="K27" s="62" t="n">
        <f aca="false">SUMIF(Horo8293[Jour],C27,Horo8293[Durée])</f>
        <v>8</v>
      </c>
      <c r="L27" s="54" t="n">
        <f aca="false">IFERROR(SUMIF(Horo8293[[#This Row],[Jour]],Horo8293[[#This Row],[Jour]],Horo8293[[#This Row],[GPF]]) / Horo8293[[#This Row],[hrs]],"")</f>
        <v>0</v>
      </c>
      <c r="M27" s="56" t="str">
        <f aca="false">IF("GPF"=Horo8293[[#This Row],[Tâche]],Horo8293[[#This Row],[Durée]],"")</f>
        <v/>
      </c>
      <c r="N27" s="56" t="str">
        <f aca="false">IF("RI"=Horo8293[[#This Row],[Tâche]],Horo8293[[#This Row],[Durée]],"")</f>
        <v/>
      </c>
      <c r="O27" s="56" t="str">
        <f aca="false">IF("GB"=Horo8293[[#This Row],[Tâche]],Horo8293[[#This Row],[Durée]],"")</f>
        <v/>
      </c>
      <c r="P27" s="56" t="str">
        <f aca="false">IF("RD"=Horo8293[[#This Row],[Tâche]],Horo8293[[#This Row],[Durée]],"")</f>
        <v/>
      </c>
      <c r="Q27" s="56" t="n">
        <f aca="false">IF("FG"=Horo8293[[#This Row],[Tâche]],Horo8293[[#This Row],[Durée]],"")</f>
        <v>0.999999999999999</v>
      </c>
      <c r="R27" s="56" t="str">
        <f aca="false">IF("CONGÉ"=Horo8293[[#This Row],[Tâche]],Horo8293[[#This Row],[Durée]],"")</f>
        <v/>
      </c>
      <c r="S27" s="57" t="str">
        <f aca="false">IF("PS"=Horo8293[[#This Row],[Tâche]],Horo8293[[#This Row],[Durée]],"")</f>
        <v/>
      </c>
      <c r="T27" s="56" t="str">
        <f aca="false">IF("TD"=Horo8293[[#This Row],[Tâche]],Horo8293[[#This Row],[Durée]],"")</f>
        <v/>
      </c>
      <c r="U27" s="55" t="str">
        <f aca="false">IF("N/C"=Horo8293[[#This Row],[Tâche]],Horo8293[[#This Row],[Durée]],"")</f>
        <v/>
      </c>
      <c r="V27" s="58"/>
      <c r="W27" s="59" t="n">
        <f aca="false">IF(Horo8293[[#This Row],[O]]="o",Horo8293[[#This Row],[Durée]],".")</f>
        <v>0.999999999999999</v>
      </c>
      <c r="X27" s="60" t="n">
        <f aca="false">IF(Horo8293[[#This Row],[Début]]=0,"",Horo8293[[#This Row],[Fin]]-Horo8293[[#This Row],[Début]])</f>
        <v>0.0416666666666666</v>
      </c>
    </row>
    <row r="28" customFormat="false" ht="15" hidden="false" customHeight="false" outlineLevel="0" collapsed="false">
      <c r="A28" s="45" t="s">
        <v>31</v>
      </c>
      <c r="B28" s="111" t="n">
        <f aca="false">IF(Horo8293[[#This Row],[Jour]]="Lundi",$C$1+1, IF(Horo8293[[#This Row],[Jour]]="Mardi",$C$1+2, IF(Horo8293[[#This Row],[Jour]]="Mercredi",$C$1+3, IF(Horo8293[[#This Row],[Jour]]="Jeudi",$C$1+4, IF(Horo8293[[#This Row],[Jour]]="Vendredi",$C$1+5, IF(Horo8293[[#This Row],[Jour]]="Samedi",$C$1+6, IF(Horo8293[[#This Row],[Jour]]="Dimanche",$C$1, )))))))</f>
        <v>44365</v>
      </c>
      <c r="C28" s="47" t="s">
        <v>3</v>
      </c>
      <c r="D28" s="48" t="n">
        <v>0.333333333333333</v>
      </c>
      <c r="E28" s="48" t="n">
        <v>0.354166666666667</v>
      </c>
      <c r="F28" s="49" t="s">
        <v>61</v>
      </c>
      <c r="G28" s="49" t="s">
        <v>19</v>
      </c>
      <c r="H28" s="50" t="s">
        <v>114</v>
      </c>
      <c r="I28" s="61" t="s">
        <v>230</v>
      </c>
      <c r="J28" s="52" t="n">
        <f aca="false">IF(Horo8293[[#This Row],[Début]]=0,"",(Horo8293[[#This Row],[Durée (60)2]]-INT(Horo8293[[#This Row],[Durée (60)2]]))*24)</f>
        <v>0.500000000000001</v>
      </c>
      <c r="K28" s="62" t="n">
        <f aca="false">SUMIF(Horo8293[Jour],C28,Horo8293[Durée])</f>
        <v>8</v>
      </c>
      <c r="L28" s="54" t="n">
        <f aca="false">IFERROR(SUMIF(Horo8293[[#This Row],[Jour]],Horo8293[[#This Row],[Jour]],Horo8293[[#This Row],[GPF]]) / Horo8293[[#This Row],[hrs]],"")</f>
        <v>0.0625000000000001</v>
      </c>
      <c r="M28" s="56" t="n">
        <f aca="false">IF("GPF"=Horo8293[[#This Row],[Tâche]],Horo8293[[#This Row],[Durée]],"")</f>
        <v>0.500000000000001</v>
      </c>
      <c r="N28" s="56" t="str">
        <f aca="false">IF("RI"=Horo8293[[#This Row],[Tâche]],Horo8293[[#This Row],[Durée]],"")</f>
        <v/>
      </c>
      <c r="O28" s="56" t="str">
        <f aca="false">IF("GB"=Horo8293[[#This Row],[Tâche]],Horo8293[[#This Row],[Durée]],"")</f>
        <v/>
      </c>
      <c r="P28" s="56" t="str">
        <f aca="false">IF("RD"=Horo8293[[#This Row],[Tâche]],Horo8293[[#This Row],[Durée]],"")</f>
        <v/>
      </c>
      <c r="Q28" s="56" t="str">
        <f aca="false">IF("FG"=Horo8293[[#This Row],[Tâche]],Horo8293[[#This Row],[Durée]],"")</f>
        <v/>
      </c>
      <c r="R28" s="56" t="str">
        <f aca="false">IF("CONGÉ"=Horo8293[[#This Row],[Tâche]],Horo8293[[#This Row],[Durée]],"")</f>
        <v/>
      </c>
      <c r="S28" s="56" t="str">
        <f aca="false">IF("PS"=Horo8293[[#This Row],[Tâche]],Horo8293[[#This Row],[Durée]],"")</f>
        <v/>
      </c>
      <c r="T28" s="56" t="str">
        <f aca="false">IF("TD"=Horo8293[[#This Row],[Tâche]],Horo8293[[#This Row],[Durée]],"")</f>
        <v/>
      </c>
      <c r="U28" s="56" t="str">
        <f aca="false">IF("N/C"=Horo8293[[#This Row],[Tâche]],Horo8293[[#This Row],[Durée]],"")</f>
        <v/>
      </c>
      <c r="V28" s="58"/>
      <c r="W28" s="59" t="n">
        <f aca="false">IF(Horo8293[[#This Row],[O]]="o",Horo8293[[#This Row],[Durée]],".")</f>
        <v>0.500000000000001</v>
      </c>
      <c r="X28" s="64" t="n">
        <f aca="false">IF(Horo8293[[#This Row],[Début]]=0,"",Horo8293[[#This Row],[Fin]]-Horo8293[[#This Row],[Début]])</f>
        <v>0.0208333333333334</v>
      </c>
    </row>
    <row r="29" customFormat="false" ht="15" hidden="false" customHeight="false" outlineLevel="0" collapsed="false">
      <c r="A29" s="45" t="s">
        <v>31</v>
      </c>
      <c r="B29" s="111" t="n">
        <f aca="false">IF(Horo8293[[#This Row],[Jour]]="Lundi",$C$1+1, IF(Horo8293[[#This Row],[Jour]]="Mardi",$C$1+2, IF(Horo8293[[#This Row],[Jour]]="Mercredi",$C$1+3, IF(Horo8293[[#This Row],[Jour]]="Jeudi",$C$1+4, IF(Horo8293[[#This Row],[Jour]]="Vendredi",$C$1+5, IF(Horo8293[[#This Row],[Jour]]="Samedi",$C$1+6, IF(Horo8293[[#This Row],[Jour]]="Dimanche",$C$1, )))))))</f>
        <v>44365</v>
      </c>
      <c r="C29" s="47" t="s">
        <v>3</v>
      </c>
      <c r="D29" s="48" t="n">
        <v>0.354166666666667</v>
      </c>
      <c r="E29" s="48" t="n">
        <v>0.395833333333333</v>
      </c>
      <c r="F29" s="49" t="s">
        <v>61</v>
      </c>
      <c r="G29" s="49" t="s">
        <v>19</v>
      </c>
      <c r="H29" s="50" t="s">
        <v>114</v>
      </c>
      <c r="I29" s="61" t="s">
        <v>229</v>
      </c>
      <c r="J29" s="52" t="n">
        <f aca="false">IF(Horo8293[[#This Row],[Début]]=0,"",(Horo8293[[#This Row],[Durée (60)2]]-INT(Horo8293[[#This Row],[Durée (60)2]]))*24)</f>
        <v>0.999999999999999</v>
      </c>
      <c r="K29" s="62" t="n">
        <f aca="false">SUMIF(Horo8293[Jour],C29,Horo8293[Durée])</f>
        <v>8</v>
      </c>
      <c r="L29" s="54" t="n">
        <f aca="false">IFERROR(SUMIF(Horo8293[[#This Row],[Jour]],Horo8293[[#This Row],[Jour]],Horo8293[[#This Row],[GPF]]) / Horo8293[[#This Row],[hrs]],"")</f>
        <v>0.125</v>
      </c>
      <c r="M29" s="56" t="n">
        <f aca="false">IF("GPF"=Horo8293[[#This Row],[Tâche]],Horo8293[[#This Row],[Durée]],"")</f>
        <v>0.999999999999999</v>
      </c>
      <c r="N29" s="56" t="str">
        <f aca="false">IF("RI"=Horo8293[[#This Row],[Tâche]],Horo8293[[#This Row],[Durée]],"")</f>
        <v/>
      </c>
      <c r="O29" s="56" t="str">
        <f aca="false">IF("GB"=Horo8293[[#This Row],[Tâche]],Horo8293[[#This Row],[Durée]],"")</f>
        <v/>
      </c>
      <c r="P29" s="56" t="str">
        <f aca="false">IF("RD"=Horo8293[[#This Row],[Tâche]],Horo8293[[#This Row],[Durée]],"")</f>
        <v/>
      </c>
      <c r="Q29" s="56" t="str">
        <f aca="false">IF("FG"=Horo8293[[#This Row],[Tâche]],Horo8293[[#This Row],[Durée]],"")</f>
        <v/>
      </c>
      <c r="R29" s="56" t="str">
        <f aca="false">IF("CONGÉ"=Horo8293[[#This Row],[Tâche]],Horo8293[[#This Row],[Durée]],"")</f>
        <v/>
      </c>
      <c r="S29" s="57" t="str">
        <f aca="false">IF("PS"=Horo8293[[#This Row],[Tâche]],Horo8293[[#This Row],[Durée]],"")</f>
        <v/>
      </c>
      <c r="T29" s="56" t="str">
        <f aca="false">IF("TD"=Horo8293[[#This Row],[Tâche]],Horo8293[[#This Row],[Durée]],"")</f>
        <v/>
      </c>
      <c r="U29" s="55" t="str">
        <f aca="false">IF("N/C"=Horo8293[[#This Row],[Tâche]],Horo8293[[#This Row],[Durée]],"")</f>
        <v/>
      </c>
      <c r="V29" s="58"/>
      <c r="W29" s="59" t="n">
        <f aca="false">IF(Horo8293[[#This Row],[O]]="o",Horo8293[[#This Row],[Durée]],".")</f>
        <v>0.999999999999999</v>
      </c>
      <c r="X29" s="60" t="n">
        <f aca="false">IF(Horo8293[[#This Row],[Début]]=0,"",Horo8293[[#This Row],[Fin]]-Horo8293[[#This Row],[Début]])</f>
        <v>0.0416666666666666</v>
      </c>
    </row>
    <row r="30" customFormat="false" ht="15" hidden="false" customHeight="false" outlineLevel="0" collapsed="false">
      <c r="A30" s="45" t="s">
        <v>31</v>
      </c>
      <c r="B30" s="111" t="n">
        <f aca="false">IF(Horo8293[[#This Row],[Jour]]="Lundi",$C$1+1, IF(Horo8293[[#This Row],[Jour]]="Mardi",$C$1+2, IF(Horo8293[[#This Row],[Jour]]="Mercredi",$C$1+3, IF(Horo8293[[#This Row],[Jour]]="Jeudi",$C$1+4, IF(Horo8293[[#This Row],[Jour]]="Vendredi",$C$1+5, IF(Horo8293[[#This Row],[Jour]]="Samedi",$C$1+6, IF(Horo8293[[#This Row],[Jour]]="Dimanche",$C$1, )))))))</f>
        <v>44365</v>
      </c>
      <c r="C30" s="47" t="s">
        <v>3</v>
      </c>
      <c r="D30" s="48" t="n">
        <v>0.395833333333333</v>
      </c>
      <c r="E30" s="48" t="n">
        <v>0.416666666666667</v>
      </c>
      <c r="F30" s="49" t="s">
        <v>61</v>
      </c>
      <c r="G30" s="49" t="s">
        <v>19</v>
      </c>
      <c r="H30" s="50" t="s">
        <v>114</v>
      </c>
      <c r="I30" s="61" t="s">
        <v>231</v>
      </c>
      <c r="J30" s="52" t="n">
        <f aca="false">IF(Horo8293[[#This Row],[Début]]=0,"",(Horo8293[[#This Row],[Durée (60)2]]-INT(Horo8293[[#This Row],[Durée (60)2]]))*24)</f>
        <v>0.500000000000001</v>
      </c>
      <c r="K30" s="62" t="n">
        <f aca="false">SUMIF(Horo8293[Jour],C30,Horo8293[Durée])</f>
        <v>8</v>
      </c>
      <c r="L30" s="54" t="n">
        <f aca="false">IFERROR(SUMIF(Horo8293[[#This Row],[Jour]],Horo8293[[#This Row],[Jour]],Horo8293[[#This Row],[GPF]]) / Horo8293[[#This Row],[hrs]],"")</f>
        <v>0.0625000000000001</v>
      </c>
      <c r="M30" s="56" t="n">
        <f aca="false">IF("GPF"=Horo8293[[#This Row],[Tâche]],Horo8293[[#This Row],[Durée]],"")</f>
        <v>0.500000000000001</v>
      </c>
      <c r="N30" s="56" t="str">
        <f aca="false">IF("RI"=Horo8293[[#This Row],[Tâche]],Horo8293[[#This Row],[Durée]],"")</f>
        <v/>
      </c>
      <c r="O30" s="56" t="str">
        <f aca="false">IF("GB"=Horo8293[[#This Row],[Tâche]],Horo8293[[#This Row],[Durée]],"")</f>
        <v/>
      </c>
      <c r="P30" s="56" t="str">
        <f aca="false">IF("RD"=Horo8293[[#This Row],[Tâche]],Horo8293[[#This Row],[Durée]],"")</f>
        <v/>
      </c>
      <c r="Q30" s="56" t="str">
        <f aca="false">IF("FG"=Horo8293[[#This Row],[Tâche]],Horo8293[[#This Row],[Durée]],"")</f>
        <v/>
      </c>
      <c r="R30" s="56" t="str">
        <f aca="false">IF("CONGÉ"=Horo8293[[#This Row],[Tâche]],Horo8293[[#This Row],[Durée]],"")</f>
        <v/>
      </c>
      <c r="S30" s="57" t="str">
        <f aca="false">IF("PS"=Horo8293[[#This Row],[Tâche]],Horo8293[[#This Row],[Durée]],"")</f>
        <v/>
      </c>
      <c r="T30" s="56" t="str">
        <f aca="false">IF("TD"=Horo8293[[#This Row],[Tâche]],Horo8293[[#This Row],[Durée]],"")</f>
        <v/>
      </c>
      <c r="U30" s="55" t="str">
        <f aca="false">IF("N/C"=Horo8293[[#This Row],[Tâche]],Horo8293[[#This Row],[Durée]],"")</f>
        <v/>
      </c>
      <c r="V30" s="58"/>
      <c r="W30" s="59" t="n">
        <f aca="false">IF(Horo8293[[#This Row],[O]]="o",Horo8293[[#This Row],[Durée]],".")</f>
        <v>0.500000000000001</v>
      </c>
      <c r="X30" s="60" t="n">
        <f aca="false">IF(Horo8293[[#This Row],[Début]]=0,"",Horo8293[[#This Row],[Fin]]-Horo8293[[#This Row],[Début]])</f>
        <v>0.0208333333333334</v>
      </c>
    </row>
    <row r="31" customFormat="false" ht="15" hidden="false" customHeight="false" outlineLevel="0" collapsed="false">
      <c r="A31" s="45" t="s">
        <v>31</v>
      </c>
      <c r="B31" s="111" t="n">
        <f aca="false">IF(Horo8293[[#This Row],[Jour]]="Lundi",$C$1+1, IF(Horo8293[[#This Row],[Jour]]="Mardi",$C$1+2, IF(Horo8293[[#This Row],[Jour]]="Mercredi",$C$1+3, IF(Horo8293[[#This Row],[Jour]]="Jeudi",$C$1+4, IF(Horo8293[[#This Row],[Jour]]="Vendredi",$C$1+5, IF(Horo8293[[#This Row],[Jour]]="Samedi",$C$1+6, IF(Horo8293[[#This Row],[Jour]]="Dimanche",$C$1, )))))))</f>
        <v>44365</v>
      </c>
      <c r="C31" s="47" t="s">
        <v>3</v>
      </c>
      <c r="D31" s="48" t="n">
        <v>0.416666666666667</v>
      </c>
      <c r="E31" s="48" t="n">
        <v>0.5</v>
      </c>
      <c r="F31" s="49" t="s">
        <v>61</v>
      </c>
      <c r="G31" s="49" t="s">
        <v>19</v>
      </c>
      <c r="H31" s="50" t="s">
        <v>114</v>
      </c>
      <c r="I31" s="61" t="s">
        <v>229</v>
      </c>
      <c r="J31" s="52" t="n">
        <f aca="false">IF(Horo8293[[#This Row],[Début]]=0,"",(Horo8293[[#This Row],[Durée (60)2]]-INT(Horo8293[[#This Row],[Durée (60)2]]))*24)</f>
        <v>2</v>
      </c>
      <c r="K31" s="62" t="n">
        <f aca="false">SUMIF(Horo8293[Jour],C31,Horo8293[Durée])</f>
        <v>8</v>
      </c>
      <c r="L31" s="54" t="n">
        <f aca="false">IFERROR(SUMIF(Horo8293[[#This Row],[Jour]],Horo8293[[#This Row],[Jour]],Horo8293[[#This Row],[GPF]]) / Horo8293[[#This Row],[hrs]],"")</f>
        <v>0.25</v>
      </c>
      <c r="M31" s="56" t="n">
        <f aca="false">IF("GPF"=Horo8293[[#This Row],[Tâche]],Horo8293[[#This Row],[Durée]],"")</f>
        <v>2</v>
      </c>
      <c r="N31" s="56" t="str">
        <f aca="false">IF("RI"=Horo8293[[#This Row],[Tâche]],Horo8293[[#This Row],[Durée]],"")</f>
        <v/>
      </c>
      <c r="O31" s="56" t="str">
        <f aca="false">IF("GB"=Horo8293[[#This Row],[Tâche]],Horo8293[[#This Row],[Durée]],"")</f>
        <v/>
      </c>
      <c r="P31" s="56" t="str">
        <f aca="false">IF("RD"=Horo8293[[#This Row],[Tâche]],Horo8293[[#This Row],[Durée]],"")</f>
        <v/>
      </c>
      <c r="Q31" s="56" t="str">
        <f aca="false">IF("FG"=Horo8293[[#This Row],[Tâche]],Horo8293[[#This Row],[Durée]],"")</f>
        <v/>
      </c>
      <c r="R31" s="56" t="str">
        <f aca="false">IF("CONGÉ"=Horo8293[[#This Row],[Tâche]],Horo8293[[#This Row],[Durée]],"")</f>
        <v/>
      </c>
      <c r="S31" s="57" t="str">
        <f aca="false">IF("PS"=Horo8293[[#This Row],[Tâche]],Horo8293[[#This Row],[Durée]],"")</f>
        <v/>
      </c>
      <c r="T31" s="56" t="str">
        <f aca="false">IF("TD"=Horo8293[[#This Row],[Tâche]],Horo8293[[#This Row],[Durée]],"")</f>
        <v/>
      </c>
      <c r="U31" s="55" t="str">
        <f aca="false">IF("N/C"=Horo8293[[#This Row],[Tâche]],Horo8293[[#This Row],[Durée]],"")</f>
        <v/>
      </c>
      <c r="V31" s="58"/>
      <c r="W31" s="59" t="n">
        <f aca="false">IF(Horo8293[[#This Row],[O]]="o",Horo8293[[#This Row],[Durée]],".")</f>
        <v>2</v>
      </c>
      <c r="X31" s="60" t="n">
        <f aca="false">IF(Horo8293[[#This Row],[Début]]=0,"",Horo8293[[#This Row],[Fin]]-Horo8293[[#This Row],[Début]])</f>
        <v>0.0833333333333333</v>
      </c>
    </row>
    <row r="32" customFormat="false" ht="15" hidden="false" customHeight="false" outlineLevel="0" collapsed="false">
      <c r="A32" s="45" t="s">
        <v>31</v>
      </c>
      <c r="B32" s="111" t="n">
        <f aca="false">IF(Horo8293[[#This Row],[Jour]]="Lundi",$C$1+1, IF(Horo8293[[#This Row],[Jour]]="Mardi",$C$1+2, IF(Horo8293[[#This Row],[Jour]]="Mercredi",$C$1+3, IF(Horo8293[[#This Row],[Jour]]="Jeudi",$C$1+4, IF(Horo8293[[#This Row],[Jour]]="Vendredi",$C$1+5, IF(Horo8293[[#This Row],[Jour]]="Samedi",$C$1+6, IF(Horo8293[[#This Row],[Jour]]="Dimanche",$C$1, )))))))</f>
        <v>44365</v>
      </c>
      <c r="C32" s="47" t="s">
        <v>3</v>
      </c>
      <c r="D32" s="48" t="n">
        <v>0.5625</v>
      </c>
      <c r="E32" s="48" t="n">
        <v>0.729166666666667</v>
      </c>
      <c r="F32" s="49" t="s">
        <v>61</v>
      </c>
      <c r="G32" s="49" t="s">
        <v>19</v>
      </c>
      <c r="H32" s="50" t="s">
        <v>114</v>
      </c>
      <c r="I32" s="61" t="s">
        <v>232</v>
      </c>
      <c r="J32" s="52" t="n">
        <f aca="false">IF(Horo8293[[#This Row],[Début]]=0,"",(Horo8293[[#This Row],[Durée (60)2]]-INT(Horo8293[[#This Row],[Durée (60)2]]))*24)</f>
        <v>4</v>
      </c>
      <c r="K32" s="62" t="n">
        <f aca="false">SUMIF(Horo8293[Jour],C32,Horo8293[Durée])</f>
        <v>8</v>
      </c>
      <c r="L32" s="54" t="n">
        <f aca="false">IFERROR(SUMIF(Horo8293[[#This Row],[Jour]],Horo8293[[#This Row],[Jour]],Horo8293[[#This Row],[GPF]]) / Horo8293[[#This Row],[hrs]],"")</f>
        <v>0.5</v>
      </c>
      <c r="M32" s="56" t="n">
        <f aca="false">IF("GPF"=Horo8293[[#This Row],[Tâche]],Horo8293[[#This Row],[Durée]],"")</f>
        <v>4</v>
      </c>
      <c r="N32" s="56" t="str">
        <f aca="false">IF("RI"=Horo8293[[#This Row],[Tâche]],Horo8293[[#This Row],[Durée]],"")</f>
        <v/>
      </c>
      <c r="O32" s="56" t="str">
        <f aca="false">IF("GB"=Horo8293[[#This Row],[Tâche]],Horo8293[[#This Row],[Durée]],"")</f>
        <v/>
      </c>
      <c r="P32" s="56" t="str">
        <f aca="false">IF("RD"=Horo8293[[#This Row],[Tâche]],Horo8293[[#This Row],[Durée]],"")</f>
        <v/>
      </c>
      <c r="Q32" s="56" t="str">
        <f aca="false">IF("FG"=Horo8293[[#This Row],[Tâche]],Horo8293[[#This Row],[Durée]],"")</f>
        <v/>
      </c>
      <c r="R32" s="56" t="str">
        <f aca="false">IF("CONGÉ"=Horo8293[[#This Row],[Tâche]],Horo8293[[#This Row],[Durée]],"")</f>
        <v/>
      </c>
      <c r="S32" s="57" t="str">
        <f aca="false">IF("PS"=Horo8293[[#This Row],[Tâche]],Horo8293[[#This Row],[Durée]],"")</f>
        <v/>
      </c>
      <c r="T32" s="56" t="str">
        <f aca="false">IF("TD"=Horo8293[[#This Row],[Tâche]],Horo8293[[#This Row],[Durée]],"")</f>
        <v/>
      </c>
      <c r="U32" s="55" t="str">
        <f aca="false">IF("N/C"=Horo8293[[#This Row],[Tâche]],Horo8293[[#This Row],[Durée]],"")</f>
        <v/>
      </c>
      <c r="V32" s="58"/>
      <c r="W32" s="59" t="n">
        <f aca="false">IF(Horo8293[[#This Row],[O]]="o",Horo8293[[#This Row],[Durée]],".")</f>
        <v>4</v>
      </c>
      <c r="X32" s="60" t="n">
        <f aca="false">IF(Horo8293[[#This Row],[Début]]=0,"",Horo8293[[#This Row],[Fin]]-Horo8293[[#This Row],[Début]])</f>
        <v>0.166666666666667</v>
      </c>
    </row>
    <row r="33" customFormat="false" ht="15" hidden="false" customHeight="false" outlineLevel="0" collapsed="false">
      <c r="A33" s="45" t="s">
        <v>31</v>
      </c>
      <c r="B33" s="111" t="n">
        <f aca="false">IF(Horo8293[[#This Row],[Jour]]="Lundi",$C$1+1, IF(Horo8293[[#This Row],[Jour]]="Mardi",$C$1+2, IF(Horo8293[[#This Row],[Jour]]="Mercredi",$C$1+3, IF(Horo8293[[#This Row],[Jour]]="Jeudi",$C$1+4, IF(Horo8293[[#This Row],[Jour]]="Vendredi",$C$1+5, IF(Horo8293[[#This Row],[Jour]]="Samedi",$C$1+6, IF(Horo8293[[#This Row],[Jour]]="Dimanche",$C$1, )))))))</f>
        <v>44366</v>
      </c>
      <c r="C33" s="47" t="s">
        <v>4</v>
      </c>
      <c r="D33" s="48" t="n">
        <v>0.333333333333333</v>
      </c>
      <c r="E33" s="48" t="n">
        <v>0.354166666666667</v>
      </c>
      <c r="F33" s="49" t="s">
        <v>32</v>
      </c>
      <c r="G33" s="49" t="s">
        <v>21</v>
      </c>
      <c r="H33" s="50" t="s">
        <v>201</v>
      </c>
      <c r="I33" s="61"/>
      <c r="J33" s="52" t="n">
        <f aca="false">IF(Horo8293[[#This Row],[Début]]=0,"",(Horo8293[[#This Row],[Durée (60)2]]-INT(Horo8293[[#This Row],[Durée (60)2]]))*24)</f>
        <v>0.500000000000001</v>
      </c>
      <c r="K33" s="62" t="n">
        <f aca="false">SUMIF(Horo8293[Jour],C33,Horo8293[Durée])</f>
        <v>6</v>
      </c>
      <c r="L33" s="54" t="n">
        <f aca="false">IFERROR(SUMIF(Horo8293[[#This Row],[Jour]],Horo8293[[#This Row],[Jour]],Horo8293[[#This Row],[GPF]]) / Horo8293[[#This Row],[hrs]],"")</f>
        <v>0</v>
      </c>
      <c r="M33" s="56" t="str">
        <f aca="false">IF("GPF"=Horo8293[[#This Row],[Tâche]],Horo8293[[#This Row],[Durée]],"")</f>
        <v/>
      </c>
      <c r="N33" s="56" t="str">
        <f aca="false">IF("RI"=Horo8293[[#This Row],[Tâche]],Horo8293[[#This Row],[Durée]],"")</f>
        <v/>
      </c>
      <c r="O33" s="56" t="n">
        <f aca="false">IF("GB"=Horo8293[[#This Row],[Tâche]],Horo8293[[#This Row],[Durée]],"")</f>
        <v>0.500000000000001</v>
      </c>
      <c r="P33" s="56" t="str">
        <f aca="false">IF("RD"=Horo8293[[#This Row],[Tâche]],Horo8293[[#This Row],[Durée]],"")</f>
        <v/>
      </c>
      <c r="Q33" s="56" t="str">
        <f aca="false">IF("FG"=Horo8293[[#This Row],[Tâche]],Horo8293[[#This Row],[Durée]],"")</f>
        <v/>
      </c>
      <c r="R33" s="56" t="str">
        <f aca="false">IF("CONGÉ"=Horo8293[[#This Row],[Tâche]],Horo8293[[#This Row],[Durée]],"")</f>
        <v/>
      </c>
      <c r="S33" s="57" t="str">
        <f aca="false">IF("PS"=Horo8293[[#This Row],[Tâche]],Horo8293[[#This Row],[Durée]],"")</f>
        <v/>
      </c>
      <c r="T33" s="56" t="str">
        <f aca="false">IF("TD"=Horo8293[[#This Row],[Tâche]],Horo8293[[#This Row],[Durée]],"")</f>
        <v/>
      </c>
      <c r="U33" s="55" t="str">
        <f aca="false">IF("N/C"=Horo8293[[#This Row],[Tâche]],Horo8293[[#This Row],[Durée]],"")</f>
        <v/>
      </c>
      <c r="V33" s="58"/>
      <c r="W33" s="59" t="n">
        <f aca="false">IF(Horo8293[[#This Row],[O]]="o",Horo8293[[#This Row],[Durée]],".")</f>
        <v>0.500000000000001</v>
      </c>
      <c r="X33" s="60" t="n">
        <f aca="false">IF(Horo8293[[#This Row],[Début]]=0,"",Horo8293[[#This Row],[Fin]]-Horo8293[[#This Row],[Début]])</f>
        <v>0.0208333333333334</v>
      </c>
    </row>
    <row r="34" customFormat="false" ht="15" hidden="false" customHeight="false" outlineLevel="0" collapsed="false">
      <c r="A34" s="45" t="s">
        <v>31</v>
      </c>
      <c r="B34" s="111" t="n">
        <f aca="false">IF(Horo8293[[#This Row],[Jour]]="Lundi",$C$1+1, IF(Horo8293[[#This Row],[Jour]]="Mardi",$C$1+2, IF(Horo8293[[#This Row],[Jour]]="Mercredi",$C$1+3, IF(Horo8293[[#This Row],[Jour]]="Jeudi",$C$1+4, IF(Horo8293[[#This Row],[Jour]]="Vendredi",$C$1+5, IF(Horo8293[[#This Row],[Jour]]="Samedi",$C$1+6, IF(Horo8293[[#This Row],[Jour]]="Dimanche",$C$1, )))))))</f>
        <v>44366</v>
      </c>
      <c r="C34" s="47" t="s">
        <v>4</v>
      </c>
      <c r="D34" s="48" t="n">
        <v>0.354166666666667</v>
      </c>
      <c r="E34" s="48" t="n">
        <v>0.375</v>
      </c>
      <c r="F34" s="49" t="s">
        <v>75</v>
      </c>
      <c r="G34" s="49" t="s">
        <v>19</v>
      </c>
      <c r="H34" s="50" t="s">
        <v>55</v>
      </c>
      <c r="I34" s="61"/>
      <c r="J34" s="52" t="n">
        <f aca="false">IF(Horo8293[[#This Row],[Début]]=0,"",(Horo8293[[#This Row],[Durée (60)2]]-INT(Horo8293[[#This Row],[Durée (60)2]]))*24)</f>
        <v>0.5</v>
      </c>
      <c r="K34" s="62" t="n">
        <f aca="false">SUMIF(Horo8293[Jour],C34,Horo8293[Durée])</f>
        <v>6</v>
      </c>
      <c r="L34" s="54" t="n">
        <f aca="false">IFERROR(SUMIF(Horo8293[[#This Row],[Jour]],Horo8293[[#This Row],[Jour]],Horo8293[[#This Row],[GPF]]) / Horo8293[[#This Row],[hrs]],"")</f>
        <v>0.0833333333333333</v>
      </c>
      <c r="M34" s="56" t="n">
        <f aca="false">IF("GPF"=Horo8293[[#This Row],[Tâche]],Horo8293[[#This Row],[Durée]],"")</f>
        <v>0.5</v>
      </c>
      <c r="N34" s="56" t="str">
        <f aca="false">IF("RI"=Horo8293[[#This Row],[Tâche]],Horo8293[[#This Row],[Durée]],"")</f>
        <v/>
      </c>
      <c r="O34" s="56" t="str">
        <f aca="false">IF("GB"=Horo8293[[#This Row],[Tâche]],Horo8293[[#This Row],[Durée]],"")</f>
        <v/>
      </c>
      <c r="P34" s="56" t="str">
        <f aca="false">IF("RD"=Horo8293[[#This Row],[Tâche]],Horo8293[[#This Row],[Durée]],"")</f>
        <v/>
      </c>
      <c r="Q34" s="56" t="str">
        <f aca="false">IF("FG"=Horo8293[[#This Row],[Tâche]],Horo8293[[#This Row],[Durée]],"")</f>
        <v/>
      </c>
      <c r="R34" s="56" t="str">
        <f aca="false">IF("CONGÉ"=Horo8293[[#This Row],[Tâche]],Horo8293[[#This Row],[Durée]],"")</f>
        <v/>
      </c>
      <c r="S34" s="57" t="str">
        <f aca="false">IF("PS"=Horo8293[[#This Row],[Tâche]],Horo8293[[#This Row],[Durée]],"")</f>
        <v/>
      </c>
      <c r="T34" s="56" t="str">
        <f aca="false">IF("TD"=Horo8293[[#This Row],[Tâche]],Horo8293[[#This Row],[Durée]],"")</f>
        <v/>
      </c>
      <c r="U34" s="55" t="str">
        <f aca="false">IF("N/C"=Horo8293[[#This Row],[Tâche]],Horo8293[[#This Row],[Durée]],"")</f>
        <v/>
      </c>
      <c r="V34" s="58"/>
      <c r="W34" s="59" t="n">
        <f aca="false">IF(Horo8293[[#This Row],[O]]="o",Horo8293[[#This Row],[Durée]],".")</f>
        <v>0.5</v>
      </c>
      <c r="X34" s="60" t="n">
        <f aca="false">IF(Horo8293[[#This Row],[Début]]=0,"",Horo8293[[#This Row],[Fin]]-Horo8293[[#This Row],[Début]])</f>
        <v>0.0208333333333333</v>
      </c>
    </row>
    <row r="35" customFormat="false" ht="15" hidden="false" customHeight="false" outlineLevel="0" collapsed="false">
      <c r="A35" s="45" t="s">
        <v>31</v>
      </c>
      <c r="B35" s="111" t="n">
        <f aca="false">IF(Horo8293[[#This Row],[Jour]]="Lundi",$C$1+1, IF(Horo8293[[#This Row],[Jour]]="Mardi",$C$1+2, IF(Horo8293[[#This Row],[Jour]]="Mercredi",$C$1+3, IF(Horo8293[[#This Row],[Jour]]="Jeudi",$C$1+4, IF(Horo8293[[#This Row],[Jour]]="Vendredi",$C$1+5, IF(Horo8293[[#This Row],[Jour]]="Samedi",$C$1+6, IF(Horo8293[[#This Row],[Jour]]="Dimanche",$C$1, )))))))</f>
        <v>44366</v>
      </c>
      <c r="C35" s="47" t="s">
        <v>4</v>
      </c>
      <c r="D35" s="48" t="n">
        <v>0.375</v>
      </c>
      <c r="E35" s="48" t="n">
        <v>0.395833333333333</v>
      </c>
      <c r="F35" s="49" t="s">
        <v>59</v>
      </c>
      <c r="G35" s="49" t="s">
        <v>19</v>
      </c>
      <c r="H35" s="50" t="s">
        <v>55</v>
      </c>
      <c r="I35" s="61"/>
      <c r="J35" s="52" t="n">
        <f aca="false">IF(Horo8293[[#This Row],[Début]]=0,"",(Horo8293[[#This Row],[Durée (60)2]]-INT(Horo8293[[#This Row],[Durée (60)2]]))*24)</f>
        <v>0.5</v>
      </c>
      <c r="K35" s="62" t="n">
        <f aca="false">SUMIF(Horo8293[Jour],C35,Horo8293[Durée])</f>
        <v>6</v>
      </c>
      <c r="L35" s="54" t="n">
        <f aca="false">IFERROR(SUMIF(Horo8293[[#This Row],[Jour]],Horo8293[[#This Row],[Jour]],Horo8293[[#This Row],[GPF]]) / Horo8293[[#This Row],[hrs]],"")</f>
        <v>0.0833333333333333</v>
      </c>
      <c r="M35" s="56" t="n">
        <f aca="false">IF("GPF"=Horo8293[[#This Row],[Tâche]],Horo8293[[#This Row],[Durée]],"")</f>
        <v>0.5</v>
      </c>
      <c r="N35" s="56" t="str">
        <f aca="false">IF("RI"=Horo8293[[#This Row],[Tâche]],Horo8293[[#This Row],[Durée]],"")</f>
        <v/>
      </c>
      <c r="O35" s="56" t="str">
        <f aca="false">IF("GB"=Horo8293[[#This Row],[Tâche]],Horo8293[[#This Row],[Durée]],"")</f>
        <v/>
      </c>
      <c r="P35" s="56" t="str">
        <f aca="false">IF("RD"=Horo8293[[#This Row],[Tâche]],Horo8293[[#This Row],[Durée]],"")</f>
        <v/>
      </c>
      <c r="Q35" s="56" t="str">
        <f aca="false">IF("FG"=Horo8293[[#This Row],[Tâche]],Horo8293[[#This Row],[Durée]],"")</f>
        <v/>
      </c>
      <c r="R35" s="56" t="str">
        <f aca="false">IF("CONGÉ"=Horo8293[[#This Row],[Tâche]],Horo8293[[#This Row],[Durée]],"")</f>
        <v/>
      </c>
      <c r="S35" s="57" t="str">
        <f aca="false">IF("PS"=Horo8293[[#This Row],[Tâche]],Horo8293[[#This Row],[Durée]],"")</f>
        <v/>
      </c>
      <c r="T35" s="56" t="str">
        <f aca="false">IF("TD"=Horo8293[[#This Row],[Tâche]],Horo8293[[#This Row],[Durée]],"")</f>
        <v/>
      </c>
      <c r="U35" s="55" t="str">
        <f aca="false">IF("N/C"=Horo8293[[#This Row],[Tâche]],Horo8293[[#This Row],[Durée]],"")</f>
        <v/>
      </c>
      <c r="V35" s="58"/>
      <c r="W35" s="59" t="n">
        <f aca="false">IF(Horo8293[[#This Row],[O]]="o",Horo8293[[#This Row],[Durée]],".")</f>
        <v>0.5</v>
      </c>
      <c r="X35" s="60" t="n">
        <f aca="false">IF(Horo8293[[#This Row],[Début]]=0,"",Horo8293[[#This Row],[Fin]]-Horo8293[[#This Row],[Début]])</f>
        <v>0.0208333333333333</v>
      </c>
    </row>
    <row r="36" customFormat="false" ht="15" hidden="false" customHeight="false" outlineLevel="0" collapsed="false">
      <c r="A36" s="45" t="s">
        <v>31</v>
      </c>
      <c r="B36" s="111" t="n">
        <f aca="false">IF(Horo8293[[#This Row],[Jour]]="Lundi",$C$1+1, IF(Horo8293[[#This Row],[Jour]]="Mardi",$C$1+2, IF(Horo8293[[#This Row],[Jour]]="Mercredi",$C$1+3, IF(Horo8293[[#This Row],[Jour]]="Jeudi",$C$1+4, IF(Horo8293[[#This Row],[Jour]]="Vendredi",$C$1+5, IF(Horo8293[[#This Row],[Jour]]="Samedi",$C$1+6, IF(Horo8293[[#This Row],[Jour]]="Dimanche",$C$1, )))))))</f>
        <v>44366</v>
      </c>
      <c r="C36" s="47" t="s">
        <v>4</v>
      </c>
      <c r="D36" s="48" t="n">
        <v>0.395833333333333</v>
      </c>
      <c r="E36" s="48" t="n">
        <v>0.416666666666667</v>
      </c>
      <c r="F36" s="49" t="s">
        <v>61</v>
      </c>
      <c r="G36" s="49" t="s">
        <v>19</v>
      </c>
      <c r="H36" s="50" t="s">
        <v>35</v>
      </c>
      <c r="I36" s="61" t="s">
        <v>233</v>
      </c>
      <c r="J36" s="52" t="n">
        <f aca="false">IF(Horo8293[[#This Row],[Début]]=0,"",(Horo8293[[#This Row],[Durée (60)2]]-INT(Horo8293[[#This Row],[Durée (60)2]]))*24)</f>
        <v>0.500000000000001</v>
      </c>
      <c r="K36" s="53" t="n">
        <f aca="false">SUMIF(Horo8293[Jour],C36,Horo8293[Durée])</f>
        <v>6</v>
      </c>
      <c r="L36" s="54" t="n">
        <f aca="false">IFERROR(SUMIF(Horo8293[[#This Row],[Jour]],Horo8293[[#This Row],[Jour]],Horo8293[[#This Row],[GPF]]) / Horo8293[[#This Row],[hrs]],"")</f>
        <v>0.0833333333333335</v>
      </c>
      <c r="M36" s="55" t="n">
        <f aca="false">IF("GPF"=Horo8293[[#This Row],[Tâche]],Horo8293[[#This Row],[Durée]],"")</f>
        <v>0.500000000000001</v>
      </c>
      <c r="N36" s="56" t="str">
        <f aca="false">IF("RI"=Horo8293[[#This Row],[Tâche]],Horo8293[[#This Row],[Durée]],"")</f>
        <v/>
      </c>
      <c r="O36" s="56" t="str">
        <f aca="false">IF("GB"=Horo8293[[#This Row],[Tâche]],Horo8293[[#This Row],[Durée]],"")</f>
        <v/>
      </c>
      <c r="P36" s="56" t="str">
        <f aca="false">IF("RD"=Horo8293[[#This Row],[Tâche]],Horo8293[[#This Row],[Durée]],"")</f>
        <v/>
      </c>
      <c r="Q36" s="56" t="str">
        <f aca="false">IF("FG"=Horo8293[[#This Row],[Tâche]],Horo8293[[#This Row],[Durée]],"")</f>
        <v/>
      </c>
      <c r="R36" s="56" t="str">
        <f aca="false">IF("CONGÉ"=Horo8293[[#This Row],[Tâche]],Horo8293[[#This Row],[Durée]],"")</f>
        <v/>
      </c>
      <c r="S36" s="57" t="str">
        <f aca="false">IF("PS"=Horo8293[[#This Row],[Tâche]],Horo8293[[#This Row],[Durée]],"")</f>
        <v/>
      </c>
      <c r="T36" s="56" t="str">
        <f aca="false">IF("TD"=Horo8293[[#This Row],[Tâche]],Horo8293[[#This Row],[Durée]],"")</f>
        <v/>
      </c>
      <c r="U36" s="55" t="str">
        <f aca="false">IF("N/C"=Horo8293[[#This Row],[Tâche]],Horo8293[[#This Row],[Durée]],"")</f>
        <v/>
      </c>
      <c r="V36" s="58"/>
      <c r="W36" s="59" t="n">
        <f aca="false">IF(Horo8293[[#This Row],[O]]="o",Horo8293[[#This Row],[Durée]],".")</f>
        <v>0.500000000000001</v>
      </c>
      <c r="X36" s="60" t="n">
        <f aca="false">IF(Horo8293[[#This Row],[Début]]=0,"",Horo8293[[#This Row],[Fin]]-Horo8293[[#This Row],[Début]])</f>
        <v>0.0208333333333334</v>
      </c>
    </row>
    <row r="37" customFormat="false" ht="15" hidden="false" customHeight="false" outlineLevel="0" collapsed="false">
      <c r="A37" s="45" t="s">
        <v>31</v>
      </c>
      <c r="B37" s="111" t="n">
        <f aca="false">IF(Horo8293[[#This Row],[Jour]]="Lundi",$C$1+1, IF(Horo8293[[#This Row],[Jour]]="Mardi",$C$1+2, IF(Horo8293[[#This Row],[Jour]]="Mercredi",$C$1+3, IF(Horo8293[[#This Row],[Jour]]="Jeudi",$C$1+4, IF(Horo8293[[#This Row],[Jour]]="Vendredi",$C$1+5, IF(Horo8293[[#This Row],[Jour]]="Samedi",$C$1+6, IF(Horo8293[[#This Row],[Jour]]="Dimanche",$C$1, )))))))</f>
        <v>44366</v>
      </c>
      <c r="C37" s="47" t="s">
        <v>4</v>
      </c>
      <c r="D37" s="48" t="n">
        <v>0.416666666666667</v>
      </c>
      <c r="E37" s="48" t="n">
        <v>0.5</v>
      </c>
      <c r="F37" s="49" t="s">
        <v>32</v>
      </c>
      <c r="G37" s="49" t="s">
        <v>23</v>
      </c>
      <c r="H37" s="50" t="s">
        <v>204</v>
      </c>
      <c r="I37" s="61"/>
      <c r="J37" s="52" t="n">
        <f aca="false">IF(Horo8293[[#This Row],[Début]]=0,"",(Horo8293[[#This Row],[Durée (60)2]]-INT(Horo8293[[#This Row],[Durée (60)2]]))*24)</f>
        <v>2</v>
      </c>
      <c r="K37" s="62" t="n">
        <f aca="false">SUMIF(Horo8293[Jour],C37,Horo8293[Durée])</f>
        <v>6</v>
      </c>
      <c r="L37" s="54" t="n">
        <f aca="false">IFERROR(SUMIF(Horo8293[[#This Row],[Jour]],Horo8293[[#This Row],[Jour]],Horo8293[[#This Row],[GPF]]) / Horo8293[[#This Row],[hrs]],"")</f>
        <v>0</v>
      </c>
      <c r="M37" s="56" t="str">
        <f aca="false">IF("GPF"=Horo8293[[#This Row],[Tâche]],Horo8293[[#This Row],[Durée]],"")</f>
        <v/>
      </c>
      <c r="N37" s="56" t="str">
        <f aca="false">IF("RI"=Horo8293[[#This Row],[Tâche]],Horo8293[[#This Row],[Durée]],"")</f>
        <v/>
      </c>
      <c r="O37" s="56" t="str">
        <f aca="false">IF("GB"=Horo8293[[#This Row],[Tâche]],Horo8293[[#This Row],[Durée]],"")</f>
        <v/>
      </c>
      <c r="P37" s="56" t="str">
        <f aca="false">IF("RD"=Horo8293[[#This Row],[Tâche]],Horo8293[[#This Row],[Durée]],"")</f>
        <v/>
      </c>
      <c r="Q37" s="56" t="n">
        <f aca="false">IF("FG"=Horo8293[[#This Row],[Tâche]],Horo8293[[#This Row],[Durée]],"")</f>
        <v>2</v>
      </c>
      <c r="R37" s="56" t="str">
        <f aca="false">IF("CONGÉ"=Horo8293[[#This Row],[Tâche]],Horo8293[[#This Row],[Durée]],"")</f>
        <v/>
      </c>
      <c r="S37" s="57" t="str">
        <f aca="false">IF("PS"=Horo8293[[#This Row],[Tâche]],Horo8293[[#This Row],[Durée]],"")</f>
        <v/>
      </c>
      <c r="T37" s="56" t="str">
        <f aca="false">IF("TD"=Horo8293[[#This Row],[Tâche]],Horo8293[[#This Row],[Durée]],"")</f>
        <v/>
      </c>
      <c r="U37" s="55" t="str">
        <f aca="false">IF("N/C"=Horo8293[[#This Row],[Tâche]],Horo8293[[#This Row],[Durée]],"")</f>
        <v/>
      </c>
      <c r="V37" s="58"/>
      <c r="W37" s="59" t="n">
        <f aca="false">IF(Horo8293[[#This Row],[O]]="o",Horo8293[[#This Row],[Durée]],".")</f>
        <v>2</v>
      </c>
      <c r="X37" s="60" t="n">
        <f aca="false">IF(Horo8293[[#This Row],[Début]]=0,"",Horo8293[[#This Row],[Fin]]-Horo8293[[#This Row],[Début]])</f>
        <v>0.0833333333333333</v>
      </c>
    </row>
    <row r="38" customFormat="false" ht="15" hidden="false" customHeight="false" outlineLevel="0" collapsed="false">
      <c r="A38" s="45" t="s">
        <v>31</v>
      </c>
      <c r="B38" s="111" t="n">
        <f aca="false">IF(Horo8293[[#This Row],[Jour]]="Lundi",$C$1+1, IF(Horo8293[[#This Row],[Jour]]="Mardi",$C$1+2, IF(Horo8293[[#This Row],[Jour]]="Mercredi",$C$1+3, IF(Horo8293[[#This Row],[Jour]]="Jeudi",$C$1+4, IF(Horo8293[[#This Row],[Jour]]="Vendredi",$C$1+5, IF(Horo8293[[#This Row],[Jour]]="Samedi",$C$1+6, IF(Horo8293[[#This Row],[Jour]]="Dimanche",$C$1, )))))))</f>
        <v>44366</v>
      </c>
      <c r="C38" s="47" t="s">
        <v>4</v>
      </c>
      <c r="D38" s="48" t="n">
        <v>0.625</v>
      </c>
      <c r="E38" s="48" t="n">
        <v>0.666666666666667</v>
      </c>
      <c r="F38" s="49" t="s">
        <v>32</v>
      </c>
      <c r="G38" s="49" t="s">
        <v>21</v>
      </c>
      <c r="H38" s="50" t="s">
        <v>201</v>
      </c>
      <c r="I38" s="61"/>
      <c r="J38" s="52" t="n">
        <f aca="false">IF(Horo8293[[#This Row],[Début]]=0,"",(Horo8293[[#This Row],[Durée (60)2]]-INT(Horo8293[[#This Row],[Durée (60)2]]))*24)</f>
        <v>0.999999999999999</v>
      </c>
      <c r="K38" s="62" t="n">
        <f aca="false">SUMIF(Horo8293[Jour],C38,Horo8293[Durée])</f>
        <v>6</v>
      </c>
      <c r="L38" s="54" t="n">
        <f aca="false">IFERROR(SUMIF(Horo8293[[#This Row],[Jour]],Horo8293[[#This Row],[Jour]],Horo8293[[#This Row],[GPF]]) / Horo8293[[#This Row],[hrs]],"")</f>
        <v>0</v>
      </c>
      <c r="M38" s="56" t="str">
        <f aca="false">IF("GPF"=Horo8293[[#This Row],[Tâche]],Horo8293[[#This Row],[Durée]],"")</f>
        <v/>
      </c>
      <c r="N38" s="56" t="str">
        <f aca="false">IF("RI"=Horo8293[[#This Row],[Tâche]],Horo8293[[#This Row],[Durée]],"")</f>
        <v/>
      </c>
      <c r="O38" s="56" t="n">
        <f aca="false">IF("GB"=Horo8293[[#This Row],[Tâche]],Horo8293[[#This Row],[Durée]],"")</f>
        <v>0.999999999999999</v>
      </c>
      <c r="P38" s="56" t="str">
        <f aca="false">IF("RD"=Horo8293[[#This Row],[Tâche]],Horo8293[[#This Row],[Durée]],"")</f>
        <v/>
      </c>
      <c r="Q38" s="56" t="str">
        <f aca="false">IF("FG"=Horo8293[[#This Row],[Tâche]],Horo8293[[#This Row],[Durée]],"")</f>
        <v/>
      </c>
      <c r="R38" s="56" t="str">
        <f aca="false">IF("CONGÉ"=Horo8293[[#This Row],[Tâche]],Horo8293[[#This Row],[Durée]],"")</f>
        <v/>
      </c>
      <c r="S38" s="57" t="str">
        <f aca="false">IF("PS"=Horo8293[[#This Row],[Tâche]],Horo8293[[#This Row],[Durée]],"")</f>
        <v/>
      </c>
      <c r="T38" s="56" t="str">
        <f aca="false">IF("TD"=Horo8293[[#This Row],[Tâche]],Horo8293[[#This Row],[Durée]],"")</f>
        <v/>
      </c>
      <c r="U38" s="55" t="str">
        <f aca="false">IF("N/C"=Horo8293[[#This Row],[Tâche]],Horo8293[[#This Row],[Durée]],"")</f>
        <v/>
      </c>
      <c r="V38" s="58"/>
      <c r="W38" s="59" t="n">
        <f aca="false">IF(Horo8293[[#This Row],[O]]="o",Horo8293[[#This Row],[Durée]],".")</f>
        <v>0.999999999999999</v>
      </c>
      <c r="X38" s="60" t="n">
        <f aca="false">IF(Horo8293[[#This Row],[Début]]=0,"",Horo8293[[#This Row],[Fin]]-Horo8293[[#This Row],[Début]])</f>
        <v>0.0416666666666666</v>
      </c>
    </row>
    <row r="39" customFormat="false" ht="15" hidden="false" customHeight="false" outlineLevel="0" collapsed="false">
      <c r="A39" s="45" t="s">
        <v>31</v>
      </c>
      <c r="B39" s="46" t="n">
        <f aca="false">IF(Horo8293[[#This Row],[Jour]]="Lundi",$C$1+1, IF(Horo8293[[#This Row],[Jour]]="Mardi",$C$1+2, IF(Horo8293[[#This Row],[Jour]]="Mercredi",$C$1+3, IF(Horo8293[[#This Row],[Jour]]="Jeudi",$C$1+4, IF(Horo8293[[#This Row],[Jour]]="Vendredi",$C$1+5, IF(Horo8293[[#This Row],[Jour]]="Samedi",$C$1+6, IF(Horo8293[[#This Row],[Jour]]="Dimanche",$C$1, )))))))</f>
        <v>44366</v>
      </c>
      <c r="C39" s="47" t="s">
        <v>4</v>
      </c>
      <c r="D39" s="48" t="n">
        <v>0.666666666666667</v>
      </c>
      <c r="E39" s="48" t="n">
        <v>0.708333333333333</v>
      </c>
      <c r="F39" s="49" t="s">
        <v>32</v>
      </c>
      <c r="G39" s="49" t="s">
        <v>23</v>
      </c>
      <c r="H39" s="50" t="s">
        <v>204</v>
      </c>
      <c r="I39" s="61"/>
      <c r="J39" s="52" t="n">
        <f aca="false">IF(Horo8293[[#This Row],[Début]]=0,"",(Horo8293[[#This Row],[Durée (60)2]]-INT(Horo8293[[#This Row],[Durée (60)2]]))*24)</f>
        <v>1</v>
      </c>
      <c r="K39" s="62" t="n">
        <f aca="false">SUMIF(Horo8293[Jour],C39,Horo8293[Durée])</f>
        <v>6</v>
      </c>
      <c r="L39" s="54" t="n">
        <f aca="false">IFERROR(SUMIF(Horo8293[[#This Row],[Jour]],Horo8293[[#This Row],[Jour]],Horo8293[[#This Row],[GPF]]) / Horo8293[[#This Row],[hrs]],"")</f>
        <v>0</v>
      </c>
      <c r="M39" s="56" t="str">
        <f aca="false">IF("GPF"=Horo8293[[#This Row],[Tâche]],Horo8293[[#This Row],[Durée]],"")</f>
        <v/>
      </c>
      <c r="N39" s="56" t="str">
        <f aca="false">IF("RI"=Horo8293[[#This Row],[Tâche]],Horo8293[[#This Row],[Durée]],"")</f>
        <v/>
      </c>
      <c r="O39" s="56" t="str">
        <f aca="false">IF("GB"=Horo8293[[#This Row],[Tâche]],Horo8293[[#This Row],[Durée]],"")</f>
        <v/>
      </c>
      <c r="P39" s="56" t="str">
        <f aca="false">IF("RD"=Horo8293[[#This Row],[Tâche]],Horo8293[[#This Row],[Durée]],"")</f>
        <v/>
      </c>
      <c r="Q39" s="56" t="n">
        <f aca="false">IF("FG"=Horo8293[[#This Row],[Tâche]],Horo8293[[#This Row],[Durée]],"")</f>
        <v>1</v>
      </c>
      <c r="R39" s="56" t="str">
        <f aca="false">IF("CONGÉ"=Horo8293[[#This Row],[Tâche]],Horo8293[[#This Row],[Durée]],"")</f>
        <v/>
      </c>
      <c r="S39" s="57" t="str">
        <f aca="false">IF("PS"=Horo8293[[#This Row],[Tâche]],Horo8293[[#This Row],[Durée]],"")</f>
        <v/>
      </c>
      <c r="T39" s="56" t="str">
        <f aca="false">IF("TD"=Horo8293[[#This Row],[Tâche]],Horo8293[[#This Row],[Durée]],"")</f>
        <v/>
      </c>
      <c r="U39" s="55" t="str">
        <f aca="false">IF("N/C"=Horo8293[[#This Row],[Tâche]],Horo8293[[#This Row],[Durée]],"")</f>
        <v/>
      </c>
      <c r="V39" s="58"/>
      <c r="W39" s="59" t="n">
        <f aca="false">IF(Horo8293[[#This Row],[O]]="o",Horo8293[[#This Row],[Durée]],".")</f>
        <v>1</v>
      </c>
      <c r="X39" s="60" t="n">
        <f aca="false">IF(Horo8293[[#This Row],[Début]]=0,"",Horo8293[[#This Row],[Fin]]-Horo8293[[#This Row],[Début]])</f>
        <v>0.0416666666666667</v>
      </c>
    </row>
    <row r="40" customFormat="false" ht="15" hidden="false" customHeight="false" outlineLevel="0" collapsed="false">
      <c r="A40" s="45" t="s">
        <v>33</v>
      </c>
      <c r="B40" s="111" t="n">
        <f aca="false">IF(Horo8293[[#This Row],[Jour]]="Lundi",$C$1+1, IF(Horo8293[[#This Row],[Jour]]="Mardi",$C$1+2, IF(Horo8293[[#This Row],[Jour]]="Mercredi",$C$1+3, IF(Horo8293[[#This Row],[Jour]]="Jeudi",$C$1+4, IF(Horo8293[[#This Row],[Jour]]="Vendredi",$C$1+5, IF(Horo8293[[#This Row],[Jour]]="Samedi",$C$1+6, IF(Horo8293[[#This Row],[Jour]]="Dimanche",$C$1, )))))))</f>
        <v>0</v>
      </c>
      <c r="C40" s="47"/>
      <c r="D40" s="48"/>
      <c r="E40" s="48"/>
      <c r="F40" s="49"/>
      <c r="G40" s="49"/>
      <c r="H40" s="50" t="s">
        <v>201</v>
      </c>
      <c r="I40" s="61"/>
      <c r="J40" s="52" t="str">
        <f aca="false">IF(Horo8293[[#This Row],[Début]]=0,"",(Horo8293[[#This Row],[Durée (60)2]]-INT(Horo8293[[#This Row],[Durée (60)2]]))*24)</f>
        <v/>
      </c>
      <c r="K40" s="62" t="n">
        <f aca="false">SUMIF(Horo8293[Jour],C40,Horo8293[Durée])</f>
        <v>0</v>
      </c>
      <c r="L40" s="54" t="str">
        <f aca="false">IFERROR(SUMIF(Horo8293[[#This Row],[Jour]],Horo8293[[#This Row],[Jour]],Horo8293[[#This Row],[GPF]]) / Horo8293[[#This Row],[hrs]],"")</f>
        <v/>
      </c>
      <c r="M40" s="56" t="str">
        <f aca="false">IF("GPF"=Horo8293[[#This Row],[Tâche]],Horo8293[[#This Row],[Durée]],"")</f>
        <v/>
      </c>
      <c r="N40" s="56" t="str">
        <f aca="false">IF("RI"=Horo8293[[#This Row],[Tâche]],Horo8293[[#This Row],[Durée]],"")</f>
        <v/>
      </c>
      <c r="O40" s="56" t="str">
        <f aca="false">IF("GB"=Horo8293[[#This Row],[Tâche]],Horo8293[[#This Row],[Durée]],"")</f>
        <v/>
      </c>
      <c r="P40" s="56" t="str">
        <f aca="false">IF("RD"=Horo8293[[#This Row],[Tâche]],Horo8293[[#This Row],[Durée]],"")</f>
        <v/>
      </c>
      <c r="Q40" s="56" t="str">
        <f aca="false">IF("FG"=Horo8293[[#This Row],[Tâche]],Horo8293[[#This Row],[Durée]],"")</f>
        <v/>
      </c>
      <c r="R40" s="56" t="str">
        <f aca="false">IF("CONGÉ"=Horo8293[[#This Row],[Tâche]],Horo8293[[#This Row],[Durée]],"")</f>
        <v/>
      </c>
      <c r="S40" s="56" t="str">
        <f aca="false">IF("PS"=Horo8293[[#This Row],[Tâche]],Horo8293[[#This Row],[Durée]],"")</f>
        <v/>
      </c>
      <c r="T40" s="56" t="str">
        <f aca="false">IF("TD"=Horo8293[[#This Row],[Tâche]],Horo8293[[#This Row],[Durée]],"")</f>
        <v/>
      </c>
      <c r="U40" s="56" t="str">
        <f aca="false">IF("N/C"=Horo8293[[#This Row],[Tâche]],Horo8293[[#This Row],[Durée]],"")</f>
        <v/>
      </c>
      <c r="V40" s="58"/>
      <c r="W40" s="59" t="str">
        <f aca="false">IF(Horo8293[[#This Row],[O]]="o",Horo8293[[#This Row],[Durée]],".")</f>
        <v>.</v>
      </c>
      <c r="X40" s="64" t="str">
        <f aca="false">IF(Horo8293[[#This Row],[Début]]=0,"",Horo8293[[#This Row],[Fin]]-Horo8293[[#This Row],[Début]])</f>
        <v/>
      </c>
    </row>
    <row r="46" s="3" customFormat="true" ht="15" hidden="false" customHeight="false" outlineLevel="0" collapsed="false">
      <c r="L46" s="65"/>
    </row>
    <row r="47" customFormat="false" ht="15" hidden="false" customHeight="false" outlineLevel="0" collapsed="false">
      <c r="A47" s="66" t="s">
        <v>18</v>
      </c>
      <c r="B47" s="66" t="s">
        <v>57</v>
      </c>
      <c r="C47" s="66" t="s">
        <v>58</v>
      </c>
    </row>
    <row r="48" customFormat="false" ht="15" hidden="false" customHeight="false" outlineLevel="0" collapsed="false">
      <c r="A48" s="67" t="n">
        <f aca="false">IF((SUMIF(Horo8293[Client],B48,Horo8293[Durée]) / Total)=0,"",(SUMIF(Horo8293[Client],B48,Horo8293[Durée]) / Total))</f>
        <v>0.37012987012987</v>
      </c>
      <c r="B48" s="68" t="s">
        <v>32</v>
      </c>
      <c r="C48" s="69" t="n">
        <f aca="false">IF(SUMIF(Horo8293[Client],B48,Horo8293[Durée])=0,"",SUMIF(Horo8293[Client],B48,Horo8293[Durée]))</f>
        <v>14.25</v>
      </c>
    </row>
    <row r="49" customFormat="false" ht="15" hidden="false" customHeight="false" outlineLevel="0" collapsed="false">
      <c r="A49" s="67" t="n">
        <f aca="false">IF((SUMIF(Horo8293[Client],B49,Horo8293[Durée]) / Total)=0,"",(SUMIF(Horo8293[Client],B49,Horo8293[Durée]) / Total))</f>
        <v>0.12987012987013</v>
      </c>
      <c r="B49" s="68" t="s">
        <v>59</v>
      </c>
      <c r="C49" s="69" t="n">
        <f aca="false">IF(SUMIF(Horo8293[Client],B49,Horo8293[Durée])=0,"",SUMIF(Horo8293[Client],B49,Horo8293[Durée]))</f>
        <v>5</v>
      </c>
      <c r="I49" s="61"/>
    </row>
    <row r="50" customFormat="false" ht="15" hidden="true" customHeight="false" outlineLevel="0" collapsed="false">
      <c r="A50" s="67" t="str">
        <f aca="false">IF((SUMIF(Horo8293[Client],B50,Horo8293[Durée]) / Total)=0,"",(SUMIF(Horo8293[Client],B50,Horo8293[Durée]) / Total))</f>
        <v/>
      </c>
      <c r="B50" s="68" t="s">
        <v>60</v>
      </c>
      <c r="C50" s="70" t="str">
        <f aca="false">IF(SUMIF(Horo8293[Client],B50,Horo8293[Durée])=0,"",SUMIF(Horo8293[Client],B50,Horo8293[Durée]))</f>
        <v/>
      </c>
    </row>
    <row r="51" customFormat="false" ht="15" hidden="false" customHeight="false" outlineLevel="0" collapsed="false">
      <c r="A51" s="67" t="n">
        <f aca="false">IF((SUMIF(Horo8293[Client],B51,Horo8293[Durée]) / Total)=0,"",(SUMIF(Horo8293[Client],B51,Horo8293[Durée]) / Total))</f>
        <v>0.519480519480519</v>
      </c>
      <c r="B51" s="68" t="s">
        <v>61</v>
      </c>
      <c r="C51" s="70" t="n">
        <f aca="false">IF(SUMIF(Horo8293[Client],B51,Horo8293[Durée])=0,"",SUMIF(Horo8293[Client],B51,Horo8293[Durée]))</f>
        <v>20</v>
      </c>
      <c r="I51" s="61"/>
    </row>
    <row r="52" customFormat="false" ht="15" hidden="true" customHeight="false" outlineLevel="0" collapsed="false">
      <c r="A52" s="67" t="str">
        <f aca="false">IF((SUMIF(Horo8293[Client],B52,Horo8293[Durée]) / Total)=0,"",(SUMIF(Horo8293[Client],B52,Horo8293[Durée]) / Total))</f>
        <v/>
      </c>
      <c r="B52" s="68" t="s">
        <v>62</v>
      </c>
      <c r="C52" s="70" t="str">
        <f aca="false">IF(SUMIF(Horo8293[Client],B52,Horo8293[Durée])=0,"",SUMIF(Horo8293[Client],B52,Horo8293[Durée]))</f>
        <v/>
      </c>
    </row>
    <row r="53" customFormat="false" ht="15" hidden="false" customHeight="false" outlineLevel="0" collapsed="false">
      <c r="A53" s="67" t="n">
        <f aca="false">IF((SUMIF(Horo8293[Client],B53,Horo8293[Durée]) / Total)=0,"",(SUMIF(Horo8293[Client],B53,Horo8293[Durée]) / Total))</f>
        <v>0.012987012987013</v>
      </c>
      <c r="B53" s="68" t="s">
        <v>63</v>
      </c>
      <c r="C53" s="69" t="n">
        <f aca="false">IF(SUMIF(Horo8293[Client],B53,Horo8293[Durée])=0,"",SUMIF(Horo8293[Client],B53,Horo8293[Durée]))</f>
        <v>0.500000000000001</v>
      </c>
    </row>
    <row r="54" customFormat="false" ht="15" hidden="true" customHeight="false" outlineLevel="0" collapsed="false">
      <c r="A54" s="67" t="str">
        <f aca="false">IF((SUMIF(Horo8293[Client],B54,Horo8293[Durée]) / Total)=0,"",(SUMIF(Horo8293[Client],B54,Horo8293[Durée]) / Total))</f>
        <v/>
      </c>
      <c r="B54" s="68" t="s">
        <v>64</v>
      </c>
      <c r="C54" s="70" t="str">
        <f aca="false">IF(SUMIF(Horo8293[Client],B54,Horo8293[Durée])=0,"",SUMIF(Horo8293[Client],B54,Horo8293[Durée]))</f>
        <v/>
      </c>
    </row>
    <row r="55" customFormat="false" ht="15" hidden="true" customHeight="false" outlineLevel="0" collapsed="false">
      <c r="A55" s="67" t="str">
        <f aca="false">IF((SUMIF(Horo8293[Client],B55,Horo8293[Durée]) / Total)=0,"",(SUMIF(Horo8293[Client],B55,Horo8293[Durée]) / Total))</f>
        <v/>
      </c>
      <c r="B55" s="68" t="s">
        <v>65</v>
      </c>
      <c r="C55" s="70" t="str">
        <f aca="false">IF(SUMIF(Horo8293[Client],B55,Horo8293[Durée])=0,"",SUMIF(Horo8293[Client],B55,Horo8293[Durée]))</f>
        <v/>
      </c>
      <c r="F55" s="71"/>
    </row>
    <row r="56" customFormat="false" ht="15" hidden="true" customHeight="false" outlineLevel="0" collapsed="false">
      <c r="A56" s="67" t="str">
        <f aca="false">IF((SUMIF(Horo8293[Client],B56,Horo8293[Durée]) / Total)=0,"",(SUMIF(Horo8293[Client],B56,Horo8293[Durée]) / Total))</f>
        <v/>
      </c>
      <c r="B56" s="68" t="s">
        <v>66</v>
      </c>
      <c r="C56" s="69" t="str">
        <f aca="false">IF(SUMIF(Horo8293[Client],B56,Horo8293[Durée])=0,"",SUMIF(Horo8293[Client],B56,Horo8293[Durée]))</f>
        <v/>
      </c>
    </row>
    <row r="57" customFormat="false" ht="15" hidden="true" customHeight="false" outlineLevel="0" collapsed="false">
      <c r="A57" s="67" t="str">
        <f aca="false">IF((SUMIF(Horo8293[Client],B57,Horo8293[Durée]) / Total)=0,"",(SUMIF(Horo8293[Client],B57,Horo8293[Durée]) / Total))</f>
        <v/>
      </c>
      <c r="B57" s="68" t="s">
        <v>47</v>
      </c>
      <c r="C57" s="70" t="str">
        <f aca="false">IF(SUMIF(Horo8293[Client],B57,Horo8293[Durée])=0,"",SUMIF(Horo8293[Client],B57,Horo8293[Durée]))</f>
        <v/>
      </c>
    </row>
    <row r="58" customFormat="false" ht="15" hidden="true" customHeight="false" outlineLevel="0" collapsed="false">
      <c r="A58" s="67" t="str">
        <f aca="false">IF((SUMIF(Horo8293[Client],B58,Horo8293[Durée]) / Total)=0,"",(SUMIF(Horo8293[Client],B58,Horo8293[Durée]) / Total))</f>
        <v/>
      </c>
      <c r="B58" s="68" t="s">
        <v>67</v>
      </c>
      <c r="C58" s="70" t="str">
        <f aca="false">IF(SUMIF(Horo8293[Client],B58,Horo8293[Durée])=0,"",SUMIF(Horo8293[Client],B58,Horo8293[Durée]))</f>
        <v/>
      </c>
    </row>
    <row r="59" customFormat="false" ht="15" hidden="true" customHeight="false" outlineLevel="0" collapsed="false">
      <c r="A59" s="67" t="str">
        <f aca="false">IF((SUMIF(Horo8293[Client],B59,Horo8293[Durée]) / Total)=0,"",(SUMIF(Horo8293[Client],B59,Horo8293[Durée]) / Total))</f>
        <v/>
      </c>
      <c r="B59" s="68" t="s">
        <v>68</v>
      </c>
      <c r="C59" s="70" t="str">
        <f aca="false">IF(SUMIF(Horo8293[Client],B59,Horo8293[Durée])=0,"",SUMIF(Horo8293[Client],B59,Horo8293[Durée]))</f>
        <v/>
      </c>
    </row>
    <row r="60" customFormat="false" ht="15" hidden="true" customHeight="false" outlineLevel="0" collapsed="false">
      <c r="A60" s="67" t="str">
        <f aca="false">IF((SUMIF(Horo8293[Client],B60,Horo8293[Durée]) / Total)=0,"",(SUMIF(Horo8293[Client],B60,Horo8293[Durée]) / Total))</f>
        <v/>
      </c>
      <c r="B60" s="68" t="s">
        <v>41</v>
      </c>
      <c r="C60" s="70" t="str">
        <f aca="false">IF(SUMIF(Horo8293[Client],B60,Horo8293[Durée])=0,"",SUMIF(Horo8293[Client],B60,Horo8293[Durée]))</f>
        <v/>
      </c>
    </row>
    <row r="61" customFormat="false" ht="15" hidden="true" customHeight="false" outlineLevel="0" collapsed="false">
      <c r="A61" s="67" t="str">
        <f aca="false">IF((SUMIF(Horo8293[Client],B61,Horo8293[Durée]) / Total)=0,"",(SUMIF(Horo8293[Client],B61,Horo8293[Durée]) / Total))</f>
        <v/>
      </c>
      <c r="B61" s="68" t="s">
        <v>37</v>
      </c>
      <c r="C61" s="69" t="str">
        <f aca="false">IF(SUMIF(Horo8293[Client],B61,Horo8293[Durée])=0,"",SUMIF(Horo8293[Client],B61,Horo8293[Durée]))</f>
        <v/>
      </c>
    </row>
    <row r="62" customFormat="false" ht="15" hidden="true" customHeight="false" outlineLevel="0" collapsed="false">
      <c r="A62" s="67" t="str">
        <f aca="false">IF((SUMIF(Horo8293[Client],B62,Horo8293[Durée]) / Total)=0,"",(SUMIF(Horo8293[Client],B62,Horo8293[Durée]) / Total))</f>
        <v/>
      </c>
      <c r="B62" s="68" t="s">
        <v>69</v>
      </c>
      <c r="C62" s="69" t="str">
        <f aca="false">IF(SUMIF(Horo8293[Client],B62,Horo8293[Durée])=0,"",SUMIF(Horo8293[Client],B62,Horo8293[Durée]))</f>
        <v/>
      </c>
    </row>
    <row r="63" customFormat="false" ht="15" hidden="true" customHeight="false" outlineLevel="0" collapsed="false">
      <c r="A63" s="67" t="str">
        <f aca="false">IF((SUMIF(Horo8293[Client],B63,Horo8293[Durée]) / Total)=0,"",(SUMIF(Horo8293[Client],B63,Horo8293[Durée]) / Total))</f>
        <v/>
      </c>
      <c r="B63" s="68" t="s">
        <v>70</v>
      </c>
      <c r="C63" s="70" t="str">
        <f aca="false">IF(SUMIF(Horo8293[Client],B63,Horo8293[Durée])=0,"",SUMIF(Horo8293[Client],B63,Horo8293[Durée]))</f>
        <v/>
      </c>
    </row>
    <row r="64" customFormat="false" ht="15" hidden="true" customHeight="false" outlineLevel="1" collapsed="false">
      <c r="A64" s="67" t="str">
        <f aca="false">IF((SUMIF(Horo8293[Client],B64,Horo8293[Durée]) / Total)=0,"",(SUMIF(Horo8293[Client],B64,Horo8293[Durée]) / Total))</f>
        <v/>
      </c>
      <c r="B64" s="68" t="s">
        <v>71</v>
      </c>
      <c r="C64" s="70" t="str">
        <f aca="false">IF(SUMIF(Horo8293[Client],B64,Horo8293[Durée])=0,"",SUMIF(Horo8293[Client],B64,Horo8293[Durée]))</f>
        <v/>
      </c>
    </row>
    <row r="65" customFormat="false" ht="15" hidden="true" customHeight="false" outlineLevel="1" collapsed="false">
      <c r="A65" s="67" t="str">
        <f aca="false">IF((SUMIF(Horo8293[Client],B65,Horo8293[Durée]) / Total)=0,"",(SUMIF(Horo8293[Client],B65,Horo8293[Durée]) / Total))</f>
        <v/>
      </c>
      <c r="B65" s="68" t="s">
        <v>72</v>
      </c>
      <c r="C65" s="70" t="str">
        <f aca="false">IF(SUMIF(Horo8293[Client],B65,Horo8293[Durée])=0,"",SUMIF(Horo8293[Client],B65,Horo8293[Durée]))</f>
        <v/>
      </c>
    </row>
    <row r="66" customFormat="false" ht="15" hidden="true" customHeight="false" outlineLevel="1" collapsed="false">
      <c r="A66" s="67" t="str">
        <f aca="false">IF((SUMIF(Horo8293[Client],B66,Horo8293[Durée]) / Total)=0,"",(SUMIF(Horo8293[Client],B66,Horo8293[Durée]) / Total))</f>
        <v/>
      </c>
      <c r="B66" s="68" t="s">
        <v>73</v>
      </c>
      <c r="C66" s="70" t="str">
        <f aca="false">IF(SUMIF(Horo8293[Client],B66,Horo8293[Durée])=0,"",SUMIF(Horo8293[Client],B66,Horo8293[Durée]))</f>
        <v/>
      </c>
    </row>
    <row r="67" customFormat="false" ht="15" hidden="true" customHeight="false" outlineLevel="1" collapsed="false">
      <c r="A67" s="67" t="str">
        <f aca="false">IF((SUMIF(Horo8293[Client],B67,Horo8293[Durée]) / Total)=0,"",(SUMIF(Horo8293[Client],B67,Horo8293[Durée]) / Total))</f>
        <v/>
      </c>
      <c r="B67" s="68" t="s">
        <v>74</v>
      </c>
      <c r="C67" s="70" t="str">
        <f aca="false">IF(SUMIF(Horo8293[Client],B67,Horo8293[Durée])=0,"",SUMIF(Horo8293[Client],B67,Horo8293[Durée]))</f>
        <v/>
      </c>
    </row>
    <row r="68" customFormat="false" ht="15" hidden="false" customHeight="false" outlineLevel="1" collapsed="false">
      <c r="A68" s="67" t="n">
        <f aca="false">IF((SUMIF(Horo8293[Client],B68,Horo8293[Durée]) / Total)=0,"",(SUMIF(Horo8293[Client],B68,Horo8293[Durée]) / Total))</f>
        <v>0.012987012987013</v>
      </c>
      <c r="B68" s="68" t="s">
        <v>75</v>
      </c>
      <c r="C68" s="69" t="n">
        <f aca="false">IF(SUMIF(Horo8293[Client],B68,Horo8293[Durée])=0,"",SUMIF(Horo8293[Client],B68,Horo8293[Durée]))</f>
        <v>0.5</v>
      </c>
    </row>
    <row r="69" customFormat="false" ht="15" hidden="true" customHeight="false" outlineLevel="1" collapsed="false">
      <c r="A69" s="67" t="str">
        <f aca="false">IF((SUMIF(Horo8293[Client],B69,Horo8293[Durée]) / Total)=0,"",(SUMIF(Horo8293[Client],B69,Horo8293[Durée]) / Total))</f>
        <v/>
      </c>
      <c r="B69" s="68" t="s">
        <v>76</v>
      </c>
      <c r="C69" s="70" t="str">
        <f aca="false">IF(SUMIF(Horo8293[Client],B69,Horo8293[Durée])=0,"",SUMIF(Horo8293[Client],B69,Horo8293[Durée]))</f>
        <v/>
      </c>
    </row>
    <row r="70" customFormat="false" ht="15" hidden="true" customHeight="false" outlineLevel="1" collapsed="false">
      <c r="A70" s="67" t="str">
        <f aca="false">IF((SUMIF(Horo8293[Client],B70,Horo8293[Durée]) / Total)=0,"",(SUMIF(Horo8293[Client],B70,Horo8293[Durée]) / Total))</f>
        <v/>
      </c>
      <c r="B70" s="68" t="s">
        <v>77</v>
      </c>
      <c r="C70" s="70" t="str">
        <f aca="false">IF(SUMIF(Horo8293[Client],B70,Horo8293[Durée])=0,"",SUMIF(Horo8293[Client],B70,Horo8293[Durée]))</f>
        <v/>
      </c>
    </row>
    <row r="71" customFormat="false" ht="15" hidden="true" customHeight="false" outlineLevel="1" collapsed="false">
      <c r="A71" s="67" t="str">
        <f aca="false">IF((SUMIF(Horo8293[Client],B71,Horo8293[Durée]) / Total)=0,"",(SUMIF(Horo8293[Client],B71,Horo8293[Durée]) / Total))</f>
        <v/>
      </c>
      <c r="B71" s="68" t="s">
        <v>45</v>
      </c>
      <c r="C71" s="70" t="str">
        <f aca="false">IF(SUMIF(Horo8293[Client],B71,Horo8293[Durée])=0,"",SUMIF(Horo8293[Client],B71,Horo8293[Durée]))</f>
        <v/>
      </c>
    </row>
    <row r="72" customFormat="false" ht="15" hidden="true" customHeight="false" outlineLevel="1" collapsed="false">
      <c r="A72" s="67" t="str">
        <f aca="false">IF((SUMIF(Horo8293[Client],B72,Horo8293[Durée]) / Total)=0,"",(SUMIF(Horo8293[Client],B72,Horo8293[Durée]) / Total))</f>
        <v/>
      </c>
      <c r="B72" s="68" t="s">
        <v>78</v>
      </c>
      <c r="C72" s="70" t="str">
        <f aca="false">IF(SUMIF(Horo8293[Client],B72,Horo8293[Durée])=0,"",SUMIF(Horo8293[Client],B72,Horo8293[Durée]))</f>
        <v/>
      </c>
    </row>
    <row r="73" customFormat="false" ht="15" hidden="true" customHeight="false" outlineLevel="1" collapsed="false">
      <c r="A73" s="67" t="str">
        <f aca="false">IF((SUMIF(Horo8293[Client],B73,Horo8293[Durée]) / Total)=0,"",(SUMIF(Horo8293[Client],B73,Horo8293[Durée]) / Total))</f>
        <v/>
      </c>
      <c r="B73" s="68" t="s">
        <v>79</v>
      </c>
      <c r="C73" s="70" t="str">
        <f aca="false">IF(SUMIF(Horo8293[Client],B73,Horo8293[Durée])=0,"",SUMIF(Horo8293[Client],B73,Horo8293[Durée]))</f>
        <v/>
      </c>
    </row>
    <row r="74" customFormat="false" ht="15" hidden="true" customHeight="false" outlineLevel="1" collapsed="false">
      <c r="A74" s="67" t="str">
        <f aca="false">IF((SUMIF(Horo8293[Client],B74,Horo8293[Durée]) / Total)=0,"",(SUMIF(Horo8293[Client],B74,Horo8293[Durée]) / Total))</f>
        <v/>
      </c>
      <c r="B74" s="68" t="s">
        <v>80</v>
      </c>
      <c r="C74" s="70" t="str">
        <f aca="false">IF(SUMIF(Horo8293[Client],B74,Horo8293[Durée])=0,"",SUMIF(Horo8293[Client],B74,Horo8293[Durée]))</f>
        <v/>
      </c>
    </row>
    <row r="75" customFormat="false" ht="15" hidden="true" customHeight="false" outlineLevel="1" collapsed="false">
      <c r="A75" s="67" t="str">
        <f aca="false">IF((SUMIF(Horo8293[Client],B75,Horo8293[Durée]) / Total)=0,"",(SUMIF(Horo8293[Client],B75,Horo8293[Durée]) / Total))</f>
        <v/>
      </c>
      <c r="B75" s="72" t="s">
        <v>81</v>
      </c>
      <c r="C75" s="69" t="str">
        <f aca="false">IF(SUMIF(Horo8293[Client],B75,Horo8293[Durée])=0,"",SUMIF(Horo8293[Client],B75,Horo8293[Durée]))</f>
        <v/>
      </c>
    </row>
    <row r="76" customFormat="false" ht="15" hidden="true" customHeight="false" outlineLevel="1" collapsed="false"/>
    <row r="77" customFormat="false" ht="15" hidden="true" customHeight="false" outlineLevel="1" collapsed="false"/>
    <row r="78" customFormat="false" ht="15" hidden="true" customHeight="false" outlineLevel="1" collapsed="false"/>
    <row r="79" customFormat="false" ht="15" hidden="true" customHeight="false" outlineLevel="1" collapsed="false"/>
    <row r="80" customFormat="false" ht="15" hidden="true" customHeight="false" outlineLevel="1" collapsed="false"/>
    <row r="81" customFormat="false" ht="15" hidden="true" customHeight="false" outlineLevel="1" collapsed="false"/>
    <row r="82" customFormat="false" ht="15" hidden="true" customHeight="false" outlineLevel="1" collapsed="false"/>
    <row r="83" customFormat="false" ht="15" hidden="true" customHeight="false" outlineLevel="1" collapsed="false"/>
    <row r="84" customFormat="false" ht="15" hidden="true" customHeight="false" outlineLevel="1" collapsed="false"/>
  </sheetData>
  <conditionalFormatting sqref="I4:I40">
    <cfRule type="expression" priority="2" aboveAverage="0" equalAverage="0" bottom="0" percent="0" rank="0" text="" dxfId="464">
      <formula>A4="O"</formula>
    </cfRule>
  </conditionalFormatting>
  <conditionalFormatting sqref="I49">
    <cfRule type="expression" priority="3" aboveAverage="0" equalAverage="0" bottom="0" percent="0" rank="0" text="" dxfId="465">
      <formula>A49="O"</formula>
    </cfRule>
  </conditionalFormatting>
  <conditionalFormatting sqref="I51">
    <cfRule type="expression" priority="4" aboveAverage="0" equalAverage="0" bottom="0" percent="0" rank="0" text="" dxfId="466">
      <formula>A51="O"</formula>
    </cfRule>
  </conditionalFormatting>
  <conditionalFormatting sqref="H4:H40">
    <cfRule type="expression" priority="5" aboveAverage="0" equalAverage="0" bottom="0" percent="0" rank="0" text="" dxfId="467">
      <formula>A4="O"</formula>
    </cfRule>
  </conditionalFormatting>
  <conditionalFormatting sqref="K4:K40">
    <cfRule type="expression" priority="6" aboveAverage="0" equalAverage="0" bottom="0" percent="0" rank="0" text="" dxfId="468">
      <formula>A4="O"</formula>
    </cfRule>
    <cfRule type="expression" priority="7" aboveAverage="0" equalAverage="0" bottom="0" percent="0" rank="0" text="" dxfId="469">
      <formula>A4="O"</formula>
    </cfRule>
  </conditionalFormatting>
  <conditionalFormatting sqref="C4:C40">
    <cfRule type="expression" priority="8" aboveAverage="0" equalAverage="0" bottom="0" percent="0" rank="0" text="" dxfId="470">
      <formula>A4="O"</formula>
    </cfRule>
    <cfRule type="containsText" priority="9" operator="containsText" aboveAverage="0" equalAverage="0" bottom="0" percent="0" rank="0" text="Dimanche" dxfId="471">
      <formula>NOT(ISERROR(SEARCH("Dimanche",C4)))</formula>
    </cfRule>
    <cfRule type="containsText" priority="10" operator="containsText" aboveAverage="0" equalAverage="0" bottom="0" percent="0" rank="0" text="Samedi" dxfId="472">
      <formula>NOT(ISERROR(SEARCH("Samedi",C4)))</formula>
    </cfRule>
    <cfRule type="containsText" priority="11" operator="containsText" aboveAverage="0" equalAverage="0" bottom="0" percent="0" rank="0" text="Vendredi" dxfId="473">
      <formula>NOT(ISERROR(SEARCH("Vendredi",C4)))</formula>
    </cfRule>
    <cfRule type="containsText" priority="12" operator="containsText" aboveAverage="0" equalAverage="0" bottom="0" percent="0" rank="0" text="Jeudi" dxfId="474">
      <formula>NOT(ISERROR(SEARCH("Jeudi",C4)))</formula>
    </cfRule>
    <cfRule type="containsText" priority="13" operator="containsText" aboveAverage="0" equalAverage="0" bottom="0" percent="0" rank="0" text="Mercredi" dxfId="475">
      <formula>NOT(ISERROR(SEARCH("Mercredi",C4)))</formula>
    </cfRule>
    <cfRule type="containsText" priority="14" operator="containsText" aboveAverage="0" equalAverage="0" bottom="0" percent="0" rank="0" text="Mardi" dxfId="476">
      <formula>NOT(ISERROR(SEARCH("Mardi",C4)))</formula>
    </cfRule>
    <cfRule type="containsText" priority="15" operator="containsText" aboveAverage="0" equalAverage="0" bottom="0" percent="0" rank="0" text="Lundi" dxfId="477">
      <formula>NOT(ISERROR(SEARCH("Lundi",C4)))</formula>
    </cfRule>
  </conditionalFormatting>
  <conditionalFormatting sqref="G4:G40">
    <cfRule type="expression" priority="16" aboveAverage="0" equalAverage="0" bottom="0" percent="0" rank="0" text="" dxfId="478">
      <formula>A4="O"</formula>
    </cfRule>
  </conditionalFormatting>
  <conditionalFormatting sqref="J4:J40">
    <cfRule type="expression" priority="17" aboveAverage="0" equalAverage="0" bottom="0" percent="0" rank="0" text="" dxfId="479">
      <formula>A4="O"</formula>
    </cfRule>
  </conditionalFormatting>
  <conditionalFormatting sqref="F4:F40">
    <cfRule type="expression" priority="18" aboveAverage="0" equalAverage="0" bottom="0" percent="0" rank="0" text="" dxfId="480">
      <formula>A4="O"</formula>
    </cfRule>
  </conditionalFormatting>
  <conditionalFormatting sqref="B4:B40">
    <cfRule type="cellIs" priority="19" operator="equal" aboveAverage="0" equalAverage="0" bottom="0" percent="0" rank="0" text="" dxfId="481">
      <formula>0</formula>
    </cfRule>
    <cfRule type="expression" priority="20" aboveAverage="0" equalAverage="0" bottom="0" percent="0" rank="0" text="" dxfId="482">
      <formula>A4="O"</formula>
    </cfRule>
    <cfRule type="colorScale" priority="21">
      <colorScale>
        <cfvo type="percentile" val="10"/>
        <cfvo type="percentile" val="50"/>
        <cfvo type="percentile" val="90"/>
        <color rgb="FFFFC000"/>
        <color rgb="FFC55A11"/>
        <color rgb="FF2E75B6"/>
      </colorScale>
    </cfRule>
  </conditionalFormatting>
  <conditionalFormatting sqref="D4:D40">
    <cfRule type="expression" priority="22" aboveAverage="0" equalAverage="0" bottom="0" percent="0" rank="0" text="" dxfId="483">
      <formula>A4="O"</formula>
    </cfRule>
    <cfRule type="colorScale" priority="23">
      <colorScale>
        <cfvo type="min" val="0"/>
        <cfvo type="percentile" val="50"/>
        <cfvo type="max" val="0"/>
        <color rgb="FFFFC000"/>
        <color rgb="FFC55A11"/>
        <color rgb="FF2E75B6"/>
      </colorScale>
    </cfRule>
  </conditionalFormatting>
  <conditionalFormatting sqref="E4:E40">
    <cfRule type="expression" priority="24" aboveAverage="0" equalAverage="0" bottom="0" percent="0" rank="0" text="" dxfId="484">
      <formula>A4="O"</formula>
    </cfRule>
    <cfRule type="colorScale" priority="25">
      <colorScale>
        <cfvo type="min" val="0"/>
        <cfvo type="percentile" val="50"/>
        <cfvo type="max" val="0"/>
        <color rgb="FFFFC000"/>
        <color rgb="FFC55A11"/>
        <color rgb="FF2E75B6"/>
      </colorScale>
    </cfRule>
  </conditionalFormatting>
  <dataValidations count="5">
    <dataValidation allowBlank="true" errorStyle="stop" operator="between" showDropDown="false" showErrorMessage="true" showInputMessage="true" sqref="C4:C40" type="list">
      <formula1>Data!$C$2:$C$8</formula1>
      <formula2>0</formula2>
    </dataValidation>
    <dataValidation allowBlank="false" errorStyle="stop" operator="between" showDropDown="false" showErrorMessage="true" showInputMessage="true" sqref="F4:F40" type="list">
      <formula1>Data!$E$2:$E$30</formula1>
      <formula2>0</formula2>
    </dataValidation>
    <dataValidation allowBlank="true" errorStyle="information" errorTitle="OK ?" operator="between" showDropDown="false" showErrorMessage="true" showInputMessage="true" sqref="G4:G40" type="list">
      <formula1>Data!$D$2:$D$16</formula1>
      <formula2>0</formula2>
    </dataValidation>
    <dataValidation allowBlank="false" errorStyle="stop" operator="between" showDropDown="false" showErrorMessage="true" showInputMessage="true" sqref="H4:H40" type="list">
      <formula1>Data!$F$2:$F$50</formula1>
      <formula2>0</formula2>
    </dataValidation>
    <dataValidation allowBlank="true" errorStyle="stop" operator="between" showDropDown="false" showErrorMessage="true" showInputMessage="true" sqref="C1" type="list">
      <formula1>Data!$A$2:$A$106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  <tableParts>
    <tablePart r:id="rId2"/>
    <tablePart r:id="rId3"/>
  </tableParts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E9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I22" activeCellId="0" sqref="I22"/>
    </sheetView>
  </sheetViews>
  <sheetFormatPr defaultColWidth="9.1484375" defaultRowHeight="15" zeroHeight="false" outlineLevelRow="1" outlineLevelCol="0"/>
  <cols>
    <col collapsed="false" customWidth="true" hidden="false" outlineLevel="0" max="1" min="1" style="1" width="5.57"/>
    <col collapsed="false" customWidth="true" hidden="false" outlineLevel="0" max="2" min="2" style="1" width="19.42"/>
    <col collapsed="false" customWidth="true" hidden="false" outlineLevel="0" max="3" min="3" style="1" width="18.29"/>
    <col collapsed="false" customWidth="true" hidden="false" outlineLevel="0" max="4" min="4" style="1" width="13.42"/>
    <col collapsed="false" customWidth="true" hidden="false" outlineLevel="0" max="5" min="5" style="1" width="10.57"/>
    <col collapsed="false" customWidth="true" hidden="false" outlineLevel="0" max="6" min="6" style="1" width="19"/>
    <col collapsed="false" customWidth="true" hidden="false" outlineLevel="0" max="7" min="7" style="1" width="11.43"/>
    <col collapsed="false" customWidth="true" hidden="false" outlineLevel="0" max="8" min="8" style="1" width="14.57"/>
    <col collapsed="false" customWidth="true" hidden="false" outlineLevel="0" max="9" min="9" style="1" width="19.29"/>
    <col collapsed="false" customWidth="true" hidden="false" outlineLevel="0" max="10" min="10" style="1" width="9.71"/>
    <col collapsed="false" customWidth="true" hidden="false" outlineLevel="0" max="11" min="11" style="1" width="7.29"/>
    <col collapsed="false" customWidth="true" hidden="false" outlineLevel="0" max="12" min="12" style="2" width="9.86"/>
    <col collapsed="false" customWidth="true" hidden="false" outlineLevel="0" max="13" min="13" style="1" width="6.14"/>
    <col collapsed="false" customWidth="true" hidden="false" outlineLevel="0" max="14" min="14" style="1" width="5"/>
    <col collapsed="false" customWidth="true" hidden="false" outlineLevel="0" max="15" min="15" style="1" width="5.57"/>
    <col collapsed="false" customWidth="true" hidden="false" outlineLevel="0" max="17" min="16" style="1" width="6.14"/>
    <col collapsed="false" customWidth="true" hidden="false" outlineLevel="0" max="18" min="18" style="1" width="8.29"/>
    <col collapsed="false" customWidth="true" hidden="false" outlineLevel="0" max="20" min="19" style="1" width="5"/>
    <col collapsed="false" customWidth="true" hidden="false" outlineLevel="0" max="21" min="21" style="1" width="6.14"/>
    <col collapsed="false" customWidth="true" hidden="true" outlineLevel="0" max="23" min="22" style="1" width="6.14"/>
    <col collapsed="false" customWidth="true" hidden="true" outlineLevel="0" max="24" min="24" style="1" width="12.71"/>
    <col collapsed="false" customWidth="false" hidden="true" outlineLevel="0" max="31" min="25" style="1" width="9.14"/>
    <col collapsed="false" customWidth="true" hidden="false" outlineLevel="0" max="32" min="32" style="1" width="9.57"/>
    <col collapsed="false" customWidth="false" hidden="false" outlineLevel="0" max="16384" min="33" style="1" width="9.14"/>
  </cols>
  <sheetData>
    <row r="1" customFormat="false" ht="17.35" hidden="false" customHeight="false" outlineLevel="0" collapsed="false">
      <c r="A1" s="3"/>
      <c r="B1" s="4" t="str">
        <f aca="false">"Semaine du :" &amp; Data!D41</f>
        <v>Semaine du :</v>
      </c>
      <c r="C1" s="5" t="n">
        <v>44354</v>
      </c>
      <c r="D1" s="6" t="str">
        <f aca="false">"( "&amp;AVERAGE($E$2:$I$2)&amp;" )"</f>
        <v>( 7.1 )</v>
      </c>
      <c r="E1" s="7" t="str">
        <f aca="false">IFERROR("Lun.: " &amp; TEXT($Y$2,"00%"),"Lun.: 0%")</f>
        <v>Lun.: 19%</v>
      </c>
      <c r="F1" s="8" t="str">
        <f aca="false">IFERROR("Mar.: " &amp; TEXT($Z$2,"00%"),"Mar.: 0%")</f>
        <v>Mar.: 28%</v>
      </c>
      <c r="G1" s="8" t="str">
        <f aca="false">IFERROR("Mer.: " &amp; TEXT($AA$2,"00%"),"Mer.: 0%")</f>
        <v>Mer.: 26%</v>
      </c>
      <c r="H1" s="8" t="str">
        <f aca="false">IFERROR("Jeu.: " &amp; TEXT($AB$2,"00%"),"Jeu.: 0%")</f>
        <v>Jeu.: 19%</v>
      </c>
      <c r="I1" s="8" t="str">
        <f aca="false">IFERROR("Ven.: " &amp; TEXT($AC$2,"00%"),"Ven.: 0%")</f>
        <v>Ven.: 39%</v>
      </c>
      <c r="J1" s="9" t="str">
        <f aca="false">IFERROR("S.: " &amp; TEXT($AD$2,"00%"),"S.: 0%")</f>
        <v>S.: 67%</v>
      </c>
      <c r="K1" s="10" t="str">
        <f aca="false">IFERROR("D.: " &amp; TEXT($AE$2,"00%"), "D.: 0%")</f>
        <v>D.: 0%</v>
      </c>
      <c r="L1" s="11"/>
      <c r="M1" s="12" t="n">
        <f aca="false">M2/Total</f>
        <v>0.318181818181818</v>
      </c>
      <c r="N1" s="12" t="n">
        <f aca="false">N2/$C$2</f>
        <v>0.0125</v>
      </c>
      <c r="O1" s="12" t="n">
        <f aca="false">O2/$C$2</f>
        <v>0.15</v>
      </c>
      <c r="P1" s="12" t="n">
        <f aca="false">P2/$C$2</f>
        <v>0.29375</v>
      </c>
      <c r="Q1" s="12" t="n">
        <f aca="false">Q2/$C$2</f>
        <v>0.2375</v>
      </c>
      <c r="R1" s="13" t="n">
        <f aca="false">R2/$C$2</f>
        <v>0</v>
      </c>
      <c r="S1" s="13" t="n">
        <f aca="false">S2/$C$2</f>
        <v>0</v>
      </c>
      <c r="T1" s="13" t="n">
        <f aca="false">T2/$C$2</f>
        <v>0</v>
      </c>
      <c r="U1" s="14" t="n">
        <f aca="false">U2/$C$2</f>
        <v>0</v>
      </c>
      <c r="V1" s="112"/>
      <c r="W1" s="16"/>
      <c r="X1" s="17" t="e">
        <f aca="false">SUM(#REF!)</f>
        <v>#REF!</v>
      </c>
      <c r="Y1" s="18" t="s">
        <v>0</v>
      </c>
      <c r="Z1" s="18" t="s">
        <v>1</v>
      </c>
      <c r="AA1" s="18" t="s">
        <v>2</v>
      </c>
      <c r="AB1" s="18" t="s">
        <v>3</v>
      </c>
      <c r="AC1" s="18" t="s">
        <v>4</v>
      </c>
      <c r="AD1" s="18" t="s">
        <v>5</v>
      </c>
      <c r="AE1" s="18" t="s">
        <v>6</v>
      </c>
    </row>
    <row r="2" customFormat="false" ht="22.05" hidden="false" customHeight="false" outlineLevel="0" collapsed="false">
      <c r="A2" s="3"/>
      <c r="B2" s="19" t="n">
        <f aca="false">X2</f>
        <v>0.279220779220779</v>
      </c>
      <c r="C2" s="20" t="n">
        <f aca="false">SUM(Horo8291[Durée])</f>
        <v>40</v>
      </c>
      <c r="D2" s="21" t="str">
        <f aca="false">ROUND(SUM(Horo8291[T]),2) &amp; " / " &amp; ROUND($C$2-SUM(Horo8291[T]),2)</f>
        <v>40 / 0</v>
      </c>
      <c r="E2" s="22" t="n">
        <f aca="false">SUMIF(Horo8291[Jour],"Lundi",Horo8291[Durée])</f>
        <v>7.75</v>
      </c>
      <c r="F2" s="23" t="n">
        <f aca="false">SUMIF(Horo8291[Jour],"Mardi",Horo8291[Durée])</f>
        <v>8</v>
      </c>
      <c r="G2" s="23" t="n">
        <f aca="false">SUMIF(Horo8291[Jour],"Mercredi",Horo8291[Durée])</f>
        <v>4.75</v>
      </c>
      <c r="H2" s="23" t="n">
        <f aca="false">SUMIF(Horo8291[Jour],"Jeudi",Horo8291[Durée])</f>
        <v>8</v>
      </c>
      <c r="I2" s="23" t="n">
        <f aca="false">SUMIF(Horo8291[Jour],"Vendredi",Horo8291[Durée])</f>
        <v>7</v>
      </c>
      <c r="J2" s="23" t="n">
        <f aca="false">SUMIF(Horo8291[Jour],"Samedi",Horo8291[Durée])</f>
        <v>4.5</v>
      </c>
      <c r="K2" s="23" t="n">
        <f aca="false">SUMIF(Horo8291[Jour],"Dimanche",Horo8291[Durée])</f>
        <v>0</v>
      </c>
      <c r="L2" s="24"/>
      <c r="M2" s="25" t="n">
        <f aca="false">SUM(Horo8291[GPF])</f>
        <v>12.25</v>
      </c>
      <c r="N2" s="25" t="n">
        <f aca="false">SUM(Horo8291[RI])</f>
        <v>0.500000000000001</v>
      </c>
      <c r="O2" s="25" t="n">
        <f aca="false">SUM(Horo8291[GB])</f>
        <v>6</v>
      </c>
      <c r="P2" s="25" t="n">
        <f aca="false">SUM(Horo8291[RD])</f>
        <v>11.75</v>
      </c>
      <c r="Q2" s="25" t="n">
        <f aca="false">SUM(Horo8291[FG])</f>
        <v>9.5</v>
      </c>
      <c r="R2" s="26" t="n">
        <f aca="false">SUM(Horo8291[CONGÉ])</f>
        <v>0</v>
      </c>
      <c r="S2" s="26" t="n">
        <f aca="false">SUM(Horo8291[PS])</f>
        <v>0</v>
      </c>
      <c r="T2" s="26" t="n">
        <f aca="false">SUM(Horo8291[TD])</f>
        <v>0</v>
      </c>
      <c r="U2" s="27" t="n">
        <f aca="false">SUM(Horo8291[N/C])</f>
        <v>0</v>
      </c>
      <c r="V2" s="17" t="n">
        <f aca="false">(Total-(SUM(N2:U2)))</f>
        <v>10.75</v>
      </c>
      <c r="W2" s="17" t="n">
        <f aca="false">Total-(R2+S2+T2+U2)</f>
        <v>38.5</v>
      </c>
      <c r="X2" s="28" t="n">
        <f aca="false">V2/W2</f>
        <v>0.279220779220779</v>
      </c>
      <c r="Y2" s="29" t="n">
        <f aca="false">SUMIF(Horo8291[Jour],"Lundi",Horo8291[GPF]) / $E$2</f>
        <v>0.193548387096775</v>
      </c>
      <c r="Z2" s="29" t="n">
        <f aca="false">SUMIF(Horo8291[Jour],"Mardi",Horo8291[GPF]) / $F$2</f>
        <v>0.28125</v>
      </c>
      <c r="AA2" s="29" t="n">
        <f aca="false">SUMIF(Horo8291[Jour],"Mercredi",Horo8291[GPF]) / $G$2</f>
        <v>0.263157894736842</v>
      </c>
      <c r="AB2" s="29" t="n">
        <f aca="false">SUMIF(Horo8291[Jour],"Jeudi",Horo8291[GPF]) / $H$2</f>
        <v>0.1875</v>
      </c>
      <c r="AC2" s="29" t="n">
        <f aca="false">SUMIF(Horo8291[Jour],"Vendredi",Horo8291[GPF]) / $I$2</f>
        <v>0.392857142857143</v>
      </c>
      <c r="AD2" s="29" t="n">
        <f aca="false">SUMIF(Horo8291[Jour],"Samedi",Horo8291[GPF]) / $J$2</f>
        <v>0.666666666666667</v>
      </c>
      <c r="AE2" s="29" t="e">
        <f aca="false">SUMIF(Horo8291[Jour],"Dimanche",Horo8291[GPF]) / $K$2</f>
        <v>#DIV/0!</v>
      </c>
    </row>
    <row r="3" customFormat="false" ht="15" hidden="false" customHeight="false" outlineLevel="0" collapsed="false">
      <c r="A3" s="30" t="s">
        <v>7</v>
      </c>
      <c r="B3" s="31" t="s">
        <v>8</v>
      </c>
      <c r="C3" s="31" t="s">
        <v>9</v>
      </c>
      <c r="D3" s="32" t="s">
        <v>10</v>
      </c>
      <c r="E3" s="33" t="s">
        <v>11</v>
      </c>
      <c r="F3" s="34" t="s">
        <v>12</v>
      </c>
      <c r="G3" s="34" t="s">
        <v>13</v>
      </c>
      <c r="H3" s="34" t="s">
        <v>14</v>
      </c>
      <c r="I3" s="35" t="s">
        <v>15</v>
      </c>
      <c r="J3" s="36" t="s">
        <v>16</v>
      </c>
      <c r="K3" s="36" t="s">
        <v>17</v>
      </c>
      <c r="L3" s="37" t="s">
        <v>18</v>
      </c>
      <c r="M3" s="38" t="s">
        <v>19</v>
      </c>
      <c r="N3" s="39" t="s">
        <v>20</v>
      </c>
      <c r="O3" s="39" t="s">
        <v>21</v>
      </c>
      <c r="P3" s="39" t="s">
        <v>22</v>
      </c>
      <c r="Q3" s="39" t="s">
        <v>23</v>
      </c>
      <c r="R3" s="40" t="s">
        <v>24</v>
      </c>
      <c r="S3" s="40" t="s">
        <v>25</v>
      </c>
      <c r="T3" s="41" t="s">
        <v>26</v>
      </c>
      <c r="U3" s="41" t="s">
        <v>27</v>
      </c>
      <c r="V3" s="42" t="s">
        <v>28</v>
      </c>
      <c r="W3" s="43" t="s">
        <v>29</v>
      </c>
      <c r="X3" s="44" t="s">
        <v>30</v>
      </c>
    </row>
    <row r="4" customFormat="false" ht="15" hidden="true" customHeight="false" outlineLevel="0" collapsed="false">
      <c r="A4" s="45" t="s">
        <v>31</v>
      </c>
      <c r="B4" s="111" t="n">
        <f aca="false">IF(Horo8291[[#This Row],[Jour]]="Lundi",$C$1+1, IF(Horo8291[[#This Row],[Jour]]="Mardi",$C$1+2, IF(Horo8291[[#This Row],[Jour]]="Mercredi",$C$1+3, IF(Horo8291[[#This Row],[Jour]]="Jeudi",$C$1+4, IF(Horo8291[[#This Row],[Jour]]="Vendredi",$C$1+5, IF(Horo8291[[#This Row],[Jour]]="Samedi",$C$1+6, IF(Horo8291[[#This Row],[Jour]]="Dimanche",$C$1, )))))))</f>
        <v>44355</v>
      </c>
      <c r="C4" s="47" t="s">
        <v>0</v>
      </c>
      <c r="D4" s="48" t="n">
        <v>0.322916666666667</v>
      </c>
      <c r="E4" s="48" t="n">
        <v>0.364583333333333</v>
      </c>
      <c r="F4" s="49" t="s">
        <v>32</v>
      </c>
      <c r="G4" s="49" t="s">
        <v>21</v>
      </c>
      <c r="H4" s="50" t="s">
        <v>94</v>
      </c>
      <c r="I4" s="61"/>
      <c r="J4" s="52" t="n">
        <f aca="false">IF(Horo8291[[#This Row],[Début]]=0,"",(Horo8291[[#This Row],[Durée (60)2]]-INT(Horo8291[[#This Row],[Durée (60)2]]))*24)</f>
        <v>0.999999999999999</v>
      </c>
      <c r="K4" s="53" t="n">
        <f aca="false">SUMIF(Horo8291[Jour],C4,Horo8291[Durée])</f>
        <v>7.75</v>
      </c>
      <c r="L4" s="54" t="n">
        <f aca="false">IFERROR(SUMIF(Horo8291[[#This Row],[Jour]],Horo8291[[#This Row],[Jour]],Horo8291[[#This Row],[GPF]]) / Horo8291[[#This Row],[hrs]],"")</f>
        <v>0</v>
      </c>
      <c r="M4" s="55" t="str">
        <f aca="false">IF("GPF"=Horo8291[[#This Row],[Tâche]],Horo8291[[#This Row],[Durée]],"")</f>
        <v/>
      </c>
      <c r="N4" s="56" t="str">
        <f aca="false">IF("RI"=Horo8291[[#This Row],[Tâche]],Horo8291[[#This Row],[Durée]],"")</f>
        <v/>
      </c>
      <c r="O4" s="56" t="n">
        <f aca="false">IF("GB"=Horo8291[[#This Row],[Tâche]],Horo8291[[#This Row],[Durée]],"")</f>
        <v>0.999999999999999</v>
      </c>
      <c r="P4" s="56" t="str">
        <f aca="false">IF("RD"=Horo8291[[#This Row],[Tâche]],Horo8291[[#This Row],[Durée]],"")</f>
        <v/>
      </c>
      <c r="Q4" s="56" t="str">
        <f aca="false">IF("FG"=Horo8291[[#This Row],[Tâche]],Horo8291[[#This Row],[Durée]],"")</f>
        <v/>
      </c>
      <c r="R4" s="56" t="str">
        <f aca="false">IF("CONGÉ"=Horo8291[[#This Row],[Tâche]],Horo8291[[#This Row],[Durée]],"")</f>
        <v/>
      </c>
      <c r="S4" s="57" t="str">
        <f aca="false">IF("PS"=Horo8291[[#This Row],[Tâche]],Horo8291[[#This Row],[Durée]],"")</f>
        <v/>
      </c>
      <c r="T4" s="56" t="str">
        <f aca="false">IF("TD"=Horo8291[[#This Row],[Tâche]],Horo8291[[#This Row],[Durée]],"")</f>
        <v/>
      </c>
      <c r="U4" s="55" t="str">
        <f aca="false">IF("N/C"=Horo8291[[#This Row],[Tâche]],Horo8291[[#This Row],[Durée]],"")</f>
        <v/>
      </c>
      <c r="V4" s="58"/>
      <c r="W4" s="59" t="n">
        <f aca="false">IF(Horo8291[[#This Row],[O]]="o",Horo8291[[#This Row],[Durée]],".")</f>
        <v>0.999999999999999</v>
      </c>
      <c r="X4" s="60" t="n">
        <f aca="false">IF(Horo8291[[#This Row],[Début]]=0,"",Horo8291[[#This Row],[Fin]]-Horo8291[[#This Row],[Début]])</f>
        <v>0.0416666666666666</v>
      </c>
    </row>
    <row r="5" customFormat="false" ht="15" hidden="true" customHeight="false" outlineLevel="0" collapsed="false">
      <c r="A5" s="45" t="s">
        <v>31</v>
      </c>
      <c r="B5" s="111" t="n">
        <f aca="false">IF(Horo8291[[#This Row],[Jour]]="Lundi",$C$1+1, IF(Horo8291[[#This Row],[Jour]]="Mardi",$C$1+2, IF(Horo8291[[#This Row],[Jour]]="Mercredi",$C$1+3, IF(Horo8291[[#This Row],[Jour]]="Jeudi",$C$1+4, IF(Horo8291[[#This Row],[Jour]]="Vendredi",$C$1+5, IF(Horo8291[[#This Row],[Jour]]="Samedi",$C$1+6, IF(Horo8291[[#This Row],[Jour]]="Dimanche",$C$1, )))))))</f>
        <v>44355</v>
      </c>
      <c r="C5" s="47" t="s">
        <v>0</v>
      </c>
      <c r="D5" s="48" t="n">
        <v>0.364583333333333</v>
      </c>
      <c r="E5" s="48" t="n">
        <v>0.385416666666667</v>
      </c>
      <c r="F5" s="49" t="s">
        <v>32</v>
      </c>
      <c r="G5" s="49" t="s">
        <v>20</v>
      </c>
      <c r="H5" s="50" t="s">
        <v>121</v>
      </c>
      <c r="I5" s="61"/>
      <c r="J5" s="52" t="n">
        <f aca="false">IF(Horo8291[[#This Row],[Début]]=0,"",(Horo8291[[#This Row],[Durée (60)2]]-INT(Horo8291[[#This Row],[Durée (60)2]]))*24)</f>
        <v>0.500000000000001</v>
      </c>
      <c r="K5" s="53" t="n">
        <f aca="false">SUMIF(Horo8291[Jour],C5,Horo8291[Durée])</f>
        <v>7.75</v>
      </c>
      <c r="L5" s="54" t="n">
        <f aca="false">IFERROR(SUMIF(Horo8291[[#This Row],[Jour]],Horo8291[[#This Row],[Jour]],Horo8291[[#This Row],[GPF]]) / Horo8291[[#This Row],[hrs]],"")</f>
        <v>0</v>
      </c>
      <c r="M5" s="55" t="str">
        <f aca="false">IF("GPF"=Horo8291[[#This Row],[Tâche]],Horo8291[[#This Row],[Durée]],"")</f>
        <v/>
      </c>
      <c r="N5" s="56" t="n">
        <f aca="false">IF("RI"=Horo8291[[#This Row],[Tâche]],Horo8291[[#This Row],[Durée]],"")</f>
        <v>0.500000000000001</v>
      </c>
      <c r="O5" s="56" t="str">
        <f aca="false">IF("GB"=Horo8291[[#This Row],[Tâche]],Horo8291[[#This Row],[Durée]],"")</f>
        <v/>
      </c>
      <c r="P5" s="56" t="str">
        <f aca="false">IF("RD"=Horo8291[[#This Row],[Tâche]],Horo8291[[#This Row],[Durée]],"")</f>
        <v/>
      </c>
      <c r="Q5" s="56" t="str">
        <f aca="false">IF("FG"=Horo8291[[#This Row],[Tâche]],Horo8291[[#This Row],[Durée]],"")</f>
        <v/>
      </c>
      <c r="R5" s="56" t="str">
        <f aca="false">IF("CONGÉ"=Horo8291[[#This Row],[Tâche]],Horo8291[[#This Row],[Durée]],"")</f>
        <v/>
      </c>
      <c r="S5" s="57" t="str">
        <f aca="false">IF("PS"=Horo8291[[#This Row],[Tâche]],Horo8291[[#This Row],[Durée]],"")</f>
        <v/>
      </c>
      <c r="T5" s="56" t="str">
        <f aca="false">IF("TD"=Horo8291[[#This Row],[Tâche]],Horo8291[[#This Row],[Durée]],"")</f>
        <v/>
      </c>
      <c r="U5" s="55" t="str">
        <f aca="false">IF("N/C"=Horo8291[[#This Row],[Tâche]],Horo8291[[#This Row],[Durée]],"")</f>
        <v/>
      </c>
      <c r="V5" s="58"/>
      <c r="W5" s="59" t="n">
        <f aca="false">IF(Horo8291[[#This Row],[O]]="o",Horo8291[[#This Row],[Durée]],".")</f>
        <v>0.500000000000001</v>
      </c>
      <c r="X5" s="60" t="n">
        <f aca="false">IF(Horo8291[[#This Row],[Début]]=0,"",Horo8291[[#This Row],[Fin]]-Horo8291[[#This Row],[Début]])</f>
        <v>0.0208333333333334</v>
      </c>
    </row>
    <row r="6" customFormat="false" ht="15" hidden="true" customHeight="false" outlineLevel="0" collapsed="false">
      <c r="A6" s="45" t="s">
        <v>31</v>
      </c>
      <c r="B6" s="46" t="n">
        <f aca="false">IF(Horo8291[[#This Row],[Jour]]="Lundi",$C$1+1, IF(Horo8291[[#This Row],[Jour]]="Mardi",$C$1+2, IF(Horo8291[[#This Row],[Jour]]="Mercredi",$C$1+3, IF(Horo8291[[#This Row],[Jour]]="Jeudi",$C$1+4, IF(Horo8291[[#This Row],[Jour]]="Vendredi",$C$1+5, IF(Horo8291[[#This Row],[Jour]]="Samedi",$C$1+6, IF(Horo8291[[#This Row],[Jour]]="Dimanche",$C$1, )))))))</f>
        <v>44355</v>
      </c>
      <c r="C6" s="47" t="s">
        <v>0</v>
      </c>
      <c r="D6" s="48" t="n">
        <v>0.385416666666667</v>
      </c>
      <c r="E6" s="48" t="n">
        <v>0.40625</v>
      </c>
      <c r="F6" s="49" t="s">
        <v>32</v>
      </c>
      <c r="G6" s="49" t="s">
        <v>21</v>
      </c>
      <c r="H6" s="50" t="s">
        <v>112</v>
      </c>
      <c r="I6" s="61"/>
      <c r="J6" s="52" t="n">
        <f aca="false">IF(Horo8291[[#This Row],[Début]]=0,"",(Horo8291[[#This Row],[Durée (60)2]]-INT(Horo8291[[#This Row],[Durée (60)2]]))*24)</f>
        <v>0.5</v>
      </c>
      <c r="K6" s="62" t="n">
        <f aca="false">SUMIF(Horo8291[Jour],C6,Horo8291[Durée])</f>
        <v>7.75</v>
      </c>
      <c r="L6" s="54" t="n">
        <f aca="false">IFERROR(SUMIF(Horo8291[[#This Row],[Jour]],Horo8291[[#This Row],[Jour]],Horo8291[[#This Row],[GPF]]) / Horo8291[[#This Row],[hrs]],"")</f>
        <v>0</v>
      </c>
      <c r="M6" s="56" t="str">
        <f aca="false">IF("GPF"=Horo8291[[#This Row],[Tâche]],Horo8291[[#This Row],[Durée]],"")</f>
        <v/>
      </c>
      <c r="N6" s="56" t="str">
        <f aca="false">IF("RI"=Horo8291[[#This Row],[Tâche]],Horo8291[[#This Row],[Durée]],"")</f>
        <v/>
      </c>
      <c r="O6" s="56" t="n">
        <f aca="false">IF("GB"=Horo8291[[#This Row],[Tâche]],Horo8291[[#This Row],[Durée]],"")</f>
        <v>0.5</v>
      </c>
      <c r="P6" s="56" t="str">
        <f aca="false">IF("RD"=Horo8291[[#This Row],[Tâche]],Horo8291[[#This Row],[Durée]],"")</f>
        <v/>
      </c>
      <c r="Q6" s="56" t="str">
        <f aca="false">IF("FG"=Horo8291[[#This Row],[Tâche]],Horo8291[[#This Row],[Durée]],"")</f>
        <v/>
      </c>
      <c r="R6" s="56" t="str">
        <f aca="false">IF("CONGÉ"=Horo8291[[#This Row],[Tâche]],Horo8291[[#This Row],[Durée]],"")</f>
        <v/>
      </c>
      <c r="S6" s="57" t="str">
        <f aca="false">IF("PS"=Horo8291[[#This Row],[Tâche]],Horo8291[[#This Row],[Durée]],"")</f>
        <v/>
      </c>
      <c r="T6" s="56" t="str">
        <f aca="false">IF("TD"=Horo8291[[#This Row],[Tâche]],Horo8291[[#This Row],[Durée]],"")</f>
        <v/>
      </c>
      <c r="U6" s="55" t="str">
        <f aca="false">IF("N/C"=Horo8291[[#This Row],[Tâche]],Horo8291[[#This Row],[Durée]],"")</f>
        <v/>
      </c>
      <c r="V6" s="58"/>
      <c r="W6" s="59" t="n">
        <f aca="false">IF(Horo8291[[#This Row],[O]]="o",Horo8291[[#This Row],[Durée]],".")</f>
        <v>0.5</v>
      </c>
      <c r="X6" s="60" t="n">
        <f aca="false">IF(Horo8291[[#This Row],[Début]]=0,"",Horo8291[[#This Row],[Fin]]-Horo8291[[#This Row],[Début]])</f>
        <v>0.0208333333333333</v>
      </c>
    </row>
    <row r="7" customFormat="false" ht="15" hidden="false" customHeight="false" outlineLevel="0" collapsed="false">
      <c r="A7" s="45" t="s">
        <v>31</v>
      </c>
      <c r="B7" s="111" t="n">
        <f aca="false">IF(Horo8291[[#This Row],[Jour]]="Lundi",$C$1+1, IF(Horo8291[[#This Row],[Jour]]="Mardi",$C$1+2, IF(Horo8291[[#This Row],[Jour]]="Mercredi",$C$1+3, IF(Horo8291[[#This Row],[Jour]]="Jeudi",$C$1+4, IF(Horo8291[[#This Row],[Jour]]="Vendredi",$C$1+5, IF(Horo8291[[#This Row],[Jour]]="Samedi",$C$1+6, IF(Horo8291[[#This Row],[Jour]]="Dimanche",$C$1, )))))))</f>
        <v>44355</v>
      </c>
      <c r="C7" s="47" t="s">
        <v>0</v>
      </c>
      <c r="D7" s="48" t="n">
        <v>0.416666666666667</v>
      </c>
      <c r="E7" s="48" t="n">
        <v>0.4375</v>
      </c>
      <c r="F7" s="49" t="s">
        <v>60</v>
      </c>
      <c r="G7" s="49" t="s">
        <v>22</v>
      </c>
      <c r="H7" s="50" t="s">
        <v>201</v>
      </c>
      <c r="I7" s="61" t="s">
        <v>234</v>
      </c>
      <c r="J7" s="52" t="n">
        <f aca="false">IF(Horo8291[[#This Row],[Début]]=0,"",(Horo8291[[#This Row],[Durée (60)2]]-INT(Horo8291[[#This Row],[Durée (60)2]]))*24)</f>
        <v>0.5</v>
      </c>
      <c r="K7" s="62" t="n">
        <f aca="false">SUMIF(Horo8291[Jour],C7,Horo8291[Durée])</f>
        <v>7.75</v>
      </c>
      <c r="L7" s="54" t="n">
        <f aca="false">IFERROR(SUMIF(Horo8291[[#This Row],[Jour]],Horo8291[[#This Row],[Jour]],Horo8291[[#This Row],[GPF]]) / Horo8291[[#This Row],[hrs]],"")</f>
        <v>0</v>
      </c>
      <c r="M7" s="56" t="str">
        <f aca="false">IF("GPF"=Horo8291[[#This Row],[Tâche]],Horo8291[[#This Row],[Durée]],"")</f>
        <v/>
      </c>
      <c r="N7" s="56" t="str">
        <f aca="false">IF("RI"=Horo8291[[#This Row],[Tâche]],Horo8291[[#This Row],[Durée]],"")</f>
        <v/>
      </c>
      <c r="O7" s="56" t="str">
        <f aca="false">IF("GB"=Horo8291[[#This Row],[Tâche]],Horo8291[[#This Row],[Durée]],"")</f>
        <v/>
      </c>
      <c r="P7" s="56" t="n">
        <f aca="false">IF("RD"=Horo8291[[#This Row],[Tâche]],Horo8291[[#This Row],[Durée]],"")</f>
        <v>0.5</v>
      </c>
      <c r="Q7" s="56" t="str">
        <f aca="false">IF("FG"=Horo8291[[#This Row],[Tâche]],Horo8291[[#This Row],[Durée]],"")</f>
        <v/>
      </c>
      <c r="R7" s="56" t="str">
        <f aca="false">IF("CONGÉ"=Horo8291[[#This Row],[Tâche]],Horo8291[[#This Row],[Durée]],"")</f>
        <v/>
      </c>
      <c r="S7" s="57" t="str">
        <f aca="false">IF("PS"=Horo8291[[#This Row],[Tâche]],Horo8291[[#This Row],[Durée]],"")</f>
        <v/>
      </c>
      <c r="T7" s="56" t="str">
        <f aca="false">IF("TD"=Horo8291[[#This Row],[Tâche]],Horo8291[[#This Row],[Durée]],"")</f>
        <v/>
      </c>
      <c r="U7" s="55" t="str">
        <f aca="false">IF("N/C"=Horo8291[[#This Row],[Tâche]],Horo8291[[#This Row],[Durée]],"")</f>
        <v/>
      </c>
      <c r="V7" s="58"/>
      <c r="W7" s="59" t="n">
        <f aca="false">IF(Horo8291[[#This Row],[O]]="o",Horo8291[[#This Row],[Durée]],".")</f>
        <v>0.5</v>
      </c>
      <c r="X7" s="60" t="n">
        <f aca="false">IF(Horo8291[[#This Row],[Début]]=0,"",Horo8291[[#This Row],[Fin]]-Horo8291[[#This Row],[Début]])</f>
        <v>0.0208333333333333</v>
      </c>
    </row>
    <row r="8" customFormat="false" ht="15" hidden="true" customHeight="false" outlineLevel="0" collapsed="false">
      <c r="A8" s="45" t="s">
        <v>31</v>
      </c>
      <c r="B8" s="111" t="n">
        <f aca="false">IF(Horo8291[[#This Row],[Jour]]="Lundi",$C$1+1, IF(Horo8291[[#This Row],[Jour]]="Mardi",$C$1+2, IF(Horo8291[[#This Row],[Jour]]="Mercredi",$C$1+3, IF(Horo8291[[#This Row],[Jour]]="Jeudi",$C$1+4, IF(Horo8291[[#This Row],[Jour]]="Vendredi",$C$1+5, IF(Horo8291[[#This Row],[Jour]]="Samedi",$C$1+6, IF(Horo8291[[#This Row],[Jour]]="Dimanche",$C$1, )))))))</f>
        <v>44355</v>
      </c>
      <c r="C8" s="47" t="s">
        <v>0</v>
      </c>
      <c r="D8" s="48" t="n">
        <v>0.458333333333333</v>
      </c>
      <c r="E8" s="48" t="n">
        <v>0.5</v>
      </c>
      <c r="F8" s="49" t="s">
        <v>61</v>
      </c>
      <c r="G8" s="49" t="s">
        <v>19</v>
      </c>
      <c r="H8" s="50" t="s">
        <v>98</v>
      </c>
      <c r="I8" s="61" t="s">
        <v>235</v>
      </c>
      <c r="J8" s="52" t="n">
        <f aca="false">IF(Horo8291[[#This Row],[Début]]=0,"",(Horo8291[[#This Row],[Durée (60)2]]-INT(Horo8291[[#This Row],[Durée (60)2]]))*24)</f>
        <v>1</v>
      </c>
      <c r="K8" s="62" t="n">
        <f aca="false">SUMIF(Horo8291[Jour],C8,Horo8291[Durée])</f>
        <v>7.75</v>
      </c>
      <c r="L8" s="54" t="n">
        <f aca="false">IFERROR(SUMIF(Horo8291[[#This Row],[Jour]],Horo8291[[#This Row],[Jour]],Horo8291[[#This Row],[GPF]]) / Horo8291[[#This Row],[hrs]],"")</f>
        <v>0.129032258064516</v>
      </c>
      <c r="M8" s="56" t="n">
        <f aca="false">IF("GPF"=Horo8291[[#This Row],[Tâche]],Horo8291[[#This Row],[Durée]],"")</f>
        <v>1</v>
      </c>
      <c r="N8" s="56" t="str">
        <f aca="false">IF("RI"=Horo8291[[#This Row],[Tâche]],Horo8291[[#This Row],[Durée]],"")</f>
        <v/>
      </c>
      <c r="O8" s="56" t="str">
        <f aca="false">IF("GB"=Horo8291[[#This Row],[Tâche]],Horo8291[[#This Row],[Durée]],"")</f>
        <v/>
      </c>
      <c r="P8" s="56" t="str">
        <f aca="false">IF("RD"=Horo8291[[#This Row],[Tâche]],Horo8291[[#This Row],[Durée]],"")</f>
        <v/>
      </c>
      <c r="Q8" s="56" t="str">
        <f aca="false">IF("FG"=Horo8291[[#This Row],[Tâche]],Horo8291[[#This Row],[Durée]],"")</f>
        <v/>
      </c>
      <c r="R8" s="56" t="str">
        <f aca="false">IF("CONGÉ"=Horo8291[[#This Row],[Tâche]],Horo8291[[#This Row],[Durée]],"")</f>
        <v/>
      </c>
      <c r="S8" s="57" t="str">
        <f aca="false">IF("PS"=Horo8291[[#This Row],[Tâche]],Horo8291[[#This Row],[Durée]],"")</f>
        <v/>
      </c>
      <c r="T8" s="56" t="str">
        <f aca="false">IF("TD"=Horo8291[[#This Row],[Tâche]],Horo8291[[#This Row],[Durée]],"")</f>
        <v/>
      </c>
      <c r="U8" s="55" t="str">
        <f aca="false">IF("N/C"=Horo8291[[#This Row],[Tâche]],Horo8291[[#This Row],[Durée]],"")</f>
        <v/>
      </c>
      <c r="V8" s="58"/>
      <c r="W8" s="59" t="n">
        <f aca="false">IF(Horo8291[[#This Row],[O]]="o",Horo8291[[#This Row],[Durée]],".")</f>
        <v>1</v>
      </c>
      <c r="X8" s="60" t="n">
        <f aca="false">IF(Horo8291[[#This Row],[Début]]=0,"",Horo8291[[#This Row],[Fin]]-Horo8291[[#This Row],[Début]])</f>
        <v>0.0416666666666667</v>
      </c>
    </row>
    <row r="9" customFormat="false" ht="15" hidden="true" customHeight="false" outlineLevel="0" collapsed="false">
      <c r="A9" s="45" t="s">
        <v>31</v>
      </c>
      <c r="B9" s="111" t="n">
        <f aca="false">IF(Horo8291[[#This Row],[Jour]]="Lundi",$C$1+1, IF(Horo8291[[#This Row],[Jour]]="Mardi",$C$1+2, IF(Horo8291[[#This Row],[Jour]]="Mercredi",$C$1+3, IF(Horo8291[[#This Row],[Jour]]="Jeudi",$C$1+4, IF(Horo8291[[#This Row],[Jour]]="Vendredi",$C$1+5, IF(Horo8291[[#This Row],[Jour]]="Samedi",$C$1+6, IF(Horo8291[[#This Row],[Jour]]="Dimanche",$C$1, )))))))</f>
        <v>44355</v>
      </c>
      <c r="C9" s="47" t="s">
        <v>0</v>
      </c>
      <c r="D9" s="48" t="n">
        <v>0.666666666666667</v>
      </c>
      <c r="E9" s="48" t="n">
        <v>0.677083333333333</v>
      </c>
      <c r="F9" s="49" t="s">
        <v>61</v>
      </c>
      <c r="G9" s="49" t="s">
        <v>19</v>
      </c>
      <c r="H9" s="50" t="s">
        <v>98</v>
      </c>
      <c r="I9" s="61" t="s">
        <v>236</v>
      </c>
      <c r="J9" s="52" t="n">
        <f aca="false">IF(Horo8291[[#This Row],[Début]]=0,"",(Horo8291[[#This Row],[Durée (60)2]]-INT(Horo8291[[#This Row],[Durée (60)2]]))*24)</f>
        <v>0.250000000000002</v>
      </c>
      <c r="K9" s="62" t="n">
        <f aca="false">SUMIF(Horo8291[Jour],C9,Horo8291[Durée])</f>
        <v>7.75</v>
      </c>
      <c r="L9" s="54" t="n">
        <f aca="false">IFERROR(SUMIF(Horo8291[[#This Row],[Jour]],Horo8291[[#This Row],[Jour]],Horo8291[[#This Row],[GPF]]) / Horo8291[[#This Row],[hrs]],"")</f>
        <v>0.0322580645161293</v>
      </c>
      <c r="M9" s="56" t="n">
        <f aca="false">IF("GPF"=Horo8291[[#This Row],[Tâche]],Horo8291[[#This Row],[Durée]],"")</f>
        <v>0.250000000000002</v>
      </c>
      <c r="N9" s="56" t="str">
        <f aca="false">IF("RI"=Horo8291[[#This Row],[Tâche]],Horo8291[[#This Row],[Durée]],"")</f>
        <v/>
      </c>
      <c r="O9" s="56" t="str">
        <f aca="false">IF("GB"=Horo8291[[#This Row],[Tâche]],Horo8291[[#This Row],[Durée]],"")</f>
        <v/>
      </c>
      <c r="P9" s="56" t="str">
        <f aca="false">IF("RD"=Horo8291[[#This Row],[Tâche]],Horo8291[[#This Row],[Durée]],"")</f>
        <v/>
      </c>
      <c r="Q9" s="56" t="str">
        <f aca="false">IF("FG"=Horo8291[[#This Row],[Tâche]],Horo8291[[#This Row],[Durée]],"")</f>
        <v/>
      </c>
      <c r="R9" s="56" t="str">
        <f aca="false">IF("CONGÉ"=Horo8291[[#This Row],[Tâche]],Horo8291[[#This Row],[Durée]],"")</f>
        <v/>
      </c>
      <c r="S9" s="57" t="str">
        <f aca="false">IF("PS"=Horo8291[[#This Row],[Tâche]],Horo8291[[#This Row],[Durée]],"")</f>
        <v/>
      </c>
      <c r="T9" s="56" t="str">
        <f aca="false">IF("TD"=Horo8291[[#This Row],[Tâche]],Horo8291[[#This Row],[Durée]],"")</f>
        <v/>
      </c>
      <c r="U9" s="55" t="str">
        <f aca="false">IF("N/C"=Horo8291[[#This Row],[Tâche]],Horo8291[[#This Row],[Durée]],"")</f>
        <v/>
      </c>
      <c r="V9" s="58"/>
      <c r="W9" s="59" t="n">
        <f aca="false">IF(Horo8291[[#This Row],[O]]="o",Horo8291[[#This Row],[Durée]],".")</f>
        <v>0.250000000000002</v>
      </c>
      <c r="X9" s="60" t="n">
        <f aca="false">IF(Horo8291[[#This Row],[Début]]=0,"",Horo8291[[#This Row],[Fin]]-Horo8291[[#This Row],[Début]])</f>
        <v>0.0104166666666667</v>
      </c>
    </row>
    <row r="10" customFormat="false" ht="15" hidden="true" customHeight="false" outlineLevel="0" collapsed="false">
      <c r="A10" s="45" t="s">
        <v>31</v>
      </c>
      <c r="B10" s="111" t="n">
        <f aca="false">IF(Horo8291[[#This Row],[Jour]]="Lundi",$C$1+1, IF(Horo8291[[#This Row],[Jour]]="Mardi",$C$1+2, IF(Horo8291[[#This Row],[Jour]]="Mercredi",$C$1+3, IF(Horo8291[[#This Row],[Jour]]="Jeudi",$C$1+4, IF(Horo8291[[#This Row],[Jour]]="Vendredi",$C$1+5, IF(Horo8291[[#This Row],[Jour]]="Samedi",$C$1+6, IF(Horo8291[[#This Row],[Jour]]="Dimanche",$C$1, )))))))</f>
        <v>44355</v>
      </c>
      <c r="C10" s="47" t="s">
        <v>0</v>
      </c>
      <c r="D10" s="48" t="n">
        <v>0.604166666666667</v>
      </c>
      <c r="E10" s="48" t="n">
        <v>0.6875</v>
      </c>
      <c r="F10" s="49" t="s">
        <v>32</v>
      </c>
      <c r="G10" s="49" t="s">
        <v>22</v>
      </c>
      <c r="H10" s="50" t="s">
        <v>118</v>
      </c>
      <c r="I10" s="61"/>
      <c r="J10" s="52" t="n">
        <f aca="false">IF(Horo8291[[#This Row],[Début]]=0,"",(Horo8291[[#This Row],[Durée (60)2]]-INT(Horo8291[[#This Row],[Durée (60)2]]))*24)</f>
        <v>2</v>
      </c>
      <c r="K10" s="62" t="n">
        <f aca="false">SUMIF(Horo8291[Jour],C10,Horo8291[Durée])</f>
        <v>7.75</v>
      </c>
      <c r="L10" s="54" t="n">
        <f aca="false">IFERROR(SUMIF(Horo8291[[#This Row],[Jour]],Horo8291[[#This Row],[Jour]],Horo8291[[#This Row],[GPF]]) / Horo8291[[#This Row],[hrs]],"")</f>
        <v>0</v>
      </c>
      <c r="M10" s="56" t="str">
        <f aca="false">IF("GPF"=Horo8291[[#This Row],[Tâche]],Horo8291[[#This Row],[Durée]],"")</f>
        <v/>
      </c>
      <c r="N10" s="56" t="str">
        <f aca="false">IF("RI"=Horo8291[[#This Row],[Tâche]],Horo8291[[#This Row],[Durée]],"")</f>
        <v/>
      </c>
      <c r="O10" s="56" t="str">
        <f aca="false">IF("GB"=Horo8291[[#This Row],[Tâche]],Horo8291[[#This Row],[Durée]],"")</f>
        <v/>
      </c>
      <c r="P10" s="56" t="n">
        <f aca="false">IF("RD"=Horo8291[[#This Row],[Tâche]],Horo8291[[#This Row],[Durée]],"")</f>
        <v>2</v>
      </c>
      <c r="Q10" s="56" t="str">
        <f aca="false">IF("FG"=Horo8291[[#This Row],[Tâche]],Horo8291[[#This Row],[Durée]],"")</f>
        <v/>
      </c>
      <c r="R10" s="56" t="str">
        <f aca="false">IF("CONGÉ"=Horo8291[[#This Row],[Tâche]],Horo8291[[#This Row],[Durée]],"")</f>
        <v/>
      </c>
      <c r="S10" s="57" t="str">
        <f aca="false">IF("PS"=Horo8291[[#This Row],[Tâche]],Horo8291[[#This Row],[Durée]],"")</f>
        <v/>
      </c>
      <c r="T10" s="56" t="str">
        <f aca="false">IF("TD"=Horo8291[[#This Row],[Tâche]],Horo8291[[#This Row],[Durée]],"")</f>
        <v/>
      </c>
      <c r="U10" s="55" t="str">
        <f aca="false">IF("N/C"=Horo8291[[#This Row],[Tâche]],Horo8291[[#This Row],[Durée]],"")</f>
        <v/>
      </c>
      <c r="V10" s="58"/>
      <c r="W10" s="59" t="n">
        <f aca="false">IF(Horo8291[[#This Row],[O]]="o",Horo8291[[#This Row],[Durée]],".")</f>
        <v>2</v>
      </c>
      <c r="X10" s="60" t="n">
        <f aca="false">IF(Horo8291[[#This Row],[Début]]=0,"",Horo8291[[#This Row],[Fin]]-Horo8291[[#This Row],[Début]])</f>
        <v>0.0833333333333334</v>
      </c>
    </row>
    <row r="11" customFormat="false" ht="15" hidden="true" customHeight="false" outlineLevel="0" collapsed="false">
      <c r="A11" s="45" t="s">
        <v>31</v>
      </c>
      <c r="B11" s="111" t="n">
        <f aca="false">IF(Horo8291[[#This Row],[Jour]]="Lundi",$C$1+1, IF(Horo8291[[#This Row],[Jour]]="Mardi",$C$1+2, IF(Horo8291[[#This Row],[Jour]]="Mercredi",$C$1+3, IF(Horo8291[[#This Row],[Jour]]="Jeudi",$C$1+4, IF(Horo8291[[#This Row],[Jour]]="Vendredi",$C$1+5, IF(Horo8291[[#This Row],[Jour]]="Samedi",$C$1+6, IF(Horo8291[[#This Row],[Jour]]="Dimanche",$C$1, )))))))</f>
        <v>44355</v>
      </c>
      <c r="C11" s="47" t="s">
        <v>0</v>
      </c>
      <c r="D11" s="48" t="n">
        <v>0.6875</v>
      </c>
      <c r="E11" s="48" t="n">
        <v>0.697916666666667</v>
      </c>
      <c r="F11" s="49" t="s">
        <v>32</v>
      </c>
      <c r="G11" s="49" t="s">
        <v>21</v>
      </c>
      <c r="H11" s="50" t="s">
        <v>112</v>
      </c>
      <c r="I11" s="61"/>
      <c r="J11" s="52" t="n">
        <f aca="false">IF(Horo8291[[#This Row],[Début]]=0,"",(Horo8291[[#This Row],[Durée (60)2]]-INT(Horo8291[[#This Row],[Durée (60)2]]))*24)</f>
        <v>0.249999999999999</v>
      </c>
      <c r="K11" s="62" t="n">
        <f aca="false">SUMIF(Horo8291[Jour],C11,Horo8291[Durée])</f>
        <v>7.75</v>
      </c>
      <c r="L11" s="54" t="n">
        <f aca="false">IFERROR(SUMIF(Horo8291[[#This Row],[Jour]],Horo8291[[#This Row],[Jour]],Horo8291[[#This Row],[GPF]]) / Horo8291[[#This Row],[hrs]],"")</f>
        <v>0</v>
      </c>
      <c r="M11" s="56" t="str">
        <f aca="false">IF("GPF"=Horo8291[[#This Row],[Tâche]],Horo8291[[#This Row],[Durée]],"")</f>
        <v/>
      </c>
      <c r="N11" s="56" t="str">
        <f aca="false">IF("RI"=Horo8291[[#This Row],[Tâche]],Horo8291[[#This Row],[Durée]],"")</f>
        <v/>
      </c>
      <c r="O11" s="56" t="n">
        <f aca="false">IF("GB"=Horo8291[[#This Row],[Tâche]],Horo8291[[#This Row],[Durée]],"")</f>
        <v>0.249999999999999</v>
      </c>
      <c r="P11" s="56" t="str">
        <f aca="false">IF("RD"=Horo8291[[#This Row],[Tâche]],Horo8291[[#This Row],[Durée]],"")</f>
        <v/>
      </c>
      <c r="Q11" s="56" t="str">
        <f aca="false">IF("FG"=Horo8291[[#This Row],[Tâche]],Horo8291[[#This Row],[Durée]],"")</f>
        <v/>
      </c>
      <c r="R11" s="56" t="str">
        <f aca="false">IF("CONGÉ"=Horo8291[[#This Row],[Tâche]],Horo8291[[#This Row],[Durée]],"")</f>
        <v/>
      </c>
      <c r="S11" s="57" t="str">
        <f aca="false">IF("PS"=Horo8291[[#This Row],[Tâche]],Horo8291[[#This Row],[Durée]],"")</f>
        <v/>
      </c>
      <c r="T11" s="56" t="str">
        <f aca="false">IF("TD"=Horo8291[[#This Row],[Tâche]],Horo8291[[#This Row],[Durée]],"")</f>
        <v/>
      </c>
      <c r="U11" s="55" t="str">
        <f aca="false">IF("N/C"=Horo8291[[#This Row],[Tâche]],Horo8291[[#This Row],[Durée]],"")</f>
        <v/>
      </c>
      <c r="V11" s="58"/>
      <c r="W11" s="59" t="n">
        <f aca="false">IF(Horo8291[[#This Row],[O]]="o",Horo8291[[#This Row],[Durée]],".")</f>
        <v>0.249999999999999</v>
      </c>
      <c r="X11" s="60" t="n">
        <f aca="false">IF(Horo8291[[#This Row],[Début]]=0,"",Horo8291[[#This Row],[Fin]]-Horo8291[[#This Row],[Début]])</f>
        <v>0.0104166666666666</v>
      </c>
    </row>
    <row r="12" customFormat="false" ht="15" hidden="true" customHeight="false" outlineLevel="0" collapsed="false">
      <c r="A12" s="45" t="s">
        <v>31</v>
      </c>
      <c r="B12" s="46" t="n">
        <f aca="false">IF(Horo8291[[#This Row],[Jour]]="Lundi",$C$1+1, IF(Horo8291[[#This Row],[Jour]]="Mardi",$C$1+2, IF(Horo8291[[#This Row],[Jour]]="Mercredi",$C$1+3, IF(Horo8291[[#This Row],[Jour]]="Jeudi",$C$1+4, IF(Horo8291[[#This Row],[Jour]]="Vendredi",$C$1+5, IF(Horo8291[[#This Row],[Jour]]="Samedi",$C$1+6, IF(Horo8291[[#This Row],[Jour]]="Dimanche",$C$1, )))))))</f>
        <v>44355</v>
      </c>
      <c r="C12" s="47" t="s">
        <v>0</v>
      </c>
      <c r="D12" s="48" t="n">
        <v>0.697916666666667</v>
      </c>
      <c r="E12" s="48" t="n">
        <v>0.729166666666667</v>
      </c>
      <c r="F12" s="49" t="s">
        <v>32</v>
      </c>
      <c r="G12" s="49" t="s">
        <v>22</v>
      </c>
      <c r="H12" s="50" t="s">
        <v>118</v>
      </c>
      <c r="I12" s="61"/>
      <c r="J12" s="52" t="n">
        <f aca="false">IF(Horo8291[[#This Row],[Début]]=0,"",(Horo8291[[#This Row],[Durée (60)2]]-INT(Horo8291[[#This Row],[Durée (60)2]]))*24)</f>
        <v>0.75</v>
      </c>
      <c r="K12" s="62" t="n">
        <f aca="false">SUMIF(Horo8291[Jour],C12,Horo8291[Durée])</f>
        <v>7.75</v>
      </c>
      <c r="L12" s="54" t="n">
        <f aca="false">IFERROR(SUMIF(Horo8291[[#This Row],[Jour]],Horo8291[[#This Row],[Jour]],Horo8291[[#This Row],[GPF]]) / Horo8291[[#This Row],[hrs]],"")</f>
        <v>0</v>
      </c>
      <c r="M12" s="56" t="str">
        <f aca="false">IF("GPF"=Horo8291[[#This Row],[Tâche]],Horo8291[[#This Row],[Durée]],"")</f>
        <v/>
      </c>
      <c r="N12" s="56" t="str">
        <f aca="false">IF("RI"=Horo8291[[#This Row],[Tâche]],Horo8291[[#This Row],[Durée]],"")</f>
        <v/>
      </c>
      <c r="O12" s="56" t="str">
        <f aca="false">IF("GB"=Horo8291[[#This Row],[Tâche]],Horo8291[[#This Row],[Durée]],"")</f>
        <v/>
      </c>
      <c r="P12" s="56" t="n">
        <f aca="false">IF("RD"=Horo8291[[#This Row],[Tâche]],Horo8291[[#This Row],[Durée]],"")</f>
        <v>0.75</v>
      </c>
      <c r="Q12" s="56" t="str">
        <f aca="false">IF("FG"=Horo8291[[#This Row],[Tâche]],Horo8291[[#This Row],[Durée]],"")</f>
        <v/>
      </c>
      <c r="R12" s="56" t="str">
        <f aca="false">IF("CONGÉ"=Horo8291[[#This Row],[Tâche]],Horo8291[[#This Row],[Durée]],"")</f>
        <v/>
      </c>
      <c r="S12" s="57" t="str">
        <f aca="false">IF("PS"=Horo8291[[#This Row],[Tâche]],Horo8291[[#This Row],[Durée]],"")</f>
        <v/>
      </c>
      <c r="T12" s="56" t="str">
        <f aca="false">IF("TD"=Horo8291[[#This Row],[Tâche]],Horo8291[[#This Row],[Durée]],"")</f>
        <v/>
      </c>
      <c r="U12" s="55" t="str">
        <f aca="false">IF("N/C"=Horo8291[[#This Row],[Tâche]],Horo8291[[#This Row],[Durée]],"")</f>
        <v/>
      </c>
      <c r="V12" s="58"/>
      <c r="W12" s="59" t="n">
        <f aca="false">IF(Horo8291[[#This Row],[O]]="o",Horo8291[[#This Row],[Durée]],".")</f>
        <v>0.75</v>
      </c>
      <c r="X12" s="60" t="n">
        <f aca="false">IF(Horo8291[[#This Row],[Début]]=0,"",Horo8291[[#This Row],[Fin]]-Horo8291[[#This Row],[Début]])</f>
        <v>0.03125</v>
      </c>
    </row>
    <row r="13" customFormat="false" ht="15" hidden="true" customHeight="false" outlineLevel="0" collapsed="false">
      <c r="A13" s="45" t="s">
        <v>31</v>
      </c>
      <c r="B13" s="111" t="n">
        <f aca="false">IF(Horo8291[[#This Row],[Jour]]="Lundi",$C$1+1, IF(Horo8291[[#This Row],[Jour]]="Mardi",$C$1+2, IF(Horo8291[[#This Row],[Jour]]="Mercredi",$C$1+3, IF(Horo8291[[#This Row],[Jour]]="Jeudi",$C$1+4, IF(Horo8291[[#This Row],[Jour]]="Vendredi",$C$1+5, IF(Horo8291[[#This Row],[Jour]]="Samedi",$C$1+6, IF(Horo8291[[#This Row],[Jour]]="Dimanche",$C$1, )))))))</f>
        <v>44355</v>
      </c>
      <c r="C13" s="47" t="s">
        <v>0</v>
      </c>
      <c r="D13" s="48" t="n">
        <v>0.729166666666667</v>
      </c>
      <c r="E13" s="48" t="n">
        <v>0.739583333333333</v>
      </c>
      <c r="F13" s="49" t="s">
        <v>81</v>
      </c>
      <c r="G13" s="49" t="s">
        <v>19</v>
      </c>
      <c r="H13" s="50" t="s">
        <v>42</v>
      </c>
      <c r="I13" s="61" t="s">
        <v>237</v>
      </c>
      <c r="J13" s="52" t="n">
        <f aca="false">IF(Horo8291[[#This Row],[Début]]=0,"",(Horo8291[[#This Row],[Durée (60)2]]-INT(Horo8291[[#This Row],[Durée (60)2]]))*24)</f>
        <v>0.250000000000002</v>
      </c>
      <c r="K13" s="62" t="n">
        <f aca="false">SUMIF(Horo8291[Jour],C13,Horo8291[Durée])</f>
        <v>7.75</v>
      </c>
      <c r="L13" s="54" t="n">
        <f aca="false">IFERROR(SUMIF(Horo8291[[#This Row],[Jour]],Horo8291[[#This Row],[Jour]],Horo8291[[#This Row],[GPF]]) / Horo8291[[#This Row],[hrs]],"")</f>
        <v>0.0322580645161293</v>
      </c>
      <c r="M13" s="56" t="n">
        <f aca="false">IF("GPF"=Horo8291[[#This Row],[Tâche]],Horo8291[[#This Row],[Durée]],"")</f>
        <v>0.250000000000002</v>
      </c>
      <c r="N13" s="56" t="str">
        <f aca="false">IF("RI"=Horo8291[[#This Row],[Tâche]],Horo8291[[#This Row],[Durée]],"")</f>
        <v/>
      </c>
      <c r="O13" s="56" t="str">
        <f aca="false">IF("GB"=Horo8291[[#This Row],[Tâche]],Horo8291[[#This Row],[Durée]],"")</f>
        <v/>
      </c>
      <c r="P13" s="56" t="str">
        <f aca="false">IF("RD"=Horo8291[[#This Row],[Tâche]],Horo8291[[#This Row],[Durée]],"")</f>
        <v/>
      </c>
      <c r="Q13" s="56" t="str">
        <f aca="false">IF("FG"=Horo8291[[#This Row],[Tâche]],Horo8291[[#This Row],[Durée]],"")</f>
        <v/>
      </c>
      <c r="R13" s="56" t="str">
        <f aca="false">IF("CONGÉ"=Horo8291[[#This Row],[Tâche]],Horo8291[[#This Row],[Durée]],"")</f>
        <v/>
      </c>
      <c r="S13" s="57" t="str">
        <f aca="false">IF("PS"=Horo8291[[#This Row],[Tâche]],Horo8291[[#This Row],[Durée]],"")</f>
        <v/>
      </c>
      <c r="T13" s="56" t="str">
        <f aca="false">IF("TD"=Horo8291[[#This Row],[Tâche]],Horo8291[[#This Row],[Durée]],"")</f>
        <v/>
      </c>
      <c r="U13" s="55" t="str">
        <f aca="false">IF("N/C"=Horo8291[[#This Row],[Tâche]],Horo8291[[#This Row],[Durée]],"")</f>
        <v/>
      </c>
      <c r="V13" s="58"/>
      <c r="W13" s="59" t="n">
        <f aca="false">IF(Horo8291[[#This Row],[O]]="o",Horo8291[[#This Row],[Durée]],".")</f>
        <v>0.250000000000002</v>
      </c>
      <c r="X13" s="60" t="n">
        <f aca="false">IF(Horo8291[[#This Row],[Début]]=0,"",Horo8291[[#This Row],[Fin]]-Horo8291[[#This Row],[Début]])</f>
        <v>0.0104166666666667</v>
      </c>
    </row>
    <row r="14" customFormat="false" ht="15" hidden="true" customHeight="false" outlineLevel="0" collapsed="false">
      <c r="A14" s="45" t="s">
        <v>31</v>
      </c>
      <c r="B14" s="111" t="n">
        <f aca="false">IF(Horo8291[[#This Row],[Jour]]="Lundi",$C$1+1, IF(Horo8291[[#This Row],[Jour]]="Mardi",$C$1+2, IF(Horo8291[[#This Row],[Jour]]="Mercredi",$C$1+3, IF(Horo8291[[#This Row],[Jour]]="Jeudi",$C$1+4, IF(Horo8291[[#This Row],[Jour]]="Vendredi",$C$1+5, IF(Horo8291[[#This Row],[Jour]]="Samedi",$C$1+6, IF(Horo8291[[#This Row],[Jour]]="Dimanche",$C$1, )))))))</f>
        <v>44355</v>
      </c>
      <c r="C14" s="47" t="s">
        <v>0</v>
      </c>
      <c r="D14" s="48" t="n">
        <v>0.739583333333333</v>
      </c>
      <c r="E14" s="48" t="n">
        <v>0.770833333333333</v>
      </c>
      <c r="F14" s="49" t="s">
        <v>32</v>
      </c>
      <c r="G14" s="49" t="s">
        <v>21</v>
      </c>
      <c r="H14" s="50" t="s">
        <v>112</v>
      </c>
      <c r="I14" s="61"/>
      <c r="J14" s="52" t="n">
        <f aca="false">IF(Horo8291[[#This Row],[Début]]=0,"",(Horo8291[[#This Row],[Durée (60)2]]-INT(Horo8291[[#This Row],[Durée (60)2]]))*24)</f>
        <v>0.75</v>
      </c>
      <c r="K14" s="62" t="n">
        <f aca="false">SUMIF(Horo8291[Jour],C14,Horo8291[Durée])</f>
        <v>7.75</v>
      </c>
      <c r="L14" s="54" t="n">
        <f aca="false">IFERROR(SUMIF(Horo8291[[#This Row],[Jour]],Horo8291[[#This Row],[Jour]],Horo8291[[#This Row],[GPF]]) / Horo8291[[#This Row],[hrs]],"")</f>
        <v>0</v>
      </c>
      <c r="M14" s="56" t="str">
        <f aca="false">IF("GPF"=Horo8291[[#This Row],[Tâche]],Horo8291[[#This Row],[Durée]],"")</f>
        <v/>
      </c>
      <c r="N14" s="56" t="str">
        <f aca="false">IF("RI"=Horo8291[[#This Row],[Tâche]],Horo8291[[#This Row],[Durée]],"")</f>
        <v/>
      </c>
      <c r="O14" s="56" t="n">
        <f aca="false">IF("GB"=Horo8291[[#This Row],[Tâche]],Horo8291[[#This Row],[Durée]],"")</f>
        <v>0.75</v>
      </c>
      <c r="P14" s="56" t="str">
        <f aca="false">IF("RD"=Horo8291[[#This Row],[Tâche]],Horo8291[[#This Row],[Durée]],"")</f>
        <v/>
      </c>
      <c r="Q14" s="56" t="str">
        <f aca="false">IF("FG"=Horo8291[[#This Row],[Tâche]],Horo8291[[#This Row],[Durée]],"")</f>
        <v/>
      </c>
      <c r="R14" s="56" t="str">
        <f aca="false">IF("CONGÉ"=Horo8291[[#This Row],[Tâche]],Horo8291[[#This Row],[Durée]],"")</f>
        <v/>
      </c>
      <c r="S14" s="57" t="str">
        <f aca="false">IF("PS"=Horo8291[[#This Row],[Tâche]],Horo8291[[#This Row],[Durée]],"")</f>
        <v/>
      </c>
      <c r="T14" s="56" t="str">
        <f aca="false">IF("TD"=Horo8291[[#This Row],[Tâche]],Horo8291[[#This Row],[Durée]],"")</f>
        <v/>
      </c>
      <c r="U14" s="55" t="str">
        <f aca="false">IF("N/C"=Horo8291[[#This Row],[Tâche]],Horo8291[[#This Row],[Durée]],"")</f>
        <v/>
      </c>
      <c r="V14" s="58"/>
      <c r="W14" s="59" t="n">
        <f aca="false">IF(Horo8291[[#This Row],[O]]="o",Horo8291[[#This Row],[Durée]],".")</f>
        <v>0.75</v>
      </c>
      <c r="X14" s="60" t="n">
        <f aca="false">IF(Horo8291[[#This Row],[Début]]=0,"",Horo8291[[#This Row],[Fin]]-Horo8291[[#This Row],[Début]])</f>
        <v>0.03125</v>
      </c>
    </row>
    <row r="15" customFormat="false" ht="15" hidden="true" customHeight="false" outlineLevel="0" collapsed="false">
      <c r="A15" s="45" t="s">
        <v>31</v>
      </c>
      <c r="B15" s="111" t="n">
        <f aca="false">IF(Horo8291[[#This Row],[Jour]]="Lundi",$C$1+1, IF(Horo8291[[#This Row],[Jour]]="Mardi",$C$1+2, IF(Horo8291[[#This Row],[Jour]]="Mercredi",$C$1+3, IF(Horo8291[[#This Row],[Jour]]="Jeudi",$C$1+4, IF(Horo8291[[#This Row],[Jour]]="Vendredi",$C$1+5, IF(Horo8291[[#This Row],[Jour]]="Samedi",$C$1+6, IF(Horo8291[[#This Row],[Jour]]="Dimanche",$C$1, )))))))</f>
        <v>44356</v>
      </c>
      <c r="C15" s="47" t="s">
        <v>1</v>
      </c>
      <c r="D15" s="48" t="n">
        <v>0.333333333333333</v>
      </c>
      <c r="E15" s="48" t="n">
        <v>0.354166666666667</v>
      </c>
      <c r="F15" s="49" t="s">
        <v>32</v>
      </c>
      <c r="G15" s="49" t="s">
        <v>23</v>
      </c>
      <c r="H15" s="50" t="s">
        <v>111</v>
      </c>
      <c r="I15" s="61"/>
      <c r="J15" s="52" t="n">
        <f aca="false">IF(Horo8291[[#This Row],[Début]]=0,"",(Horo8291[[#This Row],[Durée (60)2]]-INT(Horo8291[[#This Row],[Durée (60)2]]))*24)</f>
        <v>0.500000000000001</v>
      </c>
      <c r="K15" s="62" t="n">
        <f aca="false">SUMIF(Horo8291[Jour],C15,Horo8291[Durée])</f>
        <v>8</v>
      </c>
      <c r="L15" s="54" t="n">
        <f aca="false">IFERROR(SUMIF(Horo8291[[#This Row],[Jour]],Horo8291[[#This Row],[Jour]],Horo8291[[#This Row],[GPF]]) / Horo8291[[#This Row],[hrs]],"")</f>
        <v>0</v>
      </c>
      <c r="M15" s="56" t="str">
        <f aca="false">IF("GPF"=Horo8291[[#This Row],[Tâche]],Horo8291[[#This Row],[Durée]],"")</f>
        <v/>
      </c>
      <c r="N15" s="56" t="str">
        <f aca="false">IF("RI"=Horo8291[[#This Row],[Tâche]],Horo8291[[#This Row],[Durée]],"")</f>
        <v/>
      </c>
      <c r="O15" s="56" t="str">
        <f aca="false">IF("GB"=Horo8291[[#This Row],[Tâche]],Horo8291[[#This Row],[Durée]],"")</f>
        <v/>
      </c>
      <c r="P15" s="56" t="str">
        <f aca="false">IF("RD"=Horo8291[[#This Row],[Tâche]],Horo8291[[#This Row],[Durée]],"")</f>
        <v/>
      </c>
      <c r="Q15" s="56" t="n">
        <f aca="false">IF("FG"=Horo8291[[#This Row],[Tâche]],Horo8291[[#This Row],[Durée]],"")</f>
        <v>0.500000000000001</v>
      </c>
      <c r="R15" s="56" t="str">
        <f aca="false">IF("CONGÉ"=Horo8291[[#This Row],[Tâche]],Horo8291[[#This Row],[Durée]],"")</f>
        <v/>
      </c>
      <c r="S15" s="57" t="str">
        <f aca="false">IF("PS"=Horo8291[[#This Row],[Tâche]],Horo8291[[#This Row],[Durée]],"")</f>
        <v/>
      </c>
      <c r="T15" s="56" t="str">
        <f aca="false">IF("TD"=Horo8291[[#This Row],[Tâche]],Horo8291[[#This Row],[Durée]],"")</f>
        <v/>
      </c>
      <c r="U15" s="55" t="str">
        <f aca="false">IF("N/C"=Horo8291[[#This Row],[Tâche]],Horo8291[[#This Row],[Durée]],"")</f>
        <v/>
      </c>
      <c r="V15" s="58"/>
      <c r="W15" s="59" t="n">
        <f aca="false">IF(Horo8291[[#This Row],[O]]="o",Horo8291[[#This Row],[Durée]],".")</f>
        <v>0.500000000000001</v>
      </c>
      <c r="X15" s="60" t="n">
        <f aca="false">IF(Horo8291[[#This Row],[Début]]=0,"",Horo8291[[#This Row],[Fin]]-Horo8291[[#This Row],[Début]])</f>
        <v>0.0208333333333334</v>
      </c>
    </row>
    <row r="16" customFormat="false" ht="15" hidden="true" customHeight="false" outlineLevel="0" collapsed="false">
      <c r="A16" s="45" t="s">
        <v>31</v>
      </c>
      <c r="B16" s="111" t="n">
        <f aca="false">IF(Horo8291[[#This Row],[Jour]]="Lundi",$C$1+1, IF(Horo8291[[#This Row],[Jour]]="Mardi",$C$1+2, IF(Horo8291[[#This Row],[Jour]]="Mercredi",$C$1+3, IF(Horo8291[[#This Row],[Jour]]="Jeudi",$C$1+4, IF(Horo8291[[#This Row],[Jour]]="Vendredi",$C$1+5, IF(Horo8291[[#This Row],[Jour]]="Samedi",$C$1+6, IF(Horo8291[[#This Row],[Jour]]="Dimanche",$C$1, )))))))</f>
        <v>44356</v>
      </c>
      <c r="C16" s="47" t="s">
        <v>1</v>
      </c>
      <c r="D16" s="48" t="n">
        <v>0.354166666666667</v>
      </c>
      <c r="E16" s="48" t="n">
        <v>0.364583333333333</v>
      </c>
      <c r="F16" s="49" t="s">
        <v>61</v>
      </c>
      <c r="G16" s="49" t="s">
        <v>19</v>
      </c>
      <c r="H16" s="50" t="s">
        <v>42</v>
      </c>
      <c r="I16" s="61" t="s">
        <v>238</v>
      </c>
      <c r="J16" s="52" t="n">
        <f aca="false">IF(Horo8291[[#This Row],[Début]]=0,"",(Horo8291[[#This Row],[Durée (60)2]]-INT(Horo8291[[#This Row],[Durée (60)2]]))*24)</f>
        <v>0.249999999999999</v>
      </c>
      <c r="K16" s="53" t="n">
        <f aca="false">SUMIF(Horo8291[Jour],C16,Horo8291[Durée])</f>
        <v>8</v>
      </c>
      <c r="L16" s="54" t="n">
        <f aca="false">IFERROR(SUMIF(Horo8291[[#This Row],[Jour]],Horo8291[[#This Row],[Jour]],Horo8291[[#This Row],[GPF]]) / Horo8291[[#This Row],[hrs]],"")</f>
        <v>0.0312499999999999</v>
      </c>
      <c r="M16" s="55" t="n">
        <f aca="false">IF("GPF"=Horo8291[[#This Row],[Tâche]],Horo8291[[#This Row],[Durée]],"")</f>
        <v>0.249999999999999</v>
      </c>
      <c r="N16" s="56" t="str">
        <f aca="false">IF("RI"=Horo8291[[#This Row],[Tâche]],Horo8291[[#This Row],[Durée]],"")</f>
        <v/>
      </c>
      <c r="O16" s="56" t="str">
        <f aca="false">IF("GB"=Horo8291[[#This Row],[Tâche]],Horo8291[[#This Row],[Durée]],"")</f>
        <v/>
      </c>
      <c r="P16" s="56" t="str">
        <f aca="false">IF("RD"=Horo8291[[#This Row],[Tâche]],Horo8291[[#This Row],[Durée]],"")</f>
        <v/>
      </c>
      <c r="Q16" s="56" t="str">
        <f aca="false">IF("FG"=Horo8291[[#This Row],[Tâche]],Horo8291[[#This Row],[Durée]],"")</f>
        <v/>
      </c>
      <c r="R16" s="56" t="str">
        <f aca="false">IF("CONGÉ"=Horo8291[[#This Row],[Tâche]],Horo8291[[#This Row],[Durée]],"")</f>
        <v/>
      </c>
      <c r="S16" s="57" t="str">
        <f aca="false">IF("PS"=Horo8291[[#This Row],[Tâche]],Horo8291[[#This Row],[Durée]],"")</f>
        <v/>
      </c>
      <c r="T16" s="56" t="str">
        <f aca="false">IF("TD"=Horo8291[[#This Row],[Tâche]],Horo8291[[#This Row],[Durée]],"")</f>
        <v/>
      </c>
      <c r="U16" s="55" t="str">
        <f aca="false">IF("N/C"=Horo8291[[#This Row],[Tâche]],Horo8291[[#This Row],[Durée]],"")</f>
        <v/>
      </c>
      <c r="V16" s="58"/>
      <c r="W16" s="59" t="n">
        <f aca="false">IF(Horo8291[[#This Row],[O]]="o",Horo8291[[#This Row],[Durée]],".")</f>
        <v>0.249999999999999</v>
      </c>
      <c r="X16" s="60" t="n">
        <f aca="false">IF(Horo8291[[#This Row],[Début]]=0,"",Horo8291[[#This Row],[Fin]]-Horo8291[[#This Row],[Début]])</f>
        <v>0.0104166666666666</v>
      </c>
    </row>
    <row r="17" customFormat="false" ht="15" hidden="true" customHeight="false" outlineLevel="0" collapsed="false">
      <c r="A17" s="45" t="s">
        <v>31</v>
      </c>
      <c r="B17" s="111" t="n">
        <f aca="false">IF(Horo8291[[#This Row],[Jour]]="Lundi",$C$1+1, IF(Horo8291[[#This Row],[Jour]]="Mardi",$C$1+2, IF(Horo8291[[#This Row],[Jour]]="Mercredi",$C$1+3, IF(Horo8291[[#This Row],[Jour]]="Jeudi",$C$1+4, IF(Horo8291[[#This Row],[Jour]]="Vendredi",$C$1+5, IF(Horo8291[[#This Row],[Jour]]="Samedi",$C$1+6, IF(Horo8291[[#This Row],[Jour]]="Dimanche",$C$1, )))))))</f>
        <v>44356</v>
      </c>
      <c r="C17" s="47" t="s">
        <v>1</v>
      </c>
      <c r="D17" s="48" t="n">
        <v>0.364583333333333</v>
      </c>
      <c r="E17" s="48" t="n">
        <v>0.40625</v>
      </c>
      <c r="F17" s="49" t="s">
        <v>32</v>
      </c>
      <c r="G17" s="49" t="s">
        <v>23</v>
      </c>
      <c r="H17" s="50" t="s">
        <v>111</v>
      </c>
      <c r="I17" s="61"/>
      <c r="J17" s="52" t="n">
        <f aca="false">IF(Horo8291[[#This Row],[Début]]=0,"",(Horo8291[[#This Row],[Durée (60)2]]-INT(Horo8291[[#This Row],[Durée (60)2]]))*24)</f>
        <v>1</v>
      </c>
      <c r="K17" s="62" t="n">
        <f aca="false">SUMIF(Horo8291[Jour],C17,Horo8291[Durée])</f>
        <v>8</v>
      </c>
      <c r="L17" s="54" t="n">
        <f aca="false">IFERROR(SUMIF(Horo8291[[#This Row],[Jour]],Horo8291[[#This Row],[Jour]],Horo8291[[#This Row],[GPF]]) / Horo8291[[#This Row],[hrs]],"")</f>
        <v>0</v>
      </c>
      <c r="M17" s="56" t="str">
        <f aca="false">IF("GPF"=Horo8291[[#This Row],[Tâche]],Horo8291[[#This Row],[Durée]],"")</f>
        <v/>
      </c>
      <c r="N17" s="56" t="str">
        <f aca="false">IF("RI"=Horo8291[[#This Row],[Tâche]],Horo8291[[#This Row],[Durée]],"")</f>
        <v/>
      </c>
      <c r="O17" s="56" t="str">
        <f aca="false">IF("GB"=Horo8291[[#This Row],[Tâche]],Horo8291[[#This Row],[Durée]],"")</f>
        <v/>
      </c>
      <c r="P17" s="56" t="str">
        <f aca="false">IF("RD"=Horo8291[[#This Row],[Tâche]],Horo8291[[#This Row],[Durée]],"")</f>
        <v/>
      </c>
      <c r="Q17" s="56" t="n">
        <f aca="false">IF("FG"=Horo8291[[#This Row],[Tâche]],Horo8291[[#This Row],[Durée]],"")</f>
        <v>1</v>
      </c>
      <c r="R17" s="56" t="str">
        <f aca="false">IF("CONGÉ"=Horo8291[[#This Row],[Tâche]],Horo8291[[#This Row],[Durée]],"")</f>
        <v/>
      </c>
      <c r="S17" s="56" t="str">
        <f aca="false">IF("PS"=Horo8291[[#This Row],[Tâche]],Horo8291[[#This Row],[Durée]],"")</f>
        <v/>
      </c>
      <c r="T17" s="56" t="str">
        <f aca="false">IF("TD"=Horo8291[[#This Row],[Tâche]],Horo8291[[#This Row],[Durée]],"")</f>
        <v/>
      </c>
      <c r="U17" s="56" t="str">
        <f aca="false">IF("N/C"=Horo8291[[#This Row],[Tâche]],Horo8291[[#This Row],[Durée]],"")</f>
        <v/>
      </c>
      <c r="V17" s="58"/>
      <c r="W17" s="59" t="n">
        <f aca="false">IF(Horo8291[[#This Row],[O]]="o",Horo8291[[#This Row],[Durée]],".")</f>
        <v>1</v>
      </c>
      <c r="X17" s="64" t="n">
        <f aca="false">IF(Horo8291[[#This Row],[Début]]=0,"",Horo8291[[#This Row],[Fin]]-Horo8291[[#This Row],[Début]])</f>
        <v>0.0416666666666667</v>
      </c>
    </row>
    <row r="18" customFormat="false" ht="15" hidden="true" customHeight="false" outlineLevel="0" collapsed="false">
      <c r="A18" s="45" t="s">
        <v>31</v>
      </c>
      <c r="B18" s="111" t="n">
        <f aca="false">IF(Horo8291[[#This Row],[Jour]]="Lundi",$C$1+1, IF(Horo8291[[#This Row],[Jour]]="Mardi",$C$1+2, IF(Horo8291[[#This Row],[Jour]]="Mercredi",$C$1+3, IF(Horo8291[[#This Row],[Jour]]="Jeudi",$C$1+4, IF(Horo8291[[#This Row],[Jour]]="Vendredi",$C$1+5, IF(Horo8291[[#This Row],[Jour]]="Samedi",$C$1+6, IF(Horo8291[[#This Row],[Jour]]="Dimanche",$C$1, )))))))</f>
        <v>44356</v>
      </c>
      <c r="C18" s="47" t="s">
        <v>1</v>
      </c>
      <c r="D18" s="48" t="n">
        <v>0.40625</v>
      </c>
      <c r="E18" s="48" t="n">
        <v>0.427083333333333</v>
      </c>
      <c r="F18" s="49" t="s">
        <v>61</v>
      </c>
      <c r="G18" s="49" t="s">
        <v>19</v>
      </c>
      <c r="H18" s="50" t="s">
        <v>42</v>
      </c>
      <c r="I18" s="61" t="s">
        <v>239</v>
      </c>
      <c r="J18" s="52" t="n">
        <f aca="false">IF(Horo8291[[#This Row],[Début]]=0,"",(Horo8291[[#This Row],[Durée (60)2]]-INT(Horo8291[[#This Row],[Durée (60)2]]))*24)</f>
        <v>0.5</v>
      </c>
      <c r="K18" s="62" t="n">
        <f aca="false">SUMIF(Horo8291[Jour],C18,Horo8291[Durée])</f>
        <v>8</v>
      </c>
      <c r="L18" s="54" t="n">
        <f aca="false">IFERROR(SUMIF(Horo8291[[#This Row],[Jour]],Horo8291[[#This Row],[Jour]],Horo8291[[#This Row],[GPF]]) / Horo8291[[#This Row],[hrs]],"")</f>
        <v>0.0625</v>
      </c>
      <c r="M18" s="56" t="n">
        <f aca="false">IF("GPF"=Horo8291[[#This Row],[Tâche]],Horo8291[[#This Row],[Durée]],"")</f>
        <v>0.5</v>
      </c>
      <c r="N18" s="56" t="str">
        <f aca="false">IF("RI"=Horo8291[[#This Row],[Tâche]],Horo8291[[#This Row],[Durée]],"")</f>
        <v/>
      </c>
      <c r="O18" s="56" t="str">
        <f aca="false">IF("GB"=Horo8291[[#This Row],[Tâche]],Horo8291[[#This Row],[Durée]],"")</f>
        <v/>
      </c>
      <c r="P18" s="56" t="str">
        <f aca="false">IF("RD"=Horo8291[[#This Row],[Tâche]],Horo8291[[#This Row],[Durée]],"")</f>
        <v/>
      </c>
      <c r="Q18" s="56" t="str">
        <f aca="false">IF("FG"=Horo8291[[#This Row],[Tâche]],Horo8291[[#This Row],[Durée]],"")</f>
        <v/>
      </c>
      <c r="R18" s="56" t="str">
        <f aca="false">IF("CONGÉ"=Horo8291[[#This Row],[Tâche]],Horo8291[[#This Row],[Durée]],"")</f>
        <v/>
      </c>
      <c r="S18" s="57" t="str">
        <f aca="false">IF("PS"=Horo8291[[#This Row],[Tâche]],Horo8291[[#This Row],[Durée]],"")</f>
        <v/>
      </c>
      <c r="T18" s="56" t="str">
        <f aca="false">IF("TD"=Horo8291[[#This Row],[Tâche]],Horo8291[[#This Row],[Durée]],"")</f>
        <v/>
      </c>
      <c r="U18" s="55" t="str">
        <f aca="false">IF("N/C"=Horo8291[[#This Row],[Tâche]],Horo8291[[#This Row],[Durée]],"")</f>
        <v/>
      </c>
      <c r="V18" s="58"/>
      <c r="W18" s="59" t="n">
        <f aca="false">IF(Horo8291[[#This Row],[O]]="o",Horo8291[[#This Row],[Durée]],".")</f>
        <v>0.5</v>
      </c>
      <c r="X18" s="60" t="n">
        <f aca="false">IF(Horo8291[[#This Row],[Début]]=0,"",Horo8291[[#This Row],[Fin]]-Horo8291[[#This Row],[Début]])</f>
        <v>0.0208333333333333</v>
      </c>
    </row>
    <row r="19" customFormat="false" ht="15" hidden="true" customHeight="false" outlineLevel="0" collapsed="false">
      <c r="A19" s="45" t="s">
        <v>31</v>
      </c>
      <c r="B19" s="111" t="n">
        <f aca="false">IF(Horo8291[[#This Row],[Jour]]="Lundi",$C$1+1, IF(Horo8291[[#This Row],[Jour]]="Mardi",$C$1+2, IF(Horo8291[[#This Row],[Jour]]="Mercredi",$C$1+3, IF(Horo8291[[#This Row],[Jour]]="Jeudi",$C$1+4, IF(Horo8291[[#This Row],[Jour]]="Vendredi",$C$1+5, IF(Horo8291[[#This Row],[Jour]]="Samedi",$C$1+6, IF(Horo8291[[#This Row],[Jour]]="Dimanche",$C$1, )))))))</f>
        <v>44356</v>
      </c>
      <c r="C19" s="47" t="s">
        <v>1</v>
      </c>
      <c r="D19" s="48" t="n">
        <v>0.427083333333333</v>
      </c>
      <c r="E19" s="48" t="n">
        <v>0.5</v>
      </c>
      <c r="F19" s="49" t="s">
        <v>32</v>
      </c>
      <c r="G19" s="49" t="s">
        <v>22</v>
      </c>
      <c r="H19" s="50" t="s">
        <v>118</v>
      </c>
      <c r="I19" s="61"/>
      <c r="J19" s="52" t="n">
        <f aca="false">IF(Horo8291[[#This Row],[Début]]=0,"",(Horo8291[[#This Row],[Durée (60)2]]-INT(Horo8291[[#This Row],[Durée (60)2]]))*24)</f>
        <v>1.75</v>
      </c>
      <c r="K19" s="62" t="n">
        <f aca="false">SUMIF(Horo8291[Jour],C19,Horo8291[Durée])</f>
        <v>8</v>
      </c>
      <c r="L19" s="54" t="n">
        <f aca="false">IFERROR(SUMIF(Horo8291[[#This Row],[Jour]],Horo8291[[#This Row],[Jour]],Horo8291[[#This Row],[GPF]]) / Horo8291[[#This Row],[hrs]],"")</f>
        <v>0</v>
      </c>
      <c r="M19" s="56" t="str">
        <f aca="false">IF("GPF"=Horo8291[[#This Row],[Tâche]],Horo8291[[#This Row],[Durée]],"")</f>
        <v/>
      </c>
      <c r="N19" s="56" t="str">
        <f aca="false">IF("RI"=Horo8291[[#This Row],[Tâche]],Horo8291[[#This Row],[Durée]],"")</f>
        <v/>
      </c>
      <c r="O19" s="56" t="str">
        <f aca="false">IF("GB"=Horo8291[[#This Row],[Tâche]],Horo8291[[#This Row],[Durée]],"")</f>
        <v/>
      </c>
      <c r="P19" s="56" t="n">
        <f aca="false">IF("RD"=Horo8291[[#This Row],[Tâche]],Horo8291[[#This Row],[Durée]],"")</f>
        <v>1.75</v>
      </c>
      <c r="Q19" s="56" t="str">
        <f aca="false">IF("FG"=Horo8291[[#This Row],[Tâche]],Horo8291[[#This Row],[Durée]],"")</f>
        <v/>
      </c>
      <c r="R19" s="56" t="str">
        <f aca="false">IF("CONGÉ"=Horo8291[[#This Row],[Tâche]],Horo8291[[#This Row],[Durée]],"")</f>
        <v/>
      </c>
      <c r="S19" s="57" t="str">
        <f aca="false">IF("PS"=Horo8291[[#This Row],[Tâche]],Horo8291[[#This Row],[Durée]],"")</f>
        <v/>
      </c>
      <c r="T19" s="56" t="str">
        <f aca="false">IF("TD"=Horo8291[[#This Row],[Tâche]],Horo8291[[#This Row],[Durée]],"")</f>
        <v/>
      </c>
      <c r="U19" s="55" t="str">
        <f aca="false">IF("N/C"=Horo8291[[#This Row],[Tâche]],Horo8291[[#This Row],[Durée]],"")</f>
        <v/>
      </c>
      <c r="V19" s="58"/>
      <c r="W19" s="59" t="n">
        <f aca="false">IF(Horo8291[[#This Row],[O]]="o",Horo8291[[#This Row],[Durée]],".")</f>
        <v>1.75</v>
      </c>
      <c r="X19" s="60" t="n">
        <f aca="false">IF(Horo8291[[#This Row],[Début]]=0,"",Horo8291[[#This Row],[Fin]]-Horo8291[[#This Row],[Début]])</f>
        <v>0.0729166666666667</v>
      </c>
    </row>
    <row r="20" customFormat="false" ht="15" hidden="true" customHeight="false" outlineLevel="0" collapsed="false">
      <c r="A20" s="45" t="s">
        <v>31</v>
      </c>
      <c r="B20" s="111" t="n">
        <f aca="false">IF(Horo8291[[#This Row],[Jour]]="Lundi",$C$1+1, IF(Horo8291[[#This Row],[Jour]]="Mardi",$C$1+2, IF(Horo8291[[#This Row],[Jour]]="Mercredi",$C$1+3, IF(Horo8291[[#This Row],[Jour]]="Jeudi",$C$1+4, IF(Horo8291[[#This Row],[Jour]]="Vendredi",$C$1+5, IF(Horo8291[[#This Row],[Jour]]="Samedi",$C$1+6, IF(Horo8291[[#This Row],[Jour]]="Dimanche",$C$1, )))))))</f>
        <v>44356</v>
      </c>
      <c r="C20" s="47" t="s">
        <v>1</v>
      </c>
      <c r="D20" s="48" t="n">
        <v>0.5625</v>
      </c>
      <c r="E20" s="48" t="n">
        <v>0.614583333333333</v>
      </c>
      <c r="F20" s="49" t="s">
        <v>32</v>
      </c>
      <c r="G20" s="49" t="s">
        <v>22</v>
      </c>
      <c r="H20" s="50" t="s">
        <v>118</v>
      </c>
      <c r="I20" s="61"/>
      <c r="J20" s="52" t="n">
        <f aca="false">IF(Horo8291[[#This Row],[Début]]=0,"",(Horo8291[[#This Row],[Durée (60)2]]-INT(Horo8291[[#This Row],[Durée (60)2]]))*24)</f>
        <v>1.25</v>
      </c>
      <c r="K20" s="62" t="n">
        <f aca="false">SUMIF(Horo8291[Jour],C20,Horo8291[Durée])</f>
        <v>8</v>
      </c>
      <c r="L20" s="54" t="n">
        <f aca="false">IFERROR(SUMIF(Horo8291[[#This Row],[Jour]],Horo8291[[#This Row],[Jour]],Horo8291[[#This Row],[GPF]]) / Horo8291[[#This Row],[hrs]],"")</f>
        <v>0</v>
      </c>
      <c r="M20" s="56" t="str">
        <f aca="false">IF("GPF"=Horo8291[[#This Row],[Tâche]],Horo8291[[#This Row],[Durée]],"")</f>
        <v/>
      </c>
      <c r="N20" s="56" t="str">
        <f aca="false">IF("RI"=Horo8291[[#This Row],[Tâche]],Horo8291[[#This Row],[Durée]],"")</f>
        <v/>
      </c>
      <c r="O20" s="56" t="str">
        <f aca="false">IF("GB"=Horo8291[[#This Row],[Tâche]],Horo8291[[#This Row],[Durée]],"")</f>
        <v/>
      </c>
      <c r="P20" s="56" t="n">
        <f aca="false">IF("RD"=Horo8291[[#This Row],[Tâche]],Horo8291[[#This Row],[Durée]],"")</f>
        <v>1.25</v>
      </c>
      <c r="Q20" s="56" t="str">
        <f aca="false">IF("FG"=Horo8291[[#This Row],[Tâche]],Horo8291[[#This Row],[Durée]],"")</f>
        <v/>
      </c>
      <c r="R20" s="56" t="str">
        <f aca="false">IF("CONGÉ"=Horo8291[[#This Row],[Tâche]],Horo8291[[#This Row],[Durée]],"")</f>
        <v/>
      </c>
      <c r="S20" s="57" t="str">
        <f aca="false">IF("PS"=Horo8291[[#This Row],[Tâche]],Horo8291[[#This Row],[Durée]],"")</f>
        <v/>
      </c>
      <c r="T20" s="56" t="str">
        <f aca="false">IF("TD"=Horo8291[[#This Row],[Tâche]],Horo8291[[#This Row],[Durée]],"")</f>
        <v/>
      </c>
      <c r="U20" s="55" t="str">
        <f aca="false">IF("N/C"=Horo8291[[#This Row],[Tâche]],Horo8291[[#This Row],[Durée]],"")</f>
        <v/>
      </c>
      <c r="V20" s="58"/>
      <c r="W20" s="59" t="n">
        <f aca="false">IF(Horo8291[[#This Row],[O]]="o",Horo8291[[#This Row],[Durée]],".")</f>
        <v>1.25</v>
      </c>
      <c r="X20" s="60" t="n">
        <f aca="false">IF(Horo8291[[#This Row],[Début]]=0,"",Horo8291[[#This Row],[Fin]]-Horo8291[[#This Row],[Début]])</f>
        <v>0.0520833333333334</v>
      </c>
    </row>
    <row r="21" customFormat="false" ht="15" hidden="false" customHeight="false" outlineLevel="0" collapsed="false">
      <c r="A21" s="45" t="s">
        <v>31</v>
      </c>
      <c r="B21" s="111" t="n">
        <f aca="false">IF(Horo8291[[#This Row],[Jour]]="Lundi",$C$1+1, IF(Horo8291[[#This Row],[Jour]]="Mardi",$C$1+2, IF(Horo8291[[#This Row],[Jour]]="Mercredi",$C$1+3, IF(Horo8291[[#This Row],[Jour]]="Jeudi",$C$1+4, IF(Horo8291[[#This Row],[Jour]]="Vendredi",$C$1+5, IF(Horo8291[[#This Row],[Jour]]="Samedi",$C$1+6, IF(Horo8291[[#This Row],[Jour]]="Dimanche",$C$1, )))))))</f>
        <v>44356</v>
      </c>
      <c r="C21" s="47" t="s">
        <v>1</v>
      </c>
      <c r="D21" s="48" t="n">
        <v>0.614583333333333</v>
      </c>
      <c r="E21" s="48" t="n">
        <v>0.666666666666667</v>
      </c>
      <c r="F21" s="49" t="s">
        <v>60</v>
      </c>
      <c r="G21" s="49" t="s">
        <v>22</v>
      </c>
      <c r="H21" s="50" t="s">
        <v>201</v>
      </c>
      <c r="I21" s="61" t="s">
        <v>240</v>
      </c>
      <c r="J21" s="52" t="n">
        <f aca="false">IF(Horo8291[[#This Row],[Début]]=0,"",(Horo8291[[#This Row],[Durée (60)2]]-INT(Horo8291[[#This Row],[Durée (60)2]]))*24)</f>
        <v>1.25</v>
      </c>
      <c r="K21" s="62" t="n">
        <f aca="false">SUMIF(Horo8291[Jour],C21,Horo8291[Durée])</f>
        <v>8</v>
      </c>
      <c r="L21" s="54" t="n">
        <f aca="false">IFERROR(SUMIF(Horo8291[[#This Row],[Jour]],Horo8291[[#This Row],[Jour]],Horo8291[[#This Row],[GPF]]) / Horo8291[[#This Row],[hrs]],"")</f>
        <v>0</v>
      </c>
      <c r="M21" s="56" t="str">
        <f aca="false">IF("GPF"=Horo8291[[#This Row],[Tâche]],Horo8291[[#This Row],[Durée]],"")</f>
        <v/>
      </c>
      <c r="N21" s="56" t="str">
        <f aca="false">IF("RI"=Horo8291[[#This Row],[Tâche]],Horo8291[[#This Row],[Durée]],"")</f>
        <v/>
      </c>
      <c r="O21" s="56" t="str">
        <f aca="false">IF("GB"=Horo8291[[#This Row],[Tâche]],Horo8291[[#This Row],[Durée]],"")</f>
        <v/>
      </c>
      <c r="P21" s="56" t="n">
        <f aca="false">IF("RD"=Horo8291[[#This Row],[Tâche]],Horo8291[[#This Row],[Durée]],"")</f>
        <v>1.25</v>
      </c>
      <c r="Q21" s="56" t="str">
        <f aca="false">IF("FG"=Horo8291[[#This Row],[Tâche]],Horo8291[[#This Row],[Durée]],"")</f>
        <v/>
      </c>
      <c r="R21" s="56" t="str">
        <f aca="false">IF("CONGÉ"=Horo8291[[#This Row],[Tâche]],Horo8291[[#This Row],[Durée]],"")</f>
        <v/>
      </c>
      <c r="S21" s="57" t="str">
        <f aca="false">IF("PS"=Horo8291[[#This Row],[Tâche]],Horo8291[[#This Row],[Durée]],"")</f>
        <v/>
      </c>
      <c r="T21" s="56" t="str">
        <f aca="false">IF("TD"=Horo8291[[#This Row],[Tâche]],Horo8291[[#This Row],[Durée]],"")</f>
        <v/>
      </c>
      <c r="U21" s="55" t="str">
        <f aca="false">IF("N/C"=Horo8291[[#This Row],[Tâche]],Horo8291[[#This Row],[Durée]],"")</f>
        <v/>
      </c>
      <c r="V21" s="58"/>
      <c r="W21" s="59" t="n">
        <f aca="false">IF(Horo8291[[#This Row],[O]]="o",Horo8291[[#This Row],[Durée]],".")</f>
        <v>1.25</v>
      </c>
      <c r="X21" s="60" t="n">
        <f aca="false">IF(Horo8291[[#This Row],[Début]]=0,"",Horo8291[[#This Row],[Fin]]-Horo8291[[#This Row],[Début]])</f>
        <v>0.0520833333333333</v>
      </c>
    </row>
    <row r="22" customFormat="false" ht="15" hidden="false" customHeight="false" outlineLevel="0" collapsed="false">
      <c r="A22" s="45" t="s">
        <v>31</v>
      </c>
      <c r="B22" s="46" t="n">
        <f aca="false">IF(Horo8291[[#This Row],[Jour]]="Lundi",$C$1+1, IF(Horo8291[[#This Row],[Jour]]="Mardi",$C$1+2, IF(Horo8291[[#This Row],[Jour]]="Mercredi",$C$1+3, IF(Horo8291[[#This Row],[Jour]]="Jeudi",$C$1+4, IF(Horo8291[[#This Row],[Jour]]="Vendredi",$C$1+5, IF(Horo8291[[#This Row],[Jour]]="Samedi",$C$1+6, IF(Horo8291[[#This Row],[Jour]]="Dimanche",$C$1, )))))))</f>
        <v>44356</v>
      </c>
      <c r="C22" s="47" t="s">
        <v>1</v>
      </c>
      <c r="D22" s="48" t="n">
        <v>0.666666666666667</v>
      </c>
      <c r="E22" s="48" t="n">
        <v>0.729166666666667</v>
      </c>
      <c r="F22" s="49" t="s">
        <v>60</v>
      </c>
      <c r="G22" s="49" t="s">
        <v>19</v>
      </c>
      <c r="H22" s="50" t="s">
        <v>42</v>
      </c>
      <c r="I22" s="61" t="s">
        <v>240</v>
      </c>
      <c r="J22" s="52" t="n">
        <f aca="false">IF(Horo8291[[#This Row],[Début]]=0,"",(Horo8291[[#This Row],[Durée (60)2]]-INT(Horo8291[[#This Row],[Durée (60)2]]))*24)</f>
        <v>1.5</v>
      </c>
      <c r="K22" s="62" t="n">
        <f aca="false">SUMIF(Horo8291[Jour],C22,Horo8291[Durée])</f>
        <v>8</v>
      </c>
      <c r="L22" s="54" t="n">
        <f aca="false">IFERROR(SUMIF(Horo8291[[#This Row],[Jour]],Horo8291[[#This Row],[Jour]],Horo8291[[#This Row],[GPF]]) / Horo8291[[#This Row],[hrs]],"")</f>
        <v>0.1875</v>
      </c>
      <c r="M22" s="56" t="n">
        <f aca="false">IF("GPF"=Horo8291[[#This Row],[Tâche]],Horo8291[[#This Row],[Durée]],"")</f>
        <v>1.5</v>
      </c>
      <c r="N22" s="56" t="str">
        <f aca="false">IF("RI"=Horo8291[[#This Row],[Tâche]],Horo8291[[#This Row],[Durée]],"")</f>
        <v/>
      </c>
      <c r="O22" s="56" t="str">
        <f aca="false">IF("GB"=Horo8291[[#This Row],[Tâche]],Horo8291[[#This Row],[Durée]],"")</f>
        <v/>
      </c>
      <c r="P22" s="56" t="str">
        <f aca="false">IF("RD"=Horo8291[[#This Row],[Tâche]],Horo8291[[#This Row],[Durée]],"")</f>
        <v/>
      </c>
      <c r="Q22" s="56" t="str">
        <f aca="false">IF("FG"=Horo8291[[#This Row],[Tâche]],Horo8291[[#This Row],[Durée]],"")</f>
        <v/>
      </c>
      <c r="R22" s="56" t="str">
        <f aca="false">IF("CONGÉ"=Horo8291[[#This Row],[Tâche]],Horo8291[[#This Row],[Durée]],"")</f>
        <v/>
      </c>
      <c r="S22" s="57" t="str">
        <f aca="false">IF("PS"=Horo8291[[#This Row],[Tâche]],Horo8291[[#This Row],[Durée]],"")</f>
        <v/>
      </c>
      <c r="T22" s="56" t="str">
        <f aca="false">IF("TD"=Horo8291[[#This Row],[Tâche]],Horo8291[[#This Row],[Durée]],"")</f>
        <v/>
      </c>
      <c r="U22" s="55" t="str">
        <f aca="false">IF("N/C"=Horo8291[[#This Row],[Tâche]],Horo8291[[#This Row],[Durée]],"")</f>
        <v/>
      </c>
      <c r="V22" s="58"/>
      <c r="W22" s="59" t="n">
        <f aca="false">IF(Horo8291[[#This Row],[O]]="o",Horo8291[[#This Row],[Durée]],".")</f>
        <v>1.5</v>
      </c>
      <c r="X22" s="60" t="n">
        <f aca="false">IF(Horo8291[[#This Row],[Début]]=0,"",Horo8291[[#This Row],[Fin]]-Horo8291[[#This Row],[Début]])</f>
        <v>0.0625</v>
      </c>
    </row>
    <row r="23" customFormat="false" ht="15" hidden="true" customHeight="false" outlineLevel="0" collapsed="false">
      <c r="A23" s="45" t="s">
        <v>31</v>
      </c>
      <c r="B23" s="111" t="n">
        <f aca="false">IF(Horo8291[[#This Row],[Jour]]="Lundi",$C$1+1, IF(Horo8291[[#This Row],[Jour]]="Mardi",$C$1+2, IF(Horo8291[[#This Row],[Jour]]="Mercredi",$C$1+3, IF(Horo8291[[#This Row],[Jour]]="Jeudi",$C$1+4, IF(Horo8291[[#This Row],[Jour]]="Vendredi",$C$1+5, IF(Horo8291[[#This Row],[Jour]]="Samedi",$C$1+6, IF(Horo8291[[#This Row],[Jour]]="Dimanche",$C$1, )))))))</f>
        <v>44357</v>
      </c>
      <c r="C23" s="47" t="s">
        <v>2</v>
      </c>
      <c r="D23" s="48" t="n">
        <v>0.322916666666667</v>
      </c>
      <c r="E23" s="48" t="n">
        <v>0.364583333333333</v>
      </c>
      <c r="F23" s="49" t="s">
        <v>32</v>
      </c>
      <c r="G23" s="49" t="s">
        <v>22</v>
      </c>
      <c r="H23" s="50" t="s">
        <v>118</v>
      </c>
      <c r="I23" s="61"/>
      <c r="J23" s="52" t="n">
        <f aca="false">IF(Horo8291[[#This Row],[Début]]=0,"",(Horo8291[[#This Row],[Durée (60)2]]-INT(Horo8291[[#This Row],[Durée (60)2]]))*24)</f>
        <v>0.999999999999999</v>
      </c>
      <c r="K23" s="62" t="n">
        <f aca="false">SUMIF(Horo8291[Jour],C23,Horo8291[Durée])</f>
        <v>4.75</v>
      </c>
      <c r="L23" s="54" t="n">
        <f aca="false">IFERROR(SUMIF(Horo8291[[#This Row],[Jour]],Horo8291[[#This Row],[Jour]],Horo8291[[#This Row],[GPF]]) / Horo8291[[#This Row],[hrs]],"")</f>
        <v>0</v>
      </c>
      <c r="M23" s="56" t="str">
        <f aca="false">IF("GPF"=Horo8291[[#This Row],[Tâche]],Horo8291[[#This Row],[Durée]],"")</f>
        <v/>
      </c>
      <c r="N23" s="56" t="str">
        <f aca="false">IF("RI"=Horo8291[[#This Row],[Tâche]],Horo8291[[#This Row],[Durée]],"")</f>
        <v/>
      </c>
      <c r="O23" s="56" t="str">
        <f aca="false">IF("GB"=Horo8291[[#This Row],[Tâche]],Horo8291[[#This Row],[Durée]],"")</f>
        <v/>
      </c>
      <c r="P23" s="56" t="n">
        <f aca="false">IF("RD"=Horo8291[[#This Row],[Tâche]],Horo8291[[#This Row],[Durée]],"")</f>
        <v>0.999999999999999</v>
      </c>
      <c r="Q23" s="56" t="str">
        <f aca="false">IF("FG"=Horo8291[[#This Row],[Tâche]],Horo8291[[#This Row],[Durée]],"")</f>
        <v/>
      </c>
      <c r="R23" s="56" t="str">
        <f aca="false">IF("CONGÉ"=Horo8291[[#This Row],[Tâche]],Horo8291[[#This Row],[Durée]],"")</f>
        <v/>
      </c>
      <c r="S23" s="56" t="str">
        <f aca="false">IF("PS"=Horo8291[[#This Row],[Tâche]],Horo8291[[#This Row],[Durée]],"")</f>
        <v/>
      </c>
      <c r="T23" s="56" t="str">
        <f aca="false">IF("TD"=Horo8291[[#This Row],[Tâche]],Horo8291[[#This Row],[Durée]],"")</f>
        <v/>
      </c>
      <c r="U23" s="56" t="str">
        <f aca="false">IF("N/C"=Horo8291[[#This Row],[Tâche]],Horo8291[[#This Row],[Durée]],"")</f>
        <v/>
      </c>
      <c r="V23" s="58"/>
      <c r="W23" s="59" t="n">
        <f aca="false">IF(Horo8291[[#This Row],[O]]="o",Horo8291[[#This Row],[Durée]],".")</f>
        <v>0.999999999999999</v>
      </c>
      <c r="X23" s="64" t="n">
        <f aca="false">IF(Horo8291[[#This Row],[Début]]=0,"",Horo8291[[#This Row],[Fin]]-Horo8291[[#This Row],[Début]])</f>
        <v>0.0416666666666666</v>
      </c>
    </row>
    <row r="24" customFormat="false" ht="15" hidden="true" customHeight="false" outlineLevel="0" collapsed="false">
      <c r="A24" s="45" t="s">
        <v>31</v>
      </c>
      <c r="B24" s="111" t="n">
        <f aca="false">IF(Horo8291[[#This Row],[Jour]]="Lundi",$C$1+1, IF(Horo8291[[#This Row],[Jour]]="Mardi",$C$1+2, IF(Horo8291[[#This Row],[Jour]]="Mercredi",$C$1+3, IF(Horo8291[[#This Row],[Jour]]="Jeudi",$C$1+4, IF(Horo8291[[#This Row],[Jour]]="Vendredi",$C$1+5, IF(Horo8291[[#This Row],[Jour]]="Samedi",$C$1+6, IF(Horo8291[[#This Row],[Jour]]="Dimanche",$C$1, )))))))</f>
        <v>44357</v>
      </c>
      <c r="C24" s="47" t="s">
        <v>2</v>
      </c>
      <c r="D24" s="48" t="n">
        <v>0.364583333333333</v>
      </c>
      <c r="E24" s="48" t="n">
        <v>0.385416666666667</v>
      </c>
      <c r="F24" s="49" t="s">
        <v>59</v>
      </c>
      <c r="G24" s="49" t="s">
        <v>22</v>
      </c>
      <c r="H24" s="50" t="s">
        <v>128</v>
      </c>
      <c r="I24" s="61" t="s">
        <v>241</v>
      </c>
      <c r="J24" s="52" t="n">
        <f aca="false">IF(Horo8291[[#This Row],[Début]]=0,"",(Horo8291[[#This Row],[Durée (60)2]]-INT(Horo8291[[#This Row],[Durée (60)2]]))*24)</f>
        <v>0.500000000000001</v>
      </c>
      <c r="K24" s="62" t="n">
        <f aca="false">SUMIF(Horo8291[Jour],C24,Horo8291[Durée])</f>
        <v>4.75</v>
      </c>
      <c r="L24" s="54" t="n">
        <f aca="false">IFERROR(SUMIF(Horo8291[[#This Row],[Jour]],Horo8291[[#This Row],[Jour]],Horo8291[[#This Row],[GPF]]) / Horo8291[[#This Row],[hrs]],"")</f>
        <v>0</v>
      </c>
      <c r="M24" s="56" t="str">
        <f aca="false">IF("GPF"=Horo8291[[#This Row],[Tâche]],Horo8291[[#This Row],[Durée]],"")</f>
        <v/>
      </c>
      <c r="N24" s="56" t="str">
        <f aca="false">IF("RI"=Horo8291[[#This Row],[Tâche]],Horo8291[[#This Row],[Durée]],"")</f>
        <v/>
      </c>
      <c r="O24" s="56" t="str">
        <f aca="false">IF("GB"=Horo8291[[#This Row],[Tâche]],Horo8291[[#This Row],[Durée]],"")</f>
        <v/>
      </c>
      <c r="P24" s="56" t="n">
        <f aca="false">IF("RD"=Horo8291[[#This Row],[Tâche]],Horo8291[[#This Row],[Durée]],"")</f>
        <v>0.500000000000001</v>
      </c>
      <c r="Q24" s="56" t="str">
        <f aca="false">IF("FG"=Horo8291[[#This Row],[Tâche]],Horo8291[[#This Row],[Durée]],"")</f>
        <v/>
      </c>
      <c r="R24" s="56" t="str">
        <f aca="false">IF("CONGÉ"=Horo8291[[#This Row],[Tâche]],Horo8291[[#This Row],[Durée]],"")</f>
        <v/>
      </c>
      <c r="S24" s="57" t="str">
        <f aca="false">IF("PS"=Horo8291[[#This Row],[Tâche]],Horo8291[[#This Row],[Durée]],"")</f>
        <v/>
      </c>
      <c r="T24" s="56" t="str">
        <f aca="false">IF("TD"=Horo8291[[#This Row],[Tâche]],Horo8291[[#This Row],[Durée]],"")</f>
        <v/>
      </c>
      <c r="U24" s="55" t="str">
        <f aca="false">IF("N/C"=Horo8291[[#This Row],[Tâche]],Horo8291[[#This Row],[Durée]],"")</f>
        <v/>
      </c>
      <c r="V24" s="58"/>
      <c r="W24" s="59" t="n">
        <f aca="false">IF(Horo8291[[#This Row],[O]]="o",Horo8291[[#This Row],[Durée]],".")</f>
        <v>0.500000000000001</v>
      </c>
      <c r="X24" s="60" t="n">
        <f aca="false">IF(Horo8291[[#This Row],[Début]]=0,"",Horo8291[[#This Row],[Fin]]-Horo8291[[#This Row],[Début]])</f>
        <v>0.0208333333333334</v>
      </c>
    </row>
    <row r="25" customFormat="false" ht="15" hidden="true" customHeight="false" outlineLevel="0" collapsed="false">
      <c r="A25" s="45" t="s">
        <v>31</v>
      </c>
      <c r="B25" s="111" t="n">
        <f aca="false">IF(Horo8291[[#This Row],[Jour]]="Lundi",$C$1+1, IF(Horo8291[[#This Row],[Jour]]="Mardi",$C$1+2, IF(Horo8291[[#This Row],[Jour]]="Mercredi",$C$1+3, IF(Horo8291[[#This Row],[Jour]]="Jeudi",$C$1+4, IF(Horo8291[[#This Row],[Jour]]="Vendredi",$C$1+5, IF(Horo8291[[#This Row],[Jour]]="Samedi",$C$1+6, IF(Horo8291[[#This Row],[Jour]]="Dimanche",$C$1, )))))))</f>
        <v>44357</v>
      </c>
      <c r="C25" s="47" t="s">
        <v>2</v>
      </c>
      <c r="D25" s="48" t="n">
        <v>0.385416666666667</v>
      </c>
      <c r="E25" s="48" t="n">
        <v>0.416666666666667</v>
      </c>
      <c r="F25" s="49" t="s">
        <v>75</v>
      </c>
      <c r="G25" s="49" t="s">
        <v>19</v>
      </c>
      <c r="H25" s="50" t="s">
        <v>123</v>
      </c>
      <c r="I25" s="61" t="s">
        <v>242</v>
      </c>
      <c r="J25" s="52" t="n">
        <f aca="false">IF(Horo8291[[#This Row],[Début]]=0,"",(Horo8291[[#This Row],[Durée (60)2]]-INT(Horo8291[[#This Row],[Durée (60)2]]))*24)</f>
        <v>0.75</v>
      </c>
      <c r="K25" s="62" t="n">
        <f aca="false">SUMIF(Horo8291[Jour],C25,Horo8291[Durée])</f>
        <v>4.75</v>
      </c>
      <c r="L25" s="54" t="n">
        <f aca="false">IFERROR(SUMIF(Horo8291[[#This Row],[Jour]],Horo8291[[#This Row],[Jour]],Horo8291[[#This Row],[GPF]]) / Horo8291[[#This Row],[hrs]],"")</f>
        <v>0.157894736842105</v>
      </c>
      <c r="M25" s="56" t="n">
        <f aca="false">IF("GPF"=Horo8291[[#This Row],[Tâche]],Horo8291[[#This Row],[Durée]],"")</f>
        <v>0.75</v>
      </c>
      <c r="N25" s="56" t="str">
        <f aca="false">IF("RI"=Horo8291[[#This Row],[Tâche]],Horo8291[[#This Row],[Durée]],"")</f>
        <v/>
      </c>
      <c r="O25" s="56" t="str">
        <f aca="false">IF("GB"=Horo8291[[#This Row],[Tâche]],Horo8291[[#This Row],[Durée]],"")</f>
        <v/>
      </c>
      <c r="P25" s="56" t="str">
        <f aca="false">IF("RD"=Horo8291[[#This Row],[Tâche]],Horo8291[[#This Row],[Durée]],"")</f>
        <v/>
      </c>
      <c r="Q25" s="56" t="str">
        <f aca="false">IF("FG"=Horo8291[[#This Row],[Tâche]],Horo8291[[#This Row],[Durée]],"")</f>
        <v/>
      </c>
      <c r="R25" s="56" t="str">
        <f aca="false">IF("CONGÉ"=Horo8291[[#This Row],[Tâche]],Horo8291[[#This Row],[Durée]],"")</f>
        <v/>
      </c>
      <c r="S25" s="57" t="str">
        <f aca="false">IF("PS"=Horo8291[[#This Row],[Tâche]],Horo8291[[#This Row],[Durée]],"")</f>
        <v/>
      </c>
      <c r="T25" s="56" t="str">
        <f aca="false">IF("TD"=Horo8291[[#This Row],[Tâche]],Horo8291[[#This Row],[Durée]],"")</f>
        <v/>
      </c>
      <c r="U25" s="55" t="str">
        <f aca="false">IF("N/C"=Horo8291[[#This Row],[Tâche]],Horo8291[[#This Row],[Durée]],"")</f>
        <v/>
      </c>
      <c r="V25" s="58"/>
      <c r="W25" s="59" t="n">
        <f aca="false">IF(Horo8291[[#This Row],[O]]="o",Horo8291[[#This Row],[Durée]],".")</f>
        <v>0.75</v>
      </c>
      <c r="X25" s="60" t="n">
        <f aca="false">IF(Horo8291[[#This Row],[Début]]=0,"",Horo8291[[#This Row],[Fin]]-Horo8291[[#This Row],[Début]])</f>
        <v>0.03125</v>
      </c>
    </row>
    <row r="26" customFormat="false" ht="15" hidden="true" customHeight="false" outlineLevel="0" collapsed="false">
      <c r="A26" s="45" t="s">
        <v>31</v>
      </c>
      <c r="B26" s="111" t="n">
        <f aca="false">IF(Horo8291[[#This Row],[Jour]]="Lundi",$C$1+1, IF(Horo8291[[#This Row],[Jour]]="Mardi",$C$1+2, IF(Horo8291[[#This Row],[Jour]]="Mercredi",$C$1+3, IF(Horo8291[[#This Row],[Jour]]="Jeudi",$C$1+4, IF(Horo8291[[#This Row],[Jour]]="Vendredi",$C$1+5, IF(Horo8291[[#This Row],[Jour]]="Samedi",$C$1+6, IF(Horo8291[[#This Row],[Jour]]="Dimanche",$C$1, )))))))</f>
        <v>44357</v>
      </c>
      <c r="C26" s="47" t="s">
        <v>2</v>
      </c>
      <c r="D26" s="48" t="n">
        <v>0.541666666666667</v>
      </c>
      <c r="E26" s="48" t="n">
        <v>0.5625</v>
      </c>
      <c r="F26" s="49" t="s">
        <v>63</v>
      </c>
      <c r="G26" s="49" t="s">
        <v>19</v>
      </c>
      <c r="H26" s="50" t="s">
        <v>55</v>
      </c>
      <c r="I26" s="61" t="s">
        <v>243</v>
      </c>
      <c r="J26" s="52" t="n">
        <f aca="false">IF(Horo8291[[#This Row],[Début]]=0,"",(Horo8291[[#This Row],[Durée (60)2]]-INT(Horo8291[[#This Row],[Durée (60)2]]))*24)</f>
        <v>0.500000000000001</v>
      </c>
      <c r="K26" s="62" t="n">
        <f aca="false">SUMIF(Horo8291[Jour],C26,Horo8291[Durée])</f>
        <v>4.75</v>
      </c>
      <c r="L26" s="54" t="n">
        <f aca="false">IFERROR(SUMIF(Horo8291[[#This Row],[Jour]],Horo8291[[#This Row],[Jour]],Horo8291[[#This Row],[GPF]]) / Horo8291[[#This Row],[hrs]],"")</f>
        <v>0.105263157894737</v>
      </c>
      <c r="M26" s="56" t="n">
        <f aca="false">IF("GPF"=Horo8291[[#This Row],[Tâche]],Horo8291[[#This Row],[Durée]],"")</f>
        <v>0.500000000000001</v>
      </c>
      <c r="N26" s="56" t="str">
        <f aca="false">IF("RI"=Horo8291[[#This Row],[Tâche]],Horo8291[[#This Row],[Durée]],"")</f>
        <v/>
      </c>
      <c r="O26" s="56" t="str">
        <f aca="false">IF("GB"=Horo8291[[#This Row],[Tâche]],Horo8291[[#This Row],[Durée]],"")</f>
        <v/>
      </c>
      <c r="P26" s="56" t="str">
        <f aca="false">IF("RD"=Horo8291[[#This Row],[Tâche]],Horo8291[[#This Row],[Durée]],"")</f>
        <v/>
      </c>
      <c r="Q26" s="56" t="str">
        <f aca="false">IF("FG"=Horo8291[[#This Row],[Tâche]],Horo8291[[#This Row],[Durée]],"")</f>
        <v/>
      </c>
      <c r="R26" s="56" t="str">
        <f aca="false">IF("CONGÉ"=Horo8291[[#This Row],[Tâche]],Horo8291[[#This Row],[Durée]],"")</f>
        <v/>
      </c>
      <c r="S26" s="57" t="str">
        <f aca="false">IF("PS"=Horo8291[[#This Row],[Tâche]],Horo8291[[#This Row],[Durée]],"")</f>
        <v/>
      </c>
      <c r="T26" s="56" t="str">
        <f aca="false">IF("TD"=Horo8291[[#This Row],[Tâche]],Horo8291[[#This Row],[Durée]],"")</f>
        <v/>
      </c>
      <c r="U26" s="55" t="str">
        <f aca="false">IF("N/C"=Horo8291[[#This Row],[Tâche]],Horo8291[[#This Row],[Durée]],"")</f>
        <v/>
      </c>
      <c r="V26" s="58"/>
      <c r="W26" s="59" t="n">
        <f aca="false">IF(Horo8291[[#This Row],[O]]="o",Horo8291[[#This Row],[Durée]],".")</f>
        <v>0.500000000000001</v>
      </c>
      <c r="X26" s="60" t="n">
        <f aca="false">IF(Horo8291[[#This Row],[Début]]=0,"",Horo8291[[#This Row],[Fin]]-Horo8291[[#This Row],[Début]])</f>
        <v>0.0208333333333334</v>
      </c>
    </row>
    <row r="27" customFormat="false" ht="15" hidden="true" customHeight="false" outlineLevel="0" collapsed="false">
      <c r="A27" s="45" t="s">
        <v>31</v>
      </c>
      <c r="B27" s="111" t="n">
        <f aca="false">IF(Horo8291[[#This Row],[Jour]]="Lundi",$C$1+1, IF(Horo8291[[#This Row],[Jour]]="Mardi",$C$1+2, IF(Horo8291[[#This Row],[Jour]]="Mercredi",$C$1+3, IF(Horo8291[[#This Row],[Jour]]="Jeudi",$C$1+4, IF(Horo8291[[#This Row],[Jour]]="Vendredi",$C$1+5, IF(Horo8291[[#This Row],[Jour]]="Samedi",$C$1+6, IF(Horo8291[[#This Row],[Jour]]="Dimanche",$C$1, )))))))</f>
        <v>44357</v>
      </c>
      <c r="C27" s="47" t="s">
        <v>2</v>
      </c>
      <c r="D27" s="48" t="n">
        <v>0.5625</v>
      </c>
      <c r="E27" s="48" t="n">
        <v>0.645833333333333</v>
      </c>
      <c r="F27" s="49" t="s">
        <v>32</v>
      </c>
      <c r="G27" s="49" t="s">
        <v>21</v>
      </c>
      <c r="H27" s="50" t="s">
        <v>112</v>
      </c>
      <c r="I27" s="61"/>
      <c r="J27" s="52" t="n">
        <f aca="false">IF(Horo8291[[#This Row],[Début]]=0,"",(Horo8291[[#This Row],[Durée (60)2]]-INT(Horo8291[[#This Row],[Durée (60)2]]))*24)</f>
        <v>2</v>
      </c>
      <c r="K27" s="62" t="n">
        <f aca="false">SUMIF(Horo8291[Jour],C27,Horo8291[Durée])</f>
        <v>4.75</v>
      </c>
      <c r="L27" s="54" t="n">
        <f aca="false">IFERROR(SUMIF(Horo8291[[#This Row],[Jour]],Horo8291[[#This Row],[Jour]],Horo8291[[#This Row],[GPF]]) / Horo8291[[#This Row],[hrs]],"")</f>
        <v>0</v>
      </c>
      <c r="M27" s="56" t="str">
        <f aca="false">IF("GPF"=Horo8291[[#This Row],[Tâche]],Horo8291[[#This Row],[Durée]],"")</f>
        <v/>
      </c>
      <c r="N27" s="56" t="str">
        <f aca="false">IF("RI"=Horo8291[[#This Row],[Tâche]],Horo8291[[#This Row],[Durée]],"")</f>
        <v/>
      </c>
      <c r="O27" s="56" t="n">
        <f aca="false">IF("GB"=Horo8291[[#This Row],[Tâche]],Horo8291[[#This Row],[Durée]],"")</f>
        <v>2</v>
      </c>
      <c r="P27" s="56" t="str">
        <f aca="false">IF("RD"=Horo8291[[#This Row],[Tâche]],Horo8291[[#This Row],[Durée]],"")</f>
        <v/>
      </c>
      <c r="Q27" s="56" t="str">
        <f aca="false">IF("FG"=Horo8291[[#This Row],[Tâche]],Horo8291[[#This Row],[Durée]],"")</f>
        <v/>
      </c>
      <c r="R27" s="56" t="str">
        <f aca="false">IF("CONGÉ"=Horo8291[[#This Row],[Tâche]],Horo8291[[#This Row],[Durée]],"")</f>
        <v/>
      </c>
      <c r="S27" s="57" t="str">
        <f aca="false">IF("PS"=Horo8291[[#This Row],[Tâche]],Horo8291[[#This Row],[Durée]],"")</f>
        <v/>
      </c>
      <c r="T27" s="56" t="str">
        <f aca="false">IF("TD"=Horo8291[[#This Row],[Tâche]],Horo8291[[#This Row],[Durée]],"")</f>
        <v/>
      </c>
      <c r="U27" s="55" t="str">
        <f aca="false">IF("N/C"=Horo8291[[#This Row],[Tâche]],Horo8291[[#This Row],[Durée]],"")</f>
        <v/>
      </c>
      <c r="V27" s="58"/>
      <c r="W27" s="59" t="n">
        <f aca="false">IF(Horo8291[[#This Row],[O]]="o",Horo8291[[#This Row],[Durée]],".")</f>
        <v>2</v>
      </c>
      <c r="X27" s="60" t="n">
        <f aca="false">IF(Horo8291[[#This Row],[Début]]=0,"",Horo8291[[#This Row],[Fin]]-Horo8291[[#This Row],[Début]])</f>
        <v>0.0833333333333334</v>
      </c>
    </row>
    <row r="28" customFormat="false" ht="15" hidden="true" customHeight="false" outlineLevel="0" collapsed="false">
      <c r="A28" s="45" t="s">
        <v>31</v>
      </c>
      <c r="B28" s="111" t="n">
        <f aca="false">IF(Horo8291[[#This Row],[Jour]]="Lundi",$C$1+1, IF(Horo8291[[#This Row],[Jour]]="Mardi",$C$1+2, IF(Horo8291[[#This Row],[Jour]]="Mercredi",$C$1+3, IF(Horo8291[[#This Row],[Jour]]="Jeudi",$C$1+4, IF(Horo8291[[#This Row],[Jour]]="Vendredi",$C$1+5, IF(Horo8291[[#This Row],[Jour]]="Samedi",$C$1+6, IF(Horo8291[[#This Row],[Jour]]="Dimanche",$C$1, )))))))</f>
        <v>44358</v>
      </c>
      <c r="C28" s="47" t="s">
        <v>3</v>
      </c>
      <c r="D28" s="48" t="n">
        <v>0.333333333333333</v>
      </c>
      <c r="E28" s="48" t="n">
        <v>0.395833333333333</v>
      </c>
      <c r="F28" s="49" t="s">
        <v>32</v>
      </c>
      <c r="G28" s="49" t="s">
        <v>22</v>
      </c>
      <c r="H28" s="50" t="s">
        <v>118</v>
      </c>
      <c r="I28" s="61"/>
      <c r="J28" s="52" t="n">
        <f aca="false">IF(Horo8291[[#This Row],[Début]]=0,"",(Horo8291[[#This Row],[Durée (60)2]]-INT(Horo8291[[#This Row],[Durée (60)2]]))*24)</f>
        <v>1.5</v>
      </c>
      <c r="K28" s="62" t="n">
        <f aca="false">SUMIF(Horo8291[Jour],C28,Horo8291[Durée])</f>
        <v>8</v>
      </c>
      <c r="L28" s="54" t="n">
        <f aca="false">IFERROR(SUMIF(Horo8291[[#This Row],[Jour]],Horo8291[[#This Row],[Jour]],Horo8291[[#This Row],[GPF]]) / Horo8291[[#This Row],[hrs]],"")</f>
        <v>0</v>
      </c>
      <c r="M28" s="56" t="str">
        <f aca="false">IF("GPF"=Horo8291[[#This Row],[Tâche]],Horo8291[[#This Row],[Durée]],"")</f>
        <v/>
      </c>
      <c r="N28" s="56" t="str">
        <f aca="false">IF("RI"=Horo8291[[#This Row],[Tâche]],Horo8291[[#This Row],[Durée]],"")</f>
        <v/>
      </c>
      <c r="O28" s="56" t="str">
        <f aca="false">IF("GB"=Horo8291[[#This Row],[Tâche]],Horo8291[[#This Row],[Durée]],"")</f>
        <v/>
      </c>
      <c r="P28" s="56" t="n">
        <f aca="false">IF("RD"=Horo8291[[#This Row],[Tâche]],Horo8291[[#This Row],[Durée]],"")</f>
        <v>1.5</v>
      </c>
      <c r="Q28" s="56" t="str">
        <f aca="false">IF("FG"=Horo8291[[#This Row],[Tâche]],Horo8291[[#This Row],[Durée]],"")</f>
        <v/>
      </c>
      <c r="R28" s="56" t="str">
        <f aca="false">IF("CONGÉ"=Horo8291[[#This Row],[Tâche]],Horo8291[[#This Row],[Durée]],"")</f>
        <v/>
      </c>
      <c r="S28" s="56" t="str">
        <f aca="false">IF("PS"=Horo8291[[#This Row],[Tâche]],Horo8291[[#This Row],[Durée]],"")</f>
        <v/>
      </c>
      <c r="T28" s="56" t="str">
        <f aca="false">IF("TD"=Horo8291[[#This Row],[Tâche]],Horo8291[[#This Row],[Durée]],"")</f>
        <v/>
      </c>
      <c r="U28" s="56" t="str">
        <f aca="false">IF("N/C"=Horo8291[[#This Row],[Tâche]],Horo8291[[#This Row],[Durée]],"")</f>
        <v/>
      </c>
      <c r="V28" s="58"/>
      <c r="W28" s="59" t="n">
        <f aca="false">IF(Horo8291[[#This Row],[O]]="o",Horo8291[[#This Row],[Durée]],".")</f>
        <v>1.5</v>
      </c>
      <c r="X28" s="64" t="n">
        <f aca="false">IF(Horo8291[[#This Row],[Début]]=0,"",Horo8291[[#This Row],[Fin]]-Horo8291[[#This Row],[Début]])</f>
        <v>0.0625</v>
      </c>
    </row>
    <row r="29" customFormat="false" ht="15" hidden="true" customHeight="false" outlineLevel="0" collapsed="false">
      <c r="A29" s="45" t="s">
        <v>31</v>
      </c>
      <c r="B29" s="111" t="n">
        <f aca="false">IF(Horo8291[[#This Row],[Jour]]="Lundi",$C$1+1, IF(Horo8291[[#This Row],[Jour]]="Mardi",$C$1+2, IF(Horo8291[[#This Row],[Jour]]="Mercredi",$C$1+3, IF(Horo8291[[#This Row],[Jour]]="Jeudi",$C$1+4, IF(Horo8291[[#This Row],[Jour]]="Vendredi",$C$1+5, IF(Horo8291[[#This Row],[Jour]]="Samedi",$C$1+6, IF(Horo8291[[#This Row],[Jour]]="Dimanche",$C$1, )))))))</f>
        <v>44358</v>
      </c>
      <c r="C29" s="47" t="s">
        <v>3</v>
      </c>
      <c r="D29" s="48" t="n">
        <v>0.395833333333333</v>
      </c>
      <c r="E29" s="48" t="n">
        <v>0.458333333333333</v>
      </c>
      <c r="F29" s="49" t="s">
        <v>32</v>
      </c>
      <c r="G29" s="49" t="s">
        <v>23</v>
      </c>
      <c r="H29" s="50" t="s">
        <v>111</v>
      </c>
      <c r="I29" s="61"/>
      <c r="J29" s="52" t="n">
        <f aca="false">IF(Horo8291[[#This Row],[Début]]=0,"",(Horo8291[[#This Row],[Durée (60)2]]-INT(Horo8291[[#This Row],[Durée (60)2]]))*24)</f>
        <v>1.5</v>
      </c>
      <c r="K29" s="62" t="n">
        <f aca="false">SUMIF(Horo8291[Jour],C29,Horo8291[Durée])</f>
        <v>8</v>
      </c>
      <c r="L29" s="54" t="n">
        <f aca="false">IFERROR(SUMIF(Horo8291[[#This Row],[Jour]],Horo8291[[#This Row],[Jour]],Horo8291[[#This Row],[GPF]]) / Horo8291[[#This Row],[hrs]],"")</f>
        <v>0</v>
      </c>
      <c r="M29" s="56" t="str">
        <f aca="false">IF("GPF"=Horo8291[[#This Row],[Tâche]],Horo8291[[#This Row],[Durée]],"")</f>
        <v/>
      </c>
      <c r="N29" s="56" t="str">
        <f aca="false">IF("RI"=Horo8291[[#This Row],[Tâche]],Horo8291[[#This Row],[Durée]],"")</f>
        <v/>
      </c>
      <c r="O29" s="56" t="str">
        <f aca="false">IF("GB"=Horo8291[[#This Row],[Tâche]],Horo8291[[#This Row],[Durée]],"")</f>
        <v/>
      </c>
      <c r="P29" s="56" t="str">
        <f aca="false">IF("RD"=Horo8291[[#This Row],[Tâche]],Horo8291[[#This Row],[Durée]],"")</f>
        <v/>
      </c>
      <c r="Q29" s="56" t="n">
        <f aca="false">IF("FG"=Horo8291[[#This Row],[Tâche]],Horo8291[[#This Row],[Durée]],"")</f>
        <v>1.5</v>
      </c>
      <c r="R29" s="56" t="str">
        <f aca="false">IF("CONGÉ"=Horo8291[[#This Row],[Tâche]],Horo8291[[#This Row],[Durée]],"")</f>
        <v/>
      </c>
      <c r="S29" s="57" t="str">
        <f aca="false">IF("PS"=Horo8291[[#This Row],[Tâche]],Horo8291[[#This Row],[Durée]],"")</f>
        <v/>
      </c>
      <c r="T29" s="56" t="str">
        <f aca="false">IF("TD"=Horo8291[[#This Row],[Tâche]],Horo8291[[#This Row],[Durée]],"")</f>
        <v/>
      </c>
      <c r="U29" s="55" t="str">
        <f aca="false">IF("N/C"=Horo8291[[#This Row],[Tâche]],Horo8291[[#This Row],[Durée]],"")</f>
        <v/>
      </c>
      <c r="V29" s="58"/>
      <c r="W29" s="59" t="n">
        <f aca="false">IF(Horo8291[[#This Row],[O]]="o",Horo8291[[#This Row],[Durée]],".")</f>
        <v>1.5</v>
      </c>
      <c r="X29" s="60" t="n">
        <f aca="false">IF(Horo8291[[#This Row],[Début]]=0,"",Horo8291[[#This Row],[Fin]]-Horo8291[[#This Row],[Début]])</f>
        <v>0.0625</v>
      </c>
    </row>
    <row r="30" customFormat="false" ht="15" hidden="true" customHeight="false" outlineLevel="0" collapsed="false">
      <c r="A30" s="45" t="s">
        <v>31</v>
      </c>
      <c r="B30" s="111" t="n">
        <f aca="false">IF(Horo8291[[#This Row],[Jour]]="Lundi",$C$1+1, IF(Horo8291[[#This Row],[Jour]]="Mardi",$C$1+2, IF(Horo8291[[#This Row],[Jour]]="Mercredi",$C$1+3, IF(Horo8291[[#This Row],[Jour]]="Jeudi",$C$1+4, IF(Horo8291[[#This Row],[Jour]]="Vendredi",$C$1+5, IF(Horo8291[[#This Row],[Jour]]="Samedi",$C$1+6, IF(Horo8291[[#This Row],[Jour]]="Dimanche",$C$1, )))))))</f>
        <v>44358</v>
      </c>
      <c r="C30" s="47" t="s">
        <v>3</v>
      </c>
      <c r="D30" s="48" t="n">
        <v>0.458333333333333</v>
      </c>
      <c r="E30" s="48" t="n">
        <v>0.479166666666667</v>
      </c>
      <c r="F30" s="49" t="s">
        <v>61</v>
      </c>
      <c r="G30" s="49" t="s">
        <v>19</v>
      </c>
      <c r="H30" s="50" t="s">
        <v>42</v>
      </c>
      <c r="I30" s="61" t="s">
        <v>244</v>
      </c>
      <c r="J30" s="52" t="n">
        <f aca="false">IF(Horo8291[[#This Row],[Début]]=0,"",(Horo8291[[#This Row],[Durée (60)2]]-INT(Horo8291[[#This Row],[Durée (60)2]]))*24)</f>
        <v>0.500000000000001</v>
      </c>
      <c r="K30" s="62" t="n">
        <f aca="false">SUMIF(Horo8291[Jour],C30,Horo8291[Durée])</f>
        <v>8</v>
      </c>
      <c r="L30" s="54" t="n">
        <f aca="false">IFERROR(SUMIF(Horo8291[[#This Row],[Jour]],Horo8291[[#This Row],[Jour]],Horo8291[[#This Row],[GPF]]) / Horo8291[[#This Row],[hrs]],"")</f>
        <v>0.0625000000000001</v>
      </c>
      <c r="M30" s="56" t="n">
        <f aca="false">IF("GPF"=Horo8291[[#This Row],[Tâche]],Horo8291[[#This Row],[Durée]],"")</f>
        <v>0.500000000000001</v>
      </c>
      <c r="N30" s="56" t="str">
        <f aca="false">IF("RI"=Horo8291[[#This Row],[Tâche]],Horo8291[[#This Row],[Durée]],"")</f>
        <v/>
      </c>
      <c r="O30" s="56" t="str">
        <f aca="false">IF("GB"=Horo8291[[#This Row],[Tâche]],Horo8291[[#This Row],[Durée]],"")</f>
        <v/>
      </c>
      <c r="P30" s="56" t="str">
        <f aca="false">IF("RD"=Horo8291[[#This Row],[Tâche]],Horo8291[[#This Row],[Durée]],"")</f>
        <v/>
      </c>
      <c r="Q30" s="56" t="str">
        <f aca="false">IF("FG"=Horo8291[[#This Row],[Tâche]],Horo8291[[#This Row],[Durée]],"")</f>
        <v/>
      </c>
      <c r="R30" s="56" t="str">
        <f aca="false">IF("CONGÉ"=Horo8291[[#This Row],[Tâche]],Horo8291[[#This Row],[Durée]],"")</f>
        <v/>
      </c>
      <c r="S30" s="57" t="str">
        <f aca="false">IF("PS"=Horo8291[[#This Row],[Tâche]],Horo8291[[#This Row],[Durée]],"")</f>
        <v/>
      </c>
      <c r="T30" s="56" t="str">
        <f aca="false">IF("TD"=Horo8291[[#This Row],[Tâche]],Horo8291[[#This Row],[Durée]],"")</f>
        <v/>
      </c>
      <c r="U30" s="55" t="str">
        <f aca="false">IF("N/C"=Horo8291[[#This Row],[Tâche]],Horo8291[[#This Row],[Durée]],"")</f>
        <v/>
      </c>
      <c r="V30" s="58"/>
      <c r="W30" s="59" t="n">
        <f aca="false">IF(Horo8291[[#This Row],[O]]="o",Horo8291[[#This Row],[Durée]],".")</f>
        <v>0.500000000000001</v>
      </c>
      <c r="X30" s="60" t="n">
        <f aca="false">IF(Horo8291[[#This Row],[Début]]=0,"",Horo8291[[#This Row],[Fin]]-Horo8291[[#This Row],[Début]])</f>
        <v>0.0208333333333334</v>
      </c>
    </row>
    <row r="31" customFormat="false" ht="15" hidden="true" customHeight="false" outlineLevel="0" collapsed="false">
      <c r="A31" s="45" t="s">
        <v>31</v>
      </c>
      <c r="B31" s="111" t="n">
        <f aca="false">IF(Horo8291[[#This Row],[Jour]]="Lundi",$C$1+1, IF(Horo8291[[#This Row],[Jour]]="Mardi",$C$1+2, IF(Horo8291[[#This Row],[Jour]]="Mercredi",$C$1+3, IF(Horo8291[[#This Row],[Jour]]="Jeudi",$C$1+4, IF(Horo8291[[#This Row],[Jour]]="Vendredi",$C$1+5, IF(Horo8291[[#This Row],[Jour]]="Samedi",$C$1+6, IF(Horo8291[[#This Row],[Jour]]="Dimanche",$C$1, )))))))</f>
        <v>44358</v>
      </c>
      <c r="C31" s="47" t="s">
        <v>3</v>
      </c>
      <c r="D31" s="48" t="n">
        <v>0.479166666666667</v>
      </c>
      <c r="E31" s="48" t="n">
        <v>0.5</v>
      </c>
      <c r="F31" s="49" t="s">
        <v>32</v>
      </c>
      <c r="G31" s="49" t="s">
        <v>23</v>
      </c>
      <c r="H31" s="50" t="s">
        <v>111</v>
      </c>
      <c r="I31" s="61"/>
      <c r="J31" s="52" t="n">
        <f aca="false">IF(Horo8291[[#This Row],[Début]]=0,"",(Horo8291[[#This Row],[Durée (60)2]]-INT(Horo8291[[#This Row],[Durée (60)2]]))*24)</f>
        <v>0.5</v>
      </c>
      <c r="K31" s="62" t="n">
        <f aca="false">SUMIF(Horo8291[Jour],C31,Horo8291[Durée])</f>
        <v>8</v>
      </c>
      <c r="L31" s="54" t="n">
        <f aca="false">IFERROR(SUMIF(Horo8291[[#This Row],[Jour]],Horo8291[[#This Row],[Jour]],Horo8291[[#This Row],[GPF]]) / Horo8291[[#This Row],[hrs]],"")</f>
        <v>0</v>
      </c>
      <c r="M31" s="56" t="str">
        <f aca="false">IF("GPF"=Horo8291[[#This Row],[Tâche]],Horo8291[[#This Row],[Durée]],"")</f>
        <v/>
      </c>
      <c r="N31" s="56" t="str">
        <f aca="false">IF("RI"=Horo8291[[#This Row],[Tâche]],Horo8291[[#This Row],[Durée]],"")</f>
        <v/>
      </c>
      <c r="O31" s="56" t="str">
        <f aca="false">IF("GB"=Horo8291[[#This Row],[Tâche]],Horo8291[[#This Row],[Durée]],"")</f>
        <v/>
      </c>
      <c r="P31" s="56" t="str">
        <f aca="false">IF("RD"=Horo8291[[#This Row],[Tâche]],Horo8291[[#This Row],[Durée]],"")</f>
        <v/>
      </c>
      <c r="Q31" s="56" t="n">
        <f aca="false">IF("FG"=Horo8291[[#This Row],[Tâche]],Horo8291[[#This Row],[Durée]],"")</f>
        <v>0.5</v>
      </c>
      <c r="R31" s="56" t="str">
        <f aca="false">IF("CONGÉ"=Horo8291[[#This Row],[Tâche]],Horo8291[[#This Row],[Durée]],"")</f>
        <v/>
      </c>
      <c r="S31" s="57" t="str">
        <f aca="false">IF("PS"=Horo8291[[#This Row],[Tâche]],Horo8291[[#This Row],[Durée]],"")</f>
        <v/>
      </c>
      <c r="T31" s="56" t="str">
        <f aca="false">IF("TD"=Horo8291[[#This Row],[Tâche]],Horo8291[[#This Row],[Durée]],"")</f>
        <v/>
      </c>
      <c r="U31" s="55" t="str">
        <f aca="false">IF("N/C"=Horo8291[[#This Row],[Tâche]],Horo8291[[#This Row],[Durée]],"")</f>
        <v/>
      </c>
      <c r="V31" s="58"/>
      <c r="W31" s="59" t="n">
        <f aca="false">IF(Horo8291[[#This Row],[O]]="o",Horo8291[[#This Row],[Durée]],".")</f>
        <v>0.5</v>
      </c>
      <c r="X31" s="60" t="n">
        <f aca="false">IF(Horo8291[[#This Row],[Début]]=0,"",Horo8291[[#This Row],[Fin]]-Horo8291[[#This Row],[Début]])</f>
        <v>0.0208333333333333</v>
      </c>
    </row>
    <row r="32" customFormat="false" ht="15" hidden="true" customHeight="false" outlineLevel="0" collapsed="false">
      <c r="A32" s="45" t="s">
        <v>31</v>
      </c>
      <c r="B32" s="111" t="n">
        <f aca="false">IF(Horo8291[[#This Row],[Jour]]="Lundi",$C$1+1, IF(Horo8291[[#This Row],[Jour]]="Mardi",$C$1+2, IF(Horo8291[[#This Row],[Jour]]="Mercredi",$C$1+3, IF(Horo8291[[#This Row],[Jour]]="Jeudi",$C$1+4, IF(Horo8291[[#This Row],[Jour]]="Vendredi",$C$1+5, IF(Horo8291[[#This Row],[Jour]]="Samedi",$C$1+6, IF(Horo8291[[#This Row],[Jour]]="Dimanche",$C$1, )))))))</f>
        <v>44358</v>
      </c>
      <c r="C32" s="47" t="s">
        <v>3</v>
      </c>
      <c r="D32" s="48" t="n">
        <v>0.583333333333333</v>
      </c>
      <c r="E32" s="48" t="n">
        <v>0.635416666666667</v>
      </c>
      <c r="F32" s="49" t="s">
        <v>32</v>
      </c>
      <c r="G32" s="49" t="s">
        <v>23</v>
      </c>
      <c r="H32" s="50" t="s">
        <v>111</v>
      </c>
      <c r="I32" s="61"/>
      <c r="J32" s="52" t="n">
        <f aca="false">IF(Horo8291[[#This Row],[Début]]=0,"",(Horo8291[[#This Row],[Durée (60)2]]-INT(Horo8291[[#This Row],[Durée (60)2]]))*24)</f>
        <v>1.25</v>
      </c>
      <c r="K32" s="62" t="n">
        <f aca="false">SUMIF(Horo8291[Jour],C32,Horo8291[Durée])</f>
        <v>8</v>
      </c>
      <c r="L32" s="54" t="n">
        <f aca="false">IFERROR(SUMIF(Horo8291[[#This Row],[Jour]],Horo8291[[#This Row],[Jour]],Horo8291[[#This Row],[GPF]]) / Horo8291[[#This Row],[hrs]],"")</f>
        <v>0</v>
      </c>
      <c r="M32" s="56" t="str">
        <f aca="false">IF("GPF"=Horo8291[[#This Row],[Tâche]],Horo8291[[#This Row],[Durée]],"")</f>
        <v/>
      </c>
      <c r="N32" s="56" t="str">
        <f aca="false">IF("RI"=Horo8291[[#This Row],[Tâche]],Horo8291[[#This Row],[Durée]],"")</f>
        <v/>
      </c>
      <c r="O32" s="56" t="str">
        <f aca="false">IF("GB"=Horo8291[[#This Row],[Tâche]],Horo8291[[#This Row],[Durée]],"")</f>
        <v/>
      </c>
      <c r="P32" s="56" t="str">
        <f aca="false">IF("RD"=Horo8291[[#This Row],[Tâche]],Horo8291[[#This Row],[Durée]],"")</f>
        <v/>
      </c>
      <c r="Q32" s="56" t="n">
        <f aca="false">IF("FG"=Horo8291[[#This Row],[Tâche]],Horo8291[[#This Row],[Durée]],"")</f>
        <v>1.25</v>
      </c>
      <c r="R32" s="56" t="str">
        <f aca="false">IF("CONGÉ"=Horo8291[[#This Row],[Tâche]],Horo8291[[#This Row],[Durée]],"")</f>
        <v/>
      </c>
      <c r="S32" s="57" t="str">
        <f aca="false">IF("PS"=Horo8291[[#This Row],[Tâche]],Horo8291[[#This Row],[Durée]],"")</f>
        <v/>
      </c>
      <c r="T32" s="56" t="str">
        <f aca="false">IF("TD"=Horo8291[[#This Row],[Tâche]],Horo8291[[#This Row],[Durée]],"")</f>
        <v/>
      </c>
      <c r="U32" s="55" t="str">
        <f aca="false">IF("N/C"=Horo8291[[#This Row],[Tâche]],Horo8291[[#This Row],[Durée]],"")</f>
        <v/>
      </c>
      <c r="V32" s="58"/>
      <c r="W32" s="59" t="n">
        <f aca="false">IF(Horo8291[[#This Row],[O]]="o",Horo8291[[#This Row],[Durée]],".")</f>
        <v>1.25</v>
      </c>
      <c r="X32" s="60" t="n">
        <f aca="false">IF(Horo8291[[#This Row],[Début]]=0,"",Horo8291[[#This Row],[Fin]]-Horo8291[[#This Row],[Début]])</f>
        <v>0.0520833333333333</v>
      </c>
    </row>
    <row r="33" customFormat="false" ht="15" hidden="true" customHeight="false" outlineLevel="0" collapsed="false">
      <c r="A33" s="45" t="s">
        <v>31</v>
      </c>
      <c r="B33" s="46" t="n">
        <f aca="false">IF(Horo8291[[#This Row],[Jour]]="Lundi",$C$1+1, IF(Horo8291[[#This Row],[Jour]]="Mardi",$C$1+2, IF(Horo8291[[#This Row],[Jour]]="Mercredi",$C$1+3, IF(Horo8291[[#This Row],[Jour]]="Jeudi",$C$1+4, IF(Horo8291[[#This Row],[Jour]]="Vendredi",$C$1+5, IF(Horo8291[[#This Row],[Jour]]="Samedi",$C$1+6, IF(Horo8291[[#This Row],[Jour]]="Dimanche",$C$1, )))))))</f>
        <v>44358</v>
      </c>
      <c r="C33" s="47" t="s">
        <v>3</v>
      </c>
      <c r="D33" s="48" t="n">
        <v>0.635416666666667</v>
      </c>
      <c r="E33" s="48" t="n">
        <v>0.6875</v>
      </c>
      <c r="F33" s="49" t="s">
        <v>59</v>
      </c>
      <c r="G33" s="49" t="s">
        <v>23</v>
      </c>
      <c r="H33" s="50" t="s">
        <v>48</v>
      </c>
      <c r="I33" s="61" t="s">
        <v>245</v>
      </c>
      <c r="J33" s="52" t="n">
        <f aca="false">IF(Horo8291[[#This Row],[Début]]=0,"",(Horo8291[[#This Row],[Durée (60)2]]-INT(Horo8291[[#This Row],[Durée (60)2]]))*24)</f>
        <v>1.25</v>
      </c>
      <c r="K33" s="62" t="n">
        <f aca="false">SUMIF(Horo8291[Jour],C33,Horo8291[Durée])</f>
        <v>8</v>
      </c>
      <c r="L33" s="54" t="n">
        <f aca="false">IFERROR(SUMIF(Horo8291[[#This Row],[Jour]],Horo8291[[#This Row],[Jour]],Horo8291[[#This Row],[GPF]]) / Horo8291[[#This Row],[hrs]],"")</f>
        <v>0</v>
      </c>
      <c r="M33" s="56" t="str">
        <f aca="false">IF("GPF"=Horo8291[[#This Row],[Tâche]],Horo8291[[#This Row],[Durée]],"")</f>
        <v/>
      </c>
      <c r="N33" s="56" t="str">
        <f aca="false">IF("RI"=Horo8291[[#This Row],[Tâche]],Horo8291[[#This Row],[Durée]],"")</f>
        <v/>
      </c>
      <c r="O33" s="56" t="str">
        <f aca="false">IF("GB"=Horo8291[[#This Row],[Tâche]],Horo8291[[#This Row],[Durée]],"")</f>
        <v/>
      </c>
      <c r="P33" s="56" t="str">
        <f aca="false">IF("RD"=Horo8291[[#This Row],[Tâche]],Horo8291[[#This Row],[Durée]],"")</f>
        <v/>
      </c>
      <c r="Q33" s="56" t="n">
        <f aca="false">IF("FG"=Horo8291[[#This Row],[Tâche]],Horo8291[[#This Row],[Durée]],"")</f>
        <v>1.25</v>
      </c>
      <c r="R33" s="56" t="str">
        <f aca="false">IF("CONGÉ"=Horo8291[[#This Row],[Tâche]],Horo8291[[#This Row],[Durée]],"")</f>
        <v/>
      </c>
      <c r="S33" s="57" t="str">
        <f aca="false">IF("PS"=Horo8291[[#This Row],[Tâche]],Horo8291[[#This Row],[Durée]],"")</f>
        <v/>
      </c>
      <c r="T33" s="56" t="str">
        <f aca="false">IF("TD"=Horo8291[[#This Row],[Tâche]],Horo8291[[#This Row],[Durée]],"")</f>
        <v/>
      </c>
      <c r="U33" s="55" t="str">
        <f aca="false">IF("N/C"=Horo8291[[#This Row],[Tâche]],Horo8291[[#This Row],[Durée]],"")</f>
        <v/>
      </c>
      <c r="V33" s="58"/>
      <c r="W33" s="59" t="n">
        <f aca="false">IF(Horo8291[[#This Row],[O]]="o",Horo8291[[#This Row],[Durée]],".")</f>
        <v>1.25</v>
      </c>
      <c r="X33" s="60" t="n">
        <f aca="false">IF(Horo8291[[#This Row],[Début]]=0,"",Horo8291[[#This Row],[Fin]]-Horo8291[[#This Row],[Début]])</f>
        <v>0.0520833333333334</v>
      </c>
    </row>
    <row r="34" customFormat="false" ht="15" hidden="true" customHeight="false" outlineLevel="0" collapsed="false">
      <c r="A34" s="45" t="s">
        <v>31</v>
      </c>
      <c r="B34" s="111" t="n">
        <f aca="false">IF(Horo8291[[#This Row],[Jour]]="Lundi",$C$1+1, IF(Horo8291[[#This Row],[Jour]]="Mardi",$C$1+2, IF(Horo8291[[#This Row],[Jour]]="Mercredi",$C$1+3, IF(Horo8291[[#This Row],[Jour]]="Jeudi",$C$1+4, IF(Horo8291[[#This Row],[Jour]]="Vendredi",$C$1+5, IF(Horo8291[[#This Row],[Jour]]="Samedi",$C$1+6, IF(Horo8291[[#This Row],[Jour]]="Dimanche",$C$1, )))))))</f>
        <v>44358</v>
      </c>
      <c r="C34" s="47" t="s">
        <v>3</v>
      </c>
      <c r="D34" s="48" t="n">
        <v>0.6875</v>
      </c>
      <c r="E34" s="48" t="n">
        <v>0.729166666666667</v>
      </c>
      <c r="F34" s="49" t="s">
        <v>59</v>
      </c>
      <c r="G34" s="49" t="s">
        <v>19</v>
      </c>
      <c r="H34" s="50" t="s">
        <v>48</v>
      </c>
      <c r="I34" s="61" t="s">
        <v>245</v>
      </c>
      <c r="J34" s="52" t="n">
        <f aca="false">IF(Horo8291[[#This Row],[Début]]=0,"",(Horo8291[[#This Row],[Durée (60)2]]-INT(Horo8291[[#This Row],[Durée (60)2]]))*24)</f>
        <v>0.999999999999999</v>
      </c>
      <c r="K34" s="62" t="n">
        <f aca="false">SUMIF(Horo8291[Jour],C34,Horo8291[Durée])</f>
        <v>8</v>
      </c>
      <c r="L34" s="54" t="n">
        <f aca="false">IFERROR(SUMIF(Horo8291[[#This Row],[Jour]],Horo8291[[#This Row],[Jour]],Horo8291[[#This Row],[GPF]]) / Horo8291[[#This Row],[hrs]],"")</f>
        <v>0.125</v>
      </c>
      <c r="M34" s="56" t="n">
        <f aca="false">IF("GPF"=Horo8291[[#This Row],[Tâche]],Horo8291[[#This Row],[Durée]],"")</f>
        <v>0.999999999999999</v>
      </c>
      <c r="N34" s="56" t="str">
        <f aca="false">IF("RI"=Horo8291[[#This Row],[Tâche]],Horo8291[[#This Row],[Durée]],"")</f>
        <v/>
      </c>
      <c r="O34" s="56" t="str">
        <f aca="false">IF("GB"=Horo8291[[#This Row],[Tâche]],Horo8291[[#This Row],[Durée]],"")</f>
        <v/>
      </c>
      <c r="P34" s="56" t="str">
        <f aca="false">IF("RD"=Horo8291[[#This Row],[Tâche]],Horo8291[[#This Row],[Durée]],"")</f>
        <v/>
      </c>
      <c r="Q34" s="56" t="str">
        <f aca="false">IF("FG"=Horo8291[[#This Row],[Tâche]],Horo8291[[#This Row],[Durée]],"")</f>
        <v/>
      </c>
      <c r="R34" s="56" t="str">
        <f aca="false">IF("CONGÉ"=Horo8291[[#This Row],[Tâche]],Horo8291[[#This Row],[Durée]],"")</f>
        <v/>
      </c>
      <c r="S34" s="57" t="str">
        <f aca="false">IF("PS"=Horo8291[[#This Row],[Tâche]],Horo8291[[#This Row],[Durée]],"")</f>
        <v/>
      </c>
      <c r="T34" s="56" t="str">
        <f aca="false">IF("TD"=Horo8291[[#This Row],[Tâche]],Horo8291[[#This Row],[Durée]],"")</f>
        <v/>
      </c>
      <c r="U34" s="55" t="str">
        <f aca="false">IF("N/C"=Horo8291[[#This Row],[Tâche]],Horo8291[[#This Row],[Durée]],"")</f>
        <v/>
      </c>
      <c r="V34" s="58"/>
      <c r="W34" s="59" t="n">
        <f aca="false">IF(Horo8291[[#This Row],[O]]="o",Horo8291[[#This Row],[Durée]],".")</f>
        <v>0.999999999999999</v>
      </c>
      <c r="X34" s="60" t="n">
        <f aca="false">IF(Horo8291[[#This Row],[Début]]=0,"",Horo8291[[#This Row],[Fin]]-Horo8291[[#This Row],[Début]])</f>
        <v>0.0416666666666666</v>
      </c>
    </row>
    <row r="35" customFormat="false" ht="15" hidden="true" customHeight="false" outlineLevel="0" collapsed="false">
      <c r="A35" s="45" t="s">
        <v>31</v>
      </c>
      <c r="B35" s="111" t="n">
        <f aca="false">IF(Horo8291[[#This Row],[Jour]]="Lundi",$C$1+1, IF(Horo8291[[#This Row],[Jour]]="Mardi",$C$1+2, IF(Horo8291[[#This Row],[Jour]]="Mercredi",$C$1+3, IF(Horo8291[[#This Row],[Jour]]="Jeudi",$C$1+4, IF(Horo8291[[#This Row],[Jour]]="Vendredi",$C$1+5, IF(Horo8291[[#This Row],[Jour]]="Samedi",$C$1+6, IF(Horo8291[[#This Row],[Jour]]="Dimanche",$C$1, )))))))</f>
        <v>44358</v>
      </c>
      <c r="C35" s="47" t="s">
        <v>3</v>
      </c>
      <c r="D35" s="48" t="n">
        <v>0.729166666666667</v>
      </c>
      <c r="E35" s="48" t="n">
        <v>0.75</v>
      </c>
      <c r="F35" s="49" t="s">
        <v>32</v>
      </c>
      <c r="G35" s="49" t="s">
        <v>23</v>
      </c>
      <c r="H35" s="50" t="s">
        <v>111</v>
      </c>
      <c r="I35" s="61"/>
      <c r="J35" s="52" t="n">
        <f aca="false">IF(Horo8291[[#This Row],[Début]]=0,"",(Horo8291[[#This Row],[Durée (60)2]]-INT(Horo8291[[#This Row],[Durée (60)2]]))*24)</f>
        <v>0.500000000000001</v>
      </c>
      <c r="K35" s="62" t="n">
        <f aca="false">SUMIF(Horo8291[Jour],C35,Horo8291[Durée])</f>
        <v>8</v>
      </c>
      <c r="L35" s="54" t="n">
        <f aca="false">IFERROR(SUMIF(Horo8291[[#This Row],[Jour]],Horo8291[[#This Row],[Jour]],Horo8291[[#This Row],[GPF]]) / Horo8291[[#This Row],[hrs]],"")</f>
        <v>0</v>
      </c>
      <c r="M35" s="56" t="str">
        <f aca="false">IF("GPF"=Horo8291[[#This Row],[Tâche]],Horo8291[[#This Row],[Durée]],"")</f>
        <v/>
      </c>
      <c r="N35" s="56" t="str">
        <f aca="false">IF("RI"=Horo8291[[#This Row],[Tâche]],Horo8291[[#This Row],[Durée]],"")</f>
        <v/>
      </c>
      <c r="O35" s="56" t="str">
        <f aca="false">IF("GB"=Horo8291[[#This Row],[Tâche]],Horo8291[[#This Row],[Durée]],"")</f>
        <v/>
      </c>
      <c r="P35" s="56" t="str">
        <f aca="false">IF("RD"=Horo8291[[#This Row],[Tâche]],Horo8291[[#This Row],[Durée]],"")</f>
        <v/>
      </c>
      <c r="Q35" s="56" t="n">
        <f aca="false">IF("FG"=Horo8291[[#This Row],[Tâche]],Horo8291[[#This Row],[Durée]],"")</f>
        <v>0.500000000000001</v>
      </c>
      <c r="R35" s="56" t="str">
        <f aca="false">IF("CONGÉ"=Horo8291[[#This Row],[Tâche]],Horo8291[[#This Row],[Durée]],"")</f>
        <v/>
      </c>
      <c r="S35" s="57" t="str">
        <f aca="false">IF("PS"=Horo8291[[#This Row],[Tâche]],Horo8291[[#This Row],[Durée]],"")</f>
        <v/>
      </c>
      <c r="T35" s="56" t="str">
        <f aca="false">IF("TD"=Horo8291[[#This Row],[Tâche]],Horo8291[[#This Row],[Durée]],"")</f>
        <v/>
      </c>
      <c r="U35" s="55" t="str">
        <f aca="false">IF("N/C"=Horo8291[[#This Row],[Tâche]],Horo8291[[#This Row],[Durée]],"")</f>
        <v/>
      </c>
      <c r="V35" s="58"/>
      <c r="W35" s="59" t="n">
        <f aca="false">IF(Horo8291[[#This Row],[O]]="o",Horo8291[[#This Row],[Durée]],".")</f>
        <v>0.500000000000001</v>
      </c>
      <c r="X35" s="60" t="n">
        <f aca="false">IF(Horo8291[[#This Row],[Début]]=0,"",Horo8291[[#This Row],[Fin]]-Horo8291[[#This Row],[Début]])</f>
        <v>0.0208333333333334</v>
      </c>
    </row>
    <row r="36" customFormat="false" ht="15" hidden="true" customHeight="false" outlineLevel="0" collapsed="false">
      <c r="A36" s="45" t="s">
        <v>31</v>
      </c>
      <c r="B36" s="111" t="n">
        <f aca="false">IF(Horo8291[[#This Row],[Jour]]="Lundi",$C$1+1, IF(Horo8291[[#This Row],[Jour]]="Mardi",$C$1+2, IF(Horo8291[[#This Row],[Jour]]="Mercredi",$C$1+3, IF(Horo8291[[#This Row],[Jour]]="Jeudi",$C$1+4, IF(Horo8291[[#This Row],[Jour]]="Vendredi",$C$1+5, IF(Horo8291[[#This Row],[Jour]]="Samedi",$C$1+6, IF(Horo8291[[#This Row],[Jour]]="Dimanche",$C$1, )))))))</f>
        <v>44359</v>
      </c>
      <c r="C36" s="47" t="s">
        <v>4</v>
      </c>
      <c r="D36" s="48" t="n">
        <v>0.333333333333333</v>
      </c>
      <c r="E36" s="48" t="n">
        <v>0.354166666666667</v>
      </c>
      <c r="F36" s="49" t="s">
        <v>32</v>
      </c>
      <c r="G36" s="49" t="s">
        <v>23</v>
      </c>
      <c r="H36" s="50" t="s">
        <v>111</v>
      </c>
      <c r="I36" s="61"/>
      <c r="J36" s="52" t="n">
        <f aca="false">IF(Horo8291[[#This Row],[Début]]=0,"",(Horo8291[[#This Row],[Durée (60)2]]-INT(Horo8291[[#This Row],[Durée (60)2]]))*24)</f>
        <v>0.500000000000001</v>
      </c>
      <c r="K36" s="62" t="n">
        <f aca="false">SUMIF(Horo8291[Jour],C36,Horo8291[Durée])</f>
        <v>7</v>
      </c>
      <c r="L36" s="54" t="n">
        <f aca="false">IFERROR(SUMIF(Horo8291[[#This Row],[Jour]],Horo8291[[#This Row],[Jour]],Horo8291[[#This Row],[GPF]]) / Horo8291[[#This Row],[hrs]],"")</f>
        <v>0</v>
      </c>
      <c r="M36" s="56" t="str">
        <f aca="false">IF("GPF"=Horo8291[[#This Row],[Tâche]],Horo8291[[#This Row],[Durée]],"")</f>
        <v/>
      </c>
      <c r="N36" s="56" t="str">
        <f aca="false">IF("RI"=Horo8291[[#This Row],[Tâche]],Horo8291[[#This Row],[Durée]],"")</f>
        <v/>
      </c>
      <c r="O36" s="56" t="str">
        <f aca="false">IF("GB"=Horo8291[[#This Row],[Tâche]],Horo8291[[#This Row],[Durée]],"")</f>
        <v/>
      </c>
      <c r="P36" s="56" t="str">
        <f aca="false">IF("RD"=Horo8291[[#This Row],[Tâche]],Horo8291[[#This Row],[Durée]],"")</f>
        <v/>
      </c>
      <c r="Q36" s="56" t="n">
        <f aca="false">IF("FG"=Horo8291[[#This Row],[Tâche]],Horo8291[[#This Row],[Durée]],"")</f>
        <v>0.500000000000001</v>
      </c>
      <c r="R36" s="56" t="str">
        <f aca="false">IF("CONGÉ"=Horo8291[[#This Row],[Tâche]],Horo8291[[#This Row],[Durée]],"")</f>
        <v/>
      </c>
      <c r="S36" s="57" t="str">
        <f aca="false">IF("PS"=Horo8291[[#This Row],[Tâche]],Horo8291[[#This Row],[Durée]],"")</f>
        <v/>
      </c>
      <c r="T36" s="56" t="str">
        <f aca="false">IF("TD"=Horo8291[[#This Row],[Tâche]],Horo8291[[#This Row],[Durée]],"")</f>
        <v/>
      </c>
      <c r="U36" s="55" t="str">
        <f aca="false">IF("N/C"=Horo8291[[#This Row],[Tâche]],Horo8291[[#This Row],[Durée]],"")</f>
        <v/>
      </c>
      <c r="V36" s="58"/>
      <c r="W36" s="59" t="n">
        <f aca="false">IF(Horo8291[[#This Row],[O]]="o",Horo8291[[#This Row],[Durée]],".")</f>
        <v>0.500000000000001</v>
      </c>
      <c r="X36" s="60" t="n">
        <f aca="false">IF(Horo8291[[#This Row],[Début]]=0,"",Horo8291[[#This Row],[Fin]]-Horo8291[[#This Row],[Début]])</f>
        <v>0.0208333333333334</v>
      </c>
    </row>
    <row r="37" customFormat="false" ht="15" hidden="true" customHeight="false" outlineLevel="0" collapsed="false">
      <c r="A37" s="45" t="s">
        <v>31</v>
      </c>
      <c r="B37" s="111" t="n">
        <f aca="false">IF(Horo8291[[#This Row],[Jour]]="Lundi",$C$1+1, IF(Horo8291[[#This Row],[Jour]]="Mardi",$C$1+2, IF(Horo8291[[#This Row],[Jour]]="Mercredi",$C$1+3, IF(Horo8291[[#This Row],[Jour]]="Jeudi",$C$1+4, IF(Horo8291[[#This Row],[Jour]]="Vendredi",$C$1+5, IF(Horo8291[[#This Row],[Jour]]="Samedi",$C$1+6, IF(Horo8291[[#This Row],[Jour]]="Dimanche",$C$1, )))))))</f>
        <v>44359</v>
      </c>
      <c r="C37" s="47" t="s">
        <v>4</v>
      </c>
      <c r="D37" s="48" t="n">
        <v>0.34375</v>
      </c>
      <c r="E37" s="48" t="n">
        <v>0.354166666666667</v>
      </c>
      <c r="F37" s="49" t="s">
        <v>61</v>
      </c>
      <c r="G37" s="49" t="s">
        <v>19</v>
      </c>
      <c r="H37" s="50" t="s">
        <v>42</v>
      </c>
      <c r="I37" s="61" t="s">
        <v>246</v>
      </c>
      <c r="J37" s="52" t="n">
        <f aca="false">IF(Horo8291[[#This Row],[Début]]=0,"",(Horo8291[[#This Row],[Durée (60)2]]-INT(Horo8291[[#This Row],[Durée (60)2]]))*24)</f>
        <v>0.25</v>
      </c>
      <c r="K37" s="62" t="n">
        <f aca="false">SUMIF(Horo8291[Jour],C37,Horo8291[Durée])</f>
        <v>7</v>
      </c>
      <c r="L37" s="54" t="n">
        <f aca="false">IFERROR(SUMIF(Horo8291[[#This Row],[Jour]],Horo8291[[#This Row],[Jour]],Horo8291[[#This Row],[GPF]]) / Horo8291[[#This Row],[hrs]],"")</f>
        <v>0.0357142857142858</v>
      </c>
      <c r="M37" s="56" t="n">
        <f aca="false">IF("GPF"=Horo8291[[#This Row],[Tâche]],Horo8291[[#This Row],[Durée]],"")</f>
        <v>0.25</v>
      </c>
      <c r="N37" s="56" t="str">
        <f aca="false">IF("RI"=Horo8291[[#This Row],[Tâche]],Horo8291[[#This Row],[Durée]],"")</f>
        <v/>
      </c>
      <c r="O37" s="56" t="str">
        <f aca="false">IF("GB"=Horo8291[[#This Row],[Tâche]],Horo8291[[#This Row],[Durée]],"")</f>
        <v/>
      </c>
      <c r="P37" s="56" t="str">
        <f aca="false">IF("RD"=Horo8291[[#This Row],[Tâche]],Horo8291[[#This Row],[Durée]],"")</f>
        <v/>
      </c>
      <c r="Q37" s="56" t="str">
        <f aca="false">IF("FG"=Horo8291[[#This Row],[Tâche]],Horo8291[[#This Row],[Durée]],"")</f>
        <v/>
      </c>
      <c r="R37" s="56" t="str">
        <f aca="false">IF("CONGÉ"=Horo8291[[#This Row],[Tâche]],Horo8291[[#This Row],[Durée]],"")</f>
        <v/>
      </c>
      <c r="S37" s="57" t="str">
        <f aca="false">IF("PS"=Horo8291[[#This Row],[Tâche]],Horo8291[[#This Row],[Durée]],"")</f>
        <v/>
      </c>
      <c r="T37" s="56" t="str">
        <f aca="false">IF("TD"=Horo8291[[#This Row],[Tâche]],Horo8291[[#This Row],[Durée]],"")</f>
        <v/>
      </c>
      <c r="U37" s="55" t="str">
        <f aca="false">IF("N/C"=Horo8291[[#This Row],[Tâche]],Horo8291[[#This Row],[Durée]],"")</f>
        <v/>
      </c>
      <c r="V37" s="58"/>
      <c r="W37" s="59" t="n">
        <f aca="false">IF(Horo8291[[#This Row],[O]]="o",Horo8291[[#This Row],[Durée]],".")</f>
        <v>0.25</v>
      </c>
      <c r="X37" s="60" t="n">
        <f aca="false">IF(Horo8291[[#This Row],[Début]]=0,"",Horo8291[[#This Row],[Fin]]-Horo8291[[#This Row],[Début]])</f>
        <v>0.0104166666666667</v>
      </c>
    </row>
    <row r="38" customFormat="false" ht="15" hidden="true" customHeight="false" outlineLevel="0" collapsed="false">
      <c r="A38" s="45" t="s">
        <v>31</v>
      </c>
      <c r="B38" s="111" t="n">
        <f aca="false">IF(Horo8291[[#This Row],[Jour]]="Lundi",$C$1+1, IF(Horo8291[[#This Row],[Jour]]="Mardi",$C$1+2, IF(Horo8291[[#This Row],[Jour]]="Mercredi",$C$1+3, IF(Horo8291[[#This Row],[Jour]]="Jeudi",$C$1+4, IF(Horo8291[[#This Row],[Jour]]="Vendredi",$C$1+5, IF(Horo8291[[#This Row],[Jour]]="Samedi",$C$1+6, IF(Horo8291[[#This Row],[Jour]]="Dimanche",$C$1, )))))))</f>
        <v>44359</v>
      </c>
      <c r="C38" s="47" t="s">
        <v>4</v>
      </c>
      <c r="D38" s="48" t="n">
        <v>0.354166666666667</v>
      </c>
      <c r="E38" s="48" t="n">
        <v>0.375</v>
      </c>
      <c r="F38" s="49" t="s">
        <v>75</v>
      </c>
      <c r="G38" s="49" t="s">
        <v>19</v>
      </c>
      <c r="H38" s="50" t="s">
        <v>55</v>
      </c>
      <c r="I38" s="61"/>
      <c r="J38" s="52" t="n">
        <f aca="false">IF(Horo8291[[#This Row],[Début]]=0,"",(Horo8291[[#This Row],[Durée (60)2]]-INT(Horo8291[[#This Row],[Durée (60)2]]))*24)</f>
        <v>0.5</v>
      </c>
      <c r="K38" s="62" t="n">
        <f aca="false">SUMIF(Horo8291[Jour],C38,Horo8291[Durée])</f>
        <v>7</v>
      </c>
      <c r="L38" s="54" t="n">
        <f aca="false">IFERROR(SUMIF(Horo8291[[#This Row],[Jour]],Horo8291[[#This Row],[Jour]],Horo8291[[#This Row],[GPF]]) / Horo8291[[#This Row],[hrs]],"")</f>
        <v>0.0714285714285714</v>
      </c>
      <c r="M38" s="56" t="n">
        <f aca="false">IF("GPF"=Horo8291[[#This Row],[Tâche]],Horo8291[[#This Row],[Durée]],"")</f>
        <v>0.5</v>
      </c>
      <c r="N38" s="56" t="str">
        <f aca="false">IF("RI"=Horo8291[[#This Row],[Tâche]],Horo8291[[#This Row],[Durée]],"")</f>
        <v/>
      </c>
      <c r="O38" s="56" t="str">
        <f aca="false">IF("GB"=Horo8291[[#This Row],[Tâche]],Horo8291[[#This Row],[Durée]],"")</f>
        <v/>
      </c>
      <c r="P38" s="56" t="str">
        <f aca="false">IF("RD"=Horo8291[[#This Row],[Tâche]],Horo8291[[#This Row],[Durée]],"")</f>
        <v/>
      </c>
      <c r="Q38" s="56" t="str">
        <f aca="false">IF("FG"=Horo8291[[#This Row],[Tâche]],Horo8291[[#This Row],[Durée]],"")</f>
        <v/>
      </c>
      <c r="R38" s="56" t="str">
        <f aca="false">IF("CONGÉ"=Horo8291[[#This Row],[Tâche]],Horo8291[[#This Row],[Durée]],"")</f>
        <v/>
      </c>
      <c r="S38" s="57" t="str">
        <f aca="false">IF("PS"=Horo8291[[#This Row],[Tâche]],Horo8291[[#This Row],[Durée]],"")</f>
        <v/>
      </c>
      <c r="T38" s="56" t="str">
        <f aca="false">IF("TD"=Horo8291[[#This Row],[Tâche]],Horo8291[[#This Row],[Durée]],"")</f>
        <v/>
      </c>
      <c r="U38" s="55" t="str">
        <f aca="false">IF("N/C"=Horo8291[[#This Row],[Tâche]],Horo8291[[#This Row],[Durée]],"")</f>
        <v/>
      </c>
      <c r="V38" s="58"/>
      <c r="W38" s="59" t="n">
        <f aca="false">IF(Horo8291[[#This Row],[O]]="o",Horo8291[[#This Row],[Durée]],".")</f>
        <v>0.5</v>
      </c>
      <c r="X38" s="60" t="n">
        <f aca="false">IF(Horo8291[[#This Row],[Début]]=0,"",Horo8291[[#This Row],[Fin]]-Horo8291[[#This Row],[Début]])</f>
        <v>0.0208333333333333</v>
      </c>
    </row>
    <row r="39" customFormat="false" ht="15" hidden="true" customHeight="false" outlineLevel="0" collapsed="false">
      <c r="A39" s="45" t="s">
        <v>31</v>
      </c>
      <c r="B39" s="111" t="n">
        <f aca="false">IF(Horo8291[[#This Row],[Jour]]="Lundi",$C$1+1, IF(Horo8291[[#This Row],[Jour]]="Mardi",$C$1+2, IF(Horo8291[[#This Row],[Jour]]="Mercredi",$C$1+3, IF(Horo8291[[#This Row],[Jour]]="Jeudi",$C$1+4, IF(Horo8291[[#This Row],[Jour]]="Vendredi",$C$1+5, IF(Horo8291[[#This Row],[Jour]]="Samedi",$C$1+6, IF(Horo8291[[#This Row],[Jour]]="Dimanche",$C$1, )))))))</f>
        <v>44359</v>
      </c>
      <c r="C39" s="47" t="s">
        <v>4</v>
      </c>
      <c r="D39" s="48" t="n">
        <v>0.375</v>
      </c>
      <c r="E39" s="48" t="n">
        <v>0.395833333333333</v>
      </c>
      <c r="F39" s="49" t="s">
        <v>59</v>
      </c>
      <c r="G39" s="49" t="s">
        <v>19</v>
      </c>
      <c r="H39" s="50" t="s">
        <v>55</v>
      </c>
      <c r="I39" s="61"/>
      <c r="J39" s="52" t="n">
        <f aca="false">IF(Horo8291[[#This Row],[Début]]=0,"",(Horo8291[[#This Row],[Durée (60)2]]-INT(Horo8291[[#This Row],[Durée (60)2]]))*24)</f>
        <v>0.5</v>
      </c>
      <c r="K39" s="62" t="n">
        <f aca="false">SUMIF(Horo8291[Jour],C39,Horo8291[Durée])</f>
        <v>7</v>
      </c>
      <c r="L39" s="54" t="n">
        <f aca="false">IFERROR(SUMIF(Horo8291[[#This Row],[Jour]],Horo8291[[#This Row],[Jour]],Horo8291[[#This Row],[GPF]]) / Horo8291[[#This Row],[hrs]],"")</f>
        <v>0.0714285714285714</v>
      </c>
      <c r="M39" s="56" t="n">
        <f aca="false">IF("GPF"=Horo8291[[#This Row],[Tâche]],Horo8291[[#This Row],[Durée]],"")</f>
        <v>0.5</v>
      </c>
      <c r="N39" s="56" t="str">
        <f aca="false">IF("RI"=Horo8291[[#This Row],[Tâche]],Horo8291[[#This Row],[Durée]],"")</f>
        <v/>
      </c>
      <c r="O39" s="56" t="str">
        <f aca="false">IF("GB"=Horo8291[[#This Row],[Tâche]],Horo8291[[#This Row],[Durée]],"")</f>
        <v/>
      </c>
      <c r="P39" s="56" t="str">
        <f aca="false">IF("RD"=Horo8291[[#This Row],[Tâche]],Horo8291[[#This Row],[Durée]],"")</f>
        <v/>
      </c>
      <c r="Q39" s="56" t="str">
        <f aca="false">IF("FG"=Horo8291[[#This Row],[Tâche]],Horo8291[[#This Row],[Durée]],"")</f>
        <v/>
      </c>
      <c r="R39" s="56" t="str">
        <f aca="false">IF("CONGÉ"=Horo8291[[#This Row],[Tâche]],Horo8291[[#This Row],[Durée]],"")</f>
        <v/>
      </c>
      <c r="S39" s="57" t="str">
        <f aca="false">IF("PS"=Horo8291[[#This Row],[Tâche]],Horo8291[[#This Row],[Durée]],"")</f>
        <v/>
      </c>
      <c r="T39" s="56" t="str">
        <f aca="false">IF("TD"=Horo8291[[#This Row],[Tâche]],Horo8291[[#This Row],[Durée]],"")</f>
        <v/>
      </c>
      <c r="U39" s="55" t="str">
        <f aca="false">IF("N/C"=Horo8291[[#This Row],[Tâche]],Horo8291[[#This Row],[Durée]],"")</f>
        <v/>
      </c>
      <c r="V39" s="58"/>
      <c r="W39" s="59" t="n">
        <f aca="false">IF(Horo8291[[#This Row],[O]]="o",Horo8291[[#This Row],[Durée]],".")</f>
        <v>0.5</v>
      </c>
      <c r="X39" s="60" t="n">
        <f aca="false">IF(Horo8291[[#This Row],[Début]]=0,"",Horo8291[[#This Row],[Fin]]-Horo8291[[#This Row],[Début]])</f>
        <v>0.0208333333333333</v>
      </c>
    </row>
    <row r="40" customFormat="false" ht="15" hidden="true" customHeight="false" outlineLevel="0" collapsed="false">
      <c r="A40" s="45" t="s">
        <v>31</v>
      </c>
      <c r="B40" s="111" t="n">
        <f aca="false">IF(Horo8291[[#This Row],[Jour]]="Lundi",$C$1+1, IF(Horo8291[[#This Row],[Jour]]="Mardi",$C$1+2, IF(Horo8291[[#This Row],[Jour]]="Mercredi",$C$1+3, IF(Horo8291[[#This Row],[Jour]]="Jeudi",$C$1+4, IF(Horo8291[[#This Row],[Jour]]="Vendredi",$C$1+5, IF(Horo8291[[#This Row],[Jour]]="Samedi",$C$1+6, IF(Horo8291[[#This Row],[Jour]]="Dimanche",$C$1, )))))))</f>
        <v>44359</v>
      </c>
      <c r="C40" s="47" t="s">
        <v>4</v>
      </c>
      <c r="D40" s="48" t="n">
        <v>0.395833333333333</v>
      </c>
      <c r="E40" s="48" t="n">
        <v>0.447916666666667</v>
      </c>
      <c r="F40" s="49" t="s">
        <v>59</v>
      </c>
      <c r="G40" s="49" t="s">
        <v>22</v>
      </c>
      <c r="H40" s="50" t="s">
        <v>201</v>
      </c>
      <c r="I40" s="61"/>
      <c r="J40" s="52" t="n">
        <f aca="false">IF(Horo8291[[#This Row],[Début]]=0,"",(Horo8291[[#This Row],[Durée (60)2]]-INT(Horo8291[[#This Row],[Durée (60)2]]))*24)</f>
        <v>1.25</v>
      </c>
      <c r="K40" s="53" t="n">
        <f aca="false">SUMIF(Horo8291[Jour],C40,Horo8291[Durée])</f>
        <v>7</v>
      </c>
      <c r="L40" s="54" t="n">
        <f aca="false">IFERROR(SUMIF(Horo8291[[#This Row],[Jour]],Horo8291[[#This Row],[Jour]],Horo8291[[#This Row],[GPF]]) / Horo8291[[#This Row],[hrs]],"")</f>
        <v>0</v>
      </c>
      <c r="M40" s="55" t="str">
        <f aca="false">IF("GPF"=Horo8291[[#This Row],[Tâche]],Horo8291[[#This Row],[Durée]],"")</f>
        <v/>
      </c>
      <c r="N40" s="56" t="str">
        <f aca="false">IF("RI"=Horo8291[[#This Row],[Tâche]],Horo8291[[#This Row],[Durée]],"")</f>
        <v/>
      </c>
      <c r="O40" s="56" t="str">
        <f aca="false">IF("GB"=Horo8291[[#This Row],[Tâche]],Horo8291[[#This Row],[Durée]],"")</f>
        <v/>
      </c>
      <c r="P40" s="56" t="n">
        <f aca="false">IF("RD"=Horo8291[[#This Row],[Tâche]],Horo8291[[#This Row],[Durée]],"")</f>
        <v>1.25</v>
      </c>
      <c r="Q40" s="56" t="str">
        <f aca="false">IF("FG"=Horo8291[[#This Row],[Tâche]],Horo8291[[#This Row],[Durée]],"")</f>
        <v/>
      </c>
      <c r="R40" s="56" t="str">
        <f aca="false">IF("CONGÉ"=Horo8291[[#This Row],[Tâche]],Horo8291[[#This Row],[Durée]],"")</f>
        <v/>
      </c>
      <c r="S40" s="57" t="str">
        <f aca="false">IF("PS"=Horo8291[[#This Row],[Tâche]],Horo8291[[#This Row],[Durée]],"")</f>
        <v/>
      </c>
      <c r="T40" s="56" t="str">
        <f aca="false">IF("TD"=Horo8291[[#This Row],[Tâche]],Horo8291[[#This Row],[Durée]],"")</f>
        <v/>
      </c>
      <c r="U40" s="55" t="str">
        <f aca="false">IF("N/C"=Horo8291[[#This Row],[Tâche]],Horo8291[[#This Row],[Durée]],"")</f>
        <v/>
      </c>
      <c r="V40" s="58"/>
      <c r="W40" s="59" t="n">
        <f aca="false">IF(Horo8291[[#This Row],[O]]="o",Horo8291[[#This Row],[Durée]],".")</f>
        <v>1.25</v>
      </c>
      <c r="X40" s="60" t="n">
        <f aca="false">IF(Horo8291[[#This Row],[Début]]=0,"",Horo8291[[#This Row],[Fin]]-Horo8291[[#This Row],[Début]])</f>
        <v>0.0520833333333334</v>
      </c>
    </row>
    <row r="41" customFormat="false" ht="15" hidden="true" customHeight="false" outlineLevel="0" collapsed="false">
      <c r="A41" s="45" t="s">
        <v>31</v>
      </c>
      <c r="B41" s="111" t="n">
        <f aca="false">IF(Horo8291[[#This Row],[Jour]]="Lundi",$C$1+1, IF(Horo8291[[#This Row],[Jour]]="Mardi",$C$1+2, IF(Horo8291[[#This Row],[Jour]]="Mercredi",$C$1+3, IF(Horo8291[[#This Row],[Jour]]="Jeudi",$C$1+4, IF(Horo8291[[#This Row],[Jour]]="Vendredi",$C$1+5, IF(Horo8291[[#This Row],[Jour]]="Samedi",$C$1+6, IF(Horo8291[[#This Row],[Jour]]="Dimanche",$C$1, )))))))</f>
        <v>44359</v>
      </c>
      <c r="C41" s="47" t="s">
        <v>4</v>
      </c>
      <c r="D41" s="48" t="n">
        <v>0.583333333333333</v>
      </c>
      <c r="E41" s="48" t="n">
        <v>0.6875</v>
      </c>
      <c r="F41" s="49" t="s">
        <v>59</v>
      </c>
      <c r="G41" s="49" t="s">
        <v>23</v>
      </c>
      <c r="H41" s="50" t="s">
        <v>106</v>
      </c>
      <c r="I41" s="61" t="s">
        <v>247</v>
      </c>
      <c r="J41" s="52" t="n">
        <f aca="false">IF(Horo8291[[#This Row],[Début]]=0,"",(Horo8291[[#This Row],[Durée (60)2]]-INT(Horo8291[[#This Row],[Durée (60)2]]))*24)</f>
        <v>2.5</v>
      </c>
      <c r="K41" s="62" t="n">
        <f aca="false">SUMIF(Horo8291[Jour],C41,Horo8291[Durée])</f>
        <v>7</v>
      </c>
      <c r="L41" s="54" t="n">
        <f aca="false">IFERROR(SUMIF(Horo8291[[#This Row],[Jour]],Horo8291[[#This Row],[Jour]],Horo8291[[#This Row],[GPF]]) / Horo8291[[#This Row],[hrs]],"")</f>
        <v>0</v>
      </c>
      <c r="M41" s="56" t="str">
        <f aca="false">IF("GPF"=Horo8291[[#This Row],[Tâche]],Horo8291[[#This Row],[Durée]],"")</f>
        <v/>
      </c>
      <c r="N41" s="56" t="str">
        <f aca="false">IF("RI"=Horo8291[[#This Row],[Tâche]],Horo8291[[#This Row],[Durée]],"")</f>
        <v/>
      </c>
      <c r="O41" s="56" t="str">
        <f aca="false">IF("GB"=Horo8291[[#This Row],[Tâche]],Horo8291[[#This Row],[Durée]],"")</f>
        <v/>
      </c>
      <c r="P41" s="56" t="str">
        <f aca="false">IF("RD"=Horo8291[[#This Row],[Tâche]],Horo8291[[#This Row],[Durée]],"")</f>
        <v/>
      </c>
      <c r="Q41" s="56" t="n">
        <f aca="false">IF("FG"=Horo8291[[#This Row],[Tâche]],Horo8291[[#This Row],[Durée]],"")</f>
        <v>2.5</v>
      </c>
      <c r="R41" s="56" t="str">
        <f aca="false">IF("CONGÉ"=Horo8291[[#This Row],[Tâche]],Horo8291[[#This Row],[Durée]],"")</f>
        <v/>
      </c>
      <c r="S41" s="57" t="str">
        <f aca="false">IF("PS"=Horo8291[[#This Row],[Tâche]],Horo8291[[#This Row],[Durée]],"")</f>
        <v/>
      </c>
      <c r="T41" s="56" t="str">
        <f aca="false">IF("TD"=Horo8291[[#This Row],[Tâche]],Horo8291[[#This Row],[Durée]],"")</f>
        <v/>
      </c>
      <c r="U41" s="55" t="str">
        <f aca="false">IF("N/C"=Horo8291[[#This Row],[Tâche]],Horo8291[[#This Row],[Durée]],"")</f>
        <v/>
      </c>
      <c r="V41" s="58"/>
      <c r="W41" s="59" t="n">
        <f aca="false">IF(Horo8291[[#This Row],[O]]="o",Horo8291[[#This Row],[Durée]],".")</f>
        <v>2.5</v>
      </c>
      <c r="X41" s="60" t="n">
        <f aca="false">IF(Horo8291[[#This Row],[Début]]=0,"",Horo8291[[#This Row],[Fin]]-Horo8291[[#This Row],[Début]])</f>
        <v>0.104166666666667</v>
      </c>
    </row>
    <row r="42" customFormat="false" ht="15" hidden="true" customHeight="false" outlineLevel="0" collapsed="false">
      <c r="A42" s="45" t="s">
        <v>31</v>
      </c>
      <c r="B42" s="46" t="n">
        <f aca="false">IF(Horo8291[[#This Row],[Jour]]="Lundi",$C$1+1, IF(Horo8291[[#This Row],[Jour]]="Mardi",$C$1+2, IF(Horo8291[[#This Row],[Jour]]="Mercredi",$C$1+3, IF(Horo8291[[#This Row],[Jour]]="Jeudi",$C$1+4, IF(Horo8291[[#This Row],[Jour]]="Vendredi",$C$1+5, IF(Horo8291[[#This Row],[Jour]]="Samedi",$C$1+6, IF(Horo8291[[#This Row],[Jour]]="Dimanche",$C$1, )))))))</f>
        <v>44359</v>
      </c>
      <c r="C42" s="47" t="s">
        <v>4</v>
      </c>
      <c r="D42" s="48" t="n">
        <v>0.6875</v>
      </c>
      <c r="E42" s="48" t="n">
        <v>0.75</v>
      </c>
      <c r="F42" s="49" t="s">
        <v>59</v>
      </c>
      <c r="G42" s="49" t="s">
        <v>19</v>
      </c>
      <c r="H42" s="50" t="s">
        <v>106</v>
      </c>
      <c r="I42" s="61" t="s">
        <v>247</v>
      </c>
      <c r="J42" s="52" t="n">
        <f aca="false">IF(Horo8291[[#This Row],[Début]]=0,"",(Horo8291[[#This Row],[Durée (60)2]]-INT(Horo8291[[#This Row],[Durée (60)2]]))*24)</f>
        <v>1.5</v>
      </c>
      <c r="K42" s="62" t="n">
        <f aca="false">SUMIF(Horo8291[Jour],C42,Horo8291[Durée])</f>
        <v>7</v>
      </c>
      <c r="L42" s="54" t="n">
        <f aca="false">IFERROR(SUMIF(Horo8291[[#This Row],[Jour]],Horo8291[[#This Row],[Jour]],Horo8291[[#This Row],[GPF]]) / Horo8291[[#This Row],[hrs]],"")</f>
        <v>0.214285714285714</v>
      </c>
      <c r="M42" s="56" t="n">
        <f aca="false">IF("GPF"=Horo8291[[#This Row],[Tâche]],Horo8291[[#This Row],[Durée]],"")</f>
        <v>1.5</v>
      </c>
      <c r="N42" s="56" t="str">
        <f aca="false">IF("RI"=Horo8291[[#This Row],[Tâche]],Horo8291[[#This Row],[Durée]],"")</f>
        <v/>
      </c>
      <c r="O42" s="56" t="str">
        <f aca="false">IF("GB"=Horo8291[[#This Row],[Tâche]],Horo8291[[#This Row],[Durée]],"")</f>
        <v/>
      </c>
      <c r="P42" s="56" t="str">
        <f aca="false">IF("RD"=Horo8291[[#This Row],[Tâche]],Horo8291[[#This Row],[Durée]],"")</f>
        <v/>
      </c>
      <c r="Q42" s="56" t="str">
        <f aca="false">IF("FG"=Horo8291[[#This Row],[Tâche]],Horo8291[[#This Row],[Durée]],"")</f>
        <v/>
      </c>
      <c r="R42" s="56" t="str">
        <f aca="false">IF("CONGÉ"=Horo8291[[#This Row],[Tâche]],Horo8291[[#This Row],[Durée]],"")</f>
        <v/>
      </c>
      <c r="S42" s="57" t="str">
        <f aca="false">IF("PS"=Horo8291[[#This Row],[Tâche]],Horo8291[[#This Row],[Durée]],"")</f>
        <v/>
      </c>
      <c r="T42" s="56" t="str">
        <f aca="false">IF("TD"=Horo8291[[#This Row],[Tâche]],Horo8291[[#This Row],[Durée]],"")</f>
        <v/>
      </c>
      <c r="U42" s="55" t="str">
        <f aca="false">IF("N/C"=Horo8291[[#This Row],[Tâche]],Horo8291[[#This Row],[Durée]],"")</f>
        <v/>
      </c>
      <c r="V42" s="58"/>
      <c r="W42" s="59" t="n">
        <f aca="false">IF(Horo8291[[#This Row],[O]]="o",Horo8291[[#This Row],[Durée]],".")</f>
        <v>1.5</v>
      </c>
      <c r="X42" s="60" t="n">
        <f aca="false">IF(Horo8291[[#This Row],[Début]]=0,"",Horo8291[[#This Row],[Fin]]-Horo8291[[#This Row],[Début]])</f>
        <v>0.0625</v>
      </c>
    </row>
    <row r="43" customFormat="false" ht="15" hidden="true" customHeight="false" outlineLevel="0" collapsed="false">
      <c r="A43" s="45" t="s">
        <v>31</v>
      </c>
      <c r="B43" s="111" t="n">
        <f aca="false">IF(Horo8291[[#This Row],[Jour]]="Lundi",$C$1+1, IF(Horo8291[[#This Row],[Jour]]="Mardi",$C$1+2, IF(Horo8291[[#This Row],[Jour]]="Mercredi",$C$1+3, IF(Horo8291[[#This Row],[Jour]]="Jeudi",$C$1+4, IF(Horo8291[[#This Row],[Jour]]="Vendredi",$C$1+5, IF(Horo8291[[#This Row],[Jour]]="Samedi",$C$1+6, IF(Horo8291[[#This Row],[Jour]]="Dimanche",$C$1, )))))))</f>
        <v>44360</v>
      </c>
      <c r="C43" s="47" t="s">
        <v>5</v>
      </c>
      <c r="D43" s="48" t="n">
        <v>0.333333333333333</v>
      </c>
      <c r="E43" s="48" t="n">
        <v>0.395833333333333</v>
      </c>
      <c r="F43" s="49" t="s">
        <v>32</v>
      </c>
      <c r="G43" s="49" t="s">
        <v>21</v>
      </c>
      <c r="H43" s="50" t="s">
        <v>201</v>
      </c>
      <c r="I43" s="61" t="s">
        <v>248</v>
      </c>
      <c r="J43" s="52" t="n">
        <f aca="false">IF(Horo8291[[#This Row],[Début]]=0,"",(Horo8291[[#This Row],[Durée (60)2]]-INT(Horo8291[[#This Row],[Durée (60)2]]))*24)</f>
        <v>1.5</v>
      </c>
      <c r="K43" s="62" t="n">
        <f aca="false">SUMIF(Horo8291[Jour],C43,Horo8291[Durée])</f>
        <v>4.5</v>
      </c>
      <c r="L43" s="54" t="n">
        <f aca="false">IFERROR(SUMIF(Horo8291[[#This Row],[Jour]],Horo8291[[#This Row],[Jour]],Horo8291[[#This Row],[GPF]]) / Horo8291[[#This Row],[hrs]],"")</f>
        <v>0</v>
      </c>
      <c r="M43" s="56" t="str">
        <f aca="false">IF("GPF"=Horo8291[[#This Row],[Tâche]],Horo8291[[#This Row],[Durée]],"")</f>
        <v/>
      </c>
      <c r="N43" s="56" t="str">
        <f aca="false">IF("RI"=Horo8291[[#This Row],[Tâche]],Horo8291[[#This Row],[Durée]],"")</f>
        <v/>
      </c>
      <c r="O43" s="56" t="n">
        <f aca="false">IF("GB"=Horo8291[[#This Row],[Tâche]],Horo8291[[#This Row],[Durée]],"")</f>
        <v>1.5</v>
      </c>
      <c r="P43" s="56" t="str">
        <f aca="false">IF("RD"=Horo8291[[#This Row],[Tâche]],Horo8291[[#This Row],[Durée]],"")</f>
        <v/>
      </c>
      <c r="Q43" s="56" t="str">
        <f aca="false">IF("FG"=Horo8291[[#This Row],[Tâche]],Horo8291[[#This Row],[Durée]],"")</f>
        <v/>
      </c>
      <c r="R43" s="56" t="str">
        <f aca="false">IF("CONGÉ"=Horo8291[[#This Row],[Tâche]],Horo8291[[#This Row],[Durée]],"")</f>
        <v/>
      </c>
      <c r="S43" s="57" t="str">
        <f aca="false">IF("PS"=Horo8291[[#This Row],[Tâche]],Horo8291[[#This Row],[Durée]],"")</f>
        <v/>
      </c>
      <c r="T43" s="56" t="str">
        <f aca="false">IF("TD"=Horo8291[[#This Row],[Tâche]],Horo8291[[#This Row],[Durée]],"")</f>
        <v/>
      </c>
      <c r="U43" s="55" t="str">
        <f aca="false">IF("N/C"=Horo8291[[#This Row],[Tâche]],Horo8291[[#This Row],[Durée]],"")</f>
        <v/>
      </c>
      <c r="V43" s="58"/>
      <c r="W43" s="59" t="n">
        <f aca="false">IF(Horo8291[[#This Row],[O]]="o",Horo8291[[#This Row],[Durée]],".")</f>
        <v>1.5</v>
      </c>
      <c r="X43" s="60" t="n">
        <f aca="false">IF(Horo8291[[#This Row],[Début]]=0,"",Horo8291[[#This Row],[Fin]]-Horo8291[[#This Row],[Début]])</f>
        <v>0.0625</v>
      </c>
    </row>
    <row r="44" customFormat="false" ht="15" hidden="true" customHeight="false" outlineLevel="0" collapsed="false">
      <c r="A44" s="45" t="s">
        <v>31</v>
      </c>
      <c r="B44" s="111" t="n">
        <f aca="false">IF(Horo8291[[#This Row],[Jour]]="Lundi",$C$1+1, IF(Horo8291[[#This Row],[Jour]]="Mardi",$C$1+2, IF(Horo8291[[#This Row],[Jour]]="Mercredi",$C$1+3, IF(Horo8291[[#This Row],[Jour]]="Jeudi",$C$1+4, IF(Horo8291[[#This Row],[Jour]]="Vendredi",$C$1+5, IF(Horo8291[[#This Row],[Jour]]="Samedi",$C$1+6, IF(Horo8291[[#This Row],[Jour]]="Dimanche",$C$1, )))))))</f>
        <v>44360</v>
      </c>
      <c r="C44" s="47" t="s">
        <v>5</v>
      </c>
      <c r="D44" s="48" t="n">
        <v>0.447916666666667</v>
      </c>
      <c r="E44" s="48" t="n">
        <v>0.5625</v>
      </c>
      <c r="F44" s="49" t="s">
        <v>63</v>
      </c>
      <c r="G44" s="49" t="s">
        <v>19</v>
      </c>
      <c r="H44" s="50" t="s">
        <v>114</v>
      </c>
      <c r="I44" s="61" t="s">
        <v>249</v>
      </c>
      <c r="J44" s="52" t="n">
        <f aca="false">IF(Horo8291[[#This Row],[Début]]=0,"",(Horo8291[[#This Row],[Durée (60)2]]-INT(Horo8291[[#This Row],[Durée (60)2]]))*24)</f>
        <v>2.75</v>
      </c>
      <c r="K44" s="62" t="n">
        <f aca="false">SUMIF(Horo8291[Jour],C44,Horo8291[Durée])</f>
        <v>4.5</v>
      </c>
      <c r="L44" s="54" t="n">
        <f aca="false">IFERROR(SUMIF(Horo8291[[#This Row],[Jour]],Horo8291[[#This Row],[Jour]],Horo8291[[#This Row],[GPF]]) / Horo8291[[#This Row],[hrs]],"")</f>
        <v>0.611111111111111</v>
      </c>
      <c r="M44" s="56" t="n">
        <f aca="false">IF("GPF"=Horo8291[[#This Row],[Tâche]],Horo8291[[#This Row],[Durée]],"")</f>
        <v>2.75</v>
      </c>
      <c r="N44" s="56" t="str">
        <f aca="false">IF("RI"=Horo8291[[#This Row],[Tâche]],Horo8291[[#This Row],[Durée]],"")</f>
        <v/>
      </c>
      <c r="O44" s="56" t="str">
        <f aca="false">IF("GB"=Horo8291[[#This Row],[Tâche]],Horo8291[[#This Row],[Durée]],"")</f>
        <v/>
      </c>
      <c r="P44" s="56" t="str">
        <f aca="false">IF("RD"=Horo8291[[#This Row],[Tâche]],Horo8291[[#This Row],[Durée]],"")</f>
        <v/>
      </c>
      <c r="Q44" s="56" t="str">
        <f aca="false">IF("FG"=Horo8291[[#This Row],[Tâche]],Horo8291[[#This Row],[Durée]],"")</f>
        <v/>
      </c>
      <c r="R44" s="56" t="str">
        <f aca="false">IF("CONGÉ"=Horo8291[[#This Row],[Tâche]],Horo8291[[#This Row],[Durée]],"")</f>
        <v/>
      </c>
      <c r="S44" s="57" t="str">
        <f aca="false">IF("PS"=Horo8291[[#This Row],[Tâche]],Horo8291[[#This Row],[Durée]],"")</f>
        <v/>
      </c>
      <c r="T44" s="56" t="str">
        <f aca="false">IF("TD"=Horo8291[[#This Row],[Tâche]],Horo8291[[#This Row],[Durée]],"")</f>
        <v/>
      </c>
      <c r="U44" s="55" t="str">
        <f aca="false">IF("N/C"=Horo8291[[#This Row],[Tâche]],Horo8291[[#This Row],[Durée]],"")</f>
        <v/>
      </c>
      <c r="V44" s="58"/>
      <c r="W44" s="59" t="n">
        <f aca="false">IF(Horo8291[[#This Row],[O]]="o",Horo8291[[#This Row],[Durée]],".")</f>
        <v>2.75</v>
      </c>
      <c r="X44" s="60" t="n">
        <f aca="false">IF(Horo8291[[#This Row],[Début]]=0,"",Horo8291[[#This Row],[Fin]]-Horo8291[[#This Row],[Début]])</f>
        <v>0.114583333333333</v>
      </c>
    </row>
    <row r="45" customFormat="false" ht="15" hidden="true" customHeight="false" outlineLevel="0" collapsed="false">
      <c r="A45" s="45" t="s">
        <v>31</v>
      </c>
      <c r="B45" s="111" t="n">
        <f aca="false">IF(Horo8291[[#This Row],[Jour]]="Lundi",$C$1+1, IF(Horo8291[[#This Row],[Jour]]="Mardi",$C$1+2, IF(Horo8291[[#This Row],[Jour]]="Mercredi",$C$1+3, IF(Horo8291[[#This Row],[Jour]]="Jeudi",$C$1+4, IF(Horo8291[[#This Row],[Jour]]="Vendredi",$C$1+5, IF(Horo8291[[#This Row],[Jour]]="Samedi",$C$1+6, IF(Horo8291[[#This Row],[Jour]]="Dimanche",$C$1, )))))))</f>
        <v>44360</v>
      </c>
      <c r="C45" s="47" t="s">
        <v>5</v>
      </c>
      <c r="D45" s="48" t="n">
        <v>0.739583333333333</v>
      </c>
      <c r="E45" s="48" t="n">
        <v>0.75</v>
      </c>
      <c r="F45" s="49" t="s">
        <v>63</v>
      </c>
      <c r="G45" s="49" t="s">
        <v>19</v>
      </c>
      <c r="H45" s="50" t="s">
        <v>114</v>
      </c>
      <c r="I45" s="61" t="s">
        <v>249</v>
      </c>
      <c r="J45" s="52" t="n">
        <f aca="false">IF(Horo8291[[#This Row],[Début]]=0,"",(Horo8291[[#This Row],[Durée (60)2]]-INT(Horo8291[[#This Row],[Durée (60)2]]))*24)</f>
        <v>0.249999999999999</v>
      </c>
      <c r="K45" s="62" t="n">
        <f aca="false">SUMIF(Horo8291[Jour],C45,Horo8291[Durée])</f>
        <v>4.5</v>
      </c>
      <c r="L45" s="54" t="n">
        <f aca="false">IFERROR(SUMIF(Horo8291[[#This Row],[Jour]],Horo8291[[#This Row],[Jour]],Horo8291[[#This Row],[GPF]]) / Horo8291[[#This Row],[hrs]],"")</f>
        <v>0.0555555555555554</v>
      </c>
      <c r="M45" s="56" t="n">
        <f aca="false">IF("GPF"=Horo8291[[#This Row],[Tâche]],Horo8291[[#This Row],[Durée]],"")</f>
        <v>0.249999999999999</v>
      </c>
      <c r="N45" s="56" t="str">
        <f aca="false">IF("RI"=Horo8291[[#This Row],[Tâche]],Horo8291[[#This Row],[Durée]],"")</f>
        <v/>
      </c>
      <c r="O45" s="56" t="str">
        <f aca="false">IF("GB"=Horo8291[[#This Row],[Tâche]],Horo8291[[#This Row],[Durée]],"")</f>
        <v/>
      </c>
      <c r="P45" s="56" t="str">
        <f aca="false">IF("RD"=Horo8291[[#This Row],[Tâche]],Horo8291[[#This Row],[Durée]],"")</f>
        <v/>
      </c>
      <c r="Q45" s="56" t="str">
        <f aca="false">IF("FG"=Horo8291[[#This Row],[Tâche]],Horo8291[[#This Row],[Durée]],"")</f>
        <v/>
      </c>
      <c r="R45" s="56" t="str">
        <f aca="false">IF("CONGÉ"=Horo8291[[#This Row],[Tâche]],Horo8291[[#This Row],[Durée]],"")</f>
        <v/>
      </c>
      <c r="S45" s="57" t="str">
        <f aca="false">IF("PS"=Horo8291[[#This Row],[Tâche]],Horo8291[[#This Row],[Durée]],"")</f>
        <v/>
      </c>
      <c r="T45" s="56" t="str">
        <f aca="false">IF("TD"=Horo8291[[#This Row],[Tâche]],Horo8291[[#This Row],[Durée]],"")</f>
        <v/>
      </c>
      <c r="U45" s="55" t="str">
        <f aca="false">IF("N/C"=Horo8291[[#This Row],[Tâche]],Horo8291[[#This Row],[Durée]],"")</f>
        <v/>
      </c>
      <c r="V45" s="58"/>
      <c r="W45" s="59" t="n">
        <f aca="false">IF(Horo8291[[#This Row],[O]]="o",Horo8291[[#This Row],[Durée]],".")</f>
        <v>0.249999999999999</v>
      </c>
      <c r="X45" s="60" t="n">
        <f aca="false">IF(Horo8291[[#This Row],[Début]]=0,"",Horo8291[[#This Row],[Fin]]-Horo8291[[#This Row],[Début]])</f>
        <v>0.0104166666666666</v>
      </c>
    </row>
    <row r="46" customFormat="false" ht="15" hidden="true" customHeight="false" outlineLevel="0" collapsed="false">
      <c r="A46" s="45" t="s">
        <v>33</v>
      </c>
      <c r="B46" s="111" t="n">
        <f aca="false">IF(Horo8291[[#This Row],[Jour]]="Lundi",$C$1+1, IF(Horo8291[[#This Row],[Jour]]="Mardi",$C$1+2, IF(Horo8291[[#This Row],[Jour]]="Mercredi",$C$1+3, IF(Horo8291[[#This Row],[Jour]]="Jeudi",$C$1+4, IF(Horo8291[[#This Row],[Jour]]="Vendredi",$C$1+5, IF(Horo8291[[#This Row],[Jour]]="Samedi",$C$1+6, IF(Horo8291[[#This Row],[Jour]]="Dimanche",$C$1, )))))))</f>
        <v>0</v>
      </c>
      <c r="C46" s="47"/>
      <c r="D46" s="48"/>
      <c r="E46" s="48"/>
      <c r="F46" s="49" t="s">
        <v>32</v>
      </c>
      <c r="G46" s="49" t="s">
        <v>27</v>
      </c>
      <c r="H46" s="50" t="s">
        <v>201</v>
      </c>
      <c r="I46" s="61"/>
      <c r="J46" s="52" t="str">
        <f aca="false">IF(Horo8291[[#This Row],[Début]]=0,"",(Horo8291[[#This Row],[Durée (60)2]]-INT(Horo8291[[#This Row],[Durée (60)2]]))*24)</f>
        <v/>
      </c>
      <c r="K46" s="62" t="n">
        <f aca="false">SUMIF(Horo8291[Jour],C46,Horo8291[Durée])</f>
        <v>0</v>
      </c>
      <c r="L46" s="54" t="str">
        <f aca="false">IFERROR(SUMIF(Horo8291[[#This Row],[Jour]],Horo8291[[#This Row],[Jour]],Horo8291[[#This Row],[GPF]]) / Horo8291[[#This Row],[hrs]],"")</f>
        <v/>
      </c>
      <c r="M46" s="56" t="str">
        <f aca="false">IF("GPF"=Horo8291[[#This Row],[Tâche]],Horo8291[[#This Row],[Durée]],"")</f>
        <v/>
      </c>
      <c r="N46" s="56" t="str">
        <f aca="false">IF("RI"=Horo8291[[#This Row],[Tâche]],Horo8291[[#This Row],[Durée]],"")</f>
        <v/>
      </c>
      <c r="O46" s="56" t="str">
        <f aca="false">IF("GB"=Horo8291[[#This Row],[Tâche]],Horo8291[[#This Row],[Durée]],"")</f>
        <v/>
      </c>
      <c r="P46" s="56" t="str">
        <f aca="false">IF("RD"=Horo8291[[#This Row],[Tâche]],Horo8291[[#This Row],[Durée]],"")</f>
        <v/>
      </c>
      <c r="Q46" s="56" t="str">
        <f aca="false">IF("FG"=Horo8291[[#This Row],[Tâche]],Horo8291[[#This Row],[Durée]],"")</f>
        <v/>
      </c>
      <c r="R46" s="56" t="str">
        <f aca="false">IF("CONGÉ"=Horo8291[[#This Row],[Tâche]],Horo8291[[#This Row],[Durée]],"")</f>
        <v/>
      </c>
      <c r="S46" s="56" t="str">
        <f aca="false">IF("PS"=Horo8291[[#This Row],[Tâche]],Horo8291[[#This Row],[Durée]],"")</f>
        <v/>
      </c>
      <c r="T46" s="56" t="str">
        <f aca="false">IF("TD"=Horo8291[[#This Row],[Tâche]],Horo8291[[#This Row],[Durée]],"")</f>
        <v/>
      </c>
      <c r="U46" s="56" t="str">
        <f aca="false">IF("N/C"=Horo8291[[#This Row],[Tâche]],Horo8291[[#This Row],[Durée]],"")</f>
        <v/>
      </c>
      <c r="V46" s="58"/>
      <c r="W46" s="59" t="str">
        <f aca="false">IF(Horo8291[[#This Row],[O]]="o",Horo8291[[#This Row],[Durée]],".")</f>
        <v>.</v>
      </c>
      <c r="X46" s="64" t="str">
        <f aca="false">IF(Horo8291[[#This Row],[Début]]=0,"",Horo8291[[#This Row],[Fin]]-Horo8291[[#This Row],[Début]])</f>
        <v/>
      </c>
    </row>
    <row r="52" s="3" customFormat="true" ht="15" hidden="false" customHeight="false" outlineLevel="0" collapsed="false">
      <c r="L52" s="65"/>
    </row>
    <row r="53" customFormat="false" ht="15" hidden="false" customHeight="false" outlineLevel="0" collapsed="false">
      <c r="A53" s="66" t="s">
        <v>18</v>
      </c>
      <c r="B53" s="66" t="s">
        <v>57</v>
      </c>
      <c r="C53" s="66" t="s">
        <v>58</v>
      </c>
    </row>
    <row r="54" customFormat="false" ht="15" hidden="false" customHeight="false" outlineLevel="0" collapsed="false">
      <c r="A54" s="67" t="n">
        <f aca="false">IF((SUMIF(Horo8291[Client],B54,Horo8291[Durée]) / Total)=0,"",(SUMIF(Horo8291[Client],B54,Horo8291[Durée]) / Total))</f>
        <v>0.532467532467532</v>
      </c>
      <c r="B54" s="68" t="s">
        <v>32</v>
      </c>
      <c r="C54" s="69" t="n">
        <f aca="false">IF(SUMIF(Horo8291[Client],B54,Horo8291[Durée])=0,"",SUMIF(Horo8291[Client],B54,Horo8291[Durée]))</f>
        <v>20.5</v>
      </c>
    </row>
    <row r="55" customFormat="false" ht="15" hidden="false" customHeight="false" outlineLevel="0" collapsed="false">
      <c r="A55" s="67" t="n">
        <f aca="false">IF((SUMIF(Horo8291[Client],B55,Horo8291[Durée]) / Total)=0,"",(SUMIF(Horo8291[Client],B55,Horo8291[Durée]) / Total))</f>
        <v>0.220779220779221</v>
      </c>
      <c r="B55" s="68" t="s">
        <v>59</v>
      </c>
      <c r="C55" s="69" t="n">
        <f aca="false">IF(SUMIF(Horo8291[Client],B55,Horo8291[Durée])=0,"",SUMIF(Horo8291[Client],B55,Horo8291[Durée]))</f>
        <v>8.5</v>
      </c>
    </row>
    <row r="56" customFormat="false" ht="15" hidden="false" customHeight="false" outlineLevel="0" collapsed="false">
      <c r="A56" s="67" t="n">
        <f aca="false">IF((SUMIF(Horo8291[Client],B56,Horo8291[Durée]) / Total)=0,"",(SUMIF(Horo8291[Client],B56,Horo8291[Durée]) / Total))</f>
        <v>0.0844155844155844</v>
      </c>
      <c r="B56" s="68" t="s">
        <v>60</v>
      </c>
      <c r="C56" s="70" t="n">
        <f aca="false">IF(SUMIF(Horo8291[Client],B56,Horo8291[Durée])=0,"",SUMIF(Horo8291[Client],B56,Horo8291[Durée]))</f>
        <v>3.25</v>
      </c>
    </row>
    <row r="57" customFormat="false" ht="15" hidden="false" customHeight="false" outlineLevel="0" collapsed="false">
      <c r="A57" s="67" t="n">
        <f aca="false">IF((SUMIF(Horo8291[Client],B57,Horo8291[Durée]) / Total)=0,"",(SUMIF(Horo8291[Client],B57,Horo8291[Durée]) / Total))</f>
        <v>0.0714285714285715</v>
      </c>
      <c r="B57" s="68" t="s">
        <v>61</v>
      </c>
      <c r="C57" s="70" t="n">
        <f aca="false">IF(SUMIF(Horo8291[Client],B57,Horo8291[Durée])=0,"",SUMIF(Horo8291[Client],B57,Horo8291[Durée]))</f>
        <v>2.75</v>
      </c>
    </row>
    <row r="58" customFormat="false" ht="15" hidden="true" customHeight="false" outlineLevel="0" collapsed="false">
      <c r="A58" s="67" t="str">
        <f aca="false">IF((SUMIF(Horo8291[Client],B58,Horo8291[Durée]) / Total)=0,"",(SUMIF(Horo8291[Client],B58,Horo8291[Durée]) / Total))</f>
        <v/>
      </c>
      <c r="B58" s="68" t="s">
        <v>62</v>
      </c>
      <c r="C58" s="70" t="str">
        <f aca="false">IF(SUMIF(Horo8291[Client],B58,Horo8291[Durée])=0,"",SUMIF(Horo8291[Client],B58,Horo8291[Durée]))</f>
        <v/>
      </c>
    </row>
    <row r="59" customFormat="false" ht="15" hidden="false" customHeight="false" outlineLevel="0" collapsed="false">
      <c r="A59" s="67" t="n">
        <f aca="false">IF((SUMIF(Horo8291[Client],B59,Horo8291[Durée]) / Total)=0,"",(SUMIF(Horo8291[Client],B59,Horo8291[Durée]) / Total))</f>
        <v>0.0909090909090909</v>
      </c>
      <c r="B59" s="68" t="s">
        <v>63</v>
      </c>
      <c r="C59" s="69" t="n">
        <f aca="false">IF(SUMIF(Horo8291[Client],B59,Horo8291[Durée])=0,"",SUMIF(Horo8291[Client],B59,Horo8291[Durée]))</f>
        <v>3.5</v>
      </c>
    </row>
    <row r="60" customFormat="false" ht="15" hidden="true" customHeight="false" outlineLevel="0" collapsed="false">
      <c r="A60" s="67" t="str">
        <f aca="false">IF((SUMIF(Horo8291[Client],B60,Horo8291[Durée]) / Total)=0,"",(SUMIF(Horo8291[Client],B60,Horo8291[Durée]) / Total))</f>
        <v/>
      </c>
      <c r="B60" s="68" t="s">
        <v>64</v>
      </c>
      <c r="C60" s="70" t="str">
        <f aca="false">IF(SUMIF(Horo8291[Client],B60,Horo8291[Durée])=0,"",SUMIF(Horo8291[Client],B60,Horo8291[Durée]))</f>
        <v/>
      </c>
    </row>
    <row r="61" customFormat="false" ht="15" hidden="true" customHeight="false" outlineLevel="0" collapsed="false">
      <c r="A61" s="67" t="str">
        <f aca="false">IF((SUMIF(Horo8291[Client],B61,Horo8291[Durée]) / Total)=0,"",(SUMIF(Horo8291[Client],B61,Horo8291[Durée]) / Total))</f>
        <v/>
      </c>
      <c r="B61" s="68" t="s">
        <v>65</v>
      </c>
      <c r="C61" s="70" t="str">
        <f aca="false">IF(SUMIF(Horo8291[Client],B61,Horo8291[Durée])=0,"",SUMIF(Horo8291[Client],B61,Horo8291[Durée]))</f>
        <v/>
      </c>
      <c r="F61" s="71"/>
    </row>
    <row r="62" customFormat="false" ht="15" hidden="true" customHeight="false" outlineLevel="0" collapsed="false">
      <c r="A62" s="67" t="str">
        <f aca="false">IF((SUMIF(Horo8291[Client],B62,Horo8291[Durée]) / Total)=0,"",(SUMIF(Horo8291[Client],B62,Horo8291[Durée]) / Total))</f>
        <v/>
      </c>
      <c r="B62" s="68" t="s">
        <v>66</v>
      </c>
      <c r="C62" s="69" t="str">
        <f aca="false">IF(SUMIF(Horo8291[Client],B62,Horo8291[Durée])=0,"",SUMIF(Horo8291[Client],B62,Horo8291[Durée]))</f>
        <v/>
      </c>
    </row>
    <row r="63" customFormat="false" ht="15" hidden="true" customHeight="false" outlineLevel="0" collapsed="false">
      <c r="A63" s="67" t="str">
        <f aca="false">IF((SUMIF(Horo8291[Client],B63,Horo8291[Durée]) / Total)=0,"",(SUMIF(Horo8291[Client],B63,Horo8291[Durée]) / Total))</f>
        <v/>
      </c>
      <c r="B63" s="68" t="s">
        <v>47</v>
      </c>
      <c r="C63" s="70" t="str">
        <f aca="false">IF(SUMIF(Horo8291[Client],B63,Horo8291[Durée])=0,"",SUMIF(Horo8291[Client],B63,Horo8291[Durée]))</f>
        <v/>
      </c>
    </row>
    <row r="64" customFormat="false" ht="15" hidden="true" customHeight="false" outlineLevel="0" collapsed="false">
      <c r="A64" s="67" t="str">
        <f aca="false">IF((SUMIF(Horo8291[Client],B64,Horo8291[Durée]) / Total)=0,"",(SUMIF(Horo8291[Client],B64,Horo8291[Durée]) / Total))</f>
        <v/>
      </c>
      <c r="B64" s="68" t="s">
        <v>67</v>
      </c>
      <c r="C64" s="70" t="str">
        <f aca="false">IF(SUMIF(Horo8291[Client],B64,Horo8291[Durée])=0,"",SUMIF(Horo8291[Client],B64,Horo8291[Durée]))</f>
        <v/>
      </c>
    </row>
    <row r="65" customFormat="false" ht="15" hidden="true" customHeight="false" outlineLevel="0" collapsed="false">
      <c r="A65" s="67" t="str">
        <f aca="false">IF((SUMIF(Horo8291[Client],B65,Horo8291[Durée]) / Total)=0,"",(SUMIF(Horo8291[Client],B65,Horo8291[Durée]) / Total))</f>
        <v/>
      </c>
      <c r="B65" s="68" t="s">
        <v>68</v>
      </c>
      <c r="C65" s="70" t="str">
        <f aca="false">IF(SUMIF(Horo8291[Client],B65,Horo8291[Durée])=0,"",SUMIF(Horo8291[Client],B65,Horo8291[Durée]))</f>
        <v/>
      </c>
    </row>
    <row r="66" customFormat="false" ht="15" hidden="true" customHeight="false" outlineLevel="0" collapsed="false">
      <c r="A66" s="67" t="str">
        <f aca="false">IF((SUMIF(Horo8291[Client],B66,Horo8291[Durée]) / Total)=0,"",(SUMIF(Horo8291[Client],B66,Horo8291[Durée]) / Total))</f>
        <v/>
      </c>
      <c r="B66" s="68" t="s">
        <v>41</v>
      </c>
      <c r="C66" s="70" t="str">
        <f aca="false">IF(SUMIF(Horo8291[Client],B66,Horo8291[Durée])=0,"",SUMIF(Horo8291[Client],B66,Horo8291[Durée]))</f>
        <v/>
      </c>
    </row>
    <row r="67" customFormat="false" ht="15" hidden="true" customHeight="false" outlineLevel="0" collapsed="false">
      <c r="A67" s="67" t="str">
        <f aca="false">IF((SUMIF(Horo8291[Client],B67,Horo8291[Durée]) / Total)=0,"",(SUMIF(Horo8291[Client],B67,Horo8291[Durée]) / Total))</f>
        <v/>
      </c>
      <c r="B67" s="68" t="s">
        <v>37</v>
      </c>
      <c r="C67" s="69" t="str">
        <f aca="false">IF(SUMIF(Horo8291[Client],B67,Horo8291[Durée])=0,"",SUMIF(Horo8291[Client],B67,Horo8291[Durée]))</f>
        <v/>
      </c>
    </row>
    <row r="68" customFormat="false" ht="15" hidden="true" customHeight="false" outlineLevel="0" collapsed="false">
      <c r="A68" s="67" t="str">
        <f aca="false">IF((SUMIF(Horo8291[Client],B68,Horo8291[Durée]) / Total)=0,"",(SUMIF(Horo8291[Client],B68,Horo8291[Durée]) / Total))</f>
        <v/>
      </c>
      <c r="B68" s="68" t="s">
        <v>69</v>
      </c>
      <c r="C68" s="69" t="str">
        <f aca="false">IF(SUMIF(Horo8291[Client],B68,Horo8291[Durée])=0,"",SUMIF(Horo8291[Client],B68,Horo8291[Durée]))</f>
        <v/>
      </c>
    </row>
    <row r="69" customFormat="false" ht="15" hidden="true" customHeight="false" outlineLevel="0" collapsed="false">
      <c r="A69" s="67" t="str">
        <f aca="false">IF((SUMIF(Horo8291[Client],B69,Horo8291[Durée]) / Total)=0,"",(SUMIF(Horo8291[Client],B69,Horo8291[Durée]) / Total))</f>
        <v/>
      </c>
      <c r="B69" s="68" t="s">
        <v>70</v>
      </c>
      <c r="C69" s="70" t="str">
        <f aca="false">IF(SUMIF(Horo8291[Client],B69,Horo8291[Durée])=0,"",SUMIF(Horo8291[Client],B69,Horo8291[Durée]))</f>
        <v/>
      </c>
    </row>
    <row r="70" customFormat="false" ht="15" hidden="true" customHeight="false" outlineLevel="1" collapsed="false">
      <c r="A70" s="67" t="str">
        <f aca="false">IF((SUMIF(Horo8291[Client],B70,Horo8291[Durée]) / Total)=0,"",(SUMIF(Horo8291[Client],B70,Horo8291[Durée]) / Total))</f>
        <v/>
      </c>
      <c r="B70" s="68" t="s">
        <v>71</v>
      </c>
      <c r="C70" s="70" t="str">
        <f aca="false">IF(SUMIF(Horo8291[Client],B70,Horo8291[Durée])=0,"",SUMIF(Horo8291[Client],B70,Horo8291[Durée]))</f>
        <v/>
      </c>
    </row>
    <row r="71" customFormat="false" ht="15" hidden="true" customHeight="false" outlineLevel="1" collapsed="false">
      <c r="A71" s="67" t="str">
        <f aca="false">IF((SUMIF(Horo8291[Client],B71,Horo8291[Durée]) / Total)=0,"",(SUMIF(Horo8291[Client],B71,Horo8291[Durée]) / Total))</f>
        <v/>
      </c>
      <c r="B71" s="68" t="s">
        <v>72</v>
      </c>
      <c r="C71" s="70" t="str">
        <f aca="false">IF(SUMIF(Horo8291[Client],B71,Horo8291[Durée])=0,"",SUMIF(Horo8291[Client],B71,Horo8291[Durée]))</f>
        <v/>
      </c>
    </row>
    <row r="72" customFormat="false" ht="15" hidden="true" customHeight="false" outlineLevel="1" collapsed="false">
      <c r="A72" s="67" t="str">
        <f aca="false">IF((SUMIF(Horo8291[Client],B72,Horo8291[Durée]) / Total)=0,"",(SUMIF(Horo8291[Client],B72,Horo8291[Durée]) / Total))</f>
        <v/>
      </c>
      <c r="B72" s="68" t="s">
        <v>73</v>
      </c>
      <c r="C72" s="70" t="str">
        <f aca="false">IF(SUMIF(Horo8291[Client],B72,Horo8291[Durée])=0,"",SUMIF(Horo8291[Client],B72,Horo8291[Durée]))</f>
        <v/>
      </c>
    </row>
    <row r="73" customFormat="false" ht="15" hidden="true" customHeight="false" outlineLevel="1" collapsed="false">
      <c r="A73" s="67" t="str">
        <f aca="false">IF((SUMIF(Horo8291[Client],B73,Horo8291[Durée]) / Total)=0,"",(SUMIF(Horo8291[Client],B73,Horo8291[Durée]) / Total))</f>
        <v/>
      </c>
      <c r="B73" s="68" t="s">
        <v>74</v>
      </c>
      <c r="C73" s="70" t="str">
        <f aca="false">IF(SUMIF(Horo8291[Client],B73,Horo8291[Durée])=0,"",SUMIF(Horo8291[Client],B73,Horo8291[Durée]))</f>
        <v/>
      </c>
    </row>
    <row r="74" customFormat="false" ht="15" hidden="false" customHeight="false" outlineLevel="1" collapsed="false">
      <c r="A74" s="67" t="n">
        <f aca="false">IF((SUMIF(Horo8291[Client],B74,Horo8291[Durée]) / Total)=0,"",(SUMIF(Horo8291[Client],B74,Horo8291[Durée]) / Total))</f>
        <v>0.0324675324675325</v>
      </c>
      <c r="B74" s="68" t="s">
        <v>75</v>
      </c>
      <c r="C74" s="69" t="n">
        <f aca="false">IF(SUMIF(Horo8291[Client],B74,Horo8291[Durée])=0,"",SUMIF(Horo8291[Client],B74,Horo8291[Durée]))</f>
        <v>1.25</v>
      </c>
    </row>
    <row r="75" customFormat="false" ht="15" hidden="true" customHeight="false" outlineLevel="1" collapsed="false">
      <c r="A75" s="67" t="str">
        <f aca="false">IF((SUMIF(Horo8291[Client],B75,Horo8291[Durée]) / Total)=0,"",(SUMIF(Horo8291[Client],B75,Horo8291[Durée]) / Total))</f>
        <v/>
      </c>
      <c r="B75" s="68" t="s">
        <v>76</v>
      </c>
      <c r="C75" s="70" t="str">
        <f aca="false">IF(SUMIF(Horo8291[Client],B75,Horo8291[Durée])=0,"",SUMIF(Horo8291[Client],B75,Horo8291[Durée]))</f>
        <v/>
      </c>
    </row>
    <row r="76" customFormat="false" ht="15" hidden="true" customHeight="false" outlineLevel="1" collapsed="false">
      <c r="A76" s="67" t="str">
        <f aca="false">IF((SUMIF(Horo8291[Client],B76,Horo8291[Durée]) / Total)=0,"",(SUMIF(Horo8291[Client],B76,Horo8291[Durée]) / Total))</f>
        <v/>
      </c>
      <c r="B76" s="68" t="s">
        <v>77</v>
      </c>
      <c r="C76" s="70" t="str">
        <f aca="false">IF(SUMIF(Horo8291[Client],B76,Horo8291[Durée])=0,"",SUMIF(Horo8291[Client],B76,Horo8291[Durée]))</f>
        <v/>
      </c>
    </row>
    <row r="77" customFormat="false" ht="15" hidden="true" customHeight="false" outlineLevel="1" collapsed="false">
      <c r="A77" s="67" t="str">
        <f aca="false">IF((SUMIF(Horo8291[Client],B77,Horo8291[Durée]) / Total)=0,"",(SUMIF(Horo8291[Client],B77,Horo8291[Durée]) / Total))</f>
        <v/>
      </c>
      <c r="B77" s="68" t="s">
        <v>45</v>
      </c>
      <c r="C77" s="70" t="str">
        <f aca="false">IF(SUMIF(Horo8291[Client],B77,Horo8291[Durée])=0,"",SUMIF(Horo8291[Client],B77,Horo8291[Durée]))</f>
        <v/>
      </c>
    </row>
    <row r="78" customFormat="false" ht="15" hidden="true" customHeight="false" outlineLevel="1" collapsed="false">
      <c r="A78" s="67" t="str">
        <f aca="false">IF((SUMIF(Horo8291[Client],B78,Horo8291[Durée]) / Total)=0,"",(SUMIF(Horo8291[Client],B78,Horo8291[Durée]) / Total))</f>
        <v/>
      </c>
      <c r="B78" s="68" t="s">
        <v>78</v>
      </c>
      <c r="C78" s="70" t="str">
        <f aca="false">IF(SUMIF(Horo8291[Client],B78,Horo8291[Durée])=0,"",SUMIF(Horo8291[Client],B78,Horo8291[Durée]))</f>
        <v/>
      </c>
    </row>
    <row r="79" customFormat="false" ht="15" hidden="true" customHeight="false" outlineLevel="1" collapsed="false">
      <c r="A79" s="67" t="str">
        <f aca="false">IF((SUMIF(Horo8291[Client],B79,Horo8291[Durée]) / Total)=0,"",(SUMIF(Horo8291[Client],B79,Horo8291[Durée]) / Total))</f>
        <v/>
      </c>
      <c r="B79" s="68" t="s">
        <v>79</v>
      </c>
      <c r="C79" s="70" t="str">
        <f aca="false">IF(SUMIF(Horo8291[Client],B79,Horo8291[Durée])=0,"",SUMIF(Horo8291[Client],B79,Horo8291[Durée]))</f>
        <v/>
      </c>
    </row>
    <row r="80" customFormat="false" ht="15" hidden="true" customHeight="false" outlineLevel="1" collapsed="false">
      <c r="A80" s="67" t="str">
        <f aca="false">IF((SUMIF(Horo8291[Client],B80,Horo8291[Durée]) / Total)=0,"",(SUMIF(Horo8291[Client],B80,Horo8291[Durée]) / Total))</f>
        <v/>
      </c>
      <c r="B80" s="68" t="s">
        <v>80</v>
      </c>
      <c r="C80" s="70" t="str">
        <f aca="false">IF(SUMIF(Horo8291[Client],B80,Horo8291[Durée])=0,"",SUMIF(Horo8291[Client],B80,Horo8291[Durée]))</f>
        <v/>
      </c>
    </row>
    <row r="81" customFormat="false" ht="15" hidden="false" customHeight="false" outlineLevel="1" collapsed="false">
      <c r="A81" s="67" t="n">
        <f aca="false">IF((SUMIF(Horo8291[Client],B81,Horo8291[Durée]) / Total)=0,"",(SUMIF(Horo8291[Client],B81,Horo8291[Durée]) / Total))</f>
        <v>0.00649350649350654</v>
      </c>
      <c r="B81" s="72" t="s">
        <v>81</v>
      </c>
      <c r="C81" s="69" t="n">
        <f aca="false">IF(SUMIF(Horo8291[Client],B81,Horo8291[Durée])=0,"",SUMIF(Horo8291[Client],B81,Horo8291[Durée]))</f>
        <v>0.250000000000002</v>
      </c>
    </row>
    <row r="82" customFormat="false" ht="15" hidden="true" customHeight="false" outlineLevel="1" collapsed="false"/>
    <row r="83" customFormat="false" ht="15" hidden="true" customHeight="false" outlineLevel="1" collapsed="false"/>
    <row r="84" customFormat="false" ht="15" hidden="true" customHeight="false" outlineLevel="1" collapsed="false"/>
    <row r="85" customFormat="false" ht="15" hidden="true" customHeight="false" outlineLevel="1" collapsed="false"/>
    <row r="86" customFormat="false" ht="15" hidden="true" customHeight="false" outlineLevel="1" collapsed="false"/>
    <row r="87" customFormat="false" ht="15" hidden="true" customHeight="false" outlineLevel="1" collapsed="false"/>
    <row r="88" customFormat="false" ht="15" hidden="true" customHeight="false" outlineLevel="1" collapsed="false"/>
    <row r="89" customFormat="false" ht="15" hidden="true" customHeight="false" outlineLevel="1" collapsed="false"/>
    <row r="90" customFormat="false" ht="15" hidden="true" customHeight="false" outlineLevel="1" collapsed="false"/>
  </sheetData>
  <conditionalFormatting sqref="H4:H46">
    <cfRule type="expression" priority="2" aboveAverage="0" equalAverage="0" bottom="0" percent="0" rank="0" text="" dxfId="501">
      <formula>A4="O"</formula>
    </cfRule>
  </conditionalFormatting>
  <conditionalFormatting sqref="K4:K46">
    <cfRule type="expression" priority="3" aboveAverage="0" equalAverage="0" bottom="0" percent="0" rank="0" text="" dxfId="502">
      <formula>A4="O"</formula>
    </cfRule>
    <cfRule type="expression" priority="4" aboveAverage="0" equalAverage="0" bottom="0" percent="0" rank="0" text="" dxfId="503">
      <formula>A4="O"</formula>
    </cfRule>
  </conditionalFormatting>
  <conditionalFormatting sqref="C4:C46">
    <cfRule type="expression" priority="5" aboveAverage="0" equalAverage="0" bottom="0" percent="0" rank="0" text="" dxfId="504">
      <formula>A4="O"</formula>
    </cfRule>
    <cfRule type="containsText" priority="6" operator="containsText" aboveAverage="0" equalAverage="0" bottom="0" percent="0" rank="0" text="Dimanche" dxfId="505">
      <formula>NOT(ISERROR(SEARCH("Dimanche",C4)))</formula>
    </cfRule>
    <cfRule type="containsText" priority="7" operator="containsText" aboveAverage="0" equalAverage="0" bottom="0" percent="0" rank="0" text="Samedi" dxfId="506">
      <formula>NOT(ISERROR(SEARCH("Samedi",C4)))</formula>
    </cfRule>
    <cfRule type="containsText" priority="8" operator="containsText" aboveAverage="0" equalAverage="0" bottom="0" percent="0" rank="0" text="Vendredi" dxfId="507">
      <formula>NOT(ISERROR(SEARCH("Vendredi",C4)))</formula>
    </cfRule>
    <cfRule type="containsText" priority="9" operator="containsText" aboveAverage="0" equalAverage="0" bottom="0" percent="0" rank="0" text="Jeudi" dxfId="508">
      <formula>NOT(ISERROR(SEARCH("Jeudi",C4)))</formula>
    </cfRule>
    <cfRule type="containsText" priority="10" operator="containsText" aboveAverage="0" equalAverage="0" bottom="0" percent="0" rank="0" text="Mercredi" dxfId="509">
      <formula>NOT(ISERROR(SEARCH("Mercredi",C4)))</formula>
    </cfRule>
    <cfRule type="containsText" priority="11" operator="containsText" aboveAverage="0" equalAverage="0" bottom="0" percent="0" rank="0" text="Mardi" dxfId="510">
      <formula>NOT(ISERROR(SEARCH("Mardi",C4)))</formula>
    </cfRule>
    <cfRule type="containsText" priority="12" operator="containsText" aboveAverage="0" equalAverage="0" bottom="0" percent="0" rank="0" text="Lundi" dxfId="511">
      <formula>NOT(ISERROR(SEARCH("Lundi",C4)))</formula>
    </cfRule>
  </conditionalFormatting>
  <conditionalFormatting sqref="G4:G46">
    <cfRule type="expression" priority="13" aboveAverage="0" equalAverage="0" bottom="0" percent="0" rank="0" text="" dxfId="512">
      <formula>A4="O"</formula>
    </cfRule>
  </conditionalFormatting>
  <conditionalFormatting sqref="I4:I46">
    <cfRule type="expression" priority="14" aboveAverage="0" equalAverage="0" bottom="0" percent="0" rank="0" text="" dxfId="513">
      <formula>A4="O"</formula>
    </cfRule>
  </conditionalFormatting>
  <conditionalFormatting sqref="J4:J46">
    <cfRule type="expression" priority="15" aboveAverage="0" equalAverage="0" bottom="0" percent="0" rank="0" text="" dxfId="514">
      <formula>A4="O"</formula>
    </cfRule>
  </conditionalFormatting>
  <conditionalFormatting sqref="F4:F46">
    <cfRule type="expression" priority="16" aboveAverage="0" equalAverage="0" bottom="0" percent="0" rank="0" text="" dxfId="515">
      <formula>A4="O"</formula>
    </cfRule>
  </conditionalFormatting>
  <conditionalFormatting sqref="B4:B46">
    <cfRule type="cellIs" priority="17" operator="equal" aboveAverage="0" equalAverage="0" bottom="0" percent="0" rank="0" text="" dxfId="516">
      <formula>0</formula>
    </cfRule>
    <cfRule type="expression" priority="18" aboveAverage="0" equalAverage="0" bottom="0" percent="0" rank="0" text="" dxfId="517">
      <formula>A4="O"</formula>
    </cfRule>
    <cfRule type="colorScale" priority="19">
      <colorScale>
        <cfvo type="percentile" val="10"/>
        <cfvo type="percentile" val="50"/>
        <cfvo type="percentile" val="90"/>
        <color rgb="FFFFC000"/>
        <color rgb="FFC55A11"/>
        <color rgb="FF2E75B6"/>
      </colorScale>
    </cfRule>
  </conditionalFormatting>
  <conditionalFormatting sqref="D4:D46">
    <cfRule type="expression" priority="20" aboveAverage="0" equalAverage="0" bottom="0" percent="0" rank="0" text="" dxfId="518">
      <formula>A4="O"</formula>
    </cfRule>
    <cfRule type="colorScale" priority="21">
      <colorScale>
        <cfvo type="min" val="0"/>
        <cfvo type="percentile" val="50"/>
        <cfvo type="max" val="0"/>
        <color rgb="FFFFC000"/>
        <color rgb="FFC55A11"/>
        <color rgb="FF2E75B6"/>
      </colorScale>
    </cfRule>
  </conditionalFormatting>
  <conditionalFormatting sqref="E4:E46">
    <cfRule type="expression" priority="22" aboveAverage="0" equalAverage="0" bottom="0" percent="0" rank="0" text="" dxfId="519">
      <formula>A4="O"</formula>
    </cfRule>
    <cfRule type="colorScale" priority="23">
      <colorScale>
        <cfvo type="min" val="0"/>
        <cfvo type="percentile" val="50"/>
        <cfvo type="max" val="0"/>
        <color rgb="FFFFC000"/>
        <color rgb="FFC55A11"/>
        <color rgb="FF2E75B6"/>
      </colorScale>
    </cfRule>
  </conditionalFormatting>
  <dataValidations count="5">
    <dataValidation allowBlank="true" errorStyle="stop" operator="between" showDropDown="false" showErrorMessage="true" showInputMessage="true" sqref="C4:C46" type="list">
      <formula1>Data!$C$2:$C$8</formula1>
      <formula2>0</formula2>
    </dataValidation>
    <dataValidation allowBlank="false" errorStyle="stop" operator="between" showDropDown="false" showErrorMessage="true" showInputMessage="true" sqref="F4:F46" type="list">
      <formula1>Data!$E$2:$E$30</formula1>
      <formula2>0</formula2>
    </dataValidation>
    <dataValidation allowBlank="true" errorStyle="information" errorTitle="OK ?" operator="between" showDropDown="false" showErrorMessage="true" showInputMessage="true" sqref="G4:G46" type="list">
      <formula1>Data!$D$2:$D$16</formula1>
      <formula2>0</formula2>
    </dataValidation>
    <dataValidation allowBlank="false" errorStyle="stop" operator="between" showDropDown="false" showErrorMessage="true" showInputMessage="true" sqref="H4:H46" type="list">
      <formula1>Data!$F$2:$F$50</formula1>
      <formula2>0</formula2>
    </dataValidation>
    <dataValidation allowBlank="true" errorStyle="stop" operator="between" showDropDown="false" showErrorMessage="true" showInputMessage="true" sqref="C1" type="list">
      <formula1>Data!$A$2:$A$106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  <tableParts>
    <tablePart r:id="rId2"/>
    <tablePart r:id="rId3"/>
  </tableParts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E79"/>
  <sheetViews>
    <sheetView showFormulas="false" showGridLines="true" showRowColHeaders="true" showZeros="true" rightToLeft="false" tabSelected="false" showOutlineSymbols="true" defaultGridColor="true" view="normal" topLeftCell="B1" colorId="64" zoomScale="100" zoomScaleNormal="100" zoomScalePageLayoutView="100" workbookViewId="0">
      <selection pane="topLeft" activeCell="H28" activeCellId="0" sqref="H28"/>
    </sheetView>
  </sheetViews>
  <sheetFormatPr defaultColWidth="9.1484375" defaultRowHeight="15" zeroHeight="false" outlineLevelRow="1" outlineLevelCol="0"/>
  <cols>
    <col collapsed="false" customWidth="true" hidden="false" outlineLevel="0" max="1" min="1" style="1" width="5.57"/>
    <col collapsed="false" customWidth="true" hidden="false" outlineLevel="0" max="2" min="2" style="1" width="19.42"/>
    <col collapsed="false" customWidth="true" hidden="false" outlineLevel="0" max="3" min="3" style="1" width="18.29"/>
    <col collapsed="false" customWidth="true" hidden="false" outlineLevel="0" max="4" min="4" style="1" width="13.42"/>
    <col collapsed="false" customWidth="true" hidden="false" outlineLevel="0" max="5" min="5" style="1" width="10.57"/>
    <col collapsed="false" customWidth="true" hidden="false" outlineLevel="0" max="6" min="6" style="1" width="19"/>
    <col collapsed="false" customWidth="true" hidden="false" outlineLevel="0" max="7" min="7" style="1" width="11.43"/>
    <col collapsed="false" customWidth="true" hidden="false" outlineLevel="0" max="8" min="8" style="1" width="14.57"/>
    <col collapsed="false" customWidth="true" hidden="false" outlineLevel="0" max="9" min="9" style="1" width="16"/>
    <col collapsed="false" customWidth="true" hidden="false" outlineLevel="0" max="10" min="10" style="1" width="9.71"/>
    <col collapsed="false" customWidth="true" hidden="false" outlineLevel="0" max="11" min="11" style="1" width="7.29"/>
    <col collapsed="false" customWidth="true" hidden="false" outlineLevel="0" max="12" min="12" style="2" width="9.86"/>
    <col collapsed="false" customWidth="true" hidden="false" outlineLevel="0" max="13" min="13" style="1" width="6.14"/>
    <col collapsed="false" customWidth="true" hidden="false" outlineLevel="0" max="14" min="14" style="1" width="5"/>
    <col collapsed="false" customWidth="true" hidden="false" outlineLevel="0" max="15" min="15" style="1" width="5.57"/>
    <col collapsed="false" customWidth="true" hidden="false" outlineLevel="0" max="17" min="16" style="1" width="6.14"/>
    <col collapsed="false" customWidth="true" hidden="false" outlineLevel="0" max="18" min="18" style="1" width="8.29"/>
    <col collapsed="false" customWidth="true" hidden="false" outlineLevel="0" max="20" min="19" style="1" width="5"/>
    <col collapsed="false" customWidth="true" hidden="false" outlineLevel="0" max="23" min="21" style="1" width="6.14"/>
    <col collapsed="false" customWidth="true" hidden="false" outlineLevel="0" max="24" min="24" style="1" width="12.71"/>
    <col collapsed="false" customWidth="false" hidden="false" outlineLevel="0" max="31" min="25" style="1" width="9.14"/>
    <col collapsed="false" customWidth="true" hidden="false" outlineLevel="0" max="32" min="32" style="1" width="9.57"/>
    <col collapsed="false" customWidth="false" hidden="false" outlineLevel="0" max="16384" min="33" style="1" width="9.14"/>
  </cols>
  <sheetData>
    <row r="1" customFormat="false" ht="17.35" hidden="false" customHeight="false" outlineLevel="0" collapsed="false">
      <c r="A1" s="3"/>
      <c r="B1" s="4" t="s">
        <v>250</v>
      </c>
      <c r="C1" s="5" t="n">
        <v>44347</v>
      </c>
      <c r="D1" s="6" t="str">
        <f aca="false">"( "&amp;AVERAGE($E$2:$I$2)&amp;" )"</f>
        <v>( 8 )</v>
      </c>
      <c r="E1" s="7" t="str">
        <f aca="false">IFERROR("Lun.: " &amp; TEXT($Y$2,"00%"),"Lun.: 0%")</f>
        <v>Lun.: 06%</v>
      </c>
      <c r="F1" s="8" t="str">
        <f aca="false">IFERROR("Mar.: " &amp; TEXT($Z$2,"00%"),"Mar.: 0%")</f>
        <v>Mar.: 13%</v>
      </c>
      <c r="G1" s="8" t="str">
        <f aca="false">IFERROR("Mer.: " &amp; TEXT($AA$2,"00%"),"Mer.: 0%")</f>
        <v>Mer.: 13%</v>
      </c>
      <c r="H1" s="8" t="str">
        <f aca="false">IFERROR("Jeu.: " &amp; TEXT($AB$2,"00%"),"Jeu.: 0%")</f>
        <v>Jeu.: 27%</v>
      </c>
      <c r="I1" s="8" t="str">
        <f aca="false">IFERROR("Ven.: " &amp; TEXT($AC$2,"00%"),"Ven.: 0%")</f>
        <v>Ven.: 06%</v>
      </c>
      <c r="J1" s="9" t="str">
        <f aca="false">IFERROR("S.: " &amp; TEXT($AD$2,"00%"),"S.: 0%")</f>
        <v>S.: 0%</v>
      </c>
      <c r="K1" s="10" t="str">
        <f aca="false">IFERROR("D.: " &amp; TEXT($AE$2,"00%"), "D.: 0%")</f>
        <v>D.: 0%</v>
      </c>
      <c r="L1" s="11"/>
      <c r="M1" s="12" t="n">
        <f aca="false">M2/Total</f>
        <v>0.12987012987013</v>
      </c>
      <c r="N1" s="12" t="n">
        <f aca="false">N2/$C$2</f>
        <v>0.0125</v>
      </c>
      <c r="O1" s="12" t="n">
        <f aca="false">O2/$C$2</f>
        <v>0.0875</v>
      </c>
      <c r="P1" s="12" t="n">
        <f aca="false">P2/$C$2</f>
        <v>0.4625</v>
      </c>
      <c r="Q1" s="12" t="n">
        <f aca="false">Q2/$C$2</f>
        <v>0.2375</v>
      </c>
      <c r="R1" s="13" t="n">
        <f aca="false">R2/$C$2</f>
        <v>0.075</v>
      </c>
      <c r="S1" s="13" t="n">
        <f aca="false">S2/$C$2</f>
        <v>0</v>
      </c>
      <c r="T1" s="13" t="n">
        <f aca="false">T2/$C$2</f>
        <v>0</v>
      </c>
      <c r="U1" s="14" t="n">
        <f aca="false">U2/$C$2</f>
        <v>0</v>
      </c>
      <c r="V1" s="112"/>
      <c r="W1" s="16"/>
      <c r="X1" s="17" t="e">
        <f aca="false">SUM(#REF!)</f>
        <v>#REF!</v>
      </c>
      <c r="Y1" s="18" t="s">
        <v>0</v>
      </c>
      <c r="Z1" s="18" t="s">
        <v>1</v>
      </c>
      <c r="AA1" s="18" t="s">
        <v>2</v>
      </c>
      <c r="AB1" s="18" t="s">
        <v>3</v>
      </c>
      <c r="AC1" s="18" t="s">
        <v>4</v>
      </c>
      <c r="AD1" s="18" t="s">
        <v>5</v>
      </c>
      <c r="AE1" s="18" t="s">
        <v>6</v>
      </c>
    </row>
    <row r="2" customFormat="false" ht="22.05" hidden="false" customHeight="false" outlineLevel="0" collapsed="false">
      <c r="A2" s="3"/>
      <c r="B2" s="19" t="n">
        <f aca="false">X2</f>
        <v>0.0985915492957746</v>
      </c>
      <c r="C2" s="20" t="n">
        <f aca="false">SUM(Horo8289[Durée])</f>
        <v>40</v>
      </c>
      <c r="D2" s="21" t="str">
        <f aca="false">ROUND(SUM(Horo8289[T]),2) &amp; " / " &amp; ROUND($C$2-SUM(Horo8289[T]),2)</f>
        <v>37 / 3</v>
      </c>
      <c r="E2" s="22" t="n">
        <f aca="false">SUMIF(Horo8289[Jour],"Lundi",Horo8289[Durée])</f>
        <v>8</v>
      </c>
      <c r="F2" s="23" t="n">
        <f aca="false">SUMIF(Horo8289[Jour],"Mardi",Horo8289[Durée])</f>
        <v>8</v>
      </c>
      <c r="G2" s="23" t="n">
        <f aca="false">SUMIF(Horo8289[Jour],"Mercredi",Horo8289[Durée])</f>
        <v>8</v>
      </c>
      <c r="H2" s="23" t="n">
        <f aca="false">SUMIF(Horo8289[Jour],"Jeudi",Horo8289[Durée])</f>
        <v>7.5</v>
      </c>
      <c r="I2" s="23" t="n">
        <f aca="false">SUMIF(Horo8289[Jour],"Vendredi",Horo8289[Durée])</f>
        <v>8.5</v>
      </c>
      <c r="J2" s="23" t="n">
        <f aca="false">SUMIF(Horo8289[Jour],"Samedi",Horo8289[Durée])</f>
        <v>0</v>
      </c>
      <c r="K2" s="23" t="n">
        <f aca="false">SUMIF(Horo8289[Jour],"Dimanche",Horo8289[Durée])</f>
        <v>0</v>
      </c>
      <c r="L2" s="24"/>
      <c r="M2" s="25" t="n">
        <f aca="false">SUM(Horo8289[GPF])</f>
        <v>5</v>
      </c>
      <c r="N2" s="25" t="n">
        <f aca="false">SUM(Horo8289[RI])</f>
        <v>0.500000000000001</v>
      </c>
      <c r="O2" s="25" t="n">
        <f aca="false">SUM(Horo8289[GB])</f>
        <v>3.5</v>
      </c>
      <c r="P2" s="25" t="n">
        <f aca="false">SUM(Horo8289[RD])</f>
        <v>18.5</v>
      </c>
      <c r="Q2" s="25" t="n">
        <f aca="false">SUM(Horo8289[FG])</f>
        <v>9.5</v>
      </c>
      <c r="R2" s="26" t="n">
        <f aca="false">SUM(Horo8289[CONGÉ])</f>
        <v>3</v>
      </c>
      <c r="S2" s="26" t="n">
        <f aca="false">SUM(Horo8289[PS])</f>
        <v>0</v>
      </c>
      <c r="T2" s="26" t="n">
        <f aca="false">SUM(Horo8289[TD])</f>
        <v>0</v>
      </c>
      <c r="U2" s="27" t="n">
        <f aca="false">SUM(Horo8289[N/C])</f>
        <v>0</v>
      </c>
      <c r="V2" s="17" t="n">
        <f aca="false">(Total-(SUM(N2:U2)))</f>
        <v>3.5</v>
      </c>
      <c r="W2" s="17" t="n">
        <f aca="false">Total-(R2+S2+T2+U2)</f>
        <v>35.5</v>
      </c>
      <c r="X2" s="28" t="n">
        <f aca="false">V2/W2</f>
        <v>0.0985915492957746</v>
      </c>
      <c r="Y2" s="29" t="n">
        <f aca="false">SUMIF(Horo8289[Jour],"Lundi",Horo8289[GPF]) / $E$2</f>
        <v>0.0625</v>
      </c>
      <c r="Z2" s="29" t="n">
        <f aca="false">SUMIF(Horo8289[Jour],"Mardi",Horo8289[GPF]) / $F$2</f>
        <v>0.125</v>
      </c>
      <c r="AA2" s="29" t="n">
        <f aca="false">SUMIF(Horo8289[Jour],"Mercredi",Horo8289[GPF]) / $G$2</f>
        <v>0.125</v>
      </c>
      <c r="AB2" s="29" t="n">
        <f aca="false">SUMIF(Horo8289[Jour],"Jeudi",Horo8289[GPF]) / $H$2</f>
        <v>0.266666666666667</v>
      </c>
      <c r="AC2" s="29" t="n">
        <f aca="false">SUMIF(Horo8289[Jour],"Vendredi",Horo8289[GPF]) / $I$2</f>
        <v>0.0588235294117647</v>
      </c>
      <c r="AD2" s="29" t="e">
        <f aca="false">SUMIF(Horo8289[Jour],"Samedi",Horo8289[GPF]) / $J$2</f>
        <v>#DIV/0!</v>
      </c>
      <c r="AE2" s="29" t="e">
        <f aca="false">SUMIF(Horo8289[Jour],"Dimanche",Horo8289[GPF]) / $K$2</f>
        <v>#DIV/0!</v>
      </c>
    </row>
    <row r="3" customFormat="false" ht="15" hidden="false" customHeight="false" outlineLevel="0" collapsed="false">
      <c r="A3" s="30" t="s">
        <v>7</v>
      </c>
      <c r="B3" s="31" t="s">
        <v>8</v>
      </c>
      <c r="C3" s="31" t="s">
        <v>9</v>
      </c>
      <c r="D3" s="32" t="s">
        <v>10</v>
      </c>
      <c r="E3" s="33" t="s">
        <v>11</v>
      </c>
      <c r="F3" s="34" t="s">
        <v>12</v>
      </c>
      <c r="G3" s="34" t="s">
        <v>13</v>
      </c>
      <c r="H3" s="34" t="s">
        <v>14</v>
      </c>
      <c r="I3" s="35" t="s">
        <v>15</v>
      </c>
      <c r="J3" s="36" t="s">
        <v>16</v>
      </c>
      <c r="K3" s="36" t="s">
        <v>17</v>
      </c>
      <c r="L3" s="37" t="s">
        <v>18</v>
      </c>
      <c r="M3" s="38" t="s">
        <v>19</v>
      </c>
      <c r="N3" s="39" t="s">
        <v>20</v>
      </c>
      <c r="O3" s="39" t="s">
        <v>21</v>
      </c>
      <c r="P3" s="39" t="s">
        <v>22</v>
      </c>
      <c r="Q3" s="39" t="s">
        <v>23</v>
      </c>
      <c r="R3" s="40" t="s">
        <v>24</v>
      </c>
      <c r="S3" s="40" t="s">
        <v>25</v>
      </c>
      <c r="T3" s="41" t="s">
        <v>26</v>
      </c>
      <c r="U3" s="41" t="s">
        <v>27</v>
      </c>
      <c r="V3" s="42" t="s">
        <v>28</v>
      </c>
      <c r="W3" s="43" t="s">
        <v>29</v>
      </c>
      <c r="X3" s="44" t="s">
        <v>30</v>
      </c>
    </row>
    <row r="4" customFormat="false" ht="15" hidden="false" customHeight="false" outlineLevel="0" collapsed="false">
      <c r="A4" s="45" t="s">
        <v>31</v>
      </c>
      <c r="B4" s="111" t="n">
        <f aca="false">IF(Horo8289[[#This Row],[Jour]]="Lundi",$C$1+1, IF(Horo8289[[#This Row],[Jour]]="Mardi",$C$1+2, IF(Horo8289[[#This Row],[Jour]]="Mercredi",$C$1+3, IF(Horo8289[[#This Row],[Jour]]="Jeudi",$C$1+4, IF(Horo8289[[#This Row],[Jour]]="Vendredi",$C$1+5, IF(Horo8289[[#This Row],[Jour]]="Samedi",$C$1+6, IF(Horo8289[[#This Row],[Jour]]="Dimanche",$C$1, )))))))</f>
        <v>44348</v>
      </c>
      <c r="C4" s="47" t="s">
        <v>0</v>
      </c>
      <c r="D4" s="48" t="n">
        <v>0.322916666666667</v>
      </c>
      <c r="E4" s="48" t="n">
        <v>0.364583333333333</v>
      </c>
      <c r="F4" s="49" t="s">
        <v>32</v>
      </c>
      <c r="G4" s="49" t="s">
        <v>21</v>
      </c>
      <c r="H4" s="50" t="s">
        <v>94</v>
      </c>
      <c r="I4" s="61"/>
      <c r="J4" s="52" t="n">
        <f aca="false">IF(Horo8289[[#This Row],[Début]]=0,"",(Horo8289[[#This Row],[Durée (60)2]]-INT(Horo8289[[#This Row],[Durée (60)2]]))*24)</f>
        <v>0.999999999999999</v>
      </c>
      <c r="K4" s="53" t="n">
        <f aca="false">SUMIF(Horo8289[Jour],C4,Horo8289[Durée])</f>
        <v>8</v>
      </c>
      <c r="L4" s="54" t="n">
        <f aca="false">IFERROR(SUMIF(Horo8289[[#This Row],[Jour]],Horo8289[[#This Row],[Jour]],Horo8289[[#This Row],[GPF]]) / Horo8289[[#This Row],[hrs]],"")</f>
        <v>0</v>
      </c>
      <c r="M4" s="55" t="str">
        <f aca="false">IF("GPF"=Horo8289[[#This Row],[Tâche]],Horo8289[[#This Row],[Durée]],"")</f>
        <v/>
      </c>
      <c r="N4" s="56" t="str">
        <f aca="false">IF("RI"=Horo8289[[#This Row],[Tâche]],Horo8289[[#This Row],[Durée]],"")</f>
        <v/>
      </c>
      <c r="O4" s="56" t="n">
        <f aca="false">IF("GB"=Horo8289[[#This Row],[Tâche]],Horo8289[[#This Row],[Durée]],"")</f>
        <v>0.999999999999999</v>
      </c>
      <c r="P4" s="56" t="str">
        <f aca="false">IF("RD"=Horo8289[[#This Row],[Tâche]],Horo8289[[#This Row],[Durée]],"")</f>
        <v/>
      </c>
      <c r="Q4" s="56" t="str">
        <f aca="false">IF("FG"=Horo8289[[#This Row],[Tâche]],Horo8289[[#This Row],[Durée]],"")</f>
        <v/>
      </c>
      <c r="R4" s="56" t="str">
        <f aca="false">IF("CONGÉ"=Horo8289[[#This Row],[Tâche]],Horo8289[[#This Row],[Durée]],"")</f>
        <v/>
      </c>
      <c r="S4" s="57" t="str">
        <f aca="false">IF("PS"=Horo8289[[#This Row],[Tâche]],Horo8289[[#This Row],[Durée]],"")</f>
        <v/>
      </c>
      <c r="T4" s="56" t="str">
        <f aca="false">IF("TD"=Horo8289[[#This Row],[Tâche]],Horo8289[[#This Row],[Durée]],"")</f>
        <v/>
      </c>
      <c r="U4" s="55" t="str">
        <f aca="false">IF("N/C"=Horo8289[[#This Row],[Tâche]],Horo8289[[#This Row],[Durée]],"")</f>
        <v/>
      </c>
      <c r="V4" s="58"/>
      <c r="W4" s="59" t="n">
        <f aca="false">IF(Horo8289[[#This Row],[O]]="o",Horo8289[[#This Row],[Durée]],".")</f>
        <v>0.999999999999999</v>
      </c>
      <c r="X4" s="60" t="n">
        <f aca="false">IF(Horo8289[[#This Row],[Début]]=0,"",Horo8289[[#This Row],[Fin]]-Horo8289[[#This Row],[Début]])</f>
        <v>0.0416666666666666</v>
      </c>
    </row>
    <row r="5" customFormat="false" ht="15" hidden="false" customHeight="false" outlineLevel="0" collapsed="false">
      <c r="A5" s="45" t="s">
        <v>31</v>
      </c>
      <c r="B5" s="111" t="n">
        <f aca="false">IF(Horo8289[[#This Row],[Jour]]="Lundi",$C$1+1, IF(Horo8289[[#This Row],[Jour]]="Mardi",$C$1+2, IF(Horo8289[[#This Row],[Jour]]="Mercredi",$C$1+3, IF(Horo8289[[#This Row],[Jour]]="Jeudi",$C$1+4, IF(Horo8289[[#This Row],[Jour]]="Vendredi",$C$1+5, IF(Horo8289[[#This Row],[Jour]]="Samedi",$C$1+6, IF(Horo8289[[#This Row],[Jour]]="Dimanche",$C$1, )))))))</f>
        <v>44348</v>
      </c>
      <c r="C5" s="47" t="s">
        <v>0</v>
      </c>
      <c r="D5" s="48" t="n">
        <v>0.364583333333333</v>
      </c>
      <c r="E5" s="48" t="n">
        <v>0.385416666666667</v>
      </c>
      <c r="F5" s="49" t="s">
        <v>32</v>
      </c>
      <c r="G5" s="49" t="s">
        <v>20</v>
      </c>
      <c r="H5" s="50" t="s">
        <v>121</v>
      </c>
      <c r="I5" s="61"/>
      <c r="J5" s="52" t="n">
        <f aca="false">IF(Horo8289[[#This Row],[Début]]=0,"",(Horo8289[[#This Row],[Durée (60)2]]-INT(Horo8289[[#This Row],[Durée (60)2]]))*24)</f>
        <v>0.500000000000001</v>
      </c>
      <c r="K5" s="53" t="n">
        <f aca="false">SUMIF(Horo8289[Jour],C5,Horo8289[Durée])</f>
        <v>8</v>
      </c>
      <c r="L5" s="54" t="n">
        <f aca="false">IFERROR(SUMIF(Horo8289[[#This Row],[Jour]],Horo8289[[#This Row],[Jour]],Horo8289[[#This Row],[GPF]]) / Horo8289[[#This Row],[hrs]],"")</f>
        <v>0</v>
      </c>
      <c r="M5" s="55" t="str">
        <f aca="false">IF("GPF"=Horo8289[[#This Row],[Tâche]],Horo8289[[#This Row],[Durée]],"")</f>
        <v/>
      </c>
      <c r="N5" s="56" t="n">
        <f aca="false">IF("RI"=Horo8289[[#This Row],[Tâche]],Horo8289[[#This Row],[Durée]],"")</f>
        <v>0.500000000000001</v>
      </c>
      <c r="O5" s="56" t="str">
        <f aca="false">IF("GB"=Horo8289[[#This Row],[Tâche]],Horo8289[[#This Row],[Durée]],"")</f>
        <v/>
      </c>
      <c r="P5" s="56" t="str">
        <f aca="false">IF("RD"=Horo8289[[#This Row],[Tâche]],Horo8289[[#This Row],[Durée]],"")</f>
        <v/>
      </c>
      <c r="Q5" s="56" t="str">
        <f aca="false">IF("FG"=Horo8289[[#This Row],[Tâche]],Horo8289[[#This Row],[Durée]],"")</f>
        <v/>
      </c>
      <c r="R5" s="56" t="str">
        <f aca="false">IF("CONGÉ"=Horo8289[[#This Row],[Tâche]],Horo8289[[#This Row],[Durée]],"")</f>
        <v/>
      </c>
      <c r="S5" s="57" t="str">
        <f aca="false">IF("PS"=Horo8289[[#This Row],[Tâche]],Horo8289[[#This Row],[Durée]],"")</f>
        <v/>
      </c>
      <c r="T5" s="56" t="str">
        <f aca="false">IF("TD"=Horo8289[[#This Row],[Tâche]],Horo8289[[#This Row],[Durée]],"")</f>
        <v/>
      </c>
      <c r="U5" s="55" t="str">
        <f aca="false">IF("N/C"=Horo8289[[#This Row],[Tâche]],Horo8289[[#This Row],[Durée]],"")</f>
        <v/>
      </c>
      <c r="V5" s="58"/>
      <c r="W5" s="59" t="n">
        <f aca="false">IF(Horo8289[[#This Row],[O]]="o",Horo8289[[#This Row],[Durée]],".")</f>
        <v>0.500000000000001</v>
      </c>
      <c r="X5" s="60" t="n">
        <f aca="false">IF(Horo8289[[#This Row],[Début]]=0,"",Horo8289[[#This Row],[Fin]]-Horo8289[[#This Row],[Début]])</f>
        <v>0.0208333333333334</v>
      </c>
    </row>
    <row r="6" customFormat="false" ht="15" hidden="false" customHeight="false" outlineLevel="0" collapsed="false">
      <c r="A6" s="45" t="s">
        <v>31</v>
      </c>
      <c r="B6" s="111" t="n">
        <f aca="false">IF(Horo8289[[#This Row],[Jour]]="Lundi",$C$1+1, IF(Horo8289[[#This Row],[Jour]]="Mardi",$C$1+2, IF(Horo8289[[#This Row],[Jour]]="Mercredi",$C$1+3, IF(Horo8289[[#This Row],[Jour]]="Jeudi",$C$1+4, IF(Horo8289[[#This Row],[Jour]]="Vendredi",$C$1+5, IF(Horo8289[[#This Row],[Jour]]="Samedi",$C$1+6, IF(Horo8289[[#This Row],[Jour]]="Dimanche",$C$1, )))))))</f>
        <v>44348</v>
      </c>
      <c r="C6" s="47" t="s">
        <v>0</v>
      </c>
      <c r="D6" s="48" t="n">
        <v>0.395833333333333</v>
      </c>
      <c r="E6" s="48" t="n">
        <v>0.40625</v>
      </c>
      <c r="F6" s="49" t="s">
        <v>37</v>
      </c>
      <c r="G6" s="49" t="s">
        <v>19</v>
      </c>
      <c r="H6" s="50" t="s">
        <v>55</v>
      </c>
      <c r="I6" s="61"/>
      <c r="J6" s="52" t="n">
        <f aca="false">IF(Horo8289[[#This Row],[Début]]=0,"",(Horo8289[[#This Row],[Durée (60)2]]-INT(Horo8289[[#This Row],[Durée (60)2]]))*24)</f>
        <v>0.25</v>
      </c>
      <c r="K6" s="62" t="n">
        <f aca="false">SUMIF(Horo8289[Jour],C6,Horo8289[Durée])</f>
        <v>8</v>
      </c>
      <c r="L6" s="54" t="n">
        <f aca="false">IFERROR(SUMIF(Horo8289[[#This Row],[Jour]],Horo8289[[#This Row],[Jour]],Horo8289[[#This Row],[GPF]]) / Horo8289[[#This Row],[hrs]],"")</f>
        <v>0.0312500000000001</v>
      </c>
      <c r="M6" s="56" t="n">
        <f aca="false">IF("GPF"=Horo8289[[#This Row],[Tâche]],Horo8289[[#This Row],[Durée]],"")</f>
        <v>0.25</v>
      </c>
      <c r="N6" s="56" t="str">
        <f aca="false">IF("RI"=Horo8289[[#This Row],[Tâche]],Horo8289[[#This Row],[Durée]],"")</f>
        <v/>
      </c>
      <c r="O6" s="56" t="str">
        <f aca="false">IF("GB"=Horo8289[[#This Row],[Tâche]],Horo8289[[#This Row],[Durée]],"")</f>
        <v/>
      </c>
      <c r="P6" s="56" t="str">
        <f aca="false">IF("RD"=Horo8289[[#This Row],[Tâche]],Horo8289[[#This Row],[Durée]],"")</f>
        <v/>
      </c>
      <c r="Q6" s="56" t="str">
        <f aca="false">IF("FG"=Horo8289[[#This Row],[Tâche]],Horo8289[[#This Row],[Durée]],"")</f>
        <v/>
      </c>
      <c r="R6" s="56" t="str">
        <f aca="false">IF("CONGÉ"=Horo8289[[#This Row],[Tâche]],Horo8289[[#This Row],[Durée]],"")</f>
        <v/>
      </c>
      <c r="S6" s="57" t="str">
        <f aca="false">IF("PS"=Horo8289[[#This Row],[Tâche]],Horo8289[[#This Row],[Durée]],"")</f>
        <v/>
      </c>
      <c r="T6" s="56" t="str">
        <f aca="false">IF("TD"=Horo8289[[#This Row],[Tâche]],Horo8289[[#This Row],[Durée]],"")</f>
        <v/>
      </c>
      <c r="U6" s="55" t="str">
        <f aca="false">IF("N/C"=Horo8289[[#This Row],[Tâche]],Horo8289[[#This Row],[Durée]],"")</f>
        <v/>
      </c>
      <c r="V6" s="58"/>
      <c r="W6" s="59" t="n">
        <f aca="false">IF(Horo8289[[#This Row],[O]]="o",Horo8289[[#This Row],[Durée]],".")</f>
        <v>0.25</v>
      </c>
      <c r="X6" s="60" t="n">
        <f aca="false">IF(Horo8289[[#This Row],[Début]]=0,"",Horo8289[[#This Row],[Fin]]-Horo8289[[#This Row],[Début]])</f>
        <v>0.0104166666666667</v>
      </c>
    </row>
    <row r="7" customFormat="false" ht="15" hidden="false" customHeight="false" outlineLevel="0" collapsed="false">
      <c r="A7" s="45" t="s">
        <v>31</v>
      </c>
      <c r="B7" s="111" t="n">
        <f aca="false">IF(Horo8289[[#This Row],[Jour]]="Lundi",$C$1+1, IF(Horo8289[[#This Row],[Jour]]="Mardi",$C$1+2, IF(Horo8289[[#This Row],[Jour]]="Mercredi",$C$1+3, IF(Horo8289[[#This Row],[Jour]]="Jeudi",$C$1+4, IF(Horo8289[[#This Row],[Jour]]="Vendredi",$C$1+5, IF(Horo8289[[#This Row],[Jour]]="Samedi",$C$1+6, IF(Horo8289[[#This Row],[Jour]]="Dimanche",$C$1, )))))))</f>
        <v>44348</v>
      </c>
      <c r="C7" s="47" t="s">
        <v>0</v>
      </c>
      <c r="D7" s="48" t="n">
        <v>0.416666666666667</v>
      </c>
      <c r="E7" s="48" t="n">
        <v>0.458333333333333</v>
      </c>
      <c r="F7" s="49" t="s">
        <v>61</v>
      </c>
      <c r="G7" s="49" t="s">
        <v>23</v>
      </c>
      <c r="H7" s="50" t="s">
        <v>42</v>
      </c>
      <c r="I7" s="61" t="s">
        <v>251</v>
      </c>
      <c r="J7" s="52" t="n">
        <f aca="false">IF(Horo8289[[#This Row],[Début]]=0,"",(Horo8289[[#This Row],[Durée (60)2]]-INT(Horo8289[[#This Row],[Durée (60)2]]))*24)</f>
        <v>0.999999999999999</v>
      </c>
      <c r="K7" s="62" t="n">
        <f aca="false">SUMIF(Horo8289[Jour],C7,Horo8289[Durée])</f>
        <v>8</v>
      </c>
      <c r="L7" s="54" t="n">
        <f aca="false">IFERROR(SUMIF(Horo8289[[#This Row],[Jour]],Horo8289[[#This Row],[Jour]],Horo8289[[#This Row],[GPF]]) / Horo8289[[#This Row],[hrs]],"")</f>
        <v>0</v>
      </c>
      <c r="M7" s="56" t="str">
        <f aca="false">IF("GPF"=Horo8289[[#This Row],[Tâche]],Horo8289[[#This Row],[Durée]],"")</f>
        <v/>
      </c>
      <c r="N7" s="56" t="str">
        <f aca="false">IF("RI"=Horo8289[[#This Row],[Tâche]],Horo8289[[#This Row],[Durée]],"")</f>
        <v/>
      </c>
      <c r="O7" s="56" t="str">
        <f aca="false">IF("GB"=Horo8289[[#This Row],[Tâche]],Horo8289[[#This Row],[Durée]],"")</f>
        <v/>
      </c>
      <c r="P7" s="56" t="str">
        <f aca="false">IF("RD"=Horo8289[[#This Row],[Tâche]],Horo8289[[#This Row],[Durée]],"")</f>
        <v/>
      </c>
      <c r="Q7" s="56" t="n">
        <f aca="false">IF("FG"=Horo8289[[#This Row],[Tâche]],Horo8289[[#This Row],[Durée]],"")</f>
        <v>0.999999999999999</v>
      </c>
      <c r="R7" s="56" t="str">
        <f aca="false">IF("CONGÉ"=Horo8289[[#This Row],[Tâche]],Horo8289[[#This Row],[Durée]],"")</f>
        <v/>
      </c>
      <c r="S7" s="57" t="str">
        <f aca="false">IF("PS"=Horo8289[[#This Row],[Tâche]],Horo8289[[#This Row],[Durée]],"")</f>
        <v/>
      </c>
      <c r="T7" s="56" t="str">
        <f aca="false">IF("TD"=Horo8289[[#This Row],[Tâche]],Horo8289[[#This Row],[Durée]],"")</f>
        <v/>
      </c>
      <c r="U7" s="55" t="str">
        <f aca="false">IF("N/C"=Horo8289[[#This Row],[Tâche]],Horo8289[[#This Row],[Durée]],"")</f>
        <v/>
      </c>
      <c r="V7" s="58"/>
      <c r="W7" s="59" t="n">
        <f aca="false">IF(Horo8289[[#This Row],[O]]="o",Horo8289[[#This Row],[Durée]],".")</f>
        <v>0.999999999999999</v>
      </c>
      <c r="X7" s="60" t="n">
        <f aca="false">IF(Horo8289[[#This Row],[Début]]=0,"",Horo8289[[#This Row],[Fin]]-Horo8289[[#This Row],[Début]])</f>
        <v>0.0416666666666666</v>
      </c>
    </row>
    <row r="8" customFormat="false" ht="15" hidden="false" customHeight="false" outlineLevel="0" collapsed="false">
      <c r="A8" s="45" t="s">
        <v>31</v>
      </c>
      <c r="B8" s="46" t="n">
        <f aca="false">IF(Horo8289[[#This Row],[Jour]]="Lundi",$C$1+1, IF(Horo8289[[#This Row],[Jour]]="Mardi",$C$1+2, IF(Horo8289[[#This Row],[Jour]]="Mercredi",$C$1+3, IF(Horo8289[[#This Row],[Jour]]="Jeudi",$C$1+4, IF(Horo8289[[#This Row],[Jour]]="Vendredi",$C$1+5, IF(Horo8289[[#This Row],[Jour]]="Samedi",$C$1+6, IF(Horo8289[[#This Row],[Jour]]="Dimanche",$C$1, )))))))</f>
        <v>44348</v>
      </c>
      <c r="C8" s="47" t="s">
        <v>0</v>
      </c>
      <c r="D8" s="48" t="n">
        <v>0.458333333333333</v>
      </c>
      <c r="E8" s="48" t="n">
        <v>0.479166666666667</v>
      </c>
      <c r="F8" s="49" t="s">
        <v>32</v>
      </c>
      <c r="G8" s="49" t="s">
        <v>22</v>
      </c>
      <c r="H8" s="50" t="s">
        <v>201</v>
      </c>
      <c r="I8" s="61" t="s">
        <v>252</v>
      </c>
      <c r="J8" s="52" t="n">
        <f aca="false">IF(Horo8289[[#This Row],[Début]]=0,"",(Horo8289[[#This Row],[Durée (60)2]]-INT(Horo8289[[#This Row],[Durée (60)2]]))*24)</f>
        <v>0.500000000000001</v>
      </c>
      <c r="K8" s="62" t="n">
        <f aca="false">SUMIF(Horo8289[Jour],C8,Horo8289[Durée])</f>
        <v>8</v>
      </c>
      <c r="L8" s="54" t="n">
        <f aca="false">IFERROR(SUMIF(Horo8289[[#This Row],[Jour]],Horo8289[[#This Row],[Jour]],Horo8289[[#This Row],[GPF]]) / Horo8289[[#This Row],[hrs]],"")</f>
        <v>0</v>
      </c>
      <c r="M8" s="56" t="str">
        <f aca="false">IF("GPF"=Horo8289[[#This Row],[Tâche]],Horo8289[[#This Row],[Durée]],"")</f>
        <v/>
      </c>
      <c r="N8" s="56" t="str">
        <f aca="false">IF("RI"=Horo8289[[#This Row],[Tâche]],Horo8289[[#This Row],[Durée]],"")</f>
        <v/>
      </c>
      <c r="O8" s="56" t="str">
        <f aca="false">IF("GB"=Horo8289[[#This Row],[Tâche]],Horo8289[[#This Row],[Durée]],"")</f>
        <v/>
      </c>
      <c r="P8" s="56" t="n">
        <f aca="false">IF("RD"=Horo8289[[#This Row],[Tâche]],Horo8289[[#This Row],[Durée]],"")</f>
        <v>0.500000000000001</v>
      </c>
      <c r="Q8" s="56" t="str">
        <f aca="false">IF("FG"=Horo8289[[#This Row],[Tâche]],Horo8289[[#This Row],[Durée]],"")</f>
        <v/>
      </c>
      <c r="R8" s="56" t="str">
        <f aca="false">IF("CONGÉ"=Horo8289[[#This Row],[Tâche]],Horo8289[[#This Row],[Durée]],"")</f>
        <v/>
      </c>
      <c r="S8" s="57" t="str">
        <f aca="false">IF("PS"=Horo8289[[#This Row],[Tâche]],Horo8289[[#This Row],[Durée]],"")</f>
        <v/>
      </c>
      <c r="T8" s="56" t="str">
        <f aca="false">IF("TD"=Horo8289[[#This Row],[Tâche]],Horo8289[[#This Row],[Durée]],"")</f>
        <v/>
      </c>
      <c r="U8" s="55" t="str">
        <f aca="false">IF("N/C"=Horo8289[[#This Row],[Tâche]],Horo8289[[#This Row],[Durée]],"")</f>
        <v/>
      </c>
      <c r="V8" s="58"/>
      <c r="W8" s="59" t="n">
        <f aca="false">IF(Horo8289[[#This Row],[O]]="o",Horo8289[[#This Row],[Durée]],".")</f>
        <v>0.500000000000001</v>
      </c>
      <c r="X8" s="60" t="n">
        <f aca="false">IF(Horo8289[[#This Row],[Début]]=0,"",Horo8289[[#This Row],[Fin]]-Horo8289[[#This Row],[Début]])</f>
        <v>0.0208333333333334</v>
      </c>
    </row>
    <row r="9" customFormat="false" ht="15" hidden="false" customHeight="false" outlineLevel="0" collapsed="false">
      <c r="A9" s="45" t="s">
        <v>31</v>
      </c>
      <c r="B9" s="46" t="n">
        <f aca="false">IF(Horo8289[[#This Row],[Jour]]="Lundi",$C$1+1, IF(Horo8289[[#This Row],[Jour]]="Mardi",$C$1+2, IF(Horo8289[[#This Row],[Jour]]="Mercredi",$C$1+3, IF(Horo8289[[#This Row],[Jour]]="Jeudi",$C$1+4, IF(Horo8289[[#This Row],[Jour]]="Vendredi",$C$1+5, IF(Horo8289[[#This Row],[Jour]]="Samedi",$C$1+6, IF(Horo8289[[#This Row],[Jour]]="Dimanche",$C$1, )))))))</f>
        <v>44348</v>
      </c>
      <c r="C9" s="47" t="s">
        <v>0</v>
      </c>
      <c r="D9" s="48" t="n">
        <v>0.479166666666667</v>
      </c>
      <c r="E9" s="48" t="n">
        <v>0.510416666666667</v>
      </c>
      <c r="F9" s="49" t="s">
        <v>32</v>
      </c>
      <c r="G9" s="49" t="s">
        <v>23</v>
      </c>
      <c r="H9" s="50" t="s">
        <v>201</v>
      </c>
      <c r="I9" s="61"/>
      <c r="J9" s="52" t="n">
        <f aca="false">IF(Horo8289[[#This Row],[Début]]=0,"",(Horo8289[[#This Row],[Durée (60)2]]-INT(Horo8289[[#This Row],[Durée (60)2]]))*24)</f>
        <v>0.749999999999999</v>
      </c>
      <c r="K9" s="62" t="n">
        <f aca="false">SUMIF(Horo8289[Jour],C9,Horo8289[Durée])</f>
        <v>8</v>
      </c>
      <c r="L9" s="54" t="n">
        <f aca="false">IFERROR(SUMIF(Horo8289[[#This Row],[Jour]],Horo8289[[#This Row],[Jour]],Horo8289[[#This Row],[GPF]]) / Horo8289[[#This Row],[hrs]],"")</f>
        <v>0</v>
      </c>
      <c r="M9" s="56" t="str">
        <f aca="false">IF("GPF"=Horo8289[[#This Row],[Tâche]],Horo8289[[#This Row],[Durée]],"")</f>
        <v/>
      </c>
      <c r="N9" s="56" t="str">
        <f aca="false">IF("RI"=Horo8289[[#This Row],[Tâche]],Horo8289[[#This Row],[Durée]],"")</f>
        <v/>
      </c>
      <c r="O9" s="56" t="str">
        <f aca="false">IF("GB"=Horo8289[[#This Row],[Tâche]],Horo8289[[#This Row],[Durée]],"")</f>
        <v/>
      </c>
      <c r="P9" s="56" t="str">
        <f aca="false">IF("RD"=Horo8289[[#This Row],[Tâche]],Horo8289[[#This Row],[Durée]],"")</f>
        <v/>
      </c>
      <c r="Q9" s="56" t="n">
        <f aca="false">IF("FG"=Horo8289[[#This Row],[Tâche]],Horo8289[[#This Row],[Durée]],"")</f>
        <v>0.749999999999999</v>
      </c>
      <c r="R9" s="56" t="str">
        <f aca="false">IF("CONGÉ"=Horo8289[[#This Row],[Tâche]],Horo8289[[#This Row],[Durée]],"")</f>
        <v/>
      </c>
      <c r="S9" s="57" t="str">
        <f aca="false">IF("PS"=Horo8289[[#This Row],[Tâche]],Horo8289[[#This Row],[Durée]],"")</f>
        <v/>
      </c>
      <c r="T9" s="56" t="str">
        <f aca="false">IF("TD"=Horo8289[[#This Row],[Tâche]],Horo8289[[#This Row],[Durée]],"")</f>
        <v/>
      </c>
      <c r="U9" s="55" t="str">
        <f aca="false">IF("N/C"=Horo8289[[#This Row],[Tâche]],Horo8289[[#This Row],[Durée]],"")</f>
        <v/>
      </c>
      <c r="V9" s="58"/>
      <c r="W9" s="59" t="n">
        <f aca="false">IF(Horo8289[[#This Row],[O]]="o",Horo8289[[#This Row],[Durée]],".")</f>
        <v>0.749999999999999</v>
      </c>
      <c r="X9" s="60" t="n">
        <f aca="false">IF(Horo8289[[#This Row],[Début]]=0,"",Horo8289[[#This Row],[Fin]]-Horo8289[[#This Row],[Début]])</f>
        <v>0.0312499999999999</v>
      </c>
    </row>
    <row r="10" customFormat="false" ht="15" hidden="false" customHeight="false" outlineLevel="0" collapsed="false">
      <c r="A10" s="45" t="s">
        <v>31</v>
      </c>
      <c r="B10" s="46" t="n">
        <f aca="false">IF(Horo8289[[#This Row],[Jour]]="Lundi",$C$1+1, IF(Horo8289[[#This Row],[Jour]]="Mardi",$C$1+2, IF(Horo8289[[#This Row],[Jour]]="Mercredi",$C$1+3, IF(Horo8289[[#This Row],[Jour]]="Jeudi",$C$1+4, IF(Horo8289[[#This Row],[Jour]]="Vendredi",$C$1+5, IF(Horo8289[[#This Row],[Jour]]="Samedi",$C$1+6, IF(Horo8289[[#This Row],[Jour]]="Dimanche",$C$1, )))))))</f>
        <v>44348</v>
      </c>
      <c r="C10" s="47" t="s">
        <v>0</v>
      </c>
      <c r="D10" s="48" t="n">
        <v>0.5625</v>
      </c>
      <c r="E10" s="48" t="n">
        <v>0.572916666666667</v>
      </c>
      <c r="F10" s="49" t="s">
        <v>72</v>
      </c>
      <c r="G10" s="49" t="s">
        <v>19</v>
      </c>
      <c r="H10" s="50" t="s">
        <v>42</v>
      </c>
      <c r="I10" s="61" t="s">
        <v>253</v>
      </c>
      <c r="J10" s="52" t="n">
        <f aca="false">IF(Horo8289[[#This Row],[Début]]=0,"",(Horo8289[[#This Row],[Durée (60)2]]-INT(Horo8289[[#This Row],[Durée (60)2]]))*24)</f>
        <v>0.249999999999999</v>
      </c>
      <c r="K10" s="62" t="n">
        <f aca="false">SUMIF(Horo8289[Jour],C10,Horo8289[Durée])</f>
        <v>8</v>
      </c>
      <c r="L10" s="54" t="n">
        <f aca="false">IFERROR(SUMIF(Horo8289[[#This Row],[Jour]],Horo8289[[#This Row],[Jour]],Horo8289[[#This Row],[GPF]]) / Horo8289[[#This Row],[hrs]],"")</f>
        <v>0.0312499999999999</v>
      </c>
      <c r="M10" s="56" t="n">
        <f aca="false">IF("GPF"=Horo8289[[#This Row],[Tâche]],Horo8289[[#This Row],[Durée]],"")</f>
        <v>0.249999999999999</v>
      </c>
      <c r="N10" s="56" t="str">
        <f aca="false">IF("RI"=Horo8289[[#This Row],[Tâche]],Horo8289[[#This Row],[Durée]],"")</f>
        <v/>
      </c>
      <c r="O10" s="56" t="str">
        <f aca="false">IF("GB"=Horo8289[[#This Row],[Tâche]],Horo8289[[#This Row],[Durée]],"")</f>
        <v/>
      </c>
      <c r="P10" s="56" t="str">
        <f aca="false">IF("RD"=Horo8289[[#This Row],[Tâche]],Horo8289[[#This Row],[Durée]],"")</f>
        <v/>
      </c>
      <c r="Q10" s="56" t="str">
        <f aca="false">IF("FG"=Horo8289[[#This Row],[Tâche]],Horo8289[[#This Row],[Durée]],"")</f>
        <v/>
      </c>
      <c r="R10" s="56" t="str">
        <f aca="false">IF("CONGÉ"=Horo8289[[#This Row],[Tâche]],Horo8289[[#This Row],[Durée]],"")</f>
        <v/>
      </c>
      <c r="S10" s="57" t="str">
        <f aca="false">IF("PS"=Horo8289[[#This Row],[Tâche]],Horo8289[[#This Row],[Durée]],"")</f>
        <v/>
      </c>
      <c r="T10" s="56" t="str">
        <f aca="false">IF("TD"=Horo8289[[#This Row],[Tâche]],Horo8289[[#This Row],[Durée]],"")</f>
        <v/>
      </c>
      <c r="U10" s="55" t="str">
        <f aca="false">IF("N/C"=Horo8289[[#This Row],[Tâche]],Horo8289[[#This Row],[Durée]],"")</f>
        <v/>
      </c>
      <c r="V10" s="58"/>
      <c r="W10" s="59" t="n">
        <f aca="false">IF(Horo8289[[#This Row],[O]]="o",Horo8289[[#This Row],[Durée]],".")</f>
        <v>0.249999999999999</v>
      </c>
      <c r="X10" s="60" t="n">
        <f aca="false">IF(Horo8289[[#This Row],[Début]]=0,"",Horo8289[[#This Row],[Fin]]-Horo8289[[#This Row],[Début]])</f>
        <v>0.0104166666666666</v>
      </c>
    </row>
    <row r="11" customFormat="false" ht="15" hidden="false" customHeight="false" outlineLevel="0" collapsed="false">
      <c r="A11" s="45" t="s">
        <v>31</v>
      </c>
      <c r="B11" s="46" t="n">
        <f aca="false">IF(Horo8289[[#This Row],[Jour]]="Lundi",$C$1+1, IF(Horo8289[[#This Row],[Jour]]="Mardi",$C$1+2, IF(Horo8289[[#This Row],[Jour]]="Mercredi",$C$1+3, IF(Horo8289[[#This Row],[Jour]]="Jeudi",$C$1+4, IF(Horo8289[[#This Row],[Jour]]="Vendredi",$C$1+5, IF(Horo8289[[#This Row],[Jour]]="Samedi",$C$1+6, IF(Horo8289[[#This Row],[Jour]]="Dimanche",$C$1, )))))))</f>
        <v>44348</v>
      </c>
      <c r="C11" s="47" t="s">
        <v>0</v>
      </c>
      <c r="D11" s="48" t="n">
        <v>0.572916666666667</v>
      </c>
      <c r="E11" s="48" t="n">
        <v>0.625</v>
      </c>
      <c r="F11" s="49" t="s">
        <v>32</v>
      </c>
      <c r="G11" s="49" t="s">
        <v>23</v>
      </c>
      <c r="H11" s="50" t="s">
        <v>201</v>
      </c>
      <c r="I11" s="61"/>
      <c r="J11" s="52" t="n">
        <f aca="false">IF(Horo8289[[#This Row],[Début]]=0,"",(Horo8289[[#This Row],[Durée (60)2]]-INT(Horo8289[[#This Row],[Durée (60)2]]))*24)</f>
        <v>1.25</v>
      </c>
      <c r="K11" s="62" t="n">
        <f aca="false">SUMIF(Horo8289[Jour],C11,Horo8289[Durée])</f>
        <v>8</v>
      </c>
      <c r="L11" s="54" t="n">
        <f aca="false">IFERROR(SUMIF(Horo8289[[#This Row],[Jour]],Horo8289[[#This Row],[Jour]],Horo8289[[#This Row],[GPF]]) / Horo8289[[#This Row],[hrs]],"")</f>
        <v>0</v>
      </c>
      <c r="M11" s="56" t="str">
        <f aca="false">IF("GPF"=Horo8289[[#This Row],[Tâche]],Horo8289[[#This Row],[Durée]],"")</f>
        <v/>
      </c>
      <c r="N11" s="56" t="str">
        <f aca="false">IF("RI"=Horo8289[[#This Row],[Tâche]],Horo8289[[#This Row],[Durée]],"")</f>
        <v/>
      </c>
      <c r="O11" s="56" t="str">
        <f aca="false">IF("GB"=Horo8289[[#This Row],[Tâche]],Horo8289[[#This Row],[Durée]],"")</f>
        <v/>
      </c>
      <c r="P11" s="56" t="str">
        <f aca="false">IF("RD"=Horo8289[[#This Row],[Tâche]],Horo8289[[#This Row],[Durée]],"")</f>
        <v/>
      </c>
      <c r="Q11" s="56" t="n">
        <f aca="false">IF("FG"=Horo8289[[#This Row],[Tâche]],Horo8289[[#This Row],[Durée]],"")</f>
        <v>1.25</v>
      </c>
      <c r="R11" s="56" t="str">
        <f aca="false">IF("CONGÉ"=Horo8289[[#This Row],[Tâche]],Horo8289[[#This Row],[Durée]],"")</f>
        <v/>
      </c>
      <c r="S11" s="57" t="str">
        <f aca="false">IF("PS"=Horo8289[[#This Row],[Tâche]],Horo8289[[#This Row],[Durée]],"")</f>
        <v/>
      </c>
      <c r="T11" s="56" t="str">
        <f aca="false">IF("TD"=Horo8289[[#This Row],[Tâche]],Horo8289[[#This Row],[Durée]],"")</f>
        <v/>
      </c>
      <c r="U11" s="55" t="str">
        <f aca="false">IF("N/C"=Horo8289[[#This Row],[Tâche]],Horo8289[[#This Row],[Durée]],"")</f>
        <v/>
      </c>
      <c r="V11" s="58"/>
      <c r="W11" s="59" t="n">
        <f aca="false">IF(Horo8289[[#This Row],[O]]="o",Horo8289[[#This Row],[Durée]],".")</f>
        <v>1.25</v>
      </c>
      <c r="X11" s="60" t="n">
        <f aca="false">IF(Horo8289[[#This Row],[Début]]=0,"",Horo8289[[#This Row],[Fin]]-Horo8289[[#This Row],[Début]])</f>
        <v>0.0520833333333334</v>
      </c>
    </row>
    <row r="12" customFormat="false" ht="15" hidden="false" customHeight="false" outlineLevel="0" collapsed="false">
      <c r="A12" s="45" t="s">
        <v>31</v>
      </c>
      <c r="B12" s="46" t="n">
        <f aca="false">IF(Horo8289[[#This Row],[Jour]]="Lundi",$C$1+1, IF(Horo8289[[#This Row],[Jour]]="Mardi",$C$1+2, IF(Horo8289[[#This Row],[Jour]]="Mercredi",$C$1+3, IF(Horo8289[[#This Row],[Jour]]="Jeudi",$C$1+4, IF(Horo8289[[#This Row],[Jour]]="Vendredi",$C$1+5, IF(Horo8289[[#This Row],[Jour]]="Samedi",$C$1+6, IF(Horo8289[[#This Row],[Jour]]="Dimanche",$C$1, )))))))</f>
        <v>44348</v>
      </c>
      <c r="C12" s="47" t="s">
        <v>0</v>
      </c>
      <c r="D12" s="48" t="n">
        <v>0.625</v>
      </c>
      <c r="E12" s="48" t="n">
        <v>0.729166666666667</v>
      </c>
      <c r="F12" s="49" t="s">
        <v>72</v>
      </c>
      <c r="G12" s="49" t="s">
        <v>22</v>
      </c>
      <c r="H12" s="50" t="s">
        <v>42</v>
      </c>
      <c r="I12" s="61" t="s">
        <v>254</v>
      </c>
      <c r="J12" s="52" t="n">
        <f aca="false">IF(Horo8289[[#This Row],[Début]]=0,"",(Horo8289[[#This Row],[Durée (60)2]]-INT(Horo8289[[#This Row],[Durée (60)2]]))*24)</f>
        <v>2.5</v>
      </c>
      <c r="K12" s="62" t="n">
        <f aca="false">SUMIF(Horo8289[Jour],C12,Horo8289[Durée])</f>
        <v>8</v>
      </c>
      <c r="L12" s="54" t="n">
        <f aca="false">IFERROR(SUMIF(Horo8289[[#This Row],[Jour]],Horo8289[[#This Row],[Jour]],Horo8289[[#This Row],[GPF]]) / Horo8289[[#This Row],[hrs]],"")</f>
        <v>0</v>
      </c>
      <c r="M12" s="56" t="str">
        <f aca="false">IF("GPF"=Horo8289[[#This Row],[Tâche]],Horo8289[[#This Row],[Durée]],"")</f>
        <v/>
      </c>
      <c r="N12" s="56" t="str">
        <f aca="false">IF("RI"=Horo8289[[#This Row],[Tâche]],Horo8289[[#This Row],[Durée]],"")</f>
        <v/>
      </c>
      <c r="O12" s="56" t="str">
        <f aca="false">IF("GB"=Horo8289[[#This Row],[Tâche]],Horo8289[[#This Row],[Durée]],"")</f>
        <v/>
      </c>
      <c r="P12" s="56" t="n">
        <f aca="false">IF("RD"=Horo8289[[#This Row],[Tâche]],Horo8289[[#This Row],[Durée]],"")</f>
        <v>2.5</v>
      </c>
      <c r="Q12" s="56" t="str">
        <f aca="false">IF("FG"=Horo8289[[#This Row],[Tâche]],Horo8289[[#This Row],[Durée]],"")</f>
        <v/>
      </c>
      <c r="R12" s="56" t="str">
        <f aca="false">IF("CONGÉ"=Horo8289[[#This Row],[Tâche]],Horo8289[[#This Row],[Durée]],"")</f>
        <v/>
      </c>
      <c r="S12" s="57" t="str">
        <f aca="false">IF("PS"=Horo8289[[#This Row],[Tâche]],Horo8289[[#This Row],[Durée]],"")</f>
        <v/>
      </c>
      <c r="T12" s="56" t="str">
        <f aca="false">IF("TD"=Horo8289[[#This Row],[Tâche]],Horo8289[[#This Row],[Durée]],"")</f>
        <v/>
      </c>
      <c r="U12" s="55" t="str">
        <f aca="false">IF("N/C"=Horo8289[[#This Row],[Tâche]],Horo8289[[#This Row],[Durée]],"")</f>
        <v/>
      </c>
      <c r="V12" s="58"/>
      <c r="W12" s="59" t="n">
        <f aca="false">IF(Horo8289[[#This Row],[O]]="o",Horo8289[[#This Row],[Durée]],".")</f>
        <v>2.5</v>
      </c>
      <c r="X12" s="60" t="n">
        <f aca="false">IF(Horo8289[[#This Row],[Début]]=0,"",Horo8289[[#This Row],[Fin]]-Horo8289[[#This Row],[Début]])</f>
        <v>0.104166666666667</v>
      </c>
    </row>
    <row r="13" customFormat="false" ht="15" hidden="false" customHeight="false" outlineLevel="0" collapsed="false">
      <c r="A13" s="45" t="s">
        <v>31</v>
      </c>
      <c r="B13" s="46" t="n">
        <f aca="false">IF(Horo8289[[#This Row],[Jour]]="Lundi",$C$1+1, IF(Horo8289[[#This Row],[Jour]]="Mardi",$C$1+2, IF(Horo8289[[#This Row],[Jour]]="Mercredi",$C$1+3, IF(Horo8289[[#This Row],[Jour]]="Jeudi",$C$1+4, IF(Horo8289[[#This Row],[Jour]]="Vendredi",$C$1+5, IF(Horo8289[[#This Row],[Jour]]="Samedi",$C$1+6, IF(Horo8289[[#This Row],[Jour]]="Dimanche",$C$1, )))))))</f>
        <v>44349</v>
      </c>
      <c r="C13" s="47" t="s">
        <v>1</v>
      </c>
      <c r="D13" s="48" t="n">
        <v>0.3125</v>
      </c>
      <c r="E13" s="48" t="n">
        <v>0.395833333333333</v>
      </c>
      <c r="F13" s="49" t="s">
        <v>61</v>
      </c>
      <c r="G13" s="49" t="s">
        <v>22</v>
      </c>
      <c r="H13" s="50" t="s">
        <v>42</v>
      </c>
      <c r="I13" s="61" t="s">
        <v>251</v>
      </c>
      <c r="J13" s="52" t="n">
        <f aca="false">IF(Horo8289[[#This Row],[Début]]=0,"",(Horo8289[[#This Row],[Durée (60)2]]-INT(Horo8289[[#This Row],[Durée (60)2]]))*24)</f>
        <v>2</v>
      </c>
      <c r="K13" s="62" t="n">
        <f aca="false">SUMIF(Horo8289[Jour],C13,Horo8289[Durée])</f>
        <v>8</v>
      </c>
      <c r="L13" s="54" t="n">
        <f aca="false">IFERROR(SUMIF(Horo8289[[#This Row],[Jour]],Horo8289[[#This Row],[Jour]],Horo8289[[#This Row],[GPF]]) / Horo8289[[#This Row],[hrs]],"")</f>
        <v>0</v>
      </c>
      <c r="M13" s="56" t="str">
        <f aca="false">IF("GPF"=Horo8289[[#This Row],[Tâche]],Horo8289[[#This Row],[Durée]],"")</f>
        <v/>
      </c>
      <c r="N13" s="56" t="str">
        <f aca="false">IF("RI"=Horo8289[[#This Row],[Tâche]],Horo8289[[#This Row],[Durée]],"")</f>
        <v/>
      </c>
      <c r="O13" s="56" t="str">
        <f aca="false">IF("GB"=Horo8289[[#This Row],[Tâche]],Horo8289[[#This Row],[Durée]],"")</f>
        <v/>
      </c>
      <c r="P13" s="56" t="n">
        <f aca="false">IF("RD"=Horo8289[[#This Row],[Tâche]],Horo8289[[#This Row],[Durée]],"")</f>
        <v>2</v>
      </c>
      <c r="Q13" s="56" t="str">
        <f aca="false">IF("FG"=Horo8289[[#This Row],[Tâche]],Horo8289[[#This Row],[Durée]],"")</f>
        <v/>
      </c>
      <c r="R13" s="56" t="str">
        <f aca="false">IF("CONGÉ"=Horo8289[[#This Row],[Tâche]],Horo8289[[#This Row],[Durée]],"")</f>
        <v/>
      </c>
      <c r="S13" s="57" t="str">
        <f aca="false">IF("PS"=Horo8289[[#This Row],[Tâche]],Horo8289[[#This Row],[Durée]],"")</f>
        <v/>
      </c>
      <c r="T13" s="56" t="str">
        <f aca="false">IF("TD"=Horo8289[[#This Row],[Tâche]],Horo8289[[#This Row],[Durée]],"")</f>
        <v/>
      </c>
      <c r="U13" s="55" t="str">
        <f aca="false">IF("N/C"=Horo8289[[#This Row],[Tâche]],Horo8289[[#This Row],[Durée]],"")</f>
        <v/>
      </c>
      <c r="V13" s="58"/>
      <c r="W13" s="59" t="n">
        <f aca="false">IF(Horo8289[[#This Row],[O]]="o",Horo8289[[#This Row],[Durée]],".")</f>
        <v>2</v>
      </c>
      <c r="X13" s="60" t="n">
        <f aca="false">IF(Horo8289[[#This Row],[Début]]=0,"",Horo8289[[#This Row],[Fin]]-Horo8289[[#This Row],[Début]])</f>
        <v>0.0833333333333333</v>
      </c>
    </row>
    <row r="14" customFormat="false" ht="15" hidden="false" customHeight="false" outlineLevel="0" collapsed="false">
      <c r="A14" s="45" t="s">
        <v>31</v>
      </c>
      <c r="B14" s="111" t="n">
        <f aca="false">IF(Horo8289[[#This Row],[Jour]]="Lundi",$C$1+1, IF(Horo8289[[#This Row],[Jour]]="Mardi",$C$1+2, IF(Horo8289[[#This Row],[Jour]]="Mercredi",$C$1+3, IF(Horo8289[[#This Row],[Jour]]="Jeudi",$C$1+4, IF(Horo8289[[#This Row],[Jour]]="Vendredi",$C$1+5, IF(Horo8289[[#This Row],[Jour]]="Samedi",$C$1+6, IF(Horo8289[[#This Row],[Jour]]="Dimanche",$C$1, )))))))</f>
        <v>44349</v>
      </c>
      <c r="C14" s="47" t="s">
        <v>1</v>
      </c>
      <c r="D14" s="48" t="n">
        <v>0.395833333333333</v>
      </c>
      <c r="E14" s="48" t="n">
        <v>0.4375</v>
      </c>
      <c r="F14" s="49" t="s">
        <v>61</v>
      </c>
      <c r="G14" s="49" t="s">
        <v>19</v>
      </c>
      <c r="H14" s="50" t="s">
        <v>42</v>
      </c>
      <c r="I14" s="61" t="s">
        <v>251</v>
      </c>
      <c r="J14" s="52" t="n">
        <f aca="false">IF(Horo8289[[#This Row],[Début]]=0,"",(Horo8289[[#This Row],[Durée (60)2]]-INT(Horo8289[[#This Row],[Durée (60)2]]))*24)</f>
        <v>1</v>
      </c>
      <c r="K14" s="53" t="n">
        <f aca="false">SUMIF(Horo8289[Jour],C14,Horo8289[Durée])</f>
        <v>8</v>
      </c>
      <c r="L14" s="54" t="n">
        <f aca="false">IFERROR(SUMIF(Horo8289[[#This Row],[Jour]],Horo8289[[#This Row],[Jour]],Horo8289[[#This Row],[GPF]]) / Horo8289[[#This Row],[hrs]],"")</f>
        <v>0.125</v>
      </c>
      <c r="M14" s="55" t="n">
        <f aca="false">IF("GPF"=Horo8289[[#This Row],[Tâche]],Horo8289[[#This Row],[Durée]],"")</f>
        <v>1</v>
      </c>
      <c r="N14" s="56" t="str">
        <f aca="false">IF("RI"=Horo8289[[#This Row],[Tâche]],Horo8289[[#This Row],[Durée]],"")</f>
        <v/>
      </c>
      <c r="O14" s="56" t="str">
        <f aca="false">IF("GB"=Horo8289[[#This Row],[Tâche]],Horo8289[[#This Row],[Durée]],"")</f>
        <v/>
      </c>
      <c r="P14" s="56" t="str">
        <f aca="false">IF("RD"=Horo8289[[#This Row],[Tâche]],Horo8289[[#This Row],[Durée]],"")</f>
        <v/>
      </c>
      <c r="Q14" s="56" t="str">
        <f aca="false">IF("FG"=Horo8289[[#This Row],[Tâche]],Horo8289[[#This Row],[Durée]],"")</f>
        <v/>
      </c>
      <c r="R14" s="56" t="str">
        <f aca="false">IF("CONGÉ"=Horo8289[[#This Row],[Tâche]],Horo8289[[#This Row],[Durée]],"")</f>
        <v/>
      </c>
      <c r="S14" s="57" t="str">
        <f aca="false">IF("PS"=Horo8289[[#This Row],[Tâche]],Horo8289[[#This Row],[Durée]],"")</f>
        <v/>
      </c>
      <c r="T14" s="56" t="str">
        <f aca="false">IF("TD"=Horo8289[[#This Row],[Tâche]],Horo8289[[#This Row],[Durée]],"")</f>
        <v/>
      </c>
      <c r="U14" s="55" t="str">
        <f aca="false">IF("N/C"=Horo8289[[#This Row],[Tâche]],Horo8289[[#This Row],[Durée]],"")</f>
        <v/>
      </c>
      <c r="V14" s="58"/>
      <c r="W14" s="59" t="n">
        <f aca="false">IF(Horo8289[[#This Row],[O]]="o",Horo8289[[#This Row],[Durée]],".")</f>
        <v>1</v>
      </c>
      <c r="X14" s="60" t="n">
        <f aca="false">IF(Horo8289[[#This Row],[Début]]=0,"",Horo8289[[#This Row],[Fin]]-Horo8289[[#This Row],[Début]])</f>
        <v>0.0416666666666667</v>
      </c>
    </row>
    <row r="15" customFormat="false" ht="15" hidden="false" customHeight="false" outlineLevel="0" collapsed="false">
      <c r="A15" s="45" t="s">
        <v>31</v>
      </c>
      <c r="B15" s="111" t="n">
        <f aca="false">IF(Horo8289[[#This Row],[Jour]]="Lundi",$C$1+1, IF(Horo8289[[#This Row],[Jour]]="Mardi",$C$1+2, IF(Horo8289[[#This Row],[Jour]]="Mercredi",$C$1+3, IF(Horo8289[[#This Row],[Jour]]="Jeudi",$C$1+4, IF(Horo8289[[#This Row],[Jour]]="Vendredi",$C$1+5, IF(Horo8289[[#This Row],[Jour]]="Samedi",$C$1+6, IF(Horo8289[[#This Row],[Jour]]="Dimanche",$C$1, )))))))</f>
        <v>44349</v>
      </c>
      <c r="C15" s="47" t="s">
        <v>1</v>
      </c>
      <c r="D15" s="48" t="n">
        <v>0.4375</v>
      </c>
      <c r="E15" s="48" t="n">
        <v>0.458333333333333</v>
      </c>
      <c r="F15" s="49" t="s">
        <v>32</v>
      </c>
      <c r="G15" s="49" t="s">
        <v>23</v>
      </c>
      <c r="H15" s="50" t="s">
        <v>201</v>
      </c>
      <c r="I15" s="61"/>
      <c r="J15" s="52" t="n">
        <f aca="false">IF(Horo8289[[#This Row],[Début]]=0,"",(Horo8289[[#This Row],[Durée (60)2]]-INT(Horo8289[[#This Row],[Durée (60)2]]))*24)</f>
        <v>0.5</v>
      </c>
      <c r="K15" s="62" t="n">
        <f aca="false">SUMIF(Horo8289[Jour],C15,Horo8289[Durée])</f>
        <v>8</v>
      </c>
      <c r="L15" s="54" t="n">
        <f aca="false">IFERROR(SUMIF(Horo8289[[#This Row],[Jour]],Horo8289[[#This Row],[Jour]],Horo8289[[#This Row],[GPF]]) / Horo8289[[#This Row],[hrs]],"")</f>
        <v>0</v>
      </c>
      <c r="M15" s="56" t="str">
        <f aca="false">IF("GPF"=Horo8289[[#This Row],[Tâche]],Horo8289[[#This Row],[Durée]],"")</f>
        <v/>
      </c>
      <c r="N15" s="56" t="str">
        <f aca="false">IF("RI"=Horo8289[[#This Row],[Tâche]],Horo8289[[#This Row],[Durée]],"")</f>
        <v/>
      </c>
      <c r="O15" s="56" t="str">
        <f aca="false">IF("GB"=Horo8289[[#This Row],[Tâche]],Horo8289[[#This Row],[Durée]],"")</f>
        <v/>
      </c>
      <c r="P15" s="56" t="str">
        <f aca="false">IF("RD"=Horo8289[[#This Row],[Tâche]],Horo8289[[#This Row],[Durée]],"")</f>
        <v/>
      </c>
      <c r="Q15" s="56" t="n">
        <f aca="false">IF("FG"=Horo8289[[#This Row],[Tâche]],Horo8289[[#This Row],[Durée]],"")</f>
        <v>0.5</v>
      </c>
      <c r="R15" s="56" t="str">
        <f aca="false">IF("CONGÉ"=Horo8289[[#This Row],[Tâche]],Horo8289[[#This Row],[Durée]],"")</f>
        <v/>
      </c>
      <c r="S15" s="56" t="str">
        <f aca="false">IF("PS"=Horo8289[[#This Row],[Tâche]],Horo8289[[#This Row],[Durée]],"")</f>
        <v/>
      </c>
      <c r="T15" s="56" t="str">
        <f aca="false">IF("TD"=Horo8289[[#This Row],[Tâche]],Horo8289[[#This Row],[Durée]],"")</f>
        <v/>
      </c>
      <c r="U15" s="56" t="str">
        <f aca="false">IF("N/C"=Horo8289[[#This Row],[Tâche]],Horo8289[[#This Row],[Durée]],"")</f>
        <v/>
      </c>
      <c r="V15" s="58"/>
      <c r="W15" s="59" t="n">
        <f aca="false">IF(Horo8289[[#This Row],[O]]="o",Horo8289[[#This Row],[Durée]],".")</f>
        <v>0.5</v>
      </c>
      <c r="X15" s="64" t="n">
        <f aca="false">IF(Horo8289[[#This Row],[Début]]=0,"",Horo8289[[#This Row],[Fin]]-Horo8289[[#This Row],[Début]])</f>
        <v>0.0208333333333333</v>
      </c>
    </row>
    <row r="16" customFormat="false" ht="15" hidden="false" customHeight="false" outlineLevel="0" collapsed="false">
      <c r="A16" s="45" t="s">
        <v>31</v>
      </c>
      <c r="B16" s="46" t="n">
        <f aca="false">IF(Horo8289[[#This Row],[Jour]]="Lundi",$C$1+1, IF(Horo8289[[#This Row],[Jour]]="Mardi",$C$1+2, IF(Horo8289[[#This Row],[Jour]]="Mercredi",$C$1+3, IF(Horo8289[[#This Row],[Jour]]="Jeudi",$C$1+4, IF(Horo8289[[#This Row],[Jour]]="Vendredi",$C$1+5, IF(Horo8289[[#This Row],[Jour]]="Samedi",$C$1+6, IF(Horo8289[[#This Row],[Jour]]="Dimanche",$C$1, )))))))</f>
        <v>44349</v>
      </c>
      <c r="C16" s="47" t="s">
        <v>1</v>
      </c>
      <c r="D16" s="48" t="n">
        <v>0.458333333333333</v>
      </c>
      <c r="E16" s="48" t="n">
        <v>0.479166666666667</v>
      </c>
      <c r="F16" s="49" t="s">
        <v>72</v>
      </c>
      <c r="G16" s="49" t="s">
        <v>22</v>
      </c>
      <c r="H16" s="50" t="s">
        <v>42</v>
      </c>
      <c r="I16" s="61" t="s">
        <v>255</v>
      </c>
      <c r="J16" s="52" t="n">
        <f aca="false">IF(Horo8289[[#This Row],[Début]]=0,"",(Horo8289[[#This Row],[Durée (60)2]]-INT(Horo8289[[#This Row],[Durée (60)2]]))*24)</f>
        <v>0.500000000000001</v>
      </c>
      <c r="K16" s="62" t="n">
        <f aca="false">SUMIF(Horo8289[Jour],C16,Horo8289[Durée])</f>
        <v>8</v>
      </c>
      <c r="L16" s="54" t="n">
        <f aca="false">IFERROR(SUMIF(Horo8289[[#This Row],[Jour]],Horo8289[[#This Row],[Jour]],Horo8289[[#This Row],[GPF]]) / Horo8289[[#This Row],[hrs]],"")</f>
        <v>0</v>
      </c>
      <c r="M16" s="56" t="str">
        <f aca="false">IF("GPF"=Horo8289[[#This Row],[Tâche]],Horo8289[[#This Row],[Durée]],"")</f>
        <v/>
      </c>
      <c r="N16" s="56" t="str">
        <f aca="false">IF("RI"=Horo8289[[#This Row],[Tâche]],Horo8289[[#This Row],[Durée]],"")</f>
        <v/>
      </c>
      <c r="O16" s="56" t="str">
        <f aca="false">IF("GB"=Horo8289[[#This Row],[Tâche]],Horo8289[[#This Row],[Durée]],"")</f>
        <v/>
      </c>
      <c r="P16" s="56" t="n">
        <f aca="false">IF("RD"=Horo8289[[#This Row],[Tâche]],Horo8289[[#This Row],[Durée]],"")</f>
        <v>0.500000000000001</v>
      </c>
      <c r="Q16" s="56" t="str">
        <f aca="false">IF("FG"=Horo8289[[#This Row],[Tâche]],Horo8289[[#This Row],[Durée]],"")</f>
        <v/>
      </c>
      <c r="R16" s="56" t="str">
        <f aca="false">IF("CONGÉ"=Horo8289[[#This Row],[Tâche]],Horo8289[[#This Row],[Durée]],"")</f>
        <v/>
      </c>
      <c r="S16" s="57" t="str">
        <f aca="false">IF("PS"=Horo8289[[#This Row],[Tâche]],Horo8289[[#This Row],[Durée]],"")</f>
        <v/>
      </c>
      <c r="T16" s="56" t="str">
        <f aca="false">IF("TD"=Horo8289[[#This Row],[Tâche]],Horo8289[[#This Row],[Durée]],"")</f>
        <v/>
      </c>
      <c r="U16" s="55" t="str">
        <f aca="false">IF("N/C"=Horo8289[[#This Row],[Tâche]],Horo8289[[#This Row],[Durée]],"")</f>
        <v/>
      </c>
      <c r="V16" s="58"/>
      <c r="W16" s="59" t="n">
        <f aca="false">IF(Horo8289[[#This Row],[O]]="o",Horo8289[[#This Row],[Durée]],".")</f>
        <v>0.500000000000001</v>
      </c>
      <c r="X16" s="60" t="n">
        <f aca="false">IF(Horo8289[[#This Row],[Début]]=0,"",Horo8289[[#This Row],[Fin]]-Horo8289[[#This Row],[Début]])</f>
        <v>0.0208333333333334</v>
      </c>
    </row>
    <row r="17" customFormat="false" ht="15" hidden="false" customHeight="false" outlineLevel="0" collapsed="false">
      <c r="A17" s="45" t="s">
        <v>31</v>
      </c>
      <c r="B17" s="46" t="n">
        <f aca="false">IF(Horo8289[[#This Row],[Jour]]="Lundi",$C$1+1, IF(Horo8289[[#This Row],[Jour]]="Mardi",$C$1+2, IF(Horo8289[[#This Row],[Jour]]="Mercredi",$C$1+3, IF(Horo8289[[#This Row],[Jour]]="Jeudi",$C$1+4, IF(Horo8289[[#This Row],[Jour]]="Vendredi",$C$1+5, IF(Horo8289[[#This Row],[Jour]]="Samedi",$C$1+6, IF(Horo8289[[#This Row],[Jour]]="Dimanche",$C$1, )))))))</f>
        <v>44349</v>
      </c>
      <c r="C17" s="47" t="s">
        <v>1</v>
      </c>
      <c r="D17" s="48" t="n">
        <v>0.479166666666667</v>
      </c>
      <c r="E17" s="48" t="n">
        <v>0.5</v>
      </c>
      <c r="F17" s="49" t="s">
        <v>32</v>
      </c>
      <c r="G17" s="49" t="s">
        <v>22</v>
      </c>
      <c r="H17" s="50" t="s">
        <v>201</v>
      </c>
      <c r="I17" s="61"/>
      <c r="J17" s="52" t="n">
        <f aca="false">IF(Horo8289[[#This Row],[Début]]=0,"",(Horo8289[[#This Row],[Durée (60)2]]-INT(Horo8289[[#This Row],[Durée (60)2]]))*24)</f>
        <v>0.5</v>
      </c>
      <c r="K17" s="62" t="n">
        <f aca="false">SUMIF(Horo8289[Jour],C17,Horo8289[Durée])</f>
        <v>8</v>
      </c>
      <c r="L17" s="54" t="n">
        <f aca="false">IFERROR(SUMIF(Horo8289[[#This Row],[Jour]],Horo8289[[#This Row],[Jour]],Horo8289[[#This Row],[GPF]]) / Horo8289[[#This Row],[hrs]],"")</f>
        <v>0</v>
      </c>
      <c r="M17" s="56" t="str">
        <f aca="false">IF("GPF"=Horo8289[[#This Row],[Tâche]],Horo8289[[#This Row],[Durée]],"")</f>
        <v/>
      </c>
      <c r="N17" s="56" t="str">
        <f aca="false">IF("RI"=Horo8289[[#This Row],[Tâche]],Horo8289[[#This Row],[Durée]],"")</f>
        <v/>
      </c>
      <c r="O17" s="56" t="str">
        <f aca="false">IF("GB"=Horo8289[[#This Row],[Tâche]],Horo8289[[#This Row],[Durée]],"")</f>
        <v/>
      </c>
      <c r="P17" s="56" t="n">
        <f aca="false">IF("RD"=Horo8289[[#This Row],[Tâche]],Horo8289[[#This Row],[Durée]],"")</f>
        <v>0.5</v>
      </c>
      <c r="Q17" s="56" t="str">
        <f aca="false">IF("FG"=Horo8289[[#This Row],[Tâche]],Horo8289[[#This Row],[Durée]],"")</f>
        <v/>
      </c>
      <c r="R17" s="56" t="str">
        <f aca="false">IF("CONGÉ"=Horo8289[[#This Row],[Tâche]],Horo8289[[#This Row],[Durée]],"")</f>
        <v/>
      </c>
      <c r="S17" s="57" t="str">
        <f aca="false">IF("PS"=Horo8289[[#This Row],[Tâche]],Horo8289[[#This Row],[Durée]],"")</f>
        <v/>
      </c>
      <c r="T17" s="56" t="str">
        <f aca="false">IF("TD"=Horo8289[[#This Row],[Tâche]],Horo8289[[#This Row],[Durée]],"")</f>
        <v/>
      </c>
      <c r="U17" s="55" t="str">
        <f aca="false">IF("N/C"=Horo8289[[#This Row],[Tâche]],Horo8289[[#This Row],[Durée]],"")</f>
        <v/>
      </c>
      <c r="V17" s="58"/>
      <c r="W17" s="59" t="n">
        <f aca="false">IF(Horo8289[[#This Row],[O]]="o",Horo8289[[#This Row],[Durée]],".")</f>
        <v>0.5</v>
      </c>
      <c r="X17" s="60" t="n">
        <f aca="false">IF(Horo8289[[#This Row],[Début]]=0,"",Horo8289[[#This Row],[Fin]]-Horo8289[[#This Row],[Début]])</f>
        <v>0.0208333333333333</v>
      </c>
    </row>
    <row r="18" customFormat="false" ht="15" hidden="false" customHeight="false" outlineLevel="0" collapsed="false">
      <c r="A18" s="45" t="s">
        <v>31</v>
      </c>
      <c r="B18" s="111" t="n">
        <f aca="false">IF(Horo8289[[#This Row],[Jour]]="Lundi",$C$1+1, IF(Horo8289[[#This Row],[Jour]]="Mardi",$C$1+2, IF(Horo8289[[#This Row],[Jour]]="Mercredi",$C$1+3, IF(Horo8289[[#This Row],[Jour]]="Jeudi",$C$1+4, IF(Horo8289[[#This Row],[Jour]]="Vendredi",$C$1+5, IF(Horo8289[[#This Row],[Jour]]="Samedi",$C$1+6, IF(Horo8289[[#This Row],[Jour]]="Dimanche",$C$1, )))))))</f>
        <v>44349</v>
      </c>
      <c r="C18" s="47" t="s">
        <v>1</v>
      </c>
      <c r="D18" s="48" t="n">
        <v>0.583333333333333</v>
      </c>
      <c r="E18" s="48" t="n">
        <v>0.729166666666667</v>
      </c>
      <c r="F18" s="49" t="s">
        <v>32</v>
      </c>
      <c r="G18" s="49" t="s">
        <v>23</v>
      </c>
      <c r="H18" s="50" t="s">
        <v>201</v>
      </c>
      <c r="I18" s="61"/>
      <c r="J18" s="52" t="n">
        <f aca="false">IF(Horo8289[[#This Row],[Début]]=0,"",(Horo8289[[#This Row],[Durée (60)2]]-INT(Horo8289[[#This Row],[Durée (60)2]]))*24)</f>
        <v>3.5</v>
      </c>
      <c r="K18" s="62" t="n">
        <f aca="false">SUMIF(Horo8289[Jour],C18,Horo8289[Durée])</f>
        <v>8</v>
      </c>
      <c r="L18" s="54" t="n">
        <f aca="false">IFERROR(SUMIF(Horo8289[[#This Row],[Jour]],Horo8289[[#This Row],[Jour]],Horo8289[[#This Row],[GPF]]) / Horo8289[[#This Row],[hrs]],"")</f>
        <v>0</v>
      </c>
      <c r="M18" s="56" t="str">
        <f aca="false">IF("GPF"=Horo8289[[#This Row],[Tâche]],Horo8289[[#This Row],[Durée]],"")</f>
        <v/>
      </c>
      <c r="N18" s="56" t="str">
        <f aca="false">IF("RI"=Horo8289[[#This Row],[Tâche]],Horo8289[[#This Row],[Durée]],"")</f>
        <v/>
      </c>
      <c r="O18" s="56" t="str">
        <f aca="false">IF("GB"=Horo8289[[#This Row],[Tâche]],Horo8289[[#This Row],[Durée]],"")</f>
        <v/>
      </c>
      <c r="P18" s="56" t="str">
        <f aca="false">IF("RD"=Horo8289[[#This Row],[Tâche]],Horo8289[[#This Row],[Durée]],"")</f>
        <v/>
      </c>
      <c r="Q18" s="56" t="n">
        <f aca="false">IF("FG"=Horo8289[[#This Row],[Tâche]],Horo8289[[#This Row],[Durée]],"")</f>
        <v>3.5</v>
      </c>
      <c r="R18" s="56" t="str">
        <f aca="false">IF("CONGÉ"=Horo8289[[#This Row],[Tâche]],Horo8289[[#This Row],[Durée]],"")</f>
        <v/>
      </c>
      <c r="S18" s="57" t="str">
        <f aca="false">IF("PS"=Horo8289[[#This Row],[Tâche]],Horo8289[[#This Row],[Durée]],"")</f>
        <v/>
      </c>
      <c r="T18" s="56" t="str">
        <f aca="false">IF("TD"=Horo8289[[#This Row],[Tâche]],Horo8289[[#This Row],[Durée]],"")</f>
        <v/>
      </c>
      <c r="U18" s="55" t="str">
        <f aca="false">IF("N/C"=Horo8289[[#This Row],[Tâche]],Horo8289[[#This Row],[Durée]],"")</f>
        <v/>
      </c>
      <c r="V18" s="58"/>
      <c r="W18" s="59" t="n">
        <f aca="false">IF(Horo8289[[#This Row],[O]]="o",Horo8289[[#This Row],[Durée]],".")</f>
        <v>3.5</v>
      </c>
      <c r="X18" s="60" t="n">
        <f aca="false">IF(Horo8289[[#This Row],[Début]]=0,"",Horo8289[[#This Row],[Fin]]-Horo8289[[#This Row],[Début]])</f>
        <v>0.145833333333333</v>
      </c>
    </row>
    <row r="19" customFormat="false" ht="15" hidden="false" customHeight="false" outlineLevel="0" collapsed="false">
      <c r="A19" s="45" t="s">
        <v>31</v>
      </c>
      <c r="B19" s="111" t="n">
        <f aca="false">IF(Horo8289[[#This Row],[Jour]]="Lundi",$C$1+1, IF(Horo8289[[#This Row],[Jour]]="Mardi",$C$1+2, IF(Horo8289[[#This Row],[Jour]]="Mercredi",$C$1+3, IF(Horo8289[[#This Row],[Jour]]="Jeudi",$C$1+4, IF(Horo8289[[#This Row],[Jour]]="Vendredi",$C$1+5, IF(Horo8289[[#This Row],[Jour]]="Samedi",$C$1+6, IF(Horo8289[[#This Row],[Jour]]="Dimanche",$C$1, )))))))</f>
        <v>44350</v>
      </c>
      <c r="C19" s="47" t="s">
        <v>2</v>
      </c>
      <c r="D19" s="48" t="n">
        <v>0.333333333333333</v>
      </c>
      <c r="E19" s="48" t="n">
        <v>0.5</v>
      </c>
      <c r="F19" s="49" t="s">
        <v>32</v>
      </c>
      <c r="G19" s="49" t="s">
        <v>22</v>
      </c>
      <c r="H19" s="50" t="s">
        <v>201</v>
      </c>
      <c r="I19" s="61"/>
      <c r="J19" s="52" t="n">
        <f aca="false">IF(Horo8289[[#This Row],[Début]]=0,"",(Horo8289[[#This Row],[Durée (60)2]]-INT(Horo8289[[#This Row],[Durée (60)2]]))*24)</f>
        <v>4</v>
      </c>
      <c r="K19" s="62" t="n">
        <f aca="false">SUMIF(Horo8289[Jour],C19,Horo8289[Durée])</f>
        <v>8</v>
      </c>
      <c r="L19" s="54" t="n">
        <f aca="false">IFERROR(SUMIF(Horo8289[[#This Row],[Jour]],Horo8289[[#This Row],[Jour]],Horo8289[[#This Row],[GPF]]) / Horo8289[[#This Row],[hrs]],"")</f>
        <v>0</v>
      </c>
      <c r="M19" s="56" t="str">
        <f aca="false">IF("GPF"=Horo8289[[#This Row],[Tâche]],Horo8289[[#This Row],[Durée]],"")</f>
        <v/>
      </c>
      <c r="N19" s="56" t="str">
        <f aca="false">IF("RI"=Horo8289[[#This Row],[Tâche]],Horo8289[[#This Row],[Durée]],"")</f>
        <v/>
      </c>
      <c r="O19" s="56" t="str">
        <f aca="false">IF("GB"=Horo8289[[#This Row],[Tâche]],Horo8289[[#This Row],[Durée]],"")</f>
        <v/>
      </c>
      <c r="P19" s="56" t="n">
        <f aca="false">IF("RD"=Horo8289[[#This Row],[Tâche]],Horo8289[[#This Row],[Durée]],"")</f>
        <v>4</v>
      </c>
      <c r="Q19" s="56" t="str">
        <f aca="false">IF("FG"=Horo8289[[#This Row],[Tâche]],Horo8289[[#This Row],[Durée]],"")</f>
        <v/>
      </c>
      <c r="R19" s="56" t="str">
        <f aca="false">IF("CONGÉ"=Horo8289[[#This Row],[Tâche]],Horo8289[[#This Row],[Durée]],"")</f>
        <v/>
      </c>
      <c r="S19" s="56" t="str">
        <f aca="false">IF("PS"=Horo8289[[#This Row],[Tâche]],Horo8289[[#This Row],[Durée]],"")</f>
        <v/>
      </c>
      <c r="T19" s="56" t="str">
        <f aca="false">IF("TD"=Horo8289[[#This Row],[Tâche]],Horo8289[[#This Row],[Durée]],"")</f>
        <v/>
      </c>
      <c r="U19" s="56" t="str">
        <f aca="false">IF("N/C"=Horo8289[[#This Row],[Tâche]],Horo8289[[#This Row],[Durée]],"")</f>
        <v/>
      </c>
      <c r="V19" s="58"/>
      <c r="W19" s="59" t="n">
        <f aca="false">IF(Horo8289[[#This Row],[O]]="o",Horo8289[[#This Row],[Durée]],".")</f>
        <v>4</v>
      </c>
      <c r="X19" s="64" t="n">
        <f aca="false">IF(Horo8289[[#This Row],[Début]]=0,"",Horo8289[[#This Row],[Fin]]-Horo8289[[#This Row],[Début]])</f>
        <v>0.166666666666667</v>
      </c>
    </row>
    <row r="20" customFormat="false" ht="15" hidden="false" customHeight="false" outlineLevel="0" collapsed="false">
      <c r="A20" s="45" t="s">
        <v>33</v>
      </c>
      <c r="B20" s="111" t="n">
        <f aca="false">IF(Horo8289[[#This Row],[Jour]]="Lundi",$C$1+1, IF(Horo8289[[#This Row],[Jour]]="Mardi",$C$1+2, IF(Horo8289[[#This Row],[Jour]]="Mercredi",$C$1+3, IF(Horo8289[[#This Row],[Jour]]="Jeudi",$C$1+4, IF(Horo8289[[#This Row],[Jour]]="Vendredi",$C$1+5, IF(Horo8289[[#This Row],[Jour]]="Samedi",$C$1+6, IF(Horo8289[[#This Row],[Jour]]="Dimanche",$C$1, )))))))</f>
        <v>44350</v>
      </c>
      <c r="C20" s="47" t="s">
        <v>2</v>
      </c>
      <c r="D20" s="48" t="n">
        <v>0.583333333333333</v>
      </c>
      <c r="E20" s="48" t="n">
        <v>0.708333333333333</v>
      </c>
      <c r="F20" s="49" t="s">
        <v>32</v>
      </c>
      <c r="G20" s="49" t="s">
        <v>24</v>
      </c>
      <c r="H20" s="50" t="s">
        <v>115</v>
      </c>
      <c r="I20" s="61" t="s">
        <v>256</v>
      </c>
      <c r="J20" s="52" t="n">
        <f aca="false">IF(Horo8289[[#This Row],[Début]]=0,"",(Horo8289[[#This Row],[Durée (60)2]]-INT(Horo8289[[#This Row],[Durée (60)2]]))*24)</f>
        <v>3</v>
      </c>
      <c r="K20" s="62" t="n">
        <f aca="false">SUMIF(Horo8289[Jour],C20,Horo8289[Durée])</f>
        <v>8</v>
      </c>
      <c r="L20" s="54" t="n">
        <f aca="false">IFERROR(SUMIF(Horo8289[[#This Row],[Jour]],Horo8289[[#This Row],[Jour]],Horo8289[[#This Row],[GPF]]) / Horo8289[[#This Row],[hrs]],"")</f>
        <v>0</v>
      </c>
      <c r="M20" s="56" t="str">
        <f aca="false">IF("GPF"=Horo8289[[#This Row],[Tâche]],Horo8289[[#This Row],[Durée]],"")</f>
        <v/>
      </c>
      <c r="N20" s="56" t="str">
        <f aca="false">IF("RI"=Horo8289[[#This Row],[Tâche]],Horo8289[[#This Row],[Durée]],"")</f>
        <v/>
      </c>
      <c r="O20" s="56" t="str">
        <f aca="false">IF("GB"=Horo8289[[#This Row],[Tâche]],Horo8289[[#This Row],[Durée]],"")</f>
        <v/>
      </c>
      <c r="P20" s="56" t="str">
        <f aca="false">IF("RD"=Horo8289[[#This Row],[Tâche]],Horo8289[[#This Row],[Durée]],"")</f>
        <v/>
      </c>
      <c r="Q20" s="56" t="str">
        <f aca="false">IF("FG"=Horo8289[[#This Row],[Tâche]],Horo8289[[#This Row],[Durée]],"")</f>
        <v/>
      </c>
      <c r="R20" s="56" t="n">
        <f aca="false">IF("CONGÉ"=Horo8289[[#This Row],[Tâche]],Horo8289[[#This Row],[Durée]],"")</f>
        <v>3</v>
      </c>
      <c r="S20" s="57" t="str">
        <f aca="false">IF("PS"=Horo8289[[#This Row],[Tâche]],Horo8289[[#This Row],[Durée]],"")</f>
        <v/>
      </c>
      <c r="T20" s="56" t="str">
        <f aca="false">IF("TD"=Horo8289[[#This Row],[Tâche]],Horo8289[[#This Row],[Durée]],"")</f>
        <v/>
      </c>
      <c r="U20" s="55" t="str">
        <f aca="false">IF("N/C"=Horo8289[[#This Row],[Tâche]],Horo8289[[#This Row],[Durée]],"")</f>
        <v/>
      </c>
      <c r="V20" s="58"/>
      <c r="W20" s="59" t="str">
        <f aca="false">IF(Horo8289[[#This Row],[O]]="o",Horo8289[[#This Row],[Durée]],".")</f>
        <v>.</v>
      </c>
      <c r="X20" s="60" t="n">
        <f aca="false">IF(Horo8289[[#This Row],[Début]]=0,"",Horo8289[[#This Row],[Fin]]-Horo8289[[#This Row],[Début]])</f>
        <v>0.125</v>
      </c>
    </row>
    <row r="21" customFormat="false" ht="15" hidden="false" customHeight="false" outlineLevel="0" collapsed="false">
      <c r="A21" s="45" t="s">
        <v>31</v>
      </c>
      <c r="B21" s="111" t="n">
        <f aca="false">IF(Horo8289[[#This Row],[Jour]]="Lundi",$C$1+1, IF(Horo8289[[#This Row],[Jour]]="Mardi",$C$1+2, IF(Horo8289[[#This Row],[Jour]]="Mercredi",$C$1+3, IF(Horo8289[[#This Row],[Jour]]="Jeudi",$C$1+4, IF(Horo8289[[#This Row],[Jour]]="Vendredi",$C$1+5, IF(Horo8289[[#This Row],[Jour]]="Samedi",$C$1+6, IF(Horo8289[[#This Row],[Jour]]="Dimanche",$C$1, )))))))</f>
        <v>44350</v>
      </c>
      <c r="C21" s="47" t="s">
        <v>2</v>
      </c>
      <c r="D21" s="48" t="n">
        <v>0.708333333333333</v>
      </c>
      <c r="E21" s="48" t="n">
        <v>0.75</v>
      </c>
      <c r="F21" s="49" t="s">
        <v>72</v>
      </c>
      <c r="G21" s="49" t="s">
        <v>19</v>
      </c>
      <c r="H21" s="50" t="s">
        <v>42</v>
      </c>
      <c r="I21" s="61" t="s">
        <v>257</v>
      </c>
      <c r="J21" s="52" t="n">
        <f aca="false">IF(Horo8289[[#This Row],[Début]]=0,"",(Horo8289[[#This Row],[Durée (60)2]]-INT(Horo8289[[#This Row],[Durée (60)2]]))*24)</f>
        <v>0.999999999999999</v>
      </c>
      <c r="K21" s="62" t="n">
        <f aca="false">SUMIF(Horo8289[Jour],C21,Horo8289[Durée])</f>
        <v>8</v>
      </c>
      <c r="L21" s="54" t="n">
        <f aca="false">IFERROR(SUMIF(Horo8289[[#This Row],[Jour]],Horo8289[[#This Row],[Jour]],Horo8289[[#This Row],[GPF]]) / Horo8289[[#This Row],[hrs]],"")</f>
        <v>0.125</v>
      </c>
      <c r="M21" s="56" t="n">
        <f aca="false">IF("GPF"=Horo8289[[#This Row],[Tâche]],Horo8289[[#This Row],[Durée]],"")</f>
        <v>0.999999999999999</v>
      </c>
      <c r="N21" s="56" t="str">
        <f aca="false">IF("RI"=Horo8289[[#This Row],[Tâche]],Horo8289[[#This Row],[Durée]],"")</f>
        <v/>
      </c>
      <c r="O21" s="56" t="str">
        <f aca="false">IF("GB"=Horo8289[[#This Row],[Tâche]],Horo8289[[#This Row],[Durée]],"")</f>
        <v/>
      </c>
      <c r="P21" s="56" t="str">
        <f aca="false">IF("RD"=Horo8289[[#This Row],[Tâche]],Horo8289[[#This Row],[Durée]],"")</f>
        <v/>
      </c>
      <c r="Q21" s="56" t="str">
        <f aca="false">IF("FG"=Horo8289[[#This Row],[Tâche]],Horo8289[[#This Row],[Durée]],"")</f>
        <v/>
      </c>
      <c r="R21" s="56" t="str">
        <f aca="false">IF("CONGÉ"=Horo8289[[#This Row],[Tâche]],Horo8289[[#This Row],[Durée]],"")</f>
        <v/>
      </c>
      <c r="S21" s="57" t="str">
        <f aca="false">IF("PS"=Horo8289[[#This Row],[Tâche]],Horo8289[[#This Row],[Durée]],"")</f>
        <v/>
      </c>
      <c r="T21" s="56" t="str">
        <f aca="false">IF("TD"=Horo8289[[#This Row],[Tâche]],Horo8289[[#This Row],[Durée]],"")</f>
        <v/>
      </c>
      <c r="U21" s="55" t="str">
        <f aca="false">IF("N/C"=Horo8289[[#This Row],[Tâche]],Horo8289[[#This Row],[Durée]],"")</f>
        <v/>
      </c>
      <c r="V21" s="58"/>
      <c r="W21" s="59" t="n">
        <f aca="false">IF(Horo8289[[#This Row],[O]]="o",Horo8289[[#This Row],[Durée]],".")</f>
        <v>0.999999999999999</v>
      </c>
      <c r="X21" s="60" t="n">
        <f aca="false">IF(Horo8289[[#This Row],[Début]]=0,"",Horo8289[[#This Row],[Fin]]-Horo8289[[#This Row],[Début]])</f>
        <v>0.0416666666666666</v>
      </c>
    </row>
    <row r="22" customFormat="false" ht="15" hidden="false" customHeight="false" outlineLevel="0" collapsed="false">
      <c r="A22" s="45" t="s">
        <v>31</v>
      </c>
      <c r="B22" s="111" t="n">
        <f aca="false">IF(Horo8289[[#This Row],[Jour]]="Lundi",$C$1+1, IF(Horo8289[[#This Row],[Jour]]="Mardi",$C$1+2, IF(Horo8289[[#This Row],[Jour]]="Mercredi",$C$1+3, IF(Horo8289[[#This Row],[Jour]]="Jeudi",$C$1+4, IF(Horo8289[[#This Row],[Jour]]="Vendredi",$C$1+5, IF(Horo8289[[#This Row],[Jour]]="Samedi",$C$1+6, IF(Horo8289[[#This Row],[Jour]]="Dimanche",$C$1, )))))))</f>
        <v>44351</v>
      </c>
      <c r="C22" s="47" t="s">
        <v>3</v>
      </c>
      <c r="D22" s="48" t="n">
        <v>0.333333333333333</v>
      </c>
      <c r="E22" s="48" t="n">
        <v>0.375</v>
      </c>
      <c r="F22" s="49" t="s">
        <v>59</v>
      </c>
      <c r="G22" s="49" t="s">
        <v>23</v>
      </c>
      <c r="H22" s="50" t="s">
        <v>53</v>
      </c>
      <c r="I22" s="61" t="s">
        <v>258</v>
      </c>
      <c r="J22" s="52" t="n">
        <f aca="false">IF(Horo8289[[#This Row],[Début]]=0,"",(Horo8289[[#This Row],[Durée (60)2]]-INT(Horo8289[[#This Row],[Durée (60)2]]))*24)</f>
        <v>1</v>
      </c>
      <c r="K22" s="62" t="n">
        <f aca="false">SUMIF(Horo8289[Jour],C22,Horo8289[Durée])</f>
        <v>7.5</v>
      </c>
      <c r="L22" s="54" t="n">
        <f aca="false">IFERROR(SUMIF(Horo8289[[#This Row],[Jour]],Horo8289[[#This Row],[Jour]],Horo8289[[#This Row],[GPF]]) / Horo8289[[#This Row],[hrs]],"")</f>
        <v>0</v>
      </c>
      <c r="M22" s="56" t="str">
        <f aca="false">IF("GPF"=Horo8289[[#This Row],[Tâche]],Horo8289[[#This Row],[Durée]],"")</f>
        <v/>
      </c>
      <c r="N22" s="56" t="str">
        <f aca="false">IF("RI"=Horo8289[[#This Row],[Tâche]],Horo8289[[#This Row],[Durée]],"")</f>
        <v/>
      </c>
      <c r="O22" s="56" t="str">
        <f aca="false">IF("GB"=Horo8289[[#This Row],[Tâche]],Horo8289[[#This Row],[Durée]],"")</f>
        <v/>
      </c>
      <c r="P22" s="56" t="str">
        <f aca="false">IF("RD"=Horo8289[[#This Row],[Tâche]],Horo8289[[#This Row],[Durée]],"")</f>
        <v/>
      </c>
      <c r="Q22" s="56" t="n">
        <f aca="false">IF("FG"=Horo8289[[#This Row],[Tâche]],Horo8289[[#This Row],[Durée]],"")</f>
        <v>1</v>
      </c>
      <c r="R22" s="56" t="str">
        <f aca="false">IF("CONGÉ"=Horo8289[[#This Row],[Tâche]],Horo8289[[#This Row],[Durée]],"")</f>
        <v/>
      </c>
      <c r="S22" s="56" t="str">
        <f aca="false">IF("PS"=Horo8289[[#This Row],[Tâche]],Horo8289[[#This Row],[Durée]],"")</f>
        <v/>
      </c>
      <c r="T22" s="56" t="str">
        <f aca="false">IF("TD"=Horo8289[[#This Row],[Tâche]],Horo8289[[#This Row],[Durée]],"")</f>
        <v/>
      </c>
      <c r="U22" s="56" t="str">
        <f aca="false">IF("N/C"=Horo8289[[#This Row],[Tâche]],Horo8289[[#This Row],[Durée]],"")</f>
        <v/>
      </c>
      <c r="V22" s="58"/>
      <c r="W22" s="59" t="n">
        <f aca="false">IF(Horo8289[[#This Row],[O]]="o",Horo8289[[#This Row],[Durée]],".")</f>
        <v>1</v>
      </c>
      <c r="X22" s="64" t="n">
        <f aca="false">IF(Horo8289[[#This Row],[Début]]=0,"",Horo8289[[#This Row],[Fin]]-Horo8289[[#This Row],[Début]])</f>
        <v>0.0416666666666667</v>
      </c>
    </row>
    <row r="23" customFormat="false" ht="15" hidden="false" customHeight="false" outlineLevel="0" collapsed="false">
      <c r="A23" s="45" t="s">
        <v>31</v>
      </c>
      <c r="B23" s="111" t="n">
        <f aca="false">IF(Horo8289[[#This Row],[Jour]]="Lundi",$C$1+1, IF(Horo8289[[#This Row],[Jour]]="Mardi",$C$1+2, IF(Horo8289[[#This Row],[Jour]]="Mercredi",$C$1+3, IF(Horo8289[[#This Row],[Jour]]="Jeudi",$C$1+4, IF(Horo8289[[#This Row],[Jour]]="Vendredi",$C$1+5, IF(Horo8289[[#This Row],[Jour]]="Samedi",$C$1+6, IF(Horo8289[[#This Row],[Jour]]="Dimanche",$C$1, )))))))</f>
        <v>44351</v>
      </c>
      <c r="C23" s="47" t="s">
        <v>3</v>
      </c>
      <c r="D23" s="48" t="n">
        <v>0.375</v>
      </c>
      <c r="E23" s="48" t="n">
        <v>0.416666666666667</v>
      </c>
      <c r="F23" s="49" t="s">
        <v>61</v>
      </c>
      <c r="G23" s="49" t="s">
        <v>19</v>
      </c>
      <c r="H23" s="50" t="s">
        <v>42</v>
      </c>
      <c r="I23" s="61" t="s">
        <v>259</v>
      </c>
      <c r="J23" s="52" t="n">
        <f aca="false">IF(Horo8289[[#This Row],[Début]]=0,"",(Horo8289[[#This Row],[Durée (60)2]]-INT(Horo8289[[#This Row],[Durée (60)2]]))*24)</f>
        <v>1</v>
      </c>
      <c r="K23" s="62" t="n">
        <f aca="false">SUMIF(Horo8289[Jour],C23,Horo8289[Durée])</f>
        <v>7.5</v>
      </c>
      <c r="L23" s="54" t="n">
        <f aca="false">IFERROR(SUMIF(Horo8289[[#This Row],[Jour]],Horo8289[[#This Row],[Jour]],Horo8289[[#This Row],[GPF]]) / Horo8289[[#This Row],[hrs]],"")</f>
        <v>0.133333333333333</v>
      </c>
      <c r="M23" s="56" t="n">
        <f aca="false">IF("GPF"=Horo8289[[#This Row],[Tâche]],Horo8289[[#This Row],[Durée]],"")</f>
        <v>1</v>
      </c>
      <c r="N23" s="56" t="str">
        <f aca="false">IF("RI"=Horo8289[[#This Row],[Tâche]],Horo8289[[#This Row],[Durée]],"")</f>
        <v/>
      </c>
      <c r="O23" s="56" t="str">
        <f aca="false">IF("GB"=Horo8289[[#This Row],[Tâche]],Horo8289[[#This Row],[Durée]],"")</f>
        <v/>
      </c>
      <c r="P23" s="56" t="str">
        <f aca="false">IF("RD"=Horo8289[[#This Row],[Tâche]],Horo8289[[#This Row],[Durée]],"")</f>
        <v/>
      </c>
      <c r="Q23" s="56" t="str">
        <f aca="false">IF("FG"=Horo8289[[#This Row],[Tâche]],Horo8289[[#This Row],[Durée]],"")</f>
        <v/>
      </c>
      <c r="R23" s="56" t="str">
        <f aca="false">IF("CONGÉ"=Horo8289[[#This Row],[Tâche]],Horo8289[[#This Row],[Durée]],"")</f>
        <v/>
      </c>
      <c r="S23" s="57" t="str">
        <f aca="false">IF("PS"=Horo8289[[#This Row],[Tâche]],Horo8289[[#This Row],[Durée]],"")</f>
        <v/>
      </c>
      <c r="T23" s="56" t="str">
        <f aca="false">IF("TD"=Horo8289[[#This Row],[Tâche]],Horo8289[[#This Row],[Durée]],"")</f>
        <v/>
      </c>
      <c r="U23" s="55" t="str">
        <f aca="false">IF("N/C"=Horo8289[[#This Row],[Tâche]],Horo8289[[#This Row],[Durée]],"")</f>
        <v/>
      </c>
      <c r="V23" s="58"/>
      <c r="W23" s="59" t="n">
        <f aca="false">IF(Horo8289[[#This Row],[O]]="o",Horo8289[[#This Row],[Durée]],".")</f>
        <v>1</v>
      </c>
      <c r="X23" s="60" t="n">
        <f aca="false">IF(Horo8289[[#This Row],[Début]]=0,"",Horo8289[[#This Row],[Fin]]-Horo8289[[#This Row],[Début]])</f>
        <v>0.0416666666666667</v>
      </c>
    </row>
    <row r="24" customFormat="false" ht="15" hidden="false" customHeight="false" outlineLevel="0" collapsed="false">
      <c r="A24" s="45" t="s">
        <v>31</v>
      </c>
      <c r="B24" s="111" t="n">
        <f aca="false">IF(Horo8289[[#This Row],[Jour]]="Lundi",$C$1+1, IF(Horo8289[[#This Row],[Jour]]="Mardi",$C$1+2, IF(Horo8289[[#This Row],[Jour]]="Mercredi",$C$1+3, IF(Horo8289[[#This Row],[Jour]]="Jeudi",$C$1+4, IF(Horo8289[[#This Row],[Jour]]="Vendredi",$C$1+5, IF(Horo8289[[#This Row],[Jour]]="Samedi",$C$1+6, IF(Horo8289[[#This Row],[Jour]]="Dimanche",$C$1, )))))))</f>
        <v>44351</v>
      </c>
      <c r="C24" s="47" t="s">
        <v>3</v>
      </c>
      <c r="D24" s="48" t="n">
        <v>0.416666666666667</v>
      </c>
      <c r="E24" s="48" t="n">
        <v>0.4375</v>
      </c>
      <c r="F24" s="49" t="s">
        <v>32</v>
      </c>
      <c r="G24" s="49" t="s">
        <v>23</v>
      </c>
      <c r="H24" s="50" t="s">
        <v>201</v>
      </c>
      <c r="I24" s="61"/>
      <c r="J24" s="52" t="n">
        <f aca="false">IF(Horo8289[[#This Row],[Début]]=0,"",(Horo8289[[#This Row],[Durée (60)2]]-INT(Horo8289[[#This Row],[Durée (60)2]]))*24)</f>
        <v>0.5</v>
      </c>
      <c r="K24" s="62" t="n">
        <f aca="false">SUMIF(Horo8289[Jour],C24,Horo8289[Durée])</f>
        <v>7.5</v>
      </c>
      <c r="L24" s="54" t="n">
        <f aca="false">IFERROR(SUMIF(Horo8289[[#This Row],[Jour]],Horo8289[[#This Row],[Jour]],Horo8289[[#This Row],[GPF]]) / Horo8289[[#This Row],[hrs]],"")</f>
        <v>0</v>
      </c>
      <c r="M24" s="56" t="str">
        <f aca="false">IF("GPF"=Horo8289[[#This Row],[Tâche]],Horo8289[[#This Row],[Durée]],"")</f>
        <v/>
      </c>
      <c r="N24" s="56" t="str">
        <f aca="false">IF("RI"=Horo8289[[#This Row],[Tâche]],Horo8289[[#This Row],[Durée]],"")</f>
        <v/>
      </c>
      <c r="O24" s="56" t="str">
        <f aca="false">IF("GB"=Horo8289[[#This Row],[Tâche]],Horo8289[[#This Row],[Durée]],"")</f>
        <v/>
      </c>
      <c r="P24" s="56" t="str">
        <f aca="false">IF("RD"=Horo8289[[#This Row],[Tâche]],Horo8289[[#This Row],[Durée]],"")</f>
        <v/>
      </c>
      <c r="Q24" s="56" t="n">
        <f aca="false">IF("FG"=Horo8289[[#This Row],[Tâche]],Horo8289[[#This Row],[Durée]],"")</f>
        <v>0.5</v>
      </c>
      <c r="R24" s="56" t="str">
        <f aca="false">IF("CONGÉ"=Horo8289[[#This Row],[Tâche]],Horo8289[[#This Row],[Durée]],"")</f>
        <v/>
      </c>
      <c r="S24" s="57" t="str">
        <f aca="false">IF("PS"=Horo8289[[#This Row],[Tâche]],Horo8289[[#This Row],[Durée]],"")</f>
        <v/>
      </c>
      <c r="T24" s="56" t="str">
        <f aca="false">IF("TD"=Horo8289[[#This Row],[Tâche]],Horo8289[[#This Row],[Durée]],"")</f>
        <v/>
      </c>
      <c r="U24" s="55" t="str">
        <f aca="false">IF("N/C"=Horo8289[[#This Row],[Tâche]],Horo8289[[#This Row],[Durée]],"")</f>
        <v/>
      </c>
      <c r="V24" s="58"/>
      <c r="W24" s="59" t="n">
        <f aca="false">IF(Horo8289[[#This Row],[O]]="o",Horo8289[[#This Row],[Durée]],".")</f>
        <v>0.5</v>
      </c>
      <c r="X24" s="60" t="n">
        <f aca="false">IF(Horo8289[[#This Row],[Début]]=0,"",Horo8289[[#This Row],[Fin]]-Horo8289[[#This Row],[Début]])</f>
        <v>0.0208333333333333</v>
      </c>
    </row>
    <row r="25" customFormat="false" ht="15" hidden="false" customHeight="false" outlineLevel="0" collapsed="false">
      <c r="A25" s="45" t="s">
        <v>31</v>
      </c>
      <c r="B25" s="111" t="n">
        <f aca="false">IF(Horo8289[[#This Row],[Jour]]="Lundi",$C$1+1, IF(Horo8289[[#This Row],[Jour]]="Mardi",$C$1+2, IF(Horo8289[[#This Row],[Jour]]="Mercredi",$C$1+3, IF(Horo8289[[#This Row],[Jour]]="Jeudi",$C$1+4, IF(Horo8289[[#This Row],[Jour]]="Vendredi",$C$1+5, IF(Horo8289[[#This Row],[Jour]]="Samedi",$C$1+6, IF(Horo8289[[#This Row],[Jour]]="Dimanche",$C$1, )))))))</f>
        <v>44351</v>
      </c>
      <c r="C25" s="47" t="s">
        <v>3</v>
      </c>
      <c r="D25" s="48" t="n">
        <v>0.4375</v>
      </c>
      <c r="E25" s="48" t="n">
        <v>0.479166666666667</v>
      </c>
      <c r="F25" s="49" t="s">
        <v>60</v>
      </c>
      <c r="G25" s="49" t="s">
        <v>19</v>
      </c>
      <c r="H25" s="50" t="s">
        <v>128</v>
      </c>
      <c r="I25" s="61" t="s">
        <v>260</v>
      </c>
      <c r="J25" s="52" t="n">
        <f aca="false">IF(Horo8289[[#This Row],[Début]]=0,"",(Horo8289[[#This Row],[Durée (60)2]]-INT(Horo8289[[#This Row],[Durée (60)2]]))*24)</f>
        <v>1</v>
      </c>
      <c r="K25" s="62" t="n">
        <f aca="false">SUMIF(Horo8289[Jour],C25,Horo8289[Durée])</f>
        <v>7.5</v>
      </c>
      <c r="L25" s="54" t="n">
        <f aca="false">IFERROR(SUMIF(Horo8289[[#This Row],[Jour]],Horo8289[[#This Row],[Jour]],Horo8289[[#This Row],[GPF]]) / Horo8289[[#This Row],[hrs]],"")</f>
        <v>0.133333333333333</v>
      </c>
      <c r="M25" s="56" t="n">
        <f aca="false">IF("GPF"=Horo8289[[#This Row],[Tâche]],Horo8289[[#This Row],[Durée]],"")</f>
        <v>1</v>
      </c>
      <c r="N25" s="56" t="str">
        <f aca="false">IF("RI"=Horo8289[[#This Row],[Tâche]],Horo8289[[#This Row],[Durée]],"")</f>
        <v/>
      </c>
      <c r="O25" s="56" t="str">
        <f aca="false">IF("GB"=Horo8289[[#This Row],[Tâche]],Horo8289[[#This Row],[Durée]],"")</f>
        <v/>
      </c>
      <c r="P25" s="56" t="str">
        <f aca="false">IF("RD"=Horo8289[[#This Row],[Tâche]],Horo8289[[#This Row],[Durée]],"")</f>
        <v/>
      </c>
      <c r="Q25" s="56" t="str">
        <f aca="false">IF("FG"=Horo8289[[#This Row],[Tâche]],Horo8289[[#This Row],[Durée]],"")</f>
        <v/>
      </c>
      <c r="R25" s="56" t="str">
        <f aca="false">IF("CONGÉ"=Horo8289[[#This Row],[Tâche]],Horo8289[[#This Row],[Durée]],"")</f>
        <v/>
      </c>
      <c r="S25" s="57" t="str">
        <f aca="false">IF("PS"=Horo8289[[#This Row],[Tâche]],Horo8289[[#This Row],[Durée]],"")</f>
        <v/>
      </c>
      <c r="T25" s="56" t="str">
        <f aca="false">IF("TD"=Horo8289[[#This Row],[Tâche]],Horo8289[[#This Row],[Durée]],"")</f>
        <v/>
      </c>
      <c r="U25" s="55" t="str">
        <f aca="false">IF("N/C"=Horo8289[[#This Row],[Tâche]],Horo8289[[#This Row],[Durée]],"")</f>
        <v/>
      </c>
      <c r="V25" s="58"/>
      <c r="W25" s="59" t="n">
        <f aca="false">IF(Horo8289[[#This Row],[O]]="o",Horo8289[[#This Row],[Durée]],".")</f>
        <v>1</v>
      </c>
      <c r="X25" s="60" t="n">
        <f aca="false">IF(Horo8289[[#This Row],[Début]]=0,"",Horo8289[[#This Row],[Fin]]-Horo8289[[#This Row],[Début]])</f>
        <v>0.0416666666666667</v>
      </c>
    </row>
    <row r="26" customFormat="false" ht="15" hidden="false" customHeight="false" outlineLevel="0" collapsed="false">
      <c r="A26" s="45" t="s">
        <v>31</v>
      </c>
      <c r="B26" s="111" t="n">
        <f aca="false">IF(Horo8289[[#This Row],[Jour]]="Lundi",$C$1+1, IF(Horo8289[[#This Row],[Jour]]="Mardi",$C$1+2, IF(Horo8289[[#This Row],[Jour]]="Mercredi",$C$1+3, IF(Horo8289[[#This Row],[Jour]]="Jeudi",$C$1+4, IF(Horo8289[[#This Row],[Jour]]="Vendredi",$C$1+5, IF(Horo8289[[#This Row],[Jour]]="Samedi",$C$1+6, IF(Horo8289[[#This Row],[Jour]]="Dimanche",$C$1, )))))))</f>
        <v>44351</v>
      </c>
      <c r="C26" s="47" t="s">
        <v>3</v>
      </c>
      <c r="D26" s="48" t="n">
        <v>0.604166666666667</v>
      </c>
      <c r="E26" s="48" t="n">
        <v>0.729166666666667</v>
      </c>
      <c r="F26" s="49" t="s">
        <v>32</v>
      </c>
      <c r="G26" s="49" t="s">
        <v>22</v>
      </c>
      <c r="H26" s="50" t="s">
        <v>201</v>
      </c>
      <c r="I26" s="61"/>
      <c r="J26" s="52" t="n">
        <f aca="false">IF(Horo8289[[#This Row],[Début]]=0,"",(Horo8289[[#This Row],[Durée (60)2]]-INT(Horo8289[[#This Row],[Durée (60)2]]))*24)</f>
        <v>3</v>
      </c>
      <c r="K26" s="62" t="n">
        <f aca="false">SUMIF(Horo8289[Jour],C26,Horo8289[Durée])</f>
        <v>7.5</v>
      </c>
      <c r="L26" s="54" t="n">
        <f aca="false">IFERROR(SUMIF(Horo8289[[#This Row],[Jour]],Horo8289[[#This Row],[Jour]],Horo8289[[#This Row],[GPF]]) / Horo8289[[#This Row],[hrs]],"")</f>
        <v>0</v>
      </c>
      <c r="M26" s="56" t="str">
        <f aca="false">IF("GPF"=Horo8289[[#This Row],[Tâche]],Horo8289[[#This Row],[Durée]],"")</f>
        <v/>
      </c>
      <c r="N26" s="56" t="str">
        <f aca="false">IF("RI"=Horo8289[[#This Row],[Tâche]],Horo8289[[#This Row],[Durée]],"")</f>
        <v/>
      </c>
      <c r="O26" s="56" t="str">
        <f aca="false">IF("GB"=Horo8289[[#This Row],[Tâche]],Horo8289[[#This Row],[Durée]],"")</f>
        <v/>
      </c>
      <c r="P26" s="56" t="n">
        <f aca="false">IF("RD"=Horo8289[[#This Row],[Tâche]],Horo8289[[#This Row],[Durée]],"")</f>
        <v>3</v>
      </c>
      <c r="Q26" s="56" t="str">
        <f aca="false">IF("FG"=Horo8289[[#This Row],[Tâche]],Horo8289[[#This Row],[Durée]],"")</f>
        <v/>
      </c>
      <c r="R26" s="56" t="str">
        <f aca="false">IF("CONGÉ"=Horo8289[[#This Row],[Tâche]],Horo8289[[#This Row],[Durée]],"")</f>
        <v/>
      </c>
      <c r="S26" s="57" t="str">
        <f aca="false">IF("PS"=Horo8289[[#This Row],[Tâche]],Horo8289[[#This Row],[Durée]],"")</f>
        <v/>
      </c>
      <c r="T26" s="56" t="str">
        <f aca="false">IF("TD"=Horo8289[[#This Row],[Tâche]],Horo8289[[#This Row],[Durée]],"")</f>
        <v/>
      </c>
      <c r="U26" s="55" t="str">
        <f aca="false">IF("N/C"=Horo8289[[#This Row],[Tâche]],Horo8289[[#This Row],[Durée]],"")</f>
        <v/>
      </c>
      <c r="V26" s="58"/>
      <c r="W26" s="59" t="n">
        <f aca="false">IF(Horo8289[[#This Row],[O]]="o",Horo8289[[#This Row],[Durée]],".")</f>
        <v>3</v>
      </c>
      <c r="X26" s="60" t="n">
        <f aca="false">IF(Horo8289[[#This Row],[Début]]=0,"",Horo8289[[#This Row],[Fin]]-Horo8289[[#This Row],[Début]])</f>
        <v>0.125</v>
      </c>
    </row>
    <row r="27" customFormat="false" ht="15" hidden="false" customHeight="false" outlineLevel="0" collapsed="false">
      <c r="A27" s="45" t="s">
        <v>31</v>
      </c>
      <c r="B27" s="46" t="n">
        <f aca="false">IF(Horo8289[[#This Row],[Jour]]="Lundi",$C$1+1, IF(Horo8289[[#This Row],[Jour]]="Mardi",$C$1+2, IF(Horo8289[[#This Row],[Jour]]="Mercredi",$C$1+3, IF(Horo8289[[#This Row],[Jour]]="Jeudi",$C$1+4, IF(Horo8289[[#This Row],[Jour]]="Vendredi",$C$1+5, IF(Horo8289[[#This Row],[Jour]]="Samedi",$C$1+6, IF(Horo8289[[#This Row],[Jour]]="Dimanche",$C$1, )))))))</f>
        <v>44351</v>
      </c>
      <c r="C27" s="47" t="s">
        <v>3</v>
      </c>
      <c r="D27" s="48" t="n">
        <v>0.729166666666667</v>
      </c>
      <c r="E27" s="48" t="n">
        <v>0.770833333333333</v>
      </c>
      <c r="F27" s="49" t="s">
        <v>32</v>
      </c>
      <c r="G27" s="49" t="s">
        <v>21</v>
      </c>
      <c r="H27" s="50" t="s">
        <v>112</v>
      </c>
      <c r="I27" s="61"/>
      <c r="J27" s="52" t="n">
        <f aca="false">IF(Horo8289[[#This Row],[Début]]=0,"",(Horo8289[[#This Row],[Durée (60)2]]-INT(Horo8289[[#This Row],[Durée (60)2]]))*24)</f>
        <v>1</v>
      </c>
      <c r="K27" s="62" t="n">
        <f aca="false">SUMIF(Horo8289[Jour],C27,Horo8289[Durée])</f>
        <v>7.5</v>
      </c>
      <c r="L27" s="54" t="n">
        <f aca="false">IFERROR(SUMIF(Horo8289[[#This Row],[Jour]],Horo8289[[#This Row],[Jour]],Horo8289[[#This Row],[GPF]]) / Horo8289[[#This Row],[hrs]],"")</f>
        <v>0</v>
      </c>
      <c r="M27" s="56" t="str">
        <f aca="false">IF("GPF"=Horo8289[[#This Row],[Tâche]],Horo8289[[#This Row],[Durée]],"")</f>
        <v/>
      </c>
      <c r="N27" s="56" t="str">
        <f aca="false">IF("RI"=Horo8289[[#This Row],[Tâche]],Horo8289[[#This Row],[Durée]],"")</f>
        <v/>
      </c>
      <c r="O27" s="56" t="n">
        <f aca="false">IF("GB"=Horo8289[[#This Row],[Tâche]],Horo8289[[#This Row],[Durée]],"")</f>
        <v>1</v>
      </c>
      <c r="P27" s="56" t="str">
        <f aca="false">IF("RD"=Horo8289[[#This Row],[Tâche]],Horo8289[[#This Row],[Durée]],"")</f>
        <v/>
      </c>
      <c r="Q27" s="56" t="str">
        <f aca="false">IF("FG"=Horo8289[[#This Row],[Tâche]],Horo8289[[#This Row],[Durée]],"")</f>
        <v/>
      </c>
      <c r="R27" s="56" t="str">
        <f aca="false">IF("CONGÉ"=Horo8289[[#This Row],[Tâche]],Horo8289[[#This Row],[Durée]],"")</f>
        <v/>
      </c>
      <c r="S27" s="57" t="str">
        <f aca="false">IF("PS"=Horo8289[[#This Row],[Tâche]],Horo8289[[#This Row],[Durée]],"")</f>
        <v/>
      </c>
      <c r="T27" s="56" t="str">
        <f aca="false">IF("TD"=Horo8289[[#This Row],[Tâche]],Horo8289[[#This Row],[Durée]],"")</f>
        <v/>
      </c>
      <c r="U27" s="55" t="str">
        <f aca="false">IF("N/C"=Horo8289[[#This Row],[Tâche]],Horo8289[[#This Row],[Durée]],"")</f>
        <v/>
      </c>
      <c r="V27" s="58"/>
      <c r="W27" s="59" t="n">
        <f aca="false">IF(Horo8289[[#This Row],[O]]="o",Horo8289[[#This Row],[Durée]],".")</f>
        <v>1</v>
      </c>
      <c r="X27" s="60" t="n">
        <f aca="false">IF(Horo8289[[#This Row],[Début]]=0,"",Horo8289[[#This Row],[Fin]]-Horo8289[[#This Row],[Début]])</f>
        <v>0.0416666666666667</v>
      </c>
    </row>
    <row r="28" customFormat="false" ht="15" hidden="false" customHeight="false" outlineLevel="0" collapsed="false">
      <c r="A28" s="45" t="s">
        <v>31</v>
      </c>
      <c r="B28" s="111" t="n">
        <f aca="false">IF(Horo8289[[#This Row],[Jour]]="Lundi",$C$1+1, IF(Horo8289[[#This Row],[Jour]]="Mardi",$C$1+2, IF(Horo8289[[#This Row],[Jour]]="Mercredi",$C$1+3, IF(Horo8289[[#This Row],[Jour]]="Jeudi",$C$1+4, IF(Horo8289[[#This Row],[Jour]]="Vendredi",$C$1+5, IF(Horo8289[[#This Row],[Jour]]="Samedi",$C$1+6, IF(Horo8289[[#This Row],[Jour]]="Dimanche",$C$1, )))))))</f>
        <v>44352</v>
      </c>
      <c r="C28" s="47" t="s">
        <v>4</v>
      </c>
      <c r="D28" s="48" t="n">
        <v>0.333333333333333</v>
      </c>
      <c r="E28" s="48" t="n">
        <v>0.375</v>
      </c>
      <c r="F28" s="49" t="s">
        <v>32</v>
      </c>
      <c r="G28" s="49" t="s">
        <v>23</v>
      </c>
      <c r="H28" s="50" t="s">
        <v>201</v>
      </c>
      <c r="I28" s="61"/>
      <c r="J28" s="52" t="n">
        <f aca="false">IF(Horo8289[[#This Row],[Début]]=0,"",(Horo8289[[#This Row],[Durée (60)2]]-INT(Horo8289[[#This Row],[Durée (60)2]]))*24)</f>
        <v>1</v>
      </c>
      <c r="K28" s="62" t="n">
        <f aca="false">SUMIF(Horo8289[Jour],C28,Horo8289[Durée])</f>
        <v>8.5</v>
      </c>
      <c r="L28" s="54" t="n">
        <f aca="false">IFERROR(SUMIF(Horo8289[[#This Row],[Jour]],Horo8289[[#This Row],[Jour]],Horo8289[[#This Row],[GPF]]) / Horo8289[[#This Row],[hrs]],"")</f>
        <v>0</v>
      </c>
      <c r="M28" s="56" t="str">
        <f aca="false">IF("GPF"=Horo8289[[#This Row],[Tâche]],Horo8289[[#This Row],[Durée]],"")</f>
        <v/>
      </c>
      <c r="N28" s="56" t="str">
        <f aca="false">IF("RI"=Horo8289[[#This Row],[Tâche]],Horo8289[[#This Row],[Durée]],"")</f>
        <v/>
      </c>
      <c r="O28" s="56" t="str">
        <f aca="false">IF("GB"=Horo8289[[#This Row],[Tâche]],Horo8289[[#This Row],[Durée]],"")</f>
        <v/>
      </c>
      <c r="P28" s="56" t="str">
        <f aca="false">IF("RD"=Horo8289[[#This Row],[Tâche]],Horo8289[[#This Row],[Durée]],"")</f>
        <v/>
      </c>
      <c r="Q28" s="56" t="n">
        <f aca="false">IF("FG"=Horo8289[[#This Row],[Tâche]],Horo8289[[#This Row],[Durée]],"")</f>
        <v>1</v>
      </c>
      <c r="R28" s="56" t="str">
        <f aca="false">IF("CONGÉ"=Horo8289[[#This Row],[Tâche]],Horo8289[[#This Row],[Durée]],"")</f>
        <v/>
      </c>
      <c r="S28" s="57" t="str">
        <f aca="false">IF("PS"=Horo8289[[#This Row],[Tâche]],Horo8289[[#This Row],[Durée]],"")</f>
        <v/>
      </c>
      <c r="T28" s="56" t="str">
        <f aca="false">IF("TD"=Horo8289[[#This Row],[Tâche]],Horo8289[[#This Row],[Durée]],"")</f>
        <v/>
      </c>
      <c r="U28" s="55" t="str">
        <f aca="false">IF("N/C"=Horo8289[[#This Row],[Tâche]],Horo8289[[#This Row],[Durée]],"")</f>
        <v/>
      </c>
      <c r="V28" s="58"/>
      <c r="W28" s="59" t="n">
        <f aca="false">IF(Horo8289[[#This Row],[O]]="o",Horo8289[[#This Row],[Durée]],".")</f>
        <v>1</v>
      </c>
      <c r="X28" s="60" t="n">
        <f aca="false">IF(Horo8289[[#This Row],[Début]]=0,"",Horo8289[[#This Row],[Fin]]-Horo8289[[#This Row],[Début]])</f>
        <v>0.0416666666666667</v>
      </c>
    </row>
    <row r="29" customFormat="false" ht="15" hidden="false" customHeight="false" outlineLevel="0" collapsed="false">
      <c r="A29" s="45" t="s">
        <v>31</v>
      </c>
      <c r="B29" s="46" t="n">
        <f aca="false">IF(Horo8289[[#This Row],[Jour]]="Lundi",$C$1+1, IF(Horo8289[[#This Row],[Jour]]="Mardi",$C$1+2, IF(Horo8289[[#This Row],[Jour]]="Mercredi",$C$1+3, IF(Horo8289[[#This Row],[Jour]]="Jeudi",$C$1+4, IF(Horo8289[[#This Row],[Jour]]="Vendredi",$C$1+5, IF(Horo8289[[#This Row],[Jour]]="Samedi",$C$1+6, IF(Horo8289[[#This Row],[Jour]]="Dimanche",$C$1, )))))))</f>
        <v>44352</v>
      </c>
      <c r="C29" s="47" t="s">
        <v>4</v>
      </c>
      <c r="D29" s="48" t="n">
        <v>0.375</v>
      </c>
      <c r="E29" s="48" t="n">
        <v>0.395833333333333</v>
      </c>
      <c r="F29" s="49" t="s">
        <v>32</v>
      </c>
      <c r="G29" s="49" t="s">
        <v>21</v>
      </c>
      <c r="H29" s="50"/>
      <c r="I29" s="61"/>
      <c r="J29" s="52" t="n">
        <f aca="false">IF(Horo8289[[#This Row],[Début]]=0,"",(Horo8289[[#This Row],[Durée (60)2]]-INT(Horo8289[[#This Row],[Durée (60)2]]))*24)</f>
        <v>0.5</v>
      </c>
      <c r="K29" s="62" t="n">
        <f aca="false">SUMIF(Horo8289[Jour],C29,Horo8289[Durée])</f>
        <v>8.5</v>
      </c>
      <c r="L29" s="54" t="n">
        <f aca="false">IFERROR(SUMIF(Horo8289[[#This Row],[Jour]],Horo8289[[#This Row],[Jour]],Horo8289[[#This Row],[GPF]]) / Horo8289[[#This Row],[hrs]],"")</f>
        <v>0</v>
      </c>
      <c r="M29" s="56" t="str">
        <f aca="false">IF("GPF"=Horo8289[[#This Row],[Tâche]],Horo8289[[#This Row],[Durée]],"")</f>
        <v/>
      </c>
      <c r="N29" s="56" t="str">
        <f aca="false">IF("RI"=Horo8289[[#This Row],[Tâche]],Horo8289[[#This Row],[Durée]],"")</f>
        <v/>
      </c>
      <c r="O29" s="56" t="n">
        <f aca="false">IF("GB"=Horo8289[[#This Row],[Tâche]],Horo8289[[#This Row],[Durée]],"")</f>
        <v>0.5</v>
      </c>
      <c r="P29" s="56" t="str">
        <f aca="false">IF("RD"=Horo8289[[#This Row],[Tâche]],Horo8289[[#This Row],[Durée]],"")</f>
        <v/>
      </c>
      <c r="Q29" s="56" t="str">
        <f aca="false">IF("FG"=Horo8289[[#This Row],[Tâche]],Horo8289[[#This Row],[Durée]],"")</f>
        <v/>
      </c>
      <c r="R29" s="56" t="str">
        <f aca="false">IF("CONGÉ"=Horo8289[[#This Row],[Tâche]],Horo8289[[#This Row],[Durée]],"")</f>
        <v/>
      </c>
      <c r="S29" s="57" t="str">
        <f aca="false">IF("PS"=Horo8289[[#This Row],[Tâche]],Horo8289[[#This Row],[Durée]],"")</f>
        <v/>
      </c>
      <c r="T29" s="56" t="str">
        <f aca="false">IF("TD"=Horo8289[[#This Row],[Tâche]],Horo8289[[#This Row],[Durée]],"")</f>
        <v/>
      </c>
      <c r="U29" s="55" t="str">
        <f aca="false">IF("N/C"=Horo8289[[#This Row],[Tâche]],Horo8289[[#This Row],[Durée]],"")</f>
        <v/>
      </c>
      <c r="V29" s="58"/>
      <c r="W29" s="59" t="n">
        <f aca="false">IF(Horo8289[[#This Row],[O]]="o",Horo8289[[#This Row],[Durée]],".")</f>
        <v>0.5</v>
      </c>
      <c r="X29" s="60" t="n">
        <f aca="false">IF(Horo8289[[#This Row],[Début]]=0,"",Horo8289[[#This Row],[Fin]]-Horo8289[[#This Row],[Début]])</f>
        <v>0.0208333333333333</v>
      </c>
    </row>
    <row r="30" customFormat="false" ht="15" hidden="false" customHeight="false" outlineLevel="0" collapsed="false">
      <c r="A30" s="45" t="s">
        <v>31</v>
      </c>
      <c r="B30" s="46" t="n">
        <f aca="false">IF(Horo8289[[#This Row],[Jour]]="Lundi",$C$1+1, IF(Horo8289[[#This Row],[Jour]]="Mardi",$C$1+2, IF(Horo8289[[#This Row],[Jour]]="Mercredi",$C$1+3, IF(Horo8289[[#This Row],[Jour]]="Jeudi",$C$1+4, IF(Horo8289[[#This Row],[Jour]]="Vendredi",$C$1+5, IF(Horo8289[[#This Row],[Jour]]="Samedi",$C$1+6, IF(Horo8289[[#This Row],[Jour]]="Dimanche",$C$1, )))))))</f>
        <v>44352</v>
      </c>
      <c r="C30" s="47" t="s">
        <v>4</v>
      </c>
      <c r="D30" s="48" t="n">
        <v>0.395833333333333</v>
      </c>
      <c r="E30" s="48" t="n">
        <v>0.5</v>
      </c>
      <c r="F30" s="49" t="s">
        <v>32</v>
      </c>
      <c r="G30" s="49" t="s">
        <v>22</v>
      </c>
      <c r="H30" s="50" t="s">
        <v>201</v>
      </c>
      <c r="I30" s="61"/>
      <c r="J30" s="52" t="n">
        <f aca="false">IF(Horo8289[[#This Row],[Début]]=0,"",(Horo8289[[#This Row],[Durée (60)2]]-INT(Horo8289[[#This Row],[Durée (60)2]]))*24)</f>
        <v>2.5</v>
      </c>
      <c r="K30" s="62" t="n">
        <f aca="false">SUMIF(Horo8289[Jour],C30,Horo8289[Durée])</f>
        <v>8.5</v>
      </c>
      <c r="L30" s="54" t="n">
        <f aca="false">IFERROR(SUMIF(Horo8289[[#This Row],[Jour]],Horo8289[[#This Row],[Jour]],Horo8289[[#This Row],[GPF]]) / Horo8289[[#This Row],[hrs]],"")</f>
        <v>0</v>
      </c>
      <c r="M30" s="56" t="str">
        <f aca="false">IF("GPF"=Horo8289[[#This Row],[Tâche]],Horo8289[[#This Row],[Durée]],"")</f>
        <v/>
      </c>
      <c r="N30" s="56" t="str">
        <f aca="false">IF("RI"=Horo8289[[#This Row],[Tâche]],Horo8289[[#This Row],[Durée]],"")</f>
        <v/>
      </c>
      <c r="O30" s="56" t="str">
        <f aca="false">IF("GB"=Horo8289[[#This Row],[Tâche]],Horo8289[[#This Row],[Durée]],"")</f>
        <v/>
      </c>
      <c r="P30" s="56" t="n">
        <f aca="false">IF("RD"=Horo8289[[#This Row],[Tâche]],Horo8289[[#This Row],[Durée]],"")</f>
        <v>2.5</v>
      </c>
      <c r="Q30" s="56" t="str">
        <f aca="false">IF("FG"=Horo8289[[#This Row],[Tâche]],Horo8289[[#This Row],[Durée]],"")</f>
        <v/>
      </c>
      <c r="R30" s="56" t="str">
        <f aca="false">IF("CONGÉ"=Horo8289[[#This Row],[Tâche]],Horo8289[[#This Row],[Durée]],"")</f>
        <v/>
      </c>
      <c r="S30" s="57" t="str">
        <f aca="false">IF("PS"=Horo8289[[#This Row],[Tâche]],Horo8289[[#This Row],[Durée]],"")</f>
        <v/>
      </c>
      <c r="T30" s="56" t="str">
        <f aca="false">IF("TD"=Horo8289[[#This Row],[Tâche]],Horo8289[[#This Row],[Durée]],"")</f>
        <v/>
      </c>
      <c r="U30" s="55" t="str">
        <f aca="false">IF("N/C"=Horo8289[[#This Row],[Tâche]],Horo8289[[#This Row],[Durée]],"")</f>
        <v/>
      </c>
      <c r="V30" s="58"/>
      <c r="W30" s="59" t="n">
        <f aca="false">IF(Horo8289[[#This Row],[O]]="o",Horo8289[[#This Row],[Durée]],".")</f>
        <v>2.5</v>
      </c>
      <c r="X30" s="60" t="n">
        <f aca="false">IF(Horo8289[[#This Row],[Début]]=0,"",Horo8289[[#This Row],[Fin]]-Horo8289[[#This Row],[Début]])</f>
        <v>0.104166666666667</v>
      </c>
    </row>
    <row r="31" customFormat="false" ht="15" hidden="false" customHeight="false" outlineLevel="0" collapsed="false">
      <c r="A31" s="45" t="s">
        <v>31</v>
      </c>
      <c r="B31" s="111" t="n">
        <f aca="false">IF(Horo8289[[#This Row],[Jour]]="Lundi",$C$1+1, IF(Horo8289[[#This Row],[Jour]]="Mardi",$C$1+2, IF(Horo8289[[#This Row],[Jour]]="Mercredi",$C$1+3, IF(Horo8289[[#This Row],[Jour]]="Jeudi",$C$1+4, IF(Horo8289[[#This Row],[Jour]]="Vendredi",$C$1+5, IF(Horo8289[[#This Row],[Jour]]="Samedi",$C$1+6, IF(Horo8289[[#This Row],[Jour]]="Dimanche",$C$1, )))))))</f>
        <v>44352</v>
      </c>
      <c r="C31" s="47" t="s">
        <v>4</v>
      </c>
      <c r="D31" s="48" t="n">
        <v>0.354166666666667</v>
      </c>
      <c r="E31" s="48" t="n">
        <v>0.364583333333333</v>
      </c>
      <c r="F31" s="49" t="s">
        <v>75</v>
      </c>
      <c r="G31" s="49" t="s">
        <v>19</v>
      </c>
      <c r="H31" s="50" t="s">
        <v>55</v>
      </c>
      <c r="I31" s="61"/>
      <c r="J31" s="52" t="n">
        <f aca="false">IF(Horo8289[[#This Row],[Début]]=0,"",(Horo8289[[#This Row],[Durée (60)2]]-INT(Horo8289[[#This Row],[Durée (60)2]]))*24)</f>
        <v>0.249999999999999</v>
      </c>
      <c r="K31" s="53" t="n">
        <f aca="false">SUMIF(Horo8289[Jour],C31,Horo8289[Durée])</f>
        <v>8.5</v>
      </c>
      <c r="L31" s="54" t="n">
        <f aca="false">IFERROR(SUMIF(Horo8289[[#This Row],[Jour]],Horo8289[[#This Row],[Jour]],Horo8289[[#This Row],[GPF]]) / Horo8289[[#This Row],[hrs]],"")</f>
        <v>0.0294117647058823</v>
      </c>
      <c r="M31" s="55" t="n">
        <f aca="false">IF("GPF"=Horo8289[[#This Row],[Tâche]],Horo8289[[#This Row],[Durée]],"")</f>
        <v>0.249999999999999</v>
      </c>
      <c r="N31" s="56" t="str">
        <f aca="false">IF("RI"=Horo8289[[#This Row],[Tâche]],Horo8289[[#This Row],[Durée]],"")</f>
        <v/>
      </c>
      <c r="O31" s="56" t="str">
        <f aca="false">IF("GB"=Horo8289[[#This Row],[Tâche]],Horo8289[[#This Row],[Durée]],"")</f>
        <v/>
      </c>
      <c r="P31" s="56" t="str">
        <f aca="false">IF("RD"=Horo8289[[#This Row],[Tâche]],Horo8289[[#This Row],[Durée]],"")</f>
        <v/>
      </c>
      <c r="Q31" s="56" t="str">
        <f aca="false">IF("FG"=Horo8289[[#This Row],[Tâche]],Horo8289[[#This Row],[Durée]],"")</f>
        <v/>
      </c>
      <c r="R31" s="56" t="str">
        <f aca="false">IF("CONGÉ"=Horo8289[[#This Row],[Tâche]],Horo8289[[#This Row],[Durée]],"")</f>
        <v/>
      </c>
      <c r="S31" s="57" t="str">
        <f aca="false">IF("PS"=Horo8289[[#This Row],[Tâche]],Horo8289[[#This Row],[Durée]],"")</f>
        <v/>
      </c>
      <c r="T31" s="56" t="str">
        <f aca="false">IF("TD"=Horo8289[[#This Row],[Tâche]],Horo8289[[#This Row],[Durée]],"")</f>
        <v/>
      </c>
      <c r="U31" s="55" t="str">
        <f aca="false">IF("N/C"=Horo8289[[#This Row],[Tâche]],Horo8289[[#This Row],[Durée]],"")</f>
        <v/>
      </c>
      <c r="V31" s="58"/>
      <c r="W31" s="59" t="n">
        <f aca="false">IF(Horo8289[[#This Row],[O]]="o",Horo8289[[#This Row],[Durée]],".")</f>
        <v>0.249999999999999</v>
      </c>
      <c r="X31" s="60" t="n">
        <f aca="false">IF(Horo8289[[#This Row],[Début]]=0,"",Horo8289[[#This Row],[Fin]]-Horo8289[[#This Row],[Début]])</f>
        <v>0.0104166666666666</v>
      </c>
    </row>
    <row r="32" customFormat="false" ht="15" hidden="false" customHeight="false" outlineLevel="0" collapsed="false">
      <c r="A32" s="45" t="s">
        <v>31</v>
      </c>
      <c r="B32" s="111" t="n">
        <f aca="false">IF(Horo8289[[#This Row],[Jour]]="Lundi",$C$1+1, IF(Horo8289[[#This Row],[Jour]]="Mardi",$C$1+2, IF(Horo8289[[#This Row],[Jour]]="Mercredi",$C$1+3, IF(Horo8289[[#This Row],[Jour]]="Jeudi",$C$1+4, IF(Horo8289[[#This Row],[Jour]]="Vendredi",$C$1+5, IF(Horo8289[[#This Row],[Jour]]="Samedi",$C$1+6, IF(Horo8289[[#This Row],[Jour]]="Dimanche",$C$1, )))))))</f>
        <v>44352</v>
      </c>
      <c r="C32" s="47" t="s">
        <v>4</v>
      </c>
      <c r="D32" s="48" t="n">
        <v>0.375</v>
      </c>
      <c r="E32" s="48" t="n">
        <v>0.385416666666667</v>
      </c>
      <c r="F32" s="49" t="s">
        <v>59</v>
      </c>
      <c r="G32" s="49" t="s">
        <v>19</v>
      </c>
      <c r="H32" s="50" t="s">
        <v>55</v>
      </c>
      <c r="I32" s="61"/>
      <c r="J32" s="52" t="n">
        <f aca="false">IF(Horo8289[[#This Row],[Début]]=0,"",(Horo8289[[#This Row],[Durée (60)2]]-INT(Horo8289[[#This Row],[Durée (60)2]]))*24)</f>
        <v>0.25</v>
      </c>
      <c r="K32" s="62" t="n">
        <f aca="false">SUMIF(Horo8289[Jour],C32,Horo8289[Durée])</f>
        <v>8.5</v>
      </c>
      <c r="L32" s="54" t="n">
        <f aca="false">IFERROR(SUMIF(Horo8289[[#This Row],[Jour]],Horo8289[[#This Row],[Jour]],Horo8289[[#This Row],[GPF]]) / Horo8289[[#This Row],[hrs]],"")</f>
        <v>0.0294117647058824</v>
      </c>
      <c r="M32" s="56" t="n">
        <f aca="false">IF("GPF"=Horo8289[[#This Row],[Tâche]],Horo8289[[#This Row],[Durée]],"")</f>
        <v>0.25</v>
      </c>
      <c r="N32" s="56" t="str">
        <f aca="false">IF("RI"=Horo8289[[#This Row],[Tâche]],Horo8289[[#This Row],[Durée]],"")</f>
        <v/>
      </c>
      <c r="O32" s="56" t="str">
        <f aca="false">IF("GB"=Horo8289[[#This Row],[Tâche]],Horo8289[[#This Row],[Durée]],"")</f>
        <v/>
      </c>
      <c r="P32" s="56" t="str">
        <f aca="false">IF("RD"=Horo8289[[#This Row],[Tâche]],Horo8289[[#This Row],[Durée]],"")</f>
        <v/>
      </c>
      <c r="Q32" s="56" t="str">
        <f aca="false">IF("FG"=Horo8289[[#This Row],[Tâche]],Horo8289[[#This Row],[Durée]],"")</f>
        <v/>
      </c>
      <c r="R32" s="56" t="str">
        <f aca="false">IF("CONGÉ"=Horo8289[[#This Row],[Tâche]],Horo8289[[#This Row],[Durée]],"")</f>
        <v/>
      </c>
      <c r="S32" s="57" t="str">
        <f aca="false">IF("PS"=Horo8289[[#This Row],[Tâche]],Horo8289[[#This Row],[Durée]],"")</f>
        <v/>
      </c>
      <c r="T32" s="56" t="str">
        <f aca="false">IF("TD"=Horo8289[[#This Row],[Tâche]],Horo8289[[#This Row],[Durée]],"")</f>
        <v/>
      </c>
      <c r="U32" s="55" t="str">
        <f aca="false">IF("N/C"=Horo8289[[#This Row],[Tâche]],Horo8289[[#This Row],[Durée]],"")</f>
        <v/>
      </c>
      <c r="V32" s="58"/>
      <c r="W32" s="59" t="n">
        <f aca="false">IF(Horo8289[[#This Row],[O]]="o",Horo8289[[#This Row],[Durée]],".")</f>
        <v>0.25</v>
      </c>
      <c r="X32" s="60" t="n">
        <f aca="false">IF(Horo8289[[#This Row],[Début]]=0,"",Horo8289[[#This Row],[Fin]]-Horo8289[[#This Row],[Début]])</f>
        <v>0.0104166666666667</v>
      </c>
    </row>
    <row r="33" customFormat="false" ht="15" hidden="false" customHeight="false" outlineLevel="0" collapsed="false">
      <c r="A33" s="45" t="s">
        <v>31</v>
      </c>
      <c r="B33" s="46" t="n">
        <f aca="false">IF(Horo8289[[#This Row],[Jour]]="Lundi",$C$1+1, IF(Horo8289[[#This Row],[Jour]]="Mardi",$C$1+2, IF(Horo8289[[#This Row],[Jour]]="Mercredi",$C$1+3, IF(Horo8289[[#This Row],[Jour]]="Jeudi",$C$1+4, IF(Horo8289[[#This Row],[Jour]]="Vendredi",$C$1+5, IF(Horo8289[[#This Row],[Jour]]="Samedi",$C$1+6, IF(Horo8289[[#This Row],[Jour]]="Dimanche",$C$1, )))))))</f>
        <v>44352</v>
      </c>
      <c r="C33" s="47" t="s">
        <v>4</v>
      </c>
      <c r="D33" s="48" t="n">
        <v>0.583333333333333</v>
      </c>
      <c r="E33" s="48" t="n">
        <v>0.708333333333333</v>
      </c>
      <c r="F33" s="49" t="s">
        <v>32</v>
      </c>
      <c r="G33" s="49" t="s">
        <v>22</v>
      </c>
      <c r="H33" s="50" t="s">
        <v>201</v>
      </c>
      <c r="I33" s="61"/>
      <c r="J33" s="52" t="n">
        <f aca="false">IF(Horo8289[[#This Row],[Début]]=0,"",(Horo8289[[#This Row],[Durée (60)2]]-INT(Horo8289[[#This Row],[Durée (60)2]]))*24)</f>
        <v>3</v>
      </c>
      <c r="K33" s="62" t="n">
        <f aca="false">SUMIF(Horo8289[Jour],C33,Horo8289[Durée])</f>
        <v>8.5</v>
      </c>
      <c r="L33" s="54" t="n">
        <f aca="false">IFERROR(SUMIF(Horo8289[[#This Row],[Jour]],Horo8289[[#This Row],[Jour]],Horo8289[[#This Row],[GPF]]) / Horo8289[[#This Row],[hrs]],"")</f>
        <v>0</v>
      </c>
      <c r="M33" s="56" t="str">
        <f aca="false">IF("GPF"=Horo8289[[#This Row],[Tâche]],Horo8289[[#This Row],[Durée]],"")</f>
        <v/>
      </c>
      <c r="N33" s="56" t="str">
        <f aca="false">IF("RI"=Horo8289[[#This Row],[Tâche]],Horo8289[[#This Row],[Durée]],"")</f>
        <v/>
      </c>
      <c r="O33" s="56" t="str">
        <f aca="false">IF("GB"=Horo8289[[#This Row],[Tâche]],Horo8289[[#This Row],[Durée]],"")</f>
        <v/>
      </c>
      <c r="P33" s="56" t="n">
        <f aca="false">IF("RD"=Horo8289[[#This Row],[Tâche]],Horo8289[[#This Row],[Durée]],"")</f>
        <v>3</v>
      </c>
      <c r="Q33" s="56" t="str">
        <f aca="false">IF("FG"=Horo8289[[#This Row],[Tâche]],Horo8289[[#This Row],[Durée]],"")</f>
        <v/>
      </c>
      <c r="R33" s="56" t="str">
        <f aca="false">IF("CONGÉ"=Horo8289[[#This Row],[Tâche]],Horo8289[[#This Row],[Durée]],"")</f>
        <v/>
      </c>
      <c r="S33" s="57" t="str">
        <f aca="false">IF("PS"=Horo8289[[#This Row],[Tâche]],Horo8289[[#This Row],[Durée]],"")</f>
        <v/>
      </c>
      <c r="T33" s="56" t="str">
        <f aca="false">IF("TD"=Horo8289[[#This Row],[Tâche]],Horo8289[[#This Row],[Durée]],"")</f>
        <v/>
      </c>
      <c r="U33" s="55" t="str">
        <f aca="false">IF("N/C"=Horo8289[[#This Row],[Tâche]],Horo8289[[#This Row],[Durée]],"")</f>
        <v/>
      </c>
      <c r="V33" s="58"/>
      <c r="W33" s="59" t="n">
        <f aca="false">IF(Horo8289[[#This Row],[O]]="o",Horo8289[[#This Row],[Durée]],".")</f>
        <v>3</v>
      </c>
      <c r="X33" s="60" t="n">
        <f aca="false">IF(Horo8289[[#This Row],[Début]]=0,"",Horo8289[[#This Row],[Fin]]-Horo8289[[#This Row],[Début]])</f>
        <v>0.125</v>
      </c>
    </row>
    <row r="34" customFormat="false" ht="15" hidden="false" customHeight="false" outlineLevel="0" collapsed="false">
      <c r="A34" s="45" t="s">
        <v>31</v>
      </c>
      <c r="B34" s="111" t="n">
        <f aca="false">IF(Horo8289[[#This Row],[Jour]]="Lundi",$C$1+1, IF(Horo8289[[#This Row],[Jour]]="Mardi",$C$1+2, IF(Horo8289[[#This Row],[Jour]]="Mercredi",$C$1+3, IF(Horo8289[[#This Row],[Jour]]="Jeudi",$C$1+4, IF(Horo8289[[#This Row],[Jour]]="Vendredi",$C$1+5, IF(Horo8289[[#This Row],[Jour]]="Samedi",$C$1+6, IF(Horo8289[[#This Row],[Jour]]="Dimanche",$C$1, )))))))</f>
        <v>44352</v>
      </c>
      <c r="C34" s="47" t="s">
        <v>4</v>
      </c>
      <c r="D34" s="48" t="n">
        <v>0.708333333333333</v>
      </c>
      <c r="E34" s="48" t="n">
        <v>0.75</v>
      </c>
      <c r="F34" s="49" t="s">
        <v>32</v>
      </c>
      <c r="G34" s="49" t="s">
        <v>21</v>
      </c>
      <c r="H34" s="50" t="s">
        <v>94</v>
      </c>
      <c r="I34" s="61" t="s">
        <v>112</v>
      </c>
      <c r="J34" s="52" t="n">
        <f aca="false">IF(Horo8289[[#This Row],[Début]]=0,"",(Horo8289[[#This Row],[Durée (60)2]]-INT(Horo8289[[#This Row],[Durée (60)2]]))*24)</f>
        <v>0.999999999999999</v>
      </c>
      <c r="K34" s="62" t="n">
        <f aca="false">SUMIF(Horo8289[Jour],C34,Horo8289[Durée])</f>
        <v>8.5</v>
      </c>
      <c r="L34" s="54" t="n">
        <f aca="false">IFERROR(SUMIF(Horo8289[[#This Row],[Jour]],Horo8289[[#This Row],[Jour]],Horo8289[[#This Row],[GPF]]) / Horo8289[[#This Row],[hrs]],"")</f>
        <v>0</v>
      </c>
      <c r="M34" s="56" t="str">
        <f aca="false">IF("GPF"=Horo8289[[#This Row],[Tâche]],Horo8289[[#This Row],[Durée]],"")</f>
        <v/>
      </c>
      <c r="N34" s="56" t="str">
        <f aca="false">IF("RI"=Horo8289[[#This Row],[Tâche]],Horo8289[[#This Row],[Durée]],"")</f>
        <v/>
      </c>
      <c r="O34" s="56" t="n">
        <f aca="false">IF("GB"=Horo8289[[#This Row],[Tâche]],Horo8289[[#This Row],[Durée]],"")</f>
        <v>0.999999999999999</v>
      </c>
      <c r="P34" s="56" t="str">
        <f aca="false">IF("RD"=Horo8289[[#This Row],[Tâche]],Horo8289[[#This Row],[Durée]],"")</f>
        <v/>
      </c>
      <c r="Q34" s="56" t="str">
        <f aca="false">IF("FG"=Horo8289[[#This Row],[Tâche]],Horo8289[[#This Row],[Durée]],"")</f>
        <v/>
      </c>
      <c r="R34" s="56" t="str">
        <f aca="false">IF("CONGÉ"=Horo8289[[#This Row],[Tâche]],Horo8289[[#This Row],[Durée]],"")</f>
        <v/>
      </c>
      <c r="S34" s="57" t="str">
        <f aca="false">IF("PS"=Horo8289[[#This Row],[Tâche]],Horo8289[[#This Row],[Durée]],"")</f>
        <v/>
      </c>
      <c r="T34" s="56" t="str">
        <f aca="false">IF("TD"=Horo8289[[#This Row],[Tâche]],Horo8289[[#This Row],[Durée]],"")</f>
        <v/>
      </c>
      <c r="U34" s="55" t="str">
        <f aca="false">IF("N/C"=Horo8289[[#This Row],[Tâche]],Horo8289[[#This Row],[Durée]],"")</f>
        <v/>
      </c>
      <c r="V34" s="58"/>
      <c r="W34" s="59" t="n">
        <f aca="false">IF(Horo8289[[#This Row],[O]]="o",Horo8289[[#This Row],[Durée]],".")</f>
        <v>0.999999999999999</v>
      </c>
      <c r="X34" s="60" t="n">
        <f aca="false">IF(Horo8289[[#This Row],[Début]]=0,"",Horo8289[[#This Row],[Fin]]-Horo8289[[#This Row],[Début]])</f>
        <v>0.0416666666666666</v>
      </c>
    </row>
    <row r="35" customFormat="false" ht="15" hidden="false" customHeight="false" outlineLevel="0" collapsed="false">
      <c r="A35" s="45" t="s">
        <v>33</v>
      </c>
      <c r="B35" s="111" t="n">
        <f aca="false">IF(Horo8289[[#This Row],[Jour]]="Lundi",$C$1+1, IF(Horo8289[[#This Row],[Jour]]="Mardi",$C$1+2, IF(Horo8289[[#This Row],[Jour]]="Mercredi",$C$1+3, IF(Horo8289[[#This Row],[Jour]]="Jeudi",$C$1+4, IF(Horo8289[[#This Row],[Jour]]="Vendredi",$C$1+5, IF(Horo8289[[#This Row],[Jour]]="Samedi",$C$1+6, IF(Horo8289[[#This Row],[Jour]]="Dimanche",$C$1, )))))))</f>
        <v>0</v>
      </c>
      <c r="C35" s="47"/>
      <c r="D35" s="48"/>
      <c r="E35" s="48"/>
      <c r="F35" s="49" t="s">
        <v>32</v>
      </c>
      <c r="G35" s="49" t="s">
        <v>27</v>
      </c>
      <c r="H35" s="50" t="s">
        <v>201</v>
      </c>
      <c r="I35" s="61"/>
      <c r="J35" s="52" t="str">
        <f aca="false">IF(Horo8289[[#This Row],[Début]]=0,"",(Horo8289[[#This Row],[Durée (60)2]]-INT(Horo8289[[#This Row],[Durée (60)2]]))*24)</f>
        <v/>
      </c>
      <c r="K35" s="62" t="n">
        <f aca="false">SUMIF(Horo8289[Jour],C35,Horo8289[Durée])</f>
        <v>0</v>
      </c>
      <c r="L35" s="54" t="str">
        <f aca="false">IFERROR(SUMIF(Horo8289[[#This Row],[Jour]],Horo8289[[#This Row],[Jour]],Horo8289[[#This Row],[GPF]]) / Horo8289[[#This Row],[hrs]],"")</f>
        <v/>
      </c>
      <c r="M35" s="56" t="str">
        <f aca="false">IF("GPF"=Horo8289[[#This Row],[Tâche]],Horo8289[[#This Row],[Durée]],"")</f>
        <v/>
      </c>
      <c r="N35" s="56" t="str">
        <f aca="false">IF("RI"=Horo8289[[#This Row],[Tâche]],Horo8289[[#This Row],[Durée]],"")</f>
        <v/>
      </c>
      <c r="O35" s="56" t="str">
        <f aca="false">IF("GB"=Horo8289[[#This Row],[Tâche]],Horo8289[[#This Row],[Durée]],"")</f>
        <v/>
      </c>
      <c r="P35" s="56" t="str">
        <f aca="false">IF("RD"=Horo8289[[#This Row],[Tâche]],Horo8289[[#This Row],[Durée]],"")</f>
        <v/>
      </c>
      <c r="Q35" s="56" t="str">
        <f aca="false">IF("FG"=Horo8289[[#This Row],[Tâche]],Horo8289[[#This Row],[Durée]],"")</f>
        <v/>
      </c>
      <c r="R35" s="56" t="str">
        <f aca="false">IF("CONGÉ"=Horo8289[[#This Row],[Tâche]],Horo8289[[#This Row],[Durée]],"")</f>
        <v/>
      </c>
      <c r="S35" s="56" t="str">
        <f aca="false">IF("PS"=Horo8289[[#This Row],[Tâche]],Horo8289[[#This Row],[Durée]],"")</f>
        <v/>
      </c>
      <c r="T35" s="56" t="str">
        <f aca="false">IF("TD"=Horo8289[[#This Row],[Tâche]],Horo8289[[#This Row],[Durée]],"")</f>
        <v/>
      </c>
      <c r="U35" s="56" t="str">
        <f aca="false">IF("N/C"=Horo8289[[#This Row],[Tâche]],Horo8289[[#This Row],[Durée]],"")</f>
        <v/>
      </c>
      <c r="V35" s="58"/>
      <c r="W35" s="59" t="str">
        <f aca="false">IF(Horo8289[[#This Row],[O]]="o",Horo8289[[#This Row],[Durée]],".")</f>
        <v>.</v>
      </c>
      <c r="X35" s="64" t="str">
        <f aca="false">IF(Horo8289[[#This Row],[Début]]=0,"",Horo8289[[#This Row],[Fin]]-Horo8289[[#This Row],[Début]])</f>
        <v/>
      </c>
    </row>
    <row r="41" s="3" customFormat="true" ht="15" hidden="false" customHeight="false" outlineLevel="0" collapsed="false">
      <c r="L41" s="65"/>
    </row>
    <row r="42" customFormat="false" ht="15" hidden="false" customHeight="false" outlineLevel="0" collapsed="false">
      <c r="A42" s="66" t="s">
        <v>18</v>
      </c>
      <c r="B42" s="66" t="s">
        <v>57</v>
      </c>
      <c r="C42" s="66" t="s">
        <v>58</v>
      </c>
    </row>
    <row r="43" customFormat="false" ht="15" hidden="false" customHeight="false" outlineLevel="0" collapsed="false">
      <c r="A43" s="67" t="n">
        <f aca="false">IF((SUMIF(Horo8289[Client],B43,Horo8289[Durée]) / Total)=0,"",(SUMIF(Horo8289[Client],B43,Horo8289[Durée]) / Total))</f>
        <v>0.12987012987013</v>
      </c>
      <c r="B43" s="68" t="s">
        <v>61</v>
      </c>
      <c r="C43" s="70" t="n">
        <f aca="false">IF(SUMIF(Horo8289[Client],B43,Horo8289[Durée])=0,"",SUMIF(Horo8289[Client],B43,Horo8289[Durée]))</f>
        <v>5</v>
      </c>
    </row>
    <row r="44" customFormat="false" ht="15" hidden="false" customHeight="false" outlineLevel="0" collapsed="false">
      <c r="A44" s="67" t="n">
        <f aca="false">IF((SUMIF(Horo8289[Client],B44,Horo8289[Durée]) / Total)=0,"",(SUMIF(Horo8289[Client],B44,Horo8289[Durée]) / Total))</f>
        <v>0.727272727272727</v>
      </c>
      <c r="B44" s="68" t="s">
        <v>32</v>
      </c>
      <c r="C44" s="69" t="n">
        <f aca="false">IF(SUMIF(Horo8289[Client],B44,Horo8289[Durée])=0,"",SUMIF(Horo8289[Client],B44,Horo8289[Durée]))</f>
        <v>28</v>
      </c>
    </row>
    <row r="45" customFormat="false" ht="15" hidden="false" customHeight="false" outlineLevel="0" collapsed="false">
      <c r="A45" s="67" t="n">
        <f aca="false">IF((SUMIF(Horo8289[Client],B45,Horo8289[Durée]) / Total)=0,"",(SUMIF(Horo8289[Client],B45,Horo8289[Durée]) / Total))</f>
        <v>0.025974025974026</v>
      </c>
      <c r="B45" s="68" t="s">
        <v>60</v>
      </c>
      <c r="C45" s="70" t="n">
        <f aca="false">IF(SUMIF(Horo8289[Client],B45,Horo8289[Durée])=0,"",SUMIF(Horo8289[Client],B45,Horo8289[Durée]))</f>
        <v>1</v>
      </c>
    </row>
    <row r="46" customFormat="false" ht="15" hidden="false" customHeight="false" outlineLevel="0" collapsed="false">
      <c r="A46" s="67" t="n">
        <f aca="false">IF((SUMIF(Horo8289[Client],B46,Horo8289[Durée]) / Total)=0,"",(SUMIF(Horo8289[Client],B46,Horo8289[Durée]) / Total))</f>
        <v>0.0324675324675325</v>
      </c>
      <c r="B46" s="68" t="s">
        <v>59</v>
      </c>
      <c r="C46" s="69" t="n">
        <f aca="false">IF(SUMIF(Horo8289[Client],B46,Horo8289[Durée])=0,"",SUMIF(Horo8289[Client],B46,Horo8289[Durée]))</f>
        <v>1.25</v>
      </c>
    </row>
    <row r="47" customFormat="false" ht="15" hidden="false" customHeight="false" outlineLevel="0" collapsed="false">
      <c r="A47" s="67" t="str">
        <f aca="false">IF((SUMIF(Horo8289[Client],B47,Horo8289[Durée]) / Total)=0,"",(SUMIF(Horo8289[Client],B47,Horo8289[Durée]) / Total))</f>
        <v/>
      </c>
      <c r="B47" s="68" t="s">
        <v>62</v>
      </c>
      <c r="C47" s="70" t="str">
        <f aca="false">IF(SUMIF(Horo8289[Client],B47,Horo8289[Durée])=0,"",SUMIF(Horo8289[Client],B47,Horo8289[Durée]))</f>
        <v/>
      </c>
    </row>
    <row r="48" customFormat="false" ht="15" hidden="false" customHeight="false" outlineLevel="0" collapsed="false">
      <c r="A48" s="67" t="str">
        <f aca="false">IF((SUMIF(Horo8289[Client],B48,Horo8289[Durée]) / Total)=0,"",(SUMIF(Horo8289[Client],B48,Horo8289[Durée]) / Total))</f>
        <v/>
      </c>
      <c r="B48" s="68" t="s">
        <v>63</v>
      </c>
      <c r="C48" s="69" t="str">
        <f aca="false">IF(SUMIF(Horo8289[Client],B48,Horo8289[Durée])=0,"",SUMIF(Horo8289[Client],B48,Horo8289[Durée]))</f>
        <v/>
      </c>
    </row>
    <row r="49" customFormat="false" ht="15" hidden="false" customHeight="false" outlineLevel="0" collapsed="false">
      <c r="A49" s="67" t="str">
        <f aca="false">IF((SUMIF(Horo8289[Client],B49,Horo8289[Durée]) / Total)=0,"",(SUMIF(Horo8289[Client],B49,Horo8289[Durée]) / Total))</f>
        <v/>
      </c>
      <c r="B49" s="68" t="s">
        <v>64</v>
      </c>
      <c r="C49" s="70" t="str">
        <f aca="false">IF(SUMIF(Horo8289[Client],B49,Horo8289[Durée])=0,"",SUMIF(Horo8289[Client],B49,Horo8289[Durée]))</f>
        <v/>
      </c>
    </row>
    <row r="50" customFormat="false" ht="15" hidden="false" customHeight="false" outlineLevel="0" collapsed="false">
      <c r="A50" s="67" t="str">
        <f aca="false">IF((SUMIF(Horo8289[Client],B50,Horo8289[Durée]) / Total)=0,"",(SUMIF(Horo8289[Client],B50,Horo8289[Durée]) / Total))</f>
        <v/>
      </c>
      <c r="B50" s="68" t="s">
        <v>65</v>
      </c>
      <c r="C50" s="70" t="str">
        <f aca="false">IF(SUMIF(Horo8289[Client],B50,Horo8289[Durée])=0,"",SUMIF(Horo8289[Client],B50,Horo8289[Durée]))</f>
        <v/>
      </c>
      <c r="F50" s="71"/>
    </row>
    <row r="51" customFormat="false" ht="15" hidden="false" customHeight="false" outlineLevel="0" collapsed="false">
      <c r="A51" s="67" t="str">
        <f aca="false">IF((SUMIF(Horo8289[Client],B51,Horo8289[Durée]) / Total)=0,"",(SUMIF(Horo8289[Client],B51,Horo8289[Durée]) / Total))</f>
        <v/>
      </c>
      <c r="B51" s="68" t="s">
        <v>66</v>
      </c>
      <c r="C51" s="69" t="str">
        <f aca="false">IF(SUMIF(Horo8289[Client],B51,Horo8289[Durée])=0,"",SUMIF(Horo8289[Client],B51,Horo8289[Durée]))</f>
        <v/>
      </c>
    </row>
    <row r="52" customFormat="false" ht="15" hidden="false" customHeight="false" outlineLevel="0" collapsed="false">
      <c r="A52" s="67" t="str">
        <f aca="false">IF((SUMIF(Horo8289[Client],B52,Horo8289[Durée]) / Total)=0,"",(SUMIF(Horo8289[Client],B52,Horo8289[Durée]) / Total))</f>
        <v/>
      </c>
      <c r="B52" s="68" t="s">
        <v>47</v>
      </c>
      <c r="C52" s="70" t="str">
        <f aca="false">IF(SUMIF(Horo8289[Client],B52,Horo8289[Durée])=0,"",SUMIF(Horo8289[Client],B52,Horo8289[Durée]))</f>
        <v/>
      </c>
    </row>
    <row r="53" customFormat="false" ht="15" hidden="false" customHeight="false" outlineLevel="0" collapsed="false">
      <c r="A53" s="67" t="str">
        <f aca="false">IF((SUMIF(Horo8289[Client],B53,Horo8289[Durée]) / Total)=0,"",(SUMIF(Horo8289[Client],B53,Horo8289[Durée]) / Total))</f>
        <v/>
      </c>
      <c r="B53" s="68" t="s">
        <v>67</v>
      </c>
      <c r="C53" s="70" t="str">
        <f aca="false">IF(SUMIF(Horo8289[Client],B53,Horo8289[Durée])=0,"",SUMIF(Horo8289[Client],B53,Horo8289[Durée]))</f>
        <v/>
      </c>
    </row>
    <row r="54" customFormat="false" ht="15" hidden="false" customHeight="false" outlineLevel="0" collapsed="false">
      <c r="A54" s="67" t="str">
        <f aca="false">IF((SUMIF(Horo8289[Client],B54,Horo8289[Durée]) / Total)=0,"",(SUMIF(Horo8289[Client],B54,Horo8289[Durée]) / Total))</f>
        <v/>
      </c>
      <c r="B54" s="68" t="s">
        <v>68</v>
      </c>
      <c r="C54" s="70" t="str">
        <f aca="false">IF(SUMIF(Horo8289[Client],B54,Horo8289[Durée])=0,"",SUMIF(Horo8289[Client],B54,Horo8289[Durée]))</f>
        <v/>
      </c>
    </row>
    <row r="55" customFormat="false" ht="15" hidden="false" customHeight="false" outlineLevel="0" collapsed="false">
      <c r="A55" s="67" t="str">
        <f aca="false">IF((SUMIF(Horo8289[Client],B55,Horo8289[Durée]) / Total)=0,"",(SUMIF(Horo8289[Client],B55,Horo8289[Durée]) / Total))</f>
        <v/>
      </c>
      <c r="B55" s="68" t="s">
        <v>41</v>
      </c>
      <c r="C55" s="70" t="str">
        <f aca="false">IF(SUMIF(Horo8289[Client],B55,Horo8289[Durée])=0,"",SUMIF(Horo8289[Client],B55,Horo8289[Durée]))</f>
        <v/>
      </c>
    </row>
    <row r="56" customFormat="false" ht="15" hidden="false" customHeight="false" outlineLevel="0" collapsed="false">
      <c r="A56" s="67" t="n">
        <f aca="false">IF((SUMIF(Horo8289[Client],B56,Horo8289[Durée]) / Total)=0,"",(SUMIF(Horo8289[Client],B56,Horo8289[Durée]) / Total))</f>
        <v>0.00649350649350651</v>
      </c>
      <c r="B56" s="68" t="s">
        <v>37</v>
      </c>
      <c r="C56" s="69" t="n">
        <f aca="false">IF(SUMIF(Horo8289[Client],B56,Horo8289[Durée])=0,"",SUMIF(Horo8289[Client],B56,Horo8289[Durée]))</f>
        <v>0.25</v>
      </c>
    </row>
    <row r="57" customFormat="false" ht="15" hidden="false" customHeight="false" outlineLevel="0" collapsed="false">
      <c r="A57" s="67" t="str">
        <f aca="false">IF((SUMIF(Horo8289[Client],B57,Horo8289[Durée]) / Total)=0,"",(SUMIF(Horo8289[Client],B57,Horo8289[Durée]) / Total))</f>
        <v/>
      </c>
      <c r="B57" s="68" t="s">
        <v>69</v>
      </c>
      <c r="C57" s="69" t="str">
        <f aca="false">IF(SUMIF(Horo8289[Client],B57,Horo8289[Durée])=0,"",SUMIF(Horo8289[Client],B57,Horo8289[Durée]))</f>
        <v/>
      </c>
    </row>
    <row r="58" customFormat="false" ht="15" hidden="false" customHeight="false" outlineLevel="0" collapsed="false">
      <c r="A58" s="67" t="str">
        <f aca="false">IF((SUMIF(Horo8289[Client],B58,Horo8289[Durée]) / Total)=0,"",(SUMIF(Horo8289[Client],B58,Horo8289[Durée]) / Total))</f>
        <v/>
      </c>
      <c r="B58" s="68" t="s">
        <v>70</v>
      </c>
      <c r="C58" s="70" t="str">
        <f aca="false">IF(SUMIF(Horo8289[Client],B58,Horo8289[Durée])=0,"",SUMIF(Horo8289[Client],B58,Horo8289[Durée]))</f>
        <v/>
      </c>
    </row>
    <row r="59" customFormat="false" ht="15" hidden="false" customHeight="false" outlineLevel="1" collapsed="false">
      <c r="A59" s="67" t="str">
        <f aca="false">IF((SUMIF(Horo8289[Client],B59,Horo8289[Durée]) / Total)=0,"",(SUMIF(Horo8289[Client],B59,Horo8289[Durée]) / Total))</f>
        <v/>
      </c>
      <c r="B59" s="68" t="s">
        <v>71</v>
      </c>
      <c r="C59" s="70" t="str">
        <f aca="false">IF(SUMIF(Horo8289[Client],B59,Horo8289[Durée])=0,"",SUMIF(Horo8289[Client],B59,Horo8289[Durée]))</f>
        <v/>
      </c>
    </row>
    <row r="60" customFormat="false" ht="15" hidden="false" customHeight="false" outlineLevel="1" collapsed="false">
      <c r="A60" s="67" t="n">
        <f aca="false">IF((SUMIF(Horo8289[Client],B60,Horo8289[Durée]) / Total)=0,"",(SUMIF(Horo8289[Client],B60,Horo8289[Durée]) / Total))</f>
        <v>0.11038961038961</v>
      </c>
      <c r="B60" s="68" t="s">
        <v>72</v>
      </c>
      <c r="C60" s="70" t="n">
        <f aca="false">IF(SUMIF(Horo8289[Client],B60,Horo8289[Durée])=0,"",SUMIF(Horo8289[Client],B60,Horo8289[Durée]))</f>
        <v>4.25</v>
      </c>
    </row>
    <row r="61" customFormat="false" ht="15" hidden="false" customHeight="false" outlineLevel="1" collapsed="false">
      <c r="A61" s="67" t="str">
        <f aca="false">IF((SUMIF(Horo8289[Client],B61,Horo8289[Durée]) / Total)=0,"",(SUMIF(Horo8289[Client],B61,Horo8289[Durée]) / Total))</f>
        <v/>
      </c>
      <c r="B61" s="68" t="s">
        <v>73</v>
      </c>
      <c r="C61" s="70" t="str">
        <f aca="false">IF(SUMIF(Horo8289[Client],B61,Horo8289[Durée])=0,"",SUMIF(Horo8289[Client],B61,Horo8289[Durée]))</f>
        <v/>
      </c>
    </row>
    <row r="62" customFormat="false" ht="15" hidden="false" customHeight="false" outlineLevel="1" collapsed="false">
      <c r="A62" s="67" t="str">
        <f aca="false">IF((SUMIF(Horo8289[Client],B62,Horo8289[Durée]) / Total)=0,"",(SUMIF(Horo8289[Client],B62,Horo8289[Durée]) / Total))</f>
        <v/>
      </c>
      <c r="B62" s="68" t="s">
        <v>74</v>
      </c>
      <c r="C62" s="70" t="str">
        <f aca="false">IF(SUMIF(Horo8289[Client],B62,Horo8289[Durée])=0,"",SUMIF(Horo8289[Client],B62,Horo8289[Durée]))</f>
        <v/>
      </c>
    </row>
    <row r="63" customFormat="false" ht="15" hidden="false" customHeight="false" outlineLevel="1" collapsed="false">
      <c r="A63" s="67" t="str">
        <f aca="false">IF((SUMIF(Horo8289[Client],B63,Horo8289[Durée]) / Total)=0,"",(SUMIF(Horo8289[Client],B63,Horo8289[Durée]) / Total))</f>
        <v/>
      </c>
      <c r="B63" s="68" t="s">
        <v>81</v>
      </c>
      <c r="C63" s="69" t="str">
        <f aca="false">IF(SUMIF(Horo8289[Client],B63,Horo8289[Durée])=0,"",SUMIF(Horo8289[Client],B63,Horo8289[Durée]))</f>
        <v/>
      </c>
    </row>
    <row r="64" customFormat="false" ht="15" hidden="false" customHeight="false" outlineLevel="1" collapsed="false">
      <c r="A64" s="67" t="str">
        <f aca="false">IF((SUMIF(Horo8289[Client],B64,Horo8289[Durée]) / Total)=0,"",(SUMIF(Horo8289[Client],B64,Horo8289[Durée]) / Total))</f>
        <v/>
      </c>
      <c r="B64" s="68" t="s">
        <v>76</v>
      </c>
      <c r="C64" s="70" t="str">
        <f aca="false">IF(SUMIF(Horo8289[Client],B64,Horo8289[Durée])=0,"",SUMIF(Horo8289[Client],B64,Horo8289[Durée]))</f>
        <v/>
      </c>
    </row>
    <row r="65" customFormat="false" ht="15" hidden="false" customHeight="false" outlineLevel="1" collapsed="false">
      <c r="A65" s="67" t="str">
        <f aca="false">IF((SUMIF(Horo8289[Client],B65,Horo8289[Durée]) / Total)=0,"",(SUMIF(Horo8289[Client],B65,Horo8289[Durée]) / Total))</f>
        <v/>
      </c>
      <c r="B65" s="68" t="s">
        <v>77</v>
      </c>
      <c r="C65" s="70" t="str">
        <f aca="false">IF(SUMIF(Horo8289[Client],B65,Horo8289[Durée])=0,"",SUMIF(Horo8289[Client],B65,Horo8289[Durée]))</f>
        <v/>
      </c>
    </row>
    <row r="66" customFormat="false" ht="15" hidden="false" customHeight="false" outlineLevel="1" collapsed="false">
      <c r="A66" s="67" t="str">
        <f aca="false">IF((SUMIF(Horo8289[Client],B66,Horo8289[Durée]) / Total)=0,"",(SUMIF(Horo8289[Client],B66,Horo8289[Durée]) / Total))</f>
        <v/>
      </c>
      <c r="B66" s="68" t="s">
        <v>45</v>
      </c>
      <c r="C66" s="70" t="str">
        <f aca="false">IF(SUMIF(Horo8289[Client],B66,Horo8289[Durée])=0,"",SUMIF(Horo8289[Client],B66,Horo8289[Durée]))</f>
        <v/>
      </c>
    </row>
    <row r="67" customFormat="false" ht="15" hidden="false" customHeight="false" outlineLevel="1" collapsed="false">
      <c r="A67" s="67" t="str">
        <f aca="false">IF((SUMIF(Horo8289[Client],B67,Horo8289[Durée]) / Total)=0,"",(SUMIF(Horo8289[Client],B67,Horo8289[Durée]) / Total))</f>
        <v/>
      </c>
      <c r="B67" s="68" t="s">
        <v>78</v>
      </c>
      <c r="C67" s="70" t="str">
        <f aca="false">IF(SUMIF(Horo8289[Client],B67,Horo8289[Durée])=0,"",SUMIF(Horo8289[Client],B67,Horo8289[Durée]))</f>
        <v/>
      </c>
    </row>
    <row r="68" customFormat="false" ht="15" hidden="false" customHeight="false" outlineLevel="1" collapsed="false">
      <c r="A68" s="67" t="str">
        <f aca="false">IF((SUMIF(Horo8289[Client],B68,Horo8289[Durée]) / Total)=0,"",(SUMIF(Horo8289[Client],B68,Horo8289[Durée]) / Total))</f>
        <v/>
      </c>
      <c r="B68" s="68" t="s">
        <v>79</v>
      </c>
      <c r="C68" s="70" t="str">
        <f aca="false">IF(SUMIF(Horo8289[Client],B68,Horo8289[Durée])=0,"",SUMIF(Horo8289[Client],B68,Horo8289[Durée]))</f>
        <v/>
      </c>
    </row>
    <row r="69" customFormat="false" ht="15" hidden="false" customHeight="false" outlineLevel="1" collapsed="false">
      <c r="A69" s="67" t="str">
        <f aca="false">IF((SUMIF(Horo8289[Client],B69,Horo8289[Durée]) / Total)=0,"",(SUMIF(Horo8289[Client],B69,Horo8289[Durée]) / Total))</f>
        <v/>
      </c>
      <c r="B69" s="68" t="s">
        <v>80</v>
      </c>
      <c r="C69" s="70" t="str">
        <f aca="false">IF(SUMIF(Horo8289[Client],B69,Horo8289[Durée])=0,"",SUMIF(Horo8289[Client],B69,Horo8289[Durée]))</f>
        <v/>
      </c>
    </row>
    <row r="70" customFormat="false" ht="15" hidden="false" customHeight="false" outlineLevel="1" collapsed="false">
      <c r="A70" s="67" t="n">
        <f aca="false">IF((SUMIF(Horo8289[Client],B70,Horo8289[Durée]) / Total)=0,"",(SUMIF(Horo8289[Client],B70,Horo8289[Durée]) / Total))</f>
        <v>0.00649350649350647</v>
      </c>
      <c r="B70" s="72" t="s">
        <v>75</v>
      </c>
      <c r="C70" s="69" t="n">
        <f aca="false">IF(SUMIF(Horo8289[Client],B70,Horo8289[Durée])=0,"",SUMIF(Horo8289[Client],B70,Horo8289[Durée]))</f>
        <v>0.249999999999999</v>
      </c>
    </row>
    <row r="71" customFormat="false" ht="15" hidden="true" customHeight="false" outlineLevel="1" collapsed="false"/>
    <row r="72" customFormat="false" ht="15" hidden="true" customHeight="false" outlineLevel="1" collapsed="false"/>
    <row r="73" customFormat="false" ht="15" hidden="true" customHeight="false" outlineLevel="1" collapsed="false"/>
    <row r="74" customFormat="false" ht="15" hidden="true" customHeight="false" outlineLevel="1" collapsed="false"/>
    <row r="75" customFormat="false" ht="15" hidden="true" customHeight="false" outlineLevel="1" collapsed="false"/>
    <row r="76" customFormat="false" ht="15" hidden="true" customHeight="false" outlineLevel="1" collapsed="false"/>
    <row r="77" customFormat="false" ht="15" hidden="true" customHeight="false" outlineLevel="1" collapsed="false"/>
    <row r="78" customFormat="false" ht="15" hidden="true" customHeight="false" outlineLevel="1" collapsed="false"/>
    <row r="79" customFormat="false" ht="15" hidden="true" customHeight="false" outlineLevel="1" collapsed="false"/>
  </sheetData>
  <conditionalFormatting sqref="H4:H35">
    <cfRule type="expression" priority="2" aboveAverage="0" equalAverage="0" bottom="0" percent="0" rank="0" text="" dxfId="526">
      <formula>A4="O"</formula>
    </cfRule>
  </conditionalFormatting>
  <conditionalFormatting sqref="K4:K35">
    <cfRule type="expression" priority="3" aboveAverage="0" equalAverage="0" bottom="0" percent="0" rank="0" text="" dxfId="527">
      <formula>A4="O"</formula>
    </cfRule>
    <cfRule type="expression" priority="4" aboveAverage="0" equalAverage="0" bottom="0" percent="0" rank="0" text="" dxfId="528">
      <formula>A4="O"</formula>
    </cfRule>
  </conditionalFormatting>
  <conditionalFormatting sqref="C4:C35">
    <cfRule type="expression" priority="5" aboveAverage="0" equalAverage="0" bottom="0" percent="0" rank="0" text="" dxfId="529">
      <formula>A4="O"</formula>
    </cfRule>
    <cfRule type="containsText" priority="6" operator="containsText" aboveAverage="0" equalAverage="0" bottom="0" percent="0" rank="0" text="Dimanche" dxfId="530">
      <formula>NOT(ISERROR(SEARCH("Dimanche",C4)))</formula>
    </cfRule>
    <cfRule type="containsText" priority="7" operator="containsText" aboveAverage="0" equalAverage="0" bottom="0" percent="0" rank="0" text="Samedi" dxfId="531">
      <formula>NOT(ISERROR(SEARCH("Samedi",C4)))</formula>
    </cfRule>
    <cfRule type="containsText" priority="8" operator="containsText" aboveAverage="0" equalAverage="0" bottom="0" percent="0" rank="0" text="Vendredi" dxfId="532">
      <formula>NOT(ISERROR(SEARCH("Vendredi",C4)))</formula>
    </cfRule>
    <cfRule type="containsText" priority="9" operator="containsText" aboveAverage="0" equalAverage="0" bottom="0" percent="0" rank="0" text="Jeudi" dxfId="533">
      <formula>NOT(ISERROR(SEARCH("Jeudi",C4)))</formula>
    </cfRule>
    <cfRule type="containsText" priority="10" operator="containsText" aboveAverage="0" equalAverage="0" bottom="0" percent="0" rank="0" text="Mercredi" dxfId="534">
      <formula>NOT(ISERROR(SEARCH("Mercredi",C4)))</formula>
    </cfRule>
    <cfRule type="containsText" priority="11" operator="containsText" aboveAverage="0" equalAverage="0" bottom="0" percent="0" rank="0" text="Mardi" dxfId="535">
      <formula>NOT(ISERROR(SEARCH("Mardi",C4)))</formula>
    </cfRule>
    <cfRule type="containsText" priority="12" operator="containsText" aboveAverage="0" equalAverage="0" bottom="0" percent="0" rank="0" text="Lundi" dxfId="536">
      <formula>NOT(ISERROR(SEARCH("Lundi",C4)))</formula>
    </cfRule>
  </conditionalFormatting>
  <conditionalFormatting sqref="G4:G35">
    <cfRule type="expression" priority="13" aboveAverage="0" equalAverage="0" bottom="0" percent="0" rank="0" text="" dxfId="537">
      <formula>A4="O"</formula>
    </cfRule>
  </conditionalFormatting>
  <conditionalFormatting sqref="I4:I35">
    <cfRule type="expression" priority="14" aboveAverage="0" equalAverage="0" bottom="0" percent="0" rank="0" text="" dxfId="538">
      <formula>A4="O"</formula>
    </cfRule>
  </conditionalFormatting>
  <conditionalFormatting sqref="J4:J35">
    <cfRule type="expression" priority="15" aboveAverage="0" equalAverage="0" bottom="0" percent="0" rank="0" text="" dxfId="539">
      <formula>A4="O"</formula>
    </cfRule>
  </conditionalFormatting>
  <conditionalFormatting sqref="F4:F35">
    <cfRule type="expression" priority="16" aboveAverage="0" equalAverage="0" bottom="0" percent="0" rank="0" text="" dxfId="540">
      <formula>A4="O"</formula>
    </cfRule>
  </conditionalFormatting>
  <conditionalFormatting sqref="B4:B35">
    <cfRule type="cellIs" priority="17" operator="equal" aboveAverage="0" equalAverage="0" bottom="0" percent="0" rank="0" text="" dxfId="541">
      <formula>0</formula>
    </cfRule>
    <cfRule type="expression" priority="18" aboveAverage="0" equalAverage="0" bottom="0" percent="0" rank="0" text="" dxfId="542">
      <formula>A4="O"</formula>
    </cfRule>
    <cfRule type="colorScale" priority="19">
      <colorScale>
        <cfvo type="percentile" val="10"/>
        <cfvo type="percentile" val="50"/>
        <cfvo type="percentile" val="90"/>
        <color rgb="FFFFC000"/>
        <color rgb="FFC55A11"/>
        <color rgb="FF2E75B6"/>
      </colorScale>
    </cfRule>
  </conditionalFormatting>
  <conditionalFormatting sqref="D4:D35">
    <cfRule type="expression" priority="20" aboveAverage="0" equalAverage="0" bottom="0" percent="0" rank="0" text="" dxfId="543">
      <formula>A4="O"</formula>
    </cfRule>
    <cfRule type="colorScale" priority="21">
      <colorScale>
        <cfvo type="min" val="0"/>
        <cfvo type="percentile" val="50"/>
        <cfvo type="max" val="0"/>
        <color rgb="FFFFC000"/>
        <color rgb="FFC55A11"/>
        <color rgb="FF2E75B6"/>
      </colorScale>
    </cfRule>
  </conditionalFormatting>
  <conditionalFormatting sqref="E4:E35">
    <cfRule type="expression" priority="22" aboveAverage="0" equalAverage="0" bottom="0" percent="0" rank="0" text="" dxfId="544">
      <formula>A4="O"</formula>
    </cfRule>
    <cfRule type="colorScale" priority="23">
      <colorScale>
        <cfvo type="min" val="0"/>
        <cfvo type="percentile" val="50"/>
        <cfvo type="max" val="0"/>
        <color rgb="FFFFC000"/>
        <color rgb="FFC55A11"/>
        <color rgb="FF2E75B6"/>
      </colorScale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  <tableParts>
    <tablePart r:id="rId2"/>
    <tablePart r:id="rId3"/>
  </tableParts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E91"/>
  <sheetViews>
    <sheetView showFormulas="false" showGridLines="true" showRowColHeaders="true" showZeros="true" rightToLeft="false" tabSelected="false" showOutlineSymbols="true" defaultGridColor="true" view="normal" topLeftCell="A12" colorId="64" zoomScale="100" zoomScaleNormal="100" zoomScalePageLayoutView="100" workbookViewId="0">
      <selection pane="topLeft" activeCell="I41" activeCellId="0" sqref="I41"/>
    </sheetView>
  </sheetViews>
  <sheetFormatPr defaultColWidth="9.1484375" defaultRowHeight="15" zeroHeight="false" outlineLevelRow="1" outlineLevelCol="0"/>
  <cols>
    <col collapsed="false" customWidth="true" hidden="false" outlineLevel="0" max="1" min="1" style="1" width="5.57"/>
    <col collapsed="false" customWidth="true" hidden="false" outlineLevel="0" max="2" min="2" style="1" width="19.42"/>
    <col collapsed="false" customWidth="true" hidden="false" outlineLevel="0" max="3" min="3" style="1" width="18.29"/>
    <col collapsed="false" customWidth="true" hidden="false" outlineLevel="0" max="4" min="4" style="1" width="12.15"/>
    <col collapsed="false" customWidth="true" hidden="false" outlineLevel="0" max="5" min="5" style="1" width="10.57"/>
    <col collapsed="false" customWidth="true" hidden="false" outlineLevel="0" max="6" min="6" style="1" width="19"/>
    <col collapsed="false" customWidth="true" hidden="false" outlineLevel="0" max="7" min="7" style="1" width="11.43"/>
    <col collapsed="false" customWidth="true" hidden="false" outlineLevel="0" max="8" min="8" style="1" width="14.57"/>
    <col collapsed="false" customWidth="true" hidden="false" outlineLevel="0" max="9" min="9" style="1" width="16"/>
    <col collapsed="false" customWidth="true" hidden="false" outlineLevel="0" max="10" min="10" style="1" width="9.71"/>
    <col collapsed="false" customWidth="true" hidden="false" outlineLevel="0" max="11" min="11" style="1" width="7.29"/>
    <col collapsed="false" customWidth="true" hidden="false" outlineLevel="0" max="12" min="12" style="2" width="9.86"/>
    <col collapsed="false" customWidth="true" hidden="false" outlineLevel="0" max="13" min="13" style="1" width="6.14"/>
    <col collapsed="false" customWidth="true" hidden="false" outlineLevel="0" max="14" min="14" style="1" width="5"/>
    <col collapsed="false" customWidth="true" hidden="false" outlineLevel="0" max="15" min="15" style="1" width="5.57"/>
    <col collapsed="false" customWidth="true" hidden="false" outlineLevel="0" max="16" min="16" style="1" width="6.14"/>
    <col collapsed="false" customWidth="true" hidden="false" outlineLevel="0" max="17" min="17" style="1" width="5"/>
    <col collapsed="false" customWidth="true" hidden="false" outlineLevel="0" max="18" min="18" style="1" width="8.29"/>
    <col collapsed="false" customWidth="true" hidden="false" outlineLevel="0" max="20" min="19" style="1" width="5"/>
    <col collapsed="false" customWidth="true" hidden="false" outlineLevel="0" max="21" min="21" style="1" width="5.57"/>
    <col collapsed="false" customWidth="true" hidden="true" outlineLevel="0" max="23" min="22" style="1" width="6.14"/>
    <col collapsed="false" customWidth="true" hidden="true" outlineLevel="0" max="24" min="24" style="1" width="12.71"/>
    <col collapsed="false" customWidth="true" hidden="true" outlineLevel="0" max="32" min="25" style="1" width="11.53"/>
    <col collapsed="false" customWidth="false" hidden="false" outlineLevel="0" max="16384" min="33" style="1" width="9.14"/>
  </cols>
  <sheetData>
    <row r="1" customFormat="false" ht="17.35" hidden="false" customHeight="false" outlineLevel="0" collapsed="false">
      <c r="A1" s="3"/>
      <c r="B1" s="4" t="str">
        <f aca="false">"Semaine du :" &amp; Data!D41</f>
        <v>Semaine du :</v>
      </c>
      <c r="C1" s="5" t="n">
        <v>44340</v>
      </c>
      <c r="D1" s="6" t="str">
        <f aca="false">"( "&amp;AVERAGE($E$2:$I$2)&amp;" )"</f>
        <v>( 8 )</v>
      </c>
      <c r="E1" s="7" t="str">
        <f aca="false">IFERROR("Lun.: " &amp; TEXT($Y$2,"00%"),"Lun.: 0%")</f>
        <v>Lun.: 31%</v>
      </c>
      <c r="F1" s="8" t="str">
        <f aca="false">IFERROR("Mar.: " &amp; TEXT($Z$2,"00%"),"Mar.: 0%")</f>
        <v>Mar.: 28%</v>
      </c>
      <c r="G1" s="8" t="str">
        <f aca="false">IFERROR("Mer.: " &amp; TEXT($AA$2,"00%"),"Mer.: 0%")</f>
        <v>Mer.: 44%</v>
      </c>
      <c r="H1" s="8" t="str">
        <f aca="false">IFERROR("Jeu.: " &amp; TEXT($AB$2,"00%"),"Jeu.: 0%")</f>
        <v>Jeu.: 44%</v>
      </c>
      <c r="I1" s="8" t="str">
        <f aca="false">IFERROR("Ven.: " &amp; TEXT($AC$2,"00%"),"Ven.: 0%")</f>
        <v>Ven.: 56%</v>
      </c>
      <c r="J1" s="9" t="str">
        <f aca="false">IFERROR("S.: " &amp; TEXT($AD$2,"00%"),"S.: 0%")</f>
        <v>S.: 0%</v>
      </c>
      <c r="K1" s="10" t="str">
        <f aca="false">IFERROR("D.: " &amp; TEXT($AE$2,"00%"), "D.: 0%")</f>
        <v>D.: 0%</v>
      </c>
      <c r="L1" s="11"/>
      <c r="M1" s="12" t="n">
        <f aca="false">M2/Total</f>
        <v>0.422077922077922</v>
      </c>
      <c r="N1" s="12" t="n">
        <f aca="false">N2/$C$2</f>
        <v>0.0125</v>
      </c>
      <c r="O1" s="12" t="n">
        <f aca="false">O2/$C$2</f>
        <v>0.06875</v>
      </c>
      <c r="P1" s="12" t="n">
        <f aca="false">P2/$C$2</f>
        <v>0.36875</v>
      </c>
      <c r="Q1" s="12" t="n">
        <f aca="false">Q2/$C$2</f>
        <v>0.14375</v>
      </c>
      <c r="R1" s="13" t="n">
        <f aca="false">R2/$C$2</f>
        <v>0</v>
      </c>
      <c r="S1" s="13" t="n">
        <f aca="false">S2/$C$2</f>
        <v>0</v>
      </c>
      <c r="T1" s="13" t="n">
        <f aca="false">T2/$C$2</f>
        <v>0</v>
      </c>
      <c r="U1" s="14" t="n">
        <f aca="false">U2/$C$2</f>
        <v>0</v>
      </c>
      <c r="V1" s="112"/>
      <c r="W1" s="16"/>
      <c r="X1" s="17" t="e">
        <f aca="false">SUM(#REF!)</f>
        <v>#REF!</v>
      </c>
      <c r="Y1" s="18" t="s">
        <v>0</v>
      </c>
      <c r="Z1" s="18" t="s">
        <v>1</v>
      </c>
      <c r="AA1" s="18" t="s">
        <v>2</v>
      </c>
      <c r="AB1" s="18" t="s">
        <v>3</v>
      </c>
      <c r="AC1" s="18" t="s">
        <v>4</v>
      </c>
      <c r="AD1" s="18" t="s">
        <v>5</v>
      </c>
      <c r="AE1" s="18" t="s">
        <v>6</v>
      </c>
    </row>
    <row r="2" customFormat="false" ht="22.05" hidden="false" customHeight="false" outlineLevel="0" collapsed="false">
      <c r="A2" s="3"/>
      <c r="B2" s="19" t="n">
        <f aca="false">X2</f>
        <v>0.383116883116883</v>
      </c>
      <c r="C2" s="20" t="n">
        <f aca="false">SUM(Horo8287[Durée])</f>
        <v>40</v>
      </c>
      <c r="D2" s="21" t="str">
        <f aca="false">ROUND(SUM(Horo8287[T]),2) &amp; " / " &amp; ROUND($C$2-SUM(Horo8287[T]),2)</f>
        <v>40 / 0</v>
      </c>
      <c r="E2" s="22" t="n">
        <f aca="false">SUMIF(Horo8287[Jour],"Lundi",Horo8287[Durée])</f>
        <v>8</v>
      </c>
      <c r="F2" s="23" t="n">
        <f aca="false">SUMIF(Horo8287[Jour],"Mardi",Horo8287[Durée])</f>
        <v>8</v>
      </c>
      <c r="G2" s="23" t="n">
        <f aca="false">SUMIF(Horo8287[Jour],"Mercredi",Horo8287[Durée])</f>
        <v>8</v>
      </c>
      <c r="H2" s="23" t="n">
        <f aca="false">SUMIF(Horo8287[Jour],"Jeudi",Horo8287[Durée])</f>
        <v>8</v>
      </c>
      <c r="I2" s="23" t="n">
        <f aca="false">SUMIF(Horo8287[Jour],"Vendredi",Horo8287[Durée])</f>
        <v>8</v>
      </c>
      <c r="J2" s="23" t="n">
        <f aca="false">SUMIF(Horo8287[Jour],"Samedi",Horo8287[Durée])</f>
        <v>0</v>
      </c>
      <c r="K2" s="23" t="n">
        <f aca="false">SUMIF(Horo8287[Jour],"Dimanche",Horo8287[Durée])</f>
        <v>0</v>
      </c>
      <c r="L2" s="24"/>
      <c r="M2" s="25" t="n">
        <f aca="false">SUM(Horo8287[GPF])</f>
        <v>16.25</v>
      </c>
      <c r="N2" s="25" t="n">
        <f aca="false">SUM(Horo8287[RI])</f>
        <v>0.500000000000001</v>
      </c>
      <c r="O2" s="25" t="n">
        <f aca="false">SUM(Horo8287[GB])</f>
        <v>2.75</v>
      </c>
      <c r="P2" s="25" t="n">
        <f aca="false">SUM(Horo8287[RD])</f>
        <v>14.75</v>
      </c>
      <c r="Q2" s="25" t="n">
        <f aca="false">SUM(Horo8287[FG])</f>
        <v>5.75</v>
      </c>
      <c r="R2" s="26" t="n">
        <f aca="false">SUM(Horo8287[CONGÉ])</f>
        <v>0</v>
      </c>
      <c r="S2" s="26" t="n">
        <f aca="false">SUM(Horo8287[PS])</f>
        <v>0</v>
      </c>
      <c r="T2" s="26" t="n">
        <f aca="false">SUM(Horo8287[TD])</f>
        <v>0</v>
      </c>
      <c r="U2" s="27" t="n">
        <f aca="false">SUM(Horo8287[N/C])</f>
        <v>0</v>
      </c>
      <c r="V2" s="17" t="n">
        <f aca="false">(Total-(SUM(N2:U2)))</f>
        <v>14.75</v>
      </c>
      <c r="W2" s="17" t="n">
        <f aca="false">Total-(R2+S2+T2+U2)</f>
        <v>38.5</v>
      </c>
      <c r="X2" s="28" t="n">
        <f aca="false">V2/W2</f>
        <v>0.383116883116883</v>
      </c>
      <c r="Y2" s="29" t="n">
        <f aca="false">SUMIF(Horo8287[Jour],"Lundi",Horo8287[GPF]) / $E$2</f>
        <v>0.3125</v>
      </c>
      <c r="Z2" s="29" t="n">
        <f aca="false">SUMIF(Horo8287[Jour],"Mardi",Horo8287[GPF]) / $F$2</f>
        <v>0.28125</v>
      </c>
      <c r="AA2" s="29" t="n">
        <f aca="false">SUMIF(Horo8287[Jour],"Mercredi",Horo8287[GPF]) / $G$2</f>
        <v>0.4375</v>
      </c>
      <c r="AB2" s="29" t="n">
        <f aca="false">SUMIF(Horo8287[Jour],"Jeudi",Horo8287[GPF]) / $H$2</f>
        <v>0.4375</v>
      </c>
      <c r="AC2" s="29" t="n">
        <f aca="false">SUMIF(Horo8287[Jour],"Vendredi",Horo8287[GPF]) / $I$2</f>
        <v>0.5625</v>
      </c>
      <c r="AD2" s="29" t="e">
        <f aca="false">SUMIF(Horo8287[Jour],"Samedi",Horo8287[GPF]) / $J$2</f>
        <v>#DIV/0!</v>
      </c>
      <c r="AE2" s="29" t="e">
        <f aca="false">SUMIF(Horo8287[Jour],"Dimanche",Horo8287[GPF]) / $K$2</f>
        <v>#DIV/0!</v>
      </c>
    </row>
    <row r="3" customFormat="false" ht="15" hidden="false" customHeight="false" outlineLevel="0" collapsed="false">
      <c r="A3" s="30" t="s">
        <v>7</v>
      </c>
      <c r="B3" s="31" t="s">
        <v>8</v>
      </c>
      <c r="C3" s="31" t="s">
        <v>9</v>
      </c>
      <c r="D3" s="32" t="s">
        <v>10</v>
      </c>
      <c r="E3" s="33" t="s">
        <v>11</v>
      </c>
      <c r="F3" s="34" t="s">
        <v>12</v>
      </c>
      <c r="G3" s="34" t="s">
        <v>13</v>
      </c>
      <c r="H3" s="34" t="s">
        <v>14</v>
      </c>
      <c r="I3" s="35" t="s">
        <v>15</v>
      </c>
      <c r="J3" s="36" t="s">
        <v>16</v>
      </c>
      <c r="K3" s="36" t="s">
        <v>17</v>
      </c>
      <c r="L3" s="37" t="s">
        <v>18</v>
      </c>
      <c r="M3" s="38" t="s">
        <v>19</v>
      </c>
      <c r="N3" s="39" t="s">
        <v>20</v>
      </c>
      <c r="O3" s="39" t="s">
        <v>21</v>
      </c>
      <c r="P3" s="39" t="s">
        <v>22</v>
      </c>
      <c r="Q3" s="39" t="s">
        <v>23</v>
      </c>
      <c r="R3" s="40" t="s">
        <v>24</v>
      </c>
      <c r="S3" s="40" t="s">
        <v>25</v>
      </c>
      <c r="T3" s="41" t="s">
        <v>26</v>
      </c>
      <c r="U3" s="41" t="s">
        <v>27</v>
      </c>
      <c r="V3" s="42" t="s">
        <v>28</v>
      </c>
      <c r="W3" s="43" t="s">
        <v>29</v>
      </c>
      <c r="X3" s="44" t="s">
        <v>30</v>
      </c>
    </row>
    <row r="4" customFormat="false" ht="15" hidden="false" customHeight="false" outlineLevel="0" collapsed="false">
      <c r="A4" s="45" t="s">
        <v>31</v>
      </c>
      <c r="B4" s="111" t="n">
        <f aca="false">IF(Horo8287[[#This Row],[Jour]]="Lundi",$C$1+1, IF(Horo8287[[#This Row],[Jour]]="Mardi",$C$1+2, IF(Horo8287[[#This Row],[Jour]]="Mercredi",$C$1+3, IF(Horo8287[[#This Row],[Jour]]="Jeudi",$C$1+4, IF(Horo8287[[#This Row],[Jour]]="Vendredi",$C$1+5, IF(Horo8287[[#This Row],[Jour]]="Samedi",$C$1+6, IF(Horo8287[[#This Row],[Jour]]="Dimanche",$C$1, )))))))</f>
        <v>44341</v>
      </c>
      <c r="C4" s="47" t="s">
        <v>0</v>
      </c>
      <c r="D4" s="48" t="n">
        <v>0.322916666666667</v>
      </c>
      <c r="E4" s="48" t="n">
        <v>0.364583333333333</v>
      </c>
      <c r="F4" s="49" t="s">
        <v>32</v>
      </c>
      <c r="G4" s="49" t="s">
        <v>21</v>
      </c>
      <c r="H4" s="50" t="s">
        <v>94</v>
      </c>
      <c r="I4" s="61"/>
      <c r="J4" s="52" t="n">
        <f aca="false">IF(Horo8287[[#This Row],[Début]]=0,"",(Horo8287[[#This Row],[Durée (60)2]]-INT(Horo8287[[#This Row],[Durée (60)2]]))*24)</f>
        <v>0.999999999999999</v>
      </c>
      <c r="K4" s="53" t="n">
        <f aca="false">SUMIF(Horo8287[Jour],C4,Horo8287[Durée])</f>
        <v>8</v>
      </c>
      <c r="L4" s="54" t="n">
        <f aca="false">IFERROR(SUMIF(Horo8287[[#This Row],[Jour]],Horo8287[[#This Row],[Jour]],Horo8287[[#This Row],[GPF]]) / Horo8287[[#This Row],[hrs]],"")</f>
        <v>0</v>
      </c>
      <c r="M4" s="55" t="str">
        <f aca="false">IF("GPF"=Horo8287[[#This Row],[Tâche]],Horo8287[[#This Row],[Durée]],"")</f>
        <v/>
      </c>
      <c r="N4" s="56" t="str">
        <f aca="false">IF("RI"=Horo8287[[#This Row],[Tâche]],Horo8287[[#This Row],[Durée]],"")</f>
        <v/>
      </c>
      <c r="O4" s="56" t="n">
        <f aca="false">IF("GB"=Horo8287[[#This Row],[Tâche]],Horo8287[[#This Row],[Durée]],"")</f>
        <v>0.999999999999999</v>
      </c>
      <c r="P4" s="56" t="str">
        <f aca="false">IF("RD"=Horo8287[[#This Row],[Tâche]],Horo8287[[#This Row],[Durée]],"")</f>
        <v/>
      </c>
      <c r="Q4" s="56" t="str">
        <f aca="false">IF("FG"=Horo8287[[#This Row],[Tâche]],Horo8287[[#This Row],[Durée]],"")</f>
        <v/>
      </c>
      <c r="R4" s="56" t="str">
        <f aca="false">IF("CONGÉ"=Horo8287[[#This Row],[Tâche]],Horo8287[[#This Row],[Durée]],"")</f>
        <v/>
      </c>
      <c r="S4" s="57" t="str">
        <f aca="false">IF("PS"=Horo8287[[#This Row],[Tâche]],Horo8287[[#This Row],[Durée]],"")</f>
        <v/>
      </c>
      <c r="T4" s="56" t="str">
        <f aca="false">IF("TD"=Horo8287[[#This Row],[Tâche]],Horo8287[[#This Row],[Durée]],"")</f>
        <v/>
      </c>
      <c r="U4" s="55" t="str">
        <f aca="false">IF("N/C"=Horo8287[[#This Row],[Tâche]],Horo8287[[#This Row],[Durée]],"")</f>
        <v/>
      </c>
      <c r="V4" s="58"/>
      <c r="W4" s="59" t="n">
        <f aca="false">IF(Horo8287[[#This Row],[O]]="o",Horo8287[[#This Row],[Durée]],".")</f>
        <v>0.999999999999999</v>
      </c>
      <c r="X4" s="60" t="n">
        <f aca="false">IF(Horo8287[[#This Row],[Début]]=0,"",Horo8287[[#This Row],[Fin]]-Horo8287[[#This Row],[Début]])</f>
        <v>0.0416666666666666</v>
      </c>
    </row>
    <row r="5" customFormat="false" ht="15" hidden="false" customHeight="false" outlineLevel="0" collapsed="false">
      <c r="A5" s="45" t="s">
        <v>31</v>
      </c>
      <c r="B5" s="111" t="n">
        <f aca="false">IF(Horo8287[[#This Row],[Jour]]="Lundi",$C$1+1, IF(Horo8287[[#This Row],[Jour]]="Mardi",$C$1+2, IF(Horo8287[[#This Row],[Jour]]="Mercredi",$C$1+3, IF(Horo8287[[#This Row],[Jour]]="Jeudi",$C$1+4, IF(Horo8287[[#This Row],[Jour]]="Vendredi",$C$1+5, IF(Horo8287[[#This Row],[Jour]]="Samedi",$C$1+6, IF(Horo8287[[#This Row],[Jour]]="Dimanche",$C$1, )))))))</f>
        <v>44341</v>
      </c>
      <c r="C5" s="47" t="s">
        <v>0</v>
      </c>
      <c r="D5" s="48" t="n">
        <v>0.364583333333333</v>
      </c>
      <c r="E5" s="48" t="n">
        <v>0.385416666666667</v>
      </c>
      <c r="F5" s="49" t="s">
        <v>32</v>
      </c>
      <c r="G5" s="49" t="s">
        <v>20</v>
      </c>
      <c r="H5" s="50" t="s">
        <v>121</v>
      </c>
      <c r="I5" s="61"/>
      <c r="J5" s="52" t="n">
        <f aca="false">IF(Horo8287[[#This Row],[Début]]=0,"",(Horo8287[[#This Row],[Durée (60)2]]-INT(Horo8287[[#This Row],[Durée (60)2]]))*24)</f>
        <v>0.500000000000001</v>
      </c>
      <c r="K5" s="53" t="n">
        <f aca="false">SUMIF(Horo8287[Jour],C5,Horo8287[Durée])</f>
        <v>8</v>
      </c>
      <c r="L5" s="54" t="n">
        <f aca="false">IFERROR(SUMIF(Horo8287[[#This Row],[Jour]],Horo8287[[#This Row],[Jour]],Horo8287[[#This Row],[GPF]]) / Horo8287[[#This Row],[hrs]],"")</f>
        <v>0</v>
      </c>
      <c r="M5" s="55" t="str">
        <f aca="false">IF("GPF"=Horo8287[[#This Row],[Tâche]],Horo8287[[#This Row],[Durée]],"")</f>
        <v/>
      </c>
      <c r="N5" s="56" t="n">
        <f aca="false">IF("RI"=Horo8287[[#This Row],[Tâche]],Horo8287[[#This Row],[Durée]],"")</f>
        <v>0.500000000000001</v>
      </c>
      <c r="O5" s="56" t="str">
        <f aca="false">IF("GB"=Horo8287[[#This Row],[Tâche]],Horo8287[[#This Row],[Durée]],"")</f>
        <v/>
      </c>
      <c r="P5" s="56" t="str">
        <f aca="false">IF("RD"=Horo8287[[#This Row],[Tâche]],Horo8287[[#This Row],[Durée]],"")</f>
        <v/>
      </c>
      <c r="Q5" s="56" t="str">
        <f aca="false">IF("FG"=Horo8287[[#This Row],[Tâche]],Horo8287[[#This Row],[Durée]],"")</f>
        <v/>
      </c>
      <c r="R5" s="56" t="str">
        <f aca="false">IF("CONGÉ"=Horo8287[[#This Row],[Tâche]],Horo8287[[#This Row],[Durée]],"")</f>
        <v/>
      </c>
      <c r="S5" s="57" t="str">
        <f aca="false">IF("PS"=Horo8287[[#This Row],[Tâche]],Horo8287[[#This Row],[Durée]],"")</f>
        <v/>
      </c>
      <c r="T5" s="56" t="str">
        <f aca="false">IF("TD"=Horo8287[[#This Row],[Tâche]],Horo8287[[#This Row],[Durée]],"")</f>
        <v/>
      </c>
      <c r="U5" s="55" t="str">
        <f aca="false">IF("N/C"=Horo8287[[#This Row],[Tâche]],Horo8287[[#This Row],[Durée]],"")</f>
        <v/>
      </c>
      <c r="V5" s="58"/>
      <c r="W5" s="59" t="n">
        <f aca="false">IF(Horo8287[[#This Row],[O]]="o",Horo8287[[#This Row],[Durée]],".")</f>
        <v>0.500000000000001</v>
      </c>
      <c r="X5" s="60" t="n">
        <f aca="false">IF(Horo8287[[#This Row],[Début]]=0,"",Horo8287[[#This Row],[Fin]]-Horo8287[[#This Row],[Début]])</f>
        <v>0.0208333333333334</v>
      </c>
    </row>
    <row r="6" customFormat="false" ht="15" hidden="false" customHeight="false" outlineLevel="0" collapsed="false">
      <c r="A6" s="45" t="s">
        <v>31</v>
      </c>
      <c r="B6" s="111" t="n">
        <f aca="false">IF(Horo8287[[#This Row],[Jour]]="Lundi",$C$1+1, IF(Horo8287[[#This Row],[Jour]]="Mardi",$C$1+2, IF(Horo8287[[#This Row],[Jour]]="Mercredi",$C$1+3, IF(Horo8287[[#This Row],[Jour]]="Jeudi",$C$1+4, IF(Horo8287[[#This Row],[Jour]]="Vendredi",$C$1+5, IF(Horo8287[[#This Row],[Jour]]="Samedi",$C$1+6, IF(Horo8287[[#This Row],[Jour]]="Dimanche",$C$1, )))))))</f>
        <v>44341</v>
      </c>
      <c r="C6" s="47" t="s">
        <v>0</v>
      </c>
      <c r="D6" s="48" t="n">
        <v>0.395833333333333</v>
      </c>
      <c r="E6" s="48" t="n">
        <v>0.416666666666667</v>
      </c>
      <c r="F6" s="49" t="s">
        <v>37</v>
      </c>
      <c r="G6" s="49" t="s">
        <v>19</v>
      </c>
      <c r="H6" s="50" t="s">
        <v>55</v>
      </c>
      <c r="I6" s="61"/>
      <c r="J6" s="52" t="n">
        <f aca="false">IF(Horo8287[[#This Row],[Début]]=0,"",(Horo8287[[#This Row],[Durée (60)2]]-INT(Horo8287[[#This Row],[Durée (60)2]]))*24)</f>
        <v>0.500000000000001</v>
      </c>
      <c r="K6" s="62" t="n">
        <f aca="false">SUMIF(Horo8287[Jour],C6,Horo8287[Durée])</f>
        <v>8</v>
      </c>
      <c r="L6" s="54" t="n">
        <f aca="false">IFERROR(SUMIF(Horo8287[[#This Row],[Jour]],Horo8287[[#This Row],[Jour]],Horo8287[[#This Row],[GPF]]) / Horo8287[[#This Row],[hrs]],"")</f>
        <v>0.0625000000000001</v>
      </c>
      <c r="M6" s="56" t="n">
        <f aca="false">IF("GPF"=Horo8287[[#This Row],[Tâche]],Horo8287[[#This Row],[Durée]],"")</f>
        <v>0.500000000000001</v>
      </c>
      <c r="N6" s="56" t="str">
        <f aca="false">IF("RI"=Horo8287[[#This Row],[Tâche]],Horo8287[[#This Row],[Durée]],"")</f>
        <v/>
      </c>
      <c r="O6" s="56" t="str">
        <f aca="false">IF("GB"=Horo8287[[#This Row],[Tâche]],Horo8287[[#This Row],[Durée]],"")</f>
        <v/>
      </c>
      <c r="P6" s="56" t="str">
        <f aca="false">IF("RD"=Horo8287[[#This Row],[Tâche]],Horo8287[[#This Row],[Durée]],"")</f>
        <v/>
      </c>
      <c r="Q6" s="56" t="str">
        <f aca="false">IF("FG"=Horo8287[[#This Row],[Tâche]],Horo8287[[#This Row],[Durée]],"")</f>
        <v/>
      </c>
      <c r="R6" s="56" t="str">
        <f aca="false">IF("CONGÉ"=Horo8287[[#This Row],[Tâche]],Horo8287[[#This Row],[Durée]],"")</f>
        <v/>
      </c>
      <c r="S6" s="57" t="str">
        <f aca="false">IF("PS"=Horo8287[[#This Row],[Tâche]],Horo8287[[#This Row],[Durée]],"")</f>
        <v/>
      </c>
      <c r="T6" s="56" t="str">
        <f aca="false">IF("TD"=Horo8287[[#This Row],[Tâche]],Horo8287[[#This Row],[Durée]],"")</f>
        <v/>
      </c>
      <c r="U6" s="55" t="str">
        <f aca="false">IF("N/C"=Horo8287[[#This Row],[Tâche]],Horo8287[[#This Row],[Durée]],"")</f>
        <v/>
      </c>
      <c r="V6" s="58"/>
      <c r="W6" s="59" t="n">
        <f aca="false">IF(Horo8287[[#This Row],[O]]="o",Horo8287[[#This Row],[Durée]],".")</f>
        <v>0.500000000000001</v>
      </c>
      <c r="X6" s="60" t="n">
        <f aca="false">IF(Horo8287[[#This Row],[Début]]=0,"",Horo8287[[#This Row],[Fin]]-Horo8287[[#This Row],[Début]])</f>
        <v>0.0208333333333334</v>
      </c>
    </row>
    <row r="7" customFormat="false" ht="15" hidden="false" customHeight="false" outlineLevel="0" collapsed="false">
      <c r="A7" s="45" t="s">
        <v>31</v>
      </c>
      <c r="B7" s="111" t="n">
        <f aca="false">IF(Horo8287[[#This Row],[Jour]]="Lundi",$C$1+1, IF(Horo8287[[#This Row],[Jour]]="Mardi",$C$1+2, IF(Horo8287[[#This Row],[Jour]]="Mercredi",$C$1+3, IF(Horo8287[[#This Row],[Jour]]="Jeudi",$C$1+4, IF(Horo8287[[#This Row],[Jour]]="Vendredi",$C$1+5, IF(Horo8287[[#This Row],[Jour]]="Samedi",$C$1+6, IF(Horo8287[[#This Row],[Jour]]="Dimanche",$C$1, )))))))</f>
        <v>44341</v>
      </c>
      <c r="C7" s="47" t="s">
        <v>0</v>
      </c>
      <c r="D7" s="48" t="n">
        <v>0.4375</v>
      </c>
      <c r="E7" s="48" t="n">
        <v>0.458333333333333</v>
      </c>
      <c r="F7" s="49" t="s">
        <v>59</v>
      </c>
      <c r="G7" s="49" t="s">
        <v>19</v>
      </c>
      <c r="H7" s="50" t="s">
        <v>105</v>
      </c>
      <c r="I7" s="61" t="s">
        <v>261</v>
      </c>
      <c r="J7" s="52" t="n">
        <f aca="false">IF(Horo8287[[#This Row],[Début]]=0,"",(Horo8287[[#This Row],[Durée (60)2]]-INT(Horo8287[[#This Row],[Durée (60)2]]))*24)</f>
        <v>0.5</v>
      </c>
      <c r="K7" s="62" t="n">
        <f aca="false">SUMIF(Horo8287[Jour],C7,Horo8287[Durée])</f>
        <v>8</v>
      </c>
      <c r="L7" s="54" t="n">
        <f aca="false">IFERROR(SUMIF(Horo8287[[#This Row],[Jour]],Horo8287[[#This Row],[Jour]],Horo8287[[#This Row],[GPF]]) / Horo8287[[#This Row],[hrs]],"")</f>
        <v>0.0624999999999999</v>
      </c>
      <c r="M7" s="56" t="n">
        <f aca="false">IF("GPF"=Horo8287[[#This Row],[Tâche]],Horo8287[[#This Row],[Durée]],"")</f>
        <v>0.5</v>
      </c>
      <c r="N7" s="56" t="str">
        <f aca="false">IF("RI"=Horo8287[[#This Row],[Tâche]],Horo8287[[#This Row],[Durée]],"")</f>
        <v/>
      </c>
      <c r="O7" s="56" t="str">
        <f aca="false">IF("GB"=Horo8287[[#This Row],[Tâche]],Horo8287[[#This Row],[Durée]],"")</f>
        <v/>
      </c>
      <c r="P7" s="56" t="str">
        <f aca="false">IF("RD"=Horo8287[[#This Row],[Tâche]],Horo8287[[#This Row],[Durée]],"")</f>
        <v/>
      </c>
      <c r="Q7" s="56" t="str">
        <f aca="false">IF("FG"=Horo8287[[#This Row],[Tâche]],Horo8287[[#This Row],[Durée]],"")</f>
        <v/>
      </c>
      <c r="R7" s="56" t="str">
        <f aca="false">IF("CONGÉ"=Horo8287[[#This Row],[Tâche]],Horo8287[[#This Row],[Durée]],"")</f>
        <v/>
      </c>
      <c r="S7" s="57" t="str">
        <f aca="false">IF("PS"=Horo8287[[#This Row],[Tâche]],Horo8287[[#This Row],[Durée]],"")</f>
        <v/>
      </c>
      <c r="T7" s="56" t="str">
        <f aca="false">IF("TD"=Horo8287[[#This Row],[Tâche]],Horo8287[[#This Row],[Durée]],"")</f>
        <v/>
      </c>
      <c r="U7" s="55" t="str">
        <f aca="false">IF("N/C"=Horo8287[[#This Row],[Tâche]],Horo8287[[#This Row],[Durée]],"")</f>
        <v/>
      </c>
      <c r="V7" s="58"/>
      <c r="W7" s="59" t="n">
        <f aca="false">IF(Horo8287[[#This Row],[O]]="o",Horo8287[[#This Row],[Durée]],".")</f>
        <v>0.5</v>
      </c>
      <c r="X7" s="60" t="n">
        <f aca="false">IF(Horo8287[[#This Row],[Début]]=0,"",Horo8287[[#This Row],[Fin]]-Horo8287[[#This Row],[Début]])</f>
        <v>0.0208333333333333</v>
      </c>
    </row>
    <row r="8" customFormat="false" ht="15" hidden="false" customHeight="false" outlineLevel="0" collapsed="false">
      <c r="A8" s="45" t="s">
        <v>31</v>
      </c>
      <c r="B8" s="111" t="n">
        <f aca="false">IF(Horo8287[[#This Row],[Jour]]="Lundi",$C$1+1, IF(Horo8287[[#This Row],[Jour]]="Mardi",$C$1+2, IF(Horo8287[[#This Row],[Jour]]="Mercredi",$C$1+3, IF(Horo8287[[#This Row],[Jour]]="Jeudi",$C$1+4, IF(Horo8287[[#This Row],[Jour]]="Vendredi",$C$1+5, IF(Horo8287[[#This Row],[Jour]]="Samedi",$C$1+6, IF(Horo8287[[#This Row],[Jour]]="Dimanche",$C$1, )))))))</f>
        <v>44341</v>
      </c>
      <c r="C8" s="47" t="s">
        <v>0</v>
      </c>
      <c r="D8" s="48" t="n">
        <v>0.458333333333333</v>
      </c>
      <c r="E8" s="48" t="n">
        <v>0.5</v>
      </c>
      <c r="F8" s="49" t="s">
        <v>59</v>
      </c>
      <c r="G8" s="49" t="s">
        <v>22</v>
      </c>
      <c r="H8" s="50" t="s">
        <v>105</v>
      </c>
      <c r="I8" s="61" t="s">
        <v>262</v>
      </c>
      <c r="J8" s="52" t="n">
        <f aca="false">IF(Horo8287[[#This Row],[Début]]=0,"",(Horo8287[[#This Row],[Durée (60)2]]-INT(Horo8287[[#This Row],[Durée (60)2]]))*24)</f>
        <v>1</v>
      </c>
      <c r="K8" s="62" t="n">
        <f aca="false">SUMIF(Horo8287[Jour],C8,Horo8287[Durée])</f>
        <v>8</v>
      </c>
      <c r="L8" s="54" t="n">
        <f aca="false">IFERROR(SUMIF(Horo8287[[#This Row],[Jour]],Horo8287[[#This Row],[Jour]],Horo8287[[#This Row],[GPF]]) / Horo8287[[#This Row],[hrs]],"")</f>
        <v>0</v>
      </c>
      <c r="M8" s="56" t="str">
        <f aca="false">IF("GPF"=Horo8287[[#This Row],[Tâche]],Horo8287[[#This Row],[Durée]],"")</f>
        <v/>
      </c>
      <c r="N8" s="56" t="str">
        <f aca="false">IF("RI"=Horo8287[[#This Row],[Tâche]],Horo8287[[#This Row],[Durée]],"")</f>
        <v/>
      </c>
      <c r="O8" s="56" t="str">
        <f aca="false">IF("GB"=Horo8287[[#This Row],[Tâche]],Horo8287[[#This Row],[Durée]],"")</f>
        <v/>
      </c>
      <c r="P8" s="56" t="n">
        <f aca="false">IF("RD"=Horo8287[[#This Row],[Tâche]],Horo8287[[#This Row],[Durée]],"")</f>
        <v>1</v>
      </c>
      <c r="Q8" s="56" t="str">
        <f aca="false">IF("FG"=Horo8287[[#This Row],[Tâche]],Horo8287[[#This Row],[Durée]],"")</f>
        <v/>
      </c>
      <c r="R8" s="56" t="str">
        <f aca="false">IF("CONGÉ"=Horo8287[[#This Row],[Tâche]],Horo8287[[#This Row],[Durée]],"")</f>
        <v/>
      </c>
      <c r="S8" s="57" t="str">
        <f aca="false">IF("PS"=Horo8287[[#This Row],[Tâche]],Horo8287[[#This Row],[Durée]],"")</f>
        <v/>
      </c>
      <c r="T8" s="56" t="str">
        <f aca="false">IF("TD"=Horo8287[[#This Row],[Tâche]],Horo8287[[#This Row],[Durée]],"")</f>
        <v/>
      </c>
      <c r="U8" s="55" t="str">
        <f aca="false">IF("N/C"=Horo8287[[#This Row],[Tâche]],Horo8287[[#This Row],[Durée]],"")</f>
        <v/>
      </c>
      <c r="V8" s="58"/>
      <c r="W8" s="59" t="n">
        <f aca="false">IF(Horo8287[[#This Row],[O]]="o",Horo8287[[#This Row],[Durée]],".")</f>
        <v>1</v>
      </c>
      <c r="X8" s="60" t="n">
        <f aca="false">IF(Horo8287[[#This Row],[Début]]=0,"",Horo8287[[#This Row],[Fin]]-Horo8287[[#This Row],[Début]])</f>
        <v>0.0416666666666667</v>
      </c>
    </row>
    <row r="9" customFormat="false" ht="15" hidden="false" customHeight="false" outlineLevel="0" collapsed="false">
      <c r="A9" s="45" t="s">
        <v>31</v>
      </c>
      <c r="B9" s="111" t="n">
        <f aca="false">IF(Horo8287[[#This Row],[Jour]]="Lundi",$C$1+1, IF(Horo8287[[#This Row],[Jour]]="Mardi",$C$1+2, IF(Horo8287[[#This Row],[Jour]]="Mercredi",$C$1+3, IF(Horo8287[[#This Row],[Jour]]="Jeudi",$C$1+4, IF(Horo8287[[#This Row],[Jour]]="Vendredi",$C$1+5, IF(Horo8287[[#This Row],[Jour]]="Samedi",$C$1+6, IF(Horo8287[[#This Row],[Jour]]="Dimanche",$C$1, )))))))</f>
        <v>44341</v>
      </c>
      <c r="C9" s="47" t="s">
        <v>0</v>
      </c>
      <c r="D9" s="48" t="n">
        <v>0.5625</v>
      </c>
      <c r="E9" s="48" t="n">
        <v>0.583333333333333</v>
      </c>
      <c r="F9" s="49" t="s">
        <v>59</v>
      </c>
      <c r="G9" s="49" t="s">
        <v>19</v>
      </c>
      <c r="H9" s="50" t="s">
        <v>105</v>
      </c>
      <c r="I9" s="61" t="s">
        <v>262</v>
      </c>
      <c r="J9" s="52" t="n">
        <f aca="false">IF(Horo8287[[#This Row],[Début]]=0,"",(Horo8287[[#This Row],[Durée (60)2]]-INT(Horo8287[[#This Row],[Durée (60)2]]))*24)</f>
        <v>0.500000000000001</v>
      </c>
      <c r="K9" s="62" t="n">
        <f aca="false">SUMIF(Horo8287[Jour],C9,Horo8287[Durée])</f>
        <v>8</v>
      </c>
      <c r="L9" s="54" t="n">
        <f aca="false">IFERROR(SUMIF(Horo8287[[#This Row],[Jour]],Horo8287[[#This Row],[Jour]],Horo8287[[#This Row],[GPF]]) / Horo8287[[#This Row],[hrs]],"")</f>
        <v>0.0625000000000001</v>
      </c>
      <c r="M9" s="56" t="n">
        <f aca="false">IF("GPF"=Horo8287[[#This Row],[Tâche]],Horo8287[[#This Row],[Durée]],"")</f>
        <v>0.500000000000001</v>
      </c>
      <c r="N9" s="56" t="str">
        <f aca="false">IF("RI"=Horo8287[[#This Row],[Tâche]],Horo8287[[#This Row],[Durée]],"")</f>
        <v/>
      </c>
      <c r="O9" s="56" t="str">
        <f aca="false">IF("GB"=Horo8287[[#This Row],[Tâche]],Horo8287[[#This Row],[Durée]],"")</f>
        <v/>
      </c>
      <c r="P9" s="56" t="str">
        <f aca="false">IF("RD"=Horo8287[[#This Row],[Tâche]],Horo8287[[#This Row],[Durée]],"")</f>
        <v/>
      </c>
      <c r="Q9" s="56" t="str">
        <f aca="false">IF("FG"=Horo8287[[#This Row],[Tâche]],Horo8287[[#This Row],[Durée]],"")</f>
        <v/>
      </c>
      <c r="R9" s="56" t="str">
        <f aca="false">IF("CONGÉ"=Horo8287[[#This Row],[Tâche]],Horo8287[[#This Row],[Durée]],"")</f>
        <v/>
      </c>
      <c r="S9" s="57" t="str">
        <f aca="false">IF("PS"=Horo8287[[#This Row],[Tâche]],Horo8287[[#This Row],[Durée]],"")</f>
        <v/>
      </c>
      <c r="T9" s="56" t="str">
        <f aca="false">IF("TD"=Horo8287[[#This Row],[Tâche]],Horo8287[[#This Row],[Durée]],"")</f>
        <v/>
      </c>
      <c r="U9" s="55" t="str">
        <f aca="false">IF("N/C"=Horo8287[[#This Row],[Tâche]],Horo8287[[#This Row],[Durée]],"")</f>
        <v/>
      </c>
      <c r="V9" s="58"/>
      <c r="W9" s="59" t="n">
        <f aca="false">IF(Horo8287[[#This Row],[O]]="o",Horo8287[[#This Row],[Durée]],".")</f>
        <v>0.500000000000001</v>
      </c>
      <c r="X9" s="60" t="n">
        <f aca="false">IF(Horo8287[[#This Row],[Début]]=0,"",Horo8287[[#This Row],[Fin]]-Horo8287[[#This Row],[Début]])</f>
        <v>0.0208333333333334</v>
      </c>
    </row>
    <row r="10" customFormat="false" ht="15" hidden="false" customHeight="false" outlineLevel="0" collapsed="false">
      <c r="A10" s="45" t="s">
        <v>31</v>
      </c>
      <c r="B10" s="111" t="n">
        <f aca="false">IF(Horo8287[[#This Row],[Jour]]="Lundi",$C$1+1, IF(Horo8287[[#This Row],[Jour]]="Mardi",$C$1+2, IF(Horo8287[[#This Row],[Jour]]="Mercredi",$C$1+3, IF(Horo8287[[#This Row],[Jour]]="Jeudi",$C$1+4, IF(Horo8287[[#This Row],[Jour]]="Vendredi",$C$1+5, IF(Horo8287[[#This Row],[Jour]]="Samedi",$C$1+6, IF(Horo8287[[#This Row],[Jour]]="Dimanche",$C$1, )))))))</f>
        <v>44341</v>
      </c>
      <c r="C10" s="47" t="s">
        <v>0</v>
      </c>
      <c r="D10" s="48" t="n">
        <v>0.583333333333333</v>
      </c>
      <c r="E10" s="48" t="n">
        <v>0.635416666666667</v>
      </c>
      <c r="F10" s="49" t="s">
        <v>59</v>
      </c>
      <c r="G10" s="49" t="s">
        <v>23</v>
      </c>
      <c r="H10" s="50" t="s">
        <v>53</v>
      </c>
      <c r="I10" s="61" t="s">
        <v>263</v>
      </c>
      <c r="J10" s="52" t="n">
        <f aca="false">IF(Horo8287[[#This Row],[Début]]=0,"",(Horo8287[[#This Row],[Durée (60)2]]-INT(Horo8287[[#This Row],[Durée (60)2]]))*24)</f>
        <v>1.25</v>
      </c>
      <c r="K10" s="62" t="n">
        <f aca="false">SUMIF(Horo8287[Jour],C10,Horo8287[Durée])</f>
        <v>8</v>
      </c>
      <c r="L10" s="54" t="n">
        <f aca="false">IFERROR(SUMIF(Horo8287[[#This Row],[Jour]],Horo8287[[#This Row],[Jour]],Horo8287[[#This Row],[GPF]]) / Horo8287[[#This Row],[hrs]],"")</f>
        <v>0</v>
      </c>
      <c r="M10" s="56" t="str">
        <f aca="false">IF("GPF"=Horo8287[[#This Row],[Tâche]],Horo8287[[#This Row],[Durée]],"")</f>
        <v/>
      </c>
      <c r="N10" s="56" t="str">
        <f aca="false">IF("RI"=Horo8287[[#This Row],[Tâche]],Horo8287[[#This Row],[Durée]],"")</f>
        <v/>
      </c>
      <c r="O10" s="56" t="str">
        <f aca="false">IF("GB"=Horo8287[[#This Row],[Tâche]],Horo8287[[#This Row],[Durée]],"")</f>
        <v/>
      </c>
      <c r="P10" s="56" t="str">
        <f aca="false">IF("RD"=Horo8287[[#This Row],[Tâche]],Horo8287[[#This Row],[Durée]],"")</f>
        <v/>
      </c>
      <c r="Q10" s="56" t="n">
        <f aca="false">IF("FG"=Horo8287[[#This Row],[Tâche]],Horo8287[[#This Row],[Durée]],"")</f>
        <v>1.25</v>
      </c>
      <c r="R10" s="56" t="str">
        <f aca="false">IF("CONGÉ"=Horo8287[[#This Row],[Tâche]],Horo8287[[#This Row],[Durée]],"")</f>
        <v/>
      </c>
      <c r="S10" s="57" t="str">
        <f aca="false">IF("PS"=Horo8287[[#This Row],[Tâche]],Horo8287[[#This Row],[Durée]],"")</f>
        <v/>
      </c>
      <c r="T10" s="56" t="str">
        <f aca="false">IF("TD"=Horo8287[[#This Row],[Tâche]],Horo8287[[#This Row],[Durée]],"")</f>
        <v/>
      </c>
      <c r="U10" s="55" t="str">
        <f aca="false">IF("N/C"=Horo8287[[#This Row],[Tâche]],Horo8287[[#This Row],[Durée]],"")</f>
        <v/>
      </c>
      <c r="V10" s="58"/>
      <c r="W10" s="59" t="n">
        <f aca="false">IF(Horo8287[[#This Row],[O]]="o",Horo8287[[#This Row],[Durée]],".")</f>
        <v>1.25</v>
      </c>
      <c r="X10" s="60" t="n">
        <f aca="false">IF(Horo8287[[#This Row],[Début]]=0,"",Horo8287[[#This Row],[Fin]]-Horo8287[[#This Row],[Début]])</f>
        <v>0.0520833333333333</v>
      </c>
    </row>
    <row r="11" customFormat="false" ht="15" hidden="false" customHeight="false" outlineLevel="0" collapsed="false">
      <c r="A11" s="45" t="s">
        <v>31</v>
      </c>
      <c r="B11" s="111" t="n">
        <f aca="false">IF(Horo8287[[#This Row],[Jour]]="Lundi",$C$1+1, IF(Horo8287[[#This Row],[Jour]]="Mardi",$C$1+2, IF(Horo8287[[#This Row],[Jour]]="Mercredi",$C$1+3, IF(Horo8287[[#This Row],[Jour]]="Jeudi",$C$1+4, IF(Horo8287[[#This Row],[Jour]]="Vendredi",$C$1+5, IF(Horo8287[[#This Row],[Jour]]="Samedi",$C$1+6, IF(Horo8287[[#This Row],[Jour]]="Dimanche",$C$1, )))))))</f>
        <v>44341</v>
      </c>
      <c r="C11" s="47" t="s">
        <v>0</v>
      </c>
      <c r="D11" s="48" t="n">
        <v>0.635416666666667</v>
      </c>
      <c r="E11" s="48" t="n">
        <v>0.677083333333333</v>
      </c>
      <c r="F11" s="49" t="s">
        <v>59</v>
      </c>
      <c r="G11" s="49" t="s">
        <v>19</v>
      </c>
      <c r="H11" s="50" t="s">
        <v>105</v>
      </c>
      <c r="I11" s="61" t="s">
        <v>264</v>
      </c>
      <c r="J11" s="52" t="n">
        <f aca="false">IF(Horo8287[[#This Row],[Début]]=0,"",(Horo8287[[#This Row],[Durée (60)2]]-INT(Horo8287[[#This Row],[Durée (60)2]]))*24)</f>
        <v>1</v>
      </c>
      <c r="K11" s="62" t="n">
        <f aca="false">SUMIF(Horo8287[Jour],C11,Horo8287[Durée])</f>
        <v>8</v>
      </c>
      <c r="L11" s="54" t="n">
        <f aca="false">IFERROR(SUMIF(Horo8287[[#This Row],[Jour]],Horo8287[[#This Row],[Jour]],Horo8287[[#This Row],[GPF]]) / Horo8287[[#This Row],[hrs]],"")</f>
        <v>0.125</v>
      </c>
      <c r="M11" s="56" t="n">
        <f aca="false">IF("GPF"=Horo8287[[#This Row],[Tâche]],Horo8287[[#This Row],[Durée]],"")</f>
        <v>1</v>
      </c>
      <c r="N11" s="56" t="str">
        <f aca="false">IF("RI"=Horo8287[[#This Row],[Tâche]],Horo8287[[#This Row],[Durée]],"")</f>
        <v/>
      </c>
      <c r="O11" s="56" t="str">
        <f aca="false">IF("GB"=Horo8287[[#This Row],[Tâche]],Horo8287[[#This Row],[Durée]],"")</f>
        <v/>
      </c>
      <c r="P11" s="56" t="str">
        <f aca="false">IF("RD"=Horo8287[[#This Row],[Tâche]],Horo8287[[#This Row],[Durée]],"")</f>
        <v/>
      </c>
      <c r="Q11" s="56" t="str">
        <f aca="false">IF("FG"=Horo8287[[#This Row],[Tâche]],Horo8287[[#This Row],[Durée]],"")</f>
        <v/>
      </c>
      <c r="R11" s="56" t="str">
        <f aca="false">IF("CONGÉ"=Horo8287[[#This Row],[Tâche]],Horo8287[[#This Row],[Durée]],"")</f>
        <v/>
      </c>
      <c r="S11" s="57" t="str">
        <f aca="false">IF("PS"=Horo8287[[#This Row],[Tâche]],Horo8287[[#This Row],[Durée]],"")</f>
        <v/>
      </c>
      <c r="T11" s="56" t="str">
        <f aca="false">IF("TD"=Horo8287[[#This Row],[Tâche]],Horo8287[[#This Row],[Durée]],"")</f>
        <v/>
      </c>
      <c r="U11" s="55" t="str">
        <f aca="false">IF("N/C"=Horo8287[[#This Row],[Tâche]],Horo8287[[#This Row],[Durée]],"")</f>
        <v/>
      </c>
      <c r="V11" s="58"/>
      <c r="W11" s="59" t="n">
        <f aca="false">IF(Horo8287[[#This Row],[O]]="o",Horo8287[[#This Row],[Durée]],".")</f>
        <v>1</v>
      </c>
      <c r="X11" s="60" t="n">
        <f aca="false">IF(Horo8287[[#This Row],[Début]]=0,"",Horo8287[[#This Row],[Fin]]-Horo8287[[#This Row],[Début]])</f>
        <v>0.0416666666666667</v>
      </c>
    </row>
    <row r="12" customFormat="false" ht="15" hidden="false" customHeight="false" outlineLevel="0" collapsed="false">
      <c r="A12" s="45" t="s">
        <v>31</v>
      </c>
      <c r="B12" s="111" t="n">
        <f aca="false">IF(Horo8287[[#This Row],[Jour]]="Lundi",$C$1+1, IF(Horo8287[[#This Row],[Jour]]="Mardi",$C$1+2, IF(Horo8287[[#This Row],[Jour]]="Mercredi",$C$1+3, IF(Horo8287[[#This Row],[Jour]]="Jeudi",$C$1+4, IF(Horo8287[[#This Row],[Jour]]="Vendredi",$C$1+5, IF(Horo8287[[#This Row],[Jour]]="Samedi",$C$1+6, IF(Horo8287[[#This Row],[Jour]]="Dimanche",$C$1, )))))))</f>
        <v>44341</v>
      </c>
      <c r="C12" s="47" t="s">
        <v>0</v>
      </c>
      <c r="D12" s="48" t="n">
        <v>0.677083333333333</v>
      </c>
      <c r="E12" s="48" t="n">
        <v>0.75</v>
      </c>
      <c r="F12" s="49" t="s">
        <v>32</v>
      </c>
      <c r="G12" s="49" t="s">
        <v>22</v>
      </c>
      <c r="H12" s="50" t="s">
        <v>201</v>
      </c>
      <c r="I12" s="61"/>
      <c r="J12" s="52" t="n">
        <f aca="false">IF(Horo8287[[#This Row],[Début]]=0,"",(Horo8287[[#This Row],[Durée (60)2]]-INT(Horo8287[[#This Row],[Durée (60)2]]))*24)</f>
        <v>1.75</v>
      </c>
      <c r="K12" s="62" t="n">
        <f aca="false">SUMIF(Horo8287[Jour],C12,Horo8287[Durée])</f>
        <v>8</v>
      </c>
      <c r="L12" s="54" t="n">
        <f aca="false">IFERROR(SUMIF(Horo8287[[#This Row],[Jour]],Horo8287[[#This Row],[Jour]],Horo8287[[#This Row],[GPF]]) / Horo8287[[#This Row],[hrs]],"")</f>
        <v>0</v>
      </c>
      <c r="M12" s="56" t="str">
        <f aca="false">IF("GPF"=Horo8287[[#This Row],[Tâche]],Horo8287[[#This Row],[Durée]],"")</f>
        <v/>
      </c>
      <c r="N12" s="56" t="str">
        <f aca="false">IF("RI"=Horo8287[[#This Row],[Tâche]],Horo8287[[#This Row],[Durée]],"")</f>
        <v/>
      </c>
      <c r="O12" s="56" t="str">
        <f aca="false">IF("GB"=Horo8287[[#This Row],[Tâche]],Horo8287[[#This Row],[Durée]],"")</f>
        <v/>
      </c>
      <c r="P12" s="56" t="n">
        <f aca="false">IF("RD"=Horo8287[[#This Row],[Tâche]],Horo8287[[#This Row],[Durée]],"")</f>
        <v>1.75</v>
      </c>
      <c r="Q12" s="56" t="str">
        <f aca="false">IF("FG"=Horo8287[[#This Row],[Tâche]],Horo8287[[#This Row],[Durée]],"")</f>
        <v/>
      </c>
      <c r="R12" s="56" t="str">
        <f aca="false">IF("CONGÉ"=Horo8287[[#This Row],[Tâche]],Horo8287[[#This Row],[Durée]],"")</f>
        <v/>
      </c>
      <c r="S12" s="57" t="str">
        <f aca="false">IF("PS"=Horo8287[[#This Row],[Tâche]],Horo8287[[#This Row],[Durée]],"")</f>
        <v/>
      </c>
      <c r="T12" s="56" t="str">
        <f aca="false">IF("TD"=Horo8287[[#This Row],[Tâche]],Horo8287[[#This Row],[Durée]],"")</f>
        <v/>
      </c>
      <c r="U12" s="55" t="str">
        <f aca="false">IF("N/C"=Horo8287[[#This Row],[Tâche]],Horo8287[[#This Row],[Durée]],"")</f>
        <v/>
      </c>
      <c r="V12" s="58"/>
      <c r="W12" s="59" t="n">
        <f aca="false">IF(Horo8287[[#This Row],[O]]="o",Horo8287[[#This Row],[Durée]],".")</f>
        <v>1.75</v>
      </c>
      <c r="X12" s="60" t="n">
        <f aca="false">IF(Horo8287[[#This Row],[Début]]=0,"",Horo8287[[#This Row],[Fin]]-Horo8287[[#This Row],[Début]])</f>
        <v>0.0729166666666666</v>
      </c>
    </row>
    <row r="13" customFormat="false" ht="15" hidden="false" customHeight="false" outlineLevel="0" collapsed="false">
      <c r="A13" s="45" t="s">
        <v>31</v>
      </c>
      <c r="B13" s="111" t="n">
        <f aca="false">IF(Horo8287[[#This Row],[Jour]]="Lundi",$C$1+1, IF(Horo8287[[#This Row],[Jour]]="Mardi",$C$1+2, IF(Horo8287[[#This Row],[Jour]]="Mercredi",$C$1+3, IF(Horo8287[[#This Row],[Jour]]="Jeudi",$C$1+4, IF(Horo8287[[#This Row],[Jour]]="Vendredi",$C$1+5, IF(Horo8287[[#This Row],[Jour]]="Samedi",$C$1+6, IF(Horo8287[[#This Row],[Jour]]="Dimanche",$C$1, )))))))</f>
        <v>44342</v>
      </c>
      <c r="C13" s="47" t="s">
        <v>1</v>
      </c>
      <c r="D13" s="48" t="n">
        <v>0.34375</v>
      </c>
      <c r="E13" s="48" t="n">
        <v>0.354166666666667</v>
      </c>
      <c r="F13" s="49" t="s">
        <v>32</v>
      </c>
      <c r="G13" s="49" t="s">
        <v>23</v>
      </c>
      <c r="H13" s="50" t="s">
        <v>201</v>
      </c>
      <c r="I13" s="61" t="s">
        <v>265</v>
      </c>
      <c r="J13" s="52" t="n">
        <f aca="false">IF(Horo8287[[#This Row],[Début]]=0,"",(Horo8287[[#This Row],[Durée (60)2]]-INT(Horo8287[[#This Row],[Durée (60)2]]))*24)</f>
        <v>0.25</v>
      </c>
      <c r="K13" s="53" t="n">
        <f aca="false">SUMIF(Horo8287[Jour],C13,Horo8287[Durée])</f>
        <v>8</v>
      </c>
      <c r="L13" s="54" t="n">
        <f aca="false">IFERROR(SUMIF(Horo8287[[#This Row],[Jour]],Horo8287[[#This Row],[Jour]],Horo8287[[#This Row],[GPF]]) / Horo8287[[#This Row],[hrs]],"")</f>
        <v>0</v>
      </c>
      <c r="M13" s="55" t="str">
        <f aca="false">IF("GPF"=Horo8287[[#This Row],[Tâche]],Horo8287[[#This Row],[Durée]],"")</f>
        <v/>
      </c>
      <c r="N13" s="56" t="str">
        <f aca="false">IF("RI"=Horo8287[[#This Row],[Tâche]],Horo8287[[#This Row],[Durée]],"")</f>
        <v/>
      </c>
      <c r="O13" s="56" t="str">
        <f aca="false">IF("GB"=Horo8287[[#This Row],[Tâche]],Horo8287[[#This Row],[Durée]],"")</f>
        <v/>
      </c>
      <c r="P13" s="56" t="str">
        <f aca="false">IF("RD"=Horo8287[[#This Row],[Tâche]],Horo8287[[#This Row],[Durée]],"")</f>
        <v/>
      </c>
      <c r="Q13" s="56" t="n">
        <f aca="false">IF("FG"=Horo8287[[#This Row],[Tâche]],Horo8287[[#This Row],[Durée]],"")</f>
        <v>0.25</v>
      </c>
      <c r="R13" s="56" t="str">
        <f aca="false">IF("CONGÉ"=Horo8287[[#This Row],[Tâche]],Horo8287[[#This Row],[Durée]],"")</f>
        <v/>
      </c>
      <c r="S13" s="57" t="str">
        <f aca="false">IF("PS"=Horo8287[[#This Row],[Tâche]],Horo8287[[#This Row],[Durée]],"")</f>
        <v/>
      </c>
      <c r="T13" s="56" t="str">
        <f aca="false">IF("TD"=Horo8287[[#This Row],[Tâche]],Horo8287[[#This Row],[Durée]],"")</f>
        <v/>
      </c>
      <c r="U13" s="55" t="str">
        <f aca="false">IF("N/C"=Horo8287[[#This Row],[Tâche]],Horo8287[[#This Row],[Durée]],"")</f>
        <v/>
      </c>
      <c r="V13" s="58"/>
      <c r="W13" s="59" t="n">
        <f aca="false">IF(Horo8287[[#This Row],[O]]="o",Horo8287[[#This Row],[Durée]],".")</f>
        <v>0.25</v>
      </c>
      <c r="X13" s="60" t="n">
        <f aca="false">IF(Horo8287[[#This Row],[Début]]=0,"",Horo8287[[#This Row],[Fin]]-Horo8287[[#This Row],[Début]])</f>
        <v>0.0104166666666667</v>
      </c>
    </row>
    <row r="14" customFormat="false" ht="15" hidden="false" customHeight="false" outlineLevel="0" collapsed="false">
      <c r="A14" s="45" t="s">
        <v>31</v>
      </c>
      <c r="B14" s="111" t="n">
        <f aca="false">IF(Horo8287[[#This Row],[Jour]]="Lundi",$C$1+1, IF(Horo8287[[#This Row],[Jour]]="Mardi",$C$1+2, IF(Horo8287[[#This Row],[Jour]]="Mercredi",$C$1+3, IF(Horo8287[[#This Row],[Jour]]="Jeudi",$C$1+4, IF(Horo8287[[#This Row],[Jour]]="Vendredi",$C$1+5, IF(Horo8287[[#This Row],[Jour]]="Samedi",$C$1+6, IF(Horo8287[[#This Row],[Jour]]="Dimanche",$C$1, )))))))</f>
        <v>44342</v>
      </c>
      <c r="C14" s="47" t="s">
        <v>1</v>
      </c>
      <c r="D14" s="48" t="n">
        <v>0.354166666666667</v>
      </c>
      <c r="E14" s="48" t="n">
        <v>0.416666666666667</v>
      </c>
      <c r="F14" s="49" t="s">
        <v>60</v>
      </c>
      <c r="G14" s="49" t="s">
        <v>22</v>
      </c>
      <c r="H14" s="50" t="s">
        <v>48</v>
      </c>
      <c r="I14" s="61" t="s">
        <v>266</v>
      </c>
      <c r="J14" s="52" t="n">
        <f aca="false">IF(Horo8287[[#This Row],[Début]]=0,"",(Horo8287[[#This Row],[Durée (60)2]]-INT(Horo8287[[#This Row],[Durée (60)2]]))*24)</f>
        <v>1.5</v>
      </c>
      <c r="K14" s="62" t="n">
        <f aca="false">SUMIF(Horo8287[Jour],C14,Horo8287[Durée])</f>
        <v>8</v>
      </c>
      <c r="L14" s="54" t="n">
        <f aca="false">IFERROR(SUMIF(Horo8287[[#This Row],[Jour]],Horo8287[[#This Row],[Jour]],Horo8287[[#This Row],[GPF]]) / Horo8287[[#This Row],[hrs]],"")</f>
        <v>0</v>
      </c>
      <c r="M14" s="56" t="str">
        <f aca="false">IF("GPF"=Horo8287[[#This Row],[Tâche]],Horo8287[[#This Row],[Durée]],"")</f>
        <v/>
      </c>
      <c r="N14" s="56" t="str">
        <f aca="false">IF("RI"=Horo8287[[#This Row],[Tâche]],Horo8287[[#This Row],[Durée]],"")</f>
        <v/>
      </c>
      <c r="O14" s="56" t="str">
        <f aca="false">IF("GB"=Horo8287[[#This Row],[Tâche]],Horo8287[[#This Row],[Durée]],"")</f>
        <v/>
      </c>
      <c r="P14" s="56" t="n">
        <f aca="false">IF("RD"=Horo8287[[#This Row],[Tâche]],Horo8287[[#This Row],[Durée]],"")</f>
        <v>1.5</v>
      </c>
      <c r="Q14" s="56" t="str">
        <f aca="false">IF("FG"=Horo8287[[#This Row],[Tâche]],Horo8287[[#This Row],[Durée]],"")</f>
        <v/>
      </c>
      <c r="R14" s="56" t="str">
        <f aca="false">IF("CONGÉ"=Horo8287[[#This Row],[Tâche]],Horo8287[[#This Row],[Durée]],"")</f>
        <v/>
      </c>
      <c r="S14" s="56" t="str">
        <f aca="false">IF("PS"=Horo8287[[#This Row],[Tâche]],Horo8287[[#This Row],[Durée]],"")</f>
        <v/>
      </c>
      <c r="T14" s="56" t="str">
        <f aca="false">IF("TD"=Horo8287[[#This Row],[Tâche]],Horo8287[[#This Row],[Durée]],"")</f>
        <v/>
      </c>
      <c r="U14" s="56" t="str">
        <f aca="false">IF("N/C"=Horo8287[[#This Row],[Tâche]],Horo8287[[#This Row],[Durée]],"")</f>
        <v/>
      </c>
      <c r="V14" s="58"/>
      <c r="W14" s="59" t="n">
        <f aca="false">IF(Horo8287[[#This Row],[O]]="o",Horo8287[[#This Row],[Durée]],".")</f>
        <v>1.5</v>
      </c>
      <c r="X14" s="64" t="n">
        <f aca="false">IF(Horo8287[[#This Row],[Début]]=0,"",Horo8287[[#This Row],[Fin]]-Horo8287[[#This Row],[Début]])</f>
        <v>0.0625</v>
      </c>
    </row>
    <row r="15" customFormat="false" ht="15" hidden="false" customHeight="false" outlineLevel="0" collapsed="false">
      <c r="A15" s="45" t="s">
        <v>31</v>
      </c>
      <c r="B15" s="46" t="n">
        <f aca="false">IF(Horo8287[[#This Row],[Jour]]="Lundi",$C$1+1, IF(Horo8287[[#This Row],[Jour]]="Mardi",$C$1+2, IF(Horo8287[[#This Row],[Jour]]="Mercredi",$C$1+3, IF(Horo8287[[#This Row],[Jour]]="Jeudi",$C$1+4, IF(Horo8287[[#This Row],[Jour]]="Vendredi",$C$1+5, IF(Horo8287[[#This Row],[Jour]]="Samedi",$C$1+6, IF(Horo8287[[#This Row],[Jour]]="Dimanche",$C$1, )))))))</f>
        <v>44342</v>
      </c>
      <c r="C15" s="47" t="s">
        <v>1</v>
      </c>
      <c r="D15" s="48" t="n">
        <v>0.416666666666667</v>
      </c>
      <c r="E15" s="48" t="n">
        <v>0.5</v>
      </c>
      <c r="F15" s="49" t="s">
        <v>60</v>
      </c>
      <c r="G15" s="49" t="s">
        <v>19</v>
      </c>
      <c r="H15" s="50" t="s">
        <v>48</v>
      </c>
      <c r="I15" s="61" t="s">
        <v>266</v>
      </c>
      <c r="J15" s="52" t="n">
        <f aca="false">IF(Horo8287[[#This Row],[Début]]=0,"",(Horo8287[[#This Row],[Durée (60)2]]-INT(Horo8287[[#This Row],[Durée (60)2]]))*24)</f>
        <v>2</v>
      </c>
      <c r="K15" s="62" t="n">
        <f aca="false">SUMIF(Horo8287[Jour],C15,Horo8287[Durée])</f>
        <v>8</v>
      </c>
      <c r="L15" s="54" t="n">
        <f aca="false">IFERROR(SUMIF(Horo8287[[#This Row],[Jour]],Horo8287[[#This Row],[Jour]],Horo8287[[#This Row],[GPF]]) / Horo8287[[#This Row],[hrs]],"")</f>
        <v>0.25</v>
      </c>
      <c r="M15" s="56" t="n">
        <f aca="false">IF("GPF"=Horo8287[[#This Row],[Tâche]],Horo8287[[#This Row],[Durée]],"")</f>
        <v>2</v>
      </c>
      <c r="N15" s="56" t="str">
        <f aca="false">IF("RI"=Horo8287[[#This Row],[Tâche]],Horo8287[[#This Row],[Durée]],"")</f>
        <v/>
      </c>
      <c r="O15" s="56" t="str">
        <f aca="false">IF("GB"=Horo8287[[#This Row],[Tâche]],Horo8287[[#This Row],[Durée]],"")</f>
        <v/>
      </c>
      <c r="P15" s="56" t="str">
        <f aca="false">IF("RD"=Horo8287[[#This Row],[Tâche]],Horo8287[[#This Row],[Durée]],"")</f>
        <v/>
      </c>
      <c r="Q15" s="56" t="str">
        <f aca="false">IF("FG"=Horo8287[[#This Row],[Tâche]],Horo8287[[#This Row],[Durée]],"")</f>
        <v/>
      </c>
      <c r="R15" s="56" t="str">
        <f aca="false">IF("CONGÉ"=Horo8287[[#This Row],[Tâche]],Horo8287[[#This Row],[Durée]],"")</f>
        <v/>
      </c>
      <c r="S15" s="57" t="str">
        <f aca="false">IF("PS"=Horo8287[[#This Row],[Tâche]],Horo8287[[#This Row],[Durée]],"")</f>
        <v/>
      </c>
      <c r="T15" s="56" t="str">
        <f aca="false">IF("TD"=Horo8287[[#This Row],[Tâche]],Horo8287[[#This Row],[Durée]],"")</f>
        <v/>
      </c>
      <c r="U15" s="55" t="str">
        <f aca="false">IF("N/C"=Horo8287[[#This Row],[Tâche]],Horo8287[[#This Row],[Durée]],"")</f>
        <v/>
      </c>
      <c r="V15" s="58"/>
      <c r="W15" s="59" t="n">
        <f aca="false">IF(Horo8287[[#This Row],[O]]="o",Horo8287[[#This Row],[Durée]],".")</f>
        <v>2</v>
      </c>
      <c r="X15" s="60" t="n">
        <f aca="false">IF(Horo8287[[#This Row],[Début]]=0,"",Horo8287[[#This Row],[Fin]]-Horo8287[[#This Row],[Début]])</f>
        <v>0.0833333333333333</v>
      </c>
    </row>
    <row r="16" customFormat="false" ht="15" hidden="false" customHeight="false" outlineLevel="0" collapsed="false">
      <c r="A16" s="45" t="s">
        <v>31</v>
      </c>
      <c r="B16" s="111" t="n">
        <f aca="false">IF(Horo8287[[#This Row],[Jour]]="Lundi",$C$1+1, IF(Horo8287[[#This Row],[Jour]]="Mardi",$C$1+2, IF(Horo8287[[#This Row],[Jour]]="Mercredi",$C$1+3, IF(Horo8287[[#This Row],[Jour]]="Jeudi",$C$1+4, IF(Horo8287[[#This Row],[Jour]]="Vendredi",$C$1+5, IF(Horo8287[[#This Row],[Jour]]="Samedi",$C$1+6, IF(Horo8287[[#This Row],[Jour]]="Dimanche",$C$1, )))))))</f>
        <v>44342</v>
      </c>
      <c r="C16" s="47" t="s">
        <v>1</v>
      </c>
      <c r="D16" s="48" t="n">
        <v>0.5625</v>
      </c>
      <c r="E16" s="48" t="n">
        <v>0.572916666666667</v>
      </c>
      <c r="F16" s="49" t="s">
        <v>32</v>
      </c>
      <c r="G16" s="49" t="s">
        <v>23</v>
      </c>
      <c r="H16" s="50" t="s">
        <v>201</v>
      </c>
      <c r="I16" s="61"/>
      <c r="J16" s="52" t="n">
        <f aca="false">IF(Horo8287[[#This Row],[Début]]=0,"",(Horo8287[[#This Row],[Durée (60)2]]-INT(Horo8287[[#This Row],[Durée (60)2]]))*24)</f>
        <v>0.249999999999999</v>
      </c>
      <c r="K16" s="53" t="n">
        <f aca="false">SUMIF(Horo8287[Jour],C16,Horo8287[Durée])</f>
        <v>8</v>
      </c>
      <c r="L16" s="54" t="n">
        <f aca="false">IFERROR(SUMIF(Horo8287[[#This Row],[Jour]],Horo8287[[#This Row],[Jour]],Horo8287[[#This Row],[GPF]]) / Horo8287[[#This Row],[hrs]],"")</f>
        <v>0</v>
      </c>
      <c r="M16" s="55" t="str">
        <f aca="false">IF("GPF"=Horo8287[[#This Row],[Tâche]],Horo8287[[#This Row],[Durée]],"")</f>
        <v/>
      </c>
      <c r="N16" s="56" t="str">
        <f aca="false">IF("RI"=Horo8287[[#This Row],[Tâche]],Horo8287[[#This Row],[Durée]],"")</f>
        <v/>
      </c>
      <c r="O16" s="56" t="str">
        <f aca="false">IF("GB"=Horo8287[[#This Row],[Tâche]],Horo8287[[#This Row],[Durée]],"")</f>
        <v/>
      </c>
      <c r="P16" s="56" t="str">
        <f aca="false">IF("RD"=Horo8287[[#This Row],[Tâche]],Horo8287[[#This Row],[Durée]],"")</f>
        <v/>
      </c>
      <c r="Q16" s="56" t="n">
        <f aca="false">IF("FG"=Horo8287[[#This Row],[Tâche]],Horo8287[[#This Row],[Durée]],"")</f>
        <v>0.249999999999999</v>
      </c>
      <c r="R16" s="56" t="str">
        <f aca="false">IF("CONGÉ"=Horo8287[[#This Row],[Tâche]],Horo8287[[#This Row],[Durée]],"")</f>
        <v/>
      </c>
      <c r="S16" s="57" t="str">
        <f aca="false">IF("PS"=Horo8287[[#This Row],[Tâche]],Horo8287[[#This Row],[Durée]],"")</f>
        <v/>
      </c>
      <c r="T16" s="56" t="str">
        <f aca="false">IF("TD"=Horo8287[[#This Row],[Tâche]],Horo8287[[#This Row],[Durée]],"")</f>
        <v/>
      </c>
      <c r="U16" s="55" t="str">
        <f aca="false">IF("N/C"=Horo8287[[#This Row],[Tâche]],Horo8287[[#This Row],[Durée]],"")</f>
        <v/>
      </c>
      <c r="V16" s="58"/>
      <c r="W16" s="59" t="n">
        <f aca="false">IF(Horo8287[[#This Row],[O]]="o",Horo8287[[#This Row],[Durée]],".")</f>
        <v>0.249999999999999</v>
      </c>
      <c r="X16" s="60" t="n">
        <f aca="false">IF(Horo8287[[#This Row],[Début]]=0,"",Horo8287[[#This Row],[Fin]]-Horo8287[[#This Row],[Début]])</f>
        <v>0.0104166666666666</v>
      </c>
    </row>
    <row r="17" customFormat="false" ht="15" hidden="false" customHeight="false" outlineLevel="0" collapsed="false">
      <c r="A17" s="45" t="s">
        <v>31</v>
      </c>
      <c r="B17" s="111" t="n">
        <f aca="false">IF(Horo8287[[#This Row],[Jour]]="Lundi",$C$1+1, IF(Horo8287[[#This Row],[Jour]]="Mardi",$C$1+2, IF(Horo8287[[#This Row],[Jour]]="Mercredi",$C$1+3, IF(Horo8287[[#This Row],[Jour]]="Jeudi",$C$1+4, IF(Horo8287[[#This Row],[Jour]]="Vendredi",$C$1+5, IF(Horo8287[[#This Row],[Jour]]="Samedi",$C$1+6, IF(Horo8287[[#This Row],[Jour]]="Dimanche",$C$1, )))))))</f>
        <v>44342</v>
      </c>
      <c r="C17" s="47" t="s">
        <v>1</v>
      </c>
      <c r="D17" s="48" t="n">
        <v>0.572916666666667</v>
      </c>
      <c r="E17" s="48" t="n">
        <v>0.583333333333333</v>
      </c>
      <c r="F17" s="49" t="s">
        <v>61</v>
      </c>
      <c r="G17" s="49" t="s">
        <v>21</v>
      </c>
      <c r="H17" s="50" t="s">
        <v>201</v>
      </c>
      <c r="I17" s="61" t="s">
        <v>267</v>
      </c>
      <c r="J17" s="52" t="n">
        <f aca="false">IF(Horo8287[[#This Row],[Début]]=0,"",(Horo8287[[#This Row],[Durée (60)2]]-INT(Horo8287[[#This Row],[Durée (60)2]]))*24)</f>
        <v>0.250000000000002</v>
      </c>
      <c r="K17" s="62" t="n">
        <f aca="false">SUMIF(Horo8287[Jour],C17,Horo8287[Durée])</f>
        <v>8</v>
      </c>
      <c r="L17" s="54" t="n">
        <f aca="false">IFERROR(SUMIF(Horo8287[[#This Row],[Jour]],Horo8287[[#This Row],[Jour]],Horo8287[[#This Row],[GPF]]) / Horo8287[[#This Row],[hrs]],"")</f>
        <v>0</v>
      </c>
      <c r="M17" s="56" t="str">
        <f aca="false">IF("GPF"=Horo8287[[#This Row],[Tâche]],Horo8287[[#This Row],[Durée]],"")</f>
        <v/>
      </c>
      <c r="N17" s="56" t="str">
        <f aca="false">IF("RI"=Horo8287[[#This Row],[Tâche]],Horo8287[[#This Row],[Durée]],"")</f>
        <v/>
      </c>
      <c r="O17" s="56" t="n">
        <f aca="false">IF("GB"=Horo8287[[#This Row],[Tâche]],Horo8287[[#This Row],[Durée]],"")</f>
        <v>0.250000000000002</v>
      </c>
      <c r="P17" s="56" t="str">
        <f aca="false">IF("RD"=Horo8287[[#This Row],[Tâche]],Horo8287[[#This Row],[Durée]],"")</f>
        <v/>
      </c>
      <c r="Q17" s="56" t="str">
        <f aca="false">IF("FG"=Horo8287[[#This Row],[Tâche]],Horo8287[[#This Row],[Durée]],"")</f>
        <v/>
      </c>
      <c r="R17" s="56" t="str">
        <f aca="false">IF("CONGÉ"=Horo8287[[#This Row],[Tâche]],Horo8287[[#This Row],[Durée]],"")</f>
        <v/>
      </c>
      <c r="S17" s="57" t="str">
        <f aca="false">IF("PS"=Horo8287[[#This Row],[Tâche]],Horo8287[[#This Row],[Durée]],"")</f>
        <v/>
      </c>
      <c r="T17" s="56" t="str">
        <f aca="false">IF("TD"=Horo8287[[#This Row],[Tâche]],Horo8287[[#This Row],[Durée]],"")</f>
        <v/>
      </c>
      <c r="U17" s="55" t="str">
        <f aca="false">IF("N/C"=Horo8287[[#This Row],[Tâche]],Horo8287[[#This Row],[Durée]],"")</f>
        <v/>
      </c>
      <c r="V17" s="58"/>
      <c r="W17" s="59" t="n">
        <f aca="false">IF(Horo8287[[#This Row],[O]]="o",Horo8287[[#This Row],[Durée]],".")</f>
        <v>0.250000000000002</v>
      </c>
      <c r="X17" s="60" t="n">
        <f aca="false">IF(Horo8287[[#This Row],[Début]]=0,"",Horo8287[[#This Row],[Fin]]-Horo8287[[#This Row],[Début]])</f>
        <v>0.0104166666666667</v>
      </c>
    </row>
    <row r="18" customFormat="false" ht="15" hidden="false" customHeight="false" outlineLevel="0" collapsed="false">
      <c r="A18" s="45" t="s">
        <v>31</v>
      </c>
      <c r="B18" s="111" t="n">
        <f aca="false">IF(Horo8287[[#This Row],[Jour]]="Lundi",$C$1+1, IF(Horo8287[[#This Row],[Jour]]="Mardi",$C$1+2, IF(Horo8287[[#This Row],[Jour]]="Mercredi",$C$1+3, IF(Horo8287[[#This Row],[Jour]]="Jeudi",$C$1+4, IF(Horo8287[[#This Row],[Jour]]="Vendredi",$C$1+5, IF(Horo8287[[#This Row],[Jour]]="Samedi",$C$1+6, IF(Horo8287[[#This Row],[Jour]]="Dimanche",$C$1, )))))))</f>
        <v>44342</v>
      </c>
      <c r="C18" s="47" t="s">
        <v>1</v>
      </c>
      <c r="D18" s="48" t="n">
        <v>0.583333333333333</v>
      </c>
      <c r="E18" s="48" t="n">
        <v>0.59375</v>
      </c>
      <c r="F18" s="49" t="s">
        <v>63</v>
      </c>
      <c r="G18" s="49" t="s">
        <v>19</v>
      </c>
      <c r="H18" s="50" t="s">
        <v>120</v>
      </c>
      <c r="I18" s="61" t="s">
        <v>268</v>
      </c>
      <c r="J18" s="52" t="n">
        <f aca="false">IF(Horo8287[[#This Row],[Début]]=0,"",(Horo8287[[#This Row],[Durée (60)2]]-INT(Horo8287[[#This Row],[Durée (60)2]]))*24)</f>
        <v>0.249999999999999</v>
      </c>
      <c r="K18" s="62" t="n">
        <f aca="false">SUMIF(Horo8287[Jour],C18,Horo8287[Durée])</f>
        <v>8</v>
      </c>
      <c r="L18" s="54" t="n">
        <f aca="false">IFERROR(SUMIF(Horo8287[[#This Row],[Jour]],Horo8287[[#This Row],[Jour]],Horo8287[[#This Row],[GPF]]) / Horo8287[[#This Row],[hrs]],"")</f>
        <v>0.0312499999999999</v>
      </c>
      <c r="M18" s="56" t="n">
        <f aca="false">IF("GPF"=Horo8287[[#This Row],[Tâche]],Horo8287[[#This Row],[Durée]],"")</f>
        <v>0.249999999999999</v>
      </c>
      <c r="N18" s="56" t="str">
        <f aca="false">IF("RI"=Horo8287[[#This Row],[Tâche]],Horo8287[[#This Row],[Durée]],"")</f>
        <v/>
      </c>
      <c r="O18" s="56" t="str">
        <f aca="false">IF("GB"=Horo8287[[#This Row],[Tâche]],Horo8287[[#This Row],[Durée]],"")</f>
        <v/>
      </c>
      <c r="P18" s="56" t="str">
        <f aca="false">IF("RD"=Horo8287[[#This Row],[Tâche]],Horo8287[[#This Row],[Durée]],"")</f>
        <v/>
      </c>
      <c r="Q18" s="56" t="str">
        <f aca="false">IF("FG"=Horo8287[[#This Row],[Tâche]],Horo8287[[#This Row],[Durée]],"")</f>
        <v/>
      </c>
      <c r="R18" s="56" t="str">
        <f aca="false">IF("CONGÉ"=Horo8287[[#This Row],[Tâche]],Horo8287[[#This Row],[Durée]],"")</f>
        <v/>
      </c>
      <c r="S18" s="57" t="str">
        <f aca="false">IF("PS"=Horo8287[[#This Row],[Tâche]],Horo8287[[#This Row],[Durée]],"")</f>
        <v/>
      </c>
      <c r="T18" s="56" t="str">
        <f aca="false">IF("TD"=Horo8287[[#This Row],[Tâche]],Horo8287[[#This Row],[Durée]],"")</f>
        <v/>
      </c>
      <c r="U18" s="55" t="str">
        <f aca="false">IF("N/C"=Horo8287[[#This Row],[Tâche]],Horo8287[[#This Row],[Durée]],"")</f>
        <v/>
      </c>
      <c r="V18" s="58"/>
      <c r="W18" s="59" t="n">
        <f aca="false">IF(Horo8287[[#This Row],[O]]="o",Horo8287[[#This Row],[Durée]],".")</f>
        <v>0.249999999999999</v>
      </c>
      <c r="X18" s="60" t="n">
        <f aca="false">IF(Horo8287[[#This Row],[Début]]=0,"",Horo8287[[#This Row],[Fin]]-Horo8287[[#This Row],[Début]])</f>
        <v>0.0104166666666666</v>
      </c>
    </row>
    <row r="19" customFormat="false" ht="15" hidden="false" customHeight="false" outlineLevel="0" collapsed="false">
      <c r="A19" s="45" t="s">
        <v>31</v>
      </c>
      <c r="B19" s="111" t="n">
        <f aca="false">IF(Horo8287[[#This Row],[Jour]]="Lundi",$C$1+1, IF(Horo8287[[#This Row],[Jour]]="Mardi",$C$1+2, IF(Horo8287[[#This Row],[Jour]]="Mercredi",$C$1+3, IF(Horo8287[[#This Row],[Jour]]="Jeudi",$C$1+4, IF(Horo8287[[#This Row],[Jour]]="Vendredi",$C$1+5, IF(Horo8287[[#This Row],[Jour]]="Samedi",$C$1+6, IF(Horo8287[[#This Row],[Jour]]="Dimanche",$C$1, )))))))</f>
        <v>44342</v>
      </c>
      <c r="C19" s="47" t="s">
        <v>1</v>
      </c>
      <c r="D19" s="48" t="n">
        <v>0.59375</v>
      </c>
      <c r="E19" s="48" t="n">
        <v>0.677083333333333</v>
      </c>
      <c r="F19" s="49" t="s">
        <v>60</v>
      </c>
      <c r="G19" s="49" t="s">
        <v>22</v>
      </c>
      <c r="H19" s="50" t="s">
        <v>48</v>
      </c>
      <c r="I19" s="61" t="s">
        <v>269</v>
      </c>
      <c r="J19" s="52" t="n">
        <f aca="false">IF(Horo8287[[#This Row],[Début]]=0,"",(Horo8287[[#This Row],[Durée (60)2]]-INT(Horo8287[[#This Row],[Durée (60)2]]))*24)</f>
        <v>2</v>
      </c>
      <c r="K19" s="62" t="n">
        <f aca="false">SUMIF(Horo8287[Jour],C19,Horo8287[Durée])</f>
        <v>8</v>
      </c>
      <c r="L19" s="54" t="n">
        <f aca="false">IFERROR(SUMIF(Horo8287[[#This Row],[Jour]],Horo8287[[#This Row],[Jour]],Horo8287[[#This Row],[GPF]]) / Horo8287[[#This Row],[hrs]],"")</f>
        <v>0</v>
      </c>
      <c r="M19" s="56" t="str">
        <f aca="false">IF("GPF"=Horo8287[[#This Row],[Tâche]],Horo8287[[#This Row],[Durée]],"")</f>
        <v/>
      </c>
      <c r="N19" s="56" t="str">
        <f aca="false">IF("RI"=Horo8287[[#This Row],[Tâche]],Horo8287[[#This Row],[Durée]],"")</f>
        <v/>
      </c>
      <c r="O19" s="56" t="str">
        <f aca="false">IF("GB"=Horo8287[[#This Row],[Tâche]],Horo8287[[#This Row],[Durée]],"")</f>
        <v/>
      </c>
      <c r="P19" s="56" t="n">
        <f aca="false">IF("RD"=Horo8287[[#This Row],[Tâche]],Horo8287[[#This Row],[Durée]],"")</f>
        <v>2</v>
      </c>
      <c r="Q19" s="56" t="str">
        <f aca="false">IF("FG"=Horo8287[[#This Row],[Tâche]],Horo8287[[#This Row],[Durée]],"")</f>
        <v/>
      </c>
      <c r="R19" s="56" t="str">
        <f aca="false">IF("CONGÉ"=Horo8287[[#This Row],[Tâche]],Horo8287[[#This Row],[Durée]],"")</f>
        <v/>
      </c>
      <c r="S19" s="57" t="str">
        <f aca="false">IF("PS"=Horo8287[[#This Row],[Tâche]],Horo8287[[#This Row],[Durée]],"")</f>
        <v/>
      </c>
      <c r="T19" s="56" t="str">
        <f aca="false">IF("TD"=Horo8287[[#This Row],[Tâche]],Horo8287[[#This Row],[Durée]],"")</f>
        <v/>
      </c>
      <c r="U19" s="55" t="str">
        <f aca="false">IF("N/C"=Horo8287[[#This Row],[Tâche]],Horo8287[[#This Row],[Durée]],"")</f>
        <v/>
      </c>
      <c r="V19" s="58"/>
      <c r="W19" s="59" t="n">
        <f aca="false">IF(Horo8287[[#This Row],[O]]="o",Horo8287[[#This Row],[Durée]],".")</f>
        <v>2</v>
      </c>
      <c r="X19" s="60" t="n">
        <f aca="false">IF(Horo8287[[#This Row],[Début]]=0,"",Horo8287[[#This Row],[Fin]]-Horo8287[[#This Row],[Début]])</f>
        <v>0.0833333333333334</v>
      </c>
    </row>
    <row r="20" customFormat="false" ht="15" hidden="false" customHeight="false" outlineLevel="0" collapsed="false">
      <c r="A20" s="45" t="s">
        <v>31</v>
      </c>
      <c r="B20" s="111" t="n">
        <f aca="false">IF(Horo8287[[#This Row],[Jour]]="Lundi",$C$1+1, IF(Horo8287[[#This Row],[Jour]]="Mardi",$C$1+2, IF(Horo8287[[#This Row],[Jour]]="Mercredi",$C$1+3, IF(Horo8287[[#This Row],[Jour]]="Jeudi",$C$1+4, IF(Horo8287[[#This Row],[Jour]]="Vendredi",$C$1+5, IF(Horo8287[[#This Row],[Jour]]="Samedi",$C$1+6, IF(Horo8287[[#This Row],[Jour]]="Dimanche",$C$1, )))))))</f>
        <v>44342</v>
      </c>
      <c r="C20" s="47" t="s">
        <v>1</v>
      </c>
      <c r="D20" s="48" t="n">
        <v>0.6875</v>
      </c>
      <c r="E20" s="48" t="n">
        <v>0.75</v>
      </c>
      <c r="F20" s="49" t="s">
        <v>60</v>
      </c>
      <c r="G20" s="49" t="s">
        <v>23</v>
      </c>
      <c r="H20" s="50" t="s">
        <v>48</v>
      </c>
      <c r="I20" s="61" t="s">
        <v>270</v>
      </c>
      <c r="J20" s="52" t="n">
        <f aca="false">IF(Horo8287[[#This Row],[Début]]=0,"",(Horo8287[[#This Row],[Durée (60)2]]-INT(Horo8287[[#This Row],[Durée (60)2]]))*24)</f>
        <v>1.5</v>
      </c>
      <c r="K20" s="62" t="n">
        <f aca="false">SUMIF(Horo8287[Jour],C20,Horo8287[Durée])</f>
        <v>8</v>
      </c>
      <c r="L20" s="54" t="n">
        <f aca="false">IFERROR(SUMIF(Horo8287[[#This Row],[Jour]],Horo8287[[#This Row],[Jour]],Horo8287[[#This Row],[GPF]]) / Horo8287[[#This Row],[hrs]],"")</f>
        <v>0</v>
      </c>
      <c r="M20" s="56" t="str">
        <f aca="false">IF("GPF"=Horo8287[[#This Row],[Tâche]],Horo8287[[#This Row],[Durée]],"")</f>
        <v/>
      </c>
      <c r="N20" s="56" t="str">
        <f aca="false">IF("RI"=Horo8287[[#This Row],[Tâche]],Horo8287[[#This Row],[Durée]],"")</f>
        <v/>
      </c>
      <c r="O20" s="56" t="str">
        <f aca="false">IF("GB"=Horo8287[[#This Row],[Tâche]],Horo8287[[#This Row],[Durée]],"")</f>
        <v/>
      </c>
      <c r="P20" s="56" t="str">
        <f aca="false">IF("RD"=Horo8287[[#This Row],[Tâche]],Horo8287[[#This Row],[Durée]],"")</f>
        <v/>
      </c>
      <c r="Q20" s="56" t="n">
        <f aca="false">IF("FG"=Horo8287[[#This Row],[Tâche]],Horo8287[[#This Row],[Durée]],"")</f>
        <v>1.5</v>
      </c>
      <c r="R20" s="56" t="str">
        <f aca="false">IF("CONGÉ"=Horo8287[[#This Row],[Tâche]],Horo8287[[#This Row],[Durée]],"")</f>
        <v/>
      </c>
      <c r="S20" s="57" t="str">
        <f aca="false">IF("PS"=Horo8287[[#This Row],[Tâche]],Horo8287[[#This Row],[Durée]],"")</f>
        <v/>
      </c>
      <c r="T20" s="56" t="str">
        <f aca="false">IF("TD"=Horo8287[[#This Row],[Tâche]],Horo8287[[#This Row],[Durée]],"")</f>
        <v/>
      </c>
      <c r="U20" s="55" t="str">
        <f aca="false">IF("N/C"=Horo8287[[#This Row],[Tâche]],Horo8287[[#This Row],[Durée]],"")</f>
        <v/>
      </c>
      <c r="V20" s="58"/>
      <c r="W20" s="59" t="n">
        <f aca="false">IF(Horo8287[[#This Row],[O]]="o",Horo8287[[#This Row],[Durée]],".")</f>
        <v>1.5</v>
      </c>
      <c r="X20" s="60" t="n">
        <f aca="false">IF(Horo8287[[#This Row],[Début]]=0,"",Horo8287[[#This Row],[Fin]]-Horo8287[[#This Row],[Début]])</f>
        <v>0.0625</v>
      </c>
    </row>
    <row r="21" customFormat="false" ht="15" hidden="false" customHeight="false" outlineLevel="0" collapsed="false">
      <c r="A21" s="45" t="s">
        <v>31</v>
      </c>
      <c r="B21" s="111" t="n">
        <f aca="false">IF(Horo8287[[#This Row],[Jour]]="Lundi",$C$1+1, IF(Horo8287[[#This Row],[Jour]]="Mardi",$C$1+2, IF(Horo8287[[#This Row],[Jour]]="Mercredi",$C$1+3, IF(Horo8287[[#This Row],[Jour]]="Jeudi",$C$1+4, IF(Horo8287[[#This Row],[Jour]]="Vendredi",$C$1+5, IF(Horo8287[[#This Row],[Jour]]="Samedi",$C$1+6, IF(Horo8287[[#This Row],[Jour]]="Dimanche",$C$1, )))))))</f>
        <v>44343</v>
      </c>
      <c r="C21" s="47" t="s">
        <v>2</v>
      </c>
      <c r="D21" s="48" t="n">
        <v>0.333333333333333</v>
      </c>
      <c r="E21" s="48" t="n">
        <v>0.34375</v>
      </c>
      <c r="F21" s="49" t="s">
        <v>32</v>
      </c>
      <c r="G21" s="49" t="s">
        <v>22</v>
      </c>
      <c r="H21" s="50" t="s">
        <v>201</v>
      </c>
      <c r="I21" s="61"/>
      <c r="J21" s="52" t="n">
        <f aca="false">IF(Horo8287[[#This Row],[Début]]=0,"",(Horo8287[[#This Row],[Durée (60)2]]-INT(Horo8287[[#This Row],[Durée (60)2]]))*24)</f>
        <v>0.25</v>
      </c>
      <c r="K21" s="62" t="n">
        <f aca="false">SUMIF(Horo8287[Jour],C21,Horo8287[Durée])</f>
        <v>8</v>
      </c>
      <c r="L21" s="54" t="n">
        <f aca="false">IFERROR(SUMIF(Horo8287[[#This Row],[Jour]],Horo8287[[#This Row],[Jour]],Horo8287[[#This Row],[GPF]]) / Horo8287[[#This Row],[hrs]],"")</f>
        <v>0</v>
      </c>
      <c r="M21" s="56" t="str">
        <f aca="false">IF("GPF"=Horo8287[[#This Row],[Tâche]],Horo8287[[#This Row],[Durée]],"")</f>
        <v/>
      </c>
      <c r="N21" s="56" t="str">
        <f aca="false">IF("RI"=Horo8287[[#This Row],[Tâche]],Horo8287[[#This Row],[Durée]],"")</f>
        <v/>
      </c>
      <c r="O21" s="56" t="str">
        <f aca="false">IF("GB"=Horo8287[[#This Row],[Tâche]],Horo8287[[#This Row],[Durée]],"")</f>
        <v/>
      </c>
      <c r="P21" s="56" t="n">
        <f aca="false">IF("RD"=Horo8287[[#This Row],[Tâche]],Horo8287[[#This Row],[Durée]],"")</f>
        <v>0.25</v>
      </c>
      <c r="Q21" s="56" t="str">
        <f aca="false">IF("FG"=Horo8287[[#This Row],[Tâche]],Horo8287[[#This Row],[Durée]],"")</f>
        <v/>
      </c>
      <c r="R21" s="56" t="str">
        <f aca="false">IF("CONGÉ"=Horo8287[[#This Row],[Tâche]],Horo8287[[#This Row],[Durée]],"")</f>
        <v/>
      </c>
      <c r="S21" s="56" t="str">
        <f aca="false">IF("PS"=Horo8287[[#This Row],[Tâche]],Horo8287[[#This Row],[Durée]],"")</f>
        <v/>
      </c>
      <c r="T21" s="56" t="str">
        <f aca="false">IF("TD"=Horo8287[[#This Row],[Tâche]],Horo8287[[#This Row],[Durée]],"")</f>
        <v/>
      </c>
      <c r="U21" s="56" t="str">
        <f aca="false">IF("N/C"=Horo8287[[#This Row],[Tâche]],Horo8287[[#This Row],[Durée]],"")</f>
        <v/>
      </c>
      <c r="V21" s="58"/>
      <c r="W21" s="59" t="n">
        <f aca="false">IF(Horo8287[[#This Row],[O]]="o",Horo8287[[#This Row],[Durée]],".")</f>
        <v>0.25</v>
      </c>
      <c r="X21" s="64" t="n">
        <f aca="false">IF(Horo8287[[#This Row],[Début]]=0,"",Horo8287[[#This Row],[Fin]]-Horo8287[[#This Row],[Début]])</f>
        <v>0.0104166666666667</v>
      </c>
    </row>
    <row r="22" customFormat="false" ht="15" hidden="false" customHeight="false" outlineLevel="0" collapsed="false">
      <c r="A22" s="45" t="s">
        <v>31</v>
      </c>
      <c r="B22" s="111" t="n">
        <f aca="false">IF(Horo8287[[#This Row],[Jour]]="Lundi",$C$1+1, IF(Horo8287[[#This Row],[Jour]]="Mardi",$C$1+2, IF(Horo8287[[#This Row],[Jour]]="Mercredi",$C$1+3, IF(Horo8287[[#This Row],[Jour]]="Jeudi",$C$1+4, IF(Horo8287[[#This Row],[Jour]]="Vendredi",$C$1+5, IF(Horo8287[[#This Row],[Jour]]="Samedi",$C$1+6, IF(Horo8287[[#This Row],[Jour]]="Dimanche",$C$1, )))))))</f>
        <v>44343</v>
      </c>
      <c r="C22" s="47" t="s">
        <v>2</v>
      </c>
      <c r="D22" s="48" t="n">
        <v>0.34375</v>
      </c>
      <c r="E22" s="48" t="n">
        <v>0.375</v>
      </c>
      <c r="F22" s="49" t="s">
        <v>63</v>
      </c>
      <c r="G22" s="49" t="s">
        <v>19</v>
      </c>
      <c r="H22" s="50" t="s">
        <v>120</v>
      </c>
      <c r="I22" s="61" t="s">
        <v>271</v>
      </c>
      <c r="J22" s="52" t="n">
        <f aca="false">IF(Horo8287[[#This Row],[Début]]=0,"",(Horo8287[[#This Row],[Durée (60)2]]-INT(Horo8287[[#This Row],[Durée (60)2]]))*24)</f>
        <v>0.75</v>
      </c>
      <c r="K22" s="62" t="n">
        <f aca="false">SUMIF(Horo8287[Jour],C22,Horo8287[Durée])</f>
        <v>8</v>
      </c>
      <c r="L22" s="54" t="n">
        <f aca="false">IFERROR(SUMIF(Horo8287[[#This Row],[Jour]],Horo8287[[#This Row],[Jour]],Horo8287[[#This Row],[GPF]]) / Horo8287[[#This Row],[hrs]],"")</f>
        <v>0.09375</v>
      </c>
      <c r="M22" s="56" t="n">
        <f aca="false">IF("GPF"=Horo8287[[#This Row],[Tâche]],Horo8287[[#This Row],[Durée]],"")</f>
        <v>0.75</v>
      </c>
      <c r="N22" s="56" t="str">
        <f aca="false">IF("RI"=Horo8287[[#This Row],[Tâche]],Horo8287[[#This Row],[Durée]],"")</f>
        <v/>
      </c>
      <c r="O22" s="56" t="str">
        <f aca="false">IF("GB"=Horo8287[[#This Row],[Tâche]],Horo8287[[#This Row],[Durée]],"")</f>
        <v/>
      </c>
      <c r="P22" s="56" t="str">
        <f aca="false">IF("RD"=Horo8287[[#This Row],[Tâche]],Horo8287[[#This Row],[Durée]],"")</f>
        <v/>
      </c>
      <c r="Q22" s="56" t="str">
        <f aca="false">IF("FG"=Horo8287[[#This Row],[Tâche]],Horo8287[[#This Row],[Durée]],"")</f>
        <v/>
      </c>
      <c r="R22" s="56" t="str">
        <f aca="false">IF("CONGÉ"=Horo8287[[#This Row],[Tâche]],Horo8287[[#This Row],[Durée]],"")</f>
        <v/>
      </c>
      <c r="S22" s="57" t="str">
        <f aca="false">IF("PS"=Horo8287[[#This Row],[Tâche]],Horo8287[[#This Row],[Durée]],"")</f>
        <v/>
      </c>
      <c r="T22" s="56" t="str">
        <f aca="false">IF("TD"=Horo8287[[#This Row],[Tâche]],Horo8287[[#This Row],[Durée]],"")</f>
        <v/>
      </c>
      <c r="U22" s="55" t="str">
        <f aca="false">IF("N/C"=Horo8287[[#This Row],[Tâche]],Horo8287[[#This Row],[Durée]],"")</f>
        <v/>
      </c>
      <c r="V22" s="58"/>
      <c r="W22" s="59" t="n">
        <f aca="false">IF(Horo8287[[#This Row],[O]]="o",Horo8287[[#This Row],[Durée]],".")</f>
        <v>0.75</v>
      </c>
      <c r="X22" s="60" t="n">
        <f aca="false">IF(Horo8287[[#This Row],[Début]]=0,"",Horo8287[[#This Row],[Fin]]-Horo8287[[#This Row],[Début]])</f>
        <v>0.03125</v>
      </c>
    </row>
    <row r="23" customFormat="false" ht="15" hidden="false" customHeight="false" outlineLevel="0" collapsed="false">
      <c r="A23" s="45" t="s">
        <v>31</v>
      </c>
      <c r="B23" s="111" t="n">
        <f aca="false">IF(Horo8287[[#This Row],[Jour]]="Lundi",$C$1+1, IF(Horo8287[[#This Row],[Jour]]="Mardi",$C$1+2, IF(Horo8287[[#This Row],[Jour]]="Mercredi",$C$1+3, IF(Horo8287[[#This Row],[Jour]]="Jeudi",$C$1+4, IF(Horo8287[[#This Row],[Jour]]="Vendredi",$C$1+5, IF(Horo8287[[#This Row],[Jour]]="Samedi",$C$1+6, IF(Horo8287[[#This Row],[Jour]]="Dimanche",$C$1, )))))))</f>
        <v>44343</v>
      </c>
      <c r="C23" s="47" t="s">
        <v>2</v>
      </c>
      <c r="D23" s="48" t="n">
        <v>0.375</v>
      </c>
      <c r="E23" s="48" t="n">
        <v>0.416666666666667</v>
      </c>
      <c r="F23" s="49" t="s">
        <v>32</v>
      </c>
      <c r="G23" s="49" t="s">
        <v>22</v>
      </c>
      <c r="H23" s="50" t="s">
        <v>201</v>
      </c>
      <c r="I23" s="61"/>
      <c r="J23" s="52" t="n">
        <f aca="false">IF(Horo8287[[#This Row],[Début]]=0,"",(Horo8287[[#This Row],[Durée (60)2]]-INT(Horo8287[[#This Row],[Durée (60)2]]))*24)</f>
        <v>1</v>
      </c>
      <c r="K23" s="62" t="n">
        <f aca="false">SUMIF(Horo8287[Jour],C23,Horo8287[Durée])</f>
        <v>8</v>
      </c>
      <c r="L23" s="54" t="n">
        <f aca="false">IFERROR(SUMIF(Horo8287[[#This Row],[Jour]],Horo8287[[#This Row],[Jour]],Horo8287[[#This Row],[GPF]]) / Horo8287[[#This Row],[hrs]],"")</f>
        <v>0</v>
      </c>
      <c r="M23" s="56" t="str">
        <f aca="false">IF("GPF"=Horo8287[[#This Row],[Tâche]],Horo8287[[#This Row],[Durée]],"")</f>
        <v/>
      </c>
      <c r="N23" s="56" t="str">
        <f aca="false">IF("RI"=Horo8287[[#This Row],[Tâche]],Horo8287[[#This Row],[Durée]],"")</f>
        <v/>
      </c>
      <c r="O23" s="56" t="str">
        <f aca="false">IF("GB"=Horo8287[[#This Row],[Tâche]],Horo8287[[#This Row],[Durée]],"")</f>
        <v/>
      </c>
      <c r="P23" s="56" t="n">
        <f aca="false">IF("RD"=Horo8287[[#This Row],[Tâche]],Horo8287[[#This Row],[Durée]],"")</f>
        <v>1</v>
      </c>
      <c r="Q23" s="56" t="str">
        <f aca="false">IF("FG"=Horo8287[[#This Row],[Tâche]],Horo8287[[#This Row],[Durée]],"")</f>
        <v/>
      </c>
      <c r="R23" s="56" t="str">
        <f aca="false">IF("CONGÉ"=Horo8287[[#This Row],[Tâche]],Horo8287[[#This Row],[Durée]],"")</f>
        <v/>
      </c>
      <c r="S23" s="57" t="str">
        <f aca="false">IF("PS"=Horo8287[[#This Row],[Tâche]],Horo8287[[#This Row],[Durée]],"")</f>
        <v/>
      </c>
      <c r="T23" s="56" t="str">
        <f aca="false">IF("TD"=Horo8287[[#This Row],[Tâche]],Horo8287[[#This Row],[Durée]],"")</f>
        <v/>
      </c>
      <c r="U23" s="55" t="str">
        <f aca="false">IF("N/C"=Horo8287[[#This Row],[Tâche]],Horo8287[[#This Row],[Durée]],"")</f>
        <v/>
      </c>
      <c r="V23" s="58"/>
      <c r="W23" s="59" t="n">
        <f aca="false">IF(Horo8287[[#This Row],[O]]="o",Horo8287[[#This Row],[Durée]],".")</f>
        <v>1</v>
      </c>
      <c r="X23" s="60" t="n">
        <f aca="false">IF(Horo8287[[#This Row],[Début]]=0,"",Horo8287[[#This Row],[Fin]]-Horo8287[[#This Row],[Début]])</f>
        <v>0.0416666666666667</v>
      </c>
    </row>
    <row r="24" customFormat="false" ht="15" hidden="false" customHeight="false" outlineLevel="0" collapsed="false">
      <c r="A24" s="45" t="s">
        <v>31</v>
      </c>
      <c r="B24" s="111" t="n">
        <f aca="false">IF(Horo8287[[#This Row],[Jour]]="Lundi",$C$1+1, IF(Horo8287[[#This Row],[Jour]]="Mardi",$C$1+2, IF(Horo8287[[#This Row],[Jour]]="Mercredi",$C$1+3, IF(Horo8287[[#This Row],[Jour]]="Jeudi",$C$1+4, IF(Horo8287[[#This Row],[Jour]]="Vendredi",$C$1+5, IF(Horo8287[[#This Row],[Jour]]="Samedi",$C$1+6, IF(Horo8287[[#This Row],[Jour]]="Dimanche",$C$1, )))))))</f>
        <v>44343</v>
      </c>
      <c r="C24" s="47" t="s">
        <v>2</v>
      </c>
      <c r="D24" s="48" t="n">
        <v>0.416666666666667</v>
      </c>
      <c r="E24" s="48" t="n">
        <v>0.5</v>
      </c>
      <c r="F24" s="49" t="s">
        <v>61</v>
      </c>
      <c r="G24" s="49" t="s">
        <v>19</v>
      </c>
      <c r="H24" s="50" t="s">
        <v>48</v>
      </c>
      <c r="I24" s="61" t="s">
        <v>272</v>
      </c>
      <c r="J24" s="52" t="n">
        <f aca="false">IF(Horo8287[[#This Row],[Début]]=0,"",(Horo8287[[#This Row],[Durée (60)2]]-INT(Horo8287[[#This Row],[Durée (60)2]]))*24)</f>
        <v>2</v>
      </c>
      <c r="K24" s="62" t="n">
        <f aca="false">SUMIF(Horo8287[Jour],C24,Horo8287[Durée])</f>
        <v>8</v>
      </c>
      <c r="L24" s="54" t="n">
        <f aca="false">IFERROR(SUMIF(Horo8287[[#This Row],[Jour]],Horo8287[[#This Row],[Jour]],Horo8287[[#This Row],[GPF]]) / Horo8287[[#This Row],[hrs]],"")</f>
        <v>0.25</v>
      </c>
      <c r="M24" s="56" t="n">
        <f aca="false">IF("GPF"=Horo8287[[#This Row],[Tâche]],Horo8287[[#This Row],[Durée]],"")</f>
        <v>2</v>
      </c>
      <c r="N24" s="56" t="str">
        <f aca="false">IF("RI"=Horo8287[[#This Row],[Tâche]],Horo8287[[#This Row],[Durée]],"")</f>
        <v/>
      </c>
      <c r="O24" s="56" t="str">
        <f aca="false">IF("GB"=Horo8287[[#This Row],[Tâche]],Horo8287[[#This Row],[Durée]],"")</f>
        <v/>
      </c>
      <c r="P24" s="56" t="str">
        <f aca="false">IF("RD"=Horo8287[[#This Row],[Tâche]],Horo8287[[#This Row],[Durée]],"")</f>
        <v/>
      </c>
      <c r="Q24" s="56" t="str">
        <f aca="false">IF("FG"=Horo8287[[#This Row],[Tâche]],Horo8287[[#This Row],[Durée]],"")</f>
        <v/>
      </c>
      <c r="R24" s="56" t="str">
        <f aca="false">IF("CONGÉ"=Horo8287[[#This Row],[Tâche]],Horo8287[[#This Row],[Durée]],"")</f>
        <v/>
      </c>
      <c r="S24" s="57" t="str">
        <f aca="false">IF("PS"=Horo8287[[#This Row],[Tâche]],Horo8287[[#This Row],[Durée]],"")</f>
        <v/>
      </c>
      <c r="T24" s="56" t="str">
        <f aca="false">IF("TD"=Horo8287[[#This Row],[Tâche]],Horo8287[[#This Row],[Durée]],"")</f>
        <v/>
      </c>
      <c r="U24" s="55" t="str">
        <f aca="false">IF("N/C"=Horo8287[[#This Row],[Tâche]],Horo8287[[#This Row],[Durée]],"")</f>
        <v/>
      </c>
      <c r="V24" s="58"/>
      <c r="W24" s="59" t="n">
        <f aca="false">IF(Horo8287[[#This Row],[O]]="o",Horo8287[[#This Row],[Durée]],".")</f>
        <v>2</v>
      </c>
      <c r="X24" s="60" t="n">
        <f aca="false">IF(Horo8287[[#This Row],[Début]]=0,"",Horo8287[[#This Row],[Fin]]-Horo8287[[#This Row],[Début]])</f>
        <v>0.0833333333333333</v>
      </c>
    </row>
    <row r="25" customFormat="false" ht="15" hidden="false" customHeight="false" outlineLevel="0" collapsed="false">
      <c r="A25" s="45" t="s">
        <v>31</v>
      </c>
      <c r="B25" s="111" t="n">
        <f aca="false">IF(Horo8287[[#This Row],[Jour]]="Lundi",$C$1+1, IF(Horo8287[[#This Row],[Jour]]="Mardi",$C$1+2, IF(Horo8287[[#This Row],[Jour]]="Mercredi",$C$1+3, IF(Horo8287[[#This Row],[Jour]]="Jeudi",$C$1+4, IF(Horo8287[[#This Row],[Jour]]="Vendredi",$C$1+5, IF(Horo8287[[#This Row],[Jour]]="Samedi",$C$1+6, IF(Horo8287[[#This Row],[Jour]]="Dimanche",$C$1, )))))))</f>
        <v>44343</v>
      </c>
      <c r="C25" s="47" t="s">
        <v>2</v>
      </c>
      <c r="D25" s="48" t="n">
        <v>0.541666666666667</v>
      </c>
      <c r="E25" s="48" t="n">
        <v>0.572916666666667</v>
      </c>
      <c r="F25" s="49" t="s">
        <v>63</v>
      </c>
      <c r="G25" s="49" t="s">
        <v>19</v>
      </c>
      <c r="H25" s="50" t="s">
        <v>55</v>
      </c>
      <c r="I25" s="61" t="s">
        <v>243</v>
      </c>
      <c r="J25" s="52" t="n">
        <f aca="false">IF(Horo8287[[#This Row],[Début]]=0,"",(Horo8287[[#This Row],[Durée (60)2]]-INT(Horo8287[[#This Row],[Durée (60)2]]))*24)</f>
        <v>0.75</v>
      </c>
      <c r="K25" s="62" t="n">
        <f aca="false">SUMIF(Horo8287[Jour],C25,Horo8287[Durée])</f>
        <v>8</v>
      </c>
      <c r="L25" s="54" t="n">
        <f aca="false">IFERROR(SUMIF(Horo8287[[#This Row],[Jour]],Horo8287[[#This Row],[Jour]],Horo8287[[#This Row],[GPF]]) / Horo8287[[#This Row],[hrs]],"")</f>
        <v>0.09375</v>
      </c>
      <c r="M25" s="56" t="n">
        <f aca="false">IF("GPF"=Horo8287[[#This Row],[Tâche]],Horo8287[[#This Row],[Durée]],"")</f>
        <v>0.75</v>
      </c>
      <c r="N25" s="56" t="str">
        <f aca="false">IF("RI"=Horo8287[[#This Row],[Tâche]],Horo8287[[#This Row],[Durée]],"")</f>
        <v/>
      </c>
      <c r="O25" s="56" t="str">
        <f aca="false">IF("GB"=Horo8287[[#This Row],[Tâche]],Horo8287[[#This Row],[Durée]],"")</f>
        <v/>
      </c>
      <c r="P25" s="56" t="str">
        <f aca="false">IF("RD"=Horo8287[[#This Row],[Tâche]],Horo8287[[#This Row],[Durée]],"")</f>
        <v/>
      </c>
      <c r="Q25" s="56" t="str">
        <f aca="false">IF("FG"=Horo8287[[#This Row],[Tâche]],Horo8287[[#This Row],[Durée]],"")</f>
        <v/>
      </c>
      <c r="R25" s="56" t="str">
        <f aca="false">IF("CONGÉ"=Horo8287[[#This Row],[Tâche]],Horo8287[[#This Row],[Durée]],"")</f>
        <v/>
      </c>
      <c r="S25" s="57" t="str">
        <f aca="false">IF("PS"=Horo8287[[#This Row],[Tâche]],Horo8287[[#This Row],[Durée]],"")</f>
        <v/>
      </c>
      <c r="T25" s="56" t="str">
        <f aca="false">IF("TD"=Horo8287[[#This Row],[Tâche]],Horo8287[[#This Row],[Durée]],"")</f>
        <v/>
      </c>
      <c r="U25" s="55" t="str">
        <f aca="false">IF("N/C"=Horo8287[[#This Row],[Tâche]],Horo8287[[#This Row],[Durée]],"")</f>
        <v/>
      </c>
      <c r="V25" s="58"/>
      <c r="W25" s="59" t="n">
        <f aca="false">IF(Horo8287[[#This Row],[O]]="o",Horo8287[[#This Row],[Durée]],".")</f>
        <v>0.75</v>
      </c>
      <c r="X25" s="60" t="n">
        <f aca="false">IF(Horo8287[[#This Row],[Début]]=0,"",Horo8287[[#This Row],[Fin]]-Horo8287[[#This Row],[Début]])</f>
        <v>0.03125</v>
      </c>
    </row>
    <row r="26" customFormat="false" ht="15" hidden="false" customHeight="false" outlineLevel="0" collapsed="false">
      <c r="A26" s="45" t="s">
        <v>31</v>
      </c>
      <c r="B26" s="111" t="n">
        <f aca="false">IF(Horo8287[[#This Row],[Jour]]="Lundi",$C$1+1, IF(Horo8287[[#This Row],[Jour]]="Mardi",$C$1+2, IF(Horo8287[[#This Row],[Jour]]="Mercredi",$C$1+3, IF(Horo8287[[#This Row],[Jour]]="Jeudi",$C$1+4, IF(Horo8287[[#This Row],[Jour]]="Vendredi",$C$1+5, IF(Horo8287[[#This Row],[Jour]]="Samedi",$C$1+6, IF(Horo8287[[#This Row],[Jour]]="Dimanche",$C$1, )))))))</f>
        <v>44343</v>
      </c>
      <c r="C26" s="47" t="s">
        <v>2</v>
      </c>
      <c r="D26" s="48" t="n">
        <v>0.572916666666667</v>
      </c>
      <c r="E26" s="48" t="n">
        <v>0.583333333333333</v>
      </c>
      <c r="F26" s="49" t="s">
        <v>61</v>
      </c>
      <c r="G26" s="49" t="s">
        <v>23</v>
      </c>
      <c r="H26" s="50" t="s">
        <v>48</v>
      </c>
      <c r="I26" s="61" t="s">
        <v>273</v>
      </c>
      <c r="J26" s="52" t="n">
        <f aca="false">IF(Horo8287[[#This Row],[Début]]=0,"",(Horo8287[[#This Row],[Durée (60)2]]-INT(Horo8287[[#This Row],[Durée (60)2]]))*24)</f>
        <v>0.250000000000002</v>
      </c>
      <c r="K26" s="62" t="n">
        <f aca="false">SUMIF(Horo8287[Jour],C26,Horo8287[Durée])</f>
        <v>8</v>
      </c>
      <c r="L26" s="54" t="n">
        <f aca="false">IFERROR(SUMIF(Horo8287[[#This Row],[Jour]],Horo8287[[#This Row],[Jour]],Horo8287[[#This Row],[GPF]]) / Horo8287[[#This Row],[hrs]],"")</f>
        <v>0</v>
      </c>
      <c r="M26" s="56" t="str">
        <f aca="false">IF("GPF"=Horo8287[[#This Row],[Tâche]],Horo8287[[#This Row],[Durée]],"")</f>
        <v/>
      </c>
      <c r="N26" s="56" t="str">
        <f aca="false">IF("RI"=Horo8287[[#This Row],[Tâche]],Horo8287[[#This Row],[Durée]],"")</f>
        <v/>
      </c>
      <c r="O26" s="56" t="str">
        <f aca="false">IF("GB"=Horo8287[[#This Row],[Tâche]],Horo8287[[#This Row],[Durée]],"")</f>
        <v/>
      </c>
      <c r="P26" s="56" t="str">
        <f aca="false">IF("RD"=Horo8287[[#This Row],[Tâche]],Horo8287[[#This Row],[Durée]],"")</f>
        <v/>
      </c>
      <c r="Q26" s="56" t="n">
        <f aca="false">IF("FG"=Horo8287[[#This Row],[Tâche]],Horo8287[[#This Row],[Durée]],"")</f>
        <v>0.250000000000002</v>
      </c>
      <c r="R26" s="56" t="str">
        <f aca="false">IF("CONGÉ"=Horo8287[[#This Row],[Tâche]],Horo8287[[#This Row],[Durée]],"")</f>
        <v/>
      </c>
      <c r="S26" s="57" t="str">
        <f aca="false">IF("PS"=Horo8287[[#This Row],[Tâche]],Horo8287[[#This Row],[Durée]],"")</f>
        <v/>
      </c>
      <c r="T26" s="56" t="str">
        <f aca="false">IF("TD"=Horo8287[[#This Row],[Tâche]],Horo8287[[#This Row],[Durée]],"")</f>
        <v/>
      </c>
      <c r="U26" s="55" t="str">
        <f aca="false">IF("N/C"=Horo8287[[#This Row],[Tâche]],Horo8287[[#This Row],[Durée]],"")</f>
        <v/>
      </c>
      <c r="V26" s="58"/>
      <c r="W26" s="59" t="n">
        <f aca="false">IF(Horo8287[[#This Row],[O]]="o",Horo8287[[#This Row],[Durée]],".")</f>
        <v>0.250000000000002</v>
      </c>
      <c r="X26" s="60" t="n">
        <f aca="false">IF(Horo8287[[#This Row],[Début]]=0,"",Horo8287[[#This Row],[Fin]]-Horo8287[[#This Row],[Début]])</f>
        <v>0.0104166666666667</v>
      </c>
    </row>
    <row r="27" customFormat="false" ht="15" hidden="false" customHeight="false" outlineLevel="0" collapsed="false">
      <c r="A27" s="45" t="s">
        <v>31</v>
      </c>
      <c r="B27" s="111" t="n">
        <f aca="false">IF(Horo8287[[#This Row],[Jour]]="Lundi",$C$1+1, IF(Horo8287[[#This Row],[Jour]]="Mardi",$C$1+2, IF(Horo8287[[#This Row],[Jour]]="Mercredi",$C$1+3, IF(Horo8287[[#This Row],[Jour]]="Jeudi",$C$1+4, IF(Horo8287[[#This Row],[Jour]]="Vendredi",$C$1+5, IF(Horo8287[[#This Row],[Jour]]="Samedi",$C$1+6, IF(Horo8287[[#This Row],[Jour]]="Dimanche",$C$1, )))))))</f>
        <v>44343</v>
      </c>
      <c r="C27" s="47" t="s">
        <v>2</v>
      </c>
      <c r="D27" s="48" t="n">
        <v>0.583333333333333</v>
      </c>
      <c r="E27" s="48" t="n">
        <v>0.59375</v>
      </c>
      <c r="F27" s="49" t="s">
        <v>32</v>
      </c>
      <c r="G27" s="49" t="s">
        <v>22</v>
      </c>
      <c r="H27" s="50" t="s">
        <v>201</v>
      </c>
      <c r="I27" s="61"/>
      <c r="J27" s="52" t="n">
        <f aca="false">IF(Horo8287[[#This Row],[Début]]=0,"",(Horo8287[[#This Row],[Durée (60)2]]-INT(Horo8287[[#This Row],[Durée (60)2]]))*24)</f>
        <v>0.249999999999999</v>
      </c>
      <c r="K27" s="62" t="n">
        <f aca="false">SUMIF(Horo8287[Jour],C27,Horo8287[Durée])</f>
        <v>8</v>
      </c>
      <c r="L27" s="54" t="n">
        <f aca="false">IFERROR(SUMIF(Horo8287[[#This Row],[Jour]],Horo8287[[#This Row],[Jour]],Horo8287[[#This Row],[GPF]]) / Horo8287[[#This Row],[hrs]],"")</f>
        <v>0</v>
      </c>
      <c r="M27" s="56" t="str">
        <f aca="false">IF("GPF"=Horo8287[[#This Row],[Tâche]],Horo8287[[#This Row],[Durée]],"")</f>
        <v/>
      </c>
      <c r="N27" s="56" t="str">
        <f aca="false">IF("RI"=Horo8287[[#This Row],[Tâche]],Horo8287[[#This Row],[Durée]],"")</f>
        <v/>
      </c>
      <c r="O27" s="56" t="str">
        <f aca="false">IF("GB"=Horo8287[[#This Row],[Tâche]],Horo8287[[#This Row],[Durée]],"")</f>
        <v/>
      </c>
      <c r="P27" s="56" t="n">
        <f aca="false">IF("RD"=Horo8287[[#This Row],[Tâche]],Horo8287[[#This Row],[Durée]],"")</f>
        <v>0.249999999999999</v>
      </c>
      <c r="Q27" s="56" t="str">
        <f aca="false">IF("FG"=Horo8287[[#This Row],[Tâche]],Horo8287[[#This Row],[Durée]],"")</f>
        <v/>
      </c>
      <c r="R27" s="56" t="str">
        <f aca="false">IF("CONGÉ"=Horo8287[[#This Row],[Tâche]],Horo8287[[#This Row],[Durée]],"")</f>
        <v/>
      </c>
      <c r="S27" s="57" t="str">
        <f aca="false">IF("PS"=Horo8287[[#This Row],[Tâche]],Horo8287[[#This Row],[Durée]],"")</f>
        <v/>
      </c>
      <c r="T27" s="56" t="str">
        <f aca="false">IF("TD"=Horo8287[[#This Row],[Tâche]],Horo8287[[#This Row],[Durée]],"")</f>
        <v/>
      </c>
      <c r="U27" s="55" t="str">
        <f aca="false">IF("N/C"=Horo8287[[#This Row],[Tâche]],Horo8287[[#This Row],[Durée]],"")</f>
        <v/>
      </c>
      <c r="V27" s="58"/>
      <c r="W27" s="59" t="n">
        <f aca="false">IF(Horo8287[[#This Row],[O]]="o",Horo8287[[#This Row],[Durée]],".")</f>
        <v>0.249999999999999</v>
      </c>
      <c r="X27" s="60" t="n">
        <f aca="false">IF(Horo8287[[#This Row],[Début]]=0,"",Horo8287[[#This Row],[Fin]]-Horo8287[[#This Row],[Début]])</f>
        <v>0.0104166666666666</v>
      </c>
    </row>
    <row r="28" customFormat="false" ht="15" hidden="false" customHeight="false" outlineLevel="0" collapsed="false">
      <c r="A28" s="45" t="s">
        <v>31</v>
      </c>
      <c r="B28" s="111" t="n">
        <f aca="false">IF(Horo8287[[#This Row],[Jour]]="Lundi",$C$1+1, IF(Horo8287[[#This Row],[Jour]]="Mardi",$C$1+2, IF(Horo8287[[#This Row],[Jour]]="Mercredi",$C$1+3, IF(Horo8287[[#This Row],[Jour]]="Jeudi",$C$1+4, IF(Horo8287[[#This Row],[Jour]]="Vendredi",$C$1+5, IF(Horo8287[[#This Row],[Jour]]="Samedi",$C$1+6, IF(Horo8287[[#This Row],[Jour]]="Dimanche",$C$1, )))))))</f>
        <v>44343</v>
      </c>
      <c r="C28" s="47" t="s">
        <v>2</v>
      </c>
      <c r="D28" s="48" t="n">
        <v>0.59375</v>
      </c>
      <c r="E28" s="48" t="n">
        <v>0.625</v>
      </c>
      <c r="F28" s="49" t="s">
        <v>60</v>
      </c>
      <c r="G28" s="49" t="s">
        <v>23</v>
      </c>
      <c r="H28" s="50" t="s">
        <v>48</v>
      </c>
      <c r="I28" s="61" t="s">
        <v>269</v>
      </c>
      <c r="J28" s="52" t="n">
        <f aca="false">IF(Horo8287[[#This Row],[Début]]=0,"",(Horo8287[[#This Row],[Durée (60)2]]-INT(Horo8287[[#This Row],[Durée (60)2]]))*24)</f>
        <v>0.75</v>
      </c>
      <c r="K28" s="62" t="n">
        <f aca="false">SUMIF(Horo8287[Jour],C28,Horo8287[Durée])</f>
        <v>8</v>
      </c>
      <c r="L28" s="54" t="n">
        <f aca="false">IFERROR(SUMIF(Horo8287[[#This Row],[Jour]],Horo8287[[#This Row],[Jour]],Horo8287[[#This Row],[GPF]]) / Horo8287[[#This Row],[hrs]],"")</f>
        <v>0</v>
      </c>
      <c r="M28" s="56" t="str">
        <f aca="false">IF("GPF"=Horo8287[[#This Row],[Tâche]],Horo8287[[#This Row],[Durée]],"")</f>
        <v/>
      </c>
      <c r="N28" s="56" t="str">
        <f aca="false">IF("RI"=Horo8287[[#This Row],[Tâche]],Horo8287[[#This Row],[Durée]],"")</f>
        <v/>
      </c>
      <c r="O28" s="56" t="str">
        <f aca="false">IF("GB"=Horo8287[[#This Row],[Tâche]],Horo8287[[#This Row],[Durée]],"")</f>
        <v/>
      </c>
      <c r="P28" s="56" t="str">
        <f aca="false">IF("RD"=Horo8287[[#This Row],[Tâche]],Horo8287[[#This Row],[Durée]],"")</f>
        <v/>
      </c>
      <c r="Q28" s="56" t="n">
        <f aca="false">IF("FG"=Horo8287[[#This Row],[Tâche]],Horo8287[[#This Row],[Durée]],"")</f>
        <v>0.75</v>
      </c>
      <c r="R28" s="56" t="str">
        <f aca="false">IF("CONGÉ"=Horo8287[[#This Row],[Tâche]],Horo8287[[#This Row],[Durée]],"")</f>
        <v/>
      </c>
      <c r="S28" s="57" t="str">
        <f aca="false">IF("PS"=Horo8287[[#This Row],[Tâche]],Horo8287[[#This Row],[Durée]],"")</f>
        <v/>
      </c>
      <c r="T28" s="56" t="str">
        <f aca="false">IF("TD"=Horo8287[[#This Row],[Tâche]],Horo8287[[#This Row],[Durée]],"")</f>
        <v/>
      </c>
      <c r="U28" s="55" t="str">
        <f aca="false">IF("N/C"=Horo8287[[#This Row],[Tâche]],Horo8287[[#This Row],[Durée]],"")</f>
        <v/>
      </c>
      <c r="V28" s="58"/>
      <c r="W28" s="59" t="n">
        <f aca="false">IF(Horo8287[[#This Row],[O]]="o",Horo8287[[#This Row],[Durée]],".")</f>
        <v>0.75</v>
      </c>
      <c r="X28" s="60" t="n">
        <f aca="false">IF(Horo8287[[#This Row],[Début]]=0,"",Horo8287[[#This Row],[Fin]]-Horo8287[[#This Row],[Début]])</f>
        <v>0.03125</v>
      </c>
    </row>
    <row r="29" customFormat="false" ht="15" hidden="false" customHeight="false" outlineLevel="0" collapsed="false">
      <c r="A29" s="45" t="s">
        <v>31</v>
      </c>
      <c r="B29" s="111" t="n">
        <f aca="false">IF(Horo8287[[#This Row],[Jour]]="Lundi",$C$1+1, IF(Horo8287[[#This Row],[Jour]]="Mardi",$C$1+2, IF(Horo8287[[#This Row],[Jour]]="Mercredi",$C$1+3, IF(Horo8287[[#This Row],[Jour]]="Jeudi",$C$1+4, IF(Horo8287[[#This Row],[Jour]]="Vendredi",$C$1+5, IF(Horo8287[[#This Row],[Jour]]="Samedi",$C$1+6, IF(Horo8287[[#This Row],[Jour]]="Dimanche",$C$1, )))))))</f>
        <v>44343</v>
      </c>
      <c r="C29" s="47" t="s">
        <v>2</v>
      </c>
      <c r="D29" s="48" t="n">
        <v>0.625</v>
      </c>
      <c r="E29" s="48" t="n">
        <v>0.708333333333333</v>
      </c>
      <c r="F29" s="49" t="s">
        <v>60</v>
      </c>
      <c r="G29" s="49" t="s">
        <v>22</v>
      </c>
      <c r="H29" s="50" t="s">
        <v>48</v>
      </c>
      <c r="I29" s="61" t="s">
        <v>260</v>
      </c>
      <c r="J29" s="52" t="n">
        <f aca="false">IF(Horo8287[[#This Row],[Début]]=0,"",(Horo8287[[#This Row],[Durée (60)2]]-INT(Horo8287[[#This Row],[Durée (60)2]]))*24)</f>
        <v>2</v>
      </c>
      <c r="K29" s="62" t="n">
        <f aca="false">SUMIF(Horo8287[Jour],C29,Horo8287[Durée])</f>
        <v>8</v>
      </c>
      <c r="L29" s="54" t="n">
        <f aca="false">IFERROR(SUMIF(Horo8287[[#This Row],[Jour]],Horo8287[[#This Row],[Jour]],Horo8287[[#This Row],[GPF]]) / Horo8287[[#This Row],[hrs]],"")</f>
        <v>0</v>
      </c>
      <c r="M29" s="56" t="str">
        <f aca="false">IF("GPF"=Horo8287[[#This Row],[Tâche]],Horo8287[[#This Row],[Durée]],"")</f>
        <v/>
      </c>
      <c r="N29" s="56" t="str">
        <f aca="false">IF("RI"=Horo8287[[#This Row],[Tâche]],Horo8287[[#This Row],[Durée]],"")</f>
        <v/>
      </c>
      <c r="O29" s="56" t="str">
        <f aca="false">IF("GB"=Horo8287[[#This Row],[Tâche]],Horo8287[[#This Row],[Durée]],"")</f>
        <v/>
      </c>
      <c r="P29" s="56" t="n">
        <f aca="false">IF("RD"=Horo8287[[#This Row],[Tâche]],Horo8287[[#This Row],[Durée]],"")</f>
        <v>2</v>
      </c>
      <c r="Q29" s="56" t="str">
        <f aca="false">IF("FG"=Horo8287[[#This Row],[Tâche]],Horo8287[[#This Row],[Durée]],"")</f>
        <v/>
      </c>
      <c r="R29" s="56" t="str">
        <f aca="false">IF("CONGÉ"=Horo8287[[#This Row],[Tâche]],Horo8287[[#This Row],[Durée]],"")</f>
        <v/>
      </c>
      <c r="S29" s="57" t="str">
        <f aca="false">IF("PS"=Horo8287[[#This Row],[Tâche]],Horo8287[[#This Row],[Durée]],"")</f>
        <v/>
      </c>
      <c r="T29" s="56" t="str">
        <f aca="false">IF("TD"=Horo8287[[#This Row],[Tâche]],Horo8287[[#This Row],[Durée]],"")</f>
        <v/>
      </c>
      <c r="U29" s="55" t="str">
        <f aca="false">IF("N/C"=Horo8287[[#This Row],[Tâche]],Horo8287[[#This Row],[Durée]],"")</f>
        <v/>
      </c>
      <c r="V29" s="58"/>
      <c r="W29" s="59" t="n">
        <f aca="false">IF(Horo8287[[#This Row],[O]]="o",Horo8287[[#This Row],[Durée]],".")</f>
        <v>2</v>
      </c>
      <c r="X29" s="60" t="n">
        <f aca="false">IF(Horo8287[[#This Row],[Début]]=0,"",Horo8287[[#This Row],[Fin]]-Horo8287[[#This Row],[Début]])</f>
        <v>0.0833333333333334</v>
      </c>
    </row>
    <row r="30" customFormat="false" ht="15" hidden="false" customHeight="false" outlineLevel="0" collapsed="false">
      <c r="A30" s="45" t="s">
        <v>33</v>
      </c>
      <c r="B30" s="111" t="n">
        <f aca="false">IF(Horo8287[[#This Row],[Jour]]="Lundi",$C$1+1, IF(Horo8287[[#This Row],[Jour]]="Mardi",$C$1+2, IF(Horo8287[[#This Row],[Jour]]="Mercredi",$C$1+3, IF(Horo8287[[#This Row],[Jour]]="Jeudi",$C$1+4, IF(Horo8287[[#This Row],[Jour]]="Vendredi",$C$1+5, IF(Horo8287[[#This Row],[Jour]]="Samedi",$C$1+6, IF(Horo8287[[#This Row],[Jour]]="Dimanche",$C$1, )))))))</f>
        <v>44344</v>
      </c>
      <c r="C30" s="47" t="s">
        <v>3</v>
      </c>
      <c r="D30" s="48" t="n">
        <v>0.333333333333333</v>
      </c>
      <c r="E30" s="48" t="n">
        <v>0.333333333333333</v>
      </c>
      <c r="F30" s="49" t="s">
        <v>32</v>
      </c>
      <c r="G30" s="49" t="s">
        <v>27</v>
      </c>
      <c r="H30" s="50" t="s">
        <v>201</v>
      </c>
      <c r="I30" s="61" t="s">
        <v>274</v>
      </c>
      <c r="J30" s="52" t="n">
        <f aca="false">IF(Horo8287[[#This Row],[Début]]=0,"",(Horo8287[[#This Row],[Durée (60)2]]-INT(Horo8287[[#This Row],[Durée (60)2]]))*24)</f>
        <v>0</v>
      </c>
      <c r="K30" s="62" t="n">
        <f aca="false">SUMIF(Horo8287[Jour],C30,Horo8287[Durée])</f>
        <v>8</v>
      </c>
      <c r="L30" s="54" t="n">
        <f aca="false">IFERROR(SUMIF(Horo8287[[#This Row],[Jour]],Horo8287[[#This Row],[Jour]],Horo8287[[#This Row],[GPF]]) / Horo8287[[#This Row],[hrs]],"")</f>
        <v>0</v>
      </c>
      <c r="M30" s="56" t="str">
        <f aca="false">IF("GPF"=Horo8287[[#This Row],[Tâche]],Horo8287[[#This Row],[Durée]],"")</f>
        <v/>
      </c>
      <c r="N30" s="56" t="str">
        <f aca="false">IF("RI"=Horo8287[[#This Row],[Tâche]],Horo8287[[#This Row],[Durée]],"")</f>
        <v/>
      </c>
      <c r="O30" s="56" t="str">
        <f aca="false">IF("GB"=Horo8287[[#This Row],[Tâche]],Horo8287[[#This Row],[Durée]],"")</f>
        <v/>
      </c>
      <c r="P30" s="56" t="str">
        <f aca="false">IF("RD"=Horo8287[[#This Row],[Tâche]],Horo8287[[#This Row],[Durée]],"")</f>
        <v/>
      </c>
      <c r="Q30" s="56" t="str">
        <f aca="false">IF("FG"=Horo8287[[#This Row],[Tâche]],Horo8287[[#This Row],[Durée]],"")</f>
        <v/>
      </c>
      <c r="R30" s="56" t="str">
        <f aca="false">IF("CONGÉ"=Horo8287[[#This Row],[Tâche]],Horo8287[[#This Row],[Durée]],"")</f>
        <v/>
      </c>
      <c r="S30" s="57" t="str">
        <f aca="false">IF("PS"=Horo8287[[#This Row],[Tâche]],Horo8287[[#This Row],[Durée]],"")</f>
        <v/>
      </c>
      <c r="T30" s="56" t="str">
        <f aca="false">IF("TD"=Horo8287[[#This Row],[Tâche]],Horo8287[[#This Row],[Durée]],"")</f>
        <v/>
      </c>
      <c r="U30" s="55" t="n">
        <f aca="false">IF("N/C"=Horo8287[[#This Row],[Tâche]],Horo8287[[#This Row],[Durée]],"")</f>
        <v>0</v>
      </c>
      <c r="V30" s="58"/>
      <c r="W30" s="59" t="str">
        <f aca="false">IF(Horo8287[[#This Row],[O]]="o",Horo8287[[#This Row],[Durée]],".")</f>
        <v>.</v>
      </c>
      <c r="X30" s="60" t="n">
        <f aca="false">IF(Horo8287[[#This Row],[Début]]=0,"",Horo8287[[#This Row],[Fin]]-Horo8287[[#This Row],[Début]])</f>
        <v>0</v>
      </c>
    </row>
    <row r="31" customFormat="false" ht="15" hidden="false" customHeight="false" outlineLevel="0" collapsed="false">
      <c r="A31" s="45" t="s">
        <v>31</v>
      </c>
      <c r="B31" s="111" t="n">
        <f aca="false">IF(Horo8287[[#This Row],[Jour]]="Lundi",$C$1+1, IF(Horo8287[[#This Row],[Jour]]="Mardi",$C$1+2, IF(Horo8287[[#This Row],[Jour]]="Mercredi",$C$1+3, IF(Horo8287[[#This Row],[Jour]]="Jeudi",$C$1+4, IF(Horo8287[[#This Row],[Jour]]="Vendredi",$C$1+5, IF(Horo8287[[#This Row],[Jour]]="Samedi",$C$1+6, IF(Horo8287[[#This Row],[Jour]]="Dimanche",$C$1, )))))))</f>
        <v>44344</v>
      </c>
      <c r="C31" s="47" t="s">
        <v>3</v>
      </c>
      <c r="D31" s="48" t="n">
        <v>0.354166666666667</v>
      </c>
      <c r="E31" s="48" t="n">
        <v>0.416666666666667</v>
      </c>
      <c r="F31" s="49" t="s">
        <v>59</v>
      </c>
      <c r="G31" s="49" t="s">
        <v>22</v>
      </c>
      <c r="H31" s="50" t="s">
        <v>105</v>
      </c>
      <c r="I31" s="61" t="s">
        <v>275</v>
      </c>
      <c r="J31" s="52" t="n">
        <f aca="false">IF(Horo8287[[#This Row],[Début]]=0,"",(Horo8287[[#This Row],[Durée (60)2]]-INT(Horo8287[[#This Row],[Durée (60)2]]))*24)</f>
        <v>1.5</v>
      </c>
      <c r="K31" s="62" t="n">
        <f aca="false">SUMIF(Horo8287[Jour],C31,Horo8287[Durée])</f>
        <v>8</v>
      </c>
      <c r="L31" s="54" t="n">
        <f aca="false">IFERROR(SUMIF(Horo8287[[#This Row],[Jour]],Horo8287[[#This Row],[Jour]],Horo8287[[#This Row],[GPF]]) / Horo8287[[#This Row],[hrs]],"")</f>
        <v>0</v>
      </c>
      <c r="M31" s="56" t="str">
        <f aca="false">IF("GPF"=Horo8287[[#This Row],[Tâche]],Horo8287[[#This Row],[Durée]],"")</f>
        <v/>
      </c>
      <c r="N31" s="56" t="str">
        <f aca="false">IF("RI"=Horo8287[[#This Row],[Tâche]],Horo8287[[#This Row],[Durée]],"")</f>
        <v/>
      </c>
      <c r="O31" s="56" t="str">
        <f aca="false">IF("GB"=Horo8287[[#This Row],[Tâche]],Horo8287[[#This Row],[Durée]],"")</f>
        <v/>
      </c>
      <c r="P31" s="56" t="n">
        <f aca="false">IF("RD"=Horo8287[[#This Row],[Tâche]],Horo8287[[#This Row],[Durée]],"")</f>
        <v>1.5</v>
      </c>
      <c r="Q31" s="56" t="str">
        <f aca="false">IF("FG"=Horo8287[[#This Row],[Tâche]],Horo8287[[#This Row],[Durée]],"")</f>
        <v/>
      </c>
      <c r="R31" s="56" t="str">
        <f aca="false">IF("CONGÉ"=Horo8287[[#This Row],[Tâche]],Horo8287[[#This Row],[Durée]],"")</f>
        <v/>
      </c>
      <c r="S31" s="56" t="str">
        <f aca="false">IF("PS"=Horo8287[[#This Row],[Tâche]],Horo8287[[#This Row],[Durée]],"")</f>
        <v/>
      </c>
      <c r="T31" s="56" t="str">
        <f aca="false">IF("TD"=Horo8287[[#This Row],[Tâche]],Horo8287[[#This Row],[Durée]],"")</f>
        <v/>
      </c>
      <c r="U31" s="56" t="str">
        <f aca="false">IF("N/C"=Horo8287[[#This Row],[Tâche]],Horo8287[[#This Row],[Durée]],"")</f>
        <v/>
      </c>
      <c r="V31" s="58"/>
      <c r="W31" s="59" t="n">
        <f aca="false">IF(Horo8287[[#This Row],[O]]="o",Horo8287[[#This Row],[Durée]],".")</f>
        <v>1.5</v>
      </c>
      <c r="X31" s="64" t="n">
        <f aca="false">IF(Horo8287[[#This Row],[Début]]=0,"",Horo8287[[#This Row],[Fin]]-Horo8287[[#This Row],[Début]])</f>
        <v>0.0625</v>
      </c>
    </row>
    <row r="32" customFormat="false" ht="15" hidden="false" customHeight="false" outlineLevel="0" collapsed="false">
      <c r="A32" s="45" t="s">
        <v>31</v>
      </c>
      <c r="B32" s="111" t="n">
        <f aca="false">IF(Horo8287[[#This Row],[Jour]]="Lundi",$C$1+1, IF(Horo8287[[#This Row],[Jour]]="Mardi",$C$1+2, IF(Horo8287[[#This Row],[Jour]]="Mercredi",$C$1+3, IF(Horo8287[[#This Row],[Jour]]="Jeudi",$C$1+4, IF(Horo8287[[#This Row],[Jour]]="Vendredi",$C$1+5, IF(Horo8287[[#This Row],[Jour]]="Samedi",$C$1+6, IF(Horo8287[[#This Row],[Jour]]="Dimanche",$C$1, )))))))</f>
        <v>44344</v>
      </c>
      <c r="C32" s="47" t="s">
        <v>3</v>
      </c>
      <c r="D32" s="48" t="n">
        <v>0.416666666666667</v>
      </c>
      <c r="E32" s="48" t="n">
        <v>0.4375</v>
      </c>
      <c r="F32" s="49" t="s">
        <v>59</v>
      </c>
      <c r="G32" s="49" t="s">
        <v>19</v>
      </c>
      <c r="H32" s="50" t="s">
        <v>105</v>
      </c>
      <c r="I32" s="61" t="s">
        <v>276</v>
      </c>
      <c r="J32" s="52" t="n">
        <f aca="false">IF(Horo8287[[#This Row],[Début]]=0,"",(Horo8287[[#This Row],[Durée (60)2]]-INT(Horo8287[[#This Row],[Durée (60)2]]))*24)</f>
        <v>0.5</v>
      </c>
      <c r="K32" s="62" t="n">
        <f aca="false">SUMIF(Horo8287[Jour],C32,Horo8287[Durée])</f>
        <v>8</v>
      </c>
      <c r="L32" s="54" t="n">
        <f aca="false">IFERROR(SUMIF(Horo8287[[#This Row],[Jour]],Horo8287[[#This Row],[Jour]],Horo8287[[#This Row],[GPF]]) / Horo8287[[#This Row],[hrs]],"")</f>
        <v>0.0624999999999999</v>
      </c>
      <c r="M32" s="56" t="n">
        <f aca="false">IF("GPF"=Horo8287[[#This Row],[Tâche]],Horo8287[[#This Row],[Durée]],"")</f>
        <v>0.5</v>
      </c>
      <c r="N32" s="56" t="str">
        <f aca="false">IF("RI"=Horo8287[[#This Row],[Tâche]],Horo8287[[#This Row],[Durée]],"")</f>
        <v/>
      </c>
      <c r="O32" s="56" t="str">
        <f aca="false">IF("GB"=Horo8287[[#This Row],[Tâche]],Horo8287[[#This Row],[Durée]],"")</f>
        <v/>
      </c>
      <c r="P32" s="56" t="str">
        <f aca="false">IF("RD"=Horo8287[[#This Row],[Tâche]],Horo8287[[#This Row],[Durée]],"")</f>
        <v/>
      </c>
      <c r="Q32" s="56" t="str">
        <f aca="false">IF("FG"=Horo8287[[#This Row],[Tâche]],Horo8287[[#This Row],[Durée]],"")</f>
        <v/>
      </c>
      <c r="R32" s="56" t="str">
        <f aca="false">IF("CONGÉ"=Horo8287[[#This Row],[Tâche]],Horo8287[[#This Row],[Durée]],"")</f>
        <v/>
      </c>
      <c r="S32" s="57" t="str">
        <f aca="false">IF("PS"=Horo8287[[#This Row],[Tâche]],Horo8287[[#This Row],[Durée]],"")</f>
        <v/>
      </c>
      <c r="T32" s="56" t="str">
        <f aca="false">IF("TD"=Horo8287[[#This Row],[Tâche]],Horo8287[[#This Row],[Durée]],"")</f>
        <v/>
      </c>
      <c r="U32" s="55" t="str">
        <f aca="false">IF("N/C"=Horo8287[[#This Row],[Tâche]],Horo8287[[#This Row],[Durée]],"")</f>
        <v/>
      </c>
      <c r="V32" s="58"/>
      <c r="W32" s="59" t="n">
        <f aca="false">IF(Horo8287[[#This Row],[O]]="o",Horo8287[[#This Row],[Durée]],".")</f>
        <v>0.5</v>
      </c>
      <c r="X32" s="60" t="n">
        <f aca="false">IF(Horo8287[[#This Row],[Début]]=0,"",Horo8287[[#This Row],[Fin]]-Horo8287[[#This Row],[Début]])</f>
        <v>0.0208333333333333</v>
      </c>
    </row>
    <row r="33" customFormat="false" ht="15" hidden="false" customHeight="false" outlineLevel="0" collapsed="false">
      <c r="A33" s="45" t="s">
        <v>31</v>
      </c>
      <c r="B33" s="111" t="n">
        <f aca="false">IF(Horo8287[[#This Row],[Jour]]="Lundi",$C$1+1, IF(Horo8287[[#This Row],[Jour]]="Mardi",$C$1+2, IF(Horo8287[[#This Row],[Jour]]="Mercredi",$C$1+3, IF(Horo8287[[#This Row],[Jour]]="Jeudi",$C$1+4, IF(Horo8287[[#This Row],[Jour]]="Vendredi",$C$1+5, IF(Horo8287[[#This Row],[Jour]]="Samedi",$C$1+6, IF(Horo8287[[#This Row],[Jour]]="Dimanche",$C$1, )))))))</f>
        <v>44344</v>
      </c>
      <c r="C33" s="47" t="s">
        <v>3</v>
      </c>
      <c r="D33" s="48" t="n">
        <v>0.4375</v>
      </c>
      <c r="E33" s="48" t="n">
        <v>0.458333333333333</v>
      </c>
      <c r="F33" s="49" t="s">
        <v>32</v>
      </c>
      <c r="G33" s="49" t="s">
        <v>21</v>
      </c>
      <c r="H33" s="50" t="s">
        <v>201</v>
      </c>
      <c r="I33" s="61"/>
      <c r="J33" s="52" t="n">
        <f aca="false">IF(Horo8287[[#This Row],[Début]]=0,"",(Horo8287[[#This Row],[Durée (60)2]]-INT(Horo8287[[#This Row],[Durée (60)2]]))*24)</f>
        <v>0.5</v>
      </c>
      <c r="K33" s="62" t="n">
        <f aca="false">SUMIF(Horo8287[Jour],C33,Horo8287[Durée])</f>
        <v>8</v>
      </c>
      <c r="L33" s="54" t="n">
        <f aca="false">IFERROR(SUMIF(Horo8287[[#This Row],[Jour]],Horo8287[[#This Row],[Jour]],Horo8287[[#This Row],[GPF]]) / Horo8287[[#This Row],[hrs]],"")</f>
        <v>0</v>
      </c>
      <c r="M33" s="56" t="str">
        <f aca="false">IF("GPF"=Horo8287[[#This Row],[Tâche]],Horo8287[[#This Row],[Durée]],"")</f>
        <v/>
      </c>
      <c r="N33" s="56" t="str">
        <f aca="false">IF("RI"=Horo8287[[#This Row],[Tâche]],Horo8287[[#This Row],[Durée]],"")</f>
        <v/>
      </c>
      <c r="O33" s="56" t="n">
        <f aca="false">IF("GB"=Horo8287[[#This Row],[Tâche]],Horo8287[[#This Row],[Durée]],"")</f>
        <v>0.5</v>
      </c>
      <c r="P33" s="56" t="str">
        <f aca="false">IF("RD"=Horo8287[[#This Row],[Tâche]],Horo8287[[#This Row],[Durée]],"")</f>
        <v/>
      </c>
      <c r="Q33" s="56" t="str">
        <f aca="false">IF("FG"=Horo8287[[#This Row],[Tâche]],Horo8287[[#This Row],[Durée]],"")</f>
        <v/>
      </c>
      <c r="R33" s="56" t="str">
        <f aca="false">IF("CONGÉ"=Horo8287[[#This Row],[Tâche]],Horo8287[[#This Row],[Durée]],"")</f>
        <v/>
      </c>
      <c r="S33" s="57" t="str">
        <f aca="false">IF("PS"=Horo8287[[#This Row],[Tâche]],Horo8287[[#This Row],[Durée]],"")</f>
        <v/>
      </c>
      <c r="T33" s="56" t="str">
        <f aca="false">IF("TD"=Horo8287[[#This Row],[Tâche]],Horo8287[[#This Row],[Durée]],"")</f>
        <v/>
      </c>
      <c r="U33" s="55" t="str">
        <f aca="false">IF("N/C"=Horo8287[[#This Row],[Tâche]],Horo8287[[#This Row],[Durée]],"")</f>
        <v/>
      </c>
      <c r="V33" s="58"/>
      <c r="W33" s="59" t="n">
        <f aca="false">IF(Horo8287[[#This Row],[O]]="o",Horo8287[[#This Row],[Durée]],".")</f>
        <v>0.5</v>
      </c>
      <c r="X33" s="60" t="n">
        <f aca="false">IF(Horo8287[[#This Row],[Début]]=0,"",Horo8287[[#This Row],[Fin]]-Horo8287[[#This Row],[Début]])</f>
        <v>0.0208333333333333</v>
      </c>
    </row>
    <row r="34" customFormat="false" ht="15" hidden="false" customHeight="false" outlineLevel="0" collapsed="false">
      <c r="A34" s="45" t="s">
        <v>31</v>
      </c>
      <c r="B34" s="111" t="n">
        <f aca="false">IF(Horo8287[[#This Row],[Jour]]="Lundi",$C$1+1, IF(Horo8287[[#This Row],[Jour]]="Mardi",$C$1+2, IF(Horo8287[[#This Row],[Jour]]="Mercredi",$C$1+3, IF(Horo8287[[#This Row],[Jour]]="Jeudi",$C$1+4, IF(Horo8287[[#This Row],[Jour]]="Vendredi",$C$1+5, IF(Horo8287[[#This Row],[Jour]]="Samedi",$C$1+6, IF(Horo8287[[#This Row],[Jour]]="Dimanche",$C$1, )))))))</f>
        <v>44344</v>
      </c>
      <c r="C34" s="47" t="s">
        <v>3</v>
      </c>
      <c r="D34" s="48" t="n">
        <v>0.458333333333333</v>
      </c>
      <c r="E34" s="48" t="n">
        <v>0.5</v>
      </c>
      <c r="F34" s="49" t="s">
        <v>61</v>
      </c>
      <c r="G34" s="49" t="s">
        <v>22</v>
      </c>
      <c r="H34" s="50" t="s">
        <v>42</v>
      </c>
      <c r="I34" s="61" t="s">
        <v>277</v>
      </c>
      <c r="J34" s="52" t="n">
        <f aca="false">IF(Horo8287[[#This Row],[Début]]=0,"",(Horo8287[[#This Row],[Durée (60)2]]-INT(Horo8287[[#This Row],[Durée (60)2]]))*24)</f>
        <v>1</v>
      </c>
      <c r="K34" s="62" t="n">
        <f aca="false">SUMIF(Horo8287[Jour],C34,Horo8287[Durée])</f>
        <v>8</v>
      </c>
      <c r="L34" s="54" t="n">
        <f aca="false">IFERROR(SUMIF(Horo8287[[#This Row],[Jour]],Horo8287[[#This Row],[Jour]],Horo8287[[#This Row],[GPF]]) / Horo8287[[#This Row],[hrs]],"")</f>
        <v>0</v>
      </c>
      <c r="M34" s="56" t="str">
        <f aca="false">IF("GPF"=Horo8287[[#This Row],[Tâche]],Horo8287[[#This Row],[Durée]],"")</f>
        <v/>
      </c>
      <c r="N34" s="56" t="str">
        <f aca="false">IF("RI"=Horo8287[[#This Row],[Tâche]],Horo8287[[#This Row],[Durée]],"")</f>
        <v/>
      </c>
      <c r="O34" s="56" t="str">
        <f aca="false">IF("GB"=Horo8287[[#This Row],[Tâche]],Horo8287[[#This Row],[Durée]],"")</f>
        <v/>
      </c>
      <c r="P34" s="56" t="n">
        <f aca="false">IF("RD"=Horo8287[[#This Row],[Tâche]],Horo8287[[#This Row],[Durée]],"")</f>
        <v>1</v>
      </c>
      <c r="Q34" s="56" t="str">
        <f aca="false">IF("FG"=Horo8287[[#This Row],[Tâche]],Horo8287[[#This Row],[Durée]],"")</f>
        <v/>
      </c>
      <c r="R34" s="56" t="str">
        <f aca="false">IF("CONGÉ"=Horo8287[[#This Row],[Tâche]],Horo8287[[#This Row],[Durée]],"")</f>
        <v/>
      </c>
      <c r="S34" s="57" t="str">
        <f aca="false">IF("PS"=Horo8287[[#This Row],[Tâche]],Horo8287[[#This Row],[Durée]],"")</f>
        <v/>
      </c>
      <c r="T34" s="56" t="str">
        <f aca="false">IF("TD"=Horo8287[[#This Row],[Tâche]],Horo8287[[#This Row],[Durée]],"")</f>
        <v/>
      </c>
      <c r="U34" s="55" t="str">
        <f aca="false">IF("N/C"=Horo8287[[#This Row],[Tâche]],Horo8287[[#This Row],[Durée]],"")</f>
        <v/>
      </c>
      <c r="V34" s="58"/>
      <c r="W34" s="59" t="n">
        <f aca="false">IF(Horo8287[[#This Row],[O]]="o",Horo8287[[#This Row],[Durée]],".")</f>
        <v>1</v>
      </c>
      <c r="X34" s="60" t="n">
        <f aca="false">IF(Horo8287[[#This Row],[Début]]=0,"",Horo8287[[#This Row],[Fin]]-Horo8287[[#This Row],[Début]])</f>
        <v>0.0416666666666667</v>
      </c>
    </row>
    <row r="35" customFormat="false" ht="15" hidden="false" customHeight="false" outlineLevel="0" collapsed="false">
      <c r="A35" s="45" t="s">
        <v>31</v>
      </c>
      <c r="B35" s="46" t="n">
        <f aca="false">IF(Horo8287[[#This Row],[Jour]]="Lundi",$C$1+1, IF(Horo8287[[#This Row],[Jour]]="Mardi",$C$1+2, IF(Horo8287[[#This Row],[Jour]]="Mercredi",$C$1+3, IF(Horo8287[[#This Row],[Jour]]="Jeudi",$C$1+4, IF(Horo8287[[#This Row],[Jour]]="Vendredi",$C$1+5, IF(Horo8287[[#This Row],[Jour]]="Samedi",$C$1+6, IF(Horo8287[[#This Row],[Jour]]="Dimanche",$C$1, )))))))</f>
        <v>44344</v>
      </c>
      <c r="C35" s="47" t="s">
        <v>3</v>
      </c>
      <c r="D35" s="48" t="n">
        <v>0.583333333333333</v>
      </c>
      <c r="E35" s="48" t="n">
        <v>0.708333333333333</v>
      </c>
      <c r="F35" s="49" t="s">
        <v>61</v>
      </c>
      <c r="G35" s="49" t="s">
        <v>19</v>
      </c>
      <c r="H35" s="50" t="s">
        <v>42</v>
      </c>
      <c r="I35" s="61" t="s">
        <v>278</v>
      </c>
      <c r="J35" s="52" t="n">
        <f aca="false">IF(Horo8287[[#This Row],[Début]]=0,"",(Horo8287[[#This Row],[Durée (60)2]]-INT(Horo8287[[#This Row],[Durée (60)2]]))*24)</f>
        <v>3</v>
      </c>
      <c r="K35" s="62" t="n">
        <f aca="false">SUMIF(Horo8287[Jour],C35,Horo8287[Durée])</f>
        <v>8</v>
      </c>
      <c r="L35" s="54" t="n">
        <f aca="false">IFERROR(SUMIF(Horo8287[[#This Row],[Jour]],Horo8287[[#This Row],[Jour]],Horo8287[[#This Row],[GPF]]) / Horo8287[[#This Row],[hrs]],"")</f>
        <v>0.375</v>
      </c>
      <c r="M35" s="56" t="n">
        <f aca="false">IF("GPF"=Horo8287[[#This Row],[Tâche]],Horo8287[[#This Row],[Durée]],"")</f>
        <v>3</v>
      </c>
      <c r="N35" s="56" t="str">
        <f aca="false">IF("RI"=Horo8287[[#This Row],[Tâche]],Horo8287[[#This Row],[Durée]],"")</f>
        <v/>
      </c>
      <c r="O35" s="56" t="str">
        <f aca="false">IF("GB"=Horo8287[[#This Row],[Tâche]],Horo8287[[#This Row],[Durée]],"")</f>
        <v/>
      </c>
      <c r="P35" s="56" t="str">
        <f aca="false">IF("RD"=Horo8287[[#This Row],[Tâche]],Horo8287[[#This Row],[Durée]],"")</f>
        <v/>
      </c>
      <c r="Q35" s="56" t="str">
        <f aca="false">IF("FG"=Horo8287[[#This Row],[Tâche]],Horo8287[[#This Row],[Durée]],"")</f>
        <v/>
      </c>
      <c r="R35" s="56" t="str">
        <f aca="false">IF("CONGÉ"=Horo8287[[#This Row],[Tâche]],Horo8287[[#This Row],[Durée]],"")</f>
        <v/>
      </c>
      <c r="S35" s="57" t="str">
        <f aca="false">IF("PS"=Horo8287[[#This Row],[Tâche]],Horo8287[[#This Row],[Durée]],"")</f>
        <v/>
      </c>
      <c r="T35" s="56" t="str">
        <f aca="false">IF("TD"=Horo8287[[#This Row],[Tâche]],Horo8287[[#This Row],[Durée]],"")</f>
        <v/>
      </c>
      <c r="U35" s="55" t="str">
        <f aca="false">IF("N/C"=Horo8287[[#This Row],[Tâche]],Horo8287[[#This Row],[Durée]],"")</f>
        <v/>
      </c>
      <c r="V35" s="58"/>
      <c r="W35" s="59" t="n">
        <f aca="false">IF(Horo8287[[#This Row],[O]]="o",Horo8287[[#This Row],[Durée]],".")</f>
        <v>3</v>
      </c>
      <c r="X35" s="60" t="n">
        <f aca="false">IF(Horo8287[[#This Row],[Début]]=0,"",Horo8287[[#This Row],[Fin]]-Horo8287[[#This Row],[Début]])</f>
        <v>0.125</v>
      </c>
    </row>
    <row r="36" customFormat="false" ht="15" hidden="false" customHeight="false" outlineLevel="0" collapsed="false">
      <c r="A36" s="45" t="s">
        <v>31</v>
      </c>
      <c r="B36" s="111" t="n">
        <f aca="false">IF(Horo8287[[#This Row],[Jour]]="Lundi",$C$1+1, IF(Horo8287[[#This Row],[Jour]]="Mardi",$C$1+2, IF(Horo8287[[#This Row],[Jour]]="Mercredi",$C$1+3, IF(Horo8287[[#This Row],[Jour]]="Jeudi",$C$1+4, IF(Horo8287[[#This Row],[Jour]]="Vendredi",$C$1+5, IF(Horo8287[[#This Row],[Jour]]="Samedi",$C$1+6, IF(Horo8287[[#This Row],[Jour]]="Dimanche",$C$1, )))))))</f>
        <v>44344</v>
      </c>
      <c r="C36" s="47" t="s">
        <v>3</v>
      </c>
      <c r="D36" s="48" t="n">
        <v>0.708333333333333</v>
      </c>
      <c r="E36" s="48" t="n">
        <v>0.770833333333333</v>
      </c>
      <c r="F36" s="49" t="s">
        <v>61</v>
      </c>
      <c r="G36" s="49" t="s">
        <v>23</v>
      </c>
      <c r="H36" s="50" t="s">
        <v>42</v>
      </c>
      <c r="I36" s="61" t="s">
        <v>278</v>
      </c>
      <c r="J36" s="52" t="n">
        <f aca="false">IF(Horo8287[[#This Row],[Début]]=0,"",(Horo8287[[#This Row],[Durée (60)2]]-INT(Horo8287[[#This Row],[Durée (60)2]]))*24)</f>
        <v>1.5</v>
      </c>
      <c r="K36" s="62" t="n">
        <f aca="false">SUMIF(Horo8287[Jour],C36,Horo8287[Durée])</f>
        <v>8</v>
      </c>
      <c r="L36" s="54" t="n">
        <f aca="false">IFERROR(SUMIF(Horo8287[[#This Row],[Jour]],Horo8287[[#This Row],[Jour]],Horo8287[[#This Row],[GPF]]) / Horo8287[[#This Row],[hrs]],"")</f>
        <v>0</v>
      </c>
      <c r="M36" s="56" t="str">
        <f aca="false">IF("GPF"=Horo8287[[#This Row],[Tâche]],Horo8287[[#This Row],[Durée]],"")</f>
        <v/>
      </c>
      <c r="N36" s="56" t="str">
        <f aca="false">IF("RI"=Horo8287[[#This Row],[Tâche]],Horo8287[[#This Row],[Durée]],"")</f>
        <v/>
      </c>
      <c r="O36" s="56" t="str">
        <f aca="false">IF("GB"=Horo8287[[#This Row],[Tâche]],Horo8287[[#This Row],[Durée]],"")</f>
        <v/>
      </c>
      <c r="P36" s="56" t="str">
        <f aca="false">IF("RD"=Horo8287[[#This Row],[Tâche]],Horo8287[[#This Row],[Durée]],"")</f>
        <v/>
      </c>
      <c r="Q36" s="56" t="n">
        <f aca="false">IF("FG"=Horo8287[[#This Row],[Tâche]],Horo8287[[#This Row],[Durée]],"")</f>
        <v>1.5</v>
      </c>
      <c r="R36" s="56" t="str">
        <f aca="false">IF("CONGÉ"=Horo8287[[#This Row],[Tâche]],Horo8287[[#This Row],[Durée]],"")</f>
        <v/>
      </c>
      <c r="S36" s="57" t="str">
        <f aca="false">IF("PS"=Horo8287[[#This Row],[Tâche]],Horo8287[[#This Row],[Durée]],"")</f>
        <v/>
      </c>
      <c r="T36" s="56" t="str">
        <f aca="false">IF("TD"=Horo8287[[#This Row],[Tâche]],Horo8287[[#This Row],[Durée]],"")</f>
        <v/>
      </c>
      <c r="U36" s="55" t="str">
        <f aca="false">IF("N/C"=Horo8287[[#This Row],[Tâche]],Horo8287[[#This Row],[Durée]],"")</f>
        <v/>
      </c>
      <c r="V36" s="58"/>
      <c r="W36" s="59" t="n">
        <f aca="false">IF(Horo8287[[#This Row],[O]]="o",Horo8287[[#This Row],[Durée]],".")</f>
        <v>1.5</v>
      </c>
      <c r="X36" s="60" t="n">
        <f aca="false">IF(Horo8287[[#This Row],[Début]]=0,"",Horo8287[[#This Row],[Fin]]-Horo8287[[#This Row],[Début]])</f>
        <v>0.0625</v>
      </c>
    </row>
    <row r="37" customFormat="false" ht="15" hidden="false" customHeight="false" outlineLevel="0" collapsed="false">
      <c r="A37" s="45" t="s">
        <v>31</v>
      </c>
      <c r="B37" s="111" t="n">
        <f aca="false">IF(Horo8287[[#This Row],[Jour]]="Lundi",$C$1+1, IF(Horo8287[[#This Row],[Jour]]="Mardi",$C$1+2, IF(Horo8287[[#This Row],[Jour]]="Mercredi",$C$1+3, IF(Horo8287[[#This Row],[Jour]]="Jeudi",$C$1+4, IF(Horo8287[[#This Row],[Jour]]="Vendredi",$C$1+5, IF(Horo8287[[#This Row],[Jour]]="Samedi",$C$1+6, IF(Horo8287[[#This Row],[Jour]]="Dimanche",$C$1, )))))))</f>
        <v>44345</v>
      </c>
      <c r="C37" s="47" t="s">
        <v>4</v>
      </c>
      <c r="D37" s="48" t="n">
        <v>0.333333333333333</v>
      </c>
      <c r="E37" s="48" t="n">
        <v>0.354166666666667</v>
      </c>
      <c r="F37" s="49" t="s">
        <v>32</v>
      </c>
      <c r="G37" s="49" t="s">
        <v>22</v>
      </c>
      <c r="H37" s="50" t="s">
        <v>201</v>
      </c>
      <c r="I37" s="61"/>
      <c r="J37" s="52" t="n">
        <f aca="false">IF(Horo8287[[#This Row],[Début]]=0,"",(Horo8287[[#This Row],[Durée (60)2]]-INT(Horo8287[[#This Row],[Durée (60)2]]))*24)</f>
        <v>0.500000000000001</v>
      </c>
      <c r="K37" s="62" t="n">
        <f aca="false">SUMIF(Horo8287[Jour],C37,Horo8287[Durée])</f>
        <v>8</v>
      </c>
      <c r="L37" s="54" t="n">
        <f aca="false">IFERROR(SUMIF(Horo8287[[#This Row],[Jour]],Horo8287[[#This Row],[Jour]],Horo8287[[#This Row],[GPF]]) / Horo8287[[#This Row],[hrs]],"")</f>
        <v>0</v>
      </c>
      <c r="M37" s="56" t="str">
        <f aca="false">IF("GPF"=Horo8287[[#This Row],[Tâche]],Horo8287[[#This Row],[Durée]],"")</f>
        <v/>
      </c>
      <c r="N37" s="56" t="str">
        <f aca="false">IF("RI"=Horo8287[[#This Row],[Tâche]],Horo8287[[#This Row],[Durée]],"")</f>
        <v/>
      </c>
      <c r="O37" s="56" t="str">
        <f aca="false">IF("GB"=Horo8287[[#This Row],[Tâche]],Horo8287[[#This Row],[Durée]],"")</f>
        <v/>
      </c>
      <c r="P37" s="56" t="n">
        <f aca="false">IF("RD"=Horo8287[[#This Row],[Tâche]],Horo8287[[#This Row],[Durée]],"")</f>
        <v>0.500000000000001</v>
      </c>
      <c r="Q37" s="56" t="str">
        <f aca="false">IF("FG"=Horo8287[[#This Row],[Tâche]],Horo8287[[#This Row],[Durée]],"")</f>
        <v/>
      </c>
      <c r="R37" s="56" t="str">
        <f aca="false">IF("CONGÉ"=Horo8287[[#This Row],[Tâche]],Horo8287[[#This Row],[Durée]],"")</f>
        <v/>
      </c>
      <c r="S37" s="57" t="str">
        <f aca="false">IF("PS"=Horo8287[[#This Row],[Tâche]],Horo8287[[#This Row],[Durée]],"")</f>
        <v/>
      </c>
      <c r="T37" s="56" t="str">
        <f aca="false">IF("TD"=Horo8287[[#This Row],[Tâche]],Horo8287[[#This Row],[Durée]],"")</f>
        <v/>
      </c>
      <c r="U37" s="55" t="str">
        <f aca="false">IF("N/C"=Horo8287[[#This Row],[Tâche]],Horo8287[[#This Row],[Durée]],"")</f>
        <v/>
      </c>
      <c r="V37" s="58"/>
      <c r="W37" s="59" t="n">
        <f aca="false">IF(Horo8287[[#This Row],[O]]="o",Horo8287[[#This Row],[Durée]],".")</f>
        <v>0.500000000000001</v>
      </c>
      <c r="X37" s="60" t="n">
        <f aca="false">IF(Horo8287[[#This Row],[Début]]=0,"",Horo8287[[#This Row],[Fin]]-Horo8287[[#This Row],[Début]])</f>
        <v>0.0208333333333334</v>
      </c>
    </row>
    <row r="38" customFormat="false" ht="15" hidden="false" customHeight="false" outlineLevel="0" collapsed="false">
      <c r="A38" s="45" t="s">
        <v>31</v>
      </c>
      <c r="B38" s="111" t="n">
        <f aca="false">IF(Horo8287[[#This Row],[Jour]]="Lundi",$C$1+1, IF(Horo8287[[#This Row],[Jour]]="Mardi",$C$1+2, IF(Horo8287[[#This Row],[Jour]]="Mercredi",$C$1+3, IF(Horo8287[[#This Row],[Jour]]="Jeudi",$C$1+4, IF(Horo8287[[#This Row],[Jour]]="Vendredi",$C$1+5, IF(Horo8287[[#This Row],[Jour]]="Samedi",$C$1+6, IF(Horo8287[[#This Row],[Jour]]="Dimanche",$C$1, )))))))</f>
        <v>44345</v>
      </c>
      <c r="C38" s="47" t="s">
        <v>4</v>
      </c>
      <c r="D38" s="48" t="n">
        <v>0.354166666666667</v>
      </c>
      <c r="E38" s="48" t="n">
        <v>0.375</v>
      </c>
      <c r="F38" s="49" t="s">
        <v>75</v>
      </c>
      <c r="G38" s="49" t="s">
        <v>19</v>
      </c>
      <c r="H38" s="50" t="s">
        <v>55</v>
      </c>
      <c r="I38" s="61"/>
      <c r="J38" s="52" t="n">
        <f aca="false">IF(Horo8287[[#This Row],[Début]]=0,"",(Horo8287[[#This Row],[Durée (60)2]]-INT(Horo8287[[#This Row],[Durée (60)2]]))*24)</f>
        <v>0.5</v>
      </c>
      <c r="K38" s="53" t="n">
        <f aca="false">SUMIF(Horo8287[Jour],C38,Horo8287[Durée])</f>
        <v>8</v>
      </c>
      <c r="L38" s="54" t="n">
        <f aca="false">IFERROR(SUMIF(Horo8287[[#This Row],[Jour]],Horo8287[[#This Row],[Jour]],Horo8287[[#This Row],[GPF]]) / Horo8287[[#This Row],[hrs]],"")</f>
        <v>0.0624999999999999</v>
      </c>
      <c r="M38" s="55" t="n">
        <f aca="false">IF("GPF"=Horo8287[[#This Row],[Tâche]],Horo8287[[#This Row],[Durée]],"")</f>
        <v>0.5</v>
      </c>
      <c r="N38" s="56" t="str">
        <f aca="false">IF("RI"=Horo8287[[#This Row],[Tâche]],Horo8287[[#This Row],[Durée]],"")</f>
        <v/>
      </c>
      <c r="O38" s="56" t="str">
        <f aca="false">IF("GB"=Horo8287[[#This Row],[Tâche]],Horo8287[[#This Row],[Durée]],"")</f>
        <v/>
      </c>
      <c r="P38" s="56" t="str">
        <f aca="false">IF("RD"=Horo8287[[#This Row],[Tâche]],Horo8287[[#This Row],[Durée]],"")</f>
        <v/>
      </c>
      <c r="Q38" s="56" t="str">
        <f aca="false">IF("FG"=Horo8287[[#This Row],[Tâche]],Horo8287[[#This Row],[Durée]],"")</f>
        <v/>
      </c>
      <c r="R38" s="56" t="str">
        <f aca="false">IF("CONGÉ"=Horo8287[[#This Row],[Tâche]],Horo8287[[#This Row],[Durée]],"")</f>
        <v/>
      </c>
      <c r="S38" s="57" t="str">
        <f aca="false">IF("PS"=Horo8287[[#This Row],[Tâche]],Horo8287[[#This Row],[Durée]],"")</f>
        <v/>
      </c>
      <c r="T38" s="56" t="str">
        <f aca="false">IF("TD"=Horo8287[[#This Row],[Tâche]],Horo8287[[#This Row],[Durée]],"")</f>
        <v/>
      </c>
      <c r="U38" s="55" t="str">
        <f aca="false">IF("N/C"=Horo8287[[#This Row],[Tâche]],Horo8287[[#This Row],[Durée]],"")</f>
        <v/>
      </c>
      <c r="V38" s="58"/>
      <c r="W38" s="59" t="n">
        <f aca="false">IF(Horo8287[[#This Row],[O]]="o",Horo8287[[#This Row],[Durée]],".")</f>
        <v>0.5</v>
      </c>
      <c r="X38" s="60" t="n">
        <f aca="false">IF(Horo8287[[#This Row],[Début]]=0,"",Horo8287[[#This Row],[Fin]]-Horo8287[[#This Row],[Début]])</f>
        <v>0.0208333333333333</v>
      </c>
    </row>
    <row r="39" customFormat="false" ht="15" hidden="false" customHeight="false" outlineLevel="0" collapsed="false">
      <c r="A39" s="45" t="s">
        <v>31</v>
      </c>
      <c r="B39" s="111" t="n">
        <f aca="false">IF(Horo8287[[#This Row],[Jour]]="Lundi",$C$1+1, IF(Horo8287[[#This Row],[Jour]]="Mardi",$C$1+2, IF(Horo8287[[#This Row],[Jour]]="Mercredi",$C$1+3, IF(Horo8287[[#This Row],[Jour]]="Jeudi",$C$1+4, IF(Horo8287[[#This Row],[Jour]]="Vendredi",$C$1+5, IF(Horo8287[[#This Row],[Jour]]="Samedi",$C$1+6, IF(Horo8287[[#This Row],[Jour]]="Dimanche",$C$1, )))))))</f>
        <v>44345</v>
      </c>
      <c r="C39" s="47" t="s">
        <v>4</v>
      </c>
      <c r="D39" s="48" t="n">
        <v>0.375</v>
      </c>
      <c r="E39" s="48" t="n">
        <v>0.395833333333333</v>
      </c>
      <c r="F39" s="49" t="s">
        <v>59</v>
      </c>
      <c r="G39" s="49" t="s">
        <v>19</v>
      </c>
      <c r="H39" s="50" t="s">
        <v>55</v>
      </c>
      <c r="I39" s="61"/>
      <c r="J39" s="52" t="n">
        <f aca="false">IF(Horo8287[[#This Row],[Début]]=0,"",(Horo8287[[#This Row],[Durée (60)2]]-INT(Horo8287[[#This Row],[Durée (60)2]]))*24)</f>
        <v>0.5</v>
      </c>
      <c r="K39" s="62" t="n">
        <f aca="false">SUMIF(Horo8287[Jour],C39,Horo8287[Durée])</f>
        <v>8</v>
      </c>
      <c r="L39" s="54" t="n">
        <f aca="false">IFERROR(SUMIF(Horo8287[[#This Row],[Jour]],Horo8287[[#This Row],[Jour]],Horo8287[[#This Row],[GPF]]) / Horo8287[[#This Row],[hrs]],"")</f>
        <v>0.0624999999999999</v>
      </c>
      <c r="M39" s="56" t="n">
        <f aca="false">IF("GPF"=Horo8287[[#This Row],[Tâche]],Horo8287[[#This Row],[Durée]],"")</f>
        <v>0.5</v>
      </c>
      <c r="N39" s="56" t="str">
        <f aca="false">IF("RI"=Horo8287[[#This Row],[Tâche]],Horo8287[[#This Row],[Durée]],"")</f>
        <v/>
      </c>
      <c r="O39" s="56" t="str">
        <f aca="false">IF("GB"=Horo8287[[#This Row],[Tâche]],Horo8287[[#This Row],[Durée]],"")</f>
        <v/>
      </c>
      <c r="P39" s="56" t="str">
        <f aca="false">IF("RD"=Horo8287[[#This Row],[Tâche]],Horo8287[[#This Row],[Durée]],"")</f>
        <v/>
      </c>
      <c r="Q39" s="56" t="str">
        <f aca="false">IF("FG"=Horo8287[[#This Row],[Tâche]],Horo8287[[#This Row],[Durée]],"")</f>
        <v/>
      </c>
      <c r="R39" s="56" t="str">
        <f aca="false">IF("CONGÉ"=Horo8287[[#This Row],[Tâche]],Horo8287[[#This Row],[Durée]],"")</f>
        <v/>
      </c>
      <c r="S39" s="57" t="str">
        <f aca="false">IF("PS"=Horo8287[[#This Row],[Tâche]],Horo8287[[#This Row],[Durée]],"")</f>
        <v/>
      </c>
      <c r="T39" s="56" t="str">
        <f aca="false">IF("TD"=Horo8287[[#This Row],[Tâche]],Horo8287[[#This Row],[Durée]],"")</f>
        <v/>
      </c>
      <c r="U39" s="55" t="str">
        <f aca="false">IF("N/C"=Horo8287[[#This Row],[Tâche]],Horo8287[[#This Row],[Durée]],"")</f>
        <v/>
      </c>
      <c r="V39" s="58"/>
      <c r="W39" s="59" t="n">
        <f aca="false">IF(Horo8287[[#This Row],[O]]="o",Horo8287[[#This Row],[Durée]],".")</f>
        <v>0.5</v>
      </c>
      <c r="X39" s="60" t="n">
        <f aca="false">IF(Horo8287[[#This Row],[Début]]=0,"",Horo8287[[#This Row],[Fin]]-Horo8287[[#This Row],[Début]])</f>
        <v>0.0208333333333333</v>
      </c>
    </row>
    <row r="40" customFormat="false" ht="15" hidden="false" customHeight="false" outlineLevel="0" collapsed="false">
      <c r="A40" s="45" t="s">
        <v>31</v>
      </c>
      <c r="B40" s="111" t="n">
        <f aca="false">IF(Horo8287[[#This Row],[Jour]]="Lundi",$C$1+1, IF(Horo8287[[#This Row],[Jour]]="Mardi",$C$1+2, IF(Horo8287[[#This Row],[Jour]]="Mercredi",$C$1+3, IF(Horo8287[[#This Row],[Jour]]="Jeudi",$C$1+4, IF(Horo8287[[#This Row],[Jour]]="Vendredi",$C$1+5, IF(Horo8287[[#This Row],[Jour]]="Samedi",$C$1+6, IF(Horo8287[[#This Row],[Jour]]="Dimanche",$C$1, )))))))</f>
        <v>44345</v>
      </c>
      <c r="C40" s="47" t="s">
        <v>4</v>
      </c>
      <c r="D40" s="48" t="n">
        <v>0.395833333333333</v>
      </c>
      <c r="E40" s="48" t="n">
        <v>0.416666666666667</v>
      </c>
      <c r="F40" s="49" t="s">
        <v>59</v>
      </c>
      <c r="G40" s="49" t="s">
        <v>19</v>
      </c>
      <c r="H40" s="50" t="s">
        <v>106</v>
      </c>
      <c r="I40" s="61" t="s">
        <v>279</v>
      </c>
      <c r="J40" s="52" t="n">
        <f aca="false">IF(Horo8287[[#This Row],[Début]]=0,"",(Horo8287[[#This Row],[Durée (60)2]]-INT(Horo8287[[#This Row],[Durée (60)2]]))*24)</f>
        <v>0.500000000000001</v>
      </c>
      <c r="K40" s="62" t="n">
        <f aca="false">SUMIF(Horo8287[Jour],C40,Horo8287[Durée])</f>
        <v>8</v>
      </c>
      <c r="L40" s="54" t="n">
        <f aca="false">IFERROR(SUMIF(Horo8287[[#This Row],[Jour]],Horo8287[[#This Row],[Jour]],Horo8287[[#This Row],[GPF]]) / Horo8287[[#This Row],[hrs]],"")</f>
        <v>0.0625000000000001</v>
      </c>
      <c r="M40" s="56" t="n">
        <f aca="false">IF("GPF"=Horo8287[[#This Row],[Tâche]],Horo8287[[#This Row],[Durée]],"")</f>
        <v>0.500000000000001</v>
      </c>
      <c r="N40" s="56" t="str">
        <f aca="false">IF("RI"=Horo8287[[#This Row],[Tâche]],Horo8287[[#This Row],[Durée]],"")</f>
        <v/>
      </c>
      <c r="O40" s="56" t="str">
        <f aca="false">IF("GB"=Horo8287[[#This Row],[Tâche]],Horo8287[[#This Row],[Durée]],"")</f>
        <v/>
      </c>
      <c r="P40" s="56" t="str">
        <f aca="false">IF("RD"=Horo8287[[#This Row],[Tâche]],Horo8287[[#This Row],[Durée]],"")</f>
        <v/>
      </c>
      <c r="Q40" s="56" t="str">
        <f aca="false">IF("FG"=Horo8287[[#This Row],[Tâche]],Horo8287[[#This Row],[Durée]],"")</f>
        <v/>
      </c>
      <c r="R40" s="56" t="str">
        <f aca="false">IF("CONGÉ"=Horo8287[[#This Row],[Tâche]],Horo8287[[#This Row],[Durée]],"")</f>
        <v/>
      </c>
      <c r="S40" s="57" t="str">
        <f aca="false">IF("PS"=Horo8287[[#This Row],[Tâche]],Horo8287[[#This Row],[Durée]],"")</f>
        <v/>
      </c>
      <c r="T40" s="56" t="str">
        <f aca="false">IF("TD"=Horo8287[[#This Row],[Tâche]],Horo8287[[#This Row],[Durée]],"")</f>
        <v/>
      </c>
      <c r="U40" s="55" t="str">
        <f aca="false">IF("N/C"=Horo8287[[#This Row],[Tâche]],Horo8287[[#This Row],[Durée]],"")</f>
        <v/>
      </c>
      <c r="V40" s="58"/>
      <c r="W40" s="59" t="n">
        <f aca="false">IF(Horo8287[[#This Row],[O]]="o",Horo8287[[#This Row],[Durée]],".")</f>
        <v>0.500000000000001</v>
      </c>
      <c r="X40" s="60" t="n">
        <f aca="false">IF(Horo8287[[#This Row],[Début]]=0,"",Horo8287[[#This Row],[Fin]]-Horo8287[[#This Row],[Début]])</f>
        <v>0.0208333333333334</v>
      </c>
    </row>
    <row r="41" customFormat="false" ht="15" hidden="false" customHeight="false" outlineLevel="0" collapsed="false">
      <c r="A41" s="45" t="s">
        <v>31</v>
      </c>
      <c r="B41" s="111" t="n">
        <f aca="false">IF(Horo8287[[#This Row],[Jour]]="Lundi",$C$1+1, IF(Horo8287[[#This Row],[Jour]]="Mardi",$C$1+2, IF(Horo8287[[#This Row],[Jour]]="Mercredi",$C$1+3, IF(Horo8287[[#This Row],[Jour]]="Jeudi",$C$1+4, IF(Horo8287[[#This Row],[Jour]]="Vendredi",$C$1+5, IF(Horo8287[[#This Row],[Jour]]="Samedi",$C$1+6, IF(Horo8287[[#This Row],[Jour]]="Dimanche",$C$1, )))))))</f>
        <v>44345</v>
      </c>
      <c r="C41" s="47" t="s">
        <v>4</v>
      </c>
      <c r="D41" s="48" t="n">
        <v>0.416666666666667</v>
      </c>
      <c r="E41" s="48" t="n">
        <v>0.479166666666667</v>
      </c>
      <c r="F41" s="49" t="s">
        <v>60</v>
      </c>
      <c r="G41" s="49" t="s">
        <v>19</v>
      </c>
      <c r="H41" s="50" t="s">
        <v>128</v>
      </c>
      <c r="I41" s="61" t="s">
        <v>260</v>
      </c>
      <c r="J41" s="52" t="n">
        <f aca="false">IF(Horo8287[[#This Row],[Début]]=0,"",(Horo8287[[#This Row],[Durée (60)2]]-INT(Horo8287[[#This Row],[Durée (60)2]]))*24)</f>
        <v>1.5</v>
      </c>
      <c r="K41" s="62" t="n">
        <f aca="false">SUMIF(Horo8287[Jour],C41,Horo8287[Durée])</f>
        <v>8</v>
      </c>
      <c r="L41" s="54" t="n">
        <f aca="false">IFERROR(SUMIF(Horo8287[[#This Row],[Jour]],Horo8287[[#This Row],[Jour]],Horo8287[[#This Row],[GPF]]) / Horo8287[[#This Row],[hrs]],"")</f>
        <v>0.1875</v>
      </c>
      <c r="M41" s="56" t="n">
        <f aca="false">IF("GPF"=Horo8287[[#This Row],[Tâche]],Horo8287[[#This Row],[Durée]],"")</f>
        <v>1.5</v>
      </c>
      <c r="N41" s="56" t="str">
        <f aca="false">IF("RI"=Horo8287[[#This Row],[Tâche]],Horo8287[[#This Row],[Durée]],"")</f>
        <v/>
      </c>
      <c r="O41" s="56" t="str">
        <f aca="false">IF("GB"=Horo8287[[#This Row],[Tâche]],Horo8287[[#This Row],[Durée]],"")</f>
        <v/>
      </c>
      <c r="P41" s="56" t="str">
        <f aca="false">IF("RD"=Horo8287[[#This Row],[Tâche]],Horo8287[[#This Row],[Durée]],"")</f>
        <v/>
      </c>
      <c r="Q41" s="56" t="str">
        <f aca="false">IF("FG"=Horo8287[[#This Row],[Tâche]],Horo8287[[#This Row],[Durée]],"")</f>
        <v/>
      </c>
      <c r="R41" s="56" t="str">
        <f aca="false">IF("CONGÉ"=Horo8287[[#This Row],[Tâche]],Horo8287[[#This Row],[Durée]],"")</f>
        <v/>
      </c>
      <c r="S41" s="57" t="str">
        <f aca="false">IF("PS"=Horo8287[[#This Row],[Tâche]],Horo8287[[#This Row],[Durée]],"")</f>
        <v/>
      </c>
      <c r="T41" s="56" t="str">
        <f aca="false">IF("TD"=Horo8287[[#This Row],[Tâche]],Horo8287[[#This Row],[Durée]],"")</f>
        <v/>
      </c>
      <c r="U41" s="55" t="str">
        <f aca="false">IF("N/C"=Horo8287[[#This Row],[Tâche]],Horo8287[[#This Row],[Durée]],"")</f>
        <v/>
      </c>
      <c r="V41" s="58"/>
      <c r="W41" s="59" t="n">
        <f aca="false">IF(Horo8287[[#This Row],[O]]="o",Horo8287[[#This Row],[Durée]],".")</f>
        <v>1.5</v>
      </c>
      <c r="X41" s="60" t="n">
        <f aca="false">IF(Horo8287[[#This Row],[Début]]=0,"",Horo8287[[#This Row],[Fin]]-Horo8287[[#This Row],[Début]])</f>
        <v>0.0625</v>
      </c>
    </row>
    <row r="42" customFormat="false" ht="15" hidden="false" customHeight="false" outlineLevel="0" collapsed="false">
      <c r="A42" s="45" t="s">
        <v>31</v>
      </c>
      <c r="B42" s="111" t="n">
        <f aca="false">IF(Horo8287[[#This Row],[Jour]]="Lundi",$C$1+1, IF(Horo8287[[#This Row],[Jour]]="Mardi",$C$1+2, IF(Horo8287[[#This Row],[Jour]]="Mercredi",$C$1+3, IF(Horo8287[[#This Row],[Jour]]="Jeudi",$C$1+4, IF(Horo8287[[#This Row],[Jour]]="Vendredi",$C$1+5, IF(Horo8287[[#This Row],[Jour]]="Samedi",$C$1+6, IF(Horo8287[[#This Row],[Jour]]="Dimanche",$C$1, )))))))</f>
        <v>44345</v>
      </c>
      <c r="C42" s="47" t="s">
        <v>4</v>
      </c>
      <c r="D42" s="48" t="n">
        <v>0.479166666666667</v>
      </c>
      <c r="E42" s="48" t="n">
        <v>0.510416666666667</v>
      </c>
      <c r="F42" s="49" t="s">
        <v>61</v>
      </c>
      <c r="G42" s="49" t="s">
        <v>22</v>
      </c>
      <c r="H42" s="50" t="s">
        <v>42</v>
      </c>
      <c r="I42" s="61" t="s">
        <v>280</v>
      </c>
      <c r="J42" s="52" t="n">
        <f aca="false">IF(Horo8287[[#This Row],[Début]]=0,"",(Horo8287[[#This Row],[Durée (60)2]]-INT(Horo8287[[#This Row],[Durée (60)2]]))*24)</f>
        <v>0.749999999999999</v>
      </c>
      <c r="K42" s="62" t="n">
        <f aca="false">SUMIF(Horo8287[Jour],C42,Horo8287[Durée])</f>
        <v>8</v>
      </c>
      <c r="L42" s="54" t="n">
        <f aca="false">IFERROR(SUMIF(Horo8287[[#This Row],[Jour]],Horo8287[[#This Row],[Jour]],Horo8287[[#This Row],[GPF]]) / Horo8287[[#This Row],[hrs]],"")</f>
        <v>0</v>
      </c>
      <c r="M42" s="56" t="str">
        <f aca="false">IF("GPF"=Horo8287[[#This Row],[Tâche]],Horo8287[[#This Row],[Durée]],"")</f>
        <v/>
      </c>
      <c r="N42" s="56" t="str">
        <f aca="false">IF("RI"=Horo8287[[#This Row],[Tâche]],Horo8287[[#This Row],[Durée]],"")</f>
        <v/>
      </c>
      <c r="O42" s="56" t="str">
        <f aca="false">IF("GB"=Horo8287[[#This Row],[Tâche]],Horo8287[[#This Row],[Durée]],"")</f>
        <v/>
      </c>
      <c r="P42" s="56" t="n">
        <f aca="false">IF("RD"=Horo8287[[#This Row],[Tâche]],Horo8287[[#This Row],[Durée]],"")</f>
        <v>0.749999999999999</v>
      </c>
      <c r="Q42" s="56" t="str">
        <f aca="false">IF("FG"=Horo8287[[#This Row],[Tâche]],Horo8287[[#This Row],[Durée]],"")</f>
        <v/>
      </c>
      <c r="R42" s="56" t="str">
        <f aca="false">IF("CONGÉ"=Horo8287[[#This Row],[Tâche]],Horo8287[[#This Row],[Durée]],"")</f>
        <v/>
      </c>
      <c r="S42" s="57" t="str">
        <f aca="false">IF("PS"=Horo8287[[#This Row],[Tâche]],Horo8287[[#This Row],[Durée]],"")</f>
        <v/>
      </c>
      <c r="T42" s="56" t="str">
        <f aca="false">IF("TD"=Horo8287[[#This Row],[Tâche]],Horo8287[[#This Row],[Durée]],"")</f>
        <v/>
      </c>
      <c r="U42" s="55" t="str">
        <f aca="false">IF("N/C"=Horo8287[[#This Row],[Tâche]],Horo8287[[#This Row],[Durée]],"")</f>
        <v/>
      </c>
      <c r="V42" s="58"/>
      <c r="W42" s="59" t="n">
        <f aca="false">IF(Horo8287[[#This Row],[O]]="o",Horo8287[[#This Row],[Durée]],".")</f>
        <v>0.749999999999999</v>
      </c>
      <c r="X42" s="60" t="n">
        <f aca="false">IF(Horo8287[[#This Row],[Début]]=0,"",Horo8287[[#This Row],[Fin]]-Horo8287[[#This Row],[Début]])</f>
        <v>0.0312499999999999</v>
      </c>
    </row>
    <row r="43" customFormat="false" ht="15" hidden="false" customHeight="false" outlineLevel="0" collapsed="false">
      <c r="A43" s="45" t="s">
        <v>31</v>
      </c>
      <c r="B43" s="111" t="n">
        <f aca="false">IF(Horo8287[[#This Row],[Jour]]="Lundi",$C$1+1, IF(Horo8287[[#This Row],[Jour]]="Mardi",$C$1+2, IF(Horo8287[[#This Row],[Jour]]="Mercredi",$C$1+3, IF(Horo8287[[#This Row],[Jour]]="Jeudi",$C$1+4, IF(Horo8287[[#This Row],[Jour]]="Vendredi",$C$1+5, IF(Horo8287[[#This Row],[Jour]]="Samedi",$C$1+6, IF(Horo8287[[#This Row],[Jour]]="Dimanche",$C$1, )))))))</f>
        <v>44345</v>
      </c>
      <c r="C43" s="47" t="s">
        <v>4</v>
      </c>
      <c r="D43" s="48" t="n">
        <v>0.583333333333333</v>
      </c>
      <c r="E43" s="48" t="n">
        <v>0.614583333333333</v>
      </c>
      <c r="F43" s="49" t="s">
        <v>61</v>
      </c>
      <c r="G43" s="49" t="s">
        <v>22</v>
      </c>
      <c r="H43" s="50" t="s">
        <v>42</v>
      </c>
      <c r="I43" s="61" t="s">
        <v>280</v>
      </c>
      <c r="J43" s="52" t="n">
        <f aca="false">IF(Horo8287[[#This Row],[Début]]=0,"",(Horo8287[[#This Row],[Durée (60)2]]-INT(Horo8287[[#This Row],[Durée (60)2]]))*24)</f>
        <v>0.75</v>
      </c>
      <c r="K43" s="62" t="n">
        <f aca="false">SUMIF(Horo8287[Jour],C43,Horo8287[Durée])</f>
        <v>8</v>
      </c>
      <c r="L43" s="54" t="n">
        <f aca="false">IFERROR(SUMIF(Horo8287[[#This Row],[Jour]],Horo8287[[#This Row],[Jour]],Horo8287[[#This Row],[GPF]]) / Horo8287[[#This Row],[hrs]],"")</f>
        <v>0</v>
      </c>
      <c r="M43" s="56" t="str">
        <f aca="false">IF("GPF"=Horo8287[[#This Row],[Tâche]],Horo8287[[#This Row],[Durée]],"")</f>
        <v/>
      </c>
      <c r="N43" s="56" t="str">
        <f aca="false">IF("RI"=Horo8287[[#This Row],[Tâche]],Horo8287[[#This Row],[Durée]],"")</f>
        <v/>
      </c>
      <c r="O43" s="56" t="str">
        <f aca="false">IF("GB"=Horo8287[[#This Row],[Tâche]],Horo8287[[#This Row],[Durée]],"")</f>
        <v/>
      </c>
      <c r="P43" s="56" t="n">
        <f aca="false">IF("RD"=Horo8287[[#This Row],[Tâche]],Horo8287[[#This Row],[Durée]],"")</f>
        <v>0.75</v>
      </c>
      <c r="Q43" s="56" t="str">
        <f aca="false">IF("FG"=Horo8287[[#This Row],[Tâche]],Horo8287[[#This Row],[Durée]],"")</f>
        <v/>
      </c>
      <c r="R43" s="56" t="str">
        <f aca="false">IF("CONGÉ"=Horo8287[[#This Row],[Tâche]],Horo8287[[#This Row],[Durée]],"")</f>
        <v/>
      </c>
      <c r="S43" s="57" t="str">
        <f aca="false">IF("PS"=Horo8287[[#This Row],[Tâche]],Horo8287[[#This Row],[Durée]],"")</f>
        <v/>
      </c>
      <c r="T43" s="56" t="str">
        <f aca="false">IF("TD"=Horo8287[[#This Row],[Tâche]],Horo8287[[#This Row],[Durée]],"")</f>
        <v/>
      </c>
      <c r="U43" s="55" t="str">
        <f aca="false">IF("N/C"=Horo8287[[#This Row],[Tâche]],Horo8287[[#This Row],[Durée]],"")</f>
        <v/>
      </c>
      <c r="V43" s="58"/>
      <c r="W43" s="59" t="n">
        <f aca="false">IF(Horo8287[[#This Row],[O]]="o",Horo8287[[#This Row],[Durée]],".")</f>
        <v>0.75</v>
      </c>
      <c r="X43" s="60" t="n">
        <f aca="false">IF(Horo8287[[#This Row],[Début]]=0,"",Horo8287[[#This Row],[Fin]]-Horo8287[[#This Row],[Début]])</f>
        <v>0.03125</v>
      </c>
    </row>
    <row r="44" customFormat="false" ht="15" hidden="false" customHeight="false" outlineLevel="0" collapsed="false">
      <c r="A44" s="45" t="s">
        <v>31</v>
      </c>
      <c r="B44" s="111" t="n">
        <f aca="false">IF(Horo8287[[#This Row],[Jour]]="Lundi",$C$1+1, IF(Horo8287[[#This Row],[Jour]]="Mardi",$C$1+2, IF(Horo8287[[#This Row],[Jour]]="Mercredi",$C$1+3, IF(Horo8287[[#This Row],[Jour]]="Jeudi",$C$1+4, IF(Horo8287[[#This Row],[Jour]]="Vendredi",$C$1+5, IF(Horo8287[[#This Row],[Jour]]="Samedi",$C$1+6, IF(Horo8287[[#This Row],[Jour]]="Dimanche",$C$1, )))))))</f>
        <v>44345</v>
      </c>
      <c r="C44" s="47" t="s">
        <v>4</v>
      </c>
      <c r="D44" s="48" t="n">
        <v>0.614583333333333</v>
      </c>
      <c r="E44" s="48" t="n">
        <v>0.65625</v>
      </c>
      <c r="F44" s="49" t="s">
        <v>32</v>
      </c>
      <c r="G44" s="49" t="s">
        <v>21</v>
      </c>
      <c r="H44" s="50" t="s">
        <v>201</v>
      </c>
      <c r="I44" s="61"/>
      <c r="J44" s="52" t="n">
        <f aca="false">IF(Horo8287[[#This Row],[Début]]=0,"",(Horo8287[[#This Row],[Durée (60)2]]-INT(Horo8287[[#This Row],[Durée (60)2]]))*24)</f>
        <v>0.999999999999999</v>
      </c>
      <c r="K44" s="62" t="n">
        <f aca="false">SUMIF(Horo8287[Jour],C44,Horo8287[Durée])</f>
        <v>8</v>
      </c>
      <c r="L44" s="54" t="n">
        <f aca="false">IFERROR(SUMIF(Horo8287[[#This Row],[Jour]],Horo8287[[#This Row],[Jour]],Horo8287[[#This Row],[GPF]]) / Horo8287[[#This Row],[hrs]],"")</f>
        <v>0</v>
      </c>
      <c r="M44" s="56" t="str">
        <f aca="false">IF("GPF"=Horo8287[[#This Row],[Tâche]],Horo8287[[#This Row],[Durée]],"")</f>
        <v/>
      </c>
      <c r="N44" s="56" t="str">
        <f aca="false">IF("RI"=Horo8287[[#This Row],[Tâche]],Horo8287[[#This Row],[Durée]],"")</f>
        <v/>
      </c>
      <c r="O44" s="56" t="n">
        <f aca="false">IF("GB"=Horo8287[[#This Row],[Tâche]],Horo8287[[#This Row],[Durée]],"")</f>
        <v>0.999999999999999</v>
      </c>
      <c r="P44" s="56" t="str">
        <f aca="false">IF("RD"=Horo8287[[#This Row],[Tâche]],Horo8287[[#This Row],[Durée]],"")</f>
        <v/>
      </c>
      <c r="Q44" s="56" t="str">
        <f aca="false">IF("FG"=Horo8287[[#This Row],[Tâche]],Horo8287[[#This Row],[Durée]],"")</f>
        <v/>
      </c>
      <c r="R44" s="56" t="str">
        <f aca="false">IF("CONGÉ"=Horo8287[[#This Row],[Tâche]],Horo8287[[#This Row],[Durée]],"")</f>
        <v/>
      </c>
      <c r="S44" s="57" t="str">
        <f aca="false">IF("PS"=Horo8287[[#This Row],[Tâche]],Horo8287[[#This Row],[Durée]],"")</f>
        <v/>
      </c>
      <c r="T44" s="56" t="str">
        <f aca="false">IF("TD"=Horo8287[[#This Row],[Tâche]],Horo8287[[#This Row],[Durée]],"")</f>
        <v/>
      </c>
      <c r="U44" s="55" t="str">
        <f aca="false">IF("N/C"=Horo8287[[#This Row],[Tâche]],Horo8287[[#This Row],[Durée]],"")</f>
        <v/>
      </c>
      <c r="V44" s="58"/>
      <c r="W44" s="59" t="n">
        <f aca="false">IF(Horo8287[[#This Row],[O]]="o",Horo8287[[#This Row],[Durée]],".")</f>
        <v>0.999999999999999</v>
      </c>
      <c r="X44" s="60" t="n">
        <f aca="false">IF(Horo8287[[#This Row],[Début]]=0,"",Horo8287[[#This Row],[Fin]]-Horo8287[[#This Row],[Début]])</f>
        <v>0.0416666666666666</v>
      </c>
    </row>
    <row r="45" customFormat="false" ht="15" hidden="false" customHeight="false" outlineLevel="0" collapsed="false">
      <c r="A45" s="45" t="s">
        <v>31</v>
      </c>
      <c r="B45" s="111" t="n">
        <f aca="false">IF(Horo8287[[#This Row],[Jour]]="Lundi",$C$1+1, IF(Horo8287[[#This Row],[Jour]]="Mardi",$C$1+2, IF(Horo8287[[#This Row],[Jour]]="Mercredi",$C$1+3, IF(Horo8287[[#This Row],[Jour]]="Jeudi",$C$1+4, IF(Horo8287[[#This Row],[Jour]]="Vendredi",$C$1+5, IF(Horo8287[[#This Row],[Jour]]="Samedi",$C$1+6, IF(Horo8287[[#This Row],[Jour]]="Dimanche",$C$1, )))))))</f>
        <v>44345</v>
      </c>
      <c r="C45" s="47" t="s">
        <v>4</v>
      </c>
      <c r="D45" s="48" t="n">
        <v>0.65625</v>
      </c>
      <c r="E45" s="48" t="n">
        <v>0.71875</v>
      </c>
      <c r="F45" s="49" t="s">
        <v>61</v>
      </c>
      <c r="G45" s="49" t="s">
        <v>19</v>
      </c>
      <c r="H45" s="50" t="s">
        <v>42</v>
      </c>
      <c r="I45" s="61" t="s">
        <v>280</v>
      </c>
      <c r="J45" s="52" t="n">
        <f aca="false">IF(Horo8287[[#This Row],[Début]]=0,"",(Horo8287[[#This Row],[Durée (60)2]]-INT(Horo8287[[#This Row],[Durée (60)2]]))*24)</f>
        <v>1.5</v>
      </c>
      <c r="K45" s="62" t="n">
        <f aca="false">SUMIF(Horo8287[Jour],C45,Horo8287[Durée])</f>
        <v>8</v>
      </c>
      <c r="L45" s="54" t="n">
        <f aca="false">IFERROR(SUMIF(Horo8287[[#This Row],[Jour]],Horo8287[[#This Row],[Jour]],Horo8287[[#This Row],[GPF]]) / Horo8287[[#This Row],[hrs]],"")</f>
        <v>0.1875</v>
      </c>
      <c r="M45" s="56" t="n">
        <f aca="false">IF("GPF"=Horo8287[[#This Row],[Tâche]],Horo8287[[#This Row],[Durée]],"")</f>
        <v>1.5</v>
      </c>
      <c r="N45" s="56" t="str">
        <f aca="false">IF("RI"=Horo8287[[#This Row],[Tâche]],Horo8287[[#This Row],[Durée]],"")</f>
        <v/>
      </c>
      <c r="O45" s="56" t="str">
        <f aca="false">IF("GB"=Horo8287[[#This Row],[Tâche]],Horo8287[[#This Row],[Durée]],"")</f>
        <v/>
      </c>
      <c r="P45" s="56" t="str">
        <f aca="false">IF("RD"=Horo8287[[#This Row],[Tâche]],Horo8287[[#This Row],[Durée]],"")</f>
        <v/>
      </c>
      <c r="Q45" s="56" t="str">
        <f aca="false">IF("FG"=Horo8287[[#This Row],[Tâche]],Horo8287[[#This Row],[Durée]],"")</f>
        <v/>
      </c>
      <c r="R45" s="56" t="str">
        <f aca="false">IF("CONGÉ"=Horo8287[[#This Row],[Tâche]],Horo8287[[#This Row],[Durée]],"")</f>
        <v/>
      </c>
      <c r="S45" s="57" t="str">
        <f aca="false">IF("PS"=Horo8287[[#This Row],[Tâche]],Horo8287[[#This Row],[Durée]],"")</f>
        <v/>
      </c>
      <c r="T45" s="56" t="str">
        <f aca="false">IF("TD"=Horo8287[[#This Row],[Tâche]],Horo8287[[#This Row],[Durée]],"")</f>
        <v/>
      </c>
      <c r="U45" s="55" t="str">
        <f aca="false">IF("N/C"=Horo8287[[#This Row],[Tâche]],Horo8287[[#This Row],[Durée]],"")</f>
        <v/>
      </c>
      <c r="V45" s="58"/>
      <c r="W45" s="59" t="n">
        <f aca="false">IF(Horo8287[[#This Row],[O]]="o",Horo8287[[#This Row],[Durée]],".")</f>
        <v>1.5</v>
      </c>
      <c r="X45" s="60" t="n">
        <f aca="false">IF(Horo8287[[#This Row],[Début]]=0,"",Horo8287[[#This Row],[Fin]]-Horo8287[[#This Row],[Début]])</f>
        <v>0.0625</v>
      </c>
    </row>
    <row r="46" customFormat="false" ht="15" hidden="false" customHeight="false" outlineLevel="0" collapsed="false">
      <c r="A46" s="45" t="s">
        <v>31</v>
      </c>
      <c r="B46" s="111" t="n">
        <f aca="false">IF(Horo8287[[#This Row],[Jour]]="Lundi",$C$1+1, IF(Horo8287[[#This Row],[Jour]]="Mardi",$C$1+2, IF(Horo8287[[#This Row],[Jour]]="Mercredi",$C$1+3, IF(Horo8287[[#This Row],[Jour]]="Jeudi",$C$1+4, IF(Horo8287[[#This Row],[Jour]]="Vendredi",$C$1+5, IF(Horo8287[[#This Row],[Jour]]="Samedi",$C$1+6, IF(Horo8287[[#This Row],[Jour]]="Dimanche",$C$1, )))))))</f>
        <v>44345</v>
      </c>
      <c r="C46" s="47" t="s">
        <v>4</v>
      </c>
      <c r="D46" s="48" t="n">
        <v>0.729166666666667</v>
      </c>
      <c r="E46" s="48" t="n">
        <v>0.75</v>
      </c>
      <c r="F46" s="49" t="s">
        <v>32</v>
      </c>
      <c r="G46" s="49" t="s">
        <v>22</v>
      </c>
      <c r="H46" s="50" t="s">
        <v>201</v>
      </c>
      <c r="I46" s="61"/>
      <c r="J46" s="52" t="n">
        <f aca="false">IF(Horo8287[[#This Row],[Début]]=0,"",(Horo8287[[#This Row],[Durée (60)2]]-INT(Horo8287[[#This Row],[Durée (60)2]]))*24)</f>
        <v>0.500000000000001</v>
      </c>
      <c r="K46" s="62" t="n">
        <f aca="false">SUMIF(Horo8287[Jour],C46,Horo8287[Durée])</f>
        <v>8</v>
      </c>
      <c r="L46" s="54" t="n">
        <f aca="false">IFERROR(SUMIF(Horo8287[[#This Row],[Jour]],Horo8287[[#This Row],[Jour]],Horo8287[[#This Row],[GPF]]) / Horo8287[[#This Row],[hrs]],"")</f>
        <v>0</v>
      </c>
      <c r="M46" s="56" t="str">
        <f aca="false">IF("GPF"=Horo8287[[#This Row],[Tâche]],Horo8287[[#This Row],[Durée]],"")</f>
        <v/>
      </c>
      <c r="N46" s="56" t="str">
        <f aca="false">IF("RI"=Horo8287[[#This Row],[Tâche]],Horo8287[[#This Row],[Durée]],"")</f>
        <v/>
      </c>
      <c r="O46" s="56" t="str">
        <f aca="false">IF("GB"=Horo8287[[#This Row],[Tâche]],Horo8287[[#This Row],[Durée]],"")</f>
        <v/>
      </c>
      <c r="P46" s="56" t="n">
        <f aca="false">IF("RD"=Horo8287[[#This Row],[Tâche]],Horo8287[[#This Row],[Durée]],"")</f>
        <v>0.500000000000001</v>
      </c>
      <c r="Q46" s="56" t="str">
        <f aca="false">IF("FG"=Horo8287[[#This Row],[Tâche]],Horo8287[[#This Row],[Durée]],"")</f>
        <v/>
      </c>
      <c r="R46" s="56" t="str">
        <f aca="false">IF("CONGÉ"=Horo8287[[#This Row],[Tâche]],Horo8287[[#This Row],[Durée]],"")</f>
        <v/>
      </c>
      <c r="S46" s="57" t="str">
        <f aca="false">IF("PS"=Horo8287[[#This Row],[Tâche]],Horo8287[[#This Row],[Durée]],"")</f>
        <v/>
      </c>
      <c r="T46" s="56" t="str">
        <f aca="false">IF("TD"=Horo8287[[#This Row],[Tâche]],Horo8287[[#This Row],[Durée]],"")</f>
        <v/>
      </c>
      <c r="U46" s="55" t="str">
        <f aca="false">IF("N/C"=Horo8287[[#This Row],[Tâche]],Horo8287[[#This Row],[Durée]],"")</f>
        <v/>
      </c>
      <c r="V46" s="58"/>
      <c r="W46" s="59" t="n">
        <f aca="false">IF(Horo8287[[#This Row],[O]]="o",Horo8287[[#This Row],[Durée]],".")</f>
        <v>0.500000000000001</v>
      </c>
      <c r="X46" s="60" t="n">
        <f aca="false">IF(Horo8287[[#This Row],[Début]]=0,"",Horo8287[[#This Row],[Fin]]-Horo8287[[#This Row],[Début]])</f>
        <v>0.0208333333333334</v>
      </c>
    </row>
    <row r="47" customFormat="false" ht="15" hidden="false" customHeight="false" outlineLevel="0" collapsed="false">
      <c r="A47" s="45" t="s">
        <v>33</v>
      </c>
      <c r="B47" s="111" t="n">
        <f aca="false">IF(Horo8287[[#This Row],[Jour]]="Lundi",$C$1+1, IF(Horo8287[[#This Row],[Jour]]="Mardi",$C$1+2, IF(Horo8287[[#This Row],[Jour]]="Mercredi",$C$1+3, IF(Horo8287[[#This Row],[Jour]]="Jeudi",$C$1+4, IF(Horo8287[[#This Row],[Jour]]="Vendredi",$C$1+5, IF(Horo8287[[#This Row],[Jour]]="Samedi",$C$1+6, IF(Horo8287[[#This Row],[Jour]]="Dimanche",$C$1, )))))))</f>
        <v>0</v>
      </c>
      <c r="C47" s="47"/>
      <c r="D47" s="48"/>
      <c r="E47" s="48"/>
      <c r="F47" s="49" t="s">
        <v>32</v>
      </c>
      <c r="G47" s="49" t="s">
        <v>27</v>
      </c>
      <c r="H47" s="50" t="s">
        <v>201</v>
      </c>
      <c r="I47" s="61"/>
      <c r="J47" s="52" t="str">
        <f aca="false">IF(Horo8287[[#This Row],[Début]]=0,"",(Horo8287[[#This Row],[Durée (60)2]]-INT(Horo8287[[#This Row],[Durée (60)2]]))*24)</f>
        <v/>
      </c>
      <c r="K47" s="62" t="n">
        <f aca="false">SUMIF(Horo8287[Jour],C47,Horo8287[Durée])</f>
        <v>0</v>
      </c>
      <c r="L47" s="54" t="str">
        <f aca="false">IFERROR(SUMIF(Horo8287[[#This Row],[Jour]],Horo8287[[#This Row],[Jour]],Horo8287[[#This Row],[GPF]]) / Horo8287[[#This Row],[hrs]],"")</f>
        <v/>
      </c>
      <c r="M47" s="56" t="str">
        <f aca="false">IF("GPF"=Horo8287[[#This Row],[Tâche]],Horo8287[[#This Row],[Durée]],"")</f>
        <v/>
      </c>
      <c r="N47" s="56" t="str">
        <f aca="false">IF("RI"=Horo8287[[#This Row],[Tâche]],Horo8287[[#This Row],[Durée]],"")</f>
        <v/>
      </c>
      <c r="O47" s="56" t="str">
        <f aca="false">IF("GB"=Horo8287[[#This Row],[Tâche]],Horo8287[[#This Row],[Durée]],"")</f>
        <v/>
      </c>
      <c r="P47" s="56" t="str">
        <f aca="false">IF("RD"=Horo8287[[#This Row],[Tâche]],Horo8287[[#This Row],[Durée]],"")</f>
        <v/>
      </c>
      <c r="Q47" s="56" t="str">
        <f aca="false">IF("FG"=Horo8287[[#This Row],[Tâche]],Horo8287[[#This Row],[Durée]],"")</f>
        <v/>
      </c>
      <c r="R47" s="56" t="str">
        <f aca="false">IF("CONGÉ"=Horo8287[[#This Row],[Tâche]],Horo8287[[#This Row],[Durée]],"")</f>
        <v/>
      </c>
      <c r="S47" s="56" t="str">
        <f aca="false">IF("PS"=Horo8287[[#This Row],[Tâche]],Horo8287[[#This Row],[Durée]],"")</f>
        <v/>
      </c>
      <c r="T47" s="56" t="str">
        <f aca="false">IF("TD"=Horo8287[[#This Row],[Tâche]],Horo8287[[#This Row],[Durée]],"")</f>
        <v/>
      </c>
      <c r="U47" s="56" t="str">
        <f aca="false">IF("N/C"=Horo8287[[#This Row],[Tâche]],Horo8287[[#This Row],[Durée]],"")</f>
        <v/>
      </c>
      <c r="V47" s="58"/>
      <c r="W47" s="59" t="str">
        <f aca="false">IF(Horo8287[[#This Row],[O]]="o",Horo8287[[#This Row],[Durée]],".")</f>
        <v>.</v>
      </c>
      <c r="X47" s="64" t="str">
        <f aca="false">IF(Horo8287[[#This Row],[Début]]=0,"",Horo8287[[#This Row],[Fin]]-Horo8287[[#This Row],[Début]])</f>
        <v/>
      </c>
    </row>
    <row r="53" s="3" customFormat="true" ht="15" hidden="false" customHeight="false" outlineLevel="0" collapsed="false">
      <c r="L53" s="65"/>
    </row>
    <row r="54" customFormat="false" ht="15" hidden="false" customHeight="false" outlineLevel="0" collapsed="false">
      <c r="A54" s="66" t="s">
        <v>18</v>
      </c>
      <c r="B54" s="66" t="s">
        <v>57</v>
      </c>
      <c r="C54" s="66" t="s">
        <v>58</v>
      </c>
    </row>
    <row r="55" customFormat="false" ht="15" hidden="false" customHeight="false" outlineLevel="0" collapsed="false">
      <c r="A55" s="67" t="n">
        <f aca="false">IF((SUMIF(Horo8287[Client],B55,Horo8287[Durée]) / Total)=0,"",(SUMIF(Horo8287[Client],B55,Horo8287[Durée]) / Total))</f>
        <v>0.285714285714286</v>
      </c>
      <c r="B55" s="68" t="s">
        <v>61</v>
      </c>
      <c r="C55" s="70" t="n">
        <f aca="false">IF(SUMIF(Horo8287[Client],B55,Horo8287[Durée])=0,"",SUMIF(Horo8287[Client],B55,Horo8287[Durée]))</f>
        <v>11</v>
      </c>
    </row>
    <row r="56" customFormat="false" ht="15" hidden="false" customHeight="false" outlineLevel="0" collapsed="false">
      <c r="A56" s="67" t="n">
        <f aca="false">IF((SUMIF(Horo8287[Client],B56,Horo8287[Durée]) / Total)=0,"",(SUMIF(Horo8287[Client],B56,Horo8287[Durée]) / Total))</f>
        <v>0.201298701298701</v>
      </c>
      <c r="B56" s="68" t="s">
        <v>32</v>
      </c>
      <c r="C56" s="69" t="n">
        <f aca="false">IF(SUMIF(Horo8287[Client],B56,Horo8287[Durée])=0,"",SUMIF(Horo8287[Client],B56,Horo8287[Durée]))</f>
        <v>7.75</v>
      </c>
    </row>
    <row r="57" customFormat="false" ht="15" hidden="false" customHeight="false" outlineLevel="0" collapsed="false">
      <c r="A57" s="67" t="n">
        <f aca="false">IF((SUMIF(Horo8287[Client],B57,Horo8287[Durée]) / Total)=0,"",(SUMIF(Horo8287[Client],B57,Horo8287[Durée]) / Total))</f>
        <v>0.292207792207792</v>
      </c>
      <c r="B57" s="68" t="s">
        <v>60</v>
      </c>
      <c r="C57" s="70" t="n">
        <f aca="false">IF(SUMIF(Horo8287[Client],B57,Horo8287[Durée])=0,"",SUMIF(Horo8287[Client],B57,Horo8287[Durée]))</f>
        <v>11.25</v>
      </c>
    </row>
    <row r="58" customFormat="false" ht="15" hidden="false" customHeight="false" outlineLevel="0" collapsed="false">
      <c r="A58" s="67" t="n">
        <f aca="false">IF((SUMIF(Horo8287[Client],B58,Horo8287[Durée]) / Total)=0,"",(SUMIF(Horo8287[Client],B58,Horo8287[Durée]) / Total))</f>
        <v>0.188311688311688</v>
      </c>
      <c r="B58" s="68" t="s">
        <v>59</v>
      </c>
      <c r="C58" s="69" t="n">
        <f aca="false">IF(SUMIF(Horo8287[Client],B58,Horo8287[Durée])=0,"",SUMIF(Horo8287[Client],B58,Horo8287[Durée]))</f>
        <v>7.25</v>
      </c>
    </row>
    <row r="59" customFormat="false" ht="15" hidden="false" customHeight="false" outlineLevel="0" collapsed="false">
      <c r="A59" s="67" t="str">
        <f aca="false">IF((SUMIF(Horo8287[Client],B59,Horo8287[Durée]) / Total)=0,"",(SUMIF(Horo8287[Client],B59,Horo8287[Durée]) / Total))</f>
        <v/>
      </c>
      <c r="B59" s="68" t="s">
        <v>62</v>
      </c>
      <c r="C59" s="70" t="str">
        <f aca="false">IF(SUMIF(Horo8287[Client],B59,Horo8287[Durée])=0,"",SUMIF(Horo8287[Client],B59,Horo8287[Durée]))</f>
        <v/>
      </c>
    </row>
    <row r="60" customFormat="false" ht="15" hidden="false" customHeight="false" outlineLevel="0" collapsed="false">
      <c r="A60" s="67" t="n">
        <f aca="false">IF((SUMIF(Horo8287[Client],B60,Horo8287[Durée]) / Total)=0,"",(SUMIF(Horo8287[Client],B60,Horo8287[Durée]) / Total))</f>
        <v>0.0454545454545454</v>
      </c>
      <c r="B60" s="68" t="s">
        <v>63</v>
      </c>
      <c r="C60" s="69" t="n">
        <f aca="false">IF(SUMIF(Horo8287[Client],B60,Horo8287[Durée])=0,"",SUMIF(Horo8287[Client],B60,Horo8287[Durée]))</f>
        <v>1.75</v>
      </c>
    </row>
    <row r="61" customFormat="false" ht="15" hidden="false" customHeight="false" outlineLevel="0" collapsed="false">
      <c r="A61" s="67" t="str">
        <f aca="false">IF((SUMIF(Horo8287[Client],B61,Horo8287[Durée]) / Total)=0,"",(SUMIF(Horo8287[Client],B61,Horo8287[Durée]) / Total))</f>
        <v/>
      </c>
      <c r="B61" s="68" t="s">
        <v>64</v>
      </c>
      <c r="C61" s="70" t="str">
        <f aca="false">IF(SUMIF(Horo8287[Client],B61,Horo8287[Durée])=0,"",SUMIF(Horo8287[Client],B61,Horo8287[Durée]))</f>
        <v/>
      </c>
    </row>
    <row r="62" customFormat="false" ht="15" hidden="false" customHeight="false" outlineLevel="0" collapsed="false">
      <c r="A62" s="67" t="str">
        <f aca="false">IF((SUMIF(Horo8287[Client],B62,Horo8287[Durée]) / Total)=0,"",(SUMIF(Horo8287[Client],B62,Horo8287[Durée]) / Total))</f>
        <v/>
      </c>
      <c r="B62" s="68" t="s">
        <v>65</v>
      </c>
      <c r="C62" s="70" t="str">
        <f aca="false">IF(SUMIF(Horo8287[Client],B62,Horo8287[Durée])=0,"",SUMIF(Horo8287[Client],B62,Horo8287[Durée]))</f>
        <v/>
      </c>
      <c r="F62" s="71"/>
    </row>
    <row r="63" customFormat="false" ht="15" hidden="false" customHeight="false" outlineLevel="0" collapsed="false">
      <c r="A63" s="67" t="str">
        <f aca="false">IF((SUMIF(Horo8287[Client],B63,Horo8287[Durée]) / Total)=0,"",(SUMIF(Horo8287[Client],B63,Horo8287[Durée]) / Total))</f>
        <v/>
      </c>
      <c r="B63" s="68" t="s">
        <v>66</v>
      </c>
      <c r="C63" s="69" t="str">
        <f aca="false">IF(SUMIF(Horo8287[Client],B63,Horo8287[Durée])=0,"",SUMIF(Horo8287[Client],B63,Horo8287[Durée]))</f>
        <v/>
      </c>
    </row>
    <row r="64" customFormat="false" ht="15" hidden="false" customHeight="false" outlineLevel="0" collapsed="false">
      <c r="A64" s="67" t="str">
        <f aca="false">IF((SUMIF(Horo8287[Client],B64,Horo8287[Durée]) / Total)=0,"",(SUMIF(Horo8287[Client],B64,Horo8287[Durée]) / Total))</f>
        <v/>
      </c>
      <c r="B64" s="68" t="s">
        <v>47</v>
      </c>
      <c r="C64" s="70" t="str">
        <f aca="false">IF(SUMIF(Horo8287[Client],B64,Horo8287[Durée])=0,"",SUMIF(Horo8287[Client],B64,Horo8287[Durée]))</f>
        <v/>
      </c>
    </row>
    <row r="65" customFormat="false" ht="15" hidden="false" customHeight="false" outlineLevel="0" collapsed="false">
      <c r="A65" s="67" t="str">
        <f aca="false">IF((SUMIF(Horo8287[Client],B65,Horo8287[Durée]) / Total)=0,"",(SUMIF(Horo8287[Client],B65,Horo8287[Durée]) / Total))</f>
        <v/>
      </c>
      <c r="B65" s="68" t="s">
        <v>67</v>
      </c>
      <c r="C65" s="70" t="str">
        <f aca="false">IF(SUMIF(Horo8287[Client],B65,Horo8287[Durée])=0,"",SUMIF(Horo8287[Client],B65,Horo8287[Durée]))</f>
        <v/>
      </c>
    </row>
    <row r="66" customFormat="false" ht="15" hidden="false" customHeight="false" outlineLevel="0" collapsed="false">
      <c r="A66" s="67" t="str">
        <f aca="false">IF((SUMIF(Horo8287[Client],B66,Horo8287[Durée]) / Total)=0,"",(SUMIF(Horo8287[Client],B66,Horo8287[Durée]) / Total))</f>
        <v/>
      </c>
      <c r="B66" s="68" t="s">
        <v>68</v>
      </c>
      <c r="C66" s="70" t="str">
        <f aca="false">IF(SUMIF(Horo8287[Client],B66,Horo8287[Durée])=0,"",SUMIF(Horo8287[Client],B66,Horo8287[Durée]))</f>
        <v/>
      </c>
    </row>
    <row r="67" customFormat="false" ht="15" hidden="false" customHeight="false" outlineLevel="0" collapsed="false">
      <c r="A67" s="67" t="str">
        <f aca="false">IF((SUMIF(Horo8287[Client],B67,Horo8287[Durée]) / Total)=0,"",(SUMIF(Horo8287[Client],B67,Horo8287[Durée]) / Total))</f>
        <v/>
      </c>
      <c r="B67" s="68" t="s">
        <v>41</v>
      </c>
      <c r="C67" s="70" t="str">
        <f aca="false">IF(SUMIF(Horo8287[Client],B67,Horo8287[Durée])=0,"",SUMIF(Horo8287[Client],B67,Horo8287[Durée]))</f>
        <v/>
      </c>
    </row>
    <row r="68" customFormat="false" ht="15" hidden="false" customHeight="false" outlineLevel="0" collapsed="false">
      <c r="A68" s="67" t="n">
        <f aca="false">IF((SUMIF(Horo8287[Client],B68,Horo8287[Durée]) / Total)=0,"",(SUMIF(Horo8287[Client],B68,Horo8287[Durée]) / Total))</f>
        <v>0.012987012987013</v>
      </c>
      <c r="B68" s="68" t="s">
        <v>37</v>
      </c>
      <c r="C68" s="69" t="n">
        <f aca="false">IF(SUMIF(Horo8287[Client],B68,Horo8287[Durée])=0,"",SUMIF(Horo8287[Client],B68,Horo8287[Durée]))</f>
        <v>0.500000000000001</v>
      </c>
    </row>
    <row r="69" customFormat="false" ht="15" hidden="false" customHeight="false" outlineLevel="0" collapsed="false">
      <c r="A69" s="67" t="str">
        <f aca="false">IF((SUMIF(Horo8287[Client],B69,Horo8287[Durée]) / Total)=0,"",(SUMIF(Horo8287[Client],B69,Horo8287[Durée]) / Total))</f>
        <v/>
      </c>
      <c r="B69" s="68" t="s">
        <v>69</v>
      </c>
      <c r="C69" s="69" t="str">
        <f aca="false">IF(SUMIF(Horo8287[Client],B69,Horo8287[Durée])=0,"",SUMIF(Horo8287[Client],B69,Horo8287[Durée]))</f>
        <v/>
      </c>
    </row>
    <row r="70" customFormat="false" ht="15" hidden="false" customHeight="false" outlineLevel="0" collapsed="false">
      <c r="A70" s="67" t="str">
        <f aca="false">IF((SUMIF(Horo8287[Client],B70,Horo8287[Durée]) / Total)=0,"",(SUMIF(Horo8287[Client],B70,Horo8287[Durée]) / Total))</f>
        <v/>
      </c>
      <c r="B70" s="68" t="s">
        <v>70</v>
      </c>
      <c r="C70" s="70" t="str">
        <f aca="false">IF(SUMIF(Horo8287[Client],B70,Horo8287[Durée])=0,"",SUMIF(Horo8287[Client],B70,Horo8287[Durée]))</f>
        <v/>
      </c>
    </row>
    <row r="71" customFormat="false" ht="15" hidden="false" customHeight="false" outlineLevel="1" collapsed="false">
      <c r="A71" s="67" t="str">
        <f aca="false">IF((SUMIF(Horo8287[Client],B71,Horo8287[Durée]) / Total)=0,"",(SUMIF(Horo8287[Client],B71,Horo8287[Durée]) / Total))</f>
        <v/>
      </c>
      <c r="B71" s="68" t="s">
        <v>71</v>
      </c>
      <c r="C71" s="70" t="str">
        <f aca="false">IF(SUMIF(Horo8287[Client],B71,Horo8287[Durée])=0,"",SUMIF(Horo8287[Client],B71,Horo8287[Durée]))</f>
        <v/>
      </c>
    </row>
    <row r="72" customFormat="false" ht="15" hidden="false" customHeight="false" outlineLevel="1" collapsed="false">
      <c r="A72" s="67" t="str">
        <f aca="false">IF((SUMIF(Horo8287[Client],B72,Horo8287[Durée]) / Total)=0,"",(SUMIF(Horo8287[Client],B72,Horo8287[Durée]) / Total))</f>
        <v/>
      </c>
      <c r="B72" s="68" t="s">
        <v>72</v>
      </c>
      <c r="C72" s="70" t="str">
        <f aca="false">IF(SUMIF(Horo8287[Client],B72,Horo8287[Durée])=0,"",SUMIF(Horo8287[Client],B72,Horo8287[Durée]))</f>
        <v/>
      </c>
    </row>
    <row r="73" customFormat="false" ht="15" hidden="false" customHeight="false" outlineLevel="1" collapsed="false">
      <c r="A73" s="67" t="str">
        <f aca="false">IF((SUMIF(Horo8287[Client],B73,Horo8287[Durée]) / Total)=0,"",(SUMIF(Horo8287[Client],B73,Horo8287[Durée]) / Total))</f>
        <v/>
      </c>
      <c r="B73" s="68" t="s">
        <v>73</v>
      </c>
      <c r="C73" s="70" t="str">
        <f aca="false">IF(SUMIF(Horo8287[Client],B73,Horo8287[Durée])=0,"",SUMIF(Horo8287[Client],B73,Horo8287[Durée]))</f>
        <v/>
      </c>
    </row>
    <row r="74" customFormat="false" ht="15" hidden="false" customHeight="false" outlineLevel="1" collapsed="false">
      <c r="A74" s="67" t="str">
        <f aca="false">IF((SUMIF(Horo8287[Client],B74,Horo8287[Durée]) / Total)=0,"",(SUMIF(Horo8287[Client],B74,Horo8287[Durée]) / Total))</f>
        <v/>
      </c>
      <c r="B74" s="68" t="s">
        <v>74</v>
      </c>
      <c r="C74" s="70" t="str">
        <f aca="false">IF(SUMIF(Horo8287[Client],B74,Horo8287[Durée])=0,"",SUMIF(Horo8287[Client],B74,Horo8287[Durée]))</f>
        <v/>
      </c>
    </row>
    <row r="75" customFormat="false" ht="15" hidden="false" customHeight="false" outlineLevel="1" collapsed="false">
      <c r="A75" s="67" t="str">
        <f aca="false">IF((SUMIF(Horo8287[Client],B75,Horo8287[Durée]) / Total)=0,"",(SUMIF(Horo8287[Client],B75,Horo8287[Durée]) / Total))</f>
        <v/>
      </c>
      <c r="B75" s="68" t="s">
        <v>81</v>
      </c>
      <c r="C75" s="69" t="str">
        <f aca="false">IF(SUMIF(Horo8287[Client],B75,Horo8287[Durée])=0,"",SUMIF(Horo8287[Client],B75,Horo8287[Durée]))</f>
        <v/>
      </c>
    </row>
    <row r="76" customFormat="false" ht="15" hidden="false" customHeight="false" outlineLevel="1" collapsed="false">
      <c r="A76" s="67" t="str">
        <f aca="false">IF((SUMIF(Horo8287[Client],B76,Horo8287[Durée]) / Total)=0,"",(SUMIF(Horo8287[Client],B76,Horo8287[Durée]) / Total))</f>
        <v/>
      </c>
      <c r="B76" s="68" t="s">
        <v>76</v>
      </c>
      <c r="C76" s="70" t="str">
        <f aca="false">IF(SUMIF(Horo8287[Client],B76,Horo8287[Durée])=0,"",SUMIF(Horo8287[Client],B76,Horo8287[Durée]))</f>
        <v/>
      </c>
    </row>
    <row r="77" customFormat="false" ht="15" hidden="false" customHeight="false" outlineLevel="1" collapsed="false">
      <c r="A77" s="67" t="str">
        <f aca="false">IF((SUMIF(Horo8287[Client],B77,Horo8287[Durée]) / Total)=0,"",(SUMIF(Horo8287[Client],B77,Horo8287[Durée]) / Total))</f>
        <v/>
      </c>
      <c r="B77" s="68" t="s">
        <v>77</v>
      </c>
      <c r="C77" s="70" t="str">
        <f aca="false">IF(SUMIF(Horo8287[Client],B77,Horo8287[Durée])=0,"",SUMIF(Horo8287[Client],B77,Horo8287[Durée]))</f>
        <v/>
      </c>
    </row>
    <row r="78" customFormat="false" ht="15" hidden="false" customHeight="false" outlineLevel="1" collapsed="false">
      <c r="A78" s="67" t="str">
        <f aca="false">IF((SUMIF(Horo8287[Client],B78,Horo8287[Durée]) / Total)=0,"",(SUMIF(Horo8287[Client],B78,Horo8287[Durée]) / Total))</f>
        <v/>
      </c>
      <c r="B78" s="68" t="s">
        <v>45</v>
      </c>
      <c r="C78" s="70" t="str">
        <f aca="false">IF(SUMIF(Horo8287[Client],B78,Horo8287[Durée])=0,"",SUMIF(Horo8287[Client],B78,Horo8287[Durée]))</f>
        <v/>
      </c>
    </row>
    <row r="79" customFormat="false" ht="15" hidden="false" customHeight="false" outlineLevel="1" collapsed="false">
      <c r="A79" s="67" t="str">
        <f aca="false">IF((SUMIF(Horo8287[Client],B79,Horo8287[Durée]) / Total)=0,"",(SUMIF(Horo8287[Client],B79,Horo8287[Durée]) / Total))</f>
        <v/>
      </c>
      <c r="B79" s="68" t="s">
        <v>78</v>
      </c>
      <c r="C79" s="70" t="str">
        <f aca="false">IF(SUMIF(Horo8287[Client],B79,Horo8287[Durée])=0,"",SUMIF(Horo8287[Client],B79,Horo8287[Durée]))</f>
        <v/>
      </c>
    </row>
    <row r="80" customFormat="false" ht="15" hidden="false" customHeight="false" outlineLevel="1" collapsed="false">
      <c r="A80" s="67" t="str">
        <f aca="false">IF((SUMIF(Horo8287[Client],B80,Horo8287[Durée]) / Total)=0,"",(SUMIF(Horo8287[Client],B80,Horo8287[Durée]) / Total))</f>
        <v/>
      </c>
      <c r="B80" s="68" t="s">
        <v>79</v>
      </c>
      <c r="C80" s="70" t="str">
        <f aca="false">IF(SUMIF(Horo8287[Client],B80,Horo8287[Durée])=0,"",SUMIF(Horo8287[Client],B80,Horo8287[Durée]))</f>
        <v/>
      </c>
    </row>
    <row r="81" customFormat="false" ht="15" hidden="false" customHeight="false" outlineLevel="1" collapsed="false">
      <c r="A81" s="67" t="str">
        <f aca="false">IF((SUMIF(Horo8287[Client],B81,Horo8287[Durée]) / Total)=0,"",(SUMIF(Horo8287[Client],B81,Horo8287[Durée]) / Total))</f>
        <v/>
      </c>
      <c r="B81" s="68" t="s">
        <v>80</v>
      </c>
      <c r="C81" s="70" t="str">
        <f aca="false">IF(SUMIF(Horo8287[Client],B81,Horo8287[Durée])=0,"",SUMIF(Horo8287[Client],B81,Horo8287[Durée]))</f>
        <v/>
      </c>
    </row>
    <row r="82" customFormat="false" ht="15" hidden="false" customHeight="false" outlineLevel="1" collapsed="false">
      <c r="A82" s="67" t="n">
        <f aca="false">IF((SUMIF(Horo8287[Client],B82,Horo8287[Durée]) / Total)=0,"",(SUMIF(Horo8287[Client],B82,Horo8287[Durée]) / Total))</f>
        <v>0.012987012987013</v>
      </c>
      <c r="B82" s="72" t="s">
        <v>75</v>
      </c>
      <c r="C82" s="69" t="n">
        <f aca="false">IF(SUMIF(Horo8287[Client],B82,Horo8287[Durée])=0,"",SUMIF(Horo8287[Client],B82,Horo8287[Durée]))</f>
        <v>0.5</v>
      </c>
    </row>
    <row r="83" customFormat="false" ht="15" hidden="true" customHeight="false" outlineLevel="1" collapsed="false"/>
    <row r="84" customFormat="false" ht="15" hidden="true" customHeight="false" outlineLevel="1" collapsed="false"/>
    <row r="85" customFormat="false" ht="15" hidden="true" customHeight="false" outlineLevel="1" collapsed="false"/>
    <row r="86" customFormat="false" ht="15" hidden="true" customHeight="false" outlineLevel="1" collapsed="false"/>
    <row r="87" customFormat="false" ht="15" hidden="true" customHeight="false" outlineLevel="1" collapsed="false"/>
    <row r="88" customFormat="false" ht="15" hidden="true" customHeight="false" outlineLevel="1" collapsed="false"/>
    <row r="89" customFormat="false" ht="15" hidden="true" customHeight="false" outlineLevel="1" collapsed="false"/>
    <row r="90" customFormat="false" ht="15" hidden="true" customHeight="false" outlineLevel="1" collapsed="false"/>
    <row r="91" customFormat="false" ht="15" hidden="true" customHeight="false" outlineLevel="1" collapsed="false"/>
  </sheetData>
  <conditionalFormatting sqref="H4:H47">
    <cfRule type="expression" priority="2" aboveAverage="0" equalAverage="0" bottom="0" percent="0" rank="0" text="" dxfId="553">
      <formula>A4="O"</formula>
    </cfRule>
  </conditionalFormatting>
  <conditionalFormatting sqref="K4:K47">
    <cfRule type="expression" priority="3" aboveAverage="0" equalAverage="0" bottom="0" percent="0" rank="0" text="" dxfId="554">
      <formula>A4="O"</formula>
    </cfRule>
    <cfRule type="expression" priority="4" aboveAverage="0" equalAverage="0" bottom="0" percent="0" rank="0" text="" dxfId="555">
      <formula>A4="O"</formula>
    </cfRule>
  </conditionalFormatting>
  <conditionalFormatting sqref="C4:C47">
    <cfRule type="expression" priority="5" aboveAverage="0" equalAverage="0" bottom="0" percent="0" rank="0" text="" dxfId="556">
      <formula>A4="O"</formula>
    </cfRule>
    <cfRule type="containsText" priority="6" operator="containsText" aboveAverage="0" equalAverage="0" bottom="0" percent="0" rank="0" text="Dimanche" dxfId="557">
      <formula>NOT(ISERROR(SEARCH("Dimanche",C4)))</formula>
    </cfRule>
    <cfRule type="containsText" priority="7" operator="containsText" aboveAverage="0" equalAverage="0" bottom="0" percent="0" rank="0" text="Samedi" dxfId="558">
      <formula>NOT(ISERROR(SEARCH("Samedi",C4)))</formula>
    </cfRule>
    <cfRule type="containsText" priority="8" operator="containsText" aboveAverage="0" equalAverage="0" bottom="0" percent="0" rank="0" text="Vendredi" dxfId="559">
      <formula>NOT(ISERROR(SEARCH("Vendredi",C4)))</formula>
    </cfRule>
    <cfRule type="containsText" priority="9" operator="containsText" aboveAverage="0" equalAverage="0" bottom="0" percent="0" rank="0" text="Jeudi" dxfId="560">
      <formula>NOT(ISERROR(SEARCH("Jeudi",C4)))</formula>
    </cfRule>
    <cfRule type="containsText" priority="10" operator="containsText" aboveAverage="0" equalAverage="0" bottom="0" percent="0" rank="0" text="Mercredi" dxfId="561">
      <formula>NOT(ISERROR(SEARCH("Mercredi",C4)))</formula>
    </cfRule>
    <cfRule type="containsText" priority="11" operator="containsText" aboveAverage="0" equalAverage="0" bottom="0" percent="0" rank="0" text="Mardi" dxfId="562">
      <formula>NOT(ISERROR(SEARCH("Mardi",C4)))</formula>
    </cfRule>
    <cfRule type="containsText" priority="12" operator="containsText" aboveAverage="0" equalAverage="0" bottom="0" percent="0" rank="0" text="Lundi" dxfId="563">
      <formula>NOT(ISERROR(SEARCH("Lundi",C4)))</formula>
    </cfRule>
  </conditionalFormatting>
  <conditionalFormatting sqref="G4:G47">
    <cfRule type="expression" priority="13" aboveAverage="0" equalAverage="0" bottom="0" percent="0" rank="0" text="" dxfId="564">
      <formula>A4="O"</formula>
    </cfRule>
  </conditionalFormatting>
  <conditionalFormatting sqref="I4:I47">
    <cfRule type="expression" priority="14" aboveAverage="0" equalAverage="0" bottom="0" percent="0" rank="0" text="" dxfId="565">
      <formula>A4="O"</formula>
    </cfRule>
  </conditionalFormatting>
  <conditionalFormatting sqref="J4:J47">
    <cfRule type="expression" priority="15" aboveAverage="0" equalAverage="0" bottom="0" percent="0" rank="0" text="" dxfId="566">
      <formula>A4="O"</formula>
    </cfRule>
  </conditionalFormatting>
  <conditionalFormatting sqref="F4:F47">
    <cfRule type="expression" priority="16" aboveAverage="0" equalAverage="0" bottom="0" percent="0" rank="0" text="" dxfId="567">
      <formula>A4="O"</formula>
    </cfRule>
  </conditionalFormatting>
  <conditionalFormatting sqref="B4:B47">
    <cfRule type="cellIs" priority="17" operator="equal" aboveAverage="0" equalAverage="0" bottom="0" percent="0" rank="0" text="" dxfId="568">
      <formula>0</formula>
    </cfRule>
    <cfRule type="expression" priority="18" aboveAverage="0" equalAverage="0" bottom="0" percent="0" rank="0" text="" dxfId="569">
      <formula>A4="O"</formula>
    </cfRule>
    <cfRule type="colorScale" priority="19">
      <colorScale>
        <cfvo type="min" val="0"/>
        <cfvo type="percentile" val="50"/>
        <cfvo type="max" val="0"/>
        <color rgb="FFFFC000"/>
        <color rgb="FFC55A11"/>
        <color rgb="FF2E75B6"/>
      </colorScale>
    </cfRule>
  </conditionalFormatting>
  <conditionalFormatting sqref="D4:D47">
    <cfRule type="expression" priority="20" aboveAverage="0" equalAverage="0" bottom="0" percent="0" rank="0" text="" dxfId="570">
      <formula>A4="O"</formula>
    </cfRule>
    <cfRule type="colorScale" priority="21">
      <colorScale>
        <cfvo type="min" val="0"/>
        <cfvo type="percentile" val="50"/>
        <cfvo type="max" val="0"/>
        <color rgb="FFFFC000"/>
        <color rgb="FFC55A11"/>
        <color rgb="FF2E75B6"/>
      </colorScale>
    </cfRule>
  </conditionalFormatting>
  <conditionalFormatting sqref="E4:E47">
    <cfRule type="expression" priority="22" aboveAverage="0" equalAverage="0" bottom="0" percent="0" rank="0" text="" dxfId="571">
      <formula>A4="O"</formula>
    </cfRule>
    <cfRule type="colorScale" priority="23">
      <colorScale>
        <cfvo type="min" val="0"/>
        <cfvo type="percentile" val="50"/>
        <cfvo type="max" val="0"/>
        <color rgb="FFFFC000"/>
        <color rgb="FFC55A11"/>
        <color rgb="FF2E75B6"/>
      </colorScale>
    </cfRule>
  </conditionalFormatting>
  <dataValidations count="5">
    <dataValidation allowBlank="true" errorStyle="stop" operator="between" showDropDown="false" showErrorMessage="true" showInputMessage="true" sqref="C4:C47" type="list">
      <formula1>Data!$C$2:$C$8</formula1>
      <formula2>0</formula2>
    </dataValidation>
    <dataValidation allowBlank="false" errorStyle="stop" operator="between" showDropDown="false" showErrorMessage="true" showInputMessage="true" sqref="F4:F47" type="list">
      <formula1>Data!$E$2:$E$30</formula1>
      <formula2>0</formula2>
    </dataValidation>
    <dataValidation allowBlank="true" errorStyle="information" errorTitle="OK ?" operator="between" showDropDown="false" showErrorMessage="true" showInputMessage="true" sqref="G4:G47" type="list">
      <formula1>Data!$D$2:$D$16</formula1>
      <formula2>0</formula2>
    </dataValidation>
    <dataValidation allowBlank="false" errorStyle="stop" operator="between" showDropDown="false" showErrorMessage="true" showInputMessage="true" sqref="H4:H47" type="list">
      <formula1>Data!$F$2:$F$50</formula1>
      <formula2>0</formula2>
    </dataValidation>
    <dataValidation allowBlank="true" errorStyle="stop" operator="between" showDropDown="false" showErrorMessage="true" showInputMessage="true" sqref="C1" type="list">
      <formula1>Data!$A$2:$A$106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  <tableParts>
    <tablePart r:id="rId2"/>
    <tablePart r:id="rId3"/>
  </tableParts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E76"/>
  <sheetViews>
    <sheetView showFormulas="false" showGridLines="true" showRowColHeaders="true" showZeros="true" rightToLeft="false" tabSelected="false" showOutlineSymbols="true" defaultGridColor="true" view="normal" topLeftCell="A9" colorId="64" zoomScale="100" zoomScaleNormal="100" zoomScalePageLayoutView="100" workbookViewId="0">
      <selection pane="topLeft" activeCell="D17" activeCellId="0" sqref="D17"/>
    </sheetView>
  </sheetViews>
  <sheetFormatPr defaultColWidth="9.1484375" defaultRowHeight="15" zeroHeight="false" outlineLevelRow="1" outlineLevelCol="0"/>
  <cols>
    <col collapsed="false" customWidth="true" hidden="false" outlineLevel="0" max="1" min="1" style="1" width="5.57"/>
    <col collapsed="false" customWidth="true" hidden="false" outlineLevel="0" max="2" min="2" style="1" width="19.42"/>
    <col collapsed="false" customWidth="true" hidden="false" outlineLevel="0" max="3" min="3" style="1" width="18.29"/>
    <col collapsed="false" customWidth="true" hidden="false" outlineLevel="0" max="4" min="4" style="1" width="12.15"/>
    <col collapsed="false" customWidth="true" hidden="false" outlineLevel="0" max="5" min="5" style="1" width="10.57"/>
    <col collapsed="false" customWidth="true" hidden="false" outlineLevel="0" max="6" min="6" style="1" width="19"/>
    <col collapsed="false" customWidth="true" hidden="false" outlineLevel="0" max="7" min="7" style="1" width="11.43"/>
    <col collapsed="false" customWidth="true" hidden="false" outlineLevel="0" max="8" min="8" style="1" width="14.57"/>
    <col collapsed="false" customWidth="true" hidden="false" outlineLevel="0" max="9" min="9" style="1" width="16"/>
    <col collapsed="false" customWidth="true" hidden="false" outlineLevel="0" max="10" min="10" style="1" width="9.71"/>
    <col collapsed="false" customWidth="true" hidden="false" outlineLevel="0" max="11" min="11" style="1" width="7.29"/>
    <col collapsed="false" customWidth="true" hidden="false" outlineLevel="0" max="12" min="12" style="2" width="9.86"/>
    <col collapsed="false" customWidth="true" hidden="false" outlineLevel="0" max="13" min="13" style="1" width="6.14"/>
    <col collapsed="false" customWidth="true" hidden="false" outlineLevel="0" max="14" min="14" style="1" width="5"/>
    <col collapsed="false" customWidth="true" hidden="false" outlineLevel="0" max="15" min="15" style="1" width="5.57"/>
    <col collapsed="false" customWidth="true" hidden="false" outlineLevel="0" max="17" min="16" style="1" width="5"/>
    <col collapsed="false" customWidth="true" hidden="false" outlineLevel="0" max="18" min="18" style="1" width="8.29"/>
    <col collapsed="false" customWidth="true" hidden="false" outlineLevel="0" max="20" min="19" style="1" width="5"/>
    <col collapsed="false" customWidth="true" hidden="false" outlineLevel="0" max="21" min="21" style="1" width="5.57"/>
    <col collapsed="false" customWidth="true" hidden="true" outlineLevel="0" max="23" min="22" style="1" width="6.14"/>
    <col collapsed="false" customWidth="true" hidden="true" outlineLevel="0" max="24" min="24" style="1" width="12.71"/>
    <col collapsed="false" customWidth="true" hidden="true" outlineLevel="0" max="32" min="25" style="1" width="11.53"/>
    <col collapsed="false" customWidth="false" hidden="false" outlineLevel="0" max="16384" min="33" style="1" width="9.14"/>
  </cols>
  <sheetData>
    <row r="1" customFormat="false" ht="17.35" hidden="false" customHeight="false" outlineLevel="0" collapsed="false">
      <c r="A1" s="3"/>
      <c r="B1" s="4" t="str">
        <f aca="false">"Semaine du :" &amp; Data!D41</f>
        <v>Semaine du :</v>
      </c>
      <c r="C1" s="5" t="n">
        <v>44333</v>
      </c>
      <c r="D1" s="6" t="str">
        <f aca="false">"( "&amp;AVERAGE($E$2:$I$2)&amp;" )"</f>
        <v>( 8 )</v>
      </c>
      <c r="E1" s="7" t="str">
        <f aca="false">IFERROR("Lun.: " &amp; TEXT($Y$2,"00%"),"Lun.: 0%")</f>
        <v>Lun.: 00%</v>
      </c>
      <c r="F1" s="8" t="str">
        <f aca="false">IFERROR("Mar.: " &amp; TEXT($Z$2,"00%"),"Mar.: 0%")</f>
        <v>Mar.: 79%</v>
      </c>
      <c r="G1" s="8" t="str">
        <f aca="false">IFERROR("Mer.: " &amp; TEXT($AA$2,"00%"),"Mer.: 0%")</f>
        <v>Mer.: 70%</v>
      </c>
      <c r="H1" s="8" t="str">
        <f aca="false">IFERROR("Jeu.: " &amp; TEXT($AB$2,"00%"),"Jeu.: 0%")</f>
        <v>Jeu.: 79%</v>
      </c>
      <c r="I1" s="8" t="str">
        <f aca="false">IFERROR("Ven.: " &amp; TEXT($AC$2,"00%"),"Ven.: 0%")</f>
        <v>Ven.: 79%</v>
      </c>
      <c r="J1" s="9" t="str">
        <f aca="false">IFERROR("S.: " &amp; TEXT($AD$2,"00%"),"S.: 0%")</f>
        <v>S.: 0%</v>
      </c>
      <c r="K1" s="10" t="str">
        <f aca="false">IFERROR("D.: " &amp; TEXT($AE$2,"00%"), "D.: 0%")</f>
        <v>D.: 0%</v>
      </c>
      <c r="L1" s="11"/>
      <c r="M1" s="12" t="n">
        <f aca="false">M2/Total</f>
        <v>0.636363636363637</v>
      </c>
      <c r="N1" s="12" t="n">
        <f aca="false">N2/$C$2</f>
        <v>0.0125</v>
      </c>
      <c r="O1" s="12" t="n">
        <f aca="false">O2/$C$2</f>
        <v>0.0625</v>
      </c>
      <c r="P1" s="12" t="n">
        <f aca="false">P2/$C$2</f>
        <v>0.0875000000000001</v>
      </c>
      <c r="Q1" s="12" t="n">
        <f aca="false">Q2/$C$2</f>
        <v>0.025</v>
      </c>
      <c r="R1" s="13" t="n">
        <f aca="false">R2/$C$2</f>
        <v>0.2</v>
      </c>
      <c r="S1" s="13" t="n">
        <f aca="false">S2/$C$2</f>
        <v>0</v>
      </c>
      <c r="T1" s="13" t="n">
        <f aca="false">T2/$C$2</f>
        <v>0</v>
      </c>
      <c r="U1" s="14" t="n">
        <f aca="false">U2/$C$2</f>
        <v>0</v>
      </c>
      <c r="V1" s="112"/>
      <c r="W1" s="16"/>
      <c r="X1" s="17" t="e">
        <f aca="false">SUM(#REF!)</f>
        <v>#REF!</v>
      </c>
      <c r="Y1" s="18" t="s">
        <v>0</v>
      </c>
      <c r="Z1" s="18" t="s">
        <v>1</v>
      </c>
      <c r="AA1" s="18" t="s">
        <v>2</v>
      </c>
      <c r="AB1" s="18" t="s">
        <v>3</v>
      </c>
      <c r="AC1" s="18" t="s">
        <v>4</v>
      </c>
      <c r="AD1" s="18" t="s">
        <v>5</v>
      </c>
      <c r="AE1" s="18" t="s">
        <v>6</v>
      </c>
    </row>
    <row r="2" customFormat="false" ht="22.05" hidden="false" customHeight="false" outlineLevel="0" collapsed="false">
      <c r="A2" s="3"/>
      <c r="B2" s="19" t="n">
        <f aca="false">X2</f>
        <v>0.754098360655738</v>
      </c>
      <c r="C2" s="20" t="n">
        <f aca="false">SUM(Horo8285[Durée])</f>
        <v>40</v>
      </c>
      <c r="D2" s="21" t="str">
        <f aca="false">ROUND(SUM(Horo8285[T]),2) &amp; " / " &amp; ROUND($C$2-SUM(Horo8285[T]),2)</f>
        <v>40 / 0</v>
      </c>
      <c r="E2" s="22" t="n">
        <f aca="false">SUMIF(Horo8285[Jour],"Lundi",Horo8285[Durée])</f>
        <v>8</v>
      </c>
      <c r="F2" s="23" t="n">
        <f aca="false">SUMIF(Horo8285[Jour],"Mardi",Horo8285[Durée])</f>
        <v>7.25</v>
      </c>
      <c r="G2" s="23" t="n">
        <f aca="false">SUMIF(Horo8285[Jour],"Mercredi",Horo8285[Durée])</f>
        <v>8.25</v>
      </c>
      <c r="H2" s="23" t="n">
        <f aca="false">SUMIF(Horo8285[Jour],"Jeudi",Horo8285[Durée])</f>
        <v>9.5</v>
      </c>
      <c r="I2" s="23" t="n">
        <f aca="false">SUMIF(Horo8285[Jour],"Vendredi",Horo8285[Durée])</f>
        <v>7</v>
      </c>
      <c r="J2" s="23" t="n">
        <f aca="false">SUMIF(Horo8285[Jour],"Samedi",Horo8285[Durée])</f>
        <v>0</v>
      </c>
      <c r="K2" s="23" t="n">
        <f aca="false">SUMIF(Horo8285[Jour],"Dimanche",Horo8285[Durée])</f>
        <v>0</v>
      </c>
      <c r="L2" s="24"/>
      <c r="M2" s="25" t="n">
        <f aca="false">SUM(Horo8285[GPF])</f>
        <v>24.5</v>
      </c>
      <c r="N2" s="25" t="n">
        <f aca="false">SUM(Horo8285[RI])</f>
        <v>0.500000000000001</v>
      </c>
      <c r="O2" s="25" t="n">
        <f aca="false">SUM(Horo8285[GB])</f>
        <v>2.5</v>
      </c>
      <c r="P2" s="25" t="n">
        <f aca="false">SUM(Horo8285[RD])</f>
        <v>3.5</v>
      </c>
      <c r="Q2" s="25" t="n">
        <f aca="false">SUM(Horo8285[FG])</f>
        <v>1</v>
      </c>
      <c r="R2" s="26" t="n">
        <f aca="false">SUM(Horo8285[CONGÉ])</f>
        <v>8</v>
      </c>
      <c r="S2" s="26" t="n">
        <f aca="false">SUM(Horo8285[PS])</f>
        <v>0</v>
      </c>
      <c r="T2" s="26" t="n">
        <f aca="false">SUM(Horo8285[TD])</f>
        <v>0</v>
      </c>
      <c r="U2" s="27" t="n">
        <f aca="false">SUM(Horo8285[N/C])</f>
        <v>0</v>
      </c>
      <c r="V2" s="17" t="n">
        <f aca="false">(Total-(SUM(N2:U2)))</f>
        <v>23</v>
      </c>
      <c r="W2" s="17" t="n">
        <f aca="false">Total-(R2+S2+T2+U2)</f>
        <v>30.5</v>
      </c>
      <c r="X2" s="28" t="n">
        <f aca="false">V2/W2</f>
        <v>0.754098360655738</v>
      </c>
      <c r="Y2" s="29" t="n">
        <f aca="false">SUMIF(Horo8285[Jour],"Lundi",Horo8285[GPF]) / $E$2</f>
        <v>0</v>
      </c>
      <c r="Z2" s="29" t="n">
        <f aca="false">SUMIF(Horo8285[Jour],"Mardi",Horo8285[GPF]) / $F$2</f>
        <v>0.793103448275862</v>
      </c>
      <c r="AA2" s="29" t="n">
        <f aca="false">SUMIF(Horo8285[Jour],"Mercredi",Horo8285[GPF]) / $G$2</f>
        <v>0.696969696969697</v>
      </c>
      <c r="AB2" s="29" t="n">
        <f aca="false">SUMIF(Horo8285[Jour],"Jeudi",Horo8285[GPF]) / $H$2</f>
        <v>0.789473684210526</v>
      </c>
      <c r="AC2" s="29" t="n">
        <f aca="false">SUMIF(Horo8285[Jour],"Vendredi",Horo8285[GPF]) / $I$2</f>
        <v>0.785714285714286</v>
      </c>
      <c r="AD2" s="29" t="e">
        <f aca="false">SUMIF(Horo8285[Jour],"Samedi",Horo8285[GPF]) / $J$2</f>
        <v>#DIV/0!</v>
      </c>
      <c r="AE2" s="29" t="e">
        <f aca="false">SUMIF(Horo8285[Jour],"Dimanche",Horo8285[GPF]) / $K$2</f>
        <v>#DIV/0!</v>
      </c>
    </row>
    <row r="3" customFormat="false" ht="15" hidden="false" customHeight="false" outlineLevel="0" collapsed="false">
      <c r="A3" s="30" t="s">
        <v>7</v>
      </c>
      <c r="B3" s="31" t="s">
        <v>8</v>
      </c>
      <c r="C3" s="31" t="s">
        <v>9</v>
      </c>
      <c r="D3" s="32" t="s">
        <v>10</v>
      </c>
      <c r="E3" s="33" t="s">
        <v>11</v>
      </c>
      <c r="F3" s="34" t="s">
        <v>12</v>
      </c>
      <c r="G3" s="34" t="s">
        <v>13</v>
      </c>
      <c r="H3" s="34" t="s">
        <v>14</v>
      </c>
      <c r="I3" s="35" t="s">
        <v>15</v>
      </c>
      <c r="J3" s="36" t="s">
        <v>16</v>
      </c>
      <c r="K3" s="36" t="s">
        <v>17</v>
      </c>
      <c r="L3" s="37" t="s">
        <v>18</v>
      </c>
      <c r="M3" s="38" t="s">
        <v>19</v>
      </c>
      <c r="N3" s="39" t="s">
        <v>20</v>
      </c>
      <c r="O3" s="39" t="s">
        <v>21</v>
      </c>
      <c r="P3" s="39" t="s">
        <v>22</v>
      </c>
      <c r="Q3" s="39" t="s">
        <v>23</v>
      </c>
      <c r="R3" s="40" t="s">
        <v>24</v>
      </c>
      <c r="S3" s="40" t="s">
        <v>25</v>
      </c>
      <c r="T3" s="41" t="s">
        <v>26</v>
      </c>
      <c r="U3" s="41" t="s">
        <v>27</v>
      </c>
      <c r="V3" s="42" t="s">
        <v>28</v>
      </c>
      <c r="W3" s="43" t="s">
        <v>29</v>
      </c>
      <c r="X3" s="44" t="s">
        <v>30</v>
      </c>
    </row>
    <row r="4" customFormat="false" ht="15" hidden="false" customHeight="false" outlineLevel="0" collapsed="false">
      <c r="A4" s="45" t="s">
        <v>31</v>
      </c>
      <c r="B4" s="111" t="n">
        <f aca="false">IF(Horo8285[[#This Row],[Jour]]="Lundi",$C$1+1, IF(Horo8285[[#This Row],[Jour]]="Mardi",$C$1+2, IF(Horo8285[[#This Row],[Jour]]="Mercredi",$C$1+3, IF(Horo8285[[#This Row],[Jour]]="Jeudi",$C$1+4, IF(Horo8285[[#This Row],[Jour]]="Vendredi",$C$1+5, IF(Horo8285[[#This Row],[Jour]]="Samedi",$C$1+6, IF(Horo8285[[#This Row],[Jour]]="Dimanche",$C$1, )))))))</f>
        <v>44334</v>
      </c>
      <c r="C4" s="47" t="s">
        <v>0</v>
      </c>
      <c r="D4" s="48" t="n">
        <v>0.333333333333333</v>
      </c>
      <c r="E4" s="48" t="n">
        <v>0.666666666666667</v>
      </c>
      <c r="F4" s="49" t="s">
        <v>32</v>
      </c>
      <c r="G4" s="49" t="s">
        <v>24</v>
      </c>
      <c r="H4" s="50" t="s">
        <v>201</v>
      </c>
      <c r="I4" s="61" t="s">
        <v>281</v>
      </c>
      <c r="J4" s="52" t="n">
        <f aca="false">IF(Horo8285[[#This Row],[Début]]=0,"",(Horo8285[[#This Row],[Durée (60)2]]-INT(Horo8285[[#This Row],[Durée (60)2]]))*24)</f>
        <v>8</v>
      </c>
      <c r="K4" s="62" t="n">
        <f aca="false">SUMIF(Horo8285[Jour],C4,Horo8285[Durée])</f>
        <v>8</v>
      </c>
      <c r="L4" s="54" t="n">
        <f aca="false">IFERROR(SUMIF(Horo8285[[#This Row],[Jour]],Horo8285[[#This Row],[Jour]],Horo8285[[#This Row],[GPF]]) / Horo8285[[#This Row],[hrs]],"")</f>
        <v>0</v>
      </c>
      <c r="M4" s="56" t="str">
        <f aca="false">IF("GPF"=Horo8285[[#This Row],[Tâche]],Horo8285[[#This Row],[Durée]],"")</f>
        <v/>
      </c>
      <c r="N4" s="56" t="str">
        <f aca="false">IF("RI"=Horo8285[[#This Row],[Tâche]],Horo8285[[#This Row],[Durée]],"")</f>
        <v/>
      </c>
      <c r="O4" s="56" t="str">
        <f aca="false">IF("GB"=Horo8285[[#This Row],[Tâche]],Horo8285[[#This Row],[Durée]],"")</f>
        <v/>
      </c>
      <c r="P4" s="56" t="str">
        <f aca="false">IF("RD"=Horo8285[[#This Row],[Tâche]],Horo8285[[#This Row],[Durée]],"")</f>
        <v/>
      </c>
      <c r="Q4" s="56" t="str">
        <f aca="false">IF("FG"=Horo8285[[#This Row],[Tâche]],Horo8285[[#This Row],[Durée]],"")</f>
        <v/>
      </c>
      <c r="R4" s="56" t="n">
        <f aca="false">IF("CONGÉ"=Horo8285[[#This Row],[Tâche]],Horo8285[[#This Row],[Durée]],"")</f>
        <v>8</v>
      </c>
      <c r="S4" s="56" t="str">
        <f aca="false">IF("PS"=Horo8285[[#This Row],[Tâche]],Horo8285[[#This Row],[Durée]],"")</f>
        <v/>
      </c>
      <c r="T4" s="56" t="str">
        <f aca="false">IF("TD"=Horo8285[[#This Row],[Tâche]],Horo8285[[#This Row],[Durée]],"")</f>
        <v/>
      </c>
      <c r="U4" s="56" t="str">
        <f aca="false">IF("N/C"=Horo8285[[#This Row],[Tâche]],Horo8285[[#This Row],[Durée]],"")</f>
        <v/>
      </c>
      <c r="V4" s="58"/>
      <c r="W4" s="59" t="n">
        <f aca="false">IF(Horo8285[[#This Row],[O]]="o",Horo8285[[#This Row],[Durée]],".")</f>
        <v>8</v>
      </c>
      <c r="X4" s="64" t="n">
        <f aca="false">IF(Horo8285[[#This Row],[Début]]=0,"",Horo8285[[#This Row],[Fin]]-Horo8285[[#This Row],[Début]])</f>
        <v>0.333333333333333</v>
      </c>
    </row>
    <row r="5" customFormat="false" ht="15" hidden="false" customHeight="false" outlineLevel="0" collapsed="false">
      <c r="A5" s="45" t="s">
        <v>31</v>
      </c>
      <c r="B5" s="111" t="n">
        <f aca="false">IF(Horo8285[[#This Row],[Jour]]="Lundi",$C$1+1, IF(Horo8285[[#This Row],[Jour]]="Mardi",$C$1+2, IF(Horo8285[[#This Row],[Jour]]="Mercredi",$C$1+3, IF(Horo8285[[#This Row],[Jour]]="Jeudi",$C$1+4, IF(Horo8285[[#This Row],[Jour]]="Vendredi",$C$1+5, IF(Horo8285[[#This Row],[Jour]]="Samedi",$C$1+6, IF(Horo8285[[#This Row],[Jour]]="Dimanche",$C$1, )))))))</f>
        <v>44335</v>
      </c>
      <c r="C5" s="47" t="s">
        <v>1</v>
      </c>
      <c r="D5" s="48" t="n">
        <v>0.333333333333333</v>
      </c>
      <c r="E5" s="48" t="n">
        <v>0.364583333333333</v>
      </c>
      <c r="F5" s="49" t="s">
        <v>32</v>
      </c>
      <c r="G5" s="49" t="s">
        <v>21</v>
      </c>
      <c r="H5" s="50" t="s">
        <v>94</v>
      </c>
      <c r="I5" s="61"/>
      <c r="J5" s="52" t="n">
        <f aca="false">IF(Horo8285[[#This Row],[Début]]=0,"",(Horo8285[[#This Row],[Durée (60)2]]-INT(Horo8285[[#This Row],[Durée (60)2]]))*24)</f>
        <v>0.75</v>
      </c>
      <c r="K5" s="53" t="n">
        <f aca="false">SUMIF(Horo8285[Jour],C5,Horo8285[Durée])</f>
        <v>7.25</v>
      </c>
      <c r="L5" s="54" t="n">
        <f aca="false">IFERROR(SUMIF(Horo8285[[#This Row],[Jour]],Horo8285[[#This Row],[Jour]],Horo8285[[#This Row],[GPF]]) / Horo8285[[#This Row],[hrs]],"")</f>
        <v>0</v>
      </c>
      <c r="M5" s="55" t="str">
        <f aca="false">IF("GPF"=Horo8285[[#This Row],[Tâche]],Horo8285[[#This Row],[Durée]],"")</f>
        <v/>
      </c>
      <c r="N5" s="56" t="str">
        <f aca="false">IF("RI"=Horo8285[[#This Row],[Tâche]],Horo8285[[#This Row],[Durée]],"")</f>
        <v/>
      </c>
      <c r="O5" s="56" t="n">
        <f aca="false">IF("GB"=Horo8285[[#This Row],[Tâche]],Horo8285[[#This Row],[Durée]],"")</f>
        <v>0.75</v>
      </c>
      <c r="P5" s="56" t="str">
        <f aca="false">IF("RD"=Horo8285[[#This Row],[Tâche]],Horo8285[[#This Row],[Durée]],"")</f>
        <v/>
      </c>
      <c r="Q5" s="56" t="str">
        <f aca="false">IF("FG"=Horo8285[[#This Row],[Tâche]],Horo8285[[#This Row],[Durée]],"")</f>
        <v/>
      </c>
      <c r="R5" s="56" t="str">
        <f aca="false">IF("CONGÉ"=Horo8285[[#This Row],[Tâche]],Horo8285[[#This Row],[Durée]],"")</f>
        <v/>
      </c>
      <c r="S5" s="57" t="str">
        <f aca="false">IF("PS"=Horo8285[[#This Row],[Tâche]],Horo8285[[#This Row],[Durée]],"")</f>
        <v/>
      </c>
      <c r="T5" s="56" t="str">
        <f aca="false">IF("TD"=Horo8285[[#This Row],[Tâche]],Horo8285[[#This Row],[Durée]],"")</f>
        <v/>
      </c>
      <c r="U5" s="55" t="str">
        <f aca="false">IF("N/C"=Horo8285[[#This Row],[Tâche]],Horo8285[[#This Row],[Durée]],"")</f>
        <v/>
      </c>
      <c r="V5" s="58"/>
      <c r="W5" s="59" t="n">
        <f aca="false">IF(Horo8285[[#This Row],[O]]="o",Horo8285[[#This Row],[Durée]],".")</f>
        <v>0.75</v>
      </c>
      <c r="X5" s="60" t="n">
        <f aca="false">IF(Horo8285[[#This Row],[Début]]=0,"",Horo8285[[#This Row],[Fin]]-Horo8285[[#This Row],[Début]])</f>
        <v>0.03125</v>
      </c>
    </row>
    <row r="6" customFormat="false" ht="15" hidden="false" customHeight="false" outlineLevel="0" collapsed="false">
      <c r="A6" s="45" t="s">
        <v>31</v>
      </c>
      <c r="B6" s="111" t="n">
        <f aca="false">IF(Horo8285[[#This Row],[Jour]]="Lundi",$C$1+1, IF(Horo8285[[#This Row],[Jour]]="Mardi",$C$1+2, IF(Horo8285[[#This Row],[Jour]]="Mercredi",$C$1+3, IF(Horo8285[[#This Row],[Jour]]="Jeudi",$C$1+4, IF(Horo8285[[#This Row],[Jour]]="Vendredi",$C$1+5, IF(Horo8285[[#This Row],[Jour]]="Samedi",$C$1+6, IF(Horo8285[[#This Row],[Jour]]="Dimanche",$C$1, )))))))</f>
        <v>44335</v>
      </c>
      <c r="C6" s="47" t="s">
        <v>1</v>
      </c>
      <c r="D6" s="48" t="n">
        <v>0.364583333333333</v>
      </c>
      <c r="E6" s="48" t="n">
        <v>0.385416666666667</v>
      </c>
      <c r="F6" s="49" t="s">
        <v>32</v>
      </c>
      <c r="G6" s="49" t="s">
        <v>20</v>
      </c>
      <c r="H6" s="50" t="s">
        <v>121</v>
      </c>
      <c r="I6" s="61"/>
      <c r="J6" s="52" t="n">
        <f aca="false">IF(Horo8285[[#This Row],[Début]]=0,"",(Horo8285[[#This Row],[Durée (60)2]]-INT(Horo8285[[#This Row],[Durée (60)2]]))*24)</f>
        <v>0.500000000000001</v>
      </c>
      <c r="K6" s="53" t="n">
        <f aca="false">SUMIF(Horo8285[Jour],C6,Horo8285[Durée])</f>
        <v>7.25</v>
      </c>
      <c r="L6" s="54" t="n">
        <f aca="false">IFERROR(SUMIF(Horo8285[[#This Row],[Jour]],Horo8285[[#This Row],[Jour]],Horo8285[[#This Row],[GPF]]) / Horo8285[[#This Row],[hrs]],"")</f>
        <v>0</v>
      </c>
      <c r="M6" s="55" t="str">
        <f aca="false">IF("GPF"=Horo8285[[#This Row],[Tâche]],Horo8285[[#This Row],[Durée]],"")</f>
        <v/>
      </c>
      <c r="N6" s="56" t="n">
        <f aca="false">IF("RI"=Horo8285[[#This Row],[Tâche]],Horo8285[[#This Row],[Durée]],"")</f>
        <v>0.500000000000001</v>
      </c>
      <c r="O6" s="56" t="str">
        <f aca="false">IF("GB"=Horo8285[[#This Row],[Tâche]],Horo8285[[#This Row],[Durée]],"")</f>
        <v/>
      </c>
      <c r="P6" s="56" t="str">
        <f aca="false">IF("RD"=Horo8285[[#This Row],[Tâche]],Horo8285[[#This Row],[Durée]],"")</f>
        <v/>
      </c>
      <c r="Q6" s="56" t="str">
        <f aca="false">IF("FG"=Horo8285[[#This Row],[Tâche]],Horo8285[[#This Row],[Durée]],"")</f>
        <v/>
      </c>
      <c r="R6" s="56" t="str">
        <f aca="false">IF("CONGÉ"=Horo8285[[#This Row],[Tâche]],Horo8285[[#This Row],[Durée]],"")</f>
        <v/>
      </c>
      <c r="S6" s="57" t="str">
        <f aca="false">IF("PS"=Horo8285[[#This Row],[Tâche]],Horo8285[[#This Row],[Durée]],"")</f>
        <v/>
      </c>
      <c r="T6" s="56" t="str">
        <f aca="false">IF("TD"=Horo8285[[#This Row],[Tâche]],Horo8285[[#This Row],[Durée]],"")</f>
        <v/>
      </c>
      <c r="U6" s="55" t="str">
        <f aca="false">IF("N/C"=Horo8285[[#This Row],[Tâche]],Horo8285[[#This Row],[Durée]],"")</f>
        <v/>
      </c>
      <c r="V6" s="58"/>
      <c r="W6" s="59" t="n">
        <f aca="false">IF(Horo8285[[#This Row],[O]]="o",Horo8285[[#This Row],[Durée]],".")</f>
        <v>0.500000000000001</v>
      </c>
      <c r="X6" s="60" t="n">
        <f aca="false">IF(Horo8285[[#This Row],[Début]]=0,"",Horo8285[[#This Row],[Fin]]-Horo8285[[#This Row],[Début]])</f>
        <v>0.0208333333333334</v>
      </c>
    </row>
    <row r="7" customFormat="false" ht="15" hidden="false" customHeight="false" outlineLevel="0" collapsed="false">
      <c r="A7" s="45" t="s">
        <v>31</v>
      </c>
      <c r="B7" s="111" t="n">
        <f aca="false">IF(Horo8285[[#This Row],[Jour]]="Lundi",$C$1+1, IF(Horo8285[[#This Row],[Jour]]="Mardi",$C$1+2, IF(Horo8285[[#This Row],[Jour]]="Mercredi",$C$1+3, IF(Horo8285[[#This Row],[Jour]]="Jeudi",$C$1+4, IF(Horo8285[[#This Row],[Jour]]="Vendredi",$C$1+5, IF(Horo8285[[#This Row],[Jour]]="Samedi",$C$1+6, IF(Horo8285[[#This Row],[Jour]]="Dimanche",$C$1, )))))))</f>
        <v>44335</v>
      </c>
      <c r="C7" s="47" t="s">
        <v>1</v>
      </c>
      <c r="D7" s="48" t="n">
        <v>0.395833333333333</v>
      </c>
      <c r="E7" s="48" t="n">
        <v>0.4375</v>
      </c>
      <c r="F7" s="49" t="s">
        <v>59</v>
      </c>
      <c r="G7" s="49" t="s">
        <v>19</v>
      </c>
      <c r="H7" s="50" t="s">
        <v>105</v>
      </c>
      <c r="I7" s="61" t="s">
        <v>282</v>
      </c>
      <c r="J7" s="52" t="n">
        <f aca="false">IF(Horo8285[[#This Row],[Début]]=0,"",(Horo8285[[#This Row],[Durée (60)2]]-INT(Horo8285[[#This Row],[Durée (60)2]]))*24)</f>
        <v>1</v>
      </c>
      <c r="K7" s="53" t="n">
        <f aca="false">SUMIF(Horo8285[Jour],C7,Horo8285[Durée])</f>
        <v>7.25</v>
      </c>
      <c r="L7" s="54" t="n">
        <f aca="false">IFERROR(SUMIF(Horo8285[[#This Row],[Jour]],Horo8285[[#This Row],[Jour]],Horo8285[[#This Row],[GPF]]) / Horo8285[[#This Row],[hrs]],"")</f>
        <v>0.137931034482759</v>
      </c>
      <c r="M7" s="55" t="n">
        <f aca="false">IF("GPF"=Horo8285[[#This Row],[Tâche]],Horo8285[[#This Row],[Durée]],"")</f>
        <v>1</v>
      </c>
      <c r="N7" s="56" t="str">
        <f aca="false">IF("RI"=Horo8285[[#This Row],[Tâche]],Horo8285[[#This Row],[Durée]],"")</f>
        <v/>
      </c>
      <c r="O7" s="56" t="str">
        <f aca="false">IF("GB"=Horo8285[[#This Row],[Tâche]],Horo8285[[#This Row],[Durée]],"")</f>
        <v/>
      </c>
      <c r="P7" s="56" t="str">
        <f aca="false">IF("RD"=Horo8285[[#This Row],[Tâche]],Horo8285[[#This Row],[Durée]],"")</f>
        <v/>
      </c>
      <c r="Q7" s="56" t="str">
        <f aca="false">IF("FG"=Horo8285[[#This Row],[Tâche]],Horo8285[[#This Row],[Durée]],"")</f>
        <v/>
      </c>
      <c r="R7" s="56" t="str">
        <f aca="false">IF("CONGÉ"=Horo8285[[#This Row],[Tâche]],Horo8285[[#This Row],[Durée]],"")</f>
        <v/>
      </c>
      <c r="S7" s="57" t="str">
        <f aca="false">IF("PS"=Horo8285[[#This Row],[Tâche]],Horo8285[[#This Row],[Durée]],"")</f>
        <v/>
      </c>
      <c r="T7" s="56" t="str">
        <f aca="false">IF("TD"=Horo8285[[#This Row],[Tâche]],Horo8285[[#This Row],[Durée]],"")</f>
        <v/>
      </c>
      <c r="U7" s="55" t="str">
        <f aca="false">IF("N/C"=Horo8285[[#This Row],[Tâche]],Horo8285[[#This Row],[Durée]],"")</f>
        <v/>
      </c>
      <c r="V7" s="58"/>
      <c r="W7" s="59" t="n">
        <f aca="false">IF(Horo8285[[#This Row],[O]]="o",Horo8285[[#This Row],[Durée]],".")</f>
        <v>1</v>
      </c>
      <c r="X7" s="60" t="n">
        <f aca="false">IF(Horo8285[[#This Row],[Début]]=0,"",Horo8285[[#This Row],[Fin]]-Horo8285[[#This Row],[Début]])</f>
        <v>0.0416666666666667</v>
      </c>
    </row>
    <row r="8" customFormat="false" ht="15" hidden="false" customHeight="false" outlineLevel="0" collapsed="false">
      <c r="A8" s="45" t="s">
        <v>31</v>
      </c>
      <c r="B8" s="111" t="n">
        <f aca="false">IF(Horo8285[[#This Row],[Jour]]="Lundi",$C$1+1, IF(Horo8285[[#This Row],[Jour]]="Mardi",$C$1+2, IF(Horo8285[[#This Row],[Jour]]="Mercredi",$C$1+3, IF(Horo8285[[#This Row],[Jour]]="Jeudi",$C$1+4, IF(Horo8285[[#This Row],[Jour]]="Vendredi",$C$1+5, IF(Horo8285[[#This Row],[Jour]]="Samedi",$C$1+6, IF(Horo8285[[#This Row],[Jour]]="Dimanche",$C$1, )))))))</f>
        <v>44335</v>
      </c>
      <c r="C8" s="47" t="s">
        <v>1</v>
      </c>
      <c r="D8" s="48" t="n">
        <v>0.4375</v>
      </c>
      <c r="E8" s="48" t="n">
        <v>0.479166666666667</v>
      </c>
      <c r="F8" s="49" t="s">
        <v>59</v>
      </c>
      <c r="G8" s="49" t="s">
        <v>19</v>
      </c>
      <c r="H8" s="50" t="s">
        <v>55</v>
      </c>
      <c r="I8" s="61" t="s">
        <v>283</v>
      </c>
      <c r="J8" s="52" t="n">
        <f aca="false">IF(Horo8285[[#This Row],[Début]]=0,"",(Horo8285[[#This Row],[Durée (60)2]]-INT(Horo8285[[#This Row],[Durée (60)2]]))*24)</f>
        <v>1</v>
      </c>
      <c r="K8" s="62" t="n">
        <f aca="false">SUMIF(Horo8285[Jour],C8,Horo8285[Durée])</f>
        <v>7.25</v>
      </c>
      <c r="L8" s="54" t="n">
        <f aca="false">IFERROR(SUMIF(Horo8285[[#This Row],[Jour]],Horo8285[[#This Row],[Jour]],Horo8285[[#This Row],[GPF]]) / Horo8285[[#This Row],[hrs]],"")</f>
        <v>0.137931034482759</v>
      </c>
      <c r="M8" s="56" t="n">
        <f aca="false">IF("GPF"=Horo8285[[#This Row],[Tâche]],Horo8285[[#This Row],[Durée]],"")</f>
        <v>1</v>
      </c>
      <c r="N8" s="56" t="str">
        <f aca="false">IF("RI"=Horo8285[[#This Row],[Tâche]],Horo8285[[#This Row],[Durée]],"")</f>
        <v/>
      </c>
      <c r="O8" s="56" t="str">
        <f aca="false">IF("GB"=Horo8285[[#This Row],[Tâche]],Horo8285[[#This Row],[Durée]],"")</f>
        <v/>
      </c>
      <c r="P8" s="56" t="str">
        <f aca="false">IF("RD"=Horo8285[[#This Row],[Tâche]],Horo8285[[#This Row],[Durée]],"")</f>
        <v/>
      </c>
      <c r="Q8" s="56" t="str">
        <f aca="false">IF("FG"=Horo8285[[#This Row],[Tâche]],Horo8285[[#This Row],[Durée]],"")</f>
        <v/>
      </c>
      <c r="R8" s="56" t="str">
        <f aca="false">IF("CONGÉ"=Horo8285[[#This Row],[Tâche]],Horo8285[[#This Row],[Durée]],"")</f>
        <v/>
      </c>
      <c r="S8" s="56" t="str">
        <f aca="false">IF("PS"=Horo8285[[#This Row],[Tâche]],Horo8285[[#This Row],[Durée]],"")</f>
        <v/>
      </c>
      <c r="T8" s="56" t="str">
        <f aca="false">IF("TD"=Horo8285[[#This Row],[Tâche]],Horo8285[[#This Row],[Durée]],"")</f>
        <v/>
      </c>
      <c r="U8" s="56" t="str">
        <f aca="false">IF("N/C"=Horo8285[[#This Row],[Tâche]],Horo8285[[#This Row],[Durée]],"")</f>
        <v/>
      </c>
      <c r="V8" s="58"/>
      <c r="W8" s="59" t="n">
        <f aca="false">IF(Horo8285[[#This Row],[O]]="o",Horo8285[[#This Row],[Durée]],".")</f>
        <v>1</v>
      </c>
      <c r="X8" s="64" t="n">
        <f aca="false">IF(Horo8285[[#This Row],[Début]]=0,"",Horo8285[[#This Row],[Fin]]-Horo8285[[#This Row],[Début]])</f>
        <v>0.0416666666666667</v>
      </c>
    </row>
    <row r="9" customFormat="false" ht="15" hidden="false" customHeight="false" outlineLevel="0" collapsed="false">
      <c r="A9" s="45" t="s">
        <v>31</v>
      </c>
      <c r="B9" s="111" t="n">
        <f aca="false">IF(Horo8285[[#This Row],[Jour]]="Lundi",$C$1+1, IF(Horo8285[[#This Row],[Jour]]="Mardi",$C$1+2, IF(Horo8285[[#This Row],[Jour]]="Mercredi",$C$1+3, IF(Horo8285[[#This Row],[Jour]]="Jeudi",$C$1+4, IF(Horo8285[[#This Row],[Jour]]="Vendredi",$C$1+5, IF(Horo8285[[#This Row],[Jour]]="Samedi",$C$1+6, IF(Horo8285[[#This Row],[Jour]]="Dimanche",$C$1, )))))))</f>
        <v>44335</v>
      </c>
      <c r="C9" s="47" t="s">
        <v>1</v>
      </c>
      <c r="D9" s="48" t="n">
        <v>0.5625</v>
      </c>
      <c r="E9" s="48" t="n">
        <v>0.583333333333333</v>
      </c>
      <c r="F9" s="49" t="s">
        <v>63</v>
      </c>
      <c r="G9" s="49" t="s">
        <v>19</v>
      </c>
      <c r="H9" s="50" t="s">
        <v>124</v>
      </c>
      <c r="I9" s="61" t="s">
        <v>284</v>
      </c>
      <c r="J9" s="52" t="n">
        <f aca="false">IF(Horo8285[[#This Row],[Début]]=0,"",(Horo8285[[#This Row],[Durée (60)2]]-INT(Horo8285[[#This Row],[Durée (60)2]]))*24)</f>
        <v>0.500000000000001</v>
      </c>
      <c r="K9" s="53" t="n">
        <f aca="false">SUMIF(Horo8285[Jour],C9,Horo8285[Durée])</f>
        <v>7.25</v>
      </c>
      <c r="L9" s="54" t="n">
        <f aca="false">IFERROR(SUMIF(Horo8285[[#This Row],[Jour]],Horo8285[[#This Row],[Jour]],Horo8285[[#This Row],[GPF]]) / Horo8285[[#This Row],[hrs]],"")</f>
        <v>0.0689655172413794</v>
      </c>
      <c r="M9" s="55" t="n">
        <f aca="false">IF("GPF"=Horo8285[[#This Row],[Tâche]],Horo8285[[#This Row],[Durée]],"")</f>
        <v>0.500000000000001</v>
      </c>
      <c r="N9" s="56" t="str">
        <f aca="false">IF("RI"=Horo8285[[#This Row],[Tâche]],Horo8285[[#This Row],[Durée]],"")</f>
        <v/>
      </c>
      <c r="O9" s="56" t="str">
        <f aca="false">IF("GB"=Horo8285[[#This Row],[Tâche]],Horo8285[[#This Row],[Durée]],"")</f>
        <v/>
      </c>
      <c r="P9" s="56" t="str">
        <f aca="false">IF("RD"=Horo8285[[#This Row],[Tâche]],Horo8285[[#This Row],[Durée]],"")</f>
        <v/>
      </c>
      <c r="Q9" s="56" t="str">
        <f aca="false">IF("FG"=Horo8285[[#This Row],[Tâche]],Horo8285[[#This Row],[Durée]],"")</f>
        <v/>
      </c>
      <c r="R9" s="56" t="str">
        <f aca="false">IF("CONGÉ"=Horo8285[[#This Row],[Tâche]],Horo8285[[#This Row],[Durée]],"")</f>
        <v/>
      </c>
      <c r="S9" s="57" t="str">
        <f aca="false">IF("PS"=Horo8285[[#This Row],[Tâche]],Horo8285[[#This Row],[Durée]],"")</f>
        <v/>
      </c>
      <c r="T9" s="56" t="str">
        <f aca="false">IF("TD"=Horo8285[[#This Row],[Tâche]],Horo8285[[#This Row],[Durée]],"")</f>
        <v/>
      </c>
      <c r="U9" s="55" t="str">
        <f aca="false">IF("N/C"=Horo8285[[#This Row],[Tâche]],Horo8285[[#This Row],[Durée]],"")</f>
        <v/>
      </c>
      <c r="V9" s="58"/>
      <c r="W9" s="59" t="n">
        <f aca="false">IF(Horo8285[[#This Row],[O]]="o",Horo8285[[#This Row],[Durée]],".")</f>
        <v>0.500000000000001</v>
      </c>
      <c r="X9" s="60" t="n">
        <f aca="false">IF(Horo8285[[#This Row],[Début]]=0,"",Horo8285[[#This Row],[Fin]]-Horo8285[[#This Row],[Début]])</f>
        <v>0.0208333333333334</v>
      </c>
    </row>
    <row r="10" customFormat="false" ht="15" hidden="false" customHeight="false" outlineLevel="0" collapsed="false">
      <c r="A10" s="45" t="s">
        <v>31</v>
      </c>
      <c r="B10" s="111" t="n">
        <f aca="false">IF(Horo8285[[#This Row],[Jour]]="Lundi",$C$1+1, IF(Horo8285[[#This Row],[Jour]]="Mardi",$C$1+2, IF(Horo8285[[#This Row],[Jour]]="Mercredi",$C$1+3, IF(Horo8285[[#This Row],[Jour]]="Jeudi",$C$1+4, IF(Horo8285[[#This Row],[Jour]]="Vendredi",$C$1+5, IF(Horo8285[[#This Row],[Jour]]="Samedi",$C$1+6, IF(Horo8285[[#This Row],[Jour]]="Dimanche",$C$1, )))))))</f>
        <v>44335</v>
      </c>
      <c r="C10" s="47" t="s">
        <v>1</v>
      </c>
      <c r="D10" s="48" t="n">
        <v>0.583333333333333</v>
      </c>
      <c r="E10" s="48" t="n">
        <v>0.59375</v>
      </c>
      <c r="F10" s="49" t="s">
        <v>32</v>
      </c>
      <c r="G10" s="49" t="s">
        <v>21</v>
      </c>
      <c r="H10" s="50" t="s">
        <v>201</v>
      </c>
      <c r="I10" s="61"/>
      <c r="J10" s="52" t="n">
        <f aca="false">IF(Horo8285[[#This Row],[Début]]=0,"",(Horo8285[[#This Row],[Durée (60)2]]-INT(Horo8285[[#This Row],[Durée (60)2]]))*24)</f>
        <v>0.249999999999999</v>
      </c>
      <c r="K10" s="53" t="n">
        <f aca="false">SUMIF(Horo8285[Jour],C10,Horo8285[Durée])</f>
        <v>7.25</v>
      </c>
      <c r="L10" s="54" t="n">
        <f aca="false">IFERROR(SUMIF(Horo8285[[#This Row],[Jour]],Horo8285[[#This Row],[Jour]],Horo8285[[#This Row],[GPF]]) / Horo8285[[#This Row],[hrs]],"")</f>
        <v>0</v>
      </c>
      <c r="M10" s="55" t="str">
        <f aca="false">IF("GPF"=Horo8285[[#This Row],[Tâche]],Horo8285[[#This Row],[Durée]],"")</f>
        <v/>
      </c>
      <c r="N10" s="56" t="str">
        <f aca="false">IF("RI"=Horo8285[[#This Row],[Tâche]],Horo8285[[#This Row],[Durée]],"")</f>
        <v/>
      </c>
      <c r="O10" s="56" t="n">
        <f aca="false">IF("GB"=Horo8285[[#This Row],[Tâche]],Horo8285[[#This Row],[Durée]],"")</f>
        <v>0.249999999999999</v>
      </c>
      <c r="P10" s="56" t="str">
        <f aca="false">IF("RD"=Horo8285[[#This Row],[Tâche]],Horo8285[[#This Row],[Durée]],"")</f>
        <v/>
      </c>
      <c r="Q10" s="56" t="str">
        <f aca="false">IF("FG"=Horo8285[[#This Row],[Tâche]],Horo8285[[#This Row],[Durée]],"")</f>
        <v/>
      </c>
      <c r="R10" s="56" t="str">
        <f aca="false">IF("CONGÉ"=Horo8285[[#This Row],[Tâche]],Horo8285[[#This Row],[Durée]],"")</f>
        <v/>
      </c>
      <c r="S10" s="57" t="str">
        <f aca="false">IF("PS"=Horo8285[[#This Row],[Tâche]],Horo8285[[#This Row],[Durée]],"")</f>
        <v/>
      </c>
      <c r="T10" s="56" t="str">
        <f aca="false">IF("TD"=Horo8285[[#This Row],[Tâche]],Horo8285[[#This Row],[Durée]],"")</f>
        <v/>
      </c>
      <c r="U10" s="55" t="str">
        <f aca="false">IF("N/C"=Horo8285[[#This Row],[Tâche]],Horo8285[[#This Row],[Durée]],"")</f>
        <v/>
      </c>
      <c r="V10" s="58"/>
      <c r="W10" s="59" t="n">
        <f aca="false">IF(Horo8285[[#This Row],[O]]="o",Horo8285[[#This Row],[Durée]],".")</f>
        <v>0.249999999999999</v>
      </c>
      <c r="X10" s="60" t="n">
        <f aca="false">IF(Horo8285[[#This Row],[Début]]=0,"",Horo8285[[#This Row],[Fin]]-Horo8285[[#This Row],[Début]])</f>
        <v>0.0104166666666666</v>
      </c>
    </row>
    <row r="11" customFormat="false" ht="15" hidden="false" customHeight="false" outlineLevel="0" collapsed="false">
      <c r="A11" s="45" t="s">
        <v>31</v>
      </c>
      <c r="B11" s="111" t="n">
        <f aca="false">IF(Horo8285[[#This Row],[Jour]]="Lundi",$C$1+1, IF(Horo8285[[#This Row],[Jour]]="Mardi",$C$1+2, IF(Horo8285[[#This Row],[Jour]]="Mercredi",$C$1+3, IF(Horo8285[[#This Row],[Jour]]="Jeudi",$C$1+4, IF(Horo8285[[#This Row],[Jour]]="Vendredi",$C$1+5, IF(Horo8285[[#This Row],[Jour]]="Samedi",$C$1+6, IF(Horo8285[[#This Row],[Jour]]="Dimanche",$C$1, )))))))</f>
        <v>44335</v>
      </c>
      <c r="C11" s="47" t="s">
        <v>1</v>
      </c>
      <c r="D11" s="48" t="n">
        <v>0.59375</v>
      </c>
      <c r="E11" s="48" t="n">
        <v>0.729166666666667</v>
      </c>
      <c r="F11" s="49" t="s">
        <v>59</v>
      </c>
      <c r="G11" s="49" t="s">
        <v>19</v>
      </c>
      <c r="H11" s="50" t="s">
        <v>105</v>
      </c>
      <c r="I11" s="61" t="s">
        <v>285</v>
      </c>
      <c r="J11" s="52" t="n">
        <f aca="false">IF(Horo8285[[#This Row],[Début]]=0,"",(Horo8285[[#This Row],[Durée (60)2]]-INT(Horo8285[[#This Row],[Durée (60)2]]))*24)</f>
        <v>3.25</v>
      </c>
      <c r="K11" s="53" t="n">
        <f aca="false">SUMIF(Horo8285[Jour],C11,Horo8285[Durée])</f>
        <v>7.25</v>
      </c>
      <c r="L11" s="54" t="n">
        <f aca="false">IFERROR(SUMIF(Horo8285[[#This Row],[Jour]],Horo8285[[#This Row],[Jour]],Horo8285[[#This Row],[GPF]]) / Horo8285[[#This Row],[hrs]],"")</f>
        <v>0.448275862068965</v>
      </c>
      <c r="M11" s="55" t="n">
        <f aca="false">IF("GPF"=Horo8285[[#This Row],[Tâche]],Horo8285[[#This Row],[Durée]],"")</f>
        <v>3.25</v>
      </c>
      <c r="N11" s="56" t="str">
        <f aca="false">IF("RI"=Horo8285[[#This Row],[Tâche]],Horo8285[[#This Row],[Durée]],"")</f>
        <v/>
      </c>
      <c r="O11" s="56" t="str">
        <f aca="false">IF("GB"=Horo8285[[#This Row],[Tâche]],Horo8285[[#This Row],[Durée]],"")</f>
        <v/>
      </c>
      <c r="P11" s="56" t="str">
        <f aca="false">IF("RD"=Horo8285[[#This Row],[Tâche]],Horo8285[[#This Row],[Durée]],"")</f>
        <v/>
      </c>
      <c r="Q11" s="56" t="str">
        <f aca="false">IF("FG"=Horo8285[[#This Row],[Tâche]],Horo8285[[#This Row],[Durée]],"")</f>
        <v/>
      </c>
      <c r="R11" s="56" t="str">
        <f aca="false">IF("CONGÉ"=Horo8285[[#This Row],[Tâche]],Horo8285[[#This Row],[Durée]],"")</f>
        <v/>
      </c>
      <c r="S11" s="57" t="str">
        <f aca="false">IF("PS"=Horo8285[[#This Row],[Tâche]],Horo8285[[#This Row],[Durée]],"")</f>
        <v/>
      </c>
      <c r="T11" s="56" t="str">
        <f aca="false">IF("TD"=Horo8285[[#This Row],[Tâche]],Horo8285[[#This Row],[Durée]],"")</f>
        <v/>
      </c>
      <c r="U11" s="55" t="str">
        <f aca="false">IF("N/C"=Horo8285[[#This Row],[Tâche]],Horo8285[[#This Row],[Durée]],"")</f>
        <v/>
      </c>
      <c r="V11" s="58"/>
      <c r="W11" s="59" t="n">
        <f aca="false">IF(Horo8285[[#This Row],[O]]="o",Horo8285[[#This Row],[Durée]],".")</f>
        <v>3.25</v>
      </c>
      <c r="X11" s="60" t="n">
        <f aca="false">IF(Horo8285[[#This Row],[Début]]=0,"",Horo8285[[#This Row],[Fin]]-Horo8285[[#This Row],[Début]])</f>
        <v>0.135416666666667</v>
      </c>
    </row>
    <row r="12" customFormat="false" ht="15" hidden="false" customHeight="false" outlineLevel="0" collapsed="false">
      <c r="A12" s="45" t="s">
        <v>31</v>
      </c>
      <c r="B12" s="111" t="n">
        <f aca="false">IF(Horo8285[[#This Row],[Jour]]="Lundi",$C$1+1, IF(Horo8285[[#This Row],[Jour]]="Mardi",$C$1+2, IF(Horo8285[[#This Row],[Jour]]="Mercredi",$C$1+3, IF(Horo8285[[#This Row],[Jour]]="Jeudi",$C$1+4, IF(Horo8285[[#This Row],[Jour]]="Vendredi",$C$1+5, IF(Horo8285[[#This Row],[Jour]]="Samedi",$C$1+6, IF(Horo8285[[#This Row],[Jour]]="Dimanche",$C$1, )))))))</f>
        <v>44336</v>
      </c>
      <c r="C12" s="47" t="s">
        <v>2</v>
      </c>
      <c r="D12" s="48" t="n">
        <v>0.333333333333333</v>
      </c>
      <c r="E12" s="48" t="n">
        <v>0.375</v>
      </c>
      <c r="F12" s="49" t="s">
        <v>32</v>
      </c>
      <c r="G12" s="49" t="s">
        <v>22</v>
      </c>
      <c r="H12" s="50" t="s">
        <v>201</v>
      </c>
      <c r="I12" s="61"/>
      <c r="J12" s="52" t="n">
        <f aca="false">IF(Horo8285[[#This Row],[Début]]=0,"",(Horo8285[[#This Row],[Durée (60)2]]-INT(Horo8285[[#This Row],[Durée (60)2]]))*24)</f>
        <v>1</v>
      </c>
      <c r="K12" s="62" t="n">
        <f aca="false">SUMIF(Horo8285[Jour],C12,Horo8285[Durée])</f>
        <v>8.25</v>
      </c>
      <c r="L12" s="54" t="n">
        <f aca="false">IFERROR(SUMIF(Horo8285[[#This Row],[Jour]],Horo8285[[#This Row],[Jour]],Horo8285[[#This Row],[GPF]]) / Horo8285[[#This Row],[hrs]],"")</f>
        <v>0</v>
      </c>
      <c r="M12" s="56" t="str">
        <f aca="false">IF("GPF"=Horo8285[[#This Row],[Tâche]],Horo8285[[#This Row],[Durée]],"")</f>
        <v/>
      </c>
      <c r="N12" s="56" t="str">
        <f aca="false">IF("RI"=Horo8285[[#This Row],[Tâche]],Horo8285[[#This Row],[Durée]],"")</f>
        <v/>
      </c>
      <c r="O12" s="56" t="str">
        <f aca="false">IF("GB"=Horo8285[[#This Row],[Tâche]],Horo8285[[#This Row],[Durée]],"")</f>
        <v/>
      </c>
      <c r="P12" s="56" t="n">
        <f aca="false">IF("RD"=Horo8285[[#This Row],[Tâche]],Horo8285[[#This Row],[Durée]],"")</f>
        <v>1</v>
      </c>
      <c r="Q12" s="56" t="str">
        <f aca="false">IF("FG"=Horo8285[[#This Row],[Tâche]],Horo8285[[#This Row],[Durée]],"")</f>
        <v/>
      </c>
      <c r="R12" s="56" t="str">
        <f aca="false">IF("CONGÉ"=Horo8285[[#This Row],[Tâche]],Horo8285[[#This Row],[Durée]],"")</f>
        <v/>
      </c>
      <c r="S12" s="56" t="str">
        <f aca="false">IF("PS"=Horo8285[[#This Row],[Tâche]],Horo8285[[#This Row],[Durée]],"")</f>
        <v/>
      </c>
      <c r="T12" s="56" t="str">
        <f aca="false">IF("TD"=Horo8285[[#This Row],[Tâche]],Horo8285[[#This Row],[Durée]],"")</f>
        <v/>
      </c>
      <c r="U12" s="56" t="str">
        <f aca="false">IF("N/C"=Horo8285[[#This Row],[Tâche]],Horo8285[[#This Row],[Durée]],"")</f>
        <v/>
      </c>
      <c r="V12" s="58"/>
      <c r="W12" s="59" t="n">
        <f aca="false">IF(Horo8285[[#This Row],[O]]="o",Horo8285[[#This Row],[Durée]],".")</f>
        <v>1</v>
      </c>
      <c r="X12" s="64" t="n">
        <f aca="false">IF(Horo8285[[#This Row],[Début]]=0,"",Horo8285[[#This Row],[Fin]]-Horo8285[[#This Row],[Début]])</f>
        <v>0.0416666666666667</v>
      </c>
    </row>
    <row r="13" customFormat="false" ht="15" hidden="false" customHeight="false" outlineLevel="0" collapsed="false">
      <c r="A13" s="45" t="s">
        <v>31</v>
      </c>
      <c r="B13" s="111" t="n">
        <f aca="false">IF(Horo8285[[#This Row],[Jour]]="Lundi",$C$1+1, IF(Horo8285[[#This Row],[Jour]]="Mardi",$C$1+2, IF(Horo8285[[#This Row],[Jour]]="Mercredi",$C$1+3, IF(Horo8285[[#This Row],[Jour]]="Jeudi",$C$1+4, IF(Horo8285[[#This Row],[Jour]]="Vendredi",$C$1+5, IF(Horo8285[[#This Row],[Jour]]="Samedi",$C$1+6, IF(Horo8285[[#This Row],[Jour]]="Dimanche",$C$1, )))))))</f>
        <v>44336</v>
      </c>
      <c r="C13" s="47" t="s">
        <v>2</v>
      </c>
      <c r="D13" s="48" t="n">
        <v>0.375</v>
      </c>
      <c r="E13" s="48" t="n">
        <v>0.447916666666667</v>
      </c>
      <c r="F13" s="49" t="s">
        <v>75</v>
      </c>
      <c r="G13" s="49" t="s">
        <v>19</v>
      </c>
      <c r="H13" s="50" t="s">
        <v>105</v>
      </c>
      <c r="I13" s="61" t="s">
        <v>286</v>
      </c>
      <c r="J13" s="52" t="n">
        <f aca="false">IF(Horo8285[[#This Row],[Début]]=0,"",(Horo8285[[#This Row],[Durée (60)2]]-INT(Horo8285[[#This Row],[Durée (60)2]]))*24)</f>
        <v>1.75</v>
      </c>
      <c r="K13" s="62" t="n">
        <f aca="false">SUMIF(Horo8285[Jour],C13,Horo8285[Durée])</f>
        <v>8.25</v>
      </c>
      <c r="L13" s="54" t="n">
        <f aca="false">IFERROR(SUMIF(Horo8285[[#This Row],[Jour]],Horo8285[[#This Row],[Jour]],Horo8285[[#This Row],[GPF]]) / Horo8285[[#This Row],[hrs]],"")</f>
        <v>0.212121212121212</v>
      </c>
      <c r="M13" s="56" t="n">
        <f aca="false">IF("GPF"=Horo8285[[#This Row],[Tâche]],Horo8285[[#This Row],[Durée]],"")</f>
        <v>1.75</v>
      </c>
      <c r="N13" s="56" t="str">
        <f aca="false">IF("RI"=Horo8285[[#This Row],[Tâche]],Horo8285[[#This Row],[Durée]],"")</f>
        <v/>
      </c>
      <c r="O13" s="56" t="str">
        <f aca="false">IF("GB"=Horo8285[[#This Row],[Tâche]],Horo8285[[#This Row],[Durée]],"")</f>
        <v/>
      </c>
      <c r="P13" s="56" t="str">
        <f aca="false">IF("RD"=Horo8285[[#This Row],[Tâche]],Horo8285[[#This Row],[Durée]],"")</f>
        <v/>
      </c>
      <c r="Q13" s="56" t="str">
        <f aca="false">IF("FG"=Horo8285[[#This Row],[Tâche]],Horo8285[[#This Row],[Durée]],"")</f>
        <v/>
      </c>
      <c r="R13" s="56" t="str">
        <f aca="false">IF("CONGÉ"=Horo8285[[#This Row],[Tâche]],Horo8285[[#This Row],[Durée]],"")</f>
        <v/>
      </c>
      <c r="S13" s="56" t="str">
        <f aca="false">IF("PS"=Horo8285[[#This Row],[Tâche]],Horo8285[[#This Row],[Durée]],"")</f>
        <v/>
      </c>
      <c r="T13" s="56" t="str">
        <f aca="false">IF("TD"=Horo8285[[#This Row],[Tâche]],Horo8285[[#This Row],[Durée]],"")</f>
        <v/>
      </c>
      <c r="U13" s="56" t="str">
        <f aca="false">IF("N/C"=Horo8285[[#This Row],[Tâche]],Horo8285[[#This Row],[Durée]],"")</f>
        <v/>
      </c>
      <c r="V13" s="58"/>
      <c r="W13" s="59" t="n">
        <f aca="false">IF(Horo8285[[#This Row],[O]]="o",Horo8285[[#This Row],[Durée]],".")</f>
        <v>1.75</v>
      </c>
      <c r="X13" s="64" t="n">
        <f aca="false">IF(Horo8285[[#This Row],[Début]]=0,"",Horo8285[[#This Row],[Fin]]-Horo8285[[#This Row],[Début]])</f>
        <v>0.0729166666666667</v>
      </c>
    </row>
    <row r="14" customFormat="false" ht="15" hidden="false" customHeight="false" outlineLevel="0" collapsed="false">
      <c r="A14" s="45" t="s">
        <v>31</v>
      </c>
      <c r="B14" s="111" t="n">
        <f aca="false">IF(Horo8285[[#This Row],[Jour]]="Lundi",$C$1+1, IF(Horo8285[[#This Row],[Jour]]="Mardi",$C$1+2, IF(Horo8285[[#This Row],[Jour]]="Mercredi",$C$1+3, IF(Horo8285[[#This Row],[Jour]]="Jeudi",$C$1+4, IF(Horo8285[[#This Row],[Jour]]="Vendredi",$C$1+5, IF(Horo8285[[#This Row],[Jour]]="Samedi",$C$1+6, IF(Horo8285[[#This Row],[Jour]]="Dimanche",$C$1, )))))))</f>
        <v>44336</v>
      </c>
      <c r="C14" s="47" t="s">
        <v>2</v>
      </c>
      <c r="D14" s="48" t="n">
        <v>0.458333333333333</v>
      </c>
      <c r="E14" s="48" t="n">
        <v>0.520833333333333</v>
      </c>
      <c r="F14" s="49" t="s">
        <v>59</v>
      </c>
      <c r="G14" s="49" t="s">
        <v>22</v>
      </c>
      <c r="H14" s="50" t="s">
        <v>105</v>
      </c>
      <c r="I14" s="61" t="s">
        <v>287</v>
      </c>
      <c r="J14" s="52" t="n">
        <f aca="false">IF(Horo8285[[#This Row],[Début]]=0,"",(Horo8285[[#This Row],[Durée (60)2]]-INT(Horo8285[[#This Row],[Durée (60)2]]))*24)</f>
        <v>1.5</v>
      </c>
      <c r="K14" s="62" t="n">
        <f aca="false">SUMIF(Horo8285[Jour],C14,Horo8285[Durée])</f>
        <v>8.25</v>
      </c>
      <c r="L14" s="54" t="n">
        <f aca="false">IFERROR(SUMIF(Horo8285[[#This Row],[Jour]],Horo8285[[#This Row],[Jour]],Horo8285[[#This Row],[GPF]]) / Horo8285[[#This Row],[hrs]],"")</f>
        <v>0</v>
      </c>
      <c r="M14" s="56" t="str">
        <f aca="false">IF("GPF"=Horo8285[[#This Row],[Tâche]],Horo8285[[#This Row],[Durée]],"")</f>
        <v/>
      </c>
      <c r="N14" s="56" t="str">
        <f aca="false">IF("RI"=Horo8285[[#This Row],[Tâche]],Horo8285[[#This Row],[Durée]],"")</f>
        <v/>
      </c>
      <c r="O14" s="56" t="str">
        <f aca="false">IF("GB"=Horo8285[[#This Row],[Tâche]],Horo8285[[#This Row],[Durée]],"")</f>
        <v/>
      </c>
      <c r="P14" s="56" t="n">
        <f aca="false">IF("RD"=Horo8285[[#This Row],[Tâche]],Horo8285[[#This Row],[Durée]],"")</f>
        <v>1.5</v>
      </c>
      <c r="Q14" s="56" t="str">
        <f aca="false">IF("FG"=Horo8285[[#This Row],[Tâche]],Horo8285[[#This Row],[Durée]],"")</f>
        <v/>
      </c>
      <c r="R14" s="56" t="str">
        <f aca="false">IF("CONGÉ"=Horo8285[[#This Row],[Tâche]],Horo8285[[#This Row],[Durée]],"")</f>
        <v/>
      </c>
      <c r="S14" s="57" t="str">
        <f aca="false">IF("PS"=Horo8285[[#This Row],[Tâche]],Horo8285[[#This Row],[Durée]],"")</f>
        <v/>
      </c>
      <c r="T14" s="56" t="str">
        <f aca="false">IF("TD"=Horo8285[[#This Row],[Tâche]],Horo8285[[#This Row],[Durée]],"")</f>
        <v/>
      </c>
      <c r="U14" s="55" t="str">
        <f aca="false">IF("N/C"=Horo8285[[#This Row],[Tâche]],Horo8285[[#This Row],[Durée]],"")</f>
        <v/>
      </c>
      <c r="V14" s="58"/>
      <c r="W14" s="59" t="n">
        <f aca="false">IF(Horo8285[[#This Row],[O]]="o",Horo8285[[#This Row],[Durée]],".")</f>
        <v>1.5</v>
      </c>
      <c r="X14" s="60" t="n">
        <f aca="false">IF(Horo8285[[#This Row],[Début]]=0,"",Horo8285[[#This Row],[Fin]]-Horo8285[[#This Row],[Début]])</f>
        <v>0.0625000000000001</v>
      </c>
    </row>
    <row r="15" customFormat="false" ht="15" hidden="false" customHeight="false" outlineLevel="0" collapsed="false">
      <c r="A15" s="45" t="s">
        <v>31</v>
      </c>
      <c r="B15" s="111" t="n">
        <f aca="false">IF(Horo8285[[#This Row],[Jour]]="Lundi",$C$1+1, IF(Horo8285[[#This Row],[Jour]]="Mardi",$C$1+2, IF(Horo8285[[#This Row],[Jour]]="Mercredi",$C$1+3, IF(Horo8285[[#This Row],[Jour]]="Jeudi",$C$1+4, IF(Horo8285[[#This Row],[Jour]]="Vendredi",$C$1+5, IF(Horo8285[[#This Row],[Jour]]="Samedi",$C$1+6, IF(Horo8285[[#This Row],[Jour]]="Dimanche",$C$1, )))))))</f>
        <v>44336</v>
      </c>
      <c r="C15" s="47" t="s">
        <v>2</v>
      </c>
      <c r="D15" s="48" t="n">
        <v>0.572916666666667</v>
      </c>
      <c r="E15" s="48" t="n">
        <v>0.739583333333333</v>
      </c>
      <c r="F15" s="49" t="s">
        <v>59</v>
      </c>
      <c r="G15" s="49" t="s">
        <v>19</v>
      </c>
      <c r="H15" s="50" t="s">
        <v>105</v>
      </c>
      <c r="I15" s="61" t="s">
        <v>288</v>
      </c>
      <c r="J15" s="52" t="n">
        <f aca="false">IF(Horo8285[[#This Row],[Début]]=0,"",(Horo8285[[#This Row],[Durée (60)2]]-INT(Horo8285[[#This Row],[Durée (60)2]]))*24)</f>
        <v>4</v>
      </c>
      <c r="K15" s="62" t="n">
        <f aca="false">SUMIF(Horo8285[Jour],C15,Horo8285[Durée])</f>
        <v>8.25</v>
      </c>
      <c r="L15" s="54" t="n">
        <f aca="false">IFERROR(SUMIF(Horo8285[[#This Row],[Jour]],Horo8285[[#This Row],[Jour]],Horo8285[[#This Row],[GPF]]) / Horo8285[[#This Row],[hrs]],"")</f>
        <v>0.484848484848485</v>
      </c>
      <c r="M15" s="56" t="n">
        <f aca="false">IF("GPF"=Horo8285[[#This Row],[Tâche]],Horo8285[[#This Row],[Durée]],"")</f>
        <v>4</v>
      </c>
      <c r="N15" s="56" t="str">
        <f aca="false">IF("RI"=Horo8285[[#This Row],[Tâche]],Horo8285[[#This Row],[Durée]],"")</f>
        <v/>
      </c>
      <c r="O15" s="56" t="str">
        <f aca="false">IF("GB"=Horo8285[[#This Row],[Tâche]],Horo8285[[#This Row],[Durée]],"")</f>
        <v/>
      </c>
      <c r="P15" s="56" t="str">
        <f aca="false">IF("RD"=Horo8285[[#This Row],[Tâche]],Horo8285[[#This Row],[Durée]],"")</f>
        <v/>
      </c>
      <c r="Q15" s="56" t="str">
        <f aca="false">IF("FG"=Horo8285[[#This Row],[Tâche]],Horo8285[[#This Row],[Durée]],"")</f>
        <v/>
      </c>
      <c r="R15" s="56" t="str">
        <f aca="false">IF("CONGÉ"=Horo8285[[#This Row],[Tâche]],Horo8285[[#This Row],[Durée]],"")</f>
        <v/>
      </c>
      <c r="S15" s="57" t="str">
        <f aca="false">IF("PS"=Horo8285[[#This Row],[Tâche]],Horo8285[[#This Row],[Durée]],"")</f>
        <v/>
      </c>
      <c r="T15" s="56" t="str">
        <f aca="false">IF("TD"=Horo8285[[#This Row],[Tâche]],Horo8285[[#This Row],[Durée]],"")</f>
        <v/>
      </c>
      <c r="U15" s="55" t="str">
        <f aca="false">IF("N/C"=Horo8285[[#This Row],[Tâche]],Horo8285[[#This Row],[Durée]],"")</f>
        <v/>
      </c>
      <c r="V15" s="58"/>
      <c r="W15" s="59" t="n">
        <f aca="false">IF(Horo8285[[#This Row],[O]]="o",Horo8285[[#This Row],[Durée]],".")</f>
        <v>4</v>
      </c>
      <c r="X15" s="60" t="n">
        <f aca="false">IF(Horo8285[[#This Row],[Début]]=0,"",Horo8285[[#This Row],[Fin]]-Horo8285[[#This Row],[Début]])</f>
        <v>0.166666666666667</v>
      </c>
    </row>
    <row r="16" customFormat="false" ht="15" hidden="false" customHeight="false" outlineLevel="0" collapsed="false">
      <c r="A16" s="45" t="s">
        <v>31</v>
      </c>
      <c r="B16" s="111" t="n">
        <f aca="false">IF(Horo8285[[#This Row],[Jour]]="Lundi",$C$1+1, IF(Horo8285[[#This Row],[Jour]]="Mardi",$C$1+2, IF(Horo8285[[#This Row],[Jour]]="Mercredi",$C$1+3, IF(Horo8285[[#This Row],[Jour]]="Jeudi",$C$1+4, IF(Horo8285[[#This Row],[Jour]]="Vendredi",$C$1+5, IF(Horo8285[[#This Row],[Jour]]="Samedi",$C$1+6, IF(Horo8285[[#This Row],[Jour]]="Dimanche",$C$1, )))))))</f>
        <v>44337</v>
      </c>
      <c r="C16" s="47" t="s">
        <v>3</v>
      </c>
      <c r="D16" s="48" t="n">
        <v>0.3125</v>
      </c>
      <c r="E16" s="48" t="n">
        <v>0.333333333333333</v>
      </c>
      <c r="F16" s="49" t="s">
        <v>32</v>
      </c>
      <c r="G16" s="49" t="s">
        <v>23</v>
      </c>
      <c r="H16" s="50" t="s">
        <v>204</v>
      </c>
      <c r="I16" s="61" t="s">
        <v>289</v>
      </c>
      <c r="J16" s="52" t="n">
        <f aca="false">IF(Horo8285[[#This Row],[Début]]=0,"",(Horo8285[[#This Row],[Durée (60)2]]-INT(Horo8285[[#This Row],[Durée (60)2]]))*24)</f>
        <v>0.5</v>
      </c>
      <c r="K16" s="62" t="n">
        <f aca="false">SUMIF(Horo8285[Jour],C16,Horo8285[Durée])</f>
        <v>9.5</v>
      </c>
      <c r="L16" s="54" t="n">
        <f aca="false">IFERROR(SUMIF(Horo8285[[#This Row],[Jour]],Horo8285[[#This Row],[Jour]],Horo8285[[#This Row],[GPF]]) / Horo8285[[#This Row],[hrs]],"")</f>
        <v>0</v>
      </c>
      <c r="M16" s="56" t="str">
        <f aca="false">IF("GPF"=Horo8285[[#This Row],[Tâche]],Horo8285[[#This Row],[Durée]],"")</f>
        <v/>
      </c>
      <c r="N16" s="56" t="str">
        <f aca="false">IF("RI"=Horo8285[[#This Row],[Tâche]],Horo8285[[#This Row],[Durée]],"")</f>
        <v/>
      </c>
      <c r="O16" s="56" t="str">
        <f aca="false">IF("GB"=Horo8285[[#This Row],[Tâche]],Horo8285[[#This Row],[Durée]],"")</f>
        <v/>
      </c>
      <c r="P16" s="56" t="str">
        <f aca="false">IF("RD"=Horo8285[[#This Row],[Tâche]],Horo8285[[#This Row],[Durée]],"")</f>
        <v/>
      </c>
      <c r="Q16" s="56" t="n">
        <f aca="false">IF("FG"=Horo8285[[#This Row],[Tâche]],Horo8285[[#This Row],[Durée]],"")</f>
        <v>0.5</v>
      </c>
      <c r="R16" s="56" t="str">
        <f aca="false">IF("CONGÉ"=Horo8285[[#This Row],[Tâche]],Horo8285[[#This Row],[Durée]],"")</f>
        <v/>
      </c>
      <c r="S16" s="57" t="str">
        <f aca="false">IF("PS"=Horo8285[[#This Row],[Tâche]],Horo8285[[#This Row],[Durée]],"")</f>
        <v/>
      </c>
      <c r="T16" s="56" t="str">
        <f aca="false">IF("TD"=Horo8285[[#This Row],[Tâche]],Horo8285[[#This Row],[Durée]],"")</f>
        <v/>
      </c>
      <c r="U16" s="55" t="str">
        <f aca="false">IF("N/C"=Horo8285[[#This Row],[Tâche]],Horo8285[[#This Row],[Durée]],"")</f>
        <v/>
      </c>
      <c r="V16" s="58"/>
      <c r="W16" s="59" t="n">
        <f aca="false">IF(Horo8285[[#This Row],[O]]="o",Horo8285[[#This Row],[Durée]],".")</f>
        <v>0.5</v>
      </c>
      <c r="X16" s="60" t="n">
        <f aca="false">IF(Horo8285[[#This Row],[Début]]=0,"",Horo8285[[#This Row],[Fin]]-Horo8285[[#This Row],[Début]])</f>
        <v>0.0208333333333333</v>
      </c>
    </row>
    <row r="17" customFormat="false" ht="15" hidden="false" customHeight="false" outlineLevel="0" collapsed="false">
      <c r="A17" s="45" t="s">
        <v>31</v>
      </c>
      <c r="B17" s="111" t="n">
        <f aca="false">IF(Horo8285[[#This Row],[Jour]]="Lundi",$C$1+1, IF(Horo8285[[#This Row],[Jour]]="Mardi",$C$1+2, IF(Horo8285[[#This Row],[Jour]]="Mercredi",$C$1+3, IF(Horo8285[[#This Row],[Jour]]="Jeudi",$C$1+4, IF(Horo8285[[#This Row],[Jour]]="Vendredi",$C$1+5, IF(Horo8285[[#This Row],[Jour]]="Samedi",$C$1+6, IF(Horo8285[[#This Row],[Jour]]="Dimanche",$C$1, )))))))</f>
        <v>44337</v>
      </c>
      <c r="C17" s="47" t="s">
        <v>3</v>
      </c>
      <c r="D17" s="48" t="n">
        <v>0.333333333333333</v>
      </c>
      <c r="E17" s="48" t="n">
        <v>0.354166666666667</v>
      </c>
      <c r="F17" s="49" t="s">
        <v>59</v>
      </c>
      <c r="G17" s="49" t="s">
        <v>23</v>
      </c>
      <c r="H17" s="50" t="s">
        <v>53</v>
      </c>
      <c r="I17" s="61" t="s">
        <v>290</v>
      </c>
      <c r="J17" s="52" t="n">
        <f aca="false">IF(Horo8285[[#This Row],[Début]]=0,"",(Horo8285[[#This Row],[Durée (60)2]]-INT(Horo8285[[#This Row],[Durée (60)2]]))*24)</f>
        <v>0.500000000000001</v>
      </c>
      <c r="K17" s="62" t="n">
        <f aca="false">SUMIF(Horo8285[Jour],C17,Horo8285[Durée])</f>
        <v>9.5</v>
      </c>
      <c r="L17" s="54" t="n">
        <f aca="false">IFERROR(SUMIF(Horo8285[[#This Row],[Jour]],Horo8285[[#This Row],[Jour]],Horo8285[[#This Row],[GPF]]) / Horo8285[[#This Row],[hrs]],"")</f>
        <v>0</v>
      </c>
      <c r="M17" s="56" t="str">
        <f aca="false">IF("GPF"=Horo8285[[#This Row],[Tâche]],Horo8285[[#This Row],[Durée]],"")</f>
        <v/>
      </c>
      <c r="N17" s="56" t="str">
        <f aca="false">IF("RI"=Horo8285[[#This Row],[Tâche]],Horo8285[[#This Row],[Durée]],"")</f>
        <v/>
      </c>
      <c r="O17" s="56" t="str">
        <f aca="false">IF("GB"=Horo8285[[#This Row],[Tâche]],Horo8285[[#This Row],[Durée]],"")</f>
        <v/>
      </c>
      <c r="P17" s="56" t="str">
        <f aca="false">IF("RD"=Horo8285[[#This Row],[Tâche]],Horo8285[[#This Row],[Durée]],"")</f>
        <v/>
      </c>
      <c r="Q17" s="56" t="n">
        <f aca="false">IF("FG"=Horo8285[[#This Row],[Tâche]],Horo8285[[#This Row],[Durée]],"")</f>
        <v>0.500000000000001</v>
      </c>
      <c r="R17" s="56" t="str">
        <f aca="false">IF("CONGÉ"=Horo8285[[#This Row],[Tâche]],Horo8285[[#This Row],[Durée]],"")</f>
        <v/>
      </c>
      <c r="S17" s="56" t="str">
        <f aca="false">IF("PS"=Horo8285[[#This Row],[Tâche]],Horo8285[[#This Row],[Durée]],"")</f>
        <v/>
      </c>
      <c r="T17" s="56" t="str">
        <f aca="false">IF("TD"=Horo8285[[#This Row],[Tâche]],Horo8285[[#This Row],[Durée]],"")</f>
        <v/>
      </c>
      <c r="U17" s="56" t="str">
        <f aca="false">IF("N/C"=Horo8285[[#This Row],[Tâche]],Horo8285[[#This Row],[Durée]],"")</f>
        <v/>
      </c>
      <c r="V17" s="58"/>
      <c r="W17" s="59" t="n">
        <f aca="false">IF(Horo8285[[#This Row],[O]]="o",Horo8285[[#This Row],[Durée]],".")</f>
        <v>0.500000000000001</v>
      </c>
      <c r="X17" s="64" t="n">
        <f aca="false">IF(Horo8285[[#This Row],[Début]]=0,"",Horo8285[[#This Row],[Fin]]-Horo8285[[#This Row],[Début]])</f>
        <v>0.0208333333333334</v>
      </c>
    </row>
    <row r="18" customFormat="false" ht="15" hidden="false" customHeight="false" outlineLevel="0" collapsed="false">
      <c r="A18" s="45" t="s">
        <v>31</v>
      </c>
      <c r="B18" s="111" t="n">
        <f aca="false">IF(Horo8285[[#This Row],[Jour]]="Lundi",$C$1+1, IF(Horo8285[[#This Row],[Jour]]="Mardi",$C$1+2, IF(Horo8285[[#This Row],[Jour]]="Mercredi",$C$1+3, IF(Horo8285[[#This Row],[Jour]]="Jeudi",$C$1+4, IF(Horo8285[[#This Row],[Jour]]="Vendredi",$C$1+5, IF(Horo8285[[#This Row],[Jour]]="Samedi",$C$1+6, IF(Horo8285[[#This Row],[Jour]]="Dimanche",$C$1, )))))))</f>
        <v>44337</v>
      </c>
      <c r="C18" s="47" t="s">
        <v>3</v>
      </c>
      <c r="D18" s="48" t="n">
        <v>0.354166666666667</v>
      </c>
      <c r="E18" s="48" t="n">
        <v>0.395833333333333</v>
      </c>
      <c r="F18" s="49" t="s">
        <v>59</v>
      </c>
      <c r="G18" s="49" t="s">
        <v>19</v>
      </c>
      <c r="H18" s="50" t="s">
        <v>53</v>
      </c>
      <c r="I18" s="61" t="s">
        <v>290</v>
      </c>
      <c r="J18" s="52" t="n">
        <f aca="false">IF(Horo8285[[#This Row],[Début]]=0,"",(Horo8285[[#This Row],[Durée (60)2]]-INT(Horo8285[[#This Row],[Durée (60)2]]))*24)</f>
        <v>0.999999999999999</v>
      </c>
      <c r="K18" s="62" t="n">
        <f aca="false">SUMIF(Horo8285[Jour],C18,Horo8285[Durée])</f>
        <v>9.5</v>
      </c>
      <c r="L18" s="54" t="n">
        <f aca="false">IFERROR(SUMIF(Horo8285[[#This Row],[Jour]],Horo8285[[#This Row],[Jour]],Horo8285[[#This Row],[GPF]]) / Horo8285[[#This Row],[hrs]],"")</f>
        <v>0.105263157894737</v>
      </c>
      <c r="M18" s="56" t="n">
        <f aca="false">IF("GPF"=Horo8285[[#This Row],[Tâche]],Horo8285[[#This Row],[Durée]],"")</f>
        <v>0.999999999999999</v>
      </c>
      <c r="N18" s="56" t="str">
        <f aca="false">IF("RI"=Horo8285[[#This Row],[Tâche]],Horo8285[[#This Row],[Durée]],"")</f>
        <v/>
      </c>
      <c r="O18" s="56" t="str">
        <f aca="false">IF("GB"=Horo8285[[#This Row],[Tâche]],Horo8285[[#This Row],[Durée]],"")</f>
        <v/>
      </c>
      <c r="P18" s="56" t="str">
        <f aca="false">IF("RD"=Horo8285[[#This Row],[Tâche]],Horo8285[[#This Row],[Durée]],"")</f>
        <v/>
      </c>
      <c r="Q18" s="56" t="str">
        <f aca="false">IF("FG"=Horo8285[[#This Row],[Tâche]],Horo8285[[#This Row],[Durée]],"")</f>
        <v/>
      </c>
      <c r="R18" s="56" t="str">
        <f aca="false">IF("CONGÉ"=Horo8285[[#This Row],[Tâche]],Horo8285[[#This Row],[Durée]],"")</f>
        <v/>
      </c>
      <c r="S18" s="56" t="str">
        <f aca="false">IF("PS"=Horo8285[[#This Row],[Tâche]],Horo8285[[#This Row],[Durée]],"")</f>
        <v/>
      </c>
      <c r="T18" s="56" t="str">
        <f aca="false">IF("TD"=Horo8285[[#This Row],[Tâche]],Horo8285[[#This Row],[Durée]],"")</f>
        <v/>
      </c>
      <c r="U18" s="56" t="str">
        <f aca="false">IF("N/C"=Horo8285[[#This Row],[Tâche]],Horo8285[[#This Row],[Durée]],"")</f>
        <v/>
      </c>
      <c r="V18" s="58"/>
      <c r="W18" s="59" t="n">
        <f aca="false">IF(Horo8285[[#This Row],[O]]="o",Horo8285[[#This Row],[Durée]],".")</f>
        <v>0.999999999999999</v>
      </c>
      <c r="X18" s="64" t="n">
        <f aca="false">IF(Horo8285[[#This Row],[Début]]=0,"",Horo8285[[#This Row],[Fin]]-Horo8285[[#This Row],[Début]])</f>
        <v>0.0416666666666666</v>
      </c>
    </row>
    <row r="19" customFormat="false" ht="15" hidden="false" customHeight="false" outlineLevel="0" collapsed="false">
      <c r="A19" s="45" t="s">
        <v>31</v>
      </c>
      <c r="B19" s="111" t="n">
        <f aca="false">IF(Horo8285[[#This Row],[Jour]]="Lundi",$C$1+1, IF(Horo8285[[#This Row],[Jour]]="Mardi",$C$1+2, IF(Horo8285[[#This Row],[Jour]]="Mercredi",$C$1+3, IF(Horo8285[[#This Row],[Jour]]="Jeudi",$C$1+4, IF(Horo8285[[#This Row],[Jour]]="Vendredi",$C$1+5, IF(Horo8285[[#This Row],[Jour]]="Samedi",$C$1+6, IF(Horo8285[[#This Row],[Jour]]="Dimanche",$C$1, )))))))</f>
        <v>44337</v>
      </c>
      <c r="C19" s="47" t="s">
        <v>3</v>
      </c>
      <c r="D19" s="48" t="n">
        <v>0.4375</v>
      </c>
      <c r="E19" s="48" t="n">
        <v>0.458333333333333</v>
      </c>
      <c r="F19" s="49" t="s">
        <v>63</v>
      </c>
      <c r="G19" s="49" t="s">
        <v>19</v>
      </c>
      <c r="H19" s="50" t="s">
        <v>55</v>
      </c>
      <c r="I19" s="61" t="s">
        <v>291</v>
      </c>
      <c r="J19" s="52" t="n">
        <f aca="false">IF(Horo8285[[#This Row],[Début]]=0,"",(Horo8285[[#This Row],[Durée (60)2]]-INT(Horo8285[[#This Row],[Durée (60)2]]))*24)</f>
        <v>0.5</v>
      </c>
      <c r="K19" s="53" t="n">
        <f aca="false">SUMIF(Horo8285[Jour],C19,Horo8285[Durée])</f>
        <v>9.5</v>
      </c>
      <c r="L19" s="54" t="n">
        <f aca="false">IFERROR(SUMIF(Horo8285[[#This Row],[Jour]],Horo8285[[#This Row],[Jour]],Horo8285[[#This Row],[GPF]]) / Horo8285[[#This Row],[hrs]],"")</f>
        <v>0.0526315789473684</v>
      </c>
      <c r="M19" s="55" t="n">
        <f aca="false">IF("GPF"=Horo8285[[#This Row],[Tâche]],Horo8285[[#This Row],[Durée]],"")</f>
        <v>0.5</v>
      </c>
      <c r="N19" s="56" t="str">
        <f aca="false">IF("RI"=Horo8285[[#This Row],[Tâche]],Horo8285[[#This Row],[Durée]],"")</f>
        <v/>
      </c>
      <c r="O19" s="56" t="str">
        <f aca="false">IF("GB"=Horo8285[[#This Row],[Tâche]],Horo8285[[#This Row],[Durée]],"")</f>
        <v/>
      </c>
      <c r="P19" s="56" t="str">
        <f aca="false">IF("RD"=Horo8285[[#This Row],[Tâche]],Horo8285[[#This Row],[Durée]],"")</f>
        <v/>
      </c>
      <c r="Q19" s="56" t="str">
        <f aca="false">IF("FG"=Horo8285[[#This Row],[Tâche]],Horo8285[[#This Row],[Durée]],"")</f>
        <v/>
      </c>
      <c r="R19" s="56" t="str">
        <f aca="false">IF("CONGÉ"=Horo8285[[#This Row],[Tâche]],Horo8285[[#This Row],[Durée]],"")</f>
        <v/>
      </c>
      <c r="S19" s="57" t="str">
        <f aca="false">IF("PS"=Horo8285[[#This Row],[Tâche]],Horo8285[[#This Row],[Durée]],"")</f>
        <v/>
      </c>
      <c r="T19" s="56" t="str">
        <f aca="false">IF("TD"=Horo8285[[#This Row],[Tâche]],Horo8285[[#This Row],[Durée]],"")</f>
        <v/>
      </c>
      <c r="U19" s="55" t="str">
        <f aca="false">IF("N/C"=Horo8285[[#This Row],[Tâche]],Horo8285[[#This Row],[Durée]],"")</f>
        <v/>
      </c>
      <c r="V19" s="58"/>
      <c r="W19" s="59" t="n">
        <f aca="false">IF(Horo8285[[#This Row],[O]]="o",Horo8285[[#This Row],[Durée]],".")</f>
        <v>0.5</v>
      </c>
      <c r="X19" s="60" t="n">
        <f aca="false">IF(Horo8285[[#This Row],[Début]]=0,"",Horo8285[[#This Row],[Fin]]-Horo8285[[#This Row],[Début]])</f>
        <v>0.0208333333333333</v>
      </c>
    </row>
    <row r="20" customFormat="false" ht="15" hidden="false" customHeight="false" outlineLevel="0" collapsed="false">
      <c r="A20" s="45" t="s">
        <v>31</v>
      </c>
      <c r="B20" s="111" t="n">
        <f aca="false">IF(Horo8285[[#This Row],[Jour]]="Lundi",$C$1+1, IF(Horo8285[[#This Row],[Jour]]="Mardi",$C$1+2, IF(Horo8285[[#This Row],[Jour]]="Mercredi",$C$1+3, IF(Horo8285[[#This Row],[Jour]]="Jeudi",$C$1+4, IF(Horo8285[[#This Row],[Jour]]="Vendredi",$C$1+5, IF(Horo8285[[#This Row],[Jour]]="Samedi",$C$1+6, IF(Horo8285[[#This Row],[Jour]]="Dimanche",$C$1, )))))))</f>
        <v>44337</v>
      </c>
      <c r="C20" s="47" t="s">
        <v>3</v>
      </c>
      <c r="D20" s="48" t="n">
        <v>0.458333333333333</v>
      </c>
      <c r="E20" s="48" t="n">
        <v>0.5</v>
      </c>
      <c r="F20" s="49" t="s">
        <v>32</v>
      </c>
      <c r="G20" s="49" t="s">
        <v>22</v>
      </c>
      <c r="H20" s="50" t="s">
        <v>201</v>
      </c>
      <c r="I20" s="61"/>
      <c r="J20" s="52" t="n">
        <f aca="false">IF(Horo8285[[#This Row],[Début]]=0,"",(Horo8285[[#This Row],[Durée (60)2]]-INT(Horo8285[[#This Row],[Durée (60)2]]))*24)</f>
        <v>1</v>
      </c>
      <c r="K20" s="62" t="n">
        <f aca="false">SUMIF(Horo8285[Jour],C20,Horo8285[Durée])</f>
        <v>9.5</v>
      </c>
      <c r="L20" s="54" t="n">
        <f aca="false">IFERROR(SUMIF(Horo8285[[#This Row],[Jour]],Horo8285[[#This Row],[Jour]],Horo8285[[#This Row],[GPF]]) / Horo8285[[#This Row],[hrs]],"")</f>
        <v>0</v>
      </c>
      <c r="M20" s="56" t="str">
        <f aca="false">IF("GPF"=Horo8285[[#This Row],[Tâche]],Horo8285[[#This Row],[Durée]],"")</f>
        <v/>
      </c>
      <c r="N20" s="56" t="str">
        <f aca="false">IF("RI"=Horo8285[[#This Row],[Tâche]],Horo8285[[#This Row],[Durée]],"")</f>
        <v/>
      </c>
      <c r="O20" s="56" t="str">
        <f aca="false">IF("GB"=Horo8285[[#This Row],[Tâche]],Horo8285[[#This Row],[Durée]],"")</f>
        <v/>
      </c>
      <c r="P20" s="56" t="n">
        <f aca="false">IF("RD"=Horo8285[[#This Row],[Tâche]],Horo8285[[#This Row],[Durée]],"")</f>
        <v>1</v>
      </c>
      <c r="Q20" s="56" t="str">
        <f aca="false">IF("FG"=Horo8285[[#This Row],[Tâche]],Horo8285[[#This Row],[Durée]],"")</f>
        <v/>
      </c>
      <c r="R20" s="56" t="str">
        <f aca="false">IF("CONGÉ"=Horo8285[[#This Row],[Tâche]],Horo8285[[#This Row],[Durée]],"")</f>
        <v/>
      </c>
      <c r="S20" s="57" t="str">
        <f aca="false">IF("PS"=Horo8285[[#This Row],[Tâche]],Horo8285[[#This Row],[Durée]],"")</f>
        <v/>
      </c>
      <c r="T20" s="56" t="str">
        <f aca="false">IF("TD"=Horo8285[[#This Row],[Tâche]],Horo8285[[#This Row],[Durée]],"")</f>
        <v/>
      </c>
      <c r="U20" s="55" t="str">
        <f aca="false">IF("N/C"=Horo8285[[#This Row],[Tâche]],Horo8285[[#This Row],[Durée]],"")</f>
        <v/>
      </c>
      <c r="V20" s="58"/>
      <c r="W20" s="59" t="n">
        <f aca="false">IF(Horo8285[[#This Row],[O]]="o",Horo8285[[#This Row],[Durée]],".")</f>
        <v>1</v>
      </c>
      <c r="X20" s="60" t="n">
        <f aca="false">IF(Horo8285[[#This Row],[Début]]=0,"",Horo8285[[#This Row],[Fin]]-Horo8285[[#This Row],[Début]])</f>
        <v>0.0416666666666667</v>
      </c>
    </row>
    <row r="21" customFormat="false" ht="15" hidden="false" customHeight="false" outlineLevel="0" collapsed="false">
      <c r="A21" s="45" t="s">
        <v>31</v>
      </c>
      <c r="B21" s="111" t="n">
        <f aca="false">IF(Horo8285[[#This Row],[Jour]]="Lundi",$C$1+1, IF(Horo8285[[#This Row],[Jour]]="Mardi",$C$1+2, IF(Horo8285[[#This Row],[Jour]]="Mercredi",$C$1+3, IF(Horo8285[[#This Row],[Jour]]="Jeudi",$C$1+4, IF(Horo8285[[#This Row],[Jour]]="Vendredi",$C$1+5, IF(Horo8285[[#This Row],[Jour]]="Samedi",$C$1+6, IF(Horo8285[[#This Row],[Jour]]="Dimanche",$C$1, )))))))</f>
        <v>44337</v>
      </c>
      <c r="C21" s="47" t="s">
        <v>3</v>
      </c>
      <c r="D21" s="48" t="n">
        <v>0.5625</v>
      </c>
      <c r="E21" s="48" t="n">
        <v>0.625</v>
      </c>
      <c r="F21" s="49" t="s">
        <v>59</v>
      </c>
      <c r="G21" s="49" t="s">
        <v>19</v>
      </c>
      <c r="H21" s="50" t="s">
        <v>106</v>
      </c>
      <c r="I21" s="61" t="s">
        <v>292</v>
      </c>
      <c r="J21" s="52" t="n">
        <f aca="false">IF(Horo8285[[#This Row],[Début]]=0,"",(Horo8285[[#This Row],[Durée (60)2]]-INT(Horo8285[[#This Row],[Durée (60)2]]))*24)</f>
        <v>1.5</v>
      </c>
      <c r="K21" s="53" t="n">
        <f aca="false">SUMIF(Horo8285[Jour],C21,Horo8285[Durée])</f>
        <v>9.5</v>
      </c>
      <c r="L21" s="54" t="n">
        <f aca="false">IFERROR(SUMIF(Horo8285[[#This Row],[Jour]],Horo8285[[#This Row],[Jour]],Horo8285[[#This Row],[GPF]]) / Horo8285[[#This Row],[hrs]],"")</f>
        <v>0.157894736842105</v>
      </c>
      <c r="M21" s="55" t="n">
        <f aca="false">IF("GPF"=Horo8285[[#This Row],[Tâche]],Horo8285[[#This Row],[Durée]],"")</f>
        <v>1.5</v>
      </c>
      <c r="N21" s="56" t="str">
        <f aca="false">IF("RI"=Horo8285[[#This Row],[Tâche]],Horo8285[[#This Row],[Durée]],"")</f>
        <v/>
      </c>
      <c r="O21" s="56" t="str">
        <f aca="false">IF("GB"=Horo8285[[#This Row],[Tâche]],Horo8285[[#This Row],[Durée]],"")</f>
        <v/>
      </c>
      <c r="P21" s="56" t="str">
        <f aca="false">IF("RD"=Horo8285[[#This Row],[Tâche]],Horo8285[[#This Row],[Durée]],"")</f>
        <v/>
      </c>
      <c r="Q21" s="56" t="str">
        <f aca="false">IF("FG"=Horo8285[[#This Row],[Tâche]],Horo8285[[#This Row],[Durée]],"")</f>
        <v/>
      </c>
      <c r="R21" s="56" t="str">
        <f aca="false">IF("CONGÉ"=Horo8285[[#This Row],[Tâche]],Horo8285[[#This Row],[Durée]],"")</f>
        <v/>
      </c>
      <c r="S21" s="57" t="str">
        <f aca="false">IF("PS"=Horo8285[[#This Row],[Tâche]],Horo8285[[#This Row],[Durée]],"")</f>
        <v/>
      </c>
      <c r="T21" s="56" t="str">
        <f aca="false">IF("TD"=Horo8285[[#This Row],[Tâche]],Horo8285[[#This Row],[Durée]],"")</f>
        <v/>
      </c>
      <c r="U21" s="55" t="str">
        <f aca="false">IF("N/C"=Horo8285[[#This Row],[Tâche]],Horo8285[[#This Row],[Durée]],"")</f>
        <v/>
      </c>
      <c r="V21" s="58"/>
      <c r="W21" s="59" t="n">
        <f aca="false">IF(Horo8285[[#This Row],[O]]="o",Horo8285[[#This Row],[Durée]],".")</f>
        <v>1.5</v>
      </c>
      <c r="X21" s="60" t="n">
        <f aca="false">IF(Horo8285[[#This Row],[Début]]=0,"",Horo8285[[#This Row],[Fin]]-Horo8285[[#This Row],[Début]])</f>
        <v>0.0625</v>
      </c>
    </row>
    <row r="22" customFormat="false" ht="15" hidden="false" customHeight="false" outlineLevel="0" collapsed="false">
      <c r="A22" s="45" t="s">
        <v>31</v>
      </c>
      <c r="B22" s="111" t="n">
        <f aca="false">IF(Horo8285[[#This Row],[Jour]]="Lundi",$C$1+1, IF(Horo8285[[#This Row],[Jour]]="Mardi",$C$1+2, IF(Horo8285[[#This Row],[Jour]]="Mercredi",$C$1+3, IF(Horo8285[[#This Row],[Jour]]="Jeudi",$C$1+4, IF(Horo8285[[#This Row],[Jour]]="Vendredi",$C$1+5, IF(Horo8285[[#This Row],[Jour]]="Samedi",$C$1+6, IF(Horo8285[[#This Row],[Jour]]="Dimanche",$C$1, )))))))</f>
        <v>44337</v>
      </c>
      <c r="C22" s="47" t="s">
        <v>3</v>
      </c>
      <c r="D22" s="48" t="n">
        <v>0.625</v>
      </c>
      <c r="E22" s="48" t="n">
        <v>0.645833333333333</v>
      </c>
      <c r="F22" s="49" t="s">
        <v>63</v>
      </c>
      <c r="G22" s="49" t="s">
        <v>19</v>
      </c>
      <c r="H22" s="50" t="s">
        <v>124</v>
      </c>
      <c r="I22" s="61" t="s">
        <v>293</v>
      </c>
      <c r="J22" s="52" t="n">
        <f aca="false">IF(Horo8285[[#This Row],[Début]]=0,"",(Horo8285[[#This Row],[Durée (60)2]]-INT(Horo8285[[#This Row],[Durée (60)2]]))*24)</f>
        <v>0.500000000000001</v>
      </c>
      <c r="K22" s="62" t="n">
        <f aca="false">SUMIF(Horo8285[Jour],C22,Horo8285[Durée])</f>
        <v>9.5</v>
      </c>
      <c r="L22" s="54" t="n">
        <f aca="false">IFERROR(SUMIF(Horo8285[[#This Row],[Jour]],Horo8285[[#This Row],[Jour]],Horo8285[[#This Row],[GPF]]) / Horo8285[[#This Row],[hrs]],"")</f>
        <v>0.0526315789473685</v>
      </c>
      <c r="M22" s="56" t="n">
        <f aca="false">IF("GPF"=Horo8285[[#This Row],[Tâche]],Horo8285[[#This Row],[Durée]],"")</f>
        <v>0.500000000000001</v>
      </c>
      <c r="N22" s="56" t="str">
        <f aca="false">IF("RI"=Horo8285[[#This Row],[Tâche]],Horo8285[[#This Row],[Durée]],"")</f>
        <v/>
      </c>
      <c r="O22" s="56" t="str">
        <f aca="false">IF("GB"=Horo8285[[#This Row],[Tâche]],Horo8285[[#This Row],[Durée]],"")</f>
        <v/>
      </c>
      <c r="P22" s="56" t="str">
        <f aca="false">IF("RD"=Horo8285[[#This Row],[Tâche]],Horo8285[[#This Row],[Durée]],"")</f>
        <v/>
      </c>
      <c r="Q22" s="56" t="str">
        <f aca="false">IF("FG"=Horo8285[[#This Row],[Tâche]],Horo8285[[#This Row],[Durée]],"")</f>
        <v/>
      </c>
      <c r="R22" s="56" t="str">
        <f aca="false">IF("CONGÉ"=Horo8285[[#This Row],[Tâche]],Horo8285[[#This Row],[Durée]],"")</f>
        <v/>
      </c>
      <c r="S22" s="57" t="str">
        <f aca="false">IF("PS"=Horo8285[[#This Row],[Tâche]],Horo8285[[#This Row],[Durée]],"")</f>
        <v/>
      </c>
      <c r="T22" s="56" t="str">
        <f aca="false">IF("TD"=Horo8285[[#This Row],[Tâche]],Horo8285[[#This Row],[Durée]],"")</f>
        <v/>
      </c>
      <c r="U22" s="55" t="str">
        <f aca="false">IF("N/C"=Horo8285[[#This Row],[Tâche]],Horo8285[[#This Row],[Durée]],"")</f>
        <v/>
      </c>
      <c r="V22" s="58"/>
      <c r="W22" s="59" t="n">
        <f aca="false">IF(Horo8285[[#This Row],[O]]="o",Horo8285[[#This Row],[Durée]],".")</f>
        <v>0.500000000000001</v>
      </c>
      <c r="X22" s="60" t="n">
        <f aca="false">IF(Horo8285[[#This Row],[Début]]=0,"",Horo8285[[#This Row],[Fin]]-Horo8285[[#This Row],[Début]])</f>
        <v>0.0208333333333334</v>
      </c>
    </row>
    <row r="23" customFormat="false" ht="15" hidden="false" customHeight="false" outlineLevel="0" collapsed="false">
      <c r="A23" s="45" t="s">
        <v>31</v>
      </c>
      <c r="B23" s="111" t="n">
        <f aca="false">IF(Horo8285[[#This Row],[Jour]]="Lundi",$C$1+1, IF(Horo8285[[#This Row],[Jour]]="Mardi",$C$1+2, IF(Horo8285[[#This Row],[Jour]]="Mercredi",$C$1+3, IF(Horo8285[[#This Row],[Jour]]="Jeudi",$C$1+4, IF(Horo8285[[#This Row],[Jour]]="Vendredi",$C$1+5, IF(Horo8285[[#This Row],[Jour]]="Samedi",$C$1+6, IF(Horo8285[[#This Row],[Jour]]="Dimanche",$C$1, )))))))</f>
        <v>44337</v>
      </c>
      <c r="C23" s="47" t="s">
        <v>3</v>
      </c>
      <c r="D23" s="48" t="n">
        <v>0.645833333333333</v>
      </c>
      <c r="E23" s="48" t="n">
        <v>0.75</v>
      </c>
      <c r="F23" s="49" t="s">
        <v>59</v>
      </c>
      <c r="G23" s="49" t="s">
        <v>19</v>
      </c>
      <c r="H23" s="50" t="s">
        <v>106</v>
      </c>
      <c r="I23" s="61" t="s">
        <v>292</v>
      </c>
      <c r="J23" s="52" t="n">
        <f aca="false">IF(Horo8285[[#This Row],[Début]]=0,"",(Horo8285[[#This Row],[Durée (60)2]]-INT(Horo8285[[#This Row],[Durée (60)2]]))*24)</f>
        <v>2.5</v>
      </c>
      <c r="K23" s="62" t="n">
        <f aca="false">SUMIF(Horo8285[Jour],C23,Horo8285[Durée])</f>
        <v>9.5</v>
      </c>
      <c r="L23" s="54" t="n">
        <f aca="false">IFERROR(SUMIF(Horo8285[[#This Row],[Jour]],Horo8285[[#This Row],[Jour]],Horo8285[[#This Row],[GPF]]) / Horo8285[[#This Row],[hrs]],"")</f>
        <v>0.263157894736842</v>
      </c>
      <c r="M23" s="56" t="n">
        <f aca="false">IF("GPF"=Horo8285[[#This Row],[Tâche]],Horo8285[[#This Row],[Durée]],"")</f>
        <v>2.5</v>
      </c>
      <c r="N23" s="56" t="str">
        <f aca="false">IF("RI"=Horo8285[[#This Row],[Tâche]],Horo8285[[#This Row],[Durée]],"")</f>
        <v/>
      </c>
      <c r="O23" s="56" t="str">
        <f aca="false">IF("GB"=Horo8285[[#This Row],[Tâche]],Horo8285[[#This Row],[Durée]],"")</f>
        <v/>
      </c>
      <c r="P23" s="56" t="str">
        <f aca="false">IF("RD"=Horo8285[[#This Row],[Tâche]],Horo8285[[#This Row],[Durée]],"")</f>
        <v/>
      </c>
      <c r="Q23" s="56" t="str">
        <f aca="false">IF("FG"=Horo8285[[#This Row],[Tâche]],Horo8285[[#This Row],[Durée]],"")</f>
        <v/>
      </c>
      <c r="R23" s="56" t="str">
        <f aca="false">IF("CONGÉ"=Horo8285[[#This Row],[Tâche]],Horo8285[[#This Row],[Durée]],"")</f>
        <v/>
      </c>
      <c r="S23" s="57" t="str">
        <f aca="false">IF("PS"=Horo8285[[#This Row],[Tâche]],Horo8285[[#This Row],[Durée]],"")</f>
        <v/>
      </c>
      <c r="T23" s="56" t="str">
        <f aca="false">IF("TD"=Horo8285[[#This Row],[Tâche]],Horo8285[[#This Row],[Durée]],"")</f>
        <v/>
      </c>
      <c r="U23" s="55" t="str">
        <f aca="false">IF("N/C"=Horo8285[[#This Row],[Tâche]],Horo8285[[#This Row],[Durée]],"")</f>
        <v/>
      </c>
      <c r="V23" s="58"/>
      <c r="W23" s="59" t="n">
        <f aca="false">IF(Horo8285[[#This Row],[O]]="o",Horo8285[[#This Row],[Durée]],".")</f>
        <v>2.5</v>
      </c>
      <c r="X23" s="60" t="n">
        <f aca="false">IF(Horo8285[[#This Row],[Début]]=0,"",Horo8285[[#This Row],[Fin]]-Horo8285[[#This Row],[Début]])</f>
        <v>0.104166666666667</v>
      </c>
    </row>
    <row r="24" customFormat="false" ht="15" hidden="false" customHeight="false" outlineLevel="0" collapsed="false">
      <c r="A24" s="45" t="s">
        <v>31</v>
      </c>
      <c r="B24" s="111" t="n">
        <f aca="false">IF(Horo8285[[#This Row],[Jour]]="Lundi",$C$1+1, IF(Horo8285[[#This Row],[Jour]]="Mardi",$C$1+2, IF(Horo8285[[#This Row],[Jour]]="Mercredi",$C$1+3, IF(Horo8285[[#This Row],[Jour]]="Jeudi",$C$1+4, IF(Horo8285[[#This Row],[Jour]]="Vendredi",$C$1+5, IF(Horo8285[[#This Row],[Jour]]="Samedi",$C$1+6, IF(Horo8285[[#This Row],[Jour]]="Dimanche",$C$1, )))))))</f>
        <v>44337</v>
      </c>
      <c r="C24" s="47" t="s">
        <v>3</v>
      </c>
      <c r="D24" s="48" t="n">
        <v>0.791666666666667</v>
      </c>
      <c r="E24" s="48" t="n">
        <v>0.854166666666667</v>
      </c>
      <c r="F24" s="49" t="s">
        <v>32</v>
      </c>
      <c r="G24" s="49" t="s">
        <v>19</v>
      </c>
      <c r="H24" s="50" t="s">
        <v>106</v>
      </c>
      <c r="I24" s="61" t="s">
        <v>294</v>
      </c>
      <c r="J24" s="52" t="n">
        <f aca="false">IF(Horo8285[[#This Row],[Début]]=0,"",(Horo8285[[#This Row],[Durée (60)2]]-INT(Horo8285[[#This Row],[Durée (60)2]]))*24)</f>
        <v>1.5</v>
      </c>
      <c r="K24" s="62" t="n">
        <f aca="false">SUMIF(Horo8285[Jour],C24,Horo8285[Durée])</f>
        <v>9.5</v>
      </c>
      <c r="L24" s="54" t="n">
        <f aca="false">IFERROR(SUMIF(Horo8285[[#This Row],[Jour]],Horo8285[[#This Row],[Jour]],Horo8285[[#This Row],[GPF]]) / Horo8285[[#This Row],[hrs]],"")</f>
        <v>0.157894736842105</v>
      </c>
      <c r="M24" s="56" t="n">
        <f aca="false">IF("GPF"=Horo8285[[#This Row],[Tâche]],Horo8285[[#This Row],[Durée]],"")</f>
        <v>1.5</v>
      </c>
      <c r="N24" s="56" t="str">
        <f aca="false">IF("RI"=Horo8285[[#This Row],[Tâche]],Horo8285[[#This Row],[Durée]],"")</f>
        <v/>
      </c>
      <c r="O24" s="56" t="str">
        <f aca="false">IF("GB"=Horo8285[[#This Row],[Tâche]],Horo8285[[#This Row],[Durée]],"")</f>
        <v/>
      </c>
      <c r="P24" s="56" t="str">
        <f aca="false">IF("RD"=Horo8285[[#This Row],[Tâche]],Horo8285[[#This Row],[Durée]],"")</f>
        <v/>
      </c>
      <c r="Q24" s="56" t="str">
        <f aca="false">IF("FG"=Horo8285[[#This Row],[Tâche]],Horo8285[[#This Row],[Durée]],"")</f>
        <v/>
      </c>
      <c r="R24" s="56" t="str">
        <f aca="false">IF("CONGÉ"=Horo8285[[#This Row],[Tâche]],Horo8285[[#This Row],[Durée]],"")</f>
        <v/>
      </c>
      <c r="S24" s="57" t="str">
        <f aca="false">IF("PS"=Horo8285[[#This Row],[Tâche]],Horo8285[[#This Row],[Durée]],"")</f>
        <v/>
      </c>
      <c r="T24" s="56" t="str">
        <f aca="false">IF("TD"=Horo8285[[#This Row],[Tâche]],Horo8285[[#This Row],[Durée]],"")</f>
        <v/>
      </c>
      <c r="U24" s="55" t="str">
        <f aca="false">IF("N/C"=Horo8285[[#This Row],[Tâche]],Horo8285[[#This Row],[Durée]],"")</f>
        <v/>
      </c>
      <c r="V24" s="58"/>
      <c r="W24" s="59" t="n">
        <f aca="false">IF(Horo8285[[#This Row],[O]]="o",Horo8285[[#This Row],[Durée]],".")</f>
        <v>1.5</v>
      </c>
      <c r="X24" s="60" t="n">
        <f aca="false">IF(Horo8285[[#This Row],[Début]]=0,"",Horo8285[[#This Row],[Fin]]-Horo8285[[#This Row],[Début]])</f>
        <v>0.0625</v>
      </c>
    </row>
    <row r="25" customFormat="false" ht="15" hidden="false" customHeight="false" outlineLevel="0" collapsed="false">
      <c r="A25" s="45" t="s">
        <v>31</v>
      </c>
      <c r="B25" s="111" t="n">
        <f aca="false">IF(Horo8285[[#This Row],[Jour]]="Lundi",$C$1+1, IF(Horo8285[[#This Row],[Jour]]="Mardi",$C$1+2, IF(Horo8285[[#This Row],[Jour]]="Mercredi",$C$1+3, IF(Horo8285[[#This Row],[Jour]]="Jeudi",$C$1+4, IF(Horo8285[[#This Row],[Jour]]="Vendredi",$C$1+5, IF(Horo8285[[#This Row],[Jour]]="Samedi",$C$1+6, IF(Horo8285[[#This Row],[Jour]]="Dimanche",$C$1, )))))))</f>
        <v>44338</v>
      </c>
      <c r="C25" s="47" t="s">
        <v>4</v>
      </c>
      <c r="D25" s="48" t="n">
        <v>0.333333333333333</v>
      </c>
      <c r="E25" s="48" t="n">
        <v>0.375</v>
      </c>
      <c r="F25" s="49" t="s">
        <v>59</v>
      </c>
      <c r="G25" s="49" t="s">
        <v>19</v>
      </c>
      <c r="H25" s="50" t="s">
        <v>103</v>
      </c>
      <c r="I25" s="61" t="s">
        <v>295</v>
      </c>
      <c r="J25" s="52" t="n">
        <f aca="false">IF(Horo8285[[#This Row],[Début]]=0,"",(Horo8285[[#This Row],[Durée (60)2]]-INT(Horo8285[[#This Row],[Durée (60)2]]))*24)</f>
        <v>1</v>
      </c>
      <c r="K25" s="62" t="n">
        <f aca="false">SUMIF(Horo8285[Jour],C25,Horo8285[Durée])</f>
        <v>7</v>
      </c>
      <c r="L25" s="54" t="n">
        <f aca="false">IFERROR(SUMIF(Horo8285[[#This Row],[Jour]],Horo8285[[#This Row],[Jour]],Horo8285[[#This Row],[GPF]]) / Horo8285[[#This Row],[hrs]],"")</f>
        <v>0.142857142857143</v>
      </c>
      <c r="M25" s="56" t="n">
        <f aca="false">IF("GPF"=Horo8285[[#This Row],[Tâche]],Horo8285[[#This Row],[Durée]],"")</f>
        <v>1</v>
      </c>
      <c r="N25" s="56" t="str">
        <f aca="false">IF("RI"=Horo8285[[#This Row],[Tâche]],Horo8285[[#This Row],[Durée]],"")</f>
        <v/>
      </c>
      <c r="O25" s="56" t="str">
        <f aca="false">IF("GB"=Horo8285[[#This Row],[Tâche]],Horo8285[[#This Row],[Durée]],"")</f>
        <v/>
      </c>
      <c r="P25" s="56" t="str">
        <f aca="false">IF("RD"=Horo8285[[#This Row],[Tâche]],Horo8285[[#This Row],[Durée]],"")</f>
        <v/>
      </c>
      <c r="Q25" s="56" t="str">
        <f aca="false">IF("FG"=Horo8285[[#This Row],[Tâche]],Horo8285[[#This Row],[Durée]],"")</f>
        <v/>
      </c>
      <c r="R25" s="56" t="str">
        <f aca="false">IF("CONGÉ"=Horo8285[[#This Row],[Tâche]],Horo8285[[#This Row],[Durée]],"")</f>
        <v/>
      </c>
      <c r="S25" s="57" t="str">
        <f aca="false">IF("PS"=Horo8285[[#This Row],[Tâche]],Horo8285[[#This Row],[Durée]],"")</f>
        <v/>
      </c>
      <c r="T25" s="56" t="str">
        <f aca="false">IF("TD"=Horo8285[[#This Row],[Tâche]],Horo8285[[#This Row],[Durée]],"")</f>
        <v/>
      </c>
      <c r="U25" s="55" t="str">
        <f aca="false">IF("N/C"=Horo8285[[#This Row],[Tâche]],Horo8285[[#This Row],[Durée]],"")</f>
        <v/>
      </c>
      <c r="V25" s="58"/>
      <c r="W25" s="59" t="n">
        <f aca="false">IF(Horo8285[[#This Row],[O]]="o",Horo8285[[#This Row],[Durée]],".")</f>
        <v>1</v>
      </c>
      <c r="X25" s="60" t="n">
        <f aca="false">IF(Horo8285[[#This Row],[Début]]=0,"",Horo8285[[#This Row],[Fin]]-Horo8285[[#This Row],[Début]])</f>
        <v>0.0416666666666667</v>
      </c>
    </row>
    <row r="26" customFormat="false" ht="15" hidden="false" customHeight="false" outlineLevel="0" collapsed="false">
      <c r="A26" s="45" t="s">
        <v>31</v>
      </c>
      <c r="B26" s="111" t="n">
        <f aca="false">IF(Horo8285[[#This Row],[Jour]]="Lundi",$C$1+1, IF(Horo8285[[#This Row],[Jour]]="Mardi",$C$1+2, IF(Horo8285[[#This Row],[Jour]]="Mercredi",$C$1+3, IF(Horo8285[[#This Row],[Jour]]="Jeudi",$C$1+4, IF(Horo8285[[#This Row],[Jour]]="Vendredi",$C$1+5, IF(Horo8285[[#This Row],[Jour]]="Samedi",$C$1+6, IF(Horo8285[[#This Row],[Jour]]="Dimanche",$C$1, )))))))</f>
        <v>44338</v>
      </c>
      <c r="C26" s="47" t="s">
        <v>4</v>
      </c>
      <c r="D26" s="48" t="n">
        <v>0.375</v>
      </c>
      <c r="E26" s="48" t="n">
        <v>0.395833333333333</v>
      </c>
      <c r="F26" s="49" t="s">
        <v>59</v>
      </c>
      <c r="G26" s="49" t="s">
        <v>19</v>
      </c>
      <c r="H26" s="50" t="s">
        <v>55</v>
      </c>
      <c r="I26" s="61"/>
      <c r="J26" s="52" t="n">
        <f aca="false">IF(Horo8285[[#This Row],[Début]]=0,"",(Horo8285[[#This Row],[Durée (60)2]]-INT(Horo8285[[#This Row],[Durée (60)2]]))*24)</f>
        <v>0.5</v>
      </c>
      <c r="K26" s="53" t="n">
        <f aca="false">SUMIF(Horo8285[Jour],C26,Horo8285[Durée])</f>
        <v>7</v>
      </c>
      <c r="L26" s="54" t="n">
        <f aca="false">IFERROR(SUMIF(Horo8285[[#This Row],[Jour]],Horo8285[[#This Row],[Jour]],Horo8285[[#This Row],[GPF]]) / Horo8285[[#This Row],[hrs]],"")</f>
        <v>0.0714285714285714</v>
      </c>
      <c r="M26" s="55" t="n">
        <f aca="false">IF("GPF"=Horo8285[[#This Row],[Tâche]],Horo8285[[#This Row],[Durée]],"")</f>
        <v>0.5</v>
      </c>
      <c r="N26" s="56" t="str">
        <f aca="false">IF("RI"=Horo8285[[#This Row],[Tâche]],Horo8285[[#This Row],[Durée]],"")</f>
        <v/>
      </c>
      <c r="O26" s="56" t="str">
        <f aca="false">IF("GB"=Horo8285[[#This Row],[Tâche]],Horo8285[[#This Row],[Durée]],"")</f>
        <v/>
      </c>
      <c r="P26" s="56" t="str">
        <f aca="false">IF("RD"=Horo8285[[#This Row],[Tâche]],Horo8285[[#This Row],[Durée]],"")</f>
        <v/>
      </c>
      <c r="Q26" s="56" t="str">
        <f aca="false">IF("FG"=Horo8285[[#This Row],[Tâche]],Horo8285[[#This Row],[Durée]],"")</f>
        <v/>
      </c>
      <c r="R26" s="56" t="str">
        <f aca="false">IF("CONGÉ"=Horo8285[[#This Row],[Tâche]],Horo8285[[#This Row],[Durée]],"")</f>
        <v/>
      </c>
      <c r="S26" s="57" t="str">
        <f aca="false">IF("PS"=Horo8285[[#This Row],[Tâche]],Horo8285[[#This Row],[Durée]],"")</f>
        <v/>
      </c>
      <c r="T26" s="56" t="str">
        <f aca="false">IF("TD"=Horo8285[[#This Row],[Tâche]],Horo8285[[#This Row],[Durée]],"")</f>
        <v/>
      </c>
      <c r="U26" s="55" t="str">
        <f aca="false">IF("N/C"=Horo8285[[#This Row],[Tâche]],Horo8285[[#This Row],[Durée]],"")</f>
        <v/>
      </c>
      <c r="V26" s="58"/>
      <c r="W26" s="59" t="n">
        <f aca="false">IF(Horo8285[[#This Row],[O]]="o",Horo8285[[#This Row],[Durée]],".")</f>
        <v>0.5</v>
      </c>
      <c r="X26" s="60" t="n">
        <f aca="false">IF(Horo8285[[#This Row],[Début]]=0,"",Horo8285[[#This Row],[Fin]]-Horo8285[[#This Row],[Début]])</f>
        <v>0.0208333333333333</v>
      </c>
    </row>
    <row r="27" customFormat="false" ht="15" hidden="false" customHeight="false" outlineLevel="0" collapsed="false">
      <c r="A27" s="45" t="s">
        <v>31</v>
      </c>
      <c r="B27" s="111" t="n">
        <f aca="false">IF(Horo8285[[#This Row],[Jour]]="Lundi",$C$1+1, IF(Horo8285[[#This Row],[Jour]]="Mardi",$C$1+2, IF(Horo8285[[#This Row],[Jour]]="Mercredi",$C$1+3, IF(Horo8285[[#This Row],[Jour]]="Jeudi",$C$1+4, IF(Horo8285[[#This Row],[Jour]]="Vendredi",$C$1+5, IF(Horo8285[[#This Row],[Jour]]="Samedi",$C$1+6, IF(Horo8285[[#This Row],[Jour]]="Dimanche",$C$1, )))))))</f>
        <v>44338</v>
      </c>
      <c r="C27" s="47" t="s">
        <v>4</v>
      </c>
      <c r="D27" s="48" t="n">
        <v>0.395833333333333</v>
      </c>
      <c r="E27" s="48" t="n">
        <v>0.416666666666667</v>
      </c>
      <c r="F27" s="49" t="s">
        <v>59</v>
      </c>
      <c r="G27" s="49" t="s">
        <v>19</v>
      </c>
      <c r="H27" s="50" t="s">
        <v>103</v>
      </c>
      <c r="I27" s="61" t="s">
        <v>295</v>
      </c>
      <c r="J27" s="52" t="n">
        <f aca="false">IF(Horo8285[[#This Row],[Début]]=0,"",(Horo8285[[#This Row],[Durée (60)2]]-INT(Horo8285[[#This Row],[Durée (60)2]]))*24)</f>
        <v>0.500000000000001</v>
      </c>
      <c r="K27" s="62" t="n">
        <f aca="false">SUMIF(Horo8285[Jour],C27,Horo8285[Durée])</f>
        <v>7</v>
      </c>
      <c r="L27" s="54" t="n">
        <f aca="false">IFERROR(SUMIF(Horo8285[[#This Row],[Jour]],Horo8285[[#This Row],[Jour]],Horo8285[[#This Row],[GPF]]) / Horo8285[[#This Row],[hrs]],"")</f>
        <v>0.0714285714285716</v>
      </c>
      <c r="M27" s="56" t="n">
        <f aca="false">IF("GPF"=Horo8285[[#This Row],[Tâche]],Horo8285[[#This Row],[Durée]],"")</f>
        <v>0.500000000000001</v>
      </c>
      <c r="N27" s="56" t="str">
        <f aca="false">IF("RI"=Horo8285[[#This Row],[Tâche]],Horo8285[[#This Row],[Durée]],"")</f>
        <v/>
      </c>
      <c r="O27" s="56" t="str">
        <f aca="false">IF("GB"=Horo8285[[#This Row],[Tâche]],Horo8285[[#This Row],[Durée]],"")</f>
        <v/>
      </c>
      <c r="P27" s="56" t="str">
        <f aca="false">IF("RD"=Horo8285[[#This Row],[Tâche]],Horo8285[[#This Row],[Durée]],"")</f>
        <v/>
      </c>
      <c r="Q27" s="56" t="str">
        <f aca="false">IF("FG"=Horo8285[[#This Row],[Tâche]],Horo8285[[#This Row],[Durée]],"")</f>
        <v/>
      </c>
      <c r="R27" s="56" t="str">
        <f aca="false">IF("CONGÉ"=Horo8285[[#This Row],[Tâche]],Horo8285[[#This Row],[Durée]],"")</f>
        <v/>
      </c>
      <c r="S27" s="57" t="str">
        <f aca="false">IF("PS"=Horo8285[[#This Row],[Tâche]],Horo8285[[#This Row],[Durée]],"")</f>
        <v/>
      </c>
      <c r="T27" s="56" t="str">
        <f aca="false">IF("TD"=Horo8285[[#This Row],[Tâche]],Horo8285[[#This Row],[Durée]],"")</f>
        <v/>
      </c>
      <c r="U27" s="55" t="str">
        <f aca="false">IF("N/C"=Horo8285[[#This Row],[Tâche]],Horo8285[[#This Row],[Durée]],"")</f>
        <v/>
      </c>
      <c r="V27" s="58"/>
      <c r="W27" s="59" t="n">
        <f aca="false">IF(Horo8285[[#This Row],[O]]="o",Horo8285[[#This Row],[Durée]],".")</f>
        <v>0.500000000000001</v>
      </c>
      <c r="X27" s="60" t="n">
        <f aca="false">IF(Horo8285[[#This Row],[Début]]=0,"",Horo8285[[#This Row],[Fin]]-Horo8285[[#This Row],[Début]])</f>
        <v>0.0208333333333334</v>
      </c>
    </row>
    <row r="28" customFormat="false" ht="15" hidden="false" customHeight="false" outlineLevel="0" collapsed="false">
      <c r="A28" s="45" t="s">
        <v>31</v>
      </c>
      <c r="B28" s="111" t="n">
        <f aca="false">IF(Horo8285[[#This Row],[Jour]]="Lundi",$C$1+1, IF(Horo8285[[#This Row],[Jour]]="Mardi",$C$1+2, IF(Horo8285[[#This Row],[Jour]]="Mercredi",$C$1+3, IF(Horo8285[[#This Row],[Jour]]="Jeudi",$C$1+4, IF(Horo8285[[#This Row],[Jour]]="Vendredi",$C$1+5, IF(Horo8285[[#This Row],[Jour]]="Samedi",$C$1+6, IF(Horo8285[[#This Row],[Jour]]="Dimanche",$C$1, )))))))</f>
        <v>44338</v>
      </c>
      <c r="C28" s="47" t="s">
        <v>4</v>
      </c>
      <c r="D28" s="48" t="n">
        <v>0.416666666666667</v>
      </c>
      <c r="E28" s="48" t="n">
        <v>0.46875</v>
      </c>
      <c r="F28" s="49" t="s">
        <v>59</v>
      </c>
      <c r="G28" s="49" t="s">
        <v>19</v>
      </c>
      <c r="H28" s="50" t="s">
        <v>105</v>
      </c>
      <c r="I28" s="61" t="s">
        <v>296</v>
      </c>
      <c r="J28" s="52" t="n">
        <f aca="false">IF(Horo8285[[#This Row],[Début]]=0,"",(Horo8285[[#This Row],[Durée (60)2]]-INT(Horo8285[[#This Row],[Durée (60)2]]))*24)</f>
        <v>1.25</v>
      </c>
      <c r="K28" s="62" t="n">
        <f aca="false">SUMIF(Horo8285[Jour],C28,Horo8285[Durée])</f>
        <v>7</v>
      </c>
      <c r="L28" s="54" t="n">
        <f aca="false">IFERROR(SUMIF(Horo8285[[#This Row],[Jour]],Horo8285[[#This Row],[Jour]],Horo8285[[#This Row],[GPF]]) / Horo8285[[#This Row],[hrs]],"")</f>
        <v>0.178571428571429</v>
      </c>
      <c r="M28" s="56" t="n">
        <f aca="false">IF("GPF"=Horo8285[[#This Row],[Tâche]],Horo8285[[#This Row],[Durée]],"")</f>
        <v>1.25</v>
      </c>
      <c r="N28" s="56" t="str">
        <f aca="false">IF("RI"=Horo8285[[#This Row],[Tâche]],Horo8285[[#This Row],[Durée]],"")</f>
        <v/>
      </c>
      <c r="O28" s="56" t="str">
        <f aca="false">IF("GB"=Horo8285[[#This Row],[Tâche]],Horo8285[[#This Row],[Durée]],"")</f>
        <v/>
      </c>
      <c r="P28" s="56" t="str">
        <f aca="false">IF("RD"=Horo8285[[#This Row],[Tâche]],Horo8285[[#This Row],[Durée]],"")</f>
        <v/>
      </c>
      <c r="Q28" s="56" t="str">
        <f aca="false">IF("FG"=Horo8285[[#This Row],[Tâche]],Horo8285[[#This Row],[Durée]],"")</f>
        <v/>
      </c>
      <c r="R28" s="56" t="str">
        <f aca="false">IF("CONGÉ"=Horo8285[[#This Row],[Tâche]],Horo8285[[#This Row],[Durée]],"")</f>
        <v/>
      </c>
      <c r="S28" s="57" t="str">
        <f aca="false">IF("PS"=Horo8285[[#This Row],[Tâche]],Horo8285[[#This Row],[Durée]],"")</f>
        <v/>
      </c>
      <c r="T28" s="56" t="str">
        <f aca="false">IF("TD"=Horo8285[[#This Row],[Tâche]],Horo8285[[#This Row],[Durée]],"")</f>
        <v/>
      </c>
      <c r="U28" s="55" t="str">
        <f aca="false">IF("N/C"=Horo8285[[#This Row],[Tâche]],Horo8285[[#This Row],[Durée]],"")</f>
        <v/>
      </c>
      <c r="V28" s="58"/>
      <c r="W28" s="59" t="n">
        <f aca="false">IF(Horo8285[[#This Row],[O]]="o",Horo8285[[#This Row],[Durée]],".")</f>
        <v>1.25</v>
      </c>
      <c r="X28" s="60" t="n">
        <f aca="false">IF(Horo8285[[#This Row],[Début]]=0,"",Horo8285[[#This Row],[Fin]]-Horo8285[[#This Row],[Début]])</f>
        <v>0.0520833333333333</v>
      </c>
    </row>
    <row r="29" customFormat="false" ht="15" hidden="false" customHeight="false" outlineLevel="0" collapsed="false">
      <c r="A29" s="45" t="s">
        <v>31</v>
      </c>
      <c r="B29" s="111" t="n">
        <f aca="false">IF(Horo8285[[#This Row],[Jour]]="Lundi",$C$1+1, IF(Horo8285[[#This Row],[Jour]]="Mardi",$C$1+2, IF(Horo8285[[#This Row],[Jour]]="Mercredi",$C$1+3, IF(Horo8285[[#This Row],[Jour]]="Jeudi",$C$1+4, IF(Horo8285[[#This Row],[Jour]]="Vendredi",$C$1+5, IF(Horo8285[[#This Row],[Jour]]="Samedi",$C$1+6, IF(Horo8285[[#This Row],[Jour]]="Dimanche",$C$1, )))))))</f>
        <v>44338</v>
      </c>
      <c r="C29" s="47" t="s">
        <v>4</v>
      </c>
      <c r="D29" s="48" t="n">
        <v>0.5625</v>
      </c>
      <c r="E29" s="48" t="n">
        <v>0.614583333333333</v>
      </c>
      <c r="F29" s="49" t="s">
        <v>59</v>
      </c>
      <c r="G29" s="49" t="s">
        <v>19</v>
      </c>
      <c r="H29" s="50" t="s">
        <v>103</v>
      </c>
      <c r="I29" s="61" t="s">
        <v>297</v>
      </c>
      <c r="J29" s="52" t="n">
        <f aca="false">IF(Horo8285[[#This Row],[Début]]=0,"",(Horo8285[[#This Row],[Durée (60)2]]-INT(Horo8285[[#This Row],[Durée (60)2]]))*24)</f>
        <v>1.25</v>
      </c>
      <c r="K29" s="53" t="n">
        <f aca="false">SUMIF(Horo8285[Jour],C29,Horo8285[Durée])</f>
        <v>7</v>
      </c>
      <c r="L29" s="54" t="n">
        <f aca="false">IFERROR(SUMIF(Horo8285[[#This Row],[Jour]],Horo8285[[#This Row],[Jour]],Horo8285[[#This Row],[GPF]]) / Horo8285[[#This Row],[hrs]],"")</f>
        <v>0.178571428571429</v>
      </c>
      <c r="M29" s="55" t="n">
        <f aca="false">IF("GPF"=Horo8285[[#This Row],[Tâche]],Horo8285[[#This Row],[Durée]],"")</f>
        <v>1.25</v>
      </c>
      <c r="N29" s="56" t="str">
        <f aca="false">IF("RI"=Horo8285[[#This Row],[Tâche]],Horo8285[[#This Row],[Durée]],"")</f>
        <v/>
      </c>
      <c r="O29" s="56" t="str">
        <f aca="false">IF("GB"=Horo8285[[#This Row],[Tâche]],Horo8285[[#This Row],[Durée]],"")</f>
        <v/>
      </c>
      <c r="P29" s="56" t="str">
        <f aca="false">IF("RD"=Horo8285[[#This Row],[Tâche]],Horo8285[[#This Row],[Durée]],"")</f>
        <v/>
      </c>
      <c r="Q29" s="56" t="str">
        <f aca="false">IF("FG"=Horo8285[[#This Row],[Tâche]],Horo8285[[#This Row],[Durée]],"")</f>
        <v/>
      </c>
      <c r="R29" s="56" t="str">
        <f aca="false">IF("CONGÉ"=Horo8285[[#This Row],[Tâche]],Horo8285[[#This Row],[Durée]],"")</f>
        <v/>
      </c>
      <c r="S29" s="57" t="str">
        <f aca="false">IF("PS"=Horo8285[[#This Row],[Tâche]],Horo8285[[#This Row],[Durée]],"")</f>
        <v/>
      </c>
      <c r="T29" s="56" t="str">
        <f aca="false">IF("TD"=Horo8285[[#This Row],[Tâche]],Horo8285[[#This Row],[Durée]],"")</f>
        <v/>
      </c>
      <c r="U29" s="55" t="str">
        <f aca="false">IF("N/C"=Horo8285[[#This Row],[Tâche]],Horo8285[[#This Row],[Durée]],"")</f>
        <v/>
      </c>
      <c r="V29" s="58"/>
      <c r="W29" s="59" t="n">
        <f aca="false">IF(Horo8285[[#This Row],[O]]="o",Horo8285[[#This Row],[Durée]],".")</f>
        <v>1.25</v>
      </c>
      <c r="X29" s="60" t="n">
        <f aca="false">IF(Horo8285[[#This Row],[Début]]=0,"",Horo8285[[#This Row],[Fin]]-Horo8285[[#This Row],[Début]])</f>
        <v>0.0520833333333334</v>
      </c>
    </row>
    <row r="30" customFormat="false" ht="15" hidden="false" customHeight="false" outlineLevel="0" collapsed="false">
      <c r="A30" s="45" t="s">
        <v>31</v>
      </c>
      <c r="B30" s="111" t="n">
        <f aca="false">IF(Horo8285[[#This Row],[Jour]]="Lundi",$C$1+1, IF(Horo8285[[#This Row],[Jour]]="Mardi",$C$1+2, IF(Horo8285[[#This Row],[Jour]]="Mercredi",$C$1+3, IF(Horo8285[[#This Row],[Jour]]="Jeudi",$C$1+4, IF(Horo8285[[#This Row],[Jour]]="Vendredi",$C$1+5, IF(Horo8285[[#This Row],[Jour]]="Samedi",$C$1+6, IF(Horo8285[[#This Row],[Jour]]="Dimanche",$C$1, )))))))</f>
        <v>44338</v>
      </c>
      <c r="C30" s="47" t="s">
        <v>4</v>
      </c>
      <c r="D30" s="48" t="n">
        <v>0.645833333333333</v>
      </c>
      <c r="E30" s="48" t="n">
        <v>0.6875</v>
      </c>
      <c r="F30" s="49" t="s">
        <v>59</v>
      </c>
      <c r="G30" s="49" t="s">
        <v>19</v>
      </c>
      <c r="H30" s="50" t="s">
        <v>103</v>
      </c>
      <c r="I30" s="61" t="s">
        <v>298</v>
      </c>
      <c r="J30" s="52" t="n">
        <f aca="false">IF(Horo8285[[#This Row],[Début]]=0,"",(Horo8285[[#This Row],[Durée (60)2]]-INT(Horo8285[[#This Row],[Durée (60)2]]))*24)</f>
        <v>0.999999999999999</v>
      </c>
      <c r="K30" s="62" t="n">
        <f aca="false">SUMIF(Horo8285[Jour],C30,Horo8285[Durée])</f>
        <v>7</v>
      </c>
      <c r="L30" s="54" t="n">
        <f aca="false">IFERROR(SUMIF(Horo8285[[#This Row],[Jour]],Horo8285[[#This Row],[Jour]],Horo8285[[#This Row],[GPF]]) / Horo8285[[#This Row],[hrs]],"")</f>
        <v>0.142857142857143</v>
      </c>
      <c r="M30" s="56" t="n">
        <f aca="false">IF("GPF"=Horo8285[[#This Row],[Tâche]],Horo8285[[#This Row],[Durée]],"")</f>
        <v>0.999999999999999</v>
      </c>
      <c r="N30" s="56" t="str">
        <f aca="false">IF("RI"=Horo8285[[#This Row],[Tâche]],Horo8285[[#This Row],[Durée]],"")</f>
        <v/>
      </c>
      <c r="O30" s="56" t="str">
        <f aca="false">IF("GB"=Horo8285[[#This Row],[Tâche]],Horo8285[[#This Row],[Durée]],"")</f>
        <v/>
      </c>
      <c r="P30" s="56" t="str">
        <f aca="false">IF("RD"=Horo8285[[#This Row],[Tâche]],Horo8285[[#This Row],[Durée]],"")</f>
        <v/>
      </c>
      <c r="Q30" s="56" t="str">
        <f aca="false">IF("FG"=Horo8285[[#This Row],[Tâche]],Horo8285[[#This Row],[Durée]],"")</f>
        <v/>
      </c>
      <c r="R30" s="56" t="str">
        <f aca="false">IF("CONGÉ"=Horo8285[[#This Row],[Tâche]],Horo8285[[#This Row],[Durée]],"")</f>
        <v/>
      </c>
      <c r="S30" s="57" t="str">
        <f aca="false">IF("PS"=Horo8285[[#This Row],[Tâche]],Horo8285[[#This Row],[Durée]],"")</f>
        <v/>
      </c>
      <c r="T30" s="56" t="str">
        <f aca="false">IF("TD"=Horo8285[[#This Row],[Tâche]],Horo8285[[#This Row],[Durée]],"")</f>
        <v/>
      </c>
      <c r="U30" s="55" t="str">
        <f aca="false">IF("N/C"=Horo8285[[#This Row],[Tâche]],Horo8285[[#This Row],[Durée]],"")</f>
        <v/>
      </c>
      <c r="V30" s="58"/>
      <c r="W30" s="59" t="n">
        <f aca="false">IF(Horo8285[[#This Row],[O]]="o",Horo8285[[#This Row],[Durée]],".")</f>
        <v>0.999999999999999</v>
      </c>
      <c r="X30" s="60" t="n">
        <f aca="false">IF(Horo8285[[#This Row],[Début]]=0,"",Horo8285[[#This Row],[Fin]]-Horo8285[[#This Row],[Début]])</f>
        <v>0.0416666666666666</v>
      </c>
    </row>
    <row r="31" customFormat="false" ht="15" hidden="false" customHeight="false" outlineLevel="0" collapsed="false">
      <c r="A31" s="45" t="s">
        <v>31</v>
      </c>
      <c r="B31" s="111" t="n">
        <f aca="false">IF(Horo8285[[#This Row],[Jour]]="Lundi",$C$1+1, IF(Horo8285[[#This Row],[Jour]]="Mardi",$C$1+2, IF(Horo8285[[#This Row],[Jour]]="Mercredi",$C$1+3, IF(Horo8285[[#This Row],[Jour]]="Jeudi",$C$1+4, IF(Horo8285[[#This Row],[Jour]]="Vendredi",$C$1+5, IF(Horo8285[[#This Row],[Jour]]="Samedi",$C$1+6, IF(Horo8285[[#This Row],[Jour]]="Dimanche",$C$1, )))))))</f>
        <v>44338</v>
      </c>
      <c r="C31" s="47" t="s">
        <v>4</v>
      </c>
      <c r="D31" s="48" t="n">
        <v>0.6875</v>
      </c>
      <c r="E31" s="48" t="n">
        <v>0.75</v>
      </c>
      <c r="F31" s="49" t="s">
        <v>32</v>
      </c>
      <c r="G31" s="49" t="s">
        <v>21</v>
      </c>
      <c r="H31" s="50" t="s">
        <v>94</v>
      </c>
      <c r="I31" s="61" t="s">
        <v>299</v>
      </c>
      <c r="J31" s="52" t="n">
        <f aca="false">IF(Horo8285[[#This Row],[Début]]=0,"",(Horo8285[[#This Row],[Durée (60)2]]-INT(Horo8285[[#This Row],[Durée (60)2]]))*24)</f>
        <v>1.5</v>
      </c>
      <c r="K31" s="62" t="n">
        <f aca="false">SUMIF(Horo8285[Jour],C31,Horo8285[Durée])</f>
        <v>7</v>
      </c>
      <c r="L31" s="54" t="n">
        <f aca="false">IFERROR(SUMIF(Horo8285[[#This Row],[Jour]],Horo8285[[#This Row],[Jour]],Horo8285[[#This Row],[GPF]]) / Horo8285[[#This Row],[hrs]],"")</f>
        <v>0</v>
      </c>
      <c r="M31" s="56" t="str">
        <f aca="false">IF("GPF"=Horo8285[[#This Row],[Tâche]],Horo8285[[#This Row],[Durée]],"")</f>
        <v/>
      </c>
      <c r="N31" s="56" t="str">
        <f aca="false">IF("RI"=Horo8285[[#This Row],[Tâche]],Horo8285[[#This Row],[Durée]],"")</f>
        <v/>
      </c>
      <c r="O31" s="56" t="n">
        <f aca="false">IF("GB"=Horo8285[[#This Row],[Tâche]],Horo8285[[#This Row],[Durée]],"")</f>
        <v>1.5</v>
      </c>
      <c r="P31" s="56" t="str">
        <f aca="false">IF("RD"=Horo8285[[#This Row],[Tâche]],Horo8285[[#This Row],[Durée]],"")</f>
        <v/>
      </c>
      <c r="Q31" s="56" t="str">
        <f aca="false">IF("FG"=Horo8285[[#This Row],[Tâche]],Horo8285[[#This Row],[Durée]],"")</f>
        <v/>
      </c>
      <c r="R31" s="56" t="str">
        <f aca="false">IF("CONGÉ"=Horo8285[[#This Row],[Tâche]],Horo8285[[#This Row],[Durée]],"")</f>
        <v/>
      </c>
      <c r="S31" s="57" t="str">
        <f aca="false">IF("PS"=Horo8285[[#This Row],[Tâche]],Horo8285[[#This Row],[Durée]],"")</f>
        <v/>
      </c>
      <c r="T31" s="56" t="str">
        <f aca="false">IF("TD"=Horo8285[[#This Row],[Tâche]],Horo8285[[#This Row],[Durée]],"")</f>
        <v/>
      </c>
      <c r="U31" s="55" t="str">
        <f aca="false">IF("N/C"=Horo8285[[#This Row],[Tâche]],Horo8285[[#This Row],[Durée]],"")</f>
        <v/>
      </c>
      <c r="V31" s="58"/>
      <c r="W31" s="59" t="n">
        <f aca="false">IF(Horo8285[[#This Row],[O]]="o",Horo8285[[#This Row],[Durée]],".")</f>
        <v>1.5</v>
      </c>
      <c r="X31" s="60" t="n">
        <f aca="false">IF(Horo8285[[#This Row],[Début]]=0,"",Horo8285[[#This Row],[Fin]]-Horo8285[[#This Row],[Début]])</f>
        <v>0.0625</v>
      </c>
    </row>
    <row r="32" customFormat="false" ht="15" hidden="false" customHeight="false" outlineLevel="0" collapsed="false">
      <c r="A32" s="45" t="s">
        <v>33</v>
      </c>
      <c r="B32" s="111" t="n">
        <f aca="false">IF(Horo8285[[#This Row],[Jour]]="Lundi",$C$1+1, IF(Horo8285[[#This Row],[Jour]]="Mardi",$C$1+2, IF(Horo8285[[#This Row],[Jour]]="Mercredi",$C$1+3, IF(Horo8285[[#This Row],[Jour]]="Jeudi",$C$1+4, IF(Horo8285[[#This Row],[Jour]]="Vendredi",$C$1+5, IF(Horo8285[[#This Row],[Jour]]="Samedi",$C$1+6, IF(Horo8285[[#This Row],[Jour]]="Dimanche",$C$1, )))))))</f>
        <v>0</v>
      </c>
      <c r="C32" s="47"/>
      <c r="D32" s="48"/>
      <c r="E32" s="48"/>
      <c r="F32" s="49"/>
      <c r="G32" s="49" t="s">
        <v>27</v>
      </c>
      <c r="H32" s="50" t="s">
        <v>201</v>
      </c>
      <c r="I32" s="61"/>
      <c r="J32" s="52" t="str">
        <f aca="false">IF(Horo8285[[#This Row],[Début]]=0,"",(Horo8285[[#This Row],[Durée (60)2]]-INT(Horo8285[[#This Row],[Durée (60)2]]))*24)</f>
        <v/>
      </c>
      <c r="K32" s="62" t="n">
        <f aca="false">SUMIF(Horo8285[Jour],C32,Horo8285[Durée])</f>
        <v>0</v>
      </c>
      <c r="L32" s="54" t="str">
        <f aca="false">IFERROR(SUMIF(Horo8285[[#This Row],[Jour]],Horo8285[[#This Row],[Jour]],Horo8285[[#This Row],[GPF]]) / Horo8285[[#This Row],[hrs]],"")</f>
        <v/>
      </c>
      <c r="M32" s="56" t="str">
        <f aca="false">IF("GPF"=Horo8285[[#This Row],[Tâche]],Horo8285[[#This Row],[Durée]],"")</f>
        <v/>
      </c>
      <c r="N32" s="56" t="str">
        <f aca="false">IF("RI"=Horo8285[[#This Row],[Tâche]],Horo8285[[#This Row],[Durée]],"")</f>
        <v/>
      </c>
      <c r="O32" s="56" t="str">
        <f aca="false">IF("GB"=Horo8285[[#This Row],[Tâche]],Horo8285[[#This Row],[Durée]],"")</f>
        <v/>
      </c>
      <c r="P32" s="56" t="str">
        <f aca="false">IF("RD"=Horo8285[[#This Row],[Tâche]],Horo8285[[#This Row],[Durée]],"")</f>
        <v/>
      </c>
      <c r="Q32" s="56" t="str">
        <f aca="false">IF("FG"=Horo8285[[#This Row],[Tâche]],Horo8285[[#This Row],[Durée]],"")</f>
        <v/>
      </c>
      <c r="R32" s="56" t="str">
        <f aca="false">IF("CONGÉ"=Horo8285[[#This Row],[Tâche]],Horo8285[[#This Row],[Durée]],"")</f>
        <v/>
      </c>
      <c r="S32" s="56" t="str">
        <f aca="false">IF("PS"=Horo8285[[#This Row],[Tâche]],Horo8285[[#This Row],[Durée]],"")</f>
        <v/>
      </c>
      <c r="T32" s="56" t="str">
        <f aca="false">IF("TD"=Horo8285[[#This Row],[Tâche]],Horo8285[[#This Row],[Durée]],"")</f>
        <v/>
      </c>
      <c r="U32" s="56" t="str">
        <f aca="false">IF("N/C"=Horo8285[[#This Row],[Tâche]],Horo8285[[#This Row],[Durée]],"")</f>
        <v/>
      </c>
      <c r="V32" s="58"/>
      <c r="W32" s="59" t="str">
        <f aca="false">IF(Horo8285[[#This Row],[O]]="o",Horo8285[[#This Row],[Durée]],".")</f>
        <v>.</v>
      </c>
      <c r="X32" s="64" t="str">
        <f aca="false">IF(Horo8285[[#This Row],[Début]]=0,"",Horo8285[[#This Row],[Fin]]-Horo8285[[#This Row],[Début]])</f>
        <v/>
      </c>
    </row>
    <row r="38" s="3" customFormat="true" ht="15" hidden="false" customHeight="false" outlineLevel="0" collapsed="false">
      <c r="L38" s="65"/>
    </row>
    <row r="39" customFormat="false" ht="15" hidden="false" customHeight="false" outlineLevel="0" collapsed="false">
      <c r="A39" s="66" t="s">
        <v>18</v>
      </c>
      <c r="B39" s="66" t="s">
        <v>57</v>
      </c>
      <c r="C39" s="66" t="s">
        <v>58</v>
      </c>
    </row>
    <row r="40" customFormat="false" ht="15" hidden="false" customHeight="false" outlineLevel="0" collapsed="false">
      <c r="A40" s="67" t="n">
        <f aca="false">IF((SUMIF(Horo8285[Client],B40,Horo8285[Durée]) / Total)=0,"",(SUMIF(Horo8285[Client],B40,Horo8285[Durée]) / Total))</f>
        <v>0.038961038961039</v>
      </c>
      <c r="B40" s="68" t="s">
        <v>63</v>
      </c>
      <c r="C40" s="69" t="n">
        <f aca="false">IF(SUMIF(Horo8285[Client],B40,Horo8285[Durée])=0,"",SUMIF(Horo8285[Client],B40,Horo8285[Durée]))</f>
        <v>1.5</v>
      </c>
    </row>
    <row r="41" customFormat="false" ht="15" hidden="false" customHeight="false" outlineLevel="0" collapsed="false">
      <c r="A41" s="67" t="n">
        <f aca="false">IF((SUMIF(Horo8285[Client],B41,Horo8285[Durée]) / Total)=0,"",(SUMIF(Horo8285[Client],B41,Horo8285[Durée]) / Total))</f>
        <v>0.0454545454545455</v>
      </c>
      <c r="B41" s="68" t="s">
        <v>75</v>
      </c>
      <c r="C41" s="69" t="n">
        <f aca="false">IF(SUMIF(Horo8285[Client],B41,Horo8285[Durée])=0,"",SUMIF(Horo8285[Client],B41,Horo8285[Durée]))</f>
        <v>1.75</v>
      </c>
    </row>
    <row r="42" customFormat="false" ht="15" hidden="false" customHeight="false" outlineLevel="0" collapsed="false">
      <c r="A42" s="67" t="n">
        <f aca="false">IF((SUMIF(Horo8285[Client],B42,Horo8285[Durée]) / Total)=0,"",(SUMIF(Horo8285[Client],B42,Horo8285[Durée]) / Total))</f>
        <v>0.38961038961039</v>
      </c>
      <c r="B42" s="68" t="s">
        <v>32</v>
      </c>
      <c r="C42" s="69" t="n">
        <f aca="false">IF(SUMIF(Horo8285[Client],B42,Horo8285[Durée])=0,"",SUMIF(Horo8285[Client],B42,Horo8285[Durée]))</f>
        <v>15</v>
      </c>
    </row>
    <row r="43" customFormat="false" ht="15" hidden="false" customHeight="false" outlineLevel="0" collapsed="false">
      <c r="A43" s="67" t="n">
        <f aca="false">IF((SUMIF(Horo8285[Client],B43,Horo8285[Durée]) / Total)=0,"",(SUMIF(Horo8285[Client],B43,Horo8285[Durée]) / Total))</f>
        <v>0.564935064935065</v>
      </c>
      <c r="B43" s="68" t="s">
        <v>59</v>
      </c>
      <c r="C43" s="69" t="n">
        <f aca="false">IF(SUMIF(Horo8285[Client],B43,Horo8285[Durée])=0,"",SUMIF(Horo8285[Client],B43,Horo8285[Durée]))</f>
        <v>21.75</v>
      </c>
    </row>
    <row r="44" customFormat="false" ht="15" hidden="false" customHeight="false" outlineLevel="0" collapsed="false">
      <c r="A44" s="67" t="str">
        <f aca="false">IF((SUMIF(Horo8285[Client],B44,Horo8285[Durée]) / Total)=0,"",(SUMIF(Horo8285[Client],B44,Horo8285[Durée]) / Total))</f>
        <v/>
      </c>
      <c r="B44" s="68" t="s">
        <v>62</v>
      </c>
      <c r="C44" s="70" t="str">
        <f aca="false">IF(SUMIF(Horo8285[Client],B44,Horo8285[Durée])=0,"",SUMIF(Horo8285[Client],B44,Horo8285[Durée]))</f>
        <v/>
      </c>
    </row>
    <row r="45" customFormat="false" ht="15" hidden="false" customHeight="false" outlineLevel="0" collapsed="false">
      <c r="A45" s="67" t="str">
        <f aca="false">IF((SUMIF(Horo8285[Client],B45,Horo8285[Durée]) / Total)=0,"",(SUMIF(Horo8285[Client],B45,Horo8285[Durée]) / Total))</f>
        <v/>
      </c>
      <c r="B45" s="68" t="s">
        <v>37</v>
      </c>
      <c r="C45" s="69" t="str">
        <f aca="false">IF(SUMIF(Horo8285[Client],B45,Horo8285[Durée])=0,"",SUMIF(Horo8285[Client],B45,Horo8285[Durée]))</f>
        <v/>
      </c>
    </row>
    <row r="46" customFormat="false" ht="15" hidden="false" customHeight="false" outlineLevel="0" collapsed="false">
      <c r="A46" s="67" t="str">
        <f aca="false">IF((SUMIF(Horo8285[Client],B46,Horo8285[Durée]) / Total)=0,"",(SUMIF(Horo8285[Client],B46,Horo8285[Durée]) / Total))</f>
        <v/>
      </c>
      <c r="B46" s="68" t="s">
        <v>64</v>
      </c>
      <c r="C46" s="70" t="str">
        <f aca="false">IF(SUMIF(Horo8285[Client],B46,Horo8285[Durée])=0,"",SUMIF(Horo8285[Client],B46,Horo8285[Durée]))</f>
        <v/>
      </c>
    </row>
    <row r="47" customFormat="false" ht="15" hidden="false" customHeight="false" outlineLevel="0" collapsed="false">
      <c r="A47" s="67" t="str">
        <f aca="false">IF((SUMIF(Horo8285[Client],B47,Horo8285[Durée]) / Total)=0,"",(SUMIF(Horo8285[Client],B47,Horo8285[Durée]) / Total))</f>
        <v/>
      </c>
      <c r="B47" s="68" t="s">
        <v>65</v>
      </c>
      <c r="C47" s="70" t="str">
        <f aca="false">IF(SUMIF(Horo8285[Client],B47,Horo8285[Durée])=0,"",SUMIF(Horo8285[Client],B47,Horo8285[Durée]))</f>
        <v/>
      </c>
      <c r="F47" s="71"/>
    </row>
    <row r="48" customFormat="false" ht="15" hidden="false" customHeight="false" outlineLevel="0" collapsed="false">
      <c r="A48" s="67" t="str">
        <f aca="false">IF((SUMIF(Horo8285[Client],B48,Horo8285[Durée]) / Total)=0,"",(SUMIF(Horo8285[Client],B48,Horo8285[Durée]) / Total))</f>
        <v/>
      </c>
      <c r="B48" s="68" t="s">
        <v>66</v>
      </c>
      <c r="C48" s="69" t="str">
        <f aca="false">IF(SUMIF(Horo8285[Client],B48,Horo8285[Durée])=0,"",SUMIF(Horo8285[Client],B48,Horo8285[Durée]))</f>
        <v/>
      </c>
    </row>
    <row r="49" customFormat="false" ht="15" hidden="false" customHeight="false" outlineLevel="0" collapsed="false">
      <c r="A49" s="67" t="str">
        <f aca="false">IF((SUMIF(Horo8285[Client],B49,Horo8285[Durée]) / Total)=0,"",(SUMIF(Horo8285[Client],B49,Horo8285[Durée]) / Total))</f>
        <v/>
      </c>
      <c r="B49" s="68" t="s">
        <v>47</v>
      </c>
      <c r="C49" s="70" t="str">
        <f aca="false">IF(SUMIF(Horo8285[Client],B49,Horo8285[Durée])=0,"",SUMIF(Horo8285[Client],B49,Horo8285[Durée]))</f>
        <v/>
      </c>
    </row>
    <row r="50" customFormat="false" ht="15" hidden="false" customHeight="false" outlineLevel="0" collapsed="false">
      <c r="A50" s="67" t="str">
        <f aca="false">IF((SUMIF(Horo8285[Client],B50,Horo8285[Durée]) / Total)=0,"",(SUMIF(Horo8285[Client],B50,Horo8285[Durée]) / Total))</f>
        <v/>
      </c>
      <c r="B50" s="68" t="s">
        <v>67</v>
      </c>
      <c r="C50" s="70" t="str">
        <f aca="false">IF(SUMIF(Horo8285[Client],B50,Horo8285[Durée])=0,"",SUMIF(Horo8285[Client],B50,Horo8285[Durée]))</f>
        <v/>
      </c>
    </row>
    <row r="51" customFormat="false" ht="15" hidden="false" customHeight="false" outlineLevel="0" collapsed="false">
      <c r="A51" s="67" t="str">
        <f aca="false">IF((SUMIF(Horo8285[Client],B51,Horo8285[Durée]) / Total)=0,"",(SUMIF(Horo8285[Client],B51,Horo8285[Durée]) / Total))</f>
        <v/>
      </c>
      <c r="B51" s="68" t="s">
        <v>68</v>
      </c>
      <c r="C51" s="70" t="str">
        <f aca="false">IF(SUMIF(Horo8285[Client],B51,Horo8285[Durée])=0,"",SUMIF(Horo8285[Client],B51,Horo8285[Durée]))</f>
        <v/>
      </c>
    </row>
    <row r="52" customFormat="false" ht="15" hidden="false" customHeight="false" outlineLevel="0" collapsed="false">
      <c r="A52" s="67" t="str">
        <f aca="false">IF((SUMIF(Horo8285[Client],B52,Horo8285[Durée]) / Total)=0,"",(SUMIF(Horo8285[Client],B52,Horo8285[Durée]) / Total))</f>
        <v/>
      </c>
      <c r="B52" s="68" t="s">
        <v>41</v>
      </c>
      <c r="C52" s="70" t="str">
        <f aca="false">IF(SUMIF(Horo8285[Client],B52,Horo8285[Durée])=0,"",SUMIF(Horo8285[Client],B52,Horo8285[Durée]))</f>
        <v/>
      </c>
    </row>
    <row r="53" customFormat="false" ht="15" hidden="false" customHeight="false" outlineLevel="0" collapsed="false">
      <c r="A53" s="67" t="str">
        <f aca="false">IF((SUMIF(Horo8285[Client],B53,Horo8285[Durée]) / Total)=0,"",(SUMIF(Horo8285[Client],B53,Horo8285[Durée]) / Total))</f>
        <v/>
      </c>
      <c r="B53" s="68" t="s">
        <v>61</v>
      </c>
      <c r="C53" s="70" t="str">
        <f aca="false">IF(SUMIF(Horo8285[Client],B53,Horo8285[Durée])=0,"",SUMIF(Horo8285[Client],B53,Horo8285[Durée]))</f>
        <v/>
      </c>
    </row>
    <row r="54" customFormat="false" ht="15" hidden="false" customHeight="false" outlineLevel="0" collapsed="false">
      <c r="A54" s="67" t="str">
        <f aca="false">IF((SUMIF(Horo8285[Client],B54,Horo8285[Durée]) / Total)=0,"",(SUMIF(Horo8285[Client],B54,Horo8285[Durée]) / Total))</f>
        <v/>
      </c>
      <c r="B54" s="68" t="s">
        <v>69</v>
      </c>
      <c r="C54" s="69" t="str">
        <f aca="false">IF(SUMIF(Horo8285[Client],B54,Horo8285[Durée])=0,"",SUMIF(Horo8285[Client],B54,Horo8285[Durée]))</f>
        <v/>
      </c>
    </row>
    <row r="55" customFormat="false" ht="15" hidden="false" customHeight="false" outlineLevel="0" collapsed="false">
      <c r="A55" s="67" t="str">
        <f aca="false">IF((SUMIF(Horo8285[Client],B55,Horo8285[Durée]) / Total)=0,"",(SUMIF(Horo8285[Client],B55,Horo8285[Durée]) / Total))</f>
        <v/>
      </c>
      <c r="B55" s="68" t="s">
        <v>70</v>
      </c>
      <c r="C55" s="70" t="str">
        <f aca="false">IF(SUMIF(Horo8285[Client],B55,Horo8285[Durée])=0,"",SUMIF(Horo8285[Client],B55,Horo8285[Durée]))</f>
        <v/>
      </c>
    </row>
    <row r="56" customFormat="false" ht="15" hidden="false" customHeight="false" outlineLevel="1" collapsed="false">
      <c r="A56" s="67" t="str">
        <f aca="false">IF((SUMIF(Horo8285[Client],B56,Horo8285[Durée]) / Total)=0,"",(SUMIF(Horo8285[Client],B56,Horo8285[Durée]) / Total))</f>
        <v/>
      </c>
      <c r="B56" s="68" t="s">
        <v>71</v>
      </c>
      <c r="C56" s="70" t="str">
        <f aca="false">IF(SUMIF(Horo8285[Client],B56,Horo8285[Durée])=0,"",SUMIF(Horo8285[Client],B56,Horo8285[Durée]))</f>
        <v/>
      </c>
    </row>
    <row r="57" customFormat="false" ht="15" hidden="false" customHeight="false" outlineLevel="1" collapsed="false">
      <c r="A57" s="67" t="str">
        <f aca="false">IF((SUMIF(Horo8285[Client],B57,Horo8285[Durée]) / Total)=0,"",(SUMIF(Horo8285[Client],B57,Horo8285[Durée]) / Total))</f>
        <v/>
      </c>
      <c r="B57" s="68" t="s">
        <v>72</v>
      </c>
      <c r="C57" s="70" t="str">
        <f aca="false">IF(SUMIF(Horo8285[Client],B57,Horo8285[Durée])=0,"",SUMIF(Horo8285[Client],B57,Horo8285[Durée]))</f>
        <v/>
      </c>
    </row>
    <row r="58" customFormat="false" ht="15" hidden="false" customHeight="false" outlineLevel="1" collapsed="false">
      <c r="A58" s="67" t="str">
        <f aca="false">IF((SUMIF(Horo8285[Client],B58,Horo8285[Durée]) / Total)=0,"",(SUMIF(Horo8285[Client],B58,Horo8285[Durée]) / Total))</f>
        <v/>
      </c>
      <c r="B58" s="68" t="s">
        <v>73</v>
      </c>
      <c r="C58" s="70" t="str">
        <f aca="false">IF(SUMIF(Horo8285[Client],B58,Horo8285[Durée])=0,"",SUMIF(Horo8285[Client],B58,Horo8285[Durée]))</f>
        <v/>
      </c>
    </row>
    <row r="59" customFormat="false" ht="15" hidden="false" customHeight="false" outlineLevel="1" collapsed="false">
      <c r="A59" s="67" t="str">
        <f aca="false">IF((SUMIF(Horo8285[Client],B59,Horo8285[Durée]) / Total)=0,"",(SUMIF(Horo8285[Client],B59,Horo8285[Durée]) / Total))</f>
        <v/>
      </c>
      <c r="B59" s="68" t="s">
        <v>74</v>
      </c>
      <c r="C59" s="70" t="str">
        <f aca="false">IF(SUMIF(Horo8285[Client],B59,Horo8285[Durée])=0,"",SUMIF(Horo8285[Client],B59,Horo8285[Durée]))</f>
        <v/>
      </c>
    </row>
    <row r="60" customFormat="false" ht="15" hidden="false" customHeight="false" outlineLevel="1" collapsed="false">
      <c r="A60" s="67" t="str">
        <f aca="false">IF((SUMIF(Horo8285[Client],B60,Horo8285[Durée]) / Total)=0,"",(SUMIF(Horo8285[Client],B60,Horo8285[Durée]) / Total))</f>
        <v/>
      </c>
      <c r="B60" s="68" t="s">
        <v>81</v>
      </c>
      <c r="C60" s="69" t="str">
        <f aca="false">IF(SUMIF(Horo8285[Client],B60,Horo8285[Durée])=0,"",SUMIF(Horo8285[Client],B60,Horo8285[Durée]))</f>
        <v/>
      </c>
    </row>
    <row r="61" customFormat="false" ht="15" hidden="false" customHeight="false" outlineLevel="1" collapsed="false">
      <c r="A61" s="67" t="str">
        <f aca="false">IF((SUMIF(Horo8285[Client],B61,Horo8285[Durée]) / Total)=0,"",(SUMIF(Horo8285[Client],B61,Horo8285[Durée]) / Total))</f>
        <v/>
      </c>
      <c r="B61" s="68" t="s">
        <v>76</v>
      </c>
      <c r="C61" s="70" t="str">
        <f aca="false">IF(SUMIF(Horo8285[Client],B61,Horo8285[Durée])=0,"",SUMIF(Horo8285[Client],B61,Horo8285[Durée]))</f>
        <v/>
      </c>
    </row>
    <row r="62" customFormat="false" ht="15" hidden="false" customHeight="false" outlineLevel="1" collapsed="false">
      <c r="A62" s="67" t="str">
        <f aca="false">IF((SUMIF(Horo8285[Client],B62,Horo8285[Durée]) / Total)=0,"",(SUMIF(Horo8285[Client],B62,Horo8285[Durée]) / Total))</f>
        <v/>
      </c>
      <c r="B62" s="68" t="s">
        <v>77</v>
      </c>
      <c r="C62" s="70" t="str">
        <f aca="false">IF(SUMIF(Horo8285[Client],B62,Horo8285[Durée])=0,"",SUMIF(Horo8285[Client],B62,Horo8285[Durée]))</f>
        <v/>
      </c>
    </row>
    <row r="63" customFormat="false" ht="15" hidden="false" customHeight="false" outlineLevel="1" collapsed="false">
      <c r="A63" s="67" t="str">
        <f aca="false">IF((SUMIF(Horo8285[Client],B63,Horo8285[Durée]) / Total)=0,"",(SUMIF(Horo8285[Client],B63,Horo8285[Durée]) / Total))</f>
        <v/>
      </c>
      <c r="B63" s="68" t="s">
        <v>45</v>
      </c>
      <c r="C63" s="70" t="str">
        <f aca="false">IF(SUMIF(Horo8285[Client],B63,Horo8285[Durée])=0,"",SUMIF(Horo8285[Client],B63,Horo8285[Durée]))</f>
        <v/>
      </c>
    </row>
    <row r="64" customFormat="false" ht="15" hidden="false" customHeight="false" outlineLevel="1" collapsed="false">
      <c r="A64" s="67" t="str">
        <f aca="false">IF((SUMIF(Horo8285[Client],B64,Horo8285[Durée]) / Total)=0,"",(SUMIF(Horo8285[Client],B64,Horo8285[Durée]) / Total))</f>
        <v/>
      </c>
      <c r="B64" s="68" t="s">
        <v>78</v>
      </c>
      <c r="C64" s="70" t="str">
        <f aca="false">IF(SUMIF(Horo8285[Client],B64,Horo8285[Durée])=0,"",SUMIF(Horo8285[Client],B64,Horo8285[Durée]))</f>
        <v/>
      </c>
    </row>
    <row r="65" customFormat="false" ht="15" hidden="false" customHeight="false" outlineLevel="1" collapsed="false">
      <c r="A65" s="67" t="str">
        <f aca="false">IF((SUMIF(Horo8285[Client],B65,Horo8285[Durée]) / Total)=0,"",(SUMIF(Horo8285[Client],B65,Horo8285[Durée]) / Total))</f>
        <v/>
      </c>
      <c r="B65" s="68" t="s">
        <v>79</v>
      </c>
      <c r="C65" s="70" t="str">
        <f aca="false">IF(SUMIF(Horo8285[Client],B65,Horo8285[Durée])=0,"",SUMIF(Horo8285[Client],B65,Horo8285[Durée]))</f>
        <v/>
      </c>
    </row>
    <row r="66" customFormat="false" ht="15" hidden="false" customHeight="false" outlineLevel="1" collapsed="false">
      <c r="A66" s="67" t="str">
        <f aca="false">IF((SUMIF(Horo8285[Client],B66,Horo8285[Durée]) / Total)=0,"",(SUMIF(Horo8285[Client],B66,Horo8285[Durée]) / Total))</f>
        <v/>
      </c>
      <c r="B66" s="68" t="s">
        <v>80</v>
      </c>
      <c r="C66" s="70" t="str">
        <f aca="false">IF(SUMIF(Horo8285[Client],B66,Horo8285[Durée])=0,"",SUMIF(Horo8285[Client],B66,Horo8285[Durée]))</f>
        <v/>
      </c>
    </row>
    <row r="67" customFormat="false" ht="15" hidden="false" customHeight="false" outlineLevel="1" collapsed="false">
      <c r="A67" s="67" t="str">
        <f aca="false">IF((SUMIF(Horo8285[Client],B67,Horo8285[Durée]) / Total)=0,"",(SUMIF(Horo8285[Client],B67,Horo8285[Durée]) / Total))</f>
        <v/>
      </c>
      <c r="B67" s="72" t="s">
        <v>60</v>
      </c>
      <c r="C67" s="70" t="str">
        <f aca="false">IF(SUMIF(Horo8285[Client],B67,Horo8285[Durée])=0,"",SUMIF(Horo8285[Client],B67,Horo8285[Durée]))</f>
        <v/>
      </c>
    </row>
    <row r="68" customFormat="false" ht="15" hidden="true" customHeight="false" outlineLevel="1" collapsed="false"/>
    <row r="69" customFormat="false" ht="15" hidden="true" customHeight="false" outlineLevel="1" collapsed="false"/>
    <row r="70" customFormat="false" ht="15" hidden="true" customHeight="false" outlineLevel="1" collapsed="false"/>
    <row r="71" customFormat="false" ht="15" hidden="true" customHeight="false" outlineLevel="1" collapsed="false"/>
    <row r="72" customFormat="false" ht="15" hidden="true" customHeight="false" outlineLevel="1" collapsed="false"/>
    <row r="73" customFormat="false" ht="15" hidden="true" customHeight="false" outlineLevel="1" collapsed="false"/>
    <row r="74" customFormat="false" ht="15" hidden="true" customHeight="false" outlineLevel="1" collapsed="false"/>
    <row r="75" customFormat="false" ht="15" hidden="true" customHeight="false" outlineLevel="1" collapsed="false"/>
    <row r="76" customFormat="false" ht="15" hidden="true" customHeight="false" outlineLevel="1" collapsed="false"/>
  </sheetData>
  <conditionalFormatting sqref="H4:H32">
    <cfRule type="expression" priority="2" aboveAverage="0" equalAverage="0" bottom="0" percent="0" rank="0" text="" dxfId="578">
      <formula>A4="O"</formula>
    </cfRule>
  </conditionalFormatting>
  <conditionalFormatting sqref="K4:K32">
    <cfRule type="expression" priority="3" aboveAverage="0" equalAverage="0" bottom="0" percent="0" rank="0" text="" dxfId="579">
      <formula>A4="O"</formula>
    </cfRule>
    <cfRule type="expression" priority="4" aboveAverage="0" equalAverage="0" bottom="0" percent="0" rank="0" text="" dxfId="580">
      <formula>A4="O"</formula>
    </cfRule>
  </conditionalFormatting>
  <conditionalFormatting sqref="C4:C32">
    <cfRule type="expression" priority="5" aboveAverage="0" equalAverage="0" bottom="0" percent="0" rank="0" text="" dxfId="581">
      <formula>A4="O"</formula>
    </cfRule>
    <cfRule type="containsText" priority="6" operator="containsText" aboveAverage="0" equalAverage="0" bottom="0" percent="0" rank="0" text="Dimanche" dxfId="582">
      <formula>NOT(ISERROR(SEARCH("Dimanche",C4)))</formula>
    </cfRule>
    <cfRule type="containsText" priority="7" operator="containsText" aboveAverage="0" equalAverage="0" bottom="0" percent="0" rank="0" text="Samedi" dxfId="583">
      <formula>NOT(ISERROR(SEARCH("Samedi",C4)))</formula>
    </cfRule>
    <cfRule type="containsText" priority="8" operator="containsText" aboveAverage="0" equalAverage="0" bottom="0" percent="0" rank="0" text="Vendredi" dxfId="584">
      <formula>NOT(ISERROR(SEARCH("Vendredi",C4)))</formula>
    </cfRule>
    <cfRule type="containsText" priority="9" operator="containsText" aboveAverage="0" equalAverage="0" bottom="0" percent="0" rank="0" text="Jeudi" dxfId="585">
      <formula>NOT(ISERROR(SEARCH("Jeudi",C4)))</formula>
    </cfRule>
    <cfRule type="containsText" priority="10" operator="containsText" aboveAverage="0" equalAverage="0" bottom="0" percent="0" rank="0" text="Mercredi" dxfId="586">
      <formula>NOT(ISERROR(SEARCH("Mercredi",C4)))</formula>
    </cfRule>
    <cfRule type="containsText" priority="11" operator="containsText" aboveAverage="0" equalAverage="0" bottom="0" percent="0" rank="0" text="Mardi" dxfId="587">
      <formula>NOT(ISERROR(SEARCH("Mardi",C4)))</formula>
    </cfRule>
    <cfRule type="containsText" priority="12" operator="containsText" aboveAverage="0" equalAverage="0" bottom="0" percent="0" rank="0" text="Lundi" dxfId="588">
      <formula>NOT(ISERROR(SEARCH("Lundi",C4)))</formula>
    </cfRule>
  </conditionalFormatting>
  <conditionalFormatting sqref="G4:G32">
    <cfRule type="expression" priority="13" aboveAverage="0" equalAverage="0" bottom="0" percent="0" rank="0" text="" dxfId="589">
      <formula>A4="O"</formula>
    </cfRule>
  </conditionalFormatting>
  <conditionalFormatting sqref="I4:I32">
    <cfRule type="expression" priority="14" aboveAverage="0" equalAverage="0" bottom="0" percent="0" rank="0" text="" dxfId="590">
      <formula>A4="O"</formula>
    </cfRule>
  </conditionalFormatting>
  <conditionalFormatting sqref="J4:J32">
    <cfRule type="expression" priority="15" aboveAverage="0" equalAverage="0" bottom="0" percent="0" rank="0" text="" dxfId="591">
      <formula>A4="O"</formula>
    </cfRule>
  </conditionalFormatting>
  <conditionalFormatting sqref="F4:F32">
    <cfRule type="expression" priority="16" aboveAverage="0" equalAverage="0" bottom="0" percent="0" rank="0" text="" dxfId="592">
      <formula>A4="O"</formula>
    </cfRule>
  </conditionalFormatting>
  <conditionalFormatting sqref="B4:B32">
    <cfRule type="cellIs" priority="17" operator="equal" aboveAverage="0" equalAverage="0" bottom="0" percent="0" rank="0" text="" dxfId="593">
      <formula>0</formula>
    </cfRule>
    <cfRule type="expression" priority="18" aboveAverage="0" equalAverage="0" bottom="0" percent="0" rank="0" text="" dxfId="594">
      <formula>A4="O"</formula>
    </cfRule>
    <cfRule type="colorScale" priority="19">
      <colorScale>
        <cfvo type="min" val="0"/>
        <cfvo type="percentile" val="50"/>
        <cfvo type="max" val="0"/>
        <color rgb="FFFFC000"/>
        <color rgb="FFC55A11"/>
        <color rgb="FF2E75B6"/>
      </colorScale>
    </cfRule>
  </conditionalFormatting>
  <conditionalFormatting sqref="D4:D32">
    <cfRule type="expression" priority="20" aboveAverage="0" equalAverage="0" bottom="0" percent="0" rank="0" text="" dxfId="595">
      <formula>A4="O"</formula>
    </cfRule>
    <cfRule type="colorScale" priority="21">
      <colorScale>
        <cfvo type="min" val="0"/>
        <cfvo type="percentile" val="50"/>
        <cfvo type="max" val="0"/>
        <color rgb="FFFFC000"/>
        <color rgb="FFC55A11"/>
        <color rgb="FF2E75B6"/>
      </colorScale>
    </cfRule>
  </conditionalFormatting>
  <conditionalFormatting sqref="E4:E32">
    <cfRule type="expression" priority="22" aboveAverage="0" equalAverage="0" bottom="0" percent="0" rank="0" text="" dxfId="596">
      <formula>A4="O"</formula>
    </cfRule>
    <cfRule type="colorScale" priority="23">
      <colorScale>
        <cfvo type="min" val="0"/>
        <cfvo type="percentile" val="50"/>
        <cfvo type="max" val="0"/>
        <color rgb="FFFFC000"/>
        <color rgb="FFC55A11"/>
        <color rgb="FF2E75B6"/>
      </colorScale>
    </cfRule>
  </conditionalFormatting>
  <dataValidations count="7">
    <dataValidation allowBlank="true" errorStyle="stop" operator="between" showDropDown="false" showErrorMessage="true" showInputMessage="true" sqref="C4:C32" type="list">
      <formula1>Data!$C$2:$C$8</formula1>
      <formula2>0</formula2>
    </dataValidation>
    <dataValidation allowBlank="false" errorStyle="stop" operator="between" showDropDown="false" showErrorMessage="true" showInputMessage="true" sqref="F4:F32" type="list">
      <formula1>Data!$E$2:$E$30</formula1>
      <formula2>0</formula2>
    </dataValidation>
    <dataValidation allowBlank="true" errorStyle="information" errorTitle="OK ?" operator="between" showDropDown="false" showErrorMessage="true" showInputMessage="true" sqref="G4:G32" type="list">
      <formula1>Data!$D$2:$D$16</formula1>
      <formula2>0</formula2>
    </dataValidation>
    <dataValidation allowBlank="true" errorStyle="stop" operator="between" showDropDown="false" showErrorMessage="true" showInputMessage="true" sqref="H17" type="list">
      <formula1>Data!$F$3:$F$50</formula1>
      <formula2>0</formula2>
    </dataValidation>
    <dataValidation allowBlank="false" errorStyle="stop" operator="between" showDropDown="false" showErrorMessage="true" showInputMessage="true" sqref="H4 H10 H12:H16 H20 H25 H27:H32" type="list">
      <formula1>Data!$F$2:$F$50</formula1>
      <formula2>0</formula2>
    </dataValidation>
    <dataValidation allowBlank="false" errorStyle="stop" operator="between" showDropDown="false" showErrorMessage="true" showInputMessage="true" sqref="H5:H9 H11 H18:H19 H21:H24 H26" type="list">
      <formula1>Data!$F$3:$F$50</formula1>
      <formula2>0</formula2>
    </dataValidation>
    <dataValidation allowBlank="true" errorStyle="stop" operator="between" showDropDown="false" showErrorMessage="true" showInputMessage="true" sqref="C1" type="list">
      <formula1>Data!$A$2:$A$106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  <tableParts>
    <tablePart r:id="rId2"/>
    <tablePart r:id="rId3"/>
  </tableParts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E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5" ySplit="3" topLeftCell="K4" activePane="bottomRight" state="frozen"/>
      <selection pane="topLeft" activeCell="A1" activeCellId="0" sqref="A1"/>
      <selection pane="topRight" activeCell="K1" activeCellId="0" sqref="K1"/>
      <selection pane="bottomLeft" activeCell="A4" activeCellId="0" sqref="A4"/>
      <selection pane="bottomRight" activeCell="C2" activeCellId="0" sqref="C2"/>
    </sheetView>
  </sheetViews>
  <sheetFormatPr defaultColWidth="9.1484375" defaultRowHeight="15" zeroHeight="false" outlineLevelRow="1" outlineLevelCol="0"/>
  <cols>
    <col collapsed="false" customWidth="true" hidden="false" outlineLevel="0" max="1" min="1" style="1" width="5.57"/>
    <col collapsed="false" customWidth="true" hidden="false" outlineLevel="0" max="2" min="2" style="1" width="19"/>
    <col collapsed="false" customWidth="true" hidden="false" outlineLevel="0" max="3" min="3" style="1" width="18.29"/>
    <col collapsed="false" customWidth="true" hidden="false" outlineLevel="0" max="4" min="4" style="1" width="13.15"/>
    <col collapsed="false" customWidth="true" hidden="false" outlineLevel="0" max="5" min="5" style="1" width="12.15"/>
    <col collapsed="false" customWidth="true" hidden="false" outlineLevel="0" max="6" min="6" style="1" width="19"/>
    <col collapsed="false" customWidth="true" hidden="false" outlineLevel="0" max="7" min="7" style="1" width="14.29"/>
    <col collapsed="false" customWidth="true" hidden="false" outlineLevel="0" max="8" min="8" style="1" width="14.57"/>
    <col collapsed="false" customWidth="true" hidden="false" outlineLevel="0" max="9" min="9" style="1" width="16"/>
    <col collapsed="false" customWidth="true" hidden="false" outlineLevel="0" max="10" min="10" style="1" width="12.71"/>
    <col collapsed="false" customWidth="true" hidden="false" outlineLevel="0" max="11" min="11" style="1" width="11.71"/>
    <col collapsed="false" customWidth="true" hidden="false" outlineLevel="0" max="12" min="12" style="2" width="9.86"/>
    <col collapsed="false" customWidth="true" hidden="false" outlineLevel="0" max="13" min="13" style="1" width="8.57"/>
    <col collapsed="false" customWidth="true" hidden="false" outlineLevel="0" max="14" min="14" style="1" width="6.71"/>
    <col collapsed="false" customWidth="true" hidden="false" outlineLevel="0" max="15" min="15" style="1" width="6.29"/>
    <col collapsed="false" customWidth="true" hidden="false" outlineLevel="0" max="16" min="16" style="1" width="6"/>
    <col collapsed="false" customWidth="true" hidden="false" outlineLevel="0" max="17" min="17" style="1" width="6.14"/>
    <col collapsed="false" customWidth="true" hidden="false" outlineLevel="0" max="18" min="18" style="1" width="8.29"/>
    <col collapsed="false" customWidth="true" hidden="false" outlineLevel="0" max="19" min="19" style="1" width="7.29"/>
    <col collapsed="false" customWidth="true" hidden="false" outlineLevel="0" max="20" min="20" style="1" width="6.29"/>
    <col collapsed="false" customWidth="true" hidden="false" outlineLevel="0" max="21" min="21" style="1" width="7"/>
    <col collapsed="false" customWidth="true" hidden="false" outlineLevel="0" max="23" min="22" style="1" width="6.14"/>
    <col collapsed="false" customWidth="true" hidden="false" outlineLevel="0" max="24" min="24" style="1" width="12.71"/>
    <col collapsed="false" customWidth="false" hidden="false" outlineLevel="0" max="16384" min="25" style="1" width="9.14"/>
  </cols>
  <sheetData>
    <row r="1" customFormat="false" ht="17.35" hidden="false" customHeight="false" outlineLevel="0" collapsed="false">
      <c r="A1" s="3"/>
      <c r="B1" s="4" t="str">
        <f aca="false">"Semaine du :" &amp; Data!D41</f>
        <v>Semaine du :</v>
      </c>
      <c r="C1" s="5" t="n">
        <v>44333</v>
      </c>
      <c r="D1" s="6" t="str">
        <f aca="false">"( "&amp;AVERAGE($E$2:$I$2)&amp;" )"</f>
        <v>( 7.5 )</v>
      </c>
      <c r="E1" s="7" t="str">
        <f aca="false">IFERROR("Lun.: " &amp; TEXT($Y$2,"00%"),"Lun.: 0%")</f>
        <v>Lun.: 83%</v>
      </c>
      <c r="F1" s="8" t="str">
        <f aca="false">IFERROR("Mar.: " &amp; TEXT($Z$2,"00%"),"Mar.: 0%")</f>
        <v>Mar.: 00%</v>
      </c>
      <c r="G1" s="8" t="str">
        <f aca="false">IFERROR("Mer.: " &amp; TEXT($AA$2,"00%"),"Mer.: 0%")</f>
        <v>Mer.: 51%</v>
      </c>
      <c r="H1" s="8" t="str">
        <f aca="false">IFERROR("Jeu.: " &amp; TEXT($AB$2,"00%"),"Jeu.: 0%")</f>
        <v>Jeu.: 100%</v>
      </c>
      <c r="I1" s="8" t="str">
        <f aca="false">IFERROR("Ven.: " &amp; TEXT($AC$2,"00%"),"Ven.: 0%")</f>
        <v>Ven.: 100%</v>
      </c>
      <c r="J1" s="9" t="str">
        <f aca="false">IFERROR("S.: " &amp; TEXT($AD$2,"00%"),"S.: 0%")</f>
        <v>S.: 0%</v>
      </c>
      <c r="K1" s="10" t="str">
        <f aca="false">IFERROR("D.: " &amp; TEXT($AE$2,"00%"), "D.: 0%")</f>
        <v>D.: 100%</v>
      </c>
      <c r="L1" s="11"/>
      <c r="M1" s="12" t="n">
        <f aca="false">M2/Total</f>
        <v>0.766233766233766</v>
      </c>
      <c r="N1" s="12" t="n">
        <f aca="false">N2/$C$2</f>
        <v>0.116883116883117</v>
      </c>
      <c r="O1" s="12" t="n">
        <f aca="false">O2/$C$2</f>
        <v>0.0649350649350649</v>
      </c>
      <c r="P1" s="12" t="n">
        <f aca="false">P2/$C$2</f>
        <v>0</v>
      </c>
      <c r="Q1" s="12" t="n">
        <f aca="false">Q2/$C$2</f>
        <v>0</v>
      </c>
      <c r="R1" s="13" t="n">
        <f aca="false">R2/$C$2</f>
        <v>0</v>
      </c>
      <c r="S1" s="13" t="n">
        <f aca="false">S2/$C$2</f>
        <v>0</v>
      </c>
      <c r="T1" s="13" t="n">
        <f aca="false">T2/$C$2</f>
        <v>0</v>
      </c>
      <c r="U1" s="14" t="n">
        <f aca="false">U2/$C$2</f>
        <v>0</v>
      </c>
      <c r="V1" s="112"/>
      <c r="W1" s="16"/>
      <c r="X1" s="17" t="e">
        <f aca="false">SUM(#REF!)</f>
        <v>#REF!</v>
      </c>
      <c r="Y1" s="18" t="s">
        <v>0</v>
      </c>
      <c r="Z1" s="18" t="s">
        <v>1</v>
      </c>
      <c r="AA1" s="18" t="s">
        <v>2</v>
      </c>
      <c r="AB1" s="18" t="s">
        <v>3</v>
      </c>
      <c r="AC1" s="18" t="s">
        <v>4</v>
      </c>
      <c r="AD1" s="18" t="s">
        <v>5</v>
      </c>
      <c r="AE1" s="18" t="s">
        <v>6</v>
      </c>
    </row>
    <row r="2" customFormat="false" ht="22.05" hidden="false" customHeight="false" outlineLevel="0" collapsed="false">
      <c r="A2" s="3"/>
      <c r="B2" s="19" t="n">
        <f aca="false">X2</f>
        <v>0.818181818181818</v>
      </c>
      <c r="C2" s="20" t="n">
        <f aca="false">SUM(Horo[Durée])</f>
        <v>38.5</v>
      </c>
      <c r="D2" s="21" t="str">
        <f aca="false">ROUND(SUM(Horo[T]),2) &amp; " / " &amp; ROUND(Total-SUM(Horo[T]),2)</f>
        <v>0 / 38.5</v>
      </c>
      <c r="E2" s="22" t="n">
        <f aca="false">SUMIF(Horo[Jour],"Lundi",Horo[Durée])</f>
        <v>7.5</v>
      </c>
      <c r="F2" s="23" t="n">
        <f aca="false">SUMIF(Horo[Jour],"Mardi",$J$4:$J$81)</f>
        <v>3.25</v>
      </c>
      <c r="G2" s="23" t="n">
        <f aca="false">SUMIF(Horo[Jour],"Mercredi",Horo[Durée])</f>
        <v>9.25</v>
      </c>
      <c r="H2" s="23" t="n">
        <f aca="false">SUMIF(Horo[Jour],"Jeudi",Horo[Durée])</f>
        <v>9.5</v>
      </c>
      <c r="I2" s="23" t="n">
        <f aca="false">SUMIF(Horo[Jour],"Vendredi",Horo[Durée])</f>
        <v>8</v>
      </c>
      <c r="J2" s="23" t="n">
        <f aca="false">SUMIF(Horo[Jour],"Samedi",Horo[Durée])</f>
        <v>0</v>
      </c>
      <c r="K2" s="23" t="n">
        <f aca="false">SUMIF(Horo[Jour],"Dimanche",Horo[Durée])</f>
        <v>1</v>
      </c>
      <c r="L2" s="113" t="str">
        <f aca="false">COUNTIF($A$4:$A$81,"o")&amp;" / " &amp;  COUNTIF($A$4:$A$81,".")</f>
        <v>0 / 15</v>
      </c>
      <c r="M2" s="25" t="n">
        <f aca="false">SUM(Horo[GPF])</f>
        <v>29.5</v>
      </c>
      <c r="N2" s="25" t="n">
        <f aca="false">SUM(Horo[RI])</f>
        <v>4.5</v>
      </c>
      <c r="O2" s="25" t="n">
        <f aca="false">SUM(Horo[GB])</f>
        <v>2.5</v>
      </c>
      <c r="P2" s="25" t="n">
        <f aca="false">SUM(Horo[RD])</f>
        <v>0</v>
      </c>
      <c r="Q2" s="25" t="n">
        <f aca="false">SUM(Horo[FG])</f>
        <v>0</v>
      </c>
      <c r="R2" s="26" t="n">
        <f aca="false">SUM(Horo[CONGÉ])</f>
        <v>0</v>
      </c>
      <c r="S2" s="26" t="n">
        <f aca="false">SUM(Horo[PS])</f>
        <v>0</v>
      </c>
      <c r="T2" s="26" t="n">
        <f aca="false">SUM(Horo[TD])</f>
        <v>0</v>
      </c>
      <c r="U2" s="27" t="n">
        <f aca="false">SUM(Horo[N/C])</f>
        <v>0</v>
      </c>
      <c r="V2" s="17" t="n">
        <f aca="false">(Total-(SUM(N2:U2)))</f>
        <v>31.5</v>
      </c>
      <c r="W2" s="17" t="n">
        <f aca="false">Total-(R2+S2+T2+U2)</f>
        <v>38.5</v>
      </c>
      <c r="X2" s="28" t="n">
        <f aca="false">V2/W2</f>
        <v>0.818181818181818</v>
      </c>
      <c r="Y2" s="29" t="n">
        <f aca="false">SUMIF(Horo[Jour],"Lundi",Horo[GPF]) / $E$2</f>
        <v>0.833333333333333</v>
      </c>
      <c r="Z2" s="29" t="n">
        <f aca="false">SUMIF(Horo[Jour],"Mardi",Horo[GPF]) / $F$2</f>
        <v>0</v>
      </c>
      <c r="AA2" s="29" t="n">
        <f aca="false">SUMIF(Horo[Jour],"Mercredi",Horo[GPF]) / $G$2</f>
        <v>0.513513513513513</v>
      </c>
      <c r="AB2" s="29" t="n">
        <f aca="false">SUMIF(Horo[Jour],"Jeudi",Horo[GPF]) / $H$2</f>
        <v>1</v>
      </c>
      <c r="AC2" s="29" t="n">
        <f aca="false">SUMIF(Horo[Jour],"Vendredi",Horo[GPF]) / $I$2</f>
        <v>1</v>
      </c>
      <c r="AD2" s="29" t="e">
        <f aca="false">SUMIF(Horo[Jour],"Samedi",Horo[GPF]) / $J$2</f>
        <v>#DIV/0!</v>
      </c>
      <c r="AE2" s="29" t="n">
        <f aca="false">SUMIF(Horo[Jour],"Dimanche",Horo[GPF]) / $K$2</f>
        <v>1</v>
      </c>
    </row>
    <row r="3" customFormat="false" ht="15" hidden="false" customHeight="false" outlineLevel="0" collapsed="false">
      <c r="A3" s="30" t="s">
        <v>7</v>
      </c>
      <c r="B3" s="31" t="s">
        <v>8</v>
      </c>
      <c r="C3" s="31" t="s">
        <v>9</v>
      </c>
      <c r="D3" s="114" t="s">
        <v>10</v>
      </c>
      <c r="E3" s="114" t="s">
        <v>11</v>
      </c>
      <c r="F3" s="34" t="s">
        <v>12</v>
      </c>
      <c r="G3" s="34" t="s">
        <v>13</v>
      </c>
      <c r="H3" s="34" t="s">
        <v>14</v>
      </c>
      <c r="I3" s="35" t="s">
        <v>300</v>
      </c>
      <c r="J3" s="36" t="s">
        <v>16</v>
      </c>
      <c r="K3" s="36" t="s">
        <v>17</v>
      </c>
      <c r="L3" s="115" t="s">
        <v>18</v>
      </c>
      <c r="M3" s="39" t="s">
        <v>19</v>
      </c>
      <c r="N3" s="39" t="s">
        <v>20</v>
      </c>
      <c r="O3" s="39" t="s">
        <v>21</v>
      </c>
      <c r="P3" s="39" t="s">
        <v>22</v>
      </c>
      <c r="Q3" s="39" t="s">
        <v>23</v>
      </c>
      <c r="R3" s="39" t="s">
        <v>24</v>
      </c>
      <c r="S3" s="39" t="s">
        <v>25</v>
      </c>
      <c r="T3" s="116" t="s">
        <v>26</v>
      </c>
      <c r="U3" s="116" t="s">
        <v>27</v>
      </c>
      <c r="V3" s="117" t="s">
        <v>28</v>
      </c>
      <c r="W3" s="118" t="s">
        <v>29</v>
      </c>
      <c r="X3" s="44" t="s">
        <v>30</v>
      </c>
    </row>
    <row r="4" customFormat="false" ht="15" hidden="false" customHeight="false" outlineLevel="0" collapsed="false">
      <c r="A4" s="45" t="s">
        <v>33</v>
      </c>
      <c r="B4" s="111" t="n">
        <f aca="false">IF(Horo[[#This Row],[Jour]]="Lundi",$C$1+1, IF(Horo[[#This Row],[Jour]]="Mardi",$C$1+2, IF(Horo[[#This Row],[Jour]]="Mercredi",$C$1+3, IF(Horo[[#This Row],[Jour]]="Jeudi",$C$1+4, IF(Horo[[#This Row],[Jour]]="Vendredi",$C$1+5, IF(Horo[[#This Row],[Jour]]="Samedi",$C$1+6, IF(Horo[[#This Row],[Jour]]="Dimanche",$C$1, )))))))</f>
        <v>44334</v>
      </c>
      <c r="C4" s="47" t="s">
        <v>0</v>
      </c>
      <c r="D4" s="48" t="n">
        <v>0.322916666666667</v>
      </c>
      <c r="E4" s="48" t="n">
        <v>0.375</v>
      </c>
      <c r="F4" s="49" t="s">
        <v>32</v>
      </c>
      <c r="G4" s="49" t="s">
        <v>21</v>
      </c>
      <c r="H4" s="50" t="s">
        <v>94</v>
      </c>
      <c r="I4" s="61"/>
      <c r="J4" s="52" t="n">
        <f aca="false">IF(Horo[[#This Row],[Début]]=0,"",(Horo[[#This Row],[Durée (60)2]]-INT(Horo[[#This Row],[Durée (60)2]]))*24)</f>
        <v>1.25</v>
      </c>
      <c r="K4" s="62" t="n">
        <f aca="false">SUMIF(Horo[Jour],C4,Horo[Durée])</f>
        <v>7.5</v>
      </c>
      <c r="L4" s="54" t="n">
        <f aca="false">IFERROR(SUMIF(Horo[[#This Row],[Jour]],Horo[[#This Row],[Jour]],Horo[[#This Row],[GPF]]) / Horo[[#This Row],[hrs]],"")</f>
        <v>0</v>
      </c>
      <c r="M4" s="56" t="str">
        <f aca="false">IF("GPF"=Horo[[#This Row],[Tâche]],Horo[[#This Row],[Durée]],"")</f>
        <v/>
      </c>
      <c r="N4" s="56" t="str">
        <f aca="false">IF("RI"=Horo[[#This Row],[Tâche]],Horo[[#This Row],[Durée]],"")</f>
        <v/>
      </c>
      <c r="O4" s="56" t="n">
        <f aca="false">IF("GB"=Horo[[#This Row],[Tâche]],Horo[[#This Row],[Durée]],"")</f>
        <v>1.25</v>
      </c>
      <c r="P4" s="56" t="str">
        <f aca="false">IF("RD"=Horo[[#This Row],[Tâche]],Horo[[#This Row],[Durée]],"")</f>
        <v/>
      </c>
      <c r="Q4" s="56" t="str">
        <f aca="false">IF("FG"=Horo[[#This Row],[Tâche]],Horo[[#This Row],[Durée]],"")</f>
        <v/>
      </c>
      <c r="R4" s="56" t="str">
        <f aca="false">IF("CONGÉ/FÉRIÉ/VAC./MALADIE"=Horo[[#This Row],[Tâche]],Horo[[#This Row],[Durée]],"")</f>
        <v/>
      </c>
      <c r="S4" s="56" t="str">
        <f aca="false">IF("PS"=Horo[[#This Row],[Tâche]],Horo[[#This Row],[Durée]],"")</f>
        <v/>
      </c>
      <c r="T4" s="56" t="str">
        <f aca="false">IF("TD"=Horo[[#This Row],[Tâche]],Horo[[#This Row],[Durée]],"")</f>
        <v/>
      </c>
      <c r="U4" s="56" t="str">
        <f aca="false">IF("N/C"=Horo[[#This Row],[Tâche]],Horo[[#This Row],[Durée]],"")</f>
        <v/>
      </c>
      <c r="V4" s="58"/>
      <c r="W4" s="59" t="str">
        <f aca="false">IF(Horo[[#This Row],[O]]="o",Horo[[#This Row],[Durée]],".")</f>
        <v>.</v>
      </c>
      <c r="X4" s="64" t="n">
        <f aca="false">IF(Horo[[#This Row],[Début]]=0,"",Horo[[#This Row],[Fin]]-Horo[[#This Row],[Début]])</f>
        <v>0.0520833333333333</v>
      </c>
    </row>
    <row r="5" customFormat="false" ht="15" hidden="false" customHeight="false" outlineLevel="0" collapsed="false">
      <c r="A5" s="45" t="s">
        <v>33</v>
      </c>
      <c r="B5" s="111" t="n">
        <f aca="false">IF(Horo[[#This Row],[Jour]]="Lundi",$C$1+1, IF(Horo[[#This Row],[Jour]]="Mardi",$C$1+2, IF(Horo[[#This Row],[Jour]]="Mercredi",$C$1+3, IF(Horo[[#This Row],[Jour]]="Jeudi",$C$1+4, IF(Horo[[#This Row],[Jour]]="Vendredi",$C$1+5, IF(Horo[[#This Row],[Jour]]="Samedi",$C$1+6, IF(Horo[[#This Row],[Jour]]="Dimanche",$C$1, )))))))</f>
        <v>44334</v>
      </c>
      <c r="C5" s="47" t="s">
        <v>0</v>
      </c>
      <c r="D5" s="48" t="n">
        <v>0.416666666666667</v>
      </c>
      <c r="E5" s="48" t="n">
        <v>0.479166666666667</v>
      </c>
      <c r="F5" s="49" t="s">
        <v>69</v>
      </c>
      <c r="G5" s="49" t="s">
        <v>19</v>
      </c>
      <c r="H5" s="50"/>
      <c r="I5" s="61"/>
      <c r="J5" s="52" t="n">
        <f aca="false">IF(Horo[[#This Row],[Début]]=0,"",(Horo[[#This Row],[Durée (60)2]]-INT(Horo[[#This Row],[Durée (60)2]]))*24)</f>
        <v>1.5</v>
      </c>
      <c r="K5" s="62" t="n">
        <f aca="false">SUMIF(Horo[Jour],C5,Horo[Durée])</f>
        <v>7.5</v>
      </c>
      <c r="L5" s="54" t="n">
        <f aca="false">IFERROR(SUMIF(Horo[[#This Row],[Jour]],Horo[[#This Row],[Jour]],Horo[[#This Row],[GPF]]) / Horo[[#This Row],[hrs]],"")</f>
        <v>0.2</v>
      </c>
      <c r="M5" s="56" t="n">
        <f aca="false">IF("GPF"=Horo[[#This Row],[Tâche]],Horo[[#This Row],[Durée]],"")</f>
        <v>1.5</v>
      </c>
      <c r="N5" s="56" t="str">
        <f aca="false">IF("RI"=Horo[[#This Row],[Tâche]],Horo[[#This Row],[Durée]],"")</f>
        <v/>
      </c>
      <c r="O5" s="56" t="str">
        <f aca="false">IF("GB"=Horo[[#This Row],[Tâche]],Horo[[#This Row],[Durée]],"")</f>
        <v/>
      </c>
      <c r="P5" s="56" t="str">
        <f aca="false">IF("RD"=Horo[[#This Row],[Tâche]],Horo[[#This Row],[Durée]],"")</f>
        <v/>
      </c>
      <c r="Q5" s="56" t="str">
        <f aca="false">IF("FG"=Horo[[#This Row],[Tâche]],Horo[[#This Row],[Durée]],"")</f>
        <v/>
      </c>
      <c r="R5" s="56" t="str">
        <f aca="false">IF("CONGÉ/FÉRIÉ/VAC./MALADIE"=Horo[[#This Row],[Tâche]],Horo[[#This Row],[Durée]],"")</f>
        <v/>
      </c>
      <c r="S5" s="56" t="str">
        <f aca="false">IF("PS"=Horo[[#This Row],[Tâche]],Horo[[#This Row],[Durée]],"")</f>
        <v/>
      </c>
      <c r="T5" s="56" t="str">
        <f aca="false">IF("TD"=Horo[[#This Row],[Tâche]],Horo[[#This Row],[Durée]],"")</f>
        <v/>
      </c>
      <c r="U5" s="56" t="str">
        <f aca="false">IF("N/C"=Horo[[#This Row],[Tâche]],Horo[[#This Row],[Durée]],"")</f>
        <v/>
      </c>
      <c r="V5" s="58"/>
      <c r="W5" s="59" t="str">
        <f aca="false">IF(Horo[[#This Row],[O]]="o",Horo[[#This Row],[Durée]],".")</f>
        <v>.</v>
      </c>
      <c r="X5" s="64" t="n">
        <f aca="false">IF(Horo[[#This Row],[Début]]=0,"",Horo[[#This Row],[Fin]]-Horo[[#This Row],[Début]])</f>
        <v>0.0625</v>
      </c>
    </row>
    <row r="6" customFormat="false" ht="15" hidden="false" customHeight="false" outlineLevel="0" collapsed="false">
      <c r="A6" s="45" t="s">
        <v>33</v>
      </c>
      <c r="B6" s="111" t="n">
        <f aca="false">IF(Horo[[#This Row],[Jour]]="Lundi",$C$1+1, IF(Horo[[#This Row],[Jour]]="Mardi",$C$1+2, IF(Horo[[#This Row],[Jour]]="Mercredi",$C$1+3, IF(Horo[[#This Row],[Jour]]="Jeudi",$C$1+4, IF(Horo[[#This Row],[Jour]]="Vendredi",$C$1+5, IF(Horo[[#This Row],[Jour]]="Samedi",$C$1+6, IF(Horo[[#This Row],[Jour]]="Dimanche",$C$1, )))))))</f>
        <v>44334</v>
      </c>
      <c r="C6" s="47" t="s">
        <v>0</v>
      </c>
      <c r="D6" s="48" t="n">
        <v>0.5625</v>
      </c>
      <c r="E6" s="48" t="n">
        <v>0.666666666666667</v>
      </c>
      <c r="F6" s="49" t="s">
        <v>37</v>
      </c>
      <c r="G6" s="49" t="s">
        <v>19</v>
      </c>
      <c r="H6" s="50"/>
      <c r="I6" s="61"/>
      <c r="J6" s="52" t="n">
        <f aca="false">IF(Horo[[#This Row],[Début]]=0,"",(Horo[[#This Row],[Durée (60)2]]-INT(Horo[[#This Row],[Durée (60)2]]))*24)</f>
        <v>2.5</v>
      </c>
      <c r="K6" s="53" t="n">
        <f aca="false">SUMIF(Horo[Jour],C6,Horo[Durée])</f>
        <v>7.5</v>
      </c>
      <c r="L6" s="54" t="n">
        <f aca="false">IFERROR(SUMIF(Horo[[#This Row],[Jour]],Horo[[#This Row],[Jour]],Horo[[#This Row],[GPF]]) / Horo[[#This Row],[hrs]],"")</f>
        <v>0.333333333333333</v>
      </c>
      <c r="M6" s="55" t="n">
        <f aca="false">IF("GPF"=Horo[[#This Row],[Tâche]],Horo[[#This Row],[Durée]],"")</f>
        <v>2.5</v>
      </c>
      <c r="N6" s="56" t="str">
        <f aca="false">IF("RI"=Horo[[#This Row],[Tâche]],Horo[[#This Row],[Durée]],"")</f>
        <v/>
      </c>
      <c r="O6" s="56" t="str">
        <f aca="false">IF("GB"=Horo[[#This Row],[Tâche]],Horo[[#This Row],[Durée]],"")</f>
        <v/>
      </c>
      <c r="P6" s="56" t="str">
        <f aca="false">IF("RD"=Horo[[#This Row],[Tâche]],Horo[[#This Row],[Durée]],"")</f>
        <v/>
      </c>
      <c r="Q6" s="56" t="str">
        <f aca="false">IF("FG"=Horo[[#This Row],[Tâche]],Horo[[#This Row],[Durée]],"")</f>
        <v/>
      </c>
      <c r="R6" s="56" t="str">
        <f aca="false">IF("CONGÉ/FÉRIÉ/VAC./MALADIE"=Horo[[#This Row],[Tâche]],Horo[[#This Row],[Durée]],"")</f>
        <v/>
      </c>
      <c r="S6" s="57" t="str">
        <f aca="false">IF("PS"=Horo[[#This Row],[Tâche]],Horo[[#This Row],[Durée]],"")</f>
        <v/>
      </c>
      <c r="T6" s="56" t="str">
        <f aca="false">IF("TD"=Horo[[#This Row],[Tâche]],Horo[[#This Row],[Durée]],"")</f>
        <v/>
      </c>
      <c r="U6" s="55" t="str">
        <f aca="false">IF("N/C"=Horo[[#This Row],[Tâche]],Horo[[#This Row],[Durée]],"")</f>
        <v/>
      </c>
      <c r="V6" s="58"/>
      <c r="W6" s="59" t="str">
        <f aca="false">IF(Horo[[#This Row],[O]]="o",Horo[[#This Row],[Durée]],".")</f>
        <v>.</v>
      </c>
      <c r="X6" s="60" t="n">
        <f aca="false">IF(Horo[[#This Row],[Début]]=0,"",Horo[[#This Row],[Fin]]-Horo[[#This Row],[Début]])</f>
        <v>0.104166666666667</v>
      </c>
    </row>
    <row r="7" customFormat="false" ht="15" hidden="false" customHeight="false" outlineLevel="0" collapsed="false">
      <c r="A7" s="45" t="s">
        <v>33</v>
      </c>
      <c r="B7" s="111" t="n">
        <f aca="false">IF(Horo[[#This Row],[Jour]]="Lundi",$C$1+1, IF(Horo[[#This Row],[Jour]]="Mardi",$C$1+2, IF(Horo[[#This Row],[Jour]]="Mercredi",$C$1+3, IF(Horo[[#This Row],[Jour]]="Jeudi",$C$1+4, IF(Horo[[#This Row],[Jour]]="Vendredi",$C$1+5, IF(Horo[[#This Row],[Jour]]="Samedi",$C$1+6, IF(Horo[[#This Row],[Jour]]="Dimanche",$C$1, )))))))</f>
        <v>44334</v>
      </c>
      <c r="C7" s="47" t="s">
        <v>0</v>
      </c>
      <c r="D7" s="48" t="n">
        <v>0.666666666666667</v>
      </c>
      <c r="E7" s="48" t="n">
        <v>0.760416666666667</v>
      </c>
      <c r="F7" s="49" t="s">
        <v>32</v>
      </c>
      <c r="G7" s="49" t="s">
        <v>19</v>
      </c>
      <c r="H7" s="50"/>
      <c r="I7" s="61"/>
      <c r="J7" s="52" t="n">
        <f aca="false">IF(Horo[[#This Row],[Début]]=0,"",(Horo[[#This Row],[Durée (60)2]]-INT(Horo[[#This Row],[Durée (60)2]]))*24)</f>
        <v>2.25</v>
      </c>
      <c r="K7" s="53" t="n">
        <f aca="false">SUMIF(Horo[Jour],C7,Horo[Durée])</f>
        <v>7.5</v>
      </c>
      <c r="L7" s="54" t="n">
        <f aca="false">IFERROR(SUMIF(Horo[[#This Row],[Jour]],Horo[[#This Row],[Jour]],Horo[[#This Row],[GPF]]) / Horo[[#This Row],[hrs]],"")</f>
        <v>0.3</v>
      </c>
      <c r="M7" s="55" t="n">
        <f aca="false">IF("GPF"=Horo[[#This Row],[Tâche]],Horo[[#This Row],[Durée]],"")</f>
        <v>2.25</v>
      </c>
      <c r="N7" s="56" t="str">
        <f aca="false">IF("RI"=Horo[[#This Row],[Tâche]],Horo[[#This Row],[Durée]],"")</f>
        <v/>
      </c>
      <c r="O7" s="56" t="str">
        <f aca="false">IF("GB"=Horo[[#This Row],[Tâche]],Horo[[#This Row],[Durée]],"")</f>
        <v/>
      </c>
      <c r="P7" s="56" t="str">
        <f aca="false">IF("RD"=Horo[[#This Row],[Tâche]],Horo[[#This Row],[Durée]],"")</f>
        <v/>
      </c>
      <c r="Q7" s="56" t="str">
        <f aca="false">IF("FG"=Horo[[#This Row],[Tâche]],Horo[[#This Row],[Durée]],"")</f>
        <v/>
      </c>
      <c r="R7" s="56" t="str">
        <f aca="false">IF("CONGÉ/FÉRIÉ/VAC./MALADIE"=Horo[[#This Row],[Tâche]],Horo[[#This Row],[Durée]],"")</f>
        <v/>
      </c>
      <c r="S7" s="57" t="str">
        <f aca="false">IF("PS"=Horo[[#This Row],[Tâche]],Horo[[#This Row],[Durée]],"")</f>
        <v/>
      </c>
      <c r="T7" s="56" t="str">
        <f aca="false">IF("TD"=Horo[[#This Row],[Tâche]],Horo[[#This Row],[Durée]],"")</f>
        <v/>
      </c>
      <c r="U7" s="55" t="str">
        <f aca="false">IF("N/C"=Horo[[#This Row],[Tâche]],Horo[[#This Row],[Durée]],"")</f>
        <v/>
      </c>
      <c r="V7" s="58"/>
      <c r="W7" s="59" t="str">
        <f aca="false">IF(Horo[[#This Row],[O]]="o",Horo[[#This Row],[Durée]],".")</f>
        <v>.</v>
      </c>
      <c r="X7" s="60" t="n">
        <f aca="false">IF(Horo[[#This Row],[Début]]=0,"",Horo[[#This Row],[Fin]]-Horo[[#This Row],[Début]])</f>
        <v>0.09375</v>
      </c>
    </row>
    <row r="8" customFormat="false" ht="15" hidden="false" customHeight="false" outlineLevel="0" collapsed="false">
      <c r="A8" s="45" t="s">
        <v>33</v>
      </c>
      <c r="B8" s="111" t="n">
        <f aca="false">IF(Horo[[#This Row],[Jour]]="Lundi",$C$1+1, IF(Horo[[#This Row],[Jour]]="Mardi",$C$1+2, IF(Horo[[#This Row],[Jour]]="Mercredi",$C$1+3, IF(Horo[[#This Row],[Jour]]="Jeudi",$C$1+4, IF(Horo[[#This Row],[Jour]]="Vendredi",$C$1+5, IF(Horo[[#This Row],[Jour]]="Samedi",$C$1+6, IF(Horo[[#This Row],[Jour]]="Dimanche",$C$1, )))))))</f>
        <v>44335</v>
      </c>
      <c r="C8" s="47" t="s">
        <v>1</v>
      </c>
      <c r="D8" s="48" t="n">
        <v>0.395833333333333</v>
      </c>
      <c r="E8" s="48" t="n">
        <v>0.447916666666667</v>
      </c>
      <c r="F8" s="49" t="s">
        <v>81</v>
      </c>
      <c r="G8" s="49" t="s">
        <v>21</v>
      </c>
      <c r="H8" s="50"/>
      <c r="I8" s="61"/>
      <c r="J8" s="52" t="n">
        <f aca="false">IF(Horo[[#This Row],[Début]]=0,"",(Horo[[#This Row],[Durée (60)2]]-INT(Horo[[#This Row],[Durée (60)2]]))*24)</f>
        <v>1.25</v>
      </c>
      <c r="K8" s="62" t="n">
        <f aca="false">SUMIF(Horo[Jour],C8,Horo[Durée])</f>
        <v>3.25</v>
      </c>
      <c r="L8" s="54" t="n">
        <f aca="false">IFERROR(SUMIF(Horo[[#This Row],[Jour]],Horo[[#This Row],[Jour]],Horo[[#This Row],[GPF]]) / Horo[[#This Row],[hrs]],"")</f>
        <v>0</v>
      </c>
      <c r="M8" s="56" t="str">
        <f aca="false">IF("GPF"=Horo[[#This Row],[Tâche]],Horo[[#This Row],[Durée]],"")</f>
        <v/>
      </c>
      <c r="N8" s="56" t="str">
        <f aca="false">IF("RI"=Horo[[#This Row],[Tâche]],Horo[[#This Row],[Durée]],"")</f>
        <v/>
      </c>
      <c r="O8" s="56" t="n">
        <f aca="false">IF("GB"=Horo[[#This Row],[Tâche]],Horo[[#This Row],[Durée]],"")</f>
        <v>1.25</v>
      </c>
      <c r="P8" s="56" t="str">
        <f aca="false">IF("RD"=Horo[[#This Row],[Tâche]],Horo[[#This Row],[Durée]],"")</f>
        <v/>
      </c>
      <c r="Q8" s="56" t="str">
        <f aca="false">IF("FG"=Horo[[#This Row],[Tâche]],Horo[[#This Row],[Durée]],"")</f>
        <v/>
      </c>
      <c r="R8" s="56" t="str">
        <f aca="false">IF("CONGÉ/FÉRIÉ/VAC./MALADIE"=Horo[[#This Row],[Tâche]],Horo[[#This Row],[Durée]],"")</f>
        <v/>
      </c>
      <c r="S8" s="56" t="str">
        <f aca="false">IF("PS"=Horo[[#This Row],[Tâche]],Horo[[#This Row],[Durée]],"")</f>
        <v/>
      </c>
      <c r="T8" s="56" t="str">
        <f aca="false">IF("TD"=Horo[[#This Row],[Tâche]],Horo[[#This Row],[Durée]],"")</f>
        <v/>
      </c>
      <c r="U8" s="56" t="str">
        <f aca="false">IF("N/C"=Horo[[#This Row],[Tâche]],Horo[[#This Row],[Durée]],"")</f>
        <v/>
      </c>
      <c r="V8" s="58"/>
      <c r="W8" s="59" t="str">
        <f aca="false">IF(Horo[[#This Row],[O]]="o",Horo[[#This Row],[Durée]],".")</f>
        <v>.</v>
      </c>
      <c r="X8" s="64" t="n">
        <f aca="false">IF(Horo[[#This Row],[Début]]=0,"",Horo[[#This Row],[Fin]]-Horo[[#This Row],[Début]])</f>
        <v>0.0520833333333334</v>
      </c>
    </row>
    <row r="9" customFormat="false" ht="15" hidden="false" customHeight="false" outlineLevel="0" collapsed="false">
      <c r="A9" s="45" t="s">
        <v>33</v>
      </c>
      <c r="B9" s="111" t="n">
        <f aca="false">IF(Horo[[#This Row],[Jour]]="Lundi",$C$1+1, IF(Horo[[#This Row],[Jour]]="Mardi",$C$1+2, IF(Horo[[#This Row],[Jour]]="Mercredi",$C$1+3, IF(Horo[[#This Row],[Jour]]="Jeudi",$C$1+4, IF(Horo[[#This Row],[Jour]]="Vendredi",$C$1+5, IF(Horo[[#This Row],[Jour]]="Samedi",$C$1+6, IF(Horo[[#This Row],[Jour]]="Dimanche",$C$1, )))))))</f>
        <v>44335</v>
      </c>
      <c r="C9" s="47" t="s">
        <v>1</v>
      </c>
      <c r="D9" s="48" t="n">
        <v>0.666666666666667</v>
      </c>
      <c r="E9" s="48" t="n">
        <v>0.75</v>
      </c>
      <c r="F9" s="49" t="s">
        <v>32</v>
      </c>
      <c r="G9" s="49" t="s">
        <v>24</v>
      </c>
      <c r="H9" s="50"/>
      <c r="I9" s="61"/>
      <c r="J9" s="52" t="n">
        <f aca="false">IF(Horo[[#This Row],[Début]]=0,"",(Horo[[#This Row],[Durée (60)2]]-INT(Horo[[#This Row],[Durée (60)2]]))*24)</f>
        <v>2</v>
      </c>
      <c r="K9" s="62" t="n">
        <f aca="false">SUMIF(Horo[Jour],C9,Horo[Durée])</f>
        <v>3.25</v>
      </c>
      <c r="L9" s="54" t="n">
        <f aca="false">IFERROR(SUMIF(Horo[[#This Row],[Jour]],Horo[[#This Row],[Jour]],Horo[[#This Row],[GPF]]) / Horo[[#This Row],[hrs]],"")</f>
        <v>0</v>
      </c>
      <c r="M9" s="56" t="str">
        <f aca="false">IF("GPF"=Horo[[#This Row],[Tâche]],Horo[[#This Row],[Durée]],"")</f>
        <v/>
      </c>
      <c r="N9" s="56" t="str">
        <f aca="false">IF("RI"=Horo[[#This Row],[Tâche]],Horo[[#This Row],[Durée]],"")</f>
        <v/>
      </c>
      <c r="O9" s="56" t="str">
        <f aca="false">IF("GB"=Horo[[#This Row],[Tâche]],Horo[[#This Row],[Durée]],"")</f>
        <v/>
      </c>
      <c r="P9" s="56" t="str">
        <f aca="false">IF("RD"=Horo[[#This Row],[Tâche]],Horo[[#This Row],[Durée]],"")</f>
        <v/>
      </c>
      <c r="Q9" s="56" t="str">
        <f aca="false">IF("FG"=Horo[[#This Row],[Tâche]],Horo[[#This Row],[Durée]],"")</f>
        <v/>
      </c>
      <c r="R9" s="56" t="str">
        <f aca="false">IF("CONGÉ/FÉRIÉ/VAC./MALADIE"=Horo[[#This Row],[Tâche]],Horo[[#This Row],[Durée]],"")</f>
        <v/>
      </c>
      <c r="S9" s="56" t="str">
        <f aca="false">IF("PS"=Horo[[#This Row],[Tâche]],Horo[[#This Row],[Durée]],"")</f>
        <v/>
      </c>
      <c r="T9" s="56" t="str">
        <f aca="false">IF("TD"=Horo[[#This Row],[Tâche]],Horo[[#This Row],[Durée]],"")</f>
        <v/>
      </c>
      <c r="U9" s="56" t="str">
        <f aca="false">IF("N/C"=Horo[[#This Row],[Tâche]],Horo[[#This Row],[Durée]],"")</f>
        <v/>
      </c>
      <c r="V9" s="58"/>
      <c r="W9" s="59" t="str">
        <f aca="false">IF(Horo[[#This Row],[O]]="o",Horo[[#This Row],[Durée]],".")</f>
        <v>.</v>
      </c>
      <c r="X9" s="64" t="n">
        <f aca="false">IF(Horo[[#This Row],[Début]]=0,"",Horo[[#This Row],[Fin]]-Horo[[#This Row],[Début]])</f>
        <v>0.0833333333333334</v>
      </c>
    </row>
    <row r="10" customFormat="false" ht="15" hidden="false" customHeight="false" outlineLevel="0" collapsed="false">
      <c r="A10" s="45" t="s">
        <v>33</v>
      </c>
      <c r="B10" s="111" t="n">
        <f aca="false">IF(Horo[[#This Row],[Jour]]="Lundi",$C$1+1, IF(Horo[[#This Row],[Jour]]="Mardi",$C$1+2, IF(Horo[[#This Row],[Jour]]="Mercredi",$C$1+3, IF(Horo[[#This Row],[Jour]]="Jeudi",$C$1+4, IF(Horo[[#This Row],[Jour]]="Vendredi",$C$1+5, IF(Horo[[#This Row],[Jour]]="Samedi",$C$1+6, IF(Horo[[#This Row],[Jour]]="Dimanche",$C$1, )))))))</f>
        <v>44336</v>
      </c>
      <c r="C10" s="47" t="s">
        <v>2</v>
      </c>
      <c r="D10" s="48" t="n">
        <v>0.416666666666667</v>
      </c>
      <c r="E10" s="48" t="n">
        <v>0.489583333333333</v>
      </c>
      <c r="F10" s="49" t="s">
        <v>66</v>
      </c>
      <c r="G10" s="49" t="s">
        <v>19</v>
      </c>
      <c r="H10" s="50"/>
      <c r="I10" s="61"/>
      <c r="J10" s="52" t="n">
        <f aca="false">IF(Horo[[#This Row],[Début]]=0,"",(Horo[[#This Row],[Durée (60)2]]-INT(Horo[[#This Row],[Durée (60)2]]))*24)</f>
        <v>1.75</v>
      </c>
      <c r="K10" s="62" t="n">
        <f aca="false">SUMIF(Horo[Jour],C10,Horo[Durée])</f>
        <v>9.25</v>
      </c>
      <c r="L10" s="54" t="n">
        <f aca="false">IFERROR(SUMIF(Horo[[#This Row],[Jour]],Horo[[#This Row],[Jour]],Horo[[#This Row],[GPF]]) / Horo[[#This Row],[hrs]],"")</f>
        <v>0.189189189189189</v>
      </c>
      <c r="M10" s="56" t="n">
        <f aca="false">IF("GPF"=Horo[[#This Row],[Tâche]],Horo[[#This Row],[Durée]],"")</f>
        <v>1.75</v>
      </c>
      <c r="N10" s="56" t="str">
        <f aca="false">IF("RI"=Horo[[#This Row],[Tâche]],Horo[[#This Row],[Durée]],"")</f>
        <v/>
      </c>
      <c r="O10" s="56" t="str">
        <f aca="false">IF("GB"=Horo[[#This Row],[Tâche]],Horo[[#This Row],[Durée]],"")</f>
        <v/>
      </c>
      <c r="P10" s="56" t="str">
        <f aca="false">IF("RD"=Horo[[#This Row],[Tâche]],Horo[[#This Row],[Durée]],"")</f>
        <v/>
      </c>
      <c r="Q10" s="56" t="str">
        <f aca="false">IF("FG"=Horo[[#This Row],[Tâche]],Horo[[#This Row],[Durée]],"")</f>
        <v/>
      </c>
      <c r="R10" s="56" t="str">
        <f aca="false">IF("CONGÉ/FÉRIÉ/VAC./MALADIE"=Horo[[#This Row],[Tâche]],Horo[[#This Row],[Durée]],"")</f>
        <v/>
      </c>
      <c r="S10" s="56" t="str">
        <f aca="false">IF("PS"=Horo[[#This Row],[Tâche]],Horo[[#This Row],[Durée]],"")</f>
        <v/>
      </c>
      <c r="T10" s="56" t="str">
        <f aca="false">IF("TD"=Horo[[#This Row],[Tâche]],Horo[[#This Row],[Durée]],"")</f>
        <v/>
      </c>
      <c r="U10" s="56" t="str">
        <f aca="false">IF("N/C"=Horo[[#This Row],[Tâche]],Horo[[#This Row],[Durée]],"")</f>
        <v/>
      </c>
      <c r="V10" s="58"/>
      <c r="W10" s="59" t="str">
        <f aca="false">IF(Horo[[#This Row],[O]]="o",Horo[[#This Row],[Durée]],".")</f>
        <v>.</v>
      </c>
      <c r="X10" s="64" t="n">
        <f aca="false">IF(Horo[[#This Row],[Début]]=0,"",Horo[[#This Row],[Fin]]-Horo[[#This Row],[Début]])</f>
        <v>0.0729166666666666</v>
      </c>
    </row>
    <row r="11" customFormat="false" ht="15" hidden="false" customHeight="false" outlineLevel="0" collapsed="false">
      <c r="A11" s="45" t="s">
        <v>33</v>
      </c>
      <c r="B11" s="111" t="n">
        <f aca="false">IF(Horo[[#This Row],[Jour]]="Lundi",$C$1+1, IF(Horo[[#This Row],[Jour]]="Mardi",$C$1+2, IF(Horo[[#This Row],[Jour]]="Mercredi",$C$1+3, IF(Horo[[#This Row],[Jour]]="Jeudi",$C$1+4, IF(Horo[[#This Row],[Jour]]="Vendredi",$C$1+5, IF(Horo[[#This Row],[Jour]]="Samedi",$C$1+6, IF(Horo[[#This Row],[Jour]]="Dimanche",$C$1, )))))))</f>
        <v>44336</v>
      </c>
      <c r="C11" s="47" t="s">
        <v>2</v>
      </c>
      <c r="D11" s="48" t="n">
        <v>0.5</v>
      </c>
      <c r="E11" s="48" t="n">
        <v>0.625</v>
      </c>
      <c r="F11" s="49" t="s">
        <v>59</v>
      </c>
      <c r="G11" s="49" t="s">
        <v>19</v>
      </c>
      <c r="H11" s="50"/>
      <c r="I11" s="61"/>
      <c r="J11" s="52" t="n">
        <f aca="false">IF(Horo[[#This Row],[Début]]=0,"",(Horo[[#This Row],[Durée (60)2]]-INT(Horo[[#This Row],[Durée (60)2]]))*24)</f>
        <v>3</v>
      </c>
      <c r="K11" s="62" t="n">
        <f aca="false">SUMIF(Horo[Jour],C11,Horo[Durée])</f>
        <v>9.25</v>
      </c>
      <c r="L11" s="54" t="n">
        <f aca="false">IFERROR(SUMIF(Horo[[#This Row],[Jour]],Horo[[#This Row],[Jour]],Horo[[#This Row],[GPF]]) / Horo[[#This Row],[hrs]],"")</f>
        <v>0.324324324324324</v>
      </c>
      <c r="M11" s="56" t="n">
        <f aca="false">IF("GPF"=Horo[[#This Row],[Tâche]],Horo[[#This Row],[Durée]],"")</f>
        <v>3</v>
      </c>
      <c r="N11" s="56" t="str">
        <f aca="false">IF("RI"=Horo[[#This Row],[Tâche]],Horo[[#This Row],[Durée]],"")</f>
        <v/>
      </c>
      <c r="O11" s="56" t="str">
        <f aca="false">IF("GB"=Horo[[#This Row],[Tâche]],Horo[[#This Row],[Durée]],"")</f>
        <v/>
      </c>
      <c r="P11" s="56" t="str">
        <f aca="false">IF("RD"=Horo[[#This Row],[Tâche]],Horo[[#This Row],[Durée]],"")</f>
        <v/>
      </c>
      <c r="Q11" s="56" t="str">
        <f aca="false">IF("FG"=Horo[[#This Row],[Tâche]],Horo[[#This Row],[Durée]],"")</f>
        <v/>
      </c>
      <c r="R11" s="56" t="str">
        <f aca="false">IF("CONGÉ/FÉRIÉ/VAC./MALADIE"=Horo[[#This Row],[Tâche]],Horo[[#This Row],[Durée]],"")</f>
        <v/>
      </c>
      <c r="S11" s="56" t="str">
        <f aca="false">IF("PS"=Horo[[#This Row],[Tâche]],Horo[[#This Row],[Durée]],"")</f>
        <v/>
      </c>
      <c r="T11" s="56" t="str">
        <f aca="false">IF("TD"=Horo[[#This Row],[Tâche]],Horo[[#This Row],[Durée]],"")</f>
        <v/>
      </c>
      <c r="U11" s="56" t="str">
        <f aca="false">IF("N/C"=Horo[[#This Row],[Tâche]],Horo[[#This Row],[Durée]],"")</f>
        <v/>
      </c>
      <c r="V11" s="58"/>
      <c r="W11" s="59" t="str">
        <f aca="false">IF(Horo[[#This Row],[O]]="o",Horo[[#This Row],[Durée]],".")</f>
        <v>.</v>
      </c>
      <c r="X11" s="64" t="n">
        <f aca="false">IF(Horo[[#This Row],[Début]]=0,"",Horo[[#This Row],[Fin]]-Horo[[#This Row],[Début]])</f>
        <v>0.125</v>
      </c>
    </row>
    <row r="12" customFormat="false" ht="15" hidden="false" customHeight="false" outlineLevel="0" collapsed="false">
      <c r="A12" s="45" t="s">
        <v>33</v>
      </c>
      <c r="B12" s="111" t="n">
        <f aca="false">IF(Horo[[#This Row],[Jour]]="Lundi",$C$1+1, IF(Horo[[#This Row],[Jour]]="Mardi",$C$1+2, IF(Horo[[#This Row],[Jour]]="Mercredi",$C$1+3, IF(Horo[[#This Row],[Jour]]="Jeudi",$C$1+4, IF(Horo[[#This Row],[Jour]]="Vendredi",$C$1+5, IF(Horo[[#This Row],[Jour]]="Samedi",$C$1+6, IF(Horo[[#This Row],[Jour]]="Dimanche",$C$1, )))))))</f>
        <v>44336</v>
      </c>
      <c r="C12" s="47" t="s">
        <v>2</v>
      </c>
      <c r="D12" s="48" t="n">
        <v>0.5625</v>
      </c>
      <c r="E12" s="48" t="n">
        <v>0.75</v>
      </c>
      <c r="F12" s="49" t="s">
        <v>59</v>
      </c>
      <c r="G12" s="49" t="s">
        <v>20</v>
      </c>
      <c r="H12" s="50" t="s">
        <v>114</v>
      </c>
      <c r="I12" s="61"/>
      <c r="J12" s="52" t="n">
        <f aca="false">IF(Horo[[#This Row],[Début]]=0,"",(Horo[[#This Row],[Durée (60)2]]-INT(Horo[[#This Row],[Durée (60)2]]))*24)</f>
        <v>4.5</v>
      </c>
      <c r="K12" s="62" t="n">
        <f aca="false">SUMIF(Horo[Jour],C12,Horo[Durée])</f>
        <v>9.25</v>
      </c>
      <c r="L12" s="54" t="n">
        <f aca="false">IFERROR(SUMIF(Horo[[#This Row],[Jour]],Horo[[#This Row],[Jour]],Horo[[#This Row],[GPF]]) / Horo[[#This Row],[hrs]],"")</f>
        <v>0</v>
      </c>
      <c r="M12" s="56" t="str">
        <f aca="false">IF("GPF"=Horo[[#This Row],[Tâche]],Horo[[#This Row],[Durée]],"")</f>
        <v/>
      </c>
      <c r="N12" s="56" t="n">
        <f aca="false">IF("RI"=Horo[[#This Row],[Tâche]],Horo[[#This Row],[Durée]],"")</f>
        <v>4.5</v>
      </c>
      <c r="O12" s="56" t="str">
        <f aca="false">IF("GB"=Horo[[#This Row],[Tâche]],Horo[[#This Row],[Durée]],"")</f>
        <v/>
      </c>
      <c r="P12" s="56" t="str">
        <f aca="false">IF("RD"=Horo[[#This Row],[Tâche]],Horo[[#This Row],[Durée]],"")</f>
        <v/>
      </c>
      <c r="Q12" s="56" t="str">
        <f aca="false">IF("FG"=Horo[[#This Row],[Tâche]],Horo[[#This Row],[Durée]],"")</f>
        <v/>
      </c>
      <c r="R12" s="56" t="str">
        <f aca="false">IF("CONGÉ/FÉRIÉ/VAC./MALADIE"=Horo[[#This Row],[Tâche]],Horo[[#This Row],[Durée]],"")</f>
        <v/>
      </c>
      <c r="S12" s="56" t="str">
        <f aca="false">IF("PS"=Horo[[#This Row],[Tâche]],Horo[[#This Row],[Durée]],"")</f>
        <v/>
      </c>
      <c r="T12" s="56" t="str">
        <f aca="false">IF("TD"=Horo[[#This Row],[Tâche]],Horo[[#This Row],[Durée]],"")</f>
        <v/>
      </c>
      <c r="U12" s="56" t="str">
        <f aca="false">IF("N/C"=Horo[[#This Row],[Tâche]],Horo[[#This Row],[Durée]],"")</f>
        <v/>
      </c>
      <c r="V12" s="58"/>
      <c r="W12" s="59" t="str">
        <f aca="false">IF(Horo[[#This Row],[O]]="o",Horo[[#This Row],[Durée]],".")</f>
        <v>.</v>
      </c>
      <c r="X12" s="64" t="n">
        <f aca="false">IF(Horo[[#This Row],[Début]]=0,"",Horo[[#This Row],[Fin]]-Horo[[#This Row],[Début]])</f>
        <v>0.1875</v>
      </c>
    </row>
    <row r="13" customFormat="false" ht="15" hidden="false" customHeight="false" outlineLevel="0" collapsed="false">
      <c r="A13" s="45" t="s">
        <v>33</v>
      </c>
      <c r="B13" s="111" t="n">
        <f aca="false">IF(Horo[[#This Row],[Jour]]="Lundi",$C$1+1, IF(Horo[[#This Row],[Jour]]="Mardi",$C$1+2, IF(Horo[[#This Row],[Jour]]="Mercredi",$C$1+3, IF(Horo[[#This Row],[Jour]]="Jeudi",$C$1+4, IF(Horo[[#This Row],[Jour]]="Vendredi",$C$1+5, IF(Horo[[#This Row],[Jour]]="Samedi",$C$1+6, IF(Horo[[#This Row],[Jour]]="Dimanche",$C$1, )))))))</f>
        <v>44337</v>
      </c>
      <c r="C13" s="47" t="s">
        <v>3</v>
      </c>
      <c r="D13" s="48" t="n">
        <v>0.333333333333333</v>
      </c>
      <c r="E13" s="48" t="n">
        <v>0.666666666666667</v>
      </c>
      <c r="F13" s="49" t="s">
        <v>63</v>
      </c>
      <c r="G13" s="49" t="s">
        <v>19</v>
      </c>
      <c r="H13" s="50"/>
      <c r="I13" s="61"/>
      <c r="J13" s="52" t="n">
        <f aca="false">IF(Horo[[#This Row],[Début]]=0,"",(Horo[[#This Row],[Durée (60)2]]-INT(Horo[[#This Row],[Durée (60)2]]))*24)</f>
        <v>8</v>
      </c>
      <c r="K13" s="62" t="n">
        <f aca="false">SUMIF(Horo[Jour],C13,Horo[Durée])</f>
        <v>9.5</v>
      </c>
      <c r="L13" s="54" t="n">
        <f aca="false">IFERROR(SUMIF(Horo[[#This Row],[Jour]],Horo[[#This Row],[Jour]],Horo[[#This Row],[GPF]]) / Horo[[#This Row],[hrs]],"")</f>
        <v>0.842105263157895</v>
      </c>
      <c r="M13" s="56" t="n">
        <f aca="false">IF("GPF"=Horo[[#This Row],[Tâche]],Horo[[#This Row],[Durée]],"")</f>
        <v>8</v>
      </c>
      <c r="N13" s="56" t="str">
        <f aca="false">IF("RI"=Horo[[#This Row],[Tâche]],Horo[[#This Row],[Durée]],"")</f>
        <v/>
      </c>
      <c r="O13" s="56" t="str">
        <f aca="false">IF("GB"=Horo[[#This Row],[Tâche]],Horo[[#This Row],[Durée]],"")</f>
        <v/>
      </c>
      <c r="P13" s="56" t="str">
        <f aca="false">IF("RD"=Horo[[#This Row],[Tâche]],Horo[[#This Row],[Durée]],"")</f>
        <v/>
      </c>
      <c r="Q13" s="56" t="str">
        <f aca="false">IF("FG"=Horo[[#This Row],[Tâche]],Horo[[#This Row],[Durée]],"")</f>
        <v/>
      </c>
      <c r="R13" s="56" t="str">
        <f aca="false">IF("CONGÉ/FÉRIÉ/VAC./MALADIE"=Horo[[#This Row],[Tâche]],Horo[[#This Row],[Durée]],"")</f>
        <v/>
      </c>
      <c r="S13" s="56" t="str">
        <f aca="false">IF("PS"=Horo[[#This Row],[Tâche]],Horo[[#This Row],[Durée]],"")</f>
        <v/>
      </c>
      <c r="T13" s="56" t="str">
        <f aca="false">IF("TD"=Horo[[#This Row],[Tâche]],Horo[[#This Row],[Durée]],"")</f>
        <v/>
      </c>
      <c r="U13" s="56" t="str">
        <f aca="false">IF("N/C"=Horo[[#This Row],[Tâche]],Horo[[#This Row],[Durée]],"")</f>
        <v/>
      </c>
      <c r="V13" s="58"/>
      <c r="W13" s="59" t="str">
        <f aca="false">IF(Horo[[#This Row],[O]]="o",Horo[[#This Row],[Durée]],".")</f>
        <v>.</v>
      </c>
      <c r="X13" s="64" t="n">
        <f aca="false">IF(Horo[[#This Row],[Début]]=0,"",Horo[[#This Row],[Fin]]-Horo[[#This Row],[Début]])</f>
        <v>0.333333333333333</v>
      </c>
    </row>
    <row r="14" customFormat="false" ht="15" hidden="false" customHeight="false" outlineLevel="0" collapsed="false">
      <c r="A14" s="45" t="s">
        <v>33</v>
      </c>
      <c r="B14" s="111" t="n">
        <f aca="false">IF(Horo[[#This Row],[Jour]]="Lundi",$C$1+1, IF(Horo[[#This Row],[Jour]]="Mardi",$C$1+2, IF(Horo[[#This Row],[Jour]]="Mercredi",$C$1+3, IF(Horo[[#This Row],[Jour]]="Jeudi",$C$1+4, IF(Horo[[#This Row],[Jour]]="Vendredi",$C$1+5, IF(Horo[[#This Row],[Jour]]="Samedi",$C$1+6, IF(Horo[[#This Row],[Jour]]="Dimanche",$C$1, )))))))</f>
        <v>44337</v>
      </c>
      <c r="C14" s="47" t="s">
        <v>3</v>
      </c>
      <c r="D14" s="48" t="n">
        <v>0.4375</v>
      </c>
      <c r="E14" s="48" t="n">
        <v>0.5</v>
      </c>
      <c r="F14" s="49" t="s">
        <v>75</v>
      </c>
      <c r="G14" s="49" t="s">
        <v>19</v>
      </c>
      <c r="H14" s="50"/>
      <c r="I14" s="61"/>
      <c r="J14" s="52" t="n">
        <f aca="false">IF(Horo[[#This Row],[Début]]=0,"",(Horo[[#This Row],[Durée (60)2]]-INT(Horo[[#This Row],[Durée (60)2]]))*24)</f>
        <v>1.5</v>
      </c>
      <c r="K14" s="62" t="n">
        <f aca="false">SUMIF(Horo[Jour],C14,Horo[Durée])</f>
        <v>9.5</v>
      </c>
      <c r="L14" s="54" t="n">
        <f aca="false">IFERROR(SUMIF(Horo[[#This Row],[Jour]],Horo[[#This Row],[Jour]],Horo[[#This Row],[GPF]]) / Horo[[#This Row],[hrs]],"")</f>
        <v>0.157894736842105</v>
      </c>
      <c r="M14" s="56" t="n">
        <f aca="false">IF("GPF"=Horo[[#This Row],[Tâche]],Horo[[#This Row],[Durée]],"")</f>
        <v>1.5</v>
      </c>
      <c r="N14" s="56" t="str">
        <f aca="false">IF("RI"=Horo[[#This Row],[Tâche]],Horo[[#This Row],[Durée]],"")</f>
        <v/>
      </c>
      <c r="O14" s="56" t="str">
        <f aca="false">IF("GB"=Horo[[#This Row],[Tâche]],Horo[[#This Row],[Durée]],"")</f>
        <v/>
      </c>
      <c r="P14" s="56" t="str">
        <f aca="false">IF("RD"=Horo[[#This Row],[Tâche]],Horo[[#This Row],[Durée]],"")</f>
        <v/>
      </c>
      <c r="Q14" s="56" t="str">
        <f aca="false">IF("FG"=Horo[[#This Row],[Tâche]],Horo[[#This Row],[Durée]],"")</f>
        <v/>
      </c>
      <c r="R14" s="56" t="str">
        <f aca="false">IF("CONGÉ/FÉRIÉ/VAC./MALADIE"=Horo[[#This Row],[Tâche]],Horo[[#This Row],[Durée]],"")</f>
        <v/>
      </c>
      <c r="S14" s="56" t="str">
        <f aca="false">IF("PS"=Horo[[#This Row],[Tâche]],Horo[[#This Row],[Durée]],"")</f>
        <v/>
      </c>
      <c r="T14" s="56" t="str">
        <f aca="false">IF("TD"=Horo[[#This Row],[Tâche]],Horo[[#This Row],[Durée]],"")</f>
        <v/>
      </c>
      <c r="U14" s="56" t="str">
        <f aca="false">IF("N/C"=Horo[[#This Row],[Tâche]],Horo[[#This Row],[Durée]],"")</f>
        <v/>
      </c>
      <c r="V14" s="58"/>
      <c r="W14" s="59" t="str">
        <f aca="false">IF(Horo[[#This Row],[O]]="o",Horo[[#This Row],[Durée]],".")</f>
        <v>.</v>
      </c>
      <c r="X14" s="64" t="n">
        <f aca="false">IF(Horo[[#This Row],[Début]]=0,"",Horo[[#This Row],[Fin]]-Horo[[#This Row],[Début]])</f>
        <v>0.0625</v>
      </c>
    </row>
    <row r="15" customFormat="false" ht="15" hidden="false" customHeight="false" outlineLevel="0" collapsed="false">
      <c r="A15" s="45" t="s">
        <v>33</v>
      </c>
      <c r="B15" s="111" t="n">
        <f aca="false">IF(Horo[[#This Row],[Jour]]="Lundi",$C$1+1, IF(Horo[[#This Row],[Jour]]="Mardi",$C$1+2, IF(Horo[[#This Row],[Jour]]="Mercredi",$C$1+3, IF(Horo[[#This Row],[Jour]]="Jeudi",$C$1+4, IF(Horo[[#This Row],[Jour]]="Vendredi",$C$1+5, IF(Horo[[#This Row],[Jour]]="Samedi",$C$1+6, IF(Horo[[#This Row],[Jour]]="Dimanche",$C$1, )))))))</f>
        <v>44338</v>
      </c>
      <c r="C15" s="47" t="s">
        <v>4</v>
      </c>
      <c r="D15" s="48" t="n">
        <v>0.333333333333333</v>
      </c>
      <c r="E15" s="48" t="n">
        <v>0.666666666666667</v>
      </c>
      <c r="F15" s="49" t="s">
        <v>63</v>
      </c>
      <c r="G15" s="49" t="s">
        <v>19</v>
      </c>
      <c r="H15" s="50"/>
      <c r="I15" s="61"/>
      <c r="J15" s="52" t="n">
        <f aca="false">IF(Horo[[#This Row],[Début]]=0,"",(Horo[[#This Row],[Durée (60)2]]-INT(Horo[[#This Row],[Durée (60)2]]))*24)</f>
        <v>8</v>
      </c>
      <c r="K15" s="62" t="n">
        <f aca="false">SUMIF(Horo[Jour],C15,Horo[Durée])</f>
        <v>8</v>
      </c>
      <c r="L15" s="54" t="n">
        <f aca="false">IFERROR(SUMIF(Horo[[#This Row],[Jour]],Horo[[#This Row],[Jour]],Horo[[#This Row],[GPF]]) / Horo[[#This Row],[hrs]],"")</f>
        <v>1</v>
      </c>
      <c r="M15" s="56" t="n">
        <f aca="false">IF("GPF"=Horo[[#This Row],[Tâche]],Horo[[#This Row],[Durée]],"")</f>
        <v>8</v>
      </c>
      <c r="N15" s="56" t="str">
        <f aca="false">IF("RI"=Horo[[#This Row],[Tâche]],Horo[[#This Row],[Durée]],"")</f>
        <v/>
      </c>
      <c r="O15" s="56" t="str">
        <f aca="false">IF("GB"=Horo[[#This Row],[Tâche]],Horo[[#This Row],[Durée]],"")</f>
        <v/>
      </c>
      <c r="P15" s="56" t="str">
        <f aca="false">IF("RD"=Horo[[#This Row],[Tâche]],Horo[[#This Row],[Durée]],"")</f>
        <v/>
      </c>
      <c r="Q15" s="56" t="str">
        <f aca="false">IF("FG"=Horo[[#This Row],[Tâche]],Horo[[#This Row],[Durée]],"")</f>
        <v/>
      </c>
      <c r="R15" s="56" t="str">
        <f aca="false">IF("CONGÉ/FÉRIÉ/VAC./MALADIE"=Horo[[#This Row],[Tâche]],Horo[[#This Row],[Durée]],"")</f>
        <v/>
      </c>
      <c r="S15" s="56" t="str">
        <f aca="false">IF("PS"=Horo[[#This Row],[Tâche]],Horo[[#This Row],[Durée]],"")</f>
        <v/>
      </c>
      <c r="T15" s="56" t="str">
        <f aca="false">IF("TD"=Horo[[#This Row],[Tâche]],Horo[[#This Row],[Durée]],"")</f>
        <v/>
      </c>
      <c r="U15" s="56" t="str">
        <f aca="false">IF("N/C"=Horo[[#This Row],[Tâche]],Horo[[#This Row],[Durée]],"")</f>
        <v/>
      </c>
      <c r="V15" s="58"/>
      <c r="W15" s="59" t="str">
        <f aca="false">IF(Horo[[#This Row],[O]]="o",Horo[[#This Row],[Durée]],".")</f>
        <v>.</v>
      </c>
      <c r="X15" s="64" t="n">
        <f aca="false">IF(Horo[[#This Row],[Début]]=0,"",Horo[[#This Row],[Fin]]-Horo[[#This Row],[Début]])</f>
        <v>0.333333333333333</v>
      </c>
    </row>
    <row r="16" customFormat="false" ht="15" hidden="false" customHeight="false" outlineLevel="0" collapsed="false">
      <c r="A16" s="45" t="s">
        <v>33</v>
      </c>
      <c r="B16" s="111" t="n">
        <f aca="false">IF(Horo[[#This Row],[Jour]]="Lundi",$C$1+1, IF(Horo[[#This Row],[Jour]]="Mardi",$C$1+2, IF(Horo[[#This Row],[Jour]]="Mercredi",$C$1+3, IF(Horo[[#This Row],[Jour]]="Jeudi",$C$1+4, IF(Horo[[#This Row],[Jour]]="Vendredi",$C$1+5, IF(Horo[[#This Row],[Jour]]="Samedi",$C$1+6, IF(Horo[[#This Row],[Jour]]="Dimanche",$C$1, )))))))</f>
        <v>44333</v>
      </c>
      <c r="C16" s="47" t="s">
        <v>6</v>
      </c>
      <c r="D16" s="48"/>
      <c r="E16" s="48"/>
      <c r="F16" s="49"/>
      <c r="G16" s="49"/>
      <c r="H16" s="50"/>
      <c r="I16" s="61"/>
      <c r="J16" s="52" t="str">
        <f aca="false">IF(Horo[[#This Row],[Début]]=0,"",(Horo[[#This Row],[Durée (60)2]]-INT(Horo[[#This Row],[Durée (60)2]]))*24)</f>
        <v/>
      </c>
      <c r="K16" s="62" t="n">
        <f aca="false">SUMIF(Horo[Jour],C16,Horo[Durée])</f>
        <v>1</v>
      </c>
      <c r="L16" s="54" t="n">
        <f aca="false">IFERROR(SUMIF(Horo[[#This Row],[Jour]],Horo[[#This Row],[Jour]],Horo[[#This Row],[GPF]]) / Horo[[#This Row],[hrs]],"")</f>
        <v>0</v>
      </c>
      <c r="M16" s="56" t="str">
        <f aca="false">IF("GPF"=Horo[[#This Row],[Tâche]],Horo[[#This Row],[Durée]],"")</f>
        <v/>
      </c>
      <c r="N16" s="56" t="str">
        <f aca="false">IF("RI"=Horo[[#This Row],[Tâche]],Horo[[#This Row],[Durée]],"")</f>
        <v/>
      </c>
      <c r="O16" s="56" t="str">
        <f aca="false">IF("GB"=Horo[[#This Row],[Tâche]],Horo[[#This Row],[Durée]],"")</f>
        <v/>
      </c>
      <c r="P16" s="56" t="str">
        <f aca="false">IF("RD"=Horo[[#This Row],[Tâche]],Horo[[#This Row],[Durée]],"")</f>
        <v/>
      </c>
      <c r="Q16" s="56" t="str">
        <f aca="false">IF("FG"=Horo[[#This Row],[Tâche]],Horo[[#This Row],[Durée]],"")</f>
        <v/>
      </c>
      <c r="R16" s="56" t="str">
        <f aca="false">IF("CONGÉ/FÉRIÉ/VAC./MALADIE"=Horo[[#This Row],[Tâche]],Horo[[#This Row],[Durée]],"")</f>
        <v/>
      </c>
      <c r="S16" s="56" t="str">
        <f aca="false">IF("PS"=Horo[[#This Row],[Tâche]],Horo[[#This Row],[Durée]],"")</f>
        <v/>
      </c>
      <c r="T16" s="56" t="str">
        <f aca="false">IF("TD"=Horo[[#This Row],[Tâche]],Horo[[#This Row],[Durée]],"")</f>
        <v/>
      </c>
      <c r="U16" s="56" t="str">
        <f aca="false">IF("N/C"=Horo[[#This Row],[Tâche]],Horo[[#This Row],[Durée]],"")</f>
        <v/>
      </c>
      <c r="V16" s="58"/>
      <c r="W16" s="59" t="str">
        <f aca="false">IF(Horo[[#This Row],[O]]="o",Horo[[#This Row],[Durée]],".")</f>
        <v>.</v>
      </c>
      <c r="X16" s="64" t="str">
        <f aca="false">IF(Horo[[#This Row],[Début]]=0,"",Horo[[#This Row],[Fin]]-Horo[[#This Row],[Début]])</f>
        <v/>
      </c>
    </row>
    <row r="17" customFormat="false" ht="15" hidden="false" customHeight="false" outlineLevel="0" collapsed="false">
      <c r="A17" s="45"/>
      <c r="B17" s="111" t="n">
        <f aca="false">IF(Horo[[#This Row],[Jour]]="Lundi",$C$1+1, IF(Horo[[#This Row],[Jour]]="Mardi",$C$1+2, IF(Horo[[#This Row],[Jour]]="Mercredi",$C$1+3, IF(Horo[[#This Row],[Jour]]="Jeudi",$C$1+4, IF(Horo[[#This Row],[Jour]]="Vendredi",$C$1+5, IF(Horo[[#This Row],[Jour]]="Samedi",$C$1+6, IF(Horo[[#This Row],[Jour]]="Dimanche",$C$1, )))))))</f>
        <v>44333</v>
      </c>
      <c r="C17" s="47" t="s">
        <v>6</v>
      </c>
      <c r="D17" s="48"/>
      <c r="E17" s="48"/>
      <c r="F17" s="49"/>
      <c r="G17" s="49"/>
      <c r="H17" s="50"/>
      <c r="I17" s="61"/>
      <c r="J17" s="52" t="str">
        <f aca="false">IF(Horo[[#This Row],[Début]]=0,"",(Horo[[#This Row],[Durée (60)2]]-INT(Horo[[#This Row],[Durée (60)2]]))*24)</f>
        <v/>
      </c>
      <c r="K17" s="53" t="n">
        <f aca="false">SUMIF(Horo[Jour],C17,Horo[Durée])</f>
        <v>1</v>
      </c>
      <c r="L17" s="54" t="n">
        <f aca="false">IFERROR(SUMIF(Horo[[#This Row],[Jour]],Horo[[#This Row],[Jour]],Horo[[#This Row],[GPF]]) / Horo[[#This Row],[hrs]],"")</f>
        <v>0</v>
      </c>
      <c r="M17" s="55" t="str">
        <f aca="false">IF("GPF"=Horo[[#This Row],[Tâche]],Horo[[#This Row],[Durée]],"")</f>
        <v/>
      </c>
      <c r="N17" s="56" t="str">
        <f aca="false">IF("RI"=Horo[[#This Row],[Tâche]],Horo[[#This Row],[Durée]],"")</f>
        <v/>
      </c>
      <c r="O17" s="56" t="str">
        <f aca="false">IF("GB"=Horo[[#This Row],[Tâche]],Horo[[#This Row],[Durée]],"")</f>
        <v/>
      </c>
      <c r="P17" s="56" t="str">
        <f aca="false">IF("RD"=Horo[[#This Row],[Tâche]],Horo[[#This Row],[Durée]],"")</f>
        <v/>
      </c>
      <c r="Q17" s="56" t="str">
        <f aca="false">IF("FG"=Horo[[#This Row],[Tâche]],Horo[[#This Row],[Durée]],"")</f>
        <v/>
      </c>
      <c r="R17" s="56" t="str">
        <f aca="false">IF("CONGÉ/FÉRIÉ/VAC./MALADIE"=Horo[[#This Row],[Tâche]],Horo[[#This Row],[Durée]],"")</f>
        <v/>
      </c>
      <c r="S17" s="57" t="str">
        <f aca="false">IF("PS"=Horo[[#This Row],[Tâche]],Horo[[#This Row],[Durée]],"")</f>
        <v/>
      </c>
      <c r="T17" s="56" t="str">
        <f aca="false">IF("TD"=Horo[[#This Row],[Tâche]],Horo[[#This Row],[Durée]],"")</f>
        <v/>
      </c>
      <c r="U17" s="55" t="str">
        <f aca="false">IF("N/C"=Horo[[#This Row],[Tâche]],Horo[[#This Row],[Durée]],"")</f>
        <v/>
      </c>
      <c r="V17" s="58"/>
      <c r="W17" s="59" t="str">
        <f aca="false">IF(Horo[[#This Row],[O]]="o",Horo[[#This Row],[Durée]],".")</f>
        <v>.</v>
      </c>
      <c r="X17" s="60" t="str">
        <f aca="false">IF(Horo[[#This Row],[Début]]=0,"",Horo[[#This Row],[Fin]]-Horo[[#This Row],[Début]])</f>
        <v/>
      </c>
    </row>
    <row r="18" customFormat="false" ht="15" hidden="false" customHeight="false" outlineLevel="0" collapsed="false">
      <c r="A18" s="45" t="s">
        <v>33</v>
      </c>
      <c r="B18" s="111" t="n">
        <f aca="false">IF(Horo[[#This Row],[Jour]]="Lundi",$C$1+1, IF(Horo[[#This Row],[Jour]]="Mardi",$C$1+2, IF(Horo[[#This Row],[Jour]]="Mercredi",$C$1+3, IF(Horo[[#This Row],[Jour]]="Jeudi",$C$1+4, IF(Horo[[#This Row],[Jour]]="Vendredi",$C$1+5, IF(Horo[[#This Row],[Jour]]="Samedi",$C$1+6, IF(Horo[[#This Row],[Jour]]="Dimanche",$C$1, )))))))</f>
        <v>44333</v>
      </c>
      <c r="C18" s="47" t="s">
        <v>6</v>
      </c>
      <c r="D18" s="48" t="n">
        <v>0.458333333333333</v>
      </c>
      <c r="E18" s="48" t="n">
        <v>0.5</v>
      </c>
      <c r="F18" s="49" t="s">
        <v>75</v>
      </c>
      <c r="G18" s="49" t="s">
        <v>19</v>
      </c>
      <c r="H18" s="50" t="s">
        <v>107</v>
      </c>
      <c r="I18" s="61"/>
      <c r="J18" s="52" t="n">
        <f aca="false">IF(Horo[[#This Row],[Début]]=0,"",(Horo[[#This Row],[Durée (60)2]]-INT(Horo[[#This Row],[Durée (60)2]]))*24)</f>
        <v>1</v>
      </c>
      <c r="K18" s="62" t="n">
        <f aca="false">SUMIF(Horo[Jour],C18,Horo[Durée])</f>
        <v>1</v>
      </c>
      <c r="L18" s="54" t="n">
        <f aca="false">IFERROR(SUMIF(Horo[[#This Row],[Jour]],Horo[[#This Row],[Jour]],Horo[[#This Row],[GPF]]) / Horo[[#This Row],[hrs]],"")</f>
        <v>1</v>
      </c>
      <c r="M18" s="56" t="n">
        <f aca="false">IF("GPF"=Horo[[#This Row],[Tâche]],Horo[[#This Row],[Durée]],"")</f>
        <v>1</v>
      </c>
      <c r="N18" s="56" t="str">
        <f aca="false">IF("RI"=Horo[[#This Row],[Tâche]],Horo[[#This Row],[Durée]],"")</f>
        <v/>
      </c>
      <c r="O18" s="56" t="str">
        <f aca="false">IF("GB"=Horo[[#This Row],[Tâche]],Horo[[#This Row],[Durée]],"")</f>
        <v/>
      </c>
      <c r="P18" s="56" t="str">
        <f aca="false">IF("RD"=Horo[[#This Row],[Tâche]],Horo[[#This Row],[Durée]],"")</f>
        <v/>
      </c>
      <c r="Q18" s="56" t="str">
        <f aca="false">IF("FG"=Horo[[#This Row],[Tâche]],Horo[[#This Row],[Durée]],"")</f>
        <v/>
      </c>
      <c r="R18" s="56" t="str">
        <f aca="false">IF("CONGÉ/FÉRIÉ/VAC./MALADIE"=Horo[[#This Row],[Tâche]],Horo[[#This Row],[Durée]],"")</f>
        <v/>
      </c>
      <c r="S18" s="56" t="str">
        <f aca="false">IF("PS"=Horo[[#This Row],[Tâche]],Horo[[#This Row],[Durée]],"")</f>
        <v/>
      </c>
      <c r="T18" s="56" t="str">
        <f aca="false">IF("TD"=Horo[[#This Row],[Tâche]],Horo[[#This Row],[Durée]],"")</f>
        <v/>
      </c>
      <c r="U18" s="56" t="str">
        <f aca="false">IF("N/C"=Horo[[#This Row],[Tâche]],Horo[[#This Row],[Durée]],"")</f>
        <v/>
      </c>
      <c r="V18" s="58"/>
      <c r="W18" s="59" t="str">
        <f aca="false">IF(Horo[[#This Row],[O]]="o",Horo[[#This Row],[Durée]],".")</f>
        <v>.</v>
      </c>
      <c r="X18" s="64" t="n">
        <f aca="false">IF(Horo[[#This Row],[Début]]=0,"",Horo[[#This Row],[Fin]]-Horo[[#This Row],[Début]])</f>
        <v>0.0416666666666667</v>
      </c>
    </row>
    <row r="19" customFormat="false" ht="15" hidden="false" customHeight="false" outlineLevel="0" collapsed="false">
      <c r="A19" s="45" t="s">
        <v>33</v>
      </c>
      <c r="B19" s="111" t="n">
        <f aca="false">IF(Horo[[#This Row],[Jour]]="Lundi",$C$1+1, IF(Horo[[#This Row],[Jour]]="Mardi",$C$1+2, IF(Horo[[#This Row],[Jour]]="Mercredi",$C$1+3, IF(Horo[[#This Row],[Jour]]="Jeudi",$C$1+4, IF(Horo[[#This Row],[Jour]]="Vendredi",$C$1+5, IF(Horo[[#This Row],[Jour]]="Samedi",$C$1+6, IF(Horo[[#This Row],[Jour]]="Dimanche",$C$1, )))))))</f>
        <v>0</v>
      </c>
      <c r="C19" s="47"/>
      <c r="D19" s="48"/>
      <c r="E19" s="48"/>
      <c r="F19" s="49"/>
      <c r="G19" s="49"/>
      <c r="H19" s="50"/>
      <c r="I19" s="61"/>
      <c r="J19" s="52" t="str">
        <f aca="false">IF(Horo[[#This Row],[Début]]=0,"",(Horo[[#This Row],[Durée (60)2]]-INT(Horo[[#This Row],[Durée (60)2]]))*24)</f>
        <v/>
      </c>
      <c r="K19" s="62" t="n">
        <f aca="false">SUMIF(Horo[Jour],C19,Horo[Durée])</f>
        <v>0</v>
      </c>
      <c r="L19" s="54" t="str">
        <f aca="false">IFERROR(SUMIF(Horo[[#This Row],[Jour]],Horo[[#This Row],[Jour]],Horo[[#This Row],[GPF]]) / Horo[[#This Row],[hrs]],"")</f>
        <v/>
      </c>
      <c r="M19" s="56" t="str">
        <f aca="false">IF("GPF"=Horo[[#This Row],[Tâche]],Horo[[#This Row],[Durée]],"")</f>
        <v/>
      </c>
      <c r="N19" s="56" t="str">
        <f aca="false">IF("RI"=Horo[[#This Row],[Tâche]],Horo[[#This Row],[Durée]],"")</f>
        <v/>
      </c>
      <c r="O19" s="56" t="str">
        <f aca="false">IF("GB"=Horo[[#This Row],[Tâche]],Horo[[#This Row],[Durée]],"")</f>
        <v/>
      </c>
      <c r="P19" s="56" t="str">
        <f aca="false">IF("RD"=Horo[[#This Row],[Tâche]],Horo[[#This Row],[Durée]],"")</f>
        <v/>
      </c>
      <c r="Q19" s="56" t="str">
        <f aca="false">IF("FG"=Horo[[#This Row],[Tâche]],Horo[[#This Row],[Durée]],"")</f>
        <v/>
      </c>
      <c r="R19" s="56" t="str">
        <f aca="false">IF("CONGÉ/FÉRIÉ/VAC./MALADIE"=Horo[[#This Row],[Tâche]],Horo[[#This Row],[Durée]],"")</f>
        <v/>
      </c>
      <c r="S19" s="56" t="str">
        <f aca="false">IF("PS"=Horo[[#This Row],[Tâche]],Horo[[#This Row],[Durée]],"")</f>
        <v/>
      </c>
      <c r="T19" s="56" t="str">
        <f aca="false">IF("TD"=Horo[[#This Row],[Tâche]],Horo[[#This Row],[Durée]],"")</f>
        <v/>
      </c>
      <c r="U19" s="56" t="str">
        <f aca="false">IF("N/C"=Horo[[#This Row],[Tâche]],Horo[[#This Row],[Durée]],"")</f>
        <v/>
      </c>
      <c r="V19" s="58"/>
      <c r="W19" s="59" t="str">
        <f aca="false">IF(Horo[[#This Row],[O]]="o",Horo[[#This Row],[Durée]],".")</f>
        <v>.</v>
      </c>
      <c r="X19" s="64" t="str">
        <f aca="false">IF(Horo[[#This Row],[Début]]=0,"",Horo[[#This Row],[Fin]]-Horo[[#This Row],[Début]])</f>
        <v/>
      </c>
    </row>
    <row r="25" s="3" customFormat="true" ht="15" hidden="false" customHeight="false" outlineLevel="0" collapsed="false">
      <c r="L25" s="65"/>
    </row>
    <row r="26" customFormat="false" ht="15" hidden="false" customHeight="false" outlineLevel="0" collapsed="false">
      <c r="A26" s="66" t="s">
        <v>18</v>
      </c>
      <c r="B26" s="66" t="s">
        <v>57</v>
      </c>
      <c r="C26" s="66" t="s">
        <v>58</v>
      </c>
    </row>
    <row r="27" customFormat="false" ht="15" hidden="false" customHeight="false" outlineLevel="0" collapsed="false">
      <c r="A27" s="67" t="n">
        <f aca="false">IF((SUMIF(Horo[Client],B27,Horo[Durée]) / Total)=0,"",(SUMIF(Horo[Client],B27,Horo[Durée]) / Total))</f>
        <v>0.415584415584416</v>
      </c>
      <c r="B27" s="68" t="s">
        <v>63</v>
      </c>
      <c r="C27" s="69" t="n">
        <f aca="false">IF(SUMIF(Horo[Client],B27,Horo[Durée])=0,"",SUMIF(Horo[Client],B27,Horo[Durée]))</f>
        <v>16</v>
      </c>
    </row>
    <row r="28" customFormat="false" ht="15" hidden="false" customHeight="false" outlineLevel="0" collapsed="false">
      <c r="A28" s="67" t="n">
        <f aca="false">IF((SUMIF(Horo[Client],B28,Horo[Durée]) / Total)=0,"",(SUMIF(Horo[Client],B28,Horo[Durée]) / Total))</f>
        <v>0.194805194805195</v>
      </c>
      <c r="B28" s="68" t="s">
        <v>59</v>
      </c>
      <c r="C28" s="69" t="n">
        <f aca="false">IF(SUMIF(Horo[Client],B28,Horo[Durée])=0,"",SUMIF(Horo[Client],B28,Horo[Durée]))</f>
        <v>7.5</v>
      </c>
    </row>
    <row r="29" customFormat="false" ht="15" hidden="true" customHeight="false" outlineLevel="0" collapsed="false">
      <c r="A29" s="67" t="str">
        <f aca="false">IF((SUMIF(Horo[Client],B29,Horo[Durée]) / Total)=0,"",(SUMIF(Horo[Client],B29,Horo[Durée]) / Total))</f>
        <v/>
      </c>
      <c r="B29" s="68" t="s">
        <v>62</v>
      </c>
      <c r="C29" s="70" t="str">
        <f aca="false">IF(SUMIF(Horo[Client],B29,Horo[Durée])=0,"",SUMIF(Horo[Client],B29,Horo[Durée]))</f>
        <v/>
      </c>
    </row>
    <row r="30" customFormat="false" ht="15" hidden="false" customHeight="false" outlineLevel="0" collapsed="false">
      <c r="A30" s="67" t="n">
        <f aca="false">IF((SUMIF(Horo[Client],B30,Horo[Durée]) / Total)=0,"",(SUMIF(Horo[Client],B30,Horo[Durée]) / Total))</f>
        <v>0.142857142857143</v>
      </c>
      <c r="B30" s="68" t="s">
        <v>32</v>
      </c>
      <c r="C30" s="69" t="n">
        <f aca="false">IF(SUMIF(Horo[Client],B30,Horo[Durée])=0,"",SUMIF(Horo[Client],B30,Horo[Durée]))</f>
        <v>5.5</v>
      </c>
    </row>
    <row r="31" customFormat="false" ht="15" hidden="false" customHeight="false" outlineLevel="0" collapsed="false">
      <c r="A31" s="67" t="n">
        <f aca="false">IF((SUMIF(Horo[Client],B31,Horo[Durée]) / Total)=0,"",(SUMIF(Horo[Client],B31,Horo[Durée]) / Total))</f>
        <v>0.0649350649350649</v>
      </c>
      <c r="B31" s="68" t="s">
        <v>37</v>
      </c>
      <c r="C31" s="69" t="n">
        <f aca="false">IF(SUMIF(Horo[Client],B31,Horo[Durée])=0,"",SUMIF(Horo[Client],B31,Horo[Durée]))</f>
        <v>2.5</v>
      </c>
    </row>
    <row r="32" customFormat="false" ht="15" hidden="true" customHeight="false" outlineLevel="0" collapsed="false">
      <c r="A32" s="67" t="str">
        <f aca="false">IF((SUMIF(Horo[Client],B32,Horo[Durée]) / Total)=0,"",(SUMIF(Horo[Client],B32,Horo[Durée]) / Total))</f>
        <v/>
      </c>
      <c r="B32" s="68" t="s">
        <v>64</v>
      </c>
      <c r="C32" s="70" t="str">
        <f aca="false">IF(SUMIF(Horo[Client],B32,Horo[Durée])=0,"",SUMIF(Horo[Client],B32,Horo[Durée]))</f>
        <v/>
      </c>
    </row>
    <row r="33" customFormat="false" ht="15" hidden="true" customHeight="false" outlineLevel="0" collapsed="false">
      <c r="A33" s="67" t="str">
        <f aca="false">IF((SUMIF(Horo[Client],B33,Horo[Durée]) / Total)=0,"",(SUMIF(Horo[Client],B33,Horo[Durée]) / Total))</f>
        <v/>
      </c>
      <c r="B33" s="68" t="s">
        <v>65</v>
      </c>
      <c r="C33" s="70" t="str">
        <f aca="false">IF(SUMIF(Horo[Client],B33,Horo[Durée])=0,"",SUMIF(Horo[Client],B33,Horo[Durée]))</f>
        <v/>
      </c>
    </row>
    <row r="34" customFormat="false" ht="15" hidden="false" customHeight="false" outlineLevel="0" collapsed="false">
      <c r="A34" s="67" t="n">
        <f aca="false">IF((SUMIF(Horo[Client],B34,Horo[Durée]) / Total)=0,"",(SUMIF(Horo[Client],B34,Horo[Durée]) / Total))</f>
        <v>0.0454545454545454</v>
      </c>
      <c r="B34" s="68" t="s">
        <v>66</v>
      </c>
      <c r="C34" s="69" t="n">
        <f aca="false">IF(SUMIF(Horo[Client],B34,Horo[Durée])=0,"",SUMIF(Horo[Client],B34,Horo[Durée]))</f>
        <v>1.75</v>
      </c>
      <c r="F34" s="71"/>
    </row>
    <row r="35" customFormat="false" ht="15" hidden="true" customHeight="false" outlineLevel="0" collapsed="false">
      <c r="A35" s="67" t="str">
        <f aca="false">IF((SUMIF(Horo[Client],B35,Horo[Durée]) / Total)=0,"",(SUMIF(Horo[Client],B35,Horo[Durée]) / Total))</f>
        <v/>
      </c>
      <c r="B35" s="68" t="s">
        <v>47</v>
      </c>
      <c r="C35" s="70" t="str">
        <f aca="false">IF(SUMIF(Horo[Client],B35,Horo[Durée])=0,"",SUMIF(Horo[Client],B35,Horo[Durée]))</f>
        <v/>
      </c>
    </row>
    <row r="36" customFormat="false" ht="15" hidden="true" customHeight="false" outlineLevel="0" collapsed="false">
      <c r="A36" s="67" t="str">
        <f aca="false">IF((SUMIF(Horo[Client],B36,Horo[Durée]) / Total)=0,"",(SUMIF(Horo[Client],B36,Horo[Durée]) / Total))</f>
        <v/>
      </c>
      <c r="B36" s="68" t="s">
        <v>67</v>
      </c>
      <c r="C36" s="70" t="str">
        <f aca="false">IF(SUMIF(Horo[Client],B36,Horo[Durée])=0,"",SUMIF(Horo[Client],B36,Horo[Durée]))</f>
        <v/>
      </c>
    </row>
    <row r="37" customFormat="false" ht="15" hidden="true" customHeight="false" outlineLevel="0" collapsed="false">
      <c r="A37" s="67" t="str">
        <f aca="false">IF((SUMIF(Horo[Client],B37,Horo[Durée]) / Total)=0,"",(SUMIF(Horo[Client],B37,Horo[Durée]) / Total))</f>
        <v/>
      </c>
      <c r="B37" s="68" t="s">
        <v>68</v>
      </c>
      <c r="C37" s="70" t="str">
        <f aca="false">IF(SUMIF(Horo[Client],B37,Horo[Durée])=0,"",SUMIF(Horo[Client],B37,Horo[Durée]))</f>
        <v/>
      </c>
    </row>
    <row r="38" customFormat="false" ht="15" hidden="true" customHeight="false" outlineLevel="0" collapsed="false">
      <c r="A38" s="67" t="str">
        <f aca="false">IF((SUMIF(Horo[Client],B38,Horo[Durée]) / Total)=0,"",(SUMIF(Horo[Client],B38,Horo[Durée]) / Total))</f>
        <v/>
      </c>
      <c r="B38" s="68" t="s">
        <v>41</v>
      </c>
      <c r="C38" s="70" t="str">
        <f aca="false">IF(SUMIF(Horo[Client],B38,Horo[Durée])=0,"",SUMIF(Horo[Client],B38,Horo[Durée]))</f>
        <v/>
      </c>
    </row>
    <row r="39" customFormat="false" ht="15" hidden="true" customHeight="false" outlineLevel="0" collapsed="false">
      <c r="A39" s="67" t="str">
        <f aca="false">IF((SUMIF(Horo[Client],B39,Horo[Durée]) / Total)=0,"",(SUMIF(Horo[Client],B39,Horo[Durée]) / Total))</f>
        <v/>
      </c>
      <c r="B39" s="68" t="s">
        <v>61</v>
      </c>
      <c r="C39" s="70" t="str">
        <f aca="false">IF(SUMIF(Horo[Client],B39,Horo[Durée])=0,"",SUMIF(Horo[Client],B39,Horo[Durée]))</f>
        <v/>
      </c>
    </row>
    <row r="40" customFormat="false" ht="15" hidden="false" customHeight="false" outlineLevel="0" collapsed="false">
      <c r="A40" s="67" t="n">
        <f aca="false">IF((SUMIF(Horo[Client],B40,Horo[Durée]) / Total)=0,"",(SUMIF(Horo[Client],B40,Horo[Durée]) / Total))</f>
        <v>0.038961038961039</v>
      </c>
      <c r="B40" s="68" t="s">
        <v>69</v>
      </c>
      <c r="C40" s="69" t="n">
        <f aca="false">IF(SUMIF(Horo[Client],B40,Horo[Durée])=0,"",SUMIF(Horo[Client],B40,Horo[Durée]))</f>
        <v>1.5</v>
      </c>
    </row>
    <row r="41" customFormat="false" ht="15" hidden="true" customHeight="false" outlineLevel="0" collapsed="false">
      <c r="A41" s="67" t="str">
        <f aca="false">IF((SUMIF(Horo[Client],B41,Horo[Durée]) / Total)=0,"",(SUMIF(Horo[Client],B41,Horo[Durée]) / Total))</f>
        <v/>
      </c>
      <c r="B41" s="68" t="s">
        <v>70</v>
      </c>
      <c r="C41" s="70" t="str">
        <f aca="false">IF(SUMIF(Horo[Client],B41,Horo[Durée])=0,"",SUMIF(Horo[Client],B41,Horo[Durée]))</f>
        <v/>
      </c>
    </row>
    <row r="42" customFormat="false" ht="15" hidden="true" customHeight="false" outlineLevel="0" collapsed="false">
      <c r="A42" s="67" t="str">
        <f aca="false">IF((SUMIF(Horo[Client],B42,Horo[Durée]) / Total)=0,"",(SUMIF(Horo[Client],B42,Horo[Durée]) / Total))</f>
        <v/>
      </c>
      <c r="B42" s="68" t="s">
        <v>71</v>
      </c>
      <c r="C42" s="70" t="str">
        <f aca="false">IF(SUMIF(Horo[Client],B42,Horo[Durée])=0,"",SUMIF(Horo[Client],B42,Horo[Durée]))</f>
        <v/>
      </c>
    </row>
    <row r="43" customFormat="false" ht="15" hidden="true" customHeight="false" outlineLevel="1" collapsed="false">
      <c r="A43" s="67" t="str">
        <f aca="false">IF((SUMIF(Horo[Client],B43,Horo[Durée]) / Total)=0,"",(SUMIF(Horo[Client],B43,Horo[Durée]) / Total))</f>
        <v/>
      </c>
      <c r="B43" s="68" t="s">
        <v>72</v>
      </c>
      <c r="C43" s="70" t="str">
        <f aca="false">IF(SUMIF(Horo[Client],B43,Horo[Durée])=0,"",SUMIF(Horo[Client],B43,Horo[Durée]))</f>
        <v/>
      </c>
    </row>
    <row r="44" customFormat="false" ht="15" hidden="true" customHeight="false" outlineLevel="1" collapsed="false">
      <c r="A44" s="67" t="str">
        <f aca="false">IF((SUMIF(Horo[Client],B44,Horo[Durée]) / Total)=0,"",(SUMIF(Horo[Client],B44,Horo[Durée]) / Total))</f>
        <v/>
      </c>
      <c r="B44" s="68" t="s">
        <v>73</v>
      </c>
      <c r="C44" s="70" t="str">
        <f aca="false">IF(SUMIF(Horo[Client],B44,Horo[Durée])=0,"",SUMIF(Horo[Client],B44,Horo[Durée]))</f>
        <v/>
      </c>
    </row>
    <row r="45" customFormat="false" ht="15" hidden="true" customHeight="false" outlineLevel="1" collapsed="false">
      <c r="A45" s="67" t="str">
        <f aca="false">IF((SUMIF(Horo[Client],B45,Horo[Durée]) / Total)=0,"",(SUMIF(Horo[Client],B45,Horo[Durée]) / Total))</f>
        <v/>
      </c>
      <c r="B45" s="68" t="s">
        <v>74</v>
      </c>
      <c r="C45" s="70" t="str">
        <f aca="false">IF(SUMIF(Horo[Client],B45,Horo[Durée])=0,"",SUMIF(Horo[Client],B45,Horo[Durée]))</f>
        <v/>
      </c>
    </row>
    <row r="46" customFormat="false" ht="15" hidden="false" customHeight="false" outlineLevel="1" collapsed="false">
      <c r="A46" s="67" t="n">
        <f aca="false">IF((SUMIF(Horo[Client],B46,Horo[Durée]) / Total)=0,"",(SUMIF(Horo[Client],B46,Horo[Durée]) / Total))</f>
        <v>0.0649350649350649</v>
      </c>
      <c r="B46" s="68" t="s">
        <v>75</v>
      </c>
      <c r="C46" s="69" t="n">
        <f aca="false">IF(SUMIF(Horo[Client],B46,Horo[Durée])=0,"",SUMIF(Horo[Client],B46,Horo[Durée]))</f>
        <v>2.5</v>
      </c>
    </row>
    <row r="47" customFormat="false" ht="15" hidden="false" customHeight="false" outlineLevel="1" collapsed="false">
      <c r="A47" s="67" t="n">
        <f aca="false">IF((SUMIF(Horo[Client],B47,Horo[Durée]) / Total)=0,"",(SUMIF(Horo[Client],B47,Horo[Durée]) / Total))</f>
        <v>0.0324675324675325</v>
      </c>
      <c r="B47" s="68" t="s">
        <v>81</v>
      </c>
      <c r="C47" s="69" t="n">
        <f aca="false">IF(SUMIF(Horo[Client],B47,Horo[Durée])=0,"",SUMIF(Horo[Client],B47,Horo[Durée]))</f>
        <v>1.25</v>
      </c>
    </row>
    <row r="48" customFormat="false" ht="15" hidden="true" customHeight="false" outlineLevel="1" collapsed="false">
      <c r="A48" s="67" t="str">
        <f aca="false">IF((SUMIF(Horo[Client],B48,Horo[Durée]) / Total)=0,"",(SUMIF(Horo[Client],B48,Horo[Durée]) / Total))</f>
        <v/>
      </c>
      <c r="B48" s="68" t="s">
        <v>76</v>
      </c>
      <c r="C48" s="70" t="str">
        <f aca="false">IF(SUMIF(Horo[Client],B48,Horo[Durée])=0,"",SUMIF(Horo[Client],B48,Horo[Durée]))</f>
        <v/>
      </c>
    </row>
    <row r="49" customFormat="false" ht="15" hidden="true" customHeight="false" outlineLevel="1" collapsed="false">
      <c r="A49" s="67" t="str">
        <f aca="false">IF((SUMIF(Horo[Client],B49,Horo[Durée]) / Total)=0,"",(SUMIF(Horo[Client],B49,Horo[Durée]) / Total))</f>
        <v/>
      </c>
      <c r="B49" s="68" t="s">
        <v>77</v>
      </c>
      <c r="C49" s="70" t="str">
        <f aca="false">IF(SUMIF(Horo[Client],B49,Horo[Durée])=0,"",SUMIF(Horo[Client],B49,Horo[Durée]))</f>
        <v/>
      </c>
    </row>
    <row r="50" customFormat="false" ht="15" hidden="true" customHeight="false" outlineLevel="1" collapsed="false">
      <c r="A50" s="67" t="str">
        <f aca="false">IF((SUMIF(Horo[Client],B50,Horo[Durée]) / Total)=0,"",(SUMIF(Horo[Client],B50,Horo[Durée]) / Total))</f>
        <v/>
      </c>
      <c r="B50" s="68" t="s">
        <v>45</v>
      </c>
      <c r="C50" s="70" t="str">
        <f aca="false">IF(SUMIF(Horo[Client],B50,Horo[Durée])=0,"",SUMIF(Horo[Client],B50,Horo[Durée]))</f>
        <v/>
      </c>
    </row>
    <row r="51" customFormat="false" ht="15" hidden="true" customHeight="false" outlineLevel="1" collapsed="false">
      <c r="A51" s="67" t="str">
        <f aca="false">IF((SUMIF(Horo[Client],B51,Horo[Durée]) / Total)=0,"",(SUMIF(Horo[Client],B51,Horo[Durée]) / Total))</f>
        <v/>
      </c>
      <c r="B51" s="68" t="s">
        <v>78</v>
      </c>
      <c r="C51" s="70" t="str">
        <f aca="false">IF(SUMIF(Horo[Client],B51,Horo[Durée])=0,"",SUMIF(Horo[Client],B51,Horo[Durée]))</f>
        <v/>
      </c>
    </row>
    <row r="52" customFormat="false" ht="15" hidden="true" customHeight="false" outlineLevel="1" collapsed="false">
      <c r="A52" s="67" t="str">
        <f aca="false">IF((SUMIF(Horo[Client],B52,Horo[Durée]) / Total)=0,"",(SUMIF(Horo[Client],B52,Horo[Durée]) / Total))</f>
        <v/>
      </c>
      <c r="B52" s="68" t="s">
        <v>79</v>
      </c>
      <c r="C52" s="70" t="str">
        <f aca="false">IF(SUMIF(Horo[Client],B52,Horo[Durée])=0,"",SUMIF(Horo[Client],B52,Horo[Durée]))</f>
        <v/>
      </c>
    </row>
    <row r="53" customFormat="false" ht="15" hidden="true" customHeight="false" outlineLevel="1" collapsed="false">
      <c r="A53" s="67" t="str">
        <f aca="false">IF((SUMIF(Horo[Client],B53,Horo[Durée]) / Total)=0,"",(SUMIF(Horo[Client],B53,Horo[Durée]) / Total))</f>
        <v/>
      </c>
      <c r="B53" s="68" t="s">
        <v>80</v>
      </c>
      <c r="C53" s="70" t="str">
        <f aca="false">IF(SUMIF(Horo[Client],B53,Horo[Durée])=0,"",SUMIF(Horo[Client],B53,Horo[Durée]))</f>
        <v/>
      </c>
    </row>
    <row r="54" customFormat="false" ht="15" hidden="true" customHeight="false" outlineLevel="1" collapsed="false">
      <c r="A54" s="67" t="str">
        <f aca="false">IF((SUMIF(Horo[Client],B54,Horo[Durée]) / Total)=0,"",(SUMIF(Horo[Client],B54,Horo[Durée]) / Total))</f>
        <v/>
      </c>
      <c r="B54" s="72" t="s">
        <v>60</v>
      </c>
      <c r="C54" s="70" t="str">
        <f aca="false">IF(SUMIF(Horo[Client],B54,Horo[Durée])=0,"",SUMIF(Horo[Client],B54,Horo[Durée]))</f>
        <v/>
      </c>
    </row>
    <row r="55" customFormat="false" ht="15" hidden="true" customHeight="false" outlineLevel="1" collapsed="false"/>
    <row r="56" customFormat="false" ht="15" hidden="true" customHeight="false" outlineLevel="1" collapsed="false"/>
    <row r="57" customFormat="false" ht="15" hidden="true" customHeight="false" outlineLevel="1" collapsed="false"/>
    <row r="58" customFormat="false" ht="15" hidden="true" customHeight="false" outlineLevel="1" collapsed="false"/>
    <row r="59" customFormat="false" ht="15" hidden="true" customHeight="false" outlineLevel="1" collapsed="false"/>
    <row r="60" customFormat="false" ht="15" hidden="true" customHeight="false" outlineLevel="1" collapsed="false"/>
    <row r="61" customFormat="false" ht="15" hidden="true" customHeight="false" outlineLevel="1" collapsed="false"/>
    <row r="62" customFormat="false" ht="15" hidden="true" customHeight="false" outlineLevel="1" collapsed="false"/>
    <row r="63" customFormat="false" ht="15" hidden="true" customHeight="false" outlineLevel="1" collapsed="false"/>
  </sheetData>
  <conditionalFormatting sqref="A27:A54">
    <cfRule type="dataBar" priority="2">
      <dataBar showValue="1" minLength="10" maxLength="90">
        <cfvo type="min" val="0"/>
        <cfvo type="max" val="0"/>
        <color rgb="FF63C384"/>
      </dataBar>
      <extLst>
        <ext xmlns:x14="http://schemas.microsoft.com/office/spreadsheetml/2009/9/main" uri="{B025F937-C7B1-47D3-B67F-A62EFF666E3E}">
          <x14:id>{5C3079D5-F5A5-4A5E-B3F1-F0917E583A39}</x14:id>
        </ext>
      </extLst>
    </cfRule>
  </conditionalFormatting>
  <conditionalFormatting sqref="R1:U1">
    <cfRule type="dataBar" priority="3">
      <dataBar showValue="1" minLength="10" maxLength="90">
        <cfvo type="min" val="0"/>
        <cfvo type="max" val="0"/>
        <color rgb="FF638EC6"/>
      </dataBar>
      <extLst>
        <ext xmlns:x14="http://schemas.microsoft.com/office/spreadsheetml/2009/9/main" uri="{B025F937-C7B1-47D3-B67F-A62EFF666E3E}">
          <x14:id>{E05772E9-D32A-4C78-8A83-5FF7A2E11449}</x14:id>
        </ext>
      </extLst>
    </cfRule>
  </conditionalFormatting>
  <conditionalFormatting sqref="N1:Q1">
    <cfRule type="dataBar" priority="4">
      <dataBar showValue="1" minLength="10" maxLength="90">
        <cfvo type="min" val="0"/>
        <cfvo type="max" val="0"/>
        <color rgb="FF63C384"/>
      </dataBar>
      <extLst>
        <ext xmlns:x14="http://schemas.microsoft.com/office/spreadsheetml/2009/9/main" uri="{B025F937-C7B1-47D3-B67F-A62EFF666E3E}">
          <x14:id>{EE63AF76-A525-4F81-9789-701C413880D2}</x14:id>
        </ext>
      </extLst>
    </cfRule>
  </conditionalFormatting>
  <conditionalFormatting sqref="M1">
    <cfRule type="dataBar" priority="5">
      <dataBar showValue="1" minLength="10" maxLength="90">
        <cfvo type="min" val="0"/>
        <cfvo type="max" val="0"/>
        <color rgb="FF63C384"/>
      </dataBar>
      <extLst>
        <ext xmlns:x14="http://schemas.microsoft.com/office/spreadsheetml/2009/9/main" uri="{B025F937-C7B1-47D3-B67F-A62EFF666E3E}">
          <x14:id>{875EF7D8-CCC3-4920-82B9-D8A2DA77CD1C}</x14:id>
        </ext>
      </extLst>
    </cfRule>
  </conditionalFormatting>
  <conditionalFormatting sqref="B4:B19">
    <cfRule type="cellIs" priority="6" operator="equal" aboveAverage="0" equalAverage="0" bottom="0" percent="0" rank="0" text="" dxfId="599">
      <formula>0</formula>
    </cfRule>
    <cfRule type="expression" priority="7" aboveAverage="0" equalAverage="0" bottom="0" percent="0" rank="0" text="" dxfId="600">
      <formula>A4="O"</formula>
    </cfRule>
    <cfRule type="colorScale" priority="8">
      <colorScale>
        <cfvo type="min" val="0"/>
        <cfvo type="percentile" val="50"/>
        <cfvo type="max" val="0"/>
        <color rgb="FFFFC000"/>
        <color rgb="FFC55A11"/>
        <color rgb="FF2E75B6"/>
      </colorScale>
    </cfRule>
  </conditionalFormatting>
  <conditionalFormatting sqref="H4:H19">
    <cfRule type="expression" priority="9" aboveAverage="0" equalAverage="0" bottom="0" percent="0" rank="0" text="" dxfId="601">
      <formula>A4="O"</formula>
    </cfRule>
  </conditionalFormatting>
  <conditionalFormatting sqref="K4:K19">
    <cfRule type="expression" priority="10" aboveAverage="0" equalAverage="0" bottom="0" percent="0" rank="0" text="" dxfId="602">
      <formula>A4="O"</formula>
    </cfRule>
    <cfRule type="expression" priority="11" aboveAverage="0" equalAverage="0" bottom="0" percent="0" rank="0" text="" dxfId="603">
      <formula>A4="O"</formula>
    </cfRule>
  </conditionalFormatting>
  <conditionalFormatting sqref="C4:C19">
    <cfRule type="expression" priority="12" aboveAverage="0" equalAverage="0" bottom="0" percent="0" rank="0" text="" dxfId="604">
      <formula>A4="O"</formula>
    </cfRule>
    <cfRule type="containsText" priority="13" operator="containsText" aboveAverage="0" equalAverage="0" bottom="0" percent="0" rank="0" text="Dimanche" dxfId="605">
      <formula>NOT(ISERROR(SEARCH("Dimanche",C4)))</formula>
    </cfRule>
    <cfRule type="containsText" priority="14" operator="containsText" aboveAverage="0" equalAverage="0" bottom="0" percent="0" rank="0" text="Samedi" dxfId="606">
      <formula>NOT(ISERROR(SEARCH("Samedi",C4)))</formula>
    </cfRule>
    <cfRule type="containsText" priority="15" operator="containsText" aboveAverage="0" equalAverage="0" bottom="0" percent="0" rank="0" text="Vendredi" dxfId="607">
      <formula>NOT(ISERROR(SEARCH("Vendredi",C4)))</formula>
    </cfRule>
    <cfRule type="containsText" priority="16" operator="containsText" aboveAverage="0" equalAverage="0" bottom="0" percent="0" rank="0" text="Jeudi" dxfId="608">
      <formula>NOT(ISERROR(SEARCH("Jeudi",C4)))</formula>
    </cfRule>
    <cfRule type="containsText" priority="17" operator="containsText" aboveAverage="0" equalAverage="0" bottom="0" percent="0" rank="0" text="Mercredi" dxfId="609">
      <formula>NOT(ISERROR(SEARCH("Mercredi",C4)))</formula>
    </cfRule>
    <cfRule type="containsText" priority="18" operator="containsText" aboveAverage="0" equalAverage="0" bottom="0" percent="0" rank="0" text="Mardi" dxfId="610">
      <formula>NOT(ISERROR(SEARCH("Mardi",C4)))</formula>
    </cfRule>
    <cfRule type="containsText" priority="19" operator="containsText" aboveAverage="0" equalAverage="0" bottom="0" percent="0" rank="0" text="Lundi" dxfId="611">
      <formula>NOT(ISERROR(SEARCH("Lundi",C4)))</formula>
    </cfRule>
  </conditionalFormatting>
  <conditionalFormatting sqref="G4:G19">
    <cfRule type="expression" priority="20" aboveAverage="0" equalAverage="0" bottom="0" percent="0" rank="0" text="" dxfId="612">
      <formula>A4="O"</formula>
    </cfRule>
  </conditionalFormatting>
  <conditionalFormatting sqref="I4:I19">
    <cfRule type="expression" priority="21" aboveAverage="0" equalAverage="0" bottom="0" percent="0" rank="0" text="" dxfId="613">
      <formula>A4="O"</formula>
    </cfRule>
  </conditionalFormatting>
  <conditionalFormatting sqref="J4:J19">
    <cfRule type="expression" priority="22" aboveAverage="0" equalAverage="0" bottom="0" percent="0" rank="0" text="" dxfId="614">
      <formula>A4="O"</formula>
    </cfRule>
  </conditionalFormatting>
  <conditionalFormatting sqref="F4:F19">
    <cfRule type="expression" priority="23" aboveAverage="0" equalAverage="0" bottom="0" percent="0" rank="0" text="" dxfId="615">
      <formula>A4="O"</formula>
    </cfRule>
  </conditionalFormatting>
  <conditionalFormatting sqref="D4:D19">
    <cfRule type="expression" priority="24" aboveAverage="0" equalAverage="0" bottom="0" percent="0" rank="0" text="" dxfId="616">
      <formula>A4="O"</formula>
    </cfRule>
    <cfRule type="colorScale" priority="25">
      <colorScale>
        <cfvo type="min" val="0"/>
        <cfvo type="percentile" val="50"/>
        <cfvo type="max" val="0"/>
        <color rgb="FFFFC000"/>
        <color rgb="FFC55A11"/>
        <color rgb="FF2E75B6"/>
      </colorScale>
    </cfRule>
  </conditionalFormatting>
  <conditionalFormatting sqref="E4:E19">
    <cfRule type="expression" priority="26" aboveAverage="0" equalAverage="0" bottom="0" percent="0" rank="0" text="" dxfId="617">
      <formula>A4="O"</formula>
    </cfRule>
    <cfRule type="colorScale" priority="27">
      <colorScale>
        <cfvo type="min" val="0"/>
        <cfvo type="percentile" val="50"/>
        <cfvo type="max" val="0"/>
        <color rgb="FFFFC000"/>
        <color rgb="FFC55A11"/>
        <color rgb="FF2E75B6"/>
      </colorScale>
    </cfRule>
  </conditionalFormatting>
  <dataValidations count="5">
    <dataValidation allowBlank="true" errorStyle="stop" operator="between" showDropDown="false" showErrorMessage="true" showInputMessage="true" sqref="C4:C19" type="list">
      <formula1>Data!$C$2:$C$8</formula1>
      <formula2>0</formula2>
    </dataValidation>
    <dataValidation allowBlank="false" errorStyle="stop" operator="between" showDropDown="false" showErrorMessage="true" showInputMessage="true" sqref="F4:F19" type="list">
      <formula1>Data!$E$2:$E$30</formula1>
      <formula2>0</formula2>
    </dataValidation>
    <dataValidation allowBlank="true" errorStyle="information" errorTitle="OK ?" operator="between" showDropDown="false" showErrorMessage="true" showInputMessage="true" sqref="G4:G19" type="list">
      <formula1>Data!$D$2:$D$16</formula1>
      <formula2>0</formula2>
    </dataValidation>
    <dataValidation allowBlank="true" errorStyle="stop" operator="between" showDropDown="false" showErrorMessage="true" showInputMessage="true" sqref="C1" type="list">
      <formula1>Data!$A$2:$A$106</formula1>
      <formula2>0</formula2>
    </dataValidation>
    <dataValidation allowBlank="true" errorStyle="stop" operator="between" showDropDown="false" showErrorMessage="true" showInputMessage="true" sqref="H4:H19" type="list">
      <formula1>Data!$F$4:$F$16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  <tableParts>
    <tablePart r:id="rId2"/>
    <tablePart r:id="rId3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5C3079D5-F5A5-4A5E-B3F1-F0917E583A39}">
            <x14:dataBar minLength="10" maxLength="90" axisPosition="automatic" gradient="false">
              <x14:cfvo type="autoMin"/>
              <x14:cfvo type="autoMax"/>
              <x14:negativeFillColor rgb="FFFF0000"/>
              <x14:axisColor rgb="FF000000"/>
            </x14:dataBar>
          </x14:cfRule>
          <xm:sqref>A27:A54</xm:sqref>
        </x14:conditionalFormatting>
        <x14:conditionalFormatting xmlns:xm="http://schemas.microsoft.com/office/excel/2006/main">
          <x14:cfRule type="dataBar" id="{E05772E9-D32A-4C78-8A83-5FF7A2E11449}">
            <x14:dataBar minLength="10" maxLength="90" axisPosition="automatic" gradient="true">
              <x14:cfvo type="autoMin"/>
              <x14:cfvo type="autoMax"/>
              <x14:negativeFillColor rgb="FFFF0000"/>
              <x14:axisColor rgb="FF000000"/>
            </x14:dataBar>
          </x14:cfRule>
          <xm:sqref>R1:U1</xm:sqref>
        </x14:conditionalFormatting>
        <x14:conditionalFormatting xmlns:xm="http://schemas.microsoft.com/office/excel/2006/main">
          <x14:cfRule type="dataBar" id="{EE63AF76-A525-4F81-9789-701C413880D2}">
            <x14:dataBar minLength="10" maxLength="90" axisPosition="automatic" gradient="true">
              <x14:cfvo type="autoMin"/>
              <x14:cfvo type="autoMax"/>
              <x14:negativeFillColor rgb="FFFF0000"/>
              <x14:axisColor rgb="FF000000"/>
            </x14:dataBar>
          </x14:cfRule>
          <xm:sqref>N1:Q1</xm:sqref>
        </x14:conditionalFormatting>
        <x14:conditionalFormatting xmlns:xm="http://schemas.microsoft.com/office/excel/2006/main">
          <x14:cfRule type="dataBar" id="{875EF7D8-CCC3-4920-82B9-D8A2DA77CD1C}">
            <x14:dataBar minLength="10" maxLength="90" axisPosition="automatic" gradient="true">
              <x14:cfvo type="autoMin"/>
              <x14:cfvo type="autoMax"/>
              <x14:negativeFillColor rgb="FFFF0000"/>
              <x14:axisColor rgb="FF000000"/>
            </x14:dataBar>
          </x14:cfRule>
          <xm:sqref>M1</xm:sqref>
        </x14:conditionalFormatting>
      </x14:conditionalFormatting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I5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5" ySplit="3" topLeftCell="F28" activePane="bottomRight" state="frozen"/>
      <selection pane="topLeft" activeCell="A1" activeCellId="0" sqref="A1"/>
      <selection pane="topRight" activeCell="F1" activeCellId="0" sqref="F1"/>
      <selection pane="bottomLeft" activeCell="A28" activeCellId="0" sqref="A28"/>
      <selection pane="bottomRight" activeCell="I42" activeCellId="0" sqref="I42"/>
    </sheetView>
  </sheetViews>
  <sheetFormatPr defaultColWidth="9.1484375" defaultRowHeight="15" zeroHeight="false" outlineLevelRow="1" outlineLevelCol="0"/>
  <cols>
    <col collapsed="false" customWidth="true" hidden="false" outlineLevel="0" max="1" min="1" style="1" width="4.57"/>
    <col collapsed="false" customWidth="true" hidden="false" outlineLevel="0" max="2" min="2" style="1" width="16.57"/>
    <col collapsed="false" customWidth="true" hidden="false" outlineLevel="0" max="3" min="3" style="1" width="20.14"/>
    <col collapsed="false" customWidth="true" hidden="false" outlineLevel="0" max="4" min="4" style="1" width="14.71"/>
    <col collapsed="false" customWidth="true" hidden="false" outlineLevel="0" max="5" min="5" style="1" width="13.57"/>
    <col collapsed="false" customWidth="true" hidden="false" outlineLevel="0" max="6" min="6" style="1" width="19"/>
    <col collapsed="false" customWidth="true" hidden="false" outlineLevel="0" max="7" min="7" style="1" width="13.71"/>
    <col collapsed="false" customWidth="true" hidden="false" outlineLevel="0" max="8" min="8" style="1" width="14"/>
    <col collapsed="false" customWidth="true" hidden="false" outlineLevel="0" max="9" min="9" style="1" width="21"/>
    <col collapsed="false" customWidth="true" hidden="false" outlineLevel="0" max="10" min="10" style="1" width="11.57"/>
    <col collapsed="false" customWidth="true" hidden="false" outlineLevel="0" max="11" min="11" style="71" width="7.71"/>
    <col collapsed="false" customWidth="true" hidden="false" outlineLevel="0" max="12" min="12" style="1" width="9.42"/>
    <col collapsed="false" customWidth="true" hidden="false" outlineLevel="0" max="13" min="13" style="1" width="9.86"/>
    <col collapsed="false" customWidth="true" hidden="false" outlineLevel="0" max="14" min="14" style="119" width="13.29"/>
    <col collapsed="false" customWidth="true" hidden="false" outlineLevel="0" max="15" min="15" style="1" width="11.29"/>
    <col collapsed="false" customWidth="true" hidden="false" outlineLevel="0" max="16" min="16" style="1" width="9.86"/>
    <col collapsed="false" customWidth="true" hidden="false" outlineLevel="0" max="17" min="17" style="1" width="10.42"/>
    <col collapsed="false" customWidth="true" hidden="false" outlineLevel="0" max="18" min="18" style="1" width="10.14"/>
    <col collapsed="false" customWidth="true" hidden="false" outlineLevel="0" max="19" min="19" style="1" width="11.71"/>
    <col collapsed="false" customWidth="true" hidden="false" outlineLevel="0" max="20" min="20" style="1" width="11"/>
    <col collapsed="false" customWidth="true" hidden="false" outlineLevel="0" max="22" min="21" style="1" width="10.42"/>
    <col collapsed="false" customWidth="true" hidden="false" outlineLevel="0" max="26" min="23" style="1" width="11.71"/>
    <col collapsed="false" customWidth="true" hidden="false" outlineLevel="0" max="28" min="27" style="1" width="12"/>
    <col collapsed="false" customWidth="true" hidden="false" outlineLevel="0" max="29" min="29" style="1" width="18.29"/>
    <col collapsed="false" customWidth="true" hidden="false" outlineLevel="0" max="30" min="30" style="1" width="12"/>
    <col collapsed="false" customWidth="true" hidden="false" outlineLevel="0" max="31" min="31" style="1" width="19"/>
    <col collapsed="false" customWidth="true" hidden="false" outlineLevel="0" max="32" min="32" style="1" width="12"/>
    <col collapsed="false" customWidth="true" hidden="false" outlineLevel="0" max="34" min="33" style="1" width="10.14"/>
    <col collapsed="false" customWidth="true" hidden="false" outlineLevel="0" max="35" min="35" style="1" width="11.71"/>
    <col collapsed="false" customWidth="true" hidden="false" outlineLevel="0" max="36" min="36" style="1" width="12.71"/>
    <col collapsed="false" customWidth="true" hidden="false" outlineLevel="0" max="37" min="37" style="1" width="14.14"/>
    <col collapsed="false" customWidth="true" hidden="false" outlineLevel="0" max="38" min="38" style="1" width="8.57"/>
    <col collapsed="false" customWidth="true" hidden="false" outlineLevel="0" max="39" min="39" style="1" width="7.29"/>
    <col collapsed="false" customWidth="true" hidden="false" outlineLevel="0" max="40" min="40" style="1" width="9.71"/>
    <col collapsed="false" customWidth="true" hidden="false" outlineLevel="0" max="41" min="41" style="1" width="18.71"/>
    <col collapsed="false" customWidth="true" hidden="false" outlineLevel="0" max="43" min="42" style="1" width="9.71"/>
    <col collapsed="false" customWidth="true" hidden="false" outlineLevel="0" max="44" min="44" style="1" width="13.29"/>
    <col collapsed="false" customWidth="true" hidden="false" outlineLevel="0" max="45" min="45" style="1" width="11.43"/>
    <col collapsed="false" customWidth="true" hidden="false" outlineLevel="0" max="46" min="46" style="1" width="16"/>
    <col collapsed="false" customWidth="true" hidden="false" outlineLevel="0" max="48" min="47" style="1" width="10"/>
    <col collapsed="false" customWidth="true" hidden="false" outlineLevel="0" max="49" min="49" style="1" width="9.86"/>
    <col collapsed="false" customWidth="true" hidden="false" outlineLevel="0" max="50" min="50" style="1" width="7.86"/>
    <col collapsed="false" customWidth="true" hidden="false" outlineLevel="0" max="53" min="51" style="1" width="18.71"/>
    <col collapsed="false" customWidth="true" hidden="false" outlineLevel="0" max="54" min="54" style="1" width="27.15"/>
    <col collapsed="false" customWidth="false" hidden="false" outlineLevel="0" max="16384" min="55" style="1" width="9.14"/>
  </cols>
  <sheetData>
    <row r="1" customFormat="false" ht="17.35" hidden="false" customHeight="false" outlineLevel="0" collapsed="false">
      <c r="A1" s="3"/>
      <c r="B1" s="120" t="str">
        <f aca="false">"Semaine du :" &amp; Data!D41</f>
        <v>Semaine du :</v>
      </c>
      <c r="C1" s="121" t="n">
        <v>44326</v>
      </c>
      <c r="D1" s="122" t="str">
        <f aca="false">"( "&amp;AVERAGE($E$2:$I$2)&amp;" )"</f>
        <v>( 7.3 )</v>
      </c>
      <c r="E1" s="123" t="str">
        <f aca="false">IFERROR("Lun.: " &amp; TEXT($BC$1,"00%"),"Lun.: 0%")</f>
        <v>Lun.: 65%</v>
      </c>
      <c r="F1" s="124" t="str">
        <f aca="false">IFERROR("Mar.: " &amp; TEXT($BD$1,"00%"),"Mar.: 0%")</f>
        <v>Mar.: 29%</v>
      </c>
      <c r="G1" s="124" t="str">
        <f aca="false">IFERROR("Mer.: " &amp; TEXT($BE$1,"00%"),"Mer.: 0%")</f>
        <v>Mer.: 69%</v>
      </c>
      <c r="H1" s="124" t="str">
        <f aca="false">IFERROR("Jeu.: " &amp; TEXT($BF$1,"00%"),"Jeu.: 0%")</f>
        <v>Jeu.: 73%</v>
      </c>
      <c r="I1" s="124" t="str">
        <f aca="false">IFERROR("Ven.: " &amp; TEXT($BG$1,"00%"),"Ven.: 0%")</f>
        <v>Ven.: 45%</v>
      </c>
      <c r="J1" s="125" t="str">
        <f aca="false">IFERROR("S.: " &amp; TEXT($BH$1,"00%"),"S.: 0%")</f>
        <v>S.: 100%</v>
      </c>
      <c r="K1" s="126" t="str">
        <f aca="false">IFERROR("D.: " &amp; TEXT($BI$1,"00%"), "D.: 0%")</f>
        <v>D.: 0%</v>
      </c>
      <c r="L1" s="127" t="n">
        <f aca="false">B2</f>
        <v>0.680555555555556</v>
      </c>
      <c r="M1" s="128" t="n">
        <f aca="false">C2</f>
        <v>40</v>
      </c>
      <c r="N1" s="129" t="n">
        <f aca="false">SUM($N$4:$N$79)</f>
        <v>1.66666666666667</v>
      </c>
      <c r="O1" s="130" t="s">
        <v>19</v>
      </c>
      <c r="P1" s="131" t="s">
        <v>20</v>
      </c>
      <c r="Q1" s="131" t="s">
        <v>21</v>
      </c>
      <c r="R1" s="130" t="s">
        <v>22</v>
      </c>
      <c r="S1" s="130" t="s">
        <v>23</v>
      </c>
      <c r="T1" s="132" t="s">
        <v>301</v>
      </c>
      <c r="U1" s="133" t="s">
        <v>25</v>
      </c>
      <c r="V1" s="133" t="s">
        <v>26</v>
      </c>
      <c r="W1" s="132"/>
      <c r="X1" s="134"/>
      <c r="Y1" s="135"/>
      <c r="Z1" s="135"/>
      <c r="AA1" s="136" t="s">
        <v>32</v>
      </c>
      <c r="AB1" s="136" t="s">
        <v>81</v>
      </c>
      <c r="AC1" s="136" t="s">
        <v>59</v>
      </c>
      <c r="AD1" s="136" t="s">
        <v>62</v>
      </c>
      <c r="AE1" s="136" t="s">
        <v>63</v>
      </c>
      <c r="AF1" s="136" t="s">
        <v>69</v>
      </c>
      <c r="AG1" s="136" t="s">
        <v>64</v>
      </c>
      <c r="AH1" s="136" t="s">
        <v>65</v>
      </c>
      <c r="AI1" s="136" t="s">
        <v>66</v>
      </c>
      <c r="AJ1" s="136" t="s">
        <v>47</v>
      </c>
      <c r="AK1" s="136" t="s">
        <v>67</v>
      </c>
      <c r="AL1" s="136" t="s">
        <v>68</v>
      </c>
      <c r="AM1" s="136" t="s">
        <v>41</v>
      </c>
      <c r="AN1" s="136" t="s">
        <v>61</v>
      </c>
      <c r="AO1" s="136" t="s">
        <v>70</v>
      </c>
      <c r="AP1" s="136" t="s">
        <v>71</v>
      </c>
      <c r="AQ1" s="136" t="s">
        <v>72</v>
      </c>
      <c r="AR1" s="136" t="s">
        <v>73</v>
      </c>
      <c r="AS1" s="136" t="s">
        <v>74</v>
      </c>
      <c r="AT1" s="136" t="s">
        <v>75</v>
      </c>
      <c r="AU1" s="136" t="s">
        <v>37</v>
      </c>
      <c r="AV1" s="136" t="s">
        <v>76</v>
      </c>
      <c r="AW1" s="136" t="s">
        <v>77</v>
      </c>
      <c r="AX1" s="136" t="s">
        <v>45</v>
      </c>
      <c r="AY1" s="136" t="s">
        <v>78</v>
      </c>
      <c r="AZ1" s="136" t="s">
        <v>79</v>
      </c>
      <c r="BA1" s="136" t="s">
        <v>80</v>
      </c>
      <c r="BB1" s="136" t="s">
        <v>60</v>
      </c>
      <c r="BC1" s="137" t="n">
        <f aca="false">SUMIF($C$4:$C$77,"1- Lundi",$O$4:$O$1956) / $E$2</f>
        <v>0.647058823529412</v>
      </c>
      <c r="BD1" s="137" t="n">
        <f aca="false">SUMIF($C$4:$C$77,"2- Mardi",$O$4:$O$1956) / $F$2</f>
        <v>0.285714285714286</v>
      </c>
      <c r="BE1" s="137" t="n">
        <f aca="false">SUMIF($C$4:$C$77,"3- Mercredi",$O$4:$O$1956) / $G$2</f>
        <v>0.6875</v>
      </c>
      <c r="BF1" s="137" t="n">
        <f aca="false">SUMIF($C$4:$C$77,"4- Jeudi",$O$4:$O$1956) / $H$2</f>
        <v>0.733333333333333</v>
      </c>
      <c r="BG1" s="137" t="n">
        <f aca="false">SUMIF($C$4:$C$77,"5- Vendredi",$O$4:$O$1956) / $I$2</f>
        <v>0.454545454545455</v>
      </c>
      <c r="BH1" s="137" t="n">
        <f aca="false">SUMIF($C$4:$C$77,"6- Samedi",$O$4:$O$1956) / $J$2</f>
        <v>1</v>
      </c>
      <c r="BI1" s="137" t="e">
        <f aca="false">SUMIF($C$4:$C$77,"7- Dimanche",$O$4:$O$1956) / $K$2</f>
        <v>#DIV/0!</v>
      </c>
    </row>
    <row r="2" customFormat="false" ht="22.05" hidden="false" customHeight="false" outlineLevel="0" collapsed="false">
      <c r="A2" s="3"/>
      <c r="B2" s="138" t="n">
        <f aca="false">N2</f>
        <v>0.680555555555556</v>
      </c>
      <c r="C2" s="139" t="n">
        <f aca="false">SUM($J$4:$J$79)</f>
        <v>40</v>
      </c>
      <c r="D2" s="140" t="str">
        <f aca="false">M2</f>
        <v>36 / 4</v>
      </c>
      <c r="E2" s="141" t="n">
        <f aca="false">SUMIF($C$4:$C$42,"1- Lundi",$J$4:$J$42)</f>
        <v>8.5</v>
      </c>
      <c r="F2" s="141" t="n">
        <f aca="false">SUMIF($C$4:$C$79,"2- Mardi",$J$4:$J$79)</f>
        <v>7</v>
      </c>
      <c r="G2" s="141" t="n">
        <f aca="false">SUMIF($C$4:$C$79,"3- Mercredi",$J$4:$J$79)</f>
        <v>8</v>
      </c>
      <c r="H2" s="141" t="n">
        <f aca="false">SUMIF($C$4:$C$79,"4- Jeudi",$J$4:$J$79)</f>
        <v>7.5</v>
      </c>
      <c r="I2" s="141" t="n">
        <f aca="false">SUMIF($C$4:$C$79,"5- Vendredi",$J$4:$J$79)</f>
        <v>5.5</v>
      </c>
      <c r="J2" s="141" t="n">
        <f aca="false">SUMIF($C$4:$C$79,"6- Samedi",$J$4:$J$79)</f>
        <v>3.5</v>
      </c>
      <c r="K2" s="141" t="n">
        <f aca="false">SUMIF($C$4:$C$79,"7- Dimanche",$J$4:$J$79)</f>
        <v>0</v>
      </c>
      <c r="L2" s="142" t="str">
        <f aca="false">COUNTIF($A$4:$A$79,"o")&amp;" / " &amp;  COUNTIF($A$4:$A$79,".")</f>
        <v>35 / 4</v>
      </c>
      <c r="M2" s="143" t="str">
        <f aca="false">ROUND(SUM(M4:M42),2) &amp; " / " &amp; ROUND(C2-SUM(M4:M42),2)</f>
        <v>36 / 4</v>
      </c>
      <c r="N2" s="144" t="n">
        <f aca="false">X2/Y2</f>
        <v>0.680555555555556</v>
      </c>
      <c r="O2" s="145" t="n">
        <f aca="false">SUMIF($G$4:$G$79,O$1,$J$4:$J$79)</f>
        <v>24.5</v>
      </c>
      <c r="P2" s="146" t="n">
        <f aca="false">SUMIF($G$4:$G$79,P$1,$J$4:$J$79)</f>
        <v>1.5</v>
      </c>
      <c r="Q2" s="145" t="n">
        <f aca="false">SUMIF($G$4:$G$79,Q$1,$J$4:$J$79)</f>
        <v>2</v>
      </c>
      <c r="R2" s="145" t="n">
        <f aca="false">SUMIF($G$4:$G$79,R$1,$J$4:$J$79)</f>
        <v>6</v>
      </c>
      <c r="S2" s="145" t="n">
        <f aca="false">SUMIF($G$4:$G$79,S$1,$J$4:$J$79)</f>
        <v>2</v>
      </c>
      <c r="T2" s="147" t="n">
        <f aca="false">SUMIF($G$4:$G$79,T$1,$J$4:$J$79)</f>
        <v>4</v>
      </c>
      <c r="U2" s="147" t="n">
        <f aca="false">SUMIF($G$4:$G$79,U$1,$J$4:$J$79)</f>
        <v>0</v>
      </c>
      <c r="V2" s="147" t="n">
        <f aca="false">SUMIF($G$4:$G$79,V$1,$J$4:$J$79)</f>
        <v>0</v>
      </c>
      <c r="W2" s="148"/>
      <c r="X2" s="149" t="n">
        <f aca="false">(C2-(SUM(P2:V2)))</f>
        <v>24.5</v>
      </c>
      <c r="Y2" s="149" t="n">
        <f aca="false">C2-(T2+U2+V2)</f>
        <v>36</v>
      </c>
      <c r="Z2" s="149"/>
      <c r="AA2" s="150" t="n">
        <f aca="false">SUMIF($F$4:$F$77,AA$1,$J$4:$J$77)</f>
        <v>13.5</v>
      </c>
      <c r="AB2" s="150" t="n">
        <f aca="false">SUMIF($F$4:$F$77,AB$1,$J$4:$J$77)</f>
        <v>0</v>
      </c>
      <c r="AC2" s="150" t="n">
        <f aca="false">SUMIF($F$4:$F$77,AC$1,$J$4:$J$77)</f>
        <v>5.5</v>
      </c>
      <c r="AD2" s="150" t="n">
        <f aca="false">SUMIF($F$4:$F$77,AD$1,$J$4:$J$77)</f>
        <v>0</v>
      </c>
      <c r="AE2" s="150" t="n">
        <f aca="false">SUMIF($F$4:$F$77,AE$1,$J$4:$J$77)</f>
        <v>5.75</v>
      </c>
      <c r="AF2" s="150" t="n">
        <f aca="false">SUMIF('Semaine 04-05-2025'!$F$4:$F$46,AF$1,'Semaine 04-05-2025'!$J$4:$J$46)</f>
        <v>0</v>
      </c>
      <c r="AG2" s="150" t="n">
        <f aca="false">SUMIF('Semaine 04-05-2025'!$F$4:$F$46,AG$1,'Semaine 04-05-2025'!$J$4:$J$46)</f>
        <v>0</v>
      </c>
      <c r="AH2" s="150" t="n">
        <f aca="false">SUMIF('Semaine 04-05-2025'!$F$4:$F$46,AH$1,'Semaine 04-05-2025'!$J$4:$J$46)</f>
        <v>0</v>
      </c>
      <c r="AI2" s="150" t="n">
        <f aca="false">SUMIF('Semaine 04-05-2025'!$F$4:$F$46,AI$1,'Semaine 04-05-2025'!$J$4:$J$46)</f>
        <v>0</v>
      </c>
      <c r="AJ2" s="150" t="n">
        <f aca="false">SUMIF('Semaine 04-05-2025'!$F$4:$F$46,AJ$1,'Semaine 04-05-2025'!$J$4:$J$46)</f>
        <v>0</v>
      </c>
      <c r="AK2" s="150" t="n">
        <f aca="false">SUMIF('Semaine 04-05-2025'!$F$4:$F$46,AK$1,'Semaine 04-05-2025'!$J$4:$J$46)</f>
        <v>0</v>
      </c>
      <c r="AL2" s="150" t="n">
        <f aca="false">SUMIF('Semaine 04-05-2025'!$F$4:$F$46,AL$1,'Semaine 04-05-2025'!$J$4:$J$46)</f>
        <v>0</v>
      </c>
      <c r="AM2" s="150" t="n">
        <f aca="false">SUMIF('Semaine 04-05-2025'!$F$4:$F$46,AM$1,'Semaine 04-05-2025'!$J$4:$J$46)</f>
        <v>0</v>
      </c>
      <c r="AN2" s="150" t="n">
        <f aca="false">SUMIF('Semaine 04-05-2025'!$F$4:$F$46,AN$1,'Semaine 04-05-2025'!$J$4:$J$46)</f>
        <v>0</v>
      </c>
      <c r="AO2" s="150" t="n">
        <f aca="false">SUMIF('Semaine 04-05-2025'!$F$4:$F$46,AO$1,'Semaine 04-05-2025'!$J$4:$J$46)</f>
        <v>0</v>
      </c>
      <c r="AP2" s="150" t="n">
        <f aca="false">SUMIF('Semaine 04-05-2025'!$F$4:$F$46,AP$1,'Semaine 04-05-2025'!$J$4:$J$46)</f>
        <v>0</v>
      </c>
      <c r="AQ2" s="150" t="n">
        <f aca="false">SUMIF('Semaine 04-05-2025'!$F$4:$F$46,AQ$1,'Semaine 04-05-2025'!$J$4:$J$46)</f>
        <v>0</v>
      </c>
      <c r="AR2" s="150" t="n">
        <f aca="false">SUMIF('Semaine 04-05-2025'!$F$4:$F$46,AR$1,'Semaine 04-05-2025'!$J$4:$J$46)</f>
        <v>0</v>
      </c>
      <c r="AS2" s="150" t="n">
        <f aca="false">SUMIF('Semaine 04-05-2025'!$F$4:$F$46,AS$1,'Semaine 04-05-2025'!$J$4:$J$46)</f>
        <v>0</v>
      </c>
      <c r="AT2" s="150" t="n">
        <f aca="false">SUMIF('Semaine 04-05-2025'!$F$4:$F$46,AT$1,'Semaine 04-05-2025'!$J$4:$J$46)</f>
        <v>15</v>
      </c>
      <c r="AU2" s="150" t="n">
        <f aca="false">SUMIF('Semaine 04-05-2025'!$F$4:$F$46,AU$1,'Semaine 04-05-2025'!$J$4:$J$46)</f>
        <v>4.5</v>
      </c>
      <c r="AV2" s="151"/>
      <c r="AW2" s="150" t="n">
        <f aca="false">SUMIF('Semaine 04-05-2025'!$F$4:$F$46,AW$1,'Semaine 04-05-2025'!$J$4:$J$46)</f>
        <v>0</v>
      </c>
      <c r="AX2" s="150" t="n">
        <f aca="false">SUMIF('Semaine 04-05-2025'!$F$4:$F$46,AX$1,'Semaine 04-05-2025'!$J$4:$J$46)</f>
        <v>0</v>
      </c>
      <c r="AY2" s="150" t="n">
        <f aca="false">SUMIF('Semaine 04-05-2025'!$F$4:$F$46,AY$1,'Semaine 04-05-2025'!$J$4:$J$46)</f>
        <v>0</v>
      </c>
      <c r="AZ2" s="150" t="n">
        <f aca="false">SUMIF('Semaine 04-05-2025'!$F$4:$F$46,AZ$1,'Semaine 04-05-2025'!$J$4:$J$46)</f>
        <v>1.75</v>
      </c>
      <c r="BA2" s="150" t="n">
        <f aca="false">SUMIF('Semaine 04-05-2025'!$F$4:$F$46,BA$1,'Semaine 04-05-2025'!$J$4:$J$46)</f>
        <v>0</v>
      </c>
      <c r="BB2" s="150" t="n">
        <f aca="false">SUMIF('Semaine 04-05-2025'!$F$4:$F$46,BB$1,'Semaine 04-05-2025'!$J$4:$J$46)</f>
        <v>0</v>
      </c>
    </row>
    <row r="3" s="71" customFormat="true" ht="15" hidden="false" customHeight="false" outlineLevel="0" collapsed="false">
      <c r="A3" s="152" t="s">
        <v>7</v>
      </c>
      <c r="B3" s="34" t="s">
        <v>8</v>
      </c>
      <c r="C3" s="34" t="s">
        <v>9</v>
      </c>
      <c r="D3" s="114" t="s">
        <v>10</v>
      </c>
      <c r="E3" s="114" t="s">
        <v>11</v>
      </c>
      <c r="F3" s="34" t="s">
        <v>12</v>
      </c>
      <c r="G3" s="34" t="s">
        <v>13</v>
      </c>
      <c r="H3" s="34" t="s">
        <v>14</v>
      </c>
      <c r="I3" s="35" t="s">
        <v>300</v>
      </c>
      <c r="J3" s="36" t="s">
        <v>16</v>
      </c>
      <c r="K3" s="36" t="s">
        <v>17</v>
      </c>
      <c r="L3" s="118" t="s">
        <v>18</v>
      </c>
      <c r="M3" s="118" t="s">
        <v>29</v>
      </c>
      <c r="N3" s="114" t="s">
        <v>302</v>
      </c>
      <c r="O3" s="39" t="s">
        <v>303</v>
      </c>
      <c r="P3" s="39" t="s">
        <v>304</v>
      </c>
      <c r="Q3" s="39" t="s">
        <v>305</v>
      </c>
      <c r="R3" s="39" t="s">
        <v>306</v>
      </c>
      <c r="S3" s="39" t="s">
        <v>307</v>
      </c>
      <c r="T3" s="39" t="s">
        <v>308</v>
      </c>
      <c r="U3" s="39" t="s">
        <v>309</v>
      </c>
      <c r="V3" s="116" t="s">
        <v>310</v>
      </c>
      <c r="W3" s="116" t="s">
        <v>311</v>
      </c>
      <c r="X3" s="153"/>
      <c r="Y3" s="153"/>
      <c r="Z3" s="153"/>
      <c r="AA3" s="153" t="n">
        <f aca="false">AA2/$C$2</f>
        <v>0.3375</v>
      </c>
      <c r="AB3" s="153" t="n">
        <f aca="false">AB2/$C$2</f>
        <v>0</v>
      </c>
      <c r="AC3" s="153" t="n">
        <f aca="false">AC2/$C$2</f>
        <v>0.1375</v>
      </c>
      <c r="AD3" s="153" t="n">
        <f aca="false">AD2/$C$2</f>
        <v>0</v>
      </c>
      <c r="AE3" s="153" t="n">
        <f aca="false">AE2/$C$2</f>
        <v>0.14375</v>
      </c>
      <c r="AF3" s="153" t="n">
        <f aca="false">AF2/$C$2</f>
        <v>0</v>
      </c>
      <c r="AG3" s="153" t="n">
        <f aca="false">AG2/$C$2</f>
        <v>0</v>
      </c>
      <c r="AH3" s="153" t="n">
        <f aca="false">AH2/$C$2</f>
        <v>0</v>
      </c>
      <c r="AI3" s="153" t="n">
        <f aca="false">AI2/$C$2</f>
        <v>0</v>
      </c>
      <c r="AJ3" s="153" t="n">
        <f aca="false">AJ2/$C$2</f>
        <v>0</v>
      </c>
      <c r="AK3" s="153" t="n">
        <f aca="false">AK2/$C$2</f>
        <v>0</v>
      </c>
      <c r="AL3" s="153" t="n">
        <f aca="false">AL2/$C$2</f>
        <v>0</v>
      </c>
      <c r="AM3" s="153" t="n">
        <f aca="false">AM2/$C$2</f>
        <v>0</v>
      </c>
      <c r="AN3" s="153" t="n">
        <f aca="false">AN2/$C$2</f>
        <v>0</v>
      </c>
      <c r="AO3" s="153" t="n">
        <f aca="false">AO2/$C$2</f>
        <v>0</v>
      </c>
      <c r="AP3" s="153" t="n">
        <f aca="false">AP2/$C$2</f>
        <v>0</v>
      </c>
      <c r="AQ3" s="153" t="n">
        <f aca="false">AQ2/$C$2</f>
        <v>0</v>
      </c>
      <c r="AR3" s="153" t="n">
        <f aca="false">AR2/$C$2</f>
        <v>0</v>
      </c>
      <c r="AS3" s="153" t="n">
        <f aca="false">AS2/$C$2</f>
        <v>0</v>
      </c>
      <c r="AT3" s="153" t="n">
        <f aca="false">AT2/$C$2</f>
        <v>0.375</v>
      </c>
      <c r="AU3" s="153" t="n">
        <f aca="false">AU2/$C$2</f>
        <v>0.1125</v>
      </c>
      <c r="AV3" s="153"/>
      <c r="AW3" s="153" t="n">
        <f aca="false">AW2/$C$2</f>
        <v>0</v>
      </c>
      <c r="AX3" s="153" t="n">
        <f aca="false">AX2/$C$2</f>
        <v>0</v>
      </c>
      <c r="AY3" s="153" t="n">
        <f aca="false">AY2/$C$2</f>
        <v>0</v>
      </c>
      <c r="AZ3" s="153" t="n">
        <f aca="false">AZ2/$C$2</f>
        <v>0.0437499999999999</v>
      </c>
      <c r="BA3" s="153" t="n">
        <f aca="false">BA2/$C$2</f>
        <v>0</v>
      </c>
      <c r="BB3" s="153" t="n">
        <f aca="false">BB2/$C$2</f>
        <v>0</v>
      </c>
    </row>
    <row r="4" customFormat="false" ht="15" hidden="false" customHeight="false" outlineLevel="0" collapsed="false">
      <c r="A4" s="154" t="s">
        <v>31</v>
      </c>
      <c r="B4" s="155" t="n">
        <f aca="false">IF(Table67[[#This Row],[Jour]]="1- Lundi",$C$1+1, IF(Table67[[#This Row],[Jour]]="2- Mardi",$C$1+2, IF(Table67[[#This Row],[Jour]]="3- Mercredi",$C$1+3, IF(Table67[[#This Row],[Jour]]="4- Jeudi",$C$1+4, IF(Table67[[#This Row],[Jour]]="5- Vendredi",$C$1+5, IF(Table67[[#This Row],[Jour]]="6- Samedi",$C$1+6, IF(Table67[[#This Row],[Jour]]="7- Dimanche",$C$1, )))))))</f>
        <v>44327</v>
      </c>
      <c r="C4" s="156" t="s">
        <v>312</v>
      </c>
      <c r="D4" s="157" t="n">
        <v>0.322916666666667</v>
      </c>
      <c r="E4" s="157" t="n">
        <v>0.364583333333333</v>
      </c>
      <c r="F4" s="158" t="s">
        <v>32</v>
      </c>
      <c r="G4" s="158" t="s">
        <v>21</v>
      </c>
      <c r="H4" s="159" t="s">
        <v>313</v>
      </c>
      <c r="I4" s="160"/>
      <c r="J4" s="161" t="n">
        <f aca="false">IF($D4=0,"",($N4-INT($N4))*24)</f>
        <v>1</v>
      </c>
      <c r="K4" s="162" t="n">
        <f aca="false">SUMIF($C$4:$C$80,$C4,$J$4:$J$80)</f>
        <v>8.5</v>
      </c>
      <c r="L4" s="163" t="n">
        <f aca="false">IFERROR(SUMIF($C$4:$C$79,$C4,O$4:O$1956) / $K4, "0")</f>
        <v>0.647058823529412</v>
      </c>
      <c r="M4" s="164" t="n">
        <f aca="false">IF(A4="o",$J4,".")</f>
        <v>0.999999999999999</v>
      </c>
      <c r="N4" s="165" t="n">
        <f aca="false">IF($D4=0,"",$E4-$D4)</f>
        <v>0.0416666666666667</v>
      </c>
      <c r="O4" s="166" t="str">
        <f aca="false">IF($O$1=$G4,$J4,"")</f>
        <v/>
      </c>
      <c r="P4" s="166" t="str">
        <f aca="false">IF($P$1=$G4,$J4,"")</f>
        <v/>
      </c>
      <c r="Q4" s="166" t="n">
        <f aca="false">IF($Q$1=$G4,$J4,"")</f>
        <v>0.999999999999999</v>
      </c>
      <c r="R4" s="166" t="str">
        <f aca="false">IF($R$1=$G4,$J4,"")</f>
        <v/>
      </c>
      <c r="S4" s="166" t="str">
        <f aca="false">IF($S$1=$G4,$J4,"")</f>
        <v/>
      </c>
      <c r="T4" s="166" t="str">
        <f aca="false">IF($T$1=$G4,$J4,"")</f>
        <v/>
      </c>
      <c r="U4" s="166" t="str">
        <f aca="false">IF($U$1=$G4,$J4,"")</f>
        <v/>
      </c>
      <c r="V4" s="167" t="str">
        <f aca="false">IF($V$1=$G4,$J4,"")</f>
        <v/>
      </c>
      <c r="W4" s="168"/>
      <c r="X4" s="169"/>
      <c r="Y4" s="71"/>
      <c r="Z4" s="71"/>
      <c r="AB4" s="169"/>
      <c r="AC4" s="71"/>
      <c r="AD4" s="169"/>
      <c r="AE4" s="71"/>
      <c r="AF4" s="71"/>
      <c r="AG4" s="71"/>
      <c r="AH4" s="71"/>
      <c r="AI4" s="71"/>
      <c r="AJ4" s="71"/>
      <c r="AK4" s="71"/>
      <c r="AL4" s="71"/>
      <c r="AM4" s="71"/>
      <c r="AN4" s="71"/>
      <c r="AO4" s="71"/>
      <c r="AP4" s="71"/>
      <c r="AQ4" s="71"/>
      <c r="AR4" s="71"/>
      <c r="AS4" s="71"/>
      <c r="AT4" s="71"/>
      <c r="AU4" s="71"/>
      <c r="AV4" s="71"/>
      <c r="AW4" s="71"/>
      <c r="AX4" s="71"/>
      <c r="AY4" s="71"/>
      <c r="AZ4" s="71"/>
      <c r="BA4" s="71"/>
      <c r="BB4" s="71"/>
    </row>
    <row r="5" customFormat="false" ht="15" hidden="false" customHeight="false" outlineLevel="0" collapsed="false">
      <c r="A5" s="154" t="s">
        <v>31</v>
      </c>
      <c r="B5" s="155" t="n">
        <f aca="false">IF(Table67[[#This Row],[Jour]]="1- Lundi",$C$1+1, IF(Table67[[#This Row],[Jour]]="2- Mardi",$C$1+2, IF(Table67[[#This Row],[Jour]]="3- Mercredi",$C$1+3, IF(Table67[[#This Row],[Jour]]="4- Jeudi",$C$1+4, IF(Table67[[#This Row],[Jour]]="5- Vendredi",$C$1+5, IF(Table67[[#This Row],[Jour]]="6- Samedi",$C$1+6, IF(Table67[[#This Row],[Jour]]="7- Dimanche",$C$1, )))))))</f>
        <v>44327</v>
      </c>
      <c r="C5" s="156" t="s">
        <v>312</v>
      </c>
      <c r="D5" s="160" t="n">
        <v>0.364583333333333</v>
      </c>
      <c r="E5" s="160" t="n">
        <v>0.385416666666667</v>
      </c>
      <c r="F5" s="170" t="s">
        <v>32</v>
      </c>
      <c r="G5" s="170" t="s">
        <v>20</v>
      </c>
      <c r="H5" s="171" t="s">
        <v>121</v>
      </c>
      <c r="I5" s="160"/>
      <c r="J5" s="161" t="n">
        <f aca="false">IF($D5=0,"",($N5-INT($N5))*24)</f>
        <v>0.5</v>
      </c>
      <c r="K5" s="162" t="n">
        <f aca="false">SUMIF($C$4:$C$80,$C5,$J$4:$J$80)</f>
        <v>8.5</v>
      </c>
      <c r="L5" s="163" t="n">
        <f aca="false">IFERROR(SUMIF($C$4:$C$79,$C5,O$4:O$1956) / $K5, "0")</f>
        <v>0.647058823529412</v>
      </c>
      <c r="M5" s="164" t="n">
        <f aca="false">IF(A5="o",$J5,".")</f>
        <v>0.5</v>
      </c>
      <c r="N5" s="172" t="n">
        <f aca="false">IF($D5=0,"",$E5-$D5)</f>
        <v>0.0208333333333333</v>
      </c>
      <c r="O5" s="166" t="str">
        <f aca="false">IF($O$1=$G5,$J5,"")</f>
        <v/>
      </c>
      <c r="P5" s="173" t="n">
        <f aca="false">IF($P$1=$G5,$J5,"")</f>
        <v>0.5</v>
      </c>
      <c r="Q5" s="166" t="str">
        <f aca="false">IF($Q$1=$G5,$J5,"")</f>
        <v/>
      </c>
      <c r="R5" s="166" t="str">
        <f aca="false">IF($R$1=$G5,$J5,"")</f>
        <v/>
      </c>
      <c r="S5" s="166" t="str">
        <f aca="false">IF($S$1=$G5,$J5,"")</f>
        <v/>
      </c>
      <c r="T5" s="166" t="str">
        <f aca="false">IF($T$1=$G5,$J5,"")</f>
        <v/>
      </c>
      <c r="U5" s="166" t="str">
        <f aca="false">IF($U$1=$G5,$J5,"")</f>
        <v/>
      </c>
      <c r="V5" s="167" t="str">
        <f aca="false">IF($V$1=$G5,$J5,"")</f>
        <v/>
      </c>
      <c r="W5" s="168"/>
      <c r="X5" s="174"/>
      <c r="Y5" s="71"/>
      <c r="Z5" s="71"/>
      <c r="AA5" s="71"/>
      <c r="AB5" s="169"/>
      <c r="AC5" s="71"/>
      <c r="AD5" s="71"/>
      <c r="AE5" s="71"/>
      <c r="AF5" s="71"/>
      <c r="AG5" s="71"/>
      <c r="AH5" s="71"/>
      <c r="AI5" s="71"/>
      <c r="AJ5" s="71"/>
      <c r="AK5" s="71"/>
      <c r="AL5" s="71"/>
      <c r="AM5" s="71"/>
      <c r="AN5" s="71"/>
      <c r="AO5" s="71"/>
      <c r="AP5" s="71"/>
      <c r="AQ5" s="71"/>
      <c r="AR5" s="71"/>
      <c r="AS5" s="71"/>
      <c r="AT5" s="71"/>
      <c r="AU5" s="71"/>
      <c r="AV5" s="71"/>
      <c r="AW5" s="71"/>
      <c r="AX5" s="71"/>
      <c r="AY5" s="71"/>
      <c r="AZ5" s="71"/>
      <c r="BA5" s="71"/>
      <c r="BB5" s="71"/>
    </row>
    <row r="6" customFormat="false" ht="15" hidden="false" customHeight="false" outlineLevel="0" collapsed="false">
      <c r="A6" s="154" t="s">
        <v>31</v>
      </c>
      <c r="B6" s="155" t="n">
        <f aca="false">IF(Table67[[#This Row],[Jour]]="1- Lundi",$C$1+1, IF(Table67[[#This Row],[Jour]]="2- Mardi",$C$1+2, IF(Table67[[#This Row],[Jour]]="3- Mercredi",$C$1+3, IF(Table67[[#This Row],[Jour]]="4- Jeudi",$C$1+4, IF(Table67[[#This Row],[Jour]]="5- Vendredi",$C$1+5, IF(Table67[[#This Row],[Jour]]="6- Samedi",$C$1+6, IF(Table67[[#This Row],[Jour]]="7- Dimanche",$C$1, )))))))</f>
        <v>44327</v>
      </c>
      <c r="C6" s="156" t="s">
        <v>312</v>
      </c>
      <c r="D6" s="160" t="n">
        <v>0.395833333333333</v>
      </c>
      <c r="E6" s="160" t="n">
        <v>0.416666666666667</v>
      </c>
      <c r="F6" s="170" t="s">
        <v>37</v>
      </c>
      <c r="G6" s="170" t="s">
        <v>19</v>
      </c>
      <c r="H6" s="171" t="s">
        <v>55</v>
      </c>
      <c r="I6" s="160"/>
      <c r="J6" s="161" t="n">
        <f aca="false">IF($D6=0,"",($N6-INT($N6))*24)</f>
        <v>0.5</v>
      </c>
      <c r="K6" s="162" t="n">
        <f aca="false">SUMIF($C$4:$C$80,$C6,$J$4:$J$80)</f>
        <v>8.5</v>
      </c>
      <c r="L6" s="163" t="n">
        <f aca="false">IFERROR(SUMIF($C$4:$C$79,$C6,O$4:O$1956) / $K6, "0")</f>
        <v>0.647058823529412</v>
      </c>
      <c r="M6" s="164" t="n">
        <f aca="false">IF(A6="o",$J6,".")</f>
        <v>0.5</v>
      </c>
      <c r="N6" s="172" t="n">
        <f aca="false">IF($D6=0,"",$E6-$D6)</f>
        <v>0.0208333333333333</v>
      </c>
      <c r="O6" s="173" t="n">
        <f aca="false">IF($O$1=$G6,$J6,"")</f>
        <v>0.5</v>
      </c>
      <c r="P6" s="166" t="str">
        <f aca="false">IF($P$1=$G6,$J6,"")</f>
        <v/>
      </c>
      <c r="Q6" s="166" t="str">
        <f aca="false">IF($Q$1=$G6,$J6,"")</f>
        <v/>
      </c>
      <c r="R6" s="166" t="str">
        <f aca="false">IF($R$1=$G6,$J6,"")</f>
        <v/>
      </c>
      <c r="S6" s="166" t="str">
        <f aca="false">IF($S$1=$G6,$J6,"")</f>
        <v/>
      </c>
      <c r="T6" s="166" t="str">
        <f aca="false">IF($T$1=$G6,$J6,"")</f>
        <v/>
      </c>
      <c r="U6" s="166" t="str">
        <f aca="false">IF($U$1=$G6,$J6,"")</f>
        <v/>
      </c>
      <c r="V6" s="167" t="str">
        <f aca="false">IF($V$1=$G6,$J6,"")</f>
        <v/>
      </c>
      <c r="W6" s="168"/>
      <c r="X6" s="174"/>
      <c r="Y6" s="71"/>
      <c r="Z6" s="71"/>
      <c r="AA6" s="71"/>
      <c r="AB6" s="169"/>
      <c r="AC6" s="71"/>
      <c r="AD6" s="71"/>
      <c r="AE6" s="71"/>
      <c r="AF6" s="71"/>
      <c r="AG6" s="71"/>
      <c r="AH6" s="71"/>
      <c r="AI6" s="71"/>
      <c r="AJ6" s="71"/>
      <c r="AK6" s="71"/>
      <c r="AL6" s="71"/>
      <c r="AM6" s="71"/>
      <c r="AN6" s="71"/>
      <c r="AO6" s="71"/>
      <c r="AP6" s="71"/>
      <c r="AQ6" s="71"/>
      <c r="AR6" s="71"/>
      <c r="AS6" s="71"/>
      <c r="AT6" s="71"/>
      <c r="AU6" s="71"/>
      <c r="AV6" s="71"/>
      <c r="AW6" s="71"/>
      <c r="AX6" s="71"/>
      <c r="AY6" s="71"/>
      <c r="AZ6" s="71"/>
      <c r="BA6" s="71"/>
      <c r="BB6" s="71"/>
    </row>
    <row r="7" customFormat="false" ht="15" hidden="false" customHeight="false" outlineLevel="0" collapsed="false">
      <c r="A7" s="175" t="s">
        <v>31</v>
      </c>
      <c r="B7" s="155" t="n">
        <f aca="false">IF(Table67[[#This Row],[Jour]]="1- Lundi",$C$1+1, IF(Table67[[#This Row],[Jour]]="2- Mardi",$C$1+2, IF(Table67[[#This Row],[Jour]]="3- Mercredi",$C$1+3, IF(Table67[[#This Row],[Jour]]="4- Jeudi",$C$1+4, IF(Table67[[#This Row],[Jour]]="5- Vendredi",$C$1+5, IF(Table67[[#This Row],[Jour]]="6- Samedi",$C$1+6, IF(Table67[[#This Row],[Jour]]="7- Dimanche",$C$1, )))))))</f>
        <v>44327</v>
      </c>
      <c r="C7" s="156" t="s">
        <v>312</v>
      </c>
      <c r="D7" s="160" t="n">
        <v>0.416666666666667</v>
      </c>
      <c r="E7" s="160" t="n">
        <v>0.458333333333333</v>
      </c>
      <c r="F7" s="170" t="s">
        <v>32</v>
      </c>
      <c r="G7" s="170" t="s">
        <v>22</v>
      </c>
      <c r="H7" s="171" t="s">
        <v>314</v>
      </c>
      <c r="I7" s="160"/>
      <c r="J7" s="161" t="n">
        <f aca="false">IF($D7=0,"",($N7-INT($N7))*24)</f>
        <v>1</v>
      </c>
      <c r="K7" s="162" t="n">
        <f aca="false">SUMIF($C$4:$C$80,$C7,$J$4:$J$80)</f>
        <v>8.5</v>
      </c>
      <c r="L7" s="163" t="n">
        <f aca="false">IFERROR(SUMIF($C$4:$C$79,$C7,O$4:O$1956) / $K7, "0")</f>
        <v>0.647058823529412</v>
      </c>
      <c r="M7" s="164" t="n">
        <f aca="false">IF(A7="o",$J7,".")</f>
        <v>1</v>
      </c>
      <c r="N7" s="172" t="n">
        <f aca="false">IF($D7=0,"",$E7-$D7)</f>
        <v>0.0416666666666667</v>
      </c>
      <c r="O7" s="166" t="str">
        <f aca="false">IF($O$1=$G7,$J7,"")</f>
        <v/>
      </c>
      <c r="P7" s="166" t="str">
        <f aca="false">IF($P$1=$G7,$J7,"")</f>
        <v/>
      </c>
      <c r="Q7" s="166" t="str">
        <f aca="false">IF($Q$1=$G7,$J7,"")</f>
        <v/>
      </c>
      <c r="R7" s="173" t="n">
        <f aca="false">IF($R$1=$G7,$J7,"")</f>
        <v>1</v>
      </c>
      <c r="S7" s="166" t="str">
        <f aca="false">IF($S$1=$G7,$J7,"")</f>
        <v/>
      </c>
      <c r="T7" s="166" t="str">
        <f aca="false">IF($T$1=$G7,$J7,"")</f>
        <v/>
      </c>
      <c r="U7" s="166" t="str">
        <f aca="false">IF($U$1=$G7,$J7,"")</f>
        <v/>
      </c>
      <c r="V7" s="167" t="str">
        <f aca="false">IF($V$1=$G7,$J7,"")</f>
        <v/>
      </c>
      <c r="W7" s="168"/>
      <c r="X7" s="174"/>
      <c r="Y7" s="71"/>
      <c r="Z7" s="71"/>
      <c r="AA7" s="71"/>
      <c r="AB7" s="169"/>
      <c r="AC7" s="71"/>
      <c r="AD7" s="71"/>
      <c r="AE7" s="71"/>
      <c r="AF7" s="71"/>
      <c r="AG7" s="71"/>
      <c r="AH7" s="71"/>
      <c r="AI7" s="71"/>
      <c r="AJ7" s="71"/>
      <c r="AK7" s="71"/>
      <c r="AL7" s="71"/>
      <c r="AM7" s="71"/>
      <c r="AN7" s="71"/>
      <c r="AO7" s="71"/>
      <c r="AP7" s="71"/>
      <c r="AQ7" s="71"/>
      <c r="AR7" s="71"/>
      <c r="AS7" s="71"/>
      <c r="AT7" s="71"/>
      <c r="AU7" s="71"/>
      <c r="AV7" s="71"/>
      <c r="AW7" s="71"/>
      <c r="AX7" s="71"/>
      <c r="AY7" s="71"/>
      <c r="AZ7" s="71"/>
      <c r="BA7" s="71"/>
      <c r="BB7" s="71"/>
    </row>
    <row r="8" customFormat="false" ht="15" hidden="false" customHeight="false" outlineLevel="0" collapsed="false">
      <c r="A8" s="154" t="s">
        <v>31</v>
      </c>
      <c r="B8" s="155" t="n">
        <f aca="false">IF(Table67[[#This Row],[Jour]]="1- Lundi",$C$1+1, IF(Table67[[#This Row],[Jour]]="2- Mardi",$C$1+2, IF(Table67[[#This Row],[Jour]]="3- Mercredi",$C$1+3, IF(Table67[[#This Row],[Jour]]="4- Jeudi",$C$1+4, IF(Table67[[#This Row],[Jour]]="5- Vendredi",$C$1+5, IF(Table67[[#This Row],[Jour]]="6- Samedi",$C$1+6, IF(Table67[[#This Row],[Jour]]="7- Dimanche",$C$1, )))))))</f>
        <v>44327</v>
      </c>
      <c r="C8" s="176" t="s">
        <v>312</v>
      </c>
      <c r="D8" s="177" t="n">
        <v>0.489583333333333</v>
      </c>
      <c r="E8" s="177" t="n">
        <v>0.510416666666667</v>
      </c>
      <c r="F8" s="178" t="s">
        <v>75</v>
      </c>
      <c r="G8" s="178" t="s">
        <v>19</v>
      </c>
      <c r="H8" s="179" t="s">
        <v>315</v>
      </c>
      <c r="I8" s="177"/>
      <c r="J8" s="161" t="n">
        <f aca="false">IF($D8=0,"",($N8-INT($N8))*24)</f>
        <v>0.5</v>
      </c>
      <c r="K8" s="162" t="n">
        <f aca="false">SUMIF($C$4:$C$80,$C8,$J$4:$J$80)</f>
        <v>8.5</v>
      </c>
      <c r="L8" s="163" t="n">
        <f aca="false">IFERROR(SUMIF($C$4:$C$79,$C8,O$4:O$1956) / $K8, "0")</f>
        <v>0.647058823529412</v>
      </c>
      <c r="M8" s="164" t="n">
        <f aca="false">IF(A8="o",$J8,".")</f>
        <v>0.5</v>
      </c>
      <c r="N8" s="172" t="n">
        <f aca="false">IF($D8=0,"",$E8-$D8)</f>
        <v>0.0208333333333333</v>
      </c>
      <c r="O8" s="173" t="n">
        <f aca="false">IF($O$1=$G8,$J8,"")</f>
        <v>0.5</v>
      </c>
      <c r="P8" s="166" t="str">
        <f aca="false">IF($P$1=$G8,$J8,"")</f>
        <v/>
      </c>
      <c r="Q8" s="166" t="str">
        <f aca="false">IF($Q$1=$G8,$J8,"")</f>
        <v/>
      </c>
      <c r="R8" s="166" t="str">
        <f aca="false">IF($R$1=$G8,$J8,"")</f>
        <v/>
      </c>
      <c r="S8" s="166" t="str">
        <f aca="false">IF($S$1=$G8,$J8,"")</f>
        <v/>
      </c>
      <c r="T8" s="166" t="str">
        <f aca="false">IF($T$1=$G8,$J8,"")</f>
        <v/>
      </c>
      <c r="U8" s="166" t="str">
        <f aca="false">IF($U$1=$G8,$J8,"")</f>
        <v/>
      </c>
      <c r="V8" s="167" t="str">
        <f aca="false">IF($V$1=$G8,$J8,"")</f>
        <v/>
      </c>
      <c r="W8" s="168"/>
      <c r="X8" s="174"/>
      <c r="Y8" s="71"/>
      <c r="Z8" s="71"/>
      <c r="AA8" s="71"/>
      <c r="AB8" s="169"/>
      <c r="AC8" s="71"/>
      <c r="AD8" s="71"/>
      <c r="AE8" s="71"/>
      <c r="AF8" s="71"/>
      <c r="AG8" s="71"/>
      <c r="AH8" s="71"/>
      <c r="AI8" s="71"/>
      <c r="AJ8" s="71"/>
      <c r="AK8" s="71"/>
      <c r="AL8" s="71"/>
      <c r="AM8" s="71"/>
      <c r="AN8" s="71"/>
      <c r="AO8" s="71"/>
      <c r="AP8" s="71"/>
      <c r="AQ8" s="71"/>
      <c r="AR8" s="71"/>
      <c r="AS8" s="71"/>
      <c r="AT8" s="71"/>
      <c r="AU8" s="71"/>
      <c r="AV8" s="71"/>
      <c r="AW8" s="71"/>
      <c r="AX8" s="71"/>
      <c r="AY8" s="71"/>
      <c r="AZ8" s="71"/>
      <c r="BA8" s="71"/>
      <c r="BB8" s="71"/>
    </row>
    <row r="9" customFormat="false" ht="15" hidden="false" customHeight="false" outlineLevel="0" collapsed="false">
      <c r="A9" s="154" t="s">
        <v>31</v>
      </c>
      <c r="B9" s="155" t="n">
        <f aca="false">IF(Table67[[#This Row],[Jour]]="1- Lundi",$C$1+1, IF(Table67[[#This Row],[Jour]]="2- Mardi",$C$1+2, IF(Table67[[#This Row],[Jour]]="3- Mercredi",$C$1+3, IF(Table67[[#This Row],[Jour]]="4- Jeudi",$C$1+4, IF(Table67[[#This Row],[Jour]]="5- Vendredi",$C$1+5, IF(Table67[[#This Row],[Jour]]="6- Samedi",$C$1+6, IF(Table67[[#This Row],[Jour]]="7- Dimanche",$C$1, )))))))</f>
        <v>44327</v>
      </c>
      <c r="C9" s="156" t="s">
        <v>312</v>
      </c>
      <c r="D9" s="160" t="n">
        <v>0.5625</v>
      </c>
      <c r="E9" s="160" t="n">
        <v>0.572916666666667</v>
      </c>
      <c r="F9" s="170" t="s">
        <v>63</v>
      </c>
      <c r="G9" s="170" t="s">
        <v>19</v>
      </c>
      <c r="H9" s="171" t="s">
        <v>55</v>
      </c>
      <c r="I9" s="160"/>
      <c r="J9" s="161" t="n">
        <f aca="false">IF($D9=0,"",($N9-INT($N9))*24)</f>
        <v>0.25</v>
      </c>
      <c r="K9" s="162" t="n">
        <f aca="false">SUMIF($C$4:$C$80,$C9,$J$4:$J$80)</f>
        <v>8.5</v>
      </c>
      <c r="L9" s="163" t="n">
        <f aca="false">IFERROR(SUMIF($C$4:$C$79,$C9,O$4:O$1956) / $K9, "0")</f>
        <v>0.647058823529412</v>
      </c>
      <c r="M9" s="164" t="n">
        <f aca="false">IF(A9="o",$J9,".")</f>
        <v>0.25</v>
      </c>
      <c r="N9" s="172" t="n">
        <f aca="false">IF($D9=0,"",$E9-$D9)</f>
        <v>0.0104166666666667</v>
      </c>
      <c r="O9" s="173" t="n">
        <f aca="false">IF($O$1=$G9,$J9,"")</f>
        <v>0.25</v>
      </c>
      <c r="P9" s="166" t="str">
        <f aca="false">IF($P$1=$G9,$J9,"")</f>
        <v/>
      </c>
      <c r="Q9" s="166" t="str">
        <f aca="false">IF($Q$1=$G9,$J9,"")</f>
        <v/>
      </c>
      <c r="R9" s="166" t="str">
        <f aca="false">IF($R$1=$G9,$J9,"")</f>
        <v/>
      </c>
      <c r="S9" s="166" t="str">
        <f aca="false">IF($S$1=$G9,$J9,"")</f>
        <v/>
      </c>
      <c r="T9" s="166" t="str">
        <f aca="false">IF($T$1=$G9,$J9,"")</f>
        <v/>
      </c>
      <c r="U9" s="166" t="str">
        <f aca="false">IF($U$1=$G9,$J9,"")</f>
        <v/>
      </c>
      <c r="V9" s="167" t="str">
        <f aca="false">IF($V$1=$G9,$J9,"")</f>
        <v/>
      </c>
      <c r="W9" s="168"/>
      <c r="X9" s="174"/>
      <c r="Y9" s="71"/>
      <c r="Z9" s="71"/>
      <c r="AA9" s="71"/>
      <c r="AB9" s="169"/>
      <c r="AC9" s="71"/>
      <c r="AD9" s="71"/>
      <c r="AE9" s="71"/>
      <c r="AF9" s="71"/>
      <c r="AG9" s="71"/>
      <c r="AH9" s="71"/>
      <c r="AI9" s="71"/>
      <c r="AJ9" s="71"/>
      <c r="AK9" s="71"/>
      <c r="AL9" s="71"/>
      <c r="AM9" s="71"/>
      <c r="AN9" s="71"/>
      <c r="AO9" s="71"/>
      <c r="AP9" s="71"/>
      <c r="AQ9" s="71"/>
      <c r="AR9" s="71"/>
      <c r="AS9" s="71"/>
      <c r="AT9" s="71"/>
      <c r="AU9" s="71"/>
      <c r="AV9" s="71"/>
      <c r="AW9" s="71"/>
      <c r="AX9" s="71"/>
      <c r="AY9" s="71"/>
      <c r="AZ9" s="71"/>
      <c r="BA9" s="71"/>
      <c r="BB9" s="71"/>
    </row>
    <row r="10" customFormat="false" ht="15" hidden="false" customHeight="false" outlineLevel="0" collapsed="false">
      <c r="A10" s="154" t="s">
        <v>31</v>
      </c>
      <c r="B10" s="155" t="n">
        <f aca="false">IF(Table67[[#This Row],[Jour]]="1- Lundi",$C$1+1, IF(Table67[[#This Row],[Jour]]="2- Mardi",$C$1+2, IF(Table67[[#This Row],[Jour]]="3- Mercredi",$C$1+3, IF(Table67[[#This Row],[Jour]]="4- Jeudi",$C$1+4, IF(Table67[[#This Row],[Jour]]="5- Vendredi",$C$1+5, IF(Table67[[#This Row],[Jour]]="6- Samedi",$C$1+6, IF(Table67[[#This Row],[Jour]]="7- Dimanche",$C$1, )))))))</f>
        <v>44327</v>
      </c>
      <c r="C10" s="156" t="s">
        <v>312</v>
      </c>
      <c r="D10" s="160" t="n">
        <v>0.572916666666667</v>
      </c>
      <c r="E10" s="160" t="n">
        <v>0.604166666666667</v>
      </c>
      <c r="F10" s="178" t="s">
        <v>75</v>
      </c>
      <c r="G10" s="178" t="s">
        <v>19</v>
      </c>
      <c r="H10" s="179" t="s">
        <v>315</v>
      </c>
      <c r="I10" s="160"/>
      <c r="J10" s="161" t="n">
        <f aca="false">IF($D10=0,"",($N10-INT($N10))*24)</f>
        <v>0.75</v>
      </c>
      <c r="K10" s="162" t="n">
        <f aca="false">SUMIF($C$4:$C$80,$C10,$J$4:$J$80)</f>
        <v>8.5</v>
      </c>
      <c r="L10" s="163" t="n">
        <f aca="false">IFERROR(SUMIF($C$4:$C$79,$C10,O$4:O$1956) / $K10, "0")</f>
        <v>0.647058823529412</v>
      </c>
      <c r="M10" s="164" t="n">
        <f aca="false">IF(A10="o",$J10,".")</f>
        <v>0.75</v>
      </c>
      <c r="N10" s="172" t="n">
        <f aca="false">IF($D10=0,"",$E10-$D10)</f>
        <v>0.03125</v>
      </c>
      <c r="O10" s="173" t="n">
        <f aca="false">IF($O$1=$G10,$J10,"")</f>
        <v>0.75</v>
      </c>
      <c r="P10" s="166" t="str">
        <f aca="false">IF($P$1=$G10,$J10,"")</f>
        <v/>
      </c>
      <c r="Q10" s="166" t="str">
        <f aca="false">IF($Q$1=$G10,$J10,"")</f>
        <v/>
      </c>
      <c r="R10" s="166" t="str">
        <f aca="false">IF($R$1=$G10,$J10,"")</f>
        <v/>
      </c>
      <c r="S10" s="166" t="str">
        <f aca="false">IF($S$1=$G10,$J10,"")</f>
        <v/>
      </c>
      <c r="T10" s="166" t="str">
        <f aca="false">IF($T$1=$G10,$J10,"")</f>
        <v/>
      </c>
      <c r="U10" s="166" t="str">
        <f aca="false">IF($U$1=$G10,$J10,"")</f>
        <v/>
      </c>
      <c r="V10" s="167" t="str">
        <f aca="false">IF($V$1=$G10,$J10,"")</f>
        <v/>
      </c>
      <c r="W10" s="168"/>
      <c r="X10" s="174"/>
      <c r="Y10" s="71"/>
      <c r="Z10" s="71"/>
      <c r="AA10" s="71"/>
      <c r="AB10" s="169"/>
      <c r="AC10" s="71"/>
      <c r="AD10" s="71"/>
      <c r="AE10" s="71"/>
      <c r="AF10" s="71"/>
      <c r="AG10" s="71"/>
      <c r="AH10" s="71"/>
      <c r="AI10" s="71"/>
      <c r="AJ10" s="71"/>
      <c r="AK10" s="71"/>
      <c r="AL10" s="71"/>
      <c r="AM10" s="71"/>
      <c r="AN10" s="71"/>
      <c r="AO10" s="71"/>
      <c r="AP10" s="71"/>
      <c r="AQ10" s="71"/>
      <c r="AR10" s="71"/>
      <c r="AS10" s="71"/>
      <c r="AT10" s="71"/>
      <c r="AU10" s="71"/>
      <c r="AV10" s="71"/>
      <c r="AW10" s="71"/>
      <c r="AX10" s="71"/>
      <c r="AY10" s="71"/>
      <c r="AZ10" s="71"/>
      <c r="BA10" s="71"/>
      <c r="BB10" s="71"/>
    </row>
    <row r="11" customFormat="false" ht="15" hidden="false" customHeight="false" outlineLevel="0" collapsed="false">
      <c r="A11" s="154" t="s">
        <v>31</v>
      </c>
      <c r="B11" s="155" t="n">
        <f aca="false">IF(Table67[[#This Row],[Jour]]="1- Lundi",$C$1+1, IF(Table67[[#This Row],[Jour]]="2- Mardi",$C$1+2, IF(Table67[[#This Row],[Jour]]="3- Mercredi",$C$1+3, IF(Table67[[#This Row],[Jour]]="4- Jeudi",$C$1+4, IF(Table67[[#This Row],[Jour]]="5- Vendredi",$C$1+5, IF(Table67[[#This Row],[Jour]]="6- Samedi",$C$1+6, IF(Table67[[#This Row],[Jour]]="7- Dimanche",$C$1, )))))))</f>
        <v>44327</v>
      </c>
      <c r="C11" s="176" t="s">
        <v>312</v>
      </c>
      <c r="D11" s="177" t="n">
        <v>0.604166666666667</v>
      </c>
      <c r="E11" s="177" t="n">
        <v>0.635416666666667</v>
      </c>
      <c r="F11" s="178" t="s">
        <v>37</v>
      </c>
      <c r="G11" s="178" t="s">
        <v>19</v>
      </c>
      <c r="H11" s="179" t="s">
        <v>316</v>
      </c>
      <c r="I11" s="177"/>
      <c r="J11" s="161" t="n">
        <f aca="false">IF($D11=0,"",($N11-INT($N11))*24)</f>
        <v>0.75</v>
      </c>
      <c r="K11" s="162" t="n">
        <f aca="false">SUMIF($C$4:$C$80,$C11,$J$4:$J$80)</f>
        <v>8.5</v>
      </c>
      <c r="L11" s="163" t="n">
        <f aca="false">IFERROR(SUMIF($C$4:$C$79,$C11,O$4:O$1956) / $K11, "0")</f>
        <v>0.647058823529412</v>
      </c>
      <c r="M11" s="164" t="n">
        <f aca="false">IF(A11="o",$J11,".")</f>
        <v>0.75</v>
      </c>
      <c r="N11" s="172" t="n">
        <f aca="false">IF($D11=0,"",$E11-$D11)</f>
        <v>0.03125</v>
      </c>
      <c r="O11" s="173" t="n">
        <f aca="false">IF($O$1=$G11,$J11,"")</f>
        <v>0.75</v>
      </c>
      <c r="P11" s="166" t="str">
        <f aca="false">IF($P$1=$G11,$J11,"")</f>
        <v/>
      </c>
      <c r="Q11" s="166" t="str">
        <f aca="false">IF($Q$1=$G11,$J11,"")</f>
        <v/>
      </c>
      <c r="R11" s="166" t="str">
        <f aca="false">IF($R$1=$G11,$J11,"")</f>
        <v/>
      </c>
      <c r="S11" s="166" t="str">
        <f aca="false">IF($S$1=$G11,$J11,"")</f>
        <v/>
      </c>
      <c r="T11" s="166" t="str">
        <f aca="false">IF($T$1=$G11,$J11,"")</f>
        <v/>
      </c>
      <c r="U11" s="166" t="str">
        <f aca="false">IF($U$1=$G11,$J11,"")</f>
        <v/>
      </c>
      <c r="V11" s="167" t="str">
        <f aca="false">IF($V$1=$G11,$J11,"")</f>
        <v/>
      </c>
      <c r="W11" s="168"/>
      <c r="X11" s="174"/>
      <c r="Y11" s="71"/>
      <c r="Z11" s="71"/>
      <c r="AA11" s="71"/>
      <c r="AB11" s="169"/>
      <c r="AC11" s="71"/>
      <c r="AD11" s="71"/>
      <c r="AE11" s="71"/>
      <c r="AF11" s="71"/>
      <c r="AG11" s="71"/>
      <c r="AH11" s="71"/>
      <c r="AI11" s="71"/>
      <c r="AJ11" s="71"/>
      <c r="AK11" s="71"/>
      <c r="AL11" s="71"/>
      <c r="AM11" s="71"/>
      <c r="AN11" s="71"/>
      <c r="AO11" s="71"/>
      <c r="AP11" s="71"/>
      <c r="AQ11" s="71"/>
      <c r="AR11" s="71"/>
      <c r="AS11" s="71"/>
      <c r="AT11" s="71"/>
      <c r="AU11" s="71"/>
      <c r="AV11" s="71"/>
      <c r="AW11" s="71"/>
      <c r="AX11" s="71"/>
      <c r="AY11" s="71"/>
      <c r="AZ11" s="71"/>
      <c r="BA11" s="71"/>
      <c r="BB11" s="71"/>
    </row>
    <row r="12" customFormat="false" ht="15" hidden="false" customHeight="false" outlineLevel="0" collapsed="false">
      <c r="A12" s="154" t="s">
        <v>31</v>
      </c>
      <c r="B12" s="155" t="n">
        <f aca="false">IF(Table67[[#This Row],[Jour]]="1- Lundi",$C$1+1, IF(Table67[[#This Row],[Jour]]="2- Mardi",$C$1+2, IF(Table67[[#This Row],[Jour]]="3- Mercredi",$C$1+3, IF(Table67[[#This Row],[Jour]]="4- Jeudi",$C$1+4, IF(Table67[[#This Row],[Jour]]="5- Vendredi",$C$1+5, IF(Table67[[#This Row],[Jour]]="6- Samedi",$C$1+6, IF(Table67[[#This Row],[Jour]]="7- Dimanche",$C$1, )))))))</f>
        <v>44327</v>
      </c>
      <c r="C12" s="176" t="s">
        <v>312</v>
      </c>
      <c r="D12" s="177" t="n">
        <v>0.635416666666667</v>
      </c>
      <c r="E12" s="177" t="n">
        <v>0.75</v>
      </c>
      <c r="F12" s="178" t="s">
        <v>75</v>
      </c>
      <c r="G12" s="178" t="s">
        <v>19</v>
      </c>
      <c r="H12" s="179" t="s">
        <v>317</v>
      </c>
      <c r="I12" s="177"/>
      <c r="J12" s="161" t="n">
        <f aca="false">IF($D12=0,"",($N12-INT($N12))*24)</f>
        <v>2.75</v>
      </c>
      <c r="K12" s="162" t="n">
        <f aca="false">SUMIF($C$4:$C$80,$C12,$J$4:$J$80)</f>
        <v>8.5</v>
      </c>
      <c r="L12" s="163" t="n">
        <f aca="false">IFERROR(SUMIF($C$4:$C$79,$C12,O$4:O$1956) / $K12, "0")</f>
        <v>0.647058823529412</v>
      </c>
      <c r="M12" s="164" t="n">
        <f aca="false">IF(A12="o",$J12,".")</f>
        <v>2.75</v>
      </c>
      <c r="N12" s="172" t="n">
        <f aca="false">IF($D12=0,"",$E12-$D12)</f>
        <v>0.114583333333333</v>
      </c>
      <c r="O12" s="173" t="n">
        <f aca="false">IF($O$1=$G12,$J12,"")</f>
        <v>2.75</v>
      </c>
      <c r="P12" s="166" t="str">
        <f aca="false">IF($P$1=$G12,$J12,"")</f>
        <v/>
      </c>
      <c r="Q12" s="166" t="str">
        <f aca="false">IF($Q$1=$G12,$J12,"")</f>
        <v/>
      </c>
      <c r="R12" s="166" t="str">
        <f aca="false">IF($R$1=$G12,$J12,"")</f>
        <v/>
      </c>
      <c r="S12" s="166" t="str">
        <f aca="false">IF($S$1=$G12,$J12,"")</f>
        <v/>
      </c>
      <c r="T12" s="166" t="str">
        <f aca="false">IF($T$1=$G12,$J12,"")</f>
        <v/>
      </c>
      <c r="U12" s="166" t="str">
        <f aca="false">IF($U$1=$G12,$J12,"")</f>
        <v/>
      </c>
      <c r="V12" s="167" t="str">
        <f aca="false">IF($V$1=$G12,$J12,"")</f>
        <v/>
      </c>
      <c r="W12" s="168"/>
      <c r="X12" s="174"/>
      <c r="Y12" s="71"/>
      <c r="Z12" s="71"/>
      <c r="AA12" s="71"/>
      <c r="AB12" s="169"/>
      <c r="AC12" s="71"/>
      <c r="AD12" s="71"/>
      <c r="AE12" s="71"/>
      <c r="AF12" s="71"/>
      <c r="AG12" s="71"/>
      <c r="AH12" s="71"/>
      <c r="AI12" s="71"/>
      <c r="AJ12" s="71"/>
      <c r="AK12" s="71"/>
      <c r="AL12" s="71"/>
      <c r="AM12" s="71"/>
      <c r="AN12" s="71"/>
      <c r="AO12" s="71"/>
      <c r="AP12" s="71"/>
      <c r="AQ12" s="71"/>
      <c r="AR12" s="71"/>
      <c r="AS12" s="71"/>
      <c r="AT12" s="71"/>
      <c r="AU12" s="71"/>
      <c r="AV12" s="71"/>
      <c r="AW12" s="71"/>
      <c r="AX12" s="71"/>
      <c r="AY12" s="71"/>
      <c r="AZ12" s="71"/>
      <c r="BA12" s="71"/>
      <c r="BB12" s="71"/>
    </row>
    <row r="13" customFormat="false" ht="15" hidden="false" customHeight="false" outlineLevel="0" collapsed="false">
      <c r="A13" s="154" t="s">
        <v>31</v>
      </c>
      <c r="B13" s="155" t="n">
        <f aca="false">IF(Table67[[#This Row],[Jour]]="1- Lundi",$C$1+1, IF(Table67[[#This Row],[Jour]]="2- Mardi",$C$1+2, IF(Table67[[#This Row],[Jour]]="3- Mercredi",$C$1+3, IF(Table67[[#This Row],[Jour]]="4- Jeudi",$C$1+4, IF(Table67[[#This Row],[Jour]]="5- Vendredi",$C$1+5, IF(Table67[[#This Row],[Jour]]="6- Samedi",$C$1+6, IF(Table67[[#This Row],[Jour]]="7- Dimanche",$C$1, )))))))</f>
        <v>44327</v>
      </c>
      <c r="C13" s="176" t="s">
        <v>312</v>
      </c>
      <c r="D13" s="177" t="n">
        <v>0.75</v>
      </c>
      <c r="E13" s="177" t="n">
        <v>0.770833333333333</v>
      </c>
      <c r="F13" s="178" t="s">
        <v>32</v>
      </c>
      <c r="G13" s="178" t="s">
        <v>23</v>
      </c>
      <c r="H13" s="179" t="s">
        <v>318</v>
      </c>
      <c r="I13" s="177"/>
      <c r="J13" s="161" t="n">
        <f aca="false">IF($D13=0,"",($N13-INT($N13))*24)</f>
        <v>0.5</v>
      </c>
      <c r="K13" s="162" t="n">
        <f aca="false">SUMIF($C$4:$C$80,$C13,$J$4:$J$80)</f>
        <v>8.5</v>
      </c>
      <c r="L13" s="163" t="n">
        <f aca="false">IFERROR(SUMIF($C$4:$C$79,$C13,O$4:O$1956) / $K13, "0")</f>
        <v>0.647058823529412</v>
      </c>
      <c r="M13" s="164" t="n">
        <f aca="false">IF(A13="o",$J13,".")</f>
        <v>0.5</v>
      </c>
      <c r="N13" s="172" t="n">
        <f aca="false">IF($D13=0,"",$E13-$D13)</f>
        <v>0.0208333333333333</v>
      </c>
      <c r="O13" s="166" t="str">
        <f aca="false">IF($O$1=$G13,$J13,"")</f>
        <v/>
      </c>
      <c r="P13" s="166" t="str">
        <f aca="false">IF($P$1=$G13,$J13,"")</f>
        <v/>
      </c>
      <c r="Q13" s="166" t="str">
        <f aca="false">IF($Q$1=$G13,$J13,"")</f>
        <v/>
      </c>
      <c r="R13" s="166" t="str">
        <f aca="false">IF($R$1=$G13,$J13,"")</f>
        <v/>
      </c>
      <c r="S13" s="173" t="n">
        <f aca="false">IF($S$1=$G13,$J13,"")</f>
        <v>0.5</v>
      </c>
      <c r="T13" s="166" t="str">
        <f aca="false">IF($T$1=$G13,$J13,"")</f>
        <v/>
      </c>
      <c r="U13" s="166" t="str">
        <f aca="false">IF($U$1=$G13,$J13,"")</f>
        <v/>
      </c>
      <c r="V13" s="167" t="str">
        <f aca="false">IF($V$1=$G13,$J13,"")</f>
        <v/>
      </c>
      <c r="W13" s="168"/>
      <c r="X13" s="174"/>
      <c r="Y13" s="71"/>
      <c r="Z13" s="71"/>
      <c r="AA13" s="71"/>
      <c r="AB13" s="169"/>
      <c r="AC13" s="71"/>
      <c r="AD13" s="71"/>
      <c r="AE13" s="71"/>
      <c r="AF13" s="71"/>
      <c r="AG13" s="71"/>
      <c r="AH13" s="71"/>
      <c r="AI13" s="71"/>
      <c r="AJ13" s="71"/>
      <c r="AK13" s="71"/>
      <c r="AL13" s="71"/>
      <c r="AM13" s="71"/>
      <c r="AN13" s="71"/>
      <c r="AO13" s="71"/>
      <c r="AP13" s="71"/>
      <c r="AQ13" s="71"/>
      <c r="AR13" s="71"/>
      <c r="AS13" s="71"/>
      <c r="AT13" s="71"/>
      <c r="AU13" s="71"/>
      <c r="AV13" s="71"/>
      <c r="AW13" s="71"/>
      <c r="AX13" s="71"/>
      <c r="AY13" s="71"/>
      <c r="AZ13" s="71"/>
      <c r="BA13" s="71"/>
      <c r="BB13" s="71"/>
    </row>
    <row r="14" customFormat="false" ht="15" hidden="false" customHeight="false" outlineLevel="0" collapsed="false">
      <c r="A14" s="154" t="s">
        <v>33</v>
      </c>
      <c r="B14" s="155" t="n">
        <f aca="false">IF(Table67[[#This Row],[Jour]]="1- Lundi",$C$1+1, IF(Table67[[#This Row],[Jour]]="2- Mardi",$C$1+2, IF(Table67[[#This Row],[Jour]]="3- Mercredi",$C$1+3, IF(Table67[[#This Row],[Jour]]="4- Jeudi",$C$1+4, IF(Table67[[#This Row],[Jour]]="5- Vendredi",$C$1+5, IF(Table67[[#This Row],[Jour]]="6- Samedi",$C$1+6, IF(Table67[[#This Row],[Jour]]="7- Dimanche",$C$1, )))))))</f>
        <v>44328</v>
      </c>
      <c r="C14" s="156" t="s">
        <v>319</v>
      </c>
      <c r="D14" s="160" t="n">
        <v>0.333333333333333</v>
      </c>
      <c r="E14" s="160" t="n">
        <v>0.5</v>
      </c>
      <c r="F14" s="170" t="s">
        <v>32</v>
      </c>
      <c r="G14" s="170" t="s">
        <v>301</v>
      </c>
      <c r="H14" s="171" t="s">
        <v>320</v>
      </c>
      <c r="I14" s="160"/>
      <c r="J14" s="161" t="n">
        <f aca="false">IF($D14=0,"",($N14-INT($N14))*24)</f>
        <v>4</v>
      </c>
      <c r="K14" s="162" t="n">
        <f aca="false">SUMIF($C$4:$C$80,$C14,$J$4:$J$80)</f>
        <v>7</v>
      </c>
      <c r="L14" s="163" t="n">
        <f aca="false">IFERROR(SUMIF($C$4:$C$79,$C14,O$4:O$1956) / $K14, "0")</f>
        <v>0.285714285714286</v>
      </c>
      <c r="M14" s="164" t="str">
        <f aca="false">IF(A14="o",$J14,".")</f>
        <v>.</v>
      </c>
      <c r="N14" s="172" t="n">
        <f aca="false">IF($D14=0,"",$E14-$D14)</f>
        <v>0.166666666666667</v>
      </c>
      <c r="O14" s="166" t="str">
        <f aca="false">IF($O$1=$G14,$J14,"")</f>
        <v/>
      </c>
      <c r="P14" s="166" t="str">
        <f aca="false">IF($P$1=$G14,$J14,"")</f>
        <v/>
      </c>
      <c r="Q14" s="166" t="str">
        <f aca="false">IF($Q$1=$G14,$J14,"")</f>
        <v/>
      </c>
      <c r="R14" s="166" t="str">
        <f aca="false">IF($R$1=$G14,$J14,"")</f>
        <v/>
      </c>
      <c r="S14" s="166" t="str">
        <f aca="false">IF($S$1=$G14,$J14,"")</f>
        <v/>
      </c>
      <c r="T14" s="173" t="n">
        <f aca="false">IF($T$1=$G14,$J14,"")</f>
        <v>4</v>
      </c>
      <c r="U14" s="166" t="str">
        <f aca="false">IF($U$1=$G14,$J14,"")</f>
        <v/>
      </c>
      <c r="V14" s="167" t="str">
        <f aca="false">IF($V$1=$G14,$J14,"")</f>
        <v/>
      </c>
      <c r="W14" s="168"/>
      <c r="X14" s="174"/>
      <c r="Y14" s="71"/>
      <c r="Z14" s="71"/>
      <c r="AA14" s="71"/>
      <c r="AB14" s="169"/>
      <c r="AC14" s="71"/>
      <c r="AD14" s="71"/>
      <c r="AE14" s="71"/>
      <c r="AF14" s="71"/>
      <c r="AG14" s="71"/>
      <c r="AH14" s="71"/>
      <c r="AI14" s="71"/>
      <c r="AJ14" s="71"/>
      <c r="AK14" s="71"/>
      <c r="AL14" s="71"/>
      <c r="AM14" s="71"/>
      <c r="AN14" s="71"/>
      <c r="AO14" s="71"/>
      <c r="AP14" s="71"/>
      <c r="AQ14" s="71"/>
      <c r="AR14" s="71"/>
      <c r="AS14" s="71"/>
      <c r="AT14" s="71"/>
      <c r="AU14" s="71"/>
      <c r="AV14" s="71"/>
      <c r="AW14" s="71"/>
      <c r="AX14" s="71"/>
      <c r="AY14" s="71"/>
      <c r="AZ14" s="71"/>
      <c r="BA14" s="71"/>
      <c r="BB14" s="71"/>
    </row>
    <row r="15" customFormat="false" ht="15" hidden="false" customHeight="false" outlineLevel="0" collapsed="false">
      <c r="A15" s="154" t="s">
        <v>31</v>
      </c>
      <c r="B15" s="155" t="n">
        <f aca="false">IF(Table67[[#This Row],[Jour]]="1- Lundi",$C$1+1, IF(Table67[[#This Row],[Jour]]="2- Mardi",$C$1+2, IF(Table67[[#This Row],[Jour]]="3- Mercredi",$C$1+3, IF(Table67[[#This Row],[Jour]]="4- Jeudi",$C$1+4, IF(Table67[[#This Row],[Jour]]="5- Vendredi",$C$1+5, IF(Table67[[#This Row],[Jour]]="6- Samedi",$C$1+6, IF(Table67[[#This Row],[Jour]]="7- Dimanche",$C$1, )))))))</f>
        <v>44328</v>
      </c>
      <c r="C15" s="176" t="s">
        <v>319</v>
      </c>
      <c r="D15" s="177" t="n">
        <v>0.354166666666667</v>
      </c>
      <c r="E15" s="177" t="n">
        <v>0.385416666666667</v>
      </c>
      <c r="F15" s="178" t="s">
        <v>75</v>
      </c>
      <c r="G15" s="178" t="s">
        <v>19</v>
      </c>
      <c r="H15" s="179" t="s">
        <v>317</v>
      </c>
      <c r="I15" s="177"/>
      <c r="J15" s="161" t="n">
        <f aca="false">IF($D15=0,"",($N15-INT($N15))*24)</f>
        <v>0.75</v>
      </c>
      <c r="K15" s="162" t="n">
        <f aca="false">SUMIF($C$4:$C$80,$C15,$J$4:$J$80)</f>
        <v>7</v>
      </c>
      <c r="L15" s="163" t="n">
        <f aca="false">IFERROR(SUMIF($C$4:$C$79,$C15,O$4:O$1956) / $K15, "0")</f>
        <v>0.285714285714286</v>
      </c>
      <c r="M15" s="164" t="n">
        <f aca="false">IF(A15="o",$J15,".")</f>
        <v>0.75</v>
      </c>
      <c r="N15" s="172" t="n">
        <f aca="false">IF($D15=0,"",$E15-$D15)</f>
        <v>0.03125</v>
      </c>
      <c r="O15" s="180" t="n">
        <f aca="false">IF($O$1=$G15,$J15,"")</f>
        <v>0.75</v>
      </c>
      <c r="P15" s="180" t="str">
        <f aca="false">IF($P$1=$G15,$J15,"")</f>
        <v/>
      </c>
      <c r="Q15" s="180" t="str">
        <f aca="false">IF($Q$1=$G15,$J15,"")</f>
        <v/>
      </c>
      <c r="R15" s="180" t="str">
        <f aca="false">IF($R$1=$G15,$J15,"")</f>
        <v/>
      </c>
      <c r="S15" s="180" t="str">
        <f aca="false">IF($S$1=$G15,$J15,"")</f>
        <v/>
      </c>
      <c r="T15" s="180" t="str">
        <f aca="false">IF($T$1=$G15,$J15,"")</f>
        <v/>
      </c>
      <c r="U15" s="180" t="str">
        <f aca="false">IF($U$1=$G15,$J15,"")</f>
        <v/>
      </c>
      <c r="V15" s="181" t="str">
        <f aca="false">IF($V$1=$G15,$J15,"")</f>
        <v/>
      </c>
      <c r="W15" s="168"/>
      <c r="X15" s="174"/>
      <c r="Y15" s="71"/>
      <c r="Z15" s="71"/>
      <c r="AA15" s="71"/>
      <c r="AB15" s="169"/>
      <c r="AC15" s="71"/>
      <c r="AD15" s="71"/>
      <c r="AE15" s="71"/>
      <c r="AF15" s="71"/>
      <c r="AG15" s="71"/>
      <c r="AH15" s="71"/>
      <c r="AI15" s="71"/>
      <c r="AJ15" s="71"/>
      <c r="AK15" s="71"/>
      <c r="AL15" s="71"/>
      <c r="AM15" s="71"/>
      <c r="AN15" s="71"/>
      <c r="AO15" s="71"/>
      <c r="AP15" s="71"/>
      <c r="AQ15" s="71"/>
      <c r="AR15" s="71"/>
      <c r="AS15" s="71"/>
      <c r="AT15" s="71"/>
      <c r="AU15" s="71"/>
      <c r="AV15" s="71"/>
      <c r="AW15" s="71"/>
      <c r="AX15" s="71"/>
      <c r="AY15" s="71"/>
      <c r="AZ15" s="71"/>
      <c r="BA15" s="71"/>
      <c r="BB15" s="71"/>
    </row>
    <row r="16" customFormat="false" ht="15" hidden="false" customHeight="false" outlineLevel="0" collapsed="false">
      <c r="A16" s="154" t="s">
        <v>31</v>
      </c>
      <c r="B16" s="155" t="n">
        <f aca="false">IF(Table67[[#This Row],[Jour]]="1- Lundi",$C$1+1, IF(Table67[[#This Row],[Jour]]="2- Mardi",$C$1+2, IF(Table67[[#This Row],[Jour]]="3- Mercredi",$C$1+3, IF(Table67[[#This Row],[Jour]]="4- Jeudi",$C$1+4, IF(Table67[[#This Row],[Jour]]="5- Vendredi",$C$1+5, IF(Table67[[#This Row],[Jour]]="6- Samedi",$C$1+6, IF(Table67[[#This Row],[Jour]]="7- Dimanche",$C$1, )))))))</f>
        <v>44328</v>
      </c>
      <c r="C16" s="176" t="s">
        <v>319</v>
      </c>
      <c r="D16" s="177" t="n">
        <v>0.604166666666667</v>
      </c>
      <c r="E16" s="177" t="n">
        <v>0.625</v>
      </c>
      <c r="F16" s="178" t="s">
        <v>75</v>
      </c>
      <c r="G16" s="178" t="s">
        <v>19</v>
      </c>
      <c r="H16" s="179" t="s">
        <v>321</v>
      </c>
      <c r="I16" s="177"/>
      <c r="J16" s="161" t="n">
        <f aca="false">IF($D16=0,"",($N16-INT($N16))*24)</f>
        <v>0.5</v>
      </c>
      <c r="K16" s="162" t="n">
        <f aca="false">SUMIF($C$4:$C$80,$C16,$J$4:$J$80)</f>
        <v>7</v>
      </c>
      <c r="L16" s="163" t="n">
        <f aca="false">IFERROR(SUMIF($C$4:$C$79,$C16,O$4:O$1956) / $K16, "0")</f>
        <v>0.285714285714286</v>
      </c>
      <c r="M16" s="164" t="n">
        <f aca="false">IF(A16="o",$J16,".")</f>
        <v>0.5</v>
      </c>
      <c r="N16" s="172" t="n">
        <f aca="false">IF($D16=0,"",$E16-$D16)</f>
        <v>0.0208333333333333</v>
      </c>
      <c r="O16" s="180" t="n">
        <f aca="false">IF($O$1=$G16,$J16,"")</f>
        <v>0.500000000000001</v>
      </c>
      <c r="P16" s="180" t="str">
        <f aca="false">IF($P$1=$G16,$J16,"")</f>
        <v/>
      </c>
      <c r="Q16" s="180" t="str">
        <f aca="false">IF($Q$1=$G16,$J16,"")</f>
        <v/>
      </c>
      <c r="R16" s="180" t="str">
        <f aca="false">IF($R$1=$G16,$J16,"")</f>
        <v/>
      </c>
      <c r="S16" s="180" t="str">
        <f aca="false">IF($S$1=$G16,$J16,"")</f>
        <v/>
      </c>
      <c r="T16" s="180" t="str">
        <f aca="false">IF($T$1=$G16,$J16,"")</f>
        <v/>
      </c>
      <c r="U16" s="180" t="str">
        <f aca="false">IF($U$1=$G16,$J16,"")</f>
        <v/>
      </c>
      <c r="V16" s="181" t="str">
        <f aca="false">IF($V$1=$G16,$J16,"")</f>
        <v/>
      </c>
      <c r="W16" s="168"/>
      <c r="X16" s="174"/>
      <c r="Y16" s="71"/>
      <c r="Z16" s="71"/>
      <c r="AA16" s="71"/>
      <c r="AB16" s="169"/>
      <c r="AC16" s="71"/>
      <c r="AD16" s="71"/>
      <c r="AE16" s="71"/>
      <c r="AF16" s="71"/>
      <c r="AG16" s="71"/>
      <c r="AH16" s="71"/>
      <c r="AI16" s="71"/>
      <c r="AJ16" s="71"/>
      <c r="AK16" s="71"/>
      <c r="AL16" s="71"/>
      <c r="AM16" s="71"/>
      <c r="AN16" s="71"/>
      <c r="AO16" s="71"/>
      <c r="AP16" s="71"/>
      <c r="AQ16" s="71"/>
      <c r="AR16" s="71"/>
      <c r="AS16" s="71"/>
      <c r="AT16" s="71"/>
      <c r="AU16" s="71"/>
      <c r="AV16" s="71"/>
      <c r="AW16" s="71"/>
      <c r="AX16" s="71"/>
      <c r="AY16" s="71"/>
      <c r="AZ16" s="71"/>
      <c r="BA16" s="71"/>
      <c r="BB16" s="71"/>
    </row>
    <row r="17" customFormat="false" ht="15" hidden="false" customHeight="false" outlineLevel="0" collapsed="false">
      <c r="A17" s="154" t="s">
        <v>31</v>
      </c>
      <c r="B17" s="155" t="n">
        <f aca="false">IF(Table67[[#This Row],[Jour]]="1- Lundi",$C$1+1, IF(Table67[[#This Row],[Jour]]="2- Mardi",$C$1+2, IF(Table67[[#This Row],[Jour]]="3- Mercredi",$C$1+3, IF(Table67[[#This Row],[Jour]]="4- Jeudi",$C$1+4, IF(Table67[[#This Row],[Jour]]="5- Vendredi",$C$1+5, IF(Table67[[#This Row],[Jour]]="6- Samedi",$C$1+6, IF(Table67[[#This Row],[Jour]]="7- Dimanche",$C$1, )))))))</f>
        <v>44328</v>
      </c>
      <c r="C17" s="156" t="s">
        <v>319</v>
      </c>
      <c r="D17" s="160" t="n">
        <v>0.625</v>
      </c>
      <c r="E17" s="160" t="n">
        <v>0.645833333333333</v>
      </c>
      <c r="F17" s="170" t="s">
        <v>75</v>
      </c>
      <c r="G17" s="170" t="s">
        <v>19</v>
      </c>
      <c r="H17" s="171" t="s">
        <v>322</v>
      </c>
      <c r="I17" s="160"/>
      <c r="J17" s="161" t="n">
        <f aca="false">IF($D17=0,"",($N17-INT($N17))*24)</f>
        <v>0.5</v>
      </c>
      <c r="K17" s="162" t="n">
        <f aca="false">SUMIF($C$4:$C$80,$C17,$J$4:$J$80)</f>
        <v>7</v>
      </c>
      <c r="L17" s="163" t="n">
        <f aca="false">IFERROR(SUMIF($C$4:$C$79,$C17,O$4:O$1956) / $K17, "0")</f>
        <v>0.285714285714286</v>
      </c>
      <c r="M17" s="164" t="n">
        <f aca="false">IF(A17="o",$J17,".")</f>
        <v>0.5</v>
      </c>
      <c r="N17" s="172" t="n">
        <f aca="false">IF($D17=0,"",$E17-$D17)</f>
        <v>0.0208333333333333</v>
      </c>
      <c r="O17" s="173" t="n">
        <f aca="false">IF($O$1=$G17,$J17,"")</f>
        <v>0.5</v>
      </c>
      <c r="P17" s="166" t="str">
        <f aca="false">IF($P$1=$G17,$J17,"")</f>
        <v/>
      </c>
      <c r="Q17" s="166" t="str">
        <f aca="false">IF($Q$1=$G17,$J17,"")</f>
        <v/>
      </c>
      <c r="R17" s="166" t="str">
        <f aca="false">IF($R$1=$G17,$J17,"")</f>
        <v/>
      </c>
      <c r="S17" s="166" t="str">
        <f aca="false">IF($S$1=$G17,$J17,"")</f>
        <v/>
      </c>
      <c r="T17" s="166" t="str">
        <f aca="false">IF($T$1=$G17,$J17,"")</f>
        <v/>
      </c>
      <c r="U17" s="166" t="str">
        <f aca="false">IF($U$1=$G17,$J17,"")</f>
        <v/>
      </c>
      <c r="V17" s="167" t="str">
        <f aca="false">IF($V$1=$G17,$J17,"")</f>
        <v/>
      </c>
      <c r="W17" s="168"/>
      <c r="X17" s="174"/>
      <c r="Y17" s="71"/>
      <c r="Z17" s="71"/>
      <c r="AA17" s="71"/>
      <c r="AB17" s="169"/>
      <c r="AC17" s="71"/>
      <c r="AD17" s="71"/>
      <c r="AE17" s="71"/>
      <c r="AF17" s="71"/>
      <c r="AG17" s="71"/>
      <c r="AH17" s="71"/>
      <c r="AI17" s="71"/>
      <c r="AJ17" s="71"/>
      <c r="AK17" s="71"/>
      <c r="AL17" s="71"/>
      <c r="AM17" s="71"/>
      <c r="AN17" s="71"/>
      <c r="AO17" s="71"/>
      <c r="AP17" s="71"/>
      <c r="AQ17" s="71"/>
      <c r="AR17" s="71"/>
      <c r="AS17" s="71"/>
      <c r="AT17" s="71"/>
      <c r="AU17" s="71"/>
      <c r="AV17" s="71"/>
      <c r="AW17" s="71"/>
      <c r="AX17" s="71"/>
      <c r="AY17" s="71"/>
      <c r="AZ17" s="71"/>
      <c r="BA17" s="71"/>
      <c r="BB17" s="71"/>
    </row>
    <row r="18" customFormat="false" ht="15" hidden="false" customHeight="false" outlineLevel="0" collapsed="false">
      <c r="A18" s="154" t="s">
        <v>31</v>
      </c>
      <c r="B18" s="155" t="n">
        <f aca="false">IF(Table67[[#This Row],[Jour]]="1- Lundi",$C$1+1, IF(Table67[[#This Row],[Jour]]="2- Mardi",$C$1+2, IF(Table67[[#This Row],[Jour]]="3- Mercredi",$C$1+3, IF(Table67[[#This Row],[Jour]]="4- Jeudi",$C$1+4, IF(Table67[[#This Row],[Jour]]="5- Vendredi",$C$1+5, IF(Table67[[#This Row],[Jour]]="6- Samedi",$C$1+6, IF(Table67[[#This Row],[Jour]]="7- Dimanche",$C$1, )))))))</f>
        <v>44328</v>
      </c>
      <c r="C18" s="176" t="s">
        <v>319</v>
      </c>
      <c r="D18" s="177" t="n">
        <v>0.666666666666667</v>
      </c>
      <c r="E18" s="177" t="n">
        <v>0.677083333333333</v>
      </c>
      <c r="F18" s="170" t="s">
        <v>75</v>
      </c>
      <c r="G18" s="170" t="s">
        <v>19</v>
      </c>
      <c r="H18" s="179" t="s">
        <v>321</v>
      </c>
      <c r="I18" s="177"/>
      <c r="J18" s="161" t="n">
        <f aca="false">IF($D18=0,"",($N18-INT($N18))*24)</f>
        <v>0.25</v>
      </c>
      <c r="K18" s="162" t="n">
        <f aca="false">SUMIF($C$4:$C$80,$C18,$J$4:$J$80)</f>
        <v>7</v>
      </c>
      <c r="L18" s="163" t="n">
        <f aca="false">IFERROR(SUMIF($C$4:$C$79,$C18,O$4:O$1956) / $K18, "0")</f>
        <v>0.285714285714286</v>
      </c>
      <c r="M18" s="164" t="n">
        <f aca="false">IF(A18="o",$J18,".")</f>
        <v>0.25</v>
      </c>
      <c r="N18" s="172" t="n">
        <f aca="false">IF($D18=0,"",$E18-$D18)</f>
        <v>0.0104166666666667</v>
      </c>
      <c r="O18" s="180" t="n">
        <f aca="false">IF($O$1=$G18,$J18,"")</f>
        <v>0.250000000000002</v>
      </c>
      <c r="P18" s="180" t="str">
        <f aca="false">IF($P$1=$G18,$J18,"")</f>
        <v/>
      </c>
      <c r="Q18" s="180" t="str">
        <f aca="false">IF($Q$1=$G18,$J18,"")</f>
        <v/>
      </c>
      <c r="R18" s="180" t="str">
        <f aca="false">IF($R$1=$G18,$J18,"")</f>
        <v/>
      </c>
      <c r="S18" s="180" t="str">
        <f aca="false">IF($S$1=$G18,$J18,"")</f>
        <v/>
      </c>
      <c r="T18" s="180" t="str">
        <f aca="false">IF($T$1=$G18,$J18,"")</f>
        <v/>
      </c>
      <c r="U18" s="180" t="str">
        <f aca="false">IF($U$1=$G18,$J18,"")</f>
        <v/>
      </c>
      <c r="V18" s="181" t="str">
        <f aca="false">IF($V$1=$G18,$J18,"")</f>
        <v/>
      </c>
      <c r="W18" s="168"/>
      <c r="X18" s="174"/>
      <c r="Y18" s="71"/>
      <c r="Z18" s="71"/>
      <c r="AA18" s="71"/>
      <c r="AB18" s="169"/>
      <c r="AC18" s="71"/>
      <c r="AD18" s="71"/>
      <c r="AE18" s="71"/>
      <c r="AF18" s="71"/>
      <c r="AG18" s="71"/>
      <c r="AH18" s="71"/>
      <c r="AI18" s="71"/>
      <c r="AJ18" s="71"/>
      <c r="AK18" s="71"/>
      <c r="AL18" s="71"/>
      <c r="AM18" s="71"/>
      <c r="AN18" s="71"/>
      <c r="AO18" s="71"/>
      <c r="AP18" s="71"/>
      <c r="AQ18" s="71"/>
      <c r="AR18" s="71"/>
      <c r="AS18" s="71"/>
      <c r="AT18" s="71"/>
      <c r="AU18" s="71"/>
      <c r="AV18" s="71"/>
      <c r="AW18" s="71"/>
      <c r="AX18" s="71"/>
      <c r="AY18" s="71"/>
      <c r="AZ18" s="71"/>
      <c r="BA18" s="71"/>
      <c r="BB18" s="71"/>
    </row>
    <row r="19" customFormat="false" ht="15" hidden="false" customHeight="false" outlineLevel="0" collapsed="false">
      <c r="A19" s="154" t="s">
        <v>31</v>
      </c>
      <c r="B19" s="155" t="n">
        <f aca="false">IF(Table67[[#This Row],[Jour]]="1- Lundi",$C$1+1, IF(Table67[[#This Row],[Jour]]="2- Mardi",$C$1+2, IF(Table67[[#This Row],[Jour]]="3- Mercredi",$C$1+3, IF(Table67[[#This Row],[Jour]]="4- Jeudi",$C$1+4, IF(Table67[[#This Row],[Jour]]="5- Vendredi",$C$1+5, IF(Table67[[#This Row],[Jour]]="6- Samedi",$C$1+6, IF(Table67[[#This Row],[Jour]]="7- Dimanche",$C$1, )))))))</f>
        <v>44328</v>
      </c>
      <c r="C19" s="176" t="s">
        <v>319</v>
      </c>
      <c r="D19" s="177" t="n">
        <v>0.677083333333333</v>
      </c>
      <c r="E19" s="177" t="n">
        <v>0.71875</v>
      </c>
      <c r="F19" s="178" t="s">
        <v>32</v>
      </c>
      <c r="G19" s="178" t="s">
        <v>22</v>
      </c>
      <c r="H19" s="179" t="s">
        <v>323</v>
      </c>
      <c r="I19" s="177"/>
      <c r="J19" s="161" t="n">
        <f aca="false">IF($D19=0,"",($N19-INT($N19))*24)</f>
        <v>1</v>
      </c>
      <c r="K19" s="162" t="n">
        <f aca="false">SUMIF($C$4:$C$80,$C19,$J$4:$J$80)</f>
        <v>7</v>
      </c>
      <c r="L19" s="163" t="n">
        <f aca="false">IFERROR(SUMIF($C$4:$C$79,$C19,O$4:O$1956) / $K19, "0")</f>
        <v>0.285714285714286</v>
      </c>
      <c r="M19" s="164" t="n">
        <f aca="false">IF(A19="o",$J19,".")</f>
        <v>1</v>
      </c>
      <c r="N19" s="172" t="n">
        <f aca="false">IF($D19=0,"",$E19-$D19)</f>
        <v>0.0416666666666667</v>
      </c>
      <c r="O19" s="180" t="str">
        <f aca="false">IF($O$1=$G19,$J19,"")</f>
        <v/>
      </c>
      <c r="P19" s="180" t="str">
        <f aca="false">IF($P$1=$G19,$J19,"")</f>
        <v/>
      </c>
      <c r="Q19" s="180" t="str">
        <f aca="false">IF($Q$1=$G19,$J19,"")</f>
        <v/>
      </c>
      <c r="R19" s="180" t="n">
        <f aca="false">IF($R$1=$G19,$J19,"")</f>
        <v>0.999999999999999</v>
      </c>
      <c r="S19" s="180" t="str">
        <f aca="false">IF($S$1=$G19,$J19,"")</f>
        <v/>
      </c>
      <c r="T19" s="180" t="str">
        <f aca="false">IF($T$1=$G19,$J19,"")</f>
        <v/>
      </c>
      <c r="U19" s="180" t="str">
        <f aca="false">IF($U$1=$G19,$J19,"")</f>
        <v/>
      </c>
      <c r="V19" s="181" t="str">
        <f aca="false">IF($V$1=$G19,$J19,"")</f>
        <v/>
      </c>
      <c r="W19" s="168"/>
      <c r="X19" s="174"/>
      <c r="Y19" s="71"/>
      <c r="Z19" s="71"/>
      <c r="AA19" s="71"/>
      <c r="AB19" s="169"/>
      <c r="AC19" s="71"/>
      <c r="AD19" s="71"/>
      <c r="AE19" s="71"/>
      <c r="AF19" s="71"/>
      <c r="AG19" s="71"/>
      <c r="AH19" s="71"/>
      <c r="AI19" s="71"/>
      <c r="AJ19" s="71"/>
      <c r="AK19" s="71"/>
      <c r="AL19" s="71"/>
      <c r="AM19" s="71"/>
      <c r="AN19" s="71"/>
      <c r="AO19" s="71"/>
      <c r="AP19" s="71"/>
      <c r="AQ19" s="71"/>
      <c r="AR19" s="71"/>
      <c r="AS19" s="71"/>
      <c r="AT19" s="71"/>
      <c r="AU19" s="71"/>
      <c r="AV19" s="71"/>
      <c r="AW19" s="71"/>
      <c r="AX19" s="71"/>
      <c r="AY19" s="71"/>
      <c r="AZ19" s="71"/>
      <c r="BA19" s="71"/>
      <c r="BB19" s="71"/>
    </row>
    <row r="20" customFormat="false" ht="15" hidden="false" customHeight="false" outlineLevel="0" collapsed="false">
      <c r="A20" s="154" t="s">
        <v>31</v>
      </c>
      <c r="B20" s="155" t="n">
        <f aca="false">IF(Table67[[#This Row],[Jour]]="1- Lundi",$C$1+1, IF(Table67[[#This Row],[Jour]]="2- Mardi",$C$1+2, IF(Table67[[#This Row],[Jour]]="3- Mercredi",$C$1+3, IF(Table67[[#This Row],[Jour]]="4- Jeudi",$C$1+4, IF(Table67[[#This Row],[Jour]]="5- Vendredi",$C$1+5, IF(Table67[[#This Row],[Jour]]="6- Samedi",$C$1+6, IF(Table67[[#This Row],[Jour]]="7- Dimanche",$C$1, )))))))</f>
        <v>44329</v>
      </c>
      <c r="C20" s="176" t="s">
        <v>324</v>
      </c>
      <c r="D20" s="177" t="n">
        <v>0.333333333333333</v>
      </c>
      <c r="E20" s="177" t="n">
        <v>0.375</v>
      </c>
      <c r="F20" s="178" t="s">
        <v>59</v>
      </c>
      <c r="G20" s="178" t="s">
        <v>19</v>
      </c>
      <c r="H20" s="179" t="s">
        <v>325</v>
      </c>
      <c r="I20" s="177"/>
      <c r="J20" s="161" t="n">
        <f aca="false">IF($D20=0,"",($N20-INT($N20))*24)</f>
        <v>1</v>
      </c>
      <c r="K20" s="162" t="n">
        <f aca="false">SUMIF($C$4:$C$80,$C20,$J$4:$J$80)</f>
        <v>8</v>
      </c>
      <c r="L20" s="163" t="n">
        <f aca="false">IFERROR(SUMIF($C$4:$C$79,$C20,O$4:O$1956) / $K20, "0")</f>
        <v>0.6875</v>
      </c>
      <c r="M20" s="164" t="n">
        <f aca="false">IF(A20="o",$J20,".")</f>
        <v>1</v>
      </c>
      <c r="N20" s="172" t="n">
        <f aca="false">IF($D20=0,"",$E20-$D20)</f>
        <v>0.0416666666666667</v>
      </c>
      <c r="O20" s="180" t="n">
        <f aca="false">IF($O$1=$G20,$J20,"")</f>
        <v>1</v>
      </c>
      <c r="P20" s="180" t="str">
        <f aca="false">IF($P$1=$G20,$J20,"")</f>
        <v/>
      </c>
      <c r="Q20" s="180" t="str">
        <f aca="false">IF($Q$1=$G20,$J20,"")</f>
        <v/>
      </c>
      <c r="R20" s="180" t="str">
        <f aca="false">IF($R$1=$G20,$J20,"")</f>
        <v/>
      </c>
      <c r="S20" s="180" t="str">
        <f aca="false">IF($S$1=$G20,$J20,"")</f>
        <v/>
      </c>
      <c r="T20" s="180" t="str">
        <f aca="false">IF($T$1=$G20,$J20,"")</f>
        <v/>
      </c>
      <c r="U20" s="180" t="str">
        <f aca="false">IF($U$1=$G20,$J20,"")</f>
        <v/>
      </c>
      <c r="V20" s="181" t="str">
        <f aca="false">IF($V$1=$G20,$J20,"")</f>
        <v/>
      </c>
      <c r="W20" s="168"/>
      <c r="X20" s="174"/>
      <c r="Y20" s="71"/>
      <c r="Z20" s="71"/>
      <c r="AA20" s="71"/>
      <c r="AB20" s="169"/>
      <c r="AC20" s="71"/>
      <c r="AD20" s="71"/>
      <c r="AE20" s="71"/>
      <c r="AF20" s="71"/>
      <c r="AG20" s="71"/>
      <c r="AH20" s="71"/>
      <c r="AI20" s="71"/>
      <c r="AJ20" s="71"/>
      <c r="AK20" s="71"/>
      <c r="AL20" s="71"/>
      <c r="AM20" s="71"/>
      <c r="AN20" s="71"/>
      <c r="AO20" s="71"/>
      <c r="AP20" s="71"/>
      <c r="AQ20" s="71"/>
      <c r="AR20" s="71"/>
      <c r="AS20" s="71"/>
      <c r="AT20" s="71"/>
      <c r="AU20" s="71"/>
      <c r="AV20" s="71"/>
      <c r="AW20" s="71"/>
      <c r="AX20" s="71"/>
      <c r="AY20" s="71"/>
      <c r="AZ20" s="71"/>
      <c r="BA20" s="71"/>
      <c r="BB20" s="71"/>
    </row>
    <row r="21" customFormat="false" ht="15" hidden="false" customHeight="false" outlineLevel="0" collapsed="false">
      <c r="A21" s="154" t="s">
        <v>31</v>
      </c>
      <c r="B21" s="155" t="n">
        <f aca="false">IF(Table67[[#This Row],[Jour]]="1- Lundi",$C$1+1, IF(Table67[[#This Row],[Jour]]="2- Mardi",$C$1+2, IF(Table67[[#This Row],[Jour]]="3- Mercredi",$C$1+3, IF(Table67[[#This Row],[Jour]]="4- Jeudi",$C$1+4, IF(Table67[[#This Row],[Jour]]="5- Vendredi",$C$1+5, IF(Table67[[#This Row],[Jour]]="6- Samedi",$C$1+6, IF(Table67[[#This Row],[Jour]]="7- Dimanche",$C$1, )))))))</f>
        <v>44329</v>
      </c>
      <c r="C21" s="176" t="s">
        <v>324</v>
      </c>
      <c r="D21" s="177" t="n">
        <v>0.375</v>
      </c>
      <c r="E21" s="177" t="n">
        <v>0.416666666666667</v>
      </c>
      <c r="F21" s="178" t="s">
        <v>32</v>
      </c>
      <c r="G21" s="178" t="s">
        <v>20</v>
      </c>
      <c r="H21" s="179" t="s">
        <v>326</v>
      </c>
      <c r="I21" s="177"/>
      <c r="J21" s="161" t="n">
        <f aca="false">IF($D21=0,"",($N21-INT($N21))*24)</f>
        <v>1</v>
      </c>
      <c r="K21" s="162" t="n">
        <f aca="false">SUMIF($C$4:$C$80,$C21,$J$4:$J$80)</f>
        <v>8</v>
      </c>
      <c r="L21" s="163" t="n">
        <f aca="false">IFERROR(SUMIF($C$4:$C$79,$C21,O$4:O$1956) / $K21, "0")</f>
        <v>0.6875</v>
      </c>
      <c r="M21" s="164" t="n">
        <f aca="false">IF(A21="o",$J21,".")</f>
        <v>1</v>
      </c>
      <c r="N21" s="172" t="n">
        <f aca="false">IF($D21=0,"",$E21-$D21)</f>
        <v>0.0416666666666667</v>
      </c>
      <c r="O21" s="180" t="str">
        <f aca="false">IF($O$1=$G21,$J21,"")</f>
        <v/>
      </c>
      <c r="P21" s="180" t="n">
        <f aca="false">IF($P$1=$G21,$J21,"")</f>
        <v>1</v>
      </c>
      <c r="Q21" s="180" t="str">
        <f aca="false">IF($Q$1=$G21,$J21,"")</f>
        <v/>
      </c>
      <c r="R21" s="180" t="str">
        <f aca="false">IF($R$1=$G21,$J21,"")</f>
        <v/>
      </c>
      <c r="S21" s="180" t="str">
        <f aca="false">IF($S$1=$G21,$J21,"")</f>
        <v/>
      </c>
      <c r="T21" s="180" t="str">
        <f aca="false">IF($T$1=$G21,$J21,"")</f>
        <v/>
      </c>
      <c r="U21" s="180" t="str">
        <f aca="false">IF($U$1=$G21,$J21,"")</f>
        <v/>
      </c>
      <c r="V21" s="181" t="str">
        <f aca="false">IF($V$1=$G21,$J21,"")</f>
        <v/>
      </c>
      <c r="W21" s="168"/>
      <c r="X21" s="174"/>
      <c r="Y21" s="71"/>
      <c r="Z21" s="71"/>
      <c r="AA21" s="71"/>
      <c r="AB21" s="169"/>
      <c r="AC21" s="71"/>
      <c r="AD21" s="71"/>
      <c r="AE21" s="71"/>
      <c r="AF21" s="71"/>
      <c r="AG21" s="71"/>
      <c r="AH21" s="71"/>
      <c r="AI21" s="71"/>
      <c r="AJ21" s="71"/>
      <c r="AK21" s="71"/>
      <c r="AL21" s="71"/>
      <c r="AM21" s="71"/>
      <c r="AN21" s="71"/>
      <c r="AO21" s="71"/>
      <c r="AP21" s="71"/>
      <c r="AQ21" s="71"/>
      <c r="AR21" s="71"/>
      <c r="AS21" s="71"/>
      <c r="AT21" s="71"/>
      <c r="AU21" s="71"/>
      <c r="AV21" s="71"/>
      <c r="AW21" s="71"/>
      <c r="AX21" s="71"/>
      <c r="AY21" s="71"/>
      <c r="AZ21" s="71"/>
      <c r="BA21" s="71"/>
      <c r="BB21" s="71"/>
    </row>
    <row r="22" customFormat="false" ht="15" hidden="false" customHeight="false" outlineLevel="0" collapsed="false">
      <c r="A22" s="154" t="s">
        <v>31</v>
      </c>
      <c r="B22" s="155" t="n">
        <f aca="false">IF(Table67[[#This Row],[Jour]]="1- Lundi",$C$1+1, IF(Table67[[#This Row],[Jour]]="2- Mardi",$C$1+2, IF(Table67[[#This Row],[Jour]]="3- Mercredi",$C$1+3, IF(Table67[[#This Row],[Jour]]="4- Jeudi",$C$1+4, IF(Table67[[#This Row],[Jour]]="5- Vendredi",$C$1+5, IF(Table67[[#This Row],[Jour]]="6- Samedi",$C$1+6, IF(Table67[[#This Row],[Jour]]="7- Dimanche",$C$1, )))))))</f>
        <v>44329</v>
      </c>
      <c r="C22" s="156" t="s">
        <v>324</v>
      </c>
      <c r="D22" s="160" t="n">
        <v>0.416666666666667</v>
      </c>
      <c r="E22" s="160" t="n">
        <v>0.4375</v>
      </c>
      <c r="F22" s="178" t="s">
        <v>63</v>
      </c>
      <c r="G22" s="178" t="s">
        <v>19</v>
      </c>
      <c r="H22" s="171" t="s">
        <v>327</v>
      </c>
      <c r="I22" s="160"/>
      <c r="J22" s="161" t="n">
        <f aca="false">IF($D22=0,"",($N22-INT($N22))*24)</f>
        <v>0.5</v>
      </c>
      <c r="K22" s="162" t="n">
        <f aca="false">SUMIF($C$4:$C$80,$C22,$J$4:$J$80)</f>
        <v>8</v>
      </c>
      <c r="L22" s="163" t="n">
        <f aca="false">IFERROR(SUMIF($C$4:$C$79,$C22,O$4:O$1956) / $K22, "0")</f>
        <v>0.6875</v>
      </c>
      <c r="M22" s="164" t="n">
        <f aca="false">IF(A22="o",$J22,".")</f>
        <v>0.5</v>
      </c>
      <c r="N22" s="172" t="n">
        <f aca="false">IF($D22=0,"",$E22-$D22)</f>
        <v>0.0208333333333333</v>
      </c>
      <c r="O22" s="173" t="n">
        <f aca="false">IF($O$1=$G22,$J22,"")</f>
        <v>0.5</v>
      </c>
      <c r="P22" s="166" t="str">
        <f aca="false">IF($P$1=$G22,$J22,"")</f>
        <v/>
      </c>
      <c r="Q22" s="166" t="str">
        <f aca="false">IF($Q$1=$G22,$J22,"")</f>
        <v/>
      </c>
      <c r="R22" s="166" t="str">
        <f aca="false">IF($R$1=$G22,$J22,"")</f>
        <v/>
      </c>
      <c r="S22" s="166" t="str">
        <f aca="false">IF($S$1=$G22,$J22,"")</f>
        <v/>
      </c>
      <c r="T22" s="166" t="str">
        <f aca="false">IF($T$1=$G22,$J22,"")</f>
        <v/>
      </c>
      <c r="U22" s="166" t="str">
        <f aca="false">IF($U$1=$G22,$J22,"")</f>
        <v/>
      </c>
      <c r="V22" s="167" t="str">
        <f aca="false">IF($V$1=$G22,$J22,"")</f>
        <v/>
      </c>
      <c r="W22" s="168"/>
      <c r="X22" s="174"/>
      <c r="Y22" s="71"/>
      <c r="Z22" s="71"/>
      <c r="AA22" s="71"/>
      <c r="AB22" s="169"/>
      <c r="AC22" s="71"/>
      <c r="AD22" s="71"/>
      <c r="AE22" s="71"/>
      <c r="AF22" s="71"/>
      <c r="AG22" s="71"/>
      <c r="AH22" s="71"/>
      <c r="AI22" s="71"/>
      <c r="AJ22" s="71"/>
      <c r="AK22" s="71"/>
      <c r="AL22" s="71"/>
      <c r="AM22" s="71"/>
      <c r="AN22" s="71"/>
      <c r="AO22" s="71"/>
      <c r="AP22" s="71"/>
      <c r="AQ22" s="71"/>
      <c r="AR22" s="71"/>
      <c r="AS22" s="71"/>
      <c r="AT22" s="71"/>
      <c r="AU22" s="71"/>
      <c r="AV22" s="71"/>
      <c r="AW22" s="71"/>
      <c r="AX22" s="71"/>
      <c r="AY22" s="71"/>
      <c r="AZ22" s="71"/>
      <c r="BA22" s="71"/>
      <c r="BB22" s="71"/>
    </row>
    <row r="23" customFormat="false" ht="15" hidden="false" customHeight="false" outlineLevel="0" collapsed="false">
      <c r="A23" s="154" t="s">
        <v>31</v>
      </c>
      <c r="B23" s="155" t="n">
        <f aca="false">IF(Table67[[#This Row],[Jour]]="1- Lundi",$C$1+1, IF(Table67[[#This Row],[Jour]]="2- Mardi",$C$1+2, IF(Table67[[#This Row],[Jour]]="3- Mercredi",$C$1+3, IF(Table67[[#This Row],[Jour]]="4- Jeudi",$C$1+4, IF(Table67[[#This Row],[Jour]]="5- Vendredi",$C$1+5, IF(Table67[[#This Row],[Jour]]="6- Samedi",$C$1+6, IF(Table67[[#This Row],[Jour]]="7- Dimanche",$C$1, )))))))</f>
        <v>44329</v>
      </c>
      <c r="C23" s="156" t="s">
        <v>324</v>
      </c>
      <c r="D23" s="177" t="n">
        <v>0.447916666666667</v>
      </c>
      <c r="E23" s="177" t="n">
        <v>0.510416666666667</v>
      </c>
      <c r="F23" s="170" t="s">
        <v>75</v>
      </c>
      <c r="G23" s="170" t="s">
        <v>19</v>
      </c>
      <c r="H23" s="179" t="s">
        <v>328</v>
      </c>
      <c r="I23" s="177"/>
      <c r="J23" s="161" t="n">
        <f aca="false">IF($D23=0,"",($N23-INT($N23))*24)</f>
        <v>1.5</v>
      </c>
      <c r="K23" s="162" t="n">
        <f aca="false">SUMIF($C$4:$C$80,$C23,$J$4:$J$80)</f>
        <v>8</v>
      </c>
      <c r="L23" s="163" t="n">
        <f aca="false">IFERROR(SUMIF($C$4:$C$79,$C23,O$4:O$1956) / $K23, "0")</f>
        <v>0.6875</v>
      </c>
      <c r="M23" s="182" t="n">
        <f aca="false">IF(A23="o",$J23,".")</f>
        <v>1.5</v>
      </c>
      <c r="N23" s="172" t="n">
        <f aca="false">IF($D23=0,"",$E23-$D23)</f>
        <v>0.0625</v>
      </c>
      <c r="O23" s="183" t="n">
        <f aca="false">IF($O$1=$G23,$J23,"")</f>
        <v>1.5</v>
      </c>
      <c r="P23" s="180" t="str">
        <f aca="false">IF($P$1=$G23,$J23,"")</f>
        <v/>
      </c>
      <c r="Q23" s="180" t="str">
        <f aca="false">IF($Q$1=$G23,$J23,"")</f>
        <v/>
      </c>
      <c r="R23" s="180" t="str">
        <f aca="false">IF($R$1=$G23,$J23,"")</f>
        <v/>
      </c>
      <c r="S23" s="180" t="str">
        <f aca="false">IF($S$1=$G23,$J23,"")</f>
        <v/>
      </c>
      <c r="T23" s="180" t="str">
        <f aca="false">IF($T$1=$G23,$J23,"")</f>
        <v/>
      </c>
      <c r="U23" s="180" t="str">
        <f aca="false">IF($U$1=$G23,$J23,"")</f>
        <v/>
      </c>
      <c r="V23" s="181" t="str">
        <f aca="false">IF($V$1=$G23,$J23,"")</f>
        <v/>
      </c>
      <c r="W23" s="168"/>
      <c r="X23" s="174"/>
      <c r="Y23" s="71"/>
      <c r="Z23" s="71"/>
      <c r="AA23" s="71"/>
      <c r="AB23" s="169"/>
      <c r="AC23" s="71"/>
      <c r="AD23" s="71"/>
      <c r="AE23" s="71"/>
      <c r="AF23" s="71"/>
      <c r="AG23" s="71"/>
      <c r="AH23" s="71"/>
      <c r="AI23" s="71"/>
      <c r="AJ23" s="71"/>
      <c r="AK23" s="71"/>
      <c r="AL23" s="71"/>
      <c r="AM23" s="71"/>
      <c r="AN23" s="71"/>
      <c r="AO23" s="71"/>
      <c r="AP23" s="71"/>
      <c r="AQ23" s="71"/>
      <c r="AR23" s="71"/>
      <c r="AS23" s="71"/>
      <c r="AT23" s="71"/>
      <c r="AU23" s="71"/>
      <c r="AV23" s="71"/>
      <c r="AW23" s="71"/>
      <c r="AX23" s="71"/>
      <c r="AY23" s="71"/>
      <c r="AZ23" s="71"/>
      <c r="BA23" s="71"/>
      <c r="BB23" s="71"/>
    </row>
    <row r="24" customFormat="false" ht="15" hidden="false" customHeight="false" outlineLevel="0" collapsed="false">
      <c r="A24" s="154" t="s">
        <v>31</v>
      </c>
      <c r="B24" s="155" t="n">
        <f aca="false">IF(Table67[[#This Row],[Jour]]="1- Lundi",$C$1+1, IF(Table67[[#This Row],[Jour]]="2- Mardi",$C$1+2, IF(Table67[[#This Row],[Jour]]="3- Mercredi",$C$1+3, IF(Table67[[#This Row],[Jour]]="4- Jeudi",$C$1+4, IF(Table67[[#This Row],[Jour]]="5- Vendredi",$C$1+5, IF(Table67[[#This Row],[Jour]]="6- Samedi",$C$1+6, IF(Table67[[#This Row],[Jour]]="7- Dimanche",$C$1, )))))))</f>
        <v>44329</v>
      </c>
      <c r="C24" s="156" t="s">
        <v>324</v>
      </c>
      <c r="D24" s="177" t="n">
        <v>0.541666666666667</v>
      </c>
      <c r="E24" s="177" t="n">
        <v>0.5625</v>
      </c>
      <c r="F24" s="178" t="s">
        <v>75</v>
      </c>
      <c r="G24" s="178" t="s">
        <v>22</v>
      </c>
      <c r="H24" s="179" t="s">
        <v>329</v>
      </c>
      <c r="I24" s="177"/>
      <c r="J24" s="161" t="n">
        <f aca="false">IF($D24=0,"",($N24-INT($N24))*24)</f>
        <v>0.5</v>
      </c>
      <c r="K24" s="162" t="n">
        <f aca="false">SUMIF($C$4:$C$80,$C24,$J$4:$J$80)</f>
        <v>8</v>
      </c>
      <c r="L24" s="163" t="n">
        <f aca="false">IFERROR(SUMIF($C$4:$C$79,$C24,O$4:O$1956) / $K24, "0")</f>
        <v>0.6875</v>
      </c>
      <c r="M24" s="182" t="n">
        <f aca="false">IF(A24="o",$J24,".")</f>
        <v>0.500000000000001</v>
      </c>
      <c r="N24" s="172" t="n">
        <f aca="false">IF($D24=0,"",$E24-$D24)</f>
        <v>0.0208333333333333</v>
      </c>
      <c r="O24" s="180" t="str">
        <f aca="false">IF($O$1=$G24,$J24,"")</f>
        <v/>
      </c>
      <c r="P24" s="180" t="str">
        <f aca="false">IF($P$1=$G24,$J24,"")</f>
        <v/>
      </c>
      <c r="Q24" s="180" t="str">
        <f aca="false">IF($Q$1=$G24,$J24,"")</f>
        <v/>
      </c>
      <c r="R24" s="183" t="n">
        <f aca="false">IF($R$1=$G24,$J24,"")</f>
        <v>0.5</v>
      </c>
      <c r="S24" s="180" t="str">
        <f aca="false">IF($S$1=$G24,$J24,"")</f>
        <v/>
      </c>
      <c r="T24" s="180" t="str">
        <f aca="false">IF($T$1=$G24,$J24,"")</f>
        <v/>
      </c>
      <c r="U24" s="180" t="str">
        <f aca="false">IF($U$1=$G24,$J24,"")</f>
        <v/>
      </c>
      <c r="V24" s="181" t="str">
        <f aca="false">IF($V$1=$G24,$J24,"")</f>
        <v/>
      </c>
      <c r="W24" s="168"/>
      <c r="X24" s="174"/>
      <c r="Y24" s="71"/>
      <c r="Z24" s="71"/>
      <c r="AA24" s="71"/>
      <c r="AB24" s="169"/>
      <c r="AC24" s="71"/>
      <c r="AD24" s="71"/>
      <c r="AE24" s="71"/>
      <c r="AF24" s="71"/>
      <c r="AG24" s="71"/>
      <c r="AH24" s="71"/>
      <c r="AI24" s="71"/>
      <c r="AJ24" s="71"/>
      <c r="AK24" s="71"/>
      <c r="AL24" s="71"/>
      <c r="AM24" s="71"/>
      <c r="AN24" s="71"/>
      <c r="AO24" s="71"/>
      <c r="AP24" s="71"/>
      <c r="AQ24" s="71"/>
      <c r="AR24" s="71"/>
      <c r="AS24" s="71"/>
      <c r="AT24" s="71"/>
      <c r="AU24" s="71"/>
      <c r="AV24" s="71"/>
      <c r="AW24" s="71"/>
      <c r="AX24" s="71"/>
      <c r="AY24" s="71"/>
      <c r="AZ24" s="71"/>
      <c r="BA24" s="71"/>
      <c r="BB24" s="71"/>
    </row>
    <row r="25" customFormat="false" ht="15" hidden="false" customHeight="false" outlineLevel="0" collapsed="false">
      <c r="A25" s="154" t="s">
        <v>31</v>
      </c>
      <c r="B25" s="155" t="n">
        <f aca="false">IF(Table67[[#This Row],[Jour]]="1- Lundi",$C$1+1, IF(Table67[[#This Row],[Jour]]="2- Mardi",$C$1+2, IF(Table67[[#This Row],[Jour]]="3- Mercredi",$C$1+3, IF(Table67[[#This Row],[Jour]]="4- Jeudi",$C$1+4, IF(Table67[[#This Row],[Jour]]="5- Vendredi",$C$1+5, IF(Table67[[#This Row],[Jour]]="6- Samedi",$C$1+6, IF(Table67[[#This Row],[Jour]]="7- Dimanche",$C$1, )))))))</f>
        <v>44329</v>
      </c>
      <c r="C25" s="176" t="s">
        <v>324</v>
      </c>
      <c r="D25" s="177" t="n">
        <v>0.625</v>
      </c>
      <c r="E25" s="177" t="n">
        <v>0.729166666666667</v>
      </c>
      <c r="F25" s="178" t="s">
        <v>75</v>
      </c>
      <c r="G25" s="178" t="s">
        <v>19</v>
      </c>
      <c r="H25" s="179" t="s">
        <v>330</v>
      </c>
      <c r="I25" s="177"/>
      <c r="J25" s="161" t="n">
        <f aca="false">IF($D25=0,"",($N25-INT($N25))*24)</f>
        <v>2.5</v>
      </c>
      <c r="K25" s="162" t="n">
        <f aca="false">SUMIF($C$4:$C$80,$C25,$J$4:$J$80)</f>
        <v>8</v>
      </c>
      <c r="L25" s="163" t="n">
        <f aca="false">IFERROR(SUMIF($C$4:$C$79,$C25,O$4:O$1956) / $K25, "0")</f>
        <v>0.6875</v>
      </c>
      <c r="M25" s="182" t="n">
        <f aca="false">IF(A25="o",$J25,".")</f>
        <v>2.5</v>
      </c>
      <c r="N25" s="172" t="n">
        <f aca="false">IF($D25=0,"",$E25-$D25)</f>
        <v>0.104166666666667</v>
      </c>
      <c r="O25" s="183" t="n">
        <f aca="false">IF($O$1=$G25,$J25,"")</f>
        <v>2.5</v>
      </c>
      <c r="P25" s="180" t="str">
        <f aca="false">IF($P$1=$G25,$J25,"")</f>
        <v/>
      </c>
      <c r="Q25" s="180" t="str">
        <f aca="false">IF($Q$1=$G25,$J25,"")</f>
        <v/>
      </c>
      <c r="R25" s="180" t="str">
        <f aca="false">IF($R$1=$G25,$J25,"")</f>
        <v/>
      </c>
      <c r="S25" s="180" t="str">
        <f aca="false">IF($S$1=$G25,$J25,"")</f>
        <v/>
      </c>
      <c r="T25" s="180" t="str">
        <f aca="false">IF($T$1=$G25,$J25,"")</f>
        <v/>
      </c>
      <c r="U25" s="180" t="str">
        <f aca="false">IF($U$1=$G25,$J25,"")</f>
        <v/>
      </c>
      <c r="V25" s="181" t="str">
        <f aca="false">IF($V$1=$G25,$J25,"")</f>
        <v/>
      </c>
      <c r="W25" s="168"/>
      <c r="X25" s="174"/>
      <c r="Y25" s="71"/>
      <c r="Z25" s="71"/>
      <c r="AA25" s="71"/>
      <c r="AB25" s="169"/>
      <c r="AC25" s="71"/>
      <c r="AD25" s="71"/>
      <c r="AE25" s="71"/>
      <c r="AF25" s="71"/>
      <c r="AG25" s="71"/>
      <c r="AH25" s="71"/>
      <c r="AI25" s="71"/>
      <c r="AJ25" s="71"/>
      <c r="AK25" s="71"/>
      <c r="AL25" s="71"/>
      <c r="AM25" s="71"/>
      <c r="AN25" s="71"/>
      <c r="AO25" s="71"/>
      <c r="AP25" s="71"/>
      <c r="AQ25" s="71"/>
      <c r="AR25" s="71"/>
      <c r="AS25" s="71"/>
      <c r="AT25" s="71"/>
      <c r="AU25" s="71"/>
      <c r="AV25" s="71"/>
      <c r="AW25" s="71"/>
      <c r="AX25" s="71"/>
      <c r="AY25" s="71"/>
      <c r="AZ25" s="71"/>
      <c r="BA25" s="71"/>
      <c r="BB25" s="71"/>
    </row>
    <row r="26" customFormat="false" ht="15" hidden="false" customHeight="false" outlineLevel="0" collapsed="false">
      <c r="A26" s="154" t="s">
        <v>31</v>
      </c>
      <c r="B26" s="155" t="n">
        <f aca="false">IF(Table67[[#This Row],[Jour]]="1- Lundi",$C$1+1, IF(Table67[[#This Row],[Jour]]="2- Mardi",$C$1+2, IF(Table67[[#This Row],[Jour]]="3- Mercredi",$C$1+3, IF(Table67[[#This Row],[Jour]]="4- Jeudi",$C$1+4, IF(Table67[[#This Row],[Jour]]="5- Vendredi",$C$1+5, IF(Table67[[#This Row],[Jour]]="6- Samedi",$C$1+6, IF(Table67[[#This Row],[Jour]]="7- Dimanche",$C$1, )))))))</f>
        <v>44329</v>
      </c>
      <c r="C26" s="176" t="s">
        <v>324</v>
      </c>
      <c r="D26" s="177" t="n">
        <v>0.708333333333333</v>
      </c>
      <c r="E26" s="177" t="n">
        <v>0.75</v>
      </c>
      <c r="F26" s="178" t="s">
        <v>32</v>
      </c>
      <c r="G26" s="178" t="s">
        <v>22</v>
      </c>
      <c r="H26" s="179" t="s">
        <v>331</v>
      </c>
      <c r="I26" s="177"/>
      <c r="J26" s="161" t="n">
        <f aca="false">IF($D26=0,"",($N26-INT($N26))*24)</f>
        <v>1</v>
      </c>
      <c r="K26" s="162" t="n">
        <f aca="false">SUMIF($C$4:$C$80,$C26,$J$4:$J$80)</f>
        <v>8</v>
      </c>
      <c r="L26" s="163" t="n">
        <f aca="false">IFERROR(SUMIF($C$4:$C$79,$C26,O$4:O$1956) / $K26, "0")</f>
        <v>0.6875</v>
      </c>
      <c r="M26" s="182" t="n">
        <f aca="false">IF(A26="o",$J26,".")</f>
        <v>1</v>
      </c>
      <c r="N26" s="172" t="n">
        <f aca="false">IF($D26=0,"",$E26-$D26)</f>
        <v>0.0416666666666667</v>
      </c>
      <c r="O26" s="180" t="str">
        <f aca="false">IF($O$1=$G26,$J26,"")</f>
        <v/>
      </c>
      <c r="P26" s="180" t="str">
        <f aca="false">IF($P$1=$G26,$J26,"")</f>
        <v/>
      </c>
      <c r="Q26" s="180" t="str">
        <f aca="false">IF($Q$1=$G26,$J26,"")</f>
        <v/>
      </c>
      <c r="R26" s="183" t="n">
        <f aca="false">IF($R$1=$G26,$J26,"")</f>
        <v>1</v>
      </c>
      <c r="S26" s="180" t="str">
        <f aca="false">IF($S$1=$G26,$J26,"")</f>
        <v/>
      </c>
      <c r="T26" s="180" t="str">
        <f aca="false">IF($T$1=$G26,$J26,"")</f>
        <v/>
      </c>
      <c r="U26" s="180" t="str">
        <f aca="false">IF($U$1=$G26,$J26,"")</f>
        <v/>
      </c>
      <c r="V26" s="181" t="str">
        <f aca="false">IF($V$1=$G26,$J26,"")</f>
        <v/>
      </c>
      <c r="W26" s="168"/>
      <c r="X26" s="174"/>
      <c r="Y26" s="71"/>
      <c r="Z26" s="71"/>
      <c r="AA26" s="71"/>
      <c r="AB26" s="169"/>
      <c r="AC26" s="71"/>
      <c r="AD26" s="71"/>
      <c r="AE26" s="71"/>
      <c r="AF26" s="71"/>
      <c r="AG26" s="71"/>
      <c r="AH26" s="71"/>
      <c r="AI26" s="71"/>
      <c r="AJ26" s="71"/>
      <c r="AK26" s="71"/>
      <c r="AL26" s="71"/>
      <c r="AM26" s="71"/>
      <c r="AN26" s="71"/>
      <c r="AO26" s="71"/>
      <c r="AP26" s="71"/>
      <c r="AQ26" s="71"/>
      <c r="AR26" s="71"/>
      <c r="AS26" s="71"/>
      <c r="AT26" s="71"/>
      <c r="AU26" s="71"/>
      <c r="AV26" s="71"/>
      <c r="AW26" s="71"/>
      <c r="AX26" s="71"/>
      <c r="AY26" s="71"/>
      <c r="AZ26" s="71"/>
      <c r="BA26" s="71"/>
      <c r="BB26" s="71"/>
    </row>
    <row r="27" customFormat="false" ht="15" hidden="false" customHeight="false" outlineLevel="0" collapsed="false">
      <c r="A27" s="154" t="s">
        <v>31</v>
      </c>
      <c r="B27" s="155" t="n">
        <f aca="false">IF(Table67[[#This Row],[Jour]]="1- Lundi",$C$1+1, IF(Table67[[#This Row],[Jour]]="2- Mardi",$C$1+2, IF(Table67[[#This Row],[Jour]]="3- Mercredi",$C$1+3, IF(Table67[[#This Row],[Jour]]="4- Jeudi",$C$1+4, IF(Table67[[#This Row],[Jour]]="5- Vendredi",$C$1+5, IF(Table67[[#This Row],[Jour]]="6- Samedi",$C$1+6, IF(Table67[[#This Row],[Jour]]="7- Dimanche",$C$1, )))))))</f>
        <v>44330</v>
      </c>
      <c r="C27" s="176" t="s">
        <v>332</v>
      </c>
      <c r="D27" s="177" t="n">
        <v>0.333333333333333</v>
      </c>
      <c r="E27" s="177" t="n">
        <v>0.395833333333333</v>
      </c>
      <c r="F27" s="178" t="s">
        <v>59</v>
      </c>
      <c r="G27" s="178" t="s">
        <v>23</v>
      </c>
      <c r="H27" s="179" t="s">
        <v>333</v>
      </c>
      <c r="I27" s="177"/>
      <c r="J27" s="161" t="n">
        <f aca="false">IF($D27=0,"",($N27-INT($N27))*24)</f>
        <v>1.5</v>
      </c>
      <c r="K27" s="162" t="n">
        <f aca="false">SUMIF($C$4:$C$80,$C27,$J$4:$J$80)</f>
        <v>7.5</v>
      </c>
      <c r="L27" s="163" t="n">
        <f aca="false">IFERROR(SUMIF($C$4:$C$79,$C27,O$4:O$1956) / $K27, "0")</f>
        <v>0.733333333333333</v>
      </c>
      <c r="M27" s="182" t="n">
        <f aca="false">IF(A27="o",$J27,".")</f>
        <v>1.5</v>
      </c>
      <c r="N27" s="172" t="n">
        <f aca="false">IF($D27=0,"",$E27-$D27)</f>
        <v>0.0625</v>
      </c>
      <c r="O27" s="180" t="str">
        <f aca="false">IF($O$1=$G27,$J27,"")</f>
        <v/>
      </c>
      <c r="P27" s="180" t="str">
        <f aca="false">IF($P$1=$G27,$J27,"")</f>
        <v/>
      </c>
      <c r="Q27" s="180" t="str">
        <f aca="false">IF($Q$1=$G27,$J27,"")</f>
        <v/>
      </c>
      <c r="R27" s="180" t="str">
        <f aca="false">IF($R$1=$G27,$J27,"")</f>
        <v/>
      </c>
      <c r="S27" s="183" t="n">
        <f aca="false">IF($S$1=$G27,$J27,"")</f>
        <v>1.5</v>
      </c>
      <c r="T27" s="180" t="str">
        <f aca="false">IF($T$1=$G27,$J27,"")</f>
        <v/>
      </c>
      <c r="U27" s="180" t="str">
        <f aca="false">IF($U$1=$G27,$J27,"")</f>
        <v/>
      </c>
      <c r="V27" s="181" t="str">
        <f aca="false">IF($V$1=$G27,$J27,"")</f>
        <v/>
      </c>
      <c r="W27" s="168"/>
      <c r="X27" s="174"/>
      <c r="Y27" s="71"/>
      <c r="Z27" s="71"/>
      <c r="AA27" s="71"/>
      <c r="AB27" s="169"/>
      <c r="AC27" s="71"/>
      <c r="AD27" s="71"/>
      <c r="AE27" s="71"/>
      <c r="AF27" s="71"/>
      <c r="AG27" s="71"/>
      <c r="AH27" s="71"/>
      <c r="AI27" s="71"/>
      <c r="AJ27" s="71"/>
      <c r="AK27" s="71"/>
      <c r="AL27" s="71"/>
      <c r="AM27" s="71"/>
      <c r="AN27" s="71"/>
      <c r="AO27" s="71"/>
      <c r="AP27" s="71"/>
      <c r="AQ27" s="71"/>
      <c r="AR27" s="71"/>
      <c r="AS27" s="71"/>
      <c r="AT27" s="71"/>
      <c r="AU27" s="71"/>
      <c r="AV27" s="71"/>
      <c r="AW27" s="71"/>
      <c r="AX27" s="71"/>
      <c r="AY27" s="71"/>
      <c r="AZ27" s="71"/>
      <c r="BA27" s="71"/>
      <c r="BB27" s="71"/>
    </row>
    <row r="28" customFormat="false" ht="15" hidden="false" customHeight="false" outlineLevel="0" collapsed="false">
      <c r="A28" s="154" t="s">
        <v>31</v>
      </c>
      <c r="B28" s="155" t="n">
        <f aca="false">IF(Table67[[#This Row],[Jour]]="1- Lundi",$C$1+1, IF(Table67[[#This Row],[Jour]]="2- Mardi",$C$1+2, IF(Table67[[#This Row],[Jour]]="3- Mercredi",$C$1+3, IF(Table67[[#This Row],[Jour]]="4- Jeudi",$C$1+4, IF(Table67[[#This Row],[Jour]]="5- Vendredi",$C$1+5, IF(Table67[[#This Row],[Jour]]="6- Samedi",$C$1+6, IF(Table67[[#This Row],[Jour]]="7- Dimanche",$C$1, )))))))</f>
        <v>44330</v>
      </c>
      <c r="C28" s="176" t="s">
        <v>332</v>
      </c>
      <c r="D28" s="177" t="n">
        <v>0.416666666666667</v>
      </c>
      <c r="E28" s="177" t="n">
        <v>0.4375</v>
      </c>
      <c r="F28" s="178" t="s">
        <v>32</v>
      </c>
      <c r="G28" s="178" t="s">
        <v>21</v>
      </c>
      <c r="H28" s="179" t="s">
        <v>334</v>
      </c>
      <c r="I28" s="177"/>
      <c r="J28" s="161" t="n">
        <f aca="false">IF($D28=0,"",($N28-INT($N28))*24)</f>
        <v>0.5</v>
      </c>
      <c r="K28" s="162" t="n">
        <f aca="false">SUMIF($C$4:$C$80,$C28,$J$4:$J$80)</f>
        <v>7.5</v>
      </c>
      <c r="L28" s="163" t="n">
        <f aca="false">IFERROR(SUMIF($C$4:$C$79,$C28,O$4:O$1956) / $K28, "0")</f>
        <v>0.733333333333333</v>
      </c>
      <c r="M28" s="182" t="n">
        <f aca="false">IF(A28="o",$J28,".")</f>
        <v>0.5</v>
      </c>
      <c r="N28" s="172" t="n">
        <f aca="false">IF($D28=0,"",$E28-$D28)</f>
        <v>0.0208333333333333</v>
      </c>
      <c r="O28" s="180" t="str">
        <f aca="false">IF($O$1=$G28,$J28,"")</f>
        <v/>
      </c>
      <c r="P28" s="180" t="str">
        <f aca="false">IF($P$1=$G28,$J28,"")</f>
        <v/>
      </c>
      <c r="Q28" s="183" t="n">
        <f aca="false">IF($Q$1=$G28,$J28,"")</f>
        <v>0.5</v>
      </c>
      <c r="R28" s="180" t="str">
        <f aca="false">IF($R$1=$G28,$J28,"")</f>
        <v/>
      </c>
      <c r="S28" s="180" t="str">
        <f aca="false">IF($S$1=$G28,$J28,"")</f>
        <v/>
      </c>
      <c r="T28" s="180" t="str">
        <f aca="false">IF($T$1=$G28,$J28,"")</f>
        <v/>
      </c>
      <c r="U28" s="180" t="str">
        <f aca="false">IF($U$1=$G28,$J28,"")</f>
        <v/>
      </c>
      <c r="V28" s="181" t="str">
        <f aca="false">IF($V$1=$G28,$J28,"")</f>
        <v/>
      </c>
      <c r="W28" s="168"/>
      <c r="X28" s="174"/>
      <c r="Y28" s="71"/>
      <c r="Z28" s="71"/>
      <c r="AA28" s="71"/>
      <c r="AB28" s="169"/>
      <c r="AC28" s="71"/>
      <c r="AD28" s="71"/>
      <c r="AE28" s="71"/>
      <c r="AF28" s="71"/>
      <c r="AG28" s="71"/>
      <c r="AH28" s="71"/>
      <c r="AI28" s="71"/>
      <c r="AJ28" s="71"/>
      <c r="AK28" s="71"/>
      <c r="AL28" s="71"/>
      <c r="AM28" s="71"/>
      <c r="AN28" s="71"/>
      <c r="AO28" s="71"/>
      <c r="AP28" s="71"/>
      <c r="AQ28" s="71"/>
      <c r="AR28" s="71"/>
      <c r="AS28" s="71"/>
      <c r="AT28" s="71"/>
      <c r="AU28" s="71"/>
      <c r="AV28" s="71"/>
      <c r="AW28" s="71"/>
      <c r="AX28" s="71"/>
      <c r="AY28" s="71"/>
      <c r="AZ28" s="71"/>
      <c r="BA28" s="71"/>
      <c r="BB28" s="71"/>
    </row>
    <row r="29" customFormat="false" ht="15" hidden="false" customHeight="false" outlineLevel="0" collapsed="false">
      <c r="A29" s="154" t="s">
        <v>31</v>
      </c>
      <c r="B29" s="155" t="n">
        <f aca="false">IF(Table67[[#This Row],[Jour]]="1- Lundi",$C$1+1, IF(Table67[[#This Row],[Jour]]="2- Mardi",$C$1+2, IF(Table67[[#This Row],[Jour]]="3- Mercredi",$C$1+3, IF(Table67[[#This Row],[Jour]]="4- Jeudi",$C$1+4, IF(Table67[[#This Row],[Jour]]="5- Vendredi",$C$1+5, IF(Table67[[#This Row],[Jour]]="6- Samedi",$C$1+6, IF(Table67[[#This Row],[Jour]]="7- Dimanche",$C$1, )))))))</f>
        <v>44330</v>
      </c>
      <c r="C29" s="176" t="s">
        <v>332</v>
      </c>
      <c r="D29" s="177" t="n">
        <v>0.4375</v>
      </c>
      <c r="E29" s="177" t="n">
        <v>0.5</v>
      </c>
      <c r="F29" s="178" t="s">
        <v>75</v>
      </c>
      <c r="G29" s="178" t="s">
        <v>19</v>
      </c>
      <c r="H29" s="179" t="s">
        <v>330</v>
      </c>
      <c r="I29" s="177"/>
      <c r="J29" s="161" t="n">
        <f aca="false">IF($D29=0,"",($N29-INT($N29))*24)</f>
        <v>1.5</v>
      </c>
      <c r="K29" s="162" t="n">
        <f aca="false">SUMIF($C$4:$C$80,$C29,$J$4:$J$80)</f>
        <v>7.5</v>
      </c>
      <c r="L29" s="163" t="n">
        <f aca="false">IFERROR(SUMIF($C$4:$C$79,$C29,O$4:O$1956) / $K29, "0")</f>
        <v>0.733333333333333</v>
      </c>
      <c r="M29" s="182" t="n">
        <f aca="false">IF(A29="o",$J29,".")</f>
        <v>1.5</v>
      </c>
      <c r="N29" s="172" t="n">
        <f aca="false">IF($D29=0,"",$E29-$D29)</f>
        <v>0.0625</v>
      </c>
      <c r="O29" s="183" t="n">
        <f aca="false">IF($O$1=$G29,$J29,"")</f>
        <v>1.5</v>
      </c>
      <c r="P29" s="180" t="str">
        <f aca="false">IF($P$1=$G29,$J29,"")</f>
        <v/>
      </c>
      <c r="Q29" s="180" t="str">
        <f aca="false">IF($Q$1=$G29,$J29,"")</f>
        <v/>
      </c>
      <c r="R29" s="180" t="str">
        <f aca="false">IF($R$1=$G29,$J29,"")</f>
        <v/>
      </c>
      <c r="S29" s="180" t="str">
        <f aca="false">IF($S$1=$G29,$J29,"")</f>
        <v/>
      </c>
      <c r="T29" s="180" t="str">
        <f aca="false">IF($T$1=$G29,$J29,"")</f>
        <v/>
      </c>
      <c r="U29" s="180" t="str">
        <f aca="false">IF($U$1=$G29,$J29,"")</f>
        <v/>
      </c>
      <c r="V29" s="181" t="str">
        <f aca="false">IF($V$1=$G29,$J29,"")</f>
        <v/>
      </c>
      <c r="W29" s="168"/>
      <c r="X29" s="174"/>
      <c r="Y29" s="71"/>
      <c r="Z29" s="71"/>
      <c r="AA29" s="71"/>
      <c r="AB29" s="169"/>
      <c r="AC29" s="71"/>
      <c r="AD29" s="71"/>
      <c r="AE29" s="71"/>
      <c r="AF29" s="71"/>
      <c r="AG29" s="71"/>
      <c r="AH29" s="71"/>
      <c r="AI29" s="71"/>
      <c r="AJ29" s="71"/>
      <c r="AK29" s="71"/>
      <c r="AL29" s="71"/>
      <c r="AM29" s="71"/>
      <c r="AN29" s="71"/>
      <c r="AO29" s="71"/>
      <c r="AP29" s="71"/>
      <c r="AQ29" s="71"/>
      <c r="AR29" s="71"/>
      <c r="AS29" s="71"/>
      <c r="AT29" s="71"/>
      <c r="AU29" s="71"/>
      <c r="AV29" s="71"/>
      <c r="AW29" s="71"/>
      <c r="AX29" s="71"/>
      <c r="AY29" s="71"/>
      <c r="AZ29" s="71"/>
      <c r="BA29" s="71"/>
      <c r="BB29" s="71"/>
    </row>
    <row r="30" customFormat="false" ht="15" hidden="false" customHeight="false" outlineLevel="0" collapsed="false">
      <c r="A30" s="154" t="s">
        <v>31</v>
      </c>
      <c r="B30" s="155" t="n">
        <f aca="false">IF(Table67[[#This Row],[Jour]]="1- Lundi",$C$1+1, IF(Table67[[#This Row],[Jour]]="2- Mardi",$C$1+2, IF(Table67[[#This Row],[Jour]]="3- Mercredi",$C$1+3, IF(Table67[[#This Row],[Jour]]="4- Jeudi",$C$1+4, IF(Table67[[#This Row],[Jour]]="5- Vendredi",$C$1+5, IF(Table67[[#This Row],[Jour]]="6- Samedi",$C$1+6, IF(Table67[[#This Row],[Jour]]="7- Dimanche",$C$1, )))))))</f>
        <v>44330</v>
      </c>
      <c r="C30" s="176" t="s">
        <v>332</v>
      </c>
      <c r="D30" s="177" t="n">
        <v>0.5625</v>
      </c>
      <c r="E30" s="177" t="n">
        <v>0.625</v>
      </c>
      <c r="F30" s="178" t="s">
        <v>75</v>
      </c>
      <c r="G30" s="178" t="s">
        <v>19</v>
      </c>
      <c r="H30" s="179" t="s">
        <v>330</v>
      </c>
      <c r="I30" s="177"/>
      <c r="J30" s="161" t="n">
        <f aca="false">IF($D30=0,"",($N30-INT($N30))*24)</f>
        <v>1.5</v>
      </c>
      <c r="K30" s="162" t="n">
        <f aca="false">SUMIF($C$4:$C$80,$C30,$J$4:$J$80)</f>
        <v>7.5</v>
      </c>
      <c r="L30" s="163" t="n">
        <f aca="false">IFERROR(SUMIF($C$4:$C$79,$C30,O$4:O$1956) / $K30, "0")</f>
        <v>0.733333333333333</v>
      </c>
      <c r="M30" s="182" t="n">
        <f aca="false">IF(A30="o",$J30,".")</f>
        <v>1.5</v>
      </c>
      <c r="N30" s="172" t="n">
        <f aca="false">IF($D30=0,"",$E30-$D30)</f>
        <v>0.0625</v>
      </c>
      <c r="O30" s="183" t="n">
        <f aca="false">IF($O$1=$G30,$J30,"")</f>
        <v>1.5</v>
      </c>
      <c r="P30" s="180" t="str">
        <f aca="false">IF($P$1=$G30,$J30,"")</f>
        <v/>
      </c>
      <c r="Q30" s="180" t="str">
        <f aca="false">IF($Q$1=$G30,$J30,"")</f>
        <v/>
      </c>
      <c r="R30" s="180" t="str">
        <f aca="false">IF($R$1=$G30,$J30,"")</f>
        <v/>
      </c>
      <c r="S30" s="180" t="str">
        <f aca="false">IF($S$1=$G30,$J30,"")</f>
        <v/>
      </c>
      <c r="T30" s="180" t="str">
        <f aca="false">IF($T$1=$G30,$J30,"")</f>
        <v/>
      </c>
      <c r="U30" s="180" t="str">
        <f aca="false">IF($U$1=$G30,$J30,"")</f>
        <v/>
      </c>
      <c r="V30" s="181" t="str">
        <f aca="false">IF($V$1=$G30,$J30,"")</f>
        <v/>
      </c>
      <c r="W30" s="168"/>
      <c r="X30" s="174"/>
      <c r="Y30" s="71"/>
      <c r="Z30" s="71"/>
      <c r="AA30" s="71"/>
      <c r="AB30" s="169"/>
      <c r="AC30" s="71"/>
      <c r="AD30" s="71"/>
      <c r="AE30" s="71"/>
      <c r="AF30" s="71"/>
      <c r="AG30" s="71"/>
      <c r="AH30" s="71"/>
      <c r="AI30" s="71"/>
      <c r="AJ30" s="71"/>
      <c r="AK30" s="71"/>
      <c r="AL30" s="71"/>
      <c r="AM30" s="71"/>
      <c r="AN30" s="71"/>
      <c r="AO30" s="71"/>
      <c r="AP30" s="71"/>
      <c r="AQ30" s="71"/>
      <c r="AR30" s="71"/>
      <c r="AS30" s="71"/>
      <c r="AT30" s="71"/>
      <c r="AU30" s="71"/>
      <c r="AV30" s="71"/>
      <c r="AW30" s="71"/>
      <c r="AX30" s="71"/>
      <c r="AY30" s="71"/>
      <c r="AZ30" s="71"/>
      <c r="BA30" s="71"/>
      <c r="BB30" s="71"/>
    </row>
    <row r="31" customFormat="false" ht="15" hidden="false" customHeight="false" outlineLevel="0" collapsed="false">
      <c r="A31" s="154" t="s">
        <v>31</v>
      </c>
      <c r="B31" s="155" t="n">
        <f aca="false">IF(Table67[[#This Row],[Jour]]="1- Lundi",$C$1+1, IF(Table67[[#This Row],[Jour]]="2- Mardi",$C$1+2, IF(Table67[[#This Row],[Jour]]="3- Mercredi",$C$1+3, IF(Table67[[#This Row],[Jour]]="4- Jeudi",$C$1+4, IF(Table67[[#This Row],[Jour]]="5- Vendredi",$C$1+5, IF(Table67[[#This Row],[Jour]]="6- Samedi",$C$1+6, IF(Table67[[#This Row],[Jour]]="7- Dimanche",$C$1, )))))))</f>
        <v>44330</v>
      </c>
      <c r="C31" s="176" t="s">
        <v>332</v>
      </c>
      <c r="D31" s="177" t="n">
        <v>0.625</v>
      </c>
      <c r="E31" s="177" t="n">
        <v>0.729166666666667</v>
      </c>
      <c r="F31" s="178" t="s">
        <v>59</v>
      </c>
      <c r="G31" s="178" t="s">
        <v>19</v>
      </c>
      <c r="H31" s="179" t="s">
        <v>330</v>
      </c>
      <c r="I31" s="177"/>
      <c r="J31" s="161" t="n">
        <f aca="false">IF($D31=0,"",($N31-INT($N31))*24)</f>
        <v>2.5</v>
      </c>
      <c r="K31" s="162" t="n">
        <f aca="false">SUMIF($C$4:$C$80,$C31,$J$4:$J$80)</f>
        <v>7.5</v>
      </c>
      <c r="L31" s="163" t="n">
        <f aca="false">IFERROR(SUMIF($C$4:$C$79,$C31,O$4:O$1956) / $K31, "0")</f>
        <v>0.733333333333333</v>
      </c>
      <c r="M31" s="182" t="n">
        <f aca="false">IF(A31="o",$J31,".")</f>
        <v>2.5</v>
      </c>
      <c r="N31" s="172" t="n">
        <f aca="false">IF($D31=0,"",$E31-$D31)</f>
        <v>0.104166666666667</v>
      </c>
      <c r="O31" s="183" t="n">
        <f aca="false">IF($O$1=$G31,$J31,"")</f>
        <v>2.5</v>
      </c>
      <c r="P31" s="180" t="str">
        <f aca="false">IF($P$1=$G31,$J31,"")</f>
        <v/>
      </c>
      <c r="Q31" s="180" t="str">
        <f aca="false">IF($Q$1=$G31,$J31,"")</f>
        <v/>
      </c>
      <c r="R31" s="180" t="str">
        <f aca="false">IF($R$1=$G31,$J31,"")</f>
        <v/>
      </c>
      <c r="S31" s="180" t="str">
        <f aca="false">IF($S$1=$G31,$J31,"")</f>
        <v/>
      </c>
      <c r="T31" s="180" t="str">
        <f aca="false">IF($T$1=$G31,$J31,"")</f>
        <v/>
      </c>
      <c r="U31" s="180" t="str">
        <f aca="false">IF($U$1=$G31,$J31,"")</f>
        <v/>
      </c>
      <c r="V31" s="181" t="str">
        <f aca="false">IF($V$1=$G31,$J31,"")</f>
        <v/>
      </c>
      <c r="W31" s="168"/>
      <c r="X31" s="174"/>
      <c r="Y31" s="71"/>
      <c r="Z31" s="71"/>
      <c r="AA31" s="71"/>
      <c r="AB31" s="169"/>
      <c r="AC31" s="71"/>
      <c r="AD31" s="71"/>
      <c r="AE31" s="71"/>
      <c r="AF31" s="71"/>
      <c r="AG31" s="71"/>
      <c r="AH31" s="71"/>
      <c r="AI31" s="71"/>
      <c r="AJ31" s="71"/>
      <c r="AK31" s="71"/>
      <c r="AL31" s="71"/>
      <c r="AM31" s="71"/>
      <c r="AN31" s="71"/>
      <c r="AO31" s="71"/>
      <c r="AP31" s="71"/>
      <c r="AQ31" s="71"/>
      <c r="AR31" s="71"/>
      <c r="AS31" s="71"/>
      <c r="AT31" s="71"/>
      <c r="AU31" s="71"/>
      <c r="AV31" s="71"/>
      <c r="AW31" s="71"/>
      <c r="AX31" s="71"/>
      <c r="AY31" s="71"/>
      <c r="AZ31" s="71"/>
      <c r="BA31" s="71"/>
      <c r="BB31" s="71"/>
    </row>
    <row r="32" customFormat="false" ht="15" hidden="false" customHeight="false" outlineLevel="0" collapsed="false">
      <c r="A32" s="154" t="s">
        <v>33</v>
      </c>
      <c r="B32" s="155" t="n">
        <f aca="false">IF(Table67[[#This Row],[Jour]]="1- Lundi",$C$1+1, IF(Table67[[#This Row],[Jour]]="2- Mardi",$C$1+2, IF(Table67[[#This Row],[Jour]]="3- Mercredi",$C$1+3, IF(Table67[[#This Row],[Jour]]="4- Jeudi",$C$1+4, IF(Table67[[#This Row],[Jour]]="5- Vendredi",$C$1+5, IF(Table67[[#This Row],[Jour]]="6- Samedi",$C$1+6, IF(Table67[[#This Row],[Jour]]="7- Dimanche",$C$1, )))))))</f>
        <v>44331</v>
      </c>
      <c r="C32" s="176" t="s">
        <v>335</v>
      </c>
      <c r="D32" s="177" t="n">
        <v>0.333333333333333</v>
      </c>
      <c r="E32" s="177" t="n">
        <v>0.333333333333333</v>
      </c>
      <c r="F32" s="178" t="s">
        <v>32</v>
      </c>
      <c r="G32" s="178" t="s">
        <v>27</v>
      </c>
      <c r="H32" s="179" t="s">
        <v>336</v>
      </c>
      <c r="I32" s="177"/>
      <c r="J32" s="161" t="n">
        <f aca="false">IF($D32=0,"",($N32-INT($N32))*24)</f>
        <v>0</v>
      </c>
      <c r="K32" s="162" t="n">
        <f aca="false">SUMIF($C$4:$C$80,$C32,$J$4:$J$80)</f>
        <v>5.5</v>
      </c>
      <c r="L32" s="163" t="n">
        <f aca="false">IFERROR(SUMIF($C$4:$C$79,$C32,O$4:O$1956) / $K32, "0")</f>
        <v>0.454545454545455</v>
      </c>
      <c r="M32" s="182" t="str">
        <f aca="false">IF(A32="o",$J32,".")</f>
        <v>.</v>
      </c>
      <c r="N32" s="172" t="n">
        <f aca="false">IF($D32=0,"",$E32-$D32)</f>
        <v>0</v>
      </c>
      <c r="O32" s="166" t="str">
        <f aca="false">IF($O$1=$G32,$J32,"")</f>
        <v/>
      </c>
      <c r="P32" s="166" t="str">
        <f aca="false">IF($P$1=$G32,$J32,"")</f>
        <v/>
      </c>
      <c r="Q32" s="166" t="str">
        <f aca="false">IF($Q$1=$G32,$J32,"")</f>
        <v/>
      </c>
      <c r="R32" s="166" t="str">
        <f aca="false">IF($R$1=$G32,$J32,"")</f>
        <v/>
      </c>
      <c r="S32" s="166" t="str">
        <f aca="false">IF($S$1=$G32,$J32,"")</f>
        <v/>
      </c>
      <c r="T32" s="166" t="str">
        <f aca="false">IF($T$1=$G32,$J32,"")</f>
        <v/>
      </c>
      <c r="U32" s="166" t="str">
        <f aca="false">IF($U$1=$G32,$J32,"")</f>
        <v/>
      </c>
      <c r="V32" s="167" t="str">
        <f aca="false">IF($V$1=$G32,$J32,"")</f>
        <v/>
      </c>
      <c r="W32" s="168"/>
      <c r="X32" s="174"/>
      <c r="Y32" s="71"/>
      <c r="Z32" s="71"/>
      <c r="AA32" s="71"/>
      <c r="AB32" s="169"/>
      <c r="AC32" s="71"/>
      <c r="AD32" s="71"/>
      <c r="AE32" s="71"/>
      <c r="AF32" s="71"/>
      <c r="AG32" s="71"/>
      <c r="AH32" s="71"/>
      <c r="AI32" s="71"/>
      <c r="AJ32" s="71"/>
      <c r="AK32" s="71"/>
      <c r="AL32" s="71"/>
      <c r="AM32" s="71"/>
      <c r="AN32" s="71"/>
      <c r="AO32" s="71"/>
      <c r="AP32" s="71"/>
      <c r="AQ32" s="71"/>
      <c r="AR32" s="71"/>
      <c r="AS32" s="71"/>
      <c r="AT32" s="71"/>
      <c r="AU32" s="71"/>
      <c r="AV32" s="71"/>
      <c r="AW32" s="71"/>
      <c r="AX32" s="71"/>
      <c r="AY32" s="71"/>
      <c r="AZ32" s="71"/>
      <c r="BA32" s="71"/>
      <c r="BB32" s="71"/>
    </row>
    <row r="33" customFormat="false" ht="15" hidden="false" customHeight="false" outlineLevel="0" collapsed="false">
      <c r="A33" s="154" t="s">
        <v>31</v>
      </c>
      <c r="B33" s="155" t="n">
        <f aca="false">IF(Table67[[#This Row],[Jour]]="1- Lundi",$C$1+1, IF(Table67[[#This Row],[Jour]]="2- Mardi",$C$1+2, IF(Table67[[#This Row],[Jour]]="3- Mercredi",$C$1+3, IF(Table67[[#This Row],[Jour]]="4- Jeudi",$C$1+4, IF(Table67[[#This Row],[Jour]]="5- Vendredi",$C$1+5, IF(Table67[[#This Row],[Jour]]="6- Samedi",$C$1+6, IF(Table67[[#This Row],[Jour]]="7- Dimanche",$C$1, )))))))</f>
        <v>44331</v>
      </c>
      <c r="C33" s="176" t="s">
        <v>335</v>
      </c>
      <c r="D33" s="177" t="n">
        <v>0.416666666666667</v>
      </c>
      <c r="E33" s="177" t="n">
        <v>0.4375</v>
      </c>
      <c r="F33" s="178" t="s">
        <v>75</v>
      </c>
      <c r="G33" s="178" t="s">
        <v>19</v>
      </c>
      <c r="H33" s="179" t="s">
        <v>55</v>
      </c>
      <c r="I33" s="177"/>
      <c r="J33" s="161" t="n">
        <f aca="false">IF($D33=0,"",($N33-INT($N33))*24)</f>
        <v>0.5</v>
      </c>
      <c r="K33" s="162" t="n">
        <f aca="false">SUMIF($C$4:$C$80,$C33,$J$4:$J$80)</f>
        <v>5.5</v>
      </c>
      <c r="L33" s="163" t="n">
        <f aca="false">IFERROR(SUMIF($C$4:$C$79,$C33,O$4:O$1956) / $K33, "0")</f>
        <v>0.454545454545455</v>
      </c>
      <c r="M33" s="164" t="n">
        <f aca="false">IF(A33="o",$J33,".")</f>
        <v>0.5</v>
      </c>
      <c r="N33" s="172" t="n">
        <f aca="false">IF($D33=0,"",$E33-$D33)</f>
        <v>0.0208333333333333</v>
      </c>
      <c r="O33" s="173" t="n">
        <f aca="false">IF($O$1=$G33,$J33,"")</f>
        <v>0.5</v>
      </c>
      <c r="P33" s="166" t="str">
        <f aca="false">IF($P$1=$G33,$J33,"")</f>
        <v/>
      </c>
      <c r="Q33" s="166" t="str">
        <f aca="false">IF($Q$1=$G33,$J33,"")</f>
        <v/>
      </c>
      <c r="R33" s="166" t="str">
        <f aca="false">IF($R$1=$G33,$J33,"")</f>
        <v/>
      </c>
      <c r="S33" s="166" t="str">
        <f aca="false">IF($S$1=$G33,$J33,"")</f>
        <v/>
      </c>
      <c r="T33" s="166" t="str">
        <f aca="false">IF($T$1=$G33,$J33,"")</f>
        <v/>
      </c>
      <c r="U33" s="166" t="str">
        <f aca="false">IF($U$1=$G33,$J33,"")</f>
        <v/>
      </c>
      <c r="V33" s="167" t="str">
        <f aca="false">IF($V$1=$G33,$J33,"")</f>
        <v/>
      </c>
      <c r="W33" s="168"/>
      <c r="X33" s="174"/>
      <c r="Y33" s="71"/>
      <c r="Z33" s="71"/>
      <c r="AA33" s="71"/>
      <c r="AB33" s="169"/>
      <c r="AC33" s="71"/>
      <c r="AD33" s="71"/>
      <c r="AE33" s="71"/>
      <c r="AF33" s="71"/>
      <c r="AG33" s="71"/>
      <c r="AH33" s="71"/>
      <c r="AI33" s="71"/>
      <c r="AJ33" s="71"/>
      <c r="AK33" s="71"/>
      <c r="AL33" s="71"/>
      <c r="AM33" s="71"/>
      <c r="AN33" s="71"/>
      <c r="AO33" s="71"/>
      <c r="AP33" s="71"/>
      <c r="AQ33" s="71"/>
      <c r="AR33" s="71"/>
      <c r="AS33" s="71"/>
      <c r="AT33" s="71"/>
      <c r="AU33" s="71"/>
      <c r="AV33" s="71"/>
      <c r="AW33" s="71"/>
      <c r="AX33" s="71"/>
      <c r="AY33" s="71"/>
      <c r="AZ33" s="71"/>
      <c r="BA33" s="71"/>
      <c r="BB33" s="71"/>
    </row>
    <row r="34" customFormat="false" ht="15" hidden="false" customHeight="false" outlineLevel="0" collapsed="false">
      <c r="A34" s="154" t="s">
        <v>33</v>
      </c>
      <c r="B34" s="155" t="n">
        <f aca="false">IF(Table67[[#This Row],[Jour]]="1- Lundi",$C$1+1, IF(Table67[[#This Row],[Jour]]="2- Mardi",$C$1+2, IF(Table67[[#This Row],[Jour]]="3- Mercredi",$C$1+3, IF(Table67[[#This Row],[Jour]]="4- Jeudi",$C$1+4, IF(Table67[[#This Row],[Jour]]="5- Vendredi",$C$1+5, IF(Table67[[#This Row],[Jour]]="6- Samedi",$C$1+6, IF(Table67[[#This Row],[Jour]]="7- Dimanche",$C$1, )))))))</f>
        <v>44331</v>
      </c>
      <c r="C34" s="176" t="s">
        <v>335</v>
      </c>
      <c r="D34" s="177" t="n">
        <v>0.4375</v>
      </c>
      <c r="E34" s="177" t="n">
        <v>0.4375</v>
      </c>
      <c r="F34" s="178" t="s">
        <v>32</v>
      </c>
      <c r="G34" s="178" t="s">
        <v>27</v>
      </c>
      <c r="H34" s="179" t="s">
        <v>337</v>
      </c>
      <c r="I34" s="177"/>
      <c r="J34" s="161" t="n">
        <f aca="false">IF($D34=0,"",($N34-INT($N34))*24)</f>
        <v>0</v>
      </c>
      <c r="K34" s="162" t="n">
        <f aca="false">SUMIF($C$4:$C$80,$C34,$J$4:$J$80)</f>
        <v>5.5</v>
      </c>
      <c r="L34" s="163" t="n">
        <f aca="false">IFERROR(SUMIF($C$4:$C$79,$C34,O$4:O$1956) / $K34, "0")</f>
        <v>0.454545454545455</v>
      </c>
      <c r="M34" s="164" t="str">
        <f aca="false">IF(A34="o",$J34,".")</f>
        <v>.</v>
      </c>
      <c r="N34" s="172" t="n">
        <f aca="false">IF($D34=0,"",$E34-$D34)</f>
        <v>0</v>
      </c>
      <c r="O34" s="166" t="str">
        <f aca="false">IF($O$1=$G34,$J34,"")</f>
        <v/>
      </c>
      <c r="P34" s="166" t="str">
        <f aca="false">IF($P$1=$G34,$J34,"")</f>
        <v/>
      </c>
      <c r="Q34" s="166" t="str">
        <f aca="false">IF($Q$1=$G34,$J34,"")</f>
        <v/>
      </c>
      <c r="R34" s="166" t="str">
        <f aca="false">IF($R$1=$G34,$J34,"")</f>
        <v/>
      </c>
      <c r="S34" s="166" t="str">
        <f aca="false">IF($S$1=$G34,$J34,"")</f>
        <v/>
      </c>
      <c r="T34" s="166" t="str">
        <f aca="false">IF($T$1=$G34,$J34,"")</f>
        <v/>
      </c>
      <c r="U34" s="166" t="str">
        <f aca="false">IF($U$1=$G34,$J34,"")</f>
        <v/>
      </c>
      <c r="V34" s="167" t="str">
        <f aca="false">IF($V$1=$G34,$J34,"")</f>
        <v/>
      </c>
      <c r="W34" s="168"/>
      <c r="X34" s="174"/>
      <c r="Y34" s="71"/>
      <c r="Z34" s="71"/>
      <c r="AA34" s="71"/>
      <c r="AB34" s="169"/>
      <c r="AC34" s="71"/>
      <c r="AD34" s="71"/>
      <c r="AE34" s="71"/>
      <c r="AF34" s="71"/>
      <c r="AG34" s="71"/>
      <c r="AH34" s="71"/>
      <c r="AI34" s="71"/>
      <c r="AJ34" s="71"/>
      <c r="AK34" s="71"/>
      <c r="AL34" s="71"/>
      <c r="AM34" s="71"/>
      <c r="AN34" s="71"/>
      <c r="AO34" s="71"/>
      <c r="AP34" s="71"/>
      <c r="AQ34" s="71"/>
      <c r="AR34" s="71"/>
      <c r="AS34" s="71"/>
      <c r="AT34" s="71"/>
      <c r="AU34" s="71"/>
      <c r="AV34" s="71"/>
      <c r="AW34" s="71"/>
      <c r="AX34" s="71"/>
      <c r="AY34" s="71"/>
      <c r="AZ34" s="71"/>
      <c r="BA34" s="71"/>
      <c r="BB34" s="71"/>
    </row>
    <row r="35" customFormat="false" ht="15" hidden="false" customHeight="false" outlineLevel="0" collapsed="false">
      <c r="A35" s="175" t="s">
        <v>31</v>
      </c>
      <c r="B35" s="155" t="n">
        <f aca="false">IF(Table67[[#This Row],[Jour]]="1- Lundi",$C$1+1, IF(Table67[[#This Row],[Jour]]="2- Mardi",$C$1+2, IF(Table67[[#This Row],[Jour]]="3- Mercredi",$C$1+3, IF(Table67[[#This Row],[Jour]]="4- Jeudi",$C$1+4, IF(Table67[[#This Row],[Jour]]="5- Vendredi",$C$1+5, IF(Table67[[#This Row],[Jour]]="6- Samedi",$C$1+6, IF(Table67[[#This Row],[Jour]]="7- Dimanche",$C$1, )))))))</f>
        <v>44331</v>
      </c>
      <c r="C35" s="176" t="s">
        <v>335</v>
      </c>
      <c r="D35" s="177" t="n">
        <v>0.479166666666667</v>
      </c>
      <c r="E35" s="177" t="n">
        <v>0.5</v>
      </c>
      <c r="F35" s="178" t="s">
        <v>59</v>
      </c>
      <c r="G35" s="178" t="s">
        <v>19</v>
      </c>
      <c r="H35" s="179" t="s">
        <v>55</v>
      </c>
      <c r="I35" s="177"/>
      <c r="J35" s="161" t="n">
        <f aca="false">IF($D35=0,"",($N35-INT($N35))*24)</f>
        <v>0.5</v>
      </c>
      <c r="K35" s="162" t="n">
        <f aca="false">SUMIF($C$4:$C$80,$C35,$J$4:$J$80)</f>
        <v>5.5</v>
      </c>
      <c r="L35" s="163" t="n">
        <f aca="false">IFERROR(SUMIF($C$4:$C$79,$C35,O$4:O$1956) / $K35, "0")</f>
        <v>0.454545454545455</v>
      </c>
      <c r="M35" s="164" t="n">
        <f aca="false">IF(A35="o",$J35,".")</f>
        <v>0.5</v>
      </c>
      <c r="N35" s="172" t="n">
        <f aca="false">IF($D35=0,"",$E35-$D35)</f>
        <v>0.0208333333333333</v>
      </c>
      <c r="O35" s="173" t="n">
        <f aca="false">IF($O$1=$G35,$J35,"")</f>
        <v>0.5</v>
      </c>
      <c r="P35" s="166" t="str">
        <f aca="false">IF($P$1=$G35,$J35,"")</f>
        <v/>
      </c>
      <c r="Q35" s="166" t="str">
        <f aca="false">IF($Q$1=$G35,$J35,"")</f>
        <v/>
      </c>
      <c r="R35" s="166" t="str">
        <f aca="false">IF($R$1=$G35,$J35,"")</f>
        <v/>
      </c>
      <c r="S35" s="166" t="str">
        <f aca="false">IF($S$1=$G35,$J35,"")</f>
        <v/>
      </c>
      <c r="T35" s="166" t="str">
        <f aca="false">IF($T$1=$G35,$J35,"")</f>
        <v/>
      </c>
      <c r="U35" s="166" t="str">
        <f aca="false">IF($U$1=$G35,$J35,"")</f>
        <v/>
      </c>
      <c r="V35" s="167" t="str">
        <f aca="false">IF($V$1=$G35,$J35,"")</f>
        <v/>
      </c>
      <c r="W35" s="168"/>
      <c r="X35" s="174"/>
      <c r="Y35" s="71"/>
      <c r="Z35" s="71"/>
      <c r="AA35" s="71"/>
      <c r="AB35" s="169"/>
      <c r="AC35" s="71"/>
      <c r="AD35" s="71"/>
      <c r="AE35" s="71"/>
      <c r="AF35" s="71"/>
      <c r="AG35" s="71"/>
      <c r="AH35" s="71"/>
      <c r="AI35" s="71"/>
      <c r="AJ35" s="71"/>
      <c r="AK35" s="71"/>
      <c r="AL35" s="71"/>
      <c r="AM35" s="71"/>
      <c r="AN35" s="71"/>
      <c r="AO35" s="71"/>
      <c r="AP35" s="71"/>
      <c r="AQ35" s="71"/>
      <c r="AR35" s="71"/>
      <c r="AS35" s="71"/>
      <c r="AT35" s="71"/>
      <c r="AU35" s="71"/>
      <c r="AV35" s="71"/>
      <c r="AW35" s="71"/>
      <c r="AX35" s="71"/>
      <c r="AY35" s="71"/>
      <c r="AZ35" s="71"/>
      <c r="BA35" s="71"/>
      <c r="BB35" s="71"/>
    </row>
    <row r="36" customFormat="false" ht="15" hidden="false" customHeight="false" outlineLevel="0" collapsed="false">
      <c r="A36" s="175" t="s">
        <v>33</v>
      </c>
      <c r="B36" s="155" t="n">
        <f aca="false">IF(Table67[[#This Row],[Jour]]="1- Lundi",$C$1+1, IF(Table67[[#This Row],[Jour]]="2- Mardi",$C$1+2, IF(Table67[[#This Row],[Jour]]="3- Mercredi",$C$1+3, IF(Table67[[#This Row],[Jour]]="4- Jeudi",$C$1+4, IF(Table67[[#This Row],[Jour]]="5- Vendredi",$C$1+5, IF(Table67[[#This Row],[Jour]]="6- Samedi",$C$1+6, IF(Table67[[#This Row],[Jour]]="7- Dimanche",$C$1, )))))))</f>
        <v>44331</v>
      </c>
      <c r="C36" s="176" t="s">
        <v>335</v>
      </c>
      <c r="D36" s="177" t="n">
        <v>0.541666666666667</v>
      </c>
      <c r="E36" s="177" t="n">
        <v>0.541666666666667</v>
      </c>
      <c r="F36" s="178" t="s">
        <v>32</v>
      </c>
      <c r="G36" s="178" t="s">
        <v>27</v>
      </c>
      <c r="H36" s="179" t="s">
        <v>338</v>
      </c>
      <c r="I36" s="177"/>
      <c r="J36" s="161" t="n">
        <f aca="false">IF($D36=0,"",($N36-INT($N36))*24)</f>
        <v>0</v>
      </c>
      <c r="K36" s="162" t="n">
        <f aca="false">SUMIF($C$4:$C$80,$C36,$J$4:$J$80)</f>
        <v>5.5</v>
      </c>
      <c r="L36" s="163" t="n">
        <f aca="false">IFERROR(SUMIF($C$4:$C$79,$C36,O$4:O$1956) / $K36, "0")</f>
        <v>0.454545454545455</v>
      </c>
      <c r="M36" s="164" t="str">
        <f aca="false">IF(A36="o",$J36,".")</f>
        <v>.</v>
      </c>
      <c r="N36" s="172" t="n">
        <f aca="false">IF($D36=0,"",$E36-$D36)</f>
        <v>0</v>
      </c>
      <c r="O36" s="166" t="str">
        <f aca="false">IF($O$1=$G36,$J36,"")</f>
        <v/>
      </c>
      <c r="P36" s="166" t="str">
        <f aca="false">IF($P$1=$G36,$J36,"")</f>
        <v/>
      </c>
      <c r="Q36" s="166" t="str">
        <f aca="false">IF($Q$1=$G36,$J36,"")</f>
        <v/>
      </c>
      <c r="R36" s="166" t="str">
        <f aca="false">IF($R$1=$G36,$J36,"")</f>
        <v/>
      </c>
      <c r="S36" s="166" t="str">
        <f aca="false">IF($S$1=$G36,$J36,"")</f>
        <v/>
      </c>
      <c r="T36" s="166" t="str">
        <f aca="false">IF($T$1=$G36,$J36,"")</f>
        <v/>
      </c>
      <c r="U36" s="166" t="str">
        <f aca="false">IF($U$1=$G36,$J36,"")</f>
        <v/>
      </c>
      <c r="V36" s="167" t="str">
        <f aca="false">IF($V$1=$G36,$J36,"")</f>
        <v/>
      </c>
      <c r="W36" s="168"/>
      <c r="X36" s="174"/>
      <c r="Y36" s="71"/>
      <c r="Z36" s="71"/>
      <c r="AA36" s="71"/>
      <c r="AB36" s="169"/>
      <c r="AC36" s="71"/>
      <c r="AD36" s="71"/>
      <c r="AE36" s="71"/>
      <c r="AF36" s="71"/>
      <c r="AG36" s="71"/>
      <c r="AH36" s="71"/>
      <c r="AI36" s="71"/>
      <c r="AJ36" s="71"/>
      <c r="AK36" s="71"/>
      <c r="AL36" s="71"/>
      <c r="AM36" s="71"/>
      <c r="AN36" s="71"/>
      <c r="AO36" s="71"/>
      <c r="AP36" s="71"/>
      <c r="AQ36" s="71"/>
      <c r="AR36" s="71"/>
      <c r="AS36" s="71"/>
      <c r="AT36" s="71"/>
      <c r="AU36" s="71"/>
      <c r="AV36" s="71"/>
      <c r="AW36" s="71"/>
      <c r="AX36" s="71"/>
      <c r="AY36" s="71"/>
      <c r="AZ36" s="71"/>
      <c r="BA36" s="71"/>
      <c r="BB36" s="71"/>
    </row>
    <row r="37" customFormat="false" ht="15" hidden="false" customHeight="false" outlineLevel="0" collapsed="false">
      <c r="A37" s="154" t="s">
        <v>31</v>
      </c>
      <c r="B37" s="155" t="n">
        <f aca="false">IF(Table67[[#This Row],[Jour]]="1- Lundi",$C$1+1, IF(Table67[[#This Row],[Jour]]="2- Mardi",$C$1+2, IF(Table67[[#This Row],[Jour]]="3- Mercredi",$C$1+3, IF(Table67[[#This Row],[Jour]]="4- Jeudi",$C$1+4, IF(Table67[[#This Row],[Jour]]="5- Vendredi",$C$1+5, IF(Table67[[#This Row],[Jour]]="6- Samedi",$C$1+6, IF(Table67[[#This Row],[Jour]]="7- Dimanche",$C$1, )))))))</f>
        <v>44331</v>
      </c>
      <c r="C37" s="176" t="s">
        <v>335</v>
      </c>
      <c r="D37" s="177" t="n">
        <v>0.604166666666667</v>
      </c>
      <c r="E37" s="177" t="n">
        <v>0.708333333333333</v>
      </c>
      <c r="F37" s="178" t="s">
        <v>32</v>
      </c>
      <c r="G37" s="178" t="s">
        <v>22</v>
      </c>
      <c r="H37" s="179" t="s">
        <v>339</v>
      </c>
      <c r="I37" s="177"/>
      <c r="J37" s="161" t="n">
        <f aca="false">IF($D37=0,"",($N37-INT($N37))*24)</f>
        <v>2.5</v>
      </c>
      <c r="K37" s="162" t="n">
        <f aca="false">SUMIF($C$4:$C$80,$C37,$J$4:$J$80)</f>
        <v>5.5</v>
      </c>
      <c r="L37" s="163" t="n">
        <f aca="false">IFERROR(SUMIF($C$4:$C$79,$C37,O$4:O$1956) / $K37, "0")</f>
        <v>0.454545454545455</v>
      </c>
      <c r="M37" s="164" t="n">
        <f aca="false">IF(A37="o",$J37,".")</f>
        <v>2.5</v>
      </c>
      <c r="N37" s="172" t="n">
        <f aca="false">IF($D37=0,"",$E37-$D37)</f>
        <v>0.104166666666667</v>
      </c>
      <c r="O37" s="166" t="str">
        <f aca="false">IF($O$1=$G37,$J37,"")</f>
        <v/>
      </c>
      <c r="P37" s="166" t="str">
        <f aca="false">IF($P$1=$G37,$J37,"")</f>
        <v/>
      </c>
      <c r="Q37" s="166" t="str">
        <f aca="false">IF($Q$1=$G37,$J37,"")</f>
        <v/>
      </c>
      <c r="R37" s="173" t="n">
        <f aca="false">IF($R$1=$G37,$J37,"")</f>
        <v>2.5</v>
      </c>
      <c r="S37" s="166" t="str">
        <f aca="false">IF($S$1=$G37,$J37,"")</f>
        <v/>
      </c>
      <c r="T37" s="166" t="str">
        <f aca="false">IF($T$1=$G37,$J37,"")</f>
        <v/>
      </c>
      <c r="U37" s="166" t="str">
        <f aca="false">IF($U$1=$G37,$J37,"")</f>
        <v/>
      </c>
      <c r="V37" s="167" t="str">
        <f aca="false">IF($V$1=$G37,$J37,"")</f>
        <v/>
      </c>
      <c r="W37" s="168"/>
      <c r="X37" s="174"/>
      <c r="Y37" s="71"/>
      <c r="Z37" s="71"/>
      <c r="AA37" s="71"/>
      <c r="AB37" s="169"/>
      <c r="AC37" s="71"/>
      <c r="AD37" s="71"/>
      <c r="AE37" s="71"/>
      <c r="AF37" s="71"/>
      <c r="AG37" s="71"/>
      <c r="AH37" s="71"/>
      <c r="AI37" s="71"/>
      <c r="AJ37" s="71"/>
      <c r="AK37" s="71"/>
      <c r="AL37" s="71"/>
      <c r="AM37" s="71"/>
      <c r="AN37" s="71"/>
      <c r="AO37" s="71"/>
      <c r="AP37" s="71"/>
      <c r="AQ37" s="71"/>
      <c r="AR37" s="71"/>
      <c r="AS37" s="71"/>
      <c r="AT37" s="71"/>
      <c r="AU37" s="71"/>
      <c r="AV37" s="71"/>
      <c r="AW37" s="71"/>
      <c r="AX37" s="71"/>
      <c r="AY37" s="71"/>
      <c r="AZ37" s="71"/>
      <c r="BA37" s="71"/>
      <c r="BB37" s="71"/>
    </row>
    <row r="38" customFormat="false" ht="15" hidden="false" customHeight="false" outlineLevel="0" collapsed="false">
      <c r="A38" s="175" t="s">
        <v>31</v>
      </c>
      <c r="B38" s="155" t="n">
        <f aca="false">IF(Table67[[#This Row],[Jour]]="1- Lundi",$C$1+1, IF(Table67[[#This Row],[Jour]]="2- Mardi",$C$1+2, IF(Table67[[#This Row],[Jour]]="3- Mercredi",$C$1+3, IF(Table67[[#This Row],[Jour]]="4- Jeudi",$C$1+4, IF(Table67[[#This Row],[Jour]]="5- Vendredi",$C$1+5, IF(Table67[[#This Row],[Jour]]="6- Samedi",$C$1+6, IF(Table67[[#This Row],[Jour]]="7- Dimanche",$C$1, )))))))</f>
        <v>44331</v>
      </c>
      <c r="C38" s="176" t="s">
        <v>335</v>
      </c>
      <c r="D38" s="177" t="n">
        <v>0.708333333333333</v>
      </c>
      <c r="E38" s="177" t="n">
        <v>0.729166666666667</v>
      </c>
      <c r="F38" s="178" t="s">
        <v>32</v>
      </c>
      <c r="G38" s="178" t="s">
        <v>21</v>
      </c>
      <c r="H38" s="179"/>
      <c r="I38" s="177"/>
      <c r="J38" s="161" t="n">
        <f aca="false">IF($D38=0,"",($N38-INT($N38))*24)</f>
        <v>0.5</v>
      </c>
      <c r="K38" s="162" t="n">
        <f aca="false">SUMIF($C$4:$C$80,$C38,$J$4:$J$80)</f>
        <v>5.5</v>
      </c>
      <c r="L38" s="163" t="n">
        <f aca="false">IFERROR(SUMIF($C$4:$C$79,$C38,O$4:O$1956) / $K38, "0")</f>
        <v>0.454545454545455</v>
      </c>
      <c r="M38" s="164" t="n">
        <f aca="false">IF(A38="o",$J38,".")</f>
        <v>0.5</v>
      </c>
      <c r="N38" s="172" t="n">
        <f aca="false">IF($D38=0,"",$E38-$D38)</f>
        <v>0.0208333333333333</v>
      </c>
      <c r="O38" s="166" t="str">
        <f aca="false">IF($O$1=$G38,$J38,"")</f>
        <v/>
      </c>
      <c r="P38" s="166" t="str">
        <f aca="false">IF($P$1=$G38,$J38,"")</f>
        <v/>
      </c>
      <c r="Q38" s="173" t="n">
        <f aca="false">IF($Q$1=$G38,$J38,"")</f>
        <v>0.5</v>
      </c>
      <c r="R38" s="166" t="str">
        <f aca="false">IF($R$1=$G38,$J38,"")</f>
        <v/>
      </c>
      <c r="S38" s="166" t="str">
        <f aca="false">IF($S$1=$G38,$J38,"")</f>
        <v/>
      </c>
      <c r="T38" s="166" t="str">
        <f aca="false">IF($T$1=$G38,$J38,"")</f>
        <v/>
      </c>
      <c r="U38" s="166" t="str">
        <f aca="false">IF($U$1=$G38,$J38,"")</f>
        <v/>
      </c>
      <c r="V38" s="167" t="str">
        <f aca="false">IF($V$1=$G38,$J38,"")</f>
        <v/>
      </c>
      <c r="W38" s="168"/>
      <c r="X38" s="174"/>
      <c r="Y38" s="71"/>
      <c r="Z38" s="71"/>
      <c r="AA38" s="71"/>
      <c r="AB38" s="169"/>
      <c r="AC38" s="71"/>
      <c r="AD38" s="71"/>
      <c r="AE38" s="71"/>
      <c r="AF38" s="71"/>
      <c r="AG38" s="71"/>
      <c r="AH38" s="71"/>
      <c r="AI38" s="71"/>
      <c r="AJ38" s="71"/>
      <c r="AK38" s="71"/>
      <c r="AL38" s="71"/>
      <c r="AM38" s="71"/>
      <c r="AN38" s="71"/>
      <c r="AO38" s="71"/>
      <c r="AP38" s="71"/>
      <c r="AQ38" s="71"/>
      <c r="AR38" s="71"/>
      <c r="AS38" s="71"/>
      <c r="AT38" s="71"/>
      <c r="AU38" s="71"/>
      <c r="AV38" s="71"/>
      <c r="AW38" s="71"/>
      <c r="AX38" s="71"/>
      <c r="AY38" s="71"/>
      <c r="AZ38" s="71"/>
      <c r="BA38" s="71"/>
      <c r="BB38" s="71"/>
    </row>
    <row r="39" customFormat="false" ht="15" hidden="false" customHeight="false" outlineLevel="0" collapsed="false">
      <c r="A39" s="175" t="s">
        <v>31</v>
      </c>
      <c r="B39" s="155" t="n">
        <f aca="false">IF(Table67[[#This Row],[Jour]]="1- Lundi",$C$1+1, IF(Table67[[#This Row],[Jour]]="2- Mardi",$C$1+2, IF(Table67[[#This Row],[Jour]]="3- Mercredi",$C$1+3, IF(Table67[[#This Row],[Jour]]="4- Jeudi",$C$1+4, IF(Table67[[#This Row],[Jour]]="5- Vendredi",$C$1+5, IF(Table67[[#This Row],[Jour]]="6- Samedi",$C$1+6, IF(Table67[[#This Row],[Jour]]="7- Dimanche",$C$1, )))))))</f>
        <v>44331</v>
      </c>
      <c r="C39" s="176" t="s">
        <v>335</v>
      </c>
      <c r="D39" s="177" t="n">
        <v>0.75</v>
      </c>
      <c r="E39" s="177" t="n">
        <v>0.8125</v>
      </c>
      <c r="F39" s="184" t="s">
        <v>63</v>
      </c>
      <c r="G39" s="184" t="s">
        <v>19</v>
      </c>
      <c r="H39" s="185" t="s">
        <v>340</v>
      </c>
      <c r="I39" s="177"/>
      <c r="J39" s="161" t="n">
        <f aca="false">IF($D39=0,"",($N39-INT($N39))*24)</f>
        <v>1.5</v>
      </c>
      <c r="K39" s="162" t="n">
        <f aca="false">SUMIF($C$4:$C$80,$C39,$J$4:$J$80)</f>
        <v>5.5</v>
      </c>
      <c r="L39" s="163" t="n">
        <f aca="false">IFERROR(SUMIF($C$4:$C$79,$C39,O$4:O$1956) / $K39, "0")</f>
        <v>0.454545454545455</v>
      </c>
      <c r="M39" s="164" t="n">
        <f aca="false">IF(A39="o",$J39,".")</f>
        <v>1.5</v>
      </c>
      <c r="N39" s="172" t="n">
        <f aca="false">IF($D39=0,"",$E39-$D39)</f>
        <v>0.0625</v>
      </c>
      <c r="O39" s="180" t="n">
        <f aca="false">IF($O$1=$G39,$J39,"")</f>
        <v>1.5</v>
      </c>
      <c r="P39" s="180" t="str">
        <f aca="false">IF($P$1=$G39,$J39,"")</f>
        <v/>
      </c>
      <c r="Q39" s="180" t="str">
        <f aca="false">IF($Q$1=$G39,$J39,"")</f>
        <v/>
      </c>
      <c r="R39" s="180" t="str">
        <f aca="false">IF($R$1=$G39,$J39,"")</f>
        <v/>
      </c>
      <c r="S39" s="180" t="str">
        <f aca="false">IF($S$1=$G39,$J39,"")</f>
        <v/>
      </c>
      <c r="T39" s="180" t="str">
        <f aca="false">IF($T$1=$G39,$J39,"")</f>
        <v/>
      </c>
      <c r="U39" s="180" t="str">
        <f aca="false">IF($U$1=$G39,$J39,"")</f>
        <v/>
      </c>
      <c r="V39" s="181" t="str">
        <f aca="false">IF($V$1=$G39,$J39,"")</f>
        <v/>
      </c>
      <c r="W39" s="168"/>
      <c r="X39" s="174"/>
      <c r="Y39" s="71"/>
      <c r="Z39" s="71"/>
      <c r="AA39" s="71"/>
      <c r="AB39" s="169"/>
      <c r="AC39" s="71"/>
      <c r="AD39" s="71"/>
      <c r="AE39" s="71"/>
      <c r="AF39" s="71"/>
      <c r="AG39" s="71"/>
      <c r="AH39" s="71"/>
      <c r="AI39" s="71"/>
      <c r="AJ39" s="71"/>
      <c r="AK39" s="71"/>
      <c r="AL39" s="71"/>
      <c r="AM39" s="71"/>
      <c r="AN39" s="71"/>
      <c r="AO39" s="71"/>
      <c r="AP39" s="71"/>
      <c r="AQ39" s="71"/>
      <c r="AR39" s="71"/>
      <c r="AS39" s="71"/>
      <c r="AT39" s="71"/>
      <c r="AU39" s="71"/>
      <c r="AV39" s="71"/>
      <c r="AW39" s="71"/>
      <c r="AX39" s="71"/>
      <c r="AY39" s="71"/>
      <c r="AZ39" s="71"/>
      <c r="BA39" s="71"/>
      <c r="BB39" s="71"/>
    </row>
    <row r="40" customFormat="false" ht="15" hidden="false" customHeight="false" outlineLevel="0" collapsed="false">
      <c r="A40" s="175" t="s">
        <v>31</v>
      </c>
      <c r="B40" s="155" t="n">
        <f aca="false">IF(Table67[[#This Row],[Jour]]="1- Lundi",$C$1+1, IF(Table67[[#This Row],[Jour]]="2- Mardi",$C$1+2, IF(Table67[[#This Row],[Jour]]="3- Mercredi",$C$1+3, IF(Table67[[#This Row],[Jour]]="4- Jeudi",$C$1+4, IF(Table67[[#This Row],[Jour]]="5- Vendredi",$C$1+5, IF(Table67[[#This Row],[Jour]]="6- Samedi",$C$1+6, IF(Table67[[#This Row],[Jour]]="7- Dimanche",$C$1, )))))))</f>
        <v>44332</v>
      </c>
      <c r="C40" s="176" t="s">
        <v>341</v>
      </c>
      <c r="D40" s="177" t="n">
        <v>0.302083333333333</v>
      </c>
      <c r="E40" s="177" t="n">
        <v>0.322916666666667</v>
      </c>
      <c r="F40" s="178" t="s">
        <v>63</v>
      </c>
      <c r="G40" s="178" t="s">
        <v>19</v>
      </c>
      <c r="H40" s="179" t="s">
        <v>342</v>
      </c>
      <c r="I40" s="177"/>
      <c r="J40" s="161" t="n">
        <f aca="false">IF($D40=0,"",($N40-INT($N40))*24)</f>
        <v>0.5</v>
      </c>
      <c r="K40" s="162" t="n">
        <f aca="false">SUMIF($C$4:$C$80,$C40,$J$4:$J$80)</f>
        <v>3.5</v>
      </c>
      <c r="L40" s="163" t="n">
        <f aca="false">IFERROR(SUMIF($C$4:$C$79,$C40,O$4:O$1956) / $K40, "0")</f>
        <v>1</v>
      </c>
      <c r="M40" s="164" t="n">
        <f aca="false">IF(A40="o",$J40,".")</f>
        <v>0.5</v>
      </c>
      <c r="N40" s="172" t="n">
        <f aca="false">IF($D40=0,"",$E40-$D40)</f>
        <v>0.0208333333333333</v>
      </c>
      <c r="O40" s="180" t="n">
        <f aca="false">IF($O$1=$G40,$J40,"")</f>
        <v>0.500000000000001</v>
      </c>
      <c r="P40" s="180" t="str">
        <f aca="false">IF($P$1=$G40,$J40,"")</f>
        <v/>
      </c>
      <c r="Q40" s="180" t="str">
        <f aca="false">IF($Q$1=$G40,$J40,"")</f>
        <v/>
      </c>
      <c r="R40" s="180" t="str">
        <f aca="false">IF($R$1=$G40,$J40,"")</f>
        <v/>
      </c>
      <c r="S40" s="180" t="str">
        <f aca="false">IF($S$1=$G40,$J40,"")</f>
        <v/>
      </c>
      <c r="T40" s="180" t="str">
        <f aca="false">IF($T$1=$G40,$J40,"")</f>
        <v/>
      </c>
      <c r="U40" s="180" t="str">
        <f aca="false">IF($U$1=$G40,$J40,"")</f>
        <v/>
      </c>
      <c r="V40" s="181" t="str">
        <f aca="false">IF($V$1=$G40,$J40,"")</f>
        <v/>
      </c>
      <c r="W40" s="168"/>
    </row>
    <row r="41" customFormat="false" ht="15" hidden="false" customHeight="false" outlineLevel="0" collapsed="false">
      <c r="A41" s="175" t="s">
        <v>31</v>
      </c>
      <c r="B41" s="155" t="n">
        <f aca="false">IF(Table67[[#This Row],[Jour]]="1- Lundi",$C$1+1, IF(Table67[[#This Row],[Jour]]="2- Mardi",$C$1+2, IF(Table67[[#This Row],[Jour]]="3- Mercredi",$C$1+3, IF(Table67[[#This Row],[Jour]]="4- Jeudi",$C$1+4, IF(Table67[[#This Row],[Jour]]="5- Vendredi",$C$1+5, IF(Table67[[#This Row],[Jour]]="6- Samedi",$C$1+6, IF(Table67[[#This Row],[Jour]]="7- Dimanche",$C$1, )))))))</f>
        <v>44332</v>
      </c>
      <c r="C41" s="176" t="s">
        <v>341</v>
      </c>
      <c r="D41" s="186" t="n">
        <v>0.3125</v>
      </c>
      <c r="E41" s="186" t="n">
        <v>0.333333333333333</v>
      </c>
      <c r="F41" s="184" t="s">
        <v>63</v>
      </c>
      <c r="G41" s="184" t="s">
        <v>19</v>
      </c>
      <c r="H41" s="179" t="s">
        <v>343</v>
      </c>
      <c r="I41" s="177"/>
      <c r="J41" s="161" t="n">
        <f aca="false">IF($D41=0,"",($N41-INT($N41))*24)</f>
        <v>0.5</v>
      </c>
      <c r="K41" s="162" t="n">
        <f aca="false">SUMIF($C$4:$C$80,$C41,$J$4:$J$80)</f>
        <v>3.5</v>
      </c>
      <c r="L41" s="163" t="n">
        <f aca="false">IFERROR(SUMIF($C$4:$C$79,$C41,O$4:O$1956) / $K41, "0")</f>
        <v>1</v>
      </c>
      <c r="M41" s="164" t="n">
        <f aca="false">IF(A41="o",$J41,".")</f>
        <v>0.5</v>
      </c>
      <c r="N41" s="172" t="n">
        <f aca="false">IF($D41=0,"",$E41-$D41)</f>
        <v>0.0208333333333333</v>
      </c>
      <c r="O41" s="183" t="n">
        <f aca="false">IF($O$1=$G41,$J41,"")</f>
        <v>0.5</v>
      </c>
      <c r="P41" s="180" t="str">
        <f aca="false">IF($P$1=$G41,$J41,"")</f>
        <v/>
      </c>
      <c r="Q41" s="180" t="str">
        <f aca="false">IF($Q$1=$G41,$J41,"")</f>
        <v/>
      </c>
      <c r="R41" s="180" t="str">
        <f aca="false">IF($R$1=$G41,$J41,"")</f>
        <v/>
      </c>
      <c r="S41" s="180" t="str">
        <f aca="false">IF($S$1=$G41,$J41,"")</f>
        <v/>
      </c>
      <c r="T41" s="180" t="str">
        <f aca="false">IF($T$1=$G41,$J41,"")</f>
        <v/>
      </c>
      <c r="U41" s="180" t="str">
        <f aca="false">IF($U$1=$G41,$J41,"")</f>
        <v/>
      </c>
      <c r="V41" s="181" t="str">
        <f aca="false">IF($V$1=$G41,$J41,"")</f>
        <v/>
      </c>
      <c r="W41" s="168"/>
    </row>
    <row r="42" customFormat="false" ht="15" hidden="false" customHeight="false" outlineLevel="0" collapsed="false">
      <c r="A42" s="175" t="s">
        <v>31</v>
      </c>
      <c r="B42" s="155" t="n">
        <f aca="false">IF(Table67[[#This Row],[Jour]]="1- Lundi",$C$1+1, IF(Table67[[#This Row],[Jour]]="2- Mardi",$C$1+2, IF(Table67[[#This Row],[Jour]]="3- Mercredi",$C$1+3, IF(Table67[[#This Row],[Jour]]="4- Jeudi",$C$1+4, IF(Table67[[#This Row],[Jour]]="5- Vendredi",$C$1+5, IF(Table67[[#This Row],[Jour]]="6- Samedi",$C$1+6, IF(Table67[[#This Row],[Jour]]="7- Dimanche",$C$1, )))))))</f>
        <v>44332</v>
      </c>
      <c r="C42" s="176" t="s">
        <v>341</v>
      </c>
      <c r="D42" s="186" t="n">
        <v>0.395833333333333</v>
      </c>
      <c r="E42" s="186" t="n">
        <v>0.5</v>
      </c>
      <c r="F42" s="184" t="s">
        <v>63</v>
      </c>
      <c r="G42" s="184" t="s">
        <v>19</v>
      </c>
      <c r="H42" s="185" t="s">
        <v>340</v>
      </c>
      <c r="I42" s="177"/>
      <c r="J42" s="161" t="n">
        <f aca="false">IF($D42=0,"",($N42-INT($N42))*24)</f>
        <v>2.5</v>
      </c>
      <c r="K42" s="162" t="n">
        <f aca="false">SUMIF($C$4:$C$80,$C42,$J$4:$J$80)</f>
        <v>3.5</v>
      </c>
      <c r="L42" s="163" t="n">
        <f aca="false">IFERROR(SUMIF($C$4:$C$79,$C42,O$4:O$1956) / $K42, "0")</f>
        <v>1</v>
      </c>
      <c r="M42" s="164" t="n">
        <f aca="false">IF(A42="o",$J42,".")</f>
        <v>2.5</v>
      </c>
      <c r="N42" s="172" t="n">
        <f aca="false">IF($D42=0,"",$E42-$D42)</f>
        <v>0.104166666666667</v>
      </c>
      <c r="O42" s="183" t="n">
        <f aca="false">IF($O$1=$G42,$J42,"")</f>
        <v>2.5</v>
      </c>
      <c r="P42" s="180" t="str">
        <f aca="false">IF($P$1=$G42,$J42,"")</f>
        <v/>
      </c>
      <c r="Q42" s="180" t="str">
        <f aca="false">IF($Q$1=$G42,$J42,"")</f>
        <v/>
      </c>
      <c r="R42" s="180" t="str">
        <f aca="false">IF($R$1=$G42,$J42,"")</f>
        <v/>
      </c>
      <c r="S42" s="180" t="str">
        <f aca="false">IF($S$1=$G42,$J42,"")</f>
        <v/>
      </c>
      <c r="T42" s="180" t="str">
        <f aca="false">IF($T$1=$G42,$J42,"")</f>
        <v/>
      </c>
      <c r="U42" s="180" t="str">
        <f aca="false">IF($U$1=$G42,$J42,"")</f>
        <v/>
      </c>
      <c r="V42" s="181" t="str">
        <f aca="false">IF($V$1=$G42,$J42,"")</f>
        <v/>
      </c>
      <c r="W42" s="168"/>
    </row>
    <row r="43" customFormat="false" ht="15" hidden="false" customHeight="false" outlineLevel="0" collapsed="false">
      <c r="B43" s="71"/>
      <c r="C43" s="187"/>
      <c r="D43" s="71"/>
      <c r="G43" s="71"/>
      <c r="J43" s="119"/>
      <c r="K43" s="174"/>
      <c r="M43" s="188"/>
      <c r="N43" s="189"/>
      <c r="O43" s="71"/>
      <c r="P43" s="187"/>
      <c r="Q43" s="187"/>
      <c r="R43" s="71"/>
      <c r="S43" s="71"/>
      <c r="T43" s="71"/>
      <c r="U43" s="71"/>
      <c r="V43" s="71"/>
      <c r="W43" s="71"/>
    </row>
    <row r="44" customFormat="false" ht="15" hidden="false" customHeight="false" outlineLevel="0" collapsed="false">
      <c r="B44" s="71"/>
      <c r="C44" s="187"/>
      <c r="D44" s="71"/>
      <c r="G44" s="71"/>
      <c r="J44" s="119"/>
      <c r="K44" s="174"/>
      <c r="M44" s="188"/>
      <c r="N44" s="189"/>
      <c r="O44" s="71"/>
      <c r="P44" s="187"/>
      <c r="Q44" s="187"/>
      <c r="R44" s="71"/>
      <c r="S44" s="71"/>
      <c r="T44" s="71"/>
      <c r="U44" s="71"/>
      <c r="V44" s="71"/>
      <c r="W44" s="71"/>
    </row>
    <row r="45" customFormat="false" ht="15" hidden="false" customHeight="false" outlineLevel="0" collapsed="false">
      <c r="B45" s="71"/>
      <c r="C45" s="187"/>
      <c r="D45" s="71"/>
      <c r="G45" s="71"/>
      <c r="J45" s="119"/>
      <c r="K45" s="174"/>
      <c r="M45" s="188"/>
      <c r="N45" s="189"/>
      <c r="O45" s="71"/>
      <c r="P45" s="187"/>
      <c r="Q45" s="187"/>
      <c r="R45" s="71"/>
      <c r="S45" s="71"/>
      <c r="T45" s="71"/>
      <c r="U45" s="71"/>
      <c r="V45" s="71"/>
      <c r="W45" s="71"/>
    </row>
    <row r="46" customFormat="false" ht="15" hidden="false" customHeight="false" outlineLevel="0" collapsed="false">
      <c r="P46" s="187"/>
      <c r="Q46" s="187"/>
    </row>
    <row r="47" customFormat="false" ht="15" hidden="false" customHeight="false" outlineLevel="0" collapsed="false">
      <c r="P47" s="187"/>
      <c r="Q47" s="187"/>
    </row>
    <row r="48" customFormat="false" ht="15" hidden="false" customHeight="false" outlineLevel="1" collapsed="false">
      <c r="P48" s="187"/>
      <c r="Q48" s="187"/>
    </row>
    <row r="49" customFormat="false" ht="15" hidden="false" customHeight="false" outlineLevel="0" collapsed="false">
      <c r="P49" s="187"/>
      <c r="Q49" s="187"/>
    </row>
    <row r="50" customFormat="false" ht="15" hidden="false" customHeight="false" outlineLevel="0" collapsed="false">
      <c r="P50" s="187"/>
      <c r="Q50" s="187"/>
    </row>
    <row r="51" customFormat="false" ht="15" hidden="false" customHeight="false" outlineLevel="0" collapsed="false">
      <c r="B51" s="1" t="n">
        <f aca="false">LEN(C51)</f>
        <v>14</v>
      </c>
      <c r="C51" s="190" t="n">
        <v>10061719012811</v>
      </c>
      <c r="P51" s="187"/>
      <c r="Q51" s="187"/>
    </row>
    <row r="52" customFormat="false" ht="15" hidden="false" customHeight="false" outlineLevel="0" collapsed="false">
      <c r="P52" s="187"/>
      <c r="Q52" s="187"/>
    </row>
    <row r="53" customFormat="false" ht="15" hidden="false" customHeight="false" outlineLevel="0" collapsed="false">
      <c r="P53" s="187"/>
      <c r="Q53" s="187"/>
    </row>
    <row r="54" customFormat="false" ht="15" hidden="false" customHeight="false" outlineLevel="0" collapsed="false">
      <c r="P54" s="187"/>
      <c r="Q54" s="187"/>
    </row>
    <row r="55" customFormat="false" ht="15" hidden="false" customHeight="false" outlineLevel="0" collapsed="false">
      <c r="P55" s="187"/>
      <c r="Q55" s="187"/>
    </row>
    <row r="56" customFormat="false" ht="15" hidden="false" customHeight="false" outlineLevel="0" collapsed="false">
      <c r="P56" s="187"/>
      <c r="Q56" s="187"/>
    </row>
    <row r="57" customFormat="false" ht="15" hidden="false" customHeight="false" outlineLevel="0" collapsed="false">
      <c r="P57" s="187"/>
      <c r="Q57" s="187"/>
    </row>
    <row r="58" customFormat="false" ht="15" hidden="false" customHeight="false" outlineLevel="0" collapsed="false">
      <c r="P58" s="187"/>
      <c r="Q58" s="187"/>
    </row>
    <row r="59" customFormat="false" ht="15" hidden="false" customHeight="false" outlineLevel="0" collapsed="false">
      <c r="P59" s="187"/>
      <c r="Q59" s="187"/>
    </row>
  </sheetData>
  <conditionalFormatting sqref="H4:H42">
    <cfRule type="expression" priority="2" aboveAverage="0" equalAverage="0" bottom="0" percent="0" rank="0" text="" dxfId="634">
      <formula>A4="O"</formula>
    </cfRule>
  </conditionalFormatting>
  <conditionalFormatting sqref="K4:K42">
    <cfRule type="expression" priority="3" aboveAverage="0" equalAverage="0" bottom="0" percent="0" rank="0" text="" dxfId="635">
      <formula>A4="O"</formula>
    </cfRule>
    <cfRule type="expression" priority="4" aboveAverage="0" equalAverage="0" bottom="0" percent="0" rank="0" text="" dxfId="636">
      <formula>A4="O"</formula>
    </cfRule>
  </conditionalFormatting>
  <conditionalFormatting sqref="C4:C42">
    <cfRule type="expression" priority="5" aboveAverage="0" equalAverage="0" bottom="0" percent="0" rank="0" text="" dxfId="637">
      <formula>A4="O"</formula>
    </cfRule>
    <cfRule type="containsText" priority="6" operator="containsText" aboveAverage="0" equalAverage="0" bottom="0" percent="0" rank="0" text="5" dxfId="638">
      <formula>NOT(ISERROR(SEARCH("5",C4)))</formula>
    </cfRule>
    <cfRule type="containsText" priority="7" operator="containsText" aboveAverage="0" equalAverage="0" bottom="0" percent="0" rank="0" text="4" dxfId="639">
      <formula>NOT(ISERROR(SEARCH("4",C4)))</formula>
    </cfRule>
    <cfRule type="containsText" priority="8" operator="containsText" aboveAverage="0" equalAverage="0" bottom="0" percent="0" rank="0" text="3" dxfId="640">
      <formula>NOT(ISERROR(SEARCH("3",C4)))</formula>
    </cfRule>
    <cfRule type="containsText" priority="9" operator="containsText" aboveAverage="0" equalAverage="0" bottom="0" percent="0" rank="0" text="2" dxfId="641">
      <formula>NOT(ISERROR(SEARCH("2",C4)))</formula>
    </cfRule>
    <cfRule type="containsText" priority="10" operator="containsText" aboveAverage="0" equalAverage="0" bottom="0" percent="0" rank="0" text="1" dxfId="642">
      <formula>NOT(ISERROR(SEARCH("1",C4)))</formula>
    </cfRule>
  </conditionalFormatting>
  <conditionalFormatting sqref="AA2:BB2">
    <cfRule type="dataBar" priority="11">
      <dataBar showValue="1" minLength="10" maxLength="90">
        <cfvo type="min" val="0"/>
        <cfvo type="max" val="0"/>
        <color rgb="FF63C384"/>
      </dataBar>
      <extLst>
        <ext xmlns:x14="http://schemas.microsoft.com/office/spreadsheetml/2009/9/main" uri="{B025F937-C7B1-47D3-B67F-A62EFF666E3E}">
          <x14:id>{D9AADD17-CD22-4FE2-A438-1E3ACC8834C8}</x14:id>
        </ext>
      </extLst>
    </cfRule>
  </conditionalFormatting>
  <conditionalFormatting sqref="O2:Z2">
    <cfRule type="dataBar" priority="12">
      <dataBar showValue="1" minLength="10" maxLength="90">
        <cfvo type="min" val="0"/>
        <cfvo type="max" val="0"/>
        <color rgb="FFFFB628"/>
      </dataBar>
      <extLst>
        <ext xmlns:x14="http://schemas.microsoft.com/office/spreadsheetml/2009/9/main" uri="{B025F937-C7B1-47D3-B67F-A62EFF666E3E}">
          <x14:id>{841A8DE0-B545-4430-90E7-5F9D39B792F9}</x14:id>
        </ext>
      </extLst>
    </cfRule>
  </conditionalFormatting>
  <conditionalFormatting sqref="O2:BB2">
    <cfRule type="dataBar" priority="13">
      <dataBar showValue="1" minLength="10" maxLength="90">
        <cfvo type="min" val="0"/>
        <cfvo type="max" val="0"/>
        <color rgb="FFFFB628"/>
      </dataBar>
      <extLst>
        <ext xmlns:x14="http://schemas.microsoft.com/office/spreadsheetml/2009/9/main" uri="{B025F937-C7B1-47D3-B67F-A62EFF666E3E}">
          <x14:id>{444D4017-6E16-4C57-B669-4FAF3244A0BF}</x14:id>
        </ext>
      </extLst>
    </cfRule>
  </conditionalFormatting>
  <conditionalFormatting sqref="O2:X2">
    <cfRule type="dataBar" priority="14">
      <dataBar showValue="1" minLength="10" maxLength="90">
        <cfvo type="min" val="0"/>
        <cfvo type="max" val="0"/>
        <color rgb="FF638EC6"/>
      </dataBar>
      <extLst>
        <ext xmlns:x14="http://schemas.microsoft.com/office/spreadsheetml/2009/9/main" uri="{B025F937-C7B1-47D3-B67F-A62EFF666E3E}">
          <x14:id>{9CBF5114-C6FA-44BA-BE78-6AF2006A4D20}</x14:id>
        </ext>
      </extLst>
    </cfRule>
  </conditionalFormatting>
  <conditionalFormatting sqref="Y2:Z2">
    <cfRule type="dataBar" priority="15">
      <dataBar showValue="1" minLength="10" maxLength="90">
        <cfvo type="min" val="0"/>
        <cfvo type="max" val="0"/>
        <color rgb="FF63C384"/>
      </dataBar>
      <extLst>
        <ext xmlns:x14="http://schemas.microsoft.com/office/spreadsheetml/2009/9/main" uri="{B025F937-C7B1-47D3-B67F-A62EFF666E3E}">
          <x14:id>{CFC781AA-E1D9-4644-B110-E04A5EC3733D}</x14:id>
        </ext>
      </extLst>
    </cfRule>
  </conditionalFormatting>
  <conditionalFormatting sqref="G4:G42">
    <cfRule type="expression" priority="16" aboveAverage="0" equalAverage="0" bottom="0" percent="0" rank="0" text="" dxfId="643">
      <formula>A4="O"</formula>
    </cfRule>
  </conditionalFormatting>
  <conditionalFormatting sqref="I4:I42">
    <cfRule type="expression" priority="17" aboveAverage="0" equalAverage="0" bottom="0" percent="0" rank="0" text="" dxfId="644">
      <formula>A4="O"</formula>
    </cfRule>
  </conditionalFormatting>
  <conditionalFormatting sqref="J4:J42">
    <cfRule type="expression" priority="18" aboveAverage="0" equalAverage="0" bottom="0" percent="0" rank="0" text="" dxfId="645">
      <formula>A4="O"</formula>
    </cfRule>
  </conditionalFormatting>
  <conditionalFormatting sqref="F4:F42">
    <cfRule type="expression" priority="19" aboveAverage="0" equalAverage="0" bottom="0" percent="0" rank="0" text="" dxfId="646">
      <formula>A4="O"</formula>
    </cfRule>
  </conditionalFormatting>
  <conditionalFormatting sqref="B4:B42">
    <cfRule type="expression" priority="20" aboveAverage="0" equalAverage="0" bottom="0" percent="0" rank="0" text="" dxfId="647">
      <formula>A4="O"</formula>
    </cfRule>
    <cfRule type="colorScale" priority="21">
      <colorScale>
        <cfvo type="min" val="0"/>
        <cfvo type="percentile" val="50"/>
        <cfvo type="max" val="0"/>
        <color rgb="FFFFC000"/>
        <color rgb="FFC55A11"/>
        <color rgb="FF2E75B6"/>
      </colorScale>
    </cfRule>
  </conditionalFormatting>
  <conditionalFormatting sqref="D4:D42">
    <cfRule type="expression" priority="22" aboveAverage="0" equalAverage="0" bottom="0" percent="0" rank="0" text="" dxfId="648">
      <formula>A4="O"</formula>
    </cfRule>
    <cfRule type="colorScale" priority="23">
      <colorScale>
        <cfvo type="min" val="0"/>
        <cfvo type="percentile" val="50"/>
        <cfvo type="max" val="0"/>
        <color rgb="FFFFC000"/>
        <color rgb="FFC55A11"/>
        <color rgb="FF2E75B6"/>
      </colorScale>
    </cfRule>
  </conditionalFormatting>
  <conditionalFormatting sqref="E4:E42">
    <cfRule type="colorScale" priority="24">
      <colorScale>
        <cfvo type="min" val="0"/>
        <cfvo type="percentile" val="50"/>
        <cfvo type="max" val="0"/>
        <color rgb="FFFFC000"/>
        <color rgb="FFC55A11"/>
        <color rgb="FF2E75B6"/>
      </colorScale>
    </cfRule>
    <cfRule type="expression" priority="25" aboveAverage="0" equalAverage="0" bottom="0" percent="0" rank="0" text="" dxfId="649">
      <formula>A4="O"</formula>
    </cfRule>
  </conditionalFormatting>
  <dataValidations count="4">
    <dataValidation allowBlank="true" errorStyle="stop" operator="between" showDropDown="false" showErrorMessage="true" showInputMessage="true" sqref="C1" type="list">
      <formula1>Data!$A$2:$A$106</formula1>
      <formula2>0</formula2>
    </dataValidation>
    <dataValidation allowBlank="true" errorStyle="information" errorTitle="OK ?" operator="between" showDropDown="false" showErrorMessage="true" showInputMessage="true" sqref="G4:G42" type="list">
      <formula1>Data!$D$2:$D$16</formula1>
      <formula2>0</formula2>
    </dataValidation>
    <dataValidation allowBlank="false" errorStyle="stop" operator="between" showDropDown="false" showErrorMessage="true" showInputMessage="true" sqref="F4:F42" type="list">
      <formula1>Data!$E$2:$E$30</formula1>
      <formula2>0</formula2>
    </dataValidation>
    <dataValidation allowBlank="true" errorStyle="stop" operator="between" showDropDown="false" showErrorMessage="true" showInputMessage="true" sqref="C4:C42" type="list">
      <formula1>Data!$C$2:$C$8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  <tableParts>
    <tablePart r:id="rId4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9AADD17-CD22-4FE2-A438-1E3ACC8834C8}">
            <x14:dataBar minLength="10" maxLength="90" axisPosition="automatic" gradient="true">
              <x14:cfvo type="autoMin"/>
              <x14:cfvo type="autoMax"/>
              <x14:negativeFillColor rgb="FFFF0000"/>
              <x14:axisColor rgb="FF000000"/>
            </x14:dataBar>
          </x14:cfRule>
          <xm:sqref>AA2:BB2</xm:sqref>
        </x14:conditionalFormatting>
        <x14:conditionalFormatting xmlns:xm="http://schemas.microsoft.com/office/excel/2006/main">
          <x14:cfRule type="dataBar" id="{841A8DE0-B545-4430-90E7-5F9D39B792F9}">
            <x14:dataBar minLength="10" maxLength="90" axisPosition="automatic" gradient="true">
              <x14:cfvo type="autoMin"/>
              <x14:cfvo type="autoMax"/>
              <x14:negativeFillColor rgb="FFFF0000"/>
              <x14:axisColor rgb="FF000000"/>
            </x14:dataBar>
          </x14:cfRule>
          <xm:sqref>O2:Z2</xm:sqref>
        </x14:conditionalFormatting>
        <x14:conditionalFormatting xmlns:xm="http://schemas.microsoft.com/office/excel/2006/main">
          <x14:cfRule type="dataBar" id="{444D4017-6E16-4C57-B669-4FAF3244A0BF}">
            <x14:dataBar minLength="10" maxLength="90" axisPosition="automatic" gradient="false">
              <x14:cfvo type="autoMin"/>
              <x14:cfvo type="autoMax"/>
              <x14:negativeFillColor rgb="FFFF0000"/>
              <x14:axisColor rgb="FF000000"/>
            </x14:dataBar>
          </x14:cfRule>
          <xm:sqref>O2:BB2</xm:sqref>
        </x14:conditionalFormatting>
        <x14:conditionalFormatting xmlns:xm="http://schemas.microsoft.com/office/excel/2006/main">
          <x14:cfRule type="dataBar" id="{9CBF5114-C6FA-44BA-BE78-6AF2006A4D20}">
            <x14:dataBar minLength="10" maxLength="90" axisPosition="automatic" gradient="false">
              <x14:cfvo type="autoMin"/>
              <x14:cfvo type="autoMax"/>
              <x14:negativeFillColor rgb="FFFF0000"/>
              <x14:axisColor rgb="FF000000"/>
            </x14:dataBar>
          </x14:cfRule>
          <xm:sqref>O2:X2</xm:sqref>
        </x14:conditionalFormatting>
        <x14:conditionalFormatting xmlns:xm="http://schemas.microsoft.com/office/excel/2006/main">
          <x14:cfRule type="dataBar" id="{CFC781AA-E1D9-4644-B110-E04A5EC3733D}">
            <x14:dataBar minLength="10" maxLength="90" axisPosition="automatic" gradient="false">
              <x14:cfvo type="autoMin"/>
              <x14:cfvo type="autoMax"/>
              <x14:negativeFillColor rgb="FFFF0000"/>
              <x14:axisColor rgb="FF000000"/>
            </x14:dataBar>
          </x14:cfRule>
          <xm:sqref>Y2:Z2</xm:sqref>
        </x14:conditionalFormatting>
      </x14:conditionalFormatting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I6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M31" activePane="bottomRight" state="frozen"/>
      <selection pane="topLeft" activeCell="A1" activeCellId="0" sqref="A1"/>
      <selection pane="topRight" activeCell="M1" activeCellId="0" sqref="M1"/>
      <selection pane="bottomLeft" activeCell="A31" activeCellId="0" sqref="A31"/>
      <selection pane="bottomRight" activeCell="X2" activeCellId="0" sqref="X2"/>
    </sheetView>
  </sheetViews>
  <sheetFormatPr defaultColWidth="9.1484375" defaultRowHeight="15" zeroHeight="false" outlineLevelRow="0" outlineLevelCol="0"/>
  <cols>
    <col collapsed="false" customWidth="true" hidden="false" outlineLevel="0" max="1" min="1" style="1" width="2.71"/>
    <col collapsed="false" customWidth="true" hidden="false" outlineLevel="0" max="2" min="2" style="1" width="15"/>
    <col collapsed="false" customWidth="true" hidden="false" outlineLevel="0" max="3" min="3" style="1" width="14"/>
    <col collapsed="false" customWidth="true" hidden="false" outlineLevel="0" max="4" min="4" style="1" width="14.71"/>
    <col collapsed="false" customWidth="true" hidden="false" outlineLevel="0" max="5" min="5" style="1" width="11.43"/>
    <col collapsed="false" customWidth="true" hidden="false" outlineLevel="0" max="6" min="6" style="1" width="19"/>
    <col collapsed="false" customWidth="true" hidden="false" outlineLevel="0" max="7" min="7" style="1" width="13.71"/>
    <col collapsed="false" customWidth="true" hidden="false" outlineLevel="0" max="8" min="8" style="1" width="12.57"/>
    <col collapsed="false" customWidth="true" hidden="false" outlineLevel="0" max="9" min="9" style="1" width="17.86"/>
    <col collapsed="false" customWidth="true" hidden="false" outlineLevel="0" max="10" min="10" style="1" width="11.57"/>
    <col collapsed="false" customWidth="true" hidden="false" outlineLevel="0" max="11" min="11" style="71" width="7.71"/>
    <col collapsed="false" customWidth="true" hidden="false" outlineLevel="0" max="12" min="12" style="1" width="8.42"/>
    <col collapsed="false" customWidth="true" hidden="false" outlineLevel="0" max="13" min="13" style="1" width="9.86"/>
    <col collapsed="false" customWidth="true" hidden="false" outlineLevel="0" max="14" min="14" style="119" width="11.43"/>
    <col collapsed="false" customWidth="true" hidden="false" outlineLevel="0" max="15" min="15" style="1" width="11.29"/>
    <col collapsed="false" customWidth="true" hidden="false" outlineLevel="0" max="16" min="16" style="1" width="9.86"/>
    <col collapsed="false" customWidth="true" hidden="false" outlineLevel="0" max="17" min="17" style="1" width="8.57"/>
    <col collapsed="false" customWidth="true" hidden="false" outlineLevel="0" max="18" min="18" style="1" width="10.14"/>
    <col collapsed="false" customWidth="true" hidden="false" outlineLevel="0" max="19" min="19" style="1" width="11.71"/>
    <col collapsed="false" customWidth="true" hidden="false" outlineLevel="0" max="20" min="20" style="1" width="11"/>
    <col collapsed="false" customWidth="true" hidden="false" outlineLevel="0" max="22" min="21" style="1" width="10.42"/>
    <col collapsed="false" customWidth="true" hidden="false" outlineLevel="0" max="23" min="23" style="1" width="7.29"/>
    <col collapsed="false" customWidth="true" hidden="false" outlineLevel="0" max="26" min="24" style="1" width="11.71"/>
    <col collapsed="false" customWidth="true" hidden="false" outlineLevel="0" max="28" min="27" style="1" width="12"/>
    <col collapsed="false" customWidth="true" hidden="false" outlineLevel="0" max="29" min="29" style="1" width="18.29"/>
    <col collapsed="false" customWidth="true" hidden="false" outlineLevel="0" max="30" min="30" style="1" width="12"/>
    <col collapsed="false" customWidth="true" hidden="false" outlineLevel="0" max="31" min="31" style="1" width="19"/>
    <col collapsed="false" customWidth="true" hidden="false" outlineLevel="0" max="32" min="32" style="1" width="12"/>
    <col collapsed="false" customWidth="true" hidden="false" outlineLevel="0" max="34" min="33" style="1" width="10.14"/>
    <col collapsed="false" customWidth="true" hidden="false" outlineLevel="0" max="35" min="35" style="1" width="11.71"/>
    <col collapsed="false" customWidth="true" hidden="false" outlineLevel="0" max="36" min="36" style="1" width="12.71"/>
    <col collapsed="false" customWidth="true" hidden="false" outlineLevel="0" max="37" min="37" style="1" width="14.14"/>
    <col collapsed="false" customWidth="true" hidden="false" outlineLevel="0" max="38" min="38" style="1" width="8.57"/>
    <col collapsed="false" customWidth="true" hidden="false" outlineLevel="0" max="39" min="39" style="1" width="7.29"/>
    <col collapsed="false" customWidth="true" hidden="false" outlineLevel="0" max="40" min="40" style="1" width="9.71"/>
    <col collapsed="false" customWidth="true" hidden="false" outlineLevel="0" max="41" min="41" style="1" width="18.71"/>
    <col collapsed="false" customWidth="true" hidden="false" outlineLevel="0" max="43" min="42" style="1" width="9.71"/>
    <col collapsed="false" customWidth="true" hidden="false" outlineLevel="0" max="44" min="44" style="1" width="13.29"/>
    <col collapsed="false" customWidth="true" hidden="false" outlineLevel="0" max="45" min="45" style="1" width="11.43"/>
    <col collapsed="false" customWidth="true" hidden="false" outlineLevel="0" max="46" min="46" style="1" width="16"/>
    <col collapsed="false" customWidth="true" hidden="false" outlineLevel="0" max="48" min="47" style="1" width="10"/>
    <col collapsed="false" customWidth="true" hidden="false" outlineLevel="0" max="49" min="49" style="1" width="9.86"/>
    <col collapsed="false" customWidth="true" hidden="false" outlineLevel="0" max="50" min="50" style="1" width="7.86"/>
    <col collapsed="false" customWidth="true" hidden="false" outlineLevel="0" max="53" min="51" style="1" width="18.71"/>
    <col collapsed="false" customWidth="true" hidden="false" outlineLevel="0" max="54" min="54" style="1" width="27.15"/>
    <col collapsed="false" customWidth="false" hidden="false" outlineLevel="0" max="16384" min="55" style="1" width="9.14"/>
  </cols>
  <sheetData>
    <row r="1" customFormat="false" ht="17.35" hidden="false" customHeight="false" outlineLevel="0" collapsed="false">
      <c r="A1" s="3"/>
      <c r="B1" s="120" t="str">
        <f aca="false">"Semaine du :" &amp; Data!D41</f>
        <v>Semaine du :</v>
      </c>
      <c r="C1" s="121" t="n">
        <v>44319</v>
      </c>
      <c r="D1" s="122" t="str">
        <f aca="false">"( "&amp;AVERAGE($E$2:$I$2)&amp;" )"</f>
        <v>( 7.8 )</v>
      </c>
      <c r="E1" s="123" t="str">
        <f aca="false">IFERROR("Lun.: " &amp; TEXT($BC$1,"00%"),"Lun.: 0%")</f>
        <v>Lun.: 56%</v>
      </c>
      <c r="F1" s="124" t="str">
        <f aca="false">IFERROR("Mar.: " &amp; TEXT($BD$1,"00%"),"Mar.: 0%")</f>
        <v>Mar.: 43%</v>
      </c>
      <c r="G1" s="124" t="str">
        <f aca="false">IFERROR("Mer.: " &amp; TEXT($BE$1,"00%"),"Mer.: 0%")</f>
        <v>Mer.: 88%</v>
      </c>
      <c r="H1" s="124" t="str">
        <f aca="false">IFERROR("Jeu.: " &amp; TEXT($BF$1,"00%"),"Jeu.: 0%")</f>
        <v>Jeu.: 44%</v>
      </c>
      <c r="I1" s="124" t="str">
        <f aca="false">IFERROR("Ven.: " &amp; TEXT($BG$1,"00%"),"Ven.: 0%")</f>
        <v>Ven.: 33%</v>
      </c>
      <c r="J1" s="125" t="str">
        <f aca="false">IFERROR("S.: " &amp; TEXT($BH$1,"00%"),"S.: 0%")</f>
        <v>S.: 00%</v>
      </c>
      <c r="K1" s="126" t="str">
        <f aca="false">IFERROR("D.: " &amp; TEXT($BI$1,"00%"), "D.: 0%")</f>
        <v>D.: 0%</v>
      </c>
      <c r="L1" s="127" t="n">
        <f aca="false">B2</f>
        <v>0.53125</v>
      </c>
      <c r="M1" s="128" t="n">
        <f aca="false">C2</f>
        <v>40</v>
      </c>
      <c r="N1" s="129" t="n">
        <f aca="false">SUM('Semaine 04-05-2025'!$N$4:$N$46)</f>
        <v>1.66666666666667</v>
      </c>
      <c r="O1" s="130" t="s">
        <v>19</v>
      </c>
      <c r="P1" s="131" t="s">
        <v>20</v>
      </c>
      <c r="Q1" s="131" t="s">
        <v>21</v>
      </c>
      <c r="R1" s="130" t="s">
        <v>22</v>
      </c>
      <c r="S1" s="130" t="s">
        <v>23</v>
      </c>
      <c r="T1" s="132" t="s">
        <v>301</v>
      </c>
      <c r="U1" s="133" t="s">
        <v>25</v>
      </c>
      <c r="V1" s="132" t="s">
        <v>26</v>
      </c>
      <c r="W1" s="132"/>
      <c r="X1" s="134"/>
      <c r="Y1" s="135"/>
      <c r="Z1" s="135"/>
      <c r="AA1" s="136" t="s">
        <v>32</v>
      </c>
      <c r="AB1" s="136" t="s">
        <v>81</v>
      </c>
      <c r="AC1" s="136" t="s">
        <v>59</v>
      </c>
      <c r="AD1" s="136" t="s">
        <v>62</v>
      </c>
      <c r="AE1" s="136" t="s">
        <v>63</v>
      </c>
      <c r="AF1" s="136" t="s">
        <v>69</v>
      </c>
      <c r="AG1" s="136" t="s">
        <v>64</v>
      </c>
      <c r="AH1" s="136" t="s">
        <v>65</v>
      </c>
      <c r="AI1" s="136" t="s">
        <v>66</v>
      </c>
      <c r="AJ1" s="136" t="s">
        <v>47</v>
      </c>
      <c r="AK1" s="136" t="s">
        <v>67</v>
      </c>
      <c r="AL1" s="136" t="s">
        <v>68</v>
      </c>
      <c r="AM1" s="136" t="s">
        <v>41</v>
      </c>
      <c r="AN1" s="136" t="s">
        <v>61</v>
      </c>
      <c r="AO1" s="136" t="s">
        <v>70</v>
      </c>
      <c r="AP1" s="136" t="s">
        <v>71</v>
      </c>
      <c r="AQ1" s="136" t="s">
        <v>72</v>
      </c>
      <c r="AR1" s="136" t="s">
        <v>73</v>
      </c>
      <c r="AS1" s="136" t="s">
        <v>74</v>
      </c>
      <c r="AT1" s="136" t="s">
        <v>75</v>
      </c>
      <c r="AU1" s="136" t="s">
        <v>37</v>
      </c>
      <c r="AV1" s="136" t="s">
        <v>76</v>
      </c>
      <c r="AW1" s="136" t="s">
        <v>77</v>
      </c>
      <c r="AX1" s="136" t="s">
        <v>45</v>
      </c>
      <c r="AY1" s="136" t="s">
        <v>78</v>
      </c>
      <c r="AZ1" s="136" t="s">
        <v>79</v>
      </c>
      <c r="BA1" s="136" t="s">
        <v>80</v>
      </c>
      <c r="BB1" s="136" t="s">
        <v>60</v>
      </c>
      <c r="BC1" s="137" t="n">
        <f aca="false">SUMIF('Semaine 04-05-2025'!$C$4:$C$46,"1- Lundi",$O$4:$O$1957) / $E$2</f>
        <v>0.5625</v>
      </c>
      <c r="BD1" s="137" t="n">
        <f aca="false">SUMIF('Semaine 04-05-2025'!$C$4:$C$46,"2- Mardi",$O$4:$O$1957) / $F$2</f>
        <v>0.428571428571429</v>
      </c>
      <c r="BE1" s="137" t="n">
        <f aca="false">SUMIF('Semaine 04-05-2025'!$C$4:$C$46,"3- Mercredi",$O$4:$O$1957) / $G$2</f>
        <v>0.875</v>
      </c>
      <c r="BF1" s="137" t="n">
        <f aca="false">SUMIF('Semaine 04-05-2025'!$C$4:$C$46,"4- Jeudi",$O$4:$O$1957) / $H$2</f>
        <v>0.441176470588235</v>
      </c>
      <c r="BG1" s="137" t="n">
        <f aca="false">SUMIF('Semaine 04-05-2025'!$C$4:$C$46,"5- Vendredi",$O$4:$O$1957) / $I$2</f>
        <v>0.333333333333333</v>
      </c>
      <c r="BH1" s="137" t="n">
        <f aca="false">SUMIF('Semaine 04-05-2025'!$C$4:$C$46,"6- Samedi",$O$4:$O$1957) / $J$2</f>
        <v>0</v>
      </c>
      <c r="BI1" s="137" t="e">
        <f aca="false">SUMIF('Semaine 04-05-2025'!$C$4:$C$46,"7- Dimanche",$O$4:$O$1957) / $K$2</f>
        <v>#DIV/0!</v>
      </c>
    </row>
    <row r="2" customFormat="false" ht="22.05" hidden="false" customHeight="false" outlineLevel="0" collapsed="false">
      <c r="A2" s="3"/>
      <c r="B2" s="138" t="n">
        <f aca="false">N2</f>
        <v>0.53125</v>
      </c>
      <c r="C2" s="139" t="n">
        <f aca="false">SUM('Semaine 04-05-2025'!$J$4:$J$46)</f>
        <v>40</v>
      </c>
      <c r="D2" s="140" t="str">
        <f aca="false">M2</f>
        <v>40 / 0</v>
      </c>
      <c r="E2" s="141" t="n">
        <f aca="false">SUMIF('Semaine 04-05-2025'!$C$4:$C$46,"1- Lundi",'Semaine 04-05-2025'!$J$4:$J$46)</f>
        <v>8</v>
      </c>
      <c r="F2" s="141" t="n">
        <f aca="false">SUMIF('Semaine 04-05-2025'!$C$4:$C$46,"2- Mardi",'Semaine 04-05-2025'!$J$4:$J$46)</f>
        <v>7</v>
      </c>
      <c r="G2" s="141" t="n">
        <f aca="false">SUMIF('Semaine 04-05-2025'!$C$4:$C$46,"3- Mercredi",'Semaine 04-05-2025'!$J$4:$J$46)</f>
        <v>8</v>
      </c>
      <c r="H2" s="141" t="n">
        <f aca="false">SUMIF('Semaine 04-05-2025'!$C$4:$C$46,"4- Jeudi",'Semaine 04-05-2025'!$J$4:$J$46)</f>
        <v>8.5</v>
      </c>
      <c r="I2" s="141" t="n">
        <f aca="false">SUMIF('Semaine 04-05-2025'!$C$4:$C$46,"5- Vendredi",'Semaine 04-05-2025'!$J$4:$J$46)</f>
        <v>7.5</v>
      </c>
      <c r="J2" s="141" t="n">
        <f aca="false">SUMIF('Semaine 04-05-2025'!$C$4:$C$46,"6- Samedi",'Semaine 04-05-2025'!$J$4:$J$46)</f>
        <v>1</v>
      </c>
      <c r="K2" s="141" t="n">
        <f aca="false">SUMIF('Semaine 04-05-2025'!$C$4:$C$46,"7- Dimanche",'Semaine 04-05-2025'!$J$4:$J$46)</f>
        <v>0</v>
      </c>
      <c r="L2" s="142" t="str">
        <f aca="false">COUNTIF('Semaine 04-05-2025'!$A$4:$A$46,"o")&amp;" / " &amp;  COUNTIF('Semaine 04-05-2025'!$A$4:$A$46,".")</f>
        <v>43 / 0</v>
      </c>
      <c r="M2" s="143" t="str">
        <f aca="false">ROUND(SUM(M4:M46),2) &amp; " / " &amp; ROUND(C2-SUM(M4:M46),2)</f>
        <v>40 / 0</v>
      </c>
      <c r="N2" s="144" t="n">
        <f aca="false">X2/Y2</f>
        <v>0.53125</v>
      </c>
      <c r="O2" s="145" t="n">
        <f aca="false">SUMIF('Semaine 04-05-2025'!$G$4:$G$46,O$1,'Semaine 04-05-2025'!$J$4:$J$46)</f>
        <v>21.25</v>
      </c>
      <c r="P2" s="146" t="n">
        <f aca="false">SUMIF('Semaine 04-05-2025'!$G$4:$G$46,P$1,'Semaine 04-05-2025'!$J$4:$J$46)</f>
        <v>1.5</v>
      </c>
      <c r="Q2" s="145" t="n">
        <f aca="false">SUMIF('Semaine 04-05-2025'!$G$4:$G$46,Q$1,'Semaine 04-05-2025'!$J$4:$J$46)</f>
        <v>3.5</v>
      </c>
      <c r="R2" s="145" t="n">
        <f aca="false">SUMIF('Semaine 04-05-2025'!$G$4:$G$46,R$1,'Semaine 04-05-2025'!$J$4:$J$46)</f>
        <v>8.75</v>
      </c>
      <c r="S2" s="145" t="n">
        <f aca="false">SUMIF('Semaine 04-05-2025'!$G$4:$G$46,S$1,'Semaine 04-05-2025'!$J$4:$J$46)</f>
        <v>5</v>
      </c>
      <c r="T2" s="147" t="n">
        <f aca="false">SUMIF('Semaine 04-05-2025'!$G$4:$G$46,T$1,'Semaine 04-05-2025'!$J$4:$J$46)</f>
        <v>0</v>
      </c>
      <c r="U2" s="147" t="n">
        <f aca="false">SUMIF('Semaine 04-05-2025'!$G$4:$G$46,U$1,'Semaine 04-05-2025'!$J$4:$J$46)</f>
        <v>0</v>
      </c>
      <c r="V2" s="147" t="n">
        <f aca="false">SUMIF('Semaine 04-05-2025'!$G$4:$G$46,V$1,'Semaine 04-05-2025'!$J$4:$J$46)</f>
        <v>0</v>
      </c>
      <c r="W2" s="148"/>
      <c r="X2" s="149" t="n">
        <f aca="false">(C2-(SUM(P2:V2)))</f>
        <v>21.25</v>
      </c>
      <c r="Y2" s="149" t="n">
        <f aca="false">C2-(T2+U2+V2)</f>
        <v>40</v>
      </c>
      <c r="Z2" s="149"/>
      <c r="AA2" s="150" t="n">
        <f aca="false">SUMIF('Semaine 04-05-2025'!$F$4:$F$46,AA$1,'Semaine 04-05-2025'!$J$4:$J$46)</f>
        <v>12.5</v>
      </c>
      <c r="AB2" s="150" t="n">
        <f aca="false">SUMIF('Semaine 04-05-2025'!$F$4:$F$46,AB$1,'Semaine 04-05-2025'!$J$4:$J$46)</f>
        <v>0</v>
      </c>
      <c r="AC2" s="150" t="n">
        <f aca="false">SUMIF('Semaine 04-05-2025'!$F$4:$F$46,AC$1,'Semaine 04-05-2025'!$J$4:$J$46)</f>
        <v>3</v>
      </c>
      <c r="AD2" s="150" t="n">
        <f aca="false">SUMIF('Semaine 04-05-2025'!$F$4:$F$46,AD$1,'Semaine 04-05-2025'!$J$4:$J$46)</f>
        <v>0</v>
      </c>
      <c r="AE2" s="150" t="n">
        <f aca="false">SUMIF('Semaine 04-05-2025'!$F$4:$F$46,AE$1,'Semaine 04-05-2025'!$J$4:$J$46)</f>
        <v>3.25</v>
      </c>
      <c r="AF2" s="150" t="n">
        <f aca="false">SUMIF('Semaine 04-05-2025'!$F$4:$F$46,AF$1,'Semaine 04-05-2025'!$J$4:$J$46)</f>
        <v>0</v>
      </c>
      <c r="AG2" s="150" t="n">
        <f aca="false">SUMIF('Semaine 04-05-2025'!$F$4:$F$46,AG$1,'Semaine 04-05-2025'!$J$4:$J$46)</f>
        <v>0</v>
      </c>
      <c r="AH2" s="150" t="n">
        <f aca="false">SUMIF('Semaine 04-05-2025'!$F$4:$F$46,AH$1,'Semaine 04-05-2025'!$J$4:$J$46)</f>
        <v>0</v>
      </c>
      <c r="AI2" s="150" t="n">
        <f aca="false">SUMIF('Semaine 04-05-2025'!$F$4:$F$46,AI$1,'Semaine 04-05-2025'!$J$4:$J$46)</f>
        <v>0</v>
      </c>
      <c r="AJ2" s="150" t="n">
        <f aca="false">SUMIF('Semaine 04-05-2025'!$F$4:$F$46,AJ$1,'Semaine 04-05-2025'!$J$4:$J$46)</f>
        <v>0</v>
      </c>
      <c r="AK2" s="150" t="n">
        <f aca="false">SUMIF('Semaine 04-05-2025'!$F$4:$F$46,AK$1,'Semaine 04-05-2025'!$J$4:$J$46)</f>
        <v>0</v>
      </c>
      <c r="AL2" s="150" t="n">
        <f aca="false">SUMIF('Semaine 04-05-2025'!$F$4:$F$46,AL$1,'Semaine 04-05-2025'!$J$4:$J$46)</f>
        <v>0</v>
      </c>
      <c r="AM2" s="150" t="n">
        <f aca="false">SUMIF('Semaine 04-05-2025'!$F$4:$F$46,AM$1,'Semaine 04-05-2025'!$J$4:$J$46)</f>
        <v>0</v>
      </c>
      <c r="AN2" s="150" t="n">
        <f aca="false">SUMIF('Semaine 04-05-2025'!$F$4:$F$46,AN$1,'Semaine 04-05-2025'!$J$4:$J$46)</f>
        <v>0</v>
      </c>
      <c r="AO2" s="150" t="n">
        <f aca="false">SUMIF('Semaine 04-05-2025'!$F$4:$F$46,AO$1,'Semaine 04-05-2025'!$J$4:$J$46)</f>
        <v>0</v>
      </c>
      <c r="AP2" s="150" t="n">
        <f aca="false">SUMIF('Semaine 04-05-2025'!$F$4:$F$46,AP$1,'Semaine 04-05-2025'!$J$4:$J$46)</f>
        <v>0</v>
      </c>
      <c r="AQ2" s="150" t="n">
        <f aca="false">SUMIF('Semaine 04-05-2025'!$F$4:$F$46,AQ$1,'Semaine 04-05-2025'!$J$4:$J$46)</f>
        <v>0</v>
      </c>
      <c r="AR2" s="150" t="n">
        <f aca="false">SUMIF('Semaine 04-05-2025'!$F$4:$F$46,AR$1,'Semaine 04-05-2025'!$J$4:$J$46)</f>
        <v>0</v>
      </c>
      <c r="AS2" s="150" t="n">
        <f aca="false">SUMIF('Semaine 04-05-2025'!$F$4:$F$46,AS$1,'Semaine 04-05-2025'!$J$4:$J$46)</f>
        <v>0</v>
      </c>
      <c r="AT2" s="150" t="n">
        <f aca="false">SUMIF('Semaine 04-05-2025'!$F$4:$F$46,AT$1,'Semaine 04-05-2025'!$J$4:$J$46)</f>
        <v>15</v>
      </c>
      <c r="AU2" s="150" t="n">
        <f aca="false">SUMIF('Semaine 04-05-2025'!$F$4:$F$46,AU$1,'Semaine 04-05-2025'!$J$4:$J$46)</f>
        <v>4.5</v>
      </c>
      <c r="AV2" s="151"/>
      <c r="AW2" s="150" t="n">
        <f aca="false">SUMIF('Semaine 04-05-2025'!$F$4:$F$46,AW$1,'Semaine 04-05-2025'!$J$4:$J$46)</f>
        <v>0</v>
      </c>
      <c r="AX2" s="150" t="n">
        <f aca="false">SUMIF('Semaine 04-05-2025'!$F$4:$F$46,AX$1,'Semaine 04-05-2025'!$J$4:$J$46)</f>
        <v>0</v>
      </c>
      <c r="AY2" s="150" t="n">
        <f aca="false">SUMIF('Semaine 04-05-2025'!$F$4:$F$46,AY$1,'Semaine 04-05-2025'!$J$4:$J$46)</f>
        <v>0</v>
      </c>
      <c r="AZ2" s="150" t="n">
        <f aca="false">SUMIF('Semaine 04-05-2025'!$F$4:$F$46,AZ$1,'Semaine 04-05-2025'!$J$4:$J$46)</f>
        <v>1.75</v>
      </c>
      <c r="BA2" s="150" t="n">
        <f aca="false">SUMIF('Semaine 04-05-2025'!$F$4:$F$46,BA$1,'Semaine 04-05-2025'!$J$4:$J$46)</f>
        <v>0</v>
      </c>
      <c r="BB2" s="150" t="n">
        <f aca="false">SUMIF('Semaine 04-05-2025'!$F$4:$F$46,BB$1,'Semaine 04-05-2025'!$J$4:$J$46)</f>
        <v>0</v>
      </c>
    </row>
    <row r="3" s="71" customFormat="true" ht="15" hidden="false" customHeight="false" outlineLevel="0" collapsed="false">
      <c r="A3" s="191" t="s">
        <v>7</v>
      </c>
      <c r="B3" s="34" t="s">
        <v>8</v>
      </c>
      <c r="C3" s="192" t="s">
        <v>9</v>
      </c>
      <c r="D3" s="33" t="s">
        <v>10</v>
      </c>
      <c r="E3" s="193" t="s">
        <v>11</v>
      </c>
      <c r="F3" s="194" t="s">
        <v>12</v>
      </c>
      <c r="G3" s="194" t="s">
        <v>13</v>
      </c>
      <c r="H3" s="194" t="s">
        <v>14</v>
      </c>
      <c r="I3" s="195" t="s">
        <v>300</v>
      </c>
      <c r="J3" s="196" t="s">
        <v>16</v>
      </c>
      <c r="K3" s="196" t="s">
        <v>17</v>
      </c>
      <c r="L3" s="197" t="s">
        <v>18</v>
      </c>
      <c r="M3" s="197" t="s">
        <v>29</v>
      </c>
      <c r="N3" s="33" t="s">
        <v>302</v>
      </c>
      <c r="O3" s="39" t="s">
        <v>303</v>
      </c>
      <c r="P3" s="39" t="s">
        <v>304</v>
      </c>
      <c r="Q3" s="39" t="s">
        <v>305</v>
      </c>
      <c r="R3" s="39" t="s">
        <v>306</v>
      </c>
      <c r="S3" s="39" t="s">
        <v>307</v>
      </c>
      <c r="T3" s="39" t="s">
        <v>308</v>
      </c>
      <c r="U3" s="39" t="s">
        <v>309</v>
      </c>
      <c r="V3" s="116" t="s">
        <v>310</v>
      </c>
      <c r="W3" s="116"/>
      <c r="X3" s="153"/>
      <c r="Y3" s="153"/>
      <c r="Z3" s="153"/>
      <c r="AA3" s="153" t="n">
        <f aca="false">AA2/$C$2</f>
        <v>0.3125</v>
      </c>
      <c r="AB3" s="153" t="n">
        <f aca="false">AB2/$C$2</f>
        <v>0</v>
      </c>
      <c r="AC3" s="153" t="n">
        <f aca="false">AC2/$C$2</f>
        <v>0.075</v>
      </c>
      <c r="AD3" s="153" t="n">
        <f aca="false">AD2/$C$2</f>
        <v>0</v>
      </c>
      <c r="AE3" s="153" t="n">
        <f aca="false">AE2/$C$2</f>
        <v>0.08125</v>
      </c>
      <c r="AF3" s="153" t="n">
        <f aca="false">AF2/$C$2</f>
        <v>0</v>
      </c>
      <c r="AG3" s="153" t="n">
        <f aca="false">AG2/$C$2</f>
        <v>0</v>
      </c>
      <c r="AH3" s="153" t="n">
        <f aca="false">AH2/$C$2</f>
        <v>0</v>
      </c>
      <c r="AI3" s="153" t="n">
        <f aca="false">AI2/$C$2</f>
        <v>0</v>
      </c>
      <c r="AJ3" s="153" t="n">
        <f aca="false">AJ2/$C$2</f>
        <v>0</v>
      </c>
      <c r="AK3" s="153" t="n">
        <f aca="false">AK2/$C$2</f>
        <v>0</v>
      </c>
      <c r="AL3" s="153" t="n">
        <f aca="false">AL2/$C$2</f>
        <v>0</v>
      </c>
      <c r="AM3" s="153" t="n">
        <f aca="false">AM2/$C$2</f>
        <v>0</v>
      </c>
      <c r="AN3" s="153" t="n">
        <f aca="false">AN2/$C$2</f>
        <v>0</v>
      </c>
      <c r="AO3" s="153" t="n">
        <f aca="false">AO2/$C$2</f>
        <v>0</v>
      </c>
      <c r="AP3" s="153" t="n">
        <f aca="false">AP2/$C$2</f>
        <v>0</v>
      </c>
      <c r="AQ3" s="153" t="n">
        <f aca="false">AQ2/$C$2</f>
        <v>0</v>
      </c>
      <c r="AR3" s="153" t="n">
        <f aca="false">AR2/$C$2</f>
        <v>0</v>
      </c>
      <c r="AS3" s="153" t="n">
        <f aca="false">AS2/$C$2</f>
        <v>0</v>
      </c>
      <c r="AT3" s="153" t="n">
        <f aca="false">AT2/$C$2</f>
        <v>0.375</v>
      </c>
      <c r="AU3" s="153" t="n">
        <f aca="false">AU2/$C$2</f>
        <v>0.1125</v>
      </c>
      <c r="AV3" s="153"/>
      <c r="AW3" s="153" t="n">
        <f aca="false">AW2/$C$2</f>
        <v>0</v>
      </c>
      <c r="AX3" s="153" t="n">
        <f aca="false">AX2/$C$2</f>
        <v>0</v>
      </c>
      <c r="AY3" s="153" t="n">
        <f aca="false">AY2/$C$2</f>
        <v>0</v>
      </c>
      <c r="AZ3" s="153" t="n">
        <f aca="false">AZ2/$C$2</f>
        <v>0.0437499999999999</v>
      </c>
      <c r="BA3" s="153" t="n">
        <f aca="false">BA2/$C$2</f>
        <v>0</v>
      </c>
      <c r="BB3" s="153" t="n">
        <f aca="false">BB2/$C$2</f>
        <v>0</v>
      </c>
    </row>
    <row r="4" customFormat="false" ht="15" hidden="false" customHeight="false" outlineLevel="0" collapsed="false">
      <c r="A4" s="198" t="s">
        <v>31</v>
      </c>
      <c r="B4" s="155" t="n">
        <f aca="false">IF('Semaine 04-05-2025'!$C4="1- Lundi",$C$1+1, IF('Semaine 04-05-2025'!$C4="2- Mardi",$C$1+2, IF('Semaine 04-05-2025'!$C4="3- Mercredi",$C$1+3, IF('Semaine 04-05-2025'!$C4="4- Jeudi",$C$1+4, IF('Semaine 04-05-2025'!$C4="5- Vendredi",$C$1+5, IF('Semaine 04-05-2025'!$C4="6- Samedi",$C$1+6, IF('Semaine 04-05-2025'!$C4="7- Dimanche",$C$1, )))))))</f>
        <v>44320</v>
      </c>
      <c r="C4" s="199" t="s">
        <v>312</v>
      </c>
      <c r="D4" s="200" t="n">
        <v>0.322916666666667</v>
      </c>
      <c r="E4" s="200" t="n">
        <v>0.364583333333333</v>
      </c>
      <c r="F4" s="201" t="s">
        <v>32</v>
      </c>
      <c r="G4" s="201" t="s">
        <v>21</v>
      </c>
      <c r="H4" s="202" t="s">
        <v>313</v>
      </c>
      <c r="I4" s="203"/>
      <c r="J4" s="204" t="n">
        <f aca="false">IF($D4=0,"",($N4-INT($N4))*24)</f>
        <v>1</v>
      </c>
      <c r="K4" s="205" t="n">
        <f aca="false">SUMIF('Semaine 04-05-2025'!$C$4:$C$46,$C4,'Semaine 04-05-2025'!$J$4:$J$46)</f>
        <v>8</v>
      </c>
      <c r="L4" s="206" t="n">
        <f aca="false">SUMIF('Semaine 04-05-2025'!$C$4:$C$46,$C4,O$4:O$1957) / 'Semaine 04-05-2025'!$K4</f>
        <v>0.5625</v>
      </c>
      <c r="M4" s="207" t="n">
        <f aca="false">IF(A4="o",'Semaine 04-05-2025'!$J4,".")</f>
        <v>0.999999999999999</v>
      </c>
      <c r="N4" s="208" t="n">
        <f aca="false">IF($D4=0,"",$E4-$D4)</f>
        <v>0.0416666666666667</v>
      </c>
      <c r="O4" s="166" t="str">
        <f aca="false">IF($O$1='Semaine 04-05-2025'!$G4,'Semaine 04-05-2025'!$J4,"")</f>
        <v/>
      </c>
      <c r="P4" s="166" t="str">
        <f aca="false">IF($P$1='Semaine 04-05-2025'!$G4,'Semaine 04-05-2025'!$J4,"")</f>
        <v/>
      </c>
      <c r="Q4" s="166" t="n">
        <f aca="false">IF($Q$1='Semaine 04-05-2025'!$G4,'Semaine 04-05-2025'!$J4,"")</f>
        <v>0.999999999999999</v>
      </c>
      <c r="R4" s="166" t="str">
        <f aca="false">IF($R$1='Semaine 04-05-2025'!$G4,'Semaine 04-05-2025'!$J4,"")</f>
        <v/>
      </c>
      <c r="S4" s="166" t="str">
        <f aca="false">IF($S$1='Semaine 04-05-2025'!$G4,'Semaine 04-05-2025'!$J4,"")</f>
        <v/>
      </c>
      <c r="T4" s="166" t="str">
        <f aca="false">IF($T$1='Semaine 04-05-2025'!$G4,'Semaine 04-05-2025'!$J4,"")</f>
        <v/>
      </c>
      <c r="U4" s="166" t="str">
        <f aca="false">IF($U$1='Semaine 04-05-2025'!$G4,'Semaine 04-05-2025'!$J4,"")</f>
        <v/>
      </c>
      <c r="V4" s="167" t="str">
        <f aca="false">IF($V$1='Semaine 04-05-2025'!$G4,'Semaine 04-05-2025'!$J4,"")</f>
        <v/>
      </c>
      <c r="W4" s="168"/>
      <c r="X4" s="169"/>
      <c r="Y4" s="71"/>
      <c r="Z4" s="71"/>
      <c r="AB4" s="169"/>
      <c r="AC4" s="71"/>
      <c r="AD4" s="169"/>
      <c r="AE4" s="71"/>
      <c r="AF4" s="71"/>
      <c r="AG4" s="71"/>
      <c r="AH4" s="71"/>
      <c r="AI4" s="71"/>
      <c r="AJ4" s="71"/>
      <c r="AK4" s="71"/>
      <c r="AL4" s="71"/>
      <c r="AM4" s="71"/>
      <c r="AN4" s="71"/>
      <c r="AO4" s="71"/>
      <c r="AP4" s="71"/>
      <c r="AQ4" s="71"/>
      <c r="AR4" s="71"/>
      <c r="AS4" s="71"/>
      <c r="AT4" s="71"/>
      <c r="AU4" s="71"/>
      <c r="AV4" s="71"/>
      <c r="AW4" s="71"/>
      <c r="AX4" s="71"/>
      <c r="AY4" s="71"/>
      <c r="AZ4" s="71"/>
      <c r="BA4" s="71"/>
      <c r="BB4" s="71"/>
    </row>
    <row r="5" customFormat="false" ht="15" hidden="false" customHeight="false" outlineLevel="0" collapsed="false">
      <c r="A5" s="198" t="s">
        <v>31</v>
      </c>
      <c r="B5" s="155" t="n">
        <f aca="false">IF('Semaine 04-05-2025'!$C5="1- Lundi",$C$1+1, IF('Semaine 04-05-2025'!$C5="2- Mardi",$C$1+2, IF('Semaine 04-05-2025'!$C5="3- Mercredi",$C$1+3, IF('Semaine 04-05-2025'!$C5="4- Jeudi",$C$1+4, IF('Semaine 04-05-2025'!$C5="5- Vendredi",$C$1+5, IF('Semaine 04-05-2025'!$C5="6- Samedi",$C$1+6, IF('Semaine 04-05-2025'!$C5="7- Dimanche",$C$1, )))))))</f>
        <v>44320</v>
      </c>
      <c r="C5" s="199" t="s">
        <v>312</v>
      </c>
      <c r="D5" s="209" t="n">
        <v>0.364583333333333</v>
      </c>
      <c r="E5" s="209" t="n">
        <v>0.385416666666667</v>
      </c>
      <c r="F5" s="210" t="s">
        <v>32</v>
      </c>
      <c r="G5" s="210" t="s">
        <v>20</v>
      </c>
      <c r="H5" s="211" t="s">
        <v>121</v>
      </c>
      <c r="I5" s="209"/>
      <c r="J5" s="204" t="n">
        <f aca="false">IF($D5=0,"",($N5-INT($N5))*24)</f>
        <v>0.5</v>
      </c>
      <c r="K5" s="212" t="n">
        <f aca="false">SUMIF('Semaine 04-05-2025'!$C$4:$C$46,$C5,'Semaine 04-05-2025'!$J$4:$J$46)</f>
        <v>8</v>
      </c>
      <c r="L5" s="206" t="n">
        <f aca="false">SUMIF('Semaine 04-05-2025'!$C$4:$C$46,$C5,O$4:O$1957) / 'Semaine 04-05-2025'!$K5</f>
        <v>0.5625</v>
      </c>
      <c r="M5" s="207" t="n">
        <f aca="false">IF(A5="o",'Semaine 04-05-2025'!$J5,".")</f>
        <v>0.500000000000001</v>
      </c>
      <c r="N5" s="213" t="n">
        <f aca="false">IF($D5=0,"",$E5-$D5)</f>
        <v>0.0208333333333333</v>
      </c>
      <c r="O5" s="166" t="str">
        <f aca="false">IF($O$1='Semaine 04-05-2025'!$G5,'Semaine 04-05-2025'!$J5,"")</f>
        <v/>
      </c>
      <c r="P5" s="166" t="n">
        <f aca="false">IF($P$1='Semaine 04-05-2025'!$G5,'Semaine 04-05-2025'!$J5,"")</f>
        <v>0.500000000000001</v>
      </c>
      <c r="Q5" s="166" t="str">
        <f aca="false">IF($Q$1='Semaine 04-05-2025'!$G5,'Semaine 04-05-2025'!$J5,"")</f>
        <v/>
      </c>
      <c r="R5" s="166" t="str">
        <f aca="false">IF($R$1='Semaine 04-05-2025'!$G5,'Semaine 04-05-2025'!$J5,"")</f>
        <v/>
      </c>
      <c r="S5" s="166" t="str">
        <f aca="false">IF($S$1='Semaine 04-05-2025'!$G5,'Semaine 04-05-2025'!$J5,"")</f>
        <v/>
      </c>
      <c r="T5" s="166" t="str">
        <f aca="false">IF($T$1='Semaine 04-05-2025'!$G5,'Semaine 04-05-2025'!$J5,"")</f>
        <v/>
      </c>
      <c r="U5" s="166" t="str">
        <f aca="false">IF($U$1='Semaine 04-05-2025'!$G5,'Semaine 04-05-2025'!$J5,"")</f>
        <v/>
      </c>
      <c r="V5" s="167" t="str">
        <f aca="false">IF($V$1='Semaine 04-05-2025'!$G5,'Semaine 04-05-2025'!$J5,"")</f>
        <v/>
      </c>
      <c r="W5" s="168"/>
      <c r="X5" s="174"/>
      <c r="Y5" s="71"/>
      <c r="Z5" s="71"/>
      <c r="AA5" s="71"/>
      <c r="AB5" s="169"/>
      <c r="AC5" s="71"/>
      <c r="AD5" s="71"/>
      <c r="AE5" s="71"/>
      <c r="AF5" s="71"/>
      <c r="AG5" s="71"/>
      <c r="AH5" s="71"/>
      <c r="AI5" s="71"/>
      <c r="AJ5" s="71"/>
      <c r="AK5" s="71"/>
      <c r="AL5" s="71"/>
      <c r="AM5" s="71"/>
      <c r="AN5" s="71"/>
      <c r="AO5" s="71"/>
      <c r="AP5" s="71"/>
      <c r="AQ5" s="71"/>
      <c r="AR5" s="71"/>
      <c r="AS5" s="71"/>
      <c r="AT5" s="71"/>
      <c r="AU5" s="71"/>
      <c r="AV5" s="71"/>
      <c r="AW5" s="71"/>
      <c r="AX5" s="71"/>
      <c r="AY5" s="71"/>
      <c r="AZ5" s="71"/>
      <c r="BA5" s="71"/>
      <c r="BB5" s="71"/>
    </row>
    <row r="6" customFormat="false" ht="15" hidden="false" customHeight="false" outlineLevel="0" collapsed="false">
      <c r="A6" s="198" t="s">
        <v>31</v>
      </c>
      <c r="B6" s="155" t="n">
        <f aca="false">IF('Semaine 04-05-2025'!$C6="1- Lundi",$C$1+1, IF('Semaine 04-05-2025'!$C6="2- Mardi",$C$1+2, IF('Semaine 04-05-2025'!$C6="3- Mercredi",$C$1+3, IF('Semaine 04-05-2025'!$C6="4- Jeudi",$C$1+4, IF('Semaine 04-05-2025'!$C6="5- Vendredi",$C$1+5, IF('Semaine 04-05-2025'!$C6="6- Samedi",$C$1+6, IF('Semaine 04-05-2025'!$C6="7- Dimanche",$C$1, )))))))</f>
        <v>44320</v>
      </c>
      <c r="C6" s="199" t="s">
        <v>312</v>
      </c>
      <c r="D6" s="203" t="n">
        <v>0.395833333333333</v>
      </c>
      <c r="E6" s="203" t="n">
        <v>0.416666666666667</v>
      </c>
      <c r="F6" s="214" t="s">
        <v>37</v>
      </c>
      <c r="G6" s="214" t="s">
        <v>19</v>
      </c>
      <c r="H6" s="215" t="s">
        <v>55</v>
      </c>
      <c r="I6" s="203"/>
      <c r="J6" s="204" t="n">
        <f aca="false">IF($D6=0,"",($N6-INT($N6))*24)</f>
        <v>0.5</v>
      </c>
      <c r="K6" s="216" t="n">
        <f aca="false">SUMIF('Semaine 04-05-2025'!$C$4:$C$46,$C6,'Semaine 04-05-2025'!$J$4:$J$46)</f>
        <v>8</v>
      </c>
      <c r="L6" s="206" t="n">
        <f aca="false">SUMIF('Semaine 04-05-2025'!$C$4:$C$46,$C6,O$4:O$1957) / 'Semaine 04-05-2025'!$K6</f>
        <v>0.5625</v>
      </c>
      <c r="M6" s="207" t="n">
        <f aca="false">IF(A6="o",'Semaine 04-05-2025'!$J6,".")</f>
        <v>0.500000000000001</v>
      </c>
      <c r="N6" s="213" t="n">
        <f aca="false">IF($D6=0,"",$E6-$D6)</f>
        <v>0.0208333333333333</v>
      </c>
      <c r="O6" s="166" t="n">
        <f aca="false">IF($O$1='Semaine 04-05-2025'!$G6,'Semaine 04-05-2025'!$J6,"")</f>
        <v>0.500000000000001</v>
      </c>
      <c r="P6" s="166" t="str">
        <f aca="false">IF($P$1='Semaine 04-05-2025'!$G6,'Semaine 04-05-2025'!$J6,"")</f>
        <v/>
      </c>
      <c r="Q6" s="166" t="str">
        <f aca="false">IF($Q$1='Semaine 04-05-2025'!$G6,'Semaine 04-05-2025'!$J6,"")</f>
        <v/>
      </c>
      <c r="R6" s="166" t="str">
        <f aca="false">IF($R$1='Semaine 04-05-2025'!$G6,'Semaine 04-05-2025'!$J6,"")</f>
        <v/>
      </c>
      <c r="S6" s="166" t="str">
        <f aca="false">IF($S$1='Semaine 04-05-2025'!$G6,'Semaine 04-05-2025'!$J6,"")</f>
        <v/>
      </c>
      <c r="T6" s="166" t="str">
        <f aca="false">IF($T$1='Semaine 04-05-2025'!$G6,'Semaine 04-05-2025'!$J6,"")</f>
        <v/>
      </c>
      <c r="U6" s="166" t="str">
        <f aca="false">IF($U$1='Semaine 04-05-2025'!$G6,'Semaine 04-05-2025'!$J6,"")</f>
        <v/>
      </c>
      <c r="V6" s="167" t="str">
        <f aca="false">IF($V$1='Semaine 04-05-2025'!$G6,'Semaine 04-05-2025'!$J6,"")</f>
        <v/>
      </c>
      <c r="W6" s="168"/>
      <c r="X6" s="174"/>
      <c r="Y6" s="71"/>
      <c r="Z6" s="71"/>
      <c r="AA6" s="71"/>
      <c r="AB6" s="169"/>
      <c r="AC6" s="71"/>
      <c r="AD6" s="71"/>
      <c r="AE6" s="71"/>
      <c r="AF6" s="71"/>
      <c r="AG6" s="71"/>
      <c r="AH6" s="71"/>
      <c r="AI6" s="71"/>
      <c r="AJ6" s="71"/>
      <c r="AK6" s="71"/>
      <c r="AL6" s="71"/>
      <c r="AM6" s="71"/>
      <c r="AN6" s="71"/>
      <c r="AO6" s="71"/>
      <c r="AP6" s="71"/>
      <c r="AQ6" s="71"/>
      <c r="AR6" s="71"/>
      <c r="AS6" s="71"/>
      <c r="AT6" s="71"/>
      <c r="AU6" s="71"/>
      <c r="AV6" s="71"/>
      <c r="AW6" s="71"/>
      <c r="AX6" s="71"/>
      <c r="AY6" s="71"/>
      <c r="AZ6" s="71"/>
      <c r="BA6" s="71"/>
      <c r="BB6" s="71"/>
    </row>
    <row r="7" customFormat="false" ht="15" hidden="false" customHeight="false" outlineLevel="0" collapsed="false">
      <c r="A7" s="198" t="s">
        <v>31</v>
      </c>
      <c r="B7" s="155" t="n">
        <f aca="false">IF('Semaine 04-05-2025'!$C7="1- Lundi",$C$1+1, IF('Semaine 04-05-2025'!$C7="2- Mardi",$C$1+2, IF('Semaine 04-05-2025'!$C7="3- Mercredi",$C$1+3, IF('Semaine 04-05-2025'!$C7="4- Jeudi",$C$1+4, IF('Semaine 04-05-2025'!$C7="5- Vendredi",$C$1+5, IF('Semaine 04-05-2025'!$C7="6- Samedi",$C$1+6, IF('Semaine 04-05-2025'!$C7="7- Dimanche",$C$1, )))))))</f>
        <v>44320</v>
      </c>
      <c r="C7" s="199" t="s">
        <v>312</v>
      </c>
      <c r="D7" s="209" t="n">
        <v>0.416666666666667</v>
      </c>
      <c r="E7" s="209" t="n">
        <v>0.4375</v>
      </c>
      <c r="F7" s="210" t="s">
        <v>37</v>
      </c>
      <c r="G7" s="210" t="s">
        <v>19</v>
      </c>
      <c r="H7" s="211" t="s">
        <v>344</v>
      </c>
      <c r="I7" s="209"/>
      <c r="J7" s="204" t="n">
        <f aca="false">IF($D7=0,"",($N7-INT($N7))*24)</f>
        <v>0.5</v>
      </c>
      <c r="K7" s="216" t="n">
        <f aca="false">SUMIF('Semaine 04-05-2025'!$C$4:$C$46,$C7,'Semaine 04-05-2025'!$J$4:$J$46)</f>
        <v>8</v>
      </c>
      <c r="L7" s="206" t="n">
        <f aca="false">SUMIF('Semaine 04-05-2025'!$C$4:$C$46,$C7,O$4:O$1957) / 'Semaine 04-05-2025'!$K7</f>
        <v>0.5625</v>
      </c>
      <c r="M7" s="207" t="n">
        <f aca="false">IF(A7="o",'Semaine 04-05-2025'!$J7,".")</f>
        <v>0.5</v>
      </c>
      <c r="N7" s="213" t="n">
        <f aca="false">IF($D7=0,"",$E7-$D7)</f>
        <v>0.0208333333333333</v>
      </c>
      <c r="O7" s="166"/>
      <c r="P7" s="166"/>
      <c r="Q7" s="166"/>
      <c r="R7" s="166"/>
      <c r="S7" s="166"/>
      <c r="T7" s="166"/>
      <c r="U7" s="166"/>
      <c r="V7" s="167"/>
      <c r="W7" s="168"/>
      <c r="X7" s="174"/>
      <c r="Y7" s="71"/>
      <c r="Z7" s="71"/>
      <c r="AA7" s="71"/>
      <c r="AB7" s="169"/>
      <c r="AC7" s="71"/>
      <c r="AD7" s="71"/>
      <c r="AE7" s="71"/>
      <c r="AF7" s="71"/>
      <c r="AG7" s="71"/>
      <c r="AH7" s="71"/>
      <c r="AI7" s="71"/>
      <c r="AJ7" s="71"/>
      <c r="AK7" s="71"/>
      <c r="AL7" s="71"/>
      <c r="AM7" s="71"/>
      <c r="AN7" s="71"/>
      <c r="AO7" s="71"/>
      <c r="AP7" s="71"/>
      <c r="AQ7" s="71"/>
      <c r="AR7" s="71"/>
      <c r="AS7" s="71"/>
      <c r="AT7" s="71"/>
      <c r="AU7" s="71"/>
      <c r="AV7" s="71"/>
      <c r="AW7" s="71"/>
      <c r="AX7" s="71"/>
      <c r="AY7" s="71"/>
      <c r="AZ7" s="71"/>
      <c r="BA7" s="71"/>
      <c r="BB7" s="71"/>
    </row>
    <row r="8" customFormat="false" ht="15" hidden="false" customHeight="false" outlineLevel="0" collapsed="false">
      <c r="A8" s="198" t="s">
        <v>31</v>
      </c>
      <c r="B8" s="155" t="n">
        <f aca="false">IF('Semaine 04-05-2025'!$C8="1- Lundi",$C$1+1, IF('Semaine 04-05-2025'!$C8="2- Mardi",$C$1+2, IF('Semaine 04-05-2025'!$C8="3- Mercredi",$C$1+3, IF('Semaine 04-05-2025'!$C8="4- Jeudi",$C$1+4, IF('Semaine 04-05-2025'!$C8="5- Vendredi",$C$1+5, IF('Semaine 04-05-2025'!$C8="6- Samedi",$C$1+6, IF('Semaine 04-05-2025'!$C8="7- Dimanche",$C$1, )))))))</f>
        <v>44320</v>
      </c>
      <c r="C8" s="199" t="s">
        <v>312</v>
      </c>
      <c r="D8" s="203" t="n">
        <v>0.4375</v>
      </c>
      <c r="E8" s="203" t="n">
        <v>0.458333333333333</v>
      </c>
      <c r="F8" s="214" t="s">
        <v>79</v>
      </c>
      <c r="G8" s="214" t="s">
        <v>19</v>
      </c>
      <c r="H8" s="215" t="s">
        <v>345</v>
      </c>
      <c r="I8" s="203"/>
      <c r="J8" s="204" t="n">
        <f aca="false">IF($D8=0,"",($N8-INT($N8))*24)</f>
        <v>0.5</v>
      </c>
      <c r="K8" s="216" t="n">
        <f aca="false">SUMIF('Semaine 04-05-2025'!$C$4:$C$46,$C8,'Semaine 04-05-2025'!$J$4:$J$46)</f>
        <v>8</v>
      </c>
      <c r="L8" s="206" t="n">
        <f aca="false">SUMIF('Semaine 04-05-2025'!$C$4:$C$46,$C8,O$4:O$1957) / 'Semaine 04-05-2025'!$K8</f>
        <v>0.5625</v>
      </c>
      <c r="M8" s="207" t="n">
        <f aca="false">IF(A8="o",'Semaine 04-05-2025'!$J8,".")</f>
        <v>0.5</v>
      </c>
      <c r="N8" s="213" t="n">
        <f aca="false">IF($D8=0,"",$E8-$D8)</f>
        <v>0.0208333333333333</v>
      </c>
      <c r="O8" s="166" t="n">
        <f aca="false">IF($O$1='Semaine 04-05-2025'!$G8,'Semaine 04-05-2025'!$J8,"")</f>
        <v>0.5</v>
      </c>
      <c r="P8" s="166" t="str">
        <f aca="false">IF($P$1='Semaine 04-05-2025'!$G8,'Semaine 04-05-2025'!$J8,"")</f>
        <v/>
      </c>
      <c r="Q8" s="166" t="str">
        <f aca="false">IF($Q$1='Semaine 04-05-2025'!$G8,'Semaine 04-05-2025'!$J8,"")</f>
        <v/>
      </c>
      <c r="R8" s="166" t="str">
        <f aca="false">IF($R$1='Semaine 04-05-2025'!$G8,'Semaine 04-05-2025'!$J8,"")</f>
        <v/>
      </c>
      <c r="S8" s="166" t="str">
        <f aca="false">IF($S$1='Semaine 04-05-2025'!$G8,'Semaine 04-05-2025'!$J8,"")</f>
        <v/>
      </c>
      <c r="T8" s="166" t="str">
        <f aca="false">IF($T$1='Semaine 04-05-2025'!$G8,'Semaine 04-05-2025'!$J8,"")</f>
        <v/>
      </c>
      <c r="U8" s="166" t="str">
        <f aca="false">IF($U$1='Semaine 04-05-2025'!$G8,'Semaine 04-05-2025'!$J8,"")</f>
        <v/>
      </c>
      <c r="V8" s="167" t="str">
        <f aca="false">IF($V$1='Semaine 04-05-2025'!$G8,'Semaine 04-05-2025'!$J8,"")</f>
        <v/>
      </c>
      <c r="W8" s="168"/>
      <c r="X8" s="174"/>
      <c r="Y8" s="71"/>
      <c r="Z8" s="71"/>
      <c r="AA8" s="71"/>
      <c r="AB8" s="169"/>
      <c r="AC8" s="71"/>
      <c r="AD8" s="71"/>
      <c r="AE8" s="71"/>
      <c r="AF8" s="71"/>
      <c r="AG8" s="71"/>
      <c r="AH8" s="71"/>
      <c r="AI8" s="71"/>
      <c r="AJ8" s="71"/>
      <c r="AK8" s="71"/>
      <c r="AL8" s="71"/>
      <c r="AM8" s="71"/>
      <c r="AN8" s="71"/>
      <c r="AO8" s="71"/>
      <c r="AP8" s="71"/>
      <c r="AQ8" s="71"/>
      <c r="AR8" s="71"/>
      <c r="AS8" s="71"/>
      <c r="AT8" s="71"/>
      <c r="AU8" s="71"/>
      <c r="AV8" s="71"/>
      <c r="AW8" s="71"/>
      <c r="AX8" s="71"/>
      <c r="AY8" s="71"/>
      <c r="AZ8" s="71"/>
      <c r="BA8" s="71"/>
      <c r="BB8" s="71"/>
    </row>
    <row r="9" customFormat="false" ht="15" hidden="false" customHeight="false" outlineLevel="0" collapsed="false">
      <c r="A9" s="198" t="s">
        <v>31</v>
      </c>
      <c r="B9" s="155" t="n">
        <f aca="false">IF('Semaine 04-05-2025'!$C9="1- Lundi",$C$1+1, IF('Semaine 04-05-2025'!$C9="2- Mardi",$C$1+2, IF('Semaine 04-05-2025'!$C9="3- Mercredi",$C$1+3, IF('Semaine 04-05-2025'!$C9="4- Jeudi",$C$1+4, IF('Semaine 04-05-2025'!$C9="5- Vendredi",$C$1+5, IF('Semaine 04-05-2025'!$C9="6- Samedi",$C$1+6, IF('Semaine 04-05-2025'!$C9="7- Dimanche",$C$1, )))))))</f>
        <v>44320</v>
      </c>
      <c r="C9" s="199" t="s">
        <v>312</v>
      </c>
      <c r="D9" s="209" t="n">
        <v>0.458333333333333</v>
      </c>
      <c r="E9" s="209" t="n">
        <v>0.5</v>
      </c>
      <c r="F9" s="210" t="s">
        <v>37</v>
      </c>
      <c r="G9" s="210" t="s">
        <v>19</v>
      </c>
      <c r="H9" s="211" t="s">
        <v>344</v>
      </c>
      <c r="I9" s="209"/>
      <c r="J9" s="204" t="n">
        <f aca="false">IF($D9=0,"",($N9-INT($N9))*24)</f>
        <v>1</v>
      </c>
      <c r="K9" s="216" t="n">
        <f aca="false">SUMIF('Semaine 04-05-2025'!$C$4:$C$46,$C9,'Semaine 04-05-2025'!$J$4:$J$46)</f>
        <v>8</v>
      </c>
      <c r="L9" s="206" t="n">
        <f aca="false">SUMIF('Semaine 04-05-2025'!$C$4:$C$46,$C9,O$4:O$1957) / 'Semaine 04-05-2025'!$K9</f>
        <v>0.5625</v>
      </c>
      <c r="M9" s="207" t="n">
        <f aca="false">IF(A9="o",'Semaine 04-05-2025'!$J9,".")</f>
        <v>1</v>
      </c>
      <c r="N9" s="213" t="n">
        <f aca="false">IF($D9=0,"",$E9-$D9)</f>
        <v>0.0416666666666667</v>
      </c>
      <c r="O9" s="166" t="n">
        <f aca="false">IF($O$1='Semaine 04-05-2025'!$G9,'Semaine 04-05-2025'!$J9,"")</f>
        <v>1</v>
      </c>
      <c r="P9" s="166" t="str">
        <f aca="false">IF($P$1='Semaine 04-05-2025'!$G9,'Semaine 04-05-2025'!$J9,"")</f>
        <v/>
      </c>
      <c r="Q9" s="166" t="str">
        <f aca="false">IF($Q$1='Semaine 04-05-2025'!$G9,'Semaine 04-05-2025'!$J9,"")</f>
        <v/>
      </c>
      <c r="R9" s="166" t="str">
        <f aca="false">IF($R$1='Semaine 04-05-2025'!$G9,'Semaine 04-05-2025'!$J9,"")</f>
        <v/>
      </c>
      <c r="S9" s="166" t="str">
        <f aca="false">IF($S$1='Semaine 04-05-2025'!$G9,'Semaine 04-05-2025'!$J9,"")</f>
        <v/>
      </c>
      <c r="T9" s="166" t="str">
        <f aca="false">IF($T$1='Semaine 04-05-2025'!$G9,'Semaine 04-05-2025'!$J9,"")</f>
        <v/>
      </c>
      <c r="U9" s="166" t="str">
        <f aca="false">IF($U$1='Semaine 04-05-2025'!$G9,'Semaine 04-05-2025'!$J9,"")</f>
        <v/>
      </c>
      <c r="V9" s="167" t="str">
        <f aca="false">IF($V$1='Semaine 04-05-2025'!$G9,'Semaine 04-05-2025'!$J9,"")</f>
        <v/>
      </c>
      <c r="W9" s="168"/>
      <c r="X9" s="174"/>
      <c r="Y9" s="71"/>
      <c r="Z9" s="71"/>
      <c r="AA9" s="71"/>
      <c r="AB9" s="169"/>
      <c r="AC9" s="71"/>
      <c r="AD9" s="71"/>
      <c r="AE9" s="71"/>
      <c r="AF9" s="71"/>
      <c r="AG9" s="71"/>
      <c r="AH9" s="71"/>
      <c r="AI9" s="71"/>
      <c r="AJ9" s="71"/>
      <c r="AK9" s="71"/>
      <c r="AL9" s="71"/>
      <c r="AM9" s="71"/>
      <c r="AN9" s="71"/>
      <c r="AO9" s="71"/>
      <c r="AP9" s="71"/>
      <c r="AQ9" s="71"/>
      <c r="AR9" s="71"/>
      <c r="AS9" s="71"/>
      <c r="AT9" s="71"/>
      <c r="AU9" s="71"/>
      <c r="AV9" s="71"/>
      <c r="AW9" s="71"/>
      <c r="AX9" s="71"/>
      <c r="AY9" s="71"/>
      <c r="AZ9" s="71"/>
      <c r="BA9" s="71"/>
      <c r="BB9" s="71"/>
    </row>
    <row r="10" customFormat="false" ht="15" hidden="false" customHeight="false" outlineLevel="0" collapsed="false">
      <c r="A10" s="198" t="s">
        <v>31</v>
      </c>
      <c r="B10" s="155" t="n">
        <f aca="false">IF('Semaine 04-05-2025'!$C10="1- Lundi",$C$1+1, IF('Semaine 04-05-2025'!$C10="2- Mardi",$C$1+2, IF('Semaine 04-05-2025'!$C10="3- Mercredi",$C$1+3, IF('Semaine 04-05-2025'!$C10="4- Jeudi",$C$1+4, IF('Semaine 04-05-2025'!$C10="5- Vendredi",$C$1+5, IF('Semaine 04-05-2025'!$C10="6- Samedi",$C$1+6, IF('Semaine 04-05-2025'!$C10="7- Dimanche",$C$1, )))))))</f>
        <v>44320</v>
      </c>
      <c r="C10" s="199" t="s">
        <v>312</v>
      </c>
      <c r="D10" s="203" t="n">
        <v>0.5625</v>
      </c>
      <c r="E10" s="203" t="n">
        <v>0.583333333333333</v>
      </c>
      <c r="F10" s="214" t="s">
        <v>63</v>
      </c>
      <c r="G10" s="214" t="s">
        <v>19</v>
      </c>
      <c r="H10" s="215" t="s">
        <v>55</v>
      </c>
      <c r="I10" s="203"/>
      <c r="J10" s="204" t="n">
        <f aca="false">IF($D10=0,"",($N10-INT($N10))*24)</f>
        <v>0.5</v>
      </c>
      <c r="K10" s="216" t="n">
        <f aca="false">SUMIF('Semaine 04-05-2025'!$C$4:$C$46,$C10,'Semaine 04-05-2025'!$J$4:$J$46)</f>
        <v>8</v>
      </c>
      <c r="L10" s="206" t="n">
        <f aca="false">SUMIF('Semaine 04-05-2025'!$C$4:$C$46,$C10,O$4:O$1957) / 'Semaine 04-05-2025'!$K10</f>
        <v>0.5625</v>
      </c>
      <c r="M10" s="207" t="n">
        <f aca="false">IF(A10="o",'Semaine 04-05-2025'!$J10,".")</f>
        <v>0.500000000000001</v>
      </c>
      <c r="N10" s="213" t="n">
        <f aca="false">IF($D10=0,"",$E10-$D10)</f>
        <v>0.0208333333333333</v>
      </c>
      <c r="O10" s="166" t="n">
        <f aca="false">IF($O$1='Semaine 04-05-2025'!$G10,'Semaine 04-05-2025'!$J10,"")</f>
        <v>0.500000000000001</v>
      </c>
      <c r="P10" s="166" t="str">
        <f aca="false">IF($P$1='Semaine 04-05-2025'!$G10,'Semaine 04-05-2025'!$J10,"")</f>
        <v/>
      </c>
      <c r="Q10" s="166" t="str">
        <f aca="false">IF($Q$1='Semaine 04-05-2025'!$G10,'Semaine 04-05-2025'!$J10,"")</f>
        <v/>
      </c>
      <c r="R10" s="166" t="str">
        <f aca="false">IF($R$1='Semaine 04-05-2025'!$G10,'Semaine 04-05-2025'!$J10,"")</f>
        <v/>
      </c>
      <c r="S10" s="166" t="str">
        <f aca="false">IF($S$1='Semaine 04-05-2025'!$G10,'Semaine 04-05-2025'!$J10,"")</f>
        <v/>
      </c>
      <c r="T10" s="166" t="str">
        <f aca="false">IF($T$1='Semaine 04-05-2025'!$G10,'Semaine 04-05-2025'!$J10,"")</f>
        <v/>
      </c>
      <c r="U10" s="166" t="str">
        <f aca="false">IF($U$1='Semaine 04-05-2025'!$G10,'Semaine 04-05-2025'!$J10,"")</f>
        <v/>
      </c>
      <c r="V10" s="167" t="str">
        <f aca="false">IF($V$1='Semaine 04-05-2025'!$G10,'Semaine 04-05-2025'!$J10,"")</f>
        <v/>
      </c>
      <c r="W10" s="168"/>
      <c r="X10" s="174"/>
      <c r="Y10" s="71"/>
      <c r="Z10" s="71"/>
      <c r="AA10" s="71"/>
      <c r="AB10" s="169"/>
      <c r="AC10" s="71"/>
      <c r="AD10" s="71"/>
      <c r="AE10" s="71"/>
      <c r="AF10" s="71"/>
      <c r="AG10" s="71"/>
      <c r="AH10" s="71"/>
      <c r="AI10" s="71"/>
      <c r="AJ10" s="71"/>
      <c r="AK10" s="71"/>
      <c r="AL10" s="71"/>
      <c r="AM10" s="71"/>
      <c r="AN10" s="71"/>
      <c r="AO10" s="71"/>
      <c r="AP10" s="71"/>
      <c r="AQ10" s="71"/>
      <c r="AR10" s="71"/>
      <c r="AS10" s="71"/>
      <c r="AT10" s="71"/>
      <c r="AU10" s="71"/>
      <c r="AV10" s="71"/>
      <c r="AW10" s="71"/>
      <c r="AX10" s="71"/>
      <c r="AY10" s="71"/>
      <c r="AZ10" s="71"/>
      <c r="BA10" s="71"/>
      <c r="BB10" s="71"/>
    </row>
    <row r="11" customFormat="false" ht="15" hidden="false" customHeight="false" outlineLevel="0" collapsed="false">
      <c r="A11" s="198" t="s">
        <v>31</v>
      </c>
      <c r="B11" s="155" t="n">
        <f aca="false">IF('Semaine 04-05-2025'!$C11="1- Lundi",$C$1+1, IF('Semaine 04-05-2025'!$C11="2- Mardi",$C$1+2, IF('Semaine 04-05-2025'!$C11="3- Mercredi",$C$1+3, IF('Semaine 04-05-2025'!$C11="4- Jeudi",$C$1+4, IF('Semaine 04-05-2025'!$C11="5- Vendredi",$C$1+5, IF('Semaine 04-05-2025'!$C11="6- Samedi",$C$1+6, IF('Semaine 04-05-2025'!$C11="7- Dimanche",$C$1, )))))))</f>
        <v>44320</v>
      </c>
      <c r="C11" s="199" t="s">
        <v>312</v>
      </c>
      <c r="D11" s="209" t="n">
        <v>0.583333333333333</v>
      </c>
      <c r="E11" s="209" t="n">
        <v>0.604166666666667</v>
      </c>
      <c r="F11" s="210" t="s">
        <v>37</v>
      </c>
      <c r="G11" s="217" t="s">
        <v>19</v>
      </c>
      <c r="H11" s="211" t="s">
        <v>344</v>
      </c>
      <c r="I11" s="209"/>
      <c r="J11" s="204" t="n">
        <f aca="false">IF($D11=0,"",($N11-INT($N11))*24)</f>
        <v>0.5</v>
      </c>
      <c r="K11" s="216" t="n">
        <f aca="false">SUMIF('Semaine 04-05-2025'!$C$4:$C$46,$C11,'Semaine 04-05-2025'!$J$4:$J$46)</f>
        <v>8</v>
      </c>
      <c r="L11" s="206" t="n">
        <f aca="false">SUMIF('Semaine 04-05-2025'!$C$4:$C$46,$C11,O$4:O$1957) / 'Semaine 04-05-2025'!$K11</f>
        <v>0.5625</v>
      </c>
      <c r="M11" s="207" t="n">
        <f aca="false">IF(A11="o",'Semaine 04-05-2025'!$J11,".")</f>
        <v>0.499999999999998</v>
      </c>
      <c r="N11" s="213" t="n">
        <f aca="false">IF($D11=0,"",$E11-$D11)</f>
        <v>0.0208333333333333</v>
      </c>
      <c r="O11" s="166" t="n">
        <f aca="false">IF($O$1='Semaine 04-05-2025'!$G11,'Semaine 04-05-2025'!$J11,"")</f>
        <v>0.499999999999998</v>
      </c>
      <c r="P11" s="166" t="str">
        <f aca="false">IF($P$1='Semaine 04-05-2025'!$G11,'Semaine 04-05-2025'!$J11,"")</f>
        <v/>
      </c>
      <c r="Q11" s="166" t="str">
        <f aca="false">IF($Q$1='Semaine 04-05-2025'!$G11,'Semaine 04-05-2025'!$J11,"")</f>
        <v/>
      </c>
      <c r="R11" s="166" t="str">
        <f aca="false">IF($R$1='Semaine 04-05-2025'!$G11,'Semaine 04-05-2025'!$J11,"")</f>
        <v/>
      </c>
      <c r="S11" s="166" t="str">
        <f aca="false">IF($S$1='Semaine 04-05-2025'!$G11,'Semaine 04-05-2025'!$J11,"")</f>
        <v/>
      </c>
      <c r="T11" s="166" t="str">
        <f aca="false">IF($T$1='Semaine 04-05-2025'!$G11,'Semaine 04-05-2025'!$J11,"")</f>
        <v/>
      </c>
      <c r="U11" s="166" t="str">
        <f aca="false">IF($U$1='Semaine 04-05-2025'!$G11,'Semaine 04-05-2025'!$J11,"")</f>
        <v/>
      </c>
      <c r="V11" s="167" t="str">
        <f aca="false">IF($V$1='Semaine 04-05-2025'!$G11,'Semaine 04-05-2025'!$J11,"")</f>
        <v/>
      </c>
      <c r="W11" s="168"/>
      <c r="X11" s="174"/>
      <c r="Y11" s="71"/>
      <c r="Z11" s="71"/>
      <c r="AA11" s="71"/>
      <c r="AB11" s="169"/>
      <c r="AC11" s="71"/>
      <c r="AD11" s="71"/>
      <c r="AE11" s="71"/>
      <c r="AF11" s="71"/>
      <c r="AG11" s="71"/>
      <c r="AH11" s="71"/>
      <c r="AI11" s="71"/>
      <c r="AJ11" s="71"/>
      <c r="AK11" s="71"/>
      <c r="AL11" s="71"/>
      <c r="AM11" s="71"/>
      <c r="AN11" s="71"/>
      <c r="AO11" s="71"/>
      <c r="AP11" s="71"/>
      <c r="AQ11" s="71"/>
      <c r="AR11" s="71"/>
      <c r="AS11" s="71"/>
      <c r="AT11" s="71"/>
      <c r="AU11" s="71"/>
      <c r="AV11" s="71"/>
      <c r="AW11" s="71"/>
      <c r="AX11" s="71"/>
      <c r="AY11" s="71"/>
      <c r="AZ11" s="71"/>
      <c r="BA11" s="71"/>
      <c r="BB11" s="71"/>
    </row>
    <row r="12" customFormat="false" ht="15" hidden="false" customHeight="false" outlineLevel="0" collapsed="false">
      <c r="A12" s="198" t="s">
        <v>31</v>
      </c>
      <c r="B12" s="155" t="n">
        <f aca="false">IF('Semaine 04-05-2025'!$C12="1- Lundi",$C$1+1, IF('Semaine 04-05-2025'!$C12="2- Mardi",$C$1+2, IF('Semaine 04-05-2025'!$C12="3- Mercredi",$C$1+3, IF('Semaine 04-05-2025'!$C12="4- Jeudi",$C$1+4, IF('Semaine 04-05-2025'!$C12="5- Vendredi",$C$1+5, IF('Semaine 04-05-2025'!$C12="6- Samedi",$C$1+6, IF('Semaine 04-05-2025'!$C12="7- Dimanche",$C$1, )))))))</f>
        <v>44320</v>
      </c>
      <c r="C12" s="199" t="s">
        <v>312</v>
      </c>
      <c r="D12" s="203" t="n">
        <v>0.604166666666667</v>
      </c>
      <c r="E12" s="203" t="n">
        <v>0.625</v>
      </c>
      <c r="F12" s="214" t="s">
        <v>37</v>
      </c>
      <c r="G12" s="214" t="s">
        <v>22</v>
      </c>
      <c r="H12" s="215" t="s">
        <v>344</v>
      </c>
      <c r="I12" s="203"/>
      <c r="J12" s="204" t="n">
        <f aca="false">IF($D12=0,"",($N12-INT($N12))*24)</f>
        <v>0.5</v>
      </c>
      <c r="K12" s="216" t="n">
        <f aca="false">SUMIF('Semaine 04-05-2025'!$C$4:$C$46,$C12,'Semaine 04-05-2025'!$J$4:$J$46)</f>
        <v>8</v>
      </c>
      <c r="L12" s="206" t="n">
        <f aca="false">SUMIF('Semaine 04-05-2025'!$C$4:$C$46,$C12,O$4:O$1957) / 'Semaine 04-05-2025'!$K12</f>
        <v>0.5625</v>
      </c>
      <c r="M12" s="207" t="n">
        <f aca="false">IF(A12="o",'Semaine 04-05-2025'!$J12,".")</f>
        <v>0.500000000000001</v>
      </c>
      <c r="N12" s="213" t="n">
        <f aca="false">IF($D12=0,"",$E12-$D12)</f>
        <v>0.0208333333333333</v>
      </c>
      <c r="O12" s="166" t="str">
        <f aca="false">IF($O$1='Semaine 04-05-2025'!$G12,'Semaine 04-05-2025'!$J12,"")</f>
        <v/>
      </c>
      <c r="P12" s="166" t="str">
        <f aca="false">IF($P$1='Semaine 04-05-2025'!$G12,'Semaine 04-05-2025'!$J12,"")</f>
        <v/>
      </c>
      <c r="Q12" s="166" t="str">
        <f aca="false">IF($Q$1='Semaine 04-05-2025'!$G12,'Semaine 04-05-2025'!$J12,"")</f>
        <v/>
      </c>
      <c r="R12" s="166" t="n">
        <f aca="false">IF($R$1='Semaine 04-05-2025'!$G12,'Semaine 04-05-2025'!$J12,"")</f>
        <v>0.500000000000001</v>
      </c>
      <c r="S12" s="166" t="str">
        <f aca="false">IF($S$1='Semaine 04-05-2025'!$G12,'Semaine 04-05-2025'!$J12,"")</f>
        <v/>
      </c>
      <c r="T12" s="166" t="str">
        <f aca="false">IF($T$1='Semaine 04-05-2025'!$G12,'Semaine 04-05-2025'!$J12,"")</f>
        <v/>
      </c>
      <c r="U12" s="166" t="str">
        <f aca="false">IF($U$1='Semaine 04-05-2025'!$G12,'Semaine 04-05-2025'!$J12,"")</f>
        <v/>
      </c>
      <c r="V12" s="167" t="str">
        <f aca="false">IF($V$1='Semaine 04-05-2025'!$G12,'Semaine 04-05-2025'!$J12,"")</f>
        <v/>
      </c>
      <c r="W12" s="168"/>
      <c r="X12" s="174"/>
      <c r="Y12" s="71"/>
      <c r="Z12" s="71"/>
      <c r="AA12" s="71"/>
      <c r="AB12" s="169"/>
      <c r="AC12" s="71"/>
      <c r="AD12" s="71"/>
      <c r="AE12" s="71"/>
      <c r="AF12" s="71"/>
      <c r="AG12" s="71"/>
      <c r="AH12" s="71"/>
      <c r="AI12" s="71"/>
      <c r="AJ12" s="71"/>
      <c r="AK12" s="71"/>
      <c r="AL12" s="71"/>
      <c r="AM12" s="71"/>
      <c r="AN12" s="71"/>
      <c r="AO12" s="71"/>
      <c r="AP12" s="71"/>
      <c r="AQ12" s="71"/>
      <c r="AR12" s="71"/>
      <c r="AS12" s="71"/>
      <c r="AT12" s="71"/>
      <c r="AU12" s="71"/>
      <c r="AV12" s="71"/>
      <c r="AW12" s="71"/>
      <c r="AX12" s="71"/>
      <c r="AY12" s="71"/>
      <c r="AZ12" s="71"/>
      <c r="BA12" s="71"/>
      <c r="BB12" s="71"/>
    </row>
    <row r="13" customFormat="false" ht="15" hidden="false" customHeight="false" outlineLevel="0" collapsed="false">
      <c r="A13" s="198" t="s">
        <v>31</v>
      </c>
      <c r="B13" s="155" t="n">
        <f aca="false">IF('Semaine 04-05-2025'!$C13="1- Lundi",$C$1+1, IF('Semaine 04-05-2025'!$C13="2- Mardi",$C$1+2, IF('Semaine 04-05-2025'!$C13="3- Mercredi",$C$1+3, IF('Semaine 04-05-2025'!$C13="4- Jeudi",$C$1+4, IF('Semaine 04-05-2025'!$C13="5- Vendredi",$C$1+5, IF('Semaine 04-05-2025'!$C13="6- Samedi",$C$1+6, IF('Semaine 04-05-2025'!$C13="7- Dimanche",$C$1, )))))))</f>
        <v>44320</v>
      </c>
      <c r="C13" s="199" t="s">
        <v>312</v>
      </c>
      <c r="D13" s="209" t="n">
        <v>0.625</v>
      </c>
      <c r="E13" s="209" t="n">
        <v>0.666666666666667</v>
      </c>
      <c r="F13" s="210" t="s">
        <v>37</v>
      </c>
      <c r="G13" s="210" t="s">
        <v>19</v>
      </c>
      <c r="H13" s="211" t="s">
        <v>346</v>
      </c>
      <c r="I13" s="209"/>
      <c r="J13" s="204" t="n">
        <f aca="false">IF($D13=0,"",($N13-INT($N13))*24)</f>
        <v>1</v>
      </c>
      <c r="K13" s="216" t="n">
        <f aca="false">SUMIF('Semaine 04-05-2025'!$C$4:$C$46,$C13,'Semaine 04-05-2025'!$J$4:$J$46)</f>
        <v>8</v>
      </c>
      <c r="L13" s="206" t="n">
        <f aca="false">SUMIF('Semaine 04-05-2025'!$C$4:$C$46,$C13,O$4:O$1957) / 'Semaine 04-05-2025'!$K13</f>
        <v>0.5625</v>
      </c>
      <c r="M13" s="207" t="n">
        <f aca="false">IF(A13="o",'Semaine 04-05-2025'!$J13,".")</f>
        <v>0.999999999999999</v>
      </c>
      <c r="N13" s="213" t="n">
        <f aca="false">IF($D13=0,"",$E13-$D13)</f>
        <v>0.0416666666666667</v>
      </c>
      <c r="O13" s="166" t="n">
        <f aca="false">IF($O$1='Semaine 04-05-2025'!$G13,'Semaine 04-05-2025'!$J13,"")</f>
        <v>0.999999999999999</v>
      </c>
      <c r="P13" s="166" t="str">
        <f aca="false">IF($P$1='Semaine 04-05-2025'!$G13,'Semaine 04-05-2025'!$J13,"")</f>
        <v/>
      </c>
      <c r="Q13" s="166" t="str">
        <f aca="false">IF($Q$1='Semaine 04-05-2025'!$G13,'Semaine 04-05-2025'!$J13,"")</f>
        <v/>
      </c>
      <c r="R13" s="166" t="str">
        <f aca="false">IF($R$1='Semaine 04-05-2025'!$G13,'Semaine 04-05-2025'!$J13,"")</f>
        <v/>
      </c>
      <c r="S13" s="166" t="str">
        <f aca="false">IF($S$1='Semaine 04-05-2025'!$G13,'Semaine 04-05-2025'!$J13,"")</f>
        <v/>
      </c>
      <c r="T13" s="166" t="str">
        <f aca="false">IF($T$1='Semaine 04-05-2025'!$G13,'Semaine 04-05-2025'!$J13,"")</f>
        <v/>
      </c>
      <c r="U13" s="166" t="str">
        <f aca="false">IF($U$1='Semaine 04-05-2025'!$G13,'Semaine 04-05-2025'!$J13,"")</f>
        <v/>
      </c>
      <c r="V13" s="167" t="str">
        <f aca="false">IF($V$1='Semaine 04-05-2025'!$G13,'Semaine 04-05-2025'!$J13,"")</f>
        <v/>
      </c>
      <c r="W13" s="168"/>
      <c r="X13" s="174"/>
      <c r="Y13" s="71"/>
      <c r="Z13" s="71"/>
      <c r="AA13" s="71"/>
      <c r="AB13" s="169"/>
      <c r="AC13" s="71"/>
      <c r="AD13" s="71"/>
      <c r="AE13" s="71"/>
      <c r="AF13" s="71"/>
      <c r="AG13" s="71"/>
      <c r="AH13" s="71"/>
      <c r="AI13" s="71"/>
      <c r="AJ13" s="71"/>
      <c r="AK13" s="71"/>
      <c r="AL13" s="71"/>
      <c r="AM13" s="71"/>
      <c r="AN13" s="71"/>
      <c r="AO13" s="71"/>
      <c r="AP13" s="71"/>
      <c r="AQ13" s="71"/>
      <c r="AR13" s="71"/>
      <c r="AS13" s="71"/>
      <c r="AT13" s="71"/>
      <c r="AU13" s="71"/>
      <c r="AV13" s="71"/>
      <c r="AW13" s="71"/>
      <c r="AX13" s="71"/>
      <c r="AY13" s="71"/>
      <c r="AZ13" s="71"/>
      <c r="BA13" s="71"/>
      <c r="BB13" s="71"/>
    </row>
    <row r="14" customFormat="false" ht="15" hidden="false" customHeight="false" outlineLevel="0" collapsed="false">
      <c r="A14" s="198" t="s">
        <v>31</v>
      </c>
      <c r="B14" s="155" t="n">
        <f aca="false">IF('Semaine 04-05-2025'!$C14="1- Lundi",$C$1+1, IF('Semaine 04-05-2025'!$C14="2- Mardi",$C$1+2, IF('Semaine 04-05-2025'!$C14="3- Mercredi",$C$1+3, IF('Semaine 04-05-2025'!$C14="4- Jeudi",$C$1+4, IF('Semaine 04-05-2025'!$C14="5- Vendredi",$C$1+5, IF('Semaine 04-05-2025'!$C14="6- Samedi",$C$1+6, IF('Semaine 04-05-2025'!$C14="7- Dimanche",$C$1, )))))))</f>
        <v>44320</v>
      </c>
      <c r="C14" s="199" t="s">
        <v>312</v>
      </c>
      <c r="D14" s="203" t="n">
        <v>0.666666666666667</v>
      </c>
      <c r="E14" s="203" t="n">
        <v>0.6875</v>
      </c>
      <c r="F14" s="214" t="s">
        <v>37</v>
      </c>
      <c r="G14" s="214" t="s">
        <v>19</v>
      </c>
      <c r="H14" s="215" t="s">
        <v>344</v>
      </c>
      <c r="I14" s="203"/>
      <c r="J14" s="204" t="n">
        <f aca="false">IF($D14=0,"",($N14-INT($N14))*24)</f>
        <v>0.5</v>
      </c>
      <c r="K14" s="216" t="n">
        <f aca="false">SUMIF('Semaine 04-05-2025'!$C$4:$C$46,$C14,'Semaine 04-05-2025'!$J$4:$J$46)</f>
        <v>8</v>
      </c>
      <c r="L14" s="206" t="n">
        <f aca="false">SUMIF('Semaine 04-05-2025'!$C$4:$C$46,$C14,O$4:O$1957) / 'Semaine 04-05-2025'!$K14</f>
        <v>0.5625</v>
      </c>
      <c r="M14" s="207" t="n">
        <f aca="false">IF(A14="o",'Semaine 04-05-2025'!$J14,".")</f>
        <v>0.500000000000001</v>
      </c>
      <c r="N14" s="213" t="n">
        <f aca="false">IF($D14=0,"",$E14-$D14)</f>
        <v>0.0208333333333333</v>
      </c>
      <c r="O14" s="166" t="n">
        <f aca="false">IF($O$1='Semaine 04-05-2025'!$G14,'Semaine 04-05-2025'!$J14,"")</f>
        <v>0.500000000000001</v>
      </c>
      <c r="P14" s="166" t="str">
        <f aca="false">IF($P$1='Semaine 04-05-2025'!$G14,'Semaine 04-05-2025'!$J14,"")</f>
        <v/>
      </c>
      <c r="Q14" s="166" t="str">
        <f aca="false">IF($Q$1='Semaine 04-05-2025'!$G14,'Semaine 04-05-2025'!$J14,"")</f>
        <v/>
      </c>
      <c r="R14" s="166" t="str">
        <f aca="false">IF($R$1='Semaine 04-05-2025'!$G14,'Semaine 04-05-2025'!$J14,"")</f>
        <v/>
      </c>
      <c r="S14" s="166" t="str">
        <f aca="false">IF($S$1='Semaine 04-05-2025'!$G14,'Semaine 04-05-2025'!$J14,"")</f>
        <v/>
      </c>
      <c r="T14" s="166" t="str">
        <f aca="false">IF($T$1='Semaine 04-05-2025'!$G14,'Semaine 04-05-2025'!$J14,"")</f>
        <v/>
      </c>
      <c r="U14" s="166" t="str">
        <f aca="false">IF($U$1='Semaine 04-05-2025'!$G14,'Semaine 04-05-2025'!$J14,"")</f>
        <v/>
      </c>
      <c r="V14" s="167" t="str">
        <f aca="false">IF($V$1='Semaine 04-05-2025'!$G14,'Semaine 04-05-2025'!$J14,"")</f>
        <v/>
      </c>
      <c r="W14" s="168"/>
      <c r="X14" s="174"/>
      <c r="Y14" s="71"/>
      <c r="Z14" s="71"/>
      <c r="AA14" s="71"/>
      <c r="AB14" s="169"/>
      <c r="AC14" s="71"/>
      <c r="AD14" s="71"/>
      <c r="AE14" s="71"/>
      <c r="AF14" s="71"/>
      <c r="AG14" s="71"/>
      <c r="AH14" s="71"/>
      <c r="AI14" s="71"/>
      <c r="AJ14" s="71"/>
      <c r="AK14" s="71"/>
      <c r="AL14" s="71"/>
      <c r="AM14" s="71"/>
      <c r="AN14" s="71"/>
      <c r="AO14" s="71"/>
      <c r="AP14" s="71"/>
      <c r="AQ14" s="71"/>
      <c r="AR14" s="71"/>
      <c r="AS14" s="71"/>
      <c r="AT14" s="71"/>
      <c r="AU14" s="71"/>
      <c r="AV14" s="71"/>
      <c r="AW14" s="71"/>
      <c r="AX14" s="71"/>
      <c r="AY14" s="71"/>
      <c r="AZ14" s="71"/>
      <c r="BA14" s="71"/>
      <c r="BB14" s="71"/>
    </row>
    <row r="15" customFormat="false" ht="15" hidden="false" customHeight="false" outlineLevel="0" collapsed="false">
      <c r="A15" s="198" t="s">
        <v>31</v>
      </c>
      <c r="B15" s="155" t="n">
        <f aca="false">IF('Semaine 04-05-2025'!$C15="1- Lundi",$C$1+1, IF('Semaine 04-05-2025'!$C15="2- Mardi",$C$1+2, IF('Semaine 04-05-2025'!$C15="3- Mercredi",$C$1+3, IF('Semaine 04-05-2025'!$C15="4- Jeudi",$C$1+4, IF('Semaine 04-05-2025'!$C15="5- Vendredi",$C$1+5, IF('Semaine 04-05-2025'!$C15="6- Samedi",$C$1+6, IF('Semaine 04-05-2025'!$C15="7- Dimanche",$C$1, )))))))</f>
        <v>44320</v>
      </c>
      <c r="C15" s="199" t="s">
        <v>312</v>
      </c>
      <c r="D15" s="209" t="n">
        <v>0.6875</v>
      </c>
      <c r="E15" s="209" t="n">
        <v>0.729166666666667</v>
      </c>
      <c r="F15" s="210" t="s">
        <v>32</v>
      </c>
      <c r="G15" s="210" t="s">
        <v>22</v>
      </c>
      <c r="H15" s="211" t="s">
        <v>118</v>
      </c>
      <c r="I15" s="209"/>
      <c r="J15" s="204" t="n">
        <f aca="false">IF($D15=0,"",($N15-INT($N15))*24)</f>
        <v>1</v>
      </c>
      <c r="K15" s="216" t="n">
        <f aca="false">SUMIF('Semaine 04-05-2025'!$C$4:$C$46,$C15,'Semaine 04-05-2025'!$J$4:$J$46)</f>
        <v>8</v>
      </c>
      <c r="L15" s="206" t="n">
        <f aca="false">SUMIF('Semaine 04-05-2025'!$C$4:$C$46,$C15,O$4:O$1957) / 'Semaine 04-05-2025'!$K15</f>
        <v>0.5625</v>
      </c>
      <c r="M15" s="207" t="n">
        <f aca="false">IF(A15="o",'Semaine 04-05-2025'!$J15,".")</f>
        <v>0.999999999999999</v>
      </c>
      <c r="N15" s="213" t="n">
        <f aca="false">IF($D15=0,"",$E15-$D15)</f>
        <v>0.0416666666666667</v>
      </c>
      <c r="O15" s="166" t="str">
        <f aca="false">IF($O$1='Semaine 04-05-2025'!$G15,'Semaine 04-05-2025'!$J15,"")</f>
        <v/>
      </c>
      <c r="P15" s="166" t="str">
        <f aca="false">IF($P$1='Semaine 04-05-2025'!$G15,'Semaine 04-05-2025'!$J15,"")</f>
        <v/>
      </c>
      <c r="Q15" s="166" t="str">
        <f aca="false">IF($Q$1='Semaine 04-05-2025'!$G15,'Semaine 04-05-2025'!$J15,"")</f>
        <v/>
      </c>
      <c r="R15" s="166" t="n">
        <f aca="false">IF($R$1='Semaine 04-05-2025'!$G15,'Semaine 04-05-2025'!$J15,"")</f>
        <v>0.999999999999999</v>
      </c>
      <c r="S15" s="166" t="str">
        <f aca="false">IF($S$1='Semaine 04-05-2025'!$G15,'Semaine 04-05-2025'!$J15,"")</f>
        <v/>
      </c>
      <c r="T15" s="166" t="str">
        <f aca="false">IF($T$1='Semaine 04-05-2025'!$G15,'Semaine 04-05-2025'!$J15,"")</f>
        <v/>
      </c>
      <c r="U15" s="166" t="str">
        <f aca="false">IF($U$1='Semaine 04-05-2025'!$G15,'Semaine 04-05-2025'!$J15,"")</f>
        <v/>
      </c>
      <c r="V15" s="167" t="str">
        <f aca="false">IF($V$1='Semaine 04-05-2025'!$G15,'Semaine 04-05-2025'!$J15,"")</f>
        <v/>
      </c>
      <c r="W15" s="168"/>
      <c r="X15" s="174"/>
      <c r="Y15" s="71"/>
      <c r="Z15" s="71"/>
      <c r="AA15" s="71"/>
      <c r="AB15" s="169"/>
      <c r="AC15" s="71"/>
      <c r="AD15" s="71"/>
      <c r="AE15" s="71"/>
      <c r="AF15" s="71"/>
      <c r="AG15" s="71"/>
      <c r="AH15" s="71"/>
      <c r="AI15" s="71"/>
      <c r="AJ15" s="71"/>
      <c r="AK15" s="71"/>
      <c r="AL15" s="71"/>
      <c r="AM15" s="71"/>
      <c r="AN15" s="71"/>
      <c r="AO15" s="71"/>
      <c r="AP15" s="71"/>
      <c r="AQ15" s="71"/>
      <c r="AR15" s="71"/>
      <c r="AS15" s="71"/>
      <c r="AT15" s="71"/>
      <c r="AU15" s="71"/>
      <c r="AV15" s="71"/>
      <c r="AW15" s="71"/>
      <c r="AX15" s="71"/>
      <c r="AY15" s="71"/>
      <c r="AZ15" s="71"/>
      <c r="BA15" s="71"/>
      <c r="BB15" s="71"/>
    </row>
    <row r="16" customFormat="false" ht="15" hidden="false" customHeight="false" outlineLevel="0" collapsed="false">
      <c r="A16" s="198" t="s">
        <v>31</v>
      </c>
      <c r="B16" s="155" t="n">
        <f aca="false">IF('Semaine 04-05-2025'!$C16="1- Lundi",$C$1+1, IF('Semaine 04-05-2025'!$C16="2- Mardi",$C$1+2, IF('Semaine 04-05-2025'!$C16="3- Mercredi",$C$1+3, IF('Semaine 04-05-2025'!$C16="4- Jeudi",$C$1+4, IF('Semaine 04-05-2025'!$C16="5- Vendredi",$C$1+5, IF('Semaine 04-05-2025'!$C16="6- Samedi",$C$1+6, IF('Semaine 04-05-2025'!$C16="7- Dimanche",$C$1, )))))))</f>
        <v>44321</v>
      </c>
      <c r="C16" s="199" t="s">
        <v>319</v>
      </c>
      <c r="D16" s="203" t="n">
        <v>0.302083333333333</v>
      </c>
      <c r="E16" s="203" t="n">
        <v>0.34375</v>
      </c>
      <c r="F16" s="214" t="s">
        <v>32</v>
      </c>
      <c r="G16" s="214" t="s">
        <v>22</v>
      </c>
      <c r="H16" s="215" t="s">
        <v>118</v>
      </c>
      <c r="I16" s="203"/>
      <c r="J16" s="204" t="n">
        <f aca="false">IF($D16=0,"",($N16-INT($N16))*24)</f>
        <v>1</v>
      </c>
      <c r="K16" s="216" t="n">
        <f aca="false">SUMIF('Semaine 04-05-2025'!$C$4:$C$46,$C16,'Semaine 04-05-2025'!$J$4:$J$46)</f>
        <v>7</v>
      </c>
      <c r="L16" s="206" t="n">
        <f aca="false">SUMIF('Semaine 04-05-2025'!$C$4:$C$46,$C16,O$4:O$1957) / 'Semaine 04-05-2025'!$K16</f>
        <v>0.428571428571429</v>
      </c>
      <c r="M16" s="207" t="n">
        <f aca="false">IF(A16="o",'Semaine 04-05-2025'!$J16,".")</f>
        <v>1</v>
      </c>
      <c r="N16" s="213" t="n">
        <f aca="false">IF($D16=0,"",$E16-$D16)</f>
        <v>0.0416666666666667</v>
      </c>
      <c r="O16" s="166" t="str">
        <f aca="false">IF($O$1='Semaine 04-05-2025'!$G16,'Semaine 04-05-2025'!$J16,"")</f>
        <v/>
      </c>
      <c r="P16" s="166" t="str">
        <f aca="false">IF($P$1='Semaine 04-05-2025'!$G16,'Semaine 04-05-2025'!$J16,"")</f>
        <v/>
      </c>
      <c r="Q16" s="166" t="str">
        <f aca="false">IF($Q$1='Semaine 04-05-2025'!$G16,'Semaine 04-05-2025'!$J16,"")</f>
        <v/>
      </c>
      <c r="R16" s="166" t="n">
        <f aca="false">IF($R$1='Semaine 04-05-2025'!$G16,'Semaine 04-05-2025'!$J16,"")</f>
        <v>1</v>
      </c>
      <c r="S16" s="166" t="str">
        <f aca="false">IF($S$1='Semaine 04-05-2025'!$G16,'Semaine 04-05-2025'!$J16,"")</f>
        <v/>
      </c>
      <c r="T16" s="166" t="str">
        <f aca="false">IF($T$1='Semaine 04-05-2025'!$G16,'Semaine 04-05-2025'!$J16,"")</f>
        <v/>
      </c>
      <c r="U16" s="166" t="str">
        <f aca="false">IF($U$1='Semaine 04-05-2025'!$G16,'Semaine 04-05-2025'!$J16,"")</f>
        <v/>
      </c>
      <c r="V16" s="167" t="str">
        <f aca="false">IF($V$1='Semaine 04-05-2025'!$G16,'Semaine 04-05-2025'!$J16,"")</f>
        <v/>
      </c>
      <c r="W16" s="168"/>
      <c r="X16" s="174"/>
      <c r="Y16" s="71"/>
      <c r="Z16" s="71"/>
      <c r="AA16" s="71"/>
      <c r="AB16" s="169"/>
      <c r="AC16" s="71"/>
      <c r="AD16" s="71"/>
      <c r="AE16" s="71"/>
      <c r="AF16" s="71"/>
      <c r="AG16" s="71"/>
      <c r="AH16" s="71"/>
      <c r="AI16" s="71"/>
      <c r="AJ16" s="71"/>
      <c r="AK16" s="71"/>
      <c r="AL16" s="71"/>
      <c r="AM16" s="71"/>
      <c r="AN16" s="71"/>
      <c r="AO16" s="71"/>
      <c r="AP16" s="71"/>
      <c r="AQ16" s="71"/>
      <c r="AR16" s="71"/>
      <c r="AS16" s="71"/>
      <c r="AT16" s="71"/>
      <c r="AU16" s="71"/>
      <c r="AV16" s="71"/>
      <c r="AW16" s="71"/>
      <c r="AX16" s="71"/>
      <c r="AY16" s="71"/>
      <c r="AZ16" s="71"/>
      <c r="BA16" s="71"/>
      <c r="BB16" s="71"/>
    </row>
    <row r="17" customFormat="false" ht="15" hidden="false" customHeight="false" outlineLevel="0" collapsed="false">
      <c r="A17" s="198" t="s">
        <v>31</v>
      </c>
      <c r="B17" s="155" t="n">
        <f aca="false">IF('Semaine 04-05-2025'!$C17="1- Lundi",$C$1+1, IF('Semaine 04-05-2025'!$C17="2- Mardi",$C$1+2, IF('Semaine 04-05-2025'!$C17="3- Mercredi",$C$1+3, IF('Semaine 04-05-2025'!$C17="4- Jeudi",$C$1+4, IF('Semaine 04-05-2025'!$C17="5- Vendredi",$C$1+5, IF('Semaine 04-05-2025'!$C17="6- Samedi",$C$1+6, IF('Semaine 04-05-2025'!$C17="7- Dimanche",$C$1, )))))))</f>
        <v>44321</v>
      </c>
      <c r="C17" s="199" t="s">
        <v>319</v>
      </c>
      <c r="D17" s="203" t="n">
        <v>0.34375</v>
      </c>
      <c r="E17" s="203" t="n">
        <v>0.354166666666667</v>
      </c>
      <c r="F17" s="214" t="s">
        <v>63</v>
      </c>
      <c r="G17" s="214" t="s">
        <v>19</v>
      </c>
      <c r="H17" s="215" t="s">
        <v>347</v>
      </c>
      <c r="I17" s="203"/>
      <c r="J17" s="204" t="n">
        <f aca="false">IF($D17=0,"",($N17-INT($N17))*24)</f>
        <v>0.25</v>
      </c>
      <c r="K17" s="216" t="n">
        <f aca="false">SUMIF('Semaine 04-05-2025'!$C$4:$C$46,$C17,'Semaine 04-05-2025'!$J$4:$J$46)</f>
        <v>7</v>
      </c>
      <c r="L17" s="206" t="n">
        <f aca="false">SUMIF('Semaine 04-05-2025'!$C$4:$C$46,$C17,O$4:O$1957) / 'Semaine 04-05-2025'!$K17</f>
        <v>0.428571428571429</v>
      </c>
      <c r="M17" s="207" t="n">
        <f aca="false">IF(A17="o",'Semaine 04-05-2025'!$J17,".")</f>
        <v>0.25</v>
      </c>
      <c r="N17" s="213" t="n">
        <f aca="false">IF($D17=0,"",$E17-$D17)</f>
        <v>0.0104166666666667</v>
      </c>
      <c r="O17" s="166" t="n">
        <f aca="false">IF($O$1='Semaine 04-05-2025'!$G17,'Semaine 04-05-2025'!$J17,"")</f>
        <v>0.25</v>
      </c>
      <c r="P17" s="166" t="str">
        <f aca="false">IF($P$1='Semaine 04-05-2025'!$G17,'Semaine 04-05-2025'!$J17,"")</f>
        <v/>
      </c>
      <c r="Q17" s="166" t="str">
        <f aca="false">IF($Q$1='Semaine 04-05-2025'!$G17,'Semaine 04-05-2025'!$J17,"")</f>
        <v/>
      </c>
      <c r="R17" s="166" t="str">
        <f aca="false">IF($R$1='Semaine 04-05-2025'!$G17,'Semaine 04-05-2025'!$J17,"")</f>
        <v/>
      </c>
      <c r="S17" s="166" t="str">
        <f aca="false">IF($S$1='Semaine 04-05-2025'!$G17,'Semaine 04-05-2025'!$J17,"")</f>
        <v/>
      </c>
      <c r="T17" s="166" t="str">
        <f aca="false">IF($T$1='Semaine 04-05-2025'!$G17,'Semaine 04-05-2025'!$J17,"")</f>
        <v/>
      </c>
      <c r="U17" s="166" t="str">
        <f aca="false">IF($U$1='Semaine 04-05-2025'!$G17,'Semaine 04-05-2025'!$J17,"")</f>
        <v/>
      </c>
      <c r="V17" s="167" t="str">
        <f aca="false">IF($V$1='Semaine 04-05-2025'!$G17,'Semaine 04-05-2025'!$J17,"")</f>
        <v/>
      </c>
      <c r="W17" s="168"/>
      <c r="X17" s="174"/>
      <c r="Y17" s="71"/>
      <c r="Z17" s="71"/>
      <c r="AA17" s="71"/>
      <c r="AB17" s="169"/>
      <c r="AC17" s="71"/>
      <c r="AD17" s="71"/>
      <c r="AE17" s="71"/>
      <c r="AF17" s="71"/>
      <c r="AG17" s="71"/>
      <c r="AH17" s="71"/>
      <c r="AI17" s="71"/>
      <c r="AJ17" s="71"/>
      <c r="AK17" s="71"/>
      <c r="AL17" s="71"/>
      <c r="AM17" s="71"/>
      <c r="AN17" s="71"/>
      <c r="AO17" s="71"/>
      <c r="AP17" s="71"/>
      <c r="AQ17" s="71"/>
      <c r="AR17" s="71"/>
      <c r="AS17" s="71"/>
      <c r="AT17" s="71"/>
      <c r="AU17" s="71"/>
      <c r="AV17" s="71"/>
      <c r="AW17" s="71"/>
      <c r="AX17" s="71"/>
      <c r="AY17" s="71"/>
      <c r="AZ17" s="71"/>
      <c r="BA17" s="71"/>
      <c r="BB17" s="71"/>
    </row>
    <row r="18" customFormat="false" ht="15" hidden="false" customHeight="false" outlineLevel="0" collapsed="false">
      <c r="A18" s="198" t="s">
        <v>31</v>
      </c>
      <c r="B18" s="155" t="n">
        <f aca="false">IF('Semaine 04-05-2025'!$C18="1- Lundi",$C$1+1, IF('Semaine 04-05-2025'!$C18="2- Mardi",$C$1+2, IF('Semaine 04-05-2025'!$C18="3- Mercredi",$C$1+3, IF('Semaine 04-05-2025'!$C18="4- Jeudi",$C$1+4, IF('Semaine 04-05-2025'!$C18="5- Vendredi",$C$1+5, IF('Semaine 04-05-2025'!$C18="6- Samedi",$C$1+6, IF('Semaine 04-05-2025'!$C18="7- Dimanche",$C$1, )))))))</f>
        <v>44321</v>
      </c>
      <c r="C18" s="199" t="s">
        <v>319</v>
      </c>
      <c r="D18" s="203" t="n">
        <v>0.375</v>
      </c>
      <c r="E18" s="203" t="n">
        <v>0.395833333333333</v>
      </c>
      <c r="F18" s="214" t="s">
        <v>59</v>
      </c>
      <c r="G18" s="214" t="s">
        <v>19</v>
      </c>
      <c r="H18" s="215" t="s">
        <v>348</v>
      </c>
      <c r="I18" s="203"/>
      <c r="J18" s="204" t="n">
        <f aca="false">IF($D18=0,"",($N18-INT($N18))*24)</f>
        <v>0.5</v>
      </c>
      <c r="K18" s="216" t="n">
        <f aca="false">SUMIF('Semaine 04-05-2025'!$C$4:$C$46,$C18,'Semaine 04-05-2025'!$J$4:$J$46)</f>
        <v>7</v>
      </c>
      <c r="L18" s="206" t="n">
        <f aca="false">SUMIF('Semaine 04-05-2025'!$C$4:$C$46,$C18,O$4:O$1957) / 'Semaine 04-05-2025'!$K18</f>
        <v>0.428571428571429</v>
      </c>
      <c r="M18" s="207" t="n">
        <f aca="false">IF(A18="o",'Semaine 04-05-2025'!$J18,".")</f>
        <v>0.5</v>
      </c>
      <c r="N18" s="213" t="n">
        <f aca="false">IF($D18=0,"",$E18-$D18)</f>
        <v>0.0208333333333333</v>
      </c>
      <c r="O18" s="166" t="n">
        <f aca="false">IF($O$1='Semaine 04-05-2025'!$G18,'Semaine 04-05-2025'!$J18,"")</f>
        <v>0.5</v>
      </c>
      <c r="P18" s="166" t="str">
        <f aca="false">IF($P$1='Semaine 04-05-2025'!$G18,'Semaine 04-05-2025'!$J18,"")</f>
        <v/>
      </c>
      <c r="Q18" s="166" t="str">
        <f aca="false">IF($Q$1='Semaine 04-05-2025'!$G18,'Semaine 04-05-2025'!$J18,"")</f>
        <v/>
      </c>
      <c r="R18" s="166" t="str">
        <f aca="false">IF($R$1='Semaine 04-05-2025'!$G18,'Semaine 04-05-2025'!$J18,"")</f>
        <v/>
      </c>
      <c r="S18" s="166" t="str">
        <f aca="false">IF($S$1='Semaine 04-05-2025'!$G18,'Semaine 04-05-2025'!$J18,"")</f>
        <v/>
      </c>
      <c r="T18" s="166" t="str">
        <f aca="false">IF($T$1='Semaine 04-05-2025'!$G18,'Semaine 04-05-2025'!$J18,"")</f>
        <v/>
      </c>
      <c r="U18" s="166" t="str">
        <f aca="false">IF($U$1='Semaine 04-05-2025'!$G18,'Semaine 04-05-2025'!$J18,"")</f>
        <v/>
      </c>
      <c r="V18" s="167" t="str">
        <f aca="false">IF($V$1='Semaine 04-05-2025'!$G18,'Semaine 04-05-2025'!$J18,"")</f>
        <v/>
      </c>
      <c r="W18" s="168"/>
      <c r="X18" s="174"/>
      <c r="Y18" s="71"/>
      <c r="Z18" s="71"/>
      <c r="AA18" s="71"/>
      <c r="AB18" s="169"/>
      <c r="AC18" s="71"/>
      <c r="AD18" s="71"/>
      <c r="AE18" s="71"/>
      <c r="AF18" s="71"/>
      <c r="AG18" s="71"/>
      <c r="AH18" s="71"/>
      <c r="AI18" s="71"/>
      <c r="AJ18" s="71"/>
      <c r="AK18" s="71"/>
      <c r="AL18" s="71"/>
      <c r="AM18" s="71"/>
      <c r="AN18" s="71"/>
      <c r="AO18" s="71"/>
      <c r="AP18" s="71"/>
      <c r="AQ18" s="71"/>
      <c r="AR18" s="71"/>
      <c r="AS18" s="71"/>
      <c r="AT18" s="71"/>
      <c r="AU18" s="71"/>
      <c r="AV18" s="71"/>
      <c r="AW18" s="71"/>
      <c r="AX18" s="71"/>
      <c r="AY18" s="71"/>
      <c r="AZ18" s="71"/>
      <c r="BA18" s="71"/>
      <c r="BB18" s="71"/>
    </row>
    <row r="19" customFormat="false" ht="15" hidden="false" customHeight="false" outlineLevel="0" collapsed="false">
      <c r="A19" s="198" t="s">
        <v>31</v>
      </c>
      <c r="B19" s="155" t="n">
        <f aca="false">IF('Semaine 04-05-2025'!$C19="1- Lundi",$C$1+1, IF('Semaine 04-05-2025'!$C19="2- Mardi",$C$1+2, IF('Semaine 04-05-2025'!$C19="3- Mercredi",$C$1+3, IF('Semaine 04-05-2025'!$C19="4- Jeudi",$C$1+4, IF('Semaine 04-05-2025'!$C19="5- Vendredi",$C$1+5, IF('Semaine 04-05-2025'!$C19="6- Samedi",$C$1+6, IF('Semaine 04-05-2025'!$C19="7- Dimanche",$C$1, )))))))</f>
        <v>44321</v>
      </c>
      <c r="C19" s="199" t="s">
        <v>319</v>
      </c>
      <c r="D19" s="203" t="n">
        <v>0.40625</v>
      </c>
      <c r="E19" s="203" t="n">
        <v>0.427083333333333</v>
      </c>
      <c r="F19" s="214" t="s">
        <v>63</v>
      </c>
      <c r="G19" s="214" t="s">
        <v>19</v>
      </c>
      <c r="H19" s="215" t="s">
        <v>349</v>
      </c>
      <c r="I19" s="203"/>
      <c r="J19" s="204" t="n">
        <f aca="false">IF($D19=0,"",($N19-INT($N19))*24)</f>
        <v>0.5</v>
      </c>
      <c r="K19" s="216" t="n">
        <f aca="false">SUMIF('Semaine 04-05-2025'!$C$4:$C$46,$C19,'Semaine 04-05-2025'!$J$4:$J$46)</f>
        <v>7</v>
      </c>
      <c r="L19" s="206" t="n">
        <f aca="false">SUMIF('Semaine 04-05-2025'!$C$4:$C$46,$C19,O$4:O$1957) / 'Semaine 04-05-2025'!$K19</f>
        <v>0.428571428571429</v>
      </c>
      <c r="M19" s="207" t="n">
        <f aca="false">IF(A19="o",'Semaine 04-05-2025'!$J19,".")</f>
        <v>0.5</v>
      </c>
      <c r="N19" s="213" t="n">
        <f aca="false">IF($D19=0,"",$E19-$D19)</f>
        <v>0.0208333333333333</v>
      </c>
      <c r="O19" s="166" t="n">
        <f aca="false">IF($O$1='Semaine 04-05-2025'!$G19,'Semaine 04-05-2025'!$J19,"")</f>
        <v>0.5</v>
      </c>
      <c r="P19" s="166" t="str">
        <f aca="false">IF($P$1='Semaine 04-05-2025'!$G19,'Semaine 04-05-2025'!$J19,"")</f>
        <v/>
      </c>
      <c r="Q19" s="166" t="str">
        <f aca="false">IF($Q$1='Semaine 04-05-2025'!$G19,'Semaine 04-05-2025'!$J19,"")</f>
        <v/>
      </c>
      <c r="R19" s="166" t="str">
        <f aca="false">IF($R$1='Semaine 04-05-2025'!$G19,'Semaine 04-05-2025'!$J19,"")</f>
        <v/>
      </c>
      <c r="S19" s="166" t="str">
        <f aca="false">IF($S$1='Semaine 04-05-2025'!$G19,'Semaine 04-05-2025'!$J19,"")</f>
        <v/>
      </c>
      <c r="T19" s="166" t="str">
        <f aca="false">IF($T$1='Semaine 04-05-2025'!$G19,'Semaine 04-05-2025'!$J19,"")</f>
        <v/>
      </c>
      <c r="U19" s="166" t="str">
        <f aca="false">IF($U$1='Semaine 04-05-2025'!$G19,'Semaine 04-05-2025'!$J19,"")</f>
        <v/>
      </c>
      <c r="V19" s="167" t="str">
        <f aca="false">IF($V$1='Semaine 04-05-2025'!$G19,'Semaine 04-05-2025'!$J19,"")</f>
        <v/>
      </c>
      <c r="W19" s="168"/>
      <c r="X19" s="174"/>
      <c r="Y19" s="71"/>
      <c r="Z19" s="71"/>
      <c r="AA19" s="71"/>
      <c r="AB19" s="169"/>
      <c r="AC19" s="71"/>
      <c r="AD19" s="71"/>
      <c r="AE19" s="71"/>
      <c r="AF19" s="71"/>
      <c r="AG19" s="71"/>
      <c r="AH19" s="71"/>
      <c r="AI19" s="71"/>
      <c r="AJ19" s="71"/>
      <c r="AK19" s="71"/>
      <c r="AL19" s="71"/>
      <c r="AM19" s="71"/>
      <c r="AN19" s="71"/>
      <c r="AO19" s="71"/>
      <c r="AP19" s="71"/>
      <c r="AQ19" s="71"/>
      <c r="AR19" s="71"/>
      <c r="AS19" s="71"/>
      <c r="AT19" s="71"/>
      <c r="AU19" s="71"/>
      <c r="AV19" s="71"/>
      <c r="AW19" s="71"/>
      <c r="AX19" s="71"/>
      <c r="AY19" s="71"/>
      <c r="AZ19" s="71"/>
      <c r="BA19" s="71"/>
      <c r="BB19" s="71"/>
    </row>
    <row r="20" customFormat="false" ht="15" hidden="false" customHeight="false" outlineLevel="0" collapsed="false">
      <c r="A20" s="198" t="s">
        <v>31</v>
      </c>
      <c r="B20" s="155" t="n">
        <f aca="false">IF('Semaine 04-05-2025'!$C20="1- Lundi",$C$1+1, IF('Semaine 04-05-2025'!$C20="2- Mardi",$C$1+2, IF('Semaine 04-05-2025'!$C20="3- Mercredi",$C$1+3, IF('Semaine 04-05-2025'!$C20="4- Jeudi",$C$1+4, IF('Semaine 04-05-2025'!$C20="5- Vendredi",$C$1+5, IF('Semaine 04-05-2025'!$C20="6- Samedi",$C$1+6, IF('Semaine 04-05-2025'!$C20="7- Dimanche",$C$1, )))))))</f>
        <v>44321</v>
      </c>
      <c r="C20" s="199" t="s">
        <v>319</v>
      </c>
      <c r="D20" s="203" t="n">
        <v>0.427083333333333</v>
      </c>
      <c r="E20" s="203" t="n">
        <v>0.458333333333333</v>
      </c>
      <c r="F20" s="214" t="s">
        <v>32</v>
      </c>
      <c r="G20" s="214" t="s">
        <v>20</v>
      </c>
      <c r="H20" s="215" t="s">
        <v>33</v>
      </c>
      <c r="I20" s="203"/>
      <c r="J20" s="204" t="n">
        <f aca="false">IF($D20=0,"",($N20-INT($N20))*24)</f>
        <v>0.75</v>
      </c>
      <c r="K20" s="216" t="n">
        <f aca="false">SUMIF('Semaine 04-05-2025'!$C$4:$C$46,$C20,'Semaine 04-05-2025'!$J$4:$J$46)</f>
        <v>7</v>
      </c>
      <c r="L20" s="206" t="n">
        <f aca="false">SUMIF('Semaine 04-05-2025'!$C$4:$C$46,$C20,O$4:O$1957) / 'Semaine 04-05-2025'!$K20</f>
        <v>0.428571428571429</v>
      </c>
      <c r="M20" s="207" t="n">
        <f aca="false">IF(A20="o",'Semaine 04-05-2025'!$J20,".")</f>
        <v>0.75</v>
      </c>
      <c r="N20" s="213" t="n">
        <f aca="false">IF($D20=0,"",$E20-$D20)</f>
        <v>0.03125</v>
      </c>
      <c r="O20" s="166" t="str">
        <f aca="false">IF($O$1='Semaine 04-05-2025'!$G20,'Semaine 04-05-2025'!$J20,"")</f>
        <v/>
      </c>
      <c r="P20" s="166" t="n">
        <f aca="false">IF($P$1='Semaine 04-05-2025'!$G20,'Semaine 04-05-2025'!$J20,"")</f>
        <v>0.75</v>
      </c>
      <c r="Q20" s="166" t="str">
        <f aca="false">IF($Q$1='Semaine 04-05-2025'!$G20,'Semaine 04-05-2025'!$J20,"")</f>
        <v/>
      </c>
      <c r="R20" s="166" t="str">
        <f aca="false">IF($R$1='Semaine 04-05-2025'!$G20,'Semaine 04-05-2025'!$J20,"")</f>
        <v/>
      </c>
      <c r="S20" s="166" t="str">
        <f aca="false">IF($S$1='Semaine 04-05-2025'!$G20,'Semaine 04-05-2025'!$J20,"")</f>
        <v/>
      </c>
      <c r="T20" s="166" t="str">
        <f aca="false">IF($T$1='Semaine 04-05-2025'!$G20,'Semaine 04-05-2025'!$J20,"")</f>
        <v/>
      </c>
      <c r="U20" s="166" t="str">
        <f aca="false">IF($U$1='Semaine 04-05-2025'!$G20,'Semaine 04-05-2025'!$J20,"")</f>
        <v/>
      </c>
      <c r="V20" s="167" t="str">
        <f aca="false">IF($V$1='Semaine 04-05-2025'!$G20,'Semaine 04-05-2025'!$J20,"")</f>
        <v/>
      </c>
      <c r="W20" s="168"/>
      <c r="X20" s="174"/>
      <c r="Y20" s="71"/>
      <c r="Z20" s="71"/>
      <c r="AA20" s="71"/>
      <c r="AB20" s="169"/>
      <c r="AC20" s="71"/>
      <c r="AD20" s="71"/>
      <c r="AE20" s="71"/>
      <c r="AF20" s="71"/>
      <c r="AG20" s="71"/>
      <c r="AH20" s="71"/>
      <c r="AI20" s="71"/>
      <c r="AJ20" s="71"/>
      <c r="AK20" s="71"/>
      <c r="AL20" s="71"/>
      <c r="AM20" s="71"/>
      <c r="AN20" s="71"/>
      <c r="AO20" s="71"/>
      <c r="AP20" s="71"/>
      <c r="AQ20" s="71"/>
      <c r="AR20" s="71"/>
      <c r="AS20" s="71"/>
      <c r="AT20" s="71"/>
      <c r="AU20" s="71"/>
      <c r="AV20" s="71"/>
      <c r="AW20" s="71"/>
      <c r="AX20" s="71"/>
      <c r="AY20" s="71"/>
      <c r="AZ20" s="71"/>
      <c r="BA20" s="71"/>
      <c r="BB20" s="71"/>
    </row>
    <row r="21" customFormat="false" ht="15" hidden="false" customHeight="false" outlineLevel="0" collapsed="false">
      <c r="A21" s="198" t="s">
        <v>31</v>
      </c>
      <c r="B21" s="155" t="n">
        <f aca="false">IF('Semaine 04-05-2025'!$C21="1- Lundi",$C$1+1, IF('Semaine 04-05-2025'!$C21="2- Mardi",$C$1+2, IF('Semaine 04-05-2025'!$C21="3- Mercredi",$C$1+3, IF('Semaine 04-05-2025'!$C21="4- Jeudi",$C$1+4, IF('Semaine 04-05-2025'!$C21="5- Vendredi",$C$1+5, IF('Semaine 04-05-2025'!$C21="6- Samedi",$C$1+6, IF('Semaine 04-05-2025'!$C21="7- Dimanche",$C$1, )))))))</f>
        <v>44321</v>
      </c>
      <c r="C21" s="199" t="s">
        <v>319</v>
      </c>
      <c r="D21" s="203" t="n">
        <v>0.447916666666667</v>
      </c>
      <c r="E21" s="203" t="n">
        <v>0.489583333333333</v>
      </c>
      <c r="F21" s="214" t="s">
        <v>32</v>
      </c>
      <c r="G21" s="214" t="s">
        <v>22</v>
      </c>
      <c r="H21" s="215" t="s">
        <v>118</v>
      </c>
      <c r="I21" s="203"/>
      <c r="J21" s="204" t="n">
        <f aca="false">IF($D21=0,"",($N21-INT($N21))*24)</f>
        <v>1</v>
      </c>
      <c r="K21" s="216" t="n">
        <f aca="false">SUMIF('Semaine 04-05-2025'!$C$4:$C$46,$C21,'Semaine 04-05-2025'!$J$4:$J$46)</f>
        <v>7</v>
      </c>
      <c r="L21" s="206" t="n">
        <f aca="false">SUMIF('Semaine 04-05-2025'!$C$4:$C$46,$C21,O$4:O$1957) / 'Semaine 04-05-2025'!$K21</f>
        <v>0.428571428571429</v>
      </c>
      <c r="M21" s="207" t="n">
        <f aca="false">IF(A21="o",'Semaine 04-05-2025'!$J21,".")</f>
        <v>0.999999999999999</v>
      </c>
      <c r="N21" s="213" t="n">
        <f aca="false">IF($D21=0,"",$E21-$D21)</f>
        <v>0.0416666666666666</v>
      </c>
      <c r="O21" s="166" t="str">
        <f aca="false">IF($O$1='Semaine 04-05-2025'!$G21,'Semaine 04-05-2025'!$J21,"")</f>
        <v/>
      </c>
      <c r="P21" s="166" t="str">
        <f aca="false">IF($P$1='Semaine 04-05-2025'!$G21,'Semaine 04-05-2025'!$J21,"")</f>
        <v/>
      </c>
      <c r="Q21" s="166" t="str">
        <f aca="false">IF($Q$1='Semaine 04-05-2025'!$G21,'Semaine 04-05-2025'!$J21,"")</f>
        <v/>
      </c>
      <c r="R21" s="166" t="n">
        <f aca="false">IF($R$1='Semaine 04-05-2025'!$G21,'Semaine 04-05-2025'!$J21,"")</f>
        <v>0.999999999999999</v>
      </c>
      <c r="S21" s="166" t="str">
        <f aca="false">IF($S$1='Semaine 04-05-2025'!$G21,'Semaine 04-05-2025'!$J21,"")</f>
        <v/>
      </c>
      <c r="T21" s="166" t="str">
        <f aca="false">IF($T$1='Semaine 04-05-2025'!$G21,'Semaine 04-05-2025'!$J21,"")</f>
        <v/>
      </c>
      <c r="U21" s="166" t="str">
        <f aca="false">IF($U$1='Semaine 04-05-2025'!$G21,'Semaine 04-05-2025'!$J21,"")</f>
        <v/>
      </c>
      <c r="V21" s="167" t="str">
        <f aca="false">IF($V$1='Semaine 04-05-2025'!$G21,'Semaine 04-05-2025'!$J21,"")</f>
        <v/>
      </c>
      <c r="W21" s="168"/>
      <c r="X21" s="174"/>
      <c r="Y21" s="71"/>
      <c r="Z21" s="71"/>
      <c r="AA21" s="71"/>
      <c r="AB21" s="169"/>
      <c r="AC21" s="71"/>
      <c r="AD21" s="71"/>
      <c r="AE21" s="71"/>
      <c r="AF21" s="71"/>
      <c r="AG21" s="71"/>
      <c r="AH21" s="71"/>
      <c r="AI21" s="71"/>
      <c r="AJ21" s="71"/>
      <c r="AK21" s="71"/>
      <c r="AL21" s="71"/>
      <c r="AM21" s="71"/>
      <c r="AN21" s="71"/>
      <c r="AO21" s="71"/>
      <c r="AP21" s="71"/>
      <c r="AQ21" s="71"/>
      <c r="AR21" s="71"/>
      <c r="AS21" s="71"/>
      <c r="AT21" s="71"/>
      <c r="AU21" s="71"/>
      <c r="AV21" s="71"/>
      <c r="AW21" s="71"/>
      <c r="AX21" s="71"/>
      <c r="AY21" s="71"/>
      <c r="AZ21" s="71"/>
      <c r="BA21" s="71"/>
      <c r="BB21" s="71"/>
    </row>
    <row r="22" customFormat="false" ht="15" hidden="false" customHeight="false" outlineLevel="0" collapsed="false">
      <c r="A22" s="198" t="s">
        <v>31</v>
      </c>
      <c r="B22" s="155" t="n">
        <f aca="false">IF('Semaine 04-05-2025'!$C22="1- Lundi",$C$1+1, IF('Semaine 04-05-2025'!$C22="2- Mardi",$C$1+2, IF('Semaine 04-05-2025'!$C22="3- Mercredi",$C$1+3, IF('Semaine 04-05-2025'!$C22="4- Jeudi",$C$1+4, IF('Semaine 04-05-2025'!$C22="5- Vendredi",$C$1+5, IF('Semaine 04-05-2025'!$C22="6- Samedi",$C$1+6, IF('Semaine 04-05-2025'!$C22="7- Dimanche",$C$1, )))))))</f>
        <v>44321</v>
      </c>
      <c r="C22" s="199" t="s">
        <v>319</v>
      </c>
      <c r="D22" s="209" t="n">
        <v>0.489583333333333</v>
      </c>
      <c r="E22" s="209" t="n">
        <v>0.5</v>
      </c>
      <c r="F22" s="210" t="s">
        <v>32</v>
      </c>
      <c r="G22" s="210" t="s">
        <v>20</v>
      </c>
      <c r="H22" s="211" t="s">
        <v>33</v>
      </c>
      <c r="I22" s="209"/>
      <c r="J22" s="204" t="n">
        <f aca="false">IF($D22=0,"",($N22-INT($N22))*24)</f>
        <v>0.25</v>
      </c>
      <c r="K22" s="216" t="n">
        <f aca="false">SUMIF('Semaine 04-05-2025'!$C$4:$C$46,$C22,'Semaine 04-05-2025'!$J$4:$J$46)</f>
        <v>7</v>
      </c>
      <c r="L22" s="206" t="n">
        <f aca="false">SUMIF('Semaine 04-05-2025'!$C$4:$C$46,$C22,O$4:O$1957) / 'Semaine 04-05-2025'!$K22</f>
        <v>0.428571428571429</v>
      </c>
      <c r="M22" s="207" t="n">
        <f aca="false">IF(A22="o",'Semaine 04-05-2025'!$J22,".")</f>
        <v>0.25</v>
      </c>
      <c r="N22" s="213" t="n">
        <f aca="false">IF($D22=0,"",$E22-$D22)</f>
        <v>0.0104166666666667</v>
      </c>
      <c r="O22" s="166" t="str">
        <f aca="false">IF($O$1='Semaine 04-05-2025'!$G22,'Semaine 04-05-2025'!$J22,"")</f>
        <v/>
      </c>
      <c r="P22" s="166" t="n">
        <f aca="false">IF($P$1='Semaine 04-05-2025'!$G22,'Semaine 04-05-2025'!$J22,"")</f>
        <v>0.25</v>
      </c>
      <c r="Q22" s="166" t="str">
        <f aca="false">IF($Q$1='Semaine 04-05-2025'!$G22,'Semaine 04-05-2025'!$J22,"")</f>
        <v/>
      </c>
      <c r="R22" s="166" t="str">
        <f aca="false">IF($R$1='Semaine 04-05-2025'!$G22,'Semaine 04-05-2025'!$J22,"")</f>
        <v/>
      </c>
      <c r="S22" s="166" t="str">
        <f aca="false">IF($S$1='Semaine 04-05-2025'!$G22,'Semaine 04-05-2025'!$J22,"")</f>
        <v/>
      </c>
      <c r="T22" s="166" t="str">
        <f aca="false">IF($T$1='Semaine 04-05-2025'!$G22,'Semaine 04-05-2025'!$J22,"")</f>
        <v/>
      </c>
      <c r="U22" s="166" t="str">
        <f aca="false">IF($U$1='Semaine 04-05-2025'!$G22,'Semaine 04-05-2025'!$J22,"")</f>
        <v/>
      </c>
      <c r="V22" s="167" t="str">
        <f aca="false">IF($V$1='Semaine 04-05-2025'!$G22,'Semaine 04-05-2025'!$J22,"")</f>
        <v/>
      </c>
      <c r="W22" s="168"/>
      <c r="X22" s="174"/>
      <c r="Y22" s="71"/>
      <c r="Z22" s="71"/>
      <c r="AA22" s="71"/>
      <c r="AB22" s="169"/>
      <c r="AC22" s="71"/>
      <c r="AD22" s="71"/>
      <c r="AE22" s="71"/>
      <c r="AF22" s="71"/>
      <c r="AG22" s="71"/>
      <c r="AH22" s="71"/>
      <c r="AI22" s="71"/>
      <c r="AJ22" s="71"/>
      <c r="AK22" s="71"/>
      <c r="AL22" s="71"/>
      <c r="AM22" s="71"/>
      <c r="AN22" s="71"/>
      <c r="AO22" s="71"/>
      <c r="AP22" s="71"/>
      <c r="AQ22" s="71"/>
      <c r="AR22" s="71"/>
      <c r="AS22" s="71"/>
      <c r="AT22" s="71"/>
      <c r="AU22" s="71"/>
      <c r="AV22" s="71"/>
      <c r="AW22" s="71"/>
      <c r="AX22" s="71"/>
      <c r="AY22" s="71"/>
      <c r="AZ22" s="71"/>
      <c r="BA22" s="71"/>
      <c r="BB22" s="71"/>
    </row>
    <row r="23" customFormat="false" ht="15" hidden="false" customHeight="false" outlineLevel="0" collapsed="false">
      <c r="A23" s="198" t="s">
        <v>31</v>
      </c>
      <c r="B23" s="155" t="n">
        <f aca="false">IF('Semaine 04-05-2025'!$C23="1- Lundi",$C$1+1, IF('Semaine 04-05-2025'!$C23="2- Mardi",$C$1+2, IF('Semaine 04-05-2025'!$C23="3- Mercredi",$C$1+3, IF('Semaine 04-05-2025'!$C23="4- Jeudi",$C$1+4, IF('Semaine 04-05-2025'!$C23="5- Vendredi",$C$1+5, IF('Semaine 04-05-2025'!$C23="6- Samedi",$C$1+6, IF('Semaine 04-05-2025'!$C23="7- Dimanche",$C$1, )))))))</f>
        <v>44321</v>
      </c>
      <c r="C23" s="199" t="s">
        <v>319</v>
      </c>
      <c r="D23" s="203" t="n">
        <v>0.552083333333333</v>
      </c>
      <c r="E23" s="203" t="n">
        <v>0.625</v>
      </c>
      <c r="F23" s="214" t="s">
        <v>75</v>
      </c>
      <c r="G23" s="214" t="s">
        <v>19</v>
      </c>
      <c r="H23" s="215" t="s">
        <v>350</v>
      </c>
      <c r="I23" s="203"/>
      <c r="J23" s="204" t="n">
        <f aca="false">IF($D23=0,"",($N23-INT($N23))*24)</f>
        <v>1.75</v>
      </c>
      <c r="K23" s="216" t="n">
        <f aca="false">SUMIF('Semaine 04-05-2025'!$C$4:$C$46,$C23,'Semaine 04-05-2025'!$J$4:$J$46)</f>
        <v>7</v>
      </c>
      <c r="L23" s="206" t="n">
        <f aca="false">SUMIF('Semaine 04-05-2025'!$C$4:$C$46,$C23,O$4:O$1957) / 'Semaine 04-05-2025'!$K23</f>
        <v>0.428571428571429</v>
      </c>
      <c r="M23" s="207" t="n">
        <f aca="false">IF(A23="o",'Semaine 04-05-2025'!$J23,".")</f>
        <v>1.75</v>
      </c>
      <c r="N23" s="213" t="n">
        <f aca="false">IF($D23=0,"",$E23-$D23)</f>
        <v>0.0729166666666666</v>
      </c>
      <c r="O23" s="166" t="n">
        <f aca="false">IF($O$1='Semaine 04-05-2025'!$G23,'Semaine 04-05-2025'!$J23,"")</f>
        <v>1.75</v>
      </c>
      <c r="P23" s="166" t="str">
        <f aca="false">IF($P$1='Semaine 04-05-2025'!$G23,'Semaine 04-05-2025'!$J23,"")</f>
        <v/>
      </c>
      <c r="Q23" s="166" t="str">
        <f aca="false">IF($Q$1='Semaine 04-05-2025'!$G23,'Semaine 04-05-2025'!$J23,"")</f>
        <v/>
      </c>
      <c r="R23" s="166" t="str">
        <f aca="false">IF($R$1='Semaine 04-05-2025'!$G23,'Semaine 04-05-2025'!$J23,"")</f>
        <v/>
      </c>
      <c r="S23" s="166" t="str">
        <f aca="false">IF($S$1='Semaine 04-05-2025'!$G23,'Semaine 04-05-2025'!$J23,"")</f>
        <v/>
      </c>
      <c r="T23" s="166" t="str">
        <f aca="false">IF($T$1='Semaine 04-05-2025'!$G23,'Semaine 04-05-2025'!$J23,"")</f>
        <v/>
      </c>
      <c r="U23" s="166" t="str">
        <f aca="false">IF($U$1='Semaine 04-05-2025'!$G23,'Semaine 04-05-2025'!$J23,"")</f>
        <v/>
      </c>
      <c r="V23" s="167" t="str">
        <f aca="false">IF($V$1='Semaine 04-05-2025'!$G23,'Semaine 04-05-2025'!$J23,"")</f>
        <v/>
      </c>
      <c r="W23" s="168"/>
      <c r="X23" s="174"/>
      <c r="Y23" s="71"/>
      <c r="Z23" s="71"/>
      <c r="AA23" s="71"/>
      <c r="AB23" s="169"/>
      <c r="AC23" s="71"/>
      <c r="AD23" s="71"/>
      <c r="AE23" s="71"/>
      <c r="AF23" s="71"/>
      <c r="AG23" s="71"/>
      <c r="AH23" s="71"/>
      <c r="AI23" s="71"/>
      <c r="AJ23" s="71"/>
      <c r="AK23" s="71"/>
      <c r="AL23" s="71"/>
      <c r="AM23" s="71"/>
      <c r="AN23" s="71"/>
      <c r="AO23" s="71"/>
      <c r="AP23" s="71"/>
      <c r="AQ23" s="71"/>
      <c r="AR23" s="71"/>
      <c r="AS23" s="71"/>
      <c r="AT23" s="71"/>
      <c r="AU23" s="71"/>
      <c r="AV23" s="71"/>
      <c r="AW23" s="71"/>
      <c r="AX23" s="71"/>
      <c r="AY23" s="71"/>
      <c r="AZ23" s="71"/>
      <c r="BA23" s="71"/>
      <c r="BB23" s="71"/>
    </row>
    <row r="24" customFormat="false" ht="15" hidden="false" customHeight="false" outlineLevel="0" collapsed="false">
      <c r="A24" s="198" t="s">
        <v>31</v>
      </c>
      <c r="B24" s="155" t="n">
        <f aca="false">IF('Semaine 04-05-2025'!$C24="1- Lundi",$C$1+1, IF('Semaine 04-05-2025'!$C24="2- Mardi",$C$1+2, IF('Semaine 04-05-2025'!$C24="3- Mercredi",$C$1+3, IF('Semaine 04-05-2025'!$C24="4- Jeudi",$C$1+4, IF('Semaine 04-05-2025'!$C24="5- Vendredi",$C$1+5, IF('Semaine 04-05-2025'!$C24="6- Samedi",$C$1+6, IF('Semaine 04-05-2025'!$C24="7- Dimanche",$C$1, )))))))</f>
        <v>44321</v>
      </c>
      <c r="C24" s="199" t="s">
        <v>319</v>
      </c>
      <c r="D24" s="203" t="n">
        <v>0.625</v>
      </c>
      <c r="E24" s="203" t="n">
        <v>0.666666666666667</v>
      </c>
      <c r="F24" s="214" t="s">
        <v>32</v>
      </c>
      <c r="G24" s="214" t="s">
        <v>23</v>
      </c>
      <c r="H24" s="215" t="s">
        <v>33</v>
      </c>
      <c r="I24" s="203"/>
      <c r="J24" s="204" t="n">
        <f aca="false">IF($D24=0,"",($N24-INT($N24))*24)</f>
        <v>1</v>
      </c>
      <c r="K24" s="216" t="n">
        <f aca="false">SUMIF('Semaine 04-05-2025'!$C$4:$C$46,$C24,'Semaine 04-05-2025'!$J$4:$J$46)</f>
        <v>7</v>
      </c>
      <c r="L24" s="206" t="n">
        <f aca="false">SUMIF('Semaine 04-05-2025'!$C$4:$C$46,$C24,O$4:O$1957) / 'Semaine 04-05-2025'!$K24</f>
        <v>0.428571428571429</v>
      </c>
      <c r="M24" s="207" t="n">
        <f aca="false">IF(A24="o",'Semaine 04-05-2025'!$J24,".")</f>
        <v>0.999999999999999</v>
      </c>
      <c r="N24" s="213" t="n">
        <f aca="false">IF($D24=0,"",$E24-$D24)</f>
        <v>0.0416666666666666</v>
      </c>
      <c r="O24" s="166" t="str">
        <f aca="false">IF($O$1='Semaine 04-05-2025'!$G24,'Semaine 04-05-2025'!$J24,"")</f>
        <v/>
      </c>
      <c r="P24" s="166" t="str">
        <f aca="false">IF($P$1='Semaine 04-05-2025'!$G24,'Semaine 04-05-2025'!$J24,"")</f>
        <v/>
      </c>
      <c r="Q24" s="166" t="str">
        <f aca="false">IF($Q$1='Semaine 04-05-2025'!$G24,'Semaine 04-05-2025'!$J24,"")</f>
        <v/>
      </c>
      <c r="R24" s="166" t="str">
        <f aca="false">IF($R$1='Semaine 04-05-2025'!$G24,'Semaine 04-05-2025'!$J24,"")</f>
        <v/>
      </c>
      <c r="S24" s="166" t="n">
        <f aca="false">IF($S$1='Semaine 04-05-2025'!$G24,'Semaine 04-05-2025'!$J24,"")</f>
        <v>0.999999999999999</v>
      </c>
      <c r="T24" s="166" t="str">
        <f aca="false">IF($T$1='Semaine 04-05-2025'!$G24,'Semaine 04-05-2025'!$J24,"")</f>
        <v/>
      </c>
      <c r="U24" s="166" t="str">
        <f aca="false">IF($U$1='Semaine 04-05-2025'!$G24,'Semaine 04-05-2025'!$J24,"")</f>
        <v/>
      </c>
      <c r="V24" s="167" t="str">
        <f aca="false">IF($V$1='Semaine 04-05-2025'!$G24,'Semaine 04-05-2025'!$J24,"")</f>
        <v/>
      </c>
      <c r="W24" s="168"/>
      <c r="X24" s="174"/>
      <c r="Y24" s="71"/>
      <c r="Z24" s="71"/>
      <c r="AA24" s="71"/>
      <c r="AB24" s="169"/>
      <c r="AC24" s="71"/>
      <c r="AD24" s="71"/>
      <c r="AE24" s="71"/>
      <c r="AF24" s="71"/>
      <c r="AG24" s="71"/>
      <c r="AH24" s="71"/>
      <c r="AI24" s="71"/>
      <c r="AJ24" s="71"/>
      <c r="AK24" s="71"/>
      <c r="AL24" s="71"/>
      <c r="AM24" s="71"/>
      <c r="AN24" s="71"/>
      <c r="AO24" s="71"/>
      <c r="AP24" s="71"/>
      <c r="AQ24" s="71"/>
      <c r="AR24" s="71"/>
      <c r="AS24" s="71"/>
      <c r="AT24" s="71"/>
      <c r="AU24" s="71"/>
      <c r="AV24" s="71"/>
      <c r="AW24" s="71"/>
      <c r="AX24" s="71"/>
      <c r="AY24" s="71"/>
      <c r="AZ24" s="71"/>
      <c r="BA24" s="71"/>
      <c r="BB24" s="71"/>
    </row>
    <row r="25" customFormat="false" ht="15" hidden="false" customHeight="false" outlineLevel="0" collapsed="false">
      <c r="A25" s="198" t="s">
        <v>31</v>
      </c>
      <c r="B25" s="155" t="n">
        <f aca="false">IF('Semaine 04-05-2025'!$C25="1- Lundi",$C$1+1, IF('Semaine 04-05-2025'!$C25="2- Mardi",$C$1+2, IF('Semaine 04-05-2025'!$C25="3- Mercredi",$C$1+3, IF('Semaine 04-05-2025'!$C25="4- Jeudi",$C$1+4, IF('Semaine 04-05-2025'!$C25="5- Vendredi",$C$1+5, IF('Semaine 04-05-2025'!$C25="6- Samedi",$C$1+6, IF('Semaine 04-05-2025'!$C25="7- Dimanche",$C$1, )))))))</f>
        <v>44322</v>
      </c>
      <c r="C25" s="199" t="s">
        <v>324</v>
      </c>
      <c r="D25" s="203" t="n">
        <v>0.333333333333333</v>
      </c>
      <c r="E25" s="203" t="n">
        <v>0.416666666666667</v>
      </c>
      <c r="F25" s="214" t="s">
        <v>75</v>
      </c>
      <c r="G25" s="214" t="s">
        <v>19</v>
      </c>
      <c r="H25" s="215" t="s">
        <v>350</v>
      </c>
      <c r="I25" s="203"/>
      <c r="J25" s="204" t="n">
        <f aca="false">IF($D25=0,"",($N25-INT($N25))*24)</f>
        <v>2</v>
      </c>
      <c r="K25" s="216" t="n">
        <f aca="false">SUMIF('Semaine 04-05-2025'!$C$4:$C$46,$C25,'Semaine 04-05-2025'!$J$4:$J$46)</f>
        <v>8</v>
      </c>
      <c r="L25" s="206" t="n">
        <f aca="false">SUMIF('Semaine 04-05-2025'!$C$4:$C$46,$C25,O$4:O$1957) / 'Semaine 04-05-2025'!$K25</f>
        <v>0.875</v>
      </c>
      <c r="M25" s="207" t="n">
        <f aca="false">IF(A25="o",'Semaine 04-05-2025'!$J25,".")</f>
        <v>2</v>
      </c>
      <c r="N25" s="213" t="n">
        <f aca="false">IF($D25=0,"",$E25-$D25)</f>
        <v>0.0833333333333334</v>
      </c>
      <c r="O25" s="166" t="n">
        <f aca="false">IF($O$1='Semaine 04-05-2025'!$G25,'Semaine 04-05-2025'!$J25,"")</f>
        <v>2</v>
      </c>
      <c r="P25" s="166" t="str">
        <f aca="false">IF($P$1='Semaine 04-05-2025'!$G25,'Semaine 04-05-2025'!$J25,"")</f>
        <v/>
      </c>
      <c r="Q25" s="166" t="str">
        <f aca="false">IF($Q$1='Semaine 04-05-2025'!$G25,'Semaine 04-05-2025'!$J25,"")</f>
        <v/>
      </c>
      <c r="R25" s="166" t="str">
        <f aca="false">IF($R$1='Semaine 04-05-2025'!$G25,'Semaine 04-05-2025'!$J25,"")</f>
        <v/>
      </c>
      <c r="S25" s="166" t="str">
        <f aca="false">IF($S$1='Semaine 04-05-2025'!$G25,'Semaine 04-05-2025'!$J25,"")</f>
        <v/>
      </c>
      <c r="T25" s="166" t="str">
        <f aca="false">IF($T$1='Semaine 04-05-2025'!$G25,'Semaine 04-05-2025'!$J25,"")</f>
        <v/>
      </c>
      <c r="U25" s="166" t="str">
        <f aca="false">IF($U$1='Semaine 04-05-2025'!$G25,'Semaine 04-05-2025'!$J25,"")</f>
        <v/>
      </c>
      <c r="V25" s="167" t="str">
        <f aca="false">IF($V$1='Semaine 04-05-2025'!$G25,'Semaine 04-05-2025'!$J25,"")</f>
        <v/>
      </c>
      <c r="W25" s="168"/>
      <c r="X25" s="174"/>
      <c r="Y25" s="71"/>
      <c r="Z25" s="71"/>
      <c r="AA25" s="71"/>
      <c r="AB25" s="169"/>
      <c r="AC25" s="71"/>
      <c r="AD25" s="71"/>
      <c r="AE25" s="71"/>
      <c r="AF25" s="71"/>
      <c r="AG25" s="71"/>
      <c r="AH25" s="71"/>
      <c r="AI25" s="71"/>
      <c r="AJ25" s="71"/>
      <c r="AK25" s="71"/>
      <c r="AL25" s="71"/>
      <c r="AM25" s="71"/>
      <c r="AN25" s="71"/>
      <c r="AO25" s="71"/>
      <c r="AP25" s="71"/>
      <c r="AQ25" s="71"/>
      <c r="AR25" s="71"/>
      <c r="AS25" s="71"/>
      <c r="AT25" s="71"/>
      <c r="AU25" s="71"/>
      <c r="AV25" s="71"/>
      <c r="AW25" s="71"/>
      <c r="AX25" s="71"/>
      <c r="AY25" s="71"/>
      <c r="AZ25" s="71"/>
      <c r="BA25" s="71"/>
      <c r="BB25" s="71"/>
    </row>
    <row r="26" customFormat="false" ht="15" hidden="false" customHeight="false" outlineLevel="0" collapsed="false">
      <c r="A26" s="198" t="s">
        <v>31</v>
      </c>
      <c r="B26" s="155" t="n">
        <f aca="false">IF('Semaine 04-05-2025'!$C26="1- Lundi",$C$1+1, IF('Semaine 04-05-2025'!$C26="2- Mardi",$C$1+2, IF('Semaine 04-05-2025'!$C26="3- Mercredi",$C$1+3, IF('Semaine 04-05-2025'!$C26="4- Jeudi",$C$1+4, IF('Semaine 04-05-2025'!$C26="5- Vendredi",$C$1+5, IF('Semaine 04-05-2025'!$C26="6- Samedi",$C$1+6, IF('Semaine 04-05-2025'!$C26="7- Dimanche",$C$1, )))))))</f>
        <v>44322</v>
      </c>
      <c r="C26" s="199" t="s">
        <v>324</v>
      </c>
      <c r="D26" s="203" t="n">
        <v>0.416666666666667</v>
      </c>
      <c r="E26" s="203" t="n">
        <v>0.458333333333333</v>
      </c>
      <c r="F26" s="214" t="s">
        <v>75</v>
      </c>
      <c r="G26" s="214" t="s">
        <v>19</v>
      </c>
      <c r="H26" s="215" t="s">
        <v>333</v>
      </c>
      <c r="I26" s="203"/>
      <c r="J26" s="204" t="n">
        <f aca="false">IF($D26=0,"",($N26-INT($N26))*24)</f>
        <v>1</v>
      </c>
      <c r="K26" s="216" t="n">
        <f aca="false">SUMIF('Semaine 04-05-2025'!$C$4:$C$46,$C26,'Semaine 04-05-2025'!$J$4:$J$46)</f>
        <v>8</v>
      </c>
      <c r="L26" s="206" t="n">
        <f aca="false">SUMIF('Semaine 04-05-2025'!$C$4:$C$46,$C26,O$4:O$1957) / 'Semaine 04-05-2025'!$K26</f>
        <v>0.875</v>
      </c>
      <c r="M26" s="207" t="n">
        <f aca="false">IF(A26="o",'Semaine 04-05-2025'!$J26,".")</f>
        <v>0.999999999999999</v>
      </c>
      <c r="N26" s="213" t="n">
        <f aca="false">IF($D26=0,"",$E26-$D26)</f>
        <v>0.0416666666666667</v>
      </c>
      <c r="O26" s="166" t="n">
        <f aca="false">IF($O$1='Semaine 04-05-2025'!$G26,'Semaine 04-05-2025'!$J26,"")</f>
        <v>0.999999999999999</v>
      </c>
      <c r="P26" s="166" t="str">
        <f aca="false">IF($P$1='Semaine 04-05-2025'!$G26,'Semaine 04-05-2025'!$J26,"")</f>
        <v/>
      </c>
      <c r="Q26" s="166" t="str">
        <f aca="false">IF($Q$1='Semaine 04-05-2025'!$G26,'Semaine 04-05-2025'!$J26,"")</f>
        <v/>
      </c>
      <c r="R26" s="166" t="str">
        <f aca="false">IF($R$1='Semaine 04-05-2025'!$G26,'Semaine 04-05-2025'!$J26,"")</f>
        <v/>
      </c>
      <c r="S26" s="166" t="str">
        <f aca="false">IF($S$1='Semaine 04-05-2025'!$G26,'Semaine 04-05-2025'!$J26,"")</f>
        <v/>
      </c>
      <c r="T26" s="166" t="str">
        <f aca="false">IF($T$1='Semaine 04-05-2025'!$G26,'Semaine 04-05-2025'!$J26,"")</f>
        <v/>
      </c>
      <c r="U26" s="166" t="str">
        <f aca="false">IF($U$1='Semaine 04-05-2025'!$G26,'Semaine 04-05-2025'!$J26,"")</f>
        <v/>
      </c>
      <c r="V26" s="167" t="str">
        <f aca="false">IF($V$1='Semaine 04-05-2025'!$G26,'Semaine 04-05-2025'!$J26,"")</f>
        <v/>
      </c>
      <c r="W26" s="168"/>
      <c r="X26" s="174"/>
      <c r="Y26" s="71"/>
      <c r="Z26" s="71"/>
      <c r="AA26" s="71"/>
      <c r="AB26" s="169"/>
      <c r="AC26" s="71"/>
      <c r="AD26" s="71"/>
      <c r="AE26" s="71"/>
      <c r="AF26" s="71"/>
      <c r="AG26" s="71"/>
      <c r="AH26" s="71"/>
      <c r="AI26" s="71"/>
      <c r="AJ26" s="71"/>
      <c r="AK26" s="71"/>
      <c r="AL26" s="71"/>
      <c r="AM26" s="71"/>
      <c r="AN26" s="71"/>
      <c r="AO26" s="71"/>
      <c r="AP26" s="71"/>
      <c r="AQ26" s="71"/>
      <c r="AR26" s="71"/>
      <c r="AS26" s="71"/>
      <c r="AT26" s="71"/>
      <c r="AU26" s="71"/>
      <c r="AV26" s="71"/>
      <c r="AW26" s="71"/>
      <c r="AX26" s="71"/>
      <c r="AY26" s="71"/>
      <c r="AZ26" s="71"/>
      <c r="BA26" s="71"/>
      <c r="BB26" s="71"/>
    </row>
    <row r="27" customFormat="false" ht="15" hidden="false" customHeight="false" outlineLevel="0" collapsed="false">
      <c r="A27" s="198" t="s">
        <v>31</v>
      </c>
      <c r="B27" s="155" t="n">
        <f aca="false">IF('Semaine 04-05-2025'!$C27="1- Lundi",$C$1+1, IF('Semaine 04-05-2025'!$C27="2- Mardi",$C$1+2, IF('Semaine 04-05-2025'!$C27="3- Mercredi",$C$1+3, IF('Semaine 04-05-2025'!$C27="4- Jeudi",$C$1+4, IF('Semaine 04-05-2025'!$C27="5- Vendredi",$C$1+5, IF('Semaine 04-05-2025'!$C27="6- Samedi",$C$1+6, IF('Semaine 04-05-2025'!$C27="7- Dimanche",$C$1, )))))))</f>
        <v>44322</v>
      </c>
      <c r="C27" s="199" t="s">
        <v>324</v>
      </c>
      <c r="D27" s="203" t="n">
        <v>0.458333333333333</v>
      </c>
      <c r="E27" s="203" t="n">
        <v>0.5</v>
      </c>
      <c r="F27" s="214" t="s">
        <v>75</v>
      </c>
      <c r="G27" s="214" t="s">
        <v>23</v>
      </c>
      <c r="H27" s="215" t="s">
        <v>333</v>
      </c>
      <c r="I27" s="203"/>
      <c r="J27" s="204" t="n">
        <f aca="false">IF($D27=0,"",($N27-INT($N27))*24)</f>
        <v>1</v>
      </c>
      <c r="K27" s="216" t="n">
        <f aca="false">SUMIF('Semaine 04-05-2025'!$C$4:$C$46,$C27,'Semaine 04-05-2025'!$J$4:$J$46)</f>
        <v>8</v>
      </c>
      <c r="L27" s="206" t="n">
        <f aca="false">SUMIF('Semaine 04-05-2025'!$C$4:$C$46,$C27,O$4:O$1957) / 'Semaine 04-05-2025'!$K27</f>
        <v>0.875</v>
      </c>
      <c r="M27" s="207" t="n">
        <f aca="false">IF(A27="o",'Semaine 04-05-2025'!$J27,".")</f>
        <v>1</v>
      </c>
      <c r="N27" s="213" t="n">
        <f aca="false">IF($D27=0,"",$E27-$D27)</f>
        <v>0.0416666666666667</v>
      </c>
      <c r="O27" s="166" t="str">
        <f aca="false">IF($O$1='Semaine 04-05-2025'!$G27,'Semaine 04-05-2025'!$J27,"")</f>
        <v/>
      </c>
      <c r="P27" s="166" t="str">
        <f aca="false">IF($P$1='Semaine 04-05-2025'!$G27,'Semaine 04-05-2025'!$J27,"")</f>
        <v/>
      </c>
      <c r="Q27" s="166" t="str">
        <f aca="false">IF($Q$1='Semaine 04-05-2025'!$G27,'Semaine 04-05-2025'!$J27,"")</f>
        <v/>
      </c>
      <c r="R27" s="166" t="str">
        <f aca="false">IF($R$1='Semaine 04-05-2025'!$G27,'Semaine 04-05-2025'!$J27,"")</f>
        <v/>
      </c>
      <c r="S27" s="166" t="n">
        <f aca="false">IF($S$1='Semaine 04-05-2025'!$G27,'Semaine 04-05-2025'!$J27,"")</f>
        <v>1</v>
      </c>
      <c r="T27" s="166" t="str">
        <f aca="false">IF($T$1='Semaine 04-05-2025'!$G27,'Semaine 04-05-2025'!$J27,"")</f>
        <v/>
      </c>
      <c r="U27" s="166" t="str">
        <f aca="false">IF($U$1='Semaine 04-05-2025'!$G27,'Semaine 04-05-2025'!$J27,"")</f>
        <v/>
      </c>
      <c r="V27" s="167" t="str">
        <f aca="false">IF($V$1='Semaine 04-05-2025'!$G27,'Semaine 04-05-2025'!$J27,"")</f>
        <v/>
      </c>
      <c r="W27" s="168"/>
      <c r="X27" s="174"/>
      <c r="Y27" s="71"/>
      <c r="Z27" s="71"/>
      <c r="AA27" s="71"/>
      <c r="AB27" s="169"/>
      <c r="AC27" s="71"/>
      <c r="AD27" s="71"/>
      <c r="AE27" s="71"/>
      <c r="AF27" s="71"/>
      <c r="AG27" s="71"/>
      <c r="AH27" s="71"/>
      <c r="AI27" s="71"/>
      <c r="AJ27" s="71"/>
      <c r="AK27" s="71"/>
      <c r="AL27" s="71"/>
      <c r="AM27" s="71"/>
      <c r="AN27" s="71"/>
      <c r="AO27" s="71"/>
      <c r="AP27" s="71"/>
      <c r="AQ27" s="71"/>
      <c r="AR27" s="71"/>
      <c r="AS27" s="71"/>
      <c r="AT27" s="71"/>
      <c r="AU27" s="71"/>
      <c r="AV27" s="71"/>
      <c r="AW27" s="71"/>
      <c r="AX27" s="71"/>
      <c r="AY27" s="71"/>
      <c r="AZ27" s="71"/>
      <c r="BA27" s="71"/>
      <c r="BB27" s="71"/>
    </row>
    <row r="28" customFormat="false" ht="15" hidden="false" customHeight="false" outlineLevel="0" collapsed="false">
      <c r="A28" s="198" t="s">
        <v>31</v>
      </c>
      <c r="B28" s="155" t="n">
        <f aca="false">IF('Semaine 04-05-2025'!$C28="1- Lundi",$C$1+1, IF('Semaine 04-05-2025'!$C28="2- Mardi",$C$1+2, IF('Semaine 04-05-2025'!$C28="3- Mercredi",$C$1+3, IF('Semaine 04-05-2025'!$C28="4- Jeudi",$C$1+4, IF('Semaine 04-05-2025'!$C28="5- Vendredi",$C$1+5, IF('Semaine 04-05-2025'!$C28="6- Samedi",$C$1+6, IF('Semaine 04-05-2025'!$C28="7- Dimanche",$C$1, )))))))</f>
        <v>44322</v>
      </c>
      <c r="C28" s="199" t="s">
        <v>324</v>
      </c>
      <c r="D28" s="203" t="n">
        <v>0.583333333333333</v>
      </c>
      <c r="E28" s="203" t="n">
        <v>0.645833333333333</v>
      </c>
      <c r="F28" s="214" t="s">
        <v>75</v>
      </c>
      <c r="G28" s="214" t="s">
        <v>19</v>
      </c>
      <c r="H28" s="215" t="s">
        <v>351</v>
      </c>
      <c r="I28" s="203"/>
      <c r="J28" s="204" t="n">
        <f aca="false">IF($D28=0,"",($N28-INT($N28))*24)</f>
        <v>1.5</v>
      </c>
      <c r="K28" s="216" t="n">
        <f aca="false">SUMIF('Semaine 04-05-2025'!$C$4:$C$46,$C28,'Semaine 04-05-2025'!$J$4:$J$46)</f>
        <v>8</v>
      </c>
      <c r="L28" s="206" t="n">
        <f aca="false">SUMIF('Semaine 04-05-2025'!$C$4:$C$46,$C28,O$4:O$1957) / 'Semaine 04-05-2025'!$K28</f>
        <v>0.875</v>
      </c>
      <c r="M28" s="207" t="n">
        <f aca="false">IF(A28="o",'Semaine 04-05-2025'!$J28,".")</f>
        <v>1.5</v>
      </c>
      <c r="N28" s="213" t="n">
        <f aca="false">IF($D28=0,"",$E28-$D28)</f>
        <v>0.0625</v>
      </c>
      <c r="O28" s="166" t="n">
        <f aca="false">IF($O$1='Semaine 04-05-2025'!$G28,'Semaine 04-05-2025'!$J28,"")</f>
        <v>1.5</v>
      </c>
      <c r="P28" s="166" t="str">
        <f aca="false">IF($P$1='Semaine 04-05-2025'!$G28,'Semaine 04-05-2025'!$J28,"")</f>
        <v/>
      </c>
      <c r="Q28" s="166" t="str">
        <f aca="false">IF($Q$1='Semaine 04-05-2025'!$G28,'Semaine 04-05-2025'!$J28,"")</f>
        <v/>
      </c>
      <c r="R28" s="166" t="str">
        <f aca="false">IF($R$1='Semaine 04-05-2025'!$G28,'Semaine 04-05-2025'!$J28,"")</f>
        <v/>
      </c>
      <c r="S28" s="166" t="str">
        <f aca="false">IF($S$1='Semaine 04-05-2025'!$G28,'Semaine 04-05-2025'!$J28,"")</f>
        <v/>
      </c>
      <c r="T28" s="166" t="str">
        <f aca="false">IF($T$1='Semaine 04-05-2025'!$G28,'Semaine 04-05-2025'!$J28,"")</f>
        <v/>
      </c>
      <c r="U28" s="166" t="str">
        <f aca="false">IF($U$1='Semaine 04-05-2025'!$G28,'Semaine 04-05-2025'!$J28,"")</f>
        <v/>
      </c>
      <c r="V28" s="167" t="str">
        <f aca="false">IF($V$1='Semaine 04-05-2025'!$G28,'Semaine 04-05-2025'!$J28,"")</f>
        <v/>
      </c>
      <c r="W28" s="168"/>
      <c r="X28" s="174"/>
      <c r="Y28" s="71"/>
      <c r="Z28" s="71"/>
      <c r="AA28" s="71"/>
      <c r="AB28" s="169"/>
      <c r="AC28" s="71"/>
      <c r="AD28" s="71"/>
      <c r="AE28" s="71"/>
      <c r="AF28" s="71"/>
      <c r="AG28" s="71"/>
      <c r="AH28" s="71"/>
      <c r="AI28" s="71"/>
      <c r="AJ28" s="71"/>
      <c r="AK28" s="71"/>
      <c r="AL28" s="71"/>
      <c r="AM28" s="71"/>
      <c r="AN28" s="71"/>
      <c r="AO28" s="71"/>
      <c r="AP28" s="71"/>
      <c r="AQ28" s="71"/>
      <c r="AR28" s="71"/>
      <c r="AS28" s="71"/>
      <c r="AT28" s="71"/>
      <c r="AU28" s="71"/>
      <c r="AV28" s="71"/>
      <c r="AW28" s="71"/>
      <c r="AX28" s="71"/>
      <c r="AY28" s="71"/>
      <c r="AZ28" s="71"/>
      <c r="BA28" s="71"/>
      <c r="BB28" s="71"/>
    </row>
    <row r="29" customFormat="false" ht="15" hidden="false" customHeight="false" outlineLevel="0" collapsed="false">
      <c r="A29" s="198" t="s">
        <v>31</v>
      </c>
      <c r="B29" s="155" t="n">
        <f aca="false">IF('Semaine 04-05-2025'!$C29="1- Lundi",$C$1+1, IF('Semaine 04-05-2025'!$C29="2- Mardi",$C$1+2, IF('Semaine 04-05-2025'!$C29="3- Mercredi",$C$1+3, IF('Semaine 04-05-2025'!$C29="4- Jeudi",$C$1+4, IF('Semaine 04-05-2025'!$C29="5- Vendredi",$C$1+5, IF('Semaine 04-05-2025'!$C29="6- Samedi",$C$1+6, IF('Semaine 04-05-2025'!$C29="7- Dimanche",$C$1, )))))))</f>
        <v>44322</v>
      </c>
      <c r="C29" s="199" t="s">
        <v>324</v>
      </c>
      <c r="D29" s="203" t="n">
        <v>0.645833333333333</v>
      </c>
      <c r="E29" s="203" t="n">
        <v>0.75</v>
      </c>
      <c r="F29" s="214" t="s">
        <v>75</v>
      </c>
      <c r="G29" s="214" t="s">
        <v>19</v>
      </c>
      <c r="H29" s="215" t="s">
        <v>352</v>
      </c>
      <c r="I29" s="203"/>
      <c r="J29" s="204" t="n">
        <f aca="false">IF($D29=0,"",($N29-INT($N29))*24)</f>
        <v>2.5</v>
      </c>
      <c r="K29" s="216" t="n">
        <f aca="false">SUMIF('Semaine 04-05-2025'!$C$4:$C$46,$C29,'Semaine 04-05-2025'!$J$4:$J$46)</f>
        <v>8</v>
      </c>
      <c r="L29" s="206" t="n">
        <f aca="false">SUMIF('Semaine 04-05-2025'!$C$4:$C$46,$C29,O$4:O$1957) / 'Semaine 04-05-2025'!$K29</f>
        <v>0.875</v>
      </c>
      <c r="M29" s="207" t="n">
        <f aca="false">IF(A29="o",'Semaine 04-05-2025'!$J29,".")</f>
        <v>2.5</v>
      </c>
      <c r="N29" s="213" t="n">
        <f aca="false">IF($D29=0,"",$E29-$D29)</f>
        <v>0.104166666666667</v>
      </c>
      <c r="O29" s="166" t="n">
        <f aca="false">IF($O$1='Semaine 04-05-2025'!$G29,'Semaine 04-05-2025'!$J29,"")</f>
        <v>2.5</v>
      </c>
      <c r="P29" s="166" t="str">
        <f aca="false">IF($P$1='Semaine 04-05-2025'!$G29,'Semaine 04-05-2025'!$J29,"")</f>
        <v/>
      </c>
      <c r="Q29" s="166" t="str">
        <f aca="false">IF($Q$1='Semaine 04-05-2025'!$G29,'Semaine 04-05-2025'!$J29,"")</f>
        <v/>
      </c>
      <c r="R29" s="166" t="str">
        <f aca="false">IF($R$1='Semaine 04-05-2025'!$G29,'Semaine 04-05-2025'!$J29,"")</f>
        <v/>
      </c>
      <c r="S29" s="166" t="str">
        <f aca="false">IF($S$1='Semaine 04-05-2025'!$G29,'Semaine 04-05-2025'!$J29,"")</f>
        <v/>
      </c>
      <c r="T29" s="166" t="str">
        <f aca="false">IF($T$1='Semaine 04-05-2025'!$G29,'Semaine 04-05-2025'!$J29,"")</f>
        <v/>
      </c>
      <c r="U29" s="166" t="str">
        <f aca="false">IF($U$1='Semaine 04-05-2025'!$G29,'Semaine 04-05-2025'!$J29,"")</f>
        <v/>
      </c>
      <c r="V29" s="167" t="str">
        <f aca="false">IF($V$1='Semaine 04-05-2025'!$G29,'Semaine 04-05-2025'!$J29,"")</f>
        <v/>
      </c>
      <c r="W29" s="168"/>
      <c r="X29" s="174"/>
      <c r="Y29" s="71"/>
      <c r="Z29" s="71"/>
      <c r="AA29" s="71"/>
      <c r="AB29" s="169"/>
      <c r="AC29" s="71"/>
      <c r="AD29" s="71"/>
      <c r="AE29" s="71"/>
      <c r="AF29" s="71"/>
      <c r="AG29" s="71"/>
      <c r="AH29" s="71"/>
      <c r="AI29" s="71"/>
      <c r="AJ29" s="71"/>
      <c r="AK29" s="71"/>
      <c r="AL29" s="71"/>
      <c r="AM29" s="71"/>
      <c r="AN29" s="71"/>
      <c r="AO29" s="71"/>
      <c r="AP29" s="71"/>
      <c r="AQ29" s="71"/>
      <c r="AR29" s="71"/>
      <c r="AS29" s="71"/>
      <c r="AT29" s="71"/>
      <c r="AU29" s="71"/>
      <c r="AV29" s="71"/>
      <c r="AW29" s="71"/>
      <c r="AX29" s="71"/>
      <c r="AY29" s="71"/>
      <c r="AZ29" s="71"/>
      <c r="BA29" s="71"/>
      <c r="BB29" s="71"/>
    </row>
    <row r="30" customFormat="false" ht="15" hidden="false" customHeight="false" outlineLevel="0" collapsed="false">
      <c r="A30" s="198" t="s">
        <v>31</v>
      </c>
      <c r="B30" s="155" t="n">
        <f aca="false">IF('Semaine 04-05-2025'!$C30="1- Lundi",$C$1+1, IF('Semaine 04-05-2025'!$C30="2- Mardi",$C$1+2, IF('Semaine 04-05-2025'!$C30="3- Mercredi",$C$1+3, IF('Semaine 04-05-2025'!$C30="4- Jeudi",$C$1+4, IF('Semaine 04-05-2025'!$C30="5- Vendredi",$C$1+5, IF('Semaine 04-05-2025'!$C30="6- Samedi",$C$1+6, IF('Semaine 04-05-2025'!$C30="7- Dimanche",$C$1, )))))))</f>
        <v>44323</v>
      </c>
      <c r="C30" s="199" t="s">
        <v>332</v>
      </c>
      <c r="D30" s="203" t="n">
        <v>0.291666666666667</v>
      </c>
      <c r="E30" s="203" t="n">
        <v>0.333333333333333</v>
      </c>
      <c r="F30" s="214" t="s">
        <v>32</v>
      </c>
      <c r="G30" s="214" t="s">
        <v>21</v>
      </c>
      <c r="H30" s="215" t="s">
        <v>299</v>
      </c>
      <c r="I30" s="203"/>
      <c r="J30" s="204" t="n">
        <f aca="false">IF($D30=0,"",($N30-INT($N30))*24)</f>
        <v>1</v>
      </c>
      <c r="K30" s="216" t="n">
        <f aca="false">SUMIF('Semaine 04-05-2025'!$C$4:$C$46,$C30,'Semaine 04-05-2025'!$J$4:$J$46)</f>
        <v>8.5</v>
      </c>
      <c r="L30" s="206" t="n">
        <f aca="false">SUMIF('Semaine 04-05-2025'!$C$4:$C$46,$C30,O$4:O$1957) / 'Semaine 04-05-2025'!$K30</f>
        <v>0.441176470588235</v>
      </c>
      <c r="M30" s="207" t="n">
        <f aca="false">IF(A30="o",'Semaine 04-05-2025'!$J30,".")</f>
        <v>0.999999999999999</v>
      </c>
      <c r="N30" s="213" t="n">
        <f aca="false">IF($D30=0,"",$E30-$D30)</f>
        <v>0.0416666666666666</v>
      </c>
      <c r="O30" s="166" t="str">
        <f aca="false">IF($O$1='Semaine 04-05-2025'!$G30,'Semaine 04-05-2025'!$J30,"")</f>
        <v/>
      </c>
      <c r="P30" s="166" t="str">
        <f aca="false">IF($P$1='Semaine 04-05-2025'!$G30,'Semaine 04-05-2025'!$J30,"")</f>
        <v/>
      </c>
      <c r="Q30" s="166" t="n">
        <f aca="false">IF($Q$1='Semaine 04-05-2025'!$G30,'Semaine 04-05-2025'!$J30,"")</f>
        <v>0.999999999999999</v>
      </c>
      <c r="R30" s="166" t="str">
        <f aca="false">IF($R$1='Semaine 04-05-2025'!$G30,'Semaine 04-05-2025'!$J30,"")</f>
        <v/>
      </c>
      <c r="S30" s="166" t="str">
        <f aca="false">IF($S$1='Semaine 04-05-2025'!$G30,'Semaine 04-05-2025'!$J30,"")</f>
        <v/>
      </c>
      <c r="T30" s="166" t="str">
        <f aca="false">IF($T$1='Semaine 04-05-2025'!$G30,'Semaine 04-05-2025'!$J30,"")</f>
        <v/>
      </c>
      <c r="U30" s="166" t="str">
        <f aca="false">IF($U$1='Semaine 04-05-2025'!$G30,'Semaine 04-05-2025'!$J30,"")</f>
        <v/>
      </c>
      <c r="V30" s="167" t="str">
        <f aca="false">IF($V$1='Semaine 04-05-2025'!$G30,'Semaine 04-05-2025'!$J30,"")</f>
        <v/>
      </c>
      <c r="W30" s="168"/>
      <c r="X30" s="174"/>
      <c r="Y30" s="71"/>
      <c r="Z30" s="71"/>
      <c r="AA30" s="71"/>
      <c r="AB30" s="169"/>
      <c r="AC30" s="71"/>
      <c r="AD30" s="71"/>
      <c r="AE30" s="71"/>
      <c r="AF30" s="71"/>
      <c r="AG30" s="71"/>
      <c r="AH30" s="71"/>
      <c r="AI30" s="71"/>
      <c r="AJ30" s="71"/>
      <c r="AK30" s="71"/>
      <c r="AL30" s="71"/>
      <c r="AM30" s="71"/>
      <c r="AN30" s="71"/>
      <c r="AO30" s="71"/>
      <c r="AP30" s="71"/>
      <c r="AQ30" s="71"/>
      <c r="AR30" s="71"/>
      <c r="AS30" s="71"/>
      <c r="AT30" s="71"/>
      <c r="AU30" s="71"/>
      <c r="AV30" s="71"/>
      <c r="AW30" s="71"/>
      <c r="AX30" s="71"/>
      <c r="AY30" s="71"/>
      <c r="AZ30" s="71"/>
      <c r="BA30" s="71"/>
      <c r="BB30" s="71"/>
    </row>
    <row r="31" customFormat="false" ht="15" hidden="false" customHeight="false" outlineLevel="0" collapsed="false">
      <c r="A31" s="198" t="s">
        <v>31</v>
      </c>
      <c r="B31" s="155" t="n">
        <f aca="false">IF('Semaine 04-05-2025'!$C31="1- Lundi",$C$1+1, IF('Semaine 04-05-2025'!$C31="2- Mardi",$C$1+2, IF('Semaine 04-05-2025'!$C31="3- Mercredi",$C$1+3, IF('Semaine 04-05-2025'!$C31="4- Jeudi",$C$1+4, IF('Semaine 04-05-2025'!$C31="5- Vendredi",$C$1+5, IF('Semaine 04-05-2025'!$C31="6- Samedi",$C$1+6, IF('Semaine 04-05-2025'!$C31="7- Dimanche",$C$1, )))))))</f>
        <v>44323</v>
      </c>
      <c r="C31" s="199" t="s">
        <v>332</v>
      </c>
      <c r="D31" s="203" t="n">
        <v>0.333333333333333</v>
      </c>
      <c r="E31" s="203" t="n">
        <v>0.416666666666667</v>
      </c>
      <c r="F31" s="214" t="s">
        <v>59</v>
      </c>
      <c r="G31" s="214" t="s">
        <v>23</v>
      </c>
      <c r="H31" s="215" t="s">
        <v>353</v>
      </c>
      <c r="I31" s="203"/>
      <c r="J31" s="204" t="n">
        <f aca="false">IF($D31=0,"",($N31-INT($N31))*24)</f>
        <v>2</v>
      </c>
      <c r="K31" s="216" t="n">
        <f aca="false">SUMIF('Semaine 04-05-2025'!$C$4:$C$46,$C31,'Semaine 04-05-2025'!$J$4:$J$46)</f>
        <v>8.5</v>
      </c>
      <c r="L31" s="206" t="n">
        <f aca="false">SUMIF('Semaine 04-05-2025'!$C$4:$C$46,$C31,O$4:O$1957) / 'Semaine 04-05-2025'!$K31</f>
        <v>0.441176470588235</v>
      </c>
      <c r="M31" s="207" t="n">
        <f aca="false">IF(A31="o",'Semaine 04-05-2025'!$J31,".")</f>
        <v>2</v>
      </c>
      <c r="N31" s="213" t="n">
        <f aca="false">IF($D31=0,"",$E31-$D31)</f>
        <v>0.0833333333333333</v>
      </c>
      <c r="O31" s="166" t="str">
        <f aca="false">IF($O$1='Semaine 04-05-2025'!$G31,'Semaine 04-05-2025'!$J31,"")</f>
        <v/>
      </c>
      <c r="P31" s="166" t="str">
        <f aca="false">IF($P$1='Semaine 04-05-2025'!$G31,'Semaine 04-05-2025'!$J31,"")</f>
        <v/>
      </c>
      <c r="Q31" s="166" t="str">
        <f aca="false">IF($Q$1='Semaine 04-05-2025'!$G31,'Semaine 04-05-2025'!$J31,"")</f>
        <v/>
      </c>
      <c r="R31" s="166" t="str">
        <f aca="false">IF($R$1='Semaine 04-05-2025'!$G31,'Semaine 04-05-2025'!$J31,"")</f>
        <v/>
      </c>
      <c r="S31" s="166" t="n">
        <f aca="false">IF($S$1='Semaine 04-05-2025'!$G31,'Semaine 04-05-2025'!$J31,"")</f>
        <v>2</v>
      </c>
      <c r="T31" s="166" t="str">
        <f aca="false">IF($T$1='Semaine 04-05-2025'!$G31,'Semaine 04-05-2025'!$J31,"")</f>
        <v/>
      </c>
      <c r="U31" s="166" t="str">
        <f aca="false">IF($U$1='Semaine 04-05-2025'!$G31,'Semaine 04-05-2025'!$J31,"")</f>
        <v/>
      </c>
      <c r="V31" s="167" t="str">
        <f aca="false">IF($V$1='Semaine 04-05-2025'!$G31,'Semaine 04-05-2025'!$J31,"")</f>
        <v/>
      </c>
      <c r="W31" s="168"/>
      <c r="X31" s="174"/>
      <c r="Y31" s="71"/>
      <c r="Z31" s="71"/>
      <c r="AA31" s="71"/>
      <c r="AB31" s="169"/>
      <c r="AC31" s="71"/>
      <c r="AD31" s="71"/>
      <c r="AE31" s="71"/>
      <c r="AF31" s="71"/>
      <c r="AG31" s="71"/>
      <c r="AH31" s="71"/>
      <c r="AI31" s="71"/>
      <c r="AJ31" s="71"/>
      <c r="AK31" s="71"/>
      <c r="AL31" s="71"/>
      <c r="AM31" s="71"/>
      <c r="AN31" s="71"/>
      <c r="AO31" s="71"/>
      <c r="AP31" s="71"/>
      <c r="AQ31" s="71"/>
      <c r="AR31" s="71"/>
      <c r="AS31" s="71"/>
      <c r="AT31" s="71"/>
      <c r="AU31" s="71"/>
      <c r="AV31" s="71"/>
      <c r="AW31" s="71"/>
      <c r="AX31" s="71"/>
      <c r="AY31" s="71"/>
      <c r="AZ31" s="71"/>
      <c r="BA31" s="71"/>
      <c r="BB31" s="71"/>
    </row>
    <row r="32" customFormat="false" ht="15" hidden="false" customHeight="false" outlineLevel="0" collapsed="false">
      <c r="A32" s="198" t="s">
        <v>31</v>
      </c>
      <c r="B32" s="155" t="n">
        <f aca="false">IF('Semaine 04-05-2025'!$C32="1- Lundi",$C$1+1, IF('Semaine 04-05-2025'!$C32="2- Mardi",$C$1+2, IF('Semaine 04-05-2025'!$C32="3- Mercredi",$C$1+3, IF('Semaine 04-05-2025'!$C32="4- Jeudi",$C$1+4, IF('Semaine 04-05-2025'!$C32="5- Vendredi",$C$1+5, IF('Semaine 04-05-2025'!$C32="6- Samedi",$C$1+6, IF('Semaine 04-05-2025'!$C32="7- Dimanche",$C$1, )))))))</f>
        <v>44323</v>
      </c>
      <c r="C32" s="199" t="s">
        <v>332</v>
      </c>
      <c r="D32" s="203" t="n">
        <v>0.416666666666667</v>
      </c>
      <c r="E32" s="203" t="n">
        <v>0.479166666666667</v>
      </c>
      <c r="F32" s="214" t="s">
        <v>75</v>
      </c>
      <c r="G32" s="214" t="s">
        <v>22</v>
      </c>
      <c r="H32" s="215" t="s">
        <v>354</v>
      </c>
      <c r="I32" s="203"/>
      <c r="J32" s="204" t="n">
        <f aca="false">IF($D32=0,"",($N32-INT($N32))*24)</f>
        <v>1.5</v>
      </c>
      <c r="K32" s="216" t="n">
        <f aca="false">SUMIF('Semaine 04-05-2025'!$C$4:$C$46,$C32,'Semaine 04-05-2025'!$J$4:$J$46)</f>
        <v>8.5</v>
      </c>
      <c r="L32" s="206" t="n">
        <f aca="false">SUMIF('Semaine 04-05-2025'!$C$4:$C$46,$C32,O$4:O$1957) / 'Semaine 04-05-2025'!$K32</f>
        <v>0.441176470588235</v>
      </c>
      <c r="M32" s="207" t="n">
        <f aca="false">IF(A32="o",'Semaine 04-05-2025'!$J32,".")</f>
        <v>1.5</v>
      </c>
      <c r="N32" s="213" t="n">
        <f aca="false">IF($D32=0,"",$E32-$D32)</f>
        <v>0.0625</v>
      </c>
      <c r="O32" s="166" t="str">
        <f aca="false">IF($O$1='Semaine 04-05-2025'!$G32,'Semaine 04-05-2025'!$J32,"")</f>
        <v/>
      </c>
      <c r="P32" s="166" t="str">
        <f aca="false">IF($P$1='Semaine 04-05-2025'!$G32,'Semaine 04-05-2025'!$J32,"")</f>
        <v/>
      </c>
      <c r="Q32" s="166" t="str">
        <f aca="false">IF($Q$1='Semaine 04-05-2025'!$G32,'Semaine 04-05-2025'!$J32,"")</f>
        <v/>
      </c>
      <c r="R32" s="166" t="n">
        <f aca="false">IF($R$1='Semaine 04-05-2025'!$G32,'Semaine 04-05-2025'!$J32,"")</f>
        <v>1.5</v>
      </c>
      <c r="S32" s="166" t="str">
        <f aca="false">IF($S$1='Semaine 04-05-2025'!$G32,'Semaine 04-05-2025'!$J32,"")</f>
        <v/>
      </c>
      <c r="T32" s="166" t="str">
        <f aca="false">IF($T$1='Semaine 04-05-2025'!$G32,'Semaine 04-05-2025'!$J32,"")</f>
        <v/>
      </c>
      <c r="U32" s="166" t="str">
        <f aca="false">IF($U$1='Semaine 04-05-2025'!$G32,'Semaine 04-05-2025'!$J32,"")</f>
        <v/>
      </c>
      <c r="V32" s="167" t="str">
        <f aca="false">IF($V$1='Semaine 04-05-2025'!$G32,'Semaine 04-05-2025'!$J32,"")</f>
        <v/>
      </c>
      <c r="W32" s="168"/>
      <c r="X32" s="174"/>
      <c r="Y32" s="71"/>
      <c r="Z32" s="71"/>
      <c r="AA32" s="71"/>
      <c r="AB32" s="169"/>
      <c r="AC32" s="71"/>
      <c r="AD32" s="71"/>
      <c r="AE32" s="71"/>
      <c r="AF32" s="71"/>
      <c r="AG32" s="71"/>
      <c r="AH32" s="71"/>
      <c r="AI32" s="71"/>
      <c r="AJ32" s="71"/>
      <c r="AK32" s="71"/>
      <c r="AL32" s="71"/>
      <c r="AM32" s="71"/>
      <c r="AN32" s="71"/>
      <c r="AO32" s="71"/>
      <c r="AP32" s="71"/>
      <c r="AQ32" s="71"/>
      <c r="AR32" s="71"/>
      <c r="AS32" s="71"/>
      <c r="AT32" s="71"/>
      <c r="AU32" s="71"/>
      <c r="AV32" s="71"/>
      <c r="AW32" s="71"/>
      <c r="AX32" s="71"/>
      <c r="AY32" s="71"/>
      <c r="AZ32" s="71"/>
      <c r="BA32" s="71"/>
      <c r="BB32" s="71"/>
    </row>
    <row r="33" customFormat="false" ht="15" hidden="false" customHeight="false" outlineLevel="0" collapsed="false">
      <c r="A33" s="198" t="s">
        <v>31</v>
      </c>
      <c r="B33" s="155" t="n">
        <f aca="false">IF('Semaine 04-05-2025'!$C33="1- Lundi",$C$1+1, IF('Semaine 04-05-2025'!$C33="2- Mardi",$C$1+2, IF('Semaine 04-05-2025'!$C33="3- Mercredi",$C$1+3, IF('Semaine 04-05-2025'!$C33="4- Jeudi",$C$1+4, IF('Semaine 04-05-2025'!$C33="5- Vendredi",$C$1+5, IF('Semaine 04-05-2025'!$C33="6- Samedi",$C$1+6, IF('Semaine 04-05-2025'!$C33="7- Dimanche",$C$1, )))))))</f>
        <v>44323</v>
      </c>
      <c r="C33" s="199" t="s">
        <v>332</v>
      </c>
      <c r="D33" s="203" t="n">
        <v>0.479166666666667</v>
      </c>
      <c r="E33" s="203" t="n">
        <v>0.5</v>
      </c>
      <c r="F33" s="214" t="s">
        <v>75</v>
      </c>
      <c r="G33" s="214" t="s">
        <v>19</v>
      </c>
      <c r="H33" s="215" t="s">
        <v>355</v>
      </c>
      <c r="I33" s="203"/>
      <c r="J33" s="204" t="n">
        <f aca="false">IF($D33=0,"",($N33-INT($N33))*24)</f>
        <v>0.5</v>
      </c>
      <c r="K33" s="216" t="n">
        <f aca="false">SUMIF('Semaine 04-05-2025'!$C$4:$C$46,$C33,'Semaine 04-05-2025'!$J$4:$J$46)</f>
        <v>8.5</v>
      </c>
      <c r="L33" s="206" t="n">
        <f aca="false">SUMIF('Semaine 04-05-2025'!$C$4:$C$46,$C33,O$4:O$1957) / 'Semaine 04-05-2025'!$K33</f>
        <v>0.441176470588235</v>
      </c>
      <c r="M33" s="207" t="n">
        <f aca="false">IF(A33="o",'Semaine 04-05-2025'!$J33,".")</f>
        <v>0.5</v>
      </c>
      <c r="N33" s="213" t="n">
        <f aca="false">IF($D33=0,"",$E33-$D33)</f>
        <v>0.0208333333333333</v>
      </c>
      <c r="O33" s="166" t="n">
        <f aca="false">IF($O$1='Semaine 04-05-2025'!$G33,'Semaine 04-05-2025'!$J33,"")</f>
        <v>0.5</v>
      </c>
      <c r="P33" s="166" t="str">
        <f aca="false">IF($P$1='Semaine 04-05-2025'!$G33,'Semaine 04-05-2025'!$J33,"")</f>
        <v/>
      </c>
      <c r="Q33" s="166" t="str">
        <f aca="false">IF($Q$1='Semaine 04-05-2025'!$G33,'Semaine 04-05-2025'!$J33,"")</f>
        <v/>
      </c>
      <c r="R33" s="166" t="str">
        <f aca="false">IF($R$1='Semaine 04-05-2025'!$G33,'Semaine 04-05-2025'!$J33,"")</f>
        <v/>
      </c>
      <c r="S33" s="166" t="str">
        <f aca="false">IF($S$1='Semaine 04-05-2025'!$G33,'Semaine 04-05-2025'!$J33,"")</f>
        <v/>
      </c>
      <c r="T33" s="166" t="str">
        <f aca="false">IF($T$1='Semaine 04-05-2025'!$G33,'Semaine 04-05-2025'!$J33,"")</f>
        <v/>
      </c>
      <c r="U33" s="166" t="str">
        <f aca="false">IF($U$1='Semaine 04-05-2025'!$G33,'Semaine 04-05-2025'!$J33,"")</f>
        <v/>
      </c>
      <c r="V33" s="167" t="str">
        <f aca="false">IF($V$1='Semaine 04-05-2025'!$G33,'Semaine 04-05-2025'!$J33,"")</f>
        <v/>
      </c>
      <c r="W33" s="168"/>
      <c r="X33" s="174"/>
      <c r="Y33" s="71"/>
      <c r="Z33" s="71"/>
      <c r="AA33" s="71"/>
      <c r="AB33" s="169"/>
      <c r="AC33" s="71"/>
      <c r="AD33" s="71"/>
      <c r="AE33" s="71"/>
      <c r="AF33" s="71"/>
      <c r="AG33" s="71"/>
      <c r="AH33" s="71"/>
      <c r="AI33" s="71"/>
      <c r="AJ33" s="71"/>
      <c r="AK33" s="71"/>
      <c r="AL33" s="71"/>
      <c r="AM33" s="71"/>
      <c r="AN33" s="71"/>
      <c r="AO33" s="71"/>
      <c r="AP33" s="71"/>
      <c r="AQ33" s="71"/>
      <c r="AR33" s="71"/>
      <c r="AS33" s="71"/>
      <c r="AT33" s="71"/>
      <c r="AU33" s="71"/>
      <c r="AV33" s="71"/>
      <c r="AW33" s="71"/>
      <c r="AX33" s="71"/>
      <c r="AY33" s="71"/>
      <c r="AZ33" s="71"/>
      <c r="BA33" s="71"/>
      <c r="BB33" s="71"/>
    </row>
    <row r="34" customFormat="false" ht="15" hidden="false" customHeight="false" outlineLevel="0" collapsed="false">
      <c r="A34" s="198" t="s">
        <v>31</v>
      </c>
      <c r="B34" s="155" t="n">
        <f aca="false">IF('Semaine 04-05-2025'!$C34="1- Lundi",$C$1+1, IF('Semaine 04-05-2025'!$C34="2- Mardi",$C$1+2, IF('Semaine 04-05-2025'!$C34="3- Mercredi",$C$1+3, IF('Semaine 04-05-2025'!$C34="4- Jeudi",$C$1+4, IF('Semaine 04-05-2025'!$C34="5- Vendredi",$C$1+5, IF('Semaine 04-05-2025'!$C34="6- Samedi",$C$1+6, IF('Semaine 04-05-2025'!$C34="7- Dimanche",$C$1, )))))))</f>
        <v>44323</v>
      </c>
      <c r="C34" s="199" t="s">
        <v>332</v>
      </c>
      <c r="D34" s="203" t="n">
        <v>0.572916666666667</v>
      </c>
      <c r="E34" s="203" t="n">
        <v>0.583333333333333</v>
      </c>
      <c r="F34" s="214" t="s">
        <v>75</v>
      </c>
      <c r="G34" s="214" t="s">
        <v>22</v>
      </c>
      <c r="H34" s="215" t="s">
        <v>356</v>
      </c>
      <c r="I34" s="203"/>
      <c r="J34" s="204" t="n">
        <f aca="false">IF($D34=0,"",($N34-INT($N34))*24)</f>
        <v>0.25</v>
      </c>
      <c r="K34" s="216" t="n">
        <f aca="false">SUMIF('Semaine 04-05-2025'!$C$4:$C$46,$C34,'Semaine 04-05-2025'!$J$4:$J$46)</f>
        <v>8.5</v>
      </c>
      <c r="L34" s="206" t="n">
        <f aca="false">SUMIF('Semaine 04-05-2025'!$C$4:$C$46,$C34,O$4:O$1957) / 'Semaine 04-05-2025'!$K34</f>
        <v>0.441176470588235</v>
      </c>
      <c r="M34" s="207" t="n">
        <f aca="false">IF(A34="o",'Semaine 04-05-2025'!$J34,".")</f>
        <v>0.250000000000002</v>
      </c>
      <c r="N34" s="213" t="n">
        <f aca="false">IF($D34=0,"",$E34-$D34)</f>
        <v>0.0104166666666667</v>
      </c>
      <c r="O34" s="166" t="str">
        <f aca="false">IF($O$1='Semaine 04-05-2025'!$G34,'Semaine 04-05-2025'!$J34,"")</f>
        <v/>
      </c>
      <c r="P34" s="166" t="str">
        <f aca="false">IF($P$1='Semaine 04-05-2025'!$G34,'Semaine 04-05-2025'!$J34,"")</f>
        <v/>
      </c>
      <c r="Q34" s="166" t="str">
        <f aca="false">IF($Q$1='Semaine 04-05-2025'!$G34,'Semaine 04-05-2025'!$J34,"")</f>
        <v/>
      </c>
      <c r="R34" s="166" t="n">
        <f aca="false">IF($R$1='Semaine 04-05-2025'!$G34,'Semaine 04-05-2025'!$J34,"")</f>
        <v>0.250000000000002</v>
      </c>
      <c r="S34" s="166" t="str">
        <f aca="false">IF($S$1='Semaine 04-05-2025'!$G34,'Semaine 04-05-2025'!$J34,"")</f>
        <v/>
      </c>
      <c r="T34" s="166" t="str">
        <f aca="false">IF($T$1='Semaine 04-05-2025'!$G34,'Semaine 04-05-2025'!$J34,"")</f>
        <v/>
      </c>
      <c r="U34" s="166" t="str">
        <f aca="false">IF($U$1='Semaine 04-05-2025'!$G34,'Semaine 04-05-2025'!$J34,"")</f>
        <v/>
      </c>
      <c r="V34" s="167" t="str">
        <f aca="false">IF($V$1='Semaine 04-05-2025'!$G34,'Semaine 04-05-2025'!$J34,"")</f>
        <v/>
      </c>
      <c r="W34" s="168"/>
      <c r="X34" s="174"/>
      <c r="Y34" s="71"/>
      <c r="Z34" s="71"/>
      <c r="AA34" s="71"/>
      <c r="AB34" s="169"/>
      <c r="AC34" s="71"/>
      <c r="AD34" s="71"/>
      <c r="AE34" s="71"/>
      <c r="AF34" s="71"/>
      <c r="AG34" s="71"/>
      <c r="AH34" s="71"/>
      <c r="AI34" s="71"/>
      <c r="AJ34" s="71"/>
      <c r="AK34" s="71"/>
      <c r="AL34" s="71"/>
      <c r="AM34" s="71"/>
      <c r="AN34" s="71"/>
      <c r="AO34" s="71"/>
      <c r="AP34" s="71"/>
      <c r="AQ34" s="71"/>
      <c r="AR34" s="71"/>
      <c r="AS34" s="71"/>
      <c r="AT34" s="71"/>
      <c r="AU34" s="71"/>
      <c r="AV34" s="71"/>
      <c r="AW34" s="71"/>
      <c r="AX34" s="71"/>
      <c r="AY34" s="71"/>
      <c r="AZ34" s="71"/>
      <c r="BA34" s="71"/>
      <c r="BB34" s="71"/>
    </row>
    <row r="35" customFormat="false" ht="15" hidden="false" customHeight="false" outlineLevel="0" collapsed="false">
      <c r="A35" s="198" t="s">
        <v>31</v>
      </c>
      <c r="B35" s="155" t="n">
        <f aca="false">IF('Semaine 04-05-2025'!$C35="1- Lundi",$C$1+1, IF('Semaine 04-05-2025'!$C35="2- Mardi",$C$1+2, IF('Semaine 04-05-2025'!$C35="3- Mercredi",$C$1+3, IF('Semaine 04-05-2025'!$C35="4- Jeudi",$C$1+4, IF('Semaine 04-05-2025'!$C35="5- Vendredi",$C$1+5, IF('Semaine 04-05-2025'!$C35="6- Samedi",$C$1+6, IF('Semaine 04-05-2025'!$C35="7- Dimanche",$C$1, )))))))</f>
        <v>44323</v>
      </c>
      <c r="C35" s="199" t="s">
        <v>332</v>
      </c>
      <c r="D35" s="203" t="n">
        <v>0.583333333333333</v>
      </c>
      <c r="E35" s="203" t="n">
        <v>0.635416666666667</v>
      </c>
      <c r="F35" s="214" t="s">
        <v>79</v>
      </c>
      <c r="G35" s="214" t="s">
        <v>19</v>
      </c>
      <c r="H35" s="215" t="s">
        <v>357</v>
      </c>
      <c r="I35" s="203"/>
      <c r="J35" s="204" t="n">
        <f aca="false">IF($D35=0,"",($N35-INT($N35))*24)</f>
        <v>1.25</v>
      </c>
      <c r="K35" s="216" t="n">
        <f aca="false">SUMIF('Semaine 04-05-2025'!$C$4:$C$46,$C35,'Semaine 04-05-2025'!$J$4:$J$46)</f>
        <v>8.5</v>
      </c>
      <c r="L35" s="206" t="n">
        <f aca="false">SUMIF('Semaine 04-05-2025'!$C$4:$C$46,$C35,O$4:O$1957) / 'Semaine 04-05-2025'!$K35</f>
        <v>0.441176470588235</v>
      </c>
      <c r="M35" s="207" t="n">
        <f aca="false">IF(A35="o",'Semaine 04-05-2025'!$J35,".")</f>
        <v>1.25</v>
      </c>
      <c r="N35" s="213" t="n">
        <f aca="false">IF($D35=0,"",$E35-$D35)</f>
        <v>0.0520833333333333</v>
      </c>
      <c r="O35" s="166" t="n">
        <f aca="false">IF($O$1='Semaine 04-05-2025'!$G35,'Semaine 04-05-2025'!$J35,"")</f>
        <v>1.25</v>
      </c>
      <c r="P35" s="166" t="str">
        <f aca="false">IF($P$1='Semaine 04-05-2025'!$G35,'Semaine 04-05-2025'!$J35,"")</f>
        <v/>
      </c>
      <c r="Q35" s="166" t="str">
        <f aca="false">IF($Q$1='Semaine 04-05-2025'!$G35,'Semaine 04-05-2025'!$J35,"")</f>
        <v/>
      </c>
      <c r="R35" s="166" t="str">
        <f aca="false">IF($R$1='Semaine 04-05-2025'!$G35,'Semaine 04-05-2025'!$J35,"")</f>
        <v/>
      </c>
      <c r="S35" s="166" t="str">
        <f aca="false">IF($S$1='Semaine 04-05-2025'!$G35,'Semaine 04-05-2025'!$J35,"")</f>
        <v/>
      </c>
      <c r="T35" s="166" t="str">
        <f aca="false">IF($T$1='Semaine 04-05-2025'!$G35,'Semaine 04-05-2025'!$J35,"")</f>
        <v/>
      </c>
      <c r="U35" s="166" t="str">
        <f aca="false">IF($U$1='Semaine 04-05-2025'!$G35,'Semaine 04-05-2025'!$J35,"")</f>
        <v/>
      </c>
      <c r="V35" s="167" t="str">
        <f aca="false">IF($V$1='Semaine 04-05-2025'!$G35,'Semaine 04-05-2025'!$J35,"")</f>
        <v/>
      </c>
      <c r="W35" s="168"/>
      <c r="X35" s="174"/>
      <c r="Y35" s="71"/>
      <c r="Z35" s="71"/>
      <c r="AA35" s="71"/>
      <c r="AB35" s="169"/>
      <c r="AC35" s="71"/>
      <c r="AD35" s="71"/>
      <c r="AE35" s="71"/>
      <c r="AF35" s="71"/>
      <c r="AG35" s="71"/>
      <c r="AH35" s="71"/>
      <c r="AI35" s="71"/>
      <c r="AJ35" s="71"/>
      <c r="AK35" s="71"/>
      <c r="AL35" s="71"/>
      <c r="AM35" s="71"/>
      <c r="AN35" s="71"/>
      <c r="AO35" s="71"/>
      <c r="AP35" s="71"/>
      <c r="AQ35" s="71"/>
      <c r="AR35" s="71"/>
      <c r="AS35" s="71"/>
      <c r="AT35" s="71"/>
      <c r="AU35" s="71"/>
      <c r="AV35" s="71"/>
      <c r="AW35" s="71"/>
      <c r="AX35" s="71"/>
      <c r="AY35" s="71"/>
      <c r="AZ35" s="71"/>
      <c r="BA35" s="71"/>
      <c r="BB35" s="71"/>
    </row>
    <row r="36" customFormat="false" ht="15" hidden="false" customHeight="false" outlineLevel="0" collapsed="false">
      <c r="A36" s="198" t="s">
        <v>31</v>
      </c>
      <c r="B36" s="155" t="n">
        <f aca="false">IF('Semaine 04-05-2025'!$C36="1- Lundi",$C$1+1, IF('Semaine 04-05-2025'!$C36="2- Mardi",$C$1+2, IF('Semaine 04-05-2025'!$C36="3- Mercredi",$C$1+3, IF('Semaine 04-05-2025'!$C36="4- Jeudi",$C$1+4, IF('Semaine 04-05-2025'!$C36="5- Vendredi",$C$1+5, IF('Semaine 04-05-2025'!$C36="6- Samedi",$C$1+6, IF('Semaine 04-05-2025'!$C36="7- Dimanche",$C$1, )))))))</f>
        <v>44323</v>
      </c>
      <c r="C36" s="199" t="s">
        <v>332</v>
      </c>
      <c r="D36" s="209" t="n">
        <v>0.65625</v>
      </c>
      <c r="E36" s="209" t="n">
        <v>0.739583333333333</v>
      </c>
      <c r="F36" s="210" t="s">
        <v>63</v>
      </c>
      <c r="G36" s="210" t="s">
        <v>19</v>
      </c>
      <c r="H36" s="211" t="s">
        <v>358</v>
      </c>
      <c r="I36" s="209"/>
      <c r="J36" s="204" t="n">
        <f aca="false">IF($D36=0,"",($N36-INT($N36))*24)</f>
        <v>2</v>
      </c>
      <c r="K36" s="216" t="n">
        <f aca="false">SUMIF('Semaine 04-05-2025'!$C$4:$C$46,$C36,'Semaine 04-05-2025'!$J$4:$J$46)</f>
        <v>8.5</v>
      </c>
      <c r="L36" s="206" t="n">
        <f aca="false">SUMIF('Semaine 04-05-2025'!$C$4:$C$46,$C36,O$4:O$1957) / 'Semaine 04-05-2025'!$K36</f>
        <v>0.441176470588235</v>
      </c>
      <c r="M36" s="207" t="n">
        <f aca="false">IF(A36="o",'Semaine 04-05-2025'!$J36,".")</f>
        <v>2</v>
      </c>
      <c r="N36" s="213" t="n">
        <f aca="false">IF($D36=0,"",$E36-$D36)</f>
        <v>0.0833333333333333</v>
      </c>
      <c r="O36" s="166" t="n">
        <f aca="false">IF($O$1='Semaine 04-05-2025'!$G36,'Semaine 04-05-2025'!$J36,"")</f>
        <v>2</v>
      </c>
      <c r="P36" s="166" t="str">
        <f aca="false">IF($P$1='Semaine 04-05-2025'!$G36,'Semaine 04-05-2025'!$J36,"")</f>
        <v/>
      </c>
      <c r="Q36" s="166" t="str">
        <f aca="false">IF($Q$1='Semaine 04-05-2025'!$G36,'Semaine 04-05-2025'!$J36,"")</f>
        <v/>
      </c>
      <c r="R36" s="166" t="str">
        <f aca="false">IF($R$1='Semaine 04-05-2025'!$G36,'Semaine 04-05-2025'!$J36,"")</f>
        <v/>
      </c>
      <c r="S36" s="166" t="str">
        <f aca="false">IF($S$1='Semaine 04-05-2025'!$G36,'Semaine 04-05-2025'!$J36,"")</f>
        <v/>
      </c>
      <c r="T36" s="166" t="str">
        <f aca="false">IF($T$1='Semaine 04-05-2025'!$G36,'Semaine 04-05-2025'!$J36,"")</f>
        <v/>
      </c>
      <c r="U36" s="166" t="str">
        <f aca="false">IF($U$1='Semaine 04-05-2025'!$G36,'Semaine 04-05-2025'!$J36,"")</f>
        <v/>
      </c>
      <c r="V36" s="167" t="str">
        <f aca="false">IF($V$1='Semaine 04-05-2025'!$G36,'Semaine 04-05-2025'!$J36,"")</f>
        <v/>
      </c>
      <c r="W36" s="168"/>
      <c r="X36" s="174"/>
      <c r="Y36" s="71"/>
      <c r="Z36" s="71"/>
      <c r="AA36" s="71"/>
      <c r="AB36" s="169"/>
      <c r="AC36" s="71"/>
      <c r="AD36" s="71"/>
      <c r="AE36" s="71"/>
      <c r="AF36" s="71"/>
      <c r="AG36" s="71"/>
      <c r="AH36" s="71"/>
      <c r="AI36" s="71"/>
      <c r="AJ36" s="71"/>
      <c r="AK36" s="71"/>
      <c r="AL36" s="71"/>
      <c r="AM36" s="71"/>
      <c r="AN36" s="71"/>
      <c r="AO36" s="71"/>
      <c r="AP36" s="71"/>
      <c r="AQ36" s="71"/>
      <c r="AR36" s="71"/>
      <c r="AS36" s="71"/>
      <c r="AT36" s="71"/>
      <c r="AU36" s="71"/>
      <c r="AV36" s="71"/>
      <c r="AW36" s="71"/>
      <c r="AX36" s="71"/>
      <c r="AY36" s="71"/>
      <c r="AZ36" s="71"/>
      <c r="BA36" s="71"/>
      <c r="BB36" s="71"/>
    </row>
    <row r="37" customFormat="false" ht="15" hidden="false" customHeight="false" outlineLevel="0" collapsed="false">
      <c r="A37" s="198" t="s">
        <v>31</v>
      </c>
      <c r="B37" s="155" t="n">
        <f aca="false">IF('Semaine 04-05-2025'!$C37="1- Lundi",$C$1+1, IF('Semaine 04-05-2025'!$C37="2- Mardi",$C$1+2, IF('Semaine 04-05-2025'!$C37="3- Mercredi",$C$1+3, IF('Semaine 04-05-2025'!$C37="4- Jeudi",$C$1+4, IF('Semaine 04-05-2025'!$C37="5- Vendredi",$C$1+5, IF('Semaine 04-05-2025'!$C37="6- Samedi",$C$1+6, IF('Semaine 04-05-2025'!$C37="7- Dimanche",$C$1, )))))))</f>
        <v>44324</v>
      </c>
      <c r="C37" s="199" t="s">
        <v>335</v>
      </c>
      <c r="D37" s="203" t="n">
        <v>0.291666666666667</v>
      </c>
      <c r="E37" s="203" t="n">
        <v>0.354166666666667</v>
      </c>
      <c r="F37" s="214" t="s">
        <v>32</v>
      </c>
      <c r="G37" s="214" t="s">
        <v>21</v>
      </c>
      <c r="H37" s="215" t="s">
        <v>299</v>
      </c>
      <c r="I37" s="203"/>
      <c r="J37" s="204" t="n">
        <f aca="false">IF($D37=0,"",($N37-INT($N37))*24)</f>
        <v>1.5</v>
      </c>
      <c r="K37" s="216" t="n">
        <f aca="false">SUMIF('Semaine 04-05-2025'!$C$4:$C$46,$C37,'Semaine 04-05-2025'!$J$4:$J$46)</f>
        <v>7.5</v>
      </c>
      <c r="L37" s="206" t="n">
        <f aca="false">SUMIF('Semaine 04-05-2025'!$C$4:$C$46,$C37,O$4:O$1957) / 'Semaine 04-05-2025'!$K37</f>
        <v>0.333333333333333</v>
      </c>
      <c r="M37" s="207" t="n">
        <f aca="false">IF(A37="o",'Semaine 04-05-2025'!$J37,".")</f>
        <v>1.5</v>
      </c>
      <c r="N37" s="213" t="n">
        <f aca="false">IF($D37=0,"",$E37-$D37)</f>
        <v>0.0625</v>
      </c>
      <c r="O37" s="166" t="str">
        <f aca="false">IF($O$1='Semaine 04-05-2025'!$G37,'Semaine 04-05-2025'!$J37,"")</f>
        <v/>
      </c>
      <c r="P37" s="166" t="str">
        <f aca="false">IF($P$1='Semaine 04-05-2025'!$G37,'Semaine 04-05-2025'!$J37,"")</f>
        <v/>
      </c>
      <c r="Q37" s="166" t="n">
        <f aca="false">IF($Q$1='Semaine 04-05-2025'!$G37,'Semaine 04-05-2025'!$J37,"")</f>
        <v>1.5</v>
      </c>
      <c r="R37" s="166" t="str">
        <f aca="false">IF($R$1='Semaine 04-05-2025'!$G37,'Semaine 04-05-2025'!$J37,"")</f>
        <v/>
      </c>
      <c r="S37" s="166" t="str">
        <f aca="false">IF($S$1='Semaine 04-05-2025'!$G37,'Semaine 04-05-2025'!$J37,"")</f>
        <v/>
      </c>
      <c r="T37" s="166" t="str">
        <f aca="false">IF($T$1='Semaine 04-05-2025'!$G37,'Semaine 04-05-2025'!$J37,"")</f>
        <v/>
      </c>
      <c r="U37" s="166" t="str">
        <f aca="false">IF($U$1='Semaine 04-05-2025'!$G37,'Semaine 04-05-2025'!$J37,"")</f>
        <v/>
      </c>
      <c r="V37" s="167" t="str">
        <f aca="false">IF($V$1='Semaine 04-05-2025'!$G37,'Semaine 04-05-2025'!$J37,"")</f>
        <v/>
      </c>
      <c r="W37" s="168"/>
      <c r="X37" s="174"/>
      <c r="Y37" s="71"/>
      <c r="Z37" s="71"/>
      <c r="AA37" s="71"/>
      <c r="AB37" s="169"/>
      <c r="AC37" s="71"/>
      <c r="AD37" s="71"/>
      <c r="AE37" s="71"/>
      <c r="AF37" s="71"/>
      <c r="AG37" s="71"/>
      <c r="AH37" s="71"/>
      <c r="AI37" s="71"/>
      <c r="AJ37" s="71"/>
      <c r="AK37" s="71"/>
      <c r="AL37" s="71"/>
      <c r="AM37" s="71"/>
      <c r="AN37" s="71"/>
      <c r="AO37" s="71"/>
      <c r="AP37" s="71"/>
      <c r="AQ37" s="71"/>
      <c r="AR37" s="71"/>
      <c r="AS37" s="71"/>
      <c r="AT37" s="71"/>
      <c r="AU37" s="71"/>
      <c r="AV37" s="71"/>
      <c r="AW37" s="71"/>
      <c r="AX37" s="71"/>
      <c r="AY37" s="71"/>
      <c r="AZ37" s="71"/>
      <c r="BA37" s="71"/>
      <c r="BB37" s="71"/>
    </row>
    <row r="38" customFormat="false" ht="15" hidden="false" customHeight="false" outlineLevel="0" collapsed="false">
      <c r="A38" s="198" t="s">
        <v>31</v>
      </c>
      <c r="B38" s="155" t="n">
        <f aca="false">IF('Semaine 04-05-2025'!$C38="1- Lundi",$C$1+1, IF('Semaine 04-05-2025'!$C38="2- Mardi",$C$1+2, IF('Semaine 04-05-2025'!$C38="3- Mercredi",$C$1+3, IF('Semaine 04-05-2025'!$C38="4- Jeudi",$C$1+4, IF('Semaine 04-05-2025'!$C38="5- Vendredi",$C$1+5, IF('Semaine 04-05-2025'!$C38="6- Samedi",$C$1+6, IF('Semaine 04-05-2025'!$C38="7- Dimanche",$C$1, )))))))</f>
        <v>44324</v>
      </c>
      <c r="C38" s="199" t="s">
        <v>335</v>
      </c>
      <c r="D38" s="203" t="n">
        <v>0.354166666666667</v>
      </c>
      <c r="E38" s="203" t="n">
        <v>0.375</v>
      </c>
      <c r="F38" s="214" t="s">
        <v>75</v>
      </c>
      <c r="G38" s="214" t="s">
        <v>19</v>
      </c>
      <c r="H38" s="215" t="s">
        <v>55</v>
      </c>
      <c r="I38" s="203"/>
      <c r="J38" s="204" t="n">
        <f aca="false">IF($D38=0,"",($N38-INT($N38))*24)</f>
        <v>0.5</v>
      </c>
      <c r="K38" s="216" t="n">
        <f aca="false">SUMIF('Semaine 04-05-2025'!$C$4:$C$46,$C38,'Semaine 04-05-2025'!$J$4:$J$46)</f>
        <v>7.5</v>
      </c>
      <c r="L38" s="206" t="n">
        <f aca="false">SUMIF('Semaine 04-05-2025'!$C$4:$C$46,$C38,O$4:O$1957) / 'Semaine 04-05-2025'!$K38</f>
        <v>0.333333333333333</v>
      </c>
      <c r="M38" s="207" t="n">
        <f aca="false">IF(A38="o",'Semaine 04-05-2025'!$J38,".")</f>
        <v>0.5</v>
      </c>
      <c r="N38" s="213" t="n">
        <f aca="false">IF($D38=0,"",$E38-$D38)</f>
        <v>0.0208333333333333</v>
      </c>
      <c r="O38" s="166" t="n">
        <f aca="false">IF($O$1='Semaine 04-05-2025'!$G38,'Semaine 04-05-2025'!$J38,"")</f>
        <v>0.5</v>
      </c>
      <c r="P38" s="166" t="str">
        <f aca="false">IF($P$1='Semaine 04-05-2025'!$G38,'Semaine 04-05-2025'!$J38,"")</f>
        <v/>
      </c>
      <c r="Q38" s="166" t="str">
        <f aca="false">IF($Q$1='Semaine 04-05-2025'!$G38,'Semaine 04-05-2025'!$J38,"")</f>
        <v/>
      </c>
      <c r="R38" s="166" t="str">
        <f aca="false">IF($R$1='Semaine 04-05-2025'!$G38,'Semaine 04-05-2025'!$J38,"")</f>
        <v/>
      </c>
      <c r="S38" s="166" t="str">
        <f aca="false">IF($S$1='Semaine 04-05-2025'!$G38,'Semaine 04-05-2025'!$J38,"")</f>
        <v/>
      </c>
      <c r="T38" s="166" t="str">
        <f aca="false">IF($T$1='Semaine 04-05-2025'!$G38,'Semaine 04-05-2025'!$J38,"")</f>
        <v/>
      </c>
      <c r="U38" s="166" t="str">
        <f aca="false">IF($U$1='Semaine 04-05-2025'!$G38,'Semaine 04-05-2025'!$J38,"")</f>
        <v/>
      </c>
      <c r="V38" s="167" t="str">
        <f aca="false">IF($V$1='Semaine 04-05-2025'!$G38,'Semaine 04-05-2025'!$J38,"")</f>
        <v/>
      </c>
      <c r="W38" s="168"/>
      <c r="X38" s="174"/>
      <c r="Y38" s="71"/>
      <c r="Z38" s="71"/>
      <c r="AA38" s="71"/>
      <c r="AB38" s="169"/>
      <c r="AC38" s="71"/>
      <c r="AD38" s="71"/>
      <c r="AE38" s="71"/>
      <c r="AF38" s="71"/>
      <c r="AG38" s="71"/>
      <c r="AH38" s="71"/>
      <c r="AI38" s="71"/>
      <c r="AJ38" s="71"/>
      <c r="AK38" s="71"/>
      <c r="AL38" s="71"/>
      <c r="AM38" s="71"/>
      <c r="AN38" s="71"/>
      <c r="AO38" s="71"/>
      <c r="AP38" s="71"/>
      <c r="AQ38" s="71"/>
      <c r="AR38" s="71"/>
      <c r="AS38" s="71"/>
      <c r="AT38" s="71"/>
      <c r="AU38" s="71"/>
      <c r="AV38" s="71"/>
      <c r="AW38" s="71"/>
      <c r="AX38" s="71"/>
      <c r="AY38" s="71"/>
      <c r="AZ38" s="71"/>
      <c r="BA38" s="71"/>
      <c r="BB38" s="71"/>
    </row>
    <row r="39" customFormat="false" ht="15" hidden="false" customHeight="false" outlineLevel="0" collapsed="false">
      <c r="A39" s="198" t="s">
        <v>31</v>
      </c>
      <c r="B39" s="155" t="n">
        <f aca="false">IF('Semaine 04-05-2025'!$C39="1- Lundi",$C$1+1, IF('Semaine 04-05-2025'!$C39="2- Mardi",$C$1+2, IF('Semaine 04-05-2025'!$C39="3- Mercredi",$C$1+3, IF('Semaine 04-05-2025'!$C39="4- Jeudi",$C$1+4, IF('Semaine 04-05-2025'!$C39="5- Vendredi",$C$1+5, IF('Semaine 04-05-2025'!$C39="6- Samedi",$C$1+6, IF('Semaine 04-05-2025'!$C39="7- Dimanche",$C$1, )))))))</f>
        <v>44324</v>
      </c>
      <c r="C39" s="199" t="s">
        <v>335</v>
      </c>
      <c r="D39" s="209" t="n">
        <v>0.375</v>
      </c>
      <c r="E39" s="209" t="n">
        <v>0.395833333333333</v>
      </c>
      <c r="F39" s="210" t="s">
        <v>59</v>
      </c>
      <c r="G39" s="210" t="s">
        <v>19</v>
      </c>
      <c r="H39" s="211" t="s">
        <v>55</v>
      </c>
      <c r="I39" s="209"/>
      <c r="J39" s="204" t="n">
        <f aca="false">IF($D39=0,"",($N39-INT($N39))*24)</f>
        <v>0.5</v>
      </c>
      <c r="K39" s="216" t="n">
        <f aca="false">SUMIF('Semaine 04-05-2025'!$C$4:$C$46,$C39,'Semaine 04-05-2025'!$J$4:$J$46)</f>
        <v>7.5</v>
      </c>
      <c r="L39" s="206" t="n">
        <f aca="false">SUMIF('Semaine 04-05-2025'!$C$4:$C$46,$C39,O$4:O$1957) / 'Semaine 04-05-2025'!$K39</f>
        <v>0.333333333333333</v>
      </c>
      <c r="M39" s="207" t="n">
        <f aca="false">IF(A39="o",'Semaine 04-05-2025'!$J39,".")</f>
        <v>0.5</v>
      </c>
      <c r="N39" s="213" t="n">
        <f aca="false">IF($D39=0,"",$E39-$D39)</f>
        <v>0.0208333333333333</v>
      </c>
      <c r="O39" s="166" t="n">
        <f aca="false">IF($O$1='Semaine 04-05-2025'!$G39,'Semaine 04-05-2025'!$J39,"")</f>
        <v>0.5</v>
      </c>
      <c r="P39" s="166" t="str">
        <f aca="false">IF($P$1='Semaine 04-05-2025'!$G39,'Semaine 04-05-2025'!$J39,"")</f>
        <v/>
      </c>
      <c r="Q39" s="166" t="str">
        <f aca="false">IF($Q$1='Semaine 04-05-2025'!$G39,'Semaine 04-05-2025'!$J39,"")</f>
        <v/>
      </c>
      <c r="R39" s="166" t="str">
        <f aca="false">IF($R$1='Semaine 04-05-2025'!$G39,'Semaine 04-05-2025'!$J39,"")</f>
        <v/>
      </c>
      <c r="S39" s="166" t="str">
        <f aca="false">IF($S$1='Semaine 04-05-2025'!$G39,'Semaine 04-05-2025'!$J39,"")</f>
        <v/>
      </c>
      <c r="T39" s="166" t="str">
        <f aca="false">IF($T$1='Semaine 04-05-2025'!$G39,'Semaine 04-05-2025'!$J39,"")</f>
        <v/>
      </c>
      <c r="U39" s="166" t="str">
        <f aca="false">IF($U$1='Semaine 04-05-2025'!$G39,'Semaine 04-05-2025'!$J39,"")</f>
        <v/>
      </c>
      <c r="V39" s="167" t="str">
        <f aca="false">IF($V$1='Semaine 04-05-2025'!$G39,'Semaine 04-05-2025'!$J39,"")</f>
        <v/>
      </c>
      <c r="W39" s="168"/>
      <c r="X39" s="174"/>
      <c r="Y39" s="71"/>
      <c r="Z39" s="71"/>
      <c r="AA39" s="71"/>
      <c r="AB39" s="169"/>
      <c r="AC39" s="71"/>
      <c r="AD39" s="71"/>
      <c r="AE39" s="71"/>
      <c r="AF39" s="71"/>
      <c r="AG39" s="71"/>
      <c r="AH39" s="71"/>
      <c r="AI39" s="71"/>
      <c r="AJ39" s="71"/>
      <c r="AK39" s="71"/>
      <c r="AL39" s="71"/>
      <c r="AM39" s="71"/>
      <c r="AN39" s="71"/>
      <c r="AO39" s="71"/>
      <c r="AP39" s="71"/>
      <c r="AQ39" s="71"/>
      <c r="AR39" s="71"/>
      <c r="AS39" s="71"/>
      <c r="AT39" s="71"/>
      <c r="AU39" s="71"/>
      <c r="AV39" s="71"/>
      <c r="AW39" s="71"/>
      <c r="AX39" s="71"/>
      <c r="AY39" s="71"/>
      <c r="AZ39" s="71"/>
      <c r="BA39" s="71"/>
      <c r="BB39" s="71"/>
    </row>
    <row r="40" customFormat="false" ht="15" hidden="false" customHeight="false" outlineLevel="0" collapsed="false">
      <c r="A40" s="198" t="s">
        <v>31</v>
      </c>
      <c r="B40" s="155" t="n">
        <f aca="false">IF('Semaine 04-05-2025'!$C40="1- Lundi",$C$1+1, IF('Semaine 04-05-2025'!$C40="2- Mardi",$C$1+2, IF('Semaine 04-05-2025'!$C40="3- Mercredi",$C$1+3, IF('Semaine 04-05-2025'!$C40="4- Jeudi",$C$1+4, IF('Semaine 04-05-2025'!$C40="5- Vendredi",$C$1+5, IF('Semaine 04-05-2025'!$C40="6- Samedi",$C$1+6, IF('Semaine 04-05-2025'!$C40="7- Dimanche",$C$1, )))))))</f>
        <v>44324</v>
      </c>
      <c r="C40" s="199" t="s">
        <v>335</v>
      </c>
      <c r="D40" s="203" t="n">
        <v>0.395833333333333</v>
      </c>
      <c r="E40" s="203" t="n">
        <v>0.416666666666667</v>
      </c>
      <c r="F40" s="214" t="s">
        <v>75</v>
      </c>
      <c r="G40" s="214" t="s">
        <v>22</v>
      </c>
      <c r="H40" s="218" t="s">
        <v>355</v>
      </c>
      <c r="I40" s="203"/>
      <c r="J40" s="204" t="n">
        <f aca="false">IF($D40=0,"",($N40-INT($N40))*24)</f>
        <v>0.5</v>
      </c>
      <c r="K40" s="216" t="n">
        <f aca="false">SUMIF('Semaine 04-05-2025'!$C$4:$C$46,$C40,'Semaine 04-05-2025'!$J$4:$J$46)</f>
        <v>7.5</v>
      </c>
      <c r="L40" s="206" t="n">
        <f aca="false">SUMIF('Semaine 04-05-2025'!$C$4:$C$46,$C40,O$4:O$1957) / 'Semaine 04-05-2025'!$K40</f>
        <v>0.333333333333333</v>
      </c>
      <c r="M40" s="207" t="n">
        <f aca="false">IF(A40="o",'Semaine 04-05-2025'!$J40,".")</f>
        <v>0.500000000000001</v>
      </c>
      <c r="N40" s="213" t="n">
        <f aca="false">IF($D40=0,"",$E40-$D40)</f>
        <v>0.0208333333333333</v>
      </c>
      <c r="O40" s="166" t="str">
        <f aca="false">IF($O$1='Semaine 04-05-2025'!$G40,'Semaine 04-05-2025'!$J40,"")</f>
        <v/>
      </c>
      <c r="P40" s="166" t="str">
        <f aca="false">IF($P$1='Semaine 04-05-2025'!$G40,'Semaine 04-05-2025'!$J40,"")</f>
        <v/>
      </c>
      <c r="Q40" s="166" t="str">
        <f aca="false">IF($Q$1='Semaine 04-05-2025'!$G40,'Semaine 04-05-2025'!$J40,"")</f>
        <v/>
      </c>
      <c r="R40" s="166" t="n">
        <f aca="false">IF($R$1='Semaine 04-05-2025'!$G40,'Semaine 04-05-2025'!$J40,"")</f>
        <v>0.500000000000001</v>
      </c>
      <c r="S40" s="166" t="str">
        <f aca="false">IF($S$1='Semaine 04-05-2025'!$G40,'Semaine 04-05-2025'!$J40,"")</f>
        <v/>
      </c>
      <c r="T40" s="166" t="str">
        <f aca="false">IF($T$1='Semaine 04-05-2025'!$G40,'Semaine 04-05-2025'!$J40,"")</f>
        <v/>
      </c>
      <c r="U40" s="166" t="str">
        <f aca="false">IF($U$1='Semaine 04-05-2025'!$G40,'Semaine 04-05-2025'!$J40,"")</f>
        <v/>
      </c>
      <c r="V40" s="167" t="str">
        <f aca="false">IF($V$1='Semaine 04-05-2025'!$G40,'Semaine 04-05-2025'!$J40,"")</f>
        <v/>
      </c>
      <c r="W40" s="168"/>
      <c r="X40" s="174"/>
      <c r="Y40" s="71"/>
      <c r="Z40" s="71"/>
      <c r="AA40" s="71"/>
      <c r="AB40" s="169"/>
      <c r="AC40" s="71"/>
      <c r="AD40" s="71"/>
      <c r="AE40" s="71"/>
      <c r="AF40" s="71"/>
      <c r="AG40" s="71"/>
      <c r="AH40" s="71"/>
      <c r="AI40" s="71"/>
      <c r="AJ40" s="71"/>
      <c r="AK40" s="71"/>
      <c r="AL40" s="71"/>
      <c r="AM40" s="71"/>
      <c r="AN40" s="71"/>
      <c r="AO40" s="71"/>
      <c r="AP40" s="71"/>
      <c r="AQ40" s="71"/>
      <c r="AR40" s="71"/>
      <c r="AS40" s="71"/>
      <c r="AT40" s="71"/>
      <c r="AU40" s="71"/>
      <c r="AV40" s="71"/>
      <c r="AW40" s="71"/>
      <c r="AX40" s="71"/>
      <c r="AY40" s="71"/>
      <c r="AZ40" s="71"/>
      <c r="BA40" s="71"/>
      <c r="BB40" s="71"/>
    </row>
    <row r="41" customFormat="false" ht="15" hidden="false" customHeight="false" outlineLevel="0" collapsed="false">
      <c r="A41" s="198" t="s">
        <v>31</v>
      </c>
      <c r="B41" s="155" t="n">
        <f aca="false">IF('Semaine 04-05-2025'!$C41="1- Lundi",$C$1+1, IF('Semaine 04-05-2025'!$C41="2- Mardi",$C$1+2, IF('Semaine 04-05-2025'!$C41="3- Mercredi",$C$1+3, IF('Semaine 04-05-2025'!$C41="4- Jeudi",$C$1+4, IF('Semaine 04-05-2025'!$C41="5- Vendredi",$C$1+5, IF('Semaine 04-05-2025'!$C41="6- Samedi",$C$1+6, IF('Semaine 04-05-2025'!$C41="7- Dimanche",$C$1, )))))))</f>
        <v>44324</v>
      </c>
      <c r="C41" s="199" t="s">
        <v>335</v>
      </c>
      <c r="D41" s="209" t="n">
        <v>0.416666666666667</v>
      </c>
      <c r="E41" s="209" t="n">
        <v>0.4375</v>
      </c>
      <c r="F41" s="210" t="s">
        <v>75</v>
      </c>
      <c r="G41" s="210" t="s">
        <v>22</v>
      </c>
      <c r="H41" s="211" t="s">
        <v>356</v>
      </c>
      <c r="I41" s="209"/>
      <c r="J41" s="204" t="n">
        <f aca="false">IF($D41=0,"",($N41-INT($N41))*24)</f>
        <v>0.5</v>
      </c>
      <c r="K41" s="216" t="n">
        <f aca="false">SUMIF('Semaine 04-05-2025'!$C$4:$C$46,$C41,'Semaine 04-05-2025'!$J$4:$J$46)</f>
        <v>7.5</v>
      </c>
      <c r="L41" s="206" t="n">
        <f aca="false">SUMIF('Semaine 04-05-2025'!$C$4:$C$46,$C41,O$4:O$1957) / 'Semaine 04-05-2025'!$K41</f>
        <v>0.333333333333333</v>
      </c>
      <c r="M41" s="207" t="n">
        <f aca="false">IF(A41="o",'Semaine 04-05-2025'!$J41,".")</f>
        <v>0.5</v>
      </c>
      <c r="N41" s="213" t="n">
        <f aca="false">IF($D41=0,"",$E41-$D41)</f>
        <v>0.0208333333333333</v>
      </c>
      <c r="O41" s="166" t="str">
        <f aca="false">IF($O$1='Semaine 04-05-2025'!$G41,'Semaine 04-05-2025'!$J41,"")</f>
        <v/>
      </c>
      <c r="P41" s="166" t="str">
        <f aca="false">IF($P$1='Semaine 04-05-2025'!$G41,'Semaine 04-05-2025'!$J41,"")</f>
        <v/>
      </c>
      <c r="Q41" s="166" t="str">
        <f aca="false">IF($Q$1='Semaine 04-05-2025'!$G41,'Semaine 04-05-2025'!$J41,"")</f>
        <v/>
      </c>
      <c r="R41" s="166" t="n">
        <f aca="false">IF($R$1='Semaine 04-05-2025'!$G41,'Semaine 04-05-2025'!$J41,"")</f>
        <v>0.5</v>
      </c>
      <c r="S41" s="166" t="str">
        <f aca="false">IF($S$1='Semaine 04-05-2025'!$G41,'Semaine 04-05-2025'!$J41,"")</f>
        <v/>
      </c>
      <c r="T41" s="166" t="str">
        <f aca="false">IF($T$1='Semaine 04-05-2025'!$G41,'Semaine 04-05-2025'!$J41,"")</f>
        <v/>
      </c>
      <c r="U41" s="166" t="str">
        <f aca="false">IF($U$1='Semaine 04-05-2025'!$G41,'Semaine 04-05-2025'!$J41,"")</f>
        <v/>
      </c>
      <c r="V41" s="167" t="str">
        <f aca="false">IF($V$1='Semaine 04-05-2025'!$G41,'Semaine 04-05-2025'!$J41,"")</f>
        <v/>
      </c>
      <c r="W41" s="168"/>
      <c r="X41" s="174"/>
      <c r="Y41" s="71"/>
      <c r="Z41" s="71"/>
      <c r="AA41" s="71"/>
      <c r="AB41" s="169"/>
      <c r="AC41" s="71"/>
      <c r="AD41" s="71"/>
      <c r="AE41" s="71"/>
      <c r="AF41" s="71"/>
      <c r="AG41" s="71"/>
      <c r="AH41" s="71"/>
      <c r="AI41" s="71"/>
      <c r="AJ41" s="71"/>
      <c r="AK41" s="71"/>
      <c r="AL41" s="71"/>
      <c r="AM41" s="71"/>
      <c r="AN41" s="71"/>
      <c r="AO41" s="71"/>
      <c r="AP41" s="71"/>
      <c r="AQ41" s="71"/>
      <c r="AR41" s="71"/>
      <c r="AS41" s="71"/>
      <c r="AT41" s="71"/>
      <c r="AU41" s="71"/>
      <c r="AV41" s="71"/>
      <c r="AW41" s="71"/>
      <c r="AX41" s="71"/>
      <c r="AY41" s="71"/>
      <c r="AZ41" s="71"/>
      <c r="BA41" s="71"/>
      <c r="BB41" s="71"/>
    </row>
    <row r="42" customFormat="false" ht="15" hidden="false" customHeight="false" outlineLevel="0" collapsed="false">
      <c r="A42" s="198" t="s">
        <v>31</v>
      </c>
      <c r="B42" s="155" t="n">
        <f aca="false">IF('Semaine 04-05-2025'!$C42="1- Lundi",$C$1+1, IF('Semaine 04-05-2025'!$C42="2- Mardi",$C$1+2, IF('Semaine 04-05-2025'!$C42="3- Mercredi",$C$1+3, IF('Semaine 04-05-2025'!$C42="4- Jeudi",$C$1+4, IF('Semaine 04-05-2025'!$C42="5- Vendredi",$C$1+5, IF('Semaine 04-05-2025'!$C42="6- Samedi",$C$1+6, IF('Semaine 04-05-2025'!$C42="7- Dimanche",$C$1, )))))))</f>
        <v>44324</v>
      </c>
      <c r="C42" s="199" t="s">
        <v>335</v>
      </c>
      <c r="D42" s="203" t="n">
        <v>0.4375</v>
      </c>
      <c r="E42" s="203" t="n">
        <v>0.5</v>
      </c>
      <c r="F42" s="214" t="s">
        <v>32</v>
      </c>
      <c r="G42" s="214" t="s">
        <v>22</v>
      </c>
      <c r="H42" s="215" t="s">
        <v>359</v>
      </c>
      <c r="I42" s="203"/>
      <c r="J42" s="204" t="n">
        <f aca="false">IF($D42=0,"",($N42-INT($N42))*24)</f>
        <v>1.5</v>
      </c>
      <c r="K42" s="216" t="n">
        <f aca="false">SUMIF('Semaine 04-05-2025'!$C$4:$C$46,$C42,'Semaine 04-05-2025'!$J$4:$J$46)</f>
        <v>7.5</v>
      </c>
      <c r="L42" s="206" t="n">
        <f aca="false">SUMIF('Semaine 04-05-2025'!$C$4:$C$46,$C42,O$4:O$1957) / 'Semaine 04-05-2025'!$K42</f>
        <v>0.333333333333333</v>
      </c>
      <c r="M42" s="207" t="n">
        <f aca="false">IF(A42="o",'Semaine 04-05-2025'!$J42,".")</f>
        <v>1.5</v>
      </c>
      <c r="N42" s="213" t="n">
        <f aca="false">IF($D42=0,"",$E42-$D42)</f>
        <v>0.0625</v>
      </c>
      <c r="O42" s="166" t="str">
        <f aca="false">IF($O$1='Semaine 04-05-2025'!$G42,'Semaine 04-05-2025'!$J42,"")</f>
        <v/>
      </c>
      <c r="P42" s="166" t="str">
        <f aca="false">IF($P$1='Semaine 04-05-2025'!$G42,'Semaine 04-05-2025'!$J42,"")</f>
        <v/>
      </c>
      <c r="Q42" s="166" t="str">
        <f aca="false">IF($Q$1='Semaine 04-05-2025'!$G42,'Semaine 04-05-2025'!$J42,"")</f>
        <v/>
      </c>
      <c r="R42" s="166" t="n">
        <f aca="false">IF($R$1='Semaine 04-05-2025'!$G42,'Semaine 04-05-2025'!$J42,"")</f>
        <v>1.5</v>
      </c>
      <c r="S42" s="166" t="str">
        <f aca="false">IF($S$1='Semaine 04-05-2025'!$G42,'Semaine 04-05-2025'!$J42,"")</f>
        <v/>
      </c>
      <c r="T42" s="166" t="str">
        <f aca="false">IF($T$1='Semaine 04-05-2025'!$G42,'Semaine 04-05-2025'!$J42,"")</f>
        <v/>
      </c>
      <c r="U42" s="166" t="str">
        <f aca="false">IF($U$1='Semaine 04-05-2025'!$G42,'Semaine 04-05-2025'!$J42,"")</f>
        <v/>
      </c>
      <c r="V42" s="167" t="str">
        <f aca="false">IF($V$1='Semaine 04-05-2025'!$G42,'Semaine 04-05-2025'!$J42,"")</f>
        <v/>
      </c>
      <c r="W42" s="168"/>
      <c r="X42" s="174"/>
      <c r="Y42" s="71"/>
      <c r="Z42" s="71"/>
      <c r="AA42" s="71"/>
      <c r="AB42" s="169"/>
      <c r="AC42" s="71"/>
      <c r="AD42" s="71"/>
      <c r="AE42" s="71"/>
      <c r="AF42" s="71"/>
      <c r="AG42" s="71"/>
      <c r="AH42" s="71"/>
      <c r="AI42" s="71"/>
      <c r="AJ42" s="71"/>
      <c r="AK42" s="71"/>
      <c r="AL42" s="71"/>
      <c r="AM42" s="71"/>
      <c r="AN42" s="71"/>
      <c r="AO42" s="71"/>
      <c r="AP42" s="71"/>
      <c r="AQ42" s="71"/>
      <c r="AR42" s="71"/>
      <c r="AS42" s="71"/>
      <c r="AT42" s="71"/>
      <c r="AU42" s="71"/>
      <c r="AV42" s="71"/>
      <c r="AW42" s="71"/>
      <c r="AX42" s="71"/>
      <c r="AY42" s="71"/>
      <c r="AZ42" s="71"/>
      <c r="BA42" s="71"/>
      <c r="BB42" s="71"/>
    </row>
    <row r="43" customFormat="false" ht="15" hidden="false" customHeight="false" outlineLevel="0" collapsed="false">
      <c r="A43" s="198" t="s">
        <v>31</v>
      </c>
      <c r="B43" s="219" t="n">
        <f aca="false">IF('Semaine 04-05-2025'!$C43="1- Lundi",$C$1+1, IF('Semaine 04-05-2025'!$C43="2- Mardi",$C$1+2, IF('Semaine 04-05-2025'!$C43="3- Mercredi",$C$1+3, IF('Semaine 04-05-2025'!$C43="4- Jeudi",$C$1+4, IF('Semaine 04-05-2025'!$C43="5- Vendredi",$C$1+5, IF('Semaine 04-05-2025'!$C43="6- Samedi",$C$1+6, IF('Semaine 04-05-2025'!$C43="7- Dimanche",$C$1, )))))))</f>
        <v>44324</v>
      </c>
      <c r="C43" s="220" t="s">
        <v>335</v>
      </c>
      <c r="D43" s="221" t="n">
        <v>0.552083333333333</v>
      </c>
      <c r="E43" s="221" t="n">
        <v>0.59375</v>
      </c>
      <c r="F43" s="214" t="s">
        <v>32</v>
      </c>
      <c r="G43" s="214" t="s">
        <v>22</v>
      </c>
      <c r="H43" s="215" t="s">
        <v>359</v>
      </c>
      <c r="I43" s="203"/>
      <c r="J43" s="204" t="n">
        <f aca="false">IF($D43=0,"",($N43-INT($N43))*24)</f>
        <v>1</v>
      </c>
      <c r="K43" s="216" t="n">
        <f aca="false">SUMIF('Semaine 04-05-2025'!$C$4:$C$46,$C43,'Semaine 04-05-2025'!$J$4:$J$46)</f>
        <v>7.5</v>
      </c>
      <c r="L43" s="206" t="n">
        <f aca="false">SUMIF('Semaine 04-05-2025'!$C$4:$C$46,$C43,O$4:O$1957) / 'Semaine 04-05-2025'!$K43</f>
        <v>0.333333333333333</v>
      </c>
      <c r="M43" s="222" t="n">
        <f aca="false">IF(A43="o",'Semaine 04-05-2025'!$J43,".")</f>
        <v>0.999999999999999</v>
      </c>
      <c r="N43" s="213" t="n">
        <f aca="false">IF($D43=0,"",$E43-$D43)</f>
        <v>0.0416666666666667</v>
      </c>
      <c r="O43" s="166" t="str">
        <f aca="false">IF($O$1='Semaine 04-05-2025'!$G43,'Semaine 04-05-2025'!$J43,"")</f>
        <v/>
      </c>
      <c r="P43" s="166" t="str">
        <f aca="false">IF($P$1='Semaine 04-05-2025'!$G43,'Semaine 04-05-2025'!$J43,"")</f>
        <v/>
      </c>
      <c r="Q43" s="166" t="str">
        <f aca="false">IF($Q$1='Semaine 04-05-2025'!$G43,'Semaine 04-05-2025'!$J43,"")</f>
        <v/>
      </c>
      <c r="R43" s="166" t="n">
        <f aca="false">IF($R$1='Semaine 04-05-2025'!$G43,'Semaine 04-05-2025'!$J43,"")</f>
        <v>0.999999999999999</v>
      </c>
      <c r="S43" s="166" t="str">
        <f aca="false">IF($S$1='Semaine 04-05-2025'!$G43,'Semaine 04-05-2025'!$J43,"")</f>
        <v/>
      </c>
      <c r="T43" s="166" t="str">
        <f aca="false">IF($T$1='Semaine 04-05-2025'!$G43,'Semaine 04-05-2025'!$J43,"")</f>
        <v/>
      </c>
      <c r="U43" s="166" t="str">
        <f aca="false">IF($U$1='Semaine 04-05-2025'!$G43,'Semaine 04-05-2025'!$J43,"")</f>
        <v/>
      </c>
      <c r="V43" s="167" t="str">
        <f aca="false">IF($V$1='Semaine 04-05-2025'!$G43,'Semaine 04-05-2025'!$J43,"")</f>
        <v/>
      </c>
      <c r="W43" s="168"/>
      <c r="X43" s="174"/>
      <c r="Y43" s="71"/>
      <c r="Z43" s="71"/>
      <c r="AA43" s="71"/>
      <c r="AB43" s="169"/>
      <c r="AC43" s="71"/>
      <c r="AD43" s="71"/>
      <c r="AE43" s="71"/>
      <c r="AF43" s="71"/>
      <c r="AG43" s="71"/>
      <c r="AH43" s="71"/>
      <c r="AI43" s="71"/>
      <c r="AJ43" s="71"/>
      <c r="AK43" s="71"/>
      <c r="AL43" s="71"/>
      <c r="AM43" s="71"/>
      <c r="AN43" s="71"/>
      <c r="AO43" s="71"/>
      <c r="AP43" s="71"/>
      <c r="AQ43" s="71"/>
      <c r="AR43" s="71"/>
      <c r="AS43" s="71"/>
      <c r="AT43" s="71"/>
      <c r="AU43" s="71"/>
      <c r="AV43" s="71"/>
      <c r="AW43" s="71"/>
      <c r="AX43" s="71"/>
      <c r="AY43" s="71"/>
      <c r="AZ43" s="71"/>
      <c r="BA43" s="71"/>
      <c r="BB43" s="71"/>
    </row>
    <row r="44" customFormat="false" ht="15" hidden="false" customHeight="false" outlineLevel="0" collapsed="false">
      <c r="A44" s="198" t="s">
        <v>31</v>
      </c>
      <c r="B44" s="155" t="n">
        <f aca="false">IF('Semaine 04-05-2025'!$C44="1- Lundi",$C$1+1, IF('Semaine 04-05-2025'!$C44="2- Mardi",$C$1+2, IF('Semaine 04-05-2025'!$C44="3- Mercredi",$C$1+3, IF('Semaine 04-05-2025'!$C44="4- Jeudi",$C$1+4, IF('Semaine 04-05-2025'!$C44="5- Vendredi",$C$1+5, IF('Semaine 04-05-2025'!$C44="6- Samedi",$C$1+6, IF('Semaine 04-05-2025'!$C44="7- Dimanche",$C$1, )))))))</f>
        <v>44324</v>
      </c>
      <c r="C44" s="199" t="s">
        <v>335</v>
      </c>
      <c r="D44" s="203" t="n">
        <v>0.59375</v>
      </c>
      <c r="E44" s="203" t="n">
        <v>0.614583333333333</v>
      </c>
      <c r="F44" s="214" t="s">
        <v>75</v>
      </c>
      <c r="G44" s="214" t="s">
        <v>19</v>
      </c>
      <c r="H44" s="215" t="s">
        <v>360</v>
      </c>
      <c r="I44" s="203"/>
      <c r="J44" s="204" t="n">
        <f aca="false">IF($D44=0,"",($N44-INT($N44))*24)</f>
        <v>0.5</v>
      </c>
      <c r="K44" s="216" t="n">
        <f aca="false">SUMIF('Semaine 04-05-2025'!$C$4:$C$46,$C44,'Semaine 04-05-2025'!$J$4:$J$46)</f>
        <v>7.5</v>
      </c>
      <c r="L44" s="206" t="n">
        <f aca="false">SUMIF('Semaine 04-05-2025'!$C$4:$C$46,$C44,O$4:O$1957) / 'Semaine 04-05-2025'!$K44</f>
        <v>0.333333333333333</v>
      </c>
      <c r="M44" s="207" t="n">
        <f aca="false">IF(A44="o",'Semaine 04-05-2025'!$J44,".")</f>
        <v>0.500000000000001</v>
      </c>
      <c r="N44" s="213" t="n">
        <f aca="false">IF($D44=0,"",$E44-$D44)</f>
        <v>0.0208333333333334</v>
      </c>
      <c r="O44" s="166" t="n">
        <f aca="false">IF($O$1='Semaine 04-05-2025'!$G44,'Semaine 04-05-2025'!$J44,"")</f>
        <v>0.500000000000001</v>
      </c>
      <c r="P44" s="166" t="str">
        <f aca="false">IF($P$1='Semaine 04-05-2025'!$G44,'Semaine 04-05-2025'!$J44,"")</f>
        <v/>
      </c>
      <c r="Q44" s="166" t="str">
        <f aca="false">IF($Q$1='Semaine 04-05-2025'!$G44,'Semaine 04-05-2025'!$J44,"")</f>
        <v/>
      </c>
      <c r="R44" s="166" t="str">
        <f aca="false">IF($R$1='Semaine 04-05-2025'!$G44,'Semaine 04-05-2025'!$J44,"")</f>
        <v/>
      </c>
      <c r="S44" s="166" t="str">
        <f aca="false">IF($S$1='Semaine 04-05-2025'!$G44,'Semaine 04-05-2025'!$J44,"")</f>
        <v/>
      </c>
      <c r="T44" s="166" t="str">
        <f aca="false">IF($T$1='Semaine 04-05-2025'!$G44,'Semaine 04-05-2025'!$J44,"")</f>
        <v/>
      </c>
      <c r="U44" s="166" t="str">
        <f aca="false">IF($U$1='Semaine 04-05-2025'!$G44,'Semaine 04-05-2025'!$J44,"")</f>
        <v/>
      </c>
      <c r="V44" s="167" t="str">
        <f aca="false">IF($V$1='Semaine 04-05-2025'!$G44,'Semaine 04-05-2025'!$J44,"")</f>
        <v/>
      </c>
      <c r="W44" s="168"/>
      <c r="X44" s="174"/>
      <c r="Y44" s="71"/>
      <c r="Z44" s="71"/>
      <c r="AA44" s="71"/>
      <c r="AB44" s="169"/>
      <c r="AC44" s="71"/>
      <c r="AD44" s="71"/>
      <c r="AE44" s="71"/>
      <c r="AF44" s="71"/>
      <c r="AG44" s="71"/>
      <c r="AH44" s="71"/>
      <c r="AI44" s="71"/>
      <c r="AJ44" s="71"/>
      <c r="AK44" s="71"/>
      <c r="AL44" s="71"/>
      <c r="AM44" s="71"/>
      <c r="AN44" s="71"/>
      <c r="AO44" s="71"/>
      <c r="AP44" s="71"/>
      <c r="AQ44" s="71"/>
      <c r="AR44" s="71"/>
      <c r="AS44" s="71"/>
      <c r="AT44" s="71"/>
      <c r="AU44" s="71"/>
      <c r="AV44" s="71"/>
      <c r="AW44" s="71"/>
      <c r="AX44" s="71"/>
      <c r="AY44" s="71"/>
      <c r="AZ44" s="71"/>
      <c r="BA44" s="71"/>
      <c r="BB44" s="71"/>
    </row>
    <row r="45" customFormat="false" ht="15" hidden="false" customHeight="false" outlineLevel="0" collapsed="false">
      <c r="A45" s="198" t="s">
        <v>31</v>
      </c>
      <c r="B45" s="155" t="n">
        <f aca="false">IF('Semaine 04-05-2025'!$C45="1- Lundi",$C$1+1, IF('Semaine 04-05-2025'!$C45="2- Mardi",$C$1+2, IF('Semaine 04-05-2025'!$C45="3- Mercredi",$C$1+3, IF('Semaine 04-05-2025'!$C45="4- Jeudi",$C$1+4, IF('Semaine 04-05-2025'!$C45="5- Vendredi",$C$1+5, IF('Semaine 04-05-2025'!$C45="6- Samedi",$C$1+6, IF('Semaine 04-05-2025'!$C45="7- Dimanche",$C$1, )))))))</f>
        <v>44324</v>
      </c>
      <c r="C45" s="199" t="s">
        <v>335</v>
      </c>
      <c r="D45" s="203" t="n">
        <v>0.71875</v>
      </c>
      <c r="E45" s="203" t="n">
        <v>0.760416666666667</v>
      </c>
      <c r="F45" s="214" t="s">
        <v>75</v>
      </c>
      <c r="G45" s="214" t="s">
        <v>19</v>
      </c>
      <c r="H45" s="215" t="s">
        <v>360</v>
      </c>
      <c r="I45" s="203"/>
      <c r="J45" s="204" t="n">
        <f aca="false">IF($D45=0,"",($N45-INT($N45))*24)</f>
        <v>1</v>
      </c>
      <c r="K45" s="216" t="n">
        <f aca="false">SUMIF('Semaine 04-05-2025'!$C$4:$C$46,$C45,'Semaine 04-05-2025'!$J$4:$J$46)</f>
        <v>7.5</v>
      </c>
      <c r="L45" s="206" t="n">
        <f aca="false">SUMIF('Semaine 04-05-2025'!$C$4:$C$46,$C45,O$4:O$1957) / 'Semaine 04-05-2025'!$K45</f>
        <v>0.333333333333333</v>
      </c>
      <c r="M45" s="207" t="n">
        <f aca="false">IF(A45="o",'Semaine 04-05-2025'!$J45,".")</f>
        <v>0.999999999999999</v>
      </c>
      <c r="N45" s="213" t="n">
        <f aca="false">IF($D45=0,"",$E45-$D45)</f>
        <v>0.0416666666666666</v>
      </c>
      <c r="O45" s="166" t="n">
        <f aca="false">IF($O$1='Semaine 04-05-2025'!$G45,'Semaine 04-05-2025'!$J45,"")</f>
        <v>0.999999999999999</v>
      </c>
      <c r="P45" s="166" t="str">
        <f aca="false">IF($P$1='Semaine 04-05-2025'!$G45,'Semaine 04-05-2025'!$J45,"")</f>
        <v/>
      </c>
      <c r="Q45" s="166" t="str">
        <f aca="false">IF($Q$1='Semaine 04-05-2025'!$G45,'Semaine 04-05-2025'!$J45,"")</f>
        <v/>
      </c>
      <c r="R45" s="166" t="str">
        <f aca="false">IF($R$1='Semaine 04-05-2025'!$G45,'Semaine 04-05-2025'!$J45,"")</f>
        <v/>
      </c>
      <c r="S45" s="166" t="str">
        <f aca="false">IF($S$1='Semaine 04-05-2025'!$G45,'Semaine 04-05-2025'!$J45,"")</f>
        <v/>
      </c>
      <c r="T45" s="166" t="str">
        <f aca="false">IF($T$1='Semaine 04-05-2025'!$G45,'Semaine 04-05-2025'!$J45,"")</f>
        <v/>
      </c>
      <c r="U45" s="166" t="str">
        <f aca="false">IF($U$1='Semaine 04-05-2025'!$G45,'Semaine 04-05-2025'!$J45,"")</f>
        <v/>
      </c>
      <c r="V45" s="167" t="str">
        <f aca="false">IF($V$1='Semaine 04-05-2025'!$G45,'Semaine 04-05-2025'!$J45,"")</f>
        <v/>
      </c>
      <c r="W45" s="168"/>
      <c r="X45" s="174"/>
      <c r="Y45" s="71"/>
      <c r="Z45" s="71"/>
      <c r="AA45" s="71"/>
      <c r="AB45" s="169"/>
      <c r="AC45" s="71"/>
      <c r="AD45" s="71"/>
      <c r="AE45" s="71"/>
      <c r="AF45" s="71"/>
      <c r="AG45" s="71"/>
      <c r="AH45" s="71"/>
      <c r="AI45" s="71"/>
      <c r="AJ45" s="71"/>
      <c r="AK45" s="71"/>
      <c r="AL45" s="71"/>
      <c r="AM45" s="71"/>
      <c r="AN45" s="71"/>
      <c r="AO45" s="71"/>
      <c r="AP45" s="71"/>
      <c r="AQ45" s="71"/>
      <c r="AR45" s="71"/>
      <c r="AS45" s="71"/>
      <c r="AT45" s="71"/>
      <c r="AU45" s="71"/>
      <c r="AV45" s="71"/>
      <c r="AW45" s="71"/>
      <c r="AX45" s="71"/>
      <c r="AY45" s="71"/>
      <c r="AZ45" s="71"/>
      <c r="BA45" s="71"/>
      <c r="BB45" s="71"/>
    </row>
    <row r="46" customFormat="false" ht="15" hidden="false" customHeight="false" outlineLevel="0" collapsed="false">
      <c r="A46" s="198" t="s">
        <v>31</v>
      </c>
      <c r="B46" s="155" t="n">
        <f aca="false">IF('Semaine 04-05-2025'!$C46="1- Lundi",$C$1+1, IF('Semaine 04-05-2025'!$C46="2- Mardi",$C$1+2, IF('Semaine 04-05-2025'!$C46="3- Mercredi",$C$1+3, IF('Semaine 04-05-2025'!$C46="4- Jeudi",$C$1+4, IF('Semaine 04-05-2025'!$C46="5- Vendredi",$C$1+5, IF('Semaine 04-05-2025'!$C46="6- Samedi",$C$1+6, IF('Semaine 04-05-2025'!$C46="7- Dimanche",$C$1, )))))))</f>
        <v>44325</v>
      </c>
      <c r="C46" s="199" t="s">
        <v>341</v>
      </c>
      <c r="D46" s="203" t="n">
        <v>0.375</v>
      </c>
      <c r="E46" s="203" t="n">
        <v>0.416666666666667</v>
      </c>
      <c r="F46" s="214" t="s">
        <v>32</v>
      </c>
      <c r="G46" s="214" t="s">
        <v>23</v>
      </c>
      <c r="H46" s="215" t="s">
        <v>33</v>
      </c>
      <c r="I46" s="203"/>
      <c r="J46" s="204" t="n">
        <f aca="false">IF($D46=0,"",($N46-INT($N46))*24)</f>
        <v>1</v>
      </c>
      <c r="K46" s="216" t="n">
        <f aca="false">SUMIF('Semaine 04-05-2025'!$C$4:$C$46,$C46,'Semaine 04-05-2025'!$J$4:$J$46)</f>
        <v>1</v>
      </c>
      <c r="L46" s="206" t="n">
        <f aca="false">SUMIF('Semaine 04-05-2025'!$C$4:$C$46,$C46,O$4:O$1957) / 'Semaine 04-05-2025'!$K46</f>
        <v>0</v>
      </c>
      <c r="M46" s="207" t="n">
        <f aca="false">IF(A46="o",'Semaine 04-05-2025'!$J46,".")</f>
        <v>1</v>
      </c>
      <c r="N46" s="213" t="n">
        <f aca="false">IF($D46=0,"",$E46-$D46)</f>
        <v>0.0416666666666667</v>
      </c>
      <c r="O46" s="166" t="str">
        <f aca="false">IF($O$1='Semaine 04-05-2025'!$G46,'Semaine 04-05-2025'!$J46,"")</f>
        <v/>
      </c>
      <c r="P46" s="166" t="str">
        <f aca="false">IF($P$1='Semaine 04-05-2025'!$G46,'Semaine 04-05-2025'!$J46,"")</f>
        <v/>
      </c>
      <c r="Q46" s="166" t="str">
        <f aca="false">IF($Q$1='Semaine 04-05-2025'!$G46,'Semaine 04-05-2025'!$J46,"")</f>
        <v/>
      </c>
      <c r="R46" s="166" t="str">
        <f aca="false">IF($R$1='Semaine 04-05-2025'!$G46,'Semaine 04-05-2025'!$J46,"")</f>
        <v/>
      </c>
      <c r="S46" s="166" t="n">
        <f aca="false">IF($S$1='Semaine 04-05-2025'!$G46,'Semaine 04-05-2025'!$J46,"")</f>
        <v>1</v>
      </c>
      <c r="T46" s="166" t="str">
        <f aca="false">IF($T$1='Semaine 04-05-2025'!$G46,'Semaine 04-05-2025'!$J46,"")</f>
        <v/>
      </c>
      <c r="U46" s="166" t="str">
        <f aca="false">IF($U$1='Semaine 04-05-2025'!$G46,'Semaine 04-05-2025'!$J46,"")</f>
        <v/>
      </c>
      <c r="V46" s="167" t="str">
        <f aca="false">IF($V$1='Semaine 04-05-2025'!$G46,'Semaine 04-05-2025'!$J46,"")</f>
        <v/>
      </c>
      <c r="W46" s="168"/>
      <c r="X46" s="174"/>
      <c r="Y46" s="71"/>
      <c r="Z46" s="71"/>
      <c r="AA46" s="71"/>
      <c r="AB46" s="169"/>
      <c r="AC46" s="71"/>
      <c r="AD46" s="71"/>
      <c r="AE46" s="71"/>
      <c r="AF46" s="71"/>
      <c r="AG46" s="71"/>
      <c r="AH46" s="71"/>
      <c r="AI46" s="71"/>
      <c r="AJ46" s="71"/>
      <c r="AK46" s="71"/>
      <c r="AL46" s="71"/>
      <c r="AM46" s="71"/>
      <c r="AN46" s="71"/>
      <c r="AO46" s="71"/>
      <c r="AP46" s="71"/>
      <c r="AQ46" s="71"/>
      <c r="AR46" s="71"/>
      <c r="AS46" s="71"/>
      <c r="AT46" s="71"/>
      <c r="AU46" s="71"/>
      <c r="AV46" s="71"/>
      <c r="AW46" s="71"/>
      <c r="AX46" s="71"/>
      <c r="AY46" s="71"/>
      <c r="AZ46" s="71"/>
      <c r="BA46" s="71"/>
      <c r="BB46" s="71"/>
    </row>
    <row r="47" customFormat="false" ht="15" hidden="false" customHeight="false" outlineLevel="0" collapsed="false">
      <c r="B47" s="71"/>
      <c r="C47" s="187"/>
      <c r="D47" s="71"/>
      <c r="G47" s="71"/>
      <c r="J47" s="119"/>
      <c r="K47" s="174"/>
      <c r="M47" s="188"/>
      <c r="N47" s="189"/>
      <c r="O47" s="71"/>
      <c r="P47" s="187"/>
      <c r="Q47" s="187"/>
      <c r="R47" s="71"/>
      <c r="S47" s="71"/>
      <c r="T47" s="71"/>
      <c r="U47" s="71"/>
      <c r="V47" s="71"/>
      <c r="W47" s="71"/>
      <c r="X47" s="71"/>
      <c r="Y47" s="71"/>
      <c r="Z47" s="71"/>
      <c r="AA47" s="71"/>
      <c r="AB47" s="71"/>
      <c r="AC47" s="71"/>
      <c r="AD47" s="71"/>
      <c r="AE47" s="71"/>
      <c r="AF47" s="71"/>
      <c r="AG47" s="71"/>
      <c r="AH47" s="71"/>
      <c r="AI47" s="71"/>
      <c r="AJ47" s="71"/>
      <c r="AK47" s="71"/>
      <c r="AL47" s="71"/>
      <c r="AM47" s="71"/>
      <c r="AN47" s="71"/>
      <c r="AO47" s="71"/>
      <c r="AP47" s="71"/>
      <c r="AQ47" s="71"/>
      <c r="AR47" s="71"/>
      <c r="AS47" s="71"/>
      <c r="AT47" s="71"/>
      <c r="AU47" s="71"/>
      <c r="AV47" s="71"/>
      <c r="AW47" s="71"/>
      <c r="AX47" s="71"/>
      <c r="AY47" s="71"/>
      <c r="AZ47" s="71"/>
      <c r="BA47" s="71"/>
      <c r="BB47" s="71"/>
    </row>
    <row r="48" customFormat="false" ht="15" hidden="false" customHeight="false" outlineLevel="0" collapsed="false">
      <c r="B48" s="71"/>
      <c r="C48" s="187"/>
      <c r="D48" s="71"/>
      <c r="G48" s="71"/>
      <c r="J48" s="119"/>
      <c r="K48" s="174"/>
      <c r="M48" s="188"/>
      <c r="N48" s="189"/>
      <c r="O48" s="71"/>
      <c r="P48" s="187"/>
      <c r="Q48" s="187"/>
      <c r="R48" s="71"/>
      <c r="S48" s="71"/>
      <c r="T48" s="71"/>
      <c r="U48" s="71"/>
      <c r="V48" s="71"/>
      <c r="W48" s="71"/>
      <c r="X48" s="71"/>
      <c r="Y48" s="71"/>
      <c r="Z48" s="71"/>
      <c r="AA48" s="71"/>
      <c r="AB48" s="71"/>
      <c r="AC48" s="71"/>
      <c r="AD48" s="71"/>
      <c r="AE48" s="71"/>
      <c r="AF48" s="71"/>
      <c r="AG48" s="71"/>
      <c r="AH48" s="71"/>
      <c r="AI48" s="71"/>
      <c r="AJ48" s="71"/>
      <c r="AK48" s="71"/>
      <c r="AL48" s="71"/>
      <c r="AM48" s="71"/>
      <c r="AN48" s="71"/>
      <c r="AO48" s="71"/>
      <c r="AP48" s="71"/>
      <c r="AQ48" s="71"/>
      <c r="AR48" s="71"/>
      <c r="AS48" s="71"/>
      <c r="AT48" s="71"/>
      <c r="AU48" s="71"/>
      <c r="AV48" s="71"/>
      <c r="AW48" s="71"/>
      <c r="AX48" s="71"/>
      <c r="AY48" s="71"/>
      <c r="AZ48" s="71"/>
      <c r="BA48" s="71"/>
      <c r="BB48" s="71"/>
    </row>
    <row r="49" customFormat="false" ht="15" hidden="false" customHeight="false" outlineLevel="0" collapsed="false">
      <c r="P49" s="187"/>
      <c r="Q49" s="187"/>
    </row>
    <row r="50" customFormat="false" ht="15" hidden="false" customHeight="false" outlineLevel="0" collapsed="false">
      <c r="P50" s="187"/>
      <c r="Q50" s="187"/>
    </row>
    <row r="51" customFormat="false" ht="15" hidden="false" customHeight="false" outlineLevel="0" collapsed="false">
      <c r="P51" s="187"/>
      <c r="Q51" s="187"/>
    </row>
    <row r="52" customFormat="false" ht="15" hidden="false" customHeight="false" outlineLevel="0" collapsed="false">
      <c r="B52" s="1" t="n">
        <f aca="false">LEN(C52)</f>
        <v>14</v>
      </c>
      <c r="C52" s="223" t="n">
        <v>10061719012811</v>
      </c>
      <c r="P52" s="187"/>
      <c r="Q52" s="187"/>
    </row>
    <row r="53" customFormat="false" ht="15" hidden="false" customHeight="false" outlineLevel="0" collapsed="false">
      <c r="P53" s="187"/>
      <c r="Q53" s="187"/>
    </row>
    <row r="54" customFormat="false" ht="15" hidden="false" customHeight="false" outlineLevel="0" collapsed="false">
      <c r="P54" s="187"/>
      <c r="Q54" s="187"/>
    </row>
    <row r="55" customFormat="false" ht="15" hidden="false" customHeight="false" outlineLevel="0" collapsed="false">
      <c r="P55" s="187"/>
      <c r="Q55" s="187"/>
    </row>
    <row r="56" customFormat="false" ht="15" hidden="false" customHeight="false" outlineLevel="0" collapsed="false">
      <c r="P56" s="187"/>
      <c r="Q56" s="187"/>
    </row>
    <row r="57" customFormat="false" ht="15" hidden="false" customHeight="false" outlineLevel="0" collapsed="false">
      <c r="P57" s="187"/>
      <c r="Q57" s="187"/>
    </row>
    <row r="58" customFormat="false" ht="15" hidden="false" customHeight="false" outlineLevel="0" collapsed="false">
      <c r="P58" s="187"/>
      <c r="Q58" s="187"/>
    </row>
    <row r="59" customFormat="false" ht="15" hidden="false" customHeight="false" outlineLevel="0" collapsed="false">
      <c r="P59" s="187"/>
      <c r="Q59" s="187"/>
    </row>
    <row r="60" customFormat="false" ht="15" hidden="false" customHeight="false" outlineLevel="0" collapsed="false">
      <c r="P60" s="187"/>
      <c r="Q60" s="187"/>
    </row>
  </sheetData>
  <conditionalFormatting sqref="H4:H46">
    <cfRule type="expression" priority="2" aboveAverage="0" equalAverage="0" bottom="0" percent="0" rank="0" text="" dxfId="662">
      <formula>A4="O"</formula>
    </cfRule>
    <cfRule type="expression" priority="3" aboveAverage="0" equalAverage="0" bottom="0" percent="0" rank="0" text="" dxfId="663">
      <formula>N4=0</formula>
    </cfRule>
  </conditionalFormatting>
  <conditionalFormatting sqref="K4:K46">
    <cfRule type="expression" priority="4" aboveAverage="0" equalAverage="0" bottom="0" percent="0" rank="0" text="" dxfId="664">
      <formula>A4="O"</formula>
    </cfRule>
    <cfRule type="expression" priority="5" aboveAverage="0" equalAverage="0" bottom="0" percent="0" rank="0" text="" dxfId="665">
      <formula>A4="O"</formula>
    </cfRule>
  </conditionalFormatting>
  <conditionalFormatting sqref="C4:C46">
    <cfRule type="expression" priority="6" aboveAverage="0" equalAverage="0" bottom="0" percent="0" rank="0" text="" dxfId="666">
      <formula>A4="O"</formula>
    </cfRule>
    <cfRule type="containsText" priority="7" operator="containsText" aboveAverage="0" equalAverage="0" bottom="0" percent="0" rank="0" text="5" dxfId="667">
      <formula>NOT(ISERROR(SEARCH("5",C4)))</formula>
    </cfRule>
    <cfRule type="containsText" priority="8" operator="containsText" aboveAverage="0" equalAverage="0" bottom="0" percent="0" rank="0" text="4" dxfId="668">
      <formula>NOT(ISERROR(SEARCH("4",C4)))</formula>
    </cfRule>
    <cfRule type="containsText" priority="9" operator="containsText" aboveAverage="0" equalAverage="0" bottom="0" percent="0" rank="0" text="3" dxfId="669">
      <formula>NOT(ISERROR(SEARCH("3",C4)))</formula>
    </cfRule>
    <cfRule type="containsText" priority="10" operator="containsText" aboveAverage="0" equalAverage="0" bottom="0" percent="0" rank="0" text="2" dxfId="670">
      <formula>NOT(ISERROR(SEARCH("2",C4)))</formula>
    </cfRule>
    <cfRule type="containsText" priority="11" operator="containsText" aboveAverage="0" equalAverage="0" bottom="0" percent="0" rank="0" text="1" dxfId="671">
      <formula>NOT(ISERROR(SEARCH("1",C4)))</formula>
    </cfRule>
  </conditionalFormatting>
  <conditionalFormatting sqref="F17">
    <cfRule type="containsText" priority="12" operator="containsText" aboveAverage="0" equalAverage="0" bottom="0" percent="0" rank="0" text="Forgestik" dxfId="672">
      <formula>NOT(ISERROR(SEARCH("Forgestik",F17)))</formula>
    </cfRule>
  </conditionalFormatting>
  <conditionalFormatting sqref="AA2:BB2">
    <cfRule type="dataBar" priority="13">
      <dataBar showValue="1" minLength="10" maxLength="90">
        <cfvo type="min" val="0"/>
        <cfvo type="max" val="0"/>
        <color rgb="FF63C384"/>
      </dataBar>
      <extLst>
        <ext xmlns:x14="http://schemas.microsoft.com/office/spreadsheetml/2009/9/main" uri="{B025F937-C7B1-47D3-B67F-A62EFF666E3E}">
          <x14:id>{1C49E37D-AE8B-469D-B36E-25706D6EEC34}</x14:id>
        </ext>
      </extLst>
    </cfRule>
  </conditionalFormatting>
  <conditionalFormatting sqref="O2:Z2">
    <cfRule type="dataBar" priority="14">
      <dataBar showValue="1" minLength="10" maxLength="90">
        <cfvo type="min" val="0"/>
        <cfvo type="max" val="0"/>
        <color rgb="FFFFB628"/>
      </dataBar>
      <extLst>
        <ext xmlns:x14="http://schemas.microsoft.com/office/spreadsheetml/2009/9/main" uri="{B025F937-C7B1-47D3-B67F-A62EFF666E3E}">
          <x14:id>{3C2B2644-F150-43C8-A48C-2D71F0217458}</x14:id>
        </ext>
      </extLst>
    </cfRule>
  </conditionalFormatting>
  <conditionalFormatting sqref="O2:BB2">
    <cfRule type="dataBar" priority="15">
      <dataBar showValue="1" minLength="10" maxLength="90">
        <cfvo type="min" val="0"/>
        <cfvo type="max" val="0"/>
        <color rgb="FFFFB628"/>
      </dataBar>
      <extLst>
        <ext xmlns:x14="http://schemas.microsoft.com/office/spreadsheetml/2009/9/main" uri="{B025F937-C7B1-47D3-B67F-A62EFF666E3E}">
          <x14:id>{E062B2F6-26DD-4445-BA68-308D7084B378}</x14:id>
        </ext>
      </extLst>
    </cfRule>
  </conditionalFormatting>
  <conditionalFormatting sqref="O2:X2">
    <cfRule type="dataBar" priority="16">
      <dataBar showValue="1" minLength="10" maxLength="90">
        <cfvo type="min" val="0"/>
        <cfvo type="max" val="0"/>
        <color rgb="FF638EC6"/>
      </dataBar>
      <extLst>
        <ext xmlns:x14="http://schemas.microsoft.com/office/spreadsheetml/2009/9/main" uri="{B025F937-C7B1-47D3-B67F-A62EFF666E3E}">
          <x14:id>{9EF2CBFF-2FC0-4166-BCFA-92A83DD11759}</x14:id>
        </ext>
      </extLst>
    </cfRule>
  </conditionalFormatting>
  <conditionalFormatting sqref="Y2:Z2">
    <cfRule type="dataBar" priority="17">
      <dataBar showValue="1" minLength="10" maxLength="90">
        <cfvo type="min" val="0"/>
        <cfvo type="max" val="0"/>
        <color rgb="FF63C384"/>
      </dataBar>
      <extLst>
        <ext xmlns:x14="http://schemas.microsoft.com/office/spreadsheetml/2009/9/main" uri="{B025F937-C7B1-47D3-B67F-A62EFF666E3E}">
          <x14:id>{4E1F621D-5F1D-4C5D-BF76-489097116320}</x14:id>
        </ext>
      </extLst>
    </cfRule>
  </conditionalFormatting>
  <conditionalFormatting sqref="G4:G46">
    <cfRule type="expression" priority="18" aboveAverage="0" equalAverage="0" bottom="0" percent="0" rank="0" text="" dxfId="673">
      <formula>A4="O"</formula>
    </cfRule>
  </conditionalFormatting>
  <conditionalFormatting sqref="I4:I46">
    <cfRule type="expression" priority="19" aboveAverage="0" equalAverage="0" bottom="0" percent="0" rank="0" text="" dxfId="674">
      <formula>A4="O"</formula>
    </cfRule>
  </conditionalFormatting>
  <conditionalFormatting sqref="J4:J46">
    <cfRule type="expression" priority="20" aboveAverage="0" equalAverage="0" bottom="0" percent="0" rank="0" text="" dxfId="675">
      <formula>A4="O"</formula>
    </cfRule>
  </conditionalFormatting>
  <conditionalFormatting sqref="F4:F46">
    <cfRule type="expression" priority="21" aboveAverage="0" equalAverage="0" bottom="0" percent="0" rank="0" text="" dxfId="676">
      <formula>A4="O"</formula>
    </cfRule>
  </conditionalFormatting>
  <conditionalFormatting sqref="B4:B46">
    <cfRule type="expression" priority="22" aboveAverage="0" equalAverage="0" bottom="0" percent="0" rank="0" text="" dxfId="677">
      <formula>A4="O"</formula>
    </cfRule>
    <cfRule type="colorScale" priority="23">
      <colorScale>
        <cfvo type="min" val="0"/>
        <cfvo type="percentile" val="50"/>
        <cfvo type="max" val="0"/>
        <color rgb="FFFFC000"/>
        <color rgb="FFC55A11"/>
        <color rgb="FF2E75B6"/>
      </colorScale>
    </cfRule>
  </conditionalFormatting>
  <conditionalFormatting sqref="D4:D46">
    <cfRule type="expression" priority="24" aboveAverage="0" equalAverage="0" bottom="0" percent="0" rank="0" text="" dxfId="678">
      <formula>A4="O"</formula>
    </cfRule>
    <cfRule type="colorScale" priority="25">
      <colorScale>
        <cfvo type="min" val="0"/>
        <cfvo type="percentile" val="50"/>
        <cfvo type="max" val="0"/>
        <color rgb="FFFFC000"/>
        <color rgb="FFC55A11"/>
        <color rgb="FF2E75B6"/>
      </colorScale>
    </cfRule>
  </conditionalFormatting>
  <conditionalFormatting sqref="E4:E46">
    <cfRule type="colorScale" priority="26">
      <colorScale>
        <cfvo type="min" val="0"/>
        <cfvo type="percentile" val="50"/>
        <cfvo type="max" val="0"/>
        <color rgb="FFFFC000"/>
        <color rgb="FFC55A11"/>
        <color rgb="FF2E75B6"/>
      </colorScale>
    </cfRule>
    <cfRule type="expression" priority="27" aboveAverage="0" equalAverage="0" bottom="0" percent="0" rank="0" text="" dxfId="679">
      <formula>A4="O"</formula>
    </cfRule>
  </conditionalFormatting>
  <dataValidations count="4">
    <dataValidation allowBlank="true" errorStyle="stop" operator="between" showDropDown="false" showErrorMessage="true" showInputMessage="true" sqref="C1" type="list">
      <formula1>Data!$A$2:$A$106</formula1>
      <formula2>0</formula2>
    </dataValidation>
    <dataValidation allowBlank="true" errorStyle="stop" operator="between" showDropDown="false" showErrorMessage="true" showInputMessage="true" sqref="C4:C46" type="list">
      <formula1>Data!$C$2:$C$8</formula1>
      <formula2>0</formula2>
    </dataValidation>
    <dataValidation allowBlank="false" errorStyle="stop" operator="between" showDropDown="false" showErrorMessage="true" showInputMessage="true" sqref="F4:F46" type="list">
      <formula1>Data!$E$2:$E$30</formula1>
      <formula2>0</formula2>
    </dataValidation>
    <dataValidation allowBlank="true" errorStyle="information" errorTitle="OK ?" operator="between" showDropDown="false" showErrorMessage="true" showInputMessage="true" sqref="G4:G46" type="list">
      <formula1>Data!$D$2:$D$16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  <tableParts>
    <tablePart r:id="rId4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C49E37D-AE8B-469D-B36E-25706D6EEC34}">
            <x14:dataBar minLength="10" maxLength="90" axisPosition="automatic" gradient="true">
              <x14:cfvo type="autoMin"/>
              <x14:cfvo type="autoMax"/>
              <x14:negativeFillColor rgb="FFFF0000"/>
              <x14:axisColor rgb="FF000000"/>
            </x14:dataBar>
          </x14:cfRule>
          <xm:sqref>AA2:BB2</xm:sqref>
        </x14:conditionalFormatting>
        <x14:conditionalFormatting xmlns:xm="http://schemas.microsoft.com/office/excel/2006/main">
          <x14:cfRule type="dataBar" id="{3C2B2644-F150-43C8-A48C-2D71F0217458}">
            <x14:dataBar minLength="10" maxLength="90" axisPosition="automatic" gradient="true">
              <x14:cfvo type="autoMin"/>
              <x14:cfvo type="autoMax"/>
              <x14:negativeFillColor rgb="FFFF0000"/>
              <x14:axisColor rgb="FF000000"/>
            </x14:dataBar>
          </x14:cfRule>
          <xm:sqref>O2:Z2</xm:sqref>
        </x14:conditionalFormatting>
        <x14:conditionalFormatting xmlns:xm="http://schemas.microsoft.com/office/excel/2006/main">
          <x14:cfRule type="dataBar" id="{E062B2F6-26DD-4445-BA68-308D7084B378}">
            <x14:dataBar minLength="10" maxLength="90" axisPosition="automatic" gradient="false">
              <x14:cfvo type="autoMin"/>
              <x14:cfvo type="autoMax"/>
              <x14:negativeFillColor rgb="FFFF0000"/>
              <x14:axisColor rgb="FF000000"/>
            </x14:dataBar>
          </x14:cfRule>
          <xm:sqref>O2:BB2</xm:sqref>
        </x14:conditionalFormatting>
        <x14:conditionalFormatting xmlns:xm="http://schemas.microsoft.com/office/excel/2006/main">
          <x14:cfRule type="dataBar" id="{9EF2CBFF-2FC0-4166-BCFA-92A83DD11759}">
            <x14:dataBar minLength="10" maxLength="90" axisPosition="automatic" gradient="false">
              <x14:cfvo type="autoMin"/>
              <x14:cfvo type="autoMax"/>
              <x14:negativeFillColor rgb="FFFF0000"/>
              <x14:axisColor rgb="FF000000"/>
            </x14:dataBar>
          </x14:cfRule>
          <xm:sqref>O2:X2</xm:sqref>
        </x14:conditionalFormatting>
        <x14:conditionalFormatting xmlns:xm="http://schemas.microsoft.com/office/excel/2006/main">
          <x14:cfRule type="dataBar" id="{4E1F621D-5F1D-4C5D-BF76-489097116320}">
            <x14:dataBar minLength="10" maxLength="90" axisPosition="automatic" gradient="false">
              <x14:cfvo type="autoMin"/>
              <x14:cfvo type="autoMax"/>
              <x14:negativeFillColor rgb="FFFF0000"/>
              <x14:axisColor rgb="FF000000"/>
            </x14:dataBar>
          </x14:cfRule>
          <xm:sqref>Y2:Z2</xm:sqref>
        </x14:conditionalFormatting>
      </x14:conditionalFormatting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I103"/>
  <sheetViews>
    <sheetView showFormulas="false" showGridLines="true" showRowColHeaders="true" showZeros="true" rightToLeft="false" tabSelected="false" showOutlineSymbols="true" defaultGridColor="true" view="normal" topLeftCell="G1" colorId="64" zoomScale="100" zoomScaleNormal="100" zoomScalePageLayoutView="100" workbookViewId="0">
      <pane xSplit="0" ySplit="3" topLeftCell="A18" activePane="bottomLeft" state="frozen"/>
      <selection pane="topLeft" activeCell="G1" activeCellId="0" sqref="G1"/>
      <selection pane="bottomLeft" activeCell="X1" activeCellId="0" sqref="X1"/>
    </sheetView>
  </sheetViews>
  <sheetFormatPr defaultColWidth="8.6796875" defaultRowHeight="15" zeroHeight="false" outlineLevelRow="1" outlineLevelCol="1"/>
  <cols>
    <col collapsed="false" customWidth="true" hidden="false" outlineLevel="0" max="1" min="1" style="0" width="16.57"/>
    <col collapsed="false" customWidth="true" hidden="false" outlineLevel="0" max="2" min="2" style="0" width="17.71"/>
    <col collapsed="false" customWidth="true" hidden="false" outlineLevel="0" max="3" min="3" style="0" width="15.14"/>
    <col collapsed="false" customWidth="true" hidden="false" outlineLevel="0" max="4" min="4" style="0" width="10.57"/>
    <col collapsed="false" customWidth="true" hidden="false" outlineLevel="0" max="5" min="5" style="0" width="26"/>
    <col collapsed="false" customWidth="true" hidden="false" outlineLevel="0" max="6" min="6" style="0" width="17"/>
    <col collapsed="false" customWidth="true" hidden="false" outlineLevel="0" max="7" min="7" style="0" width="21.85"/>
    <col collapsed="false" customWidth="true" hidden="false" outlineLevel="0" max="9" min="8" style="0" width="16"/>
    <col collapsed="false" customWidth="true" hidden="false" outlineLevel="0" max="10" min="10" style="0" width="15"/>
    <col collapsed="false" customWidth="true" hidden="false" outlineLevel="0" max="11" min="11" style="0" width="13"/>
    <col collapsed="false" customWidth="true" hidden="false" outlineLevel="0" max="12" min="12" style="0" width="12.86"/>
    <col collapsed="false" customWidth="true" hidden="false" outlineLevel="0" max="13" min="13" style="0" width="7.71"/>
    <col collapsed="false" customWidth="true" hidden="false" outlineLevel="0" max="15" min="14" style="224" width="9.86"/>
    <col collapsed="false" customWidth="true" hidden="false" outlineLevel="1" max="16" min="16" style="0" width="8.57"/>
    <col collapsed="false" customWidth="true" hidden="false" outlineLevel="1" max="17" min="17" style="0" width="7.29"/>
    <col collapsed="false" customWidth="true" hidden="false" outlineLevel="1" max="20" min="18" style="0" width="8.57"/>
    <col collapsed="false" customWidth="true" hidden="false" outlineLevel="1" max="21" min="21" style="0" width="11"/>
    <col collapsed="false" customWidth="true" hidden="false" outlineLevel="1" max="23" min="22" style="0" width="7.29"/>
    <col collapsed="false" customWidth="true" hidden="false" outlineLevel="1" max="26" min="24" style="0" width="11.71"/>
    <col collapsed="false" customWidth="true" hidden="false" outlineLevel="1" max="28" min="27" style="0" width="12"/>
    <col collapsed="false" customWidth="true" hidden="false" outlineLevel="1" max="29" min="29" style="0" width="18.29"/>
    <col collapsed="false" customWidth="true" hidden="false" outlineLevel="1" max="30" min="30" style="0" width="12"/>
    <col collapsed="false" customWidth="true" hidden="false" outlineLevel="1" max="31" min="31" style="0" width="19"/>
    <col collapsed="false" customWidth="true" hidden="false" outlineLevel="1" max="32" min="32" style="0" width="12"/>
    <col collapsed="false" customWidth="true" hidden="false" outlineLevel="1" max="34" min="33" style="0" width="10.14"/>
    <col collapsed="false" customWidth="true" hidden="false" outlineLevel="1" max="35" min="35" style="0" width="11.71"/>
    <col collapsed="false" customWidth="true" hidden="false" outlineLevel="1" max="36" min="36" style="0" width="12.71"/>
    <col collapsed="false" customWidth="true" hidden="false" outlineLevel="1" max="37" min="37" style="0" width="14.14"/>
    <col collapsed="false" customWidth="true" hidden="false" outlineLevel="1" max="38" min="38" style="0" width="8.57"/>
    <col collapsed="false" customWidth="true" hidden="false" outlineLevel="1" max="39" min="39" style="0" width="7.29"/>
    <col collapsed="false" customWidth="true" hidden="false" outlineLevel="1" max="40" min="40" style="0" width="9.71"/>
    <col collapsed="false" customWidth="true" hidden="false" outlineLevel="1" max="41" min="41" style="0" width="18.71"/>
    <col collapsed="false" customWidth="true" hidden="false" outlineLevel="1" max="43" min="42" style="0" width="9.71"/>
    <col collapsed="false" customWidth="true" hidden="false" outlineLevel="1" max="44" min="44" style="0" width="26.29"/>
    <col collapsed="false" customWidth="true" hidden="false" outlineLevel="1" max="45" min="45" style="0" width="11.43"/>
    <col collapsed="false" customWidth="true" hidden="false" outlineLevel="1" max="46" min="46" style="0" width="24.42"/>
    <col collapsed="false" customWidth="true" hidden="false" outlineLevel="1" max="48" min="47" style="0" width="10"/>
    <col collapsed="false" customWidth="true" hidden="false" outlineLevel="1" max="49" min="49" style="0" width="9.86"/>
    <col collapsed="false" customWidth="true" hidden="false" outlineLevel="1" max="50" min="50" style="0" width="7.86"/>
    <col collapsed="false" customWidth="true" hidden="false" outlineLevel="1" max="53" min="51" style="0" width="18.71"/>
    <col collapsed="false" customWidth="true" hidden="false" outlineLevel="1" max="54" min="54" style="0" width="27.15"/>
  </cols>
  <sheetData>
    <row r="1" customFormat="false" ht="22.05" hidden="false" customHeight="false" outlineLevel="0" collapsed="false">
      <c r="A1" s="225" t="str">
        <f aca="false">"Semaine du " &amp; Data!D41</f>
        <v>Semaine du </v>
      </c>
      <c r="B1" s="226" t="n">
        <v>44305</v>
      </c>
      <c r="C1" s="227"/>
      <c r="D1" s="228" t="s">
        <v>361</v>
      </c>
      <c r="E1" s="229" t="n">
        <f aca="false">AVERAGE(F2:J2)</f>
        <v>8</v>
      </c>
      <c r="F1" s="230" t="str">
        <f aca="false">IFERROR("Lun.: " &amp; TEXT($BC$1,"00%"),"Lun.: 0%")</f>
        <v>Lun.: 45%</v>
      </c>
      <c r="G1" s="231" t="str">
        <f aca="false">IFERROR("Mar.: " &amp; TEXT($BD$1,"00%"),"Mar.: 0%")</f>
        <v>Mar.: 33%</v>
      </c>
      <c r="H1" s="231" t="str">
        <f aca="false">IFERROR("Mer.: " &amp; TEXT($BE$1,"00%"),"Mer.: 0%")</f>
        <v>Mer.: 77%</v>
      </c>
      <c r="I1" s="231" t="str">
        <f aca="false">IFERROR("Jeu.: " &amp; TEXT($BF$1,"00%"),"Jeu.: 0%")</f>
        <v>Jeu.: 11%</v>
      </c>
      <c r="J1" s="231" t="str">
        <f aca="false">IFERROR("Ven.: " &amp; TEXT($BG$1,"00%"),"Ven.: 0%")</f>
        <v>Ven.: 35%</v>
      </c>
      <c r="K1" s="232" t="str">
        <f aca="false">IFERROR("S.: " &amp; TEXT($BH$1,"00%"),"S.: 0%")</f>
        <v>S.: 0%</v>
      </c>
      <c r="L1" s="233" t="str">
        <f aca="false">IFERROR("D.: " &amp; TEXT($BI$1,"00%"), "D.: 0%")</f>
        <v>D.: 0%</v>
      </c>
      <c r="M1" s="234"/>
      <c r="N1" s="128" t="n">
        <f aca="false">B2</f>
        <v>40</v>
      </c>
      <c r="O1" s="128" t="n">
        <f aca="false">SUM(Horodateur112335381922313437434649525558616469852226343846505854626670747882909894102106114118110122126130134138142146150154158162166170174178182186190194198202206210214410141822263034384650545862667076[Durée (60)])</f>
        <v>1.66666666666667</v>
      </c>
      <c r="P1" s="130" t="s">
        <v>19</v>
      </c>
      <c r="Q1" s="131" t="s">
        <v>20</v>
      </c>
      <c r="R1" s="131" t="s">
        <v>21</v>
      </c>
      <c r="S1" s="130" t="s">
        <v>22</v>
      </c>
      <c r="T1" s="130" t="s">
        <v>23</v>
      </c>
      <c r="U1" s="132" t="s">
        <v>301</v>
      </c>
      <c r="V1" s="133" t="s">
        <v>25</v>
      </c>
      <c r="W1" s="132" t="s">
        <v>26</v>
      </c>
      <c r="X1" s="134"/>
      <c r="Y1" s="135"/>
      <c r="Z1" s="135"/>
      <c r="AA1" s="136" t="s">
        <v>32</v>
      </c>
      <c r="AB1" s="136" t="s">
        <v>81</v>
      </c>
      <c r="AC1" s="136" t="s">
        <v>59</v>
      </c>
      <c r="AD1" s="136" t="s">
        <v>62</v>
      </c>
      <c r="AE1" s="136" t="s">
        <v>63</v>
      </c>
      <c r="AF1" s="136" t="s">
        <v>69</v>
      </c>
      <c r="AG1" s="136" t="s">
        <v>64</v>
      </c>
      <c r="AH1" s="136" t="s">
        <v>65</v>
      </c>
      <c r="AI1" s="136" t="s">
        <v>66</v>
      </c>
      <c r="AJ1" s="136" t="s">
        <v>47</v>
      </c>
      <c r="AK1" s="136" t="s">
        <v>67</v>
      </c>
      <c r="AL1" s="136" t="s">
        <v>68</v>
      </c>
      <c r="AM1" s="136" t="s">
        <v>41</v>
      </c>
      <c r="AN1" s="136" t="s">
        <v>61</v>
      </c>
      <c r="AO1" s="136" t="s">
        <v>70</v>
      </c>
      <c r="AP1" s="136" t="s">
        <v>71</v>
      </c>
      <c r="AQ1" s="136" t="s">
        <v>72</v>
      </c>
      <c r="AR1" s="136" t="s">
        <v>362</v>
      </c>
      <c r="AS1" s="136" t="s">
        <v>74</v>
      </c>
      <c r="AT1" s="136" t="s">
        <v>363</v>
      </c>
      <c r="AU1" s="136" t="s">
        <v>37</v>
      </c>
      <c r="AV1" s="136" t="s">
        <v>76</v>
      </c>
      <c r="AW1" s="136" t="s">
        <v>77</v>
      </c>
      <c r="AX1" s="136" t="s">
        <v>45</v>
      </c>
      <c r="AY1" s="136" t="s">
        <v>78</v>
      </c>
      <c r="AZ1" s="136" t="s">
        <v>79</v>
      </c>
      <c r="BA1" s="136" t="s">
        <v>80</v>
      </c>
      <c r="BB1" s="136" t="s">
        <v>60</v>
      </c>
      <c r="BC1" s="71" t="n">
        <f aca="false">SUMIF(Horodateur112335381922313437434649525558616469852226343846505854626670747882909894102106114118110122126130134138142146150154158162166170174178182186190194198202206210214410141822263034384650545862667076[Jour],"1- Lundi",$P$4:$P$2003) / $F$2</f>
        <v>0.45</v>
      </c>
      <c r="BD1" s="71" t="n">
        <f aca="false">SUMIF(Horodateur112335381922313437434649525558616469852226343846505854626670747882909894102106114118110122126130134138142146150154158162166170174178182186190194198202206210214410141822263034384650545862667076[Jour],"2- Mardi",$P$4:$P$2003) / $G$2</f>
        <v>0.333333333333333</v>
      </c>
      <c r="BE1" s="71" t="n">
        <f aca="false">SUMIF(Horodateur112335381922313437434649525558616469852226343846505854626670747882909894102106114118110122126130134138142146150154158162166170174178182186190194198202206210214410141822263034384650545862667076[Jour],"3- Mercredi",$P$4:$P$2003) / $H$2</f>
        <v>0.774193548387097</v>
      </c>
      <c r="BF1" s="71" t="n">
        <f aca="false">SUMIF(Horodateur112335381922313437434649525558616469852226343846505854626670747882909894102106114118110122126130134138142146150154158162166170174178182186190194198202206210214410141822263034384650545862667076[Jour],"4- Jeudi",$P$4:$P$2003) / $I$2</f>
        <v>0.111111111111111</v>
      </c>
      <c r="BG1" s="71" t="n">
        <f aca="false">SUMIF(Horodateur112335381922313437434649525558616469852226343846505854626670747882909894102106114118110122126130134138142146150154158162166170174178182186190194198202206210214410141822263034384650545862667076[Jour],"5- Vendredi",$P$4:$P$2003) / $J$2</f>
        <v>0.347826086956522</v>
      </c>
      <c r="BH1" s="71" t="e">
        <f aca="false">SUMIF(Horodateur112335381922313437434649525558616469852226343846505854626670747882909894102106114118110122126130134138142146150154158162166170174178182186190194198202206210214410141822263034384650545862667076[Jour],"6- Samedi",$P$4:$P$2003) / $K$2</f>
        <v>#DIV/0!</v>
      </c>
      <c r="BI1" s="71" t="e">
        <f aca="false">SUMIF(Horodateur112335381922313437434649525558616469852226343846505854626670747882909894102106114118110122126130134138142146150154158162166170174178182186190194198202206210214410141822263034384650545862667076[Jour],"7- Dimanche",$P$4:$P$2003) / $L$2</f>
        <v>#DIV/0!</v>
      </c>
    </row>
    <row r="2" customFormat="false" ht="22.05" hidden="false" customHeight="false" outlineLevel="0" collapsed="false">
      <c r="A2" s="235" t="n">
        <f aca="false">O2</f>
        <v>0.4375</v>
      </c>
      <c r="B2" s="236" t="n">
        <f aca="false">SUM(Horodateur112335381922313437434649525558616469852226343846505854626670747882909894102106114118110122126130134138142146150154158162166170174178182186190194198202206210214410141822263034384650545862667076[Durée (100)])</f>
        <v>40</v>
      </c>
      <c r="C2" s="237" t="str">
        <f aca="false">N2</f>
        <v>0 / 40</v>
      </c>
      <c r="D2" s="238"/>
      <c r="E2" s="239"/>
      <c r="F2" s="240" t="n">
        <f aca="false">SUMIF(Horodateur112335381922313437434649525558616469852226343846505854626670747882909894102106114118110122126130134138142146150154158162166170174178182186190194198202206210214410141822263034384650545862667076[Jour],"1- Lundi",Horodateur112335381922313437434649525558616469852226343846505854626670747882909894102106114118110122126130134138142146150154158162166170174178182186190194198202206210214410141822263034384650545862667076[Durée (100)])</f>
        <v>10</v>
      </c>
      <c r="G2" s="241" t="n">
        <f aca="false">SUMIF(Horodateur112335381922313437434649525558616469852226343846505854626670747882909894102106114118110122126130134138142146150154158162166170174178182186190194198202206210214410141822263034384650545862667076[Jour],"2- Mardi",Horodateur112335381922313437434649525558616469852226343846505854626670747882909894102106114118110122126130134138142146150154158162166170174178182186190194198202206210214410141822263034384650545862667076[Durée (100)])</f>
        <v>7.5</v>
      </c>
      <c r="H2" s="241" t="n">
        <f aca="false">SUMIF(Horodateur112335381922313437434649525558616469852226343846505854626670747882909894102106114118110122126130134138142146150154158162166170174178182186190194198202206210214410141822263034384650545862667076[Jour],"3- Mercredi",Horodateur112335381922313437434649525558616469852226343846505854626670747882909894102106114118110122126130134138142146150154158162166170174178182186190194198202206210214410141822263034384650545862667076[Durée (100)])</f>
        <v>7.75</v>
      </c>
      <c r="I2" s="241" t="n">
        <f aca="false">SUMIF(Horodateur112335381922313437434649525558616469852226343846505854626670747882909894102106114118110122126130134138142146150154158162166170174178182186190194198202206210214410141822263034384650545862667076[Jour],"4- Jeudi",Horodateur112335381922313437434649525558616469852226343846505854626670747882909894102106114118110122126130134138142146150154158162166170174178182186190194198202206210214410141822263034384650545862667076[Durée (100)])</f>
        <v>9</v>
      </c>
      <c r="J2" s="241" t="n">
        <f aca="false">SUMIF(Horodateur112335381922313437434649525558616469852226343846505854626670747882909894102106114118110122126130134138142146150154158162166170174178182186190194198202206210214410141822263034384650545862667076[Jour],"5- Vendredi",Horodateur112335381922313437434649525558616469852226343846505854626670747882909894102106114118110122126130134138142146150154158162166170174178182186190194198202206210214410141822263034384650545862667076[Durée (100)])</f>
        <v>5.75</v>
      </c>
      <c r="K2" s="242" t="n">
        <f aca="false">SUMIF(Horodateur112335381922313437434649525558616469852226343846505854626670747882909894102106114118110122126130134138142146150154158162166170174178182186190194198202206210214410141822263034384650545862667076[Jour],"6- Samedi",Horodateur112335381922313437434649525558616469852226343846505854626670747882909894102106114118110122126130134138142146150154158162166170174178182186190194198202206210214410141822263034384650545862667076[Durée (100)])</f>
        <v>0</v>
      </c>
      <c r="L2" s="243" t="n">
        <f aca="false">SUMIF(Horodateur112335381922313437434649525558616469852226343846505854626670747882909894102106114118110122126130134138142146150154158162166170174178182186190194198202206210214410141822263034384650545862667076[Jour],"7- Dimanche",Horodateur112335381922313437434649525558616469852226343846505854626670747882909894102106114118110122126130134138142146150154158162166170174178182186190194198202206210214410141822263034384650545862667076[Durée (100)])</f>
        <v>0</v>
      </c>
      <c r="M2" s="244" t="str">
        <f aca="false">COUNTIF(Horodateur112335381922313437434649525558616469852226343846505854626670747882909894102106114118110122126130134138142146150154158162166170174178182186190194198202206210214410141822263034384650545862667076[T],"o")&amp;" / " &amp;  COUNTIF(Horodateur112335381922313437434649525558616469852226343846505854626670747882909894102106114118110122126130134138142146150154158162166170174178182186190194198202206210214410141822263034384650545862667076[T],".")</f>
        <v>0 / 39</v>
      </c>
      <c r="N2" s="245" t="str">
        <f aca="false">ROUND(SUM(M4:M42),2) &amp; " / " &amp; ROUND(B2-SUM(M4:M42),2)</f>
        <v>0 / 40</v>
      </c>
      <c r="O2" s="246" t="n">
        <f aca="false">X2/Y2</f>
        <v>0.4375</v>
      </c>
      <c r="P2" s="247" t="n">
        <f aca="false">SUMIF(Horodateur112335381922313437434649525558616469852226343846505854626670747882909894102106114118110122126130134138142146150154158162166170174178182186190194198202206210214410141822263034384650545862667076[Tâche],P$1,Horodateur112335381922313437434649525558616469852226343846505854626670747882909894102106114118110122126130134138142146150154158162166170174178182186190194198202206210214410141822263034384650545862667076[Durée (100)])</f>
        <v>17.5</v>
      </c>
      <c r="Q2" s="248" t="n">
        <f aca="false">SUMIF(Horodateur112335381922313437434649525558616469852226343846505854626670747882909894102106114118110122126130134138142146150154158162166170174178182186190194198202206210214410141822263034384650545862667076[Tâche],Q$1,Horodateur112335381922313437434649525558616469852226343846505854626670747882909894102106114118110122126130134138142146150154158162166170174178182186190194198202206210214410141822263034384650545862667076[Durée (100)])</f>
        <v>1</v>
      </c>
      <c r="R2" s="247" t="n">
        <f aca="false">SUMIF(Horodateur112335381922313437434649525558616469852226343846505854626670747882909894102106114118110122126130134138142146150154158162166170174178182186190194198202206210214410141822263034384650545862667076[Tâche],R$1,Horodateur112335381922313437434649525558616469852226343846505854626670747882909894102106114118110122126130134138142146150154158162166170174178182186190194198202206210214410141822263034384650545862667076[Durée (100)])</f>
        <v>3</v>
      </c>
      <c r="S2" s="247" t="n">
        <f aca="false">SUMIF(Horodateur112335381922313437434649525558616469852226343846505854626670747882909894102106114118110122126130134138142146150154158162166170174178182186190194198202206210214410141822263034384650545862667076[Tâche],S$1,Horodateur112335381922313437434649525558616469852226343846505854626670747882909894102106114118110122126130134138142146150154158162166170174178182186190194198202206210214410141822263034384650545862667076[Durée (100)])</f>
        <v>11</v>
      </c>
      <c r="T2" s="247" t="n">
        <f aca="false">SUMIF(Horodateur112335381922313437434649525558616469852226343846505854626670747882909894102106114118110122126130134138142146150154158162166170174178182186190194198202206210214410141822263034384650545862667076[Tâche],T$1,Horodateur112335381922313437434649525558616469852226343846505854626670747882909894102106114118110122126130134138142146150154158162166170174178182186190194198202206210214410141822263034384650545862667076[Durée (100)])</f>
        <v>7.5</v>
      </c>
      <c r="U2" s="148" t="n">
        <f aca="false">SUMIF(Horodateur112335381922313437434649525558616469852226343846505854626670747882909894102106114118110122126130134138142146150154158162166170174178182186190194198202206210214410141822263034384650545862667076[Tâche],U$1,Horodateur112335381922313437434649525558616469852226343846505854626670747882909894102106114118110122126130134138142146150154158162166170174178182186190194198202206210214410141822263034384650545862667076[Durée (100)])</f>
        <v>0</v>
      </c>
      <c r="V2" s="148" t="n">
        <f aca="false">SUMIF(Horodateur112335381922313437434649525558616469852226343846505854626670747882909894102106114118110122126130134138142146150154158162166170174178182186190194198202206210214410141822263034384650545862667076[Tâche],V$1,Horodateur112335381922313437434649525558616469852226343846505854626670747882909894102106114118110122126130134138142146150154158162166170174178182186190194198202206210214410141822263034384650545862667076[Durée (100)])</f>
        <v>0</v>
      </c>
      <c r="W2" s="148" t="n">
        <f aca="false">SUMIF(Horodateur112335381922313437434649525558616469852226343846505854626670747882909894102106114118110122126130134138142146150154158162166170174178182186190194198202206210214410141822263034384650545862667076[Tâche],W$1,Horodateur112335381922313437434649525558616469852226343846505854626670747882909894102106114118110122126130134138142146150154158162166170174178182186190194198202206210214410141822263034384650545862667076[Durée (100)])</f>
        <v>0</v>
      </c>
      <c r="X2" s="149" t="n">
        <f aca="false">(B2-(SUM(Q2:W2)))</f>
        <v>17.5</v>
      </c>
      <c r="Y2" s="149" t="n">
        <f aca="false">B2-(U2+V2+W2)</f>
        <v>40</v>
      </c>
      <c r="Z2" s="149"/>
      <c r="AA2" s="151" t="n">
        <f aca="false">SUMIF(Horodateur112335381922313437434649525558616469852226343846505854626670747882909894102106114118110122126130134138142146150154158162166170174178182186190194198202206210214410141822263034384650545862667076[Client],AA$1,Horodateur112335381922313437434649525558616469852226343846505854626670747882909894102106114118110122126130134138142146150154158162166170174178182186190194198202206210214410141822263034384650545862667076[Durée (100)])</f>
        <v>10.75</v>
      </c>
      <c r="AB2" s="151" t="n">
        <f aca="false">SUMIF(Horodateur112335381922313437434649525558616469852226343846505854626670747882909894102106114118110122126130134138142146150154158162166170174178182186190194198202206210214410141822263034384650545862667076[Client],AB$1,Horodateur112335381922313437434649525558616469852226343846505854626670747882909894102106114118110122126130134138142146150154158162166170174178182186190194198202206210214410141822263034384650545862667076[Durée (100)])</f>
        <v>0</v>
      </c>
      <c r="AC2" s="151" t="n">
        <f aca="false">SUMIF(Horodateur112335381922313437434649525558616469852226343846505854626670747882909894102106114118110122126130134138142146150154158162166170174178182186190194198202206210214410141822263034384650545862667076[Client],AC$1,Horodateur112335381922313437434649525558616469852226343846505854626670747882909894102106114118110122126130134138142146150154158162166170174178182186190194198202206210214410141822263034384650545862667076[Durée (100)])</f>
        <v>4.5</v>
      </c>
      <c r="AD2" s="151" t="n">
        <f aca="false">SUMIF(Horodateur112335381922313437434649525558616469852226343846505854626670747882909894102106114118110122126130134138142146150154158162166170174178182186190194198202206210214410141822263034384650545862667076[Client],AD$1,Horodateur112335381922313437434649525558616469852226343846505854626670747882909894102106114118110122126130134138142146150154158162166170174178182186190194198202206210214410141822263034384650545862667076[Durée (100)])</f>
        <v>0</v>
      </c>
      <c r="AE2" s="151" t="n">
        <f aca="false">SUMIF(Horodateur112335381922313437434649525558616469852226343846505854626670747882909894102106114118110122126130134138142146150154158162166170174178182186190194198202206210214410141822263034384650545862667076[Client],AE$1,Horodateur112335381922313437434649525558616469852226343846505854626670747882909894102106114118110122126130134138142146150154158162166170174178182186190194198202206210214410141822263034384650545862667076[Durée (100)])</f>
        <v>4.25</v>
      </c>
      <c r="AF2" s="151" t="n">
        <f aca="false">SUMIF(Horodateur112335381922313437434649525558616469852226343846505854626670747882909894102106114118110122126130134138142146150154158162166170174178182186190194198202206210214410141822263034384650545862667076[Client],AF$1,Horodateur112335381922313437434649525558616469852226343846505854626670747882909894102106114118110122126130134138142146150154158162166170174178182186190194198202206210214410141822263034384650545862667076[Durée (100)])</f>
        <v>0</v>
      </c>
      <c r="AG2" s="151" t="n">
        <f aca="false">SUMIF(Horodateur112335381922313437434649525558616469852226343846505854626670747882909894102106114118110122126130134138142146150154158162166170174178182186190194198202206210214410141822263034384650545862667076[Client],AG$1,Horodateur112335381922313437434649525558616469852226343846505854626670747882909894102106114118110122126130134138142146150154158162166170174178182186190194198202206210214410141822263034384650545862667076[Durée (100)])</f>
        <v>0</v>
      </c>
      <c r="AH2" s="151" t="n">
        <f aca="false">SUMIF(Horodateur112335381922313437434649525558616469852226343846505854626670747882909894102106114118110122126130134138142146150154158162166170174178182186190194198202206210214410141822263034384650545862667076[Client],AH$1,Horodateur112335381922313437434649525558616469852226343846505854626670747882909894102106114118110122126130134138142146150154158162166170174178182186190194198202206210214410141822263034384650545862667076[Durée (100)])</f>
        <v>0</v>
      </c>
      <c r="AI2" s="151" t="n">
        <f aca="false">SUMIF(Horodateur112335381922313437434649525558616469852226343846505854626670747882909894102106114118110122126130134138142146150154158162166170174178182186190194198202206210214410141822263034384650545862667076[Client],AI$1,Horodateur112335381922313437434649525558616469852226343846505854626670747882909894102106114118110122126130134138142146150154158162166170174178182186190194198202206210214410141822263034384650545862667076[Durée (100)])</f>
        <v>0</v>
      </c>
      <c r="AJ2" s="151" t="n">
        <f aca="false">SUMIF(Horodateur112335381922313437434649525558616469852226343846505854626670747882909894102106114118110122126130134138142146150154158162166170174178182186190194198202206210214410141822263034384650545862667076[Client],AJ$1,Horodateur112335381922313437434649525558616469852226343846505854626670747882909894102106114118110122126130134138142146150154158162166170174178182186190194198202206210214410141822263034384650545862667076[Durée (100)])</f>
        <v>0</v>
      </c>
      <c r="AK2" s="151" t="n">
        <f aca="false">SUMIF(Horodateur112335381922313437434649525558616469852226343846505854626670747882909894102106114118110122126130134138142146150154158162166170174178182186190194198202206210214410141822263034384650545862667076[Client],AK$1,Horodateur112335381922313437434649525558616469852226343846505854626670747882909894102106114118110122126130134138142146150154158162166170174178182186190194198202206210214410141822263034384650545862667076[Durée (100)])</f>
        <v>0</v>
      </c>
      <c r="AL2" s="151" t="n">
        <f aca="false">SUMIF(Horodateur112335381922313437434649525558616469852226343846505854626670747882909894102106114118110122126130134138142146150154158162166170174178182186190194198202206210214410141822263034384650545862667076[Client],AL$1,Horodateur112335381922313437434649525558616469852226343846505854626670747882909894102106114118110122126130134138142146150154158162166170174178182186190194198202206210214410141822263034384650545862667076[Durée (100)])</f>
        <v>0</v>
      </c>
      <c r="AM2" s="151" t="n">
        <f aca="false">SUMIF(Horodateur112335381922313437434649525558616469852226343846505854626670747882909894102106114118110122126130134138142146150154158162166170174178182186190194198202206210214410141822263034384650545862667076[Client],AM$1,Horodateur112335381922313437434649525558616469852226343846505854626670747882909894102106114118110122126130134138142146150154158162166170174178182186190194198202206210214410141822263034384650545862667076[Durée (100)])</f>
        <v>0</v>
      </c>
      <c r="AN2" s="151" t="n">
        <f aca="false">SUMIF(Horodateur112335381922313437434649525558616469852226343846505854626670747882909894102106114118110122126130134138142146150154158162166170174178182186190194198202206210214410141822263034384650545862667076[Client],AN$1,Horodateur112335381922313437434649525558616469852226343846505854626670747882909894102106114118110122126130134138142146150154158162166170174178182186190194198202206210214410141822263034384650545862667076[Durée (100)])</f>
        <v>0</v>
      </c>
      <c r="AO2" s="151" t="n">
        <f aca="false">SUMIF(Horodateur112335381922313437434649525558616469852226343846505854626670747882909894102106114118110122126130134138142146150154158162166170174178182186190194198202206210214410141822263034384650545862667076[Client],AO$1,Horodateur112335381922313437434649525558616469852226343846505854626670747882909894102106114118110122126130134138142146150154158162166170174178182186190194198202206210214410141822263034384650545862667076[Durée (100)])</f>
        <v>0</v>
      </c>
      <c r="AP2" s="151" t="n">
        <f aca="false">SUMIF(Horodateur112335381922313437434649525558616469852226343846505854626670747882909894102106114118110122126130134138142146150154158162166170174178182186190194198202206210214410141822263034384650545862667076[Client],AP$1,Horodateur112335381922313437434649525558616469852226343846505854626670747882909894102106114118110122126130134138142146150154158162166170174178182186190194198202206210214410141822263034384650545862667076[Durée (100)])</f>
        <v>2</v>
      </c>
      <c r="AQ2" s="151" t="n">
        <f aca="false">SUMIF(Horodateur112335381922313437434649525558616469852226343846505854626670747882909894102106114118110122126130134138142146150154158162166170174178182186190194198202206210214410141822263034384650545862667076[Client],AQ$1,Horodateur112335381922313437434649525558616469852226343846505854626670747882909894102106114118110122126130134138142146150154158162166170174178182186190194198202206210214410141822263034384650545862667076[Durée (100)])</f>
        <v>0</v>
      </c>
      <c r="AR2" s="151" t="n">
        <f aca="false">SUMIF(Horodateur112335381922313437434649525558616469852226343846505854626670747882909894102106114118110122126130134138142146150154158162166170174178182186190194198202206210214410141822263034384650545862667076[Client],AR$1,Horodateur112335381922313437434649525558616469852226343846505854626670747882909894102106114118110122126130134138142146150154158162166170174178182186190194198202206210214410141822263034384650545862667076[Durée (100)])</f>
        <v>0</v>
      </c>
      <c r="AS2" s="151" t="n">
        <f aca="false">SUMIF(Horodateur112335381922313437434649525558616469852226343846505854626670747882909894102106114118110122126130134138142146150154158162166170174178182186190194198202206210214410141822263034384650545862667076[Client],AS$1,Horodateur112335381922313437434649525558616469852226343846505854626670747882909894102106114118110122126130134138142146150154158162166170174178182186190194198202206210214410141822263034384650545862667076[Durée (100)])</f>
        <v>0</v>
      </c>
      <c r="AT2" s="151" t="n">
        <f aca="false">SUMIF(Horodateur112335381922313437434649525558616469852226343846505854626670747882909894102106114118110122126130134138142146150154158162166170174178182186190194198202206210214410141822263034384650545862667076[Client],AT$1,Horodateur112335381922313437434649525558616469852226343846505854626670747882909894102106114118110122126130134138142146150154158162166170174178182186190194198202206210214410141822263034384650545862667076[Durée (100)])</f>
        <v>13.5</v>
      </c>
      <c r="AU2" s="151" t="n">
        <f aca="false">SUMIF(Horodateur112335381922313437434649525558616469852226343846505854626670747882909894102106114118110122126130134138142146150154158162166170174178182186190194198202206210214410141822263034384650545862667076[Client],AU$1,Horodateur112335381922313437434649525558616469852226343846505854626670747882909894102106114118110122126130134138142146150154158162166170174178182186190194198202206210214410141822263034384650545862667076[Durée (100)])</f>
        <v>4.5</v>
      </c>
      <c r="AV2" s="151"/>
      <c r="AW2" s="151" t="n">
        <f aca="false">SUMIF(Horodateur112335381922313437434649525558616469852226343846505854626670747882909894102106114118110122126130134138142146150154158162166170174178182186190194198202206210214410141822263034384650545862667076[Client],AW$1,Horodateur112335381922313437434649525558616469852226343846505854626670747882909894102106114118110122126130134138142146150154158162166170174178182186190194198202206210214410141822263034384650545862667076[Durée (100)])</f>
        <v>0</v>
      </c>
      <c r="AX2" s="151" t="n">
        <f aca="false">SUMIF(Horodateur112335381922313437434649525558616469852226343846505854626670747882909894102106114118110122126130134138142146150154158162166170174178182186190194198202206210214410141822263034384650545862667076[Client],AX$1,Horodateur112335381922313437434649525558616469852226343846505854626670747882909894102106114118110122126130134138142146150154158162166170174178182186190194198202206210214410141822263034384650545862667076[Durée (100)])</f>
        <v>0</v>
      </c>
      <c r="AY2" s="151" t="n">
        <f aca="false">SUMIF(Horodateur112335381922313437434649525558616469852226343846505854626670747882909894102106114118110122126130134138142146150154158162166170174178182186190194198202206210214410141822263034384650545862667076[Client],AY$1,Horodateur112335381922313437434649525558616469852226343846505854626670747882909894102106114118110122126130134138142146150154158162166170174178182186190194198202206210214410141822263034384650545862667076[Durée (100)])</f>
        <v>0</v>
      </c>
      <c r="AZ2" s="151" t="n">
        <f aca="false">SUMIF(Horodateur112335381922313437434649525558616469852226343846505854626670747882909894102106114118110122126130134138142146150154158162166170174178182186190194198202206210214410141822263034384650545862667076[Client],AZ$1,Horodateur112335381922313437434649525558616469852226343846505854626670747882909894102106114118110122126130134138142146150154158162166170174178182186190194198202206210214410141822263034384650545862667076[Durée (100)])</f>
        <v>0.500000000000001</v>
      </c>
      <c r="BA2" s="151" t="n">
        <f aca="false">SUMIF(Horodateur112335381922313437434649525558616469852226343846505854626670747882909894102106114118110122126130134138142146150154158162166170174178182186190194198202206210214410141822263034384650545862667076[Client],BA$1,Horodateur112335381922313437434649525558616469852226343846505854626670747882909894102106114118110122126130134138142146150154158162166170174178182186190194198202206210214410141822263034384650545862667076[Durée (100)])</f>
        <v>0</v>
      </c>
      <c r="BB2" s="151" t="n">
        <f aca="false">SUMIF(Horodateur112335381922313437434649525558616469852226343846505854626670747882909894102106114118110122126130134138142146150154158162166170174178182186190194198202206210214410141822263034384650545862667076[Client],BB$1,Horodateur112335381922313437434649525558616469852226343846505854626670747882909894102106114118110122126130134138142146150154158162166170174178182186190194198202206210214410141822263034384650545862667076[Durée (100)])</f>
        <v>0</v>
      </c>
    </row>
    <row r="3" s="137" customFormat="true" ht="15" hidden="false" customHeight="false" outlineLevel="0" collapsed="false">
      <c r="A3" s="249" t="s">
        <v>8</v>
      </c>
      <c r="B3" s="249" t="s">
        <v>9</v>
      </c>
      <c r="C3" s="193" t="s">
        <v>10</v>
      </c>
      <c r="D3" s="193" t="s">
        <v>11</v>
      </c>
      <c r="E3" s="250" t="s">
        <v>12</v>
      </c>
      <c r="F3" s="250" t="s">
        <v>13</v>
      </c>
      <c r="G3" s="250" t="s">
        <v>14</v>
      </c>
      <c r="H3" s="251" t="s">
        <v>300</v>
      </c>
      <c r="I3" s="252" t="s">
        <v>364</v>
      </c>
      <c r="J3" s="253" t="s">
        <v>365</v>
      </c>
      <c r="K3" s="254" t="s">
        <v>18</v>
      </c>
      <c r="L3" s="255" t="s">
        <v>7</v>
      </c>
      <c r="M3" s="254" t="s">
        <v>29</v>
      </c>
      <c r="N3" s="251" t="s">
        <v>311</v>
      </c>
      <c r="O3" s="193" t="s">
        <v>302</v>
      </c>
      <c r="P3" s="116" t="n">
        <f aca="false">P2/$B$2</f>
        <v>0.4375</v>
      </c>
      <c r="Q3" s="116" t="n">
        <f aca="false">Q2/$B$2</f>
        <v>0.025</v>
      </c>
      <c r="R3" s="116" t="n">
        <f aca="false">R2/$B$2</f>
        <v>0.075</v>
      </c>
      <c r="S3" s="116" t="n">
        <f aca="false">S2/$B$2</f>
        <v>0.275</v>
      </c>
      <c r="T3" s="116" t="n">
        <f aca="false">T2/$B$2</f>
        <v>0.1875</v>
      </c>
      <c r="U3" s="116" t="n">
        <f aca="false">U2/$B$2</f>
        <v>0</v>
      </c>
      <c r="V3" s="116" t="n">
        <f aca="false">V2/$B$2</f>
        <v>0</v>
      </c>
      <c r="W3" s="116" t="n">
        <f aca="false">W2/$B$2</f>
        <v>0</v>
      </c>
      <c r="X3" s="153"/>
      <c r="Y3" s="153"/>
      <c r="Z3" s="153"/>
      <c r="AA3" s="153" t="n">
        <f aca="false">AA2/$B$2</f>
        <v>0.26875</v>
      </c>
      <c r="AB3" s="153" t="n">
        <f aca="false">AB2/$B$2</f>
        <v>0</v>
      </c>
      <c r="AC3" s="153" t="n">
        <f aca="false">AC2/$B$2</f>
        <v>0.1125</v>
      </c>
      <c r="AD3" s="153" t="n">
        <f aca="false">AD2/$B$2</f>
        <v>0</v>
      </c>
      <c r="AE3" s="153" t="n">
        <f aca="false">AE2/$B$2</f>
        <v>0.10625</v>
      </c>
      <c r="AF3" s="153" t="n">
        <f aca="false">AF2/$B$2</f>
        <v>0</v>
      </c>
      <c r="AG3" s="153" t="n">
        <f aca="false">AG2/$B$2</f>
        <v>0</v>
      </c>
      <c r="AH3" s="153" t="n">
        <f aca="false">AH2/$B$2</f>
        <v>0</v>
      </c>
      <c r="AI3" s="153" t="n">
        <f aca="false">AI2/$B$2</f>
        <v>0</v>
      </c>
      <c r="AJ3" s="153" t="n">
        <f aca="false">AJ2/$B$2</f>
        <v>0</v>
      </c>
      <c r="AK3" s="153" t="n">
        <f aca="false">AK2/$B$2</f>
        <v>0</v>
      </c>
      <c r="AL3" s="153" t="n">
        <f aca="false">AL2/$B$2</f>
        <v>0</v>
      </c>
      <c r="AM3" s="153" t="n">
        <f aca="false">AM2/$B$2</f>
        <v>0</v>
      </c>
      <c r="AN3" s="153" t="n">
        <f aca="false">AN2/$B$2</f>
        <v>0</v>
      </c>
      <c r="AO3" s="153" t="n">
        <f aca="false">AO2/$B$2</f>
        <v>0</v>
      </c>
      <c r="AP3" s="153" t="n">
        <f aca="false">AP2/$B$2</f>
        <v>0.05</v>
      </c>
      <c r="AQ3" s="153" t="n">
        <f aca="false">AQ2/$B$2</f>
        <v>0</v>
      </c>
      <c r="AR3" s="153" t="n">
        <f aca="false">AR2/$B$2</f>
        <v>0</v>
      </c>
      <c r="AS3" s="153" t="n">
        <f aca="false">AS2/$B$2</f>
        <v>0</v>
      </c>
      <c r="AT3" s="153" t="n">
        <f aca="false">AT2/$B$2</f>
        <v>0.3375</v>
      </c>
      <c r="AU3" s="153" t="n">
        <f aca="false">AU2/$B$2</f>
        <v>0.1125</v>
      </c>
      <c r="AV3" s="153"/>
      <c r="AW3" s="153" t="n">
        <f aca="false">AW2/$B$2</f>
        <v>0</v>
      </c>
      <c r="AX3" s="153" t="n">
        <f aca="false">AX2/$B$2</f>
        <v>0</v>
      </c>
      <c r="AY3" s="153" t="n">
        <f aca="false">AY2/$B$2</f>
        <v>0</v>
      </c>
      <c r="AZ3" s="153" t="n">
        <f aca="false">AZ2/$B$2</f>
        <v>0.0125</v>
      </c>
      <c r="BA3" s="153" t="n">
        <f aca="false">BA2/$B$2</f>
        <v>0</v>
      </c>
      <c r="BB3" s="153" t="n">
        <f aca="false">BB2/$B$2</f>
        <v>0</v>
      </c>
    </row>
    <row r="4" customFormat="false" ht="15" hidden="false" customHeight="false" outlineLevel="0" collapsed="false">
      <c r="A4" s="256" t="n">
        <f aca="false">IF(Horodateur112335381922313437434649525558616469852226343846505854626670747882909894102106114118110122126130134138142146150154158162166170174178182186190194198202206210214410141822263034384650545862667076[[#This Row],[Jour]]="1- Lundi",$B$1+1, IF(Horodateur112335381922313437434649525558616469852226343846505854626670747882909894102106114118110122126130134138142146150154158162166170174178182186190194198202206210214410141822263034384650545862667076[[#This Row],[Jour]]="2- Mardi",$B$1+2, IF(Horodateur112335381922313437434649525558616469852226343846505854626670747882909894102106114118110122126130134138142146150154158162166170174178182186190194198202206210214410141822263034384650545862667076[[#This Row],[Jour]]="3- Mercredi",$B$1+3, IF(Horodateur112335381922313437434649525558616469852226343846505854626670747882909894102106114118110122126130134138142146150154158162166170174178182186190194198202206210214410141822263034384650545862667076[[#This Row],[Jour]]="4- Jeudi",$B$1+4, IF(Horodateur112335381922313437434649525558616469852226343846505854626670747882909894102106114118110122126130134138142146150154158162166170174178182186190194198202206210214410141822263034384650545862667076[[#This Row],[Jour]]="5- Vendredi",$B$1+5, IF(Horodateur112335381922313437434649525558616469852226343846505854626670747882909894102106114118110122126130134138142146150154158162166170174178182186190194198202206210214410141822263034384650545862667076[[#This Row],[Jour]]="6- Samedi",$B$1+6, IF(Horodateur112335381922313437434649525558616469852226343846505854626670747882909894102106114118110122126130134138142146150154158162166170174178182186190194198202206210214410141822263034384650545862667076[[#This Row],[Jour]]="7- Dimanche",$B$1, )))))))</f>
        <v>44306</v>
      </c>
      <c r="B4" s="257" t="s">
        <v>312</v>
      </c>
      <c r="C4" s="258" t="n">
        <v>0.291666666666667</v>
      </c>
      <c r="D4" s="258" t="n">
        <v>0.364583333333333</v>
      </c>
      <c r="E4" s="71" t="s">
        <v>32</v>
      </c>
      <c r="F4" s="71" t="s">
        <v>21</v>
      </c>
      <c r="G4" s="259"/>
      <c r="H4" s="258"/>
      <c r="I4" s="260" t="n">
        <f aca="false">IF($C4=0,"",($O4-INT($O4))*24)</f>
        <v>1.75</v>
      </c>
      <c r="J4" s="261" t="n">
        <f aca="false">SUMIF(Horodateur112335381922313437434649525558616469852226343846505854626670747882909894102106114118110122126130134138142146150154158162166170174178182186190194198202206210214410141822263034384650545862667076[Jour],$B4,Horodateur112335381922313437434649525558616469852226343846505854626670747882909894102106114118110122126130134138142146150154158162166170174178182186190194198202206210214410141822263034384650545862667076[Durée (100)])</f>
        <v>10</v>
      </c>
      <c r="K4" s="262" t="n">
        <f aca="false">SUMIF(Horodateur112335381922313437434649525558616469852226343846505854626670747882909894102106114118110122126130134138142146150154158162166170174178182186190194198202206210214410141822263034384650545862667076[Jour],$B4,P$4:P$2003) / Horodateur112335381922313437434649525558616469852226343846505854626670747882909894102106114118110122126130134138142146150154158162166170174178182186190194198202206210214410141822263034384650545862667076[[#This Row],[hrs (100)]]</f>
        <v>0.45</v>
      </c>
      <c r="L4" s="263" t="s">
        <v>33</v>
      </c>
      <c r="M4" s="263" t="str">
        <f aca="false">IF(Horodateur112335381922313437434649525558616469852226343846505854626670747882909894102106114118110122126130134138142146150154158162166170174178182186190194198202206210214410141822263034384650545862667076[[#This Row],[%]]="o",Horodateur112335381922313437434649525558616469852226343846505854626670747882909894102106114118110122126130134138142146150154158162166170174178182186190194198202206210214410141822263034384650545862667076[[#This Row],[Durée (100)]],".")</f>
        <v>.</v>
      </c>
      <c r="N4" s="264"/>
      <c r="O4" s="258" t="n">
        <f aca="false">IF($C4=0,"",$D4-$C4)</f>
        <v>0.0729166666666667</v>
      </c>
      <c r="P4" s="56" t="str">
        <f aca="false">IF($P$1=Horodateur112335381922313437434649525558616469852226343846505854626670747882909894102106114118110122126130134138142146150154158162166170174178182186190194198202206210214410141822263034384650545862667076[[#This Row],[Tâche]],Horodateur112335381922313437434649525558616469852226343846505854626670747882909894102106114118110122126130134138142146150154158162166170174178182186190194198202206210214410141822263034384650545862667076[[#This Row],[Durée (100)]],"")</f>
        <v/>
      </c>
      <c r="Q4" s="56" t="str">
        <f aca="false">IF($Q$1=Horodateur112335381922313437434649525558616469852226343846505854626670747882909894102106114118110122126130134138142146150154158162166170174178182186190194198202206210214410141822263034384650545862667076[[#This Row],[Tâche]],Horodateur112335381922313437434649525558616469852226343846505854626670747882909894102106114118110122126130134138142146150154158162166170174178182186190194198202206210214410141822263034384650545862667076[[#This Row],[Durée (100)]],"")</f>
        <v/>
      </c>
      <c r="R4" s="56" t="n">
        <f aca="false">IF($R$1=Horodateur112335381922313437434649525558616469852226343846505854626670747882909894102106114118110122126130134138142146150154158162166170174178182186190194198202206210214410141822263034384650545862667076[[#This Row],[Tâche]],Horodateur112335381922313437434649525558616469852226343846505854626670747882909894102106114118110122126130134138142146150154158162166170174178182186190194198202206210214410141822263034384650545862667076[[#This Row],[Durée (100)]],"")</f>
        <v>1.75</v>
      </c>
      <c r="S4" s="56" t="str">
        <f aca="false">IF($S$1=Horodateur112335381922313437434649525558616469852226343846505854626670747882909894102106114118110122126130134138142146150154158162166170174178182186190194198202206210214410141822263034384650545862667076[[#This Row],[Tâche]],Horodateur112335381922313437434649525558616469852226343846505854626670747882909894102106114118110122126130134138142146150154158162166170174178182186190194198202206210214410141822263034384650545862667076[[#This Row],[Durée (100)]],"")</f>
        <v/>
      </c>
      <c r="T4" s="56" t="str">
        <f aca="false">IF($T$1=Horodateur112335381922313437434649525558616469852226343846505854626670747882909894102106114118110122126130134138142146150154158162166170174178182186190194198202206210214410141822263034384650545862667076[[#This Row],[Tâche]],Horodateur112335381922313437434649525558616469852226343846505854626670747882909894102106114118110122126130134138142146150154158162166170174178182186190194198202206210214410141822263034384650545862667076[[#This Row],[Durée (100)]],"")</f>
        <v/>
      </c>
      <c r="U4" s="56" t="str">
        <f aca="false">IF($U$1=Horodateur112335381922313437434649525558616469852226343846505854626670747882909894102106114118110122126130134138142146150154158162166170174178182186190194198202206210214410141822263034384650545862667076[[#This Row],[Tâche]],Horodateur112335381922313437434649525558616469852226343846505854626670747882909894102106114118110122126130134138142146150154158162166170174178182186190194198202206210214410141822263034384650545862667076[[#This Row],[Durée (100)]],"")</f>
        <v/>
      </c>
      <c r="V4" s="56" t="str">
        <f aca="false">IF($V$1=Horodateur112335381922313437434649525558616469852226343846505854626670747882909894102106114118110122126130134138142146150154158162166170174178182186190194198202206210214410141822263034384650545862667076[[#This Row],[Tâche]],Horodateur112335381922313437434649525558616469852226343846505854626670747882909894102106114118110122126130134138142146150154158162166170174178182186190194198202206210214410141822263034384650545862667076[[#This Row],[Durée (100)]],"")</f>
        <v/>
      </c>
      <c r="W4" s="56" t="str">
        <f aca="false">IF($W$1=Horodateur112335381922313437434649525558616469852226343846505854626670747882909894102106114118110122126130134138142146150154158162166170174178182186190194198202206210214410141822263034384650545862667076[[#This Row],[Tâche]],Horodateur112335381922313437434649525558616469852226343846505854626670747882909894102106114118110122126130134138142146150154158162166170174178182186190194198202206210214410141822263034384650545862667076[[#This Row],[Durée (100)]],"")</f>
        <v/>
      </c>
      <c r="X4" s="169"/>
      <c r="Y4" s="71"/>
      <c r="Z4" s="71"/>
      <c r="AB4" s="169"/>
      <c r="AC4" s="71"/>
      <c r="AD4" s="169"/>
      <c r="AE4" s="71"/>
      <c r="AF4" s="71"/>
      <c r="AG4" s="71"/>
      <c r="AH4" s="71"/>
      <c r="AI4" s="71"/>
      <c r="AJ4" s="71"/>
      <c r="AK4" s="71"/>
      <c r="AL4" s="71"/>
      <c r="AM4" s="71"/>
      <c r="AN4" s="71"/>
      <c r="AO4" s="71"/>
      <c r="AP4" s="71"/>
      <c r="AQ4" s="71"/>
      <c r="AR4" s="71"/>
      <c r="AS4" s="71"/>
      <c r="AT4" s="71"/>
      <c r="AU4" s="71"/>
      <c r="AV4" s="71"/>
      <c r="AW4" s="71"/>
      <c r="AX4" s="71"/>
      <c r="AY4" s="71"/>
      <c r="AZ4" s="71"/>
      <c r="BA4" s="71"/>
      <c r="BB4" s="71"/>
    </row>
    <row r="5" customFormat="false" ht="15" hidden="false" customHeight="false" outlineLevel="0" collapsed="false">
      <c r="A5" s="256" t="n">
        <f aca="false">IF(Horodateur112335381922313437434649525558616469852226343846505854626670747882909894102106114118110122126130134138142146150154158162166170174178182186190194198202206210214410141822263034384650545862667076[[#This Row],[Jour]]="1- Lundi",$B$1+1, IF(Horodateur112335381922313437434649525558616469852226343846505854626670747882909894102106114118110122126130134138142146150154158162166170174178182186190194198202206210214410141822263034384650545862667076[[#This Row],[Jour]]="2- Mardi",$B$1+2, IF(Horodateur112335381922313437434649525558616469852226343846505854626670747882909894102106114118110122126130134138142146150154158162166170174178182186190194198202206210214410141822263034384650545862667076[[#This Row],[Jour]]="3- Mercredi",$B$1+3, IF(Horodateur112335381922313437434649525558616469852226343846505854626670747882909894102106114118110122126130134138142146150154158162166170174178182186190194198202206210214410141822263034384650545862667076[[#This Row],[Jour]]="4- Jeudi",$B$1+4, IF(Horodateur112335381922313437434649525558616469852226343846505854626670747882909894102106114118110122126130134138142146150154158162166170174178182186190194198202206210214410141822263034384650545862667076[[#This Row],[Jour]]="5- Vendredi",$B$1+5, IF(Horodateur112335381922313437434649525558616469852226343846505854626670747882909894102106114118110122126130134138142146150154158162166170174178182186190194198202206210214410141822263034384650545862667076[[#This Row],[Jour]]="6- Samedi",$B$1+6, IF(Horodateur112335381922313437434649525558616469852226343846505854626670747882909894102106114118110122126130134138142146150154158162166170174178182186190194198202206210214410141822263034384650545862667076[[#This Row],[Jour]]="7- Dimanche",$B$1, )))))))</f>
        <v>44306</v>
      </c>
      <c r="B5" s="257" t="s">
        <v>312</v>
      </c>
      <c r="C5" s="258" t="n">
        <v>0.364583333333333</v>
      </c>
      <c r="D5" s="258" t="n">
        <v>0.385416666666667</v>
      </c>
      <c r="E5" s="71" t="s">
        <v>32</v>
      </c>
      <c r="F5" s="71" t="s">
        <v>20</v>
      </c>
      <c r="G5" s="259" t="s">
        <v>121</v>
      </c>
      <c r="H5" s="258"/>
      <c r="I5" s="260" t="n">
        <f aca="false">IF($C5=0,"",($O5-INT($O5))*24)</f>
        <v>0.5</v>
      </c>
      <c r="J5" s="261" t="n">
        <f aca="false">SUMIF(Horodateur112335381922313437434649525558616469852226343846505854626670747882909894102106114118110122126130134138142146150154158162166170174178182186190194198202206210214410141822263034384650545862667076[Jour],$B5,Horodateur112335381922313437434649525558616469852226343846505854626670747882909894102106114118110122126130134138142146150154158162166170174178182186190194198202206210214410141822263034384650545862667076[Durée (100)])</f>
        <v>10</v>
      </c>
      <c r="K5" s="265" t="n">
        <f aca="false">SUMIF(Horodateur112335381922313437434649525558616469852226343846505854626670747882909894102106114118110122126130134138142146150154158162166170174178182186190194198202206210214410141822263034384650545862667076[Jour],$B5,P$4:P$2003) / Horodateur112335381922313437434649525558616469852226343846505854626670747882909894102106114118110122126130134138142146150154158162166170174178182186190194198202206210214410141822263034384650545862667076[[#This Row],[hrs (100)]]</f>
        <v>0.45</v>
      </c>
      <c r="L5" s="263" t="s">
        <v>7</v>
      </c>
      <c r="M5" s="263" t="str">
        <f aca="false">IF(Horodateur112335381922313437434649525558616469852226343846505854626670747882909894102106114118110122126130134138142146150154158162166170174178182186190194198202206210214410141822263034384650545862667076[[#This Row],[%]]="o",Horodateur112335381922313437434649525558616469852226343846505854626670747882909894102106114118110122126130134138142146150154158162166170174178182186190194198202206210214410141822263034384650545862667076[[#This Row],[Durée (100)]],".")</f>
        <v>.</v>
      </c>
      <c r="N5" s="266"/>
      <c r="O5" s="258" t="n">
        <f aca="false">IF($C5=0,"",$D5-$C5)</f>
        <v>0.0208333333333333</v>
      </c>
      <c r="P5" s="56" t="str">
        <f aca="false">IF($P$1=Horodateur112335381922313437434649525558616469852226343846505854626670747882909894102106114118110122126130134138142146150154158162166170174178182186190194198202206210214410141822263034384650545862667076[[#This Row],[Tâche]],Horodateur112335381922313437434649525558616469852226343846505854626670747882909894102106114118110122126130134138142146150154158162166170174178182186190194198202206210214410141822263034384650545862667076[[#This Row],[Durée (100)]],"")</f>
        <v/>
      </c>
      <c r="Q5" s="56" t="n">
        <f aca="false">IF($Q$1=Horodateur112335381922313437434649525558616469852226343846505854626670747882909894102106114118110122126130134138142146150154158162166170174178182186190194198202206210214410141822263034384650545862667076[[#This Row],[Tâche]],Horodateur112335381922313437434649525558616469852226343846505854626670747882909894102106114118110122126130134138142146150154158162166170174178182186190194198202206210214410141822263034384650545862667076[[#This Row],[Durée (100)]],"")</f>
        <v>0.500000000000001</v>
      </c>
      <c r="R5" s="56" t="str">
        <f aca="false">IF($R$1=Horodateur112335381922313437434649525558616469852226343846505854626670747882909894102106114118110122126130134138142146150154158162166170174178182186190194198202206210214410141822263034384650545862667076[[#This Row],[Tâche]],Horodateur112335381922313437434649525558616469852226343846505854626670747882909894102106114118110122126130134138142146150154158162166170174178182186190194198202206210214410141822263034384650545862667076[[#This Row],[Durée (100)]],"")</f>
        <v/>
      </c>
      <c r="S5" s="56" t="str">
        <f aca="false">IF($S$1=Horodateur112335381922313437434649525558616469852226343846505854626670747882909894102106114118110122126130134138142146150154158162166170174178182186190194198202206210214410141822263034384650545862667076[[#This Row],[Tâche]],Horodateur112335381922313437434649525558616469852226343846505854626670747882909894102106114118110122126130134138142146150154158162166170174178182186190194198202206210214410141822263034384650545862667076[[#This Row],[Durée (100)]],"")</f>
        <v/>
      </c>
      <c r="T5" s="56" t="str">
        <f aca="false">IF($T$1=Horodateur112335381922313437434649525558616469852226343846505854626670747882909894102106114118110122126130134138142146150154158162166170174178182186190194198202206210214410141822263034384650545862667076[[#This Row],[Tâche]],Horodateur112335381922313437434649525558616469852226343846505854626670747882909894102106114118110122126130134138142146150154158162166170174178182186190194198202206210214410141822263034384650545862667076[[#This Row],[Durée (100)]],"")</f>
        <v/>
      </c>
      <c r="U5" s="56" t="str">
        <f aca="false">IF($U$1=Horodateur112335381922313437434649525558616469852226343846505854626670747882909894102106114118110122126130134138142146150154158162166170174178182186190194198202206210214410141822263034384650545862667076[[#This Row],[Tâche]],Horodateur112335381922313437434649525558616469852226343846505854626670747882909894102106114118110122126130134138142146150154158162166170174178182186190194198202206210214410141822263034384650545862667076[[#This Row],[Durée (100)]],"")</f>
        <v/>
      </c>
      <c r="V5" s="56" t="str">
        <f aca="false">IF($V$1=Horodateur112335381922313437434649525558616469852226343846505854626670747882909894102106114118110122126130134138142146150154158162166170174178182186190194198202206210214410141822263034384650545862667076[[#This Row],[Tâche]],Horodateur112335381922313437434649525558616469852226343846505854626670747882909894102106114118110122126130134138142146150154158162166170174178182186190194198202206210214410141822263034384650545862667076[[#This Row],[Durée (100)]],"")</f>
        <v/>
      </c>
      <c r="W5" s="56" t="str">
        <f aca="false">IF($W$1=Horodateur112335381922313437434649525558616469852226343846505854626670747882909894102106114118110122126130134138142146150154158162166170174178182186190194198202206210214410141822263034384650545862667076[[#This Row],[Tâche]],Horodateur112335381922313437434649525558616469852226343846505854626670747882909894102106114118110122126130134138142146150154158162166170174178182186190194198202206210214410141822263034384650545862667076[[#This Row],[Durée (100)]],"")</f>
        <v/>
      </c>
      <c r="X5" s="174"/>
      <c r="Y5" s="71"/>
      <c r="Z5" s="71"/>
      <c r="AA5" s="71"/>
      <c r="AB5" s="169"/>
      <c r="AC5" s="71"/>
      <c r="AD5" s="71"/>
      <c r="AE5" s="71"/>
      <c r="AF5" s="71"/>
      <c r="AG5" s="71"/>
      <c r="AH5" s="71"/>
      <c r="AI5" s="71"/>
      <c r="AJ5" s="71"/>
      <c r="AK5" s="71"/>
      <c r="AL5" s="71"/>
      <c r="AM5" s="71"/>
      <c r="AN5" s="71"/>
      <c r="AO5" s="71"/>
      <c r="AP5" s="71"/>
      <c r="AQ5" s="71"/>
      <c r="AR5" s="71"/>
      <c r="AS5" s="71"/>
      <c r="AT5" s="71"/>
      <c r="AU5" s="71"/>
      <c r="AV5" s="71"/>
      <c r="AW5" s="71"/>
      <c r="AX5" s="71"/>
      <c r="AY5" s="71"/>
      <c r="AZ5" s="71"/>
      <c r="BA5" s="71"/>
      <c r="BB5" s="71"/>
    </row>
    <row r="6" customFormat="false" ht="15" hidden="false" customHeight="false" outlineLevel="0" collapsed="false">
      <c r="A6" s="256" t="n">
        <f aca="false">IF(Horodateur112335381922313437434649525558616469852226343846505854626670747882909894102106114118110122126130134138142146150154158162166170174178182186190194198202206210214410141822263034384650545862667076[[#This Row],[Jour]]="1- Lundi",$B$1+1, IF(Horodateur112335381922313437434649525558616469852226343846505854626670747882909894102106114118110122126130134138142146150154158162166170174178182186190194198202206210214410141822263034384650545862667076[[#This Row],[Jour]]="2- Mardi",$B$1+2, IF(Horodateur112335381922313437434649525558616469852226343846505854626670747882909894102106114118110122126130134138142146150154158162166170174178182186190194198202206210214410141822263034384650545862667076[[#This Row],[Jour]]="3- Mercredi",$B$1+3, IF(Horodateur112335381922313437434649525558616469852226343846505854626670747882909894102106114118110122126130134138142146150154158162166170174178182186190194198202206210214410141822263034384650545862667076[[#This Row],[Jour]]="4- Jeudi",$B$1+4, IF(Horodateur112335381922313437434649525558616469852226343846505854626670747882909894102106114118110122126130134138142146150154158162166170174178182186190194198202206210214410141822263034384650545862667076[[#This Row],[Jour]]="5- Vendredi",$B$1+5, IF(Horodateur112335381922313437434649525558616469852226343846505854626670747882909894102106114118110122126130134138142146150154158162166170174178182186190194198202206210214410141822263034384650545862667076[[#This Row],[Jour]]="6- Samedi",$B$1+6, IF(Horodateur112335381922313437434649525558616469852226343846505854626670747882909894102106114118110122126130134138142146150154158162166170174178182186190194198202206210214410141822263034384650545862667076[[#This Row],[Jour]]="7- Dimanche",$B$1, )))))))</f>
        <v>44306</v>
      </c>
      <c r="B6" s="257" t="s">
        <v>312</v>
      </c>
      <c r="C6" s="258" t="n">
        <v>0.395833333333333</v>
      </c>
      <c r="D6" s="258" t="n">
        <v>0.416666666666667</v>
      </c>
      <c r="E6" s="71" t="s">
        <v>37</v>
      </c>
      <c r="F6" s="71" t="s">
        <v>19</v>
      </c>
      <c r="G6" s="259" t="s">
        <v>55</v>
      </c>
      <c r="H6" s="258"/>
      <c r="I6" s="260" t="n">
        <f aca="false">IF($C6=0,"",($O6-INT($O6))*24)</f>
        <v>0.5</v>
      </c>
      <c r="J6" s="261" t="n">
        <f aca="false">SUMIF(Horodateur112335381922313437434649525558616469852226343846505854626670747882909894102106114118110122126130134138142146150154158162166170174178182186190194198202206210214410141822263034384650545862667076[Jour],$B6,Horodateur112335381922313437434649525558616469852226343846505854626670747882909894102106114118110122126130134138142146150154158162166170174178182186190194198202206210214410141822263034384650545862667076[Durée (100)])</f>
        <v>10</v>
      </c>
      <c r="K6" s="265" t="n">
        <f aca="false">SUMIF(Horodateur112335381922313437434649525558616469852226343846505854626670747882909894102106114118110122126130134138142146150154158162166170174178182186190194198202206210214410141822263034384650545862667076[Jour],$B6,P$4:P$2003) / Horodateur112335381922313437434649525558616469852226343846505854626670747882909894102106114118110122126130134138142146150154158162166170174178182186190194198202206210214410141822263034384650545862667076[[#This Row],[hrs (100)]]</f>
        <v>0.45</v>
      </c>
      <c r="L6" s="263" t="s">
        <v>7</v>
      </c>
      <c r="M6" s="263" t="str">
        <f aca="false">IF(Horodateur112335381922313437434649525558616469852226343846505854626670747882909894102106114118110122126130134138142146150154158162166170174178182186190194198202206210214410141822263034384650545862667076[[#This Row],[%]]="o",Horodateur112335381922313437434649525558616469852226343846505854626670747882909894102106114118110122126130134138142146150154158162166170174178182186190194198202206210214410141822263034384650545862667076[[#This Row],[Durée (100)]],".")</f>
        <v>.</v>
      </c>
      <c r="N6" s="266"/>
      <c r="O6" s="258" t="n">
        <f aca="false">IF($C6=0,"",$D6-$C6)</f>
        <v>0.0208333333333333</v>
      </c>
      <c r="P6" s="56" t="n">
        <f aca="false">IF($P$1=Horodateur112335381922313437434649525558616469852226343846505854626670747882909894102106114118110122126130134138142146150154158162166170174178182186190194198202206210214410141822263034384650545862667076[[#This Row],[Tâche]],Horodateur112335381922313437434649525558616469852226343846505854626670747882909894102106114118110122126130134138142146150154158162166170174178182186190194198202206210214410141822263034384650545862667076[[#This Row],[Durée (100)]],"")</f>
        <v>0.500000000000001</v>
      </c>
      <c r="Q6" s="56" t="str">
        <f aca="false">IF($Q$1=Horodateur112335381922313437434649525558616469852226343846505854626670747882909894102106114118110122126130134138142146150154158162166170174178182186190194198202206210214410141822263034384650545862667076[[#This Row],[Tâche]],Horodateur112335381922313437434649525558616469852226343846505854626670747882909894102106114118110122126130134138142146150154158162166170174178182186190194198202206210214410141822263034384650545862667076[[#This Row],[Durée (100)]],"")</f>
        <v/>
      </c>
      <c r="R6" s="56" t="str">
        <f aca="false">IF($R$1=Horodateur112335381922313437434649525558616469852226343846505854626670747882909894102106114118110122126130134138142146150154158162166170174178182186190194198202206210214410141822263034384650545862667076[[#This Row],[Tâche]],Horodateur112335381922313437434649525558616469852226343846505854626670747882909894102106114118110122126130134138142146150154158162166170174178182186190194198202206210214410141822263034384650545862667076[[#This Row],[Durée (100)]],"")</f>
        <v/>
      </c>
      <c r="S6" s="56" t="str">
        <f aca="false">IF($S$1=Horodateur112335381922313437434649525558616469852226343846505854626670747882909894102106114118110122126130134138142146150154158162166170174178182186190194198202206210214410141822263034384650545862667076[[#This Row],[Tâche]],Horodateur112335381922313437434649525558616469852226343846505854626670747882909894102106114118110122126130134138142146150154158162166170174178182186190194198202206210214410141822263034384650545862667076[[#This Row],[Durée (100)]],"")</f>
        <v/>
      </c>
      <c r="T6" s="56" t="str">
        <f aca="false">IF($T$1=Horodateur112335381922313437434649525558616469852226343846505854626670747882909894102106114118110122126130134138142146150154158162166170174178182186190194198202206210214410141822263034384650545862667076[[#This Row],[Tâche]],Horodateur112335381922313437434649525558616469852226343846505854626670747882909894102106114118110122126130134138142146150154158162166170174178182186190194198202206210214410141822263034384650545862667076[[#This Row],[Durée (100)]],"")</f>
        <v/>
      </c>
      <c r="U6" s="56" t="str">
        <f aca="false">IF($U$1=Horodateur112335381922313437434649525558616469852226343846505854626670747882909894102106114118110122126130134138142146150154158162166170174178182186190194198202206210214410141822263034384650545862667076[[#This Row],[Tâche]],Horodateur112335381922313437434649525558616469852226343846505854626670747882909894102106114118110122126130134138142146150154158162166170174178182186190194198202206210214410141822263034384650545862667076[[#This Row],[Durée (100)]],"")</f>
        <v/>
      </c>
      <c r="V6" s="56" t="str">
        <f aca="false">IF($V$1=Horodateur112335381922313437434649525558616469852226343846505854626670747882909894102106114118110122126130134138142146150154158162166170174178182186190194198202206210214410141822263034384650545862667076[[#This Row],[Tâche]],Horodateur112335381922313437434649525558616469852226343846505854626670747882909894102106114118110122126130134138142146150154158162166170174178182186190194198202206210214410141822263034384650545862667076[[#This Row],[Durée (100)]],"")</f>
        <v/>
      </c>
      <c r="W6" s="56" t="str">
        <f aca="false">IF($W$1=Horodateur112335381922313437434649525558616469852226343846505854626670747882909894102106114118110122126130134138142146150154158162166170174178182186190194198202206210214410141822263034384650545862667076[[#This Row],[Tâche]],Horodateur112335381922313437434649525558616469852226343846505854626670747882909894102106114118110122126130134138142146150154158162166170174178182186190194198202206210214410141822263034384650545862667076[[#This Row],[Durée (100)]],"")</f>
        <v/>
      </c>
      <c r="X6" s="174"/>
      <c r="Y6" s="71"/>
      <c r="Z6" s="71"/>
      <c r="AA6" s="71"/>
      <c r="AB6" s="169"/>
      <c r="AC6" s="71"/>
      <c r="AD6" s="71"/>
      <c r="AE6" s="71"/>
      <c r="AF6" s="71"/>
      <c r="AG6" s="71"/>
      <c r="AH6" s="71"/>
      <c r="AI6" s="71"/>
      <c r="AJ6" s="71"/>
      <c r="AK6" s="71"/>
      <c r="AL6" s="71"/>
      <c r="AM6" s="71"/>
      <c r="AN6" s="71"/>
      <c r="AO6" s="71"/>
      <c r="AP6" s="71"/>
      <c r="AQ6" s="71"/>
      <c r="AR6" s="71"/>
      <c r="AS6" s="71"/>
      <c r="AT6" s="71"/>
      <c r="AU6" s="71"/>
      <c r="AV6" s="71"/>
      <c r="AW6" s="71"/>
      <c r="AX6" s="71"/>
      <c r="AY6" s="71"/>
      <c r="AZ6" s="71"/>
      <c r="BA6" s="71"/>
      <c r="BB6" s="71"/>
    </row>
    <row r="7" customFormat="false" ht="15" hidden="false" customHeight="false" outlineLevel="0" collapsed="false">
      <c r="A7" s="256" t="n">
        <f aca="false">IF(Horodateur112335381922313437434649525558616469852226343846505854626670747882909894102106114118110122126130134138142146150154158162166170174178182186190194198202206210214410141822263034384650545862667076[[#This Row],[Jour]]="1- Lundi",$B$1+1, IF(Horodateur112335381922313437434649525558616469852226343846505854626670747882909894102106114118110122126130134138142146150154158162166170174178182186190194198202206210214410141822263034384650545862667076[[#This Row],[Jour]]="2- Mardi",$B$1+2, IF(Horodateur112335381922313437434649525558616469852226343846505854626670747882909894102106114118110122126130134138142146150154158162166170174178182186190194198202206210214410141822263034384650545862667076[[#This Row],[Jour]]="3- Mercredi",$B$1+3, IF(Horodateur112335381922313437434649525558616469852226343846505854626670747882909894102106114118110122126130134138142146150154158162166170174178182186190194198202206210214410141822263034384650545862667076[[#This Row],[Jour]]="4- Jeudi",$B$1+4, IF(Horodateur112335381922313437434649525558616469852226343846505854626670747882909894102106114118110122126130134138142146150154158162166170174178182186190194198202206210214410141822263034384650545862667076[[#This Row],[Jour]]="5- Vendredi",$B$1+5, IF(Horodateur112335381922313437434649525558616469852226343846505854626670747882909894102106114118110122126130134138142146150154158162166170174178182186190194198202206210214410141822263034384650545862667076[[#This Row],[Jour]]="6- Samedi",$B$1+6, IF(Horodateur112335381922313437434649525558616469852226343846505854626670747882909894102106114118110122126130134138142146150154158162166170174178182186190194198202206210214410141822263034384650545862667076[[#This Row],[Jour]]="7- Dimanche",$B$1, )))))))</f>
        <v>44306</v>
      </c>
      <c r="B7" s="257" t="s">
        <v>312</v>
      </c>
      <c r="C7" s="258" t="n">
        <v>0.427083333333333</v>
      </c>
      <c r="D7" s="258" t="n">
        <v>0.5</v>
      </c>
      <c r="E7" s="71" t="s">
        <v>363</v>
      </c>
      <c r="F7" s="71" t="s">
        <v>22</v>
      </c>
      <c r="G7" s="259" t="s">
        <v>366</v>
      </c>
      <c r="H7" s="258"/>
      <c r="I7" s="260" t="n">
        <f aca="false">IF($C7=0,"",($O7-INT($O7))*24)</f>
        <v>1.75</v>
      </c>
      <c r="J7" s="261" t="n">
        <f aca="false">SUMIF(Horodateur112335381922313437434649525558616469852226343846505854626670747882909894102106114118110122126130134138142146150154158162166170174178182186190194198202206210214410141822263034384650545862667076[Jour],$B7,Horodateur112335381922313437434649525558616469852226343846505854626670747882909894102106114118110122126130134138142146150154158162166170174178182186190194198202206210214410141822263034384650545862667076[Durée (100)])</f>
        <v>10</v>
      </c>
      <c r="K7" s="265" t="n">
        <f aca="false">SUMIF(Horodateur112335381922313437434649525558616469852226343846505854626670747882909894102106114118110122126130134138142146150154158162166170174178182186190194198202206210214410141822263034384650545862667076[Jour],$B7,P$4:P$2003) / Horodateur112335381922313437434649525558616469852226343846505854626670747882909894102106114118110122126130134138142146150154158162166170174178182186190194198202206210214410141822263034384650545862667076[[#This Row],[hrs (100)]]</f>
        <v>0.45</v>
      </c>
      <c r="L7" s="263" t="s">
        <v>7</v>
      </c>
      <c r="M7" s="263" t="str">
        <f aca="false">IF(Horodateur112335381922313437434649525558616469852226343846505854626670747882909894102106114118110122126130134138142146150154158162166170174178182186190194198202206210214410141822263034384650545862667076[[#This Row],[%]]="o",Horodateur112335381922313437434649525558616469852226343846505854626670747882909894102106114118110122126130134138142146150154158162166170174178182186190194198202206210214410141822263034384650545862667076[[#This Row],[Durée (100)]],".")</f>
        <v>.</v>
      </c>
      <c r="N7" s="266"/>
      <c r="O7" s="258" t="n">
        <f aca="false">IF($C7=0,"",$D7-$C7)</f>
        <v>0.0729166666666667</v>
      </c>
      <c r="P7" s="56" t="str">
        <f aca="false">IF($P$1=Horodateur112335381922313437434649525558616469852226343846505854626670747882909894102106114118110122126130134138142146150154158162166170174178182186190194198202206210214410141822263034384650545862667076[[#This Row],[Tâche]],Horodateur112335381922313437434649525558616469852226343846505854626670747882909894102106114118110122126130134138142146150154158162166170174178182186190194198202206210214410141822263034384650545862667076[[#This Row],[Durée (100)]],"")</f>
        <v/>
      </c>
      <c r="Q7" s="56" t="str">
        <f aca="false">IF($Q$1=Horodateur112335381922313437434649525558616469852226343846505854626670747882909894102106114118110122126130134138142146150154158162166170174178182186190194198202206210214410141822263034384650545862667076[[#This Row],[Tâche]],Horodateur112335381922313437434649525558616469852226343846505854626670747882909894102106114118110122126130134138142146150154158162166170174178182186190194198202206210214410141822263034384650545862667076[[#This Row],[Durée (100)]],"")</f>
        <v/>
      </c>
      <c r="R7" s="56" t="str">
        <f aca="false">IF($R$1=Horodateur112335381922313437434649525558616469852226343846505854626670747882909894102106114118110122126130134138142146150154158162166170174178182186190194198202206210214410141822263034384650545862667076[[#This Row],[Tâche]],Horodateur112335381922313437434649525558616469852226343846505854626670747882909894102106114118110122126130134138142146150154158162166170174178182186190194198202206210214410141822263034384650545862667076[[#This Row],[Durée (100)]],"")</f>
        <v/>
      </c>
      <c r="S7" s="56" t="n">
        <f aca="false">IF($S$1=Horodateur112335381922313437434649525558616469852226343846505854626670747882909894102106114118110122126130134138142146150154158162166170174178182186190194198202206210214410141822263034384650545862667076[[#This Row],[Tâche]],Horodateur112335381922313437434649525558616469852226343846505854626670747882909894102106114118110122126130134138142146150154158162166170174178182186190194198202206210214410141822263034384650545862667076[[#This Row],[Durée (100)]],"")</f>
        <v>1.75</v>
      </c>
      <c r="T7" s="56" t="str">
        <f aca="false">IF($T$1=Horodateur112335381922313437434649525558616469852226343846505854626670747882909894102106114118110122126130134138142146150154158162166170174178182186190194198202206210214410141822263034384650545862667076[[#This Row],[Tâche]],Horodateur112335381922313437434649525558616469852226343846505854626670747882909894102106114118110122126130134138142146150154158162166170174178182186190194198202206210214410141822263034384650545862667076[[#This Row],[Durée (100)]],"")</f>
        <v/>
      </c>
      <c r="U7" s="56" t="str">
        <f aca="false">IF($U$1=Horodateur112335381922313437434649525558616469852226343846505854626670747882909894102106114118110122126130134138142146150154158162166170174178182186190194198202206210214410141822263034384650545862667076[[#This Row],[Tâche]],Horodateur112335381922313437434649525558616469852226343846505854626670747882909894102106114118110122126130134138142146150154158162166170174178182186190194198202206210214410141822263034384650545862667076[[#This Row],[Durée (100)]],"")</f>
        <v/>
      </c>
      <c r="V7" s="56" t="str">
        <f aca="false">IF($V$1=Horodateur112335381922313437434649525558616469852226343846505854626670747882909894102106114118110122126130134138142146150154158162166170174178182186190194198202206210214410141822263034384650545862667076[[#This Row],[Tâche]],Horodateur112335381922313437434649525558616469852226343846505854626670747882909894102106114118110122126130134138142146150154158162166170174178182186190194198202206210214410141822263034384650545862667076[[#This Row],[Durée (100)]],"")</f>
        <v/>
      </c>
      <c r="W7" s="56" t="str">
        <f aca="false">IF($W$1=Horodateur112335381922313437434649525558616469852226343846505854626670747882909894102106114118110122126130134138142146150154158162166170174178182186190194198202206210214410141822263034384650545862667076[[#This Row],[Tâche]],Horodateur112335381922313437434649525558616469852226343846505854626670747882909894102106114118110122126130134138142146150154158162166170174178182186190194198202206210214410141822263034384650545862667076[[#This Row],[Durée (100)]],"")</f>
        <v/>
      </c>
      <c r="X7" s="174"/>
      <c r="Y7" s="71"/>
      <c r="Z7" s="71"/>
      <c r="AA7" s="71"/>
      <c r="AB7" s="169"/>
      <c r="AC7" s="71"/>
      <c r="AD7" s="71"/>
      <c r="AE7" s="71"/>
      <c r="AF7" s="71"/>
      <c r="AG7" s="71"/>
      <c r="AH7" s="71"/>
      <c r="AI7" s="71"/>
      <c r="AJ7" s="71"/>
      <c r="AK7" s="71"/>
      <c r="AL7" s="71"/>
      <c r="AM7" s="71"/>
      <c r="AN7" s="71"/>
      <c r="AO7" s="71"/>
      <c r="AP7" s="71"/>
      <c r="AQ7" s="71"/>
      <c r="AR7" s="71"/>
      <c r="AS7" s="71"/>
      <c r="AT7" s="71"/>
      <c r="AU7" s="71"/>
      <c r="AV7" s="71"/>
      <c r="AW7" s="71"/>
      <c r="AX7" s="71"/>
      <c r="AY7" s="71"/>
      <c r="AZ7" s="71"/>
      <c r="BA7" s="71"/>
      <c r="BB7" s="71"/>
      <c r="BD7" s="0" t="e">
        <f aca="false">#DIV/0!</f>
        <v>#DIV/0!</v>
      </c>
    </row>
    <row r="8" customFormat="false" ht="15" hidden="false" customHeight="false" outlineLevel="0" collapsed="false">
      <c r="A8" s="256" t="n">
        <f aca="false">IF(Horodateur112335381922313437434649525558616469852226343846505854626670747882909894102106114118110122126130134138142146150154158162166170174178182186190194198202206210214410141822263034384650545862667076[[#This Row],[Jour]]="1- Lundi",$B$1+1, IF(Horodateur112335381922313437434649525558616469852226343846505854626670747882909894102106114118110122126130134138142146150154158162166170174178182186190194198202206210214410141822263034384650545862667076[[#This Row],[Jour]]="2- Mardi",$B$1+2, IF(Horodateur112335381922313437434649525558616469852226343846505854626670747882909894102106114118110122126130134138142146150154158162166170174178182186190194198202206210214410141822263034384650545862667076[[#This Row],[Jour]]="3- Mercredi",$B$1+3, IF(Horodateur112335381922313437434649525558616469852226343846505854626670747882909894102106114118110122126130134138142146150154158162166170174178182186190194198202206210214410141822263034384650545862667076[[#This Row],[Jour]]="4- Jeudi",$B$1+4, IF(Horodateur112335381922313437434649525558616469852226343846505854626670747882909894102106114118110122126130134138142146150154158162166170174178182186190194198202206210214410141822263034384650545862667076[[#This Row],[Jour]]="5- Vendredi",$B$1+5, IF(Horodateur112335381922313437434649525558616469852226343846505854626670747882909894102106114118110122126130134138142146150154158162166170174178182186190194198202206210214410141822263034384650545862667076[[#This Row],[Jour]]="6- Samedi",$B$1+6, IF(Horodateur112335381922313437434649525558616469852226343846505854626670747882909894102106114118110122126130134138142146150154158162166170174178182186190194198202206210214410141822263034384650545862667076[[#This Row],[Jour]]="7- Dimanche",$B$1, )))))))</f>
        <v>44306</v>
      </c>
      <c r="B8" s="257" t="s">
        <v>312</v>
      </c>
      <c r="C8" s="258" t="n">
        <v>0.5625</v>
      </c>
      <c r="D8" s="258" t="n">
        <v>0.583333333333333</v>
      </c>
      <c r="E8" s="71" t="s">
        <v>63</v>
      </c>
      <c r="F8" s="71" t="s">
        <v>19</v>
      </c>
      <c r="G8" s="259" t="s">
        <v>55</v>
      </c>
      <c r="H8" s="258"/>
      <c r="I8" s="260" t="n">
        <f aca="false">IF($C8=0,"",($O8-INT($O8))*24)</f>
        <v>0.5</v>
      </c>
      <c r="J8" s="261" t="n">
        <f aca="false">SUMIF(Horodateur112335381922313437434649525558616469852226343846505854626670747882909894102106114118110122126130134138142146150154158162166170174178182186190194198202206210214410141822263034384650545862667076[Jour],$B8,Horodateur112335381922313437434649525558616469852226343846505854626670747882909894102106114118110122126130134138142146150154158162166170174178182186190194198202206210214410141822263034384650545862667076[Durée (100)])</f>
        <v>10</v>
      </c>
      <c r="K8" s="265" t="n">
        <f aca="false">SUMIF(Horodateur112335381922313437434649525558616469852226343846505854626670747882909894102106114118110122126130134138142146150154158162166170174178182186190194198202206210214410141822263034384650545862667076[Jour],$B8,P$4:P$2003) / Horodateur112335381922313437434649525558616469852226343846505854626670747882909894102106114118110122126130134138142146150154158162166170174178182186190194198202206210214410141822263034384650545862667076[[#This Row],[hrs (100)]]</f>
        <v>0.45</v>
      </c>
      <c r="L8" s="263" t="s">
        <v>7</v>
      </c>
      <c r="M8" s="263" t="str">
        <f aca="false">IF(Horodateur112335381922313437434649525558616469852226343846505854626670747882909894102106114118110122126130134138142146150154158162166170174178182186190194198202206210214410141822263034384650545862667076[[#This Row],[%]]="o",Horodateur112335381922313437434649525558616469852226343846505854626670747882909894102106114118110122126130134138142146150154158162166170174178182186190194198202206210214410141822263034384650545862667076[[#This Row],[Durée (100)]],".")</f>
        <v>.</v>
      </c>
      <c r="N8" s="266"/>
      <c r="O8" s="258" t="n">
        <f aca="false">IF($C8=0,"",$D8-$C8)</f>
        <v>0.0208333333333333</v>
      </c>
      <c r="P8" s="56" t="n">
        <f aca="false">IF($P$1=Horodateur112335381922313437434649525558616469852226343846505854626670747882909894102106114118110122126130134138142146150154158162166170174178182186190194198202206210214410141822263034384650545862667076[[#This Row],[Tâche]],Horodateur112335381922313437434649525558616469852226343846505854626670747882909894102106114118110122126130134138142146150154158162166170174178182186190194198202206210214410141822263034384650545862667076[[#This Row],[Durée (100)]],"")</f>
        <v>0.500000000000001</v>
      </c>
      <c r="Q8" s="56" t="str">
        <f aca="false">IF($Q$1=Horodateur112335381922313437434649525558616469852226343846505854626670747882909894102106114118110122126130134138142146150154158162166170174178182186190194198202206210214410141822263034384650545862667076[[#This Row],[Tâche]],Horodateur112335381922313437434649525558616469852226343846505854626670747882909894102106114118110122126130134138142146150154158162166170174178182186190194198202206210214410141822263034384650545862667076[[#This Row],[Durée (100)]],"")</f>
        <v/>
      </c>
      <c r="R8" s="56" t="str">
        <f aca="false">IF($R$1=Horodateur112335381922313437434649525558616469852226343846505854626670747882909894102106114118110122126130134138142146150154158162166170174178182186190194198202206210214410141822263034384650545862667076[[#This Row],[Tâche]],Horodateur112335381922313437434649525558616469852226343846505854626670747882909894102106114118110122126130134138142146150154158162166170174178182186190194198202206210214410141822263034384650545862667076[[#This Row],[Durée (100)]],"")</f>
        <v/>
      </c>
      <c r="S8" s="56" t="str">
        <f aca="false">IF($S$1=Horodateur112335381922313437434649525558616469852226343846505854626670747882909894102106114118110122126130134138142146150154158162166170174178182186190194198202206210214410141822263034384650545862667076[[#This Row],[Tâche]],Horodateur112335381922313437434649525558616469852226343846505854626670747882909894102106114118110122126130134138142146150154158162166170174178182186190194198202206210214410141822263034384650545862667076[[#This Row],[Durée (100)]],"")</f>
        <v/>
      </c>
      <c r="T8" s="56" t="str">
        <f aca="false">IF($T$1=Horodateur112335381922313437434649525558616469852226343846505854626670747882909894102106114118110122126130134138142146150154158162166170174178182186190194198202206210214410141822263034384650545862667076[[#This Row],[Tâche]],Horodateur112335381922313437434649525558616469852226343846505854626670747882909894102106114118110122126130134138142146150154158162166170174178182186190194198202206210214410141822263034384650545862667076[[#This Row],[Durée (100)]],"")</f>
        <v/>
      </c>
      <c r="U8" s="56" t="str">
        <f aca="false">IF($U$1=Horodateur112335381922313437434649525558616469852226343846505854626670747882909894102106114118110122126130134138142146150154158162166170174178182186190194198202206210214410141822263034384650545862667076[[#This Row],[Tâche]],Horodateur112335381922313437434649525558616469852226343846505854626670747882909894102106114118110122126130134138142146150154158162166170174178182186190194198202206210214410141822263034384650545862667076[[#This Row],[Durée (100)]],"")</f>
        <v/>
      </c>
      <c r="V8" s="56" t="str">
        <f aca="false">IF($V$1=Horodateur112335381922313437434649525558616469852226343846505854626670747882909894102106114118110122126130134138142146150154158162166170174178182186190194198202206210214410141822263034384650545862667076[[#This Row],[Tâche]],Horodateur112335381922313437434649525558616469852226343846505854626670747882909894102106114118110122126130134138142146150154158162166170174178182186190194198202206210214410141822263034384650545862667076[[#This Row],[Durée (100)]],"")</f>
        <v/>
      </c>
      <c r="W8" s="56" t="str">
        <f aca="false">IF($W$1=Horodateur112335381922313437434649525558616469852226343846505854626670747882909894102106114118110122126130134138142146150154158162166170174178182186190194198202206210214410141822263034384650545862667076[[#This Row],[Tâche]],Horodateur112335381922313437434649525558616469852226343846505854626670747882909894102106114118110122126130134138142146150154158162166170174178182186190194198202206210214410141822263034384650545862667076[[#This Row],[Durée (100)]],"")</f>
        <v/>
      </c>
      <c r="X8" s="174"/>
      <c r="Y8" s="71"/>
      <c r="Z8" s="71"/>
      <c r="AA8" s="71"/>
      <c r="AB8" s="169"/>
      <c r="AC8" s="71"/>
      <c r="AD8" s="71"/>
      <c r="AE8" s="71"/>
      <c r="AF8" s="71"/>
      <c r="AG8" s="71"/>
      <c r="AH8" s="71"/>
      <c r="AI8" s="71"/>
      <c r="AJ8" s="71"/>
      <c r="AK8" s="71"/>
      <c r="AL8" s="71"/>
      <c r="AM8" s="71"/>
      <c r="AN8" s="71"/>
      <c r="AO8" s="71"/>
      <c r="AP8" s="71"/>
      <c r="AQ8" s="71"/>
      <c r="AR8" s="71"/>
      <c r="AS8" s="71"/>
      <c r="AT8" s="71"/>
      <c r="AU8" s="71"/>
      <c r="AV8" s="71"/>
      <c r="AW8" s="71"/>
      <c r="AX8" s="71"/>
      <c r="AY8" s="71"/>
      <c r="AZ8" s="71"/>
      <c r="BA8" s="71"/>
      <c r="BB8" s="71"/>
    </row>
    <row r="9" customFormat="false" ht="15" hidden="false" customHeight="false" outlineLevel="0" collapsed="false">
      <c r="A9" s="256" t="n">
        <f aca="false">IF(Horodateur112335381922313437434649525558616469852226343846505854626670747882909894102106114118110122126130134138142146150154158162166170174178182186190194198202206210214410141822263034384650545862667076[[#This Row],[Jour]]="1- Lundi",$B$1+1, IF(Horodateur112335381922313437434649525558616469852226343846505854626670747882909894102106114118110122126130134138142146150154158162166170174178182186190194198202206210214410141822263034384650545862667076[[#This Row],[Jour]]="2- Mardi",$B$1+2, IF(Horodateur112335381922313437434649525558616469852226343846505854626670747882909894102106114118110122126130134138142146150154158162166170174178182186190194198202206210214410141822263034384650545862667076[[#This Row],[Jour]]="3- Mercredi",$B$1+3, IF(Horodateur112335381922313437434649525558616469852226343846505854626670747882909894102106114118110122126130134138142146150154158162166170174178182186190194198202206210214410141822263034384650545862667076[[#This Row],[Jour]]="4- Jeudi",$B$1+4, IF(Horodateur112335381922313437434649525558616469852226343846505854626670747882909894102106114118110122126130134138142146150154158162166170174178182186190194198202206210214410141822263034384650545862667076[[#This Row],[Jour]]="5- Vendredi",$B$1+5, IF(Horodateur112335381922313437434649525558616469852226343846505854626670747882909894102106114118110122126130134138142146150154158162166170174178182186190194198202206210214410141822263034384650545862667076[[#This Row],[Jour]]="6- Samedi",$B$1+6, IF(Horodateur112335381922313437434649525558616469852226343846505854626670747882909894102106114118110122126130134138142146150154158162166170174178182186190194198202206210214410141822263034384650545862667076[[#This Row],[Jour]]="7- Dimanche",$B$1, )))))))</f>
        <v>44306</v>
      </c>
      <c r="B9" s="257" t="s">
        <v>312</v>
      </c>
      <c r="C9" s="258" t="n">
        <v>0.583333333333333</v>
      </c>
      <c r="D9" s="258" t="n">
        <v>0.729166666666667</v>
      </c>
      <c r="E9" s="71" t="s">
        <v>363</v>
      </c>
      <c r="F9" s="71" t="s">
        <v>19</v>
      </c>
      <c r="G9" s="259" t="s">
        <v>366</v>
      </c>
      <c r="H9" s="258"/>
      <c r="I9" s="260" t="n">
        <f aca="false">IF($C9=0,"",($O9-INT($O9))*24)</f>
        <v>3.5</v>
      </c>
      <c r="J9" s="261" t="n">
        <f aca="false">SUMIF(Horodateur112335381922313437434649525558616469852226343846505854626670747882909894102106114118110122126130134138142146150154158162166170174178182186190194198202206210214410141822263034384650545862667076[Jour],$B9,Horodateur112335381922313437434649525558616469852226343846505854626670747882909894102106114118110122126130134138142146150154158162166170174178182186190194198202206210214410141822263034384650545862667076[Durée (100)])</f>
        <v>10</v>
      </c>
      <c r="K9" s="265" t="n">
        <f aca="false">SUMIF(Horodateur112335381922313437434649525558616469852226343846505854626670747882909894102106114118110122126130134138142146150154158162166170174178182186190194198202206210214410141822263034384650545862667076[Jour],$B9,P$4:P$2003) / Horodateur112335381922313437434649525558616469852226343846505854626670747882909894102106114118110122126130134138142146150154158162166170174178182186190194198202206210214410141822263034384650545862667076[[#This Row],[hrs (100)]]</f>
        <v>0.45</v>
      </c>
      <c r="L9" s="263" t="s">
        <v>7</v>
      </c>
      <c r="M9" s="263" t="str">
        <f aca="false">IF(Horodateur112335381922313437434649525558616469852226343846505854626670747882909894102106114118110122126130134138142146150154158162166170174178182186190194198202206210214410141822263034384650545862667076[[#This Row],[%]]="o",Horodateur112335381922313437434649525558616469852226343846505854626670747882909894102106114118110122126130134138142146150154158162166170174178182186190194198202206210214410141822263034384650545862667076[[#This Row],[Durée (100)]],".")</f>
        <v>.</v>
      </c>
      <c r="N9" s="266"/>
      <c r="O9" s="258" t="n">
        <f aca="false">IF($C9=0,"",$D9-$C9)</f>
        <v>0.145833333333333</v>
      </c>
      <c r="P9" s="56" t="n">
        <f aca="false">IF($P$1=Horodateur112335381922313437434649525558616469852226343846505854626670747882909894102106114118110122126130134138142146150154158162166170174178182186190194198202206210214410141822263034384650545862667076[[#This Row],[Tâche]],Horodateur112335381922313437434649525558616469852226343846505854626670747882909894102106114118110122126130134138142146150154158162166170174178182186190194198202206210214410141822263034384650545862667076[[#This Row],[Durée (100)]],"")</f>
        <v>3.5</v>
      </c>
      <c r="Q9" s="56" t="str">
        <f aca="false">IF($Q$1=Horodateur112335381922313437434649525558616469852226343846505854626670747882909894102106114118110122126130134138142146150154158162166170174178182186190194198202206210214410141822263034384650545862667076[[#This Row],[Tâche]],Horodateur112335381922313437434649525558616469852226343846505854626670747882909894102106114118110122126130134138142146150154158162166170174178182186190194198202206210214410141822263034384650545862667076[[#This Row],[Durée (100)]],"")</f>
        <v/>
      </c>
      <c r="R9" s="56" t="str">
        <f aca="false">IF($R$1=Horodateur112335381922313437434649525558616469852226343846505854626670747882909894102106114118110122126130134138142146150154158162166170174178182186190194198202206210214410141822263034384650545862667076[[#This Row],[Tâche]],Horodateur112335381922313437434649525558616469852226343846505854626670747882909894102106114118110122126130134138142146150154158162166170174178182186190194198202206210214410141822263034384650545862667076[[#This Row],[Durée (100)]],"")</f>
        <v/>
      </c>
      <c r="S9" s="56" t="str">
        <f aca="false">IF($S$1=Horodateur112335381922313437434649525558616469852226343846505854626670747882909894102106114118110122126130134138142146150154158162166170174178182186190194198202206210214410141822263034384650545862667076[[#This Row],[Tâche]],Horodateur112335381922313437434649525558616469852226343846505854626670747882909894102106114118110122126130134138142146150154158162166170174178182186190194198202206210214410141822263034384650545862667076[[#This Row],[Durée (100)]],"")</f>
        <v/>
      </c>
      <c r="T9" s="56" t="str">
        <f aca="false">IF($T$1=Horodateur112335381922313437434649525558616469852226343846505854626670747882909894102106114118110122126130134138142146150154158162166170174178182186190194198202206210214410141822263034384650545862667076[[#This Row],[Tâche]],Horodateur112335381922313437434649525558616469852226343846505854626670747882909894102106114118110122126130134138142146150154158162166170174178182186190194198202206210214410141822263034384650545862667076[[#This Row],[Durée (100)]],"")</f>
        <v/>
      </c>
      <c r="U9" s="56" t="str">
        <f aca="false">IF($U$1=Horodateur112335381922313437434649525558616469852226343846505854626670747882909894102106114118110122126130134138142146150154158162166170174178182186190194198202206210214410141822263034384650545862667076[[#This Row],[Tâche]],Horodateur112335381922313437434649525558616469852226343846505854626670747882909894102106114118110122126130134138142146150154158162166170174178182186190194198202206210214410141822263034384650545862667076[[#This Row],[Durée (100)]],"")</f>
        <v/>
      </c>
      <c r="V9" s="56" t="str">
        <f aca="false">IF($V$1=Horodateur112335381922313437434649525558616469852226343846505854626670747882909894102106114118110122126130134138142146150154158162166170174178182186190194198202206210214410141822263034384650545862667076[[#This Row],[Tâche]],Horodateur112335381922313437434649525558616469852226343846505854626670747882909894102106114118110122126130134138142146150154158162166170174178182186190194198202206210214410141822263034384650545862667076[[#This Row],[Durée (100)]],"")</f>
        <v/>
      </c>
      <c r="W9" s="56" t="str">
        <f aca="false">IF($W$1=Horodateur112335381922313437434649525558616469852226343846505854626670747882909894102106114118110122126130134138142146150154158162166170174178182186190194198202206210214410141822263034384650545862667076[[#This Row],[Tâche]],Horodateur112335381922313437434649525558616469852226343846505854626670747882909894102106114118110122126130134138142146150154158162166170174178182186190194198202206210214410141822263034384650545862667076[[#This Row],[Durée (100)]],"")</f>
        <v/>
      </c>
      <c r="X9" s="174"/>
      <c r="Y9" s="71"/>
      <c r="Z9" s="71"/>
      <c r="AA9" s="71"/>
      <c r="AB9" s="169"/>
      <c r="AC9" s="71"/>
      <c r="AD9" s="71"/>
      <c r="AE9" s="71"/>
      <c r="AF9" s="71"/>
      <c r="AG9" s="71"/>
      <c r="AH9" s="71"/>
      <c r="AI9" s="71"/>
      <c r="AJ9" s="71"/>
      <c r="AK9" s="71"/>
      <c r="AL9" s="71"/>
      <c r="AM9" s="71"/>
      <c r="AN9" s="71"/>
      <c r="AO9" s="71"/>
      <c r="AP9" s="71"/>
      <c r="AQ9" s="71"/>
      <c r="AR9" s="71"/>
      <c r="AS9" s="71"/>
      <c r="AT9" s="71"/>
      <c r="AU9" s="71"/>
      <c r="AV9" s="71"/>
      <c r="AW9" s="71"/>
      <c r="AX9" s="71"/>
      <c r="AY9" s="71"/>
      <c r="AZ9" s="71"/>
      <c r="BA9" s="71"/>
      <c r="BB9" s="71"/>
    </row>
    <row r="10" customFormat="false" ht="15" hidden="false" customHeight="false" outlineLevel="0" collapsed="false">
      <c r="A10" s="256" t="n">
        <f aca="false">IF(Horodateur112335381922313437434649525558616469852226343846505854626670747882909894102106114118110122126130134138142146150154158162166170174178182186190194198202206210214410141822263034384650545862667076[[#This Row],[Jour]]="1- Lundi",$B$1+1, IF(Horodateur112335381922313437434649525558616469852226343846505854626670747882909894102106114118110122126130134138142146150154158162166170174178182186190194198202206210214410141822263034384650545862667076[[#This Row],[Jour]]="2- Mardi",$B$1+2, IF(Horodateur112335381922313437434649525558616469852226343846505854626670747882909894102106114118110122126130134138142146150154158162166170174178182186190194198202206210214410141822263034384650545862667076[[#This Row],[Jour]]="3- Mercredi",$B$1+3, IF(Horodateur112335381922313437434649525558616469852226343846505854626670747882909894102106114118110122126130134138142146150154158162166170174178182186190194198202206210214410141822263034384650545862667076[[#This Row],[Jour]]="4- Jeudi",$B$1+4, IF(Horodateur112335381922313437434649525558616469852226343846505854626670747882909894102106114118110122126130134138142146150154158162166170174178182186190194198202206210214410141822263034384650545862667076[[#This Row],[Jour]]="5- Vendredi",$B$1+5, IF(Horodateur112335381922313437434649525558616469852226343846505854626670747882909894102106114118110122126130134138142146150154158162166170174178182186190194198202206210214410141822263034384650545862667076[[#This Row],[Jour]]="6- Samedi",$B$1+6, IF(Horodateur112335381922313437434649525558616469852226343846505854626670747882909894102106114118110122126130134138142146150154158162166170174178182186190194198202206210214410141822263034384650545862667076[[#This Row],[Jour]]="7- Dimanche",$B$1, )))))))</f>
        <v>44306</v>
      </c>
      <c r="B10" s="257" t="s">
        <v>312</v>
      </c>
      <c r="C10" s="258" t="n">
        <v>0.625</v>
      </c>
      <c r="D10" s="258" t="n">
        <v>0.6875</v>
      </c>
      <c r="E10" s="71" t="s">
        <v>63</v>
      </c>
      <c r="F10" s="71" t="s">
        <v>22</v>
      </c>
      <c r="G10" s="259" t="s">
        <v>367</v>
      </c>
      <c r="H10" s="258"/>
      <c r="I10" s="260" t="n">
        <f aca="false">IF($C10=0,"",($O10-INT($O10))*24)</f>
        <v>1.5</v>
      </c>
      <c r="J10" s="261" t="n">
        <f aca="false">SUMIF(Horodateur112335381922313437434649525558616469852226343846505854626670747882909894102106114118110122126130134138142146150154158162166170174178182186190194198202206210214410141822263034384650545862667076[Jour],$B10,Horodateur112335381922313437434649525558616469852226343846505854626670747882909894102106114118110122126130134138142146150154158162166170174178182186190194198202206210214410141822263034384650545862667076[Durée (100)])</f>
        <v>10</v>
      </c>
      <c r="K10" s="265" t="n">
        <f aca="false">SUMIF(Horodateur112335381922313437434649525558616469852226343846505854626670747882909894102106114118110122126130134138142146150154158162166170174178182186190194198202206210214410141822263034384650545862667076[Jour],$B10,P$4:P$2003) / Horodateur112335381922313437434649525558616469852226343846505854626670747882909894102106114118110122126130134138142146150154158162166170174178182186190194198202206210214410141822263034384650545862667076[[#This Row],[hrs (100)]]</f>
        <v>0.45</v>
      </c>
      <c r="L10" s="263" t="s">
        <v>7</v>
      </c>
      <c r="M10" s="263" t="str">
        <f aca="false">IF(Horodateur112335381922313437434649525558616469852226343846505854626670747882909894102106114118110122126130134138142146150154158162166170174178182186190194198202206210214410141822263034384650545862667076[[#This Row],[%]]="o",Horodateur112335381922313437434649525558616469852226343846505854626670747882909894102106114118110122126130134138142146150154158162166170174178182186190194198202206210214410141822263034384650545862667076[[#This Row],[Durée (100)]],".")</f>
        <v>.</v>
      </c>
      <c r="N10" s="266"/>
      <c r="O10" s="258" t="n">
        <f aca="false">IF($C10=0,"",$D10-$C10)</f>
        <v>0.0625</v>
      </c>
      <c r="P10" s="56" t="str">
        <f aca="false">IF($P$1=Horodateur112335381922313437434649525558616469852226343846505854626670747882909894102106114118110122126130134138142146150154158162166170174178182186190194198202206210214410141822263034384650545862667076[[#This Row],[Tâche]],Horodateur112335381922313437434649525558616469852226343846505854626670747882909894102106114118110122126130134138142146150154158162166170174178182186190194198202206210214410141822263034384650545862667076[[#This Row],[Durée (100)]],"")</f>
        <v/>
      </c>
      <c r="Q10" s="56" t="str">
        <f aca="false">IF($Q$1=Horodateur112335381922313437434649525558616469852226343846505854626670747882909894102106114118110122126130134138142146150154158162166170174178182186190194198202206210214410141822263034384650545862667076[[#This Row],[Tâche]],Horodateur112335381922313437434649525558616469852226343846505854626670747882909894102106114118110122126130134138142146150154158162166170174178182186190194198202206210214410141822263034384650545862667076[[#This Row],[Durée (100)]],"")</f>
        <v/>
      </c>
      <c r="R10" s="56" t="str">
        <f aca="false">IF($R$1=Horodateur112335381922313437434649525558616469852226343846505854626670747882909894102106114118110122126130134138142146150154158162166170174178182186190194198202206210214410141822263034384650545862667076[[#This Row],[Tâche]],Horodateur112335381922313437434649525558616469852226343846505854626670747882909894102106114118110122126130134138142146150154158162166170174178182186190194198202206210214410141822263034384650545862667076[[#This Row],[Durée (100)]],"")</f>
        <v/>
      </c>
      <c r="S10" s="56" t="n">
        <f aca="false">IF($S$1=Horodateur112335381922313437434649525558616469852226343846505854626670747882909894102106114118110122126130134138142146150154158162166170174178182186190194198202206210214410141822263034384650545862667076[[#This Row],[Tâche]],Horodateur112335381922313437434649525558616469852226343846505854626670747882909894102106114118110122126130134138142146150154158162166170174178182186190194198202206210214410141822263034384650545862667076[[#This Row],[Durée (100)]],"")</f>
        <v>1.5</v>
      </c>
      <c r="T10" s="56" t="str">
        <f aca="false">IF($T$1=Horodateur112335381922313437434649525558616469852226343846505854626670747882909894102106114118110122126130134138142146150154158162166170174178182186190194198202206210214410141822263034384650545862667076[[#This Row],[Tâche]],Horodateur112335381922313437434649525558616469852226343846505854626670747882909894102106114118110122126130134138142146150154158162166170174178182186190194198202206210214410141822263034384650545862667076[[#This Row],[Durée (100)]],"")</f>
        <v/>
      </c>
      <c r="U10" s="56" t="str">
        <f aca="false">IF($U$1=Horodateur112335381922313437434649525558616469852226343846505854626670747882909894102106114118110122126130134138142146150154158162166170174178182186190194198202206210214410141822263034384650545862667076[[#This Row],[Tâche]],Horodateur112335381922313437434649525558616469852226343846505854626670747882909894102106114118110122126130134138142146150154158162166170174178182186190194198202206210214410141822263034384650545862667076[[#This Row],[Durée (100)]],"")</f>
        <v/>
      </c>
      <c r="V10" s="56" t="str">
        <f aca="false">IF($V$1=Horodateur112335381922313437434649525558616469852226343846505854626670747882909894102106114118110122126130134138142146150154158162166170174178182186190194198202206210214410141822263034384650545862667076[[#This Row],[Tâche]],Horodateur112335381922313437434649525558616469852226343846505854626670747882909894102106114118110122126130134138142146150154158162166170174178182186190194198202206210214410141822263034384650545862667076[[#This Row],[Durée (100)]],"")</f>
        <v/>
      </c>
      <c r="W10" s="56" t="str">
        <f aca="false">IF($W$1=Horodateur112335381922313437434649525558616469852226343846505854626670747882909894102106114118110122126130134138142146150154158162166170174178182186190194198202206210214410141822263034384650545862667076[[#This Row],[Tâche]],Horodateur112335381922313437434649525558616469852226343846505854626670747882909894102106114118110122126130134138142146150154158162166170174178182186190194198202206210214410141822263034384650545862667076[[#This Row],[Durée (100)]],"")</f>
        <v/>
      </c>
      <c r="X10" s="174"/>
      <c r="Y10" s="71"/>
      <c r="Z10" s="71"/>
      <c r="AA10" s="71"/>
      <c r="AB10" s="169"/>
      <c r="AC10" s="71"/>
      <c r="AD10" s="71"/>
      <c r="AE10" s="71"/>
      <c r="AF10" s="71"/>
      <c r="AG10" s="71"/>
      <c r="AH10" s="71"/>
      <c r="AI10" s="71"/>
      <c r="AJ10" s="71"/>
      <c r="AK10" s="71"/>
      <c r="AL10" s="71"/>
      <c r="AM10" s="71"/>
      <c r="AN10" s="71"/>
      <c r="AO10" s="71"/>
      <c r="AP10" s="71"/>
      <c r="AQ10" s="71"/>
      <c r="AR10" s="71"/>
      <c r="AS10" s="71"/>
      <c r="AT10" s="71"/>
      <c r="AU10" s="71"/>
      <c r="AV10" s="71"/>
      <c r="AW10" s="71"/>
      <c r="AX10" s="71"/>
      <c r="AY10" s="71"/>
      <c r="AZ10" s="71"/>
      <c r="BA10" s="71"/>
      <c r="BB10" s="71"/>
    </row>
    <row r="11" customFormat="false" ht="15" hidden="false" customHeight="false" outlineLevel="0" collapsed="false">
      <c r="A11" s="256" t="n">
        <f aca="false">IF(Horodateur112335381922313437434649525558616469852226343846505854626670747882909894102106114118110122126130134138142146150154158162166170174178182186190194198202206210214410141822263034384650545862667076[[#This Row],[Jour]]="1- Lundi",$B$1+1, IF(Horodateur112335381922313437434649525558616469852226343846505854626670747882909894102106114118110122126130134138142146150154158162166170174178182186190194198202206210214410141822263034384650545862667076[[#This Row],[Jour]]="2- Mardi",$B$1+2, IF(Horodateur112335381922313437434649525558616469852226343846505854626670747882909894102106114118110122126130134138142146150154158162166170174178182186190194198202206210214410141822263034384650545862667076[[#This Row],[Jour]]="3- Mercredi",$B$1+3, IF(Horodateur112335381922313437434649525558616469852226343846505854626670747882909894102106114118110122126130134138142146150154158162166170174178182186190194198202206210214410141822263034384650545862667076[[#This Row],[Jour]]="4- Jeudi",$B$1+4, IF(Horodateur112335381922313437434649525558616469852226343846505854626670747882909894102106114118110122126130134138142146150154158162166170174178182186190194198202206210214410141822263034384650545862667076[[#This Row],[Jour]]="5- Vendredi",$B$1+5, IF(Horodateur112335381922313437434649525558616469852226343846505854626670747882909894102106114118110122126130134138142146150154158162166170174178182186190194198202206210214410141822263034384650545862667076[[#This Row],[Jour]]="6- Samedi",$B$1+6, IF(Horodateur112335381922313437434649525558616469852226343846505854626670747882909894102106114118110122126130134138142146150154158162166170174178182186190194198202206210214410141822263034384650545862667076[[#This Row],[Jour]]="7- Dimanche",$B$1, )))))))</f>
        <v>44307</v>
      </c>
      <c r="B11" s="257" t="s">
        <v>319</v>
      </c>
      <c r="C11" s="258" t="n">
        <v>0.3125</v>
      </c>
      <c r="D11" s="258" t="n">
        <v>0.333333333333333</v>
      </c>
      <c r="E11" s="71" t="s">
        <v>32</v>
      </c>
      <c r="F11" s="71" t="s">
        <v>21</v>
      </c>
      <c r="G11" s="259"/>
      <c r="H11" s="258"/>
      <c r="I11" s="260" t="n">
        <f aca="false">IF($C11=0,"",($O11-INT($O11))*24)</f>
        <v>0.5</v>
      </c>
      <c r="J11" s="261" t="n">
        <f aca="false">SUMIF(Horodateur112335381922313437434649525558616469852226343846505854626670747882909894102106114118110122126130134138142146150154158162166170174178182186190194198202206210214410141822263034384650545862667076[Jour],$B11,Horodateur112335381922313437434649525558616469852226343846505854626670747882909894102106114118110122126130134138142146150154158162166170174178182186190194198202206210214410141822263034384650545862667076[Durée (100)])</f>
        <v>7.5</v>
      </c>
      <c r="K11" s="265" t="n">
        <f aca="false">SUMIF(Horodateur112335381922313437434649525558616469852226343846505854626670747882909894102106114118110122126130134138142146150154158162166170174178182186190194198202206210214410141822263034384650545862667076[Jour],$B11,P$4:P$2003) / Horodateur112335381922313437434649525558616469852226343846505854626670747882909894102106114118110122126130134138142146150154158162166170174178182186190194198202206210214410141822263034384650545862667076[[#This Row],[hrs (100)]]</f>
        <v>0.333333333333333</v>
      </c>
      <c r="L11" s="263" t="s">
        <v>7</v>
      </c>
      <c r="M11" s="263" t="str">
        <f aca="false">IF(Horodateur112335381922313437434649525558616469852226343846505854626670747882909894102106114118110122126130134138142146150154158162166170174178182186190194198202206210214410141822263034384650545862667076[[#This Row],[%]]="o",Horodateur112335381922313437434649525558616469852226343846505854626670747882909894102106114118110122126130134138142146150154158162166170174178182186190194198202206210214410141822263034384650545862667076[[#This Row],[Durée (100)]],".")</f>
        <v>.</v>
      </c>
      <c r="N11" s="266"/>
      <c r="O11" s="258" t="n">
        <f aca="false">IF($C11=0,"",$D11-$C11)</f>
        <v>0.0208333333333333</v>
      </c>
      <c r="P11" s="56" t="str">
        <f aca="false">IF($P$1=Horodateur112335381922313437434649525558616469852226343846505854626670747882909894102106114118110122126130134138142146150154158162166170174178182186190194198202206210214410141822263034384650545862667076[[#This Row],[Tâche]],Horodateur112335381922313437434649525558616469852226343846505854626670747882909894102106114118110122126130134138142146150154158162166170174178182186190194198202206210214410141822263034384650545862667076[[#This Row],[Durée (100)]],"")</f>
        <v/>
      </c>
      <c r="Q11" s="56" t="str">
        <f aca="false">IF($Q$1=Horodateur112335381922313437434649525558616469852226343846505854626670747882909894102106114118110122126130134138142146150154158162166170174178182186190194198202206210214410141822263034384650545862667076[[#This Row],[Tâche]],Horodateur112335381922313437434649525558616469852226343846505854626670747882909894102106114118110122126130134138142146150154158162166170174178182186190194198202206210214410141822263034384650545862667076[[#This Row],[Durée (100)]],"")</f>
        <v/>
      </c>
      <c r="R11" s="56" t="n">
        <f aca="false">IF($R$1=Horodateur112335381922313437434649525558616469852226343846505854626670747882909894102106114118110122126130134138142146150154158162166170174178182186190194198202206210214410141822263034384650545862667076[[#This Row],[Tâche]],Horodateur112335381922313437434649525558616469852226343846505854626670747882909894102106114118110122126130134138142146150154158162166170174178182186190194198202206210214410141822263034384650545862667076[[#This Row],[Durée (100)]],"")</f>
        <v>0.5</v>
      </c>
      <c r="S11" s="56" t="str">
        <f aca="false">IF($S$1=Horodateur112335381922313437434649525558616469852226343846505854626670747882909894102106114118110122126130134138142146150154158162166170174178182186190194198202206210214410141822263034384650545862667076[[#This Row],[Tâche]],Horodateur112335381922313437434649525558616469852226343846505854626670747882909894102106114118110122126130134138142146150154158162166170174178182186190194198202206210214410141822263034384650545862667076[[#This Row],[Durée (100)]],"")</f>
        <v/>
      </c>
      <c r="T11" s="56" t="str">
        <f aca="false">IF($T$1=Horodateur112335381922313437434649525558616469852226343846505854626670747882909894102106114118110122126130134138142146150154158162166170174178182186190194198202206210214410141822263034384650545862667076[[#This Row],[Tâche]],Horodateur112335381922313437434649525558616469852226343846505854626670747882909894102106114118110122126130134138142146150154158162166170174178182186190194198202206210214410141822263034384650545862667076[[#This Row],[Durée (100)]],"")</f>
        <v/>
      </c>
      <c r="U11" s="56" t="str">
        <f aca="false">IF($U$1=Horodateur112335381922313437434649525558616469852226343846505854626670747882909894102106114118110122126130134138142146150154158162166170174178182186190194198202206210214410141822263034384650545862667076[[#This Row],[Tâche]],Horodateur112335381922313437434649525558616469852226343846505854626670747882909894102106114118110122126130134138142146150154158162166170174178182186190194198202206210214410141822263034384650545862667076[[#This Row],[Durée (100)]],"")</f>
        <v/>
      </c>
      <c r="V11" s="56" t="str">
        <f aca="false">IF($V$1=Horodateur112335381922313437434649525558616469852226343846505854626670747882909894102106114118110122126130134138142146150154158162166170174178182186190194198202206210214410141822263034384650545862667076[[#This Row],[Tâche]],Horodateur112335381922313437434649525558616469852226343846505854626670747882909894102106114118110122126130134138142146150154158162166170174178182186190194198202206210214410141822263034384650545862667076[[#This Row],[Durée (100)]],"")</f>
        <v/>
      </c>
      <c r="W11" s="56" t="str">
        <f aca="false">IF($W$1=Horodateur112335381922313437434649525558616469852226343846505854626670747882909894102106114118110122126130134138142146150154158162166170174178182186190194198202206210214410141822263034384650545862667076[[#This Row],[Tâche]],Horodateur112335381922313437434649525558616469852226343846505854626670747882909894102106114118110122126130134138142146150154158162166170174178182186190194198202206210214410141822263034384650545862667076[[#This Row],[Durée (100)]],"")</f>
        <v/>
      </c>
      <c r="X11" s="174"/>
      <c r="Y11" s="71"/>
      <c r="Z11" s="71"/>
      <c r="AA11" s="71"/>
      <c r="AB11" s="169"/>
      <c r="AC11" s="71"/>
      <c r="AD11" s="71"/>
      <c r="AE11" s="71"/>
      <c r="AF11" s="71"/>
      <c r="AG11" s="71"/>
      <c r="AH11" s="71"/>
      <c r="AI11" s="71"/>
      <c r="AJ11" s="71"/>
      <c r="AK11" s="71"/>
      <c r="AL11" s="71"/>
      <c r="AM11" s="71"/>
      <c r="AN11" s="71"/>
      <c r="AO11" s="71"/>
      <c r="AP11" s="71"/>
      <c r="AQ11" s="71"/>
      <c r="AR11" s="71"/>
      <c r="AS11" s="71"/>
      <c r="AT11" s="71"/>
      <c r="AU11" s="71"/>
      <c r="AV11" s="71"/>
      <c r="AW11" s="71"/>
      <c r="AX11" s="71"/>
      <c r="AY11" s="71"/>
      <c r="AZ11" s="71"/>
      <c r="BA11" s="71"/>
      <c r="BB11" s="71"/>
    </row>
    <row r="12" customFormat="false" ht="15" hidden="false" customHeight="false" outlineLevel="0" collapsed="false">
      <c r="A12" s="256" t="n">
        <f aca="false">IF(Horodateur112335381922313437434649525558616469852226343846505854626670747882909894102106114118110122126130134138142146150154158162166170174178182186190194198202206210214410141822263034384650545862667076[[#This Row],[Jour]]="1- Lundi",$B$1+1, IF(Horodateur112335381922313437434649525558616469852226343846505854626670747882909894102106114118110122126130134138142146150154158162166170174178182186190194198202206210214410141822263034384650545862667076[[#This Row],[Jour]]="2- Mardi",$B$1+2, IF(Horodateur112335381922313437434649525558616469852226343846505854626670747882909894102106114118110122126130134138142146150154158162166170174178182186190194198202206210214410141822263034384650545862667076[[#This Row],[Jour]]="3- Mercredi",$B$1+3, IF(Horodateur112335381922313437434649525558616469852226343846505854626670747882909894102106114118110122126130134138142146150154158162166170174178182186190194198202206210214410141822263034384650545862667076[[#This Row],[Jour]]="4- Jeudi",$B$1+4, IF(Horodateur112335381922313437434649525558616469852226343846505854626670747882909894102106114118110122126130134138142146150154158162166170174178182186190194198202206210214410141822263034384650545862667076[[#This Row],[Jour]]="5- Vendredi",$B$1+5, IF(Horodateur112335381922313437434649525558616469852226343846505854626670747882909894102106114118110122126130134138142146150154158162166170174178182186190194198202206210214410141822263034384650545862667076[[#This Row],[Jour]]="6- Samedi",$B$1+6, IF(Horodateur112335381922313437434649525558616469852226343846505854626670747882909894102106114118110122126130134138142146150154158162166170174178182186190194198202206210214410141822263034384650545862667076[[#This Row],[Jour]]="7- Dimanche",$B$1, )))))))</f>
        <v>44307</v>
      </c>
      <c r="B12" s="257" t="s">
        <v>319</v>
      </c>
      <c r="C12" s="258" t="n">
        <v>0.333333333333333</v>
      </c>
      <c r="D12" s="258" t="n">
        <v>0.385416666666667</v>
      </c>
      <c r="E12" s="71" t="s">
        <v>363</v>
      </c>
      <c r="F12" s="71" t="s">
        <v>22</v>
      </c>
      <c r="G12" s="259" t="s">
        <v>366</v>
      </c>
      <c r="H12" s="258"/>
      <c r="I12" s="260" t="n">
        <f aca="false">IF($C12=0,"",($O12-INT($O12))*24)</f>
        <v>1.25</v>
      </c>
      <c r="J12" s="261" t="n">
        <f aca="false">SUMIF(Horodateur112335381922313437434649525558616469852226343846505854626670747882909894102106114118110122126130134138142146150154158162166170174178182186190194198202206210214410141822263034384650545862667076[Jour],$B12,Horodateur112335381922313437434649525558616469852226343846505854626670747882909894102106114118110122126130134138142146150154158162166170174178182186190194198202206210214410141822263034384650545862667076[Durée (100)])</f>
        <v>7.5</v>
      </c>
      <c r="K12" s="265" t="n">
        <f aca="false">SUMIF(Horodateur112335381922313437434649525558616469852226343846505854626670747882909894102106114118110122126130134138142146150154158162166170174178182186190194198202206210214410141822263034384650545862667076[Jour],$B12,P$4:P$2003) / Horodateur112335381922313437434649525558616469852226343846505854626670747882909894102106114118110122126130134138142146150154158162166170174178182186190194198202206210214410141822263034384650545862667076[[#This Row],[hrs (100)]]</f>
        <v>0.333333333333333</v>
      </c>
      <c r="L12" s="263" t="s">
        <v>7</v>
      </c>
      <c r="M12" s="263" t="str">
        <f aca="false">IF(Horodateur112335381922313437434649525558616469852226343846505854626670747882909894102106114118110122126130134138142146150154158162166170174178182186190194198202206210214410141822263034384650545862667076[[#This Row],[%]]="o",Horodateur112335381922313437434649525558616469852226343846505854626670747882909894102106114118110122126130134138142146150154158162166170174178182186190194198202206210214410141822263034384650545862667076[[#This Row],[Durée (100)]],".")</f>
        <v>.</v>
      </c>
      <c r="N12" s="266"/>
      <c r="O12" s="258" t="n">
        <f aca="false">IF($C12=0,"",$D12-$C12)</f>
        <v>0.0520833333333333</v>
      </c>
      <c r="P12" s="56" t="str">
        <f aca="false">IF($P$1=Horodateur112335381922313437434649525558616469852226343846505854626670747882909894102106114118110122126130134138142146150154158162166170174178182186190194198202206210214410141822263034384650545862667076[[#This Row],[Tâche]],Horodateur112335381922313437434649525558616469852226343846505854626670747882909894102106114118110122126130134138142146150154158162166170174178182186190194198202206210214410141822263034384650545862667076[[#This Row],[Durée (100)]],"")</f>
        <v/>
      </c>
      <c r="Q12" s="56" t="str">
        <f aca="false">IF($Q$1=Horodateur112335381922313437434649525558616469852226343846505854626670747882909894102106114118110122126130134138142146150154158162166170174178182186190194198202206210214410141822263034384650545862667076[[#This Row],[Tâche]],Horodateur112335381922313437434649525558616469852226343846505854626670747882909894102106114118110122126130134138142146150154158162166170174178182186190194198202206210214410141822263034384650545862667076[[#This Row],[Durée (100)]],"")</f>
        <v/>
      </c>
      <c r="R12" s="56" t="str">
        <f aca="false">IF($R$1=Horodateur112335381922313437434649525558616469852226343846505854626670747882909894102106114118110122126130134138142146150154158162166170174178182186190194198202206210214410141822263034384650545862667076[[#This Row],[Tâche]],Horodateur112335381922313437434649525558616469852226343846505854626670747882909894102106114118110122126130134138142146150154158162166170174178182186190194198202206210214410141822263034384650545862667076[[#This Row],[Durée (100)]],"")</f>
        <v/>
      </c>
      <c r="S12" s="56" t="n">
        <f aca="false">IF($S$1=Horodateur112335381922313437434649525558616469852226343846505854626670747882909894102106114118110122126130134138142146150154158162166170174178182186190194198202206210214410141822263034384650545862667076[[#This Row],[Tâche]],Horodateur112335381922313437434649525558616469852226343846505854626670747882909894102106114118110122126130134138142146150154158162166170174178182186190194198202206210214410141822263034384650545862667076[[#This Row],[Durée (100)]],"")</f>
        <v>1.25</v>
      </c>
      <c r="T12" s="56" t="str">
        <f aca="false">IF($T$1=Horodateur112335381922313437434649525558616469852226343846505854626670747882909894102106114118110122126130134138142146150154158162166170174178182186190194198202206210214410141822263034384650545862667076[[#This Row],[Tâche]],Horodateur112335381922313437434649525558616469852226343846505854626670747882909894102106114118110122126130134138142146150154158162166170174178182186190194198202206210214410141822263034384650545862667076[[#This Row],[Durée (100)]],"")</f>
        <v/>
      </c>
      <c r="U12" s="56" t="str">
        <f aca="false">IF($U$1=Horodateur112335381922313437434649525558616469852226343846505854626670747882909894102106114118110122126130134138142146150154158162166170174178182186190194198202206210214410141822263034384650545862667076[[#This Row],[Tâche]],Horodateur112335381922313437434649525558616469852226343846505854626670747882909894102106114118110122126130134138142146150154158162166170174178182186190194198202206210214410141822263034384650545862667076[[#This Row],[Durée (100)]],"")</f>
        <v/>
      </c>
      <c r="V12" s="56" t="str">
        <f aca="false">IF($V$1=Horodateur112335381922313437434649525558616469852226343846505854626670747882909894102106114118110122126130134138142146150154158162166170174178182186190194198202206210214410141822263034384650545862667076[[#This Row],[Tâche]],Horodateur112335381922313437434649525558616469852226343846505854626670747882909894102106114118110122126130134138142146150154158162166170174178182186190194198202206210214410141822263034384650545862667076[[#This Row],[Durée (100)]],"")</f>
        <v/>
      </c>
      <c r="W12" s="56" t="str">
        <f aca="false">IF($W$1=Horodateur112335381922313437434649525558616469852226343846505854626670747882909894102106114118110122126130134138142146150154158162166170174178182186190194198202206210214410141822263034384650545862667076[[#This Row],[Tâche]],Horodateur112335381922313437434649525558616469852226343846505854626670747882909894102106114118110122126130134138142146150154158162166170174178182186190194198202206210214410141822263034384650545862667076[[#This Row],[Durée (100)]],"")</f>
        <v/>
      </c>
      <c r="X12" s="174"/>
      <c r="Y12" s="71"/>
      <c r="Z12" s="71"/>
      <c r="AA12" s="71"/>
      <c r="AB12" s="169"/>
      <c r="AC12" s="71"/>
      <c r="AD12" s="71"/>
      <c r="AE12" s="71"/>
      <c r="AF12" s="71"/>
      <c r="AG12" s="71"/>
      <c r="AH12" s="71"/>
      <c r="AI12" s="71"/>
      <c r="AJ12" s="71"/>
      <c r="AK12" s="71"/>
      <c r="AL12" s="71"/>
      <c r="AM12" s="71"/>
      <c r="AN12" s="71"/>
      <c r="AO12" s="71"/>
      <c r="AP12" s="71"/>
      <c r="AQ12" s="71"/>
      <c r="AR12" s="71"/>
      <c r="AS12" s="71"/>
      <c r="AT12" s="71"/>
      <c r="AU12" s="71"/>
      <c r="AV12" s="71"/>
      <c r="AW12" s="71"/>
      <c r="AX12" s="71"/>
      <c r="AY12" s="71"/>
      <c r="AZ12" s="71"/>
      <c r="BA12" s="71"/>
      <c r="BB12" s="71"/>
    </row>
    <row r="13" customFormat="false" ht="15" hidden="false" customHeight="false" outlineLevel="0" collapsed="false">
      <c r="A13" s="256" t="n">
        <f aca="false">IF(Horodateur112335381922313437434649525558616469852226343846505854626670747882909894102106114118110122126130134138142146150154158162166170174178182186190194198202206210214410141822263034384650545862667076[[#This Row],[Jour]]="1- Lundi",$B$1+1, IF(Horodateur112335381922313437434649525558616469852226343846505854626670747882909894102106114118110122126130134138142146150154158162166170174178182186190194198202206210214410141822263034384650545862667076[[#This Row],[Jour]]="2- Mardi",$B$1+2, IF(Horodateur112335381922313437434649525558616469852226343846505854626670747882909894102106114118110122126130134138142146150154158162166170174178182186190194198202206210214410141822263034384650545862667076[[#This Row],[Jour]]="3- Mercredi",$B$1+3, IF(Horodateur112335381922313437434649525558616469852226343846505854626670747882909894102106114118110122126130134138142146150154158162166170174178182186190194198202206210214410141822263034384650545862667076[[#This Row],[Jour]]="4- Jeudi",$B$1+4, IF(Horodateur112335381922313437434649525558616469852226343846505854626670747882909894102106114118110122126130134138142146150154158162166170174178182186190194198202206210214410141822263034384650545862667076[[#This Row],[Jour]]="5- Vendredi",$B$1+5, IF(Horodateur112335381922313437434649525558616469852226343846505854626670747882909894102106114118110122126130134138142146150154158162166170174178182186190194198202206210214410141822263034384650545862667076[[#This Row],[Jour]]="6- Samedi",$B$1+6, IF(Horodateur112335381922313437434649525558616469852226343846505854626670747882909894102106114118110122126130134138142146150154158162166170174178182186190194198202206210214410141822263034384650545862667076[[#This Row],[Jour]]="7- Dimanche",$B$1, )))))))</f>
        <v>44307</v>
      </c>
      <c r="B13" s="257" t="s">
        <v>319</v>
      </c>
      <c r="C13" s="258" t="n">
        <v>0.385416666666667</v>
      </c>
      <c r="D13" s="258" t="n">
        <v>0.416666666666667</v>
      </c>
      <c r="E13" s="71" t="s">
        <v>59</v>
      </c>
      <c r="F13" s="71" t="s">
        <v>19</v>
      </c>
      <c r="G13" s="259" t="s">
        <v>368</v>
      </c>
      <c r="H13" s="258"/>
      <c r="I13" s="260" t="n">
        <f aca="false">IF($C13=0,"",($O13-INT($O13))*24)</f>
        <v>0.75</v>
      </c>
      <c r="J13" s="261" t="n">
        <f aca="false">SUMIF(Horodateur112335381922313437434649525558616469852226343846505854626670747882909894102106114118110122126130134138142146150154158162166170174178182186190194198202206210214410141822263034384650545862667076[Jour],$B13,Horodateur112335381922313437434649525558616469852226343846505854626670747882909894102106114118110122126130134138142146150154158162166170174178182186190194198202206210214410141822263034384650545862667076[Durée (100)])</f>
        <v>7.5</v>
      </c>
      <c r="K13" s="265" t="n">
        <f aca="false">SUMIF(Horodateur112335381922313437434649525558616469852226343846505854626670747882909894102106114118110122126130134138142146150154158162166170174178182186190194198202206210214410141822263034384650545862667076[Jour],$B13,P$4:P$2003) / Horodateur112335381922313437434649525558616469852226343846505854626670747882909894102106114118110122126130134138142146150154158162166170174178182186190194198202206210214410141822263034384650545862667076[[#This Row],[hrs (100)]]</f>
        <v>0.333333333333333</v>
      </c>
      <c r="L13" s="263" t="s">
        <v>7</v>
      </c>
      <c r="M13" s="263" t="str">
        <f aca="false">IF(Horodateur112335381922313437434649525558616469852226343846505854626670747882909894102106114118110122126130134138142146150154158162166170174178182186190194198202206210214410141822263034384650545862667076[[#This Row],[%]]="o",Horodateur112335381922313437434649525558616469852226343846505854626670747882909894102106114118110122126130134138142146150154158162166170174178182186190194198202206210214410141822263034384650545862667076[[#This Row],[Durée (100)]],".")</f>
        <v>.</v>
      </c>
      <c r="N13" s="266"/>
      <c r="O13" s="258" t="n">
        <f aca="false">IF($C13=0,"",$D13-$C13)</f>
        <v>0.03125</v>
      </c>
      <c r="P13" s="56" t="n">
        <f aca="false">IF($P$1=Horodateur112335381922313437434649525558616469852226343846505854626670747882909894102106114118110122126130134138142146150154158162166170174178182186190194198202206210214410141822263034384650545862667076[[#This Row],[Tâche]],Horodateur112335381922313437434649525558616469852226343846505854626670747882909894102106114118110122126130134138142146150154158162166170174178182186190194198202206210214410141822263034384650545862667076[[#This Row],[Durée (100)]],"")</f>
        <v>0.75</v>
      </c>
      <c r="Q13" s="56" t="str">
        <f aca="false">IF($Q$1=Horodateur112335381922313437434649525558616469852226343846505854626670747882909894102106114118110122126130134138142146150154158162166170174178182186190194198202206210214410141822263034384650545862667076[[#This Row],[Tâche]],Horodateur112335381922313437434649525558616469852226343846505854626670747882909894102106114118110122126130134138142146150154158162166170174178182186190194198202206210214410141822263034384650545862667076[[#This Row],[Durée (100)]],"")</f>
        <v/>
      </c>
      <c r="R13" s="56" t="str">
        <f aca="false">IF($R$1=Horodateur112335381922313437434649525558616469852226343846505854626670747882909894102106114118110122126130134138142146150154158162166170174178182186190194198202206210214410141822263034384650545862667076[[#This Row],[Tâche]],Horodateur112335381922313437434649525558616469852226343846505854626670747882909894102106114118110122126130134138142146150154158162166170174178182186190194198202206210214410141822263034384650545862667076[[#This Row],[Durée (100)]],"")</f>
        <v/>
      </c>
      <c r="S13" s="56" t="str">
        <f aca="false">IF($S$1=Horodateur112335381922313437434649525558616469852226343846505854626670747882909894102106114118110122126130134138142146150154158162166170174178182186190194198202206210214410141822263034384650545862667076[[#This Row],[Tâche]],Horodateur112335381922313437434649525558616469852226343846505854626670747882909894102106114118110122126130134138142146150154158162166170174178182186190194198202206210214410141822263034384650545862667076[[#This Row],[Durée (100)]],"")</f>
        <v/>
      </c>
      <c r="T13" s="56" t="str">
        <f aca="false">IF($T$1=Horodateur112335381922313437434649525558616469852226343846505854626670747882909894102106114118110122126130134138142146150154158162166170174178182186190194198202206210214410141822263034384650545862667076[[#This Row],[Tâche]],Horodateur112335381922313437434649525558616469852226343846505854626670747882909894102106114118110122126130134138142146150154158162166170174178182186190194198202206210214410141822263034384650545862667076[[#This Row],[Durée (100)]],"")</f>
        <v/>
      </c>
      <c r="U13" s="56" t="str">
        <f aca="false">IF($U$1=Horodateur112335381922313437434649525558616469852226343846505854626670747882909894102106114118110122126130134138142146150154158162166170174178182186190194198202206210214410141822263034384650545862667076[[#This Row],[Tâche]],Horodateur112335381922313437434649525558616469852226343846505854626670747882909894102106114118110122126130134138142146150154158162166170174178182186190194198202206210214410141822263034384650545862667076[[#This Row],[Durée (100)]],"")</f>
        <v/>
      </c>
      <c r="V13" s="56" t="str">
        <f aca="false">IF($V$1=Horodateur112335381922313437434649525558616469852226343846505854626670747882909894102106114118110122126130134138142146150154158162166170174178182186190194198202206210214410141822263034384650545862667076[[#This Row],[Tâche]],Horodateur112335381922313437434649525558616469852226343846505854626670747882909894102106114118110122126130134138142146150154158162166170174178182186190194198202206210214410141822263034384650545862667076[[#This Row],[Durée (100)]],"")</f>
        <v/>
      </c>
      <c r="W13" s="56" t="str">
        <f aca="false">IF($W$1=Horodateur112335381922313437434649525558616469852226343846505854626670747882909894102106114118110122126130134138142146150154158162166170174178182186190194198202206210214410141822263034384650545862667076[[#This Row],[Tâche]],Horodateur112335381922313437434649525558616469852226343846505854626670747882909894102106114118110122126130134138142146150154158162166170174178182186190194198202206210214410141822263034384650545862667076[[#This Row],[Durée (100)]],"")</f>
        <v/>
      </c>
      <c r="X13" s="174"/>
      <c r="Y13" s="71"/>
      <c r="Z13" s="71"/>
      <c r="AA13" s="71"/>
      <c r="AB13" s="169"/>
      <c r="AC13" s="71"/>
      <c r="AD13" s="71"/>
      <c r="AE13" s="71"/>
      <c r="AF13" s="71"/>
      <c r="AG13" s="71"/>
      <c r="AH13" s="71"/>
      <c r="AI13" s="71"/>
      <c r="AJ13" s="71"/>
      <c r="AK13" s="71"/>
      <c r="AL13" s="71"/>
      <c r="AM13" s="71"/>
      <c r="AN13" s="71"/>
      <c r="AO13" s="71"/>
      <c r="AP13" s="71"/>
      <c r="AQ13" s="71"/>
      <c r="AR13" s="71"/>
      <c r="AS13" s="71"/>
      <c r="AT13" s="71"/>
      <c r="AU13" s="71"/>
      <c r="AV13" s="71"/>
      <c r="AW13" s="71"/>
      <c r="AX13" s="71"/>
      <c r="AY13" s="71"/>
      <c r="AZ13" s="71"/>
      <c r="BA13" s="71"/>
      <c r="BB13" s="71"/>
    </row>
    <row r="14" customFormat="false" ht="15" hidden="false" customHeight="false" outlineLevel="0" collapsed="false">
      <c r="A14" s="256" t="n">
        <f aca="false">IF(Horodateur112335381922313437434649525558616469852226343846505854626670747882909894102106114118110122126130134138142146150154158162166170174178182186190194198202206210214410141822263034384650545862667076[[#This Row],[Jour]]="1- Lundi",$B$1+1, IF(Horodateur112335381922313437434649525558616469852226343846505854626670747882909894102106114118110122126130134138142146150154158162166170174178182186190194198202206210214410141822263034384650545862667076[[#This Row],[Jour]]="2- Mardi",$B$1+2, IF(Horodateur112335381922313437434649525558616469852226343846505854626670747882909894102106114118110122126130134138142146150154158162166170174178182186190194198202206210214410141822263034384650545862667076[[#This Row],[Jour]]="3- Mercredi",$B$1+3, IF(Horodateur112335381922313437434649525558616469852226343846505854626670747882909894102106114118110122126130134138142146150154158162166170174178182186190194198202206210214410141822263034384650545862667076[[#This Row],[Jour]]="4- Jeudi",$B$1+4, IF(Horodateur112335381922313437434649525558616469852226343846505854626670747882909894102106114118110122126130134138142146150154158162166170174178182186190194198202206210214410141822263034384650545862667076[[#This Row],[Jour]]="5- Vendredi",$B$1+5, IF(Horodateur112335381922313437434649525558616469852226343846505854626670747882909894102106114118110122126130134138142146150154158162166170174178182186190194198202206210214410141822263034384650545862667076[[#This Row],[Jour]]="6- Samedi",$B$1+6, IF(Horodateur112335381922313437434649525558616469852226343846505854626670747882909894102106114118110122126130134138142146150154158162166170174178182186190194198202206210214410141822263034384650545862667076[[#This Row],[Jour]]="7- Dimanche",$B$1, )))))))</f>
        <v>44307</v>
      </c>
      <c r="B14" s="257" t="s">
        <v>319</v>
      </c>
      <c r="C14" s="258" t="n">
        <v>0.4375</v>
      </c>
      <c r="D14" s="258" t="n">
        <v>0.447916666666667</v>
      </c>
      <c r="E14" s="71" t="s">
        <v>363</v>
      </c>
      <c r="F14" s="71" t="s">
        <v>22</v>
      </c>
      <c r="G14" s="259" t="s">
        <v>366</v>
      </c>
      <c r="H14" s="258"/>
      <c r="I14" s="260" t="n">
        <f aca="false">IF($C14=0,"",($O14-INT($O14))*24)</f>
        <v>0.25</v>
      </c>
      <c r="J14" s="261" t="n">
        <f aca="false">SUMIF(Horodateur112335381922313437434649525558616469852226343846505854626670747882909894102106114118110122126130134138142146150154158162166170174178182186190194198202206210214410141822263034384650545862667076[Jour],$B14,Horodateur112335381922313437434649525558616469852226343846505854626670747882909894102106114118110122126130134138142146150154158162166170174178182186190194198202206210214410141822263034384650545862667076[Durée (100)])</f>
        <v>7.5</v>
      </c>
      <c r="K14" s="265" t="n">
        <f aca="false">SUMIF(Horodateur112335381922313437434649525558616469852226343846505854626670747882909894102106114118110122126130134138142146150154158162166170174178182186190194198202206210214410141822263034384650545862667076[Jour],$B14,P$4:P$2003) / Horodateur112335381922313437434649525558616469852226343846505854626670747882909894102106114118110122126130134138142146150154158162166170174178182186190194198202206210214410141822263034384650545862667076[[#This Row],[hrs (100)]]</f>
        <v>0.333333333333333</v>
      </c>
      <c r="L14" s="263" t="s">
        <v>7</v>
      </c>
      <c r="M14" s="263" t="str">
        <f aca="false">IF(Horodateur112335381922313437434649525558616469852226343846505854626670747882909894102106114118110122126130134138142146150154158162166170174178182186190194198202206210214410141822263034384650545862667076[[#This Row],[%]]="o",Horodateur112335381922313437434649525558616469852226343846505854626670747882909894102106114118110122126130134138142146150154158162166170174178182186190194198202206210214410141822263034384650545862667076[[#This Row],[Durée (100)]],".")</f>
        <v>.</v>
      </c>
      <c r="N14" s="266"/>
      <c r="O14" s="258" t="n">
        <f aca="false">IF($C14=0,"",$D14-$C14)</f>
        <v>0.0104166666666667</v>
      </c>
      <c r="P14" s="56" t="str">
        <f aca="false">IF($P$1=Horodateur112335381922313437434649525558616469852226343846505854626670747882909894102106114118110122126130134138142146150154158162166170174178182186190194198202206210214410141822263034384650545862667076[[#This Row],[Tâche]],Horodateur112335381922313437434649525558616469852226343846505854626670747882909894102106114118110122126130134138142146150154158162166170174178182186190194198202206210214410141822263034384650545862667076[[#This Row],[Durée (100)]],"")</f>
        <v/>
      </c>
      <c r="Q14" s="56" t="str">
        <f aca="false">IF($Q$1=Horodateur112335381922313437434649525558616469852226343846505854626670747882909894102106114118110122126130134138142146150154158162166170174178182186190194198202206210214410141822263034384650545862667076[[#This Row],[Tâche]],Horodateur112335381922313437434649525558616469852226343846505854626670747882909894102106114118110122126130134138142146150154158162166170174178182186190194198202206210214410141822263034384650545862667076[[#This Row],[Durée (100)]],"")</f>
        <v/>
      </c>
      <c r="R14" s="56" t="str">
        <f aca="false">IF($R$1=Horodateur112335381922313437434649525558616469852226343846505854626670747882909894102106114118110122126130134138142146150154158162166170174178182186190194198202206210214410141822263034384650545862667076[[#This Row],[Tâche]],Horodateur112335381922313437434649525558616469852226343846505854626670747882909894102106114118110122126130134138142146150154158162166170174178182186190194198202206210214410141822263034384650545862667076[[#This Row],[Durée (100)]],"")</f>
        <v/>
      </c>
      <c r="S14" s="56" t="n">
        <f aca="false">IF($S$1=Horodateur112335381922313437434649525558616469852226343846505854626670747882909894102106114118110122126130134138142146150154158162166170174178182186190194198202206210214410141822263034384650545862667076[[#This Row],[Tâche]],Horodateur112335381922313437434649525558616469852226343846505854626670747882909894102106114118110122126130134138142146150154158162166170174178182186190194198202206210214410141822263034384650545862667076[[#This Row],[Durée (100)]],"")</f>
        <v>0.25</v>
      </c>
      <c r="T14" s="56" t="str">
        <f aca="false">IF($T$1=Horodateur112335381922313437434649525558616469852226343846505854626670747882909894102106114118110122126130134138142146150154158162166170174178182186190194198202206210214410141822263034384650545862667076[[#This Row],[Tâche]],Horodateur112335381922313437434649525558616469852226343846505854626670747882909894102106114118110122126130134138142146150154158162166170174178182186190194198202206210214410141822263034384650545862667076[[#This Row],[Durée (100)]],"")</f>
        <v/>
      </c>
      <c r="U14" s="56" t="str">
        <f aca="false">IF($U$1=Horodateur112335381922313437434649525558616469852226343846505854626670747882909894102106114118110122126130134138142146150154158162166170174178182186190194198202206210214410141822263034384650545862667076[[#This Row],[Tâche]],Horodateur112335381922313437434649525558616469852226343846505854626670747882909894102106114118110122126130134138142146150154158162166170174178182186190194198202206210214410141822263034384650545862667076[[#This Row],[Durée (100)]],"")</f>
        <v/>
      </c>
      <c r="V14" s="56" t="str">
        <f aca="false">IF($V$1=Horodateur112335381922313437434649525558616469852226343846505854626670747882909894102106114118110122126130134138142146150154158162166170174178182186190194198202206210214410141822263034384650545862667076[[#This Row],[Tâche]],Horodateur112335381922313437434649525558616469852226343846505854626670747882909894102106114118110122126130134138142146150154158162166170174178182186190194198202206210214410141822263034384650545862667076[[#This Row],[Durée (100)]],"")</f>
        <v/>
      </c>
      <c r="W14" s="56" t="str">
        <f aca="false">IF($W$1=Horodateur112335381922313437434649525558616469852226343846505854626670747882909894102106114118110122126130134138142146150154158162166170174178182186190194198202206210214410141822263034384650545862667076[[#This Row],[Tâche]],Horodateur112335381922313437434649525558616469852226343846505854626670747882909894102106114118110122126130134138142146150154158162166170174178182186190194198202206210214410141822263034384650545862667076[[#This Row],[Durée (100)]],"")</f>
        <v/>
      </c>
      <c r="X14" s="174"/>
      <c r="Y14" s="71"/>
      <c r="Z14" s="71"/>
      <c r="AA14" s="71"/>
      <c r="AB14" s="169"/>
      <c r="AC14" s="71"/>
      <c r="AD14" s="71"/>
      <c r="AE14" s="71"/>
      <c r="AF14" s="71"/>
      <c r="AG14" s="71"/>
      <c r="AH14" s="71"/>
      <c r="AI14" s="71"/>
      <c r="AJ14" s="71"/>
      <c r="AK14" s="71"/>
      <c r="AL14" s="71"/>
      <c r="AM14" s="71"/>
      <c r="AN14" s="71"/>
      <c r="AO14" s="71"/>
      <c r="AP14" s="71"/>
      <c r="AQ14" s="71"/>
      <c r="AR14" s="71"/>
      <c r="AS14" s="71"/>
      <c r="AT14" s="71"/>
      <c r="AU14" s="71"/>
      <c r="AV14" s="71"/>
      <c r="AW14" s="71"/>
      <c r="AX14" s="71"/>
      <c r="AY14" s="71"/>
      <c r="AZ14" s="71"/>
      <c r="BA14" s="71"/>
      <c r="BB14" s="71"/>
    </row>
    <row r="15" customFormat="false" ht="15" hidden="false" customHeight="false" outlineLevel="0" collapsed="false">
      <c r="A15" s="256" t="n">
        <f aca="false">IF(Horodateur112335381922313437434649525558616469852226343846505854626670747882909894102106114118110122126130134138142146150154158162166170174178182186190194198202206210214410141822263034384650545862667076[[#This Row],[Jour]]="1- Lundi",$B$1+1, IF(Horodateur112335381922313437434649525558616469852226343846505854626670747882909894102106114118110122126130134138142146150154158162166170174178182186190194198202206210214410141822263034384650545862667076[[#This Row],[Jour]]="2- Mardi",$B$1+2, IF(Horodateur112335381922313437434649525558616469852226343846505854626670747882909894102106114118110122126130134138142146150154158162166170174178182186190194198202206210214410141822263034384650545862667076[[#This Row],[Jour]]="3- Mercredi",$B$1+3, IF(Horodateur112335381922313437434649525558616469852226343846505854626670747882909894102106114118110122126130134138142146150154158162166170174178182186190194198202206210214410141822263034384650545862667076[[#This Row],[Jour]]="4- Jeudi",$B$1+4, IF(Horodateur112335381922313437434649525558616469852226343846505854626670747882909894102106114118110122126130134138142146150154158162166170174178182186190194198202206210214410141822263034384650545862667076[[#This Row],[Jour]]="5- Vendredi",$B$1+5, IF(Horodateur112335381922313437434649525558616469852226343846505854626670747882909894102106114118110122126130134138142146150154158162166170174178182186190194198202206210214410141822263034384650545862667076[[#This Row],[Jour]]="6- Samedi",$B$1+6, IF(Horodateur112335381922313437434649525558616469852226343846505854626670747882909894102106114118110122126130134138142146150154158162166170174178182186190194198202206210214410141822263034384650545862667076[[#This Row],[Jour]]="7- Dimanche",$B$1, )))))))</f>
        <v>44307</v>
      </c>
      <c r="B15" s="257" t="s">
        <v>319</v>
      </c>
      <c r="C15" s="258" t="n">
        <v>0.614583333333333</v>
      </c>
      <c r="D15" s="258" t="n">
        <v>0.6875</v>
      </c>
      <c r="E15" s="71" t="s">
        <v>363</v>
      </c>
      <c r="F15" s="71" t="s">
        <v>19</v>
      </c>
      <c r="G15" s="259" t="s">
        <v>366</v>
      </c>
      <c r="H15" s="258"/>
      <c r="I15" s="260" t="n">
        <f aca="false">IF($C15=0,"",($O15-INT($O15))*24)</f>
        <v>1.75</v>
      </c>
      <c r="J15" s="261" t="n">
        <f aca="false">SUMIF(Horodateur112335381922313437434649525558616469852226343846505854626670747882909894102106114118110122126130134138142146150154158162166170174178182186190194198202206210214410141822263034384650545862667076[Jour],$B15,Horodateur112335381922313437434649525558616469852226343846505854626670747882909894102106114118110122126130134138142146150154158162166170174178182186190194198202206210214410141822263034384650545862667076[Durée (100)])</f>
        <v>7.5</v>
      </c>
      <c r="K15" s="265" t="n">
        <f aca="false">SUMIF(Horodateur112335381922313437434649525558616469852226343846505854626670747882909894102106114118110122126130134138142146150154158162166170174178182186190194198202206210214410141822263034384650545862667076[Jour],$B15,P$4:P$2003) / Horodateur112335381922313437434649525558616469852226343846505854626670747882909894102106114118110122126130134138142146150154158162166170174178182186190194198202206210214410141822263034384650545862667076[[#This Row],[hrs (100)]]</f>
        <v>0.333333333333333</v>
      </c>
      <c r="L15" s="263" t="s">
        <v>7</v>
      </c>
      <c r="M15" s="263" t="str">
        <f aca="false">IF(Horodateur112335381922313437434649525558616469852226343846505854626670747882909894102106114118110122126130134138142146150154158162166170174178182186190194198202206210214410141822263034384650545862667076[[#This Row],[%]]="o",Horodateur112335381922313437434649525558616469852226343846505854626670747882909894102106114118110122126130134138142146150154158162166170174178182186190194198202206210214410141822263034384650545862667076[[#This Row],[Durée (100)]],".")</f>
        <v>.</v>
      </c>
      <c r="N15" s="266"/>
      <c r="O15" s="258" t="n">
        <f aca="false">IF($C15=0,"",$D15-$C15)</f>
        <v>0.0729166666666667</v>
      </c>
      <c r="P15" s="56" t="n">
        <f aca="false">IF($P$1=Horodateur112335381922313437434649525558616469852226343846505854626670747882909894102106114118110122126130134138142146150154158162166170174178182186190194198202206210214410141822263034384650545862667076[[#This Row],[Tâche]],Horodateur112335381922313437434649525558616469852226343846505854626670747882909894102106114118110122126130134138142146150154158162166170174178182186190194198202206210214410141822263034384650545862667076[[#This Row],[Durée (100)]],"")</f>
        <v>1.75</v>
      </c>
      <c r="Q15" s="56" t="str">
        <f aca="false">IF($Q$1=Horodateur112335381922313437434649525558616469852226343846505854626670747882909894102106114118110122126130134138142146150154158162166170174178182186190194198202206210214410141822263034384650545862667076[[#This Row],[Tâche]],Horodateur112335381922313437434649525558616469852226343846505854626670747882909894102106114118110122126130134138142146150154158162166170174178182186190194198202206210214410141822263034384650545862667076[[#This Row],[Durée (100)]],"")</f>
        <v/>
      </c>
      <c r="R15" s="56" t="str">
        <f aca="false">IF($R$1=Horodateur112335381922313437434649525558616469852226343846505854626670747882909894102106114118110122126130134138142146150154158162166170174178182186190194198202206210214410141822263034384650545862667076[[#This Row],[Tâche]],Horodateur112335381922313437434649525558616469852226343846505854626670747882909894102106114118110122126130134138142146150154158162166170174178182186190194198202206210214410141822263034384650545862667076[[#This Row],[Durée (100)]],"")</f>
        <v/>
      </c>
      <c r="S15" s="56" t="str">
        <f aca="false">IF($S$1=Horodateur112335381922313437434649525558616469852226343846505854626670747882909894102106114118110122126130134138142146150154158162166170174178182186190194198202206210214410141822263034384650545862667076[[#This Row],[Tâche]],Horodateur112335381922313437434649525558616469852226343846505854626670747882909894102106114118110122126130134138142146150154158162166170174178182186190194198202206210214410141822263034384650545862667076[[#This Row],[Durée (100)]],"")</f>
        <v/>
      </c>
      <c r="T15" s="56" t="str">
        <f aca="false">IF($T$1=Horodateur112335381922313437434649525558616469852226343846505854626670747882909894102106114118110122126130134138142146150154158162166170174178182186190194198202206210214410141822263034384650545862667076[[#This Row],[Tâche]],Horodateur112335381922313437434649525558616469852226343846505854626670747882909894102106114118110122126130134138142146150154158162166170174178182186190194198202206210214410141822263034384650545862667076[[#This Row],[Durée (100)]],"")</f>
        <v/>
      </c>
      <c r="U15" s="56" t="str">
        <f aca="false">IF($U$1=Horodateur112335381922313437434649525558616469852226343846505854626670747882909894102106114118110122126130134138142146150154158162166170174178182186190194198202206210214410141822263034384650545862667076[[#This Row],[Tâche]],Horodateur112335381922313437434649525558616469852226343846505854626670747882909894102106114118110122126130134138142146150154158162166170174178182186190194198202206210214410141822263034384650545862667076[[#This Row],[Durée (100)]],"")</f>
        <v/>
      </c>
      <c r="V15" s="56" t="str">
        <f aca="false">IF($V$1=Horodateur112335381922313437434649525558616469852226343846505854626670747882909894102106114118110122126130134138142146150154158162166170174178182186190194198202206210214410141822263034384650545862667076[[#This Row],[Tâche]],Horodateur112335381922313437434649525558616469852226343846505854626670747882909894102106114118110122126130134138142146150154158162166170174178182186190194198202206210214410141822263034384650545862667076[[#This Row],[Durée (100)]],"")</f>
        <v/>
      </c>
      <c r="W15" s="56" t="str">
        <f aca="false">IF($W$1=Horodateur112335381922313437434649525558616469852226343846505854626670747882909894102106114118110122126130134138142146150154158162166170174178182186190194198202206210214410141822263034384650545862667076[[#This Row],[Tâche]],Horodateur112335381922313437434649525558616469852226343846505854626670747882909894102106114118110122126130134138142146150154158162166170174178182186190194198202206210214410141822263034384650545862667076[[#This Row],[Durée (100)]],"")</f>
        <v/>
      </c>
      <c r="X15" s="174"/>
      <c r="Y15" s="71"/>
      <c r="Z15" s="71"/>
      <c r="AA15" s="71"/>
      <c r="AB15" s="169"/>
      <c r="AC15" s="71"/>
      <c r="AD15" s="71"/>
      <c r="AE15" s="71"/>
      <c r="AF15" s="71"/>
      <c r="AG15" s="71"/>
      <c r="AH15" s="71"/>
      <c r="AI15" s="71"/>
      <c r="AJ15" s="71"/>
      <c r="AK15" s="71"/>
      <c r="AL15" s="71"/>
      <c r="AM15" s="71"/>
      <c r="AN15" s="71"/>
      <c r="AO15" s="71"/>
      <c r="AP15" s="71"/>
      <c r="AQ15" s="71"/>
      <c r="AR15" s="71"/>
      <c r="AS15" s="71"/>
      <c r="AT15" s="71"/>
      <c r="AU15" s="71"/>
      <c r="AV15" s="71"/>
      <c r="AW15" s="71"/>
      <c r="AX15" s="71"/>
      <c r="AY15" s="71"/>
      <c r="AZ15" s="71"/>
      <c r="BA15" s="71"/>
      <c r="BB15" s="71"/>
    </row>
    <row r="16" customFormat="false" ht="15" hidden="false" customHeight="false" outlineLevel="0" collapsed="false">
      <c r="A16" s="256" t="n">
        <f aca="false">IF(Horodateur112335381922313437434649525558616469852226343846505854626670747882909894102106114118110122126130134138142146150154158162166170174178182186190194198202206210214410141822263034384650545862667076[[#This Row],[Jour]]="1- Lundi",$B$1+1, IF(Horodateur112335381922313437434649525558616469852226343846505854626670747882909894102106114118110122126130134138142146150154158162166170174178182186190194198202206210214410141822263034384650545862667076[[#This Row],[Jour]]="2- Mardi",$B$1+2, IF(Horodateur112335381922313437434649525558616469852226343846505854626670747882909894102106114118110122126130134138142146150154158162166170174178182186190194198202206210214410141822263034384650545862667076[[#This Row],[Jour]]="3- Mercredi",$B$1+3, IF(Horodateur112335381922313437434649525558616469852226343846505854626670747882909894102106114118110122126130134138142146150154158162166170174178182186190194198202206210214410141822263034384650545862667076[[#This Row],[Jour]]="4- Jeudi",$B$1+4, IF(Horodateur112335381922313437434649525558616469852226343846505854626670747882909894102106114118110122126130134138142146150154158162166170174178182186190194198202206210214410141822263034384650545862667076[[#This Row],[Jour]]="5- Vendredi",$B$1+5, IF(Horodateur112335381922313437434649525558616469852226343846505854626670747882909894102106114118110122126130134138142146150154158162166170174178182186190194198202206210214410141822263034384650545862667076[[#This Row],[Jour]]="6- Samedi",$B$1+6, IF(Horodateur112335381922313437434649525558616469852226343846505854626670747882909894102106114118110122126130134138142146150154158162166170174178182186190194198202206210214410141822263034384650545862667076[[#This Row],[Jour]]="7- Dimanche",$B$1, )))))))</f>
        <v>44307</v>
      </c>
      <c r="B16" s="257" t="s">
        <v>319</v>
      </c>
      <c r="C16" s="258" t="n">
        <v>0.6875</v>
      </c>
      <c r="D16" s="258" t="n">
        <v>0.708333333333333</v>
      </c>
      <c r="E16" s="71" t="s">
        <v>79</v>
      </c>
      <c r="F16" s="71" t="s">
        <v>20</v>
      </c>
      <c r="G16" s="259" t="s">
        <v>369</v>
      </c>
      <c r="H16" s="258"/>
      <c r="I16" s="260" t="n">
        <f aca="false">IF($C16=0,"",($O16-INT($O16))*24)</f>
        <v>0.5</v>
      </c>
      <c r="J16" s="261" t="n">
        <f aca="false">SUMIF(Horodateur112335381922313437434649525558616469852226343846505854626670747882909894102106114118110122126130134138142146150154158162166170174178182186190194198202206210214410141822263034384650545862667076[Jour],$B16,Horodateur112335381922313437434649525558616469852226343846505854626670747882909894102106114118110122126130134138142146150154158162166170174178182186190194198202206210214410141822263034384650545862667076[Durée (100)])</f>
        <v>7.5</v>
      </c>
      <c r="K16" s="265" t="n">
        <f aca="false">SUMIF(Horodateur112335381922313437434649525558616469852226343846505854626670747882909894102106114118110122126130134138142146150154158162166170174178182186190194198202206210214410141822263034384650545862667076[Jour],$B16,P$4:P$2003) / Horodateur112335381922313437434649525558616469852226343846505854626670747882909894102106114118110122126130134138142146150154158162166170174178182186190194198202206210214410141822263034384650545862667076[[#This Row],[hrs (100)]]</f>
        <v>0.333333333333333</v>
      </c>
      <c r="L16" s="263" t="s">
        <v>7</v>
      </c>
      <c r="M16" s="263" t="str">
        <f aca="false">IF(Horodateur112335381922313437434649525558616469852226343846505854626670747882909894102106114118110122126130134138142146150154158162166170174178182186190194198202206210214410141822263034384650545862667076[[#This Row],[%]]="o",Horodateur112335381922313437434649525558616469852226343846505854626670747882909894102106114118110122126130134138142146150154158162166170174178182186190194198202206210214410141822263034384650545862667076[[#This Row],[Durée (100)]],".")</f>
        <v>.</v>
      </c>
      <c r="N16" s="266"/>
      <c r="O16" s="258" t="n">
        <f aca="false">IF($C16=0,"",$D16-$C16)</f>
        <v>0.0208333333333333</v>
      </c>
      <c r="P16" s="56" t="str">
        <f aca="false">IF($P$1=Horodateur112335381922313437434649525558616469852226343846505854626670747882909894102106114118110122126130134138142146150154158162166170174178182186190194198202206210214410141822263034384650545862667076[[#This Row],[Tâche]],Horodateur112335381922313437434649525558616469852226343846505854626670747882909894102106114118110122126130134138142146150154158162166170174178182186190194198202206210214410141822263034384650545862667076[[#This Row],[Durée (100)]],"")</f>
        <v/>
      </c>
      <c r="Q16" s="56" t="n">
        <f aca="false">IF($Q$1=Horodateur112335381922313437434649525558616469852226343846505854626670747882909894102106114118110122126130134138142146150154158162166170174178182186190194198202206210214410141822263034384650545862667076[[#This Row],[Tâche]],Horodateur112335381922313437434649525558616469852226343846505854626670747882909894102106114118110122126130134138142146150154158162166170174178182186190194198202206210214410141822263034384650545862667076[[#This Row],[Durée (100)]],"")</f>
        <v>0.500000000000001</v>
      </c>
      <c r="R16" s="56" t="str">
        <f aca="false">IF($R$1=Horodateur112335381922313437434649525558616469852226343846505854626670747882909894102106114118110122126130134138142146150154158162166170174178182186190194198202206210214410141822263034384650545862667076[[#This Row],[Tâche]],Horodateur112335381922313437434649525558616469852226343846505854626670747882909894102106114118110122126130134138142146150154158162166170174178182186190194198202206210214410141822263034384650545862667076[[#This Row],[Durée (100)]],"")</f>
        <v/>
      </c>
      <c r="S16" s="56" t="str">
        <f aca="false">IF($S$1=Horodateur112335381922313437434649525558616469852226343846505854626670747882909894102106114118110122126130134138142146150154158162166170174178182186190194198202206210214410141822263034384650545862667076[[#This Row],[Tâche]],Horodateur112335381922313437434649525558616469852226343846505854626670747882909894102106114118110122126130134138142146150154158162166170174178182186190194198202206210214410141822263034384650545862667076[[#This Row],[Durée (100)]],"")</f>
        <v/>
      </c>
      <c r="T16" s="56" t="str">
        <f aca="false">IF($T$1=Horodateur112335381922313437434649525558616469852226343846505854626670747882909894102106114118110122126130134138142146150154158162166170174178182186190194198202206210214410141822263034384650545862667076[[#This Row],[Tâche]],Horodateur112335381922313437434649525558616469852226343846505854626670747882909894102106114118110122126130134138142146150154158162166170174178182186190194198202206210214410141822263034384650545862667076[[#This Row],[Durée (100)]],"")</f>
        <v/>
      </c>
      <c r="U16" s="56" t="str">
        <f aca="false">IF($U$1=Horodateur112335381922313437434649525558616469852226343846505854626670747882909894102106114118110122126130134138142146150154158162166170174178182186190194198202206210214410141822263034384650545862667076[[#This Row],[Tâche]],Horodateur112335381922313437434649525558616469852226343846505854626670747882909894102106114118110122126130134138142146150154158162166170174178182186190194198202206210214410141822263034384650545862667076[[#This Row],[Durée (100)]],"")</f>
        <v/>
      </c>
      <c r="V16" s="56" t="str">
        <f aca="false">IF($V$1=Horodateur112335381922313437434649525558616469852226343846505854626670747882909894102106114118110122126130134138142146150154158162166170174178182186190194198202206210214410141822263034384650545862667076[[#This Row],[Tâche]],Horodateur112335381922313437434649525558616469852226343846505854626670747882909894102106114118110122126130134138142146150154158162166170174178182186190194198202206210214410141822263034384650545862667076[[#This Row],[Durée (100)]],"")</f>
        <v/>
      </c>
      <c r="W16" s="56" t="str">
        <f aca="false">IF($W$1=Horodateur112335381922313437434649525558616469852226343846505854626670747882909894102106114118110122126130134138142146150154158162166170174178182186190194198202206210214410141822263034384650545862667076[[#This Row],[Tâche]],Horodateur112335381922313437434649525558616469852226343846505854626670747882909894102106114118110122126130134138142146150154158162166170174178182186190194198202206210214410141822263034384650545862667076[[#This Row],[Durée (100)]],"")</f>
        <v/>
      </c>
      <c r="X16" s="174"/>
      <c r="Y16" s="71"/>
      <c r="Z16" s="71"/>
      <c r="AA16" s="71"/>
      <c r="AB16" s="169"/>
      <c r="AC16" s="71"/>
      <c r="AD16" s="71"/>
      <c r="AE16" s="71"/>
      <c r="AF16" s="71"/>
      <c r="AG16" s="71"/>
      <c r="AH16" s="71"/>
      <c r="AI16" s="71"/>
      <c r="AJ16" s="71"/>
      <c r="AK16" s="71"/>
      <c r="AL16" s="71"/>
      <c r="AM16" s="71"/>
      <c r="AN16" s="71"/>
      <c r="AO16" s="71"/>
      <c r="AP16" s="71"/>
      <c r="AQ16" s="71"/>
      <c r="AR16" s="71"/>
      <c r="AS16" s="71"/>
      <c r="AT16" s="71"/>
      <c r="AU16" s="71"/>
      <c r="AV16" s="71"/>
      <c r="AW16" s="71"/>
      <c r="AX16" s="71"/>
      <c r="AY16" s="71"/>
      <c r="AZ16" s="71"/>
      <c r="BA16" s="71"/>
      <c r="BB16" s="71"/>
    </row>
    <row r="17" customFormat="false" ht="15" hidden="false" customHeight="false" outlineLevel="0" collapsed="false">
      <c r="A17" s="256" t="n">
        <f aca="false">IF(Horodateur112335381922313437434649525558616469852226343846505854626670747882909894102106114118110122126130134138142146150154158162166170174178182186190194198202206210214410141822263034384650545862667076[[#This Row],[Jour]]="1- Lundi",$B$1+1, IF(Horodateur112335381922313437434649525558616469852226343846505854626670747882909894102106114118110122126130134138142146150154158162166170174178182186190194198202206210214410141822263034384650545862667076[[#This Row],[Jour]]="2- Mardi",$B$1+2, IF(Horodateur112335381922313437434649525558616469852226343846505854626670747882909894102106114118110122126130134138142146150154158162166170174178182186190194198202206210214410141822263034384650545862667076[[#This Row],[Jour]]="3- Mercredi",$B$1+3, IF(Horodateur112335381922313437434649525558616469852226343846505854626670747882909894102106114118110122126130134138142146150154158162166170174178182186190194198202206210214410141822263034384650545862667076[[#This Row],[Jour]]="4- Jeudi",$B$1+4, IF(Horodateur112335381922313437434649525558616469852226343846505854626670747882909894102106114118110122126130134138142146150154158162166170174178182186190194198202206210214410141822263034384650545862667076[[#This Row],[Jour]]="5- Vendredi",$B$1+5, IF(Horodateur112335381922313437434649525558616469852226343846505854626670747882909894102106114118110122126130134138142146150154158162166170174178182186190194198202206210214410141822263034384650545862667076[[#This Row],[Jour]]="6- Samedi",$B$1+6, IF(Horodateur112335381922313437434649525558616469852226343846505854626670747882909894102106114118110122126130134138142146150154158162166170174178182186190194198202206210214410141822263034384650545862667076[[#This Row],[Jour]]="7- Dimanche",$B$1, )))))))</f>
        <v>44307</v>
      </c>
      <c r="B17" s="257" t="s">
        <v>319</v>
      </c>
      <c r="C17" s="258" t="n">
        <v>0.708333333333333</v>
      </c>
      <c r="D17" s="258" t="n">
        <v>0.729166666666667</v>
      </c>
      <c r="E17" s="71" t="s">
        <v>363</v>
      </c>
      <c r="F17" s="71" t="s">
        <v>22</v>
      </c>
      <c r="G17" s="259" t="s">
        <v>366</v>
      </c>
      <c r="H17" s="258"/>
      <c r="I17" s="260" t="n">
        <f aca="false">IF($C17=0,"",($O17-INT($O17))*24)</f>
        <v>0.5</v>
      </c>
      <c r="J17" s="261" t="n">
        <f aca="false">SUMIF(Horodateur112335381922313437434649525558616469852226343846505854626670747882909894102106114118110122126130134138142146150154158162166170174178182186190194198202206210214410141822263034384650545862667076[Jour],$B17,Horodateur112335381922313437434649525558616469852226343846505854626670747882909894102106114118110122126130134138142146150154158162166170174178182186190194198202206210214410141822263034384650545862667076[Durée (100)])</f>
        <v>7.5</v>
      </c>
      <c r="K17" s="265" t="n">
        <f aca="false">SUMIF(Horodateur112335381922313437434649525558616469852226343846505854626670747882909894102106114118110122126130134138142146150154158162166170174178182186190194198202206210214410141822263034384650545862667076[Jour],$B17,P$4:P$2003) / Horodateur112335381922313437434649525558616469852226343846505854626670747882909894102106114118110122126130134138142146150154158162166170174178182186190194198202206210214410141822263034384650545862667076[[#This Row],[hrs (100)]]</f>
        <v>0.333333333333333</v>
      </c>
      <c r="L17" s="263" t="s">
        <v>7</v>
      </c>
      <c r="M17" s="263" t="str">
        <f aca="false">IF(Horodateur112335381922313437434649525558616469852226343846505854626670747882909894102106114118110122126130134138142146150154158162166170174178182186190194198202206210214410141822263034384650545862667076[[#This Row],[%]]="o",Horodateur112335381922313437434649525558616469852226343846505854626670747882909894102106114118110122126130134138142146150154158162166170174178182186190194198202206210214410141822263034384650545862667076[[#This Row],[Durée (100)]],".")</f>
        <v>.</v>
      </c>
      <c r="N17" s="266"/>
      <c r="O17" s="258" t="n">
        <f aca="false">IF($C17=0,"",$D17-$C17)</f>
        <v>0.0208333333333333</v>
      </c>
      <c r="P17" s="56" t="str">
        <f aca="false">IF($P$1=Horodateur112335381922313437434649525558616469852226343846505854626670747882909894102106114118110122126130134138142146150154158162166170174178182186190194198202206210214410141822263034384650545862667076[[#This Row],[Tâche]],Horodateur112335381922313437434649525558616469852226343846505854626670747882909894102106114118110122126130134138142146150154158162166170174178182186190194198202206210214410141822263034384650545862667076[[#This Row],[Durée (100)]],"")</f>
        <v/>
      </c>
      <c r="Q17" s="56" t="str">
        <f aca="false">IF($Q$1=Horodateur112335381922313437434649525558616469852226343846505854626670747882909894102106114118110122126130134138142146150154158162166170174178182186190194198202206210214410141822263034384650545862667076[[#This Row],[Tâche]],Horodateur112335381922313437434649525558616469852226343846505854626670747882909894102106114118110122126130134138142146150154158162166170174178182186190194198202206210214410141822263034384650545862667076[[#This Row],[Durée (100)]],"")</f>
        <v/>
      </c>
      <c r="R17" s="56" t="str">
        <f aca="false">IF($R$1=Horodateur112335381922313437434649525558616469852226343846505854626670747882909894102106114118110122126130134138142146150154158162166170174178182186190194198202206210214410141822263034384650545862667076[[#This Row],[Tâche]],Horodateur112335381922313437434649525558616469852226343846505854626670747882909894102106114118110122126130134138142146150154158162166170174178182186190194198202206210214410141822263034384650545862667076[[#This Row],[Durée (100)]],"")</f>
        <v/>
      </c>
      <c r="S17" s="56" t="n">
        <f aca="false">IF($S$1=Horodateur112335381922313437434649525558616469852226343846505854626670747882909894102106114118110122126130134138142146150154158162166170174178182186190194198202206210214410141822263034384650545862667076[[#This Row],[Tâche]],Horodateur112335381922313437434649525558616469852226343846505854626670747882909894102106114118110122126130134138142146150154158162166170174178182186190194198202206210214410141822263034384650545862667076[[#This Row],[Durée (100)]],"")</f>
        <v>0.499999999999998</v>
      </c>
      <c r="T17" s="56" t="str">
        <f aca="false">IF($T$1=Horodateur112335381922313437434649525558616469852226343846505854626670747882909894102106114118110122126130134138142146150154158162166170174178182186190194198202206210214410141822263034384650545862667076[[#This Row],[Tâche]],Horodateur112335381922313437434649525558616469852226343846505854626670747882909894102106114118110122126130134138142146150154158162166170174178182186190194198202206210214410141822263034384650545862667076[[#This Row],[Durée (100)]],"")</f>
        <v/>
      </c>
      <c r="U17" s="56" t="str">
        <f aca="false">IF($U$1=Horodateur112335381922313437434649525558616469852226343846505854626670747882909894102106114118110122126130134138142146150154158162166170174178182186190194198202206210214410141822263034384650545862667076[[#This Row],[Tâche]],Horodateur112335381922313437434649525558616469852226343846505854626670747882909894102106114118110122126130134138142146150154158162166170174178182186190194198202206210214410141822263034384650545862667076[[#This Row],[Durée (100)]],"")</f>
        <v/>
      </c>
      <c r="V17" s="56" t="str">
        <f aca="false">IF($V$1=Horodateur112335381922313437434649525558616469852226343846505854626670747882909894102106114118110122126130134138142146150154158162166170174178182186190194198202206210214410141822263034384650545862667076[[#This Row],[Tâche]],Horodateur112335381922313437434649525558616469852226343846505854626670747882909894102106114118110122126130134138142146150154158162166170174178182186190194198202206210214410141822263034384650545862667076[[#This Row],[Durée (100)]],"")</f>
        <v/>
      </c>
      <c r="W17" s="56" t="str">
        <f aca="false">IF($W$1=Horodateur112335381922313437434649525558616469852226343846505854626670747882909894102106114118110122126130134138142146150154158162166170174178182186190194198202206210214410141822263034384650545862667076[[#This Row],[Tâche]],Horodateur112335381922313437434649525558616469852226343846505854626670747882909894102106114118110122126130134138142146150154158162166170174178182186190194198202206210214410141822263034384650545862667076[[#This Row],[Durée (100)]],"")</f>
        <v/>
      </c>
      <c r="X17" s="174"/>
      <c r="Y17" s="71"/>
      <c r="Z17" s="71"/>
      <c r="AA17" s="71"/>
      <c r="AB17" s="169"/>
      <c r="AC17" s="71"/>
      <c r="AD17" s="71"/>
      <c r="AE17" s="71"/>
      <c r="AF17" s="71"/>
      <c r="AG17" s="71"/>
      <c r="AH17" s="71"/>
      <c r="AI17" s="71"/>
      <c r="AJ17" s="71"/>
      <c r="AK17" s="71"/>
      <c r="AL17" s="71"/>
      <c r="AM17" s="71"/>
      <c r="AN17" s="71"/>
      <c r="AO17" s="71"/>
      <c r="AP17" s="71"/>
      <c r="AQ17" s="71"/>
      <c r="AR17" s="71"/>
      <c r="AS17" s="71"/>
      <c r="AT17" s="71"/>
      <c r="AU17" s="71"/>
      <c r="AV17" s="71"/>
      <c r="AW17" s="71"/>
      <c r="AX17" s="71"/>
      <c r="AY17" s="71"/>
      <c r="AZ17" s="71"/>
      <c r="BA17" s="71"/>
      <c r="BB17" s="71"/>
    </row>
    <row r="18" customFormat="false" ht="15" hidden="false" customHeight="false" outlineLevel="0" collapsed="false">
      <c r="A18" s="256" t="n">
        <f aca="false">IF(Horodateur112335381922313437434649525558616469852226343846505854626670747882909894102106114118110122126130134138142146150154158162166170174178182186190194198202206210214410141822263034384650545862667076[[#This Row],[Jour]]="1- Lundi",$B$1+1, IF(Horodateur112335381922313437434649525558616469852226343846505854626670747882909894102106114118110122126130134138142146150154158162166170174178182186190194198202206210214410141822263034384650545862667076[[#This Row],[Jour]]="2- Mardi",$B$1+2, IF(Horodateur112335381922313437434649525558616469852226343846505854626670747882909894102106114118110122126130134138142146150154158162166170174178182186190194198202206210214410141822263034384650545862667076[[#This Row],[Jour]]="3- Mercredi",$B$1+3, IF(Horodateur112335381922313437434649525558616469852226343846505854626670747882909894102106114118110122126130134138142146150154158162166170174178182186190194198202206210214410141822263034384650545862667076[[#This Row],[Jour]]="4- Jeudi",$B$1+4, IF(Horodateur112335381922313437434649525558616469852226343846505854626670747882909894102106114118110122126130134138142146150154158162166170174178182186190194198202206210214410141822263034384650545862667076[[#This Row],[Jour]]="5- Vendredi",$B$1+5, IF(Horodateur112335381922313437434649525558616469852226343846505854626670747882909894102106114118110122126130134138142146150154158162166170174178182186190194198202206210214410141822263034384650545862667076[[#This Row],[Jour]]="6- Samedi",$B$1+6, IF(Horodateur112335381922313437434649525558616469852226343846505854626670747882909894102106114118110122126130134138142146150154158162166170174178182186190194198202206210214410141822263034384650545862667076[[#This Row],[Jour]]="7- Dimanche",$B$1, )))))))</f>
        <v>44307</v>
      </c>
      <c r="B18" s="257" t="s">
        <v>319</v>
      </c>
      <c r="C18" s="258" t="n">
        <v>0.729166666666667</v>
      </c>
      <c r="D18" s="258" t="n">
        <v>0.8125</v>
      </c>
      <c r="E18" s="71" t="s">
        <v>32</v>
      </c>
      <c r="F18" s="267" t="s">
        <v>23</v>
      </c>
      <c r="G18" s="259"/>
      <c r="H18" s="258"/>
      <c r="I18" s="260" t="n">
        <f aca="false">IF($C18=0,"",($O18-INT($O18))*24)</f>
        <v>2</v>
      </c>
      <c r="J18" s="261" t="n">
        <f aca="false">SUMIF(Horodateur112335381922313437434649525558616469852226343846505854626670747882909894102106114118110122126130134138142146150154158162166170174178182186190194198202206210214410141822263034384650545862667076[Jour],$B18,Horodateur112335381922313437434649525558616469852226343846505854626670747882909894102106114118110122126130134138142146150154158162166170174178182186190194198202206210214410141822263034384650545862667076[Durée (100)])</f>
        <v>7.5</v>
      </c>
      <c r="K18" s="265" t="n">
        <f aca="false">SUMIF(Horodateur112335381922313437434649525558616469852226343846505854626670747882909894102106114118110122126130134138142146150154158162166170174178182186190194198202206210214410141822263034384650545862667076[Jour],$B18,P$4:P$2003) / Horodateur112335381922313437434649525558616469852226343846505854626670747882909894102106114118110122126130134138142146150154158162166170174178182186190194198202206210214410141822263034384650545862667076[[#This Row],[hrs (100)]]</f>
        <v>0.333333333333333</v>
      </c>
      <c r="L18" s="263" t="s">
        <v>7</v>
      </c>
      <c r="M18" s="263" t="str">
        <f aca="false">IF(Horodateur112335381922313437434649525558616469852226343846505854626670747882909894102106114118110122126130134138142146150154158162166170174178182186190194198202206210214410141822263034384650545862667076[[#This Row],[%]]="o",Horodateur112335381922313437434649525558616469852226343846505854626670747882909894102106114118110122126130134138142146150154158162166170174178182186190194198202206210214410141822263034384650545862667076[[#This Row],[Durée (100)]],".")</f>
        <v>.</v>
      </c>
      <c r="N18" s="266"/>
      <c r="O18" s="258" t="n">
        <f aca="false">IF($C18=0,"",$D18-$C18)</f>
        <v>0.0833333333333334</v>
      </c>
      <c r="P18" s="56"/>
      <c r="Q18" s="56"/>
      <c r="R18" s="56"/>
      <c r="S18" s="56"/>
      <c r="T18" s="56"/>
      <c r="U18" s="56"/>
      <c r="V18" s="56"/>
      <c r="W18" s="56"/>
      <c r="X18" s="174"/>
      <c r="Y18" s="71"/>
      <c r="Z18" s="71"/>
      <c r="AA18" s="71"/>
      <c r="AB18" s="169"/>
      <c r="AC18" s="71"/>
      <c r="AD18" s="71"/>
      <c r="AE18" s="71"/>
      <c r="AF18" s="71"/>
      <c r="AG18" s="71"/>
      <c r="AH18" s="71"/>
      <c r="AI18" s="71"/>
      <c r="AJ18" s="71"/>
      <c r="AK18" s="71"/>
      <c r="AL18" s="71"/>
      <c r="AM18" s="71"/>
      <c r="AN18" s="71"/>
      <c r="AO18" s="71"/>
      <c r="AP18" s="71"/>
      <c r="AQ18" s="71"/>
      <c r="AR18" s="71"/>
      <c r="AS18" s="71"/>
      <c r="AT18" s="71"/>
      <c r="AU18" s="71"/>
      <c r="AV18" s="71"/>
      <c r="AW18" s="71"/>
      <c r="AX18" s="71"/>
      <c r="AY18" s="71"/>
      <c r="AZ18" s="71"/>
      <c r="BA18" s="71"/>
      <c r="BB18" s="71"/>
    </row>
    <row r="19" customFormat="false" ht="15" hidden="false" customHeight="false" outlineLevel="0" collapsed="false">
      <c r="A19" s="256" t="n">
        <f aca="false">IF(Horodateur112335381922313437434649525558616469852226343846505854626670747882909894102106114118110122126130134138142146150154158162166170174178182186190194198202206210214410141822263034384650545862667076[[#This Row],[Jour]]="1- Lundi",$B$1+1, IF(Horodateur112335381922313437434649525558616469852226343846505854626670747882909894102106114118110122126130134138142146150154158162166170174178182186190194198202206210214410141822263034384650545862667076[[#This Row],[Jour]]="2- Mardi",$B$1+2, IF(Horodateur112335381922313437434649525558616469852226343846505854626670747882909894102106114118110122126130134138142146150154158162166170174178182186190194198202206210214410141822263034384650545862667076[[#This Row],[Jour]]="3- Mercredi",$B$1+3, IF(Horodateur112335381922313437434649525558616469852226343846505854626670747882909894102106114118110122126130134138142146150154158162166170174178182186190194198202206210214410141822263034384650545862667076[[#This Row],[Jour]]="4- Jeudi",$B$1+4, IF(Horodateur112335381922313437434649525558616469852226343846505854626670747882909894102106114118110122126130134138142146150154158162166170174178182186190194198202206210214410141822263034384650545862667076[[#This Row],[Jour]]="5- Vendredi",$B$1+5, IF(Horodateur112335381922313437434649525558616469852226343846505854626670747882909894102106114118110122126130134138142146150154158162166170174178182186190194198202206210214410141822263034384650545862667076[[#This Row],[Jour]]="6- Samedi",$B$1+6, IF(Horodateur112335381922313437434649525558616469852226343846505854626670747882909894102106114118110122126130134138142146150154158162166170174178182186190194198202206210214410141822263034384650545862667076[[#This Row],[Jour]]="7- Dimanche",$B$1, )))))))</f>
        <v>44308</v>
      </c>
      <c r="B19" s="257" t="s">
        <v>324</v>
      </c>
      <c r="C19" s="258" t="n">
        <v>0.3125</v>
      </c>
      <c r="D19" s="258" t="n">
        <v>0.354166666666667</v>
      </c>
      <c r="E19" s="71" t="s">
        <v>32</v>
      </c>
      <c r="F19" s="71" t="s">
        <v>22</v>
      </c>
      <c r="G19" s="259"/>
      <c r="H19" s="258"/>
      <c r="I19" s="260" t="n">
        <f aca="false">IF($C19=0,"",($O19-INT($O19))*24)</f>
        <v>1</v>
      </c>
      <c r="J19" s="261" t="n">
        <f aca="false">SUMIF(Horodateur112335381922313437434649525558616469852226343846505854626670747882909894102106114118110122126130134138142146150154158162166170174178182186190194198202206210214410141822263034384650545862667076[Jour],$B19,Horodateur112335381922313437434649525558616469852226343846505854626670747882909894102106114118110122126130134138142146150154158162166170174178182186190194198202206210214410141822263034384650545862667076[Durée (100)])</f>
        <v>7.75</v>
      </c>
      <c r="K19" s="265" t="n">
        <f aca="false">SUMIF(Horodateur112335381922313437434649525558616469852226343846505854626670747882909894102106114118110122126130134138142146150154158162166170174178182186190194198202206210214410141822263034384650545862667076[Jour],$B19,P$4:P$2003) / Horodateur112335381922313437434649525558616469852226343846505854626670747882909894102106114118110122126130134138142146150154158162166170174178182186190194198202206210214410141822263034384650545862667076[[#This Row],[hrs (100)]]</f>
        <v>0.774193548387097</v>
      </c>
      <c r="L19" s="263" t="s">
        <v>7</v>
      </c>
      <c r="M19" s="263" t="str">
        <f aca="false">IF(Horodateur112335381922313437434649525558616469852226343846505854626670747882909894102106114118110122126130134138142146150154158162166170174178182186190194198202206210214410141822263034384650545862667076[[#This Row],[%]]="o",Horodateur112335381922313437434649525558616469852226343846505854626670747882909894102106114118110122126130134138142146150154158162166170174178182186190194198202206210214410141822263034384650545862667076[[#This Row],[Durée (100)]],".")</f>
        <v>.</v>
      </c>
      <c r="N19" s="266"/>
      <c r="O19" s="258" t="n">
        <f aca="false">IF($C19=0,"",$D19-$C19)</f>
        <v>0.0416666666666667</v>
      </c>
      <c r="P19" s="56" t="str">
        <f aca="false">IF($P$1=Horodateur112335381922313437434649525558616469852226343846505854626670747882909894102106114118110122126130134138142146150154158162166170174178182186190194198202206210214410141822263034384650545862667076[[#This Row],[Tâche]],Horodateur112335381922313437434649525558616469852226343846505854626670747882909894102106114118110122126130134138142146150154158162166170174178182186190194198202206210214410141822263034384650545862667076[[#This Row],[Durée (100)]],"")</f>
        <v/>
      </c>
      <c r="Q19" s="56" t="str">
        <f aca="false">IF($Q$1=Horodateur112335381922313437434649525558616469852226343846505854626670747882909894102106114118110122126130134138142146150154158162166170174178182186190194198202206210214410141822263034384650545862667076[[#This Row],[Tâche]],Horodateur112335381922313437434649525558616469852226343846505854626670747882909894102106114118110122126130134138142146150154158162166170174178182186190194198202206210214410141822263034384650545862667076[[#This Row],[Durée (100)]],"")</f>
        <v/>
      </c>
      <c r="R19" s="56" t="str">
        <f aca="false">IF($R$1=Horodateur112335381922313437434649525558616469852226343846505854626670747882909894102106114118110122126130134138142146150154158162166170174178182186190194198202206210214410141822263034384650545862667076[[#This Row],[Tâche]],Horodateur112335381922313437434649525558616469852226343846505854626670747882909894102106114118110122126130134138142146150154158162166170174178182186190194198202206210214410141822263034384650545862667076[[#This Row],[Durée (100)]],"")</f>
        <v/>
      </c>
      <c r="S19" s="56" t="n">
        <f aca="false">IF($S$1=Horodateur112335381922313437434649525558616469852226343846505854626670747882909894102106114118110122126130134138142146150154158162166170174178182186190194198202206210214410141822263034384650545862667076[[#This Row],[Tâche]],Horodateur112335381922313437434649525558616469852226343846505854626670747882909894102106114118110122126130134138142146150154158162166170174178182186190194198202206210214410141822263034384650545862667076[[#This Row],[Durée (100)]],"")</f>
        <v>1</v>
      </c>
      <c r="T19" s="56" t="str">
        <f aca="false">IF($T$1=Horodateur112335381922313437434649525558616469852226343846505854626670747882909894102106114118110122126130134138142146150154158162166170174178182186190194198202206210214410141822263034384650545862667076[[#This Row],[Tâche]],Horodateur112335381922313437434649525558616469852226343846505854626670747882909894102106114118110122126130134138142146150154158162166170174178182186190194198202206210214410141822263034384650545862667076[[#This Row],[Durée (100)]],"")</f>
        <v/>
      </c>
      <c r="U19" s="56" t="str">
        <f aca="false">IF($U$1=Horodateur112335381922313437434649525558616469852226343846505854626670747882909894102106114118110122126130134138142146150154158162166170174178182186190194198202206210214410141822263034384650545862667076[[#This Row],[Tâche]],Horodateur112335381922313437434649525558616469852226343846505854626670747882909894102106114118110122126130134138142146150154158162166170174178182186190194198202206210214410141822263034384650545862667076[[#This Row],[Durée (100)]],"")</f>
        <v/>
      </c>
      <c r="V19" s="56" t="str">
        <f aca="false">IF($V$1=Horodateur112335381922313437434649525558616469852226343846505854626670747882909894102106114118110122126130134138142146150154158162166170174178182186190194198202206210214410141822263034384650545862667076[[#This Row],[Tâche]],Horodateur112335381922313437434649525558616469852226343846505854626670747882909894102106114118110122126130134138142146150154158162166170174178182186190194198202206210214410141822263034384650545862667076[[#This Row],[Durée (100)]],"")</f>
        <v/>
      </c>
      <c r="W19" s="56" t="str">
        <f aca="false">IF($W$1=Horodateur112335381922313437434649525558616469852226343846505854626670747882909894102106114118110122126130134138142146150154158162166170174178182186190194198202206210214410141822263034384650545862667076[[#This Row],[Tâche]],Horodateur112335381922313437434649525558616469852226343846505854626670747882909894102106114118110122126130134138142146150154158162166170174178182186190194198202206210214410141822263034384650545862667076[[#This Row],[Durée (100)]],"")</f>
        <v/>
      </c>
      <c r="X19" s="174"/>
      <c r="Y19" s="71"/>
      <c r="Z19" s="71"/>
      <c r="AA19" s="71"/>
      <c r="AB19" s="71"/>
      <c r="AC19" s="71"/>
      <c r="AD19" s="71"/>
      <c r="AE19" s="71"/>
      <c r="AF19" s="71"/>
      <c r="AG19" s="71"/>
      <c r="AH19" s="71"/>
      <c r="AI19" s="71"/>
      <c r="AJ19" s="71"/>
      <c r="AK19" s="71"/>
      <c r="AL19" s="71"/>
      <c r="AM19" s="71"/>
      <c r="AN19" s="71"/>
      <c r="AO19" s="71"/>
      <c r="AP19" s="71"/>
      <c r="AQ19" s="71"/>
      <c r="AR19" s="71"/>
      <c r="AS19" s="71"/>
      <c r="AT19" s="71"/>
      <c r="AU19" s="71"/>
      <c r="AV19" s="71"/>
      <c r="AW19" s="71"/>
      <c r="AX19" s="71"/>
      <c r="AY19" s="71"/>
      <c r="AZ19" s="71"/>
      <c r="BA19" s="71"/>
      <c r="BB19" s="71"/>
    </row>
    <row r="20" customFormat="false" ht="15" hidden="false" customHeight="false" outlineLevel="0" collapsed="false">
      <c r="A20" s="256" t="n">
        <f aca="false">IF(Horodateur112335381922313437434649525558616469852226343846505854626670747882909894102106114118110122126130134138142146150154158162166170174178182186190194198202206210214410141822263034384650545862667076[[#This Row],[Jour]]="1- Lundi",$B$1+1, IF(Horodateur112335381922313437434649525558616469852226343846505854626670747882909894102106114118110122126130134138142146150154158162166170174178182186190194198202206210214410141822263034384650545862667076[[#This Row],[Jour]]="2- Mardi",$B$1+2, IF(Horodateur112335381922313437434649525558616469852226343846505854626670747882909894102106114118110122126130134138142146150154158162166170174178182186190194198202206210214410141822263034384650545862667076[[#This Row],[Jour]]="3- Mercredi",$B$1+3, IF(Horodateur112335381922313437434649525558616469852226343846505854626670747882909894102106114118110122126130134138142146150154158162166170174178182186190194198202206210214410141822263034384650545862667076[[#This Row],[Jour]]="4- Jeudi",$B$1+4, IF(Horodateur112335381922313437434649525558616469852226343846505854626670747882909894102106114118110122126130134138142146150154158162166170174178182186190194198202206210214410141822263034384650545862667076[[#This Row],[Jour]]="5- Vendredi",$B$1+5, IF(Horodateur112335381922313437434649525558616469852226343846505854626670747882909894102106114118110122126130134138142146150154158162166170174178182186190194198202206210214410141822263034384650545862667076[[#This Row],[Jour]]="6- Samedi",$B$1+6, IF(Horodateur112335381922313437434649525558616469852226343846505854626670747882909894102106114118110122126130134138142146150154158162166170174178182186190194198202206210214410141822263034384650545862667076[[#This Row],[Jour]]="7- Dimanche",$B$1, )))))))</f>
        <v>44308</v>
      </c>
      <c r="B20" s="257" t="s">
        <v>324</v>
      </c>
      <c r="C20" s="258" t="n">
        <v>0.354166666666667</v>
      </c>
      <c r="D20" s="258" t="n">
        <v>0.385416666666667</v>
      </c>
      <c r="E20" s="71" t="s">
        <v>363</v>
      </c>
      <c r="F20" s="71" t="s">
        <v>19</v>
      </c>
      <c r="G20" s="259" t="s">
        <v>366</v>
      </c>
      <c r="H20" s="258"/>
      <c r="I20" s="260" t="n">
        <f aca="false">IF($C20=0,"",($O20-INT($O20))*24)</f>
        <v>0.75</v>
      </c>
      <c r="J20" s="261" t="n">
        <f aca="false">SUMIF(Horodateur112335381922313437434649525558616469852226343846505854626670747882909894102106114118110122126130134138142146150154158162166170174178182186190194198202206210214410141822263034384650545862667076[Jour],$B20,Horodateur112335381922313437434649525558616469852226343846505854626670747882909894102106114118110122126130134138142146150154158162166170174178182186190194198202206210214410141822263034384650545862667076[Durée (100)])</f>
        <v>7.75</v>
      </c>
      <c r="K20" s="265" t="n">
        <f aca="false">SUMIF(Horodateur112335381922313437434649525558616469852226343846505854626670747882909894102106114118110122126130134138142146150154158162166170174178182186190194198202206210214410141822263034384650545862667076[Jour],$B20,P$4:P$2003) / Horodateur112335381922313437434649525558616469852226343846505854626670747882909894102106114118110122126130134138142146150154158162166170174178182186190194198202206210214410141822263034384650545862667076[[#This Row],[hrs (100)]]</f>
        <v>0.774193548387097</v>
      </c>
      <c r="L20" s="263" t="s">
        <v>7</v>
      </c>
      <c r="M20" s="263" t="str">
        <f aca="false">IF(Horodateur112335381922313437434649525558616469852226343846505854626670747882909894102106114118110122126130134138142146150154158162166170174178182186190194198202206210214410141822263034384650545862667076[[#This Row],[%]]="o",Horodateur112335381922313437434649525558616469852226343846505854626670747882909894102106114118110122126130134138142146150154158162166170174178182186190194198202206210214410141822263034384650545862667076[[#This Row],[Durée (100)]],".")</f>
        <v>.</v>
      </c>
      <c r="N20" s="266"/>
      <c r="O20" s="258" t="n">
        <f aca="false">IF($C20=0,"",$D20-$C20)</f>
        <v>0.03125</v>
      </c>
      <c r="P20" s="56" t="n">
        <f aca="false">IF($P$1=Horodateur112335381922313437434649525558616469852226343846505854626670747882909894102106114118110122126130134138142146150154158162166170174178182186190194198202206210214410141822263034384650545862667076[[#This Row],[Tâche]],Horodateur112335381922313437434649525558616469852226343846505854626670747882909894102106114118110122126130134138142146150154158162166170174178182186190194198202206210214410141822263034384650545862667076[[#This Row],[Durée (100)]],"")</f>
        <v>0.75</v>
      </c>
      <c r="Q20" s="56" t="str">
        <f aca="false">IF($Q$1=Horodateur112335381922313437434649525558616469852226343846505854626670747882909894102106114118110122126130134138142146150154158162166170174178182186190194198202206210214410141822263034384650545862667076[[#This Row],[Tâche]],Horodateur112335381922313437434649525558616469852226343846505854626670747882909894102106114118110122126130134138142146150154158162166170174178182186190194198202206210214410141822263034384650545862667076[[#This Row],[Durée (100)]],"")</f>
        <v/>
      </c>
      <c r="R20" s="56" t="str">
        <f aca="false">IF($R$1=Horodateur112335381922313437434649525558616469852226343846505854626670747882909894102106114118110122126130134138142146150154158162166170174178182186190194198202206210214410141822263034384650545862667076[[#This Row],[Tâche]],Horodateur112335381922313437434649525558616469852226343846505854626670747882909894102106114118110122126130134138142146150154158162166170174178182186190194198202206210214410141822263034384650545862667076[[#This Row],[Durée (100)]],"")</f>
        <v/>
      </c>
      <c r="S20" s="56" t="str">
        <f aca="false">IF($S$1=Horodateur112335381922313437434649525558616469852226343846505854626670747882909894102106114118110122126130134138142146150154158162166170174178182186190194198202206210214410141822263034384650545862667076[[#This Row],[Tâche]],Horodateur112335381922313437434649525558616469852226343846505854626670747882909894102106114118110122126130134138142146150154158162166170174178182186190194198202206210214410141822263034384650545862667076[[#This Row],[Durée (100)]],"")</f>
        <v/>
      </c>
      <c r="T20" s="56" t="str">
        <f aca="false">IF($T$1=Horodateur112335381922313437434649525558616469852226343846505854626670747882909894102106114118110122126130134138142146150154158162166170174178182186190194198202206210214410141822263034384650545862667076[[#This Row],[Tâche]],Horodateur112335381922313437434649525558616469852226343846505854626670747882909894102106114118110122126130134138142146150154158162166170174178182186190194198202206210214410141822263034384650545862667076[[#This Row],[Durée (100)]],"")</f>
        <v/>
      </c>
      <c r="U20" s="56" t="str">
        <f aca="false">IF($U$1=Horodateur112335381922313437434649525558616469852226343846505854626670747882909894102106114118110122126130134138142146150154158162166170174178182186190194198202206210214410141822263034384650545862667076[[#This Row],[Tâche]],Horodateur112335381922313437434649525558616469852226343846505854626670747882909894102106114118110122126130134138142146150154158162166170174178182186190194198202206210214410141822263034384650545862667076[[#This Row],[Durée (100)]],"")</f>
        <v/>
      </c>
      <c r="V20" s="56" t="str">
        <f aca="false">IF($V$1=Horodateur112335381922313437434649525558616469852226343846505854626670747882909894102106114118110122126130134138142146150154158162166170174178182186190194198202206210214410141822263034384650545862667076[[#This Row],[Tâche]],Horodateur112335381922313437434649525558616469852226343846505854626670747882909894102106114118110122126130134138142146150154158162166170174178182186190194198202206210214410141822263034384650545862667076[[#This Row],[Durée (100)]],"")</f>
        <v/>
      </c>
      <c r="W20" s="56" t="str">
        <f aca="false">IF($W$1=Horodateur112335381922313437434649525558616469852226343846505854626670747882909894102106114118110122126130134138142146150154158162166170174178182186190194198202206210214410141822263034384650545862667076[[#This Row],[Tâche]],Horodateur112335381922313437434649525558616469852226343846505854626670747882909894102106114118110122126130134138142146150154158162166170174178182186190194198202206210214410141822263034384650545862667076[[#This Row],[Durée (100)]],"")</f>
        <v/>
      </c>
      <c r="X20" s="174"/>
      <c r="Y20" s="71"/>
      <c r="Z20" s="71"/>
      <c r="AA20" s="71"/>
      <c r="AB20" s="71"/>
      <c r="AC20" s="71"/>
      <c r="AD20" s="71"/>
      <c r="AE20" s="71"/>
      <c r="AF20" s="71"/>
      <c r="AG20" s="71"/>
      <c r="AH20" s="71"/>
      <c r="AI20" s="71"/>
      <c r="AJ20" s="71"/>
      <c r="AK20" s="71"/>
      <c r="AL20" s="71"/>
      <c r="AM20" s="71"/>
      <c r="AN20" s="71"/>
      <c r="AO20" s="71"/>
      <c r="AP20" s="71"/>
      <c r="AQ20" s="71"/>
      <c r="AR20" s="71"/>
      <c r="AS20" s="71"/>
      <c r="AT20" s="71"/>
      <c r="AU20" s="71"/>
      <c r="AV20" s="71"/>
      <c r="AW20" s="71"/>
      <c r="AX20" s="71"/>
      <c r="AY20" s="71"/>
      <c r="AZ20" s="71"/>
      <c r="BA20" s="71"/>
      <c r="BB20" s="71"/>
    </row>
    <row r="21" customFormat="false" ht="15" hidden="false" customHeight="false" outlineLevel="0" collapsed="false">
      <c r="A21" s="256" t="n">
        <f aca="false">IF(Horodateur112335381922313437434649525558616469852226343846505854626670747882909894102106114118110122126130134138142146150154158162166170174178182186190194198202206210214410141822263034384650545862667076[[#This Row],[Jour]]="1- Lundi",$B$1+1, IF(Horodateur112335381922313437434649525558616469852226343846505854626670747882909894102106114118110122126130134138142146150154158162166170174178182186190194198202206210214410141822263034384650545862667076[[#This Row],[Jour]]="2- Mardi",$B$1+2, IF(Horodateur112335381922313437434649525558616469852226343846505854626670747882909894102106114118110122126130134138142146150154158162166170174178182186190194198202206210214410141822263034384650545862667076[[#This Row],[Jour]]="3- Mercredi",$B$1+3, IF(Horodateur112335381922313437434649525558616469852226343846505854626670747882909894102106114118110122126130134138142146150154158162166170174178182186190194198202206210214410141822263034384650545862667076[[#This Row],[Jour]]="4- Jeudi",$B$1+4, IF(Horodateur112335381922313437434649525558616469852226343846505854626670747882909894102106114118110122126130134138142146150154158162166170174178182186190194198202206210214410141822263034384650545862667076[[#This Row],[Jour]]="5- Vendredi",$B$1+5, IF(Horodateur112335381922313437434649525558616469852226343846505854626670747882909894102106114118110122126130134138142146150154158162166170174178182186190194198202206210214410141822263034384650545862667076[[#This Row],[Jour]]="6- Samedi",$B$1+6, IF(Horodateur112335381922313437434649525558616469852226343846505854626670747882909894102106114118110122126130134138142146150154158162166170174178182186190194198202206210214410141822263034384650545862667076[[#This Row],[Jour]]="7- Dimanche",$B$1, )))))))</f>
        <v>44308</v>
      </c>
      <c r="B21" s="257" t="s">
        <v>324</v>
      </c>
      <c r="C21" s="258" t="n">
        <v>0.40625</v>
      </c>
      <c r="D21" s="258" t="n">
        <v>0.416666666666667</v>
      </c>
      <c r="E21" s="71" t="s">
        <v>63</v>
      </c>
      <c r="F21" s="71" t="s">
        <v>19</v>
      </c>
      <c r="G21" s="259" t="s">
        <v>370</v>
      </c>
      <c r="H21" s="258"/>
      <c r="I21" s="260" t="n">
        <f aca="false">IF($C21=0,"",($O21-INT($O21))*24)</f>
        <v>0.25</v>
      </c>
      <c r="J21" s="261" t="n">
        <f aca="false">SUMIF(Horodateur112335381922313437434649525558616469852226343846505854626670747882909894102106114118110122126130134138142146150154158162166170174178182186190194198202206210214410141822263034384650545862667076[Jour],$B21,Horodateur112335381922313437434649525558616469852226343846505854626670747882909894102106114118110122126130134138142146150154158162166170174178182186190194198202206210214410141822263034384650545862667076[Durée (100)])</f>
        <v>7.75</v>
      </c>
      <c r="K21" s="265" t="n">
        <f aca="false">SUMIF(Horodateur112335381922313437434649525558616469852226343846505854626670747882909894102106114118110122126130134138142146150154158162166170174178182186190194198202206210214410141822263034384650545862667076[Jour],$B21,P$4:P$2003) / Horodateur112335381922313437434649525558616469852226343846505854626670747882909894102106114118110122126130134138142146150154158162166170174178182186190194198202206210214410141822263034384650545862667076[[#This Row],[hrs (100)]]</f>
        <v>0.774193548387097</v>
      </c>
      <c r="L21" s="263" t="s">
        <v>7</v>
      </c>
      <c r="M21" s="263" t="str">
        <f aca="false">IF(Horodateur112335381922313437434649525558616469852226343846505854626670747882909894102106114118110122126130134138142146150154158162166170174178182186190194198202206210214410141822263034384650545862667076[[#This Row],[%]]="o",Horodateur112335381922313437434649525558616469852226343846505854626670747882909894102106114118110122126130134138142146150154158162166170174178182186190194198202206210214410141822263034384650545862667076[[#This Row],[Durée (100)]],".")</f>
        <v>.</v>
      </c>
      <c r="N21" s="266"/>
      <c r="O21" s="258" t="n">
        <f aca="false">IF($C21=0,"",$D21-$C21)</f>
        <v>0.0104166666666667</v>
      </c>
      <c r="P21" s="56" t="n">
        <f aca="false">IF($P$1=Horodateur112335381922313437434649525558616469852226343846505854626670747882909894102106114118110122126130134138142146150154158162166170174178182186190194198202206210214410141822263034384650545862667076[[#This Row],[Tâche]],Horodateur112335381922313437434649525558616469852226343846505854626670747882909894102106114118110122126130134138142146150154158162166170174178182186190194198202206210214410141822263034384650545862667076[[#This Row],[Durée (100)]],"")</f>
        <v>0.25</v>
      </c>
      <c r="Q21" s="56" t="str">
        <f aca="false">IF($Q$1=Horodateur112335381922313437434649525558616469852226343846505854626670747882909894102106114118110122126130134138142146150154158162166170174178182186190194198202206210214410141822263034384650545862667076[[#This Row],[Tâche]],Horodateur112335381922313437434649525558616469852226343846505854626670747882909894102106114118110122126130134138142146150154158162166170174178182186190194198202206210214410141822263034384650545862667076[[#This Row],[Durée (100)]],"")</f>
        <v/>
      </c>
      <c r="R21" s="56" t="str">
        <f aca="false">IF($R$1=Horodateur112335381922313437434649525558616469852226343846505854626670747882909894102106114118110122126130134138142146150154158162166170174178182186190194198202206210214410141822263034384650545862667076[[#This Row],[Tâche]],Horodateur112335381922313437434649525558616469852226343846505854626670747882909894102106114118110122126130134138142146150154158162166170174178182186190194198202206210214410141822263034384650545862667076[[#This Row],[Durée (100)]],"")</f>
        <v/>
      </c>
      <c r="S21" s="56" t="str">
        <f aca="false">IF($S$1=Horodateur112335381922313437434649525558616469852226343846505854626670747882909894102106114118110122126130134138142146150154158162166170174178182186190194198202206210214410141822263034384650545862667076[[#This Row],[Tâche]],Horodateur112335381922313437434649525558616469852226343846505854626670747882909894102106114118110122126130134138142146150154158162166170174178182186190194198202206210214410141822263034384650545862667076[[#This Row],[Durée (100)]],"")</f>
        <v/>
      </c>
      <c r="T21" s="56" t="str">
        <f aca="false">IF($T$1=Horodateur112335381922313437434649525558616469852226343846505854626670747882909894102106114118110122126130134138142146150154158162166170174178182186190194198202206210214410141822263034384650545862667076[[#This Row],[Tâche]],Horodateur112335381922313437434649525558616469852226343846505854626670747882909894102106114118110122126130134138142146150154158162166170174178182186190194198202206210214410141822263034384650545862667076[[#This Row],[Durée (100)]],"")</f>
        <v/>
      </c>
      <c r="U21" s="56" t="str">
        <f aca="false">IF($U$1=Horodateur112335381922313437434649525558616469852226343846505854626670747882909894102106114118110122126130134138142146150154158162166170174178182186190194198202206210214410141822263034384650545862667076[[#This Row],[Tâche]],Horodateur112335381922313437434649525558616469852226343846505854626670747882909894102106114118110122126130134138142146150154158162166170174178182186190194198202206210214410141822263034384650545862667076[[#This Row],[Durée (100)]],"")</f>
        <v/>
      </c>
      <c r="V21" s="56" t="str">
        <f aca="false">IF($V$1=Horodateur112335381922313437434649525558616469852226343846505854626670747882909894102106114118110122126130134138142146150154158162166170174178182186190194198202206210214410141822263034384650545862667076[[#This Row],[Tâche]],Horodateur112335381922313437434649525558616469852226343846505854626670747882909894102106114118110122126130134138142146150154158162166170174178182186190194198202206210214410141822263034384650545862667076[[#This Row],[Durée (100)]],"")</f>
        <v/>
      </c>
      <c r="W21" s="56" t="str">
        <f aca="false">IF($W$1=Horodateur112335381922313437434649525558616469852226343846505854626670747882909894102106114118110122126130134138142146150154158162166170174178182186190194198202206210214410141822263034384650545862667076[[#This Row],[Tâche]],Horodateur112335381922313437434649525558616469852226343846505854626670747882909894102106114118110122126130134138142146150154158162166170174178182186190194198202206210214410141822263034384650545862667076[[#This Row],[Durée (100)]],"")</f>
        <v/>
      </c>
      <c r="X21" s="174"/>
      <c r="Y21" s="71"/>
      <c r="Z21" s="71"/>
      <c r="AA21" s="71"/>
      <c r="AB21" s="71"/>
      <c r="AC21" s="71"/>
      <c r="AD21" s="71"/>
      <c r="AE21" s="71"/>
      <c r="AF21" s="71"/>
      <c r="AG21" s="71"/>
      <c r="AH21" s="71"/>
      <c r="AI21" s="71"/>
      <c r="AJ21" s="71"/>
      <c r="AK21" s="71"/>
      <c r="AL21" s="71"/>
      <c r="AM21" s="71"/>
      <c r="AN21" s="71"/>
      <c r="AO21" s="71"/>
      <c r="AP21" s="71"/>
      <c r="AQ21" s="71"/>
      <c r="AR21" s="71"/>
      <c r="AS21" s="71"/>
      <c r="AT21" s="71"/>
      <c r="AU21" s="71"/>
      <c r="AV21" s="71"/>
      <c r="AW21" s="71"/>
      <c r="AX21" s="71"/>
      <c r="AY21" s="71"/>
      <c r="AZ21" s="71"/>
      <c r="BA21" s="71"/>
      <c r="BB21" s="71"/>
    </row>
    <row r="22" customFormat="false" ht="15" hidden="false" customHeight="false" outlineLevel="0" collapsed="false">
      <c r="A22" s="256" t="n">
        <f aca="false">IF(Horodateur112335381922313437434649525558616469852226343846505854626670747882909894102106114118110122126130134138142146150154158162166170174178182186190194198202206210214410141822263034384650545862667076[[#This Row],[Jour]]="1- Lundi",$B$1+1, IF(Horodateur112335381922313437434649525558616469852226343846505854626670747882909894102106114118110122126130134138142146150154158162166170174178182186190194198202206210214410141822263034384650545862667076[[#This Row],[Jour]]="2- Mardi",$B$1+2, IF(Horodateur112335381922313437434649525558616469852226343846505854626670747882909894102106114118110122126130134138142146150154158162166170174178182186190194198202206210214410141822263034384650545862667076[[#This Row],[Jour]]="3- Mercredi",$B$1+3, IF(Horodateur112335381922313437434649525558616469852226343846505854626670747882909894102106114118110122126130134138142146150154158162166170174178182186190194198202206210214410141822263034384650545862667076[[#This Row],[Jour]]="4- Jeudi",$B$1+4, IF(Horodateur112335381922313437434649525558616469852226343846505854626670747882909894102106114118110122126130134138142146150154158162166170174178182186190194198202206210214410141822263034384650545862667076[[#This Row],[Jour]]="5- Vendredi",$B$1+5, IF(Horodateur112335381922313437434649525558616469852226343846505854626670747882909894102106114118110122126130134138142146150154158162166170174178182186190194198202206210214410141822263034384650545862667076[[#This Row],[Jour]]="6- Samedi",$B$1+6, IF(Horodateur112335381922313437434649525558616469852226343846505854626670747882909894102106114118110122126130134138142146150154158162166170174178182186190194198202206210214410141822263034384650545862667076[[#This Row],[Jour]]="7- Dimanche",$B$1, )))))))</f>
        <v>44308</v>
      </c>
      <c r="B22" s="257" t="s">
        <v>324</v>
      </c>
      <c r="C22" s="258" t="n">
        <v>0.416666666666667</v>
      </c>
      <c r="D22" s="258" t="n">
        <v>0.458333333333333</v>
      </c>
      <c r="E22" s="71" t="s">
        <v>37</v>
      </c>
      <c r="F22" s="71" t="s">
        <v>19</v>
      </c>
      <c r="G22" s="259" t="s">
        <v>371</v>
      </c>
      <c r="H22" s="258"/>
      <c r="I22" s="260" t="n">
        <f aca="false">IF($C22=0,"",($O22-INT($O22))*24)</f>
        <v>1</v>
      </c>
      <c r="J22" s="261" t="n">
        <f aca="false">SUMIF(Horodateur112335381922313437434649525558616469852226343846505854626670747882909894102106114118110122126130134138142146150154158162166170174178182186190194198202206210214410141822263034384650545862667076[Jour],$B22,Horodateur112335381922313437434649525558616469852226343846505854626670747882909894102106114118110122126130134138142146150154158162166170174178182186190194198202206210214410141822263034384650545862667076[Durée (100)])</f>
        <v>7.75</v>
      </c>
      <c r="K22" s="265" t="n">
        <f aca="false">SUMIF(Horodateur112335381922313437434649525558616469852226343846505854626670747882909894102106114118110122126130134138142146150154158162166170174178182186190194198202206210214410141822263034384650545862667076[Jour],$B22,P$4:P$2003) / Horodateur112335381922313437434649525558616469852226343846505854626670747882909894102106114118110122126130134138142146150154158162166170174178182186190194198202206210214410141822263034384650545862667076[[#This Row],[hrs (100)]]</f>
        <v>0.774193548387097</v>
      </c>
      <c r="L22" s="263" t="s">
        <v>7</v>
      </c>
      <c r="M22" s="263" t="str">
        <f aca="false">IF(Horodateur112335381922313437434649525558616469852226343846505854626670747882909894102106114118110122126130134138142146150154158162166170174178182186190194198202206210214410141822263034384650545862667076[[#This Row],[%]]="o",Horodateur112335381922313437434649525558616469852226343846505854626670747882909894102106114118110122126130134138142146150154158162166170174178182186190194198202206210214410141822263034384650545862667076[[#This Row],[Durée (100)]],".")</f>
        <v>.</v>
      </c>
      <c r="N22" s="266"/>
      <c r="O22" s="258" t="n">
        <f aca="false">IF($C22=0,"",$D22-$C22)</f>
        <v>0.0416666666666667</v>
      </c>
      <c r="P22" s="56" t="n">
        <f aca="false">IF($P$1=Horodateur112335381922313437434649525558616469852226343846505854626670747882909894102106114118110122126130134138142146150154158162166170174178182186190194198202206210214410141822263034384650545862667076[[#This Row],[Tâche]],Horodateur112335381922313437434649525558616469852226343846505854626670747882909894102106114118110122126130134138142146150154158162166170174178182186190194198202206210214410141822263034384650545862667076[[#This Row],[Durée (100)]],"")</f>
        <v>0.999999999999999</v>
      </c>
      <c r="Q22" s="56" t="str">
        <f aca="false">IF($Q$1=Horodateur112335381922313437434649525558616469852226343846505854626670747882909894102106114118110122126130134138142146150154158162166170174178182186190194198202206210214410141822263034384650545862667076[[#This Row],[Tâche]],Horodateur112335381922313437434649525558616469852226343846505854626670747882909894102106114118110122126130134138142146150154158162166170174178182186190194198202206210214410141822263034384650545862667076[[#This Row],[Durée (100)]],"")</f>
        <v/>
      </c>
      <c r="R22" s="56" t="str">
        <f aca="false">IF($R$1=Horodateur112335381922313437434649525558616469852226343846505854626670747882909894102106114118110122126130134138142146150154158162166170174178182186190194198202206210214410141822263034384650545862667076[[#This Row],[Tâche]],Horodateur112335381922313437434649525558616469852226343846505854626670747882909894102106114118110122126130134138142146150154158162166170174178182186190194198202206210214410141822263034384650545862667076[[#This Row],[Durée (100)]],"")</f>
        <v/>
      </c>
      <c r="S22" s="56" t="str">
        <f aca="false">IF($S$1=Horodateur112335381922313437434649525558616469852226343846505854626670747882909894102106114118110122126130134138142146150154158162166170174178182186190194198202206210214410141822263034384650545862667076[[#This Row],[Tâche]],Horodateur112335381922313437434649525558616469852226343846505854626670747882909894102106114118110122126130134138142146150154158162166170174178182186190194198202206210214410141822263034384650545862667076[[#This Row],[Durée (100)]],"")</f>
        <v/>
      </c>
      <c r="T22" s="56" t="str">
        <f aca="false">IF($T$1=Horodateur112335381922313437434649525558616469852226343846505854626670747882909894102106114118110122126130134138142146150154158162166170174178182186190194198202206210214410141822263034384650545862667076[[#This Row],[Tâche]],Horodateur112335381922313437434649525558616469852226343846505854626670747882909894102106114118110122126130134138142146150154158162166170174178182186190194198202206210214410141822263034384650545862667076[[#This Row],[Durée (100)]],"")</f>
        <v/>
      </c>
      <c r="U22" s="56" t="str">
        <f aca="false">IF($U$1=Horodateur112335381922313437434649525558616469852226343846505854626670747882909894102106114118110122126130134138142146150154158162166170174178182186190194198202206210214410141822263034384650545862667076[[#This Row],[Tâche]],Horodateur112335381922313437434649525558616469852226343846505854626670747882909894102106114118110122126130134138142146150154158162166170174178182186190194198202206210214410141822263034384650545862667076[[#This Row],[Durée (100)]],"")</f>
        <v/>
      </c>
      <c r="V22" s="56" t="str">
        <f aca="false">IF($V$1=Horodateur112335381922313437434649525558616469852226343846505854626670747882909894102106114118110122126130134138142146150154158162166170174178182186190194198202206210214410141822263034384650545862667076[[#This Row],[Tâche]],Horodateur112335381922313437434649525558616469852226343846505854626670747882909894102106114118110122126130134138142146150154158162166170174178182186190194198202206210214410141822263034384650545862667076[[#This Row],[Durée (100)]],"")</f>
        <v/>
      </c>
      <c r="W22" s="56" t="str">
        <f aca="false">IF($W$1=Horodateur112335381922313437434649525558616469852226343846505854626670747882909894102106114118110122126130134138142146150154158162166170174178182186190194198202206210214410141822263034384650545862667076[[#This Row],[Tâche]],Horodateur112335381922313437434649525558616469852226343846505854626670747882909894102106114118110122126130134138142146150154158162166170174178182186190194198202206210214410141822263034384650545862667076[[#This Row],[Durée (100)]],"")</f>
        <v/>
      </c>
      <c r="X22" s="174"/>
      <c r="Y22" s="71"/>
      <c r="Z22" s="71"/>
      <c r="AA22" s="71"/>
      <c r="AB22" s="71"/>
      <c r="AC22" s="71"/>
      <c r="AD22" s="71"/>
      <c r="AE22" s="71"/>
      <c r="AF22" s="71"/>
      <c r="AG22" s="71"/>
      <c r="AH22" s="71"/>
      <c r="AI22" s="71"/>
      <c r="AJ22" s="71"/>
      <c r="AK22" s="71"/>
      <c r="AL22" s="71"/>
      <c r="AM22" s="71"/>
      <c r="AN22" s="71"/>
      <c r="AO22" s="71"/>
      <c r="AP22" s="71"/>
      <c r="AQ22" s="71"/>
      <c r="AR22" s="71"/>
      <c r="AS22" s="71"/>
      <c r="AT22" s="71"/>
      <c r="AU22" s="71"/>
      <c r="AV22" s="71"/>
      <c r="AW22" s="71"/>
      <c r="AX22" s="71"/>
      <c r="AY22" s="71"/>
      <c r="AZ22" s="71"/>
      <c r="BA22" s="71"/>
      <c r="BB22" s="71"/>
    </row>
    <row r="23" customFormat="false" ht="15" hidden="false" customHeight="false" outlineLevel="0" collapsed="false">
      <c r="A23" s="256" t="n">
        <f aca="false">IF(Horodateur112335381922313437434649525558616469852226343846505854626670747882909894102106114118110122126130134138142146150154158162166170174178182186190194198202206210214410141822263034384650545862667076[[#This Row],[Jour]]="1- Lundi",$B$1+1, IF(Horodateur112335381922313437434649525558616469852226343846505854626670747882909894102106114118110122126130134138142146150154158162166170174178182186190194198202206210214410141822263034384650545862667076[[#This Row],[Jour]]="2- Mardi",$B$1+2, IF(Horodateur112335381922313437434649525558616469852226343846505854626670747882909894102106114118110122126130134138142146150154158162166170174178182186190194198202206210214410141822263034384650545862667076[[#This Row],[Jour]]="3- Mercredi",$B$1+3, IF(Horodateur112335381922313437434649525558616469852226343846505854626670747882909894102106114118110122126130134138142146150154158162166170174178182186190194198202206210214410141822263034384650545862667076[[#This Row],[Jour]]="4- Jeudi",$B$1+4, IF(Horodateur112335381922313437434649525558616469852226343846505854626670747882909894102106114118110122126130134138142146150154158162166170174178182186190194198202206210214410141822263034384650545862667076[[#This Row],[Jour]]="5- Vendredi",$B$1+5, IF(Horodateur112335381922313437434649525558616469852226343846505854626670747882909894102106114118110122126130134138142146150154158162166170174178182186190194198202206210214410141822263034384650545862667076[[#This Row],[Jour]]="6- Samedi",$B$1+6, IF(Horodateur112335381922313437434649525558616469852226343846505854626670747882909894102106114118110122126130134138142146150154158162166170174178182186190194198202206210214410141822263034384650545862667076[[#This Row],[Jour]]="7- Dimanche",$B$1, )))))))</f>
        <v>44308</v>
      </c>
      <c r="B23" s="257" t="s">
        <v>324</v>
      </c>
      <c r="C23" s="258" t="n">
        <v>0.479166666666667</v>
      </c>
      <c r="D23" s="258" t="n">
        <v>0.5</v>
      </c>
      <c r="E23" s="71" t="s">
        <v>37</v>
      </c>
      <c r="F23" s="71" t="s">
        <v>19</v>
      </c>
      <c r="G23" s="259" t="s">
        <v>371</v>
      </c>
      <c r="H23" s="258"/>
      <c r="I23" s="260" t="n">
        <f aca="false">IF($C23=0,"",($O23-INT($O23))*24)</f>
        <v>0.5</v>
      </c>
      <c r="J23" s="261" t="n">
        <f aca="false">SUMIF(Horodateur112335381922313437434649525558616469852226343846505854626670747882909894102106114118110122126130134138142146150154158162166170174178182186190194198202206210214410141822263034384650545862667076[Jour],$B23,Horodateur112335381922313437434649525558616469852226343846505854626670747882909894102106114118110122126130134138142146150154158162166170174178182186190194198202206210214410141822263034384650545862667076[Durée (100)])</f>
        <v>7.75</v>
      </c>
      <c r="K23" s="265" t="n">
        <f aca="false">SUMIF(Horodateur112335381922313437434649525558616469852226343846505854626670747882909894102106114118110122126130134138142146150154158162166170174178182186190194198202206210214410141822263034384650545862667076[Jour],$B23,P$4:P$2003) / Horodateur112335381922313437434649525558616469852226343846505854626670747882909894102106114118110122126130134138142146150154158162166170174178182186190194198202206210214410141822263034384650545862667076[[#This Row],[hrs (100)]]</f>
        <v>0.774193548387097</v>
      </c>
      <c r="L23" s="263" t="s">
        <v>7</v>
      </c>
      <c r="M23" s="263" t="str">
        <f aca="false">IF(Horodateur112335381922313437434649525558616469852226343846505854626670747882909894102106114118110122126130134138142146150154158162166170174178182186190194198202206210214410141822263034384650545862667076[[#This Row],[%]]="o",Horodateur112335381922313437434649525558616469852226343846505854626670747882909894102106114118110122126130134138142146150154158162166170174178182186190194198202206210214410141822263034384650545862667076[[#This Row],[Durée (100)]],".")</f>
        <v>.</v>
      </c>
      <c r="N23" s="266"/>
      <c r="O23" s="258" t="n">
        <f aca="false">IF($C23=0,"",$D23-$C23)</f>
        <v>0.0208333333333333</v>
      </c>
      <c r="P23" s="56" t="n">
        <f aca="false">IF($P$1=Horodateur112335381922313437434649525558616469852226343846505854626670747882909894102106114118110122126130134138142146150154158162166170174178182186190194198202206210214410141822263034384650545862667076[[#This Row],[Tâche]],Horodateur112335381922313437434649525558616469852226343846505854626670747882909894102106114118110122126130134138142146150154158162166170174178182186190194198202206210214410141822263034384650545862667076[[#This Row],[Durée (100)]],"")</f>
        <v>0.5</v>
      </c>
      <c r="Q23" s="56" t="str">
        <f aca="false">IF($Q$1=Horodateur112335381922313437434649525558616469852226343846505854626670747882909894102106114118110122126130134138142146150154158162166170174178182186190194198202206210214410141822263034384650545862667076[[#This Row],[Tâche]],Horodateur112335381922313437434649525558616469852226343846505854626670747882909894102106114118110122126130134138142146150154158162166170174178182186190194198202206210214410141822263034384650545862667076[[#This Row],[Durée (100)]],"")</f>
        <v/>
      </c>
      <c r="R23" s="56" t="str">
        <f aca="false">IF($R$1=Horodateur112335381922313437434649525558616469852226343846505854626670747882909894102106114118110122126130134138142146150154158162166170174178182186190194198202206210214410141822263034384650545862667076[[#This Row],[Tâche]],Horodateur112335381922313437434649525558616469852226343846505854626670747882909894102106114118110122126130134138142146150154158162166170174178182186190194198202206210214410141822263034384650545862667076[[#This Row],[Durée (100)]],"")</f>
        <v/>
      </c>
      <c r="S23" s="56" t="str">
        <f aca="false">IF($S$1=Horodateur112335381922313437434649525558616469852226343846505854626670747882909894102106114118110122126130134138142146150154158162166170174178182186190194198202206210214410141822263034384650545862667076[[#This Row],[Tâche]],Horodateur112335381922313437434649525558616469852226343846505854626670747882909894102106114118110122126130134138142146150154158162166170174178182186190194198202206210214410141822263034384650545862667076[[#This Row],[Durée (100)]],"")</f>
        <v/>
      </c>
      <c r="T23" s="56" t="str">
        <f aca="false">IF($T$1=Horodateur112335381922313437434649525558616469852226343846505854626670747882909894102106114118110122126130134138142146150154158162166170174178182186190194198202206210214410141822263034384650545862667076[[#This Row],[Tâche]],Horodateur112335381922313437434649525558616469852226343846505854626670747882909894102106114118110122126130134138142146150154158162166170174178182186190194198202206210214410141822263034384650545862667076[[#This Row],[Durée (100)]],"")</f>
        <v/>
      </c>
      <c r="U23" s="56" t="str">
        <f aca="false">IF($U$1=Horodateur112335381922313437434649525558616469852226343846505854626670747882909894102106114118110122126130134138142146150154158162166170174178182186190194198202206210214410141822263034384650545862667076[[#This Row],[Tâche]],Horodateur112335381922313437434649525558616469852226343846505854626670747882909894102106114118110122126130134138142146150154158162166170174178182186190194198202206210214410141822263034384650545862667076[[#This Row],[Durée (100)]],"")</f>
        <v/>
      </c>
      <c r="V23" s="56" t="str">
        <f aca="false">IF($V$1=Horodateur112335381922313437434649525558616469852226343846505854626670747882909894102106114118110122126130134138142146150154158162166170174178182186190194198202206210214410141822263034384650545862667076[[#This Row],[Tâche]],Horodateur112335381922313437434649525558616469852226343846505854626670747882909894102106114118110122126130134138142146150154158162166170174178182186190194198202206210214410141822263034384650545862667076[[#This Row],[Durée (100)]],"")</f>
        <v/>
      </c>
      <c r="W23" s="56" t="str">
        <f aca="false">IF($W$1=Horodateur112335381922313437434649525558616469852226343846505854626670747882909894102106114118110122126130134138142146150154158162166170174178182186190194198202206210214410141822263034384650545862667076[[#This Row],[Tâche]],Horodateur112335381922313437434649525558616469852226343846505854626670747882909894102106114118110122126130134138142146150154158162166170174178182186190194198202206210214410141822263034384650545862667076[[#This Row],[Durée (100)]],"")</f>
        <v/>
      </c>
      <c r="X23" s="174"/>
      <c r="Y23" s="71"/>
      <c r="Z23" s="71"/>
      <c r="AA23" s="71"/>
      <c r="AB23" s="71"/>
      <c r="AC23" s="71"/>
      <c r="AD23" s="71"/>
      <c r="AE23" s="71"/>
      <c r="AF23" s="71"/>
      <c r="AG23" s="71"/>
      <c r="AH23" s="71"/>
      <c r="AI23" s="71"/>
      <c r="AJ23" s="71"/>
      <c r="AK23" s="71"/>
      <c r="AL23" s="71"/>
      <c r="AM23" s="71"/>
      <c r="AN23" s="71"/>
      <c r="AO23" s="71"/>
      <c r="AP23" s="71"/>
      <c r="AQ23" s="71"/>
      <c r="AR23" s="71"/>
      <c r="AS23" s="71"/>
      <c r="AT23" s="71"/>
      <c r="AU23" s="71"/>
      <c r="AV23" s="71"/>
      <c r="AW23" s="71"/>
      <c r="AX23" s="71"/>
      <c r="AY23" s="71"/>
      <c r="AZ23" s="71"/>
      <c r="BA23" s="71"/>
      <c r="BB23" s="71"/>
    </row>
    <row r="24" customFormat="false" ht="15" hidden="false" customHeight="false" outlineLevel="0" collapsed="false">
      <c r="A24" s="256" t="n">
        <f aca="false">IF(Horodateur112335381922313437434649525558616469852226343846505854626670747882909894102106114118110122126130134138142146150154158162166170174178182186190194198202206210214410141822263034384650545862667076[[#This Row],[Jour]]="1- Lundi",$B$1+1, IF(Horodateur112335381922313437434649525558616469852226343846505854626670747882909894102106114118110122126130134138142146150154158162166170174178182186190194198202206210214410141822263034384650545862667076[[#This Row],[Jour]]="2- Mardi",$B$1+2, IF(Horodateur112335381922313437434649525558616469852226343846505854626670747882909894102106114118110122126130134138142146150154158162166170174178182186190194198202206210214410141822263034384650545862667076[[#This Row],[Jour]]="3- Mercredi",$B$1+3, IF(Horodateur112335381922313437434649525558616469852226343846505854626670747882909894102106114118110122126130134138142146150154158162166170174178182186190194198202206210214410141822263034384650545862667076[[#This Row],[Jour]]="4- Jeudi",$B$1+4, IF(Horodateur112335381922313437434649525558616469852226343846505854626670747882909894102106114118110122126130134138142146150154158162166170174178182186190194198202206210214410141822263034384650545862667076[[#This Row],[Jour]]="5- Vendredi",$B$1+5, IF(Horodateur112335381922313437434649525558616469852226343846505854626670747882909894102106114118110122126130134138142146150154158162166170174178182186190194198202206210214410141822263034384650545862667076[[#This Row],[Jour]]="6- Samedi",$B$1+6, IF(Horodateur112335381922313437434649525558616469852226343846505854626670747882909894102106114118110122126130134138142146150154158162166170174178182186190194198202206210214410141822263034384650545862667076[[#This Row],[Jour]]="7- Dimanche",$B$1, )))))))</f>
        <v>44308</v>
      </c>
      <c r="B24" s="257" t="s">
        <v>324</v>
      </c>
      <c r="C24" s="258" t="n">
        <v>0.552083333333333</v>
      </c>
      <c r="D24" s="258" t="n">
        <v>0.572916666666667</v>
      </c>
      <c r="E24" s="71" t="s">
        <v>63</v>
      </c>
      <c r="F24" s="71" t="s">
        <v>19</v>
      </c>
      <c r="G24" s="259" t="s">
        <v>370</v>
      </c>
      <c r="H24" s="258"/>
      <c r="I24" s="260" t="n">
        <f aca="false">IF($C24=0,"",($O24-INT($O24))*24)</f>
        <v>0.5</v>
      </c>
      <c r="J24" s="261" t="n">
        <f aca="false">SUMIF(Horodateur112335381922313437434649525558616469852226343846505854626670747882909894102106114118110122126130134138142146150154158162166170174178182186190194198202206210214410141822263034384650545862667076[Jour],$B24,Horodateur112335381922313437434649525558616469852226343846505854626670747882909894102106114118110122126130134138142146150154158162166170174178182186190194198202206210214410141822263034384650545862667076[Durée (100)])</f>
        <v>7.75</v>
      </c>
      <c r="K24" s="265" t="n">
        <f aca="false">SUMIF(Horodateur112335381922313437434649525558616469852226343846505854626670747882909894102106114118110122126130134138142146150154158162166170174178182186190194198202206210214410141822263034384650545862667076[Jour],$B24,P$4:P$2003) / Horodateur112335381922313437434649525558616469852226343846505854626670747882909894102106114118110122126130134138142146150154158162166170174178182186190194198202206210214410141822263034384650545862667076[[#This Row],[hrs (100)]]</f>
        <v>0.774193548387097</v>
      </c>
      <c r="L24" s="263" t="s">
        <v>7</v>
      </c>
      <c r="M24" s="263" t="str">
        <f aca="false">IF(Horodateur112335381922313437434649525558616469852226343846505854626670747882909894102106114118110122126130134138142146150154158162166170174178182186190194198202206210214410141822263034384650545862667076[[#This Row],[%]]="o",Horodateur112335381922313437434649525558616469852226343846505854626670747882909894102106114118110122126130134138142146150154158162166170174178182186190194198202206210214410141822263034384650545862667076[[#This Row],[Durée (100)]],".")</f>
        <v>.</v>
      </c>
      <c r="N24" s="266"/>
      <c r="O24" s="258" t="n">
        <f aca="false">IF($C24=0,"",$D24-$C24)</f>
        <v>0.0208333333333333</v>
      </c>
      <c r="P24" s="56" t="n">
        <f aca="false">IF($P$1=Horodateur112335381922313437434649525558616469852226343846505854626670747882909894102106114118110122126130134138142146150154158162166170174178182186190194198202206210214410141822263034384650545862667076[[#This Row],[Tâche]],Horodateur112335381922313437434649525558616469852226343846505854626670747882909894102106114118110122126130134138142146150154158162166170174178182186190194198202206210214410141822263034384650545862667076[[#This Row],[Durée (100)]],"")</f>
        <v>0.499999999999998</v>
      </c>
      <c r="Q24" s="56" t="str">
        <f aca="false">IF($Q$1=Horodateur112335381922313437434649525558616469852226343846505854626670747882909894102106114118110122126130134138142146150154158162166170174178182186190194198202206210214410141822263034384650545862667076[[#This Row],[Tâche]],Horodateur112335381922313437434649525558616469852226343846505854626670747882909894102106114118110122126130134138142146150154158162166170174178182186190194198202206210214410141822263034384650545862667076[[#This Row],[Durée (100)]],"")</f>
        <v/>
      </c>
      <c r="R24" s="56" t="str">
        <f aca="false">IF($R$1=Horodateur112335381922313437434649525558616469852226343846505854626670747882909894102106114118110122126130134138142146150154158162166170174178182186190194198202206210214410141822263034384650545862667076[[#This Row],[Tâche]],Horodateur112335381922313437434649525558616469852226343846505854626670747882909894102106114118110122126130134138142146150154158162166170174178182186190194198202206210214410141822263034384650545862667076[[#This Row],[Durée (100)]],"")</f>
        <v/>
      </c>
      <c r="S24" s="56" t="str">
        <f aca="false">IF($S$1=Horodateur112335381922313437434649525558616469852226343846505854626670747882909894102106114118110122126130134138142146150154158162166170174178182186190194198202206210214410141822263034384650545862667076[[#This Row],[Tâche]],Horodateur112335381922313437434649525558616469852226343846505854626670747882909894102106114118110122126130134138142146150154158162166170174178182186190194198202206210214410141822263034384650545862667076[[#This Row],[Durée (100)]],"")</f>
        <v/>
      </c>
      <c r="T24" s="56" t="str">
        <f aca="false">IF($T$1=Horodateur112335381922313437434649525558616469852226343846505854626670747882909894102106114118110122126130134138142146150154158162166170174178182186190194198202206210214410141822263034384650545862667076[[#This Row],[Tâche]],Horodateur112335381922313437434649525558616469852226343846505854626670747882909894102106114118110122126130134138142146150154158162166170174178182186190194198202206210214410141822263034384650545862667076[[#This Row],[Durée (100)]],"")</f>
        <v/>
      </c>
      <c r="U24" s="56" t="str">
        <f aca="false">IF($U$1=Horodateur112335381922313437434649525558616469852226343846505854626670747882909894102106114118110122126130134138142146150154158162166170174178182186190194198202206210214410141822263034384650545862667076[[#This Row],[Tâche]],Horodateur112335381922313437434649525558616469852226343846505854626670747882909894102106114118110122126130134138142146150154158162166170174178182186190194198202206210214410141822263034384650545862667076[[#This Row],[Durée (100)]],"")</f>
        <v/>
      </c>
      <c r="V24" s="56" t="str">
        <f aca="false">IF($V$1=Horodateur112335381922313437434649525558616469852226343846505854626670747882909894102106114118110122126130134138142146150154158162166170174178182186190194198202206210214410141822263034384650545862667076[[#This Row],[Tâche]],Horodateur112335381922313437434649525558616469852226343846505854626670747882909894102106114118110122126130134138142146150154158162166170174178182186190194198202206210214410141822263034384650545862667076[[#This Row],[Durée (100)]],"")</f>
        <v/>
      </c>
      <c r="W24" s="56" t="str">
        <f aca="false">IF($W$1=Horodateur112335381922313437434649525558616469852226343846505854626670747882909894102106114118110122126130134138142146150154158162166170174178182186190194198202206210214410141822263034384650545862667076[[#This Row],[Tâche]],Horodateur112335381922313437434649525558616469852226343846505854626670747882909894102106114118110122126130134138142146150154158162166170174178182186190194198202206210214410141822263034384650545862667076[[#This Row],[Durée (100)]],"")</f>
        <v/>
      </c>
      <c r="X24" s="174"/>
      <c r="Y24" s="71"/>
      <c r="Z24" s="71"/>
      <c r="AA24" s="71"/>
      <c r="AB24" s="71"/>
      <c r="AC24" s="71"/>
      <c r="AD24" s="71"/>
      <c r="AE24" s="71"/>
      <c r="AF24" s="71"/>
      <c r="AG24" s="71"/>
      <c r="AH24" s="71"/>
      <c r="AI24" s="71"/>
      <c r="AJ24" s="71"/>
      <c r="AK24" s="71"/>
      <c r="AL24" s="71"/>
      <c r="AM24" s="71"/>
      <c r="AN24" s="71"/>
      <c r="AO24" s="71"/>
      <c r="AP24" s="71"/>
      <c r="AQ24" s="71"/>
      <c r="AR24" s="71"/>
      <c r="AS24" s="71"/>
      <c r="AT24" s="71"/>
      <c r="AU24" s="71"/>
      <c r="AV24" s="71"/>
      <c r="AW24" s="71"/>
      <c r="AX24" s="71"/>
      <c r="AY24" s="71"/>
      <c r="AZ24" s="71"/>
      <c r="BA24" s="71"/>
      <c r="BB24" s="71"/>
    </row>
    <row r="25" customFormat="false" ht="15" hidden="false" customHeight="false" outlineLevel="0" collapsed="false">
      <c r="A25" s="256" t="n">
        <f aca="false">IF(Horodateur112335381922313437434649525558616469852226343846505854626670747882909894102106114118110122126130134138142146150154158162166170174178182186190194198202206210214410141822263034384650545862667076[[#This Row],[Jour]]="1- Lundi",$B$1+1, IF(Horodateur112335381922313437434649525558616469852226343846505854626670747882909894102106114118110122126130134138142146150154158162166170174178182186190194198202206210214410141822263034384650545862667076[[#This Row],[Jour]]="2- Mardi",$B$1+2, IF(Horodateur112335381922313437434649525558616469852226343846505854626670747882909894102106114118110122126130134138142146150154158162166170174178182186190194198202206210214410141822263034384650545862667076[[#This Row],[Jour]]="3- Mercredi",$B$1+3, IF(Horodateur112335381922313437434649525558616469852226343846505854626670747882909894102106114118110122126130134138142146150154158162166170174178182186190194198202206210214410141822263034384650545862667076[[#This Row],[Jour]]="4- Jeudi",$B$1+4, IF(Horodateur112335381922313437434649525558616469852226343846505854626670747882909894102106114118110122126130134138142146150154158162166170174178182186190194198202206210214410141822263034384650545862667076[[#This Row],[Jour]]="5- Vendredi",$B$1+5, IF(Horodateur112335381922313437434649525558616469852226343846505854626670747882909894102106114118110122126130134138142146150154158162166170174178182186190194198202206210214410141822263034384650545862667076[[#This Row],[Jour]]="6- Samedi",$B$1+6, IF(Horodateur112335381922313437434649525558616469852226343846505854626670747882909894102106114118110122126130134138142146150154158162166170174178182186190194198202206210214410141822263034384650545862667076[[#This Row],[Jour]]="7- Dimanche",$B$1, )))))))</f>
        <v>44308</v>
      </c>
      <c r="B25" s="257" t="s">
        <v>324</v>
      </c>
      <c r="C25" s="258" t="n">
        <v>0.572916666666667</v>
      </c>
      <c r="D25" s="258" t="n">
        <v>0.583333333333333</v>
      </c>
      <c r="E25" s="71" t="s">
        <v>32</v>
      </c>
      <c r="F25" s="71" t="s">
        <v>21</v>
      </c>
      <c r="G25" s="259"/>
      <c r="H25" s="258"/>
      <c r="I25" s="260" t="n">
        <f aca="false">IF($C25=0,"",($O25-INT($O25))*24)</f>
        <v>0.25</v>
      </c>
      <c r="J25" s="261" t="n">
        <f aca="false">SUMIF(Horodateur112335381922313437434649525558616469852226343846505854626670747882909894102106114118110122126130134138142146150154158162166170174178182186190194198202206210214410141822263034384650545862667076[Jour],$B25,Horodateur112335381922313437434649525558616469852226343846505854626670747882909894102106114118110122126130134138142146150154158162166170174178182186190194198202206210214410141822263034384650545862667076[Durée (100)])</f>
        <v>7.75</v>
      </c>
      <c r="K25" s="265" t="n">
        <f aca="false">SUMIF(Horodateur112335381922313437434649525558616469852226343846505854626670747882909894102106114118110122126130134138142146150154158162166170174178182186190194198202206210214410141822263034384650545862667076[Jour],$B25,P$4:P$2003) / Horodateur112335381922313437434649525558616469852226343846505854626670747882909894102106114118110122126130134138142146150154158162166170174178182186190194198202206210214410141822263034384650545862667076[[#This Row],[hrs (100)]]</f>
        <v>0.774193548387097</v>
      </c>
      <c r="L25" s="263" t="s">
        <v>7</v>
      </c>
      <c r="M25" s="263" t="str">
        <f aca="false">IF(Horodateur112335381922313437434649525558616469852226343846505854626670747882909894102106114118110122126130134138142146150154158162166170174178182186190194198202206210214410141822263034384650545862667076[[#This Row],[%]]="o",Horodateur112335381922313437434649525558616469852226343846505854626670747882909894102106114118110122126130134138142146150154158162166170174178182186190194198202206210214410141822263034384650545862667076[[#This Row],[Durée (100)]],".")</f>
        <v>.</v>
      </c>
      <c r="N25" s="266"/>
      <c r="O25" s="258" t="n">
        <f aca="false">IF($C25=0,"",$D25-$C25)</f>
        <v>0.0104166666666667</v>
      </c>
      <c r="P25" s="56" t="str">
        <f aca="false">IF($P$1=Horodateur112335381922313437434649525558616469852226343846505854626670747882909894102106114118110122126130134138142146150154158162166170174178182186190194198202206210214410141822263034384650545862667076[[#This Row],[Tâche]],Horodateur112335381922313437434649525558616469852226343846505854626670747882909894102106114118110122126130134138142146150154158162166170174178182186190194198202206210214410141822263034384650545862667076[[#This Row],[Durée (100)]],"")</f>
        <v/>
      </c>
      <c r="Q25" s="56" t="str">
        <f aca="false">IF($Q$1=Horodateur112335381922313437434649525558616469852226343846505854626670747882909894102106114118110122126130134138142146150154158162166170174178182186190194198202206210214410141822263034384650545862667076[[#This Row],[Tâche]],Horodateur112335381922313437434649525558616469852226343846505854626670747882909894102106114118110122126130134138142146150154158162166170174178182186190194198202206210214410141822263034384650545862667076[[#This Row],[Durée (100)]],"")</f>
        <v/>
      </c>
      <c r="R25" s="56" t="n">
        <f aca="false">IF($R$1=Horodateur112335381922313437434649525558616469852226343846505854626670747882909894102106114118110122126130134138142146150154158162166170174178182186190194198202206210214410141822263034384650545862667076[[#This Row],[Tâche]],Horodateur112335381922313437434649525558616469852226343846505854626670747882909894102106114118110122126130134138142146150154158162166170174178182186190194198202206210214410141822263034384650545862667076[[#This Row],[Durée (100)]],"")</f>
        <v>0.250000000000002</v>
      </c>
      <c r="S25" s="56" t="str">
        <f aca="false">IF($S$1=Horodateur112335381922313437434649525558616469852226343846505854626670747882909894102106114118110122126130134138142146150154158162166170174178182186190194198202206210214410141822263034384650545862667076[[#This Row],[Tâche]],Horodateur112335381922313437434649525558616469852226343846505854626670747882909894102106114118110122126130134138142146150154158162166170174178182186190194198202206210214410141822263034384650545862667076[[#This Row],[Durée (100)]],"")</f>
        <v/>
      </c>
      <c r="T25" s="56" t="str">
        <f aca="false">IF($T$1=Horodateur112335381922313437434649525558616469852226343846505854626670747882909894102106114118110122126130134138142146150154158162166170174178182186190194198202206210214410141822263034384650545862667076[[#This Row],[Tâche]],Horodateur112335381922313437434649525558616469852226343846505854626670747882909894102106114118110122126130134138142146150154158162166170174178182186190194198202206210214410141822263034384650545862667076[[#This Row],[Durée (100)]],"")</f>
        <v/>
      </c>
      <c r="U25" s="56" t="str">
        <f aca="false">IF($U$1=Horodateur112335381922313437434649525558616469852226343846505854626670747882909894102106114118110122126130134138142146150154158162166170174178182186190194198202206210214410141822263034384650545862667076[[#This Row],[Tâche]],Horodateur112335381922313437434649525558616469852226343846505854626670747882909894102106114118110122126130134138142146150154158162166170174178182186190194198202206210214410141822263034384650545862667076[[#This Row],[Durée (100)]],"")</f>
        <v/>
      </c>
      <c r="V25" s="56" t="str">
        <f aca="false">IF($V$1=Horodateur112335381922313437434649525558616469852226343846505854626670747882909894102106114118110122126130134138142146150154158162166170174178182186190194198202206210214410141822263034384650545862667076[[#This Row],[Tâche]],Horodateur112335381922313437434649525558616469852226343846505854626670747882909894102106114118110122126130134138142146150154158162166170174178182186190194198202206210214410141822263034384650545862667076[[#This Row],[Durée (100)]],"")</f>
        <v/>
      </c>
      <c r="W25" s="56" t="str">
        <f aca="false">IF($W$1=Horodateur112335381922313437434649525558616469852226343846505854626670747882909894102106114118110122126130134138142146150154158162166170174178182186190194198202206210214410141822263034384650545862667076[[#This Row],[Tâche]],Horodateur112335381922313437434649525558616469852226343846505854626670747882909894102106114118110122126130134138142146150154158162166170174178182186190194198202206210214410141822263034384650545862667076[[#This Row],[Durée (100)]],"")</f>
        <v/>
      </c>
      <c r="X25" s="174"/>
      <c r="Y25" s="71"/>
      <c r="Z25" s="71"/>
      <c r="AA25" s="71"/>
      <c r="AB25" s="71"/>
      <c r="AC25" s="71"/>
      <c r="AD25" s="71"/>
      <c r="AE25" s="71"/>
      <c r="AF25" s="71"/>
      <c r="AG25" s="71"/>
      <c r="AH25" s="71"/>
      <c r="AI25" s="71"/>
      <c r="AJ25" s="71"/>
      <c r="AK25" s="71"/>
      <c r="AL25" s="71"/>
      <c r="AM25" s="71"/>
      <c r="AN25" s="71"/>
      <c r="AO25" s="71"/>
      <c r="AP25" s="71"/>
      <c r="AQ25" s="71"/>
      <c r="AR25" s="71"/>
      <c r="AS25" s="71"/>
      <c r="AT25" s="71"/>
      <c r="AU25" s="71"/>
      <c r="AV25" s="71"/>
      <c r="AW25" s="71"/>
      <c r="AX25" s="71"/>
      <c r="AY25" s="71"/>
      <c r="AZ25" s="71"/>
      <c r="BA25" s="71"/>
      <c r="BB25" s="71"/>
    </row>
    <row r="26" customFormat="false" ht="15" hidden="false" customHeight="false" outlineLevel="0" collapsed="false">
      <c r="A26" s="256" t="n">
        <f aca="false">IF(Horodateur112335381922313437434649525558616469852226343846505854626670747882909894102106114118110122126130134138142146150154158162166170174178182186190194198202206210214410141822263034384650545862667076[[#This Row],[Jour]]="1- Lundi",$B$1+1, IF(Horodateur112335381922313437434649525558616469852226343846505854626670747882909894102106114118110122126130134138142146150154158162166170174178182186190194198202206210214410141822263034384650545862667076[[#This Row],[Jour]]="2- Mardi",$B$1+2, IF(Horodateur112335381922313437434649525558616469852226343846505854626670747882909894102106114118110122126130134138142146150154158162166170174178182186190194198202206210214410141822263034384650545862667076[[#This Row],[Jour]]="3- Mercredi",$B$1+3, IF(Horodateur112335381922313437434649525558616469852226343846505854626670747882909894102106114118110122126130134138142146150154158162166170174178182186190194198202206210214410141822263034384650545862667076[[#This Row],[Jour]]="4- Jeudi",$B$1+4, IF(Horodateur112335381922313437434649525558616469852226343846505854626670747882909894102106114118110122126130134138142146150154158162166170174178182186190194198202206210214410141822263034384650545862667076[[#This Row],[Jour]]="5- Vendredi",$B$1+5, IF(Horodateur112335381922313437434649525558616469852226343846505854626670747882909894102106114118110122126130134138142146150154158162166170174178182186190194198202206210214410141822263034384650545862667076[[#This Row],[Jour]]="6- Samedi",$B$1+6, IF(Horodateur112335381922313437434649525558616469852226343846505854626670747882909894102106114118110122126130134138142146150154158162166170174178182186190194198202206210214410141822263034384650545862667076[[#This Row],[Jour]]="7- Dimanche",$B$1, )))))))</f>
        <v>44308</v>
      </c>
      <c r="B26" s="257" t="s">
        <v>324</v>
      </c>
      <c r="C26" s="258" t="n">
        <v>0.583333333333333</v>
      </c>
      <c r="D26" s="258" t="n">
        <v>0.6875</v>
      </c>
      <c r="E26" s="71" t="s">
        <v>37</v>
      </c>
      <c r="F26" s="71" t="s">
        <v>19</v>
      </c>
      <c r="G26" s="259" t="s">
        <v>371</v>
      </c>
      <c r="H26" s="258"/>
      <c r="I26" s="260" t="n">
        <f aca="false">IF($C26=0,"",($O26-INT($O26))*24)</f>
        <v>2.5</v>
      </c>
      <c r="J26" s="261" t="n">
        <f aca="false">SUMIF(Horodateur112335381922313437434649525558616469852226343846505854626670747882909894102106114118110122126130134138142146150154158162166170174178182186190194198202206210214410141822263034384650545862667076[Jour],$B26,Horodateur112335381922313437434649525558616469852226343846505854626670747882909894102106114118110122126130134138142146150154158162166170174178182186190194198202206210214410141822263034384650545862667076[Durée (100)])</f>
        <v>7.75</v>
      </c>
      <c r="K26" s="265" t="n">
        <f aca="false">SUMIF(Horodateur112335381922313437434649525558616469852226343846505854626670747882909894102106114118110122126130134138142146150154158162166170174178182186190194198202206210214410141822263034384650545862667076[Jour],$B26,P$4:P$2003) / Horodateur112335381922313437434649525558616469852226343846505854626670747882909894102106114118110122126130134138142146150154158162166170174178182186190194198202206210214410141822263034384650545862667076[[#This Row],[hrs (100)]]</f>
        <v>0.774193548387097</v>
      </c>
      <c r="L26" s="263" t="s">
        <v>7</v>
      </c>
      <c r="M26" s="263" t="str">
        <f aca="false">IF(Horodateur112335381922313437434649525558616469852226343846505854626670747882909894102106114118110122126130134138142146150154158162166170174178182186190194198202206210214410141822263034384650545862667076[[#This Row],[%]]="o",Horodateur112335381922313437434649525558616469852226343846505854626670747882909894102106114118110122126130134138142146150154158162166170174178182186190194198202206210214410141822263034384650545862667076[[#This Row],[Durée (100)]],".")</f>
        <v>.</v>
      </c>
      <c r="N26" s="266"/>
      <c r="O26" s="258" t="n">
        <f aca="false">IF($C26=0,"",$D26-$C26)</f>
        <v>0.104166666666667</v>
      </c>
      <c r="P26" s="56" t="n">
        <f aca="false">IF($P$1=Horodateur112335381922313437434649525558616469852226343846505854626670747882909894102106114118110122126130134138142146150154158162166170174178182186190194198202206210214410141822263034384650545862667076[[#This Row],[Tâche]],Horodateur112335381922313437434649525558616469852226343846505854626670747882909894102106114118110122126130134138142146150154158162166170174178182186190194198202206210214410141822263034384650545862667076[[#This Row],[Durée (100)]],"")</f>
        <v>2.5</v>
      </c>
      <c r="Q26" s="56" t="str">
        <f aca="false">IF($Q$1=Horodateur112335381922313437434649525558616469852226343846505854626670747882909894102106114118110122126130134138142146150154158162166170174178182186190194198202206210214410141822263034384650545862667076[[#This Row],[Tâche]],Horodateur112335381922313437434649525558616469852226343846505854626670747882909894102106114118110122126130134138142146150154158162166170174178182186190194198202206210214410141822263034384650545862667076[[#This Row],[Durée (100)]],"")</f>
        <v/>
      </c>
      <c r="R26" s="56" t="str">
        <f aca="false">IF($R$1=Horodateur112335381922313437434649525558616469852226343846505854626670747882909894102106114118110122126130134138142146150154158162166170174178182186190194198202206210214410141822263034384650545862667076[[#This Row],[Tâche]],Horodateur112335381922313437434649525558616469852226343846505854626670747882909894102106114118110122126130134138142146150154158162166170174178182186190194198202206210214410141822263034384650545862667076[[#This Row],[Durée (100)]],"")</f>
        <v/>
      </c>
      <c r="S26" s="56" t="str">
        <f aca="false">IF($S$1=Horodateur112335381922313437434649525558616469852226343846505854626670747882909894102106114118110122126130134138142146150154158162166170174178182186190194198202206210214410141822263034384650545862667076[[#This Row],[Tâche]],Horodateur112335381922313437434649525558616469852226343846505854626670747882909894102106114118110122126130134138142146150154158162166170174178182186190194198202206210214410141822263034384650545862667076[[#This Row],[Durée (100)]],"")</f>
        <v/>
      </c>
      <c r="T26" s="56" t="str">
        <f aca="false">IF($T$1=Horodateur112335381922313437434649525558616469852226343846505854626670747882909894102106114118110122126130134138142146150154158162166170174178182186190194198202206210214410141822263034384650545862667076[[#This Row],[Tâche]],Horodateur112335381922313437434649525558616469852226343846505854626670747882909894102106114118110122126130134138142146150154158162166170174178182186190194198202206210214410141822263034384650545862667076[[#This Row],[Durée (100)]],"")</f>
        <v/>
      </c>
      <c r="U26" s="56" t="str">
        <f aca="false">IF($U$1=Horodateur112335381922313437434649525558616469852226343846505854626670747882909894102106114118110122126130134138142146150154158162166170174178182186190194198202206210214410141822263034384650545862667076[[#This Row],[Tâche]],Horodateur112335381922313437434649525558616469852226343846505854626670747882909894102106114118110122126130134138142146150154158162166170174178182186190194198202206210214410141822263034384650545862667076[[#This Row],[Durée (100)]],"")</f>
        <v/>
      </c>
      <c r="V26" s="56" t="str">
        <f aca="false">IF($V$1=Horodateur112335381922313437434649525558616469852226343846505854626670747882909894102106114118110122126130134138142146150154158162166170174178182186190194198202206210214410141822263034384650545862667076[[#This Row],[Tâche]],Horodateur112335381922313437434649525558616469852226343846505854626670747882909894102106114118110122126130134138142146150154158162166170174178182186190194198202206210214410141822263034384650545862667076[[#This Row],[Durée (100)]],"")</f>
        <v/>
      </c>
      <c r="W26" s="56" t="str">
        <f aca="false">IF($W$1=Horodateur112335381922313437434649525558616469852226343846505854626670747882909894102106114118110122126130134138142146150154158162166170174178182186190194198202206210214410141822263034384650545862667076[[#This Row],[Tâche]],Horodateur112335381922313437434649525558616469852226343846505854626670747882909894102106114118110122126130134138142146150154158162166170174178182186190194198202206210214410141822263034384650545862667076[[#This Row],[Durée (100)]],"")</f>
        <v/>
      </c>
      <c r="X26" s="174"/>
      <c r="Y26" s="71"/>
      <c r="Z26" s="71"/>
      <c r="AA26" s="71"/>
      <c r="AB26" s="71"/>
      <c r="AC26" s="71"/>
      <c r="AD26" s="71"/>
      <c r="AE26" s="71"/>
      <c r="AF26" s="71"/>
      <c r="AG26" s="71"/>
      <c r="AH26" s="71"/>
      <c r="AI26" s="71"/>
      <c r="AJ26" s="71"/>
      <c r="AK26" s="71"/>
      <c r="AL26" s="71"/>
      <c r="AM26" s="71"/>
      <c r="AN26" s="71"/>
      <c r="AO26" s="71"/>
      <c r="AP26" s="71"/>
      <c r="AQ26" s="71"/>
      <c r="AR26" s="71"/>
      <c r="AS26" s="71"/>
      <c r="AT26" s="71"/>
      <c r="AU26" s="71"/>
      <c r="AV26" s="71"/>
      <c r="AW26" s="71"/>
      <c r="AX26" s="71"/>
      <c r="AY26" s="71"/>
      <c r="AZ26" s="71"/>
      <c r="BA26" s="71"/>
      <c r="BB26" s="71"/>
    </row>
    <row r="27" customFormat="false" ht="15" hidden="false" customHeight="false" outlineLevel="0" collapsed="false">
      <c r="A27" s="256" t="n">
        <f aca="false">IF(Horodateur112335381922313437434649525558616469852226343846505854626670747882909894102106114118110122126130134138142146150154158162166170174178182186190194198202206210214410141822263034384650545862667076[[#This Row],[Jour]]="1- Lundi",$B$1+1, IF(Horodateur112335381922313437434649525558616469852226343846505854626670747882909894102106114118110122126130134138142146150154158162166170174178182186190194198202206210214410141822263034384650545862667076[[#This Row],[Jour]]="2- Mardi",$B$1+2, IF(Horodateur112335381922313437434649525558616469852226343846505854626670747882909894102106114118110122126130134138142146150154158162166170174178182186190194198202206210214410141822263034384650545862667076[[#This Row],[Jour]]="3- Mercredi",$B$1+3, IF(Horodateur112335381922313437434649525558616469852226343846505854626670747882909894102106114118110122126130134138142146150154158162166170174178182186190194198202206210214410141822263034384650545862667076[[#This Row],[Jour]]="4- Jeudi",$B$1+4, IF(Horodateur112335381922313437434649525558616469852226343846505854626670747882909894102106114118110122126130134138142146150154158162166170174178182186190194198202206210214410141822263034384650545862667076[[#This Row],[Jour]]="5- Vendredi",$B$1+5, IF(Horodateur112335381922313437434649525558616469852226343846505854626670747882909894102106114118110122126130134138142146150154158162166170174178182186190194198202206210214410141822263034384650545862667076[[#This Row],[Jour]]="6- Samedi",$B$1+6, IF(Horodateur112335381922313437434649525558616469852226343846505854626670747882909894102106114118110122126130134138142146150154158162166170174178182186190194198202206210214410141822263034384650545862667076[[#This Row],[Jour]]="7- Dimanche",$B$1, )))))))</f>
        <v>44308</v>
      </c>
      <c r="B27" s="257" t="s">
        <v>324</v>
      </c>
      <c r="C27" s="258" t="n">
        <v>0.6875</v>
      </c>
      <c r="D27" s="258" t="n">
        <v>0.708333333333333</v>
      </c>
      <c r="E27" s="71" t="s">
        <v>63</v>
      </c>
      <c r="F27" s="71" t="s">
        <v>19</v>
      </c>
      <c r="G27" s="259" t="s">
        <v>372</v>
      </c>
      <c r="H27" s="258"/>
      <c r="I27" s="260" t="n">
        <f aca="false">IF($C27=0,"",($O27-INT($O27))*24)</f>
        <v>0.5</v>
      </c>
      <c r="J27" s="261" t="n">
        <f aca="false">SUMIF(Horodateur112335381922313437434649525558616469852226343846505854626670747882909894102106114118110122126130134138142146150154158162166170174178182186190194198202206210214410141822263034384650545862667076[Jour],$B27,Horodateur112335381922313437434649525558616469852226343846505854626670747882909894102106114118110122126130134138142146150154158162166170174178182186190194198202206210214410141822263034384650545862667076[Durée (100)])</f>
        <v>7.75</v>
      </c>
      <c r="K27" s="265" t="n">
        <f aca="false">SUMIF(Horodateur112335381922313437434649525558616469852226343846505854626670747882909894102106114118110122126130134138142146150154158162166170174178182186190194198202206210214410141822263034384650545862667076[Jour],$B27,P$4:P$2003) / Horodateur112335381922313437434649525558616469852226343846505854626670747882909894102106114118110122126130134138142146150154158162166170174178182186190194198202206210214410141822263034384650545862667076[[#This Row],[hrs (100)]]</f>
        <v>0.774193548387097</v>
      </c>
      <c r="L27" s="263" t="s">
        <v>7</v>
      </c>
      <c r="M27" s="263" t="str">
        <f aca="false">IF(Horodateur112335381922313437434649525558616469852226343846505854626670747882909894102106114118110122126130134138142146150154158162166170174178182186190194198202206210214410141822263034384650545862667076[[#This Row],[%]]="o",Horodateur112335381922313437434649525558616469852226343846505854626670747882909894102106114118110122126130134138142146150154158162166170174178182186190194198202206210214410141822263034384650545862667076[[#This Row],[Durée (100)]],".")</f>
        <v>.</v>
      </c>
      <c r="N27" s="266"/>
      <c r="O27" s="258" t="n">
        <f aca="false">IF($C27=0,"",$D27-$C27)</f>
        <v>0.0208333333333334</v>
      </c>
      <c r="P27" s="56" t="n">
        <f aca="false">IF($P$1=Horodateur112335381922313437434649525558616469852226343846505854626670747882909894102106114118110122126130134138142146150154158162166170174178182186190194198202206210214410141822263034384650545862667076[[#This Row],[Tâche]],Horodateur112335381922313437434649525558616469852226343846505854626670747882909894102106114118110122126130134138142146150154158162166170174178182186190194198202206210214410141822263034384650545862667076[[#This Row],[Durée (100)]],"")</f>
        <v>0.500000000000001</v>
      </c>
      <c r="Q27" s="56" t="str">
        <f aca="false">IF($Q$1=Horodateur112335381922313437434649525558616469852226343846505854626670747882909894102106114118110122126130134138142146150154158162166170174178182186190194198202206210214410141822263034384650545862667076[[#This Row],[Tâche]],Horodateur112335381922313437434649525558616469852226343846505854626670747882909894102106114118110122126130134138142146150154158162166170174178182186190194198202206210214410141822263034384650545862667076[[#This Row],[Durée (100)]],"")</f>
        <v/>
      </c>
      <c r="R27" s="56" t="str">
        <f aca="false">IF($R$1=Horodateur112335381922313437434649525558616469852226343846505854626670747882909894102106114118110122126130134138142146150154158162166170174178182186190194198202206210214410141822263034384650545862667076[[#This Row],[Tâche]],Horodateur112335381922313437434649525558616469852226343846505854626670747882909894102106114118110122126130134138142146150154158162166170174178182186190194198202206210214410141822263034384650545862667076[[#This Row],[Durée (100)]],"")</f>
        <v/>
      </c>
      <c r="S27" s="56" t="str">
        <f aca="false">IF($S$1=Horodateur112335381922313437434649525558616469852226343846505854626670747882909894102106114118110122126130134138142146150154158162166170174178182186190194198202206210214410141822263034384650545862667076[[#This Row],[Tâche]],Horodateur112335381922313437434649525558616469852226343846505854626670747882909894102106114118110122126130134138142146150154158162166170174178182186190194198202206210214410141822263034384650545862667076[[#This Row],[Durée (100)]],"")</f>
        <v/>
      </c>
      <c r="T27" s="56" t="str">
        <f aca="false">IF($T$1=Horodateur112335381922313437434649525558616469852226343846505854626670747882909894102106114118110122126130134138142146150154158162166170174178182186190194198202206210214410141822263034384650545862667076[[#This Row],[Tâche]],Horodateur112335381922313437434649525558616469852226343846505854626670747882909894102106114118110122126130134138142146150154158162166170174178182186190194198202206210214410141822263034384650545862667076[[#This Row],[Durée (100)]],"")</f>
        <v/>
      </c>
      <c r="U27" s="56" t="str">
        <f aca="false">IF($U$1=Horodateur112335381922313437434649525558616469852226343846505854626670747882909894102106114118110122126130134138142146150154158162166170174178182186190194198202206210214410141822263034384650545862667076[[#This Row],[Tâche]],Horodateur112335381922313437434649525558616469852226343846505854626670747882909894102106114118110122126130134138142146150154158162166170174178182186190194198202206210214410141822263034384650545862667076[[#This Row],[Durée (100)]],"")</f>
        <v/>
      </c>
      <c r="V27" s="56" t="str">
        <f aca="false">IF($V$1=Horodateur112335381922313437434649525558616469852226343846505854626670747882909894102106114118110122126130134138142146150154158162166170174178182186190194198202206210214410141822263034384650545862667076[[#This Row],[Tâche]],Horodateur112335381922313437434649525558616469852226343846505854626670747882909894102106114118110122126130134138142146150154158162166170174178182186190194198202206210214410141822263034384650545862667076[[#This Row],[Durée (100)]],"")</f>
        <v/>
      </c>
      <c r="W27" s="56" t="str">
        <f aca="false">IF($W$1=Horodateur112335381922313437434649525558616469852226343846505854626670747882909894102106114118110122126130134138142146150154158162166170174178182186190194198202206210214410141822263034384650545862667076[[#This Row],[Tâche]],Horodateur112335381922313437434649525558616469852226343846505854626670747882909894102106114118110122126130134138142146150154158162166170174178182186190194198202206210214410141822263034384650545862667076[[#This Row],[Durée (100)]],"")</f>
        <v/>
      </c>
      <c r="X27" s="174"/>
      <c r="Y27" s="71"/>
      <c r="Z27" s="71"/>
      <c r="AA27" s="71"/>
      <c r="AB27" s="71"/>
      <c r="AC27" s="71"/>
      <c r="AD27" s="71"/>
      <c r="AE27" s="71"/>
      <c r="AF27" s="71"/>
      <c r="AG27" s="71"/>
      <c r="AH27" s="71"/>
      <c r="AI27" s="71"/>
      <c r="AJ27" s="71"/>
      <c r="AK27" s="71"/>
      <c r="AL27" s="71"/>
      <c r="AM27" s="71"/>
      <c r="AN27" s="71"/>
      <c r="AO27" s="71"/>
      <c r="AP27" s="71"/>
      <c r="AQ27" s="71"/>
      <c r="AR27" s="71"/>
      <c r="AS27" s="71"/>
      <c r="AT27" s="71"/>
      <c r="AU27" s="71"/>
      <c r="AV27" s="71"/>
      <c r="AW27" s="71"/>
      <c r="AX27" s="71"/>
      <c r="AY27" s="71"/>
      <c r="AZ27" s="71"/>
      <c r="BA27" s="71"/>
      <c r="BB27" s="71"/>
    </row>
    <row r="28" customFormat="false" ht="15" hidden="false" customHeight="false" outlineLevel="0" collapsed="false">
      <c r="A28" s="256" t="n">
        <f aca="false">IF(Horodateur112335381922313437434649525558616469852226343846505854626670747882909894102106114118110122126130134138142146150154158162166170174178182186190194198202206210214410141822263034384650545862667076[[#This Row],[Jour]]="1- Lundi",$B$1+1, IF(Horodateur112335381922313437434649525558616469852226343846505854626670747882909894102106114118110122126130134138142146150154158162166170174178182186190194198202206210214410141822263034384650545862667076[[#This Row],[Jour]]="2- Mardi",$B$1+2, IF(Horodateur112335381922313437434649525558616469852226343846505854626670747882909894102106114118110122126130134138142146150154158162166170174178182186190194198202206210214410141822263034384650545862667076[[#This Row],[Jour]]="3- Mercredi",$B$1+3, IF(Horodateur112335381922313437434649525558616469852226343846505854626670747882909894102106114118110122126130134138142146150154158162166170174178182186190194198202206210214410141822263034384650545862667076[[#This Row],[Jour]]="4- Jeudi",$B$1+4, IF(Horodateur112335381922313437434649525558616469852226343846505854626670747882909894102106114118110122126130134138142146150154158162166170174178182186190194198202206210214410141822263034384650545862667076[[#This Row],[Jour]]="5- Vendredi",$B$1+5, IF(Horodateur112335381922313437434649525558616469852226343846505854626670747882909894102106114118110122126130134138142146150154158162166170174178182186190194198202206210214410141822263034384650545862667076[[#This Row],[Jour]]="6- Samedi",$B$1+6, IF(Horodateur112335381922313437434649525558616469852226343846505854626670747882909894102106114118110122126130134138142146150154158162166170174178182186190194198202206210214410141822263034384650545862667076[[#This Row],[Jour]]="7- Dimanche",$B$1, )))))))</f>
        <v>44308</v>
      </c>
      <c r="B28" s="257" t="s">
        <v>324</v>
      </c>
      <c r="C28" s="258" t="n">
        <v>0.708333333333333</v>
      </c>
      <c r="D28" s="258" t="n">
        <v>0.729166666666667</v>
      </c>
      <c r="E28" s="71" t="s">
        <v>32</v>
      </c>
      <c r="F28" s="71" t="s">
        <v>22</v>
      </c>
      <c r="G28" s="259"/>
      <c r="H28" s="258"/>
      <c r="I28" s="260" t="n">
        <f aca="false">IF($C28=0,"",($O28-INT($O28))*24)</f>
        <v>0.5</v>
      </c>
      <c r="J28" s="261" t="n">
        <f aca="false">SUMIF(Horodateur112335381922313437434649525558616469852226343846505854626670747882909894102106114118110122126130134138142146150154158162166170174178182186190194198202206210214410141822263034384650545862667076[Jour],$B28,Horodateur112335381922313437434649525558616469852226343846505854626670747882909894102106114118110122126130134138142146150154158162166170174178182186190194198202206210214410141822263034384650545862667076[Durée (100)])</f>
        <v>7.75</v>
      </c>
      <c r="K28" s="265" t="n">
        <f aca="false">SUMIF(Horodateur112335381922313437434649525558616469852226343846505854626670747882909894102106114118110122126130134138142146150154158162166170174178182186190194198202206210214410141822263034384650545862667076[Jour],$B28,P$4:P$2003) / Horodateur112335381922313437434649525558616469852226343846505854626670747882909894102106114118110122126130134138142146150154158162166170174178182186190194198202206210214410141822263034384650545862667076[[#This Row],[hrs (100)]]</f>
        <v>0.774193548387097</v>
      </c>
      <c r="L28" s="263" t="s">
        <v>7</v>
      </c>
      <c r="M28" s="263" t="str">
        <f aca="false">IF(Horodateur112335381922313437434649525558616469852226343846505854626670747882909894102106114118110122126130134138142146150154158162166170174178182186190194198202206210214410141822263034384650545862667076[[#This Row],[%]]="o",Horodateur112335381922313437434649525558616469852226343846505854626670747882909894102106114118110122126130134138142146150154158162166170174178182186190194198202206210214410141822263034384650545862667076[[#This Row],[Durée (100)]],".")</f>
        <v>.</v>
      </c>
      <c r="N28" s="266"/>
      <c r="O28" s="258" t="n">
        <f aca="false">IF($C28=0,"",$D28-$C28)</f>
        <v>0.0208333333333333</v>
      </c>
      <c r="P28" s="56" t="str">
        <f aca="false">IF($P$1=Horodateur112335381922313437434649525558616469852226343846505854626670747882909894102106114118110122126130134138142146150154158162166170174178182186190194198202206210214410141822263034384650545862667076[[#This Row],[Tâche]],Horodateur112335381922313437434649525558616469852226343846505854626670747882909894102106114118110122126130134138142146150154158162166170174178182186190194198202206210214410141822263034384650545862667076[[#This Row],[Durée (100)]],"")</f>
        <v/>
      </c>
      <c r="Q28" s="56" t="str">
        <f aca="false">IF($Q$1=Horodateur112335381922313437434649525558616469852226343846505854626670747882909894102106114118110122126130134138142146150154158162166170174178182186190194198202206210214410141822263034384650545862667076[[#This Row],[Tâche]],Horodateur112335381922313437434649525558616469852226343846505854626670747882909894102106114118110122126130134138142146150154158162166170174178182186190194198202206210214410141822263034384650545862667076[[#This Row],[Durée (100)]],"")</f>
        <v/>
      </c>
      <c r="R28" s="56" t="str">
        <f aca="false">IF($R$1=Horodateur112335381922313437434649525558616469852226343846505854626670747882909894102106114118110122126130134138142146150154158162166170174178182186190194198202206210214410141822263034384650545862667076[[#This Row],[Tâche]],Horodateur112335381922313437434649525558616469852226343846505854626670747882909894102106114118110122126130134138142146150154158162166170174178182186190194198202206210214410141822263034384650545862667076[[#This Row],[Durée (100)]],"")</f>
        <v/>
      </c>
      <c r="S28" s="56" t="n">
        <f aca="false">IF($S$1=Horodateur112335381922313437434649525558616469852226343846505854626670747882909894102106114118110122126130134138142146150154158162166170174178182186190194198202206210214410141822263034384650545862667076[[#This Row],[Tâche]],Horodateur112335381922313437434649525558616469852226343846505854626670747882909894102106114118110122126130134138142146150154158162166170174178182186190194198202206210214410141822263034384650545862667076[[#This Row],[Durée (100)]],"")</f>
        <v>0.499999999999998</v>
      </c>
      <c r="T28" s="56" t="str">
        <f aca="false">IF($T$1=Horodateur112335381922313437434649525558616469852226343846505854626670747882909894102106114118110122126130134138142146150154158162166170174178182186190194198202206210214410141822263034384650545862667076[[#This Row],[Tâche]],Horodateur112335381922313437434649525558616469852226343846505854626670747882909894102106114118110122126130134138142146150154158162166170174178182186190194198202206210214410141822263034384650545862667076[[#This Row],[Durée (100)]],"")</f>
        <v/>
      </c>
      <c r="U28" s="56" t="str">
        <f aca="false">IF($U$1=Horodateur112335381922313437434649525558616469852226343846505854626670747882909894102106114118110122126130134138142146150154158162166170174178182186190194198202206210214410141822263034384650545862667076[[#This Row],[Tâche]],Horodateur112335381922313437434649525558616469852226343846505854626670747882909894102106114118110122126130134138142146150154158162166170174178182186190194198202206210214410141822263034384650545862667076[[#This Row],[Durée (100)]],"")</f>
        <v/>
      </c>
      <c r="V28" s="56" t="str">
        <f aca="false">IF($V$1=Horodateur112335381922313437434649525558616469852226343846505854626670747882909894102106114118110122126130134138142146150154158162166170174178182186190194198202206210214410141822263034384650545862667076[[#This Row],[Tâche]],Horodateur112335381922313437434649525558616469852226343846505854626670747882909894102106114118110122126130134138142146150154158162166170174178182186190194198202206210214410141822263034384650545862667076[[#This Row],[Durée (100)]],"")</f>
        <v/>
      </c>
      <c r="W28" s="56" t="str">
        <f aca="false">IF($W$1=Horodateur112335381922313437434649525558616469852226343846505854626670747882909894102106114118110122126130134138142146150154158162166170174178182186190194198202206210214410141822263034384650545862667076[[#This Row],[Tâche]],Horodateur112335381922313437434649525558616469852226343846505854626670747882909894102106114118110122126130134138142146150154158162166170174178182186190194198202206210214410141822263034384650545862667076[[#This Row],[Durée (100)]],"")</f>
        <v/>
      </c>
      <c r="X28" s="174"/>
      <c r="Y28" s="71"/>
      <c r="Z28" s="71"/>
      <c r="AA28" s="71"/>
      <c r="AB28" s="71"/>
      <c r="AC28" s="71"/>
      <c r="AD28" s="71"/>
      <c r="AE28" s="71"/>
      <c r="AF28" s="71"/>
      <c r="AG28" s="71"/>
      <c r="AH28" s="71"/>
      <c r="AI28" s="71"/>
      <c r="AJ28" s="71"/>
      <c r="AK28" s="71"/>
      <c r="AL28" s="71"/>
      <c r="AM28" s="71"/>
      <c r="AN28" s="71"/>
      <c r="AO28" s="71"/>
      <c r="AP28" s="71"/>
      <c r="AQ28" s="71"/>
      <c r="AR28" s="71"/>
      <c r="AS28" s="71"/>
      <c r="AT28" s="71"/>
      <c r="AU28" s="71"/>
      <c r="AV28" s="71"/>
      <c r="AW28" s="71"/>
      <c r="AX28" s="71"/>
      <c r="AY28" s="71"/>
      <c r="AZ28" s="71"/>
      <c r="BA28" s="71"/>
      <c r="BB28" s="71"/>
    </row>
    <row r="29" customFormat="false" ht="15" hidden="false" customHeight="false" outlineLevel="0" collapsed="false">
      <c r="A29" s="256" t="n">
        <f aca="false">IF(Horodateur112335381922313437434649525558616469852226343846505854626670747882909894102106114118110122126130134138142146150154158162166170174178182186190194198202206210214410141822263034384650545862667076[[#This Row],[Jour]]="1- Lundi",$B$1+1, IF(Horodateur112335381922313437434649525558616469852226343846505854626670747882909894102106114118110122126130134138142146150154158162166170174178182186190194198202206210214410141822263034384650545862667076[[#This Row],[Jour]]="2- Mardi",$B$1+2, IF(Horodateur112335381922313437434649525558616469852226343846505854626670747882909894102106114118110122126130134138142146150154158162166170174178182186190194198202206210214410141822263034384650545862667076[[#This Row],[Jour]]="3- Mercredi",$B$1+3, IF(Horodateur112335381922313437434649525558616469852226343846505854626670747882909894102106114118110122126130134138142146150154158162166170174178182186190194198202206210214410141822263034384650545862667076[[#This Row],[Jour]]="4- Jeudi",$B$1+4, IF(Horodateur112335381922313437434649525558616469852226343846505854626670747882909894102106114118110122126130134138142146150154158162166170174178182186190194198202206210214410141822263034384650545862667076[[#This Row],[Jour]]="5- Vendredi",$B$1+5, IF(Horodateur112335381922313437434649525558616469852226343846505854626670747882909894102106114118110122126130134138142146150154158162166170174178182186190194198202206210214410141822263034384650545862667076[[#This Row],[Jour]]="6- Samedi",$B$1+6, IF(Horodateur112335381922313437434649525558616469852226343846505854626670747882909894102106114118110122126130134138142146150154158162166170174178182186190194198202206210214410141822263034384650545862667076[[#This Row],[Jour]]="7- Dimanche",$B$1, )))))))</f>
        <v>44309</v>
      </c>
      <c r="B29" s="257" t="s">
        <v>332</v>
      </c>
      <c r="C29" s="258" t="n">
        <v>0.3125</v>
      </c>
      <c r="D29" s="258" t="n">
        <v>0.354166666666667</v>
      </c>
      <c r="E29" s="71" t="s">
        <v>32</v>
      </c>
      <c r="F29" s="71" t="s">
        <v>22</v>
      </c>
      <c r="G29" s="259"/>
      <c r="H29" s="258"/>
      <c r="I29" s="260" t="n">
        <f aca="false">IF($C29=0,"",($O29-INT($O29))*24)</f>
        <v>1</v>
      </c>
      <c r="J29" s="261" t="n">
        <f aca="false">SUMIF(Horodateur112335381922313437434649525558616469852226343846505854626670747882909894102106114118110122126130134138142146150154158162166170174178182186190194198202206210214410141822263034384650545862667076[Jour],$B29,Horodateur112335381922313437434649525558616469852226343846505854626670747882909894102106114118110122126130134138142146150154158162166170174178182186190194198202206210214410141822263034384650545862667076[Durée (100)])</f>
        <v>9</v>
      </c>
      <c r="K29" s="265" t="n">
        <f aca="false">SUMIF(Horodateur112335381922313437434649525558616469852226343846505854626670747882909894102106114118110122126130134138142146150154158162166170174178182186190194198202206210214410141822263034384650545862667076[Jour],$B29,P$4:P$2003) / Horodateur112335381922313437434649525558616469852226343846505854626670747882909894102106114118110122126130134138142146150154158162166170174178182186190194198202206210214410141822263034384650545862667076[[#This Row],[hrs (100)]]</f>
        <v>0.111111111111111</v>
      </c>
      <c r="L29" s="263" t="s">
        <v>7</v>
      </c>
      <c r="M29" s="263" t="str">
        <f aca="false">IF(Horodateur112335381922313437434649525558616469852226343846505854626670747882909894102106114118110122126130134138142146150154158162166170174178182186190194198202206210214410141822263034384650545862667076[[#This Row],[%]]="o",Horodateur112335381922313437434649525558616469852226343846505854626670747882909894102106114118110122126130134138142146150154158162166170174178182186190194198202206210214410141822263034384650545862667076[[#This Row],[Durée (100)]],".")</f>
        <v>.</v>
      </c>
      <c r="N29" s="266"/>
      <c r="O29" s="258" t="n">
        <f aca="false">IF($C29=0,"",$D29-$C29)</f>
        <v>0.0416666666666667</v>
      </c>
      <c r="P29" s="56" t="str">
        <f aca="false">IF($P$1=Horodateur112335381922313437434649525558616469852226343846505854626670747882909894102106114118110122126130134138142146150154158162166170174178182186190194198202206210214410141822263034384650545862667076[[#This Row],[Tâche]],Horodateur112335381922313437434649525558616469852226343846505854626670747882909894102106114118110122126130134138142146150154158162166170174178182186190194198202206210214410141822263034384650545862667076[[#This Row],[Durée (100)]],"")</f>
        <v/>
      </c>
      <c r="Q29" s="56" t="str">
        <f aca="false">IF($Q$1=Horodateur112335381922313437434649525558616469852226343846505854626670747882909894102106114118110122126130134138142146150154158162166170174178182186190194198202206210214410141822263034384650545862667076[[#This Row],[Tâche]],Horodateur112335381922313437434649525558616469852226343846505854626670747882909894102106114118110122126130134138142146150154158162166170174178182186190194198202206210214410141822263034384650545862667076[[#This Row],[Durée (100)]],"")</f>
        <v/>
      </c>
      <c r="R29" s="56" t="str">
        <f aca="false">IF($R$1=Horodateur112335381922313437434649525558616469852226343846505854626670747882909894102106114118110122126130134138142146150154158162166170174178182186190194198202206210214410141822263034384650545862667076[[#This Row],[Tâche]],Horodateur112335381922313437434649525558616469852226343846505854626670747882909894102106114118110122126130134138142146150154158162166170174178182186190194198202206210214410141822263034384650545862667076[[#This Row],[Durée (100)]],"")</f>
        <v/>
      </c>
      <c r="S29" s="56" t="n">
        <f aca="false">IF($S$1=Horodateur112335381922313437434649525558616469852226343846505854626670747882909894102106114118110122126130134138142146150154158162166170174178182186190194198202206210214410141822263034384650545862667076[[#This Row],[Tâche]],Horodateur112335381922313437434649525558616469852226343846505854626670747882909894102106114118110122126130134138142146150154158162166170174178182186190194198202206210214410141822263034384650545862667076[[#This Row],[Durée (100)]],"")</f>
        <v>1</v>
      </c>
      <c r="T29" s="56" t="str">
        <f aca="false">IF($T$1=Horodateur112335381922313437434649525558616469852226343846505854626670747882909894102106114118110122126130134138142146150154158162166170174178182186190194198202206210214410141822263034384650545862667076[[#This Row],[Tâche]],Horodateur112335381922313437434649525558616469852226343846505854626670747882909894102106114118110122126130134138142146150154158162166170174178182186190194198202206210214410141822263034384650545862667076[[#This Row],[Durée (100)]],"")</f>
        <v/>
      </c>
      <c r="U29" s="56" t="str">
        <f aca="false">IF($U$1=Horodateur112335381922313437434649525558616469852226343846505854626670747882909894102106114118110122126130134138142146150154158162166170174178182186190194198202206210214410141822263034384650545862667076[[#This Row],[Tâche]],Horodateur112335381922313437434649525558616469852226343846505854626670747882909894102106114118110122126130134138142146150154158162166170174178182186190194198202206210214410141822263034384650545862667076[[#This Row],[Durée (100)]],"")</f>
        <v/>
      </c>
      <c r="V29" s="56" t="str">
        <f aca="false">IF($V$1=Horodateur112335381922313437434649525558616469852226343846505854626670747882909894102106114118110122126130134138142146150154158162166170174178182186190194198202206210214410141822263034384650545862667076[[#This Row],[Tâche]],Horodateur112335381922313437434649525558616469852226343846505854626670747882909894102106114118110122126130134138142146150154158162166170174178182186190194198202206210214410141822263034384650545862667076[[#This Row],[Durée (100)]],"")</f>
        <v/>
      </c>
      <c r="W29" s="56" t="str">
        <f aca="false">IF($W$1=Horodateur112335381922313437434649525558616469852226343846505854626670747882909894102106114118110122126130134138142146150154158162166170174178182186190194198202206210214410141822263034384650545862667076[[#This Row],[Tâche]],Horodateur112335381922313437434649525558616469852226343846505854626670747882909894102106114118110122126130134138142146150154158162166170174178182186190194198202206210214410141822263034384650545862667076[[#This Row],[Durée (100)]],"")</f>
        <v/>
      </c>
      <c r="X29" s="174"/>
      <c r="Y29" s="71"/>
      <c r="Z29" s="71"/>
      <c r="AA29" s="71"/>
      <c r="AB29" s="71"/>
      <c r="AC29" s="71"/>
      <c r="AD29" s="71"/>
      <c r="AE29" s="71"/>
      <c r="AF29" s="71"/>
      <c r="AG29" s="71"/>
      <c r="AH29" s="71"/>
      <c r="AI29" s="71"/>
      <c r="AJ29" s="71"/>
      <c r="AK29" s="71"/>
      <c r="AL29" s="71"/>
      <c r="AM29" s="71"/>
      <c r="AN29" s="71"/>
      <c r="AO29" s="71"/>
      <c r="AP29" s="71"/>
      <c r="AQ29" s="71"/>
      <c r="AR29" s="71"/>
      <c r="AS29" s="71"/>
      <c r="AT29" s="71"/>
      <c r="AU29" s="71"/>
      <c r="AV29" s="71"/>
      <c r="AW29" s="71"/>
      <c r="AX29" s="71"/>
      <c r="AY29" s="71"/>
      <c r="AZ29" s="71"/>
      <c r="BA29" s="71"/>
      <c r="BB29" s="71"/>
    </row>
    <row r="30" customFormat="false" ht="15" hidden="false" customHeight="false" outlineLevel="0" collapsed="false">
      <c r="A30" s="256" t="n">
        <f aca="false">IF(Horodateur112335381922313437434649525558616469852226343846505854626670747882909894102106114118110122126130134138142146150154158162166170174178182186190194198202206210214410141822263034384650545862667076[[#This Row],[Jour]]="1- Lundi",$B$1+1, IF(Horodateur112335381922313437434649525558616469852226343846505854626670747882909894102106114118110122126130134138142146150154158162166170174178182186190194198202206210214410141822263034384650545862667076[[#This Row],[Jour]]="2- Mardi",$B$1+2, IF(Horodateur112335381922313437434649525558616469852226343846505854626670747882909894102106114118110122126130134138142146150154158162166170174178182186190194198202206210214410141822263034384650545862667076[[#This Row],[Jour]]="3- Mercredi",$B$1+3, IF(Horodateur112335381922313437434649525558616469852226343846505854626670747882909894102106114118110122126130134138142146150154158162166170174178182186190194198202206210214410141822263034384650545862667076[[#This Row],[Jour]]="4- Jeudi",$B$1+4, IF(Horodateur112335381922313437434649525558616469852226343846505854626670747882909894102106114118110122126130134138142146150154158162166170174178182186190194198202206210214410141822263034384650545862667076[[#This Row],[Jour]]="5- Vendredi",$B$1+5, IF(Horodateur112335381922313437434649525558616469852226343846505854626670747882909894102106114118110122126130134138142146150154158162166170174178182186190194198202206210214410141822263034384650545862667076[[#This Row],[Jour]]="6- Samedi",$B$1+6, IF(Horodateur112335381922313437434649525558616469852226343846505854626670747882909894102106114118110122126130134138142146150154158162166170174178182186190194198202206210214410141822263034384650545862667076[[#This Row],[Jour]]="7- Dimanche",$B$1, )))))))</f>
        <v>44309</v>
      </c>
      <c r="B30" s="257" t="s">
        <v>332</v>
      </c>
      <c r="C30" s="258" t="n">
        <v>0.354166666666667</v>
      </c>
      <c r="D30" s="258" t="n">
        <v>0.416666666666667</v>
      </c>
      <c r="E30" s="71" t="s">
        <v>71</v>
      </c>
      <c r="F30" s="267" t="s">
        <v>23</v>
      </c>
      <c r="G30" s="259"/>
      <c r="H30" s="258"/>
      <c r="I30" s="260" t="n">
        <f aca="false">IF($C30=0,"",($O30-INT($O30))*24)</f>
        <v>1.5</v>
      </c>
      <c r="J30" s="261" t="n">
        <f aca="false">SUMIF(Horodateur112335381922313437434649525558616469852226343846505854626670747882909894102106114118110122126130134138142146150154158162166170174178182186190194198202206210214410141822263034384650545862667076[Jour],$B30,Horodateur112335381922313437434649525558616469852226343846505854626670747882909894102106114118110122126130134138142146150154158162166170174178182186190194198202206210214410141822263034384650545862667076[Durée (100)])</f>
        <v>9</v>
      </c>
      <c r="K30" s="265" t="n">
        <f aca="false">SUMIF(Horodateur112335381922313437434649525558616469852226343846505854626670747882909894102106114118110122126130134138142146150154158162166170174178182186190194198202206210214410141822263034384650545862667076[Jour],$B30,P$4:P$2003) / Horodateur112335381922313437434649525558616469852226343846505854626670747882909894102106114118110122126130134138142146150154158162166170174178182186190194198202206210214410141822263034384650545862667076[[#This Row],[hrs (100)]]</f>
        <v>0.111111111111111</v>
      </c>
      <c r="L30" s="263" t="s">
        <v>7</v>
      </c>
      <c r="M30" s="263" t="str">
        <f aca="false">IF(Horodateur112335381922313437434649525558616469852226343846505854626670747882909894102106114118110122126130134138142146150154158162166170174178182186190194198202206210214410141822263034384650545862667076[[#This Row],[%]]="o",Horodateur112335381922313437434649525558616469852226343846505854626670747882909894102106114118110122126130134138142146150154158162166170174178182186190194198202206210214410141822263034384650545862667076[[#This Row],[Durée (100)]],".")</f>
        <v>.</v>
      </c>
      <c r="N30" s="266"/>
      <c r="O30" s="258" t="n">
        <f aca="false">IF($C30=0,"",$D30-$C30)</f>
        <v>0.0625</v>
      </c>
      <c r="P30" s="56" t="str">
        <f aca="false">IF($P$1=Horodateur112335381922313437434649525558616469852226343846505854626670747882909894102106114118110122126130134138142146150154158162166170174178182186190194198202206210214410141822263034384650545862667076[[#This Row],[Tâche]],Horodateur112335381922313437434649525558616469852226343846505854626670747882909894102106114118110122126130134138142146150154158162166170174178182186190194198202206210214410141822263034384650545862667076[[#This Row],[Durée (100)]],"")</f>
        <v/>
      </c>
      <c r="Q30" s="56" t="str">
        <f aca="false">IF($Q$1=Horodateur112335381922313437434649525558616469852226343846505854626670747882909894102106114118110122126130134138142146150154158162166170174178182186190194198202206210214410141822263034384650545862667076[[#This Row],[Tâche]],Horodateur112335381922313437434649525558616469852226343846505854626670747882909894102106114118110122126130134138142146150154158162166170174178182186190194198202206210214410141822263034384650545862667076[[#This Row],[Durée (100)]],"")</f>
        <v/>
      </c>
      <c r="R30" s="56" t="str">
        <f aca="false">IF($R$1=Horodateur112335381922313437434649525558616469852226343846505854626670747882909894102106114118110122126130134138142146150154158162166170174178182186190194198202206210214410141822263034384650545862667076[[#This Row],[Tâche]],Horodateur112335381922313437434649525558616469852226343846505854626670747882909894102106114118110122126130134138142146150154158162166170174178182186190194198202206210214410141822263034384650545862667076[[#This Row],[Durée (100)]],"")</f>
        <v/>
      </c>
      <c r="S30" s="56" t="str">
        <f aca="false">IF($S$1=Horodateur112335381922313437434649525558616469852226343846505854626670747882909894102106114118110122126130134138142146150154158162166170174178182186190194198202206210214410141822263034384650545862667076[[#This Row],[Tâche]],Horodateur112335381922313437434649525558616469852226343846505854626670747882909894102106114118110122126130134138142146150154158162166170174178182186190194198202206210214410141822263034384650545862667076[[#This Row],[Durée (100)]],"")</f>
        <v/>
      </c>
      <c r="T30" s="56" t="n">
        <f aca="false">IF($T$1=Horodateur112335381922313437434649525558616469852226343846505854626670747882909894102106114118110122126130134138142146150154158162166170174178182186190194198202206210214410141822263034384650545862667076[[#This Row],[Tâche]],Horodateur112335381922313437434649525558616469852226343846505854626670747882909894102106114118110122126130134138142146150154158162166170174178182186190194198202206210214410141822263034384650545862667076[[#This Row],[Durée (100)]],"")</f>
        <v>1.5</v>
      </c>
      <c r="U30" s="56" t="str">
        <f aca="false">IF($U$1=Horodateur112335381922313437434649525558616469852226343846505854626670747882909894102106114118110122126130134138142146150154158162166170174178182186190194198202206210214410141822263034384650545862667076[[#This Row],[Tâche]],Horodateur112335381922313437434649525558616469852226343846505854626670747882909894102106114118110122126130134138142146150154158162166170174178182186190194198202206210214410141822263034384650545862667076[[#This Row],[Durée (100)]],"")</f>
        <v/>
      </c>
      <c r="V30" s="56" t="str">
        <f aca="false">IF($V$1=Horodateur112335381922313437434649525558616469852226343846505854626670747882909894102106114118110122126130134138142146150154158162166170174178182186190194198202206210214410141822263034384650545862667076[[#This Row],[Tâche]],Horodateur112335381922313437434649525558616469852226343846505854626670747882909894102106114118110122126130134138142146150154158162166170174178182186190194198202206210214410141822263034384650545862667076[[#This Row],[Durée (100)]],"")</f>
        <v/>
      </c>
      <c r="W30" s="56" t="str">
        <f aca="false">IF($W$1=Horodateur112335381922313437434649525558616469852226343846505854626670747882909894102106114118110122126130134138142146150154158162166170174178182186190194198202206210214410141822263034384650545862667076[[#This Row],[Tâche]],Horodateur112335381922313437434649525558616469852226343846505854626670747882909894102106114118110122126130134138142146150154158162166170174178182186190194198202206210214410141822263034384650545862667076[[#This Row],[Durée (100)]],"")</f>
        <v/>
      </c>
      <c r="X30" s="174"/>
      <c r="Y30" s="71"/>
      <c r="Z30" s="71"/>
      <c r="AA30" s="71"/>
      <c r="AB30" s="71"/>
      <c r="AC30" s="71"/>
      <c r="AD30" s="71"/>
      <c r="AE30" s="71"/>
      <c r="AF30" s="71"/>
      <c r="AG30" s="71"/>
      <c r="AH30" s="71"/>
      <c r="AI30" s="71"/>
      <c r="AJ30" s="71"/>
      <c r="AK30" s="71"/>
      <c r="AL30" s="71"/>
      <c r="AM30" s="71"/>
      <c r="AN30" s="71"/>
      <c r="AO30" s="71"/>
      <c r="AP30" s="71"/>
      <c r="AQ30" s="71"/>
      <c r="AR30" s="71"/>
      <c r="AS30" s="71"/>
      <c r="AT30" s="71"/>
      <c r="AU30" s="71"/>
      <c r="AV30" s="71"/>
      <c r="AW30" s="71"/>
      <c r="AX30" s="71"/>
      <c r="AY30" s="71"/>
      <c r="AZ30" s="71"/>
      <c r="BA30" s="71"/>
      <c r="BB30" s="71"/>
    </row>
    <row r="31" customFormat="false" ht="15" hidden="false" customHeight="false" outlineLevel="0" collapsed="false">
      <c r="A31" s="256" t="n">
        <f aca="false">IF(Horodateur112335381922313437434649525558616469852226343846505854626670747882909894102106114118110122126130134138142146150154158162166170174178182186190194198202206210214410141822263034384650545862667076[[#This Row],[Jour]]="1- Lundi",$B$1+1, IF(Horodateur112335381922313437434649525558616469852226343846505854626670747882909894102106114118110122126130134138142146150154158162166170174178182186190194198202206210214410141822263034384650545862667076[[#This Row],[Jour]]="2- Mardi",$B$1+2, IF(Horodateur112335381922313437434649525558616469852226343846505854626670747882909894102106114118110122126130134138142146150154158162166170174178182186190194198202206210214410141822263034384650545862667076[[#This Row],[Jour]]="3- Mercredi",$B$1+3, IF(Horodateur112335381922313437434649525558616469852226343846505854626670747882909894102106114118110122126130134138142146150154158162166170174178182186190194198202206210214410141822263034384650545862667076[[#This Row],[Jour]]="4- Jeudi",$B$1+4, IF(Horodateur112335381922313437434649525558616469852226343846505854626670747882909894102106114118110122126130134138142146150154158162166170174178182186190194198202206210214410141822263034384650545862667076[[#This Row],[Jour]]="5- Vendredi",$B$1+5, IF(Horodateur112335381922313437434649525558616469852226343846505854626670747882909894102106114118110122126130134138142146150154158162166170174178182186190194198202206210214410141822263034384650545862667076[[#This Row],[Jour]]="6- Samedi",$B$1+6, IF(Horodateur112335381922313437434649525558616469852226343846505854626670747882909894102106114118110122126130134138142146150154158162166170174178182186190194198202206210214410141822263034384650545862667076[[#This Row],[Jour]]="7- Dimanche",$B$1, )))))))</f>
        <v>44309</v>
      </c>
      <c r="B31" s="257" t="s">
        <v>332</v>
      </c>
      <c r="C31" s="258" t="n">
        <v>0.416666666666667</v>
      </c>
      <c r="D31" s="258" t="n">
        <v>0.458333333333333</v>
      </c>
      <c r="E31" s="71" t="s">
        <v>59</v>
      </c>
      <c r="F31" s="71" t="s">
        <v>19</v>
      </c>
      <c r="G31" s="259" t="s">
        <v>373</v>
      </c>
      <c r="H31" s="258"/>
      <c r="I31" s="260" t="n">
        <f aca="false">IF($C31=0,"",($O31-INT($O31))*24)</f>
        <v>1</v>
      </c>
      <c r="J31" s="261" t="n">
        <f aca="false">SUMIF(Horodateur112335381922313437434649525558616469852226343846505854626670747882909894102106114118110122126130134138142146150154158162166170174178182186190194198202206210214410141822263034384650545862667076[Jour],$B31,Horodateur112335381922313437434649525558616469852226343846505854626670747882909894102106114118110122126130134138142146150154158162166170174178182186190194198202206210214410141822263034384650545862667076[Durée (100)])</f>
        <v>9</v>
      </c>
      <c r="K31" s="265" t="n">
        <f aca="false">SUMIF(Horodateur112335381922313437434649525558616469852226343846505854626670747882909894102106114118110122126130134138142146150154158162166170174178182186190194198202206210214410141822263034384650545862667076[Jour],$B31,P$4:P$2003) / Horodateur112335381922313437434649525558616469852226343846505854626670747882909894102106114118110122126130134138142146150154158162166170174178182186190194198202206210214410141822263034384650545862667076[[#This Row],[hrs (100)]]</f>
        <v>0.111111111111111</v>
      </c>
      <c r="L31" s="263" t="s">
        <v>7</v>
      </c>
      <c r="M31" s="263" t="str">
        <f aca="false">IF(Horodateur112335381922313437434649525558616469852226343846505854626670747882909894102106114118110122126130134138142146150154158162166170174178182186190194198202206210214410141822263034384650545862667076[[#This Row],[%]]="o",Horodateur112335381922313437434649525558616469852226343846505854626670747882909894102106114118110122126130134138142146150154158162166170174178182186190194198202206210214410141822263034384650545862667076[[#This Row],[Durée (100)]],".")</f>
        <v>.</v>
      </c>
      <c r="N31" s="266"/>
      <c r="O31" s="258" t="n">
        <f aca="false">IF($C31=0,"",$D31-$C31)</f>
        <v>0.0416666666666666</v>
      </c>
      <c r="P31" s="56" t="n">
        <f aca="false">IF($P$1=Horodateur112335381922313437434649525558616469852226343846505854626670747882909894102106114118110122126130134138142146150154158162166170174178182186190194198202206210214410141822263034384650545862667076[[#This Row],[Tâche]],Horodateur112335381922313437434649525558616469852226343846505854626670747882909894102106114118110122126130134138142146150154158162166170174178182186190194198202206210214410141822263034384650545862667076[[#This Row],[Durée (100)]],"")</f>
        <v>0.999999999999999</v>
      </c>
      <c r="Q31" s="56" t="str">
        <f aca="false">IF($Q$1=Horodateur112335381922313437434649525558616469852226343846505854626670747882909894102106114118110122126130134138142146150154158162166170174178182186190194198202206210214410141822263034384650545862667076[[#This Row],[Tâche]],Horodateur112335381922313437434649525558616469852226343846505854626670747882909894102106114118110122126130134138142146150154158162166170174178182186190194198202206210214410141822263034384650545862667076[[#This Row],[Durée (100)]],"")</f>
        <v/>
      </c>
      <c r="R31" s="56" t="str">
        <f aca="false">IF($R$1=Horodateur112335381922313437434649525558616469852226343846505854626670747882909894102106114118110122126130134138142146150154158162166170174178182186190194198202206210214410141822263034384650545862667076[[#This Row],[Tâche]],Horodateur112335381922313437434649525558616469852226343846505854626670747882909894102106114118110122126130134138142146150154158162166170174178182186190194198202206210214410141822263034384650545862667076[[#This Row],[Durée (100)]],"")</f>
        <v/>
      </c>
      <c r="S31" s="56" t="str">
        <f aca="false">IF($S$1=Horodateur112335381922313437434649525558616469852226343846505854626670747882909894102106114118110122126130134138142146150154158162166170174178182186190194198202206210214410141822263034384650545862667076[[#This Row],[Tâche]],Horodateur112335381922313437434649525558616469852226343846505854626670747882909894102106114118110122126130134138142146150154158162166170174178182186190194198202206210214410141822263034384650545862667076[[#This Row],[Durée (100)]],"")</f>
        <v/>
      </c>
      <c r="T31" s="56" t="str">
        <f aca="false">IF($T$1=Horodateur112335381922313437434649525558616469852226343846505854626670747882909894102106114118110122126130134138142146150154158162166170174178182186190194198202206210214410141822263034384650545862667076[[#This Row],[Tâche]],Horodateur112335381922313437434649525558616469852226343846505854626670747882909894102106114118110122126130134138142146150154158162166170174178182186190194198202206210214410141822263034384650545862667076[[#This Row],[Durée (100)]],"")</f>
        <v/>
      </c>
      <c r="U31" s="56" t="str">
        <f aca="false">IF($U$1=Horodateur112335381922313437434649525558616469852226343846505854626670747882909894102106114118110122126130134138142146150154158162166170174178182186190194198202206210214410141822263034384650545862667076[[#This Row],[Tâche]],Horodateur112335381922313437434649525558616469852226343846505854626670747882909894102106114118110122126130134138142146150154158162166170174178182186190194198202206210214410141822263034384650545862667076[[#This Row],[Durée (100)]],"")</f>
        <v/>
      </c>
      <c r="V31" s="56" t="str">
        <f aca="false">IF($V$1=Horodateur112335381922313437434649525558616469852226343846505854626670747882909894102106114118110122126130134138142146150154158162166170174178182186190194198202206210214410141822263034384650545862667076[[#This Row],[Tâche]],Horodateur112335381922313437434649525558616469852226343846505854626670747882909894102106114118110122126130134138142146150154158162166170174178182186190194198202206210214410141822263034384650545862667076[[#This Row],[Durée (100)]],"")</f>
        <v/>
      </c>
      <c r="W31" s="56" t="str">
        <f aca="false">IF($W$1=Horodateur112335381922313437434649525558616469852226343846505854626670747882909894102106114118110122126130134138142146150154158162166170174178182186190194198202206210214410141822263034384650545862667076[[#This Row],[Tâche]],Horodateur112335381922313437434649525558616469852226343846505854626670747882909894102106114118110122126130134138142146150154158162166170174178182186190194198202206210214410141822263034384650545862667076[[#This Row],[Durée (100)]],"")</f>
        <v/>
      </c>
      <c r="X31" s="174"/>
      <c r="Y31" s="71"/>
      <c r="Z31" s="71"/>
      <c r="AA31" s="71"/>
      <c r="AB31" s="71"/>
      <c r="AC31" s="71"/>
      <c r="AD31" s="71"/>
      <c r="AE31" s="71"/>
      <c r="AF31" s="71"/>
      <c r="AG31" s="71"/>
      <c r="AH31" s="71"/>
      <c r="AI31" s="71"/>
      <c r="AJ31" s="71"/>
      <c r="AK31" s="71"/>
      <c r="AL31" s="71"/>
      <c r="AM31" s="71"/>
      <c r="AN31" s="71"/>
      <c r="AO31" s="71"/>
      <c r="AP31" s="71"/>
      <c r="AQ31" s="71"/>
      <c r="AR31" s="71"/>
      <c r="AS31" s="71"/>
      <c r="AT31" s="71"/>
      <c r="AU31" s="71"/>
      <c r="AV31" s="71"/>
      <c r="AW31" s="71"/>
      <c r="AX31" s="71"/>
      <c r="AY31" s="71"/>
      <c r="AZ31" s="71"/>
      <c r="BA31" s="71"/>
      <c r="BB31" s="71"/>
    </row>
    <row r="32" customFormat="false" ht="15" hidden="false" customHeight="false" outlineLevel="0" collapsed="false">
      <c r="A32" s="256" t="n">
        <f aca="false">IF(Horodateur112335381922313437434649525558616469852226343846505854626670747882909894102106114118110122126130134138142146150154158162166170174178182186190194198202206210214410141822263034384650545862667076[[#This Row],[Jour]]="1- Lundi",$B$1+1, IF(Horodateur112335381922313437434649525558616469852226343846505854626670747882909894102106114118110122126130134138142146150154158162166170174178182186190194198202206210214410141822263034384650545862667076[[#This Row],[Jour]]="2- Mardi",$B$1+2, IF(Horodateur112335381922313437434649525558616469852226343846505854626670747882909894102106114118110122126130134138142146150154158162166170174178182186190194198202206210214410141822263034384650545862667076[[#This Row],[Jour]]="3- Mercredi",$B$1+3, IF(Horodateur112335381922313437434649525558616469852226343846505854626670747882909894102106114118110122126130134138142146150154158162166170174178182186190194198202206210214410141822263034384650545862667076[[#This Row],[Jour]]="4- Jeudi",$B$1+4, IF(Horodateur112335381922313437434649525558616469852226343846505854626670747882909894102106114118110122126130134138142146150154158162166170174178182186190194198202206210214410141822263034384650545862667076[[#This Row],[Jour]]="5- Vendredi",$B$1+5, IF(Horodateur112335381922313437434649525558616469852226343846505854626670747882909894102106114118110122126130134138142146150154158162166170174178182186190194198202206210214410141822263034384650545862667076[[#This Row],[Jour]]="6- Samedi",$B$1+6, IF(Horodateur112335381922313437434649525558616469852226343846505854626670747882909894102106114118110122126130134138142146150154158162166170174178182186190194198202206210214410141822263034384650545862667076[[#This Row],[Jour]]="7- Dimanche",$B$1, )))))))</f>
        <v>44309</v>
      </c>
      <c r="B32" s="257" t="s">
        <v>332</v>
      </c>
      <c r="C32" s="258" t="n">
        <v>0.416666666666667</v>
      </c>
      <c r="D32" s="258" t="n">
        <v>0.510416666666667</v>
      </c>
      <c r="E32" s="71" t="s">
        <v>59</v>
      </c>
      <c r="F32" s="267" t="s">
        <v>23</v>
      </c>
      <c r="G32" s="259" t="s">
        <v>374</v>
      </c>
      <c r="H32" s="258"/>
      <c r="I32" s="260" t="n">
        <f aca="false">IF($C32=0,"",($O32-INT($O32))*24)</f>
        <v>2.25</v>
      </c>
      <c r="J32" s="261" t="n">
        <f aca="false">SUMIF(Horodateur112335381922313437434649525558616469852226343846505854626670747882909894102106114118110122126130134138142146150154158162166170174178182186190194198202206210214410141822263034384650545862667076[Jour],$B32,Horodateur112335381922313437434649525558616469852226343846505854626670747882909894102106114118110122126130134138142146150154158162166170174178182186190194198202206210214410141822263034384650545862667076[Durée (100)])</f>
        <v>9</v>
      </c>
      <c r="K32" s="265" t="n">
        <f aca="false">SUMIF(Horodateur112335381922313437434649525558616469852226343846505854626670747882909894102106114118110122126130134138142146150154158162166170174178182186190194198202206210214410141822263034384650545862667076[Jour],$B32,P$4:P$2003) / Horodateur112335381922313437434649525558616469852226343846505854626670747882909894102106114118110122126130134138142146150154158162166170174178182186190194198202206210214410141822263034384650545862667076[[#This Row],[hrs (100)]]</f>
        <v>0.111111111111111</v>
      </c>
      <c r="L32" s="263" t="s">
        <v>7</v>
      </c>
      <c r="M32" s="263" t="str">
        <f aca="false">IF(Horodateur112335381922313437434649525558616469852226343846505854626670747882909894102106114118110122126130134138142146150154158162166170174178182186190194198202206210214410141822263034384650545862667076[[#This Row],[%]]="o",Horodateur112335381922313437434649525558616469852226343846505854626670747882909894102106114118110122126130134138142146150154158162166170174178182186190194198202206210214410141822263034384650545862667076[[#This Row],[Durée (100)]],".")</f>
        <v>.</v>
      </c>
      <c r="N32" s="266"/>
      <c r="O32" s="258" t="n">
        <f aca="false">IF($C32=0,"",$D32-$C32)</f>
        <v>0.0937499999999999</v>
      </c>
      <c r="P32" s="56" t="str">
        <f aca="false">IF($P$1=Horodateur112335381922313437434649525558616469852226343846505854626670747882909894102106114118110122126130134138142146150154158162166170174178182186190194198202206210214410141822263034384650545862667076[[#This Row],[Tâche]],Horodateur112335381922313437434649525558616469852226343846505854626670747882909894102106114118110122126130134138142146150154158162166170174178182186190194198202206210214410141822263034384650545862667076[[#This Row],[Durée (100)]],"")</f>
        <v/>
      </c>
      <c r="Q32" s="56" t="str">
        <f aca="false">IF($Q$1=Horodateur112335381922313437434649525558616469852226343846505854626670747882909894102106114118110122126130134138142146150154158162166170174178182186190194198202206210214410141822263034384650545862667076[[#This Row],[Tâche]],Horodateur112335381922313437434649525558616469852226343846505854626670747882909894102106114118110122126130134138142146150154158162166170174178182186190194198202206210214410141822263034384650545862667076[[#This Row],[Durée (100)]],"")</f>
        <v/>
      </c>
      <c r="R32" s="56" t="str">
        <f aca="false">IF($R$1=Horodateur112335381922313437434649525558616469852226343846505854626670747882909894102106114118110122126130134138142146150154158162166170174178182186190194198202206210214410141822263034384650545862667076[[#This Row],[Tâche]],Horodateur112335381922313437434649525558616469852226343846505854626670747882909894102106114118110122126130134138142146150154158162166170174178182186190194198202206210214410141822263034384650545862667076[[#This Row],[Durée (100)]],"")</f>
        <v/>
      </c>
      <c r="S32" s="56" t="str">
        <f aca="false">IF($S$1=Horodateur112335381922313437434649525558616469852226343846505854626670747882909894102106114118110122126130134138142146150154158162166170174178182186190194198202206210214410141822263034384650545862667076[[#This Row],[Tâche]],Horodateur112335381922313437434649525558616469852226343846505854626670747882909894102106114118110122126130134138142146150154158162166170174178182186190194198202206210214410141822263034384650545862667076[[#This Row],[Durée (100)]],"")</f>
        <v/>
      </c>
      <c r="T32" s="56" t="n">
        <f aca="false">IF($T$1=Horodateur112335381922313437434649525558616469852226343846505854626670747882909894102106114118110122126130134138142146150154158162166170174178182186190194198202206210214410141822263034384650545862667076[[#This Row],[Tâche]],Horodateur112335381922313437434649525558616469852226343846505854626670747882909894102106114118110122126130134138142146150154158162166170174178182186190194198202206210214410141822263034384650545862667076[[#This Row],[Durée (100)]],"")</f>
        <v>2.25</v>
      </c>
      <c r="U32" s="56" t="str">
        <f aca="false">IF($U$1=Horodateur112335381922313437434649525558616469852226343846505854626670747882909894102106114118110122126130134138142146150154158162166170174178182186190194198202206210214410141822263034384650545862667076[[#This Row],[Tâche]],Horodateur112335381922313437434649525558616469852226343846505854626670747882909894102106114118110122126130134138142146150154158162166170174178182186190194198202206210214410141822263034384650545862667076[[#This Row],[Durée (100)]],"")</f>
        <v/>
      </c>
      <c r="V32" s="56" t="str">
        <f aca="false">IF($V$1=Horodateur112335381922313437434649525558616469852226343846505854626670747882909894102106114118110122126130134138142146150154158162166170174178182186190194198202206210214410141822263034384650545862667076[[#This Row],[Tâche]],Horodateur112335381922313437434649525558616469852226343846505854626670747882909894102106114118110122126130134138142146150154158162166170174178182186190194198202206210214410141822263034384650545862667076[[#This Row],[Durée (100)]],"")</f>
        <v/>
      </c>
      <c r="W32" s="56" t="str">
        <f aca="false">IF($W$1=Horodateur112335381922313437434649525558616469852226343846505854626670747882909894102106114118110122126130134138142146150154158162166170174178182186190194198202206210214410141822263034384650545862667076[[#This Row],[Tâche]],Horodateur112335381922313437434649525558616469852226343846505854626670747882909894102106114118110122126130134138142146150154158162166170174178182186190194198202206210214410141822263034384650545862667076[[#This Row],[Durée (100)]],"")</f>
        <v/>
      </c>
      <c r="X32" s="174"/>
      <c r="Y32" s="71"/>
      <c r="Z32" s="71"/>
      <c r="AA32" s="71"/>
      <c r="AB32" s="71"/>
      <c r="AC32" s="71"/>
      <c r="AD32" s="71"/>
      <c r="AE32" s="71"/>
      <c r="AF32" s="71"/>
      <c r="AG32" s="71"/>
      <c r="AH32" s="71"/>
      <c r="AI32" s="71"/>
      <c r="AJ32" s="71"/>
      <c r="AK32" s="71"/>
      <c r="AL32" s="71"/>
      <c r="AM32" s="71"/>
      <c r="AN32" s="71"/>
      <c r="AO32" s="71"/>
      <c r="AP32" s="71"/>
      <c r="AQ32" s="71"/>
      <c r="AR32" s="71"/>
      <c r="AS32" s="71"/>
      <c r="AT32" s="71"/>
      <c r="AU32" s="71"/>
      <c r="AV32" s="71"/>
      <c r="AW32" s="71"/>
      <c r="AX32" s="71"/>
      <c r="AY32" s="71"/>
      <c r="AZ32" s="71"/>
      <c r="BA32" s="71"/>
      <c r="BB32" s="71"/>
    </row>
    <row r="33" customFormat="false" ht="15" hidden="false" customHeight="false" outlineLevel="0" collapsed="false">
      <c r="A33" s="256" t="n">
        <f aca="false">IF(Horodateur112335381922313437434649525558616469852226343846505854626670747882909894102106114118110122126130134138142146150154158162166170174178182186190194198202206210214410141822263034384650545862667076[[#This Row],[Jour]]="1- Lundi",$B$1+1, IF(Horodateur112335381922313437434649525558616469852226343846505854626670747882909894102106114118110122126130134138142146150154158162166170174178182186190194198202206210214410141822263034384650545862667076[[#This Row],[Jour]]="2- Mardi",$B$1+2, IF(Horodateur112335381922313437434649525558616469852226343846505854626670747882909894102106114118110122126130134138142146150154158162166170174178182186190194198202206210214410141822263034384650545862667076[[#This Row],[Jour]]="3- Mercredi",$B$1+3, IF(Horodateur112335381922313437434649525558616469852226343846505854626670747882909894102106114118110122126130134138142146150154158162166170174178182186190194198202206210214410141822263034384650545862667076[[#This Row],[Jour]]="4- Jeudi",$B$1+4, IF(Horodateur112335381922313437434649525558616469852226343846505854626670747882909894102106114118110122126130134138142146150154158162166170174178182186190194198202206210214410141822263034384650545862667076[[#This Row],[Jour]]="5- Vendredi",$B$1+5, IF(Horodateur112335381922313437434649525558616469852226343846505854626670747882909894102106114118110122126130134138142146150154158162166170174178182186190194198202206210214410141822263034384650545862667076[[#This Row],[Jour]]="6- Samedi",$B$1+6, IF(Horodateur112335381922313437434649525558616469852226343846505854626670747882909894102106114118110122126130134138142146150154158162166170174178182186190194198202206210214410141822263034384650545862667076[[#This Row],[Jour]]="7- Dimanche",$B$1, )))))))</f>
        <v>44309</v>
      </c>
      <c r="B33" s="257" t="s">
        <v>332</v>
      </c>
      <c r="C33" s="258" t="n">
        <v>0.572916666666667</v>
      </c>
      <c r="D33" s="258" t="n">
        <v>0.645833333333333</v>
      </c>
      <c r="E33" s="71" t="s">
        <v>363</v>
      </c>
      <c r="F33" s="71" t="s">
        <v>22</v>
      </c>
      <c r="G33" s="259" t="s">
        <v>366</v>
      </c>
      <c r="H33" s="258"/>
      <c r="I33" s="260" t="n">
        <f aca="false">IF($C33=0,"",($O33-INT($O33))*24)</f>
        <v>1.75</v>
      </c>
      <c r="J33" s="261" t="n">
        <f aca="false">SUMIF(Horodateur112335381922313437434649525558616469852226343846505854626670747882909894102106114118110122126130134138142146150154158162166170174178182186190194198202206210214410141822263034384650545862667076[Jour],$B33,Horodateur112335381922313437434649525558616469852226343846505854626670747882909894102106114118110122126130134138142146150154158162166170174178182186190194198202206210214410141822263034384650545862667076[Durée (100)])</f>
        <v>9</v>
      </c>
      <c r="K33" s="265" t="n">
        <f aca="false">SUMIF(Horodateur112335381922313437434649525558616469852226343846505854626670747882909894102106114118110122126130134138142146150154158162166170174178182186190194198202206210214410141822263034384650545862667076[Jour],$B33,P$4:P$2003) / Horodateur112335381922313437434649525558616469852226343846505854626670747882909894102106114118110122126130134138142146150154158162166170174178182186190194198202206210214410141822263034384650545862667076[[#This Row],[hrs (100)]]</f>
        <v>0.111111111111111</v>
      </c>
      <c r="L33" s="263" t="s">
        <v>7</v>
      </c>
      <c r="M33" s="263" t="str">
        <f aca="false">IF(Horodateur112335381922313437434649525558616469852226343846505854626670747882909894102106114118110122126130134138142146150154158162166170174178182186190194198202206210214410141822263034384650545862667076[[#This Row],[%]]="o",Horodateur112335381922313437434649525558616469852226343846505854626670747882909894102106114118110122126130134138142146150154158162166170174178182186190194198202206210214410141822263034384650545862667076[[#This Row],[Durée (100)]],".")</f>
        <v>.</v>
      </c>
      <c r="N33" s="266"/>
      <c r="O33" s="258" t="n">
        <f aca="false">IF($C33=0,"",$D33-$C33)</f>
        <v>0.0729166666666667</v>
      </c>
      <c r="P33" s="56" t="str">
        <f aca="false">IF($P$1=Horodateur112335381922313437434649525558616469852226343846505854626670747882909894102106114118110122126130134138142146150154158162166170174178182186190194198202206210214410141822263034384650545862667076[[#This Row],[Tâche]],Horodateur112335381922313437434649525558616469852226343846505854626670747882909894102106114118110122126130134138142146150154158162166170174178182186190194198202206210214410141822263034384650545862667076[[#This Row],[Durée (100)]],"")</f>
        <v/>
      </c>
      <c r="Q33" s="56" t="str">
        <f aca="false">IF($Q$1=Horodateur112335381922313437434649525558616469852226343846505854626670747882909894102106114118110122126130134138142146150154158162166170174178182186190194198202206210214410141822263034384650545862667076[[#This Row],[Tâche]],Horodateur112335381922313437434649525558616469852226343846505854626670747882909894102106114118110122126130134138142146150154158162166170174178182186190194198202206210214410141822263034384650545862667076[[#This Row],[Durée (100)]],"")</f>
        <v/>
      </c>
      <c r="R33" s="268" t="str">
        <f aca="false">IF($R$1=Horodateur112335381922313437434649525558616469852226343846505854626670747882909894102106114118110122126130134138142146150154158162166170174178182186190194198202206210214410141822263034384650545862667076[[#This Row],[Tâche]],Horodateur112335381922313437434649525558616469852226343846505854626670747882909894102106114118110122126130134138142146150154158162166170174178182186190194198202206210214410141822263034384650545862667076[[#This Row],[Durée (100)]],"")</f>
        <v/>
      </c>
      <c r="S33" s="56" t="n">
        <f aca="false">IF($S$1=Horodateur112335381922313437434649525558616469852226343846505854626670747882909894102106114118110122126130134138142146150154158162166170174178182186190194198202206210214410141822263034384650545862667076[[#This Row],[Tâche]],Horodateur112335381922313437434649525558616469852226343846505854626670747882909894102106114118110122126130134138142146150154158162166170174178182186190194198202206210214410141822263034384650545862667076[[#This Row],[Durée (100)]],"")</f>
        <v>1.75</v>
      </c>
      <c r="T33" s="56" t="str">
        <f aca="false">IF($T$1=Horodateur112335381922313437434649525558616469852226343846505854626670747882909894102106114118110122126130134138142146150154158162166170174178182186190194198202206210214410141822263034384650545862667076[[#This Row],[Tâche]],Horodateur112335381922313437434649525558616469852226343846505854626670747882909894102106114118110122126130134138142146150154158162166170174178182186190194198202206210214410141822263034384650545862667076[[#This Row],[Durée (100)]],"")</f>
        <v/>
      </c>
      <c r="U33" s="56" t="str">
        <f aca="false">IF($U$1=Horodateur112335381922313437434649525558616469852226343846505854626670747882909894102106114118110122126130134138142146150154158162166170174178182186190194198202206210214410141822263034384650545862667076[[#This Row],[Tâche]],Horodateur112335381922313437434649525558616469852226343846505854626670747882909894102106114118110122126130134138142146150154158162166170174178182186190194198202206210214410141822263034384650545862667076[[#This Row],[Durée (100)]],"")</f>
        <v/>
      </c>
      <c r="V33" s="56" t="str">
        <f aca="false">IF($V$1=Horodateur112335381922313437434649525558616469852226343846505854626670747882909894102106114118110122126130134138142146150154158162166170174178182186190194198202206210214410141822263034384650545862667076[[#This Row],[Tâche]],Horodateur112335381922313437434649525558616469852226343846505854626670747882909894102106114118110122126130134138142146150154158162166170174178182186190194198202206210214410141822263034384650545862667076[[#This Row],[Durée (100)]],"")</f>
        <v/>
      </c>
      <c r="W33" s="56" t="str">
        <f aca="false">IF($W$1=Horodateur112335381922313437434649525558616469852226343846505854626670747882909894102106114118110122126130134138142146150154158162166170174178182186190194198202206210214410141822263034384650545862667076[[#This Row],[Tâche]],Horodateur112335381922313437434649525558616469852226343846505854626670747882909894102106114118110122126130134138142146150154158162166170174178182186190194198202206210214410141822263034384650545862667076[[#This Row],[Durée (100)]],"")</f>
        <v/>
      </c>
      <c r="X33" s="174"/>
      <c r="Y33" s="71"/>
      <c r="Z33" s="71"/>
      <c r="AA33" s="71"/>
      <c r="AB33" s="71"/>
      <c r="AC33" s="71"/>
      <c r="AD33" s="71"/>
      <c r="AE33" s="71"/>
      <c r="AF33" s="71"/>
      <c r="AG33" s="71"/>
      <c r="AH33" s="71"/>
      <c r="AI33" s="71"/>
      <c r="AJ33" s="71"/>
      <c r="AK33" s="71"/>
      <c r="AL33" s="71"/>
      <c r="AM33" s="71"/>
      <c r="AN33" s="71"/>
      <c r="AO33" s="71"/>
      <c r="AP33" s="71"/>
      <c r="AQ33" s="71"/>
      <c r="AR33" s="71"/>
      <c r="AS33" s="71"/>
      <c r="AT33" s="71"/>
      <c r="AU33" s="71"/>
      <c r="AV33" s="71"/>
      <c r="AW33" s="71"/>
      <c r="AX33" s="71"/>
      <c r="AY33" s="71"/>
      <c r="AZ33" s="71"/>
      <c r="BA33" s="71"/>
      <c r="BB33" s="71"/>
    </row>
    <row r="34" customFormat="false" ht="15" hidden="false" customHeight="false" outlineLevel="0" collapsed="false">
      <c r="A34" s="256" t="n">
        <f aca="false">IF(Horodateur112335381922313437434649525558616469852226343846505854626670747882909894102106114118110122126130134138142146150154158162166170174178182186190194198202206210214410141822263034384650545862667076[[#This Row],[Jour]]="1- Lundi",$B$1+1, IF(Horodateur112335381922313437434649525558616469852226343846505854626670747882909894102106114118110122126130134138142146150154158162166170174178182186190194198202206210214410141822263034384650545862667076[[#This Row],[Jour]]="2- Mardi",$B$1+2, IF(Horodateur112335381922313437434649525558616469852226343846505854626670747882909894102106114118110122126130134138142146150154158162166170174178182186190194198202206210214410141822263034384650545862667076[[#This Row],[Jour]]="3- Mercredi",$B$1+3, IF(Horodateur112335381922313437434649525558616469852226343846505854626670747882909894102106114118110122126130134138142146150154158162166170174178182186190194198202206210214410141822263034384650545862667076[[#This Row],[Jour]]="4- Jeudi",$B$1+4, IF(Horodateur112335381922313437434649525558616469852226343846505854626670747882909894102106114118110122126130134138142146150154158162166170174178182186190194198202206210214410141822263034384650545862667076[[#This Row],[Jour]]="5- Vendredi",$B$1+5, IF(Horodateur112335381922313437434649525558616469852226343846505854626670747882909894102106114118110122126130134138142146150154158162166170174178182186190194198202206210214410141822263034384650545862667076[[#This Row],[Jour]]="6- Samedi",$B$1+6, IF(Horodateur112335381922313437434649525558616469852226343846505854626670747882909894102106114118110122126130134138142146150154158162166170174178182186190194198202206210214410141822263034384650545862667076[[#This Row],[Jour]]="7- Dimanche",$B$1, )))))))</f>
        <v>44309</v>
      </c>
      <c r="B34" s="257" t="s">
        <v>332</v>
      </c>
      <c r="C34" s="258" t="n">
        <v>0.645833333333333</v>
      </c>
      <c r="D34" s="258" t="n">
        <v>0.708333333333333</v>
      </c>
      <c r="E34" s="71" t="s">
        <v>32</v>
      </c>
      <c r="F34" s="71" t="s">
        <v>22</v>
      </c>
      <c r="G34" s="259"/>
      <c r="H34" s="258"/>
      <c r="I34" s="260" t="n">
        <f aca="false">IF($C34=0,"",($O34-INT($O34))*24)</f>
        <v>1.5</v>
      </c>
      <c r="J34" s="261" t="n">
        <f aca="false">SUMIF(Horodateur112335381922313437434649525558616469852226343846505854626670747882909894102106114118110122126130134138142146150154158162166170174178182186190194198202206210214410141822263034384650545862667076[Jour],$B34,Horodateur112335381922313437434649525558616469852226343846505854626670747882909894102106114118110122126130134138142146150154158162166170174178182186190194198202206210214410141822263034384650545862667076[Durée (100)])</f>
        <v>9</v>
      </c>
      <c r="K34" s="265" t="n">
        <f aca="false">SUMIF(Horodateur112335381922313437434649525558616469852226343846505854626670747882909894102106114118110122126130134138142146150154158162166170174178182186190194198202206210214410141822263034384650545862667076[Jour],$B34,P$4:P$2003) / Horodateur112335381922313437434649525558616469852226343846505854626670747882909894102106114118110122126130134138142146150154158162166170174178182186190194198202206210214410141822263034384650545862667076[[#This Row],[hrs (100)]]</f>
        <v>0.111111111111111</v>
      </c>
      <c r="L34" s="263" t="s">
        <v>7</v>
      </c>
      <c r="M34" s="263" t="str">
        <f aca="false">IF(Horodateur112335381922313437434649525558616469852226343846505854626670747882909894102106114118110122126130134138142146150154158162166170174178182186190194198202206210214410141822263034384650545862667076[[#This Row],[%]]="o",Horodateur112335381922313437434649525558616469852226343846505854626670747882909894102106114118110122126130134138142146150154158162166170174178182186190194198202206210214410141822263034384650545862667076[[#This Row],[Durée (100)]],".")</f>
        <v>.</v>
      </c>
      <c r="N34" s="266"/>
      <c r="O34" s="258" t="n">
        <f aca="false">IF($C34=0,"",$D34-$C34)</f>
        <v>0.0625</v>
      </c>
      <c r="P34" s="56" t="str">
        <f aca="false">IF($P$1=Horodateur112335381922313437434649525558616469852226343846505854626670747882909894102106114118110122126130134138142146150154158162166170174178182186190194198202206210214410141822263034384650545862667076[[#This Row],[Tâche]],Horodateur112335381922313437434649525558616469852226343846505854626670747882909894102106114118110122126130134138142146150154158162166170174178182186190194198202206210214410141822263034384650545862667076[[#This Row],[Durée (100)]],"")</f>
        <v/>
      </c>
      <c r="Q34" s="56" t="str">
        <f aca="false">IF($Q$1=Horodateur112335381922313437434649525558616469852226343846505854626670747882909894102106114118110122126130134138142146150154158162166170174178182186190194198202206210214410141822263034384650545862667076[[#This Row],[Tâche]],Horodateur112335381922313437434649525558616469852226343846505854626670747882909894102106114118110122126130134138142146150154158162166170174178182186190194198202206210214410141822263034384650545862667076[[#This Row],[Durée (100)]],"")</f>
        <v/>
      </c>
      <c r="R34" s="56" t="str">
        <f aca="false">IF($R$1=Horodateur112335381922313437434649525558616469852226343846505854626670747882909894102106114118110122126130134138142146150154158162166170174178182186190194198202206210214410141822263034384650545862667076[[#This Row],[Tâche]],Horodateur112335381922313437434649525558616469852226343846505854626670747882909894102106114118110122126130134138142146150154158162166170174178182186190194198202206210214410141822263034384650545862667076[[#This Row],[Durée (100)]],"")</f>
        <v/>
      </c>
      <c r="S34" s="56" t="n">
        <f aca="false">IF($S$1=Horodateur112335381922313437434649525558616469852226343846505854626670747882909894102106114118110122126130134138142146150154158162166170174178182186190194198202206210214410141822263034384650545862667076[[#This Row],[Tâche]],Horodateur112335381922313437434649525558616469852226343846505854626670747882909894102106114118110122126130134138142146150154158162166170174178182186190194198202206210214410141822263034384650545862667076[[#This Row],[Durée (100)]],"")</f>
        <v>1.5</v>
      </c>
      <c r="T34" s="56" t="str">
        <f aca="false">IF($T$1=Horodateur112335381922313437434649525558616469852226343846505854626670747882909894102106114118110122126130134138142146150154158162166170174178182186190194198202206210214410141822263034384650545862667076[[#This Row],[Tâche]],Horodateur112335381922313437434649525558616469852226343846505854626670747882909894102106114118110122126130134138142146150154158162166170174178182186190194198202206210214410141822263034384650545862667076[[#This Row],[Durée (100)]],"")</f>
        <v/>
      </c>
      <c r="U34" s="56" t="str">
        <f aca="false">IF($U$1=Horodateur112335381922313437434649525558616469852226343846505854626670747882909894102106114118110122126130134138142146150154158162166170174178182186190194198202206210214410141822263034384650545862667076[[#This Row],[Tâche]],Horodateur112335381922313437434649525558616469852226343846505854626670747882909894102106114118110122126130134138142146150154158162166170174178182186190194198202206210214410141822263034384650545862667076[[#This Row],[Durée (100)]],"")</f>
        <v/>
      </c>
      <c r="V34" s="56" t="str">
        <f aca="false">IF($V$1=Horodateur112335381922313437434649525558616469852226343846505854626670747882909894102106114118110122126130134138142146150154158162166170174178182186190194198202206210214410141822263034384650545862667076[[#This Row],[Tâche]],Horodateur112335381922313437434649525558616469852226343846505854626670747882909894102106114118110122126130134138142146150154158162166170174178182186190194198202206210214410141822263034384650545862667076[[#This Row],[Durée (100)]],"")</f>
        <v/>
      </c>
      <c r="W34" s="56" t="str">
        <f aca="false">IF($W$1=Horodateur112335381922313437434649525558616469852226343846505854626670747882909894102106114118110122126130134138142146150154158162166170174178182186190194198202206210214410141822263034384650545862667076[[#This Row],[Tâche]],Horodateur112335381922313437434649525558616469852226343846505854626670747882909894102106114118110122126130134138142146150154158162166170174178182186190194198202206210214410141822263034384650545862667076[[#This Row],[Durée (100)]],"")</f>
        <v/>
      </c>
      <c r="X34" s="174"/>
      <c r="Y34" s="71"/>
      <c r="Z34" s="71"/>
      <c r="AA34" s="71"/>
      <c r="AB34" s="71"/>
      <c r="AC34" s="71"/>
      <c r="AD34" s="71"/>
      <c r="AE34" s="71"/>
      <c r="AF34" s="71"/>
      <c r="AG34" s="71"/>
      <c r="AH34" s="71"/>
      <c r="AI34" s="71"/>
      <c r="AJ34" s="71"/>
      <c r="AK34" s="71"/>
      <c r="AL34" s="71"/>
      <c r="AM34" s="71"/>
      <c r="AN34" s="71"/>
      <c r="AO34" s="71"/>
      <c r="AP34" s="71"/>
      <c r="AQ34" s="71"/>
      <c r="AR34" s="71"/>
      <c r="AS34" s="71"/>
      <c r="AT34" s="71"/>
      <c r="AU34" s="71"/>
      <c r="AV34" s="71"/>
      <c r="AW34" s="71"/>
      <c r="AX34" s="71"/>
      <c r="AY34" s="71"/>
      <c r="AZ34" s="71"/>
      <c r="BA34" s="71"/>
      <c r="BB34" s="71"/>
    </row>
    <row r="35" customFormat="false" ht="15" hidden="false" customHeight="false" outlineLevel="0" collapsed="false">
      <c r="A35" s="256" t="n">
        <f aca="false">IF(Horodateur112335381922313437434649525558616469852226343846505854626670747882909894102106114118110122126130134138142146150154158162166170174178182186190194198202206210214410141822263034384650545862667076[[#This Row],[Jour]]="1- Lundi",$B$1+1, IF(Horodateur112335381922313437434649525558616469852226343846505854626670747882909894102106114118110122126130134138142146150154158162166170174178182186190194198202206210214410141822263034384650545862667076[[#This Row],[Jour]]="2- Mardi",$B$1+2, IF(Horodateur112335381922313437434649525558616469852226343846505854626670747882909894102106114118110122126130134138142146150154158162166170174178182186190194198202206210214410141822263034384650545862667076[[#This Row],[Jour]]="3- Mercredi",$B$1+3, IF(Horodateur112335381922313437434649525558616469852226343846505854626670747882909894102106114118110122126130134138142146150154158162166170174178182186190194198202206210214410141822263034384650545862667076[[#This Row],[Jour]]="4- Jeudi",$B$1+4, IF(Horodateur112335381922313437434649525558616469852226343846505854626670747882909894102106114118110122126130134138142146150154158162166170174178182186190194198202206210214410141822263034384650545862667076[[#This Row],[Jour]]="5- Vendredi",$B$1+5, IF(Horodateur112335381922313437434649525558616469852226343846505854626670747882909894102106114118110122126130134138142146150154158162166170174178182186190194198202206210214410141822263034384650545862667076[[#This Row],[Jour]]="6- Samedi",$B$1+6, IF(Horodateur112335381922313437434649525558616469852226343846505854626670747882909894102106114118110122126130134138142146150154158162166170174178182186190194198202206210214410141822263034384650545862667076[[#This Row],[Jour]]="7- Dimanche",$B$1, )))))))</f>
        <v>44310</v>
      </c>
      <c r="B35" s="257" t="s">
        <v>335</v>
      </c>
      <c r="C35" s="258" t="n">
        <v>0.3125</v>
      </c>
      <c r="D35" s="258" t="n">
        <v>0.322916666666667</v>
      </c>
      <c r="E35" s="71" t="s">
        <v>32</v>
      </c>
      <c r="F35" s="71" t="s">
        <v>21</v>
      </c>
      <c r="G35" s="259"/>
      <c r="H35" s="258"/>
      <c r="I35" s="260" t="n">
        <f aca="false">IF($C35=0,"",($O35-INT($O35))*24)</f>
        <v>0.25</v>
      </c>
      <c r="J35" s="261" t="n">
        <f aca="false">SUMIF(Horodateur112335381922313437434649525558616469852226343846505854626670747882909894102106114118110122126130134138142146150154158162166170174178182186190194198202206210214410141822263034384650545862667076[Jour],$B35,Horodateur112335381922313437434649525558616469852226343846505854626670747882909894102106114118110122126130134138142146150154158162166170174178182186190194198202206210214410141822263034384650545862667076[Durée (100)])</f>
        <v>5.75</v>
      </c>
      <c r="K35" s="265" t="n">
        <f aca="false">SUMIF(Horodateur112335381922313437434649525558616469852226343846505854626670747882909894102106114118110122126130134138142146150154158162166170174178182186190194198202206210214410141822263034384650545862667076[Jour],$B35,P$4:P$2003) / Horodateur112335381922313437434649525558616469852226343846505854626670747882909894102106114118110122126130134138142146150154158162166170174178182186190194198202206210214410141822263034384650545862667076[[#This Row],[hrs (100)]]</f>
        <v>0.347826086956522</v>
      </c>
      <c r="L35" s="263" t="s">
        <v>7</v>
      </c>
      <c r="M35" s="263" t="str">
        <f aca="false">IF(Horodateur112335381922313437434649525558616469852226343846505854626670747882909894102106114118110122126130134138142146150154158162166170174178182186190194198202206210214410141822263034384650545862667076[[#This Row],[%]]="o",Horodateur112335381922313437434649525558616469852226343846505854626670747882909894102106114118110122126130134138142146150154158162166170174178182186190194198202206210214410141822263034384650545862667076[[#This Row],[Durée (100)]],".")</f>
        <v>.</v>
      </c>
      <c r="N35" s="266"/>
      <c r="O35" s="258" t="n">
        <f aca="false">IF($C35=0,"",$D35-$C35)</f>
        <v>0.0104166666666667</v>
      </c>
      <c r="P35" s="56" t="str">
        <f aca="false">IF($P$1=Horodateur112335381922313437434649525558616469852226343846505854626670747882909894102106114118110122126130134138142146150154158162166170174178182186190194198202206210214410141822263034384650545862667076[[#This Row],[Tâche]],Horodateur112335381922313437434649525558616469852226343846505854626670747882909894102106114118110122126130134138142146150154158162166170174178182186190194198202206210214410141822263034384650545862667076[[#This Row],[Durée (100)]],"")</f>
        <v/>
      </c>
      <c r="Q35" s="56" t="str">
        <f aca="false">IF($Q$1=Horodateur112335381922313437434649525558616469852226343846505854626670747882909894102106114118110122126130134138142146150154158162166170174178182186190194198202206210214410141822263034384650545862667076[[#This Row],[Tâche]],Horodateur112335381922313437434649525558616469852226343846505854626670747882909894102106114118110122126130134138142146150154158162166170174178182186190194198202206210214410141822263034384650545862667076[[#This Row],[Durée (100)]],"")</f>
        <v/>
      </c>
      <c r="R35" s="56" t="n">
        <f aca="false">IF($R$1=Horodateur112335381922313437434649525558616469852226343846505854626670747882909894102106114118110122126130134138142146150154158162166170174178182186190194198202206210214410141822263034384650545862667076[[#This Row],[Tâche]],Horodateur112335381922313437434649525558616469852226343846505854626670747882909894102106114118110122126130134138142146150154158162166170174178182186190194198202206210214410141822263034384650545862667076[[#This Row],[Durée (100)]],"")</f>
        <v>0.25</v>
      </c>
      <c r="S35" s="56" t="str">
        <f aca="false">IF($S$1=Horodateur112335381922313437434649525558616469852226343846505854626670747882909894102106114118110122126130134138142146150154158162166170174178182186190194198202206210214410141822263034384650545862667076[[#This Row],[Tâche]],Horodateur112335381922313437434649525558616469852226343846505854626670747882909894102106114118110122126130134138142146150154158162166170174178182186190194198202206210214410141822263034384650545862667076[[#This Row],[Durée (100)]],"")</f>
        <v/>
      </c>
      <c r="T35" s="56" t="str">
        <f aca="false">IF($T$1=Horodateur112335381922313437434649525558616469852226343846505854626670747882909894102106114118110122126130134138142146150154158162166170174178182186190194198202206210214410141822263034384650545862667076[[#This Row],[Tâche]],Horodateur112335381922313437434649525558616469852226343846505854626670747882909894102106114118110122126130134138142146150154158162166170174178182186190194198202206210214410141822263034384650545862667076[[#This Row],[Durée (100)]],"")</f>
        <v/>
      </c>
      <c r="U35" s="56" t="str">
        <f aca="false">IF($U$1=Horodateur112335381922313437434649525558616469852226343846505854626670747882909894102106114118110122126130134138142146150154158162166170174178182186190194198202206210214410141822263034384650545862667076[[#This Row],[Tâche]],Horodateur112335381922313437434649525558616469852226343846505854626670747882909894102106114118110122126130134138142146150154158162166170174178182186190194198202206210214410141822263034384650545862667076[[#This Row],[Durée (100)]],"")</f>
        <v/>
      </c>
      <c r="V35" s="56" t="str">
        <f aca="false">IF($V$1=Horodateur112335381922313437434649525558616469852226343846505854626670747882909894102106114118110122126130134138142146150154158162166170174178182186190194198202206210214410141822263034384650545862667076[[#This Row],[Tâche]],Horodateur112335381922313437434649525558616469852226343846505854626670747882909894102106114118110122126130134138142146150154158162166170174178182186190194198202206210214410141822263034384650545862667076[[#This Row],[Durée (100)]],"")</f>
        <v/>
      </c>
      <c r="W35" s="56" t="str">
        <f aca="false">IF($W$1=Horodateur112335381922313437434649525558616469852226343846505854626670747882909894102106114118110122126130134138142146150154158162166170174178182186190194198202206210214410141822263034384650545862667076[[#This Row],[Tâche]],Horodateur112335381922313437434649525558616469852226343846505854626670747882909894102106114118110122126130134138142146150154158162166170174178182186190194198202206210214410141822263034384650545862667076[[#This Row],[Durée (100)]],"")</f>
        <v/>
      </c>
      <c r="X35" s="174"/>
      <c r="Y35" s="71"/>
      <c r="Z35" s="71"/>
      <c r="AA35" s="71"/>
      <c r="AB35" s="71"/>
      <c r="AC35" s="71"/>
      <c r="AD35" s="71"/>
      <c r="AE35" s="71"/>
      <c r="AF35" s="71"/>
      <c r="AG35" s="71"/>
      <c r="AH35" s="71"/>
      <c r="AI35" s="71"/>
      <c r="AJ35" s="71"/>
      <c r="AK35" s="71"/>
      <c r="AL35" s="71"/>
      <c r="AM35" s="71"/>
      <c r="AN35" s="71"/>
      <c r="AO35" s="71"/>
      <c r="AP35" s="71"/>
      <c r="AQ35" s="71"/>
      <c r="AR35" s="71"/>
      <c r="AS35" s="71"/>
      <c r="AT35" s="71"/>
      <c r="AU35" s="71"/>
      <c r="AV35" s="71"/>
      <c r="AW35" s="71"/>
      <c r="AX35" s="71"/>
      <c r="AY35" s="71"/>
      <c r="AZ35" s="71"/>
      <c r="BA35" s="71"/>
      <c r="BB35" s="71"/>
    </row>
    <row r="36" customFormat="false" ht="15" hidden="false" customHeight="false" outlineLevel="0" collapsed="false">
      <c r="A36" s="256" t="n">
        <f aca="false">IF(Horodateur112335381922313437434649525558616469852226343846505854626670747882909894102106114118110122126130134138142146150154158162166170174178182186190194198202206210214410141822263034384650545862667076[[#This Row],[Jour]]="1- Lundi",$B$1+1, IF(Horodateur112335381922313437434649525558616469852226343846505854626670747882909894102106114118110122126130134138142146150154158162166170174178182186190194198202206210214410141822263034384650545862667076[[#This Row],[Jour]]="2- Mardi",$B$1+2, IF(Horodateur112335381922313437434649525558616469852226343846505854626670747882909894102106114118110122126130134138142146150154158162166170174178182186190194198202206210214410141822263034384650545862667076[[#This Row],[Jour]]="3- Mercredi",$B$1+3, IF(Horodateur112335381922313437434649525558616469852226343846505854626670747882909894102106114118110122126130134138142146150154158162166170174178182186190194198202206210214410141822263034384650545862667076[[#This Row],[Jour]]="4- Jeudi",$B$1+4, IF(Horodateur112335381922313437434649525558616469852226343846505854626670747882909894102106114118110122126130134138142146150154158162166170174178182186190194198202206210214410141822263034384650545862667076[[#This Row],[Jour]]="5- Vendredi",$B$1+5, IF(Horodateur112335381922313437434649525558616469852226343846505854626670747882909894102106114118110122126130134138142146150154158162166170174178182186190194198202206210214410141822263034384650545862667076[[#This Row],[Jour]]="6- Samedi",$B$1+6, IF(Horodateur112335381922313437434649525558616469852226343846505854626670747882909894102106114118110122126130134138142146150154158162166170174178182186190194198202206210214410141822263034384650545862667076[[#This Row],[Jour]]="7- Dimanche",$B$1, )))))))</f>
        <v>44310</v>
      </c>
      <c r="B36" s="257" t="s">
        <v>335</v>
      </c>
      <c r="C36" s="258" t="n">
        <v>0.322916666666667</v>
      </c>
      <c r="D36" s="258" t="n">
        <v>0.333333333333333</v>
      </c>
      <c r="E36" s="71" t="s">
        <v>32</v>
      </c>
      <c r="F36" s="71" t="s">
        <v>21</v>
      </c>
      <c r="G36" s="259"/>
      <c r="H36" s="258"/>
      <c r="I36" s="260" t="n">
        <f aca="false">IF($C36=0,"",($O36-INT($O36))*24)</f>
        <v>0.25</v>
      </c>
      <c r="J36" s="261" t="n">
        <f aca="false">SUMIF(Horodateur112335381922313437434649525558616469852226343846505854626670747882909894102106114118110122126130134138142146150154158162166170174178182186190194198202206210214410141822263034384650545862667076[Jour],$B36,Horodateur112335381922313437434649525558616469852226343846505854626670747882909894102106114118110122126130134138142146150154158162166170174178182186190194198202206210214410141822263034384650545862667076[Durée (100)])</f>
        <v>5.75</v>
      </c>
      <c r="K36" s="265" t="n">
        <f aca="false">SUMIF(Horodateur112335381922313437434649525558616469852226343846505854626670747882909894102106114118110122126130134138142146150154158162166170174178182186190194198202206210214410141822263034384650545862667076[Jour],$B36,P$4:P$2003) / Horodateur112335381922313437434649525558616469852226343846505854626670747882909894102106114118110122126130134138142146150154158162166170174178182186190194198202206210214410141822263034384650545862667076[[#This Row],[hrs (100)]]</f>
        <v>0.347826086956522</v>
      </c>
      <c r="L36" s="263" t="s">
        <v>7</v>
      </c>
      <c r="M36" s="263" t="str">
        <f aca="false">IF(Horodateur112335381922313437434649525558616469852226343846505854626670747882909894102106114118110122126130134138142146150154158162166170174178182186190194198202206210214410141822263034384650545862667076[[#This Row],[%]]="o",Horodateur112335381922313437434649525558616469852226343846505854626670747882909894102106114118110122126130134138142146150154158162166170174178182186190194198202206210214410141822263034384650545862667076[[#This Row],[Durée (100)]],".")</f>
        <v>.</v>
      </c>
      <c r="N36" s="266"/>
      <c r="O36" s="258" t="n">
        <f aca="false">IF($C36=0,"",$D36-$C36)</f>
        <v>0.0104166666666667</v>
      </c>
      <c r="P36" s="56" t="str">
        <f aca="false">IF($P$1=Horodateur112335381922313437434649525558616469852226343846505854626670747882909894102106114118110122126130134138142146150154158162166170174178182186190194198202206210214410141822263034384650545862667076[[#This Row],[Tâche]],Horodateur112335381922313437434649525558616469852226343846505854626670747882909894102106114118110122126130134138142146150154158162166170174178182186190194198202206210214410141822263034384650545862667076[[#This Row],[Durée (100)]],"")</f>
        <v/>
      </c>
      <c r="Q36" s="56" t="str">
        <f aca="false">IF($Q$1=Horodateur112335381922313437434649525558616469852226343846505854626670747882909894102106114118110122126130134138142146150154158162166170174178182186190194198202206210214410141822263034384650545862667076[[#This Row],[Tâche]],Horodateur112335381922313437434649525558616469852226343846505854626670747882909894102106114118110122126130134138142146150154158162166170174178182186190194198202206210214410141822263034384650545862667076[[#This Row],[Durée (100)]],"")</f>
        <v/>
      </c>
      <c r="R36" s="56" t="n">
        <f aca="false">IF($R$1=Horodateur112335381922313437434649525558616469852226343846505854626670747882909894102106114118110122126130134138142146150154158162166170174178182186190194198202206210214410141822263034384650545862667076[[#This Row],[Tâche]],Horodateur112335381922313437434649525558616469852226343846505854626670747882909894102106114118110122126130134138142146150154158162166170174178182186190194198202206210214410141822263034384650545862667076[[#This Row],[Durée (100)]],"")</f>
        <v>0.249999999999999</v>
      </c>
      <c r="S36" s="56" t="str">
        <f aca="false">IF($S$1=Horodateur112335381922313437434649525558616469852226343846505854626670747882909894102106114118110122126130134138142146150154158162166170174178182186190194198202206210214410141822263034384650545862667076[[#This Row],[Tâche]],Horodateur112335381922313437434649525558616469852226343846505854626670747882909894102106114118110122126130134138142146150154158162166170174178182186190194198202206210214410141822263034384650545862667076[[#This Row],[Durée (100)]],"")</f>
        <v/>
      </c>
      <c r="T36" s="56" t="str">
        <f aca="false">IF($T$1=Horodateur112335381922313437434649525558616469852226343846505854626670747882909894102106114118110122126130134138142146150154158162166170174178182186190194198202206210214410141822263034384650545862667076[[#This Row],[Tâche]],Horodateur112335381922313437434649525558616469852226343846505854626670747882909894102106114118110122126130134138142146150154158162166170174178182186190194198202206210214410141822263034384650545862667076[[#This Row],[Durée (100)]],"")</f>
        <v/>
      </c>
      <c r="U36" s="56" t="str">
        <f aca="false">IF($U$1=Horodateur112335381922313437434649525558616469852226343846505854626670747882909894102106114118110122126130134138142146150154158162166170174178182186190194198202206210214410141822263034384650545862667076[[#This Row],[Tâche]],Horodateur112335381922313437434649525558616469852226343846505854626670747882909894102106114118110122126130134138142146150154158162166170174178182186190194198202206210214410141822263034384650545862667076[[#This Row],[Durée (100)]],"")</f>
        <v/>
      </c>
      <c r="V36" s="56" t="str">
        <f aca="false">IF($V$1=Horodateur112335381922313437434649525558616469852226343846505854626670747882909894102106114118110122126130134138142146150154158162166170174178182186190194198202206210214410141822263034384650545862667076[[#This Row],[Tâche]],Horodateur112335381922313437434649525558616469852226343846505854626670747882909894102106114118110122126130134138142146150154158162166170174178182186190194198202206210214410141822263034384650545862667076[[#This Row],[Durée (100)]],"")</f>
        <v/>
      </c>
      <c r="W36" s="56" t="str">
        <f aca="false">IF($W$1=Horodateur112335381922313437434649525558616469852226343846505854626670747882909894102106114118110122126130134138142146150154158162166170174178182186190194198202206210214410141822263034384650545862667076[[#This Row],[Tâche]],Horodateur112335381922313437434649525558616469852226343846505854626670747882909894102106114118110122126130134138142146150154158162166170174178182186190194198202206210214410141822263034384650545862667076[[#This Row],[Durée (100)]],"")</f>
        <v/>
      </c>
      <c r="X36" s="174"/>
      <c r="Y36" s="71"/>
      <c r="Z36" s="71"/>
      <c r="AA36" s="71"/>
      <c r="AB36" s="71"/>
      <c r="AC36" s="71"/>
      <c r="AD36" s="71"/>
      <c r="AE36" s="71"/>
      <c r="AF36" s="71"/>
      <c r="AG36" s="71"/>
      <c r="AH36" s="71"/>
      <c r="AI36" s="71"/>
      <c r="AJ36" s="71"/>
      <c r="AK36" s="71"/>
      <c r="AL36" s="71"/>
      <c r="AM36" s="71"/>
      <c r="AN36" s="71"/>
      <c r="AO36" s="71"/>
      <c r="AP36" s="71"/>
      <c r="AQ36" s="71"/>
      <c r="AR36" s="71"/>
      <c r="AS36" s="71"/>
      <c r="AT36" s="71"/>
      <c r="AU36" s="71"/>
      <c r="AV36" s="71"/>
      <c r="AW36" s="71"/>
      <c r="AX36" s="71"/>
      <c r="AY36" s="71"/>
      <c r="AZ36" s="71"/>
      <c r="BA36" s="71"/>
      <c r="BB36" s="71"/>
    </row>
    <row r="37" customFormat="false" ht="15" hidden="false" customHeight="false" outlineLevel="0" collapsed="false">
      <c r="A37" s="256" t="n">
        <f aca="false">IF(Horodateur112335381922313437434649525558616469852226343846505854626670747882909894102106114118110122126130134138142146150154158162166170174178182186190194198202206210214410141822263034384650545862667076[[#This Row],[Jour]]="1- Lundi",$B$1+1, IF(Horodateur112335381922313437434649525558616469852226343846505854626670747882909894102106114118110122126130134138142146150154158162166170174178182186190194198202206210214410141822263034384650545862667076[[#This Row],[Jour]]="2- Mardi",$B$1+2, IF(Horodateur112335381922313437434649525558616469852226343846505854626670747882909894102106114118110122126130134138142146150154158162166170174178182186190194198202206210214410141822263034384650545862667076[[#This Row],[Jour]]="3- Mercredi",$B$1+3, IF(Horodateur112335381922313437434649525558616469852226343846505854626670747882909894102106114118110122126130134138142146150154158162166170174178182186190194198202206210214410141822263034384650545862667076[[#This Row],[Jour]]="4- Jeudi",$B$1+4, IF(Horodateur112335381922313437434649525558616469852226343846505854626670747882909894102106114118110122126130134138142146150154158162166170174178182186190194198202206210214410141822263034384650545862667076[[#This Row],[Jour]]="5- Vendredi",$B$1+5, IF(Horodateur112335381922313437434649525558616469852226343846505854626670747882909894102106114118110122126130134138142146150154158162166170174178182186190194198202206210214410141822263034384650545862667076[[#This Row],[Jour]]="6- Samedi",$B$1+6, IF(Horodateur112335381922313437434649525558616469852226343846505854626670747882909894102106114118110122126130134138142146150154158162166170174178182186190194198202206210214410141822263034384650545862667076[[#This Row],[Jour]]="7- Dimanche",$B$1, )))))))</f>
        <v>44310</v>
      </c>
      <c r="B37" s="257" t="s">
        <v>335</v>
      </c>
      <c r="C37" s="258" t="n">
        <v>0.333333333333333</v>
      </c>
      <c r="D37" s="258" t="n">
        <v>0.354166666666667</v>
      </c>
      <c r="E37" s="71" t="s">
        <v>71</v>
      </c>
      <c r="F37" s="267" t="s">
        <v>23</v>
      </c>
      <c r="G37" s="259" t="s">
        <v>375</v>
      </c>
      <c r="H37" s="258"/>
      <c r="I37" s="260" t="n">
        <f aca="false">IF($C37=0,"",($O37-INT($O37))*24)</f>
        <v>0.5</v>
      </c>
      <c r="J37" s="261" t="n">
        <f aca="false">SUMIF(Horodateur112335381922313437434649525558616469852226343846505854626670747882909894102106114118110122126130134138142146150154158162166170174178182186190194198202206210214410141822263034384650545862667076[Jour],$B37,Horodateur112335381922313437434649525558616469852226343846505854626670747882909894102106114118110122126130134138142146150154158162166170174178182186190194198202206210214410141822263034384650545862667076[Durée (100)])</f>
        <v>5.75</v>
      </c>
      <c r="K37" s="265" t="n">
        <f aca="false">SUMIF(Horodateur112335381922313437434649525558616469852226343846505854626670747882909894102106114118110122126130134138142146150154158162166170174178182186190194198202206210214410141822263034384650545862667076[Jour],$B37,P$4:P$2003) / Horodateur112335381922313437434649525558616469852226343846505854626670747882909894102106114118110122126130134138142146150154158162166170174178182186190194198202206210214410141822263034384650545862667076[[#This Row],[hrs (100)]]</f>
        <v>0.347826086956522</v>
      </c>
      <c r="L37" s="263" t="s">
        <v>7</v>
      </c>
      <c r="M37" s="263" t="str">
        <f aca="false">IF(Horodateur112335381922313437434649525558616469852226343846505854626670747882909894102106114118110122126130134138142146150154158162166170174178182186190194198202206210214410141822263034384650545862667076[[#This Row],[%]]="o",Horodateur112335381922313437434649525558616469852226343846505854626670747882909894102106114118110122126130134138142146150154158162166170174178182186190194198202206210214410141822263034384650545862667076[[#This Row],[Durée (100)]],".")</f>
        <v>.</v>
      </c>
      <c r="N37" s="266"/>
      <c r="O37" s="258" t="n">
        <f aca="false">IF($C37=0,"",$D37-$C37)</f>
        <v>0.0208333333333334</v>
      </c>
      <c r="P37" s="56" t="str">
        <f aca="false">IF($P$1=Horodateur112335381922313437434649525558616469852226343846505854626670747882909894102106114118110122126130134138142146150154158162166170174178182186190194198202206210214410141822263034384650545862667076[[#This Row],[Tâche]],Horodateur112335381922313437434649525558616469852226343846505854626670747882909894102106114118110122126130134138142146150154158162166170174178182186190194198202206210214410141822263034384650545862667076[[#This Row],[Durée (100)]],"")</f>
        <v/>
      </c>
      <c r="Q37" s="56"/>
      <c r="R37" s="56"/>
      <c r="S37" s="56"/>
      <c r="T37" s="56"/>
      <c r="U37" s="56"/>
      <c r="V37" s="56"/>
      <c r="W37" s="56"/>
      <c r="X37" s="174"/>
      <c r="Y37" s="71"/>
      <c r="Z37" s="71"/>
      <c r="AA37" s="71"/>
      <c r="AB37" s="71"/>
      <c r="AC37" s="71"/>
      <c r="AD37" s="71"/>
      <c r="AE37" s="71"/>
      <c r="AF37" s="71"/>
      <c r="AG37" s="71"/>
      <c r="AH37" s="71"/>
      <c r="AI37" s="71"/>
      <c r="AJ37" s="71"/>
      <c r="AK37" s="71"/>
      <c r="AL37" s="71"/>
      <c r="AM37" s="71"/>
      <c r="AN37" s="71"/>
      <c r="AO37" s="71"/>
      <c r="AP37" s="71"/>
      <c r="AQ37" s="71"/>
      <c r="AR37" s="71"/>
      <c r="AS37" s="71"/>
      <c r="AT37" s="71"/>
      <c r="AU37" s="71"/>
      <c r="AV37" s="71"/>
      <c r="AW37" s="71"/>
      <c r="AX37" s="71"/>
      <c r="AY37" s="71"/>
      <c r="AZ37" s="71"/>
      <c r="BA37" s="71"/>
      <c r="BB37" s="71"/>
    </row>
    <row r="38" customFormat="false" ht="15" hidden="false" customHeight="false" outlineLevel="0" collapsed="false">
      <c r="A38" s="256" t="n">
        <f aca="false">IF(Horodateur112335381922313437434649525558616469852226343846505854626670747882909894102106114118110122126130134138142146150154158162166170174178182186190194198202206210214410141822263034384650545862667076[[#This Row],[Jour]]="1- Lundi",$B$1+1, IF(Horodateur112335381922313437434649525558616469852226343846505854626670747882909894102106114118110122126130134138142146150154158162166170174178182186190194198202206210214410141822263034384650545862667076[[#This Row],[Jour]]="2- Mardi",$B$1+2, IF(Horodateur112335381922313437434649525558616469852226343846505854626670747882909894102106114118110122126130134138142146150154158162166170174178182186190194198202206210214410141822263034384650545862667076[[#This Row],[Jour]]="3- Mercredi",$B$1+3, IF(Horodateur112335381922313437434649525558616469852226343846505854626670747882909894102106114118110122126130134138142146150154158162166170174178182186190194198202206210214410141822263034384650545862667076[[#This Row],[Jour]]="4- Jeudi",$B$1+4, IF(Horodateur112335381922313437434649525558616469852226343846505854626670747882909894102106114118110122126130134138142146150154158162166170174178182186190194198202206210214410141822263034384650545862667076[[#This Row],[Jour]]="5- Vendredi",$B$1+5, IF(Horodateur112335381922313437434649525558616469852226343846505854626670747882909894102106114118110122126130134138142146150154158162166170174178182186190194198202206210214410141822263034384650545862667076[[#This Row],[Jour]]="6- Samedi",$B$1+6, IF(Horodateur112335381922313437434649525558616469852226343846505854626670747882909894102106114118110122126130134138142146150154158162166170174178182186190194198202206210214410141822263034384650545862667076[[#This Row],[Jour]]="7- Dimanche",$B$1, )))))))</f>
        <v>44310</v>
      </c>
      <c r="B38" s="257" t="s">
        <v>335</v>
      </c>
      <c r="C38" s="258" t="n">
        <v>0.375</v>
      </c>
      <c r="D38" s="258" t="n">
        <v>0.395833333333333</v>
      </c>
      <c r="E38" s="71" t="s">
        <v>59</v>
      </c>
      <c r="F38" s="71" t="s">
        <v>19</v>
      </c>
      <c r="G38" s="259" t="s">
        <v>55</v>
      </c>
      <c r="H38" s="258"/>
      <c r="I38" s="260" t="n">
        <f aca="false">IF($C38=0,"",($O38-INT($O38))*24)</f>
        <v>0.5</v>
      </c>
      <c r="J38" s="261" t="n">
        <f aca="false">SUMIF(Horodateur112335381922313437434649525558616469852226343846505854626670747882909894102106114118110122126130134138142146150154158162166170174178182186190194198202206210214410141822263034384650545862667076[Jour],$B38,Horodateur112335381922313437434649525558616469852226343846505854626670747882909894102106114118110122126130134138142146150154158162166170174178182186190194198202206210214410141822263034384650545862667076[Durée (100)])</f>
        <v>5.75</v>
      </c>
      <c r="K38" s="265" t="n">
        <f aca="false">SUMIF(Horodateur112335381922313437434649525558616469852226343846505854626670747882909894102106114118110122126130134138142146150154158162166170174178182186190194198202206210214410141822263034384650545862667076[Jour],$B38,P$4:P$2003) / Horodateur112335381922313437434649525558616469852226343846505854626670747882909894102106114118110122126130134138142146150154158162166170174178182186190194198202206210214410141822263034384650545862667076[[#This Row],[hrs (100)]]</f>
        <v>0.347826086956522</v>
      </c>
      <c r="L38" s="263" t="s">
        <v>7</v>
      </c>
      <c r="M38" s="263" t="str">
        <f aca="false">IF(Horodateur112335381922313437434649525558616469852226343846505854626670747882909894102106114118110122126130134138142146150154158162166170174178182186190194198202206210214410141822263034384650545862667076[[#This Row],[%]]="o",Horodateur112335381922313437434649525558616469852226343846505854626670747882909894102106114118110122126130134138142146150154158162166170174178182186190194198202206210214410141822263034384650545862667076[[#This Row],[Durée (100)]],".")</f>
        <v>.</v>
      </c>
      <c r="N38" s="266"/>
      <c r="O38" s="258" t="n">
        <f aca="false">IF($C38=0,"",$D38-$C38)</f>
        <v>0.0208333333333333</v>
      </c>
      <c r="P38" s="56" t="n">
        <f aca="false">IF($P$1=Horodateur112335381922313437434649525558616469852226343846505854626670747882909894102106114118110122126130134138142146150154158162166170174178182186190194198202206210214410141822263034384650545862667076[[#This Row],[Tâche]],Horodateur112335381922313437434649525558616469852226343846505854626670747882909894102106114118110122126130134138142146150154158162166170174178182186190194198202206210214410141822263034384650545862667076[[#This Row],[Durée (100)]],"")</f>
        <v>0.5</v>
      </c>
      <c r="Q38" s="56" t="str">
        <f aca="false">IF($Q$1=Horodateur112335381922313437434649525558616469852226343846505854626670747882909894102106114118110122126130134138142146150154158162166170174178182186190194198202206210214410141822263034384650545862667076[[#This Row],[Tâche]],Horodateur112335381922313437434649525558616469852226343846505854626670747882909894102106114118110122126130134138142146150154158162166170174178182186190194198202206210214410141822263034384650545862667076[[#This Row],[Durée (100)]],"")</f>
        <v/>
      </c>
      <c r="R38" s="56" t="str">
        <f aca="false">IF($R$1=Horodateur112335381922313437434649525558616469852226343846505854626670747882909894102106114118110122126130134138142146150154158162166170174178182186190194198202206210214410141822263034384650545862667076[[#This Row],[Tâche]],Horodateur112335381922313437434649525558616469852226343846505854626670747882909894102106114118110122126130134138142146150154158162166170174178182186190194198202206210214410141822263034384650545862667076[[#This Row],[Durée (100)]],"")</f>
        <v/>
      </c>
      <c r="S38" s="56" t="str">
        <f aca="false">IF($S$1=Horodateur112335381922313437434649525558616469852226343846505854626670747882909894102106114118110122126130134138142146150154158162166170174178182186190194198202206210214410141822263034384650545862667076[[#This Row],[Tâche]],Horodateur112335381922313437434649525558616469852226343846505854626670747882909894102106114118110122126130134138142146150154158162166170174178182186190194198202206210214410141822263034384650545862667076[[#This Row],[Durée (100)]],"")</f>
        <v/>
      </c>
      <c r="T38" s="56" t="str">
        <f aca="false">IF($T$1=Horodateur112335381922313437434649525558616469852226343846505854626670747882909894102106114118110122126130134138142146150154158162166170174178182186190194198202206210214410141822263034384650545862667076[[#This Row],[Tâche]],Horodateur112335381922313437434649525558616469852226343846505854626670747882909894102106114118110122126130134138142146150154158162166170174178182186190194198202206210214410141822263034384650545862667076[[#This Row],[Durée (100)]],"")</f>
        <v/>
      </c>
      <c r="U38" s="56" t="str">
        <f aca="false">IF($U$1=Horodateur112335381922313437434649525558616469852226343846505854626670747882909894102106114118110122126130134138142146150154158162166170174178182186190194198202206210214410141822263034384650545862667076[[#This Row],[Tâche]],Horodateur112335381922313437434649525558616469852226343846505854626670747882909894102106114118110122126130134138142146150154158162166170174178182186190194198202206210214410141822263034384650545862667076[[#This Row],[Durée (100)]],"")</f>
        <v/>
      </c>
      <c r="V38" s="56" t="str">
        <f aca="false">IF($V$1=Horodateur112335381922313437434649525558616469852226343846505854626670747882909894102106114118110122126130134138142146150154158162166170174178182186190194198202206210214410141822263034384650545862667076[[#This Row],[Tâche]],Horodateur112335381922313437434649525558616469852226343846505854626670747882909894102106114118110122126130134138142146150154158162166170174178182186190194198202206210214410141822263034384650545862667076[[#This Row],[Durée (100)]],"")</f>
        <v/>
      </c>
      <c r="W38" s="56" t="str">
        <f aca="false">IF($W$1=Horodateur112335381922313437434649525558616469852226343846505854626670747882909894102106114118110122126130134138142146150154158162166170174178182186190194198202206210214410141822263034384650545862667076[[#This Row],[Tâche]],Horodateur112335381922313437434649525558616469852226343846505854626670747882909894102106114118110122126130134138142146150154158162166170174178182186190194198202206210214410141822263034384650545862667076[[#This Row],[Durée (100)]],"")</f>
        <v/>
      </c>
      <c r="X38" s="174"/>
      <c r="Y38" s="71"/>
      <c r="Z38" s="71"/>
      <c r="AA38" s="71"/>
      <c r="AB38" s="71"/>
      <c r="AC38" s="71"/>
      <c r="AD38" s="71"/>
      <c r="AE38" s="71"/>
      <c r="AF38" s="71"/>
      <c r="AG38" s="71"/>
      <c r="AH38" s="71"/>
      <c r="AI38" s="71"/>
      <c r="AJ38" s="71"/>
      <c r="AK38" s="71"/>
      <c r="AL38" s="71"/>
      <c r="AM38" s="71"/>
      <c r="AN38" s="71"/>
      <c r="AO38" s="71"/>
      <c r="AP38" s="71"/>
      <c r="AQ38" s="71"/>
      <c r="AR38" s="71"/>
      <c r="AS38" s="71"/>
      <c r="AT38" s="71"/>
      <c r="AU38" s="71"/>
      <c r="AV38" s="71"/>
      <c r="AW38" s="71"/>
      <c r="AX38" s="71"/>
      <c r="AY38" s="71"/>
      <c r="AZ38" s="71"/>
      <c r="BA38" s="71"/>
      <c r="BB38" s="71"/>
    </row>
    <row r="39" customFormat="false" ht="15" hidden="false" customHeight="false" outlineLevel="0" collapsed="false">
      <c r="A39" s="256" t="n">
        <f aca="false">IF(Horodateur112335381922313437434649525558616469852226343846505854626670747882909894102106114118110122126130134138142146150154158162166170174178182186190194198202206210214410141822263034384650545862667076[[#This Row],[Jour]]="1- Lundi",$B$1+1, IF(Horodateur112335381922313437434649525558616469852226343846505854626670747882909894102106114118110122126130134138142146150154158162166170174178182186190194198202206210214410141822263034384650545862667076[[#This Row],[Jour]]="2- Mardi",$B$1+2, IF(Horodateur112335381922313437434649525558616469852226343846505854626670747882909894102106114118110122126130134138142146150154158162166170174178182186190194198202206210214410141822263034384650545862667076[[#This Row],[Jour]]="3- Mercredi",$B$1+3, IF(Horodateur112335381922313437434649525558616469852226343846505854626670747882909894102106114118110122126130134138142146150154158162166170174178182186190194198202206210214410141822263034384650545862667076[[#This Row],[Jour]]="4- Jeudi",$B$1+4, IF(Horodateur112335381922313437434649525558616469852226343846505854626670747882909894102106114118110122126130134138142146150154158162166170174178182186190194198202206210214410141822263034384650545862667076[[#This Row],[Jour]]="5- Vendredi",$B$1+5, IF(Horodateur112335381922313437434649525558616469852226343846505854626670747882909894102106114118110122126130134138142146150154158162166170174178182186190194198202206210214410141822263034384650545862667076[[#This Row],[Jour]]="6- Samedi",$B$1+6, IF(Horodateur112335381922313437434649525558616469852226343846505854626670747882909894102106114118110122126130134138142146150154158162166170174178182186190194198202206210214410141822263034384650545862667076[[#This Row],[Jour]]="7- Dimanche",$B$1, )))))))</f>
        <v>44310</v>
      </c>
      <c r="B39" s="257" t="s">
        <v>335</v>
      </c>
      <c r="C39" s="258" t="n">
        <v>0.416666666666667</v>
      </c>
      <c r="D39" s="258" t="n">
        <v>0.4375</v>
      </c>
      <c r="E39" s="71" t="s">
        <v>363</v>
      </c>
      <c r="F39" s="71" t="s">
        <v>19</v>
      </c>
      <c r="G39" s="259" t="s">
        <v>55</v>
      </c>
      <c r="H39" s="258"/>
      <c r="I39" s="260" t="n">
        <f aca="false">IF($C39=0,"",($O39-INT($O39))*24)</f>
        <v>0.5</v>
      </c>
      <c r="J39" s="261" t="n">
        <f aca="false">SUMIF(Horodateur112335381922313437434649525558616469852226343846505854626670747882909894102106114118110122126130134138142146150154158162166170174178182186190194198202206210214410141822263034384650545862667076[Jour],$B39,Horodateur112335381922313437434649525558616469852226343846505854626670747882909894102106114118110122126130134138142146150154158162166170174178182186190194198202206210214410141822263034384650545862667076[Durée (100)])</f>
        <v>5.75</v>
      </c>
      <c r="K39" s="265" t="n">
        <f aca="false">SUMIF(Horodateur112335381922313437434649525558616469852226343846505854626670747882909894102106114118110122126130134138142146150154158162166170174178182186190194198202206210214410141822263034384650545862667076[Jour],$B39,P$4:P$2003) / Horodateur112335381922313437434649525558616469852226343846505854626670747882909894102106114118110122126130134138142146150154158162166170174178182186190194198202206210214410141822263034384650545862667076[[#This Row],[hrs (100)]]</f>
        <v>0.347826086956522</v>
      </c>
      <c r="L39" s="263" t="s">
        <v>7</v>
      </c>
      <c r="M39" s="263" t="str">
        <f aca="false">IF(Horodateur112335381922313437434649525558616469852226343846505854626670747882909894102106114118110122126130134138142146150154158162166170174178182186190194198202206210214410141822263034384650545862667076[[#This Row],[%]]="o",Horodateur112335381922313437434649525558616469852226343846505854626670747882909894102106114118110122126130134138142146150154158162166170174178182186190194198202206210214410141822263034384650545862667076[[#This Row],[Durée (100)]],".")</f>
        <v>.</v>
      </c>
      <c r="N39" s="266"/>
      <c r="O39" s="258" t="n">
        <f aca="false">IF($C39=0,"",$D39-$C39)</f>
        <v>0.0208333333333333</v>
      </c>
      <c r="P39" s="56" t="n">
        <f aca="false">IF($P$1=Horodateur112335381922313437434649525558616469852226343846505854626670747882909894102106114118110122126130134138142146150154158162166170174178182186190194198202206210214410141822263034384650545862667076[[#This Row],[Tâche]],Horodateur112335381922313437434649525558616469852226343846505854626670747882909894102106114118110122126130134138142146150154158162166170174178182186190194198202206210214410141822263034384650545862667076[[#This Row],[Durée (100)]],"")</f>
        <v>0.5</v>
      </c>
      <c r="Q39" s="56" t="str">
        <f aca="false">IF($Q$1=Horodateur112335381922313437434649525558616469852226343846505854626670747882909894102106114118110122126130134138142146150154158162166170174178182186190194198202206210214410141822263034384650545862667076[[#This Row],[Tâche]],Horodateur112335381922313437434649525558616469852226343846505854626670747882909894102106114118110122126130134138142146150154158162166170174178182186190194198202206210214410141822263034384650545862667076[[#This Row],[Durée (100)]],"")</f>
        <v/>
      </c>
      <c r="R39" s="56" t="str">
        <f aca="false">IF($R$1=Horodateur112335381922313437434649525558616469852226343846505854626670747882909894102106114118110122126130134138142146150154158162166170174178182186190194198202206210214410141822263034384650545862667076[[#This Row],[Tâche]],Horodateur112335381922313437434649525558616469852226343846505854626670747882909894102106114118110122126130134138142146150154158162166170174178182186190194198202206210214410141822263034384650545862667076[[#This Row],[Durée (100)]],"")</f>
        <v/>
      </c>
      <c r="S39" s="56" t="str">
        <f aca="false">IF($S$1=Horodateur112335381922313437434649525558616469852226343846505854626670747882909894102106114118110122126130134138142146150154158162166170174178182186190194198202206210214410141822263034384650545862667076[[#This Row],[Tâche]],Horodateur112335381922313437434649525558616469852226343846505854626670747882909894102106114118110122126130134138142146150154158162166170174178182186190194198202206210214410141822263034384650545862667076[[#This Row],[Durée (100)]],"")</f>
        <v/>
      </c>
      <c r="T39" s="56" t="str">
        <f aca="false">IF($T$1=Horodateur112335381922313437434649525558616469852226343846505854626670747882909894102106114118110122126130134138142146150154158162166170174178182186190194198202206210214410141822263034384650545862667076[[#This Row],[Tâche]],Horodateur112335381922313437434649525558616469852226343846505854626670747882909894102106114118110122126130134138142146150154158162166170174178182186190194198202206210214410141822263034384650545862667076[[#This Row],[Durée (100)]],"")</f>
        <v/>
      </c>
      <c r="U39" s="56" t="str">
        <f aca="false">IF($U$1=Horodateur112335381922313437434649525558616469852226343846505854626670747882909894102106114118110122126130134138142146150154158162166170174178182186190194198202206210214410141822263034384650545862667076[[#This Row],[Tâche]],Horodateur112335381922313437434649525558616469852226343846505854626670747882909894102106114118110122126130134138142146150154158162166170174178182186190194198202206210214410141822263034384650545862667076[[#This Row],[Durée (100)]],"")</f>
        <v/>
      </c>
      <c r="V39" s="56" t="str">
        <f aca="false">IF($V$1=Horodateur112335381922313437434649525558616469852226343846505854626670747882909894102106114118110122126130134138142146150154158162166170174178182186190194198202206210214410141822263034384650545862667076[[#This Row],[Tâche]],Horodateur112335381922313437434649525558616469852226343846505854626670747882909894102106114118110122126130134138142146150154158162166170174178182186190194198202206210214410141822263034384650545862667076[[#This Row],[Durée (100)]],"")</f>
        <v/>
      </c>
      <c r="W39" s="56" t="str">
        <f aca="false">IF($W$1=Horodateur112335381922313437434649525558616469852226343846505854626670747882909894102106114118110122126130134138142146150154158162166170174178182186190194198202206210214410141822263034384650545862667076[[#This Row],[Tâche]],Horodateur112335381922313437434649525558616469852226343846505854626670747882909894102106114118110122126130134138142146150154158162166170174178182186190194198202206210214410141822263034384650545862667076[[#This Row],[Durée (100)]],"")</f>
        <v/>
      </c>
      <c r="X39" s="174"/>
      <c r="Y39" s="71"/>
      <c r="Z39" s="71"/>
      <c r="AA39" s="71"/>
      <c r="AB39" s="71"/>
      <c r="AC39" s="71"/>
      <c r="AD39" s="71"/>
      <c r="AE39" s="71"/>
      <c r="AF39" s="71"/>
      <c r="AG39" s="71"/>
      <c r="AH39" s="71"/>
      <c r="AI39" s="71"/>
      <c r="AJ39" s="71"/>
      <c r="AK39" s="71"/>
      <c r="AL39" s="71"/>
      <c r="AM39" s="71"/>
      <c r="AN39" s="71"/>
      <c r="AO39" s="71"/>
      <c r="AP39" s="71"/>
      <c r="AQ39" s="71"/>
      <c r="AR39" s="71"/>
      <c r="AS39" s="71"/>
      <c r="AT39" s="71"/>
      <c r="AU39" s="71"/>
      <c r="AV39" s="71"/>
      <c r="AW39" s="71"/>
      <c r="AX39" s="71"/>
      <c r="AY39" s="71"/>
      <c r="AZ39" s="71"/>
      <c r="BA39" s="71"/>
      <c r="BB39" s="71"/>
    </row>
    <row r="40" customFormat="false" ht="15" hidden="false" customHeight="false" outlineLevel="0" collapsed="false">
      <c r="A40" s="256" t="n">
        <f aca="false">IF(Horodateur112335381922313437434649525558616469852226343846505854626670747882909894102106114118110122126130134138142146150154158162166170174178182186190194198202206210214410141822263034384650545862667076[[#This Row],[Jour]]="1- Lundi",$B$1+1, IF(Horodateur112335381922313437434649525558616469852226343846505854626670747882909894102106114118110122126130134138142146150154158162166170174178182186190194198202206210214410141822263034384650545862667076[[#This Row],[Jour]]="2- Mardi",$B$1+2, IF(Horodateur112335381922313437434649525558616469852226343846505854626670747882909894102106114118110122126130134138142146150154158162166170174178182186190194198202206210214410141822263034384650545862667076[[#This Row],[Jour]]="3- Mercredi",$B$1+3, IF(Horodateur112335381922313437434649525558616469852226343846505854626670747882909894102106114118110122126130134138142146150154158162166170174178182186190194198202206210214410141822263034384650545862667076[[#This Row],[Jour]]="4- Jeudi",$B$1+4, IF(Horodateur112335381922313437434649525558616469852226343846505854626670747882909894102106114118110122126130134138142146150154158162166170174178182186190194198202206210214410141822263034384650545862667076[[#This Row],[Jour]]="5- Vendredi",$B$1+5, IF(Horodateur112335381922313437434649525558616469852226343846505854626670747882909894102106114118110122126130134138142146150154158162166170174178182186190194198202206210214410141822263034384650545862667076[[#This Row],[Jour]]="6- Samedi",$B$1+6, IF(Horodateur112335381922313437434649525558616469852226343846505854626670747882909894102106114118110122126130134138142146150154158162166170174178182186190194198202206210214410141822263034384650545862667076[[#This Row],[Jour]]="7- Dimanche",$B$1, )))))))</f>
        <v>44310</v>
      </c>
      <c r="B40" s="257" t="s">
        <v>335</v>
      </c>
      <c r="C40" s="258" t="n">
        <v>0.4375</v>
      </c>
      <c r="D40" s="258" t="n">
        <v>0.479166666666667</v>
      </c>
      <c r="E40" s="71" t="s">
        <v>63</v>
      </c>
      <c r="F40" s="71" t="s">
        <v>19</v>
      </c>
      <c r="G40" s="259" t="s">
        <v>376</v>
      </c>
      <c r="H40" s="258"/>
      <c r="I40" s="260" t="n">
        <f aca="false">IF($C40=0,"",($O40-INT($O40))*24)</f>
        <v>1</v>
      </c>
      <c r="J40" s="261" t="n">
        <f aca="false">SUMIF(Horodateur112335381922313437434649525558616469852226343846505854626670747882909894102106114118110122126130134138142146150154158162166170174178182186190194198202206210214410141822263034384650545862667076[Jour],$B40,Horodateur112335381922313437434649525558616469852226343846505854626670747882909894102106114118110122126130134138142146150154158162166170174178182186190194198202206210214410141822263034384650545862667076[Durée (100)])</f>
        <v>5.75</v>
      </c>
      <c r="K40" s="265" t="n">
        <f aca="false">SUMIF(Horodateur112335381922313437434649525558616469852226343846505854626670747882909894102106114118110122126130134138142146150154158162166170174178182186190194198202206210214410141822263034384650545862667076[Jour],$B40,P$4:P$2003) / Horodateur112335381922313437434649525558616469852226343846505854626670747882909894102106114118110122126130134138142146150154158162166170174178182186190194198202206210214410141822263034384650545862667076[[#This Row],[hrs (100)]]</f>
        <v>0.347826086956522</v>
      </c>
      <c r="L40" s="263" t="s">
        <v>7</v>
      </c>
      <c r="M40" s="263" t="str">
        <f aca="false">IF(Horodateur112335381922313437434649525558616469852226343846505854626670747882909894102106114118110122126130134138142146150154158162166170174178182186190194198202206210214410141822263034384650545862667076[[#This Row],[%]]="o",Horodateur112335381922313437434649525558616469852226343846505854626670747882909894102106114118110122126130134138142146150154158162166170174178182186190194198202206210214410141822263034384650545862667076[[#This Row],[Durée (100)]],".")</f>
        <v>.</v>
      </c>
      <c r="N40" s="266"/>
      <c r="O40" s="258" t="n">
        <f aca="false">IF($C40=0,"",$D40-$C40)</f>
        <v>0.0416666666666667</v>
      </c>
      <c r="P40" s="56" t="n">
        <f aca="false">IF($P$1=Horodateur112335381922313437434649525558616469852226343846505854626670747882909894102106114118110122126130134138142146150154158162166170174178182186190194198202206210214410141822263034384650545862667076[[#This Row],[Tâche]],Horodateur112335381922313437434649525558616469852226343846505854626670747882909894102106114118110122126130134138142146150154158162166170174178182186190194198202206210214410141822263034384650545862667076[[#This Row],[Durée (100)]],"")</f>
        <v>1</v>
      </c>
      <c r="Q40" s="56" t="str">
        <f aca="false">IF($Q$1=Horodateur112335381922313437434649525558616469852226343846505854626670747882909894102106114118110122126130134138142146150154158162166170174178182186190194198202206210214410141822263034384650545862667076[[#This Row],[Tâche]],Horodateur112335381922313437434649525558616469852226343846505854626670747882909894102106114118110122126130134138142146150154158162166170174178182186190194198202206210214410141822263034384650545862667076[[#This Row],[Durée (100)]],"")</f>
        <v/>
      </c>
      <c r="R40" s="56" t="str">
        <f aca="false">IF($R$1=Horodateur112335381922313437434649525558616469852226343846505854626670747882909894102106114118110122126130134138142146150154158162166170174178182186190194198202206210214410141822263034384650545862667076[[#This Row],[Tâche]],Horodateur112335381922313437434649525558616469852226343846505854626670747882909894102106114118110122126130134138142146150154158162166170174178182186190194198202206210214410141822263034384650545862667076[[#This Row],[Durée (100)]],"")</f>
        <v/>
      </c>
      <c r="S40" s="56" t="str">
        <f aca="false">IF($S$1=Horodateur112335381922313437434649525558616469852226343846505854626670747882909894102106114118110122126130134138142146150154158162166170174178182186190194198202206210214410141822263034384650545862667076[[#This Row],[Tâche]],Horodateur112335381922313437434649525558616469852226343846505854626670747882909894102106114118110122126130134138142146150154158162166170174178182186190194198202206210214410141822263034384650545862667076[[#This Row],[Durée (100)]],"")</f>
        <v/>
      </c>
      <c r="T40" s="56" t="str">
        <f aca="false">IF($T$1=Horodateur112335381922313437434649525558616469852226343846505854626670747882909894102106114118110122126130134138142146150154158162166170174178182186190194198202206210214410141822263034384650545862667076[[#This Row],[Tâche]],Horodateur112335381922313437434649525558616469852226343846505854626670747882909894102106114118110122126130134138142146150154158162166170174178182186190194198202206210214410141822263034384650545862667076[[#This Row],[Durée (100)]],"")</f>
        <v/>
      </c>
      <c r="U40" s="56" t="str">
        <f aca="false">IF($U$1=Horodateur112335381922313437434649525558616469852226343846505854626670747882909894102106114118110122126130134138142146150154158162166170174178182186190194198202206210214410141822263034384650545862667076[[#This Row],[Tâche]],Horodateur112335381922313437434649525558616469852226343846505854626670747882909894102106114118110122126130134138142146150154158162166170174178182186190194198202206210214410141822263034384650545862667076[[#This Row],[Durée (100)]],"")</f>
        <v/>
      </c>
      <c r="V40" s="56" t="str">
        <f aca="false">IF($V$1=Horodateur112335381922313437434649525558616469852226343846505854626670747882909894102106114118110122126130134138142146150154158162166170174178182186190194198202206210214410141822263034384650545862667076[[#This Row],[Tâche]],Horodateur112335381922313437434649525558616469852226343846505854626670747882909894102106114118110122126130134138142146150154158162166170174178182186190194198202206210214410141822263034384650545862667076[[#This Row],[Durée (100)]],"")</f>
        <v/>
      </c>
      <c r="W40" s="56" t="str">
        <f aca="false">IF($W$1=Horodateur112335381922313437434649525558616469852226343846505854626670747882909894102106114118110122126130134138142146150154158162166170174178182186190194198202206210214410141822263034384650545862667076[[#This Row],[Tâche]],Horodateur112335381922313437434649525558616469852226343846505854626670747882909894102106114118110122126130134138142146150154158162166170174178182186190194198202206210214410141822263034384650545862667076[[#This Row],[Durée (100)]],"")</f>
        <v/>
      </c>
      <c r="X40" s="174"/>
      <c r="Y40" s="71"/>
      <c r="Z40" s="71"/>
      <c r="AA40" s="71"/>
      <c r="AB40" s="71"/>
      <c r="AC40" s="71"/>
      <c r="AD40" s="71"/>
      <c r="AE40" s="71"/>
      <c r="AF40" s="71"/>
      <c r="AG40" s="71"/>
      <c r="AH40" s="71"/>
      <c r="AI40" s="71"/>
      <c r="AJ40" s="71"/>
      <c r="AK40" s="71"/>
      <c r="AL40" s="71"/>
      <c r="AM40" s="71"/>
      <c r="AN40" s="71"/>
      <c r="AO40" s="71"/>
      <c r="AP40" s="71"/>
      <c r="AQ40" s="71"/>
      <c r="AR40" s="71"/>
      <c r="AS40" s="71"/>
      <c r="AT40" s="71"/>
      <c r="AU40" s="71"/>
      <c r="AV40" s="71"/>
      <c r="AW40" s="71"/>
      <c r="AX40" s="71"/>
      <c r="AY40" s="71"/>
      <c r="AZ40" s="71"/>
      <c r="BA40" s="71"/>
      <c r="BB40" s="71"/>
    </row>
    <row r="41" customFormat="false" ht="15" hidden="false" customHeight="false" outlineLevel="0" collapsed="false">
      <c r="A41" s="256" t="n">
        <f aca="false">IF(Horodateur112335381922313437434649525558616469852226343846505854626670747882909894102106114118110122126130134138142146150154158162166170174178182186190194198202206210214410141822263034384650545862667076[[#This Row],[Jour]]="1- Lundi",$B$1+1, IF(Horodateur112335381922313437434649525558616469852226343846505854626670747882909894102106114118110122126130134138142146150154158162166170174178182186190194198202206210214410141822263034384650545862667076[[#This Row],[Jour]]="2- Mardi",$B$1+2, IF(Horodateur112335381922313437434649525558616469852226343846505854626670747882909894102106114118110122126130134138142146150154158162166170174178182186190194198202206210214410141822263034384650545862667076[[#This Row],[Jour]]="3- Mercredi",$B$1+3, IF(Horodateur112335381922313437434649525558616469852226343846505854626670747882909894102106114118110122126130134138142146150154158162166170174178182186190194198202206210214410141822263034384650545862667076[[#This Row],[Jour]]="4- Jeudi",$B$1+4, IF(Horodateur112335381922313437434649525558616469852226343846505854626670747882909894102106114118110122126130134138142146150154158162166170174178182186190194198202206210214410141822263034384650545862667076[[#This Row],[Jour]]="5- Vendredi",$B$1+5, IF(Horodateur112335381922313437434649525558616469852226343846505854626670747882909894102106114118110122126130134138142146150154158162166170174178182186190194198202206210214410141822263034384650545862667076[[#This Row],[Jour]]="6- Samedi",$B$1+6, IF(Horodateur112335381922313437434649525558616469852226343846505854626670747882909894102106114118110122126130134138142146150154158162166170174178182186190194198202206210214410141822263034384650545862667076[[#This Row],[Jour]]="7- Dimanche",$B$1, )))))))</f>
        <v>44310</v>
      </c>
      <c r="B41" s="257" t="s">
        <v>335</v>
      </c>
      <c r="C41" s="258" t="n">
        <v>0.541666666666667</v>
      </c>
      <c r="D41" s="258" t="n">
        <v>0.604166666666667</v>
      </c>
      <c r="E41" s="71" t="s">
        <v>363</v>
      </c>
      <c r="F41" s="71" t="s">
        <v>19</v>
      </c>
      <c r="G41" s="259" t="s">
        <v>366</v>
      </c>
      <c r="H41" s="258"/>
      <c r="I41" s="260" t="n">
        <f aca="false">IF($C41=0,"",($O41-INT($O41))*24)</f>
        <v>1.5</v>
      </c>
      <c r="J41" s="261" t="n">
        <f aca="false">SUMIF(Horodateur112335381922313437434649525558616469852226343846505854626670747882909894102106114118110122126130134138142146150154158162166170174178182186190194198202206210214410141822263034384650545862667076[Jour],$B41,Horodateur112335381922313437434649525558616469852226343846505854626670747882909894102106114118110122126130134138142146150154158162166170174178182186190194198202206210214410141822263034384650545862667076[Durée (100)])</f>
        <v>5.75</v>
      </c>
      <c r="K41" s="265" t="n">
        <f aca="false">SUMIF(Horodateur112335381922313437434649525558616469852226343846505854626670747882909894102106114118110122126130134138142146150154158162166170174178182186190194198202206210214410141822263034384650545862667076[Jour],$B41,P$4:P$2003) / Horodateur112335381922313437434649525558616469852226343846505854626670747882909894102106114118110122126130134138142146150154158162166170174178182186190194198202206210214410141822263034384650545862667076[[#This Row],[hrs (100)]]</f>
        <v>0.347826086956522</v>
      </c>
      <c r="L41" s="263" t="s">
        <v>7</v>
      </c>
      <c r="M41" s="263" t="str">
        <f aca="false">IF(Horodateur112335381922313437434649525558616469852226343846505854626670747882909894102106114118110122126130134138142146150154158162166170174178182186190194198202206210214410141822263034384650545862667076[[#This Row],[%]]="o",Horodateur112335381922313437434649525558616469852226343846505854626670747882909894102106114118110122126130134138142146150154158162166170174178182186190194198202206210214410141822263034384650545862667076[[#This Row],[Durée (100)]],".")</f>
        <v>.</v>
      </c>
      <c r="N41" s="266"/>
      <c r="O41" s="258" t="n">
        <f aca="false">IF($C41=0,"",$D41-$C41)</f>
        <v>0.0625</v>
      </c>
      <c r="P41" s="56"/>
      <c r="Q41" s="56"/>
      <c r="R41" s="56"/>
      <c r="S41" s="56"/>
      <c r="T41" s="56"/>
      <c r="U41" s="56"/>
      <c r="V41" s="56"/>
      <c r="W41" s="56"/>
      <c r="X41" s="174"/>
      <c r="Y41" s="71"/>
      <c r="Z41" s="71"/>
      <c r="AA41" s="71"/>
      <c r="AB41" s="71"/>
      <c r="AC41" s="71"/>
      <c r="AD41" s="71"/>
      <c r="AE41" s="71"/>
      <c r="AF41" s="71"/>
      <c r="AG41" s="71"/>
      <c r="AH41" s="71"/>
      <c r="AI41" s="71"/>
      <c r="AJ41" s="71"/>
      <c r="AK41" s="71"/>
      <c r="AL41" s="71"/>
      <c r="AM41" s="71"/>
      <c r="AN41" s="71"/>
      <c r="AO41" s="71"/>
      <c r="AP41" s="71"/>
      <c r="AQ41" s="71"/>
      <c r="AR41" s="71"/>
      <c r="AS41" s="71"/>
      <c r="AT41" s="71"/>
      <c r="AU41" s="71"/>
      <c r="AV41" s="71"/>
      <c r="AW41" s="71"/>
      <c r="AX41" s="71"/>
      <c r="AY41" s="71"/>
      <c r="AZ41" s="71"/>
      <c r="BA41" s="71"/>
      <c r="BB41" s="71"/>
    </row>
    <row r="42" customFormat="false" ht="15" hidden="false" customHeight="false" outlineLevel="0" collapsed="false">
      <c r="A42" s="256" t="n">
        <f aca="false">IF(Horodateur112335381922313437434649525558616469852226343846505854626670747882909894102106114118110122126130134138142146150154158162166170174178182186190194198202206210214410141822263034384650545862667076[[#This Row],[Jour]]="1- Lundi",$B$1+1, IF(Horodateur112335381922313437434649525558616469852226343846505854626670747882909894102106114118110122126130134138142146150154158162166170174178182186190194198202206210214410141822263034384650545862667076[[#This Row],[Jour]]="2- Mardi",$B$1+2, IF(Horodateur112335381922313437434649525558616469852226343846505854626670747882909894102106114118110122126130134138142146150154158162166170174178182186190194198202206210214410141822263034384650545862667076[[#This Row],[Jour]]="3- Mercredi",$B$1+3, IF(Horodateur112335381922313437434649525558616469852226343846505854626670747882909894102106114118110122126130134138142146150154158162166170174178182186190194198202206210214410141822263034384650545862667076[[#This Row],[Jour]]="4- Jeudi",$B$1+4, IF(Horodateur112335381922313437434649525558616469852226343846505854626670747882909894102106114118110122126130134138142146150154158162166170174178182186190194198202206210214410141822263034384650545862667076[[#This Row],[Jour]]="5- Vendredi",$B$1+5, IF(Horodateur112335381922313437434649525558616469852226343846505854626670747882909894102106114118110122126130134138142146150154158162166170174178182186190194198202206210214410141822263034384650545862667076[[#This Row],[Jour]]="6- Samedi",$B$1+6, IF(Horodateur112335381922313437434649525558616469852226343846505854626670747882909894102106114118110122126130134138142146150154158162166170174178182186190194198202206210214410141822263034384650545862667076[[#This Row],[Jour]]="7- Dimanche",$B$1, )))))))</f>
        <v>44310</v>
      </c>
      <c r="B42" s="257" t="s">
        <v>335</v>
      </c>
      <c r="C42" s="258" t="n">
        <v>0.604166666666667</v>
      </c>
      <c r="D42" s="258" t="n">
        <v>0.65625</v>
      </c>
      <c r="E42" s="71" t="s">
        <v>32</v>
      </c>
      <c r="F42" s="267" t="s">
        <v>23</v>
      </c>
      <c r="G42" s="259"/>
      <c r="H42" s="258"/>
      <c r="I42" s="260" t="n">
        <f aca="false">IF($C42=0,"",($O42-INT($O42))*24)</f>
        <v>1.25</v>
      </c>
      <c r="J42" s="261" t="n">
        <f aca="false">SUMIF(Horodateur112335381922313437434649525558616469852226343846505854626670747882909894102106114118110122126130134138142146150154158162166170174178182186190194198202206210214410141822263034384650545862667076[Jour],$B42,Horodateur112335381922313437434649525558616469852226343846505854626670747882909894102106114118110122126130134138142146150154158162166170174178182186190194198202206210214410141822263034384650545862667076[Durée (100)])</f>
        <v>5.75</v>
      </c>
      <c r="K42" s="269" t="n">
        <f aca="false">SUMIF(Horodateur112335381922313437434649525558616469852226343846505854626670747882909894102106114118110122126130134138142146150154158162166170174178182186190194198202206210214410141822263034384650545862667076[Jour],$B42,P$4:P$2003) / Horodateur112335381922313437434649525558616469852226343846505854626670747882909894102106114118110122126130134138142146150154158162166170174178182186190194198202206210214410141822263034384650545862667076[[#This Row],[hrs (100)]]</f>
        <v>0.347826086956522</v>
      </c>
      <c r="L42" s="263" t="s">
        <v>7</v>
      </c>
      <c r="M42" s="263" t="str">
        <f aca="false">IF(Horodateur112335381922313437434649525558616469852226343846505854626670747882909894102106114118110122126130134138142146150154158162166170174178182186190194198202206210214410141822263034384650545862667076[[#This Row],[%]]="o",Horodateur112335381922313437434649525558616469852226343846505854626670747882909894102106114118110122126130134138142146150154158162166170174178182186190194198202206210214410141822263034384650545862667076[[#This Row],[Durée (100)]],".")</f>
        <v>.</v>
      </c>
      <c r="N42" s="270"/>
      <c r="O42" s="258" t="n">
        <f aca="false">IF($C42=0,"",$D42-$C42)</f>
        <v>0.0520833333333334</v>
      </c>
      <c r="P42" s="56" t="str">
        <f aca="false">IF($P$1=Horodateur112335381922313437434649525558616469852226343846505854626670747882909894102106114118110122126130134138142146150154158162166170174178182186190194198202206210214410141822263034384650545862667076[[#This Row],[Tâche]],Horodateur112335381922313437434649525558616469852226343846505854626670747882909894102106114118110122126130134138142146150154158162166170174178182186190194198202206210214410141822263034384650545862667076[[#This Row],[Durée (100)]],"")</f>
        <v/>
      </c>
      <c r="Q42" s="56" t="str">
        <f aca="false">IF($Q$1=Horodateur112335381922313437434649525558616469852226343846505854626670747882909894102106114118110122126130134138142146150154158162166170174178182186190194198202206210214410141822263034384650545862667076[[#This Row],[Tâche]],Horodateur112335381922313437434649525558616469852226343846505854626670747882909894102106114118110122126130134138142146150154158162166170174178182186190194198202206210214410141822263034384650545862667076[[#This Row],[Durée (100)]],"")</f>
        <v/>
      </c>
      <c r="R42" s="56" t="str">
        <f aca="false">IF($R$1=Horodateur112335381922313437434649525558616469852226343846505854626670747882909894102106114118110122126130134138142146150154158162166170174178182186190194198202206210214410141822263034384650545862667076[[#This Row],[Tâche]],Horodateur112335381922313437434649525558616469852226343846505854626670747882909894102106114118110122126130134138142146150154158162166170174178182186190194198202206210214410141822263034384650545862667076[[#This Row],[Durée (100)]],"")</f>
        <v/>
      </c>
      <c r="S42" s="56" t="str">
        <f aca="false">IF($S$1=Horodateur112335381922313437434649525558616469852226343846505854626670747882909894102106114118110122126130134138142146150154158162166170174178182186190194198202206210214410141822263034384650545862667076[[#This Row],[Tâche]],Horodateur112335381922313437434649525558616469852226343846505854626670747882909894102106114118110122126130134138142146150154158162166170174178182186190194198202206210214410141822263034384650545862667076[[#This Row],[Durée (100)]],"")</f>
        <v/>
      </c>
      <c r="T42" s="56" t="n">
        <f aca="false">IF($T$1=Horodateur112335381922313437434649525558616469852226343846505854626670747882909894102106114118110122126130134138142146150154158162166170174178182186190194198202206210214410141822263034384650545862667076[[#This Row],[Tâche]],Horodateur112335381922313437434649525558616469852226343846505854626670747882909894102106114118110122126130134138142146150154158162166170174178182186190194198202206210214410141822263034384650545862667076[[#This Row],[Durée (100)]],"")</f>
        <v>1.25</v>
      </c>
      <c r="U42" s="56" t="str">
        <f aca="false">IF($U$1=Horodateur112335381922313437434649525558616469852226343846505854626670747882909894102106114118110122126130134138142146150154158162166170174178182186190194198202206210214410141822263034384650545862667076[[#This Row],[Tâche]],Horodateur112335381922313437434649525558616469852226343846505854626670747882909894102106114118110122126130134138142146150154158162166170174178182186190194198202206210214410141822263034384650545862667076[[#This Row],[Durée (100)]],"")</f>
        <v/>
      </c>
      <c r="V42" s="56" t="str">
        <f aca="false">IF($V$1=Horodateur112335381922313437434649525558616469852226343846505854626670747882909894102106114118110122126130134138142146150154158162166170174178182186190194198202206210214410141822263034384650545862667076[[#This Row],[Tâche]],Horodateur112335381922313437434649525558616469852226343846505854626670747882909894102106114118110122126130134138142146150154158162166170174178182186190194198202206210214410141822263034384650545862667076[[#This Row],[Durée (100)]],"")</f>
        <v/>
      </c>
      <c r="W42" s="56" t="str">
        <f aca="false">IF($W$1=Horodateur112335381922313437434649525558616469852226343846505854626670747882909894102106114118110122126130134138142146150154158162166170174178182186190194198202206210214410141822263034384650545862667076[[#This Row],[Tâche]],Horodateur112335381922313437434649525558616469852226343846505854626670747882909894102106114118110122126130134138142146150154158162166170174178182186190194198202206210214410141822263034384650545862667076[[#This Row],[Durée (100)]],"")</f>
        <v/>
      </c>
      <c r="X42" s="174"/>
      <c r="Y42" s="71"/>
      <c r="Z42" s="71"/>
      <c r="AA42" s="71"/>
      <c r="AB42" s="71"/>
      <c r="AC42" s="71"/>
      <c r="AD42" s="71"/>
      <c r="AE42" s="71"/>
      <c r="AF42" s="71"/>
      <c r="AG42" s="71"/>
      <c r="AH42" s="71"/>
      <c r="AI42" s="71"/>
      <c r="AJ42" s="71"/>
      <c r="AK42" s="71"/>
      <c r="AL42" s="71"/>
      <c r="AM42" s="71"/>
      <c r="AN42" s="71"/>
      <c r="AO42" s="71"/>
      <c r="AP42" s="71"/>
      <c r="AQ42" s="71"/>
      <c r="AR42" s="71"/>
      <c r="AS42" s="71"/>
      <c r="AT42" s="71"/>
      <c r="AU42" s="71"/>
      <c r="AV42" s="71"/>
      <c r="AW42" s="71"/>
      <c r="AX42" s="71"/>
      <c r="AY42" s="71"/>
      <c r="AZ42" s="71"/>
      <c r="BA42" s="71"/>
      <c r="BB42" s="71"/>
    </row>
    <row r="43" customFormat="false" ht="15" hidden="false" customHeight="false" outlineLevel="0" collapsed="false">
      <c r="A43" s="137"/>
      <c r="B43" s="187"/>
      <c r="C43" s="71"/>
      <c r="D43" s="1"/>
      <c r="E43" s="1"/>
      <c r="F43" s="71"/>
      <c r="G43" s="1"/>
      <c r="H43" s="1"/>
      <c r="I43" s="119"/>
      <c r="J43" s="271"/>
      <c r="K43" s="1"/>
      <c r="L43" s="1"/>
      <c r="M43" s="188"/>
      <c r="N43" s="272"/>
      <c r="O43" s="189"/>
      <c r="P43" s="71"/>
      <c r="Q43" s="187"/>
      <c r="R43" s="187"/>
      <c r="S43" s="71"/>
      <c r="T43" s="71"/>
      <c r="U43" s="71"/>
      <c r="V43" s="71"/>
      <c r="W43" s="71"/>
      <c r="X43" s="71"/>
      <c r="Y43" s="71"/>
      <c r="Z43" s="71"/>
      <c r="AA43" s="71"/>
      <c r="AB43" s="71"/>
      <c r="AC43" s="71"/>
      <c r="AD43" s="71"/>
      <c r="AE43" s="71"/>
      <c r="AF43" s="71"/>
      <c r="AG43" s="71"/>
      <c r="AH43" s="71"/>
      <c r="AI43" s="71"/>
      <c r="AJ43" s="71"/>
      <c r="AK43" s="71"/>
      <c r="AL43" s="71"/>
      <c r="AM43" s="71"/>
      <c r="AN43" s="71"/>
      <c r="AO43" s="71"/>
      <c r="AP43" s="71"/>
      <c r="AQ43" s="71"/>
      <c r="AR43" s="71"/>
      <c r="AS43" s="71"/>
      <c r="AT43" s="71"/>
      <c r="AU43" s="71"/>
      <c r="AV43" s="71"/>
      <c r="AW43" s="71"/>
      <c r="AX43" s="71"/>
      <c r="AY43" s="71"/>
      <c r="AZ43" s="71"/>
      <c r="BA43" s="71"/>
      <c r="BB43" s="71"/>
    </row>
    <row r="44" customFormat="false" ht="15" hidden="false" customHeight="false" outlineLevel="0" collapsed="false">
      <c r="A44" s="137"/>
      <c r="B44" s="187"/>
      <c r="C44" s="71"/>
      <c r="D44" s="1"/>
      <c r="E44" s="1"/>
      <c r="F44" s="71"/>
      <c r="G44" s="1"/>
      <c r="H44" s="1"/>
      <c r="I44" s="119"/>
      <c r="J44" s="271"/>
      <c r="K44" s="1"/>
      <c r="L44" s="1"/>
      <c r="M44" s="188"/>
      <c r="N44" s="272"/>
      <c r="O44" s="189"/>
      <c r="P44" s="71"/>
      <c r="Q44" s="187"/>
      <c r="R44" s="187"/>
      <c r="S44" s="71"/>
      <c r="T44" s="71"/>
      <c r="U44" s="71"/>
      <c r="V44" s="71"/>
      <c r="W44" s="71"/>
      <c r="X44" s="71"/>
      <c r="Y44" s="71"/>
      <c r="Z44" s="71"/>
      <c r="AA44" s="71"/>
      <c r="AB44" s="71"/>
      <c r="AC44" s="71"/>
      <c r="AD44" s="71"/>
      <c r="AE44" s="71"/>
      <c r="AF44" s="71"/>
      <c r="AG44" s="71"/>
      <c r="AH44" s="71"/>
      <c r="AI44" s="71"/>
      <c r="AJ44" s="71"/>
      <c r="AK44" s="71"/>
      <c r="AL44" s="71"/>
      <c r="AM44" s="71"/>
      <c r="AN44" s="71"/>
      <c r="AO44" s="71"/>
      <c r="AP44" s="71"/>
      <c r="AQ44" s="71"/>
      <c r="AR44" s="71"/>
      <c r="AS44" s="71"/>
      <c r="AT44" s="71"/>
      <c r="AU44" s="71"/>
      <c r="AV44" s="71"/>
      <c r="AW44" s="71"/>
      <c r="AX44" s="71"/>
      <c r="AY44" s="71"/>
      <c r="AZ44" s="71"/>
      <c r="BA44" s="71"/>
      <c r="BB44" s="71"/>
    </row>
    <row r="45" customFormat="false" ht="15" hidden="false" customHeight="false" outlineLevel="0" collapsed="false">
      <c r="A45" s="137"/>
      <c r="B45" s="187"/>
      <c r="C45" s="71"/>
      <c r="D45" s="1"/>
      <c r="E45" s="1"/>
      <c r="F45" s="71"/>
      <c r="G45" s="1"/>
      <c r="H45" s="1"/>
      <c r="I45" s="119"/>
      <c r="J45" s="271"/>
      <c r="K45" s="1"/>
      <c r="L45" s="1"/>
      <c r="M45" s="188"/>
      <c r="O45" s="273"/>
      <c r="P45" s="71"/>
      <c r="Q45" s="187"/>
      <c r="R45" s="187"/>
      <c r="S45" s="71"/>
      <c r="T45" s="71"/>
      <c r="U45" s="71"/>
      <c r="V45" s="71"/>
      <c r="W45" s="71"/>
      <c r="X45" s="71"/>
      <c r="Y45" s="71"/>
      <c r="Z45" s="71"/>
      <c r="AA45" s="71"/>
      <c r="AB45" s="71"/>
      <c r="AC45" s="71"/>
      <c r="AD45" s="71"/>
      <c r="AE45" s="71"/>
      <c r="AF45" s="71"/>
      <c r="AG45" s="71"/>
      <c r="AH45" s="71"/>
      <c r="AI45" s="71"/>
      <c r="AJ45" s="71"/>
      <c r="AK45" s="71"/>
      <c r="AL45" s="71"/>
      <c r="AM45" s="71"/>
      <c r="AN45" s="71"/>
      <c r="AO45" s="71"/>
      <c r="AP45" s="71"/>
      <c r="AQ45" s="71"/>
      <c r="AR45" s="71"/>
      <c r="AS45" s="71"/>
      <c r="AT45" s="71"/>
      <c r="AU45" s="71"/>
      <c r="AV45" s="71"/>
      <c r="AW45" s="71"/>
      <c r="AX45" s="71"/>
      <c r="AY45" s="71"/>
      <c r="AZ45" s="71"/>
      <c r="BA45" s="71"/>
      <c r="BB45" s="71"/>
    </row>
    <row r="46" customFormat="false" ht="15" hidden="false" customHeight="false" outlineLevel="0" collapsed="false">
      <c r="A46" s="274" t="s">
        <v>377</v>
      </c>
      <c r="B46" s="275" t="str">
        <f aca="false">SUM($A$92:$A$522) &amp; " heures"</f>
        <v>26.75 heures</v>
      </c>
      <c r="C46" s="276" t="str">
        <f aca="false">SUM($A$92:$A$513) / 8 &amp; " Jours"</f>
        <v>3.34375 Jours</v>
      </c>
      <c r="D46" s="277"/>
      <c r="E46" s="277" t="n">
        <v>33.25</v>
      </c>
      <c r="F46" s="278" t="n">
        <f aca="false">E46/8</f>
        <v>4.15625</v>
      </c>
      <c r="G46" s="277"/>
      <c r="H46" s="277"/>
      <c r="I46" s="279"/>
      <c r="J46" s="280"/>
      <c r="K46" s="277"/>
      <c r="L46" s="277"/>
      <c r="M46" s="281"/>
      <c r="N46" s="282"/>
      <c r="O46" s="282"/>
      <c r="P46" s="277"/>
      <c r="Q46" s="283"/>
      <c r="R46" s="283"/>
      <c r="S46" s="277"/>
      <c r="T46" s="277"/>
      <c r="U46" s="277"/>
      <c r="V46" s="277"/>
      <c r="W46" s="277"/>
      <c r="X46" s="277"/>
      <c r="Y46" s="277"/>
      <c r="Z46" s="277"/>
      <c r="AA46" s="278"/>
      <c r="AB46" s="278"/>
      <c r="AC46" s="278"/>
      <c r="AD46" s="278"/>
      <c r="AE46" s="278"/>
      <c r="AF46" s="278"/>
      <c r="AG46" s="278"/>
      <c r="AH46" s="278"/>
      <c r="AI46" s="278"/>
      <c r="AJ46" s="278"/>
      <c r="AK46" s="278"/>
      <c r="AL46" s="278"/>
      <c r="AM46" s="278"/>
      <c r="AN46" s="278"/>
      <c r="AO46" s="278"/>
      <c r="AP46" s="278"/>
      <c r="AQ46" s="278"/>
      <c r="AR46" s="278"/>
      <c r="AS46" s="278"/>
      <c r="AT46" s="278"/>
      <c r="AU46" s="278"/>
      <c r="AV46" s="278"/>
      <c r="AW46" s="278"/>
      <c r="AX46" s="278"/>
      <c r="AY46" s="278"/>
      <c r="AZ46" s="278"/>
      <c r="BA46" s="278"/>
      <c r="BB46" s="278"/>
    </row>
    <row r="47" customFormat="false" ht="15" hidden="false" customHeight="false" outlineLevel="0" collapsed="false">
      <c r="A47" s="137"/>
      <c r="B47" s="187"/>
      <c r="C47" s="71"/>
      <c r="D47" s="1"/>
      <c r="E47" s="1"/>
      <c r="F47" s="71"/>
      <c r="G47" s="1"/>
      <c r="H47" s="1"/>
      <c r="I47" s="119"/>
      <c r="J47" s="271"/>
      <c r="K47" s="1"/>
      <c r="L47" s="1"/>
      <c r="M47" s="188"/>
      <c r="N47" s="272"/>
      <c r="O47" s="272"/>
      <c r="P47" s="1"/>
      <c r="Q47" s="187"/>
      <c r="R47" s="187"/>
      <c r="S47" s="1"/>
      <c r="T47" s="1"/>
      <c r="U47" s="1"/>
      <c r="V47" s="1"/>
      <c r="W47" s="1"/>
      <c r="X47" s="1"/>
      <c r="Y47" s="1"/>
      <c r="Z47" s="1"/>
      <c r="AA47" s="71"/>
      <c r="AB47" s="71"/>
      <c r="AC47" s="71"/>
      <c r="AD47" s="71"/>
      <c r="AE47" s="71"/>
      <c r="AF47" s="71"/>
      <c r="AG47" s="71"/>
      <c r="AH47" s="71"/>
      <c r="AI47" s="71"/>
      <c r="AJ47" s="71"/>
      <c r="AK47" s="71"/>
      <c r="AL47" s="71"/>
      <c r="AM47" s="71"/>
      <c r="AN47" s="71"/>
      <c r="AO47" s="71"/>
      <c r="AP47" s="71"/>
      <c r="AQ47" s="71"/>
      <c r="AR47" s="71"/>
      <c r="AS47" s="71"/>
      <c r="AT47" s="71"/>
      <c r="AU47" s="71"/>
      <c r="AV47" s="71"/>
      <c r="AW47" s="71"/>
      <c r="AX47" s="71"/>
      <c r="AY47" s="71"/>
      <c r="AZ47" s="71"/>
      <c r="BA47" s="71"/>
      <c r="BB47" s="71"/>
    </row>
    <row r="48" customFormat="false" ht="15" hidden="false" customHeight="false" outlineLevel="1" collapsed="false">
      <c r="A48" s="137"/>
      <c r="B48" s="137"/>
      <c r="C48" s="137"/>
      <c r="D48" s="137"/>
      <c r="E48" s="1"/>
      <c r="F48" s="71"/>
      <c r="G48" s="1"/>
      <c r="H48" s="1"/>
      <c r="I48" s="119"/>
      <c r="J48" s="271"/>
      <c r="K48" s="1"/>
      <c r="L48" s="1"/>
      <c r="M48" s="188"/>
      <c r="N48" s="272"/>
      <c r="O48" s="272"/>
      <c r="P48" s="1"/>
      <c r="Q48" s="187"/>
      <c r="R48" s="187"/>
      <c r="S48" s="1"/>
      <c r="T48" s="1"/>
      <c r="U48" s="1"/>
      <c r="V48" s="1"/>
      <c r="W48" s="1"/>
      <c r="X48" s="1"/>
      <c r="Y48" s="1"/>
      <c r="Z48" s="1"/>
      <c r="AA48" s="71"/>
      <c r="AB48" s="71"/>
      <c r="AC48" s="71"/>
      <c r="AD48" s="71"/>
      <c r="AE48" s="71"/>
      <c r="AF48" s="71"/>
      <c r="AG48" s="71"/>
      <c r="AH48" s="71"/>
      <c r="AI48" s="71"/>
      <c r="AJ48" s="71"/>
      <c r="AK48" s="71"/>
      <c r="AL48" s="71"/>
      <c r="AM48" s="71"/>
      <c r="AN48" s="71"/>
      <c r="AO48" s="71"/>
      <c r="AP48" s="71"/>
      <c r="AQ48" s="71"/>
      <c r="AR48" s="71"/>
      <c r="AS48" s="71"/>
      <c r="AT48" s="71"/>
      <c r="AU48" s="71"/>
      <c r="AV48" s="71"/>
      <c r="AW48" s="71"/>
      <c r="AX48" s="71"/>
      <c r="AY48" s="71"/>
      <c r="AZ48" s="71"/>
      <c r="BA48" s="71"/>
      <c r="BB48" s="71"/>
    </row>
    <row r="49" customFormat="false" ht="15" hidden="false" customHeight="false" outlineLevel="1" collapsed="false">
      <c r="A49" s="284" t="s">
        <v>84</v>
      </c>
      <c r="B49" s="285" t="s">
        <v>21</v>
      </c>
      <c r="C49" s="285" t="s">
        <v>20</v>
      </c>
      <c r="D49" s="285" t="s">
        <v>23</v>
      </c>
      <c r="E49" s="285" t="s">
        <v>25</v>
      </c>
      <c r="F49" s="285" t="s">
        <v>26</v>
      </c>
      <c r="G49" s="285" t="s">
        <v>378</v>
      </c>
      <c r="H49" s="285" t="s">
        <v>379</v>
      </c>
      <c r="I49" s="285" t="s">
        <v>380</v>
      </c>
      <c r="J49" s="286" t="s">
        <v>58</v>
      </c>
      <c r="K49" s="287"/>
      <c r="L49" s="287"/>
      <c r="M49" s="288"/>
      <c r="N49" s="289"/>
      <c r="O49" s="289"/>
      <c r="P49" s="1"/>
      <c r="Q49" s="187"/>
      <c r="R49" s="187"/>
      <c r="S49" s="1"/>
      <c r="T49" s="1"/>
      <c r="U49" s="1"/>
      <c r="V49" s="1"/>
      <c r="W49" s="1"/>
      <c r="X49" s="1"/>
      <c r="Y49" s="71"/>
      <c r="Z49" s="71"/>
      <c r="AA49" s="71"/>
      <c r="AB49" s="71"/>
      <c r="AC49" s="71"/>
      <c r="AD49" s="71"/>
      <c r="AE49" s="71"/>
      <c r="AF49" s="71"/>
      <c r="AG49" s="71"/>
      <c r="AH49" s="71"/>
      <c r="AI49" s="71"/>
      <c r="AJ49" s="71"/>
      <c r="AK49" s="71"/>
      <c r="AL49" s="71"/>
      <c r="AM49" s="71"/>
      <c r="AN49" s="71"/>
      <c r="AO49" s="71"/>
      <c r="AP49" s="71"/>
      <c r="AQ49" s="71"/>
      <c r="AR49" s="71"/>
      <c r="AS49" s="71"/>
      <c r="AT49" s="71"/>
      <c r="AU49" s="71"/>
      <c r="AV49" s="71"/>
      <c r="AW49" s="71"/>
      <c r="AX49" s="71"/>
      <c r="AY49" s="71"/>
      <c r="AZ49" s="71"/>
      <c r="BA49" s="71"/>
    </row>
    <row r="50" customFormat="false" ht="15" hidden="false" customHeight="false" outlineLevel="1" collapsed="false">
      <c r="A50" s="187" t="s">
        <v>312</v>
      </c>
      <c r="B50" s="71" t="n">
        <f aca="false">SUMIFS(Horodateur112335381922313437434649525558616469852226343846505854626670747882909894102106114118110122126130134138142146150154158162166170174178182186190194198202206210214410141822263034384650545862667076[Durée (100)],Horodateur112335381922313437434649525558616469852226343846505854626670747882909894102106114118110122126130134138142146150154158162166170174178182186190194198202206210214410141822263034384650545862667076[Tâche],Taches_Jours12243639172029323541444750535659626783202432364448565260646872768088969210010411211610812012412813213614014414815215616016416817217618018418819219620020420821226121620242832364448525660646874[[#Headers],[GB]],Horodateur112335381922313437434649525558616469852226343846505854626670747882909894102106114118110122126130134138142146150154158162166170174178182186190194198202206210214410141822263034384650545862667076[Jour],Taches_Jours12243639172029323541444750535659626783202432364448565260646872768088969210010411211610812012412813213614014414815215616016416817217618018418819219620020420821226121620242832364448525660646874[[#This Row],[Jours]])</f>
        <v>1.75</v>
      </c>
      <c r="C50" s="71" t="n">
        <f aca="false">SUMIFS(Horodateur112335381922313437434649525558616469852226343846505854626670747882909894102106114118110122126130134138142146150154158162166170174178182186190194198202206210214410141822263034384650545862667076[Durée (100)],Horodateur112335381922313437434649525558616469852226343846505854626670747882909894102106114118110122126130134138142146150154158162166170174178182186190194198202206210214410141822263034384650545862667076[Tâche],Taches_Jours12243639172029323541444750535659626783202432364448565260646872768088969210010411211610812012412813213614014414815215616016416817217618018418819219620020420821226121620242832364448525660646874[[#Headers],[RI]],Horodateur112335381922313437434649525558616469852226343846505854626670747882909894102106114118110122126130134138142146150154158162166170174178182186190194198202206210214410141822263034384650545862667076[Jour],Taches_Jours12243639172029323541444750535659626783202432364448565260646872768088969210010411211610812012412813213614014414815215616016416817217618018418819219620020420821226121620242832364448525660646874[[#This Row],[Jours]])</f>
        <v>0.500000000000001</v>
      </c>
      <c r="D50" s="71" t="n">
        <f aca="false">SUMIFS(Horodateur112335381922313437434649525558616469852226343846505854626670747882909894102106114118110122126130134138142146150154158162166170174178182186190194198202206210214410141822263034384650545862667076[Durée (100)],Horodateur112335381922313437434649525558616469852226343846505854626670747882909894102106114118110122126130134138142146150154158162166170174178182186190194198202206210214410141822263034384650545862667076[Tâche],Taches_Jours12243639172029323541444750535659626783202432364448565260646872768088969210010411211610812012412813213614014414815215616016416817217618018418819219620020420821226121620242832364448525660646874[[#Headers],[FG]],Horodateur112335381922313437434649525558616469852226343846505854626670747882909894102106114118110122126130134138142146150154158162166170174178182186190194198202206210214410141822263034384650545862667076[Jour],Taches_Jours12243639172029323541444750535659626783202432364448565260646872768088969210010411211610812012412813213614014414815215616016416817217618018418819219620020420821226121620242832364448525660646874[[#This Row],[Jours]])</f>
        <v>0</v>
      </c>
      <c r="E50" s="71" t="n">
        <f aca="false">SUMIFS(Horodateur112335381922313437434649525558616469852226343846505854626670747882909894102106114118110122126130134138142146150154158162166170174178182186190194198202206210214410141822263034384650545862667076[Durée (100)],Horodateur112335381922313437434649525558616469852226343846505854626670747882909894102106114118110122126130134138142146150154158162166170174178182186190194198202206210214410141822263034384650545862667076[Tâche],Taches_Jours12243639172029323541444750535659626783202432364448565260646872768088969210010411211610812012412813213614014414815215616016416817217618018418819219620020420821226121620242832364448525660646874[[#Headers],[PS]],Horodateur112335381922313437434649525558616469852226343846505854626670747882909894102106114118110122126130134138142146150154158162166170174178182186190194198202206210214410141822263034384650545862667076[Jour],Taches_Jours12243639172029323541444750535659626783202432364448565260646872768088969210010411211610812012412813213614014414815215616016416817217618018418819219620020420821226121620242832364448525660646874[[#This Row],[Jours]])</f>
        <v>0</v>
      </c>
      <c r="F50" s="71" t="n">
        <f aca="false">SUMIFS(Horodateur112335381922313437434649525558616469852226343846505854626670747882909894102106114118110122126130134138142146150154158162166170174178182186190194198202206210214410141822263034384650545862667076[Durée (100)],Horodateur112335381922313437434649525558616469852226343846505854626670747882909894102106114118110122126130134138142146150154158162166170174178182186190194198202206210214410141822263034384650545862667076[Tâche],Taches_Jours12243639172029323541444750535659626783202432364448565260646872768088969210010411211610812012412813213614014414815215616016416817217618018418819219620020420821226121620242832364448525660646874[[#Headers],[TD]],Horodateur112335381922313437434649525558616469852226343846505854626670747882909894102106114118110122126130134138142146150154158162166170174178182186190194198202206210214410141822263034384650545862667076[Jour],Taches_Jours12243639172029323541444750535659626783202432364448565260646872768088969210010411211610812012412813213614014414815215616016416817217618018418819219620020420821226121620242832364448525660646874[[#This Row],[Jours]])</f>
        <v>0</v>
      </c>
      <c r="G50" s="71" t="n">
        <f aca="false">SUMIFS(Horodateur112335381922313437434649525558616469852226343846505854626670747882909894102106114118110122126130134138142146150154158162166170174178182186190194198202206210214410141822263034384650545862667076[Durée (100)],Horodateur112335381922313437434649525558616469852226343846505854626670747882909894102106114118110122126130134138142146150154158162166170174178182186190194198202206210214410141822263034384650545862667076[Tâche],Taches_Jours12243639172029323541444750535659626783202432364448565260646872768088969210010411211610812012412813213614014414815215616016416817217618018418819219620020420821226121620242832364448525660646874[[#Headers],[GP]],Horodateur112335381922313437434649525558616469852226343846505854626670747882909894102106114118110122126130134138142146150154158162166170174178182186190194198202206210214410141822263034384650545862667076[Jour],Taches_Jours12243639172029323541444750535659626783202432364448565260646872768088969210010411211610812012412813213614014414815215616016416817217618018418819219620020420821226121620242832364448525660646874[[#This Row],[Jours]])</f>
        <v>0</v>
      </c>
      <c r="H50" s="71" t="n">
        <f aca="false">SUMIFS(Horodateur112335381922313437434649525558616469852226343846505854626670747882909894102106114118110122126130134138142146150154158162166170174178182186190194198202206210214410141822263034384650545862667076[Durée (100)],Horodateur112335381922313437434649525558616469852226343846505854626670747882909894102106114118110122126130134138142146150154158162166170174178182186190194198202206210214410141822263034384650545862667076[Tâche],Taches_Jours12243639172029323541444750535659626783202432364448565260646872768088969210010411211610812012412813213614014414815215616016416817217618018418819219620020420821226121620242832364448525660646874[[#Headers],[GP / SP]],Horodateur112335381922313437434649525558616469852226343846505854626670747882909894102106114118110122126130134138142146150154158162166170174178182186190194198202206210214410141822263034384650545862667076[Jour],Taches_Jours12243639172029323541444750535659626783202432364448565260646872768088969210010411211610812012412813213614014414815215616016416817217618018418819219620020420821226121620242832364448525660646874[[#This Row],[Jours]])</f>
        <v>0</v>
      </c>
      <c r="I50" s="71" t="n">
        <f aca="false">SUMIFS(Horodateur112335381922313437434649525558616469852226343846505854626670747882909894102106114118110122126130134138142146150154158162166170174178182186190194198202206210214410141822263034384650545862667076[Durée (100)],Horodateur112335381922313437434649525558616469852226343846505854626670747882909894102106114118110122126130134138142146150154158162166170174178182186190194198202206210214410141822263034384650545862667076[Tâche],Taches_Jours12243639172029323541444750535659626783202432364448565260646872768088969210010411211610812012412813213614014414815215616016416817217618018418819219620020420821226121620242832364448525660646874[[#Headers],[GP / SP]],Horodateur112335381922313437434649525558616469852226343846505854626670747882909894102106114118110122126130134138142146150154158162166170174178182186190194198202206210214410141822263034384650545862667076[Jour],Taches_Jours12243639172029323541444750535659626783202432364448565260646872768088969210010411211610812012412813213614014414815215616016416817217618018418819219620020420821226121620242832364448525660646874[[#This Row],[Jours]])</f>
        <v>0</v>
      </c>
      <c r="J50" s="290" t="n">
        <f aca="false">SUM(Taches_Jours12243639172029323541444750535659626783202432364448565260646872768088969210010411211610812012412813213614014414815215616016416817217618018418819219620020420821226121620242832364448525660646874[[#This Row],[GB]:[GP / SP]])</f>
        <v>2.25</v>
      </c>
      <c r="K50" s="188"/>
      <c r="L50" s="188"/>
      <c r="M50" s="288"/>
      <c r="N50" s="289"/>
      <c r="O50" s="289"/>
      <c r="P50" s="1"/>
      <c r="Q50" s="187"/>
      <c r="R50" s="187"/>
      <c r="S50" s="1"/>
      <c r="T50" s="1"/>
      <c r="U50" s="1"/>
      <c r="V50" s="1"/>
      <c r="W50" s="1"/>
      <c r="X50" s="1"/>
      <c r="Y50" s="71"/>
      <c r="Z50" s="71"/>
      <c r="AA50" s="71"/>
      <c r="AB50" s="71"/>
      <c r="AC50" s="71"/>
      <c r="AD50" s="71"/>
      <c r="AE50" s="71"/>
      <c r="AF50" s="71"/>
      <c r="AG50" s="71"/>
      <c r="AH50" s="71"/>
      <c r="AI50" s="71"/>
      <c r="AJ50" s="71"/>
      <c r="AK50" s="71"/>
      <c r="AL50" s="71"/>
      <c r="AM50" s="71"/>
      <c r="AN50" s="71"/>
      <c r="AO50" s="71"/>
      <c r="AP50" s="71"/>
      <c r="AQ50" s="71"/>
      <c r="AR50" s="71"/>
      <c r="AS50" s="71"/>
      <c r="AT50" s="71"/>
      <c r="AU50" s="71"/>
      <c r="AV50" s="71"/>
      <c r="AW50" s="71"/>
      <c r="AX50" s="71"/>
      <c r="AY50" s="71"/>
      <c r="AZ50" s="71"/>
      <c r="BA50" s="71"/>
    </row>
    <row r="51" customFormat="false" ht="15" hidden="false" customHeight="false" outlineLevel="1" collapsed="false">
      <c r="A51" s="187" t="s">
        <v>319</v>
      </c>
      <c r="B51" s="71" t="n">
        <f aca="false">SUMIFS(Horodateur112335381922313437434649525558616469852226343846505854626670747882909894102106114118110122126130134138142146150154158162166170174178182186190194198202206210214410141822263034384650545862667076[Durée (100)],Horodateur112335381922313437434649525558616469852226343846505854626670747882909894102106114118110122126130134138142146150154158162166170174178182186190194198202206210214410141822263034384650545862667076[Tâche],Taches_Jours12243639172029323541444750535659626783202432364448565260646872768088969210010411211610812012412813213614014414815215616016416817217618018418819219620020420821226121620242832364448525660646874[[#Headers],[GB]],Horodateur112335381922313437434649525558616469852226343846505854626670747882909894102106114118110122126130134138142146150154158162166170174178182186190194198202206210214410141822263034384650545862667076[Jour],Taches_Jours12243639172029323541444750535659626783202432364448565260646872768088969210010411211610812012412813213614014414815215616016416817217618018418819219620020420821226121620242832364448525660646874[[#This Row],[Jours]])</f>
        <v>0.5</v>
      </c>
      <c r="C51" s="71" t="n">
        <f aca="false">SUMIFS(Horodateur112335381922313437434649525558616469852226343846505854626670747882909894102106114118110122126130134138142146150154158162166170174178182186190194198202206210214410141822263034384650545862667076[Durée (100)],Horodateur112335381922313437434649525558616469852226343846505854626670747882909894102106114118110122126130134138142146150154158162166170174178182186190194198202206210214410141822263034384650545862667076[Tâche],Taches_Jours12243639172029323541444750535659626783202432364448565260646872768088969210010411211610812012412813213614014414815215616016416817217618018418819219620020420821226121620242832364448525660646874[[#Headers],[RI]],Horodateur112335381922313437434649525558616469852226343846505854626670747882909894102106114118110122126130134138142146150154158162166170174178182186190194198202206210214410141822263034384650545862667076[Jour],Taches_Jours12243639172029323541444750535659626783202432364448565260646872768088969210010411211610812012412813213614014414815215616016416817217618018418819219620020420821226121620242832364448525660646874[[#This Row],[Jours]])</f>
        <v>0.500000000000001</v>
      </c>
      <c r="D51" s="71" t="n">
        <f aca="false">SUMIFS(Horodateur112335381922313437434649525558616469852226343846505854626670747882909894102106114118110122126130134138142146150154158162166170174178182186190194198202206210214410141822263034384650545862667076[Durée (100)],Horodateur112335381922313437434649525558616469852226343846505854626670747882909894102106114118110122126130134138142146150154158162166170174178182186190194198202206210214410141822263034384650545862667076[Tâche],Taches_Jours12243639172029323541444750535659626783202432364448565260646872768088969210010411211610812012412813213614014414815215616016416817217618018418819219620020420821226121620242832364448525660646874[[#Headers],[FG]],Horodateur112335381922313437434649525558616469852226343846505854626670747882909894102106114118110122126130134138142146150154158162166170174178182186190194198202206210214410141822263034384650545862667076[Jour],Taches_Jours12243639172029323541444750535659626783202432364448565260646872768088969210010411211610812012412813213614014414815215616016416817217618018418819219620020420821226121620242832364448525660646874[[#This Row],[Jours]])</f>
        <v>2</v>
      </c>
      <c r="E51" s="71" t="n">
        <f aca="false">SUMIFS(Horodateur112335381922313437434649525558616469852226343846505854626670747882909894102106114118110122126130134138142146150154158162166170174178182186190194198202206210214410141822263034384650545862667076[Durée (100)],Horodateur112335381922313437434649525558616469852226343846505854626670747882909894102106114118110122126130134138142146150154158162166170174178182186190194198202206210214410141822263034384650545862667076[Tâche],Taches_Jours12243639172029323541444750535659626783202432364448565260646872768088969210010411211610812012412813213614014414815215616016416817217618018418819219620020420821226121620242832364448525660646874[[#Headers],[PS]],Horodateur112335381922313437434649525558616469852226343846505854626670747882909894102106114118110122126130134138142146150154158162166170174178182186190194198202206210214410141822263034384650545862667076[Jour],Taches_Jours12243639172029323541444750535659626783202432364448565260646872768088969210010411211610812012412813213614014414815215616016416817217618018418819219620020420821226121620242832364448525660646874[[#This Row],[Jours]])</f>
        <v>0</v>
      </c>
      <c r="F51" s="71" t="n">
        <f aca="false">SUMIFS(Horodateur112335381922313437434649525558616469852226343846505854626670747882909894102106114118110122126130134138142146150154158162166170174178182186190194198202206210214410141822263034384650545862667076[Durée (100)],Horodateur112335381922313437434649525558616469852226343846505854626670747882909894102106114118110122126130134138142146150154158162166170174178182186190194198202206210214410141822263034384650545862667076[Tâche],Taches_Jours12243639172029323541444750535659626783202432364448565260646872768088969210010411211610812012412813213614014414815215616016416817217618018418819219620020420821226121620242832364448525660646874[[#Headers],[TD]],Horodateur112335381922313437434649525558616469852226343846505854626670747882909894102106114118110122126130134138142146150154158162166170174178182186190194198202206210214410141822263034384650545862667076[Jour],Taches_Jours12243639172029323541444750535659626783202432364448565260646872768088969210010411211610812012412813213614014414815215616016416817217618018418819219620020420821226121620242832364448525660646874[[#This Row],[Jours]])</f>
        <v>0</v>
      </c>
      <c r="G51" s="71" t="n">
        <f aca="false">SUMIFS(Horodateur112335381922313437434649525558616469852226343846505854626670747882909894102106114118110122126130134138142146150154158162166170174178182186190194198202206210214410141822263034384650545862667076[Durée (100)],Horodateur112335381922313437434649525558616469852226343846505854626670747882909894102106114118110122126130134138142146150154158162166170174178182186190194198202206210214410141822263034384650545862667076[Tâche],Taches_Jours12243639172029323541444750535659626783202432364448565260646872768088969210010411211610812012412813213614014414815215616016416817217618018418819219620020420821226121620242832364448525660646874[[#Headers],[GP]],Horodateur112335381922313437434649525558616469852226343846505854626670747882909894102106114118110122126130134138142146150154158162166170174178182186190194198202206210214410141822263034384650545862667076[Jour],Taches_Jours12243639172029323541444750535659626783202432364448565260646872768088969210010411211610812012412813213614014414815215616016416817217618018418819219620020420821226121620242832364448525660646874[[#This Row],[Jours]])</f>
        <v>0</v>
      </c>
      <c r="H51" s="71" t="n">
        <f aca="false">SUMIFS(Horodateur112335381922313437434649525558616469852226343846505854626670747882909894102106114118110122126130134138142146150154158162166170174178182186190194198202206210214410141822263034384650545862667076[Durée (100)],Horodateur112335381922313437434649525558616469852226343846505854626670747882909894102106114118110122126130134138142146150154158162166170174178182186190194198202206210214410141822263034384650545862667076[Tâche],Taches_Jours12243639172029323541444750535659626783202432364448565260646872768088969210010411211610812012412813213614014414815215616016416817217618018418819219620020420821226121620242832364448525660646874[[#Headers],[GP / SP]],Horodateur112335381922313437434649525558616469852226343846505854626670747882909894102106114118110122126130134138142146150154158162166170174178182186190194198202206210214410141822263034384650545862667076[Jour],Taches_Jours12243639172029323541444750535659626783202432364448565260646872768088969210010411211610812012412813213614014414815215616016416817217618018418819219620020420821226121620242832364448525660646874[[#This Row],[Jours]])</f>
        <v>0</v>
      </c>
      <c r="I51" s="71" t="n">
        <f aca="false">SUMIFS(Horodateur112335381922313437434649525558616469852226343846505854626670747882909894102106114118110122126130134138142146150154158162166170174178182186190194198202206210214410141822263034384650545862667076[Durée (100)],Horodateur112335381922313437434649525558616469852226343846505854626670747882909894102106114118110122126130134138142146150154158162166170174178182186190194198202206210214410141822263034384650545862667076[Tâche],Taches_Jours12243639172029323541444750535659626783202432364448565260646872768088969210010411211610812012412813213614014414815215616016416817217618018418819219620020420821226121620242832364448525660646874[[#Headers],[GP / SP]],Horodateur112335381922313437434649525558616469852226343846505854626670747882909894102106114118110122126130134138142146150154158162166170174178182186190194198202206210214410141822263034384650545862667076[Jour],Taches_Jours12243639172029323541444750535659626783202432364448565260646872768088969210010411211610812012412813213614014414815215616016416817217618018418819219620020420821226121620242832364448525660646874[[#This Row],[Jours]])</f>
        <v>0</v>
      </c>
      <c r="J51" s="290" t="n">
        <f aca="false">SUM(Taches_Jours12243639172029323541444750535659626783202432364448565260646872768088969210010411211610812012412813213614014414815215616016416817217618018418819219620020420821226121620242832364448525660646874[[#This Row],[GB]:[GP / SP]])</f>
        <v>3</v>
      </c>
      <c r="K51" s="188"/>
      <c r="L51" s="188"/>
      <c r="M51" s="288"/>
      <c r="N51" s="289"/>
      <c r="O51" s="289"/>
      <c r="P51" s="1"/>
      <c r="Q51" s="187"/>
      <c r="R51" s="187"/>
      <c r="S51" s="1"/>
      <c r="T51" s="1"/>
      <c r="U51" s="1"/>
      <c r="V51" s="1"/>
      <c r="W51" s="1"/>
      <c r="X51" s="1"/>
      <c r="Y51" s="71"/>
      <c r="Z51" s="71"/>
      <c r="AA51" s="71"/>
      <c r="AB51" s="71"/>
      <c r="AC51" s="71"/>
      <c r="AD51" s="71"/>
      <c r="AE51" s="71"/>
      <c r="AF51" s="71"/>
      <c r="AG51" s="71"/>
      <c r="AH51" s="71"/>
      <c r="AI51" s="71"/>
      <c r="AJ51" s="71"/>
      <c r="AK51" s="71"/>
      <c r="AL51" s="71"/>
      <c r="AM51" s="71"/>
      <c r="AN51" s="71"/>
      <c r="AO51" s="71"/>
      <c r="AP51" s="71"/>
      <c r="AQ51" s="71"/>
      <c r="AR51" s="71"/>
      <c r="AS51" s="71"/>
      <c r="AT51" s="71"/>
      <c r="AU51" s="71"/>
      <c r="AV51" s="71"/>
      <c r="AW51" s="71"/>
      <c r="AX51" s="71"/>
      <c r="AY51" s="71"/>
      <c r="AZ51" s="71"/>
      <c r="BA51" s="71"/>
    </row>
    <row r="52" customFormat="false" ht="15" hidden="false" customHeight="false" outlineLevel="1" collapsed="false">
      <c r="A52" s="187" t="s">
        <v>324</v>
      </c>
      <c r="B52" s="71" t="n">
        <f aca="false">SUMIFS(Horodateur112335381922313437434649525558616469852226343846505854626670747882909894102106114118110122126130134138142146150154158162166170174178182186190194198202206210214410141822263034384650545862667076[Durée (100)],Horodateur112335381922313437434649525558616469852226343846505854626670747882909894102106114118110122126130134138142146150154158162166170174178182186190194198202206210214410141822263034384650545862667076[Tâche],Taches_Jours12243639172029323541444750535659626783202432364448565260646872768088969210010411211610812012412813213614014414815215616016416817217618018418819219620020420821226121620242832364448525660646874[[#Headers],[GB]],Horodateur112335381922313437434649525558616469852226343846505854626670747882909894102106114118110122126130134138142146150154158162166170174178182186190194198202206210214410141822263034384650545862667076[Jour],Taches_Jours12243639172029323541444750535659626783202432364448565260646872768088969210010411211610812012412813213614014414815215616016416817217618018418819219620020420821226121620242832364448525660646874[[#This Row],[Jours]])</f>
        <v>0.250000000000002</v>
      </c>
      <c r="C52" s="71" t="n">
        <f aca="false">SUMIFS(Horodateur112335381922313437434649525558616469852226343846505854626670747882909894102106114118110122126130134138142146150154158162166170174178182186190194198202206210214410141822263034384650545862667076[Durée (100)],Horodateur112335381922313437434649525558616469852226343846505854626670747882909894102106114118110122126130134138142146150154158162166170174178182186190194198202206210214410141822263034384650545862667076[Tâche],Taches_Jours12243639172029323541444750535659626783202432364448565260646872768088969210010411211610812012412813213614014414815215616016416817217618018418819219620020420821226121620242832364448525660646874[[#Headers],[RI]],Horodateur112335381922313437434649525558616469852226343846505854626670747882909894102106114118110122126130134138142146150154158162166170174178182186190194198202206210214410141822263034384650545862667076[Jour],Taches_Jours12243639172029323541444750535659626783202432364448565260646872768088969210010411211610812012412813213614014414815215616016416817217618018418819219620020420821226121620242832364448525660646874[[#This Row],[Jours]])</f>
        <v>0</v>
      </c>
      <c r="D52" s="71" t="n">
        <f aca="false">SUMIFS(Horodateur112335381922313437434649525558616469852226343846505854626670747882909894102106114118110122126130134138142146150154158162166170174178182186190194198202206210214410141822263034384650545862667076[Durée (100)],Horodateur112335381922313437434649525558616469852226343846505854626670747882909894102106114118110122126130134138142146150154158162166170174178182186190194198202206210214410141822263034384650545862667076[Tâche],Taches_Jours12243639172029323541444750535659626783202432364448565260646872768088969210010411211610812012412813213614014414815215616016416817217618018418819219620020420821226121620242832364448525660646874[[#Headers],[FG]],Horodateur112335381922313437434649525558616469852226343846505854626670747882909894102106114118110122126130134138142146150154158162166170174178182186190194198202206210214410141822263034384650545862667076[Jour],Taches_Jours12243639172029323541444750535659626783202432364448565260646872768088969210010411211610812012412813213614014414815215616016416817217618018418819219620020420821226121620242832364448525660646874[[#This Row],[Jours]])</f>
        <v>0</v>
      </c>
      <c r="E52" s="71" t="n">
        <f aca="false">SUMIFS(Horodateur112335381922313437434649525558616469852226343846505854626670747882909894102106114118110122126130134138142146150154158162166170174178182186190194198202206210214410141822263034384650545862667076[Durée (100)],Horodateur112335381922313437434649525558616469852226343846505854626670747882909894102106114118110122126130134138142146150154158162166170174178182186190194198202206210214410141822263034384650545862667076[Tâche],Taches_Jours12243639172029323541444750535659626783202432364448565260646872768088969210010411211610812012412813213614014414815215616016416817217618018418819219620020420821226121620242832364448525660646874[[#Headers],[PS]],Horodateur112335381922313437434649525558616469852226343846505854626670747882909894102106114118110122126130134138142146150154158162166170174178182186190194198202206210214410141822263034384650545862667076[Jour],Taches_Jours12243639172029323541444750535659626783202432364448565260646872768088969210010411211610812012412813213614014414815215616016416817217618018418819219620020420821226121620242832364448525660646874[[#This Row],[Jours]])</f>
        <v>0</v>
      </c>
      <c r="F52" s="71" t="n">
        <f aca="false">SUMIFS(Horodateur112335381922313437434649525558616469852226343846505854626670747882909894102106114118110122126130134138142146150154158162166170174178182186190194198202206210214410141822263034384650545862667076[Durée (100)],Horodateur112335381922313437434649525558616469852226343846505854626670747882909894102106114118110122126130134138142146150154158162166170174178182186190194198202206210214410141822263034384650545862667076[Tâche],Taches_Jours12243639172029323541444750535659626783202432364448565260646872768088969210010411211610812012412813213614014414815215616016416817217618018418819219620020420821226121620242832364448525660646874[[#Headers],[TD]],Horodateur112335381922313437434649525558616469852226343846505854626670747882909894102106114118110122126130134138142146150154158162166170174178182186190194198202206210214410141822263034384650545862667076[Jour],Taches_Jours12243639172029323541444750535659626783202432364448565260646872768088969210010411211610812012412813213614014414815215616016416817217618018418819219620020420821226121620242832364448525660646874[[#This Row],[Jours]])</f>
        <v>0</v>
      </c>
      <c r="G52" s="71" t="n">
        <f aca="false">SUMIFS(Horodateur112335381922313437434649525558616469852226343846505854626670747882909894102106114118110122126130134138142146150154158162166170174178182186190194198202206210214410141822263034384650545862667076[Durée (100)],Horodateur112335381922313437434649525558616469852226343846505854626670747882909894102106114118110122126130134138142146150154158162166170174178182186190194198202206210214410141822263034384650545862667076[Tâche],Taches_Jours12243639172029323541444750535659626783202432364448565260646872768088969210010411211610812012412813213614014414815215616016416817217618018418819219620020420821226121620242832364448525660646874[[#Headers],[GP]],Horodateur112335381922313437434649525558616469852226343846505854626670747882909894102106114118110122126130134138142146150154158162166170174178182186190194198202206210214410141822263034384650545862667076[Jour],Taches_Jours12243639172029323541444750535659626783202432364448565260646872768088969210010411211610812012412813213614014414815215616016416817217618018418819219620020420821226121620242832364448525660646874[[#This Row],[Jours]])</f>
        <v>0</v>
      </c>
      <c r="H52" s="71" t="n">
        <f aca="false">SUMIFS(Horodateur112335381922313437434649525558616469852226343846505854626670747882909894102106114118110122126130134138142146150154158162166170174178182186190194198202206210214410141822263034384650545862667076[Durée (100)],Horodateur112335381922313437434649525558616469852226343846505854626670747882909894102106114118110122126130134138142146150154158162166170174178182186190194198202206210214410141822263034384650545862667076[Tâche],Taches_Jours12243639172029323541444750535659626783202432364448565260646872768088969210010411211610812012412813213614014414815215616016416817217618018418819219620020420821226121620242832364448525660646874[[#Headers],[GP / SP]],Horodateur112335381922313437434649525558616469852226343846505854626670747882909894102106114118110122126130134138142146150154158162166170174178182186190194198202206210214410141822263034384650545862667076[Jour],Taches_Jours12243639172029323541444750535659626783202432364448565260646872768088969210010411211610812012412813213614014414815215616016416817217618018418819219620020420821226121620242832364448525660646874[[#This Row],[Jours]])</f>
        <v>0</v>
      </c>
      <c r="I52" s="71" t="n">
        <f aca="false">SUMIFS(Horodateur112335381922313437434649525558616469852226343846505854626670747882909894102106114118110122126130134138142146150154158162166170174178182186190194198202206210214410141822263034384650545862667076[Durée (100)],Horodateur112335381922313437434649525558616469852226343846505854626670747882909894102106114118110122126130134138142146150154158162166170174178182186190194198202206210214410141822263034384650545862667076[Tâche],Taches_Jours12243639172029323541444750535659626783202432364448565260646872768088969210010411211610812012412813213614014414815215616016416817217618018418819219620020420821226121620242832364448525660646874[[#Headers],[GP / SP]],Horodateur112335381922313437434649525558616469852226343846505854626670747882909894102106114118110122126130134138142146150154158162166170174178182186190194198202206210214410141822263034384650545862667076[Jour],Taches_Jours12243639172029323541444750535659626783202432364448565260646872768088969210010411211610812012412813213614014414815215616016416817217618018418819219620020420821226121620242832364448525660646874[[#This Row],[Jours]])</f>
        <v>0</v>
      </c>
      <c r="J52" s="290" t="n">
        <f aca="false">SUM(Taches_Jours12243639172029323541444750535659626783202432364448565260646872768088969210010411211610812012412813213614014414815215616016416817217618018418819219620020420821226121620242832364448525660646874[[#This Row],[GB]:[GP / SP]])</f>
        <v>0.250000000000002</v>
      </c>
      <c r="K52" s="188"/>
      <c r="L52" s="188"/>
      <c r="M52" s="288"/>
      <c r="N52" s="289"/>
      <c r="O52" s="289"/>
      <c r="P52" s="1"/>
      <c r="Q52" s="187"/>
      <c r="R52" s="187"/>
      <c r="S52" s="1"/>
      <c r="T52" s="1"/>
      <c r="U52" s="1"/>
      <c r="V52" s="1"/>
      <c r="W52" s="1"/>
      <c r="X52" s="1"/>
      <c r="Y52" s="71"/>
      <c r="Z52" s="71"/>
      <c r="AA52" s="71"/>
      <c r="AB52" s="71"/>
      <c r="AC52" s="71"/>
      <c r="AD52" s="71"/>
      <c r="AE52" s="71"/>
      <c r="AF52" s="71"/>
      <c r="AG52" s="71"/>
      <c r="AH52" s="71"/>
      <c r="AI52" s="71"/>
      <c r="AJ52" s="71"/>
      <c r="AK52" s="71"/>
      <c r="AL52" s="71"/>
      <c r="AM52" s="71"/>
      <c r="AN52" s="71"/>
      <c r="AO52" s="71"/>
      <c r="AP52" s="71"/>
      <c r="AQ52" s="71"/>
      <c r="AR52" s="71"/>
      <c r="AS52" s="71"/>
      <c r="AT52" s="71"/>
      <c r="AU52" s="71"/>
      <c r="AV52" s="71"/>
      <c r="AW52" s="71"/>
      <c r="AX52" s="71"/>
      <c r="AY52" s="71"/>
      <c r="AZ52" s="71"/>
      <c r="BA52" s="71"/>
    </row>
    <row r="53" customFormat="false" ht="15" hidden="false" customHeight="false" outlineLevel="1" collapsed="false">
      <c r="A53" s="187" t="s">
        <v>332</v>
      </c>
      <c r="B53" s="71" t="n">
        <f aca="false">SUMIFS(Horodateur112335381922313437434649525558616469852226343846505854626670747882909894102106114118110122126130134138142146150154158162166170174178182186190194198202206210214410141822263034384650545862667076[Durée (100)],Horodateur112335381922313437434649525558616469852226343846505854626670747882909894102106114118110122126130134138142146150154158162166170174178182186190194198202206210214410141822263034384650545862667076[Tâche],Taches_Jours12243639172029323541444750535659626783202432364448565260646872768088969210010411211610812012412813213614014414815215616016416817217618018418819219620020420821226121620242832364448525660646874[[#Headers],[GB]],Horodateur112335381922313437434649525558616469852226343846505854626670747882909894102106114118110122126130134138142146150154158162166170174178182186190194198202206210214410141822263034384650545862667076[Jour],Taches_Jours12243639172029323541444750535659626783202432364448565260646872768088969210010411211610812012412813213614014414815215616016416817217618018418819219620020420821226121620242832364448525660646874[[#This Row],[Jours]])</f>
        <v>0</v>
      </c>
      <c r="C53" s="71" t="n">
        <f aca="false">SUMIFS(Horodateur112335381922313437434649525558616469852226343846505854626670747882909894102106114118110122126130134138142146150154158162166170174178182186190194198202206210214410141822263034384650545862667076[Durée (100)],Horodateur112335381922313437434649525558616469852226343846505854626670747882909894102106114118110122126130134138142146150154158162166170174178182186190194198202206210214410141822263034384650545862667076[Tâche],Taches_Jours12243639172029323541444750535659626783202432364448565260646872768088969210010411211610812012412813213614014414815215616016416817217618018418819219620020420821226121620242832364448525660646874[[#Headers],[RI]],Horodateur112335381922313437434649525558616469852226343846505854626670747882909894102106114118110122126130134138142146150154158162166170174178182186190194198202206210214410141822263034384650545862667076[Jour],Taches_Jours12243639172029323541444750535659626783202432364448565260646872768088969210010411211610812012412813213614014414815215616016416817217618018418819219620020420821226121620242832364448525660646874[[#This Row],[Jours]])</f>
        <v>0</v>
      </c>
      <c r="D53" s="71" t="n">
        <f aca="false">SUMIFS(Horodateur112335381922313437434649525558616469852226343846505854626670747882909894102106114118110122126130134138142146150154158162166170174178182186190194198202206210214410141822263034384650545862667076[Durée (100)],Horodateur112335381922313437434649525558616469852226343846505854626670747882909894102106114118110122126130134138142146150154158162166170174178182186190194198202206210214410141822263034384650545862667076[Tâche],Taches_Jours12243639172029323541444750535659626783202432364448565260646872768088969210010411211610812012412813213614014414815215616016416817217618018418819219620020420821226121620242832364448525660646874[[#Headers],[FG]],Horodateur112335381922313437434649525558616469852226343846505854626670747882909894102106114118110122126130134138142146150154158162166170174178182186190194198202206210214410141822263034384650545862667076[Jour],Taches_Jours12243639172029323541444750535659626783202432364448565260646872768088969210010411211610812012412813213614014414815215616016416817217618018418819219620020420821226121620242832364448525660646874[[#This Row],[Jours]])</f>
        <v>3.75</v>
      </c>
      <c r="E53" s="71" t="n">
        <f aca="false">SUMIFS(Horodateur112335381922313437434649525558616469852226343846505854626670747882909894102106114118110122126130134138142146150154158162166170174178182186190194198202206210214410141822263034384650545862667076[Durée (100)],Horodateur112335381922313437434649525558616469852226343846505854626670747882909894102106114118110122126130134138142146150154158162166170174178182186190194198202206210214410141822263034384650545862667076[Tâche],Taches_Jours12243639172029323541444750535659626783202432364448565260646872768088969210010411211610812012412813213614014414815215616016416817217618018418819219620020420821226121620242832364448525660646874[[#Headers],[PS]],Horodateur112335381922313437434649525558616469852226343846505854626670747882909894102106114118110122126130134138142146150154158162166170174178182186190194198202206210214410141822263034384650545862667076[Jour],Taches_Jours12243639172029323541444750535659626783202432364448565260646872768088969210010411211610812012412813213614014414815215616016416817217618018418819219620020420821226121620242832364448525660646874[[#This Row],[Jours]])</f>
        <v>0</v>
      </c>
      <c r="F53" s="71" t="n">
        <f aca="false">SUMIFS(Horodateur112335381922313437434649525558616469852226343846505854626670747882909894102106114118110122126130134138142146150154158162166170174178182186190194198202206210214410141822263034384650545862667076[Durée (100)],Horodateur112335381922313437434649525558616469852226343846505854626670747882909894102106114118110122126130134138142146150154158162166170174178182186190194198202206210214410141822263034384650545862667076[Tâche],Taches_Jours12243639172029323541444750535659626783202432364448565260646872768088969210010411211610812012412813213614014414815215616016416817217618018418819219620020420821226121620242832364448525660646874[[#Headers],[TD]],Horodateur112335381922313437434649525558616469852226343846505854626670747882909894102106114118110122126130134138142146150154158162166170174178182186190194198202206210214410141822263034384650545862667076[Jour],Taches_Jours12243639172029323541444750535659626783202432364448565260646872768088969210010411211610812012412813213614014414815215616016416817217618018418819219620020420821226121620242832364448525660646874[[#This Row],[Jours]])</f>
        <v>0</v>
      </c>
      <c r="G53" s="71" t="n">
        <f aca="false">SUMIFS(Horodateur112335381922313437434649525558616469852226343846505854626670747882909894102106114118110122126130134138142146150154158162166170174178182186190194198202206210214410141822263034384650545862667076[Durée (100)],Horodateur112335381922313437434649525558616469852226343846505854626670747882909894102106114118110122126130134138142146150154158162166170174178182186190194198202206210214410141822263034384650545862667076[Tâche],Taches_Jours12243639172029323541444750535659626783202432364448565260646872768088969210010411211610812012412813213614014414815215616016416817217618018418819219620020420821226121620242832364448525660646874[[#Headers],[GP]],Horodateur112335381922313437434649525558616469852226343846505854626670747882909894102106114118110122126130134138142146150154158162166170174178182186190194198202206210214410141822263034384650545862667076[Jour],Taches_Jours12243639172029323541444750535659626783202432364448565260646872768088969210010411211610812012412813213614014414815215616016416817217618018418819219620020420821226121620242832364448525660646874[[#This Row],[Jours]])</f>
        <v>0</v>
      </c>
      <c r="H53" s="71" t="n">
        <f aca="false">SUMIFS(Horodateur112335381922313437434649525558616469852226343846505854626670747882909894102106114118110122126130134138142146150154158162166170174178182186190194198202206210214410141822263034384650545862667076[Durée (100)],Horodateur112335381922313437434649525558616469852226343846505854626670747882909894102106114118110122126130134138142146150154158162166170174178182186190194198202206210214410141822263034384650545862667076[Tâche],Taches_Jours12243639172029323541444750535659626783202432364448565260646872768088969210010411211610812012412813213614014414815215616016416817217618018418819219620020420821226121620242832364448525660646874[[#Headers],[GP / SP]],Horodateur112335381922313437434649525558616469852226343846505854626670747882909894102106114118110122126130134138142146150154158162166170174178182186190194198202206210214410141822263034384650545862667076[Jour],Taches_Jours12243639172029323541444750535659626783202432364448565260646872768088969210010411211610812012412813213614014414815215616016416817217618018418819219620020420821226121620242832364448525660646874[[#This Row],[Jours]])</f>
        <v>0</v>
      </c>
      <c r="I53" s="71" t="n">
        <f aca="false">SUMIFS(Horodateur112335381922313437434649525558616469852226343846505854626670747882909894102106114118110122126130134138142146150154158162166170174178182186190194198202206210214410141822263034384650545862667076[Durée (100)],Horodateur112335381922313437434649525558616469852226343846505854626670747882909894102106114118110122126130134138142146150154158162166170174178182186190194198202206210214410141822263034384650545862667076[Tâche],Taches_Jours12243639172029323541444750535659626783202432364448565260646872768088969210010411211610812012412813213614014414815215616016416817217618018418819219620020420821226121620242832364448525660646874[[#Headers],[GP / SP]],Horodateur112335381922313437434649525558616469852226343846505854626670747882909894102106114118110122126130134138142146150154158162166170174178182186190194198202206210214410141822263034384650545862667076[Jour],Taches_Jours12243639172029323541444750535659626783202432364448565260646872768088969210010411211610812012412813213614014414815215616016416817217618018418819219620020420821226121620242832364448525660646874[[#This Row],[Jours]])</f>
        <v>0</v>
      </c>
      <c r="J53" s="290" t="n">
        <f aca="false">SUM(Taches_Jours12243639172029323541444750535659626783202432364448565260646872768088969210010411211610812012412813213614014414815215616016416817217618018418819219620020420821226121620242832364448525660646874[[#This Row],[GB]:[GP / SP]])</f>
        <v>3.75</v>
      </c>
      <c r="K53" s="188"/>
      <c r="L53" s="188"/>
      <c r="M53" s="288"/>
      <c r="N53" s="289"/>
      <c r="O53" s="289"/>
      <c r="P53" s="71"/>
      <c r="Q53" s="187"/>
      <c r="R53" s="187"/>
      <c r="S53" s="71"/>
      <c r="T53" s="71"/>
      <c r="U53" s="71"/>
      <c r="V53" s="71"/>
      <c r="W53" s="71"/>
      <c r="X53" s="71"/>
      <c r="Y53" s="71"/>
      <c r="Z53" s="71"/>
      <c r="AA53" s="71"/>
      <c r="AB53" s="71"/>
      <c r="AC53" s="71"/>
      <c r="AD53" s="71"/>
      <c r="AE53" s="71"/>
      <c r="AF53" s="71"/>
      <c r="AG53" s="71"/>
      <c r="AH53" s="71"/>
      <c r="AI53" s="71"/>
      <c r="AJ53" s="71"/>
      <c r="AK53" s="71"/>
      <c r="AL53" s="71"/>
      <c r="AM53" s="71"/>
      <c r="AN53" s="71"/>
      <c r="AO53" s="71"/>
      <c r="AP53" s="71"/>
      <c r="AQ53" s="71"/>
      <c r="AR53" s="71"/>
      <c r="AS53" s="71"/>
      <c r="AT53" s="71"/>
      <c r="AU53" s="71"/>
      <c r="AV53" s="71"/>
      <c r="AW53" s="71"/>
      <c r="AX53" s="71"/>
      <c r="AY53" s="71"/>
      <c r="AZ53" s="71"/>
      <c r="BA53" s="71"/>
    </row>
    <row r="54" customFormat="false" ht="15" hidden="false" customHeight="false" outlineLevel="1" collapsed="false">
      <c r="A54" s="187" t="s">
        <v>335</v>
      </c>
      <c r="B54" s="71" t="n">
        <f aca="false">SUMIFS(Horodateur112335381922313437434649525558616469852226343846505854626670747882909894102106114118110122126130134138142146150154158162166170174178182186190194198202206210214410141822263034384650545862667076[Durée (100)],Horodateur112335381922313437434649525558616469852226343846505854626670747882909894102106114118110122126130134138142146150154158162166170174178182186190194198202206210214410141822263034384650545862667076[Tâche],Taches_Jours12243639172029323541444750535659626783202432364448565260646872768088969210010411211610812012412813213614014414815215616016416817217618018418819219620020420821226121620242832364448525660646874[[#Headers],[GB]],Horodateur112335381922313437434649525558616469852226343846505854626670747882909894102106114118110122126130134138142146150154158162166170174178182186190194198202206210214410141822263034384650545862667076[Jour],Taches_Jours12243639172029323541444750535659626783202432364448565260646872768088969210010411211610812012412813213614014414815215616016416817217618018418819219620020420821226121620242832364448525660646874[[#This Row],[Jours]])</f>
        <v>0.5</v>
      </c>
      <c r="C54" s="71" t="n">
        <f aca="false">SUMIFS(Horodateur112335381922313437434649525558616469852226343846505854626670747882909894102106114118110122126130134138142146150154158162166170174178182186190194198202206210214410141822263034384650545862667076[Durée (100)],Horodateur112335381922313437434649525558616469852226343846505854626670747882909894102106114118110122126130134138142146150154158162166170174178182186190194198202206210214410141822263034384650545862667076[Tâche],Taches_Jours12243639172029323541444750535659626783202432364448565260646872768088969210010411211610812012412813213614014414815215616016416817217618018418819219620020420821226121620242832364448525660646874[[#Headers],[RI]],Horodateur112335381922313437434649525558616469852226343846505854626670747882909894102106114118110122126130134138142146150154158162166170174178182186190194198202206210214410141822263034384650545862667076[Jour],Taches_Jours12243639172029323541444750535659626783202432364448565260646872768088969210010411211610812012412813213614014414815215616016416817217618018418819219620020420821226121620242832364448525660646874[[#This Row],[Jours]])</f>
        <v>0</v>
      </c>
      <c r="D54" s="71" t="n">
        <f aca="false">SUMIFS(Horodateur112335381922313437434649525558616469852226343846505854626670747882909894102106114118110122126130134138142146150154158162166170174178182186190194198202206210214410141822263034384650545862667076[Durée (100)],Horodateur112335381922313437434649525558616469852226343846505854626670747882909894102106114118110122126130134138142146150154158162166170174178182186190194198202206210214410141822263034384650545862667076[Tâche],Taches_Jours12243639172029323541444750535659626783202432364448565260646872768088969210010411211610812012412813213614014414815215616016416817217618018418819219620020420821226121620242832364448525660646874[[#Headers],[FG]],Horodateur112335381922313437434649525558616469852226343846505854626670747882909894102106114118110122126130134138142146150154158162166170174178182186190194198202206210214410141822263034384650545862667076[Jour],Taches_Jours12243639172029323541444750535659626783202432364448565260646872768088969210010411211610812012412813213614014414815215616016416817217618018418819219620020420821226121620242832364448525660646874[[#This Row],[Jours]])</f>
        <v>1.75</v>
      </c>
      <c r="E54" s="71" t="n">
        <f aca="false">SUMIFS(Horodateur112335381922313437434649525558616469852226343846505854626670747882909894102106114118110122126130134138142146150154158162166170174178182186190194198202206210214410141822263034384650545862667076[Durée (100)],Horodateur112335381922313437434649525558616469852226343846505854626670747882909894102106114118110122126130134138142146150154158162166170174178182186190194198202206210214410141822263034384650545862667076[Tâche],Taches_Jours12243639172029323541444750535659626783202432364448565260646872768088969210010411211610812012412813213614014414815215616016416817217618018418819219620020420821226121620242832364448525660646874[[#Headers],[PS]],Horodateur112335381922313437434649525558616469852226343846505854626670747882909894102106114118110122126130134138142146150154158162166170174178182186190194198202206210214410141822263034384650545862667076[Jour],Taches_Jours12243639172029323541444750535659626783202432364448565260646872768088969210010411211610812012412813213614014414815215616016416817217618018418819219620020420821226121620242832364448525660646874[[#This Row],[Jours]])</f>
        <v>0</v>
      </c>
      <c r="F54" s="71" t="n">
        <f aca="false">SUMIFS(Horodateur112335381922313437434649525558616469852226343846505854626670747882909894102106114118110122126130134138142146150154158162166170174178182186190194198202206210214410141822263034384650545862667076[Durée (100)],Horodateur112335381922313437434649525558616469852226343846505854626670747882909894102106114118110122126130134138142146150154158162166170174178182186190194198202206210214410141822263034384650545862667076[Tâche],Taches_Jours12243639172029323541444750535659626783202432364448565260646872768088969210010411211610812012412813213614014414815215616016416817217618018418819219620020420821226121620242832364448525660646874[[#Headers],[TD]],Horodateur112335381922313437434649525558616469852226343846505854626670747882909894102106114118110122126130134138142146150154158162166170174178182186190194198202206210214410141822263034384650545862667076[Jour],Taches_Jours12243639172029323541444750535659626783202432364448565260646872768088969210010411211610812012412813213614014414815215616016416817217618018418819219620020420821226121620242832364448525660646874[[#This Row],[Jours]])</f>
        <v>0</v>
      </c>
      <c r="G54" s="71" t="n">
        <f aca="false">SUMIFS(Horodateur112335381922313437434649525558616469852226343846505854626670747882909894102106114118110122126130134138142146150154158162166170174178182186190194198202206210214410141822263034384650545862667076[Durée (100)],Horodateur112335381922313437434649525558616469852226343846505854626670747882909894102106114118110122126130134138142146150154158162166170174178182186190194198202206210214410141822263034384650545862667076[Tâche],Taches_Jours12243639172029323541444750535659626783202432364448565260646872768088969210010411211610812012412813213614014414815215616016416817217618018418819219620020420821226121620242832364448525660646874[[#Headers],[GP]],Horodateur112335381922313437434649525558616469852226343846505854626670747882909894102106114118110122126130134138142146150154158162166170174178182186190194198202206210214410141822263034384650545862667076[Jour],Taches_Jours12243639172029323541444750535659626783202432364448565260646872768088969210010411211610812012412813213614014414815215616016416817217618018418819219620020420821226121620242832364448525660646874[[#This Row],[Jours]])</f>
        <v>0</v>
      </c>
      <c r="H54" s="71" t="n">
        <f aca="false">SUMIFS(Horodateur112335381922313437434649525558616469852226343846505854626670747882909894102106114118110122126130134138142146150154158162166170174178182186190194198202206210214410141822263034384650545862667076[Durée (100)],Horodateur112335381922313437434649525558616469852226343846505854626670747882909894102106114118110122126130134138142146150154158162166170174178182186190194198202206210214410141822263034384650545862667076[Tâche],Taches_Jours12243639172029323541444750535659626783202432364448565260646872768088969210010411211610812012412813213614014414815215616016416817217618018418819219620020420821226121620242832364448525660646874[[#Headers],[GP / SP]],Horodateur112335381922313437434649525558616469852226343846505854626670747882909894102106114118110122126130134138142146150154158162166170174178182186190194198202206210214410141822263034384650545862667076[Jour],Taches_Jours12243639172029323541444750535659626783202432364448565260646872768088969210010411211610812012412813213614014414815215616016416817217618018418819219620020420821226121620242832364448525660646874[[#This Row],[Jours]])</f>
        <v>0</v>
      </c>
      <c r="I54" s="71" t="n">
        <f aca="false">SUMIFS(Horodateur112335381922313437434649525558616469852226343846505854626670747882909894102106114118110122126130134138142146150154158162166170174178182186190194198202206210214410141822263034384650545862667076[Durée (100)],Horodateur112335381922313437434649525558616469852226343846505854626670747882909894102106114118110122126130134138142146150154158162166170174178182186190194198202206210214410141822263034384650545862667076[Tâche],Taches_Jours12243639172029323541444750535659626783202432364448565260646872768088969210010411211610812012412813213614014414815215616016416817217618018418819219620020420821226121620242832364448525660646874[[#Headers],[GP / SP]],Horodateur112335381922313437434649525558616469852226343846505854626670747882909894102106114118110122126130134138142146150154158162166170174178182186190194198202206210214410141822263034384650545862667076[Jour],Taches_Jours12243639172029323541444750535659626783202432364448565260646872768088969210010411211610812012412813213614014414815215616016416817217618018418819219620020420821226121620242832364448525660646874[[#This Row],[Jours]])</f>
        <v>0</v>
      </c>
      <c r="J54" s="290" t="n">
        <f aca="false">SUM(Taches_Jours12243639172029323541444750535659626783202432364448565260646872768088969210010411211610812012412813213614014414815215616016416817217618018418819219620020420821226121620242832364448525660646874[[#This Row],[GB]:[GP / SP]])</f>
        <v>2.25</v>
      </c>
      <c r="K54" s="188"/>
      <c r="L54" s="188"/>
      <c r="M54" s="288"/>
      <c r="N54" s="289"/>
      <c r="O54" s="289"/>
      <c r="P54" s="1"/>
      <c r="Q54" s="187"/>
      <c r="R54" s="187"/>
      <c r="S54" s="1"/>
      <c r="T54" s="1"/>
      <c r="U54" s="1"/>
      <c r="V54" s="1"/>
      <c r="W54" s="1"/>
      <c r="X54" s="1"/>
      <c r="Y54" s="71"/>
      <c r="Z54" s="71"/>
      <c r="AA54" s="71"/>
      <c r="AB54" s="71"/>
      <c r="AC54" s="71"/>
      <c r="AD54" s="71"/>
      <c r="AE54" s="71"/>
      <c r="AF54" s="71"/>
      <c r="AG54" s="71"/>
      <c r="AH54" s="71"/>
      <c r="AI54" s="71"/>
      <c r="AJ54" s="71"/>
      <c r="AK54" s="71"/>
      <c r="AL54" s="71"/>
      <c r="AM54" s="71"/>
      <c r="AN54" s="71"/>
      <c r="AO54" s="71"/>
      <c r="AP54" s="71"/>
      <c r="AQ54" s="71"/>
      <c r="AR54" s="71"/>
      <c r="AS54" s="71"/>
      <c r="AT54" s="71"/>
      <c r="AU54" s="71"/>
      <c r="AV54" s="71"/>
      <c r="AW54" s="71"/>
      <c r="AX54" s="71"/>
      <c r="AY54" s="71"/>
      <c r="AZ54" s="71"/>
      <c r="BA54" s="71"/>
    </row>
    <row r="55" customFormat="false" ht="15" hidden="false" customHeight="false" outlineLevel="1" collapsed="false">
      <c r="A55" s="187" t="s">
        <v>341</v>
      </c>
      <c r="B55" s="71" t="n">
        <f aca="false">SUMIFS(Horodateur112335381922313437434649525558616469852226343846505854626670747882909894102106114118110122126130134138142146150154158162166170174178182186190194198202206210214410141822263034384650545862667076[Durée (100)],Horodateur112335381922313437434649525558616469852226343846505854626670747882909894102106114118110122126130134138142146150154158162166170174178182186190194198202206210214410141822263034384650545862667076[Tâche],Taches_Jours12243639172029323541444750535659626783202432364448565260646872768088969210010411211610812012412813213614014414815215616016416817217618018418819219620020420821226121620242832364448525660646874[[#Headers],[GB]],Horodateur112335381922313437434649525558616469852226343846505854626670747882909894102106114118110122126130134138142146150154158162166170174178182186190194198202206210214410141822263034384650545862667076[Jour],Taches_Jours12243639172029323541444750535659626783202432364448565260646872768088969210010411211610812012412813213614014414815215616016416817217618018418819219620020420821226121620242832364448525660646874[[#This Row],[Jours]])</f>
        <v>0</v>
      </c>
      <c r="C55" s="71" t="n">
        <f aca="false">SUMIFS(Horodateur112335381922313437434649525558616469852226343846505854626670747882909894102106114118110122126130134138142146150154158162166170174178182186190194198202206210214410141822263034384650545862667076[Durée (100)],Horodateur112335381922313437434649525558616469852226343846505854626670747882909894102106114118110122126130134138142146150154158162166170174178182186190194198202206210214410141822263034384650545862667076[Tâche],Taches_Jours12243639172029323541444750535659626783202432364448565260646872768088969210010411211610812012412813213614014414815215616016416817217618018418819219620020420821226121620242832364448525660646874[[#Headers],[RI]],Horodateur112335381922313437434649525558616469852226343846505854626670747882909894102106114118110122126130134138142146150154158162166170174178182186190194198202206210214410141822263034384650545862667076[Jour],Taches_Jours12243639172029323541444750535659626783202432364448565260646872768088969210010411211610812012412813213614014414815215616016416817217618018418819219620020420821226121620242832364448525660646874[[#This Row],[Jours]])</f>
        <v>0</v>
      </c>
      <c r="D55" s="71" t="n">
        <f aca="false">SUMIFS(Horodateur112335381922313437434649525558616469852226343846505854626670747882909894102106114118110122126130134138142146150154158162166170174178182186190194198202206210214410141822263034384650545862667076[Durée (100)],Horodateur112335381922313437434649525558616469852226343846505854626670747882909894102106114118110122126130134138142146150154158162166170174178182186190194198202206210214410141822263034384650545862667076[Tâche],Taches_Jours12243639172029323541444750535659626783202432364448565260646872768088969210010411211610812012412813213614014414815215616016416817217618018418819219620020420821226121620242832364448525660646874[[#Headers],[FG]],Horodateur112335381922313437434649525558616469852226343846505854626670747882909894102106114118110122126130134138142146150154158162166170174178182186190194198202206210214410141822263034384650545862667076[Jour],Taches_Jours12243639172029323541444750535659626783202432364448565260646872768088969210010411211610812012412813213614014414815215616016416817217618018418819219620020420821226121620242832364448525660646874[[#This Row],[Jours]])</f>
        <v>0</v>
      </c>
      <c r="E55" s="71" t="n">
        <f aca="false">SUMIFS(Horodateur112335381922313437434649525558616469852226343846505854626670747882909894102106114118110122126130134138142146150154158162166170174178182186190194198202206210214410141822263034384650545862667076[Durée (100)],Horodateur112335381922313437434649525558616469852226343846505854626670747882909894102106114118110122126130134138142146150154158162166170174178182186190194198202206210214410141822263034384650545862667076[Tâche],Taches_Jours12243639172029323541444750535659626783202432364448565260646872768088969210010411211610812012412813213614014414815215616016416817217618018418819219620020420821226121620242832364448525660646874[[#Headers],[PS]],Horodateur112335381922313437434649525558616469852226343846505854626670747882909894102106114118110122126130134138142146150154158162166170174178182186190194198202206210214410141822263034384650545862667076[Jour],Taches_Jours12243639172029323541444750535659626783202432364448565260646872768088969210010411211610812012412813213614014414815215616016416817217618018418819219620020420821226121620242832364448525660646874[[#This Row],[Jours]])</f>
        <v>0</v>
      </c>
      <c r="F55" s="71" t="n">
        <f aca="false">SUMIFS(Horodateur112335381922313437434649525558616469852226343846505854626670747882909894102106114118110122126130134138142146150154158162166170174178182186190194198202206210214410141822263034384650545862667076[Durée (100)],Horodateur112335381922313437434649525558616469852226343846505854626670747882909894102106114118110122126130134138142146150154158162166170174178182186190194198202206210214410141822263034384650545862667076[Tâche],Taches_Jours12243639172029323541444750535659626783202432364448565260646872768088969210010411211610812012412813213614014414815215616016416817217618018418819219620020420821226121620242832364448525660646874[[#Headers],[TD]],Horodateur112335381922313437434649525558616469852226343846505854626670747882909894102106114118110122126130134138142146150154158162166170174178182186190194198202206210214410141822263034384650545862667076[Jour],Taches_Jours12243639172029323541444750535659626783202432364448565260646872768088969210010411211610812012412813213614014414815215616016416817217618018418819219620020420821226121620242832364448525660646874[[#This Row],[Jours]])</f>
        <v>0</v>
      </c>
      <c r="G55" s="71" t="n">
        <f aca="false">SUMIFS(Horodateur112335381922313437434649525558616469852226343846505854626670747882909894102106114118110122126130134138142146150154158162166170174178182186190194198202206210214410141822263034384650545862667076[Durée (100)],Horodateur112335381922313437434649525558616469852226343846505854626670747882909894102106114118110122126130134138142146150154158162166170174178182186190194198202206210214410141822263034384650545862667076[Tâche],Taches_Jours12243639172029323541444750535659626783202432364448565260646872768088969210010411211610812012412813213614014414815215616016416817217618018418819219620020420821226121620242832364448525660646874[[#Headers],[GP]],Horodateur112335381922313437434649525558616469852226343846505854626670747882909894102106114118110122126130134138142146150154158162166170174178182186190194198202206210214410141822263034384650545862667076[Jour],Taches_Jours12243639172029323541444750535659626783202432364448565260646872768088969210010411211610812012412813213614014414815215616016416817217618018418819219620020420821226121620242832364448525660646874[[#This Row],[Jours]])</f>
        <v>0</v>
      </c>
      <c r="H55" s="71" t="n">
        <f aca="false">SUMIFS(Horodateur112335381922313437434649525558616469852226343846505854626670747882909894102106114118110122126130134138142146150154158162166170174178182186190194198202206210214410141822263034384650545862667076[Durée (100)],Horodateur112335381922313437434649525558616469852226343846505854626670747882909894102106114118110122126130134138142146150154158162166170174178182186190194198202206210214410141822263034384650545862667076[Tâche],Taches_Jours12243639172029323541444750535659626783202432364448565260646872768088969210010411211610812012412813213614014414815215616016416817217618018418819219620020420821226121620242832364448525660646874[[#Headers],[GP / SP]],Horodateur112335381922313437434649525558616469852226343846505854626670747882909894102106114118110122126130134138142146150154158162166170174178182186190194198202206210214410141822263034384650545862667076[Jour],Taches_Jours12243639172029323541444750535659626783202432364448565260646872768088969210010411211610812012412813213614014414815215616016416817217618018418819219620020420821226121620242832364448525660646874[[#This Row],[Jours]])</f>
        <v>0</v>
      </c>
      <c r="I55" s="290" t="n">
        <f aca="false">SUMIFS(Horodateur112335381922313437434649525558616469852226343846505854626670747882909894102106114118110122126130134138142146150154158162166170174178182186190194198202206210214410141822263034384650545862667076[Durée (100)],Horodateur112335381922313437434649525558616469852226343846505854626670747882909894102106114118110122126130134138142146150154158162166170174178182186190194198202206210214410141822263034384650545862667076[Tâche],Taches_Jours12243639172029323541444750535659626783202432364448565260646872768088969210010411211610812012412813213614014414815215616016416817217618018418819219620020420821226121620242832364448525660646874[[#Headers],[GP / SP]],Horodateur112335381922313437434649525558616469852226343846505854626670747882909894102106114118110122126130134138142146150154158162166170174178182186190194198202206210214410141822263034384650545862667076[Jour],Taches_Jours12243639172029323541444750535659626783202432364448565260646872768088969210010411211610812012412813213614014414815215616016416817217618018418819219620020420821226121620242832364448525660646874[[#This Row],[Jours]])</f>
        <v>0</v>
      </c>
      <c r="J55" s="71" t="n">
        <f aca="false">SUM(Taches_Jours12243639172029323541444750535659626783202432364448565260646872768088969210010411211610812012412813213614014414815215616016416817217618018418819219620020420821226121620242832364448525660646874[[#This Row],[GB]:[GP / SP]])</f>
        <v>0</v>
      </c>
      <c r="K55" s="188"/>
      <c r="L55" s="188"/>
      <c r="M55" s="288"/>
      <c r="N55" s="289"/>
      <c r="O55" s="289"/>
      <c r="P55" s="1"/>
      <c r="Q55" s="187"/>
      <c r="R55" s="187"/>
      <c r="S55" s="1"/>
      <c r="T55" s="1"/>
      <c r="U55" s="1"/>
      <c r="V55" s="1"/>
      <c r="W55" s="1"/>
      <c r="X55" s="1"/>
      <c r="Y55" s="71"/>
      <c r="Z55" s="71"/>
      <c r="AA55" s="71"/>
      <c r="AB55" s="71"/>
      <c r="AC55" s="71"/>
      <c r="AD55" s="71"/>
      <c r="AE55" s="71"/>
      <c r="AF55" s="71"/>
      <c r="AG55" s="71"/>
      <c r="AH55" s="71"/>
      <c r="AI55" s="71"/>
      <c r="AJ55" s="71"/>
      <c r="AK55" s="71"/>
      <c r="AL55" s="71"/>
      <c r="AM55" s="71"/>
      <c r="AN55" s="71"/>
      <c r="AO55" s="71"/>
      <c r="AP55" s="71"/>
      <c r="AQ55" s="71"/>
      <c r="AR55" s="71"/>
      <c r="AS55" s="71"/>
      <c r="AT55" s="71"/>
      <c r="AU55" s="71"/>
      <c r="AV55" s="71"/>
      <c r="AW55" s="71"/>
      <c r="AX55" s="71"/>
      <c r="AY55" s="71"/>
      <c r="AZ55" s="71"/>
      <c r="BA55" s="71"/>
    </row>
    <row r="56" customFormat="false" ht="15" hidden="false" customHeight="false" outlineLevel="1" collapsed="false">
      <c r="A56" s="187" t="s">
        <v>381</v>
      </c>
      <c r="B56" s="71" t="n">
        <f aca="false">SUMIFS(Horodateur112335381922313437434649525558616469852226343846505854626670747882909894102106114118110122126130134138142146150154158162166170174178182186190194198202206210214410141822263034384650545862667076[Durée (100)],Horodateur112335381922313437434649525558616469852226343846505854626670747882909894102106114118110122126130134138142146150154158162166170174178182186190194198202206210214410141822263034384650545862667076[Tâche],Taches_Jours12243639172029323541444750535659626783202432364448565260646872768088969210010411211610812012412813213614014414815215616016416817217618018418819219620020420821226121620242832364448525660646874[[#Headers],[GB]],Horodateur112335381922313437434649525558616469852226343846505854626670747882909894102106114118110122126130134138142146150154158162166170174178182186190194198202206210214410141822263034384650545862667076[Jour],Taches_Jours12243639172029323541444750535659626783202432364448565260646872768088969210010411211610812012412813213614014414815215616016416817217618018418819219620020420821226121620242832364448525660646874[[#This Row],[Jours]])</f>
        <v>0</v>
      </c>
      <c r="C56" s="71" t="n">
        <f aca="false">SUMIFS(Horodateur112335381922313437434649525558616469852226343846505854626670747882909894102106114118110122126130134138142146150154158162166170174178182186190194198202206210214410141822263034384650545862667076[Durée (100)],Horodateur112335381922313437434649525558616469852226343846505854626670747882909894102106114118110122126130134138142146150154158162166170174178182186190194198202206210214410141822263034384650545862667076[Tâche],Taches_Jours12243639172029323541444750535659626783202432364448565260646872768088969210010411211610812012412813213614014414815215616016416817217618018418819219620020420821226121620242832364448525660646874[[#Headers],[RI]],Horodateur112335381922313437434649525558616469852226343846505854626670747882909894102106114118110122126130134138142146150154158162166170174178182186190194198202206210214410141822263034384650545862667076[Jour],Taches_Jours12243639172029323541444750535659626783202432364448565260646872768088969210010411211610812012412813213614014414815215616016416817217618018418819219620020420821226121620242832364448525660646874[[#This Row],[Jours]])</f>
        <v>0</v>
      </c>
      <c r="D56" s="71" t="n">
        <f aca="false">SUMIFS(Horodateur112335381922313437434649525558616469852226343846505854626670747882909894102106114118110122126130134138142146150154158162166170174178182186190194198202206210214410141822263034384650545862667076[Durée (100)],Horodateur112335381922313437434649525558616469852226343846505854626670747882909894102106114118110122126130134138142146150154158162166170174178182186190194198202206210214410141822263034384650545862667076[Tâche],Taches_Jours12243639172029323541444750535659626783202432364448565260646872768088969210010411211610812012412813213614014414815215616016416817217618018418819219620020420821226121620242832364448525660646874[[#Headers],[FG]],Horodateur112335381922313437434649525558616469852226343846505854626670747882909894102106114118110122126130134138142146150154158162166170174178182186190194198202206210214410141822263034384650545862667076[Jour],Taches_Jours12243639172029323541444750535659626783202432364448565260646872768088969210010411211610812012412813213614014414815215616016416817217618018418819219620020420821226121620242832364448525660646874[[#This Row],[Jours]])</f>
        <v>0</v>
      </c>
      <c r="E56" s="71" t="n">
        <f aca="false">SUMIFS(Horodateur112335381922313437434649525558616469852226343846505854626670747882909894102106114118110122126130134138142146150154158162166170174178182186190194198202206210214410141822263034384650545862667076[Durée (100)],Horodateur112335381922313437434649525558616469852226343846505854626670747882909894102106114118110122126130134138142146150154158162166170174178182186190194198202206210214410141822263034384650545862667076[Tâche],Taches_Jours12243639172029323541444750535659626783202432364448565260646872768088969210010411211610812012412813213614014414815215616016416817217618018418819219620020420821226121620242832364448525660646874[[#Headers],[PS]],Horodateur112335381922313437434649525558616469852226343846505854626670747882909894102106114118110122126130134138142146150154158162166170174178182186190194198202206210214410141822263034384650545862667076[Jour],Taches_Jours12243639172029323541444750535659626783202432364448565260646872768088969210010411211610812012412813213614014414815215616016416817217618018418819219620020420821226121620242832364448525660646874[[#This Row],[Jours]])</f>
        <v>0</v>
      </c>
      <c r="F56" s="71" t="n">
        <f aca="false">SUMIFS(Horodateur112335381922313437434649525558616469852226343846505854626670747882909894102106114118110122126130134138142146150154158162166170174178182186190194198202206210214410141822263034384650545862667076[Durée (100)],Horodateur112335381922313437434649525558616469852226343846505854626670747882909894102106114118110122126130134138142146150154158162166170174178182186190194198202206210214410141822263034384650545862667076[Tâche],Taches_Jours12243639172029323541444750535659626783202432364448565260646872768088969210010411211610812012412813213614014414815215616016416817217618018418819219620020420821226121620242832364448525660646874[[#Headers],[TD]],Horodateur112335381922313437434649525558616469852226343846505854626670747882909894102106114118110122126130134138142146150154158162166170174178182186190194198202206210214410141822263034384650545862667076[Jour],Taches_Jours12243639172029323541444750535659626783202432364448565260646872768088969210010411211610812012412813213614014414815215616016416817217618018418819219620020420821226121620242832364448525660646874[[#This Row],[Jours]])</f>
        <v>0</v>
      </c>
      <c r="G56" s="71" t="n">
        <f aca="false">SUMIFS(Horodateur112335381922313437434649525558616469852226343846505854626670747882909894102106114118110122126130134138142146150154158162166170174178182186190194198202206210214410141822263034384650545862667076[Durée (100)],Horodateur112335381922313437434649525558616469852226343846505854626670747882909894102106114118110122126130134138142146150154158162166170174178182186190194198202206210214410141822263034384650545862667076[Tâche],Taches_Jours12243639172029323541444750535659626783202432364448565260646872768088969210010411211610812012412813213614014414815215616016416817217618018418819219620020420821226121620242832364448525660646874[[#Headers],[GP]],Horodateur112335381922313437434649525558616469852226343846505854626670747882909894102106114118110122126130134138142146150154158162166170174178182186190194198202206210214410141822263034384650545862667076[Jour],Taches_Jours12243639172029323541444750535659626783202432364448565260646872768088969210010411211610812012412813213614014414815215616016416817217618018418819219620020420821226121620242832364448525660646874[[#This Row],[Jours]])</f>
        <v>0</v>
      </c>
      <c r="H56" s="71" t="n">
        <f aca="false">SUMIFS(Horodateur112335381922313437434649525558616469852226343846505854626670747882909894102106114118110122126130134138142146150154158162166170174178182186190194198202206210214410141822263034384650545862667076[Durée (100)],Horodateur112335381922313437434649525558616469852226343846505854626670747882909894102106114118110122126130134138142146150154158162166170174178182186190194198202206210214410141822263034384650545862667076[Tâche],Taches_Jours12243639172029323541444750535659626783202432364448565260646872768088969210010411211610812012412813213614014414815215616016416817217618018418819219620020420821226121620242832364448525660646874[[#Headers],[GP / SP]],Horodateur112335381922313437434649525558616469852226343846505854626670747882909894102106114118110122126130134138142146150154158162166170174178182186190194198202206210214410141822263034384650545862667076[Jour],Taches_Jours12243639172029323541444750535659626783202432364448565260646872768088969210010411211610812012412813213614014414815215616016416817217618018418819219620020420821226121620242832364448525660646874[[#This Row],[Jours]])</f>
        <v>0</v>
      </c>
      <c r="I56" s="290" t="n">
        <f aca="false">SUMIFS(Horodateur112335381922313437434649525558616469852226343846505854626670747882909894102106114118110122126130134138142146150154158162166170174178182186190194198202206210214410141822263034384650545862667076[Durée (100)],Horodateur112335381922313437434649525558616469852226343846505854626670747882909894102106114118110122126130134138142146150154158162166170174178182186190194198202206210214410141822263034384650545862667076[Tâche],Taches_Jours12243639172029323541444750535659626783202432364448565260646872768088969210010411211610812012412813213614014414815215616016416817217618018418819219620020420821226121620242832364448525660646874[[#Headers],[GP / SP]],Horodateur112335381922313437434649525558616469852226343846505854626670747882909894102106114118110122126130134138142146150154158162166170174178182186190194198202206210214410141822263034384650545862667076[Jour],Taches_Jours12243639172029323541444750535659626783202432364448565260646872768088969210010411211610812012412813213614014414815215616016416817217618018418819219620020420821226121620242832364448525660646874[[#This Row],[Jours]])</f>
        <v>0</v>
      </c>
      <c r="J56" s="71" t="n">
        <f aca="false">SUM(Taches_Jours12243639172029323541444750535659626783202432364448565260646872768088969210010411211610812012412813213614014414815215616016416817217618018418819219620020420821226121620242832364448525660646874[[#This Row],[GB]:[GP / SP]])</f>
        <v>0</v>
      </c>
      <c r="K56" s="188"/>
      <c r="L56" s="188"/>
      <c r="M56" s="288"/>
      <c r="N56" s="289"/>
      <c r="O56" s="289"/>
      <c r="P56" s="1"/>
      <c r="Q56" s="187"/>
      <c r="R56" s="187"/>
      <c r="S56" s="1"/>
      <c r="T56" s="1"/>
      <c r="U56" s="1"/>
      <c r="V56" s="1"/>
      <c r="W56" s="1"/>
      <c r="X56" s="1"/>
      <c r="Y56" s="71"/>
      <c r="Z56" s="71"/>
      <c r="AA56" s="71"/>
      <c r="AB56" s="71"/>
      <c r="AC56" s="71"/>
      <c r="AD56" s="71"/>
      <c r="AE56" s="71"/>
      <c r="AF56" s="71"/>
      <c r="AG56" s="71"/>
      <c r="AH56" s="71"/>
      <c r="AI56" s="71"/>
      <c r="AJ56" s="71"/>
      <c r="AK56" s="71"/>
      <c r="AL56" s="71"/>
      <c r="AM56" s="71"/>
      <c r="AN56" s="71"/>
      <c r="AO56" s="71"/>
      <c r="AP56" s="71"/>
      <c r="AQ56" s="71"/>
      <c r="AR56" s="71"/>
      <c r="AS56" s="71"/>
      <c r="AT56" s="71"/>
      <c r="AU56" s="71"/>
      <c r="AV56" s="71"/>
      <c r="AW56" s="71"/>
      <c r="AX56" s="71"/>
      <c r="AY56" s="71"/>
      <c r="AZ56" s="71"/>
      <c r="BA56" s="71"/>
    </row>
    <row r="57" customFormat="false" ht="15" hidden="false" customHeight="false" outlineLevel="1" collapsed="false">
      <c r="A57" s="137"/>
      <c r="B57" s="187"/>
      <c r="C57" s="71"/>
      <c r="D57" s="1"/>
      <c r="E57" s="1"/>
      <c r="F57" s="71"/>
      <c r="G57" s="1"/>
      <c r="H57" s="1"/>
      <c r="I57" s="119"/>
      <c r="J57" s="271"/>
      <c r="K57" s="1"/>
      <c r="L57" s="1"/>
      <c r="M57" s="188"/>
      <c r="N57" s="272"/>
      <c r="O57" s="272"/>
      <c r="P57" s="1"/>
      <c r="Q57" s="187"/>
      <c r="R57" s="187"/>
      <c r="S57" s="1"/>
      <c r="T57" s="1"/>
      <c r="U57" s="1"/>
      <c r="V57" s="1"/>
      <c r="W57" s="1"/>
      <c r="X57" s="1"/>
      <c r="Y57" s="1"/>
      <c r="Z57" s="1"/>
      <c r="AA57" s="71"/>
      <c r="AB57" s="71"/>
      <c r="AC57" s="71"/>
      <c r="AD57" s="71"/>
      <c r="AE57" s="71"/>
      <c r="AF57" s="71"/>
      <c r="AG57" s="71"/>
      <c r="AH57" s="71"/>
      <c r="AI57" s="71"/>
      <c r="AJ57" s="71"/>
      <c r="AK57" s="71"/>
      <c r="AL57" s="71"/>
      <c r="AM57" s="71"/>
      <c r="AN57" s="71"/>
      <c r="AO57" s="71"/>
      <c r="AP57" s="71"/>
      <c r="AQ57" s="71"/>
      <c r="AR57" s="71"/>
      <c r="AS57" s="71"/>
      <c r="AT57" s="71"/>
      <c r="AU57" s="71"/>
      <c r="AV57" s="71"/>
      <c r="AW57" s="71"/>
      <c r="AX57" s="71"/>
      <c r="AY57" s="71"/>
      <c r="AZ57" s="71"/>
      <c r="BA57" s="71"/>
      <c r="BB57" s="71"/>
    </row>
    <row r="58" customFormat="false" ht="15" hidden="false" customHeight="false" outlineLevel="1" collapsed="false">
      <c r="A58" s="291" t="s">
        <v>85</v>
      </c>
      <c r="B58" s="292" t="s">
        <v>312</v>
      </c>
      <c r="C58" s="292" t="s">
        <v>319</v>
      </c>
      <c r="D58" s="292" t="s">
        <v>324</v>
      </c>
      <c r="E58" s="292" t="s">
        <v>332</v>
      </c>
      <c r="F58" s="293" t="s">
        <v>335</v>
      </c>
      <c r="G58" s="292" t="s">
        <v>341</v>
      </c>
      <c r="H58" s="292" t="s">
        <v>381</v>
      </c>
      <c r="I58" s="294" t="s">
        <v>58</v>
      </c>
      <c r="J58" s="271"/>
      <c r="K58" s="1"/>
      <c r="L58" s="1"/>
      <c r="M58" s="188"/>
      <c r="N58" s="272"/>
      <c r="O58" s="272"/>
      <c r="P58" s="1"/>
      <c r="Q58" s="187"/>
      <c r="R58" s="187"/>
      <c r="S58" s="1"/>
      <c r="T58" s="1"/>
      <c r="U58" s="1"/>
      <c r="V58" s="1"/>
      <c r="W58" s="1"/>
      <c r="X58" s="1"/>
      <c r="Y58" s="1"/>
      <c r="Z58" s="1"/>
      <c r="AA58" s="71"/>
      <c r="AB58" s="71"/>
      <c r="AC58" s="71"/>
      <c r="AD58" s="71"/>
      <c r="AE58" s="71"/>
      <c r="AF58" s="71"/>
      <c r="AG58" s="71"/>
      <c r="AH58" s="71"/>
      <c r="AI58" s="71"/>
      <c r="AJ58" s="71"/>
      <c r="AK58" s="71"/>
      <c r="AL58" s="71"/>
      <c r="AM58" s="71"/>
      <c r="AN58" s="71"/>
      <c r="AO58" s="71"/>
      <c r="AP58" s="71"/>
      <c r="AQ58" s="71"/>
      <c r="AR58" s="71"/>
      <c r="AS58" s="71"/>
      <c r="AT58" s="71"/>
      <c r="AU58" s="71"/>
      <c r="AV58" s="71"/>
      <c r="AW58" s="71"/>
      <c r="AX58" s="71"/>
      <c r="AY58" s="71"/>
      <c r="AZ58" s="71"/>
      <c r="BA58" s="71"/>
      <c r="BB58" s="71"/>
    </row>
    <row r="59" customFormat="false" ht="15" hidden="false" customHeight="false" outlineLevel="1" collapsed="false">
      <c r="A59" s="137" t="s">
        <v>21</v>
      </c>
      <c r="B59" s="187" t="n">
        <f aca="false">SUMIFS(Horodateur112335381922313437434649525558616469852226343846505854626670747882909894102106114118110122126130134138142146150154158162166170174178182186190194198202206210214410141822263034384650545862667076[Durée (100)],Horodateur112335381922313437434649525558616469852226343846505854626670747882909894102106114118110122126130134138142146150154158162166170174178182186190194198202206210214410141822263034384650545862667076[Jour],$B$58,Horodateur112335381922313437434649525558616469852226343846505854626670747882909894102106114118110122126130134138142146150154158162166170174178182186190194198202206210214410141822263034384650545862667076[Tâche],$A59)</f>
        <v>1.75</v>
      </c>
      <c r="C59" s="187" t="n">
        <f aca="false">SUMIFS(Horodateur112335381922313437434649525558616469852226343846505854626670747882909894102106114118110122126130134138142146150154158162166170174178182186190194198202206210214410141822263034384650545862667076[Durée (100)],Horodateur112335381922313437434649525558616469852226343846505854626670747882909894102106114118110122126130134138142146150154158162166170174178182186190194198202206210214410141822263034384650545862667076[Jour],$C$58,Horodateur112335381922313437434649525558616469852226343846505854626670747882909894102106114118110122126130134138142146150154158162166170174178182186190194198202206210214410141822263034384650545862667076[Tâche],$A59)</f>
        <v>0.5</v>
      </c>
      <c r="D59" s="187" t="n">
        <f aca="false">SUMIFS(Horodateur112335381922313437434649525558616469852226343846505854626670747882909894102106114118110122126130134138142146150154158162166170174178182186190194198202206210214410141822263034384650545862667076[Durée (100)],Horodateur112335381922313437434649525558616469852226343846505854626670747882909894102106114118110122126130134138142146150154158162166170174178182186190194198202206210214410141822263034384650545862667076[Jour],$D$58,Horodateur112335381922313437434649525558616469852226343846505854626670747882909894102106114118110122126130134138142146150154158162166170174178182186190194198202206210214410141822263034384650545862667076[Tâche],$A59)</f>
        <v>0.250000000000002</v>
      </c>
      <c r="E59" s="187" t="n">
        <f aca="false">SUMIFS(Horodateur112335381922313437434649525558616469852226343846505854626670747882909894102106114118110122126130134138142146150154158162166170174178182186190194198202206210214410141822263034384650545862667076[Durée (100)],Horodateur112335381922313437434649525558616469852226343846505854626670747882909894102106114118110122126130134138142146150154158162166170174178182186190194198202206210214410141822263034384650545862667076[Jour],$E$58,Horodateur112335381922313437434649525558616469852226343846505854626670747882909894102106114118110122126130134138142146150154158162166170174178182186190194198202206210214410141822263034384650545862667076[Tâche],$A59)</f>
        <v>0</v>
      </c>
      <c r="F59" s="71" t="n">
        <f aca="false">SUMIFS(Horodateur112335381922313437434649525558616469852226343846505854626670747882909894102106114118110122126130134138142146150154158162166170174178182186190194198202206210214410141822263034384650545862667076[Durée (100)],Horodateur112335381922313437434649525558616469852226343846505854626670747882909894102106114118110122126130134138142146150154158162166170174178182186190194198202206210214410141822263034384650545862667076[Jour],$F$58,Horodateur112335381922313437434649525558616469852226343846505854626670747882909894102106114118110122126130134138142146150154158162166170174178182186190194198202206210214410141822263034384650545862667076[Tâche],$A59)</f>
        <v>0.5</v>
      </c>
      <c r="G59" s="187" t="n">
        <f aca="false">SUMIFS(Horodateur112335381922313437434649525558616469852226343846505854626670747882909894102106114118110122126130134138142146150154158162166170174178182186190194198202206210214410141822263034384650545862667076[Durée (100)],Horodateur112335381922313437434649525558616469852226343846505854626670747882909894102106114118110122126130134138142146150154158162166170174178182186190194198202206210214410141822263034384650545862667076[Jour],$G$58,Horodateur112335381922313437434649525558616469852226343846505854626670747882909894102106114118110122126130134138142146150154158162166170174178182186190194198202206210214410141822263034384650545862667076[Tâche],$A59)</f>
        <v>0</v>
      </c>
      <c r="H59" s="187" t="n">
        <f aca="false">SUMIFS(Horodateur112335381922313437434649525558616469852226343846505854626670747882909894102106114118110122126130134138142146150154158162166170174178182186190194198202206210214410141822263034384650545862667076[Durée (100)],Horodateur112335381922313437434649525558616469852226343846505854626670747882909894102106114118110122126130134138142146150154158162166170174178182186190194198202206210214410141822263034384650545862667076[Jour],$H$58,Horodateur112335381922313437434649525558616469852226343846505854626670747882909894102106114118110122126130134138142146150154158162166170174178182186190194198202206210214410141822263034384650545862667076[Tâche],$A59)</f>
        <v>0</v>
      </c>
      <c r="I59" s="295" t="n">
        <f aca="false">SUM(#REF!)</f>
        <v>3</v>
      </c>
      <c r="J59" s="271"/>
      <c r="K59" s="1"/>
      <c r="L59" s="1"/>
      <c r="M59" s="188"/>
      <c r="N59" s="272"/>
      <c r="O59" s="272"/>
      <c r="P59" s="1"/>
      <c r="Q59" s="187"/>
      <c r="R59" s="187"/>
      <c r="S59" s="1"/>
      <c r="T59" s="1"/>
      <c r="U59" s="1"/>
      <c r="V59" s="1"/>
      <c r="W59" s="1"/>
      <c r="X59" s="1"/>
      <c r="Y59" s="1"/>
      <c r="Z59" s="1"/>
      <c r="AA59" s="71"/>
      <c r="AB59" s="71"/>
      <c r="AC59" s="71"/>
      <c r="AD59" s="71"/>
      <c r="AE59" s="71"/>
      <c r="AF59" s="71"/>
      <c r="AG59" s="71"/>
      <c r="AH59" s="71"/>
      <c r="AI59" s="71"/>
      <c r="AJ59" s="71"/>
      <c r="AK59" s="71"/>
      <c r="AL59" s="71"/>
      <c r="AM59" s="71"/>
      <c r="AN59" s="71"/>
      <c r="AO59" s="71"/>
      <c r="AP59" s="71"/>
      <c r="AQ59" s="71"/>
      <c r="AR59" s="71"/>
      <c r="AS59" s="71"/>
      <c r="AT59" s="71"/>
      <c r="AU59" s="71"/>
      <c r="AV59" s="71"/>
      <c r="AW59" s="71"/>
      <c r="AX59" s="71"/>
      <c r="AY59" s="71"/>
      <c r="AZ59" s="71"/>
      <c r="BA59" s="71"/>
      <c r="BB59" s="71"/>
    </row>
    <row r="60" customFormat="false" ht="15" hidden="false" customHeight="false" outlineLevel="1" collapsed="false">
      <c r="A60" s="137" t="s">
        <v>20</v>
      </c>
      <c r="B60" s="187" t="n">
        <f aca="false">SUMIFS(Horodateur112335381922313437434649525558616469852226343846505854626670747882909894102106114118110122126130134138142146150154158162166170174178182186190194198202206210214410141822263034384650545862667076[Durée (100)],Horodateur112335381922313437434649525558616469852226343846505854626670747882909894102106114118110122126130134138142146150154158162166170174178182186190194198202206210214410141822263034384650545862667076[Jour],$B$58,Horodateur112335381922313437434649525558616469852226343846505854626670747882909894102106114118110122126130134138142146150154158162166170174178182186190194198202206210214410141822263034384650545862667076[Tâche],$A60)</f>
        <v>0.500000000000001</v>
      </c>
      <c r="C60" s="187" t="n">
        <f aca="false">SUMIFS(Horodateur112335381922313437434649525558616469852226343846505854626670747882909894102106114118110122126130134138142146150154158162166170174178182186190194198202206210214410141822263034384650545862667076[Durée (100)],Horodateur112335381922313437434649525558616469852226343846505854626670747882909894102106114118110122126130134138142146150154158162166170174178182186190194198202206210214410141822263034384650545862667076[Jour],$C$58,Horodateur112335381922313437434649525558616469852226343846505854626670747882909894102106114118110122126130134138142146150154158162166170174178182186190194198202206210214410141822263034384650545862667076[Tâche],$A60)</f>
        <v>0.500000000000001</v>
      </c>
      <c r="D60" s="187" t="n">
        <f aca="false">SUMIFS(Horodateur112335381922313437434649525558616469852226343846505854626670747882909894102106114118110122126130134138142146150154158162166170174178182186190194198202206210214410141822263034384650545862667076[Durée (100)],Horodateur112335381922313437434649525558616469852226343846505854626670747882909894102106114118110122126130134138142146150154158162166170174178182186190194198202206210214410141822263034384650545862667076[Jour],$D$58,Horodateur112335381922313437434649525558616469852226343846505854626670747882909894102106114118110122126130134138142146150154158162166170174178182186190194198202206210214410141822263034384650545862667076[Tâche],$A60)</f>
        <v>0</v>
      </c>
      <c r="E60" s="187" t="n">
        <f aca="false">SUMIFS(Horodateur112335381922313437434649525558616469852226343846505854626670747882909894102106114118110122126130134138142146150154158162166170174178182186190194198202206210214410141822263034384650545862667076[Durée (100)],Horodateur112335381922313437434649525558616469852226343846505854626670747882909894102106114118110122126130134138142146150154158162166170174178182186190194198202206210214410141822263034384650545862667076[Jour],$E$58,Horodateur112335381922313437434649525558616469852226343846505854626670747882909894102106114118110122126130134138142146150154158162166170174178182186190194198202206210214410141822263034384650545862667076[Tâche],$A60)</f>
        <v>0</v>
      </c>
      <c r="F60" s="71" t="n">
        <f aca="false">SUMIFS(Horodateur112335381922313437434649525558616469852226343846505854626670747882909894102106114118110122126130134138142146150154158162166170174178182186190194198202206210214410141822263034384650545862667076[Durée (100)],Horodateur112335381922313437434649525558616469852226343846505854626670747882909894102106114118110122126130134138142146150154158162166170174178182186190194198202206210214410141822263034384650545862667076[Jour],$F$58,Horodateur112335381922313437434649525558616469852226343846505854626670747882909894102106114118110122126130134138142146150154158162166170174178182186190194198202206210214410141822263034384650545862667076[Tâche],$A60)</f>
        <v>0</v>
      </c>
      <c r="G60" s="187" t="n">
        <f aca="false">SUMIFS(Horodateur112335381922313437434649525558616469852226343846505854626670747882909894102106114118110122126130134138142146150154158162166170174178182186190194198202206210214410141822263034384650545862667076[Durée (100)],Horodateur112335381922313437434649525558616469852226343846505854626670747882909894102106114118110122126130134138142146150154158162166170174178182186190194198202206210214410141822263034384650545862667076[Jour],$G$58,Horodateur112335381922313437434649525558616469852226343846505854626670747882909894102106114118110122126130134138142146150154158162166170174178182186190194198202206210214410141822263034384650545862667076[Tâche],$A60)</f>
        <v>0</v>
      </c>
      <c r="H60" s="187" t="n">
        <f aca="false">SUMIFS(Horodateur112335381922313437434649525558616469852226343846505854626670747882909894102106114118110122126130134138142146150154158162166170174178182186190194198202206210214410141822263034384650545862667076[Durée (100)],Horodateur112335381922313437434649525558616469852226343846505854626670747882909894102106114118110122126130134138142146150154158162166170174178182186190194198202206210214410141822263034384650545862667076[Jour],$H$58,Horodateur112335381922313437434649525558616469852226343846505854626670747882909894102106114118110122126130134138142146150154158162166170174178182186190194198202206210214410141822263034384650545862667076[Tâche],$A60)</f>
        <v>0</v>
      </c>
      <c r="I60" s="295" t="n">
        <f aca="false">SUM(#REF!)</f>
        <v>1</v>
      </c>
      <c r="J60" s="271"/>
      <c r="K60" s="1"/>
      <c r="L60" s="1"/>
      <c r="M60" s="188"/>
      <c r="N60" s="272"/>
      <c r="O60" s="272"/>
      <c r="P60" s="1"/>
      <c r="Q60" s="187"/>
      <c r="R60" s="187"/>
      <c r="S60" s="1"/>
      <c r="T60" s="1"/>
      <c r="U60" s="1"/>
      <c r="V60" s="1"/>
      <c r="W60" s="1"/>
      <c r="X60" s="1"/>
      <c r="Y60" s="1"/>
      <c r="Z60" s="1"/>
      <c r="AA60" s="71"/>
      <c r="AB60" s="71"/>
      <c r="AC60" s="71"/>
      <c r="AD60" s="71"/>
      <c r="AE60" s="71"/>
      <c r="AF60" s="71"/>
      <c r="AG60" s="71"/>
      <c r="AH60" s="71"/>
      <c r="AI60" s="71"/>
      <c r="AJ60" s="71"/>
      <c r="AK60" s="71"/>
      <c r="AL60" s="71"/>
      <c r="AM60" s="71"/>
      <c r="AN60" s="71"/>
      <c r="AO60" s="71"/>
      <c r="AP60" s="71"/>
      <c r="AQ60" s="71"/>
      <c r="AR60" s="71"/>
      <c r="AS60" s="71"/>
      <c r="AT60" s="71"/>
      <c r="AU60" s="71"/>
      <c r="AV60" s="71"/>
      <c r="AW60" s="71"/>
      <c r="AX60" s="71"/>
      <c r="AY60" s="71"/>
      <c r="AZ60" s="71"/>
      <c r="BA60" s="71"/>
      <c r="BB60" s="71"/>
    </row>
    <row r="61" customFormat="false" ht="15" hidden="false" customHeight="false" outlineLevel="1" collapsed="false">
      <c r="A61" s="137" t="s">
        <v>23</v>
      </c>
      <c r="B61" s="187" t="n">
        <f aca="false">SUMIFS(Horodateur112335381922313437434649525558616469852226343846505854626670747882909894102106114118110122126130134138142146150154158162166170174178182186190194198202206210214410141822263034384650545862667076[Durée (100)],Horodateur112335381922313437434649525558616469852226343846505854626670747882909894102106114118110122126130134138142146150154158162166170174178182186190194198202206210214410141822263034384650545862667076[Jour],$B$58,Horodateur112335381922313437434649525558616469852226343846505854626670747882909894102106114118110122126130134138142146150154158162166170174178182186190194198202206210214410141822263034384650545862667076[Tâche],$A61)</f>
        <v>0</v>
      </c>
      <c r="C61" s="187" t="n">
        <f aca="false">SUMIFS(Horodateur112335381922313437434649525558616469852226343846505854626670747882909894102106114118110122126130134138142146150154158162166170174178182186190194198202206210214410141822263034384650545862667076[Durée (100)],Horodateur112335381922313437434649525558616469852226343846505854626670747882909894102106114118110122126130134138142146150154158162166170174178182186190194198202206210214410141822263034384650545862667076[Jour],$C$58,Horodateur112335381922313437434649525558616469852226343846505854626670747882909894102106114118110122126130134138142146150154158162166170174178182186190194198202206210214410141822263034384650545862667076[Tâche],$A61)</f>
        <v>2</v>
      </c>
      <c r="D61" s="187" t="n">
        <f aca="false">SUMIFS(Horodateur112335381922313437434649525558616469852226343846505854626670747882909894102106114118110122126130134138142146150154158162166170174178182186190194198202206210214410141822263034384650545862667076[Durée (100)],Horodateur112335381922313437434649525558616469852226343846505854626670747882909894102106114118110122126130134138142146150154158162166170174178182186190194198202206210214410141822263034384650545862667076[Jour],$D$58,Horodateur112335381922313437434649525558616469852226343846505854626670747882909894102106114118110122126130134138142146150154158162166170174178182186190194198202206210214410141822263034384650545862667076[Tâche],$A61)</f>
        <v>0</v>
      </c>
      <c r="E61" s="187" t="n">
        <f aca="false">SUMIFS(Horodateur112335381922313437434649525558616469852226343846505854626670747882909894102106114118110122126130134138142146150154158162166170174178182186190194198202206210214410141822263034384650545862667076[Durée (100)],Horodateur112335381922313437434649525558616469852226343846505854626670747882909894102106114118110122126130134138142146150154158162166170174178182186190194198202206210214410141822263034384650545862667076[Jour],$E$58,Horodateur112335381922313437434649525558616469852226343846505854626670747882909894102106114118110122126130134138142146150154158162166170174178182186190194198202206210214410141822263034384650545862667076[Tâche],$A61)</f>
        <v>3.75</v>
      </c>
      <c r="F61" s="71" t="n">
        <f aca="false">SUMIFS(Horodateur112335381922313437434649525558616469852226343846505854626670747882909894102106114118110122126130134138142146150154158162166170174178182186190194198202206210214410141822263034384650545862667076[Durée (100)],Horodateur112335381922313437434649525558616469852226343846505854626670747882909894102106114118110122126130134138142146150154158162166170174178182186190194198202206210214410141822263034384650545862667076[Jour],$F$58,Horodateur112335381922313437434649525558616469852226343846505854626670747882909894102106114118110122126130134138142146150154158162166170174178182186190194198202206210214410141822263034384650545862667076[Tâche],$A61)</f>
        <v>1.75</v>
      </c>
      <c r="G61" s="187" t="n">
        <f aca="false">SUMIFS(Horodateur112335381922313437434649525558616469852226343846505854626670747882909894102106114118110122126130134138142146150154158162166170174178182186190194198202206210214410141822263034384650545862667076[Durée (100)],Horodateur112335381922313437434649525558616469852226343846505854626670747882909894102106114118110122126130134138142146150154158162166170174178182186190194198202206210214410141822263034384650545862667076[Jour],$G$58,Horodateur112335381922313437434649525558616469852226343846505854626670747882909894102106114118110122126130134138142146150154158162166170174178182186190194198202206210214410141822263034384650545862667076[Tâche],$A61)</f>
        <v>0</v>
      </c>
      <c r="H61" s="187" t="n">
        <f aca="false">SUMIFS(Horodateur112335381922313437434649525558616469852226343846505854626670747882909894102106114118110122126130134138142146150154158162166170174178182186190194198202206210214410141822263034384650545862667076[Durée (100)],Horodateur112335381922313437434649525558616469852226343846505854626670747882909894102106114118110122126130134138142146150154158162166170174178182186190194198202206210214410141822263034384650545862667076[Jour],$H$58,Horodateur112335381922313437434649525558616469852226343846505854626670747882909894102106114118110122126130134138142146150154158162166170174178182186190194198202206210214410141822263034384650545862667076[Tâche],$A61)</f>
        <v>0</v>
      </c>
      <c r="I61" s="295" t="n">
        <f aca="false">SUM(#REF!)</f>
        <v>7.5</v>
      </c>
      <c r="J61" s="271"/>
      <c r="K61" s="1"/>
      <c r="L61" s="1"/>
      <c r="M61" s="188"/>
      <c r="N61" s="272"/>
      <c r="O61" s="272"/>
      <c r="P61" s="1"/>
      <c r="Q61" s="187"/>
      <c r="R61" s="187"/>
      <c r="S61" s="1"/>
      <c r="T61" s="1"/>
      <c r="U61" s="1"/>
      <c r="V61" s="1"/>
      <c r="W61" s="1"/>
      <c r="X61" s="1"/>
      <c r="Y61" s="1"/>
      <c r="Z61" s="1"/>
      <c r="AA61" s="71"/>
      <c r="AB61" s="71"/>
      <c r="AC61" s="71"/>
      <c r="AD61" s="71"/>
      <c r="AE61" s="71"/>
      <c r="AF61" s="71"/>
      <c r="AG61" s="71"/>
      <c r="AH61" s="71"/>
      <c r="AI61" s="71"/>
      <c r="AJ61" s="71"/>
      <c r="AK61" s="71"/>
      <c r="AL61" s="71"/>
      <c r="AM61" s="71"/>
      <c r="AN61" s="71"/>
      <c r="AO61" s="71"/>
      <c r="AP61" s="71"/>
      <c r="AQ61" s="71"/>
      <c r="AR61" s="71"/>
      <c r="AS61" s="71"/>
      <c r="AT61" s="71"/>
      <c r="AU61" s="71"/>
      <c r="AV61" s="71"/>
      <c r="AW61" s="71"/>
      <c r="AX61" s="71"/>
      <c r="AY61" s="71"/>
      <c r="AZ61" s="71"/>
      <c r="BA61" s="71"/>
      <c r="BB61" s="71"/>
    </row>
    <row r="62" customFormat="false" ht="15" hidden="false" customHeight="false" outlineLevel="1" collapsed="false">
      <c r="A62" s="137" t="s">
        <v>25</v>
      </c>
      <c r="B62" s="187" t="n">
        <f aca="false">SUMIFS(Horodateur112335381922313437434649525558616469852226343846505854626670747882909894102106114118110122126130134138142146150154158162166170174178182186190194198202206210214410141822263034384650545862667076[Durée (100)],Horodateur112335381922313437434649525558616469852226343846505854626670747882909894102106114118110122126130134138142146150154158162166170174178182186190194198202206210214410141822263034384650545862667076[Jour],$B$58,Horodateur112335381922313437434649525558616469852226343846505854626670747882909894102106114118110122126130134138142146150154158162166170174178182186190194198202206210214410141822263034384650545862667076[Tâche],$A62)</f>
        <v>0</v>
      </c>
      <c r="C62" s="187" t="n">
        <f aca="false">SUMIFS(Horodateur112335381922313437434649525558616469852226343846505854626670747882909894102106114118110122126130134138142146150154158162166170174178182186190194198202206210214410141822263034384650545862667076[Durée (100)],Horodateur112335381922313437434649525558616469852226343846505854626670747882909894102106114118110122126130134138142146150154158162166170174178182186190194198202206210214410141822263034384650545862667076[Jour],$C$58,Horodateur112335381922313437434649525558616469852226343846505854626670747882909894102106114118110122126130134138142146150154158162166170174178182186190194198202206210214410141822263034384650545862667076[Tâche],$A62)</f>
        <v>0</v>
      </c>
      <c r="D62" s="187" t="n">
        <f aca="false">SUMIFS(Horodateur112335381922313437434649525558616469852226343846505854626670747882909894102106114118110122126130134138142146150154158162166170174178182186190194198202206210214410141822263034384650545862667076[Durée (100)],Horodateur112335381922313437434649525558616469852226343846505854626670747882909894102106114118110122126130134138142146150154158162166170174178182186190194198202206210214410141822263034384650545862667076[Jour],$D$58,Horodateur112335381922313437434649525558616469852226343846505854626670747882909894102106114118110122126130134138142146150154158162166170174178182186190194198202206210214410141822263034384650545862667076[Tâche],$A62)</f>
        <v>0</v>
      </c>
      <c r="E62" s="187" t="n">
        <f aca="false">SUMIFS(Horodateur112335381922313437434649525558616469852226343846505854626670747882909894102106114118110122126130134138142146150154158162166170174178182186190194198202206210214410141822263034384650545862667076[Durée (100)],Horodateur112335381922313437434649525558616469852226343846505854626670747882909894102106114118110122126130134138142146150154158162166170174178182186190194198202206210214410141822263034384650545862667076[Jour],$E$58,Horodateur112335381922313437434649525558616469852226343846505854626670747882909894102106114118110122126130134138142146150154158162166170174178182186190194198202206210214410141822263034384650545862667076[Tâche],$A62)</f>
        <v>0</v>
      </c>
      <c r="F62" s="71" t="n">
        <f aca="false">SUMIFS(Horodateur112335381922313437434649525558616469852226343846505854626670747882909894102106114118110122126130134138142146150154158162166170174178182186190194198202206210214410141822263034384650545862667076[Durée (100)],Horodateur112335381922313437434649525558616469852226343846505854626670747882909894102106114118110122126130134138142146150154158162166170174178182186190194198202206210214410141822263034384650545862667076[Jour],$F$58,Horodateur112335381922313437434649525558616469852226343846505854626670747882909894102106114118110122126130134138142146150154158162166170174178182186190194198202206210214410141822263034384650545862667076[Tâche],$A62)</f>
        <v>0</v>
      </c>
      <c r="G62" s="187" t="n">
        <f aca="false">SUMIFS(Horodateur112335381922313437434649525558616469852226343846505854626670747882909894102106114118110122126130134138142146150154158162166170174178182186190194198202206210214410141822263034384650545862667076[Durée (100)],Horodateur112335381922313437434649525558616469852226343846505854626670747882909894102106114118110122126130134138142146150154158162166170174178182186190194198202206210214410141822263034384650545862667076[Jour],$G$58,Horodateur112335381922313437434649525558616469852226343846505854626670747882909894102106114118110122126130134138142146150154158162166170174178182186190194198202206210214410141822263034384650545862667076[Tâche],$A62)</f>
        <v>0</v>
      </c>
      <c r="H62" s="187" t="n">
        <f aca="false">SUMIFS(Horodateur112335381922313437434649525558616469852226343846505854626670747882909894102106114118110122126130134138142146150154158162166170174178182186190194198202206210214410141822263034384650545862667076[Durée (100)],Horodateur112335381922313437434649525558616469852226343846505854626670747882909894102106114118110122126130134138142146150154158162166170174178182186190194198202206210214410141822263034384650545862667076[Jour],$H$58,Horodateur112335381922313437434649525558616469852226343846505854626670747882909894102106114118110122126130134138142146150154158162166170174178182186190194198202206210214410141822263034384650545862667076[Tâche],$A62)</f>
        <v>0</v>
      </c>
      <c r="I62" s="295" t="n">
        <f aca="false">SUM(#REF!)</f>
        <v>0</v>
      </c>
      <c r="J62" s="271"/>
      <c r="K62" s="1"/>
      <c r="L62" s="1"/>
      <c r="M62" s="188"/>
      <c r="N62" s="272"/>
      <c r="O62" s="272"/>
      <c r="P62" s="1"/>
      <c r="Q62" s="187"/>
      <c r="R62" s="187"/>
      <c r="S62" s="1"/>
      <c r="T62" s="1"/>
      <c r="U62" s="1"/>
      <c r="V62" s="1"/>
      <c r="W62" s="1"/>
      <c r="X62" s="1"/>
      <c r="Y62" s="1"/>
      <c r="Z62" s="1"/>
      <c r="AA62" s="71"/>
      <c r="AB62" s="71"/>
      <c r="AC62" s="71"/>
      <c r="AD62" s="71"/>
      <c r="AE62" s="71"/>
      <c r="AF62" s="71"/>
      <c r="AG62" s="71"/>
      <c r="AH62" s="71"/>
      <c r="AI62" s="71"/>
      <c r="AJ62" s="71"/>
      <c r="AK62" s="71"/>
      <c r="AL62" s="71"/>
      <c r="AM62" s="71"/>
      <c r="AN62" s="71"/>
      <c r="AO62" s="71"/>
      <c r="AP62" s="71"/>
      <c r="AQ62" s="71"/>
      <c r="AR62" s="71"/>
      <c r="AS62" s="71"/>
      <c r="AT62" s="71"/>
      <c r="AU62" s="71"/>
      <c r="AV62" s="71"/>
      <c r="AW62" s="71"/>
      <c r="AX62" s="71"/>
      <c r="AY62" s="71"/>
      <c r="AZ62" s="71"/>
      <c r="BA62" s="71"/>
      <c r="BB62" s="71"/>
    </row>
    <row r="63" customFormat="false" ht="15" hidden="false" customHeight="false" outlineLevel="1" collapsed="false">
      <c r="A63" s="137" t="s">
        <v>26</v>
      </c>
      <c r="B63" s="187" t="n">
        <f aca="false">SUMIFS(Horodateur112335381922313437434649525558616469852226343846505854626670747882909894102106114118110122126130134138142146150154158162166170174178182186190194198202206210214410141822263034384650545862667076[Durée (100)],Horodateur112335381922313437434649525558616469852226343846505854626670747882909894102106114118110122126130134138142146150154158162166170174178182186190194198202206210214410141822263034384650545862667076[Jour],$B$58,Horodateur112335381922313437434649525558616469852226343846505854626670747882909894102106114118110122126130134138142146150154158162166170174178182186190194198202206210214410141822263034384650545862667076[Tâche],$A63)</f>
        <v>0</v>
      </c>
      <c r="C63" s="187" t="n">
        <f aca="false">SUMIFS(Horodateur112335381922313437434649525558616469852226343846505854626670747882909894102106114118110122126130134138142146150154158162166170174178182186190194198202206210214410141822263034384650545862667076[Durée (100)],Horodateur112335381922313437434649525558616469852226343846505854626670747882909894102106114118110122126130134138142146150154158162166170174178182186190194198202206210214410141822263034384650545862667076[Jour],$C$58,Horodateur112335381922313437434649525558616469852226343846505854626670747882909894102106114118110122126130134138142146150154158162166170174178182186190194198202206210214410141822263034384650545862667076[Tâche],$A63)</f>
        <v>0</v>
      </c>
      <c r="D63" s="187" t="n">
        <f aca="false">SUMIFS(Horodateur112335381922313437434649525558616469852226343846505854626670747882909894102106114118110122126130134138142146150154158162166170174178182186190194198202206210214410141822263034384650545862667076[Durée (100)],Horodateur112335381922313437434649525558616469852226343846505854626670747882909894102106114118110122126130134138142146150154158162166170174178182186190194198202206210214410141822263034384650545862667076[Jour],$D$58,Horodateur112335381922313437434649525558616469852226343846505854626670747882909894102106114118110122126130134138142146150154158162166170174178182186190194198202206210214410141822263034384650545862667076[Tâche],$A63)</f>
        <v>0</v>
      </c>
      <c r="E63" s="187" t="n">
        <f aca="false">SUMIFS(Horodateur112335381922313437434649525558616469852226343846505854626670747882909894102106114118110122126130134138142146150154158162166170174178182186190194198202206210214410141822263034384650545862667076[Durée (100)],Horodateur112335381922313437434649525558616469852226343846505854626670747882909894102106114118110122126130134138142146150154158162166170174178182186190194198202206210214410141822263034384650545862667076[Jour],$E$58,Horodateur112335381922313437434649525558616469852226343846505854626670747882909894102106114118110122126130134138142146150154158162166170174178182186190194198202206210214410141822263034384650545862667076[Tâche],$A63)</f>
        <v>0</v>
      </c>
      <c r="F63" s="71" t="n">
        <f aca="false">SUMIFS(Horodateur112335381922313437434649525558616469852226343846505854626670747882909894102106114118110122126130134138142146150154158162166170174178182186190194198202206210214410141822263034384650545862667076[Durée (100)],Horodateur112335381922313437434649525558616469852226343846505854626670747882909894102106114118110122126130134138142146150154158162166170174178182186190194198202206210214410141822263034384650545862667076[Jour],$F$58,Horodateur112335381922313437434649525558616469852226343846505854626670747882909894102106114118110122126130134138142146150154158162166170174178182186190194198202206210214410141822263034384650545862667076[Tâche],$A63)</f>
        <v>0</v>
      </c>
      <c r="G63" s="187" t="n">
        <f aca="false">SUMIFS(Horodateur112335381922313437434649525558616469852226343846505854626670747882909894102106114118110122126130134138142146150154158162166170174178182186190194198202206210214410141822263034384650545862667076[Durée (100)],Horodateur112335381922313437434649525558616469852226343846505854626670747882909894102106114118110122126130134138142146150154158162166170174178182186190194198202206210214410141822263034384650545862667076[Jour],$G$58,Horodateur112335381922313437434649525558616469852226343846505854626670747882909894102106114118110122126130134138142146150154158162166170174178182186190194198202206210214410141822263034384650545862667076[Tâche],$A63)</f>
        <v>0</v>
      </c>
      <c r="H63" s="187" t="n">
        <f aca="false">SUMIFS(Horodateur112335381922313437434649525558616469852226343846505854626670747882909894102106114118110122126130134138142146150154158162166170174178182186190194198202206210214410141822263034384650545862667076[Durée (100)],Horodateur112335381922313437434649525558616469852226343846505854626670747882909894102106114118110122126130134138142146150154158162166170174178182186190194198202206210214410141822263034384650545862667076[Jour],$H$58,Horodateur112335381922313437434649525558616469852226343846505854626670747882909894102106114118110122126130134138142146150154158162166170174178182186190194198202206210214410141822263034384650545862667076[Tâche],$A63)</f>
        <v>0</v>
      </c>
      <c r="I63" s="295" t="n">
        <f aca="false">SUM(#REF!)</f>
        <v>0</v>
      </c>
      <c r="J63" s="271"/>
      <c r="K63" s="1"/>
      <c r="L63" s="1"/>
      <c r="M63" s="188"/>
      <c r="N63" s="272"/>
      <c r="O63" s="272"/>
      <c r="P63" s="1"/>
      <c r="Q63" s="187"/>
      <c r="R63" s="187"/>
      <c r="S63" s="1"/>
      <c r="T63" s="1"/>
      <c r="U63" s="1"/>
      <c r="V63" s="1"/>
      <c r="W63" s="1"/>
      <c r="X63" s="1"/>
      <c r="Y63" s="1"/>
      <c r="Z63" s="1"/>
      <c r="AA63" s="71"/>
      <c r="AB63" s="71"/>
      <c r="AC63" s="71"/>
      <c r="AD63" s="71"/>
      <c r="AE63" s="71"/>
      <c r="AF63" s="71"/>
      <c r="AG63" s="71"/>
      <c r="AH63" s="71"/>
      <c r="AI63" s="71"/>
      <c r="AJ63" s="71"/>
      <c r="AK63" s="71"/>
      <c r="AL63" s="71"/>
      <c r="AM63" s="71"/>
      <c r="AN63" s="71"/>
      <c r="AO63" s="71"/>
      <c r="AP63" s="71"/>
      <c r="AQ63" s="71"/>
      <c r="AR63" s="71"/>
      <c r="AS63" s="71"/>
      <c r="AT63" s="71"/>
      <c r="AU63" s="71"/>
      <c r="AV63" s="71"/>
      <c r="AW63" s="71"/>
      <c r="AX63" s="71"/>
      <c r="AY63" s="71"/>
      <c r="AZ63" s="71"/>
      <c r="BA63" s="71"/>
      <c r="BB63" s="71"/>
    </row>
    <row r="64" customFormat="false" ht="15" hidden="false" customHeight="false" outlineLevel="1" collapsed="false">
      <c r="A64" s="137" t="s">
        <v>378</v>
      </c>
      <c r="B64" s="187" t="n">
        <f aca="false">SUMIFS(Horodateur112335381922313437434649525558616469852226343846505854626670747882909894102106114118110122126130134138142146150154158162166170174178182186190194198202206210214410141822263034384650545862667076[Durée (100)],Horodateur112335381922313437434649525558616469852226343846505854626670747882909894102106114118110122126130134138142146150154158162166170174178182186190194198202206210214410141822263034384650545862667076[Jour],$B$58,Horodateur112335381922313437434649525558616469852226343846505854626670747882909894102106114118110122126130134138142146150154158162166170174178182186190194198202206210214410141822263034384650545862667076[Tâche],$A64)</f>
        <v>0</v>
      </c>
      <c r="C64" s="187" t="n">
        <f aca="false">SUMIFS(Horodateur112335381922313437434649525558616469852226343846505854626670747882909894102106114118110122126130134138142146150154158162166170174178182186190194198202206210214410141822263034384650545862667076[Durée (100)],Horodateur112335381922313437434649525558616469852226343846505854626670747882909894102106114118110122126130134138142146150154158162166170174178182186190194198202206210214410141822263034384650545862667076[Jour],$C$58,Horodateur112335381922313437434649525558616469852226343846505854626670747882909894102106114118110122126130134138142146150154158162166170174178182186190194198202206210214410141822263034384650545862667076[Tâche],$A64)</f>
        <v>0</v>
      </c>
      <c r="D64" s="187" t="n">
        <f aca="false">SUMIFS(Horodateur112335381922313437434649525558616469852226343846505854626670747882909894102106114118110122126130134138142146150154158162166170174178182186190194198202206210214410141822263034384650545862667076[Durée (100)],Horodateur112335381922313437434649525558616469852226343846505854626670747882909894102106114118110122126130134138142146150154158162166170174178182186190194198202206210214410141822263034384650545862667076[Jour],$D$58,Horodateur112335381922313437434649525558616469852226343846505854626670747882909894102106114118110122126130134138142146150154158162166170174178182186190194198202206210214410141822263034384650545862667076[Tâche],$A64)</f>
        <v>0</v>
      </c>
      <c r="E64" s="187" t="n">
        <f aca="false">SUMIFS(Horodateur112335381922313437434649525558616469852226343846505854626670747882909894102106114118110122126130134138142146150154158162166170174178182186190194198202206210214410141822263034384650545862667076[Durée (100)],Horodateur112335381922313437434649525558616469852226343846505854626670747882909894102106114118110122126130134138142146150154158162166170174178182186190194198202206210214410141822263034384650545862667076[Jour],$E$58,Horodateur112335381922313437434649525558616469852226343846505854626670747882909894102106114118110122126130134138142146150154158162166170174178182186190194198202206210214410141822263034384650545862667076[Tâche],$A64)</f>
        <v>0</v>
      </c>
      <c r="F64" s="71" t="n">
        <f aca="false">SUMIFS(Horodateur112335381922313437434649525558616469852226343846505854626670747882909894102106114118110122126130134138142146150154158162166170174178182186190194198202206210214410141822263034384650545862667076[Durée (100)],Horodateur112335381922313437434649525558616469852226343846505854626670747882909894102106114118110122126130134138142146150154158162166170174178182186190194198202206210214410141822263034384650545862667076[Jour],$F$58,Horodateur112335381922313437434649525558616469852226343846505854626670747882909894102106114118110122126130134138142146150154158162166170174178182186190194198202206210214410141822263034384650545862667076[Tâche],$A64)</f>
        <v>0</v>
      </c>
      <c r="G64" s="187" t="n">
        <f aca="false">SUMIFS(Horodateur112335381922313437434649525558616469852226343846505854626670747882909894102106114118110122126130134138142146150154158162166170174178182186190194198202206210214410141822263034384650545862667076[Durée (100)],Horodateur112335381922313437434649525558616469852226343846505854626670747882909894102106114118110122126130134138142146150154158162166170174178182186190194198202206210214410141822263034384650545862667076[Jour],$G$58,Horodateur112335381922313437434649525558616469852226343846505854626670747882909894102106114118110122126130134138142146150154158162166170174178182186190194198202206210214410141822263034384650545862667076[Tâche],$A64)</f>
        <v>0</v>
      </c>
      <c r="H64" s="187" t="n">
        <f aca="false">SUMIFS(Horodateur112335381922313437434649525558616469852226343846505854626670747882909894102106114118110122126130134138142146150154158162166170174178182186190194198202206210214410141822263034384650545862667076[Durée (100)],Horodateur112335381922313437434649525558616469852226343846505854626670747882909894102106114118110122126130134138142146150154158162166170174178182186190194198202206210214410141822263034384650545862667076[Jour],$H$58,Horodateur112335381922313437434649525558616469852226343846505854626670747882909894102106114118110122126130134138142146150154158162166170174178182186190194198202206210214410141822263034384650545862667076[Tâche],$A64)</f>
        <v>0</v>
      </c>
      <c r="I64" s="295" t="n">
        <f aca="false">SUM(#REF!)</f>
        <v>0</v>
      </c>
      <c r="J64" s="271"/>
      <c r="K64" s="1"/>
      <c r="L64" s="1"/>
      <c r="M64" s="188"/>
      <c r="N64" s="272"/>
      <c r="O64" s="272"/>
      <c r="P64" s="1"/>
      <c r="Q64" s="187"/>
      <c r="R64" s="187"/>
      <c r="S64" s="1"/>
      <c r="T64" s="1"/>
      <c r="U64" s="1"/>
      <c r="V64" s="1"/>
      <c r="W64" s="1"/>
      <c r="X64" s="1"/>
      <c r="Y64" s="1"/>
      <c r="Z64" s="1"/>
      <c r="AA64" s="71"/>
      <c r="AB64" s="71"/>
      <c r="AC64" s="71"/>
      <c r="AD64" s="71"/>
      <c r="AE64" s="71"/>
      <c r="AF64" s="71"/>
      <c r="AG64" s="71"/>
      <c r="AH64" s="71"/>
      <c r="AI64" s="71"/>
      <c r="AJ64" s="71"/>
      <c r="AK64" s="71"/>
      <c r="AL64" s="71"/>
      <c r="AM64" s="71"/>
      <c r="AN64" s="71"/>
      <c r="AO64" s="71"/>
      <c r="AP64" s="71"/>
      <c r="AQ64" s="71"/>
      <c r="AR64" s="71"/>
      <c r="AS64" s="71"/>
      <c r="AT64" s="71"/>
      <c r="AU64" s="71"/>
      <c r="AV64" s="71"/>
      <c r="AW64" s="71"/>
      <c r="AX64" s="71"/>
      <c r="AY64" s="71"/>
      <c r="AZ64" s="71"/>
      <c r="BA64" s="71"/>
      <c r="BB64" s="71"/>
    </row>
    <row r="65" customFormat="false" ht="15" hidden="false" customHeight="false" outlineLevel="1" collapsed="false">
      <c r="A65" s="137" t="s">
        <v>382</v>
      </c>
      <c r="B65" s="187" t="n">
        <f aca="false">SUMIFS(Horodateur112335381922313437434649525558616469852226343846505854626670747882909894102106114118110122126130134138142146150154158162166170174178182186190194198202206210214410141822263034384650545862667076[Durée (100)],Horodateur112335381922313437434649525558616469852226343846505854626670747882909894102106114118110122126130134138142146150154158162166170174178182186190194198202206210214410141822263034384650545862667076[Jour],$B$58,Horodateur112335381922313437434649525558616469852226343846505854626670747882909894102106114118110122126130134138142146150154158162166170174178182186190194198202206210214410141822263034384650545862667076[Tâche],$A65)</f>
        <v>0</v>
      </c>
      <c r="C65" s="187" t="n">
        <f aca="false">SUMIFS(Horodateur112335381922313437434649525558616469852226343846505854626670747882909894102106114118110122126130134138142146150154158162166170174178182186190194198202206210214410141822263034384650545862667076[Durée (100)],Horodateur112335381922313437434649525558616469852226343846505854626670747882909894102106114118110122126130134138142146150154158162166170174178182186190194198202206210214410141822263034384650545862667076[Jour],$C$58,Horodateur112335381922313437434649525558616469852226343846505854626670747882909894102106114118110122126130134138142146150154158162166170174178182186190194198202206210214410141822263034384650545862667076[Tâche],$A65)</f>
        <v>0</v>
      </c>
      <c r="D65" s="187" t="n">
        <f aca="false">SUMIFS(Horodateur112335381922313437434649525558616469852226343846505854626670747882909894102106114118110122126130134138142146150154158162166170174178182186190194198202206210214410141822263034384650545862667076[Durée (100)],Horodateur112335381922313437434649525558616469852226343846505854626670747882909894102106114118110122126130134138142146150154158162166170174178182186190194198202206210214410141822263034384650545862667076[Jour],$D$58,Horodateur112335381922313437434649525558616469852226343846505854626670747882909894102106114118110122126130134138142146150154158162166170174178182186190194198202206210214410141822263034384650545862667076[Tâche],$A65)</f>
        <v>0</v>
      </c>
      <c r="E65" s="187" t="n">
        <f aca="false">SUMIFS(Horodateur112335381922313437434649525558616469852226343846505854626670747882909894102106114118110122126130134138142146150154158162166170174178182186190194198202206210214410141822263034384650545862667076[Durée (100)],Horodateur112335381922313437434649525558616469852226343846505854626670747882909894102106114118110122126130134138142146150154158162166170174178182186190194198202206210214410141822263034384650545862667076[Jour],$E$58,Horodateur112335381922313437434649525558616469852226343846505854626670747882909894102106114118110122126130134138142146150154158162166170174178182186190194198202206210214410141822263034384650545862667076[Tâche],$A65)</f>
        <v>0</v>
      </c>
      <c r="F65" s="71" t="n">
        <f aca="false">SUMIFS(Horodateur112335381922313437434649525558616469852226343846505854626670747882909894102106114118110122126130134138142146150154158162166170174178182186190194198202206210214410141822263034384650545862667076[Durée (100)],Horodateur112335381922313437434649525558616469852226343846505854626670747882909894102106114118110122126130134138142146150154158162166170174178182186190194198202206210214410141822263034384650545862667076[Jour],$F$58,Horodateur112335381922313437434649525558616469852226343846505854626670747882909894102106114118110122126130134138142146150154158162166170174178182186190194198202206210214410141822263034384650545862667076[Tâche],$A65)</f>
        <v>0</v>
      </c>
      <c r="G65" s="187" t="n">
        <f aca="false">SUMIFS(Horodateur112335381922313437434649525558616469852226343846505854626670747882909894102106114118110122126130134138142146150154158162166170174178182186190194198202206210214410141822263034384650545862667076[Durée (100)],Horodateur112335381922313437434649525558616469852226343846505854626670747882909894102106114118110122126130134138142146150154158162166170174178182186190194198202206210214410141822263034384650545862667076[Jour],$G$58,Horodateur112335381922313437434649525558616469852226343846505854626670747882909894102106114118110122126130134138142146150154158162166170174178182186190194198202206210214410141822263034384650545862667076[Tâche],$A65)</f>
        <v>0</v>
      </c>
      <c r="H65" s="187" t="n">
        <f aca="false">SUMIFS(Horodateur112335381922313437434649525558616469852226343846505854626670747882909894102106114118110122126130134138142146150154158162166170174178182186190194198202206210214410141822263034384650545862667076[Durée (100)],Horodateur112335381922313437434649525558616469852226343846505854626670747882909894102106114118110122126130134138142146150154158162166170174178182186190194198202206210214410141822263034384650545862667076[Jour],$H$58,Horodateur112335381922313437434649525558616469852226343846505854626670747882909894102106114118110122126130134138142146150154158162166170174178182186190194198202206210214410141822263034384650545862667076[Tâche],$A65)</f>
        <v>0</v>
      </c>
      <c r="I65" s="295" t="n">
        <f aca="false">SUM(#REF!)</f>
        <v>0</v>
      </c>
      <c r="J65" s="271"/>
      <c r="K65" s="1"/>
      <c r="L65" s="1"/>
      <c r="M65" s="188"/>
      <c r="N65" s="272"/>
      <c r="O65" s="272"/>
      <c r="P65" s="1"/>
      <c r="Q65" s="187"/>
      <c r="R65" s="187"/>
      <c r="S65" s="1"/>
      <c r="T65" s="1"/>
      <c r="U65" s="1"/>
      <c r="V65" s="1"/>
      <c r="W65" s="1"/>
      <c r="X65" s="1"/>
      <c r="Y65" s="1"/>
      <c r="Z65" s="1"/>
      <c r="AA65" s="71"/>
      <c r="AB65" s="71"/>
      <c r="AC65" s="71"/>
      <c r="AD65" s="71"/>
      <c r="AE65" s="71"/>
      <c r="AF65" s="71"/>
      <c r="AG65" s="71"/>
      <c r="AH65" s="71"/>
      <c r="AI65" s="71"/>
      <c r="AJ65" s="71"/>
      <c r="AK65" s="71"/>
      <c r="AL65" s="71"/>
      <c r="AM65" s="71"/>
      <c r="AN65" s="71"/>
      <c r="AO65" s="71"/>
      <c r="AP65" s="71"/>
      <c r="AQ65" s="71"/>
      <c r="AR65" s="71"/>
      <c r="AS65" s="71"/>
      <c r="AT65" s="71"/>
      <c r="AU65" s="71"/>
      <c r="AV65" s="71"/>
      <c r="AW65" s="71"/>
      <c r="AX65" s="71"/>
      <c r="AY65" s="71"/>
      <c r="AZ65" s="71"/>
      <c r="BA65" s="71"/>
      <c r="BB65" s="71"/>
    </row>
    <row r="66" customFormat="false" ht="15" hidden="false" customHeight="false" outlineLevel="1" collapsed="false">
      <c r="A66" s="137" t="s">
        <v>380</v>
      </c>
      <c r="B66" s="187" t="n">
        <f aca="false">SUMIFS(Horodateur112335381922313437434649525558616469852226343846505854626670747882909894102106114118110122126130134138142146150154158162166170174178182186190194198202206210214410141822263034384650545862667076[Durée (100)],Horodateur112335381922313437434649525558616469852226343846505854626670747882909894102106114118110122126130134138142146150154158162166170174178182186190194198202206210214410141822263034384650545862667076[Jour],$B$58,Horodateur112335381922313437434649525558616469852226343846505854626670747882909894102106114118110122126130134138142146150154158162166170174178182186190194198202206210214410141822263034384650545862667076[Tâche],$A66)</f>
        <v>0</v>
      </c>
      <c r="C66" s="187" t="n">
        <f aca="false">SUMIFS(Horodateur112335381922313437434649525558616469852226343846505854626670747882909894102106114118110122126130134138142146150154158162166170174178182186190194198202206210214410141822263034384650545862667076[Durée (100)],Horodateur112335381922313437434649525558616469852226343846505854626670747882909894102106114118110122126130134138142146150154158162166170174178182186190194198202206210214410141822263034384650545862667076[Jour],$C$58,Horodateur112335381922313437434649525558616469852226343846505854626670747882909894102106114118110122126130134138142146150154158162166170174178182186190194198202206210214410141822263034384650545862667076[Tâche],$A66)</f>
        <v>0</v>
      </c>
      <c r="D66" s="187" t="n">
        <f aca="false">SUMIFS(Horodateur112335381922313437434649525558616469852226343846505854626670747882909894102106114118110122126130134138142146150154158162166170174178182186190194198202206210214410141822263034384650545862667076[Durée (100)],Horodateur112335381922313437434649525558616469852226343846505854626670747882909894102106114118110122126130134138142146150154158162166170174178182186190194198202206210214410141822263034384650545862667076[Jour],$D$58,Horodateur112335381922313437434649525558616469852226343846505854626670747882909894102106114118110122126130134138142146150154158162166170174178182186190194198202206210214410141822263034384650545862667076[Tâche],$A66)</f>
        <v>0</v>
      </c>
      <c r="E66" s="187" t="n">
        <f aca="false">SUMIFS(Horodateur112335381922313437434649525558616469852226343846505854626670747882909894102106114118110122126130134138142146150154158162166170174178182186190194198202206210214410141822263034384650545862667076[Durée (100)],Horodateur112335381922313437434649525558616469852226343846505854626670747882909894102106114118110122126130134138142146150154158162166170174178182186190194198202206210214410141822263034384650545862667076[Jour],$E$58,Horodateur112335381922313437434649525558616469852226343846505854626670747882909894102106114118110122126130134138142146150154158162166170174178182186190194198202206210214410141822263034384650545862667076[Tâche],$A66)</f>
        <v>0</v>
      </c>
      <c r="F66" s="71" t="n">
        <f aca="false">SUMIFS(Horodateur112335381922313437434649525558616469852226343846505854626670747882909894102106114118110122126130134138142146150154158162166170174178182186190194198202206210214410141822263034384650545862667076[Durée (100)],Horodateur112335381922313437434649525558616469852226343846505854626670747882909894102106114118110122126130134138142146150154158162166170174178182186190194198202206210214410141822263034384650545862667076[Jour],$F$58,Horodateur112335381922313437434649525558616469852226343846505854626670747882909894102106114118110122126130134138142146150154158162166170174178182186190194198202206210214410141822263034384650545862667076[Tâche],$A66)</f>
        <v>0</v>
      </c>
      <c r="G66" s="187" t="n">
        <f aca="false">SUMIFS(Horodateur112335381922313437434649525558616469852226343846505854626670747882909894102106114118110122126130134138142146150154158162166170174178182186190194198202206210214410141822263034384650545862667076[Durée (100)],Horodateur112335381922313437434649525558616469852226343846505854626670747882909894102106114118110122126130134138142146150154158162166170174178182186190194198202206210214410141822263034384650545862667076[Jour],$G$58,Horodateur112335381922313437434649525558616469852226343846505854626670747882909894102106114118110122126130134138142146150154158162166170174178182186190194198202206210214410141822263034384650545862667076[Tâche],$A66)</f>
        <v>0</v>
      </c>
      <c r="H66" s="187" t="n">
        <f aca="false">SUMIFS(Horodateur112335381922313437434649525558616469852226343846505854626670747882909894102106114118110122126130134138142146150154158162166170174178182186190194198202206210214410141822263034384650545862667076[Durée (100)],Horodateur112335381922313437434649525558616469852226343846505854626670747882909894102106114118110122126130134138142146150154158162166170174178182186190194198202206210214410141822263034384650545862667076[Jour],$H$58,Horodateur112335381922313437434649525558616469852226343846505854626670747882909894102106114118110122126130134138142146150154158162166170174178182186190194198202206210214410141822263034384650545862667076[Tâche],$A66)</f>
        <v>0</v>
      </c>
      <c r="I66" s="295" t="n">
        <f aca="false">SUM(#REF!)</f>
        <v>0</v>
      </c>
      <c r="J66" s="271"/>
      <c r="K66" s="1"/>
      <c r="L66" s="1"/>
      <c r="M66" s="188"/>
      <c r="N66" s="272"/>
      <c r="O66" s="272"/>
      <c r="Q66" s="76"/>
      <c r="R66" s="76"/>
    </row>
    <row r="67" customFormat="false" ht="15" hidden="false" customHeight="false" outlineLevel="1" collapsed="false">
      <c r="Q67" s="76"/>
      <c r="R67" s="76"/>
    </row>
    <row r="68" customFormat="false" ht="15" hidden="false" customHeight="false" outlineLevel="1" collapsed="false">
      <c r="G68" s="0" t="s">
        <v>383</v>
      </c>
      <c r="Q68" s="76"/>
      <c r="R68" s="76"/>
    </row>
    <row r="69" customFormat="false" ht="15" hidden="false" customHeight="false" outlineLevel="0" collapsed="false">
      <c r="Q69" s="76"/>
      <c r="R69" s="76"/>
    </row>
    <row r="70" customFormat="false" ht="15" hidden="false" customHeight="false" outlineLevel="0" collapsed="false">
      <c r="G70" s="76"/>
      <c r="Q70" s="76"/>
      <c r="R70" s="76"/>
    </row>
    <row r="71" customFormat="false" ht="15" hidden="false" customHeight="false" outlineLevel="0" collapsed="false">
      <c r="Q71" s="76"/>
      <c r="R71" s="76"/>
    </row>
    <row r="72" customFormat="false" ht="15" hidden="false" customHeight="false" outlineLevel="0" collapsed="false">
      <c r="Q72" s="76"/>
      <c r="R72" s="76"/>
    </row>
    <row r="73" customFormat="false" ht="15" hidden="false" customHeight="false" outlineLevel="0" collapsed="false">
      <c r="Q73" s="76"/>
      <c r="R73" s="76"/>
    </row>
    <row r="74" customFormat="false" ht="15" hidden="false" customHeight="false" outlineLevel="0" collapsed="false">
      <c r="Q74" s="76"/>
      <c r="R74" s="76"/>
    </row>
    <row r="75" customFormat="false" ht="15" hidden="false" customHeight="false" outlineLevel="0" collapsed="false">
      <c r="Q75" s="76"/>
      <c r="R75" s="76"/>
    </row>
    <row r="76" customFormat="false" ht="15" hidden="false" customHeight="false" outlineLevel="0" collapsed="false">
      <c r="Q76" s="76"/>
      <c r="R76" s="76"/>
    </row>
    <row r="77" customFormat="false" ht="15" hidden="false" customHeight="false" outlineLevel="0" collapsed="false">
      <c r="Q77" s="76"/>
      <c r="R77" s="76"/>
    </row>
    <row r="78" customFormat="false" ht="15" hidden="false" customHeight="false" outlineLevel="0" collapsed="false">
      <c r="Q78" s="76"/>
      <c r="R78" s="76"/>
    </row>
    <row r="79" customFormat="false" ht="15" hidden="false" customHeight="false" outlineLevel="0" collapsed="false">
      <c r="Q79" s="76"/>
      <c r="R79" s="76"/>
    </row>
    <row r="80" customFormat="false" ht="15" hidden="false" customHeight="false" outlineLevel="0" collapsed="false">
      <c r="Q80" s="76"/>
      <c r="R80" s="76"/>
    </row>
    <row r="81" customFormat="false" ht="15" hidden="false" customHeight="false" outlineLevel="0" collapsed="false">
      <c r="Q81" s="76"/>
      <c r="R81" s="76"/>
    </row>
    <row r="82" customFormat="false" ht="15" hidden="false" customHeight="false" outlineLevel="0" collapsed="false">
      <c r="Q82" s="76"/>
      <c r="R82" s="76"/>
    </row>
    <row r="83" customFormat="false" ht="15" hidden="false" customHeight="false" outlineLevel="0" collapsed="false">
      <c r="Q83" s="76"/>
      <c r="R83" s="76"/>
    </row>
    <row r="84" customFormat="false" ht="15" hidden="false" customHeight="false" outlineLevel="0" collapsed="false">
      <c r="Q84" s="76"/>
      <c r="R84" s="76"/>
    </row>
    <row r="85" customFormat="false" ht="15" hidden="false" customHeight="false" outlineLevel="0" collapsed="false">
      <c r="Q85" s="76"/>
      <c r="R85" s="76"/>
    </row>
    <row r="86" customFormat="false" ht="15" hidden="false" customHeight="false" outlineLevel="0" collapsed="false">
      <c r="Q86" s="76"/>
      <c r="R86" s="76"/>
    </row>
    <row r="87" customFormat="false" ht="15" hidden="false" customHeight="false" outlineLevel="0" collapsed="false">
      <c r="Q87" s="76"/>
      <c r="R87" s="76"/>
    </row>
    <row r="88" customFormat="false" ht="15" hidden="false" customHeight="false" outlineLevel="0" collapsed="false">
      <c r="Q88" s="76"/>
      <c r="R88" s="76"/>
    </row>
    <row r="89" customFormat="false" ht="15" hidden="false" customHeight="false" outlineLevel="0" collapsed="false">
      <c r="Q89" s="76"/>
      <c r="R89" s="76"/>
    </row>
    <row r="90" customFormat="false" ht="15" hidden="false" customHeight="false" outlineLevel="0" collapsed="false">
      <c r="A90" s="296" t="s">
        <v>384</v>
      </c>
      <c r="B90" s="296"/>
      <c r="Q90" s="76"/>
      <c r="R90" s="76"/>
    </row>
    <row r="91" customFormat="false" ht="15" hidden="false" customHeight="false" outlineLevel="0" collapsed="false">
      <c r="A91" s="297" t="s">
        <v>385</v>
      </c>
      <c r="B91" s="297" t="s">
        <v>8</v>
      </c>
      <c r="Q91" s="76"/>
      <c r="R91" s="76"/>
    </row>
    <row r="92" customFormat="false" ht="15" hidden="false" customHeight="false" outlineLevel="0" collapsed="false">
      <c r="A92" s="298" t="n">
        <v>0</v>
      </c>
      <c r="B92" s="299" t="s">
        <v>386</v>
      </c>
      <c r="Q92" s="76"/>
      <c r="R92" s="76"/>
    </row>
    <row r="93" customFormat="false" ht="15" hidden="false" customHeight="false" outlineLevel="0" collapsed="false">
      <c r="A93" s="298" t="n">
        <v>-2</v>
      </c>
      <c r="B93" s="299" t="s">
        <v>387</v>
      </c>
      <c r="Q93" s="76"/>
      <c r="R93" s="76"/>
    </row>
    <row r="94" customFormat="false" ht="15" hidden="false" customHeight="false" outlineLevel="0" collapsed="false">
      <c r="A94" s="298" t="n">
        <v>8.5</v>
      </c>
      <c r="B94" s="299" t="s">
        <v>388</v>
      </c>
      <c r="Q94" s="76"/>
      <c r="R94" s="76"/>
    </row>
    <row r="95" customFormat="false" ht="15" hidden="false" customHeight="false" outlineLevel="0" collapsed="false">
      <c r="A95" s="298" t="n">
        <v>14.5</v>
      </c>
      <c r="B95" s="299" t="s">
        <v>389</v>
      </c>
      <c r="Q95" s="76"/>
      <c r="R95" s="76"/>
    </row>
    <row r="96" customFormat="false" ht="15" hidden="false" customHeight="false" outlineLevel="0" collapsed="false">
      <c r="A96" s="298" t="n">
        <v>8.5</v>
      </c>
      <c r="B96" s="299" t="s">
        <v>390</v>
      </c>
      <c r="Q96" s="76"/>
      <c r="R96" s="76"/>
    </row>
    <row r="97" customFormat="false" ht="15" hidden="false" customHeight="false" outlineLevel="0" collapsed="false">
      <c r="A97" s="298" t="n">
        <v>10</v>
      </c>
      <c r="B97" s="299" t="s">
        <v>391</v>
      </c>
      <c r="Q97" s="76"/>
      <c r="R97" s="76"/>
    </row>
    <row r="98" customFormat="false" ht="15" hidden="false" customHeight="false" outlineLevel="0" collapsed="false">
      <c r="A98" s="298" t="n">
        <v>-7.5</v>
      </c>
      <c r="B98" s="299" t="s">
        <v>392</v>
      </c>
      <c r="Q98" s="76"/>
      <c r="R98" s="76"/>
    </row>
    <row r="99" customFormat="false" ht="15" hidden="false" customHeight="false" outlineLevel="0" collapsed="false">
      <c r="A99" s="298" t="n">
        <v>2</v>
      </c>
      <c r="B99" s="299" t="s">
        <v>393</v>
      </c>
      <c r="Q99" s="76"/>
      <c r="R99" s="76"/>
    </row>
    <row r="100" customFormat="false" ht="15" hidden="false" customHeight="false" outlineLevel="0" collapsed="false">
      <c r="A100" s="300" t="n">
        <v>2</v>
      </c>
      <c r="B100" s="301" t="s">
        <v>394</v>
      </c>
      <c r="Q100" s="76"/>
      <c r="R100" s="76"/>
    </row>
    <row r="101" customFormat="false" ht="15" hidden="false" customHeight="false" outlineLevel="0" collapsed="false">
      <c r="A101" s="300" t="n">
        <v>2.25</v>
      </c>
      <c r="B101" s="301" t="s">
        <v>395</v>
      </c>
    </row>
    <row r="102" customFormat="false" ht="15" hidden="false" customHeight="false" outlineLevel="0" collapsed="false">
      <c r="A102" s="300" t="n">
        <v>-4</v>
      </c>
      <c r="B102" s="302" t="s">
        <v>396</v>
      </c>
    </row>
    <row r="103" customFormat="false" ht="15" hidden="false" customHeight="false" outlineLevel="0" collapsed="false">
      <c r="A103" s="300" t="n">
        <v>-7.5</v>
      </c>
      <c r="B103" s="301" t="s">
        <v>397</v>
      </c>
    </row>
  </sheetData>
  <mergeCells count="1">
    <mergeCell ref="A90:B90"/>
  </mergeCells>
  <conditionalFormatting sqref="D4:D42">
    <cfRule type="expression" priority="2" aboveAverage="0" equalAverage="0" bottom="0" percent="0" rank="0" text="" dxfId="692">
      <formula>L4="O"</formula>
    </cfRule>
  </conditionalFormatting>
  <conditionalFormatting sqref="C4:G42 I4:I42 O4:O42">
    <cfRule type="containsText" priority="3" operator="containsText" aboveAverage="0" equalAverage="0" bottom="0" percent="0" rank="0" text="Lundi" dxfId="693">
      <formula>NOT(ISERROR(SEARCH("Lundi",C4)))</formula>
    </cfRule>
  </conditionalFormatting>
  <conditionalFormatting sqref="B4:B42">
    <cfRule type="containsText" priority="4" operator="containsText" aboveAverage="0" equalAverage="0" bottom="0" percent="0" rank="0" text="5" dxfId="694">
      <formula>NOT(ISERROR(SEARCH("5",B4)))</formula>
    </cfRule>
    <cfRule type="containsText" priority="5" operator="containsText" aboveAverage="0" equalAverage="0" bottom="0" percent="0" rank="0" text="4" dxfId="695">
      <formula>NOT(ISERROR(SEARCH("4",B4)))</formula>
    </cfRule>
    <cfRule type="containsText" priority="6" operator="containsText" aboveAverage="0" equalAverage="0" bottom="0" percent="0" rank="0" text="3" dxfId="696">
      <formula>NOT(ISERROR(SEARCH("3",B4)))</formula>
    </cfRule>
    <cfRule type="containsText" priority="7" operator="containsText" aboveAverage="0" equalAverage="0" bottom="0" percent="0" rank="0" text="2" dxfId="697">
      <formula>NOT(ISERROR(SEARCH("2",B4)))</formula>
    </cfRule>
    <cfRule type="containsText" priority="8" operator="containsText" aboveAverage="0" equalAverage="0" bottom="0" percent="0" rank="0" text="1" dxfId="698">
      <formula>NOT(ISERROR(SEARCH("1",B4)))</formula>
    </cfRule>
  </conditionalFormatting>
  <conditionalFormatting sqref="I59:I66">
    <cfRule type="dataBar" priority="9">
      <dataBar showValue="1" minLength="10" maxLength="90">
        <cfvo type="min" val="0"/>
        <cfvo type="max" val="0"/>
        <color rgb="FFFFB628"/>
      </dataBar>
      <extLst>
        <ext xmlns:x14="http://schemas.microsoft.com/office/spreadsheetml/2009/9/main" uri="{B025F937-C7B1-47D3-B67F-A62EFF666E3E}">
          <x14:id>{DB6B4A62-3A42-4FBB-9D85-6A9566BC2539}</x14:id>
        </ext>
      </extLst>
    </cfRule>
  </conditionalFormatting>
  <conditionalFormatting sqref="I55:I56 J50:J54">
    <cfRule type="dataBar" priority="10">
      <dataBar showValue="1" minLength="10" maxLength="90">
        <cfvo type="min" val="0"/>
        <cfvo type="max" val="0"/>
        <color rgb="FFFFB628"/>
      </dataBar>
      <extLst>
        <ext xmlns:x14="http://schemas.microsoft.com/office/spreadsheetml/2009/9/main" uri="{B025F937-C7B1-47D3-B67F-A62EFF666E3E}">
          <x14:id>{C16013C3-27F5-49DB-8C66-D8B42B19FAD4}</x14:id>
        </ext>
      </extLst>
    </cfRule>
  </conditionalFormatting>
  <conditionalFormatting sqref="AA2:BB2">
    <cfRule type="dataBar" priority="11">
      <dataBar showValue="1" minLength="10" maxLength="90">
        <cfvo type="min" val="0"/>
        <cfvo type="max" val="0"/>
        <color rgb="FF63C384"/>
      </dataBar>
      <extLst>
        <ext xmlns:x14="http://schemas.microsoft.com/office/spreadsheetml/2009/9/main" uri="{B025F937-C7B1-47D3-B67F-A62EFF666E3E}">
          <x14:id>{CBA6161A-38C3-49D8-8670-71D9AC80809F}</x14:id>
        </ext>
      </extLst>
    </cfRule>
  </conditionalFormatting>
  <conditionalFormatting sqref="P2:Z2">
    <cfRule type="dataBar" priority="12">
      <dataBar showValue="1" minLength="10" maxLength="90">
        <cfvo type="min" val="0"/>
        <cfvo type="max" val="0"/>
        <color rgb="FFFFB628"/>
      </dataBar>
      <extLst>
        <ext xmlns:x14="http://schemas.microsoft.com/office/spreadsheetml/2009/9/main" uri="{B025F937-C7B1-47D3-B67F-A62EFF666E3E}">
          <x14:id>{358AB11E-9031-4230-808C-CDD5A685C8D0}</x14:id>
        </ext>
      </extLst>
    </cfRule>
  </conditionalFormatting>
  <conditionalFormatting sqref="P2:BB2">
    <cfRule type="dataBar" priority="13">
      <dataBar showValue="1" minLength="10" maxLength="90">
        <cfvo type="min" val="0"/>
        <cfvo type="max" val="0"/>
        <color rgb="FFFFB628"/>
      </dataBar>
      <extLst>
        <ext xmlns:x14="http://schemas.microsoft.com/office/spreadsheetml/2009/9/main" uri="{B025F937-C7B1-47D3-B67F-A62EFF666E3E}">
          <x14:id>{8B48994C-21D0-4E99-9648-70F845302046}</x14:id>
        </ext>
      </extLst>
    </cfRule>
  </conditionalFormatting>
  <conditionalFormatting sqref="P2:X2">
    <cfRule type="dataBar" priority="14">
      <dataBar showValue="1" minLength="10" maxLength="90">
        <cfvo type="min" val="0"/>
        <cfvo type="max" val="0"/>
        <color rgb="FF638EC6"/>
      </dataBar>
      <extLst>
        <ext xmlns:x14="http://schemas.microsoft.com/office/spreadsheetml/2009/9/main" uri="{B025F937-C7B1-47D3-B67F-A62EFF666E3E}">
          <x14:id>{D3F55045-152A-48A2-A3AC-7159AE73AB9D}</x14:id>
        </ext>
      </extLst>
    </cfRule>
  </conditionalFormatting>
  <conditionalFormatting sqref="Y2:Z2">
    <cfRule type="dataBar" priority="15">
      <dataBar showValue="1" minLength="10" maxLength="90">
        <cfvo type="min" val="0"/>
        <cfvo type="max" val="0"/>
        <color rgb="FF63C384"/>
      </dataBar>
      <extLst>
        <ext xmlns:x14="http://schemas.microsoft.com/office/spreadsheetml/2009/9/main" uri="{B025F937-C7B1-47D3-B67F-A62EFF666E3E}">
          <x14:id>{53C99C51-8F9F-4B6F-83E0-A02285BC808C}</x14:id>
        </ext>
      </extLst>
    </cfRule>
  </conditionalFormatting>
  <conditionalFormatting sqref="A4:A42">
    <cfRule type="colorScale" priority="16">
      <colorScale>
        <cfvo type="min" val="0"/>
        <cfvo type="percentile" val="50"/>
        <cfvo type="max" val="0"/>
        <color rgb="FFFFCC99"/>
        <color rgb="FFFFD966"/>
        <color rgb="FFFFF2CC"/>
      </colorScale>
    </cfRule>
  </conditionalFormatting>
  <conditionalFormatting sqref="J4:J42">
    <cfRule type="iconSet" priority="17">
      <iconSet iconSet="3TrafficLights1">
        <cfvo type="percent" val="0"/>
        <cfvo type="percent" val="33"/>
        <cfvo type="percent" val="67"/>
      </iconSet>
    </cfRule>
  </conditionalFormatting>
  <conditionalFormatting sqref="C4:C42">
    <cfRule type="expression" priority="18" aboveAverage="0" equalAverage="0" bottom="0" percent="0" rank="0" text="" dxfId="699">
      <formula>L4="O"</formula>
    </cfRule>
  </conditionalFormatting>
  <conditionalFormatting sqref="F4:F42">
    <cfRule type="expression" priority="19" aboveAverage="0" equalAverage="0" bottom="0" percent="0" rank="0" text="" dxfId="700">
      <formula>L4="O"</formula>
    </cfRule>
  </conditionalFormatting>
  <conditionalFormatting sqref="I4:I42">
    <cfRule type="expression" priority="20" aboveAverage="0" equalAverage="0" bottom="0" percent="0" rank="0" text="" dxfId="701">
      <formula>L4="O"</formula>
    </cfRule>
  </conditionalFormatting>
  <conditionalFormatting sqref="E4:E42">
    <cfRule type="expression" priority="21" aboveAverage="0" equalAverage="0" bottom="0" percent="0" rank="0" text="" dxfId="702">
      <formula>L4="O"</formula>
    </cfRule>
  </conditionalFormatting>
  <conditionalFormatting sqref="H4:H42">
    <cfRule type="expression" priority="22" aboveAverage="0" equalAverage="0" bottom="0" percent="0" rank="0" text="" dxfId="703">
      <formula>E4="O"</formula>
    </cfRule>
  </conditionalFormatting>
  <conditionalFormatting sqref="G4:G42">
    <cfRule type="expression" priority="23" aboveAverage="0" equalAverage="0" bottom="0" percent="0" rank="0" text="" dxfId="704">
      <formula>L4="O"</formula>
    </cfRule>
    <cfRule type="expression" priority="24" aboveAverage="0" equalAverage="0" bottom="0" percent="0" rank="0" text="" dxfId="705">
      <formula>O4=0</formula>
    </cfRule>
  </conditionalFormatting>
  <dataValidations count="4">
    <dataValidation allowBlank="true" errorStyle="stop" operator="between" showDropDown="false" showErrorMessage="true" showInputMessage="true" sqref="B1" type="list">
      <formula1>Data!$A$2:$A$106</formula1>
      <formula2>0</formula2>
    </dataValidation>
    <dataValidation allowBlank="true" errorStyle="information" errorTitle="OK ?" operator="between" showDropDown="false" showErrorMessage="true" showInputMessage="true" sqref="F4:F42" type="list">
      <formula1>Data!$D$2:$D$16</formula1>
      <formula2>0</formula2>
    </dataValidation>
    <dataValidation allowBlank="false" errorStyle="stop" operator="between" showDropDown="false" showErrorMessage="true" showInputMessage="true" sqref="E4:E42" type="list">
      <formula1>Data!$E$2:$E$30</formula1>
      <formula2>0</formula2>
    </dataValidation>
    <dataValidation allowBlank="true" errorStyle="stop" operator="between" showDropDown="false" showErrorMessage="true" showInputMessage="true" sqref="B4:B42" type="list">
      <formula1>Data!$C$2:$C$8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  <tableParts>
    <tablePart r:id="rId4"/>
    <tablePart r:id="rId5"/>
    <tablePart r:id="rId6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B6B4A62-3A42-4FBB-9D85-6A9566BC2539}">
            <x14:dataBar minLength="10" maxLength="90" axisPosition="automatic" gradient="true">
              <x14:cfvo type="autoMin"/>
              <x14:cfvo type="autoMax"/>
              <x14:negativeFillColor rgb="FFFF0000"/>
              <x14:axisColor rgb="FF000000"/>
            </x14:dataBar>
          </x14:cfRule>
          <xm:sqref>I59:I66</xm:sqref>
        </x14:conditionalFormatting>
        <x14:conditionalFormatting xmlns:xm="http://schemas.microsoft.com/office/excel/2006/main">
          <x14:cfRule type="dataBar" id="{C16013C3-27F5-49DB-8C66-D8B42B19FAD4}">
            <x14:dataBar minLength="10" maxLength="90" axisPosition="automatic" gradient="true">
              <x14:cfvo type="autoMin"/>
              <x14:cfvo type="autoMax"/>
              <x14:negativeFillColor rgb="FFFF0000"/>
              <x14:axisColor rgb="FF000000"/>
            </x14:dataBar>
          </x14:cfRule>
          <xm:sqref>I55:I56 J50:J54</xm:sqref>
        </x14:conditionalFormatting>
        <x14:conditionalFormatting xmlns:xm="http://schemas.microsoft.com/office/excel/2006/main">
          <x14:cfRule type="dataBar" id="{CBA6161A-38C3-49D8-8670-71D9AC80809F}">
            <x14:dataBar minLength="10" maxLength="90" axisPosition="automatic" gradient="true">
              <x14:cfvo type="autoMin"/>
              <x14:cfvo type="autoMax"/>
              <x14:negativeFillColor rgb="FFFF0000"/>
              <x14:axisColor rgb="FF000000"/>
            </x14:dataBar>
          </x14:cfRule>
          <xm:sqref>AA2:BB2</xm:sqref>
        </x14:conditionalFormatting>
        <x14:conditionalFormatting xmlns:xm="http://schemas.microsoft.com/office/excel/2006/main">
          <x14:cfRule type="dataBar" id="{358AB11E-9031-4230-808C-CDD5A685C8D0}">
            <x14:dataBar minLength="10" maxLength="90" axisPosition="automatic" gradient="true">
              <x14:cfvo type="autoMin"/>
              <x14:cfvo type="autoMax"/>
              <x14:negativeFillColor rgb="FFFF0000"/>
              <x14:axisColor rgb="FF000000"/>
            </x14:dataBar>
          </x14:cfRule>
          <xm:sqref>P2:Z2</xm:sqref>
        </x14:conditionalFormatting>
        <x14:conditionalFormatting xmlns:xm="http://schemas.microsoft.com/office/excel/2006/main">
          <x14:cfRule type="dataBar" id="{8B48994C-21D0-4E99-9648-70F845302046}">
            <x14:dataBar minLength="10" maxLength="90" axisPosition="automatic" gradient="false">
              <x14:cfvo type="autoMin"/>
              <x14:cfvo type="autoMax"/>
              <x14:negativeFillColor rgb="FFFF0000"/>
              <x14:axisColor rgb="FF000000"/>
            </x14:dataBar>
          </x14:cfRule>
          <xm:sqref>P2:BB2</xm:sqref>
        </x14:conditionalFormatting>
        <x14:conditionalFormatting xmlns:xm="http://schemas.microsoft.com/office/excel/2006/main">
          <x14:cfRule type="dataBar" id="{D3F55045-152A-48A2-A3AC-7159AE73AB9D}">
            <x14:dataBar minLength="10" maxLength="90" axisPosition="automatic" gradient="false">
              <x14:cfvo type="autoMin"/>
              <x14:cfvo type="autoMax"/>
              <x14:negativeFillColor rgb="FFFF0000"/>
              <x14:axisColor rgb="FF000000"/>
            </x14:dataBar>
          </x14:cfRule>
          <xm:sqref>P2:X2</xm:sqref>
        </x14:conditionalFormatting>
        <x14:conditionalFormatting xmlns:xm="http://schemas.microsoft.com/office/excel/2006/main">
          <x14:cfRule type="dataBar" id="{53C99C51-8F9F-4B6F-83E0-A02285BC808C}">
            <x14:dataBar minLength="10" maxLength="90" axisPosition="automatic" gradient="false">
              <x14:cfvo type="autoMin"/>
              <x14:cfvo type="autoMax"/>
              <x14:negativeFillColor rgb="FFFF0000"/>
              <x14:axisColor rgb="FF000000"/>
            </x14:dataBar>
          </x14:cfRule>
          <xm:sqref>Y2:Z2</xm:sqref>
        </x14:conditionalFormatting>
      </x14:conditionalFormatting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H104"/>
  <sheetViews>
    <sheetView showFormulas="false" showGridLines="true" showRowColHeaders="true" showZeros="true" rightToLeft="false" tabSelected="false" showOutlineSymbols="true" defaultGridColor="true" view="normal" topLeftCell="G1" colorId="64" zoomScale="100" zoomScaleNormal="100" zoomScalePageLayoutView="100" workbookViewId="0">
      <pane xSplit="0" ySplit="3" topLeftCell="A4" activePane="bottomLeft" state="frozen"/>
      <selection pane="topLeft" activeCell="G1" activeCellId="0" sqref="G1"/>
      <selection pane="bottomLeft" activeCell="M8" activeCellId="0" sqref="M8"/>
    </sheetView>
  </sheetViews>
  <sheetFormatPr defaultColWidth="8.6796875" defaultRowHeight="15" zeroHeight="false" outlineLevelRow="1" outlineLevelCol="1"/>
  <cols>
    <col collapsed="false" customWidth="true" hidden="false" outlineLevel="0" max="1" min="1" style="0" width="16.57"/>
    <col collapsed="false" customWidth="true" hidden="false" outlineLevel="0" max="2" min="2" style="0" width="17.71"/>
    <col collapsed="false" customWidth="true" hidden="false" outlineLevel="0" max="3" min="3" style="0" width="15.14"/>
    <col collapsed="false" customWidth="true" hidden="false" outlineLevel="0" max="4" min="4" style="0" width="10.57"/>
    <col collapsed="false" customWidth="true" hidden="false" outlineLevel="0" max="5" min="5" style="0" width="24.42"/>
    <col collapsed="false" customWidth="true" hidden="false" outlineLevel="0" max="6" min="6" style="0" width="17"/>
    <col collapsed="false" customWidth="true" hidden="false" outlineLevel="0" max="7" min="7" style="0" width="34.42"/>
    <col collapsed="false" customWidth="true" hidden="false" outlineLevel="0" max="9" min="8" style="0" width="16"/>
    <col collapsed="false" customWidth="true" hidden="false" outlineLevel="0" max="10" min="10" style="0" width="15"/>
    <col collapsed="false" customWidth="true" hidden="false" outlineLevel="0" max="11" min="11" style="0" width="13"/>
    <col collapsed="false" customWidth="true" hidden="false" outlineLevel="0" max="12" min="12" style="0" width="12.86"/>
    <col collapsed="false" customWidth="true" hidden="false" outlineLevel="0" max="13" min="13" style="0" width="7.71"/>
    <col collapsed="false" customWidth="true" hidden="false" outlineLevel="0" max="15" min="14" style="224" width="9.86"/>
    <col collapsed="false" customWidth="true" hidden="false" outlineLevel="1" max="16" min="16" style="0" width="8.57"/>
    <col collapsed="false" customWidth="true" hidden="false" outlineLevel="1" max="17" min="17" style="0" width="7.29"/>
    <col collapsed="false" customWidth="true" hidden="false" outlineLevel="1" max="20" min="18" style="0" width="8.57"/>
    <col collapsed="false" customWidth="true" hidden="false" outlineLevel="1" max="21" min="21" style="0" width="11"/>
    <col collapsed="false" customWidth="true" hidden="false" outlineLevel="1" max="23" min="22" style="0" width="7.29"/>
    <col collapsed="false" customWidth="true" hidden="false" outlineLevel="1" max="25" min="24" style="0" width="11.71"/>
    <col collapsed="false" customWidth="true" hidden="false" outlineLevel="1" max="27" min="26" style="0" width="12"/>
    <col collapsed="false" customWidth="true" hidden="false" outlineLevel="1" max="28" min="28" style="0" width="18.29"/>
    <col collapsed="false" customWidth="true" hidden="false" outlineLevel="1" max="29" min="29" style="0" width="12"/>
    <col collapsed="false" customWidth="true" hidden="false" outlineLevel="1" max="30" min="30" style="0" width="19"/>
    <col collapsed="false" customWidth="true" hidden="false" outlineLevel="1" max="31" min="31" style="0" width="12"/>
    <col collapsed="false" customWidth="true" hidden="false" outlineLevel="1" max="33" min="32" style="0" width="10.14"/>
    <col collapsed="false" customWidth="true" hidden="false" outlineLevel="1" max="34" min="34" style="0" width="11.71"/>
    <col collapsed="false" customWidth="true" hidden="false" outlineLevel="1" max="35" min="35" style="0" width="12.71"/>
    <col collapsed="false" customWidth="true" hidden="false" outlineLevel="1" max="36" min="36" style="0" width="14.14"/>
    <col collapsed="false" customWidth="true" hidden="false" outlineLevel="1" max="37" min="37" style="0" width="8.57"/>
    <col collapsed="false" customWidth="true" hidden="false" outlineLevel="1" max="38" min="38" style="0" width="7.29"/>
    <col collapsed="false" customWidth="true" hidden="false" outlineLevel="1" max="39" min="39" style="0" width="9.71"/>
    <col collapsed="false" customWidth="true" hidden="false" outlineLevel="1" max="40" min="40" style="0" width="18.71"/>
    <col collapsed="false" customWidth="true" hidden="false" outlineLevel="1" max="42" min="41" style="0" width="9.71"/>
    <col collapsed="false" customWidth="true" hidden="false" outlineLevel="1" max="43" min="43" style="0" width="26.29"/>
    <col collapsed="false" customWidth="true" hidden="false" outlineLevel="1" max="44" min="44" style="0" width="11.43"/>
    <col collapsed="false" customWidth="true" hidden="false" outlineLevel="1" max="45" min="45" style="0" width="24.42"/>
    <col collapsed="false" customWidth="true" hidden="false" outlineLevel="1" max="47" min="46" style="0" width="10"/>
    <col collapsed="false" customWidth="true" hidden="false" outlineLevel="1" max="48" min="48" style="0" width="9.86"/>
    <col collapsed="false" customWidth="true" hidden="false" outlineLevel="1" max="49" min="49" style="0" width="7.86"/>
    <col collapsed="false" customWidth="true" hidden="false" outlineLevel="1" max="52" min="50" style="0" width="18.71"/>
    <col collapsed="false" customWidth="true" hidden="false" outlineLevel="1" max="53" min="53" style="0" width="27.15"/>
  </cols>
  <sheetData>
    <row r="1" customFormat="false" ht="22.05" hidden="false" customHeight="false" outlineLevel="0" collapsed="false">
      <c r="A1" s="225" t="str">
        <f aca="false">"Semaine du " &amp; Data!D41</f>
        <v>Semaine du </v>
      </c>
      <c r="B1" s="226" t="n">
        <v>44305</v>
      </c>
      <c r="C1" s="227"/>
      <c r="D1" s="228" t="s">
        <v>361</v>
      </c>
      <c r="E1" s="229" t="n">
        <f aca="false">AVERAGE(F2:J2)</f>
        <v>8</v>
      </c>
      <c r="F1" s="230" t="str">
        <f aca="false">IFERROR("Lun.: " &amp; TEXT($BB$1,"00%"),"Lun.: 0%")</f>
        <v>Lun.: 45%</v>
      </c>
      <c r="G1" s="231" t="str">
        <f aca="false">IFERROR("Mar.: " &amp; TEXT($BC$1,"00%"),"Mar.: 0%")</f>
        <v>Mar.: 33%</v>
      </c>
      <c r="H1" s="231" t="str">
        <f aca="false">IFERROR("Mer.: " &amp; TEXT($BD$1,"00%"),"Mer.: 0%")</f>
        <v>Mer.: 77%</v>
      </c>
      <c r="I1" s="231" t="str">
        <f aca="false">IFERROR("Jeu.: " &amp; TEXT($BE$1,"00%"),"Jeu.: 0%")</f>
        <v>Jeu.: 11%</v>
      </c>
      <c r="J1" s="231" t="str">
        <f aca="false">IFERROR("Ven.: " &amp; TEXT($BF$1,"00%"),"Ven.: 0%")</f>
        <v>Ven.: 35%</v>
      </c>
      <c r="K1" s="232" t="str">
        <f aca="false">IFERROR("S.: " &amp; TEXT($BG$1,"00%"),"S.: 0%")</f>
        <v>S.: 0%</v>
      </c>
      <c r="L1" s="233" t="str">
        <f aca="false">IFERROR("D.: " &amp; TEXT($BH$1,"00%"), "D.: 0%")</f>
        <v>D.: 0%</v>
      </c>
      <c r="M1" s="234" t="n">
        <f aca="false">COUNTIF(Horodateur11233538192231343743464952555861646985222634384650585462667074788290989410210611411811012212613013413814214615015415816216617017417818218619019419820220621021441014182226303438465054586266707680[%],"o")+ COUNTIF(Horodateur11233538192231343743464952555861646985222634384650585462667074788290989410210611411811012212613013413814214615015415816216617017417818218619019419820220621021441014182226303438465054586266707680[%],".")</f>
        <v>0</v>
      </c>
      <c r="N1" s="128" t="n">
        <f aca="false">B2</f>
        <v>40</v>
      </c>
      <c r="O1" s="128" t="n">
        <f aca="false">SUM(Horodateur11233538192231343743464952555861646985222634384650585462667074788290989410210611411811012212613013413814214615015415816216617017417818218619019419820220621021441014182226303438465054586266707680[Column2])</f>
        <v>0</v>
      </c>
      <c r="P1" s="130" t="s">
        <v>19</v>
      </c>
      <c r="Q1" s="131" t="s">
        <v>20</v>
      </c>
      <c r="R1" s="131" t="s">
        <v>21</v>
      </c>
      <c r="S1" s="130" t="s">
        <v>22</v>
      </c>
      <c r="T1" s="130" t="s">
        <v>23</v>
      </c>
      <c r="U1" s="132" t="s">
        <v>301</v>
      </c>
      <c r="V1" s="133" t="s">
        <v>25</v>
      </c>
      <c r="W1" s="132" t="s">
        <v>26</v>
      </c>
      <c r="X1" s="134"/>
      <c r="Y1" s="135"/>
      <c r="Z1" s="136" t="s">
        <v>32</v>
      </c>
      <c r="AA1" s="136" t="s">
        <v>81</v>
      </c>
      <c r="AB1" s="136" t="s">
        <v>59</v>
      </c>
      <c r="AC1" s="136" t="s">
        <v>62</v>
      </c>
      <c r="AD1" s="136" t="s">
        <v>63</v>
      </c>
      <c r="AE1" s="136" t="s">
        <v>69</v>
      </c>
      <c r="AF1" s="136" t="s">
        <v>64</v>
      </c>
      <c r="AG1" s="136" t="s">
        <v>65</v>
      </c>
      <c r="AH1" s="136" t="s">
        <v>66</v>
      </c>
      <c r="AI1" s="136" t="s">
        <v>47</v>
      </c>
      <c r="AJ1" s="136" t="s">
        <v>67</v>
      </c>
      <c r="AK1" s="136" t="s">
        <v>68</v>
      </c>
      <c r="AL1" s="136" t="s">
        <v>41</v>
      </c>
      <c r="AM1" s="136" t="s">
        <v>61</v>
      </c>
      <c r="AN1" s="136" t="s">
        <v>70</v>
      </c>
      <c r="AO1" s="136" t="s">
        <v>71</v>
      </c>
      <c r="AP1" s="136" t="s">
        <v>72</v>
      </c>
      <c r="AQ1" s="136" t="s">
        <v>362</v>
      </c>
      <c r="AR1" s="136" t="s">
        <v>74</v>
      </c>
      <c r="AS1" s="136" t="s">
        <v>363</v>
      </c>
      <c r="AT1" s="136" t="s">
        <v>37</v>
      </c>
      <c r="AU1" s="136" t="s">
        <v>76</v>
      </c>
      <c r="AV1" s="136" t="s">
        <v>77</v>
      </c>
      <c r="AW1" s="136" t="s">
        <v>45</v>
      </c>
      <c r="AX1" s="136" t="s">
        <v>78</v>
      </c>
      <c r="AY1" s="136" t="s">
        <v>79</v>
      </c>
      <c r="AZ1" s="136" t="s">
        <v>80</v>
      </c>
      <c r="BA1" s="136" t="s">
        <v>60</v>
      </c>
      <c r="BB1" s="71" t="n">
        <f aca="false">SUMIF(Horodateur11233538192231343743464952555861646985222634384650585462667074788290989410210611411811012212613013413814214615015415816216617017417818218619019419820220621021441014182226303438465054586266707680[Jour],"1- Lundi",$P$4:$P$2004) / $F$2</f>
        <v>0.45</v>
      </c>
      <c r="BC1" s="71" t="n">
        <f aca="false">SUMIF(Horodateur11233538192231343743464952555861646985222634384650585462667074788290989410210611411811012212613013413814214615015415816216617017417818218619019419820220621021441014182226303438465054586266707680[Jour],"2- Mardi",$P$4:$P$2004) / $G$2</f>
        <v>0.333333333333333</v>
      </c>
      <c r="BD1" s="71" t="n">
        <f aca="false">SUMIF(Horodateur11233538192231343743464952555861646985222634384650585462667074788290989410210611411811012212613013413814214615015415816216617017417818218619019419820220621021441014182226303438465054586266707680[Jour],"3- Mercredi",$P$4:$P$2004) / $H$2</f>
        <v>0.774193548387097</v>
      </c>
      <c r="BE1" s="71" t="n">
        <f aca="false">SUMIF(Horodateur11233538192231343743464952555861646985222634384650585462667074788290989410210611411811012212613013413814214615015415816216617017417818218619019419820220621021441014182226303438465054586266707680[Jour],"4- Jeudi",$P$4:$P$2004) / $I$2</f>
        <v>0.111111111111111</v>
      </c>
      <c r="BF1" s="71" t="n">
        <f aca="false">SUMIF(Horodateur11233538192231343743464952555861646985222634384650585462667074788290989410210611411811012212613013413814214615015415816216617017417818218619019419820220621021441014182226303438465054586266707680[Jour],"5- Vendredi",$P$4:$P$2004) / $J$2</f>
        <v>0.347826086956522</v>
      </c>
      <c r="BG1" s="71" t="e">
        <f aca="false">SUMIF(Horodateur11233538192231343743464952555861646985222634384650585462667074788290989410210611411811012212613013413814214615015415816216617017417818218619019419820220621021441014182226303438465054586266707680[Jour],"6- Samedi",$P$4:$P$2004) / $K$2</f>
        <v>#DIV/0!</v>
      </c>
      <c r="BH1" s="71" t="e">
        <f aca="false">SUMIF(Horodateur11233538192231343743464952555861646985222634384650585462667074788290989410210611411811012212613013413814214615015415816216617017417818218619019419820220621021441014182226303438465054586266707680[Jour],"7- Dimanche",$P$4:$P$2004) / $L$2</f>
        <v>#DIV/0!</v>
      </c>
    </row>
    <row r="2" customFormat="false" ht="22.05" hidden="false" customHeight="false" outlineLevel="0" collapsed="false">
      <c r="A2" s="235" t="n">
        <f aca="false">O2</f>
        <v>0.4375</v>
      </c>
      <c r="B2" s="236" t="n">
        <f aca="false">SUM(Horodateur11233538192231343743464952555861646985222634384650585462667074788290989410210611411811012212613013413814214615015415816216617017417818218619019419820220621021441014182226303438465054586266707680[Durée (100)])</f>
        <v>40</v>
      </c>
      <c r="C2" s="237" t="str">
        <f aca="false">N2</f>
        <v>40 / 0</v>
      </c>
      <c r="D2" s="238"/>
      <c r="E2" s="239"/>
      <c r="F2" s="240" t="n">
        <f aca="false">SUMIF(Horodateur11233538192231343743464952555861646985222634384650585462667074788290989410210611411811012212613013413814214615015415816216617017417818218619019419820220621021441014182226303438465054586266707680[Jour],"1- Lundi",Horodateur11233538192231343743464952555861646985222634384650585462667074788290989410210611411811012212613013413814214615015415816216617017417818218619019419820220621021441014182226303438465054586266707680[Durée (100)])</f>
        <v>10</v>
      </c>
      <c r="G2" s="241" t="n">
        <f aca="false">SUMIF(Horodateur11233538192231343743464952555861646985222634384650585462667074788290989410210611411811012212613013413814214615015415816216617017417818218619019419820220621021441014182226303438465054586266707680[Jour],"2- Mardi",Horodateur11233538192231343743464952555861646985222634384650585462667074788290989410210611411811012212613013413814214615015415816216617017417818218619019419820220621021441014182226303438465054586266707680[Durée (100)])</f>
        <v>7.5</v>
      </c>
      <c r="H2" s="241" t="n">
        <f aca="false">SUMIF(Horodateur11233538192231343743464952555861646985222634384650585462667074788290989410210611411811012212613013413814214615015415816216617017417818218619019419820220621021441014182226303438465054586266707680[Jour],"3- Mercredi",Horodateur11233538192231343743464952555861646985222634384650585462667074788290989410210611411811012212613013413814214615015415816216617017417818218619019419820220621021441014182226303438465054586266707680[Durée (100)])</f>
        <v>7.75</v>
      </c>
      <c r="I2" s="241" t="n">
        <f aca="false">SUMIF(Horodateur11233538192231343743464952555861646985222634384650585462667074788290989410210611411811012212613013413814214615015415816216617017417818218619019419820220621021441014182226303438465054586266707680[Jour],"4- Jeudi",Horodateur11233538192231343743464952555861646985222634384650585462667074788290989410210611411811012212613013413814214615015415816216617017417818218619019419820220621021441014182226303438465054586266707680[Durée (100)])</f>
        <v>9</v>
      </c>
      <c r="J2" s="241" t="n">
        <f aca="false">SUMIF(Horodateur11233538192231343743464952555861646985222634384650585462667074788290989410210611411811012212613013413814214615015415816216617017417818218619019419820220621021441014182226303438465054586266707680[Jour],"5- Vendredi",Horodateur11233538192231343743464952555861646985222634384650585462667074788290989410210611411811012212613013413814214615015415816216617017417818218619019419820220621021441014182226303438465054586266707680[Durée (100)])</f>
        <v>5.75</v>
      </c>
      <c r="K2" s="242" t="n">
        <f aca="false">SUMIF(Horodateur11233538192231343743464952555861646985222634384650585462667074788290989410210611411811012212613013413814214615015415816216617017417818218619019419820220621021441014182226303438465054586266707680[Jour],"6- Samedi",Horodateur11233538192231343743464952555861646985222634384650585462667074788290989410210611411811012212613013413814214615015415816216617017417818218619019419820220621021441014182226303438465054586266707680[Durée (100)])</f>
        <v>0</v>
      </c>
      <c r="L2" s="243" t="n">
        <f aca="false">SUMIF(Horodateur11233538192231343743464952555861646985222634384650585462667074788290989410210611411811012212613013413814214615015415816216617017417818218619019419820220621021441014182226303438465054586266707680[Jour],"7- Dimanche",Horodateur11233538192231343743464952555861646985222634384650585462667074788290989410210611411811012212613013413814214615015415816216617017417818218619019419820220621021441014182226303438465054586266707680[Durée (100)])</f>
        <v>0</v>
      </c>
      <c r="M2" s="244" t="str">
        <f aca="false">COUNTIF(Horodateur11233538192231343743464952555861646985222634384650585462667074788290989410210611411811012212613013413814214615015415816216617017417818218619019419820220621021441014182226303438465054586266707680[%],"o")&amp;" / " &amp;  COUNTIF(Horodateur11233538192231343743464952555861646985222634384650585462667074788290989410210611411811012212613013413814214615015415816216617017417818218619019419820220621021441014182226303438465054586266707680[%],".")</f>
        <v>0 / 0</v>
      </c>
      <c r="N2" s="245" t="str">
        <f aca="false">ROUND(SUM(L4:L42),2) &amp; " / " &amp; ROUND(B2-SUM(L4:L42),2)</f>
        <v>40 / 0</v>
      </c>
      <c r="O2" s="246" t="n">
        <f aca="false">X2/Y2</f>
        <v>0.4375</v>
      </c>
      <c r="P2" s="247" t="n">
        <f aca="false">SUMIF(Horodateur11233538192231343743464952555861646985222634384650585462667074788290989410210611411811012212613013413814214615015415816216617017417818218619019419820220621021441014182226303438465054586266707680[Tâche],P$1,Horodateur11233538192231343743464952555861646985222634384650585462667074788290989410210611411811012212613013413814214615015415816216617017417818218619019419820220621021441014182226303438465054586266707680[Durée (100)])</f>
        <v>17.5</v>
      </c>
      <c r="Q2" s="248" t="n">
        <f aca="false">SUMIF(Horodateur11233538192231343743464952555861646985222634384650585462667074788290989410210611411811012212613013413814214615015415816216617017417818218619019419820220621021441014182226303438465054586266707680[Tâche],Q$1,Horodateur11233538192231343743464952555861646985222634384650585462667074788290989410210611411811012212613013413814214615015415816216617017417818218619019419820220621021441014182226303438465054586266707680[Durée (100)])</f>
        <v>1</v>
      </c>
      <c r="R2" s="247" t="n">
        <f aca="false">SUMIF(Horodateur11233538192231343743464952555861646985222634384650585462667074788290989410210611411811012212613013413814214615015415816216617017417818218619019419820220621021441014182226303438465054586266707680[Tâche],R$1,Horodateur11233538192231343743464952555861646985222634384650585462667074788290989410210611411811012212613013413814214615015415816216617017417818218619019419820220621021441014182226303438465054586266707680[Durée (100)])</f>
        <v>3</v>
      </c>
      <c r="S2" s="247" t="n">
        <f aca="false">SUMIF(Horodateur11233538192231343743464952555861646985222634384650585462667074788290989410210611411811012212613013413814214615015415816216617017417818218619019419820220621021441014182226303438465054586266707680[Tâche],S$1,Horodateur11233538192231343743464952555861646985222634384650585462667074788290989410210611411811012212613013413814214615015415816216617017417818218619019419820220621021441014182226303438465054586266707680[Durée (100)])</f>
        <v>11</v>
      </c>
      <c r="T2" s="247" t="n">
        <f aca="false">SUMIF(Horodateur11233538192231343743464952555861646985222634384650585462667074788290989410210611411811012212613013413814214615015415816216617017417818218619019419820220621021441014182226303438465054586266707680[Tâche],T$1,Horodateur11233538192231343743464952555861646985222634384650585462667074788290989410210611411811012212613013413814214615015415816216617017417818218619019419820220621021441014182226303438465054586266707680[Durée (100)])</f>
        <v>7.5</v>
      </c>
      <c r="U2" s="148" t="n">
        <f aca="false">SUMIF(Horodateur11233538192231343743464952555861646985222634384650585462667074788290989410210611411811012212613013413814214615015415816216617017417818218619019419820220621021441014182226303438465054586266707680[Tâche],U$1,Horodateur11233538192231343743464952555861646985222634384650585462667074788290989410210611411811012212613013413814214615015415816216617017417818218619019419820220621021441014182226303438465054586266707680[Durée (100)])</f>
        <v>0</v>
      </c>
      <c r="V2" s="148" t="n">
        <f aca="false">SUMIF(Horodateur11233538192231343743464952555861646985222634384650585462667074788290989410210611411811012212613013413814214615015415816216617017417818218619019419820220621021441014182226303438465054586266707680[Tâche],V$1,Horodateur11233538192231343743464952555861646985222634384650585462667074788290989410210611411811012212613013413814214615015415816216617017417818218619019419820220621021441014182226303438465054586266707680[Durée (100)])</f>
        <v>0</v>
      </c>
      <c r="W2" s="148" t="n">
        <f aca="false">SUMIF(Horodateur11233538192231343743464952555861646985222634384650585462667074788290989410210611411811012212613013413814214615015415816216617017417818218619019419820220621021441014182226303438465054586266707680[Tâche],W$1,Horodateur11233538192231343743464952555861646985222634384650585462667074788290989410210611411811012212613013413814214615015415816216617017417818218619019419820220621021441014182226303438465054586266707680[Durée (100)])</f>
        <v>0</v>
      </c>
      <c r="X2" s="149" t="n">
        <f aca="false">(B2-(SUM(Q2:W2)))</f>
        <v>17.5</v>
      </c>
      <c r="Y2" s="149" t="n">
        <f aca="false">B2-(U2+V2+W2)</f>
        <v>40</v>
      </c>
      <c r="Z2" s="151" t="n">
        <f aca="false">SUMIF(Horodateur11233538192231343743464952555861646985222634384650585462667074788290989410210611411811012212613013413814214615015415816216617017417818218619019419820220621021441014182226303438465054586266707680[Client],Z$1,Horodateur11233538192231343743464952555861646985222634384650585462667074788290989410210611411811012212613013413814214615015415816216617017417818218619019419820220621021441014182226303438465054586266707680[Durée (100)])</f>
        <v>10.75</v>
      </c>
      <c r="AA2" s="151" t="n">
        <f aca="false">SUMIF(Horodateur11233538192231343743464952555861646985222634384650585462667074788290989410210611411811012212613013413814214615015415816216617017417818218619019419820220621021441014182226303438465054586266707680[Client],AA$1,Horodateur11233538192231343743464952555861646985222634384650585462667074788290989410210611411811012212613013413814214615015415816216617017417818218619019419820220621021441014182226303438465054586266707680[Durée (100)])</f>
        <v>0</v>
      </c>
      <c r="AB2" s="151" t="n">
        <f aca="false">SUMIF(Horodateur11233538192231343743464952555861646985222634384650585462667074788290989410210611411811012212613013413814214615015415816216617017417818218619019419820220621021441014182226303438465054586266707680[Client],AB$1,Horodateur11233538192231343743464952555861646985222634384650585462667074788290989410210611411811012212613013413814214615015415816216617017417818218619019419820220621021441014182226303438465054586266707680[Durée (100)])</f>
        <v>4.5</v>
      </c>
      <c r="AC2" s="151" t="n">
        <f aca="false">SUMIF(Horodateur11233538192231343743464952555861646985222634384650585462667074788290989410210611411811012212613013413814214615015415816216617017417818218619019419820220621021441014182226303438465054586266707680[Client],AC$1,Horodateur11233538192231343743464952555861646985222634384650585462667074788290989410210611411811012212613013413814214615015415816216617017417818218619019419820220621021441014182226303438465054586266707680[Durée (100)])</f>
        <v>0</v>
      </c>
      <c r="AD2" s="151" t="n">
        <f aca="false">SUMIF(Horodateur11233538192231343743464952555861646985222634384650585462667074788290989410210611411811012212613013413814214615015415816216617017417818218619019419820220621021441014182226303438465054586266707680[Client],AD$1,Horodateur11233538192231343743464952555861646985222634384650585462667074788290989410210611411811012212613013413814214615015415816216617017417818218619019419820220621021441014182226303438465054586266707680[Durée (100)])</f>
        <v>4.25</v>
      </c>
      <c r="AE2" s="151" t="n">
        <f aca="false">SUMIF(Horodateur11233538192231343743464952555861646985222634384650585462667074788290989410210611411811012212613013413814214615015415816216617017417818218619019419820220621021441014182226303438465054586266707680[Client],AE$1,Horodateur11233538192231343743464952555861646985222634384650585462667074788290989410210611411811012212613013413814214615015415816216617017417818218619019419820220621021441014182226303438465054586266707680[Durée (100)])</f>
        <v>0</v>
      </c>
      <c r="AF2" s="151" t="n">
        <f aca="false">SUMIF(Horodateur11233538192231343743464952555861646985222634384650585462667074788290989410210611411811012212613013413814214615015415816216617017417818218619019419820220621021441014182226303438465054586266707680[Client],AF$1,Horodateur11233538192231343743464952555861646985222634384650585462667074788290989410210611411811012212613013413814214615015415816216617017417818218619019419820220621021441014182226303438465054586266707680[Durée (100)])</f>
        <v>0</v>
      </c>
      <c r="AG2" s="151" t="n">
        <f aca="false">SUMIF(Horodateur11233538192231343743464952555861646985222634384650585462667074788290989410210611411811012212613013413814214615015415816216617017417818218619019419820220621021441014182226303438465054586266707680[Client],AG$1,Horodateur11233538192231343743464952555861646985222634384650585462667074788290989410210611411811012212613013413814214615015415816216617017417818218619019419820220621021441014182226303438465054586266707680[Durée (100)])</f>
        <v>0</v>
      </c>
      <c r="AH2" s="151" t="n">
        <f aca="false">SUMIF(Horodateur11233538192231343743464952555861646985222634384650585462667074788290989410210611411811012212613013413814214615015415816216617017417818218619019419820220621021441014182226303438465054586266707680[Client],AH$1,Horodateur11233538192231343743464952555861646985222634384650585462667074788290989410210611411811012212613013413814214615015415816216617017417818218619019419820220621021441014182226303438465054586266707680[Durée (100)])</f>
        <v>0</v>
      </c>
      <c r="AI2" s="151" t="n">
        <f aca="false">SUMIF(Horodateur11233538192231343743464952555861646985222634384650585462667074788290989410210611411811012212613013413814214615015415816216617017417818218619019419820220621021441014182226303438465054586266707680[Client],AI$1,Horodateur11233538192231343743464952555861646985222634384650585462667074788290989410210611411811012212613013413814214615015415816216617017417818218619019419820220621021441014182226303438465054586266707680[Durée (100)])</f>
        <v>0</v>
      </c>
      <c r="AJ2" s="151" t="n">
        <f aca="false">SUMIF(Horodateur11233538192231343743464952555861646985222634384650585462667074788290989410210611411811012212613013413814214615015415816216617017417818218619019419820220621021441014182226303438465054586266707680[Client],AJ$1,Horodateur11233538192231343743464952555861646985222634384650585462667074788290989410210611411811012212613013413814214615015415816216617017417818218619019419820220621021441014182226303438465054586266707680[Durée (100)])</f>
        <v>0</v>
      </c>
      <c r="AK2" s="151" t="n">
        <f aca="false">SUMIF(Horodateur11233538192231343743464952555861646985222634384650585462667074788290989410210611411811012212613013413814214615015415816216617017417818218619019419820220621021441014182226303438465054586266707680[Client],AK$1,Horodateur11233538192231343743464952555861646985222634384650585462667074788290989410210611411811012212613013413814214615015415816216617017417818218619019419820220621021441014182226303438465054586266707680[Durée (100)])</f>
        <v>0</v>
      </c>
      <c r="AL2" s="151" t="n">
        <f aca="false">SUMIF(Horodateur11233538192231343743464952555861646985222634384650585462667074788290989410210611411811012212613013413814214615015415816216617017417818218619019419820220621021441014182226303438465054586266707680[Client],AL$1,Horodateur11233538192231343743464952555861646985222634384650585462667074788290989410210611411811012212613013413814214615015415816216617017417818218619019419820220621021441014182226303438465054586266707680[Durée (100)])</f>
        <v>0</v>
      </c>
      <c r="AM2" s="151" t="n">
        <f aca="false">SUMIF(Horodateur11233538192231343743464952555861646985222634384650585462667074788290989410210611411811012212613013413814214615015415816216617017417818218619019419820220621021441014182226303438465054586266707680[Client],AM$1,Horodateur11233538192231343743464952555861646985222634384650585462667074788290989410210611411811012212613013413814214615015415816216617017417818218619019419820220621021441014182226303438465054586266707680[Durée (100)])</f>
        <v>0</v>
      </c>
      <c r="AN2" s="151" t="n">
        <f aca="false">SUMIF(Horodateur11233538192231343743464952555861646985222634384650585462667074788290989410210611411811012212613013413814214615015415816216617017417818218619019419820220621021441014182226303438465054586266707680[Client],AN$1,Horodateur11233538192231343743464952555861646985222634384650585462667074788290989410210611411811012212613013413814214615015415816216617017417818218619019419820220621021441014182226303438465054586266707680[Durée (100)])</f>
        <v>0</v>
      </c>
      <c r="AO2" s="151" t="n">
        <f aca="false">SUMIF(Horodateur11233538192231343743464952555861646985222634384650585462667074788290989410210611411811012212613013413814214615015415816216617017417818218619019419820220621021441014182226303438465054586266707680[Client],AO$1,Horodateur11233538192231343743464952555861646985222634384650585462667074788290989410210611411811012212613013413814214615015415816216617017417818218619019419820220621021441014182226303438465054586266707680[Durée (100)])</f>
        <v>2</v>
      </c>
      <c r="AP2" s="151" t="n">
        <f aca="false">SUMIF(Horodateur11233538192231343743464952555861646985222634384650585462667074788290989410210611411811012212613013413814214615015415816216617017417818218619019419820220621021441014182226303438465054586266707680[Client],AP$1,Horodateur11233538192231343743464952555861646985222634384650585462667074788290989410210611411811012212613013413814214615015415816216617017417818218619019419820220621021441014182226303438465054586266707680[Durée (100)])</f>
        <v>0</v>
      </c>
      <c r="AQ2" s="151" t="n">
        <f aca="false">SUMIF(Horodateur11233538192231343743464952555861646985222634384650585462667074788290989410210611411811012212613013413814214615015415816216617017417818218619019419820220621021441014182226303438465054586266707680[Client],AQ$1,Horodateur11233538192231343743464952555861646985222634384650585462667074788290989410210611411811012212613013413814214615015415816216617017417818218619019419820220621021441014182226303438465054586266707680[Durée (100)])</f>
        <v>0</v>
      </c>
      <c r="AR2" s="151" t="n">
        <f aca="false">SUMIF(Horodateur11233538192231343743464952555861646985222634384650585462667074788290989410210611411811012212613013413814214615015415816216617017417818218619019419820220621021441014182226303438465054586266707680[Client],AR$1,Horodateur11233538192231343743464952555861646985222634384650585462667074788290989410210611411811012212613013413814214615015415816216617017417818218619019419820220621021441014182226303438465054586266707680[Durée (100)])</f>
        <v>0</v>
      </c>
      <c r="AS2" s="151" t="n">
        <f aca="false">SUMIF(Horodateur11233538192231343743464952555861646985222634384650585462667074788290989410210611411811012212613013413814214615015415816216617017417818218619019419820220621021441014182226303438465054586266707680[Client],AS$1,Horodateur11233538192231343743464952555861646985222634384650585462667074788290989410210611411811012212613013413814214615015415816216617017417818218619019419820220621021441014182226303438465054586266707680[Durée (100)])</f>
        <v>13.5</v>
      </c>
      <c r="AT2" s="151" t="n">
        <f aca="false">SUMIF(Horodateur11233538192231343743464952555861646985222634384650585462667074788290989410210611411811012212613013413814214615015415816216617017417818218619019419820220621021441014182226303438465054586266707680[Client],AT$1,Horodateur11233538192231343743464952555861646985222634384650585462667074788290989410210611411811012212613013413814214615015415816216617017417818218619019419820220621021441014182226303438465054586266707680[Durée (100)])</f>
        <v>4.5</v>
      </c>
      <c r="AU2" s="151"/>
      <c r="AV2" s="151" t="n">
        <f aca="false">SUMIF(Horodateur11233538192231343743464952555861646985222634384650585462667074788290989410210611411811012212613013413814214615015415816216617017417818218619019419820220621021441014182226303438465054586266707680[Client],AV$1,Horodateur11233538192231343743464952555861646985222634384650585462667074788290989410210611411811012212613013413814214615015415816216617017417818218619019419820220621021441014182226303438465054586266707680[Durée (100)])</f>
        <v>0</v>
      </c>
      <c r="AW2" s="151" t="n">
        <f aca="false">SUMIF(Horodateur11233538192231343743464952555861646985222634384650585462667074788290989410210611411811012212613013413814214615015415816216617017417818218619019419820220621021441014182226303438465054586266707680[Client],AW$1,Horodateur11233538192231343743464952555861646985222634384650585462667074788290989410210611411811012212613013413814214615015415816216617017417818218619019419820220621021441014182226303438465054586266707680[Durée (100)])</f>
        <v>0</v>
      </c>
      <c r="AX2" s="151" t="n">
        <f aca="false">SUMIF(Horodateur11233538192231343743464952555861646985222634384650585462667074788290989410210611411811012212613013413814214615015415816216617017417818218619019419820220621021441014182226303438465054586266707680[Client],AX$1,Horodateur11233538192231343743464952555861646985222634384650585462667074788290989410210611411811012212613013413814214615015415816216617017417818218619019419820220621021441014182226303438465054586266707680[Durée (100)])</f>
        <v>0</v>
      </c>
      <c r="AY2" s="151" t="n">
        <f aca="false">SUMIF(Horodateur11233538192231343743464952555861646985222634384650585462667074788290989410210611411811012212613013413814214615015415816216617017417818218619019419820220621021441014182226303438465054586266707680[Client],AY$1,Horodateur11233538192231343743464952555861646985222634384650585462667074788290989410210611411811012212613013413814214615015415816216617017417818218619019419820220621021441014182226303438465054586266707680[Durée (100)])</f>
        <v>0.500000000000001</v>
      </c>
      <c r="AZ2" s="151" t="n">
        <f aca="false">SUMIF(Horodateur11233538192231343743464952555861646985222634384650585462667074788290989410210611411811012212613013413814214615015415816216617017417818218619019419820220621021441014182226303438465054586266707680[Client],AZ$1,Horodateur11233538192231343743464952555861646985222634384650585462667074788290989410210611411811012212613013413814214615015415816216617017417818218619019419820220621021441014182226303438465054586266707680[Durée (100)])</f>
        <v>0</v>
      </c>
      <c r="BA2" s="151" t="n">
        <f aca="false">SUMIF(Horodateur11233538192231343743464952555861646985222634384650585462667074788290989410210611411811012212613013413814214615015415816216617017417818218619019419820220621021441014182226303438465054586266707680[Client],BA$1,Horodateur11233538192231343743464952555861646985222634384650585462667074788290989410210611411811012212613013413814214615015415816216617017417818218619019419820220621021441014182226303438465054586266707680[Durée (100)])</f>
        <v>0</v>
      </c>
    </row>
    <row r="3" s="137" customFormat="true" ht="15" hidden="false" customHeight="false" outlineLevel="0" collapsed="false">
      <c r="A3" s="249" t="s">
        <v>8</v>
      </c>
      <c r="B3" s="249" t="s">
        <v>9</v>
      </c>
      <c r="C3" s="193" t="s">
        <v>10</v>
      </c>
      <c r="D3" s="193" t="s">
        <v>11</v>
      </c>
      <c r="E3" s="250" t="s">
        <v>12</v>
      </c>
      <c r="F3" s="250" t="s">
        <v>13</v>
      </c>
      <c r="G3" s="250" t="s">
        <v>14</v>
      </c>
      <c r="H3" s="193" t="s">
        <v>302</v>
      </c>
      <c r="I3" s="252" t="s">
        <v>364</v>
      </c>
      <c r="J3" s="253" t="s">
        <v>365</v>
      </c>
      <c r="K3" s="255" t="s">
        <v>7</v>
      </c>
      <c r="L3" s="254" t="s">
        <v>29</v>
      </c>
      <c r="M3" s="254" t="s">
        <v>18</v>
      </c>
      <c r="N3" s="251" t="s">
        <v>311</v>
      </c>
      <c r="O3" s="251" t="s">
        <v>300</v>
      </c>
      <c r="P3" s="116" t="n">
        <f aca="false">P2/$B$2</f>
        <v>0.4375</v>
      </c>
      <c r="Q3" s="116" t="n">
        <f aca="false">Q2/$B$2</f>
        <v>0.025</v>
      </c>
      <c r="R3" s="116" t="n">
        <f aca="false">R2/$B$2</f>
        <v>0.075</v>
      </c>
      <c r="S3" s="116" t="n">
        <f aca="false">S2/$B$2</f>
        <v>0.275</v>
      </c>
      <c r="T3" s="116" t="n">
        <f aca="false">T2/$B$2</f>
        <v>0.1875</v>
      </c>
      <c r="U3" s="116" t="n">
        <f aca="false">U2/$B$2</f>
        <v>0</v>
      </c>
      <c r="V3" s="116" t="n">
        <f aca="false">V2/$B$2</f>
        <v>0</v>
      </c>
      <c r="W3" s="116" t="n">
        <f aca="false">W2/$B$2</f>
        <v>0</v>
      </c>
      <c r="X3" s="153"/>
      <c r="Y3" s="153"/>
      <c r="Z3" s="153" t="n">
        <f aca="false">Z2/$B$2</f>
        <v>0.26875</v>
      </c>
      <c r="AA3" s="153" t="n">
        <f aca="false">AA2/$B$2</f>
        <v>0</v>
      </c>
      <c r="AB3" s="153" t="n">
        <f aca="false">AB2/$B$2</f>
        <v>0.1125</v>
      </c>
      <c r="AC3" s="153" t="n">
        <f aca="false">AC2/$B$2</f>
        <v>0</v>
      </c>
      <c r="AD3" s="153" t="n">
        <f aca="false">AD2/$B$2</f>
        <v>0.10625</v>
      </c>
      <c r="AE3" s="153" t="n">
        <f aca="false">AE2/$B$2</f>
        <v>0</v>
      </c>
      <c r="AF3" s="153" t="n">
        <f aca="false">AF2/$B$2</f>
        <v>0</v>
      </c>
      <c r="AG3" s="153" t="n">
        <f aca="false">AG2/$B$2</f>
        <v>0</v>
      </c>
      <c r="AH3" s="153" t="n">
        <f aca="false">AH2/$B$2</f>
        <v>0</v>
      </c>
      <c r="AI3" s="153" t="n">
        <f aca="false">AI2/$B$2</f>
        <v>0</v>
      </c>
      <c r="AJ3" s="153" t="n">
        <f aca="false">AJ2/$B$2</f>
        <v>0</v>
      </c>
      <c r="AK3" s="153" t="n">
        <f aca="false">AK2/$B$2</f>
        <v>0</v>
      </c>
      <c r="AL3" s="153" t="n">
        <f aca="false">AL2/$B$2</f>
        <v>0</v>
      </c>
      <c r="AM3" s="153" t="n">
        <f aca="false">AM2/$B$2</f>
        <v>0</v>
      </c>
      <c r="AN3" s="153" t="n">
        <f aca="false">AN2/$B$2</f>
        <v>0</v>
      </c>
      <c r="AO3" s="153" t="n">
        <f aca="false">AO2/$B$2</f>
        <v>0.05</v>
      </c>
      <c r="AP3" s="153" t="n">
        <f aca="false">AP2/$B$2</f>
        <v>0</v>
      </c>
      <c r="AQ3" s="153" t="n">
        <f aca="false">AQ2/$B$2</f>
        <v>0</v>
      </c>
      <c r="AR3" s="153" t="n">
        <f aca="false">AR2/$B$2</f>
        <v>0</v>
      </c>
      <c r="AS3" s="153" t="n">
        <f aca="false">AS2/$B$2</f>
        <v>0.3375</v>
      </c>
      <c r="AT3" s="153" t="n">
        <f aca="false">AT2/$B$2</f>
        <v>0.1125</v>
      </c>
      <c r="AU3" s="153"/>
      <c r="AV3" s="153" t="n">
        <f aca="false">AV2/$B$2</f>
        <v>0</v>
      </c>
      <c r="AW3" s="153" t="n">
        <f aca="false">AW2/$B$2</f>
        <v>0</v>
      </c>
      <c r="AX3" s="153" t="n">
        <f aca="false">AX2/$B$2</f>
        <v>0</v>
      </c>
      <c r="AY3" s="153" t="n">
        <f aca="false">AY2/$B$2</f>
        <v>0.0125</v>
      </c>
      <c r="AZ3" s="153" t="n">
        <f aca="false">AZ2/$B$2</f>
        <v>0</v>
      </c>
      <c r="BA3" s="153" t="n">
        <f aca="false">BA2/$B$2</f>
        <v>0</v>
      </c>
    </row>
    <row r="4" customFormat="false" ht="15" hidden="false" customHeight="false" outlineLevel="0" collapsed="false">
      <c r="A4" s="256" t="n">
        <f aca="false">IF(Horodateur11233538192231343743464952555861646985222634384650585462667074788290989410210611411811012212613013413814214615015415816216617017417818218619019419820220621021441014182226303438465054586266707680[[#This Row],[Jour]]="1- Lundi",$B$1+1, IF(Horodateur11233538192231343743464952555861646985222634384650585462667074788290989410210611411811012212613013413814214615015415816216617017417818218619019419820220621021441014182226303438465054586266707680[[#This Row],[Jour]]="2- Mardi",$B$1+2, IF(Horodateur11233538192231343743464952555861646985222634384650585462667074788290989410210611411811012212613013413814214615015415816216617017417818218619019419820220621021441014182226303438465054586266707680[[#This Row],[Jour]]="3- Mercredi",$B$1+3, IF(Horodateur11233538192231343743464952555861646985222634384650585462667074788290989410210611411811012212613013413814214615015415816216617017417818218619019419820220621021441014182226303438465054586266707680[[#This Row],[Jour]]="4- Jeudi",$B$1+4, IF(Horodateur11233538192231343743464952555861646985222634384650585462667074788290989410210611411811012212613013413814214615015415816216617017417818218619019419820220621021441014182226303438465054586266707680[[#This Row],[Jour]]="5- Vendredi",$B$1+5, IF(Horodateur11233538192231343743464952555861646985222634384650585462667074788290989410210611411811012212613013413814214615015415816216617017417818218619019419820220621021441014182226303438465054586266707680[[#This Row],[Jour]]="6- Samedi",$B$1+6, IF(Horodateur11233538192231343743464952555861646985222634384650585462667074788290989410210611411811012212613013413814214615015415816216617017417818218619019419820220621021441014182226303438465054586266707680[[#This Row],[Jour]]="7- Dimanche",$B$1, )))))))</f>
        <v>44306</v>
      </c>
      <c r="B4" s="257" t="s">
        <v>312</v>
      </c>
      <c r="C4" s="258" t="n">
        <v>0.291666666666667</v>
      </c>
      <c r="D4" s="258" t="n">
        <v>0.364583333333333</v>
      </c>
      <c r="E4" s="71" t="s">
        <v>32</v>
      </c>
      <c r="F4" s="71" t="s">
        <v>21</v>
      </c>
      <c r="G4" s="259"/>
      <c r="H4" s="258" t="n">
        <f aca="false">IF($C4=0,"",$D4-$C4)</f>
        <v>0.0729166666666667</v>
      </c>
      <c r="I4" s="260" t="n">
        <f aca="false">IF($C4=0,"",($H4-INT($H4))*24)</f>
        <v>1.75</v>
      </c>
      <c r="J4" s="303" t="n">
        <f aca="false">SUMIF(Horodateur11233538192231343743464952555861646985222634384650585462667074788290989410210611411811012212613013413814214615015415816216617017417818218619019419820220621021441014182226303438465054586266707680[Jour],$B4,Horodateur11233538192231343743464952555861646985222634384650585462667074788290989410210611411811012212613013413814214615015415816216617017417818218619019419820220621021441014182226303438465054586266707680[Durée (100)])</f>
        <v>10</v>
      </c>
      <c r="K4" s="304" t="s">
        <v>7</v>
      </c>
      <c r="L4" s="263" t="n">
        <f aca="false">IF(Horodateur11233538192231343743464952555861646985222634384650585462667074788290989410210611411811012212613013413814214615015415816216617017417818218619019419820220621021441014182226303438465054586266707680[[#This Row],[O]]="o",Horodateur11233538192231343743464952555861646985222634384650585462667074788290989410210611411811012212613013413814214615015415816216617017417818218619019419820220621021441014182226303438465054586266707680[[#This Row],[Durée (100)]],".")</f>
        <v>1.75</v>
      </c>
      <c r="M4" s="305" t="n">
        <f aca="false">SUMIF(Horodateur11233538192231343743464952555861646985222634384650585462667074788290989410210611411811012212613013413814214615015415816216617017417818218619019419820220621021441014182226303438465054586266707680[Jour],$B4,P$4:P$2004) / Horodateur11233538192231343743464952555861646985222634384650585462667074788290989410210611411811012212613013413814214615015415816216617017417818218619019419820220621021441014182226303438465054586266707680[[#This Row],[hrs (100)]]</f>
        <v>0.45</v>
      </c>
      <c r="N4" s="306"/>
      <c r="O4" s="307"/>
      <c r="P4" s="56" t="str">
        <f aca="false">IF($P$1=Horodateur11233538192231343743464952555861646985222634384650585462667074788290989410210611411811012212613013413814214615015415816216617017417818218619019419820220621021441014182226303438465054586266707680[[#This Row],[Tâche]],Horodateur11233538192231343743464952555861646985222634384650585462667074788290989410210611411811012212613013413814214615015415816216617017417818218619019419820220621021441014182226303438465054586266707680[[#This Row],[Durée (100)]],"")</f>
        <v/>
      </c>
      <c r="Q4" s="56" t="str">
        <f aca="false">IF($Q$1=Horodateur11233538192231343743464952555861646985222634384650585462667074788290989410210611411811012212613013413814214615015415816216617017417818218619019419820220621021441014182226303438465054586266707680[[#This Row],[Tâche]],Horodateur11233538192231343743464952555861646985222634384650585462667074788290989410210611411811012212613013413814214615015415816216617017417818218619019419820220621021441014182226303438465054586266707680[[#This Row],[Durée (100)]],"")</f>
        <v/>
      </c>
      <c r="R4" s="56" t="n">
        <f aca="false">IF($R$1=Horodateur11233538192231343743464952555861646985222634384650585462667074788290989410210611411811012212613013413814214615015415816216617017417818218619019419820220621021441014182226303438465054586266707680[[#This Row],[Tâche]],Horodateur11233538192231343743464952555861646985222634384650585462667074788290989410210611411811012212613013413814214615015415816216617017417818218619019419820220621021441014182226303438465054586266707680[[#This Row],[Durée (100)]],"")</f>
        <v>1.75</v>
      </c>
      <c r="S4" s="56" t="str">
        <f aca="false">IF($S$1=Horodateur11233538192231343743464952555861646985222634384650585462667074788290989410210611411811012212613013413814214615015415816216617017417818218619019419820220621021441014182226303438465054586266707680[[#This Row],[Tâche]],Horodateur11233538192231343743464952555861646985222634384650585462667074788290989410210611411811012212613013413814214615015415816216617017417818218619019419820220621021441014182226303438465054586266707680[[#This Row],[Durée (100)]],"")</f>
        <v/>
      </c>
      <c r="T4" s="56" t="str">
        <f aca="false">IF($T$1=Horodateur11233538192231343743464952555861646985222634384650585462667074788290989410210611411811012212613013413814214615015415816216617017417818218619019419820220621021441014182226303438465054586266707680[[#This Row],[Tâche]],Horodateur11233538192231343743464952555861646985222634384650585462667074788290989410210611411811012212613013413814214615015415816216617017417818218619019419820220621021441014182226303438465054586266707680[[#This Row],[Durée (100)]],"")</f>
        <v/>
      </c>
      <c r="U4" s="56" t="str">
        <f aca="false">IF($U$1=Horodateur11233538192231343743464952555861646985222634384650585462667074788290989410210611411811012212613013413814214615015415816216617017417818218619019419820220621021441014182226303438465054586266707680[[#This Row],[Tâche]],Horodateur11233538192231343743464952555861646985222634384650585462667074788290989410210611411811012212613013413814214615015415816216617017417818218619019419820220621021441014182226303438465054586266707680[[#This Row],[Durée (100)]],"")</f>
        <v/>
      </c>
      <c r="V4" s="56" t="str">
        <f aca="false">IF($V$1=Horodateur11233538192231343743464952555861646985222634384650585462667074788290989410210611411811012212613013413814214615015415816216617017417818218619019419820220621021441014182226303438465054586266707680[[#This Row],[Tâche]],Horodateur11233538192231343743464952555861646985222634384650585462667074788290989410210611411811012212613013413814214615015415816216617017417818218619019419820220621021441014182226303438465054586266707680[[#This Row],[Durée (100)]],"")</f>
        <v/>
      </c>
      <c r="W4" s="56" t="str">
        <f aca="false">IF($W$1=Horodateur11233538192231343743464952555861646985222634384650585462667074788290989410210611411811012212613013413814214615015415816216617017417818218619019419820220621021441014182226303438465054586266707680[[#This Row],[Tâche]],Horodateur11233538192231343743464952555861646985222634384650585462667074788290989410210611411811012212613013413814214615015415816216617017417818218619019419820220621021441014182226303438465054586266707680[[#This Row],[Durée (100)]],"")</f>
        <v/>
      </c>
      <c r="X4" s="169"/>
      <c r="Y4" s="71"/>
      <c r="AA4" s="169"/>
      <c r="AB4" s="71"/>
      <c r="AC4" s="169"/>
      <c r="AD4" s="71"/>
      <c r="AE4" s="71"/>
      <c r="AF4" s="71"/>
      <c r="AG4" s="71"/>
      <c r="AH4" s="71"/>
      <c r="AI4" s="71"/>
      <c r="AJ4" s="71"/>
      <c r="AK4" s="71"/>
      <c r="AL4" s="71"/>
      <c r="AM4" s="71"/>
      <c r="AN4" s="71"/>
      <c r="AO4" s="71"/>
      <c r="AP4" s="71"/>
      <c r="AQ4" s="71"/>
      <c r="AR4" s="71"/>
      <c r="AS4" s="71"/>
      <c r="AT4" s="71"/>
      <c r="AU4" s="71"/>
      <c r="AV4" s="71"/>
      <c r="AW4" s="71"/>
      <c r="AX4" s="71"/>
      <c r="AY4" s="71"/>
      <c r="AZ4" s="71"/>
      <c r="BA4" s="71"/>
    </row>
    <row r="5" customFormat="false" ht="15" hidden="false" customHeight="false" outlineLevel="0" collapsed="false">
      <c r="A5" s="256" t="n">
        <f aca="false">IF(Horodateur11233538192231343743464952555861646985222634384650585462667074788290989410210611411811012212613013413814214615015415816216617017417818218619019419820220621021441014182226303438465054586266707680[[#This Row],[Jour]]="1- Lundi",$B$1+1, IF(Horodateur11233538192231343743464952555861646985222634384650585462667074788290989410210611411811012212613013413814214615015415816216617017417818218619019419820220621021441014182226303438465054586266707680[[#This Row],[Jour]]="2- Mardi",$B$1+2, IF(Horodateur11233538192231343743464952555861646985222634384650585462667074788290989410210611411811012212613013413814214615015415816216617017417818218619019419820220621021441014182226303438465054586266707680[[#This Row],[Jour]]="3- Mercredi",$B$1+3, IF(Horodateur11233538192231343743464952555861646985222634384650585462667074788290989410210611411811012212613013413814214615015415816216617017417818218619019419820220621021441014182226303438465054586266707680[[#This Row],[Jour]]="4- Jeudi",$B$1+4, IF(Horodateur11233538192231343743464952555861646985222634384650585462667074788290989410210611411811012212613013413814214615015415816216617017417818218619019419820220621021441014182226303438465054586266707680[[#This Row],[Jour]]="5- Vendredi",$B$1+5, IF(Horodateur11233538192231343743464952555861646985222634384650585462667074788290989410210611411811012212613013413814214615015415816216617017417818218619019419820220621021441014182226303438465054586266707680[[#This Row],[Jour]]="6- Samedi",$B$1+6, IF(Horodateur11233538192231343743464952555861646985222634384650585462667074788290989410210611411811012212613013413814214615015415816216617017417818218619019419820220621021441014182226303438465054586266707680[[#This Row],[Jour]]="7- Dimanche",$B$1, )))))))</f>
        <v>44306</v>
      </c>
      <c r="B5" s="257" t="s">
        <v>312</v>
      </c>
      <c r="C5" s="258" t="n">
        <v>0.364583333333333</v>
      </c>
      <c r="D5" s="258" t="n">
        <v>0.385416666666667</v>
      </c>
      <c r="E5" s="71" t="s">
        <v>32</v>
      </c>
      <c r="F5" s="71" t="s">
        <v>20</v>
      </c>
      <c r="G5" s="259" t="s">
        <v>121</v>
      </c>
      <c r="H5" s="258" t="n">
        <f aca="false">IF($C5=0,"",$D5-$C5)</f>
        <v>0.0208333333333333</v>
      </c>
      <c r="I5" s="260" t="n">
        <f aca="false">IF($C5=0,"",($H5-INT($H5))*24)</f>
        <v>0.5</v>
      </c>
      <c r="J5" s="303" t="n">
        <f aca="false">SUMIF(Horodateur11233538192231343743464952555861646985222634384650585462667074788290989410210611411811012212613013413814214615015415816216617017417818218619019419820220621021441014182226303438465054586266707680[Jour],$B5,Horodateur11233538192231343743464952555861646985222634384650585462667074788290989410210611411811012212613013413814214615015415816216617017417818218619019419820220621021441014182226303438465054586266707680[Durée (100)])</f>
        <v>10</v>
      </c>
      <c r="K5" s="304" t="s">
        <v>31</v>
      </c>
      <c r="L5" s="263" t="n">
        <f aca="false">IF(Horodateur11233538192231343743464952555861646985222634384650585462667074788290989410210611411811012212613013413814214615015415816216617017417818218619019419820220621021441014182226303438465054586266707680[[#This Row],[O]]="o",Horodateur11233538192231343743464952555861646985222634384650585462667074788290989410210611411811012212613013413814214615015415816216617017417818218619019419820220621021441014182226303438465054586266707680[[#This Row],[Durée (100)]],".")</f>
        <v>0.500000000000001</v>
      </c>
      <c r="M5" s="308" t="n">
        <f aca="false">SUMIF(Horodateur11233538192231343743464952555861646985222634384650585462667074788290989410210611411811012212613013413814214615015415816216617017417818218619019419820220621021441014182226303438465054586266707680[Jour],$B5,P$4:P$2004) / Horodateur11233538192231343743464952555861646985222634384650585462667074788290989410210611411811012212613013413814214615015415816216617017417818218619019419820220621021441014182226303438465054586266707680[[#This Row],[hrs (100)]]</f>
        <v>0.45</v>
      </c>
      <c r="N5" s="306"/>
      <c r="O5" s="309"/>
      <c r="P5" s="56" t="str">
        <f aca="false">IF($P$1=Horodateur11233538192231343743464952555861646985222634384650585462667074788290989410210611411811012212613013413814214615015415816216617017417818218619019419820220621021441014182226303438465054586266707680[[#This Row],[Tâche]],Horodateur11233538192231343743464952555861646985222634384650585462667074788290989410210611411811012212613013413814214615015415816216617017417818218619019419820220621021441014182226303438465054586266707680[[#This Row],[Durée (100)]],"")</f>
        <v/>
      </c>
      <c r="Q5" s="56" t="n">
        <f aca="false">IF($Q$1=Horodateur11233538192231343743464952555861646985222634384650585462667074788290989410210611411811012212613013413814214615015415816216617017417818218619019419820220621021441014182226303438465054586266707680[[#This Row],[Tâche]],Horodateur11233538192231343743464952555861646985222634384650585462667074788290989410210611411811012212613013413814214615015415816216617017417818218619019419820220621021441014182226303438465054586266707680[[#This Row],[Durée (100)]],"")</f>
        <v>0.500000000000001</v>
      </c>
      <c r="R5" s="56" t="str">
        <f aca="false">IF($R$1=Horodateur11233538192231343743464952555861646985222634384650585462667074788290989410210611411811012212613013413814214615015415816216617017417818218619019419820220621021441014182226303438465054586266707680[[#This Row],[Tâche]],Horodateur11233538192231343743464952555861646985222634384650585462667074788290989410210611411811012212613013413814214615015415816216617017417818218619019419820220621021441014182226303438465054586266707680[[#This Row],[Durée (100)]],"")</f>
        <v/>
      </c>
      <c r="S5" s="56" t="str">
        <f aca="false">IF($S$1=Horodateur11233538192231343743464952555861646985222634384650585462667074788290989410210611411811012212613013413814214615015415816216617017417818218619019419820220621021441014182226303438465054586266707680[[#This Row],[Tâche]],Horodateur11233538192231343743464952555861646985222634384650585462667074788290989410210611411811012212613013413814214615015415816216617017417818218619019419820220621021441014182226303438465054586266707680[[#This Row],[Durée (100)]],"")</f>
        <v/>
      </c>
      <c r="T5" s="56" t="str">
        <f aca="false">IF($T$1=Horodateur11233538192231343743464952555861646985222634384650585462667074788290989410210611411811012212613013413814214615015415816216617017417818218619019419820220621021441014182226303438465054586266707680[[#This Row],[Tâche]],Horodateur11233538192231343743464952555861646985222634384650585462667074788290989410210611411811012212613013413814214615015415816216617017417818218619019419820220621021441014182226303438465054586266707680[[#This Row],[Durée (100)]],"")</f>
        <v/>
      </c>
      <c r="U5" s="56" t="str">
        <f aca="false">IF($U$1=Horodateur11233538192231343743464952555861646985222634384650585462667074788290989410210611411811012212613013413814214615015415816216617017417818218619019419820220621021441014182226303438465054586266707680[[#This Row],[Tâche]],Horodateur11233538192231343743464952555861646985222634384650585462667074788290989410210611411811012212613013413814214615015415816216617017417818218619019419820220621021441014182226303438465054586266707680[[#This Row],[Durée (100)]],"")</f>
        <v/>
      </c>
      <c r="V5" s="56" t="str">
        <f aca="false">IF($V$1=Horodateur11233538192231343743464952555861646985222634384650585462667074788290989410210611411811012212613013413814214615015415816216617017417818218619019419820220621021441014182226303438465054586266707680[[#This Row],[Tâche]],Horodateur11233538192231343743464952555861646985222634384650585462667074788290989410210611411811012212613013413814214615015415816216617017417818218619019419820220621021441014182226303438465054586266707680[[#This Row],[Durée (100)]],"")</f>
        <v/>
      </c>
      <c r="W5" s="56" t="str">
        <f aca="false">IF($W$1=Horodateur11233538192231343743464952555861646985222634384650585462667074788290989410210611411811012212613013413814214615015415816216617017417818218619019419820220621021441014182226303438465054586266707680[[#This Row],[Tâche]],Horodateur11233538192231343743464952555861646985222634384650585462667074788290989410210611411811012212613013413814214615015415816216617017417818218619019419820220621021441014182226303438465054586266707680[[#This Row],[Durée (100)]],"")</f>
        <v/>
      </c>
      <c r="X5" s="174"/>
      <c r="Y5" s="71"/>
      <c r="Z5" s="71"/>
      <c r="AA5" s="169"/>
      <c r="AB5" s="71"/>
      <c r="AC5" s="71"/>
      <c r="AD5" s="71"/>
      <c r="AE5" s="71"/>
      <c r="AF5" s="71"/>
      <c r="AG5" s="71"/>
      <c r="AH5" s="71"/>
      <c r="AI5" s="71"/>
      <c r="AJ5" s="71"/>
      <c r="AK5" s="71"/>
      <c r="AL5" s="71"/>
      <c r="AM5" s="71"/>
      <c r="AN5" s="71"/>
      <c r="AO5" s="71"/>
      <c r="AP5" s="71"/>
      <c r="AQ5" s="71"/>
      <c r="AR5" s="71"/>
      <c r="AS5" s="71"/>
      <c r="AT5" s="71"/>
      <c r="AU5" s="71"/>
      <c r="AV5" s="71"/>
      <c r="AW5" s="71"/>
      <c r="AX5" s="71"/>
      <c r="AY5" s="71"/>
      <c r="AZ5" s="71"/>
      <c r="BA5" s="71"/>
    </row>
    <row r="6" customFormat="false" ht="15" hidden="false" customHeight="false" outlineLevel="0" collapsed="false">
      <c r="A6" s="256" t="n">
        <f aca="false">IF(Horodateur11233538192231343743464952555861646985222634384650585462667074788290989410210611411811012212613013413814214615015415816216617017417818218619019419820220621021441014182226303438465054586266707680[[#This Row],[Jour]]="1- Lundi",$B$1+1, IF(Horodateur11233538192231343743464952555861646985222634384650585462667074788290989410210611411811012212613013413814214615015415816216617017417818218619019419820220621021441014182226303438465054586266707680[[#This Row],[Jour]]="2- Mardi",$B$1+2, IF(Horodateur11233538192231343743464952555861646985222634384650585462667074788290989410210611411811012212613013413814214615015415816216617017417818218619019419820220621021441014182226303438465054586266707680[[#This Row],[Jour]]="3- Mercredi",$B$1+3, IF(Horodateur11233538192231343743464952555861646985222634384650585462667074788290989410210611411811012212613013413814214615015415816216617017417818218619019419820220621021441014182226303438465054586266707680[[#This Row],[Jour]]="4- Jeudi",$B$1+4, IF(Horodateur11233538192231343743464952555861646985222634384650585462667074788290989410210611411811012212613013413814214615015415816216617017417818218619019419820220621021441014182226303438465054586266707680[[#This Row],[Jour]]="5- Vendredi",$B$1+5, IF(Horodateur11233538192231343743464952555861646985222634384650585462667074788290989410210611411811012212613013413814214615015415816216617017417818218619019419820220621021441014182226303438465054586266707680[[#This Row],[Jour]]="6- Samedi",$B$1+6, IF(Horodateur11233538192231343743464952555861646985222634384650585462667074788290989410210611411811012212613013413814214615015415816216617017417818218619019419820220621021441014182226303438465054586266707680[[#This Row],[Jour]]="7- Dimanche",$B$1, )))))))</f>
        <v>44306</v>
      </c>
      <c r="B6" s="257" t="s">
        <v>312</v>
      </c>
      <c r="C6" s="258" t="n">
        <v>0.395833333333333</v>
      </c>
      <c r="D6" s="258" t="n">
        <v>0.416666666666667</v>
      </c>
      <c r="E6" s="71" t="s">
        <v>37</v>
      </c>
      <c r="F6" s="71" t="s">
        <v>19</v>
      </c>
      <c r="G6" s="259" t="s">
        <v>55</v>
      </c>
      <c r="H6" s="258" t="n">
        <f aca="false">IF($C6=0,"",$D6-$C6)</f>
        <v>0.0208333333333333</v>
      </c>
      <c r="I6" s="260" t="n">
        <f aca="false">IF($C6=0,"",($H6-INT($H6))*24)</f>
        <v>0.5</v>
      </c>
      <c r="J6" s="303" t="n">
        <f aca="false">SUMIF(Horodateur11233538192231343743464952555861646985222634384650585462667074788290989410210611411811012212613013413814214615015415816216617017417818218619019419820220621021441014182226303438465054586266707680[Jour],$B6,Horodateur11233538192231343743464952555861646985222634384650585462667074788290989410210611411811012212613013413814214615015415816216617017417818218619019419820220621021441014182226303438465054586266707680[Durée (100)])</f>
        <v>10</v>
      </c>
      <c r="K6" s="304" t="s">
        <v>31</v>
      </c>
      <c r="L6" s="263" t="n">
        <f aca="false">IF(Horodateur11233538192231343743464952555861646985222634384650585462667074788290989410210611411811012212613013413814214615015415816216617017417818218619019419820220621021441014182226303438465054586266707680[[#This Row],[O]]="o",Horodateur11233538192231343743464952555861646985222634384650585462667074788290989410210611411811012212613013413814214615015415816216617017417818218619019419820220621021441014182226303438465054586266707680[[#This Row],[Durée (100)]],".")</f>
        <v>0.500000000000001</v>
      </c>
      <c r="M6" s="308" t="n">
        <f aca="false">SUMIF(Horodateur11233538192231343743464952555861646985222634384650585462667074788290989410210611411811012212613013413814214615015415816216617017417818218619019419820220621021441014182226303438465054586266707680[Jour],$B6,P$4:P$2004) / Horodateur11233538192231343743464952555861646985222634384650585462667074788290989410210611411811012212613013413814214615015415816216617017417818218619019419820220621021441014182226303438465054586266707680[[#This Row],[hrs (100)]]</f>
        <v>0.45</v>
      </c>
      <c r="N6" s="306"/>
      <c r="O6" s="309"/>
      <c r="P6" s="56" t="n">
        <f aca="false">IF($P$1=Horodateur11233538192231343743464952555861646985222634384650585462667074788290989410210611411811012212613013413814214615015415816216617017417818218619019419820220621021441014182226303438465054586266707680[[#This Row],[Tâche]],Horodateur11233538192231343743464952555861646985222634384650585462667074788290989410210611411811012212613013413814214615015415816216617017417818218619019419820220621021441014182226303438465054586266707680[[#This Row],[Durée (100)]],"")</f>
        <v>0.500000000000001</v>
      </c>
      <c r="Q6" s="56" t="str">
        <f aca="false">IF($Q$1=Horodateur11233538192231343743464952555861646985222634384650585462667074788290989410210611411811012212613013413814214615015415816216617017417818218619019419820220621021441014182226303438465054586266707680[[#This Row],[Tâche]],Horodateur11233538192231343743464952555861646985222634384650585462667074788290989410210611411811012212613013413814214615015415816216617017417818218619019419820220621021441014182226303438465054586266707680[[#This Row],[Durée (100)]],"")</f>
        <v/>
      </c>
      <c r="R6" s="56" t="str">
        <f aca="false">IF($R$1=Horodateur11233538192231343743464952555861646985222634384650585462667074788290989410210611411811012212613013413814214615015415816216617017417818218619019419820220621021441014182226303438465054586266707680[[#This Row],[Tâche]],Horodateur11233538192231343743464952555861646985222634384650585462667074788290989410210611411811012212613013413814214615015415816216617017417818218619019419820220621021441014182226303438465054586266707680[[#This Row],[Durée (100)]],"")</f>
        <v/>
      </c>
      <c r="S6" s="56" t="str">
        <f aca="false">IF($S$1=Horodateur11233538192231343743464952555861646985222634384650585462667074788290989410210611411811012212613013413814214615015415816216617017417818218619019419820220621021441014182226303438465054586266707680[[#This Row],[Tâche]],Horodateur11233538192231343743464952555861646985222634384650585462667074788290989410210611411811012212613013413814214615015415816216617017417818218619019419820220621021441014182226303438465054586266707680[[#This Row],[Durée (100)]],"")</f>
        <v/>
      </c>
      <c r="T6" s="56" t="str">
        <f aca="false">IF($T$1=Horodateur11233538192231343743464952555861646985222634384650585462667074788290989410210611411811012212613013413814214615015415816216617017417818218619019419820220621021441014182226303438465054586266707680[[#This Row],[Tâche]],Horodateur11233538192231343743464952555861646985222634384650585462667074788290989410210611411811012212613013413814214615015415816216617017417818218619019419820220621021441014182226303438465054586266707680[[#This Row],[Durée (100)]],"")</f>
        <v/>
      </c>
      <c r="U6" s="56" t="str">
        <f aca="false">IF($U$1=Horodateur11233538192231343743464952555861646985222634384650585462667074788290989410210611411811012212613013413814214615015415816216617017417818218619019419820220621021441014182226303438465054586266707680[[#This Row],[Tâche]],Horodateur11233538192231343743464952555861646985222634384650585462667074788290989410210611411811012212613013413814214615015415816216617017417818218619019419820220621021441014182226303438465054586266707680[[#This Row],[Durée (100)]],"")</f>
        <v/>
      </c>
      <c r="V6" s="56" t="str">
        <f aca="false">IF($V$1=Horodateur11233538192231343743464952555861646985222634384650585462667074788290989410210611411811012212613013413814214615015415816216617017417818218619019419820220621021441014182226303438465054586266707680[[#This Row],[Tâche]],Horodateur11233538192231343743464952555861646985222634384650585462667074788290989410210611411811012212613013413814214615015415816216617017417818218619019419820220621021441014182226303438465054586266707680[[#This Row],[Durée (100)]],"")</f>
        <v/>
      </c>
      <c r="W6" s="56" t="str">
        <f aca="false">IF($W$1=Horodateur11233538192231343743464952555861646985222634384650585462667074788290989410210611411811012212613013413814214615015415816216617017417818218619019419820220621021441014182226303438465054586266707680[[#This Row],[Tâche]],Horodateur11233538192231343743464952555861646985222634384650585462667074788290989410210611411811012212613013413814214615015415816216617017417818218619019419820220621021441014182226303438465054586266707680[[#This Row],[Durée (100)]],"")</f>
        <v/>
      </c>
      <c r="X6" s="174"/>
      <c r="Y6" s="71"/>
      <c r="Z6" s="71"/>
      <c r="AA6" s="169"/>
      <c r="AB6" s="71"/>
      <c r="AC6" s="71"/>
      <c r="AD6" s="71"/>
      <c r="AE6" s="71"/>
      <c r="AF6" s="71"/>
      <c r="AG6" s="71"/>
      <c r="AH6" s="71"/>
      <c r="AI6" s="71"/>
      <c r="AJ6" s="71"/>
      <c r="AK6" s="71"/>
      <c r="AL6" s="71"/>
      <c r="AM6" s="71"/>
      <c r="AN6" s="71"/>
      <c r="AO6" s="71"/>
      <c r="AP6" s="71"/>
      <c r="AQ6" s="71"/>
      <c r="AR6" s="71"/>
      <c r="AS6" s="71"/>
      <c r="AT6" s="71"/>
      <c r="AU6" s="71"/>
      <c r="AV6" s="71"/>
      <c r="AW6" s="71"/>
      <c r="AX6" s="71"/>
      <c r="AY6" s="71"/>
      <c r="AZ6" s="71"/>
      <c r="BA6" s="71"/>
    </row>
    <row r="7" customFormat="false" ht="15" hidden="false" customHeight="false" outlineLevel="0" collapsed="false">
      <c r="A7" s="256" t="n">
        <f aca="false">IF(Horodateur11233538192231343743464952555861646985222634384650585462667074788290989410210611411811012212613013413814214615015415816216617017417818218619019419820220621021441014182226303438465054586266707680[[#This Row],[Jour]]="1- Lundi",$B$1+1, IF(Horodateur11233538192231343743464952555861646985222634384650585462667074788290989410210611411811012212613013413814214615015415816216617017417818218619019419820220621021441014182226303438465054586266707680[[#This Row],[Jour]]="2- Mardi",$B$1+2, IF(Horodateur11233538192231343743464952555861646985222634384650585462667074788290989410210611411811012212613013413814214615015415816216617017417818218619019419820220621021441014182226303438465054586266707680[[#This Row],[Jour]]="3- Mercredi",$B$1+3, IF(Horodateur11233538192231343743464952555861646985222634384650585462667074788290989410210611411811012212613013413814214615015415816216617017417818218619019419820220621021441014182226303438465054586266707680[[#This Row],[Jour]]="4- Jeudi",$B$1+4, IF(Horodateur11233538192231343743464952555861646985222634384650585462667074788290989410210611411811012212613013413814214615015415816216617017417818218619019419820220621021441014182226303438465054586266707680[[#This Row],[Jour]]="5- Vendredi",$B$1+5, IF(Horodateur11233538192231343743464952555861646985222634384650585462667074788290989410210611411811012212613013413814214615015415816216617017417818218619019419820220621021441014182226303438465054586266707680[[#This Row],[Jour]]="6- Samedi",$B$1+6, IF(Horodateur11233538192231343743464952555861646985222634384650585462667074788290989410210611411811012212613013413814214615015415816216617017417818218619019419820220621021441014182226303438465054586266707680[[#This Row],[Jour]]="7- Dimanche",$B$1, )))))))</f>
        <v>44306</v>
      </c>
      <c r="B7" s="257" t="s">
        <v>312</v>
      </c>
      <c r="C7" s="258" t="n">
        <v>0.427083333333333</v>
      </c>
      <c r="D7" s="258" t="n">
        <v>0.5</v>
      </c>
      <c r="E7" s="71" t="s">
        <v>363</v>
      </c>
      <c r="F7" s="71" t="s">
        <v>22</v>
      </c>
      <c r="G7" s="259" t="s">
        <v>366</v>
      </c>
      <c r="H7" s="258" t="n">
        <f aca="false">IF($C7=0,"",$D7-$C7)</f>
        <v>0.0729166666666667</v>
      </c>
      <c r="I7" s="260" t="n">
        <f aca="false">IF($C7=0,"",($H7-INT($H7))*24)</f>
        <v>1.75</v>
      </c>
      <c r="J7" s="303" t="n">
        <f aca="false">SUMIF(Horodateur11233538192231343743464952555861646985222634384650585462667074788290989410210611411811012212613013413814214615015415816216617017417818218619019419820220621021441014182226303438465054586266707680[Jour],$B7,Horodateur11233538192231343743464952555861646985222634384650585462667074788290989410210611411811012212613013413814214615015415816216617017417818218619019419820220621021441014182226303438465054586266707680[Durée (100)])</f>
        <v>10</v>
      </c>
      <c r="K7" s="304" t="s">
        <v>31</v>
      </c>
      <c r="L7" s="263" t="n">
        <f aca="false">IF(Horodateur11233538192231343743464952555861646985222634384650585462667074788290989410210611411811012212613013413814214615015415816216617017417818218619019419820220621021441014182226303438465054586266707680[[#This Row],[O]]="o",Horodateur11233538192231343743464952555861646985222634384650585462667074788290989410210611411811012212613013413814214615015415816216617017417818218619019419820220621021441014182226303438465054586266707680[[#This Row],[Durée (100)]],".")</f>
        <v>1.75</v>
      </c>
      <c r="M7" s="308" t="n">
        <f aca="false">SUMIF(Horodateur11233538192231343743464952555861646985222634384650585462667074788290989410210611411811012212613013413814214615015415816216617017417818218619019419820220621021441014182226303438465054586266707680[Jour],$B7,P$4:P$2004) / Horodateur11233538192231343743464952555861646985222634384650585462667074788290989410210611411811012212613013413814214615015415816216617017417818218619019419820220621021441014182226303438465054586266707680[[#This Row],[hrs (100)]]</f>
        <v>0.45</v>
      </c>
      <c r="N7" s="306"/>
      <c r="O7" s="309"/>
      <c r="P7" s="56" t="str">
        <f aca="false">IF($P$1=Horodateur11233538192231343743464952555861646985222634384650585462667074788290989410210611411811012212613013413814214615015415816216617017417818218619019419820220621021441014182226303438465054586266707680[[#This Row],[Tâche]],Horodateur11233538192231343743464952555861646985222634384650585462667074788290989410210611411811012212613013413814214615015415816216617017417818218619019419820220621021441014182226303438465054586266707680[[#This Row],[Durée (100)]],"")</f>
        <v/>
      </c>
      <c r="Q7" s="56" t="str">
        <f aca="false">IF($Q$1=Horodateur11233538192231343743464952555861646985222634384650585462667074788290989410210611411811012212613013413814214615015415816216617017417818218619019419820220621021441014182226303438465054586266707680[[#This Row],[Tâche]],Horodateur11233538192231343743464952555861646985222634384650585462667074788290989410210611411811012212613013413814214615015415816216617017417818218619019419820220621021441014182226303438465054586266707680[[#This Row],[Durée (100)]],"")</f>
        <v/>
      </c>
      <c r="R7" s="56" t="str">
        <f aca="false">IF($R$1=Horodateur11233538192231343743464952555861646985222634384650585462667074788290989410210611411811012212613013413814214615015415816216617017417818218619019419820220621021441014182226303438465054586266707680[[#This Row],[Tâche]],Horodateur11233538192231343743464952555861646985222634384650585462667074788290989410210611411811012212613013413814214615015415816216617017417818218619019419820220621021441014182226303438465054586266707680[[#This Row],[Durée (100)]],"")</f>
        <v/>
      </c>
      <c r="S7" s="56" t="n">
        <f aca="false">IF($S$1=Horodateur11233538192231343743464952555861646985222634384650585462667074788290989410210611411811012212613013413814214615015415816216617017417818218619019419820220621021441014182226303438465054586266707680[[#This Row],[Tâche]],Horodateur11233538192231343743464952555861646985222634384650585462667074788290989410210611411811012212613013413814214615015415816216617017417818218619019419820220621021441014182226303438465054586266707680[[#This Row],[Durée (100)]],"")</f>
        <v>1.75</v>
      </c>
      <c r="T7" s="56" t="str">
        <f aca="false">IF($T$1=Horodateur11233538192231343743464952555861646985222634384650585462667074788290989410210611411811012212613013413814214615015415816216617017417818218619019419820220621021441014182226303438465054586266707680[[#This Row],[Tâche]],Horodateur11233538192231343743464952555861646985222634384650585462667074788290989410210611411811012212613013413814214615015415816216617017417818218619019419820220621021441014182226303438465054586266707680[[#This Row],[Durée (100)]],"")</f>
        <v/>
      </c>
      <c r="U7" s="56" t="str">
        <f aca="false">IF($U$1=Horodateur11233538192231343743464952555861646985222634384650585462667074788290989410210611411811012212613013413814214615015415816216617017417818218619019419820220621021441014182226303438465054586266707680[[#This Row],[Tâche]],Horodateur11233538192231343743464952555861646985222634384650585462667074788290989410210611411811012212613013413814214615015415816216617017417818218619019419820220621021441014182226303438465054586266707680[[#This Row],[Durée (100)]],"")</f>
        <v/>
      </c>
      <c r="V7" s="56" t="str">
        <f aca="false">IF($V$1=Horodateur11233538192231343743464952555861646985222634384650585462667074788290989410210611411811012212613013413814214615015415816216617017417818218619019419820220621021441014182226303438465054586266707680[[#This Row],[Tâche]],Horodateur11233538192231343743464952555861646985222634384650585462667074788290989410210611411811012212613013413814214615015415816216617017417818218619019419820220621021441014182226303438465054586266707680[[#This Row],[Durée (100)]],"")</f>
        <v/>
      </c>
      <c r="W7" s="56" t="str">
        <f aca="false">IF($W$1=Horodateur11233538192231343743464952555861646985222634384650585462667074788290989410210611411811012212613013413814214615015415816216617017417818218619019419820220621021441014182226303438465054586266707680[[#This Row],[Tâche]],Horodateur11233538192231343743464952555861646985222634384650585462667074788290989410210611411811012212613013413814214615015415816216617017417818218619019419820220621021441014182226303438465054586266707680[[#This Row],[Durée (100)]],"")</f>
        <v/>
      </c>
      <c r="X7" s="174"/>
      <c r="Y7" s="71"/>
      <c r="Z7" s="71"/>
      <c r="AA7" s="169"/>
      <c r="AB7" s="71"/>
      <c r="AC7" s="71"/>
      <c r="AD7" s="71"/>
      <c r="AE7" s="71"/>
      <c r="AF7" s="71"/>
      <c r="AG7" s="71"/>
      <c r="AH7" s="71"/>
      <c r="AI7" s="71"/>
      <c r="AJ7" s="71"/>
      <c r="AK7" s="71"/>
      <c r="AL7" s="71"/>
      <c r="AM7" s="71"/>
      <c r="AN7" s="71"/>
      <c r="AO7" s="71"/>
      <c r="AP7" s="71"/>
      <c r="AQ7" s="71"/>
      <c r="AR7" s="71"/>
      <c r="AS7" s="71"/>
      <c r="AT7" s="71"/>
      <c r="AU7" s="71"/>
      <c r="AV7" s="71"/>
      <c r="AW7" s="71"/>
      <c r="AX7" s="71"/>
      <c r="AY7" s="71"/>
      <c r="AZ7" s="71"/>
      <c r="BA7" s="71"/>
      <c r="BC7" s="0" t="e">
        <f aca="false">#DIV/0!</f>
        <v>#DIV/0!</v>
      </c>
    </row>
    <row r="8" customFormat="false" ht="15" hidden="false" customHeight="false" outlineLevel="0" collapsed="false">
      <c r="A8" s="256" t="n">
        <f aca="false">IF(Horodateur11233538192231343743464952555861646985222634384650585462667074788290989410210611411811012212613013413814214615015415816216617017417818218619019419820220621021441014182226303438465054586266707680[[#This Row],[Jour]]="1- Lundi",$B$1+1, IF(Horodateur11233538192231343743464952555861646985222634384650585462667074788290989410210611411811012212613013413814214615015415816216617017417818218619019419820220621021441014182226303438465054586266707680[[#This Row],[Jour]]="2- Mardi",$B$1+2, IF(Horodateur11233538192231343743464952555861646985222634384650585462667074788290989410210611411811012212613013413814214615015415816216617017417818218619019419820220621021441014182226303438465054586266707680[[#This Row],[Jour]]="3- Mercredi",$B$1+3, IF(Horodateur11233538192231343743464952555861646985222634384650585462667074788290989410210611411811012212613013413814214615015415816216617017417818218619019419820220621021441014182226303438465054586266707680[[#This Row],[Jour]]="4- Jeudi",$B$1+4, IF(Horodateur11233538192231343743464952555861646985222634384650585462667074788290989410210611411811012212613013413814214615015415816216617017417818218619019419820220621021441014182226303438465054586266707680[[#This Row],[Jour]]="5- Vendredi",$B$1+5, IF(Horodateur11233538192231343743464952555861646985222634384650585462667074788290989410210611411811012212613013413814214615015415816216617017417818218619019419820220621021441014182226303438465054586266707680[[#This Row],[Jour]]="6- Samedi",$B$1+6, IF(Horodateur11233538192231343743464952555861646985222634384650585462667074788290989410210611411811012212613013413814214615015415816216617017417818218619019419820220621021441014182226303438465054586266707680[[#This Row],[Jour]]="7- Dimanche",$B$1, )))))))</f>
        <v>44306</v>
      </c>
      <c r="B8" s="257" t="s">
        <v>312</v>
      </c>
      <c r="C8" s="258" t="n">
        <v>0.5625</v>
      </c>
      <c r="D8" s="258" t="n">
        <v>0.583333333333333</v>
      </c>
      <c r="E8" s="71" t="s">
        <v>63</v>
      </c>
      <c r="F8" s="71" t="s">
        <v>19</v>
      </c>
      <c r="G8" s="259" t="s">
        <v>55</v>
      </c>
      <c r="H8" s="258" t="n">
        <f aca="false">IF($C8=0,"",$D8-$C8)</f>
        <v>0.0208333333333333</v>
      </c>
      <c r="I8" s="260" t="n">
        <f aca="false">IF($C8=0,"",($H8-INT($H8))*24)</f>
        <v>0.5</v>
      </c>
      <c r="J8" s="303" t="n">
        <f aca="false">SUMIF(Horodateur11233538192231343743464952555861646985222634384650585462667074788290989410210611411811012212613013413814214615015415816216617017417818218619019419820220621021441014182226303438465054586266707680[Jour],$B8,Horodateur11233538192231343743464952555861646985222634384650585462667074788290989410210611411811012212613013413814214615015415816216617017417818218619019419820220621021441014182226303438465054586266707680[Durée (100)])</f>
        <v>10</v>
      </c>
      <c r="K8" s="304" t="s">
        <v>31</v>
      </c>
      <c r="L8" s="263" t="n">
        <f aca="false">IF(Horodateur11233538192231343743464952555861646985222634384650585462667074788290989410210611411811012212613013413814214615015415816216617017417818218619019419820220621021441014182226303438465054586266707680[[#This Row],[O]]="o",Horodateur11233538192231343743464952555861646985222634384650585462667074788290989410210611411811012212613013413814214615015415816216617017417818218619019419820220621021441014182226303438465054586266707680[[#This Row],[Durée (100)]],".")</f>
        <v>0.500000000000001</v>
      </c>
      <c r="M8" s="308" t="n">
        <f aca="false">SUMIF(Horodateur11233538192231343743464952555861646985222634384650585462667074788290989410210611411811012212613013413814214615015415816216617017417818218619019419820220621021441014182226303438465054586266707680[Jour],$B8,P$4:P$2004) / Horodateur11233538192231343743464952555861646985222634384650585462667074788290989410210611411811012212613013413814214615015415816216617017417818218619019419820220621021441014182226303438465054586266707680[[#This Row],[hrs (100)]]</f>
        <v>0.45</v>
      </c>
      <c r="N8" s="306"/>
      <c r="O8" s="309"/>
      <c r="P8" s="56" t="n">
        <f aca="false">IF($P$1=Horodateur11233538192231343743464952555861646985222634384650585462667074788290989410210611411811012212613013413814214615015415816216617017417818218619019419820220621021441014182226303438465054586266707680[[#This Row],[Tâche]],Horodateur11233538192231343743464952555861646985222634384650585462667074788290989410210611411811012212613013413814214615015415816216617017417818218619019419820220621021441014182226303438465054586266707680[[#This Row],[Durée (100)]],"")</f>
        <v>0.500000000000001</v>
      </c>
      <c r="Q8" s="56" t="str">
        <f aca="false">IF($Q$1=Horodateur11233538192231343743464952555861646985222634384650585462667074788290989410210611411811012212613013413814214615015415816216617017417818218619019419820220621021441014182226303438465054586266707680[[#This Row],[Tâche]],Horodateur11233538192231343743464952555861646985222634384650585462667074788290989410210611411811012212613013413814214615015415816216617017417818218619019419820220621021441014182226303438465054586266707680[[#This Row],[Durée (100)]],"")</f>
        <v/>
      </c>
      <c r="R8" s="56" t="str">
        <f aca="false">IF($R$1=Horodateur11233538192231343743464952555861646985222634384650585462667074788290989410210611411811012212613013413814214615015415816216617017417818218619019419820220621021441014182226303438465054586266707680[[#This Row],[Tâche]],Horodateur11233538192231343743464952555861646985222634384650585462667074788290989410210611411811012212613013413814214615015415816216617017417818218619019419820220621021441014182226303438465054586266707680[[#This Row],[Durée (100)]],"")</f>
        <v/>
      </c>
      <c r="S8" s="56" t="str">
        <f aca="false">IF($S$1=Horodateur11233538192231343743464952555861646985222634384650585462667074788290989410210611411811012212613013413814214615015415816216617017417818218619019419820220621021441014182226303438465054586266707680[[#This Row],[Tâche]],Horodateur11233538192231343743464952555861646985222634384650585462667074788290989410210611411811012212613013413814214615015415816216617017417818218619019419820220621021441014182226303438465054586266707680[[#This Row],[Durée (100)]],"")</f>
        <v/>
      </c>
      <c r="T8" s="56" t="str">
        <f aca="false">IF($T$1=Horodateur11233538192231343743464952555861646985222634384650585462667074788290989410210611411811012212613013413814214615015415816216617017417818218619019419820220621021441014182226303438465054586266707680[[#This Row],[Tâche]],Horodateur11233538192231343743464952555861646985222634384650585462667074788290989410210611411811012212613013413814214615015415816216617017417818218619019419820220621021441014182226303438465054586266707680[[#This Row],[Durée (100)]],"")</f>
        <v/>
      </c>
      <c r="U8" s="56" t="str">
        <f aca="false">IF($U$1=Horodateur11233538192231343743464952555861646985222634384650585462667074788290989410210611411811012212613013413814214615015415816216617017417818218619019419820220621021441014182226303438465054586266707680[[#This Row],[Tâche]],Horodateur11233538192231343743464952555861646985222634384650585462667074788290989410210611411811012212613013413814214615015415816216617017417818218619019419820220621021441014182226303438465054586266707680[[#This Row],[Durée (100)]],"")</f>
        <v/>
      </c>
      <c r="V8" s="56" t="str">
        <f aca="false">IF($V$1=Horodateur11233538192231343743464952555861646985222634384650585462667074788290989410210611411811012212613013413814214615015415816216617017417818218619019419820220621021441014182226303438465054586266707680[[#This Row],[Tâche]],Horodateur11233538192231343743464952555861646985222634384650585462667074788290989410210611411811012212613013413814214615015415816216617017417818218619019419820220621021441014182226303438465054586266707680[[#This Row],[Durée (100)]],"")</f>
        <v/>
      </c>
      <c r="W8" s="56" t="str">
        <f aca="false">IF($W$1=Horodateur11233538192231343743464952555861646985222634384650585462667074788290989410210611411811012212613013413814214615015415816216617017417818218619019419820220621021441014182226303438465054586266707680[[#This Row],[Tâche]],Horodateur11233538192231343743464952555861646985222634384650585462667074788290989410210611411811012212613013413814214615015415816216617017417818218619019419820220621021441014182226303438465054586266707680[[#This Row],[Durée (100)]],"")</f>
        <v/>
      </c>
      <c r="X8" s="174"/>
      <c r="Y8" s="71"/>
      <c r="Z8" s="71"/>
      <c r="AA8" s="169"/>
      <c r="AB8" s="71"/>
      <c r="AC8" s="71"/>
      <c r="AD8" s="71"/>
      <c r="AE8" s="71"/>
      <c r="AF8" s="71"/>
      <c r="AG8" s="71"/>
      <c r="AH8" s="71"/>
      <c r="AI8" s="71"/>
      <c r="AJ8" s="71"/>
      <c r="AK8" s="71"/>
      <c r="AL8" s="71"/>
      <c r="AM8" s="71"/>
      <c r="AN8" s="71"/>
      <c r="AO8" s="71"/>
      <c r="AP8" s="71"/>
      <c r="AQ8" s="71"/>
      <c r="AR8" s="71"/>
      <c r="AS8" s="71"/>
      <c r="AT8" s="71"/>
      <c r="AU8" s="71"/>
      <c r="AV8" s="71"/>
      <c r="AW8" s="71"/>
      <c r="AX8" s="71"/>
      <c r="AY8" s="71"/>
      <c r="AZ8" s="71"/>
      <c r="BA8" s="71"/>
    </row>
    <row r="9" customFormat="false" ht="15" hidden="false" customHeight="false" outlineLevel="0" collapsed="false">
      <c r="A9" s="256" t="n">
        <f aca="false">IF(Horodateur11233538192231343743464952555861646985222634384650585462667074788290989410210611411811012212613013413814214615015415816216617017417818218619019419820220621021441014182226303438465054586266707680[[#This Row],[Jour]]="1- Lundi",$B$1+1, IF(Horodateur11233538192231343743464952555861646985222634384650585462667074788290989410210611411811012212613013413814214615015415816216617017417818218619019419820220621021441014182226303438465054586266707680[[#This Row],[Jour]]="2- Mardi",$B$1+2, IF(Horodateur11233538192231343743464952555861646985222634384650585462667074788290989410210611411811012212613013413814214615015415816216617017417818218619019419820220621021441014182226303438465054586266707680[[#This Row],[Jour]]="3- Mercredi",$B$1+3, IF(Horodateur11233538192231343743464952555861646985222634384650585462667074788290989410210611411811012212613013413814214615015415816216617017417818218619019419820220621021441014182226303438465054586266707680[[#This Row],[Jour]]="4- Jeudi",$B$1+4, IF(Horodateur11233538192231343743464952555861646985222634384650585462667074788290989410210611411811012212613013413814214615015415816216617017417818218619019419820220621021441014182226303438465054586266707680[[#This Row],[Jour]]="5- Vendredi",$B$1+5, IF(Horodateur11233538192231343743464952555861646985222634384650585462667074788290989410210611411811012212613013413814214615015415816216617017417818218619019419820220621021441014182226303438465054586266707680[[#This Row],[Jour]]="6- Samedi",$B$1+6, IF(Horodateur11233538192231343743464952555861646985222634384650585462667074788290989410210611411811012212613013413814214615015415816216617017417818218619019419820220621021441014182226303438465054586266707680[[#This Row],[Jour]]="7- Dimanche",$B$1, )))))))</f>
        <v>44306</v>
      </c>
      <c r="B9" s="257" t="s">
        <v>312</v>
      </c>
      <c r="C9" s="258" t="n">
        <v>0.583333333333333</v>
      </c>
      <c r="D9" s="258" t="n">
        <v>0.729166666666667</v>
      </c>
      <c r="E9" s="71" t="s">
        <v>363</v>
      </c>
      <c r="F9" s="71" t="s">
        <v>19</v>
      </c>
      <c r="G9" s="259" t="s">
        <v>366</v>
      </c>
      <c r="H9" s="258" t="n">
        <f aca="false">IF($C9=0,"",$D9-$C9)</f>
        <v>0.145833333333333</v>
      </c>
      <c r="I9" s="260" t="n">
        <f aca="false">IF($C9=0,"",($H9-INT($H9))*24)</f>
        <v>3.5</v>
      </c>
      <c r="J9" s="303" t="n">
        <f aca="false">SUMIF(Horodateur11233538192231343743464952555861646985222634384650585462667074788290989410210611411811012212613013413814214615015415816216617017417818218619019419820220621021441014182226303438465054586266707680[Jour],$B9,Horodateur11233538192231343743464952555861646985222634384650585462667074788290989410210611411811012212613013413814214615015415816216617017417818218619019419820220621021441014182226303438465054586266707680[Durée (100)])</f>
        <v>10</v>
      </c>
      <c r="K9" s="304" t="s">
        <v>31</v>
      </c>
      <c r="L9" s="263" t="n">
        <f aca="false">IF(Horodateur11233538192231343743464952555861646985222634384650585462667074788290989410210611411811012212613013413814214615015415816216617017417818218619019419820220621021441014182226303438465054586266707680[[#This Row],[O]]="o",Horodateur11233538192231343743464952555861646985222634384650585462667074788290989410210611411811012212613013413814214615015415816216617017417818218619019419820220621021441014182226303438465054586266707680[[#This Row],[Durée (100)]],".")</f>
        <v>3.5</v>
      </c>
      <c r="M9" s="308" t="n">
        <f aca="false">SUMIF(Horodateur11233538192231343743464952555861646985222634384650585462667074788290989410210611411811012212613013413814214615015415816216617017417818218619019419820220621021441014182226303438465054586266707680[Jour],$B9,P$4:P$2004) / Horodateur11233538192231343743464952555861646985222634384650585462667074788290989410210611411811012212613013413814214615015415816216617017417818218619019419820220621021441014182226303438465054586266707680[[#This Row],[hrs (100)]]</f>
        <v>0.45</v>
      </c>
      <c r="N9" s="306"/>
      <c r="O9" s="309"/>
      <c r="P9" s="56" t="n">
        <f aca="false">IF($P$1=Horodateur11233538192231343743464952555861646985222634384650585462667074788290989410210611411811012212613013413814214615015415816216617017417818218619019419820220621021441014182226303438465054586266707680[[#This Row],[Tâche]],Horodateur11233538192231343743464952555861646985222634384650585462667074788290989410210611411811012212613013413814214615015415816216617017417818218619019419820220621021441014182226303438465054586266707680[[#This Row],[Durée (100)]],"")</f>
        <v>3.5</v>
      </c>
      <c r="Q9" s="56" t="str">
        <f aca="false">IF($Q$1=Horodateur11233538192231343743464952555861646985222634384650585462667074788290989410210611411811012212613013413814214615015415816216617017417818218619019419820220621021441014182226303438465054586266707680[[#This Row],[Tâche]],Horodateur11233538192231343743464952555861646985222634384650585462667074788290989410210611411811012212613013413814214615015415816216617017417818218619019419820220621021441014182226303438465054586266707680[[#This Row],[Durée (100)]],"")</f>
        <v/>
      </c>
      <c r="R9" s="56" t="str">
        <f aca="false">IF($R$1=Horodateur11233538192231343743464952555861646985222634384650585462667074788290989410210611411811012212613013413814214615015415816216617017417818218619019419820220621021441014182226303438465054586266707680[[#This Row],[Tâche]],Horodateur11233538192231343743464952555861646985222634384650585462667074788290989410210611411811012212613013413814214615015415816216617017417818218619019419820220621021441014182226303438465054586266707680[[#This Row],[Durée (100)]],"")</f>
        <v/>
      </c>
      <c r="S9" s="56" t="str">
        <f aca="false">IF($S$1=Horodateur11233538192231343743464952555861646985222634384650585462667074788290989410210611411811012212613013413814214615015415816216617017417818218619019419820220621021441014182226303438465054586266707680[[#This Row],[Tâche]],Horodateur11233538192231343743464952555861646985222634384650585462667074788290989410210611411811012212613013413814214615015415816216617017417818218619019419820220621021441014182226303438465054586266707680[[#This Row],[Durée (100)]],"")</f>
        <v/>
      </c>
      <c r="T9" s="56" t="str">
        <f aca="false">IF($T$1=Horodateur11233538192231343743464952555861646985222634384650585462667074788290989410210611411811012212613013413814214615015415816216617017417818218619019419820220621021441014182226303438465054586266707680[[#This Row],[Tâche]],Horodateur11233538192231343743464952555861646985222634384650585462667074788290989410210611411811012212613013413814214615015415816216617017417818218619019419820220621021441014182226303438465054586266707680[[#This Row],[Durée (100)]],"")</f>
        <v/>
      </c>
      <c r="U9" s="56" t="str">
        <f aca="false">IF($U$1=Horodateur11233538192231343743464952555861646985222634384650585462667074788290989410210611411811012212613013413814214615015415816216617017417818218619019419820220621021441014182226303438465054586266707680[[#This Row],[Tâche]],Horodateur11233538192231343743464952555861646985222634384650585462667074788290989410210611411811012212613013413814214615015415816216617017417818218619019419820220621021441014182226303438465054586266707680[[#This Row],[Durée (100)]],"")</f>
        <v/>
      </c>
      <c r="V9" s="56" t="str">
        <f aca="false">IF($V$1=Horodateur11233538192231343743464952555861646985222634384650585462667074788290989410210611411811012212613013413814214615015415816216617017417818218619019419820220621021441014182226303438465054586266707680[[#This Row],[Tâche]],Horodateur11233538192231343743464952555861646985222634384650585462667074788290989410210611411811012212613013413814214615015415816216617017417818218619019419820220621021441014182226303438465054586266707680[[#This Row],[Durée (100)]],"")</f>
        <v/>
      </c>
      <c r="W9" s="56" t="str">
        <f aca="false">IF($W$1=Horodateur11233538192231343743464952555861646985222634384650585462667074788290989410210611411811012212613013413814214615015415816216617017417818218619019419820220621021441014182226303438465054586266707680[[#This Row],[Tâche]],Horodateur11233538192231343743464952555861646985222634384650585462667074788290989410210611411811012212613013413814214615015415816216617017417818218619019419820220621021441014182226303438465054586266707680[[#This Row],[Durée (100)]],"")</f>
        <v/>
      </c>
      <c r="X9" s="174"/>
      <c r="Y9" s="71"/>
      <c r="Z9" s="71"/>
      <c r="AA9" s="169"/>
      <c r="AB9" s="71"/>
      <c r="AC9" s="71"/>
      <c r="AD9" s="71"/>
      <c r="AE9" s="71"/>
      <c r="AF9" s="71"/>
      <c r="AG9" s="71"/>
      <c r="AH9" s="71"/>
      <c r="AI9" s="71"/>
      <c r="AJ9" s="71"/>
      <c r="AK9" s="71"/>
      <c r="AL9" s="71"/>
      <c r="AM9" s="71"/>
      <c r="AN9" s="71"/>
      <c r="AO9" s="71"/>
      <c r="AP9" s="71"/>
      <c r="AQ9" s="71"/>
      <c r="AR9" s="71"/>
      <c r="AS9" s="71"/>
      <c r="AT9" s="71"/>
      <c r="AU9" s="71"/>
      <c r="AV9" s="71"/>
      <c r="AW9" s="71"/>
      <c r="AX9" s="71"/>
      <c r="AY9" s="71"/>
      <c r="AZ9" s="71"/>
      <c r="BA9" s="71"/>
    </row>
    <row r="10" customFormat="false" ht="15" hidden="false" customHeight="false" outlineLevel="0" collapsed="false">
      <c r="A10" s="256" t="n">
        <f aca="false">IF(Horodateur11233538192231343743464952555861646985222634384650585462667074788290989410210611411811012212613013413814214615015415816216617017417818218619019419820220621021441014182226303438465054586266707680[[#This Row],[Jour]]="1- Lundi",$B$1+1, IF(Horodateur11233538192231343743464952555861646985222634384650585462667074788290989410210611411811012212613013413814214615015415816216617017417818218619019419820220621021441014182226303438465054586266707680[[#This Row],[Jour]]="2- Mardi",$B$1+2, IF(Horodateur11233538192231343743464952555861646985222634384650585462667074788290989410210611411811012212613013413814214615015415816216617017417818218619019419820220621021441014182226303438465054586266707680[[#This Row],[Jour]]="3- Mercredi",$B$1+3, IF(Horodateur11233538192231343743464952555861646985222634384650585462667074788290989410210611411811012212613013413814214615015415816216617017417818218619019419820220621021441014182226303438465054586266707680[[#This Row],[Jour]]="4- Jeudi",$B$1+4, IF(Horodateur11233538192231343743464952555861646985222634384650585462667074788290989410210611411811012212613013413814214615015415816216617017417818218619019419820220621021441014182226303438465054586266707680[[#This Row],[Jour]]="5- Vendredi",$B$1+5, IF(Horodateur11233538192231343743464952555861646985222634384650585462667074788290989410210611411811012212613013413814214615015415816216617017417818218619019419820220621021441014182226303438465054586266707680[[#This Row],[Jour]]="6- Samedi",$B$1+6, IF(Horodateur11233538192231343743464952555861646985222634384650585462667074788290989410210611411811012212613013413814214615015415816216617017417818218619019419820220621021441014182226303438465054586266707680[[#This Row],[Jour]]="7- Dimanche",$B$1, )))))))</f>
        <v>44306</v>
      </c>
      <c r="B10" s="257" t="s">
        <v>312</v>
      </c>
      <c r="C10" s="258" t="n">
        <v>0.625</v>
      </c>
      <c r="D10" s="258" t="n">
        <v>0.6875</v>
      </c>
      <c r="E10" s="71" t="s">
        <v>63</v>
      </c>
      <c r="F10" s="71" t="s">
        <v>22</v>
      </c>
      <c r="G10" s="259" t="s">
        <v>367</v>
      </c>
      <c r="H10" s="258" t="n">
        <f aca="false">IF($C10=0,"",$D10-$C10)</f>
        <v>0.0625</v>
      </c>
      <c r="I10" s="260" t="n">
        <f aca="false">IF($C10=0,"",($H10-INT($H10))*24)</f>
        <v>1.5</v>
      </c>
      <c r="J10" s="303" t="n">
        <f aca="false">SUMIF(Horodateur11233538192231343743464952555861646985222634384650585462667074788290989410210611411811012212613013413814214615015415816216617017417818218619019419820220621021441014182226303438465054586266707680[Jour],$B10,Horodateur11233538192231343743464952555861646985222634384650585462667074788290989410210611411811012212613013413814214615015415816216617017417818218619019419820220621021441014182226303438465054586266707680[Durée (100)])</f>
        <v>10</v>
      </c>
      <c r="K10" s="304" t="s">
        <v>31</v>
      </c>
      <c r="L10" s="263" t="n">
        <f aca="false">IF(Horodateur11233538192231343743464952555861646985222634384650585462667074788290989410210611411811012212613013413814214615015415816216617017417818218619019419820220621021441014182226303438465054586266707680[[#This Row],[O]]="o",Horodateur11233538192231343743464952555861646985222634384650585462667074788290989410210611411811012212613013413814214615015415816216617017417818218619019419820220621021441014182226303438465054586266707680[[#This Row],[Durée (100)]],".")</f>
        <v>1.5</v>
      </c>
      <c r="M10" s="308" t="n">
        <f aca="false">SUMIF(Horodateur11233538192231343743464952555861646985222634384650585462667074788290989410210611411811012212613013413814214615015415816216617017417818218619019419820220621021441014182226303438465054586266707680[Jour],$B10,P$4:P$2004) / Horodateur11233538192231343743464952555861646985222634384650585462667074788290989410210611411811012212613013413814214615015415816216617017417818218619019419820220621021441014182226303438465054586266707680[[#This Row],[hrs (100)]]</f>
        <v>0.45</v>
      </c>
      <c r="N10" s="306"/>
      <c r="O10" s="309"/>
      <c r="P10" s="56" t="str">
        <f aca="false">IF($P$1=Horodateur11233538192231343743464952555861646985222634384650585462667074788290989410210611411811012212613013413814214615015415816216617017417818218619019419820220621021441014182226303438465054586266707680[[#This Row],[Tâche]],Horodateur11233538192231343743464952555861646985222634384650585462667074788290989410210611411811012212613013413814214615015415816216617017417818218619019419820220621021441014182226303438465054586266707680[[#This Row],[Durée (100)]],"")</f>
        <v/>
      </c>
      <c r="Q10" s="56" t="str">
        <f aca="false">IF($Q$1=Horodateur11233538192231343743464952555861646985222634384650585462667074788290989410210611411811012212613013413814214615015415816216617017417818218619019419820220621021441014182226303438465054586266707680[[#This Row],[Tâche]],Horodateur11233538192231343743464952555861646985222634384650585462667074788290989410210611411811012212613013413814214615015415816216617017417818218619019419820220621021441014182226303438465054586266707680[[#This Row],[Durée (100)]],"")</f>
        <v/>
      </c>
      <c r="R10" s="56" t="str">
        <f aca="false">IF($R$1=Horodateur11233538192231343743464952555861646985222634384650585462667074788290989410210611411811012212613013413814214615015415816216617017417818218619019419820220621021441014182226303438465054586266707680[[#This Row],[Tâche]],Horodateur11233538192231343743464952555861646985222634384650585462667074788290989410210611411811012212613013413814214615015415816216617017417818218619019419820220621021441014182226303438465054586266707680[[#This Row],[Durée (100)]],"")</f>
        <v/>
      </c>
      <c r="S10" s="56" t="n">
        <f aca="false">IF($S$1=Horodateur11233538192231343743464952555861646985222634384650585462667074788290989410210611411811012212613013413814214615015415816216617017417818218619019419820220621021441014182226303438465054586266707680[[#This Row],[Tâche]],Horodateur11233538192231343743464952555861646985222634384650585462667074788290989410210611411811012212613013413814214615015415816216617017417818218619019419820220621021441014182226303438465054586266707680[[#This Row],[Durée (100)]],"")</f>
        <v>1.5</v>
      </c>
      <c r="T10" s="56" t="str">
        <f aca="false">IF($T$1=Horodateur11233538192231343743464952555861646985222634384650585462667074788290989410210611411811012212613013413814214615015415816216617017417818218619019419820220621021441014182226303438465054586266707680[[#This Row],[Tâche]],Horodateur11233538192231343743464952555861646985222634384650585462667074788290989410210611411811012212613013413814214615015415816216617017417818218619019419820220621021441014182226303438465054586266707680[[#This Row],[Durée (100)]],"")</f>
        <v/>
      </c>
      <c r="U10" s="56" t="str">
        <f aca="false">IF($U$1=Horodateur11233538192231343743464952555861646985222634384650585462667074788290989410210611411811012212613013413814214615015415816216617017417818218619019419820220621021441014182226303438465054586266707680[[#This Row],[Tâche]],Horodateur11233538192231343743464952555861646985222634384650585462667074788290989410210611411811012212613013413814214615015415816216617017417818218619019419820220621021441014182226303438465054586266707680[[#This Row],[Durée (100)]],"")</f>
        <v/>
      </c>
      <c r="V10" s="56" t="str">
        <f aca="false">IF($V$1=Horodateur11233538192231343743464952555861646985222634384650585462667074788290989410210611411811012212613013413814214615015415816216617017417818218619019419820220621021441014182226303438465054586266707680[[#This Row],[Tâche]],Horodateur11233538192231343743464952555861646985222634384650585462667074788290989410210611411811012212613013413814214615015415816216617017417818218619019419820220621021441014182226303438465054586266707680[[#This Row],[Durée (100)]],"")</f>
        <v/>
      </c>
      <c r="W10" s="56" t="str">
        <f aca="false">IF($W$1=Horodateur11233538192231343743464952555861646985222634384650585462667074788290989410210611411811012212613013413814214615015415816216617017417818218619019419820220621021441014182226303438465054586266707680[[#This Row],[Tâche]],Horodateur11233538192231343743464952555861646985222634384650585462667074788290989410210611411811012212613013413814214615015415816216617017417818218619019419820220621021441014182226303438465054586266707680[[#This Row],[Durée (100)]],"")</f>
        <v/>
      </c>
      <c r="X10" s="174"/>
      <c r="Y10" s="71"/>
      <c r="Z10" s="71"/>
      <c r="AA10" s="169"/>
      <c r="AB10" s="71"/>
      <c r="AC10" s="71"/>
      <c r="AD10" s="71"/>
      <c r="AE10" s="71"/>
      <c r="AF10" s="71"/>
      <c r="AG10" s="71"/>
      <c r="AH10" s="71"/>
      <c r="AI10" s="71"/>
      <c r="AJ10" s="71"/>
      <c r="AK10" s="71"/>
      <c r="AL10" s="71"/>
      <c r="AM10" s="71"/>
      <c r="AN10" s="71"/>
      <c r="AO10" s="71"/>
      <c r="AP10" s="71"/>
      <c r="AQ10" s="71"/>
      <c r="AR10" s="71"/>
      <c r="AS10" s="71"/>
      <c r="AT10" s="71"/>
      <c r="AU10" s="71"/>
      <c r="AV10" s="71"/>
      <c r="AW10" s="71"/>
      <c r="AX10" s="71"/>
      <c r="AY10" s="71"/>
      <c r="AZ10" s="71"/>
      <c r="BA10" s="71"/>
    </row>
    <row r="11" customFormat="false" ht="15" hidden="false" customHeight="false" outlineLevel="0" collapsed="false">
      <c r="A11" s="256" t="n">
        <f aca="false">IF(Horodateur11233538192231343743464952555861646985222634384650585462667074788290989410210611411811012212613013413814214615015415816216617017417818218619019419820220621021441014182226303438465054586266707680[[#This Row],[Jour]]="1- Lundi",$B$1+1, IF(Horodateur11233538192231343743464952555861646985222634384650585462667074788290989410210611411811012212613013413814214615015415816216617017417818218619019419820220621021441014182226303438465054586266707680[[#This Row],[Jour]]="2- Mardi",$B$1+2, IF(Horodateur11233538192231343743464952555861646985222634384650585462667074788290989410210611411811012212613013413814214615015415816216617017417818218619019419820220621021441014182226303438465054586266707680[[#This Row],[Jour]]="3- Mercredi",$B$1+3, IF(Horodateur11233538192231343743464952555861646985222634384650585462667074788290989410210611411811012212613013413814214615015415816216617017417818218619019419820220621021441014182226303438465054586266707680[[#This Row],[Jour]]="4- Jeudi",$B$1+4, IF(Horodateur11233538192231343743464952555861646985222634384650585462667074788290989410210611411811012212613013413814214615015415816216617017417818218619019419820220621021441014182226303438465054586266707680[[#This Row],[Jour]]="5- Vendredi",$B$1+5, IF(Horodateur11233538192231343743464952555861646985222634384650585462667074788290989410210611411811012212613013413814214615015415816216617017417818218619019419820220621021441014182226303438465054586266707680[[#This Row],[Jour]]="6- Samedi",$B$1+6, IF(Horodateur11233538192231343743464952555861646985222634384650585462667074788290989410210611411811012212613013413814214615015415816216617017417818218619019419820220621021441014182226303438465054586266707680[[#This Row],[Jour]]="7- Dimanche",$B$1, )))))))</f>
        <v>44307</v>
      </c>
      <c r="B11" s="257" t="s">
        <v>319</v>
      </c>
      <c r="C11" s="258" t="n">
        <v>0.3125</v>
      </c>
      <c r="D11" s="258" t="n">
        <v>0.333333333333333</v>
      </c>
      <c r="E11" s="71" t="s">
        <v>32</v>
      </c>
      <c r="F11" s="71" t="s">
        <v>21</v>
      </c>
      <c r="G11" s="259"/>
      <c r="H11" s="258" t="n">
        <f aca="false">IF($C11=0,"",$D11-$C11)</f>
        <v>0.0208333333333333</v>
      </c>
      <c r="I11" s="260" t="n">
        <f aca="false">IF($C11=0,"",($H11-INT($H11))*24)</f>
        <v>0.5</v>
      </c>
      <c r="J11" s="303" t="n">
        <f aca="false">SUMIF(Horodateur11233538192231343743464952555861646985222634384650585462667074788290989410210611411811012212613013413814214615015415816216617017417818218619019419820220621021441014182226303438465054586266707680[Jour],$B11,Horodateur11233538192231343743464952555861646985222634384650585462667074788290989410210611411811012212613013413814214615015415816216617017417818218619019419820220621021441014182226303438465054586266707680[Durée (100)])</f>
        <v>7.5</v>
      </c>
      <c r="K11" s="304" t="s">
        <v>31</v>
      </c>
      <c r="L11" s="263" t="n">
        <f aca="false">IF(Horodateur11233538192231343743464952555861646985222634384650585462667074788290989410210611411811012212613013413814214615015415816216617017417818218619019419820220621021441014182226303438465054586266707680[[#This Row],[O]]="o",Horodateur11233538192231343743464952555861646985222634384650585462667074788290989410210611411811012212613013413814214615015415816216617017417818218619019419820220621021441014182226303438465054586266707680[[#This Row],[Durée (100)]],".")</f>
        <v>0.5</v>
      </c>
      <c r="M11" s="308" t="n">
        <f aca="false">SUMIF(Horodateur11233538192231343743464952555861646985222634384650585462667074788290989410210611411811012212613013413814214615015415816216617017417818218619019419820220621021441014182226303438465054586266707680[Jour],$B11,P$4:P$2004) / Horodateur11233538192231343743464952555861646985222634384650585462667074788290989410210611411811012212613013413814214615015415816216617017417818218619019419820220621021441014182226303438465054586266707680[[#This Row],[hrs (100)]]</f>
        <v>0.333333333333333</v>
      </c>
      <c r="N11" s="306"/>
      <c r="O11" s="309"/>
      <c r="P11" s="56" t="str">
        <f aca="false">IF($P$1=Horodateur11233538192231343743464952555861646985222634384650585462667074788290989410210611411811012212613013413814214615015415816216617017417818218619019419820220621021441014182226303438465054586266707680[[#This Row],[Tâche]],Horodateur11233538192231343743464952555861646985222634384650585462667074788290989410210611411811012212613013413814214615015415816216617017417818218619019419820220621021441014182226303438465054586266707680[[#This Row],[Durée (100)]],"")</f>
        <v/>
      </c>
      <c r="Q11" s="56" t="str">
        <f aca="false">IF($Q$1=Horodateur11233538192231343743464952555861646985222634384650585462667074788290989410210611411811012212613013413814214615015415816216617017417818218619019419820220621021441014182226303438465054586266707680[[#This Row],[Tâche]],Horodateur11233538192231343743464952555861646985222634384650585462667074788290989410210611411811012212613013413814214615015415816216617017417818218619019419820220621021441014182226303438465054586266707680[[#This Row],[Durée (100)]],"")</f>
        <v/>
      </c>
      <c r="R11" s="56" t="n">
        <f aca="false">IF($R$1=Horodateur11233538192231343743464952555861646985222634384650585462667074788290989410210611411811012212613013413814214615015415816216617017417818218619019419820220621021441014182226303438465054586266707680[[#This Row],[Tâche]],Horodateur11233538192231343743464952555861646985222634384650585462667074788290989410210611411811012212613013413814214615015415816216617017417818218619019419820220621021441014182226303438465054586266707680[[#This Row],[Durée (100)]],"")</f>
        <v>0.5</v>
      </c>
      <c r="S11" s="56" t="str">
        <f aca="false">IF($S$1=Horodateur11233538192231343743464952555861646985222634384650585462667074788290989410210611411811012212613013413814214615015415816216617017417818218619019419820220621021441014182226303438465054586266707680[[#This Row],[Tâche]],Horodateur11233538192231343743464952555861646985222634384650585462667074788290989410210611411811012212613013413814214615015415816216617017417818218619019419820220621021441014182226303438465054586266707680[[#This Row],[Durée (100)]],"")</f>
        <v/>
      </c>
      <c r="T11" s="56" t="str">
        <f aca="false">IF($T$1=Horodateur11233538192231343743464952555861646985222634384650585462667074788290989410210611411811012212613013413814214615015415816216617017417818218619019419820220621021441014182226303438465054586266707680[[#This Row],[Tâche]],Horodateur11233538192231343743464952555861646985222634384650585462667074788290989410210611411811012212613013413814214615015415816216617017417818218619019419820220621021441014182226303438465054586266707680[[#This Row],[Durée (100)]],"")</f>
        <v/>
      </c>
      <c r="U11" s="56" t="str">
        <f aca="false">IF($U$1=Horodateur11233538192231343743464952555861646985222634384650585462667074788290989410210611411811012212613013413814214615015415816216617017417818218619019419820220621021441014182226303438465054586266707680[[#This Row],[Tâche]],Horodateur11233538192231343743464952555861646985222634384650585462667074788290989410210611411811012212613013413814214615015415816216617017417818218619019419820220621021441014182226303438465054586266707680[[#This Row],[Durée (100)]],"")</f>
        <v/>
      </c>
      <c r="V11" s="56" t="str">
        <f aca="false">IF($V$1=Horodateur11233538192231343743464952555861646985222634384650585462667074788290989410210611411811012212613013413814214615015415816216617017417818218619019419820220621021441014182226303438465054586266707680[[#This Row],[Tâche]],Horodateur11233538192231343743464952555861646985222634384650585462667074788290989410210611411811012212613013413814214615015415816216617017417818218619019419820220621021441014182226303438465054586266707680[[#This Row],[Durée (100)]],"")</f>
        <v/>
      </c>
      <c r="W11" s="56" t="str">
        <f aca="false">IF($W$1=Horodateur11233538192231343743464952555861646985222634384650585462667074788290989410210611411811012212613013413814214615015415816216617017417818218619019419820220621021441014182226303438465054586266707680[[#This Row],[Tâche]],Horodateur11233538192231343743464952555861646985222634384650585462667074788290989410210611411811012212613013413814214615015415816216617017417818218619019419820220621021441014182226303438465054586266707680[[#This Row],[Durée (100)]],"")</f>
        <v/>
      </c>
      <c r="X11" s="174"/>
      <c r="Y11" s="71"/>
      <c r="Z11" s="71"/>
      <c r="AA11" s="169"/>
      <c r="AB11" s="71"/>
      <c r="AC11" s="71"/>
      <c r="AD11" s="71"/>
      <c r="AE11" s="71"/>
      <c r="AF11" s="71"/>
      <c r="AG11" s="71"/>
      <c r="AH11" s="71"/>
      <c r="AI11" s="71"/>
      <c r="AJ11" s="71"/>
      <c r="AK11" s="71"/>
      <c r="AL11" s="71"/>
      <c r="AM11" s="71"/>
      <c r="AN11" s="71"/>
      <c r="AO11" s="71"/>
      <c r="AP11" s="71"/>
      <c r="AQ11" s="71"/>
      <c r="AR11" s="71"/>
      <c r="AS11" s="71"/>
      <c r="AT11" s="71"/>
      <c r="AU11" s="71"/>
      <c r="AV11" s="71"/>
      <c r="AW11" s="71"/>
      <c r="AX11" s="71"/>
      <c r="AY11" s="71"/>
      <c r="AZ11" s="71"/>
      <c r="BA11" s="71"/>
    </row>
    <row r="12" customFormat="false" ht="15" hidden="false" customHeight="false" outlineLevel="0" collapsed="false">
      <c r="A12" s="256" t="n">
        <f aca="false">IF(Horodateur11233538192231343743464952555861646985222634384650585462667074788290989410210611411811012212613013413814214615015415816216617017417818218619019419820220621021441014182226303438465054586266707680[[#This Row],[Jour]]="1- Lundi",$B$1+1, IF(Horodateur11233538192231343743464952555861646985222634384650585462667074788290989410210611411811012212613013413814214615015415816216617017417818218619019419820220621021441014182226303438465054586266707680[[#This Row],[Jour]]="2- Mardi",$B$1+2, IF(Horodateur11233538192231343743464952555861646985222634384650585462667074788290989410210611411811012212613013413814214615015415816216617017417818218619019419820220621021441014182226303438465054586266707680[[#This Row],[Jour]]="3- Mercredi",$B$1+3, IF(Horodateur11233538192231343743464952555861646985222634384650585462667074788290989410210611411811012212613013413814214615015415816216617017417818218619019419820220621021441014182226303438465054586266707680[[#This Row],[Jour]]="4- Jeudi",$B$1+4, IF(Horodateur11233538192231343743464952555861646985222634384650585462667074788290989410210611411811012212613013413814214615015415816216617017417818218619019419820220621021441014182226303438465054586266707680[[#This Row],[Jour]]="5- Vendredi",$B$1+5, IF(Horodateur11233538192231343743464952555861646985222634384650585462667074788290989410210611411811012212613013413814214615015415816216617017417818218619019419820220621021441014182226303438465054586266707680[[#This Row],[Jour]]="6- Samedi",$B$1+6, IF(Horodateur11233538192231343743464952555861646985222634384650585462667074788290989410210611411811012212613013413814214615015415816216617017417818218619019419820220621021441014182226303438465054586266707680[[#This Row],[Jour]]="7- Dimanche",$B$1, )))))))</f>
        <v>44307</v>
      </c>
      <c r="B12" s="257" t="s">
        <v>319</v>
      </c>
      <c r="C12" s="258" t="n">
        <v>0.333333333333333</v>
      </c>
      <c r="D12" s="258" t="n">
        <v>0.385416666666667</v>
      </c>
      <c r="E12" s="71" t="s">
        <v>363</v>
      </c>
      <c r="F12" s="71" t="s">
        <v>22</v>
      </c>
      <c r="G12" s="259" t="s">
        <v>366</v>
      </c>
      <c r="H12" s="258" t="n">
        <f aca="false">IF($C12=0,"",$D12-$C12)</f>
        <v>0.0520833333333333</v>
      </c>
      <c r="I12" s="260" t="n">
        <f aca="false">IF($C12=0,"",($H12-INT($H12))*24)</f>
        <v>1.25</v>
      </c>
      <c r="J12" s="303" t="n">
        <f aca="false">SUMIF(Horodateur11233538192231343743464952555861646985222634384650585462667074788290989410210611411811012212613013413814214615015415816216617017417818218619019419820220621021441014182226303438465054586266707680[Jour],$B12,Horodateur11233538192231343743464952555861646985222634384650585462667074788290989410210611411811012212613013413814214615015415816216617017417818218619019419820220621021441014182226303438465054586266707680[Durée (100)])</f>
        <v>7.5</v>
      </c>
      <c r="K12" s="304" t="s">
        <v>31</v>
      </c>
      <c r="L12" s="263" t="n">
        <f aca="false">IF(Horodateur11233538192231343743464952555861646985222634384650585462667074788290989410210611411811012212613013413814214615015415816216617017417818218619019419820220621021441014182226303438465054586266707680[[#This Row],[O]]="o",Horodateur11233538192231343743464952555861646985222634384650585462667074788290989410210611411811012212613013413814214615015415816216617017417818218619019419820220621021441014182226303438465054586266707680[[#This Row],[Durée (100)]],".")</f>
        <v>1.25</v>
      </c>
      <c r="M12" s="308" t="n">
        <f aca="false">SUMIF(Horodateur11233538192231343743464952555861646985222634384650585462667074788290989410210611411811012212613013413814214615015415816216617017417818218619019419820220621021441014182226303438465054586266707680[Jour],$B12,P$4:P$2004) / Horodateur11233538192231343743464952555861646985222634384650585462667074788290989410210611411811012212613013413814214615015415816216617017417818218619019419820220621021441014182226303438465054586266707680[[#This Row],[hrs (100)]]</f>
        <v>0.333333333333333</v>
      </c>
      <c r="N12" s="306"/>
      <c r="O12" s="309"/>
      <c r="P12" s="56" t="str">
        <f aca="false">IF($P$1=Horodateur11233538192231343743464952555861646985222634384650585462667074788290989410210611411811012212613013413814214615015415816216617017417818218619019419820220621021441014182226303438465054586266707680[[#This Row],[Tâche]],Horodateur11233538192231343743464952555861646985222634384650585462667074788290989410210611411811012212613013413814214615015415816216617017417818218619019419820220621021441014182226303438465054586266707680[[#This Row],[Durée (100)]],"")</f>
        <v/>
      </c>
      <c r="Q12" s="56" t="str">
        <f aca="false">IF($Q$1=Horodateur11233538192231343743464952555861646985222634384650585462667074788290989410210611411811012212613013413814214615015415816216617017417818218619019419820220621021441014182226303438465054586266707680[[#This Row],[Tâche]],Horodateur11233538192231343743464952555861646985222634384650585462667074788290989410210611411811012212613013413814214615015415816216617017417818218619019419820220621021441014182226303438465054586266707680[[#This Row],[Durée (100)]],"")</f>
        <v/>
      </c>
      <c r="R12" s="56" t="str">
        <f aca="false">IF($R$1=Horodateur11233538192231343743464952555861646985222634384650585462667074788290989410210611411811012212613013413814214615015415816216617017417818218619019419820220621021441014182226303438465054586266707680[[#This Row],[Tâche]],Horodateur11233538192231343743464952555861646985222634384650585462667074788290989410210611411811012212613013413814214615015415816216617017417818218619019419820220621021441014182226303438465054586266707680[[#This Row],[Durée (100)]],"")</f>
        <v/>
      </c>
      <c r="S12" s="56" t="n">
        <f aca="false">IF($S$1=Horodateur11233538192231343743464952555861646985222634384650585462667074788290989410210611411811012212613013413814214615015415816216617017417818218619019419820220621021441014182226303438465054586266707680[[#This Row],[Tâche]],Horodateur11233538192231343743464952555861646985222634384650585462667074788290989410210611411811012212613013413814214615015415816216617017417818218619019419820220621021441014182226303438465054586266707680[[#This Row],[Durée (100)]],"")</f>
        <v>1.25</v>
      </c>
      <c r="T12" s="56" t="str">
        <f aca="false">IF($T$1=Horodateur11233538192231343743464952555861646985222634384650585462667074788290989410210611411811012212613013413814214615015415816216617017417818218619019419820220621021441014182226303438465054586266707680[[#This Row],[Tâche]],Horodateur11233538192231343743464952555861646985222634384650585462667074788290989410210611411811012212613013413814214615015415816216617017417818218619019419820220621021441014182226303438465054586266707680[[#This Row],[Durée (100)]],"")</f>
        <v/>
      </c>
      <c r="U12" s="56" t="str">
        <f aca="false">IF($U$1=Horodateur11233538192231343743464952555861646985222634384650585462667074788290989410210611411811012212613013413814214615015415816216617017417818218619019419820220621021441014182226303438465054586266707680[[#This Row],[Tâche]],Horodateur11233538192231343743464952555861646985222634384650585462667074788290989410210611411811012212613013413814214615015415816216617017417818218619019419820220621021441014182226303438465054586266707680[[#This Row],[Durée (100)]],"")</f>
        <v/>
      </c>
      <c r="V12" s="56" t="str">
        <f aca="false">IF($V$1=Horodateur11233538192231343743464952555861646985222634384650585462667074788290989410210611411811012212613013413814214615015415816216617017417818218619019419820220621021441014182226303438465054586266707680[[#This Row],[Tâche]],Horodateur11233538192231343743464952555861646985222634384650585462667074788290989410210611411811012212613013413814214615015415816216617017417818218619019419820220621021441014182226303438465054586266707680[[#This Row],[Durée (100)]],"")</f>
        <v/>
      </c>
      <c r="W12" s="56" t="str">
        <f aca="false">IF($W$1=Horodateur11233538192231343743464952555861646985222634384650585462667074788290989410210611411811012212613013413814214615015415816216617017417818218619019419820220621021441014182226303438465054586266707680[[#This Row],[Tâche]],Horodateur11233538192231343743464952555861646985222634384650585462667074788290989410210611411811012212613013413814214615015415816216617017417818218619019419820220621021441014182226303438465054586266707680[[#This Row],[Durée (100)]],"")</f>
        <v/>
      </c>
      <c r="X12" s="174"/>
      <c r="Y12" s="71"/>
      <c r="Z12" s="71"/>
      <c r="AA12" s="169"/>
      <c r="AB12" s="71"/>
      <c r="AC12" s="71"/>
      <c r="AD12" s="71"/>
      <c r="AE12" s="71"/>
      <c r="AF12" s="71"/>
      <c r="AG12" s="71"/>
      <c r="AH12" s="71"/>
      <c r="AI12" s="71"/>
      <c r="AJ12" s="71"/>
      <c r="AK12" s="71"/>
      <c r="AL12" s="71"/>
      <c r="AM12" s="71"/>
      <c r="AN12" s="71"/>
      <c r="AO12" s="71"/>
      <c r="AP12" s="71"/>
      <c r="AQ12" s="71"/>
      <c r="AR12" s="71"/>
      <c r="AS12" s="71"/>
      <c r="AT12" s="71"/>
      <c r="AU12" s="71"/>
      <c r="AV12" s="71"/>
      <c r="AW12" s="71"/>
      <c r="AX12" s="71"/>
      <c r="AY12" s="71"/>
      <c r="AZ12" s="71"/>
      <c r="BA12" s="71"/>
    </row>
    <row r="13" customFormat="false" ht="15" hidden="false" customHeight="false" outlineLevel="0" collapsed="false">
      <c r="A13" s="256" t="n">
        <f aca="false">IF(Horodateur11233538192231343743464952555861646985222634384650585462667074788290989410210611411811012212613013413814214615015415816216617017417818218619019419820220621021441014182226303438465054586266707680[[#This Row],[Jour]]="1- Lundi",$B$1+1, IF(Horodateur11233538192231343743464952555861646985222634384650585462667074788290989410210611411811012212613013413814214615015415816216617017417818218619019419820220621021441014182226303438465054586266707680[[#This Row],[Jour]]="2- Mardi",$B$1+2, IF(Horodateur11233538192231343743464952555861646985222634384650585462667074788290989410210611411811012212613013413814214615015415816216617017417818218619019419820220621021441014182226303438465054586266707680[[#This Row],[Jour]]="3- Mercredi",$B$1+3, IF(Horodateur11233538192231343743464952555861646985222634384650585462667074788290989410210611411811012212613013413814214615015415816216617017417818218619019419820220621021441014182226303438465054586266707680[[#This Row],[Jour]]="4- Jeudi",$B$1+4, IF(Horodateur11233538192231343743464952555861646985222634384650585462667074788290989410210611411811012212613013413814214615015415816216617017417818218619019419820220621021441014182226303438465054586266707680[[#This Row],[Jour]]="5- Vendredi",$B$1+5, IF(Horodateur11233538192231343743464952555861646985222634384650585462667074788290989410210611411811012212613013413814214615015415816216617017417818218619019419820220621021441014182226303438465054586266707680[[#This Row],[Jour]]="6- Samedi",$B$1+6, IF(Horodateur11233538192231343743464952555861646985222634384650585462667074788290989410210611411811012212613013413814214615015415816216617017417818218619019419820220621021441014182226303438465054586266707680[[#This Row],[Jour]]="7- Dimanche",$B$1, )))))))</f>
        <v>44307</v>
      </c>
      <c r="B13" s="257" t="s">
        <v>319</v>
      </c>
      <c r="C13" s="258" t="n">
        <v>0.385416666666667</v>
      </c>
      <c r="D13" s="258" t="n">
        <v>0.416666666666667</v>
      </c>
      <c r="E13" s="71" t="s">
        <v>59</v>
      </c>
      <c r="F13" s="71" t="s">
        <v>19</v>
      </c>
      <c r="G13" s="259" t="s">
        <v>368</v>
      </c>
      <c r="H13" s="258" t="n">
        <f aca="false">IF($C13=0,"",$D13-$C13)</f>
        <v>0.03125</v>
      </c>
      <c r="I13" s="260" t="n">
        <f aca="false">IF($C13=0,"",($H13-INT($H13))*24)</f>
        <v>0.75</v>
      </c>
      <c r="J13" s="303" t="n">
        <f aca="false">SUMIF(Horodateur11233538192231343743464952555861646985222634384650585462667074788290989410210611411811012212613013413814214615015415816216617017417818218619019419820220621021441014182226303438465054586266707680[Jour],$B13,Horodateur11233538192231343743464952555861646985222634384650585462667074788290989410210611411811012212613013413814214615015415816216617017417818218619019419820220621021441014182226303438465054586266707680[Durée (100)])</f>
        <v>7.5</v>
      </c>
      <c r="K13" s="304" t="s">
        <v>31</v>
      </c>
      <c r="L13" s="263" t="n">
        <f aca="false">IF(Horodateur11233538192231343743464952555861646985222634384650585462667074788290989410210611411811012212613013413814214615015415816216617017417818218619019419820220621021441014182226303438465054586266707680[[#This Row],[O]]="o",Horodateur11233538192231343743464952555861646985222634384650585462667074788290989410210611411811012212613013413814214615015415816216617017417818218619019419820220621021441014182226303438465054586266707680[[#This Row],[Durée (100)]],".")</f>
        <v>0.75</v>
      </c>
      <c r="M13" s="308" t="n">
        <f aca="false">SUMIF(Horodateur11233538192231343743464952555861646985222634384650585462667074788290989410210611411811012212613013413814214615015415816216617017417818218619019419820220621021441014182226303438465054586266707680[Jour],$B13,P$4:P$2004) / Horodateur11233538192231343743464952555861646985222634384650585462667074788290989410210611411811012212613013413814214615015415816216617017417818218619019419820220621021441014182226303438465054586266707680[[#This Row],[hrs (100)]]</f>
        <v>0.333333333333333</v>
      </c>
      <c r="N13" s="306"/>
      <c r="O13" s="309"/>
      <c r="P13" s="56" t="n">
        <f aca="false">IF($P$1=Horodateur11233538192231343743464952555861646985222634384650585462667074788290989410210611411811012212613013413814214615015415816216617017417818218619019419820220621021441014182226303438465054586266707680[[#This Row],[Tâche]],Horodateur11233538192231343743464952555861646985222634384650585462667074788290989410210611411811012212613013413814214615015415816216617017417818218619019419820220621021441014182226303438465054586266707680[[#This Row],[Durée (100)]],"")</f>
        <v>0.75</v>
      </c>
      <c r="Q13" s="56" t="str">
        <f aca="false">IF($Q$1=Horodateur11233538192231343743464952555861646985222634384650585462667074788290989410210611411811012212613013413814214615015415816216617017417818218619019419820220621021441014182226303438465054586266707680[[#This Row],[Tâche]],Horodateur11233538192231343743464952555861646985222634384650585462667074788290989410210611411811012212613013413814214615015415816216617017417818218619019419820220621021441014182226303438465054586266707680[[#This Row],[Durée (100)]],"")</f>
        <v/>
      </c>
      <c r="R13" s="56" t="str">
        <f aca="false">IF($R$1=Horodateur11233538192231343743464952555861646985222634384650585462667074788290989410210611411811012212613013413814214615015415816216617017417818218619019419820220621021441014182226303438465054586266707680[[#This Row],[Tâche]],Horodateur11233538192231343743464952555861646985222634384650585462667074788290989410210611411811012212613013413814214615015415816216617017417818218619019419820220621021441014182226303438465054586266707680[[#This Row],[Durée (100)]],"")</f>
        <v/>
      </c>
      <c r="S13" s="56" t="str">
        <f aca="false">IF($S$1=Horodateur11233538192231343743464952555861646985222634384650585462667074788290989410210611411811012212613013413814214615015415816216617017417818218619019419820220621021441014182226303438465054586266707680[[#This Row],[Tâche]],Horodateur11233538192231343743464952555861646985222634384650585462667074788290989410210611411811012212613013413814214615015415816216617017417818218619019419820220621021441014182226303438465054586266707680[[#This Row],[Durée (100)]],"")</f>
        <v/>
      </c>
      <c r="T13" s="56" t="str">
        <f aca="false">IF($T$1=Horodateur11233538192231343743464952555861646985222634384650585462667074788290989410210611411811012212613013413814214615015415816216617017417818218619019419820220621021441014182226303438465054586266707680[[#This Row],[Tâche]],Horodateur11233538192231343743464952555861646985222634384650585462667074788290989410210611411811012212613013413814214615015415816216617017417818218619019419820220621021441014182226303438465054586266707680[[#This Row],[Durée (100)]],"")</f>
        <v/>
      </c>
      <c r="U13" s="56" t="str">
        <f aca="false">IF($U$1=Horodateur11233538192231343743464952555861646985222634384650585462667074788290989410210611411811012212613013413814214615015415816216617017417818218619019419820220621021441014182226303438465054586266707680[[#This Row],[Tâche]],Horodateur11233538192231343743464952555861646985222634384650585462667074788290989410210611411811012212613013413814214615015415816216617017417818218619019419820220621021441014182226303438465054586266707680[[#This Row],[Durée (100)]],"")</f>
        <v/>
      </c>
      <c r="V13" s="56" t="str">
        <f aca="false">IF($V$1=Horodateur11233538192231343743464952555861646985222634384650585462667074788290989410210611411811012212613013413814214615015415816216617017417818218619019419820220621021441014182226303438465054586266707680[[#This Row],[Tâche]],Horodateur11233538192231343743464952555861646985222634384650585462667074788290989410210611411811012212613013413814214615015415816216617017417818218619019419820220621021441014182226303438465054586266707680[[#This Row],[Durée (100)]],"")</f>
        <v/>
      </c>
      <c r="W13" s="56" t="str">
        <f aca="false">IF($W$1=Horodateur11233538192231343743464952555861646985222634384650585462667074788290989410210611411811012212613013413814214615015415816216617017417818218619019419820220621021441014182226303438465054586266707680[[#This Row],[Tâche]],Horodateur11233538192231343743464952555861646985222634384650585462667074788290989410210611411811012212613013413814214615015415816216617017417818218619019419820220621021441014182226303438465054586266707680[[#This Row],[Durée (100)]],"")</f>
        <v/>
      </c>
      <c r="X13" s="174"/>
      <c r="Y13" s="71"/>
      <c r="Z13" s="71"/>
      <c r="AA13" s="169"/>
      <c r="AB13" s="71"/>
      <c r="AC13" s="71"/>
      <c r="AD13" s="71"/>
      <c r="AE13" s="71"/>
      <c r="AF13" s="71"/>
      <c r="AG13" s="71"/>
      <c r="AH13" s="71"/>
      <c r="AI13" s="71"/>
      <c r="AJ13" s="71"/>
      <c r="AK13" s="71"/>
      <c r="AL13" s="71"/>
      <c r="AM13" s="71"/>
      <c r="AN13" s="71"/>
      <c r="AO13" s="71"/>
      <c r="AP13" s="71"/>
      <c r="AQ13" s="71"/>
      <c r="AR13" s="71"/>
      <c r="AS13" s="71"/>
      <c r="AT13" s="71"/>
      <c r="AU13" s="71"/>
      <c r="AV13" s="71"/>
      <c r="AW13" s="71"/>
      <c r="AX13" s="71"/>
      <c r="AY13" s="71"/>
      <c r="AZ13" s="71"/>
      <c r="BA13" s="71"/>
    </row>
    <row r="14" customFormat="false" ht="15" hidden="false" customHeight="false" outlineLevel="0" collapsed="false">
      <c r="A14" s="256" t="n">
        <f aca="false">IF(Horodateur11233538192231343743464952555861646985222634384650585462667074788290989410210611411811012212613013413814214615015415816216617017417818218619019419820220621021441014182226303438465054586266707680[[#This Row],[Jour]]="1- Lundi",$B$1+1, IF(Horodateur11233538192231343743464952555861646985222634384650585462667074788290989410210611411811012212613013413814214615015415816216617017417818218619019419820220621021441014182226303438465054586266707680[[#This Row],[Jour]]="2- Mardi",$B$1+2, IF(Horodateur11233538192231343743464952555861646985222634384650585462667074788290989410210611411811012212613013413814214615015415816216617017417818218619019419820220621021441014182226303438465054586266707680[[#This Row],[Jour]]="3- Mercredi",$B$1+3, IF(Horodateur11233538192231343743464952555861646985222634384650585462667074788290989410210611411811012212613013413814214615015415816216617017417818218619019419820220621021441014182226303438465054586266707680[[#This Row],[Jour]]="4- Jeudi",$B$1+4, IF(Horodateur11233538192231343743464952555861646985222634384650585462667074788290989410210611411811012212613013413814214615015415816216617017417818218619019419820220621021441014182226303438465054586266707680[[#This Row],[Jour]]="5- Vendredi",$B$1+5, IF(Horodateur11233538192231343743464952555861646985222634384650585462667074788290989410210611411811012212613013413814214615015415816216617017417818218619019419820220621021441014182226303438465054586266707680[[#This Row],[Jour]]="6- Samedi",$B$1+6, IF(Horodateur11233538192231343743464952555861646985222634384650585462667074788290989410210611411811012212613013413814214615015415816216617017417818218619019419820220621021441014182226303438465054586266707680[[#This Row],[Jour]]="7- Dimanche",$B$1, )))))))</f>
        <v>44307</v>
      </c>
      <c r="B14" s="257" t="s">
        <v>319</v>
      </c>
      <c r="C14" s="258" t="n">
        <v>0.4375</v>
      </c>
      <c r="D14" s="258" t="n">
        <v>0.447916666666667</v>
      </c>
      <c r="E14" s="71" t="s">
        <v>363</v>
      </c>
      <c r="F14" s="71" t="s">
        <v>22</v>
      </c>
      <c r="G14" s="259" t="s">
        <v>366</v>
      </c>
      <c r="H14" s="258" t="n">
        <f aca="false">IF($C14=0,"",$D14-$C14)</f>
        <v>0.0104166666666667</v>
      </c>
      <c r="I14" s="260" t="n">
        <f aca="false">IF($C14=0,"",($H14-INT($H14))*24)</f>
        <v>0.25</v>
      </c>
      <c r="J14" s="303" t="n">
        <f aca="false">SUMIF(Horodateur11233538192231343743464952555861646985222634384650585462667074788290989410210611411811012212613013413814214615015415816216617017417818218619019419820220621021441014182226303438465054586266707680[Jour],$B14,Horodateur11233538192231343743464952555861646985222634384650585462667074788290989410210611411811012212613013413814214615015415816216617017417818218619019419820220621021441014182226303438465054586266707680[Durée (100)])</f>
        <v>7.5</v>
      </c>
      <c r="K14" s="304" t="s">
        <v>31</v>
      </c>
      <c r="L14" s="263" t="n">
        <f aca="false">IF(Horodateur11233538192231343743464952555861646985222634384650585462667074788290989410210611411811012212613013413814214615015415816216617017417818218619019419820220621021441014182226303438465054586266707680[[#This Row],[O]]="o",Horodateur11233538192231343743464952555861646985222634384650585462667074788290989410210611411811012212613013413814214615015415816216617017417818218619019419820220621021441014182226303438465054586266707680[[#This Row],[Durée (100)]],".")</f>
        <v>0.25</v>
      </c>
      <c r="M14" s="308" t="n">
        <f aca="false">SUMIF(Horodateur11233538192231343743464952555861646985222634384650585462667074788290989410210611411811012212613013413814214615015415816216617017417818218619019419820220621021441014182226303438465054586266707680[Jour],$B14,P$4:P$2004) / Horodateur11233538192231343743464952555861646985222634384650585462667074788290989410210611411811012212613013413814214615015415816216617017417818218619019419820220621021441014182226303438465054586266707680[[#This Row],[hrs (100)]]</f>
        <v>0.333333333333333</v>
      </c>
      <c r="N14" s="306"/>
      <c r="O14" s="309"/>
      <c r="P14" s="56" t="str">
        <f aca="false">IF($P$1=Horodateur11233538192231343743464952555861646985222634384650585462667074788290989410210611411811012212613013413814214615015415816216617017417818218619019419820220621021441014182226303438465054586266707680[[#This Row],[Tâche]],Horodateur11233538192231343743464952555861646985222634384650585462667074788290989410210611411811012212613013413814214615015415816216617017417818218619019419820220621021441014182226303438465054586266707680[[#This Row],[Durée (100)]],"")</f>
        <v/>
      </c>
      <c r="Q14" s="56" t="str">
        <f aca="false">IF($Q$1=Horodateur11233538192231343743464952555861646985222634384650585462667074788290989410210611411811012212613013413814214615015415816216617017417818218619019419820220621021441014182226303438465054586266707680[[#This Row],[Tâche]],Horodateur11233538192231343743464952555861646985222634384650585462667074788290989410210611411811012212613013413814214615015415816216617017417818218619019419820220621021441014182226303438465054586266707680[[#This Row],[Durée (100)]],"")</f>
        <v/>
      </c>
      <c r="R14" s="56" t="str">
        <f aca="false">IF($R$1=Horodateur11233538192231343743464952555861646985222634384650585462667074788290989410210611411811012212613013413814214615015415816216617017417818218619019419820220621021441014182226303438465054586266707680[[#This Row],[Tâche]],Horodateur11233538192231343743464952555861646985222634384650585462667074788290989410210611411811012212613013413814214615015415816216617017417818218619019419820220621021441014182226303438465054586266707680[[#This Row],[Durée (100)]],"")</f>
        <v/>
      </c>
      <c r="S14" s="56" t="n">
        <f aca="false">IF($S$1=Horodateur11233538192231343743464952555861646985222634384650585462667074788290989410210611411811012212613013413814214615015415816216617017417818218619019419820220621021441014182226303438465054586266707680[[#This Row],[Tâche]],Horodateur11233538192231343743464952555861646985222634384650585462667074788290989410210611411811012212613013413814214615015415816216617017417818218619019419820220621021441014182226303438465054586266707680[[#This Row],[Durée (100)]],"")</f>
        <v>0.25</v>
      </c>
      <c r="T14" s="56" t="str">
        <f aca="false">IF($T$1=Horodateur11233538192231343743464952555861646985222634384650585462667074788290989410210611411811012212613013413814214615015415816216617017417818218619019419820220621021441014182226303438465054586266707680[[#This Row],[Tâche]],Horodateur11233538192231343743464952555861646985222634384650585462667074788290989410210611411811012212613013413814214615015415816216617017417818218619019419820220621021441014182226303438465054586266707680[[#This Row],[Durée (100)]],"")</f>
        <v/>
      </c>
      <c r="U14" s="56" t="str">
        <f aca="false">IF($U$1=Horodateur11233538192231343743464952555861646985222634384650585462667074788290989410210611411811012212613013413814214615015415816216617017417818218619019419820220621021441014182226303438465054586266707680[[#This Row],[Tâche]],Horodateur11233538192231343743464952555861646985222634384650585462667074788290989410210611411811012212613013413814214615015415816216617017417818218619019419820220621021441014182226303438465054586266707680[[#This Row],[Durée (100)]],"")</f>
        <v/>
      </c>
      <c r="V14" s="56" t="str">
        <f aca="false">IF($V$1=Horodateur11233538192231343743464952555861646985222634384650585462667074788290989410210611411811012212613013413814214615015415816216617017417818218619019419820220621021441014182226303438465054586266707680[[#This Row],[Tâche]],Horodateur11233538192231343743464952555861646985222634384650585462667074788290989410210611411811012212613013413814214615015415816216617017417818218619019419820220621021441014182226303438465054586266707680[[#This Row],[Durée (100)]],"")</f>
        <v/>
      </c>
      <c r="W14" s="56" t="str">
        <f aca="false">IF($W$1=Horodateur11233538192231343743464952555861646985222634384650585462667074788290989410210611411811012212613013413814214615015415816216617017417818218619019419820220621021441014182226303438465054586266707680[[#This Row],[Tâche]],Horodateur11233538192231343743464952555861646985222634384650585462667074788290989410210611411811012212613013413814214615015415816216617017417818218619019419820220621021441014182226303438465054586266707680[[#This Row],[Durée (100)]],"")</f>
        <v/>
      </c>
      <c r="X14" s="174"/>
      <c r="Y14" s="71"/>
      <c r="Z14" s="71"/>
      <c r="AA14" s="169"/>
      <c r="AB14" s="71"/>
      <c r="AC14" s="71"/>
      <c r="AD14" s="71"/>
      <c r="AE14" s="71"/>
      <c r="AF14" s="71"/>
      <c r="AG14" s="71"/>
      <c r="AH14" s="71"/>
      <c r="AI14" s="71"/>
      <c r="AJ14" s="71"/>
      <c r="AK14" s="71"/>
      <c r="AL14" s="71"/>
      <c r="AM14" s="71"/>
      <c r="AN14" s="71"/>
      <c r="AO14" s="71"/>
      <c r="AP14" s="71"/>
      <c r="AQ14" s="71"/>
      <c r="AR14" s="71"/>
      <c r="AS14" s="71"/>
      <c r="AT14" s="71"/>
      <c r="AU14" s="71"/>
      <c r="AV14" s="71"/>
      <c r="AW14" s="71"/>
      <c r="AX14" s="71"/>
      <c r="AY14" s="71"/>
      <c r="AZ14" s="71"/>
      <c r="BA14" s="71"/>
    </row>
    <row r="15" customFormat="false" ht="15" hidden="false" customHeight="false" outlineLevel="0" collapsed="false">
      <c r="A15" s="256" t="n">
        <f aca="false">IF(Horodateur11233538192231343743464952555861646985222634384650585462667074788290989410210611411811012212613013413814214615015415816216617017417818218619019419820220621021441014182226303438465054586266707680[[#This Row],[Jour]]="1- Lundi",$B$1+1, IF(Horodateur11233538192231343743464952555861646985222634384650585462667074788290989410210611411811012212613013413814214615015415816216617017417818218619019419820220621021441014182226303438465054586266707680[[#This Row],[Jour]]="2- Mardi",$B$1+2, IF(Horodateur11233538192231343743464952555861646985222634384650585462667074788290989410210611411811012212613013413814214615015415816216617017417818218619019419820220621021441014182226303438465054586266707680[[#This Row],[Jour]]="3- Mercredi",$B$1+3, IF(Horodateur11233538192231343743464952555861646985222634384650585462667074788290989410210611411811012212613013413814214615015415816216617017417818218619019419820220621021441014182226303438465054586266707680[[#This Row],[Jour]]="4- Jeudi",$B$1+4, IF(Horodateur11233538192231343743464952555861646985222634384650585462667074788290989410210611411811012212613013413814214615015415816216617017417818218619019419820220621021441014182226303438465054586266707680[[#This Row],[Jour]]="5- Vendredi",$B$1+5, IF(Horodateur11233538192231343743464952555861646985222634384650585462667074788290989410210611411811012212613013413814214615015415816216617017417818218619019419820220621021441014182226303438465054586266707680[[#This Row],[Jour]]="6- Samedi",$B$1+6, IF(Horodateur11233538192231343743464952555861646985222634384650585462667074788290989410210611411811012212613013413814214615015415816216617017417818218619019419820220621021441014182226303438465054586266707680[[#This Row],[Jour]]="7- Dimanche",$B$1, )))))))</f>
        <v>44307</v>
      </c>
      <c r="B15" s="257" t="s">
        <v>319</v>
      </c>
      <c r="C15" s="258" t="n">
        <v>0.614583333333333</v>
      </c>
      <c r="D15" s="258" t="n">
        <v>0.6875</v>
      </c>
      <c r="E15" s="71" t="s">
        <v>363</v>
      </c>
      <c r="F15" s="71" t="s">
        <v>19</v>
      </c>
      <c r="G15" s="259" t="s">
        <v>366</v>
      </c>
      <c r="H15" s="258" t="n">
        <f aca="false">IF($C15=0,"",$D15-$C15)</f>
        <v>0.0729166666666667</v>
      </c>
      <c r="I15" s="260" t="n">
        <f aca="false">IF($C15=0,"",($H15-INT($H15))*24)</f>
        <v>1.75</v>
      </c>
      <c r="J15" s="303" t="n">
        <f aca="false">SUMIF(Horodateur11233538192231343743464952555861646985222634384650585462667074788290989410210611411811012212613013413814214615015415816216617017417818218619019419820220621021441014182226303438465054586266707680[Jour],$B15,Horodateur11233538192231343743464952555861646985222634384650585462667074788290989410210611411811012212613013413814214615015415816216617017417818218619019419820220621021441014182226303438465054586266707680[Durée (100)])</f>
        <v>7.5</v>
      </c>
      <c r="K15" s="304" t="s">
        <v>31</v>
      </c>
      <c r="L15" s="263" t="n">
        <f aca="false">IF(Horodateur11233538192231343743464952555861646985222634384650585462667074788290989410210611411811012212613013413814214615015415816216617017417818218619019419820220621021441014182226303438465054586266707680[[#This Row],[O]]="o",Horodateur11233538192231343743464952555861646985222634384650585462667074788290989410210611411811012212613013413814214615015415816216617017417818218619019419820220621021441014182226303438465054586266707680[[#This Row],[Durée (100)]],".")</f>
        <v>1.75</v>
      </c>
      <c r="M15" s="308" t="n">
        <f aca="false">SUMIF(Horodateur11233538192231343743464952555861646985222634384650585462667074788290989410210611411811012212613013413814214615015415816216617017417818218619019419820220621021441014182226303438465054586266707680[Jour],$B15,P$4:P$2004) / Horodateur11233538192231343743464952555861646985222634384650585462667074788290989410210611411811012212613013413814214615015415816216617017417818218619019419820220621021441014182226303438465054586266707680[[#This Row],[hrs (100)]]</f>
        <v>0.333333333333333</v>
      </c>
      <c r="N15" s="306"/>
      <c r="O15" s="309"/>
      <c r="P15" s="56" t="n">
        <f aca="false">IF($P$1=Horodateur11233538192231343743464952555861646985222634384650585462667074788290989410210611411811012212613013413814214615015415816216617017417818218619019419820220621021441014182226303438465054586266707680[[#This Row],[Tâche]],Horodateur11233538192231343743464952555861646985222634384650585462667074788290989410210611411811012212613013413814214615015415816216617017417818218619019419820220621021441014182226303438465054586266707680[[#This Row],[Durée (100)]],"")</f>
        <v>1.75</v>
      </c>
      <c r="Q15" s="56" t="str">
        <f aca="false">IF($Q$1=Horodateur11233538192231343743464952555861646985222634384650585462667074788290989410210611411811012212613013413814214615015415816216617017417818218619019419820220621021441014182226303438465054586266707680[[#This Row],[Tâche]],Horodateur11233538192231343743464952555861646985222634384650585462667074788290989410210611411811012212613013413814214615015415816216617017417818218619019419820220621021441014182226303438465054586266707680[[#This Row],[Durée (100)]],"")</f>
        <v/>
      </c>
      <c r="R15" s="56" t="str">
        <f aca="false">IF($R$1=Horodateur11233538192231343743464952555861646985222634384650585462667074788290989410210611411811012212613013413814214615015415816216617017417818218619019419820220621021441014182226303438465054586266707680[[#This Row],[Tâche]],Horodateur11233538192231343743464952555861646985222634384650585462667074788290989410210611411811012212613013413814214615015415816216617017417818218619019419820220621021441014182226303438465054586266707680[[#This Row],[Durée (100)]],"")</f>
        <v/>
      </c>
      <c r="S15" s="56" t="str">
        <f aca="false">IF($S$1=Horodateur11233538192231343743464952555861646985222634384650585462667074788290989410210611411811012212613013413814214615015415816216617017417818218619019419820220621021441014182226303438465054586266707680[[#This Row],[Tâche]],Horodateur11233538192231343743464952555861646985222634384650585462667074788290989410210611411811012212613013413814214615015415816216617017417818218619019419820220621021441014182226303438465054586266707680[[#This Row],[Durée (100)]],"")</f>
        <v/>
      </c>
      <c r="T15" s="56" t="str">
        <f aca="false">IF($T$1=Horodateur11233538192231343743464952555861646985222634384650585462667074788290989410210611411811012212613013413814214615015415816216617017417818218619019419820220621021441014182226303438465054586266707680[[#This Row],[Tâche]],Horodateur11233538192231343743464952555861646985222634384650585462667074788290989410210611411811012212613013413814214615015415816216617017417818218619019419820220621021441014182226303438465054586266707680[[#This Row],[Durée (100)]],"")</f>
        <v/>
      </c>
      <c r="U15" s="56" t="str">
        <f aca="false">IF($U$1=Horodateur11233538192231343743464952555861646985222634384650585462667074788290989410210611411811012212613013413814214615015415816216617017417818218619019419820220621021441014182226303438465054586266707680[[#This Row],[Tâche]],Horodateur11233538192231343743464952555861646985222634384650585462667074788290989410210611411811012212613013413814214615015415816216617017417818218619019419820220621021441014182226303438465054586266707680[[#This Row],[Durée (100)]],"")</f>
        <v/>
      </c>
      <c r="V15" s="56" t="str">
        <f aca="false">IF($V$1=Horodateur11233538192231343743464952555861646985222634384650585462667074788290989410210611411811012212613013413814214615015415816216617017417818218619019419820220621021441014182226303438465054586266707680[[#This Row],[Tâche]],Horodateur11233538192231343743464952555861646985222634384650585462667074788290989410210611411811012212613013413814214615015415816216617017417818218619019419820220621021441014182226303438465054586266707680[[#This Row],[Durée (100)]],"")</f>
        <v/>
      </c>
      <c r="W15" s="56" t="str">
        <f aca="false">IF($W$1=Horodateur11233538192231343743464952555861646985222634384650585462667074788290989410210611411811012212613013413814214615015415816216617017417818218619019419820220621021441014182226303438465054586266707680[[#This Row],[Tâche]],Horodateur11233538192231343743464952555861646985222634384650585462667074788290989410210611411811012212613013413814214615015415816216617017417818218619019419820220621021441014182226303438465054586266707680[[#This Row],[Durée (100)]],"")</f>
        <v/>
      </c>
      <c r="X15" s="174"/>
      <c r="Y15" s="71"/>
      <c r="Z15" s="71"/>
      <c r="AA15" s="169"/>
      <c r="AB15" s="71"/>
      <c r="AC15" s="71"/>
      <c r="AD15" s="71"/>
      <c r="AE15" s="71"/>
      <c r="AF15" s="71"/>
      <c r="AG15" s="71"/>
      <c r="AH15" s="71"/>
      <c r="AI15" s="71"/>
      <c r="AJ15" s="71"/>
      <c r="AK15" s="71"/>
      <c r="AL15" s="71"/>
      <c r="AM15" s="71"/>
      <c r="AN15" s="71"/>
      <c r="AO15" s="71"/>
      <c r="AP15" s="71"/>
      <c r="AQ15" s="71"/>
      <c r="AR15" s="71"/>
      <c r="AS15" s="71"/>
      <c r="AT15" s="71"/>
      <c r="AU15" s="71"/>
      <c r="AV15" s="71"/>
      <c r="AW15" s="71"/>
      <c r="AX15" s="71"/>
      <c r="AY15" s="71"/>
      <c r="AZ15" s="71"/>
      <c r="BA15" s="71"/>
    </row>
    <row r="16" customFormat="false" ht="15" hidden="false" customHeight="false" outlineLevel="0" collapsed="false">
      <c r="A16" s="256" t="n">
        <f aca="false">IF(Horodateur11233538192231343743464952555861646985222634384650585462667074788290989410210611411811012212613013413814214615015415816216617017417818218619019419820220621021441014182226303438465054586266707680[[#This Row],[Jour]]="1- Lundi",$B$1+1, IF(Horodateur11233538192231343743464952555861646985222634384650585462667074788290989410210611411811012212613013413814214615015415816216617017417818218619019419820220621021441014182226303438465054586266707680[[#This Row],[Jour]]="2- Mardi",$B$1+2, IF(Horodateur11233538192231343743464952555861646985222634384650585462667074788290989410210611411811012212613013413814214615015415816216617017417818218619019419820220621021441014182226303438465054586266707680[[#This Row],[Jour]]="3- Mercredi",$B$1+3, IF(Horodateur11233538192231343743464952555861646985222634384650585462667074788290989410210611411811012212613013413814214615015415816216617017417818218619019419820220621021441014182226303438465054586266707680[[#This Row],[Jour]]="4- Jeudi",$B$1+4, IF(Horodateur11233538192231343743464952555861646985222634384650585462667074788290989410210611411811012212613013413814214615015415816216617017417818218619019419820220621021441014182226303438465054586266707680[[#This Row],[Jour]]="5- Vendredi",$B$1+5, IF(Horodateur11233538192231343743464952555861646985222634384650585462667074788290989410210611411811012212613013413814214615015415816216617017417818218619019419820220621021441014182226303438465054586266707680[[#This Row],[Jour]]="6- Samedi",$B$1+6, IF(Horodateur11233538192231343743464952555861646985222634384650585462667074788290989410210611411811012212613013413814214615015415816216617017417818218619019419820220621021441014182226303438465054586266707680[[#This Row],[Jour]]="7- Dimanche",$B$1, )))))))</f>
        <v>44307</v>
      </c>
      <c r="B16" s="257" t="s">
        <v>319</v>
      </c>
      <c r="C16" s="258" t="n">
        <v>0.6875</v>
      </c>
      <c r="D16" s="258" t="n">
        <v>0.708333333333333</v>
      </c>
      <c r="E16" s="71" t="s">
        <v>79</v>
      </c>
      <c r="F16" s="71" t="s">
        <v>20</v>
      </c>
      <c r="G16" s="259" t="s">
        <v>369</v>
      </c>
      <c r="H16" s="258" t="n">
        <f aca="false">IF($C16=0,"",$D16-$C16)</f>
        <v>0.0208333333333333</v>
      </c>
      <c r="I16" s="260" t="n">
        <f aca="false">IF($C16=0,"",($H16-INT($H16))*24)</f>
        <v>0.5</v>
      </c>
      <c r="J16" s="303" t="n">
        <f aca="false">SUMIF(Horodateur11233538192231343743464952555861646985222634384650585462667074788290989410210611411811012212613013413814214615015415816216617017417818218619019419820220621021441014182226303438465054586266707680[Jour],$B16,Horodateur11233538192231343743464952555861646985222634384650585462667074788290989410210611411811012212613013413814214615015415816216617017417818218619019419820220621021441014182226303438465054586266707680[Durée (100)])</f>
        <v>7.5</v>
      </c>
      <c r="K16" s="304" t="s">
        <v>31</v>
      </c>
      <c r="L16" s="263" t="n">
        <f aca="false">IF(Horodateur11233538192231343743464952555861646985222634384650585462667074788290989410210611411811012212613013413814214615015415816216617017417818218619019419820220621021441014182226303438465054586266707680[[#This Row],[O]]="o",Horodateur11233538192231343743464952555861646985222634384650585462667074788290989410210611411811012212613013413814214615015415816216617017417818218619019419820220621021441014182226303438465054586266707680[[#This Row],[Durée (100)]],".")</f>
        <v>0.500000000000001</v>
      </c>
      <c r="M16" s="308" t="n">
        <f aca="false">SUMIF(Horodateur11233538192231343743464952555861646985222634384650585462667074788290989410210611411811012212613013413814214615015415816216617017417818218619019419820220621021441014182226303438465054586266707680[Jour],$B16,P$4:P$2004) / Horodateur11233538192231343743464952555861646985222634384650585462667074788290989410210611411811012212613013413814214615015415816216617017417818218619019419820220621021441014182226303438465054586266707680[[#This Row],[hrs (100)]]</f>
        <v>0.333333333333333</v>
      </c>
      <c r="N16" s="306"/>
      <c r="O16" s="309"/>
      <c r="P16" s="56" t="str">
        <f aca="false">IF($P$1=Horodateur11233538192231343743464952555861646985222634384650585462667074788290989410210611411811012212613013413814214615015415816216617017417818218619019419820220621021441014182226303438465054586266707680[[#This Row],[Tâche]],Horodateur11233538192231343743464952555861646985222634384650585462667074788290989410210611411811012212613013413814214615015415816216617017417818218619019419820220621021441014182226303438465054586266707680[[#This Row],[Durée (100)]],"")</f>
        <v/>
      </c>
      <c r="Q16" s="56" t="n">
        <f aca="false">IF($Q$1=Horodateur11233538192231343743464952555861646985222634384650585462667074788290989410210611411811012212613013413814214615015415816216617017417818218619019419820220621021441014182226303438465054586266707680[[#This Row],[Tâche]],Horodateur11233538192231343743464952555861646985222634384650585462667074788290989410210611411811012212613013413814214615015415816216617017417818218619019419820220621021441014182226303438465054586266707680[[#This Row],[Durée (100)]],"")</f>
        <v>0.500000000000001</v>
      </c>
      <c r="R16" s="56" t="str">
        <f aca="false">IF($R$1=Horodateur11233538192231343743464952555861646985222634384650585462667074788290989410210611411811012212613013413814214615015415816216617017417818218619019419820220621021441014182226303438465054586266707680[[#This Row],[Tâche]],Horodateur11233538192231343743464952555861646985222634384650585462667074788290989410210611411811012212613013413814214615015415816216617017417818218619019419820220621021441014182226303438465054586266707680[[#This Row],[Durée (100)]],"")</f>
        <v/>
      </c>
      <c r="S16" s="56" t="str">
        <f aca="false">IF($S$1=Horodateur11233538192231343743464952555861646985222634384650585462667074788290989410210611411811012212613013413814214615015415816216617017417818218619019419820220621021441014182226303438465054586266707680[[#This Row],[Tâche]],Horodateur11233538192231343743464952555861646985222634384650585462667074788290989410210611411811012212613013413814214615015415816216617017417818218619019419820220621021441014182226303438465054586266707680[[#This Row],[Durée (100)]],"")</f>
        <v/>
      </c>
      <c r="T16" s="56" t="str">
        <f aca="false">IF($T$1=Horodateur11233538192231343743464952555861646985222634384650585462667074788290989410210611411811012212613013413814214615015415816216617017417818218619019419820220621021441014182226303438465054586266707680[[#This Row],[Tâche]],Horodateur11233538192231343743464952555861646985222634384650585462667074788290989410210611411811012212613013413814214615015415816216617017417818218619019419820220621021441014182226303438465054586266707680[[#This Row],[Durée (100)]],"")</f>
        <v/>
      </c>
      <c r="U16" s="56" t="str">
        <f aca="false">IF($U$1=Horodateur11233538192231343743464952555861646985222634384650585462667074788290989410210611411811012212613013413814214615015415816216617017417818218619019419820220621021441014182226303438465054586266707680[[#This Row],[Tâche]],Horodateur11233538192231343743464952555861646985222634384650585462667074788290989410210611411811012212613013413814214615015415816216617017417818218619019419820220621021441014182226303438465054586266707680[[#This Row],[Durée (100)]],"")</f>
        <v/>
      </c>
      <c r="V16" s="56" t="str">
        <f aca="false">IF($V$1=Horodateur11233538192231343743464952555861646985222634384650585462667074788290989410210611411811012212613013413814214615015415816216617017417818218619019419820220621021441014182226303438465054586266707680[[#This Row],[Tâche]],Horodateur11233538192231343743464952555861646985222634384650585462667074788290989410210611411811012212613013413814214615015415816216617017417818218619019419820220621021441014182226303438465054586266707680[[#This Row],[Durée (100)]],"")</f>
        <v/>
      </c>
      <c r="W16" s="56" t="str">
        <f aca="false">IF($W$1=Horodateur11233538192231343743464952555861646985222634384650585462667074788290989410210611411811012212613013413814214615015415816216617017417818218619019419820220621021441014182226303438465054586266707680[[#This Row],[Tâche]],Horodateur11233538192231343743464952555861646985222634384650585462667074788290989410210611411811012212613013413814214615015415816216617017417818218619019419820220621021441014182226303438465054586266707680[[#This Row],[Durée (100)]],"")</f>
        <v/>
      </c>
      <c r="X16" s="174"/>
      <c r="Y16" s="71"/>
      <c r="Z16" s="71"/>
      <c r="AA16" s="169"/>
      <c r="AB16" s="71"/>
      <c r="AC16" s="71"/>
      <c r="AD16" s="71"/>
      <c r="AE16" s="71"/>
      <c r="AF16" s="71"/>
      <c r="AG16" s="71"/>
      <c r="AH16" s="71"/>
      <c r="AI16" s="71"/>
      <c r="AJ16" s="71"/>
      <c r="AK16" s="71"/>
      <c r="AL16" s="71"/>
      <c r="AM16" s="71"/>
      <c r="AN16" s="71"/>
      <c r="AO16" s="71"/>
      <c r="AP16" s="71"/>
      <c r="AQ16" s="71"/>
      <c r="AR16" s="71"/>
      <c r="AS16" s="71"/>
      <c r="AT16" s="71"/>
      <c r="AU16" s="71"/>
      <c r="AV16" s="71"/>
      <c r="AW16" s="71"/>
      <c r="AX16" s="71"/>
      <c r="AY16" s="71"/>
      <c r="AZ16" s="71"/>
      <c r="BA16" s="71"/>
    </row>
    <row r="17" customFormat="false" ht="15" hidden="false" customHeight="false" outlineLevel="0" collapsed="false">
      <c r="A17" s="256" t="n">
        <f aca="false">IF(Horodateur11233538192231343743464952555861646985222634384650585462667074788290989410210611411811012212613013413814214615015415816216617017417818218619019419820220621021441014182226303438465054586266707680[[#This Row],[Jour]]="1- Lundi",$B$1+1, IF(Horodateur11233538192231343743464952555861646985222634384650585462667074788290989410210611411811012212613013413814214615015415816216617017417818218619019419820220621021441014182226303438465054586266707680[[#This Row],[Jour]]="2- Mardi",$B$1+2, IF(Horodateur11233538192231343743464952555861646985222634384650585462667074788290989410210611411811012212613013413814214615015415816216617017417818218619019419820220621021441014182226303438465054586266707680[[#This Row],[Jour]]="3- Mercredi",$B$1+3, IF(Horodateur11233538192231343743464952555861646985222634384650585462667074788290989410210611411811012212613013413814214615015415816216617017417818218619019419820220621021441014182226303438465054586266707680[[#This Row],[Jour]]="4- Jeudi",$B$1+4, IF(Horodateur11233538192231343743464952555861646985222634384650585462667074788290989410210611411811012212613013413814214615015415816216617017417818218619019419820220621021441014182226303438465054586266707680[[#This Row],[Jour]]="5- Vendredi",$B$1+5, IF(Horodateur11233538192231343743464952555861646985222634384650585462667074788290989410210611411811012212613013413814214615015415816216617017417818218619019419820220621021441014182226303438465054586266707680[[#This Row],[Jour]]="6- Samedi",$B$1+6, IF(Horodateur11233538192231343743464952555861646985222634384650585462667074788290989410210611411811012212613013413814214615015415816216617017417818218619019419820220621021441014182226303438465054586266707680[[#This Row],[Jour]]="7- Dimanche",$B$1, )))))))</f>
        <v>44307</v>
      </c>
      <c r="B17" s="257" t="s">
        <v>319</v>
      </c>
      <c r="C17" s="258" t="n">
        <v>0.708333333333333</v>
      </c>
      <c r="D17" s="258" t="n">
        <v>0.729166666666667</v>
      </c>
      <c r="E17" s="71" t="s">
        <v>363</v>
      </c>
      <c r="F17" s="71" t="s">
        <v>22</v>
      </c>
      <c r="G17" s="259" t="s">
        <v>366</v>
      </c>
      <c r="H17" s="258" t="n">
        <f aca="false">IF($C17=0,"",$D17-$C17)</f>
        <v>0.0208333333333333</v>
      </c>
      <c r="I17" s="260" t="n">
        <f aca="false">IF($C17=0,"",($H17-INT($H17))*24)</f>
        <v>0.5</v>
      </c>
      <c r="J17" s="303" t="n">
        <f aca="false">SUMIF(Horodateur11233538192231343743464952555861646985222634384650585462667074788290989410210611411811012212613013413814214615015415816216617017417818218619019419820220621021441014182226303438465054586266707680[Jour],$B17,Horodateur11233538192231343743464952555861646985222634384650585462667074788290989410210611411811012212613013413814214615015415816216617017417818218619019419820220621021441014182226303438465054586266707680[Durée (100)])</f>
        <v>7.5</v>
      </c>
      <c r="K17" s="304" t="s">
        <v>31</v>
      </c>
      <c r="L17" s="263" t="n">
        <f aca="false">IF(Horodateur11233538192231343743464952555861646985222634384650585462667074788290989410210611411811012212613013413814214615015415816216617017417818218619019419820220621021441014182226303438465054586266707680[[#This Row],[O]]="o",Horodateur11233538192231343743464952555861646985222634384650585462667074788290989410210611411811012212613013413814214615015415816216617017417818218619019419820220621021441014182226303438465054586266707680[[#This Row],[Durée (100)]],".")</f>
        <v>0.499999999999998</v>
      </c>
      <c r="M17" s="308" t="n">
        <f aca="false">SUMIF(Horodateur11233538192231343743464952555861646985222634384650585462667074788290989410210611411811012212613013413814214615015415816216617017417818218619019419820220621021441014182226303438465054586266707680[Jour],$B17,P$4:P$2004) / Horodateur11233538192231343743464952555861646985222634384650585462667074788290989410210611411811012212613013413814214615015415816216617017417818218619019419820220621021441014182226303438465054586266707680[[#This Row],[hrs (100)]]</f>
        <v>0.333333333333333</v>
      </c>
      <c r="N17" s="306"/>
      <c r="O17" s="309"/>
      <c r="P17" s="56" t="str">
        <f aca="false">IF($P$1=Horodateur11233538192231343743464952555861646985222634384650585462667074788290989410210611411811012212613013413814214615015415816216617017417818218619019419820220621021441014182226303438465054586266707680[[#This Row],[Tâche]],Horodateur11233538192231343743464952555861646985222634384650585462667074788290989410210611411811012212613013413814214615015415816216617017417818218619019419820220621021441014182226303438465054586266707680[[#This Row],[Durée (100)]],"")</f>
        <v/>
      </c>
      <c r="Q17" s="56" t="str">
        <f aca="false">IF($Q$1=Horodateur11233538192231343743464952555861646985222634384650585462667074788290989410210611411811012212613013413814214615015415816216617017417818218619019419820220621021441014182226303438465054586266707680[[#This Row],[Tâche]],Horodateur11233538192231343743464952555861646985222634384650585462667074788290989410210611411811012212613013413814214615015415816216617017417818218619019419820220621021441014182226303438465054586266707680[[#This Row],[Durée (100)]],"")</f>
        <v/>
      </c>
      <c r="R17" s="56" t="str">
        <f aca="false">IF($R$1=Horodateur11233538192231343743464952555861646985222634384650585462667074788290989410210611411811012212613013413814214615015415816216617017417818218619019419820220621021441014182226303438465054586266707680[[#This Row],[Tâche]],Horodateur11233538192231343743464952555861646985222634384650585462667074788290989410210611411811012212613013413814214615015415816216617017417818218619019419820220621021441014182226303438465054586266707680[[#This Row],[Durée (100)]],"")</f>
        <v/>
      </c>
      <c r="S17" s="56" t="n">
        <f aca="false">IF($S$1=Horodateur11233538192231343743464952555861646985222634384650585462667074788290989410210611411811012212613013413814214615015415816216617017417818218619019419820220621021441014182226303438465054586266707680[[#This Row],[Tâche]],Horodateur11233538192231343743464952555861646985222634384650585462667074788290989410210611411811012212613013413814214615015415816216617017417818218619019419820220621021441014182226303438465054586266707680[[#This Row],[Durée (100)]],"")</f>
        <v>0.499999999999998</v>
      </c>
      <c r="T17" s="56" t="str">
        <f aca="false">IF($T$1=Horodateur11233538192231343743464952555861646985222634384650585462667074788290989410210611411811012212613013413814214615015415816216617017417818218619019419820220621021441014182226303438465054586266707680[[#This Row],[Tâche]],Horodateur11233538192231343743464952555861646985222634384650585462667074788290989410210611411811012212613013413814214615015415816216617017417818218619019419820220621021441014182226303438465054586266707680[[#This Row],[Durée (100)]],"")</f>
        <v/>
      </c>
      <c r="U17" s="56" t="str">
        <f aca="false">IF($U$1=Horodateur11233538192231343743464952555861646985222634384650585462667074788290989410210611411811012212613013413814214615015415816216617017417818218619019419820220621021441014182226303438465054586266707680[[#This Row],[Tâche]],Horodateur11233538192231343743464952555861646985222634384650585462667074788290989410210611411811012212613013413814214615015415816216617017417818218619019419820220621021441014182226303438465054586266707680[[#This Row],[Durée (100)]],"")</f>
        <v/>
      </c>
      <c r="V17" s="56" t="str">
        <f aca="false">IF($V$1=Horodateur11233538192231343743464952555861646985222634384650585462667074788290989410210611411811012212613013413814214615015415816216617017417818218619019419820220621021441014182226303438465054586266707680[[#This Row],[Tâche]],Horodateur11233538192231343743464952555861646985222634384650585462667074788290989410210611411811012212613013413814214615015415816216617017417818218619019419820220621021441014182226303438465054586266707680[[#This Row],[Durée (100)]],"")</f>
        <v/>
      </c>
      <c r="W17" s="56" t="str">
        <f aca="false">IF($W$1=Horodateur11233538192231343743464952555861646985222634384650585462667074788290989410210611411811012212613013413814214615015415816216617017417818218619019419820220621021441014182226303438465054586266707680[[#This Row],[Tâche]],Horodateur11233538192231343743464952555861646985222634384650585462667074788290989410210611411811012212613013413814214615015415816216617017417818218619019419820220621021441014182226303438465054586266707680[[#This Row],[Durée (100)]],"")</f>
        <v/>
      </c>
      <c r="X17" s="174"/>
      <c r="Y17" s="71"/>
      <c r="Z17" s="71"/>
      <c r="AA17" s="169"/>
      <c r="AB17" s="71"/>
      <c r="AC17" s="71"/>
      <c r="AD17" s="71"/>
      <c r="AE17" s="71"/>
      <c r="AF17" s="71"/>
      <c r="AG17" s="71"/>
      <c r="AH17" s="71"/>
      <c r="AI17" s="71"/>
      <c r="AJ17" s="71"/>
      <c r="AK17" s="71"/>
      <c r="AL17" s="71"/>
      <c r="AM17" s="71"/>
      <c r="AN17" s="71"/>
      <c r="AO17" s="71"/>
      <c r="AP17" s="71"/>
      <c r="AQ17" s="71"/>
      <c r="AR17" s="71"/>
      <c r="AS17" s="71"/>
      <c r="AT17" s="71"/>
      <c r="AU17" s="71"/>
      <c r="AV17" s="71"/>
      <c r="AW17" s="71"/>
      <c r="AX17" s="71"/>
      <c r="AY17" s="71"/>
      <c r="AZ17" s="71"/>
      <c r="BA17" s="71"/>
    </row>
    <row r="18" customFormat="false" ht="15" hidden="false" customHeight="false" outlineLevel="0" collapsed="false">
      <c r="A18" s="256" t="n">
        <f aca="false">IF(Horodateur11233538192231343743464952555861646985222634384650585462667074788290989410210611411811012212613013413814214615015415816216617017417818218619019419820220621021441014182226303438465054586266707680[[#This Row],[Jour]]="1- Lundi",$B$1+1, IF(Horodateur11233538192231343743464952555861646985222634384650585462667074788290989410210611411811012212613013413814214615015415816216617017417818218619019419820220621021441014182226303438465054586266707680[[#This Row],[Jour]]="2- Mardi",$B$1+2, IF(Horodateur11233538192231343743464952555861646985222634384650585462667074788290989410210611411811012212613013413814214615015415816216617017417818218619019419820220621021441014182226303438465054586266707680[[#This Row],[Jour]]="3- Mercredi",$B$1+3, IF(Horodateur11233538192231343743464952555861646985222634384650585462667074788290989410210611411811012212613013413814214615015415816216617017417818218619019419820220621021441014182226303438465054586266707680[[#This Row],[Jour]]="4- Jeudi",$B$1+4, IF(Horodateur11233538192231343743464952555861646985222634384650585462667074788290989410210611411811012212613013413814214615015415816216617017417818218619019419820220621021441014182226303438465054586266707680[[#This Row],[Jour]]="5- Vendredi",$B$1+5, IF(Horodateur11233538192231343743464952555861646985222634384650585462667074788290989410210611411811012212613013413814214615015415816216617017417818218619019419820220621021441014182226303438465054586266707680[[#This Row],[Jour]]="6- Samedi",$B$1+6, IF(Horodateur11233538192231343743464952555861646985222634384650585462667074788290989410210611411811012212613013413814214615015415816216617017417818218619019419820220621021441014182226303438465054586266707680[[#This Row],[Jour]]="7- Dimanche",$B$1, )))))))</f>
        <v>44307</v>
      </c>
      <c r="B18" s="257" t="s">
        <v>319</v>
      </c>
      <c r="C18" s="258" t="n">
        <v>0.729166666666667</v>
      </c>
      <c r="D18" s="258" t="n">
        <v>0.8125</v>
      </c>
      <c r="E18" s="71" t="s">
        <v>32</v>
      </c>
      <c r="F18" s="267" t="s">
        <v>23</v>
      </c>
      <c r="G18" s="259"/>
      <c r="H18" s="258" t="n">
        <f aca="false">IF($C18=0,"",$D18-$C18)</f>
        <v>0.0833333333333334</v>
      </c>
      <c r="I18" s="260" t="n">
        <f aca="false">IF($C18=0,"",($H18-INT($H18))*24)</f>
        <v>2</v>
      </c>
      <c r="J18" s="303" t="n">
        <f aca="false">SUMIF(Horodateur11233538192231343743464952555861646985222634384650585462667074788290989410210611411811012212613013413814214615015415816216617017417818218619019419820220621021441014182226303438465054586266707680[Jour],$B18,Horodateur11233538192231343743464952555861646985222634384650585462667074788290989410210611411811012212613013413814214615015415816216617017417818218619019419820220621021441014182226303438465054586266707680[Durée (100)])</f>
        <v>7.5</v>
      </c>
      <c r="K18" s="304" t="s">
        <v>31</v>
      </c>
      <c r="L18" s="263" t="n">
        <f aca="false">IF(Horodateur11233538192231343743464952555861646985222634384650585462667074788290989410210611411811012212613013413814214615015415816216617017417818218619019419820220621021441014182226303438465054586266707680[[#This Row],[O]]="o",Horodateur11233538192231343743464952555861646985222634384650585462667074788290989410210611411811012212613013413814214615015415816216617017417818218619019419820220621021441014182226303438465054586266707680[[#This Row],[Durée (100)]],".")</f>
        <v>2</v>
      </c>
      <c r="M18" s="308" t="n">
        <f aca="false">SUMIF(Horodateur11233538192231343743464952555861646985222634384650585462667074788290989410210611411811012212613013413814214615015415816216617017417818218619019419820220621021441014182226303438465054586266707680[Jour],$B18,P$4:P$2004) / Horodateur11233538192231343743464952555861646985222634384650585462667074788290989410210611411811012212613013413814214615015415816216617017417818218619019419820220621021441014182226303438465054586266707680[[#This Row],[hrs (100)]]</f>
        <v>0.333333333333333</v>
      </c>
      <c r="N18" s="306"/>
      <c r="O18" s="309"/>
      <c r="P18" s="56"/>
      <c r="Q18" s="56"/>
      <c r="R18" s="56"/>
      <c r="S18" s="56"/>
      <c r="T18" s="56"/>
      <c r="U18" s="56"/>
      <c r="V18" s="56"/>
      <c r="W18" s="56"/>
      <c r="X18" s="174"/>
      <c r="Y18" s="71"/>
      <c r="Z18" s="71"/>
      <c r="AA18" s="169"/>
      <c r="AB18" s="71"/>
      <c r="AC18" s="71"/>
      <c r="AD18" s="71"/>
      <c r="AE18" s="71"/>
      <c r="AF18" s="71"/>
      <c r="AG18" s="71"/>
      <c r="AH18" s="71"/>
      <c r="AI18" s="71"/>
      <c r="AJ18" s="71"/>
      <c r="AK18" s="71"/>
      <c r="AL18" s="71"/>
      <c r="AM18" s="71"/>
      <c r="AN18" s="71"/>
      <c r="AO18" s="71"/>
      <c r="AP18" s="71"/>
      <c r="AQ18" s="71"/>
      <c r="AR18" s="71"/>
      <c r="AS18" s="71"/>
      <c r="AT18" s="71"/>
      <c r="AU18" s="71"/>
      <c r="AV18" s="71"/>
      <c r="AW18" s="71"/>
      <c r="AX18" s="71"/>
      <c r="AY18" s="71"/>
      <c r="AZ18" s="71"/>
      <c r="BA18" s="71"/>
    </row>
    <row r="19" customFormat="false" ht="15" hidden="false" customHeight="false" outlineLevel="0" collapsed="false">
      <c r="A19" s="256" t="n">
        <f aca="false">IF(Horodateur11233538192231343743464952555861646985222634384650585462667074788290989410210611411811012212613013413814214615015415816216617017417818218619019419820220621021441014182226303438465054586266707680[[#This Row],[Jour]]="1- Lundi",$B$1+1, IF(Horodateur11233538192231343743464952555861646985222634384650585462667074788290989410210611411811012212613013413814214615015415816216617017417818218619019419820220621021441014182226303438465054586266707680[[#This Row],[Jour]]="2- Mardi",$B$1+2, IF(Horodateur11233538192231343743464952555861646985222634384650585462667074788290989410210611411811012212613013413814214615015415816216617017417818218619019419820220621021441014182226303438465054586266707680[[#This Row],[Jour]]="3- Mercredi",$B$1+3, IF(Horodateur11233538192231343743464952555861646985222634384650585462667074788290989410210611411811012212613013413814214615015415816216617017417818218619019419820220621021441014182226303438465054586266707680[[#This Row],[Jour]]="4- Jeudi",$B$1+4, IF(Horodateur11233538192231343743464952555861646985222634384650585462667074788290989410210611411811012212613013413814214615015415816216617017417818218619019419820220621021441014182226303438465054586266707680[[#This Row],[Jour]]="5- Vendredi",$B$1+5, IF(Horodateur11233538192231343743464952555861646985222634384650585462667074788290989410210611411811012212613013413814214615015415816216617017417818218619019419820220621021441014182226303438465054586266707680[[#This Row],[Jour]]="6- Samedi",$B$1+6, IF(Horodateur11233538192231343743464952555861646985222634384650585462667074788290989410210611411811012212613013413814214615015415816216617017417818218619019419820220621021441014182226303438465054586266707680[[#This Row],[Jour]]="7- Dimanche",$B$1, )))))))</f>
        <v>44308</v>
      </c>
      <c r="B19" s="257" t="s">
        <v>324</v>
      </c>
      <c r="C19" s="258" t="n">
        <v>0.3125</v>
      </c>
      <c r="D19" s="258" t="n">
        <v>0.354166666666667</v>
      </c>
      <c r="E19" s="71" t="s">
        <v>32</v>
      </c>
      <c r="F19" s="71" t="s">
        <v>22</v>
      </c>
      <c r="G19" s="259"/>
      <c r="H19" s="258" t="n">
        <f aca="false">IF($C19=0,"",$D19-$C19)</f>
        <v>0.0416666666666667</v>
      </c>
      <c r="I19" s="260" t="n">
        <f aca="false">IF($C19=0,"",($H19-INT($H19))*24)</f>
        <v>1</v>
      </c>
      <c r="J19" s="303" t="n">
        <f aca="false">SUMIF(Horodateur11233538192231343743464952555861646985222634384650585462667074788290989410210611411811012212613013413814214615015415816216617017417818218619019419820220621021441014182226303438465054586266707680[Jour],$B19,Horodateur11233538192231343743464952555861646985222634384650585462667074788290989410210611411811012212613013413814214615015415816216617017417818218619019419820220621021441014182226303438465054586266707680[Durée (100)])</f>
        <v>7.75</v>
      </c>
      <c r="K19" s="304" t="s">
        <v>31</v>
      </c>
      <c r="L19" s="263" t="n">
        <f aca="false">IF(Horodateur11233538192231343743464952555861646985222634384650585462667074788290989410210611411811012212613013413814214615015415816216617017417818218619019419820220621021441014182226303438465054586266707680[[#This Row],[O]]="o",Horodateur11233538192231343743464952555861646985222634384650585462667074788290989410210611411811012212613013413814214615015415816216617017417818218619019419820220621021441014182226303438465054586266707680[[#This Row],[Durée (100)]],".")</f>
        <v>1</v>
      </c>
      <c r="M19" s="308" t="n">
        <f aca="false">SUMIF(Horodateur11233538192231343743464952555861646985222634384650585462667074788290989410210611411811012212613013413814214615015415816216617017417818218619019419820220621021441014182226303438465054586266707680[Jour],$B19,P$4:P$2004) / Horodateur11233538192231343743464952555861646985222634384650585462667074788290989410210611411811012212613013413814214615015415816216617017417818218619019419820220621021441014182226303438465054586266707680[[#This Row],[hrs (100)]]</f>
        <v>0.774193548387097</v>
      </c>
      <c r="N19" s="306"/>
      <c r="O19" s="309"/>
      <c r="P19" s="56" t="str">
        <f aca="false">IF($P$1=Horodateur11233538192231343743464952555861646985222634384650585462667074788290989410210611411811012212613013413814214615015415816216617017417818218619019419820220621021441014182226303438465054586266707680[[#This Row],[Tâche]],Horodateur11233538192231343743464952555861646985222634384650585462667074788290989410210611411811012212613013413814214615015415816216617017417818218619019419820220621021441014182226303438465054586266707680[[#This Row],[Durée (100)]],"")</f>
        <v/>
      </c>
      <c r="Q19" s="56" t="str">
        <f aca="false">IF($Q$1=Horodateur11233538192231343743464952555861646985222634384650585462667074788290989410210611411811012212613013413814214615015415816216617017417818218619019419820220621021441014182226303438465054586266707680[[#This Row],[Tâche]],Horodateur11233538192231343743464952555861646985222634384650585462667074788290989410210611411811012212613013413814214615015415816216617017417818218619019419820220621021441014182226303438465054586266707680[[#This Row],[Durée (100)]],"")</f>
        <v/>
      </c>
      <c r="R19" s="56" t="str">
        <f aca="false">IF($R$1=Horodateur11233538192231343743464952555861646985222634384650585462667074788290989410210611411811012212613013413814214615015415816216617017417818218619019419820220621021441014182226303438465054586266707680[[#This Row],[Tâche]],Horodateur11233538192231343743464952555861646985222634384650585462667074788290989410210611411811012212613013413814214615015415816216617017417818218619019419820220621021441014182226303438465054586266707680[[#This Row],[Durée (100)]],"")</f>
        <v/>
      </c>
      <c r="S19" s="56" t="n">
        <f aca="false">IF($S$1=Horodateur11233538192231343743464952555861646985222634384650585462667074788290989410210611411811012212613013413814214615015415816216617017417818218619019419820220621021441014182226303438465054586266707680[[#This Row],[Tâche]],Horodateur11233538192231343743464952555861646985222634384650585462667074788290989410210611411811012212613013413814214615015415816216617017417818218619019419820220621021441014182226303438465054586266707680[[#This Row],[Durée (100)]],"")</f>
        <v>1</v>
      </c>
      <c r="T19" s="56" t="str">
        <f aca="false">IF($T$1=Horodateur11233538192231343743464952555861646985222634384650585462667074788290989410210611411811012212613013413814214615015415816216617017417818218619019419820220621021441014182226303438465054586266707680[[#This Row],[Tâche]],Horodateur11233538192231343743464952555861646985222634384650585462667074788290989410210611411811012212613013413814214615015415816216617017417818218619019419820220621021441014182226303438465054586266707680[[#This Row],[Durée (100)]],"")</f>
        <v/>
      </c>
      <c r="U19" s="56" t="str">
        <f aca="false">IF($U$1=Horodateur11233538192231343743464952555861646985222634384650585462667074788290989410210611411811012212613013413814214615015415816216617017417818218619019419820220621021441014182226303438465054586266707680[[#This Row],[Tâche]],Horodateur11233538192231343743464952555861646985222634384650585462667074788290989410210611411811012212613013413814214615015415816216617017417818218619019419820220621021441014182226303438465054586266707680[[#This Row],[Durée (100)]],"")</f>
        <v/>
      </c>
      <c r="V19" s="56" t="str">
        <f aca="false">IF($V$1=Horodateur11233538192231343743464952555861646985222634384650585462667074788290989410210611411811012212613013413814214615015415816216617017417818218619019419820220621021441014182226303438465054586266707680[[#This Row],[Tâche]],Horodateur11233538192231343743464952555861646985222634384650585462667074788290989410210611411811012212613013413814214615015415816216617017417818218619019419820220621021441014182226303438465054586266707680[[#This Row],[Durée (100)]],"")</f>
        <v/>
      </c>
      <c r="W19" s="56" t="str">
        <f aca="false">IF($W$1=Horodateur11233538192231343743464952555861646985222634384650585462667074788290989410210611411811012212613013413814214615015415816216617017417818218619019419820220621021441014182226303438465054586266707680[[#This Row],[Tâche]],Horodateur11233538192231343743464952555861646985222634384650585462667074788290989410210611411811012212613013413814214615015415816216617017417818218619019419820220621021441014182226303438465054586266707680[[#This Row],[Durée (100)]],"")</f>
        <v/>
      </c>
      <c r="X19" s="174"/>
      <c r="Y19" s="71"/>
      <c r="Z19" s="71"/>
      <c r="AA19" s="71"/>
      <c r="AB19" s="71"/>
      <c r="AC19" s="71"/>
      <c r="AD19" s="71"/>
      <c r="AE19" s="71"/>
      <c r="AF19" s="71"/>
      <c r="AG19" s="71"/>
      <c r="AH19" s="71"/>
      <c r="AI19" s="71"/>
      <c r="AJ19" s="71"/>
      <c r="AK19" s="71"/>
      <c r="AL19" s="71"/>
      <c r="AM19" s="71"/>
      <c r="AN19" s="71"/>
      <c r="AO19" s="71"/>
      <c r="AP19" s="71"/>
      <c r="AQ19" s="71"/>
      <c r="AR19" s="71"/>
      <c r="AS19" s="71"/>
      <c r="AT19" s="71"/>
      <c r="AU19" s="71"/>
      <c r="AV19" s="71"/>
      <c r="AW19" s="71"/>
      <c r="AX19" s="71"/>
      <c r="AY19" s="71"/>
      <c r="AZ19" s="71"/>
      <c r="BA19" s="71"/>
    </row>
    <row r="20" customFormat="false" ht="15" hidden="false" customHeight="false" outlineLevel="0" collapsed="false">
      <c r="A20" s="256" t="n">
        <f aca="false">IF(Horodateur11233538192231343743464952555861646985222634384650585462667074788290989410210611411811012212613013413814214615015415816216617017417818218619019419820220621021441014182226303438465054586266707680[[#This Row],[Jour]]="1- Lundi",$B$1+1, IF(Horodateur11233538192231343743464952555861646985222634384650585462667074788290989410210611411811012212613013413814214615015415816216617017417818218619019419820220621021441014182226303438465054586266707680[[#This Row],[Jour]]="2- Mardi",$B$1+2, IF(Horodateur11233538192231343743464952555861646985222634384650585462667074788290989410210611411811012212613013413814214615015415816216617017417818218619019419820220621021441014182226303438465054586266707680[[#This Row],[Jour]]="3- Mercredi",$B$1+3, IF(Horodateur11233538192231343743464952555861646985222634384650585462667074788290989410210611411811012212613013413814214615015415816216617017417818218619019419820220621021441014182226303438465054586266707680[[#This Row],[Jour]]="4- Jeudi",$B$1+4, IF(Horodateur11233538192231343743464952555861646985222634384650585462667074788290989410210611411811012212613013413814214615015415816216617017417818218619019419820220621021441014182226303438465054586266707680[[#This Row],[Jour]]="5- Vendredi",$B$1+5, IF(Horodateur11233538192231343743464952555861646985222634384650585462667074788290989410210611411811012212613013413814214615015415816216617017417818218619019419820220621021441014182226303438465054586266707680[[#This Row],[Jour]]="6- Samedi",$B$1+6, IF(Horodateur11233538192231343743464952555861646985222634384650585462667074788290989410210611411811012212613013413814214615015415816216617017417818218619019419820220621021441014182226303438465054586266707680[[#This Row],[Jour]]="7- Dimanche",$B$1, )))))))</f>
        <v>44308</v>
      </c>
      <c r="B20" s="257" t="s">
        <v>324</v>
      </c>
      <c r="C20" s="258" t="n">
        <v>0.354166666666667</v>
      </c>
      <c r="D20" s="258" t="n">
        <v>0.385416666666667</v>
      </c>
      <c r="E20" s="71" t="s">
        <v>363</v>
      </c>
      <c r="F20" s="71" t="s">
        <v>19</v>
      </c>
      <c r="G20" s="259" t="s">
        <v>366</v>
      </c>
      <c r="H20" s="258" t="n">
        <f aca="false">IF($C20=0,"",$D20-$C20)</f>
        <v>0.03125</v>
      </c>
      <c r="I20" s="260" t="n">
        <f aca="false">IF($C20=0,"",($H20-INT($H20))*24)</f>
        <v>0.75</v>
      </c>
      <c r="J20" s="303" t="n">
        <f aca="false">SUMIF(Horodateur11233538192231343743464952555861646985222634384650585462667074788290989410210611411811012212613013413814214615015415816216617017417818218619019419820220621021441014182226303438465054586266707680[Jour],$B20,Horodateur11233538192231343743464952555861646985222634384650585462667074788290989410210611411811012212613013413814214615015415816216617017417818218619019419820220621021441014182226303438465054586266707680[Durée (100)])</f>
        <v>7.75</v>
      </c>
      <c r="K20" s="304" t="s">
        <v>31</v>
      </c>
      <c r="L20" s="263" t="n">
        <f aca="false">IF(Horodateur11233538192231343743464952555861646985222634384650585462667074788290989410210611411811012212613013413814214615015415816216617017417818218619019419820220621021441014182226303438465054586266707680[[#This Row],[O]]="o",Horodateur11233538192231343743464952555861646985222634384650585462667074788290989410210611411811012212613013413814214615015415816216617017417818218619019419820220621021441014182226303438465054586266707680[[#This Row],[Durée (100)]],".")</f>
        <v>0.75</v>
      </c>
      <c r="M20" s="308" t="n">
        <f aca="false">SUMIF(Horodateur11233538192231343743464952555861646985222634384650585462667074788290989410210611411811012212613013413814214615015415816216617017417818218619019419820220621021441014182226303438465054586266707680[Jour],$B20,P$4:P$2004) / Horodateur11233538192231343743464952555861646985222634384650585462667074788290989410210611411811012212613013413814214615015415816216617017417818218619019419820220621021441014182226303438465054586266707680[[#This Row],[hrs (100)]]</f>
        <v>0.774193548387097</v>
      </c>
      <c r="N20" s="306"/>
      <c r="O20" s="309"/>
      <c r="P20" s="56" t="n">
        <f aca="false">IF($P$1=Horodateur11233538192231343743464952555861646985222634384650585462667074788290989410210611411811012212613013413814214615015415816216617017417818218619019419820220621021441014182226303438465054586266707680[[#This Row],[Tâche]],Horodateur11233538192231343743464952555861646985222634384650585462667074788290989410210611411811012212613013413814214615015415816216617017417818218619019419820220621021441014182226303438465054586266707680[[#This Row],[Durée (100)]],"")</f>
        <v>0.75</v>
      </c>
      <c r="Q20" s="56" t="str">
        <f aca="false">IF($Q$1=Horodateur11233538192231343743464952555861646985222634384650585462667074788290989410210611411811012212613013413814214615015415816216617017417818218619019419820220621021441014182226303438465054586266707680[[#This Row],[Tâche]],Horodateur11233538192231343743464952555861646985222634384650585462667074788290989410210611411811012212613013413814214615015415816216617017417818218619019419820220621021441014182226303438465054586266707680[[#This Row],[Durée (100)]],"")</f>
        <v/>
      </c>
      <c r="R20" s="56" t="str">
        <f aca="false">IF($R$1=Horodateur11233538192231343743464952555861646985222634384650585462667074788290989410210611411811012212613013413814214615015415816216617017417818218619019419820220621021441014182226303438465054586266707680[[#This Row],[Tâche]],Horodateur11233538192231343743464952555861646985222634384650585462667074788290989410210611411811012212613013413814214615015415816216617017417818218619019419820220621021441014182226303438465054586266707680[[#This Row],[Durée (100)]],"")</f>
        <v/>
      </c>
      <c r="S20" s="56" t="str">
        <f aca="false">IF($S$1=Horodateur11233538192231343743464952555861646985222634384650585462667074788290989410210611411811012212613013413814214615015415816216617017417818218619019419820220621021441014182226303438465054586266707680[[#This Row],[Tâche]],Horodateur11233538192231343743464952555861646985222634384650585462667074788290989410210611411811012212613013413814214615015415816216617017417818218619019419820220621021441014182226303438465054586266707680[[#This Row],[Durée (100)]],"")</f>
        <v/>
      </c>
      <c r="T20" s="56" t="str">
        <f aca="false">IF($T$1=Horodateur11233538192231343743464952555861646985222634384650585462667074788290989410210611411811012212613013413814214615015415816216617017417818218619019419820220621021441014182226303438465054586266707680[[#This Row],[Tâche]],Horodateur11233538192231343743464952555861646985222634384650585462667074788290989410210611411811012212613013413814214615015415816216617017417818218619019419820220621021441014182226303438465054586266707680[[#This Row],[Durée (100)]],"")</f>
        <v/>
      </c>
      <c r="U20" s="56" t="str">
        <f aca="false">IF($U$1=Horodateur11233538192231343743464952555861646985222634384650585462667074788290989410210611411811012212613013413814214615015415816216617017417818218619019419820220621021441014182226303438465054586266707680[[#This Row],[Tâche]],Horodateur11233538192231343743464952555861646985222634384650585462667074788290989410210611411811012212613013413814214615015415816216617017417818218619019419820220621021441014182226303438465054586266707680[[#This Row],[Durée (100)]],"")</f>
        <v/>
      </c>
      <c r="V20" s="56" t="str">
        <f aca="false">IF($V$1=Horodateur11233538192231343743464952555861646985222634384650585462667074788290989410210611411811012212613013413814214615015415816216617017417818218619019419820220621021441014182226303438465054586266707680[[#This Row],[Tâche]],Horodateur11233538192231343743464952555861646985222634384650585462667074788290989410210611411811012212613013413814214615015415816216617017417818218619019419820220621021441014182226303438465054586266707680[[#This Row],[Durée (100)]],"")</f>
        <v/>
      </c>
      <c r="W20" s="56" t="str">
        <f aca="false">IF($W$1=Horodateur11233538192231343743464952555861646985222634384650585462667074788290989410210611411811012212613013413814214615015415816216617017417818218619019419820220621021441014182226303438465054586266707680[[#This Row],[Tâche]],Horodateur11233538192231343743464952555861646985222634384650585462667074788290989410210611411811012212613013413814214615015415816216617017417818218619019419820220621021441014182226303438465054586266707680[[#This Row],[Durée (100)]],"")</f>
        <v/>
      </c>
      <c r="X20" s="174"/>
      <c r="Y20" s="71"/>
      <c r="Z20" s="71"/>
      <c r="AA20" s="71"/>
      <c r="AB20" s="71"/>
      <c r="AC20" s="71"/>
      <c r="AD20" s="71"/>
      <c r="AE20" s="71"/>
      <c r="AF20" s="71"/>
      <c r="AG20" s="71"/>
      <c r="AH20" s="71"/>
      <c r="AI20" s="71"/>
      <c r="AJ20" s="71"/>
      <c r="AK20" s="71"/>
      <c r="AL20" s="71"/>
      <c r="AM20" s="71"/>
      <c r="AN20" s="71"/>
      <c r="AO20" s="71"/>
      <c r="AP20" s="71"/>
      <c r="AQ20" s="71"/>
      <c r="AR20" s="71"/>
      <c r="AS20" s="71"/>
      <c r="AT20" s="71"/>
      <c r="AU20" s="71"/>
      <c r="AV20" s="71"/>
      <c r="AW20" s="71"/>
      <c r="AX20" s="71"/>
      <c r="AY20" s="71"/>
      <c r="AZ20" s="71"/>
      <c r="BA20" s="71"/>
    </row>
    <row r="21" customFormat="false" ht="15" hidden="false" customHeight="false" outlineLevel="0" collapsed="false">
      <c r="A21" s="256" t="n">
        <f aca="false">IF(Horodateur11233538192231343743464952555861646985222634384650585462667074788290989410210611411811012212613013413814214615015415816216617017417818218619019419820220621021441014182226303438465054586266707680[[#This Row],[Jour]]="1- Lundi",$B$1+1, IF(Horodateur11233538192231343743464952555861646985222634384650585462667074788290989410210611411811012212613013413814214615015415816216617017417818218619019419820220621021441014182226303438465054586266707680[[#This Row],[Jour]]="2- Mardi",$B$1+2, IF(Horodateur11233538192231343743464952555861646985222634384650585462667074788290989410210611411811012212613013413814214615015415816216617017417818218619019419820220621021441014182226303438465054586266707680[[#This Row],[Jour]]="3- Mercredi",$B$1+3, IF(Horodateur11233538192231343743464952555861646985222634384650585462667074788290989410210611411811012212613013413814214615015415816216617017417818218619019419820220621021441014182226303438465054586266707680[[#This Row],[Jour]]="4- Jeudi",$B$1+4, IF(Horodateur11233538192231343743464952555861646985222634384650585462667074788290989410210611411811012212613013413814214615015415816216617017417818218619019419820220621021441014182226303438465054586266707680[[#This Row],[Jour]]="5- Vendredi",$B$1+5, IF(Horodateur11233538192231343743464952555861646985222634384650585462667074788290989410210611411811012212613013413814214615015415816216617017417818218619019419820220621021441014182226303438465054586266707680[[#This Row],[Jour]]="6- Samedi",$B$1+6, IF(Horodateur11233538192231343743464952555861646985222634384650585462667074788290989410210611411811012212613013413814214615015415816216617017417818218619019419820220621021441014182226303438465054586266707680[[#This Row],[Jour]]="7- Dimanche",$B$1, )))))))</f>
        <v>44308</v>
      </c>
      <c r="B21" s="257" t="s">
        <v>324</v>
      </c>
      <c r="C21" s="258" t="n">
        <v>0.40625</v>
      </c>
      <c r="D21" s="258" t="n">
        <v>0.416666666666667</v>
      </c>
      <c r="E21" s="71" t="s">
        <v>63</v>
      </c>
      <c r="F21" s="71" t="s">
        <v>19</v>
      </c>
      <c r="G21" s="259" t="s">
        <v>370</v>
      </c>
      <c r="H21" s="258" t="n">
        <f aca="false">IF($C21=0,"",$D21-$C21)</f>
        <v>0.0104166666666667</v>
      </c>
      <c r="I21" s="260" t="n">
        <f aca="false">IF($C21=0,"",($H21-INT($H21))*24)</f>
        <v>0.25</v>
      </c>
      <c r="J21" s="303" t="n">
        <f aca="false">SUMIF(Horodateur11233538192231343743464952555861646985222634384650585462667074788290989410210611411811012212613013413814214615015415816216617017417818218619019419820220621021441014182226303438465054586266707680[Jour],$B21,Horodateur11233538192231343743464952555861646985222634384650585462667074788290989410210611411811012212613013413814214615015415816216617017417818218619019419820220621021441014182226303438465054586266707680[Durée (100)])</f>
        <v>7.75</v>
      </c>
      <c r="K21" s="304" t="s">
        <v>31</v>
      </c>
      <c r="L21" s="263" t="n">
        <f aca="false">IF(Horodateur11233538192231343743464952555861646985222634384650585462667074788290989410210611411811012212613013413814214615015415816216617017417818218619019419820220621021441014182226303438465054586266707680[[#This Row],[O]]="o",Horodateur11233538192231343743464952555861646985222634384650585462667074788290989410210611411811012212613013413814214615015415816216617017417818218619019419820220621021441014182226303438465054586266707680[[#This Row],[Durée (100)]],".")</f>
        <v>0.25</v>
      </c>
      <c r="M21" s="308" t="n">
        <f aca="false">SUMIF(Horodateur11233538192231343743464952555861646985222634384650585462667074788290989410210611411811012212613013413814214615015415816216617017417818218619019419820220621021441014182226303438465054586266707680[Jour],$B21,P$4:P$2004) / Horodateur11233538192231343743464952555861646985222634384650585462667074788290989410210611411811012212613013413814214615015415816216617017417818218619019419820220621021441014182226303438465054586266707680[[#This Row],[hrs (100)]]</f>
        <v>0.774193548387097</v>
      </c>
      <c r="N21" s="306"/>
      <c r="O21" s="309"/>
      <c r="P21" s="56" t="n">
        <f aca="false">IF($P$1=Horodateur11233538192231343743464952555861646985222634384650585462667074788290989410210611411811012212613013413814214615015415816216617017417818218619019419820220621021441014182226303438465054586266707680[[#This Row],[Tâche]],Horodateur11233538192231343743464952555861646985222634384650585462667074788290989410210611411811012212613013413814214615015415816216617017417818218619019419820220621021441014182226303438465054586266707680[[#This Row],[Durée (100)]],"")</f>
        <v>0.25</v>
      </c>
      <c r="Q21" s="56" t="str">
        <f aca="false">IF($Q$1=Horodateur11233538192231343743464952555861646985222634384650585462667074788290989410210611411811012212613013413814214615015415816216617017417818218619019419820220621021441014182226303438465054586266707680[[#This Row],[Tâche]],Horodateur11233538192231343743464952555861646985222634384650585462667074788290989410210611411811012212613013413814214615015415816216617017417818218619019419820220621021441014182226303438465054586266707680[[#This Row],[Durée (100)]],"")</f>
        <v/>
      </c>
      <c r="R21" s="56" t="str">
        <f aca="false">IF($R$1=Horodateur11233538192231343743464952555861646985222634384650585462667074788290989410210611411811012212613013413814214615015415816216617017417818218619019419820220621021441014182226303438465054586266707680[[#This Row],[Tâche]],Horodateur11233538192231343743464952555861646985222634384650585462667074788290989410210611411811012212613013413814214615015415816216617017417818218619019419820220621021441014182226303438465054586266707680[[#This Row],[Durée (100)]],"")</f>
        <v/>
      </c>
      <c r="S21" s="56" t="str">
        <f aca="false">IF($S$1=Horodateur11233538192231343743464952555861646985222634384650585462667074788290989410210611411811012212613013413814214615015415816216617017417818218619019419820220621021441014182226303438465054586266707680[[#This Row],[Tâche]],Horodateur11233538192231343743464952555861646985222634384650585462667074788290989410210611411811012212613013413814214615015415816216617017417818218619019419820220621021441014182226303438465054586266707680[[#This Row],[Durée (100)]],"")</f>
        <v/>
      </c>
      <c r="T21" s="56" t="str">
        <f aca="false">IF($T$1=Horodateur11233538192231343743464952555861646985222634384650585462667074788290989410210611411811012212613013413814214615015415816216617017417818218619019419820220621021441014182226303438465054586266707680[[#This Row],[Tâche]],Horodateur11233538192231343743464952555861646985222634384650585462667074788290989410210611411811012212613013413814214615015415816216617017417818218619019419820220621021441014182226303438465054586266707680[[#This Row],[Durée (100)]],"")</f>
        <v/>
      </c>
      <c r="U21" s="56" t="str">
        <f aca="false">IF($U$1=Horodateur11233538192231343743464952555861646985222634384650585462667074788290989410210611411811012212613013413814214615015415816216617017417818218619019419820220621021441014182226303438465054586266707680[[#This Row],[Tâche]],Horodateur11233538192231343743464952555861646985222634384650585462667074788290989410210611411811012212613013413814214615015415816216617017417818218619019419820220621021441014182226303438465054586266707680[[#This Row],[Durée (100)]],"")</f>
        <v/>
      </c>
      <c r="V21" s="56" t="str">
        <f aca="false">IF($V$1=Horodateur11233538192231343743464952555861646985222634384650585462667074788290989410210611411811012212613013413814214615015415816216617017417818218619019419820220621021441014182226303438465054586266707680[[#This Row],[Tâche]],Horodateur11233538192231343743464952555861646985222634384650585462667074788290989410210611411811012212613013413814214615015415816216617017417818218619019419820220621021441014182226303438465054586266707680[[#This Row],[Durée (100)]],"")</f>
        <v/>
      </c>
      <c r="W21" s="56" t="str">
        <f aca="false">IF($W$1=Horodateur11233538192231343743464952555861646985222634384650585462667074788290989410210611411811012212613013413814214615015415816216617017417818218619019419820220621021441014182226303438465054586266707680[[#This Row],[Tâche]],Horodateur11233538192231343743464952555861646985222634384650585462667074788290989410210611411811012212613013413814214615015415816216617017417818218619019419820220621021441014182226303438465054586266707680[[#This Row],[Durée (100)]],"")</f>
        <v/>
      </c>
      <c r="X21" s="174"/>
      <c r="Y21" s="71"/>
      <c r="Z21" s="71"/>
      <c r="AA21" s="71"/>
      <c r="AB21" s="71"/>
      <c r="AC21" s="71"/>
      <c r="AD21" s="71"/>
      <c r="AE21" s="71"/>
      <c r="AF21" s="71"/>
      <c r="AG21" s="71"/>
      <c r="AH21" s="71"/>
      <c r="AI21" s="71"/>
      <c r="AJ21" s="71"/>
      <c r="AK21" s="71"/>
      <c r="AL21" s="71"/>
      <c r="AM21" s="71"/>
      <c r="AN21" s="71"/>
      <c r="AO21" s="71"/>
      <c r="AP21" s="71"/>
      <c r="AQ21" s="71"/>
      <c r="AR21" s="71"/>
      <c r="AS21" s="71"/>
      <c r="AT21" s="71"/>
      <c r="AU21" s="71"/>
      <c r="AV21" s="71"/>
      <c r="AW21" s="71"/>
      <c r="AX21" s="71"/>
      <c r="AY21" s="71"/>
      <c r="AZ21" s="71"/>
      <c r="BA21" s="71"/>
    </row>
    <row r="22" customFormat="false" ht="15" hidden="false" customHeight="false" outlineLevel="0" collapsed="false">
      <c r="A22" s="256" t="n">
        <f aca="false">IF(Horodateur11233538192231343743464952555861646985222634384650585462667074788290989410210611411811012212613013413814214615015415816216617017417818218619019419820220621021441014182226303438465054586266707680[[#This Row],[Jour]]="1- Lundi",$B$1+1, IF(Horodateur11233538192231343743464952555861646985222634384650585462667074788290989410210611411811012212613013413814214615015415816216617017417818218619019419820220621021441014182226303438465054586266707680[[#This Row],[Jour]]="2- Mardi",$B$1+2, IF(Horodateur11233538192231343743464952555861646985222634384650585462667074788290989410210611411811012212613013413814214615015415816216617017417818218619019419820220621021441014182226303438465054586266707680[[#This Row],[Jour]]="3- Mercredi",$B$1+3, IF(Horodateur11233538192231343743464952555861646985222634384650585462667074788290989410210611411811012212613013413814214615015415816216617017417818218619019419820220621021441014182226303438465054586266707680[[#This Row],[Jour]]="4- Jeudi",$B$1+4, IF(Horodateur11233538192231343743464952555861646985222634384650585462667074788290989410210611411811012212613013413814214615015415816216617017417818218619019419820220621021441014182226303438465054586266707680[[#This Row],[Jour]]="5- Vendredi",$B$1+5, IF(Horodateur11233538192231343743464952555861646985222634384650585462667074788290989410210611411811012212613013413814214615015415816216617017417818218619019419820220621021441014182226303438465054586266707680[[#This Row],[Jour]]="6- Samedi",$B$1+6, IF(Horodateur11233538192231343743464952555861646985222634384650585462667074788290989410210611411811012212613013413814214615015415816216617017417818218619019419820220621021441014182226303438465054586266707680[[#This Row],[Jour]]="7- Dimanche",$B$1, )))))))</f>
        <v>44308</v>
      </c>
      <c r="B22" s="257" t="s">
        <v>324</v>
      </c>
      <c r="C22" s="258" t="n">
        <v>0.416666666666667</v>
      </c>
      <c r="D22" s="258" t="n">
        <v>0.458333333333333</v>
      </c>
      <c r="E22" s="71" t="s">
        <v>37</v>
      </c>
      <c r="F22" s="71" t="s">
        <v>19</v>
      </c>
      <c r="G22" s="259" t="s">
        <v>371</v>
      </c>
      <c r="H22" s="258" t="n">
        <f aca="false">IF($C22=0,"",$D22-$C22)</f>
        <v>0.0416666666666667</v>
      </c>
      <c r="I22" s="260" t="n">
        <f aca="false">IF($C22=0,"",($H22-INT($H22))*24)</f>
        <v>1</v>
      </c>
      <c r="J22" s="303" t="n">
        <f aca="false">SUMIF(Horodateur11233538192231343743464952555861646985222634384650585462667074788290989410210611411811012212613013413814214615015415816216617017417818218619019419820220621021441014182226303438465054586266707680[Jour],$B22,Horodateur11233538192231343743464952555861646985222634384650585462667074788290989410210611411811012212613013413814214615015415816216617017417818218619019419820220621021441014182226303438465054586266707680[Durée (100)])</f>
        <v>7.75</v>
      </c>
      <c r="K22" s="304" t="s">
        <v>31</v>
      </c>
      <c r="L22" s="263" t="n">
        <f aca="false">IF(Horodateur11233538192231343743464952555861646985222634384650585462667074788290989410210611411811012212613013413814214615015415816216617017417818218619019419820220621021441014182226303438465054586266707680[[#This Row],[O]]="o",Horodateur11233538192231343743464952555861646985222634384650585462667074788290989410210611411811012212613013413814214615015415816216617017417818218619019419820220621021441014182226303438465054586266707680[[#This Row],[Durée (100)]],".")</f>
        <v>0.999999999999999</v>
      </c>
      <c r="M22" s="308" t="n">
        <f aca="false">SUMIF(Horodateur11233538192231343743464952555861646985222634384650585462667074788290989410210611411811012212613013413814214615015415816216617017417818218619019419820220621021441014182226303438465054586266707680[Jour],$B22,P$4:P$2004) / Horodateur11233538192231343743464952555861646985222634384650585462667074788290989410210611411811012212613013413814214615015415816216617017417818218619019419820220621021441014182226303438465054586266707680[[#This Row],[hrs (100)]]</f>
        <v>0.774193548387097</v>
      </c>
      <c r="N22" s="306"/>
      <c r="O22" s="309"/>
      <c r="P22" s="56" t="n">
        <f aca="false">IF($P$1=Horodateur11233538192231343743464952555861646985222634384650585462667074788290989410210611411811012212613013413814214615015415816216617017417818218619019419820220621021441014182226303438465054586266707680[[#This Row],[Tâche]],Horodateur11233538192231343743464952555861646985222634384650585462667074788290989410210611411811012212613013413814214615015415816216617017417818218619019419820220621021441014182226303438465054586266707680[[#This Row],[Durée (100)]],"")</f>
        <v>0.999999999999999</v>
      </c>
      <c r="Q22" s="56" t="str">
        <f aca="false">IF($Q$1=Horodateur11233538192231343743464952555861646985222634384650585462667074788290989410210611411811012212613013413814214615015415816216617017417818218619019419820220621021441014182226303438465054586266707680[[#This Row],[Tâche]],Horodateur11233538192231343743464952555861646985222634384650585462667074788290989410210611411811012212613013413814214615015415816216617017417818218619019419820220621021441014182226303438465054586266707680[[#This Row],[Durée (100)]],"")</f>
        <v/>
      </c>
      <c r="R22" s="56" t="str">
        <f aca="false">IF($R$1=Horodateur11233538192231343743464952555861646985222634384650585462667074788290989410210611411811012212613013413814214615015415816216617017417818218619019419820220621021441014182226303438465054586266707680[[#This Row],[Tâche]],Horodateur11233538192231343743464952555861646985222634384650585462667074788290989410210611411811012212613013413814214615015415816216617017417818218619019419820220621021441014182226303438465054586266707680[[#This Row],[Durée (100)]],"")</f>
        <v/>
      </c>
      <c r="S22" s="56" t="str">
        <f aca="false">IF($S$1=Horodateur11233538192231343743464952555861646985222634384650585462667074788290989410210611411811012212613013413814214615015415816216617017417818218619019419820220621021441014182226303438465054586266707680[[#This Row],[Tâche]],Horodateur11233538192231343743464952555861646985222634384650585462667074788290989410210611411811012212613013413814214615015415816216617017417818218619019419820220621021441014182226303438465054586266707680[[#This Row],[Durée (100)]],"")</f>
        <v/>
      </c>
      <c r="T22" s="56" t="str">
        <f aca="false">IF($T$1=Horodateur11233538192231343743464952555861646985222634384650585462667074788290989410210611411811012212613013413814214615015415816216617017417818218619019419820220621021441014182226303438465054586266707680[[#This Row],[Tâche]],Horodateur11233538192231343743464952555861646985222634384650585462667074788290989410210611411811012212613013413814214615015415816216617017417818218619019419820220621021441014182226303438465054586266707680[[#This Row],[Durée (100)]],"")</f>
        <v/>
      </c>
      <c r="U22" s="56" t="str">
        <f aca="false">IF($U$1=Horodateur11233538192231343743464952555861646985222634384650585462667074788290989410210611411811012212613013413814214615015415816216617017417818218619019419820220621021441014182226303438465054586266707680[[#This Row],[Tâche]],Horodateur11233538192231343743464952555861646985222634384650585462667074788290989410210611411811012212613013413814214615015415816216617017417818218619019419820220621021441014182226303438465054586266707680[[#This Row],[Durée (100)]],"")</f>
        <v/>
      </c>
      <c r="V22" s="56" t="str">
        <f aca="false">IF($V$1=Horodateur11233538192231343743464952555861646985222634384650585462667074788290989410210611411811012212613013413814214615015415816216617017417818218619019419820220621021441014182226303438465054586266707680[[#This Row],[Tâche]],Horodateur11233538192231343743464952555861646985222634384650585462667074788290989410210611411811012212613013413814214615015415816216617017417818218619019419820220621021441014182226303438465054586266707680[[#This Row],[Durée (100)]],"")</f>
        <v/>
      </c>
      <c r="W22" s="56" t="str">
        <f aca="false">IF($W$1=Horodateur11233538192231343743464952555861646985222634384650585462667074788290989410210611411811012212613013413814214615015415816216617017417818218619019419820220621021441014182226303438465054586266707680[[#This Row],[Tâche]],Horodateur11233538192231343743464952555861646985222634384650585462667074788290989410210611411811012212613013413814214615015415816216617017417818218619019419820220621021441014182226303438465054586266707680[[#This Row],[Durée (100)]],"")</f>
        <v/>
      </c>
      <c r="X22" s="174"/>
      <c r="Y22" s="71"/>
      <c r="Z22" s="71"/>
      <c r="AA22" s="71"/>
      <c r="AB22" s="71"/>
      <c r="AC22" s="71"/>
      <c r="AD22" s="71"/>
      <c r="AE22" s="71"/>
      <c r="AF22" s="71"/>
      <c r="AG22" s="71"/>
      <c r="AH22" s="71"/>
      <c r="AI22" s="71"/>
      <c r="AJ22" s="71"/>
      <c r="AK22" s="71"/>
      <c r="AL22" s="71"/>
      <c r="AM22" s="71"/>
      <c r="AN22" s="71"/>
      <c r="AO22" s="71"/>
      <c r="AP22" s="71"/>
      <c r="AQ22" s="71"/>
      <c r="AR22" s="71"/>
      <c r="AS22" s="71"/>
      <c r="AT22" s="71"/>
      <c r="AU22" s="71"/>
      <c r="AV22" s="71"/>
      <c r="AW22" s="71"/>
      <c r="AX22" s="71"/>
      <c r="AY22" s="71"/>
      <c r="AZ22" s="71"/>
      <c r="BA22" s="71"/>
    </row>
    <row r="23" customFormat="false" ht="15" hidden="false" customHeight="false" outlineLevel="0" collapsed="false">
      <c r="A23" s="256" t="n">
        <f aca="false">IF(Horodateur11233538192231343743464952555861646985222634384650585462667074788290989410210611411811012212613013413814214615015415816216617017417818218619019419820220621021441014182226303438465054586266707680[[#This Row],[Jour]]="1- Lundi",$B$1+1, IF(Horodateur11233538192231343743464952555861646985222634384650585462667074788290989410210611411811012212613013413814214615015415816216617017417818218619019419820220621021441014182226303438465054586266707680[[#This Row],[Jour]]="2- Mardi",$B$1+2, IF(Horodateur11233538192231343743464952555861646985222634384650585462667074788290989410210611411811012212613013413814214615015415816216617017417818218619019419820220621021441014182226303438465054586266707680[[#This Row],[Jour]]="3- Mercredi",$B$1+3, IF(Horodateur11233538192231343743464952555861646985222634384650585462667074788290989410210611411811012212613013413814214615015415816216617017417818218619019419820220621021441014182226303438465054586266707680[[#This Row],[Jour]]="4- Jeudi",$B$1+4, IF(Horodateur11233538192231343743464952555861646985222634384650585462667074788290989410210611411811012212613013413814214615015415816216617017417818218619019419820220621021441014182226303438465054586266707680[[#This Row],[Jour]]="5- Vendredi",$B$1+5, IF(Horodateur11233538192231343743464952555861646985222634384650585462667074788290989410210611411811012212613013413814214615015415816216617017417818218619019419820220621021441014182226303438465054586266707680[[#This Row],[Jour]]="6- Samedi",$B$1+6, IF(Horodateur11233538192231343743464952555861646985222634384650585462667074788290989410210611411811012212613013413814214615015415816216617017417818218619019419820220621021441014182226303438465054586266707680[[#This Row],[Jour]]="7- Dimanche",$B$1, )))))))</f>
        <v>44308</v>
      </c>
      <c r="B23" s="257" t="s">
        <v>324</v>
      </c>
      <c r="C23" s="258" t="n">
        <v>0.479166666666667</v>
      </c>
      <c r="D23" s="258" t="n">
        <v>0.5</v>
      </c>
      <c r="E23" s="71" t="s">
        <v>37</v>
      </c>
      <c r="F23" s="71" t="s">
        <v>19</v>
      </c>
      <c r="G23" s="259" t="s">
        <v>371</v>
      </c>
      <c r="H23" s="258" t="n">
        <f aca="false">IF($C23=0,"",$D23-$C23)</f>
        <v>0.0208333333333333</v>
      </c>
      <c r="I23" s="260" t="n">
        <f aca="false">IF($C23=0,"",($H23-INT($H23))*24)</f>
        <v>0.5</v>
      </c>
      <c r="J23" s="303" t="n">
        <f aca="false">SUMIF(Horodateur11233538192231343743464952555861646985222634384650585462667074788290989410210611411811012212613013413814214615015415816216617017417818218619019419820220621021441014182226303438465054586266707680[Jour],$B23,Horodateur11233538192231343743464952555861646985222634384650585462667074788290989410210611411811012212613013413814214615015415816216617017417818218619019419820220621021441014182226303438465054586266707680[Durée (100)])</f>
        <v>7.75</v>
      </c>
      <c r="K23" s="304" t="s">
        <v>31</v>
      </c>
      <c r="L23" s="263" t="n">
        <f aca="false">IF(Horodateur11233538192231343743464952555861646985222634384650585462667074788290989410210611411811012212613013413814214615015415816216617017417818218619019419820220621021441014182226303438465054586266707680[[#This Row],[O]]="o",Horodateur11233538192231343743464952555861646985222634384650585462667074788290989410210611411811012212613013413814214615015415816216617017417818218619019419820220621021441014182226303438465054586266707680[[#This Row],[Durée (100)]],".")</f>
        <v>0.5</v>
      </c>
      <c r="M23" s="308" t="n">
        <f aca="false">SUMIF(Horodateur11233538192231343743464952555861646985222634384650585462667074788290989410210611411811012212613013413814214615015415816216617017417818218619019419820220621021441014182226303438465054586266707680[Jour],$B23,P$4:P$2004) / Horodateur11233538192231343743464952555861646985222634384650585462667074788290989410210611411811012212613013413814214615015415816216617017417818218619019419820220621021441014182226303438465054586266707680[[#This Row],[hrs (100)]]</f>
        <v>0.774193548387097</v>
      </c>
      <c r="N23" s="306"/>
      <c r="O23" s="309"/>
      <c r="P23" s="56" t="n">
        <f aca="false">IF($P$1=Horodateur11233538192231343743464952555861646985222634384650585462667074788290989410210611411811012212613013413814214615015415816216617017417818218619019419820220621021441014182226303438465054586266707680[[#This Row],[Tâche]],Horodateur11233538192231343743464952555861646985222634384650585462667074788290989410210611411811012212613013413814214615015415816216617017417818218619019419820220621021441014182226303438465054586266707680[[#This Row],[Durée (100)]],"")</f>
        <v>0.5</v>
      </c>
      <c r="Q23" s="56" t="str">
        <f aca="false">IF($Q$1=Horodateur11233538192231343743464952555861646985222634384650585462667074788290989410210611411811012212613013413814214615015415816216617017417818218619019419820220621021441014182226303438465054586266707680[[#This Row],[Tâche]],Horodateur11233538192231343743464952555861646985222634384650585462667074788290989410210611411811012212613013413814214615015415816216617017417818218619019419820220621021441014182226303438465054586266707680[[#This Row],[Durée (100)]],"")</f>
        <v/>
      </c>
      <c r="R23" s="56" t="str">
        <f aca="false">IF($R$1=Horodateur11233538192231343743464952555861646985222634384650585462667074788290989410210611411811012212613013413814214615015415816216617017417818218619019419820220621021441014182226303438465054586266707680[[#This Row],[Tâche]],Horodateur11233538192231343743464952555861646985222634384650585462667074788290989410210611411811012212613013413814214615015415816216617017417818218619019419820220621021441014182226303438465054586266707680[[#This Row],[Durée (100)]],"")</f>
        <v/>
      </c>
      <c r="S23" s="56" t="str">
        <f aca="false">IF($S$1=Horodateur11233538192231343743464952555861646985222634384650585462667074788290989410210611411811012212613013413814214615015415816216617017417818218619019419820220621021441014182226303438465054586266707680[[#This Row],[Tâche]],Horodateur11233538192231343743464952555861646985222634384650585462667074788290989410210611411811012212613013413814214615015415816216617017417818218619019419820220621021441014182226303438465054586266707680[[#This Row],[Durée (100)]],"")</f>
        <v/>
      </c>
      <c r="T23" s="56" t="str">
        <f aca="false">IF($T$1=Horodateur11233538192231343743464952555861646985222634384650585462667074788290989410210611411811012212613013413814214615015415816216617017417818218619019419820220621021441014182226303438465054586266707680[[#This Row],[Tâche]],Horodateur11233538192231343743464952555861646985222634384650585462667074788290989410210611411811012212613013413814214615015415816216617017417818218619019419820220621021441014182226303438465054586266707680[[#This Row],[Durée (100)]],"")</f>
        <v/>
      </c>
      <c r="U23" s="56" t="str">
        <f aca="false">IF($U$1=Horodateur11233538192231343743464952555861646985222634384650585462667074788290989410210611411811012212613013413814214615015415816216617017417818218619019419820220621021441014182226303438465054586266707680[[#This Row],[Tâche]],Horodateur11233538192231343743464952555861646985222634384650585462667074788290989410210611411811012212613013413814214615015415816216617017417818218619019419820220621021441014182226303438465054586266707680[[#This Row],[Durée (100)]],"")</f>
        <v/>
      </c>
      <c r="V23" s="56" t="str">
        <f aca="false">IF($V$1=Horodateur11233538192231343743464952555861646985222634384650585462667074788290989410210611411811012212613013413814214615015415816216617017417818218619019419820220621021441014182226303438465054586266707680[[#This Row],[Tâche]],Horodateur11233538192231343743464952555861646985222634384650585462667074788290989410210611411811012212613013413814214615015415816216617017417818218619019419820220621021441014182226303438465054586266707680[[#This Row],[Durée (100)]],"")</f>
        <v/>
      </c>
      <c r="W23" s="56" t="str">
        <f aca="false">IF($W$1=Horodateur11233538192231343743464952555861646985222634384650585462667074788290989410210611411811012212613013413814214615015415816216617017417818218619019419820220621021441014182226303438465054586266707680[[#This Row],[Tâche]],Horodateur11233538192231343743464952555861646985222634384650585462667074788290989410210611411811012212613013413814214615015415816216617017417818218619019419820220621021441014182226303438465054586266707680[[#This Row],[Durée (100)]],"")</f>
        <v/>
      </c>
      <c r="X23" s="174"/>
      <c r="Y23" s="71"/>
      <c r="Z23" s="71"/>
      <c r="AA23" s="71"/>
      <c r="AB23" s="71"/>
      <c r="AC23" s="71"/>
      <c r="AD23" s="71"/>
      <c r="AE23" s="71"/>
      <c r="AF23" s="71"/>
      <c r="AG23" s="71"/>
      <c r="AH23" s="71"/>
      <c r="AI23" s="71"/>
      <c r="AJ23" s="71"/>
      <c r="AK23" s="71"/>
      <c r="AL23" s="71"/>
      <c r="AM23" s="71"/>
      <c r="AN23" s="71"/>
      <c r="AO23" s="71"/>
      <c r="AP23" s="71"/>
      <c r="AQ23" s="71"/>
      <c r="AR23" s="71"/>
      <c r="AS23" s="71"/>
      <c r="AT23" s="71"/>
      <c r="AU23" s="71"/>
      <c r="AV23" s="71"/>
      <c r="AW23" s="71"/>
      <c r="AX23" s="71"/>
      <c r="AY23" s="71"/>
      <c r="AZ23" s="71"/>
      <c r="BA23" s="71"/>
    </row>
    <row r="24" customFormat="false" ht="15" hidden="false" customHeight="false" outlineLevel="0" collapsed="false">
      <c r="A24" s="256" t="n">
        <f aca="false">IF(Horodateur11233538192231343743464952555861646985222634384650585462667074788290989410210611411811012212613013413814214615015415816216617017417818218619019419820220621021441014182226303438465054586266707680[[#This Row],[Jour]]="1- Lundi",$B$1+1, IF(Horodateur11233538192231343743464952555861646985222634384650585462667074788290989410210611411811012212613013413814214615015415816216617017417818218619019419820220621021441014182226303438465054586266707680[[#This Row],[Jour]]="2- Mardi",$B$1+2, IF(Horodateur11233538192231343743464952555861646985222634384650585462667074788290989410210611411811012212613013413814214615015415816216617017417818218619019419820220621021441014182226303438465054586266707680[[#This Row],[Jour]]="3- Mercredi",$B$1+3, IF(Horodateur11233538192231343743464952555861646985222634384650585462667074788290989410210611411811012212613013413814214615015415816216617017417818218619019419820220621021441014182226303438465054586266707680[[#This Row],[Jour]]="4- Jeudi",$B$1+4, IF(Horodateur11233538192231343743464952555861646985222634384650585462667074788290989410210611411811012212613013413814214615015415816216617017417818218619019419820220621021441014182226303438465054586266707680[[#This Row],[Jour]]="5- Vendredi",$B$1+5, IF(Horodateur11233538192231343743464952555861646985222634384650585462667074788290989410210611411811012212613013413814214615015415816216617017417818218619019419820220621021441014182226303438465054586266707680[[#This Row],[Jour]]="6- Samedi",$B$1+6, IF(Horodateur11233538192231343743464952555861646985222634384650585462667074788290989410210611411811012212613013413814214615015415816216617017417818218619019419820220621021441014182226303438465054586266707680[[#This Row],[Jour]]="7- Dimanche",$B$1, )))))))</f>
        <v>44308</v>
      </c>
      <c r="B24" s="257" t="s">
        <v>324</v>
      </c>
      <c r="C24" s="258" t="n">
        <v>0.552083333333333</v>
      </c>
      <c r="D24" s="258" t="n">
        <v>0.572916666666667</v>
      </c>
      <c r="E24" s="71" t="s">
        <v>63</v>
      </c>
      <c r="F24" s="71" t="s">
        <v>19</v>
      </c>
      <c r="G24" s="259" t="s">
        <v>370</v>
      </c>
      <c r="H24" s="258" t="n">
        <f aca="false">IF($C24=0,"",$D24-$C24)</f>
        <v>0.0208333333333333</v>
      </c>
      <c r="I24" s="260" t="n">
        <f aca="false">IF($C24=0,"",($H24-INT($H24))*24)</f>
        <v>0.5</v>
      </c>
      <c r="J24" s="303" t="n">
        <f aca="false">SUMIF(Horodateur11233538192231343743464952555861646985222634384650585462667074788290989410210611411811012212613013413814214615015415816216617017417818218619019419820220621021441014182226303438465054586266707680[Jour],$B24,Horodateur11233538192231343743464952555861646985222634384650585462667074788290989410210611411811012212613013413814214615015415816216617017417818218619019419820220621021441014182226303438465054586266707680[Durée (100)])</f>
        <v>7.75</v>
      </c>
      <c r="K24" s="304" t="s">
        <v>31</v>
      </c>
      <c r="L24" s="263" t="n">
        <f aca="false">IF(Horodateur11233538192231343743464952555861646985222634384650585462667074788290989410210611411811012212613013413814214615015415816216617017417818218619019419820220621021441014182226303438465054586266707680[[#This Row],[O]]="o",Horodateur11233538192231343743464952555861646985222634384650585462667074788290989410210611411811012212613013413814214615015415816216617017417818218619019419820220621021441014182226303438465054586266707680[[#This Row],[Durée (100)]],".")</f>
        <v>0.499999999999998</v>
      </c>
      <c r="M24" s="308" t="n">
        <f aca="false">SUMIF(Horodateur11233538192231343743464952555861646985222634384650585462667074788290989410210611411811012212613013413814214615015415816216617017417818218619019419820220621021441014182226303438465054586266707680[Jour],$B24,P$4:P$2004) / Horodateur11233538192231343743464952555861646985222634384650585462667074788290989410210611411811012212613013413814214615015415816216617017417818218619019419820220621021441014182226303438465054586266707680[[#This Row],[hrs (100)]]</f>
        <v>0.774193548387097</v>
      </c>
      <c r="N24" s="306"/>
      <c r="O24" s="309"/>
      <c r="P24" s="56" t="n">
        <f aca="false">IF($P$1=Horodateur11233538192231343743464952555861646985222634384650585462667074788290989410210611411811012212613013413814214615015415816216617017417818218619019419820220621021441014182226303438465054586266707680[[#This Row],[Tâche]],Horodateur11233538192231343743464952555861646985222634384650585462667074788290989410210611411811012212613013413814214615015415816216617017417818218619019419820220621021441014182226303438465054586266707680[[#This Row],[Durée (100)]],"")</f>
        <v>0.499999999999998</v>
      </c>
      <c r="Q24" s="56" t="str">
        <f aca="false">IF($Q$1=Horodateur11233538192231343743464952555861646985222634384650585462667074788290989410210611411811012212613013413814214615015415816216617017417818218619019419820220621021441014182226303438465054586266707680[[#This Row],[Tâche]],Horodateur11233538192231343743464952555861646985222634384650585462667074788290989410210611411811012212613013413814214615015415816216617017417818218619019419820220621021441014182226303438465054586266707680[[#This Row],[Durée (100)]],"")</f>
        <v/>
      </c>
      <c r="R24" s="56" t="str">
        <f aca="false">IF($R$1=Horodateur11233538192231343743464952555861646985222634384650585462667074788290989410210611411811012212613013413814214615015415816216617017417818218619019419820220621021441014182226303438465054586266707680[[#This Row],[Tâche]],Horodateur11233538192231343743464952555861646985222634384650585462667074788290989410210611411811012212613013413814214615015415816216617017417818218619019419820220621021441014182226303438465054586266707680[[#This Row],[Durée (100)]],"")</f>
        <v/>
      </c>
      <c r="S24" s="56" t="str">
        <f aca="false">IF($S$1=Horodateur11233538192231343743464952555861646985222634384650585462667074788290989410210611411811012212613013413814214615015415816216617017417818218619019419820220621021441014182226303438465054586266707680[[#This Row],[Tâche]],Horodateur11233538192231343743464952555861646985222634384650585462667074788290989410210611411811012212613013413814214615015415816216617017417818218619019419820220621021441014182226303438465054586266707680[[#This Row],[Durée (100)]],"")</f>
        <v/>
      </c>
      <c r="T24" s="56" t="str">
        <f aca="false">IF($T$1=Horodateur11233538192231343743464952555861646985222634384650585462667074788290989410210611411811012212613013413814214615015415816216617017417818218619019419820220621021441014182226303438465054586266707680[[#This Row],[Tâche]],Horodateur11233538192231343743464952555861646985222634384650585462667074788290989410210611411811012212613013413814214615015415816216617017417818218619019419820220621021441014182226303438465054586266707680[[#This Row],[Durée (100)]],"")</f>
        <v/>
      </c>
      <c r="U24" s="56" t="str">
        <f aca="false">IF($U$1=Horodateur11233538192231343743464952555861646985222634384650585462667074788290989410210611411811012212613013413814214615015415816216617017417818218619019419820220621021441014182226303438465054586266707680[[#This Row],[Tâche]],Horodateur11233538192231343743464952555861646985222634384650585462667074788290989410210611411811012212613013413814214615015415816216617017417818218619019419820220621021441014182226303438465054586266707680[[#This Row],[Durée (100)]],"")</f>
        <v/>
      </c>
      <c r="V24" s="56" t="str">
        <f aca="false">IF($V$1=Horodateur11233538192231343743464952555861646985222634384650585462667074788290989410210611411811012212613013413814214615015415816216617017417818218619019419820220621021441014182226303438465054586266707680[[#This Row],[Tâche]],Horodateur11233538192231343743464952555861646985222634384650585462667074788290989410210611411811012212613013413814214615015415816216617017417818218619019419820220621021441014182226303438465054586266707680[[#This Row],[Durée (100)]],"")</f>
        <v/>
      </c>
      <c r="W24" s="56" t="str">
        <f aca="false">IF($W$1=Horodateur11233538192231343743464952555861646985222634384650585462667074788290989410210611411811012212613013413814214615015415816216617017417818218619019419820220621021441014182226303438465054586266707680[[#This Row],[Tâche]],Horodateur11233538192231343743464952555861646985222634384650585462667074788290989410210611411811012212613013413814214615015415816216617017417818218619019419820220621021441014182226303438465054586266707680[[#This Row],[Durée (100)]],"")</f>
        <v/>
      </c>
      <c r="X24" s="174"/>
      <c r="Y24" s="71"/>
      <c r="Z24" s="71"/>
      <c r="AA24" s="71"/>
      <c r="AB24" s="71"/>
      <c r="AC24" s="71"/>
      <c r="AD24" s="71"/>
      <c r="AE24" s="71"/>
      <c r="AF24" s="71"/>
      <c r="AG24" s="71"/>
      <c r="AH24" s="71"/>
      <c r="AI24" s="71"/>
      <c r="AJ24" s="71"/>
      <c r="AK24" s="71"/>
      <c r="AL24" s="71"/>
      <c r="AM24" s="71"/>
      <c r="AN24" s="71"/>
      <c r="AO24" s="71"/>
      <c r="AP24" s="71"/>
      <c r="AQ24" s="71"/>
      <c r="AR24" s="71"/>
      <c r="AS24" s="71"/>
      <c r="AT24" s="71"/>
      <c r="AU24" s="71"/>
      <c r="AV24" s="71"/>
      <c r="AW24" s="71"/>
      <c r="AX24" s="71"/>
      <c r="AY24" s="71"/>
      <c r="AZ24" s="71"/>
      <c r="BA24" s="71"/>
    </row>
    <row r="25" customFormat="false" ht="15" hidden="false" customHeight="false" outlineLevel="0" collapsed="false">
      <c r="A25" s="256" t="n">
        <f aca="false">IF(Horodateur11233538192231343743464952555861646985222634384650585462667074788290989410210611411811012212613013413814214615015415816216617017417818218619019419820220621021441014182226303438465054586266707680[[#This Row],[Jour]]="1- Lundi",$B$1+1, IF(Horodateur11233538192231343743464952555861646985222634384650585462667074788290989410210611411811012212613013413814214615015415816216617017417818218619019419820220621021441014182226303438465054586266707680[[#This Row],[Jour]]="2- Mardi",$B$1+2, IF(Horodateur11233538192231343743464952555861646985222634384650585462667074788290989410210611411811012212613013413814214615015415816216617017417818218619019419820220621021441014182226303438465054586266707680[[#This Row],[Jour]]="3- Mercredi",$B$1+3, IF(Horodateur11233538192231343743464952555861646985222634384650585462667074788290989410210611411811012212613013413814214615015415816216617017417818218619019419820220621021441014182226303438465054586266707680[[#This Row],[Jour]]="4- Jeudi",$B$1+4, IF(Horodateur11233538192231343743464952555861646985222634384650585462667074788290989410210611411811012212613013413814214615015415816216617017417818218619019419820220621021441014182226303438465054586266707680[[#This Row],[Jour]]="5- Vendredi",$B$1+5, IF(Horodateur11233538192231343743464952555861646985222634384650585462667074788290989410210611411811012212613013413814214615015415816216617017417818218619019419820220621021441014182226303438465054586266707680[[#This Row],[Jour]]="6- Samedi",$B$1+6, IF(Horodateur11233538192231343743464952555861646985222634384650585462667074788290989410210611411811012212613013413814214615015415816216617017417818218619019419820220621021441014182226303438465054586266707680[[#This Row],[Jour]]="7- Dimanche",$B$1, )))))))</f>
        <v>44308</v>
      </c>
      <c r="B25" s="257" t="s">
        <v>324</v>
      </c>
      <c r="C25" s="258" t="n">
        <v>0.572916666666667</v>
      </c>
      <c r="D25" s="258" t="n">
        <v>0.583333333333333</v>
      </c>
      <c r="E25" s="71" t="s">
        <v>32</v>
      </c>
      <c r="F25" s="71" t="s">
        <v>21</v>
      </c>
      <c r="G25" s="259"/>
      <c r="H25" s="258" t="n">
        <f aca="false">IF($C25=0,"",$D25-$C25)</f>
        <v>0.0104166666666667</v>
      </c>
      <c r="I25" s="260" t="n">
        <f aca="false">IF($C25=0,"",($H25-INT($H25))*24)</f>
        <v>0.25</v>
      </c>
      <c r="J25" s="303" t="n">
        <f aca="false">SUMIF(Horodateur11233538192231343743464952555861646985222634384650585462667074788290989410210611411811012212613013413814214615015415816216617017417818218619019419820220621021441014182226303438465054586266707680[Jour],$B25,Horodateur11233538192231343743464952555861646985222634384650585462667074788290989410210611411811012212613013413814214615015415816216617017417818218619019419820220621021441014182226303438465054586266707680[Durée (100)])</f>
        <v>7.75</v>
      </c>
      <c r="K25" s="304" t="s">
        <v>31</v>
      </c>
      <c r="L25" s="263" t="n">
        <f aca="false">IF(Horodateur11233538192231343743464952555861646985222634384650585462667074788290989410210611411811012212613013413814214615015415816216617017417818218619019419820220621021441014182226303438465054586266707680[[#This Row],[O]]="o",Horodateur11233538192231343743464952555861646985222634384650585462667074788290989410210611411811012212613013413814214615015415816216617017417818218619019419820220621021441014182226303438465054586266707680[[#This Row],[Durée (100)]],".")</f>
        <v>0.250000000000002</v>
      </c>
      <c r="M25" s="308" t="n">
        <f aca="false">SUMIF(Horodateur11233538192231343743464952555861646985222634384650585462667074788290989410210611411811012212613013413814214615015415816216617017417818218619019419820220621021441014182226303438465054586266707680[Jour],$B25,P$4:P$2004) / Horodateur11233538192231343743464952555861646985222634384650585462667074788290989410210611411811012212613013413814214615015415816216617017417818218619019419820220621021441014182226303438465054586266707680[[#This Row],[hrs (100)]]</f>
        <v>0.774193548387097</v>
      </c>
      <c r="N25" s="306"/>
      <c r="O25" s="309"/>
      <c r="P25" s="56" t="str">
        <f aca="false">IF($P$1=Horodateur11233538192231343743464952555861646985222634384650585462667074788290989410210611411811012212613013413814214615015415816216617017417818218619019419820220621021441014182226303438465054586266707680[[#This Row],[Tâche]],Horodateur11233538192231343743464952555861646985222634384650585462667074788290989410210611411811012212613013413814214615015415816216617017417818218619019419820220621021441014182226303438465054586266707680[[#This Row],[Durée (100)]],"")</f>
        <v/>
      </c>
      <c r="Q25" s="56" t="str">
        <f aca="false">IF($Q$1=Horodateur11233538192231343743464952555861646985222634384650585462667074788290989410210611411811012212613013413814214615015415816216617017417818218619019419820220621021441014182226303438465054586266707680[[#This Row],[Tâche]],Horodateur11233538192231343743464952555861646985222634384650585462667074788290989410210611411811012212613013413814214615015415816216617017417818218619019419820220621021441014182226303438465054586266707680[[#This Row],[Durée (100)]],"")</f>
        <v/>
      </c>
      <c r="R25" s="56" t="n">
        <f aca="false">IF($R$1=Horodateur11233538192231343743464952555861646985222634384650585462667074788290989410210611411811012212613013413814214615015415816216617017417818218619019419820220621021441014182226303438465054586266707680[[#This Row],[Tâche]],Horodateur11233538192231343743464952555861646985222634384650585462667074788290989410210611411811012212613013413814214615015415816216617017417818218619019419820220621021441014182226303438465054586266707680[[#This Row],[Durée (100)]],"")</f>
        <v>0.250000000000002</v>
      </c>
      <c r="S25" s="56" t="str">
        <f aca="false">IF($S$1=Horodateur11233538192231343743464952555861646985222634384650585462667074788290989410210611411811012212613013413814214615015415816216617017417818218619019419820220621021441014182226303438465054586266707680[[#This Row],[Tâche]],Horodateur11233538192231343743464952555861646985222634384650585462667074788290989410210611411811012212613013413814214615015415816216617017417818218619019419820220621021441014182226303438465054586266707680[[#This Row],[Durée (100)]],"")</f>
        <v/>
      </c>
      <c r="T25" s="56" t="str">
        <f aca="false">IF($T$1=Horodateur11233538192231343743464952555861646985222634384650585462667074788290989410210611411811012212613013413814214615015415816216617017417818218619019419820220621021441014182226303438465054586266707680[[#This Row],[Tâche]],Horodateur11233538192231343743464952555861646985222634384650585462667074788290989410210611411811012212613013413814214615015415816216617017417818218619019419820220621021441014182226303438465054586266707680[[#This Row],[Durée (100)]],"")</f>
        <v/>
      </c>
      <c r="U25" s="56" t="str">
        <f aca="false">IF($U$1=Horodateur11233538192231343743464952555861646985222634384650585462667074788290989410210611411811012212613013413814214615015415816216617017417818218619019419820220621021441014182226303438465054586266707680[[#This Row],[Tâche]],Horodateur11233538192231343743464952555861646985222634384650585462667074788290989410210611411811012212613013413814214615015415816216617017417818218619019419820220621021441014182226303438465054586266707680[[#This Row],[Durée (100)]],"")</f>
        <v/>
      </c>
      <c r="V25" s="56" t="str">
        <f aca="false">IF($V$1=Horodateur11233538192231343743464952555861646985222634384650585462667074788290989410210611411811012212613013413814214615015415816216617017417818218619019419820220621021441014182226303438465054586266707680[[#This Row],[Tâche]],Horodateur11233538192231343743464952555861646985222634384650585462667074788290989410210611411811012212613013413814214615015415816216617017417818218619019419820220621021441014182226303438465054586266707680[[#This Row],[Durée (100)]],"")</f>
        <v/>
      </c>
      <c r="W25" s="56" t="str">
        <f aca="false">IF($W$1=Horodateur11233538192231343743464952555861646985222634384650585462667074788290989410210611411811012212613013413814214615015415816216617017417818218619019419820220621021441014182226303438465054586266707680[[#This Row],[Tâche]],Horodateur11233538192231343743464952555861646985222634384650585462667074788290989410210611411811012212613013413814214615015415816216617017417818218619019419820220621021441014182226303438465054586266707680[[#This Row],[Durée (100)]],"")</f>
        <v/>
      </c>
      <c r="X25" s="174"/>
      <c r="Y25" s="71"/>
      <c r="Z25" s="71"/>
      <c r="AA25" s="71"/>
      <c r="AB25" s="71"/>
      <c r="AC25" s="71"/>
      <c r="AD25" s="71"/>
      <c r="AE25" s="71"/>
      <c r="AF25" s="71"/>
      <c r="AG25" s="71"/>
      <c r="AH25" s="71"/>
      <c r="AI25" s="71"/>
      <c r="AJ25" s="71"/>
      <c r="AK25" s="71"/>
      <c r="AL25" s="71"/>
      <c r="AM25" s="71"/>
      <c r="AN25" s="71"/>
      <c r="AO25" s="71"/>
      <c r="AP25" s="71"/>
      <c r="AQ25" s="71"/>
      <c r="AR25" s="71"/>
      <c r="AS25" s="71"/>
      <c r="AT25" s="71"/>
      <c r="AU25" s="71"/>
      <c r="AV25" s="71"/>
      <c r="AW25" s="71"/>
      <c r="AX25" s="71"/>
      <c r="AY25" s="71"/>
      <c r="AZ25" s="71"/>
      <c r="BA25" s="71"/>
    </row>
    <row r="26" customFormat="false" ht="15" hidden="false" customHeight="false" outlineLevel="0" collapsed="false">
      <c r="A26" s="256" t="n">
        <f aca="false">IF(Horodateur11233538192231343743464952555861646985222634384650585462667074788290989410210611411811012212613013413814214615015415816216617017417818218619019419820220621021441014182226303438465054586266707680[[#This Row],[Jour]]="1- Lundi",$B$1+1, IF(Horodateur11233538192231343743464952555861646985222634384650585462667074788290989410210611411811012212613013413814214615015415816216617017417818218619019419820220621021441014182226303438465054586266707680[[#This Row],[Jour]]="2- Mardi",$B$1+2, IF(Horodateur11233538192231343743464952555861646985222634384650585462667074788290989410210611411811012212613013413814214615015415816216617017417818218619019419820220621021441014182226303438465054586266707680[[#This Row],[Jour]]="3- Mercredi",$B$1+3, IF(Horodateur11233538192231343743464952555861646985222634384650585462667074788290989410210611411811012212613013413814214615015415816216617017417818218619019419820220621021441014182226303438465054586266707680[[#This Row],[Jour]]="4- Jeudi",$B$1+4, IF(Horodateur11233538192231343743464952555861646985222634384650585462667074788290989410210611411811012212613013413814214615015415816216617017417818218619019419820220621021441014182226303438465054586266707680[[#This Row],[Jour]]="5- Vendredi",$B$1+5, IF(Horodateur11233538192231343743464952555861646985222634384650585462667074788290989410210611411811012212613013413814214615015415816216617017417818218619019419820220621021441014182226303438465054586266707680[[#This Row],[Jour]]="6- Samedi",$B$1+6, IF(Horodateur11233538192231343743464952555861646985222634384650585462667074788290989410210611411811012212613013413814214615015415816216617017417818218619019419820220621021441014182226303438465054586266707680[[#This Row],[Jour]]="7- Dimanche",$B$1, )))))))</f>
        <v>44308</v>
      </c>
      <c r="B26" s="257" t="s">
        <v>324</v>
      </c>
      <c r="C26" s="258" t="n">
        <v>0.583333333333333</v>
      </c>
      <c r="D26" s="258" t="n">
        <v>0.6875</v>
      </c>
      <c r="E26" s="71" t="s">
        <v>37</v>
      </c>
      <c r="F26" s="71" t="s">
        <v>19</v>
      </c>
      <c r="G26" s="259" t="s">
        <v>371</v>
      </c>
      <c r="H26" s="258" t="n">
        <f aca="false">IF($C26=0,"",$D26-$C26)</f>
        <v>0.104166666666667</v>
      </c>
      <c r="I26" s="260" t="n">
        <f aca="false">IF($C26=0,"",($H26-INT($H26))*24)</f>
        <v>2.5</v>
      </c>
      <c r="J26" s="303" t="n">
        <f aca="false">SUMIF(Horodateur11233538192231343743464952555861646985222634384650585462667074788290989410210611411811012212613013413814214615015415816216617017417818218619019419820220621021441014182226303438465054586266707680[Jour],$B26,Horodateur11233538192231343743464952555861646985222634384650585462667074788290989410210611411811012212613013413814214615015415816216617017417818218619019419820220621021441014182226303438465054586266707680[Durée (100)])</f>
        <v>7.75</v>
      </c>
      <c r="K26" s="304" t="s">
        <v>31</v>
      </c>
      <c r="L26" s="263" t="n">
        <f aca="false">IF(Horodateur11233538192231343743464952555861646985222634384650585462667074788290989410210611411811012212613013413814214615015415816216617017417818218619019419820220621021441014182226303438465054586266707680[[#This Row],[O]]="o",Horodateur11233538192231343743464952555861646985222634384650585462667074788290989410210611411811012212613013413814214615015415816216617017417818218619019419820220621021441014182226303438465054586266707680[[#This Row],[Durée (100)]],".")</f>
        <v>2.5</v>
      </c>
      <c r="M26" s="308" t="n">
        <f aca="false">SUMIF(Horodateur11233538192231343743464952555861646985222634384650585462667074788290989410210611411811012212613013413814214615015415816216617017417818218619019419820220621021441014182226303438465054586266707680[Jour],$B26,P$4:P$2004) / Horodateur11233538192231343743464952555861646985222634384650585462667074788290989410210611411811012212613013413814214615015415816216617017417818218619019419820220621021441014182226303438465054586266707680[[#This Row],[hrs (100)]]</f>
        <v>0.774193548387097</v>
      </c>
      <c r="N26" s="306"/>
      <c r="O26" s="309"/>
      <c r="P26" s="56" t="n">
        <f aca="false">IF($P$1=Horodateur11233538192231343743464952555861646985222634384650585462667074788290989410210611411811012212613013413814214615015415816216617017417818218619019419820220621021441014182226303438465054586266707680[[#This Row],[Tâche]],Horodateur11233538192231343743464952555861646985222634384650585462667074788290989410210611411811012212613013413814214615015415816216617017417818218619019419820220621021441014182226303438465054586266707680[[#This Row],[Durée (100)]],"")</f>
        <v>2.5</v>
      </c>
      <c r="Q26" s="56" t="str">
        <f aca="false">IF($Q$1=Horodateur11233538192231343743464952555861646985222634384650585462667074788290989410210611411811012212613013413814214615015415816216617017417818218619019419820220621021441014182226303438465054586266707680[[#This Row],[Tâche]],Horodateur11233538192231343743464952555861646985222634384650585462667074788290989410210611411811012212613013413814214615015415816216617017417818218619019419820220621021441014182226303438465054586266707680[[#This Row],[Durée (100)]],"")</f>
        <v/>
      </c>
      <c r="R26" s="56" t="str">
        <f aca="false">IF($R$1=Horodateur11233538192231343743464952555861646985222634384650585462667074788290989410210611411811012212613013413814214615015415816216617017417818218619019419820220621021441014182226303438465054586266707680[[#This Row],[Tâche]],Horodateur11233538192231343743464952555861646985222634384650585462667074788290989410210611411811012212613013413814214615015415816216617017417818218619019419820220621021441014182226303438465054586266707680[[#This Row],[Durée (100)]],"")</f>
        <v/>
      </c>
      <c r="S26" s="56" t="str">
        <f aca="false">IF($S$1=Horodateur11233538192231343743464952555861646985222634384650585462667074788290989410210611411811012212613013413814214615015415816216617017417818218619019419820220621021441014182226303438465054586266707680[[#This Row],[Tâche]],Horodateur11233538192231343743464952555861646985222634384650585462667074788290989410210611411811012212613013413814214615015415816216617017417818218619019419820220621021441014182226303438465054586266707680[[#This Row],[Durée (100)]],"")</f>
        <v/>
      </c>
      <c r="T26" s="56" t="str">
        <f aca="false">IF($T$1=Horodateur11233538192231343743464952555861646985222634384650585462667074788290989410210611411811012212613013413814214615015415816216617017417818218619019419820220621021441014182226303438465054586266707680[[#This Row],[Tâche]],Horodateur11233538192231343743464952555861646985222634384650585462667074788290989410210611411811012212613013413814214615015415816216617017417818218619019419820220621021441014182226303438465054586266707680[[#This Row],[Durée (100)]],"")</f>
        <v/>
      </c>
      <c r="U26" s="56" t="str">
        <f aca="false">IF($U$1=Horodateur11233538192231343743464952555861646985222634384650585462667074788290989410210611411811012212613013413814214615015415816216617017417818218619019419820220621021441014182226303438465054586266707680[[#This Row],[Tâche]],Horodateur11233538192231343743464952555861646985222634384650585462667074788290989410210611411811012212613013413814214615015415816216617017417818218619019419820220621021441014182226303438465054586266707680[[#This Row],[Durée (100)]],"")</f>
        <v/>
      </c>
      <c r="V26" s="56" t="str">
        <f aca="false">IF($V$1=Horodateur11233538192231343743464952555861646985222634384650585462667074788290989410210611411811012212613013413814214615015415816216617017417818218619019419820220621021441014182226303438465054586266707680[[#This Row],[Tâche]],Horodateur11233538192231343743464952555861646985222634384650585462667074788290989410210611411811012212613013413814214615015415816216617017417818218619019419820220621021441014182226303438465054586266707680[[#This Row],[Durée (100)]],"")</f>
        <v/>
      </c>
      <c r="W26" s="56" t="str">
        <f aca="false">IF($W$1=Horodateur11233538192231343743464952555861646985222634384650585462667074788290989410210611411811012212613013413814214615015415816216617017417818218619019419820220621021441014182226303438465054586266707680[[#This Row],[Tâche]],Horodateur11233538192231343743464952555861646985222634384650585462667074788290989410210611411811012212613013413814214615015415816216617017417818218619019419820220621021441014182226303438465054586266707680[[#This Row],[Durée (100)]],"")</f>
        <v/>
      </c>
      <c r="X26" s="174"/>
      <c r="Y26" s="71"/>
      <c r="Z26" s="71"/>
      <c r="AA26" s="71"/>
      <c r="AB26" s="71"/>
      <c r="AC26" s="71"/>
      <c r="AD26" s="71"/>
      <c r="AE26" s="71"/>
      <c r="AF26" s="71"/>
      <c r="AG26" s="71"/>
      <c r="AH26" s="71"/>
      <c r="AI26" s="71"/>
      <c r="AJ26" s="71"/>
      <c r="AK26" s="71"/>
      <c r="AL26" s="71"/>
      <c r="AM26" s="71"/>
      <c r="AN26" s="71"/>
      <c r="AO26" s="71"/>
      <c r="AP26" s="71"/>
      <c r="AQ26" s="71"/>
      <c r="AR26" s="71"/>
      <c r="AS26" s="71"/>
      <c r="AT26" s="71"/>
      <c r="AU26" s="71"/>
      <c r="AV26" s="71"/>
      <c r="AW26" s="71"/>
      <c r="AX26" s="71"/>
      <c r="AY26" s="71"/>
      <c r="AZ26" s="71"/>
      <c r="BA26" s="71"/>
    </row>
    <row r="27" customFormat="false" ht="15" hidden="false" customHeight="false" outlineLevel="0" collapsed="false">
      <c r="A27" s="256" t="n">
        <f aca="false">IF(Horodateur11233538192231343743464952555861646985222634384650585462667074788290989410210611411811012212613013413814214615015415816216617017417818218619019419820220621021441014182226303438465054586266707680[[#This Row],[Jour]]="1- Lundi",$B$1+1, IF(Horodateur11233538192231343743464952555861646985222634384650585462667074788290989410210611411811012212613013413814214615015415816216617017417818218619019419820220621021441014182226303438465054586266707680[[#This Row],[Jour]]="2- Mardi",$B$1+2, IF(Horodateur11233538192231343743464952555861646985222634384650585462667074788290989410210611411811012212613013413814214615015415816216617017417818218619019419820220621021441014182226303438465054586266707680[[#This Row],[Jour]]="3- Mercredi",$B$1+3, IF(Horodateur11233538192231343743464952555861646985222634384650585462667074788290989410210611411811012212613013413814214615015415816216617017417818218619019419820220621021441014182226303438465054586266707680[[#This Row],[Jour]]="4- Jeudi",$B$1+4, IF(Horodateur11233538192231343743464952555861646985222634384650585462667074788290989410210611411811012212613013413814214615015415816216617017417818218619019419820220621021441014182226303438465054586266707680[[#This Row],[Jour]]="5- Vendredi",$B$1+5, IF(Horodateur11233538192231343743464952555861646985222634384650585462667074788290989410210611411811012212613013413814214615015415816216617017417818218619019419820220621021441014182226303438465054586266707680[[#This Row],[Jour]]="6- Samedi",$B$1+6, IF(Horodateur11233538192231343743464952555861646985222634384650585462667074788290989410210611411811012212613013413814214615015415816216617017417818218619019419820220621021441014182226303438465054586266707680[[#This Row],[Jour]]="7- Dimanche",$B$1, )))))))</f>
        <v>44308</v>
      </c>
      <c r="B27" s="257" t="s">
        <v>324</v>
      </c>
      <c r="C27" s="258" t="n">
        <v>0.6875</v>
      </c>
      <c r="D27" s="258" t="n">
        <v>0.708333333333333</v>
      </c>
      <c r="E27" s="71" t="s">
        <v>63</v>
      </c>
      <c r="F27" s="71" t="s">
        <v>19</v>
      </c>
      <c r="G27" s="259" t="s">
        <v>372</v>
      </c>
      <c r="H27" s="258" t="n">
        <f aca="false">IF($C27=0,"",$D27-$C27)</f>
        <v>0.0208333333333334</v>
      </c>
      <c r="I27" s="260" t="n">
        <f aca="false">IF($C27=0,"",($H27-INT($H27))*24)</f>
        <v>0.5</v>
      </c>
      <c r="J27" s="303" t="n">
        <f aca="false">SUMIF(Horodateur11233538192231343743464952555861646985222634384650585462667074788290989410210611411811012212613013413814214615015415816216617017417818218619019419820220621021441014182226303438465054586266707680[Jour],$B27,Horodateur11233538192231343743464952555861646985222634384650585462667074788290989410210611411811012212613013413814214615015415816216617017417818218619019419820220621021441014182226303438465054586266707680[Durée (100)])</f>
        <v>7.75</v>
      </c>
      <c r="K27" s="304" t="s">
        <v>31</v>
      </c>
      <c r="L27" s="263" t="n">
        <f aca="false">IF(Horodateur11233538192231343743464952555861646985222634384650585462667074788290989410210611411811012212613013413814214615015415816216617017417818218619019419820220621021441014182226303438465054586266707680[[#This Row],[O]]="o",Horodateur11233538192231343743464952555861646985222634384650585462667074788290989410210611411811012212613013413814214615015415816216617017417818218619019419820220621021441014182226303438465054586266707680[[#This Row],[Durée (100)]],".")</f>
        <v>0.500000000000001</v>
      </c>
      <c r="M27" s="308" t="n">
        <f aca="false">SUMIF(Horodateur11233538192231343743464952555861646985222634384650585462667074788290989410210611411811012212613013413814214615015415816216617017417818218619019419820220621021441014182226303438465054586266707680[Jour],$B27,P$4:P$2004) / Horodateur11233538192231343743464952555861646985222634384650585462667074788290989410210611411811012212613013413814214615015415816216617017417818218619019419820220621021441014182226303438465054586266707680[[#This Row],[hrs (100)]]</f>
        <v>0.774193548387097</v>
      </c>
      <c r="N27" s="306"/>
      <c r="O27" s="309"/>
      <c r="P27" s="56" t="n">
        <f aca="false">IF($P$1=Horodateur11233538192231343743464952555861646985222634384650585462667074788290989410210611411811012212613013413814214615015415816216617017417818218619019419820220621021441014182226303438465054586266707680[[#This Row],[Tâche]],Horodateur11233538192231343743464952555861646985222634384650585462667074788290989410210611411811012212613013413814214615015415816216617017417818218619019419820220621021441014182226303438465054586266707680[[#This Row],[Durée (100)]],"")</f>
        <v>0.500000000000001</v>
      </c>
      <c r="Q27" s="56" t="str">
        <f aca="false">IF($Q$1=Horodateur11233538192231343743464952555861646985222634384650585462667074788290989410210611411811012212613013413814214615015415816216617017417818218619019419820220621021441014182226303438465054586266707680[[#This Row],[Tâche]],Horodateur11233538192231343743464952555861646985222634384650585462667074788290989410210611411811012212613013413814214615015415816216617017417818218619019419820220621021441014182226303438465054586266707680[[#This Row],[Durée (100)]],"")</f>
        <v/>
      </c>
      <c r="R27" s="56" t="str">
        <f aca="false">IF($R$1=Horodateur11233538192231343743464952555861646985222634384650585462667074788290989410210611411811012212613013413814214615015415816216617017417818218619019419820220621021441014182226303438465054586266707680[[#This Row],[Tâche]],Horodateur11233538192231343743464952555861646985222634384650585462667074788290989410210611411811012212613013413814214615015415816216617017417818218619019419820220621021441014182226303438465054586266707680[[#This Row],[Durée (100)]],"")</f>
        <v/>
      </c>
      <c r="S27" s="56" t="str">
        <f aca="false">IF($S$1=Horodateur11233538192231343743464952555861646985222634384650585462667074788290989410210611411811012212613013413814214615015415816216617017417818218619019419820220621021441014182226303438465054586266707680[[#This Row],[Tâche]],Horodateur11233538192231343743464952555861646985222634384650585462667074788290989410210611411811012212613013413814214615015415816216617017417818218619019419820220621021441014182226303438465054586266707680[[#This Row],[Durée (100)]],"")</f>
        <v/>
      </c>
      <c r="T27" s="56" t="str">
        <f aca="false">IF($T$1=Horodateur11233538192231343743464952555861646985222634384650585462667074788290989410210611411811012212613013413814214615015415816216617017417818218619019419820220621021441014182226303438465054586266707680[[#This Row],[Tâche]],Horodateur11233538192231343743464952555861646985222634384650585462667074788290989410210611411811012212613013413814214615015415816216617017417818218619019419820220621021441014182226303438465054586266707680[[#This Row],[Durée (100)]],"")</f>
        <v/>
      </c>
      <c r="U27" s="56" t="str">
        <f aca="false">IF($U$1=Horodateur11233538192231343743464952555861646985222634384650585462667074788290989410210611411811012212613013413814214615015415816216617017417818218619019419820220621021441014182226303438465054586266707680[[#This Row],[Tâche]],Horodateur11233538192231343743464952555861646985222634384650585462667074788290989410210611411811012212613013413814214615015415816216617017417818218619019419820220621021441014182226303438465054586266707680[[#This Row],[Durée (100)]],"")</f>
        <v/>
      </c>
      <c r="V27" s="56" t="str">
        <f aca="false">IF($V$1=Horodateur11233538192231343743464952555861646985222634384650585462667074788290989410210611411811012212613013413814214615015415816216617017417818218619019419820220621021441014182226303438465054586266707680[[#This Row],[Tâche]],Horodateur11233538192231343743464952555861646985222634384650585462667074788290989410210611411811012212613013413814214615015415816216617017417818218619019419820220621021441014182226303438465054586266707680[[#This Row],[Durée (100)]],"")</f>
        <v/>
      </c>
      <c r="W27" s="56" t="str">
        <f aca="false">IF($W$1=Horodateur11233538192231343743464952555861646985222634384650585462667074788290989410210611411811012212613013413814214615015415816216617017417818218619019419820220621021441014182226303438465054586266707680[[#This Row],[Tâche]],Horodateur11233538192231343743464952555861646985222634384650585462667074788290989410210611411811012212613013413814214615015415816216617017417818218619019419820220621021441014182226303438465054586266707680[[#This Row],[Durée (100)]],"")</f>
        <v/>
      </c>
      <c r="X27" s="174"/>
      <c r="Y27" s="71"/>
      <c r="Z27" s="71"/>
      <c r="AA27" s="71"/>
      <c r="AB27" s="71"/>
      <c r="AC27" s="71"/>
      <c r="AD27" s="71"/>
      <c r="AE27" s="71"/>
      <c r="AF27" s="71"/>
      <c r="AG27" s="71"/>
      <c r="AH27" s="71"/>
      <c r="AI27" s="71"/>
      <c r="AJ27" s="71"/>
      <c r="AK27" s="71"/>
      <c r="AL27" s="71"/>
      <c r="AM27" s="71"/>
      <c r="AN27" s="71"/>
      <c r="AO27" s="71"/>
      <c r="AP27" s="71"/>
      <c r="AQ27" s="71"/>
      <c r="AR27" s="71"/>
      <c r="AS27" s="71"/>
      <c r="AT27" s="71"/>
      <c r="AU27" s="71"/>
      <c r="AV27" s="71"/>
      <c r="AW27" s="71"/>
      <c r="AX27" s="71"/>
      <c r="AY27" s="71"/>
      <c r="AZ27" s="71"/>
      <c r="BA27" s="71"/>
    </row>
    <row r="28" customFormat="false" ht="15" hidden="false" customHeight="false" outlineLevel="0" collapsed="false">
      <c r="A28" s="256" t="n">
        <f aca="false">IF(Horodateur11233538192231343743464952555861646985222634384650585462667074788290989410210611411811012212613013413814214615015415816216617017417818218619019419820220621021441014182226303438465054586266707680[[#This Row],[Jour]]="1- Lundi",$B$1+1, IF(Horodateur11233538192231343743464952555861646985222634384650585462667074788290989410210611411811012212613013413814214615015415816216617017417818218619019419820220621021441014182226303438465054586266707680[[#This Row],[Jour]]="2- Mardi",$B$1+2, IF(Horodateur11233538192231343743464952555861646985222634384650585462667074788290989410210611411811012212613013413814214615015415816216617017417818218619019419820220621021441014182226303438465054586266707680[[#This Row],[Jour]]="3- Mercredi",$B$1+3, IF(Horodateur11233538192231343743464952555861646985222634384650585462667074788290989410210611411811012212613013413814214615015415816216617017417818218619019419820220621021441014182226303438465054586266707680[[#This Row],[Jour]]="4- Jeudi",$B$1+4, IF(Horodateur11233538192231343743464952555861646985222634384650585462667074788290989410210611411811012212613013413814214615015415816216617017417818218619019419820220621021441014182226303438465054586266707680[[#This Row],[Jour]]="5- Vendredi",$B$1+5, IF(Horodateur11233538192231343743464952555861646985222634384650585462667074788290989410210611411811012212613013413814214615015415816216617017417818218619019419820220621021441014182226303438465054586266707680[[#This Row],[Jour]]="6- Samedi",$B$1+6, IF(Horodateur11233538192231343743464952555861646985222634384650585462667074788290989410210611411811012212613013413814214615015415816216617017417818218619019419820220621021441014182226303438465054586266707680[[#This Row],[Jour]]="7- Dimanche",$B$1, )))))))</f>
        <v>44308</v>
      </c>
      <c r="B28" s="257" t="s">
        <v>324</v>
      </c>
      <c r="C28" s="258" t="n">
        <v>0.708333333333333</v>
      </c>
      <c r="D28" s="258" t="n">
        <v>0.729166666666667</v>
      </c>
      <c r="E28" s="71" t="s">
        <v>32</v>
      </c>
      <c r="F28" s="71" t="s">
        <v>22</v>
      </c>
      <c r="G28" s="259"/>
      <c r="H28" s="258" t="n">
        <f aca="false">IF($C28=0,"",$D28-$C28)</f>
        <v>0.0208333333333333</v>
      </c>
      <c r="I28" s="260" t="n">
        <f aca="false">IF($C28=0,"",($H28-INT($H28))*24)</f>
        <v>0.5</v>
      </c>
      <c r="J28" s="303" t="n">
        <f aca="false">SUMIF(Horodateur11233538192231343743464952555861646985222634384650585462667074788290989410210611411811012212613013413814214615015415816216617017417818218619019419820220621021441014182226303438465054586266707680[Jour],$B28,Horodateur11233538192231343743464952555861646985222634384650585462667074788290989410210611411811012212613013413814214615015415816216617017417818218619019419820220621021441014182226303438465054586266707680[Durée (100)])</f>
        <v>7.75</v>
      </c>
      <c r="K28" s="304" t="s">
        <v>31</v>
      </c>
      <c r="L28" s="263" t="n">
        <f aca="false">IF(Horodateur11233538192231343743464952555861646985222634384650585462667074788290989410210611411811012212613013413814214615015415816216617017417818218619019419820220621021441014182226303438465054586266707680[[#This Row],[O]]="o",Horodateur11233538192231343743464952555861646985222634384650585462667074788290989410210611411811012212613013413814214615015415816216617017417818218619019419820220621021441014182226303438465054586266707680[[#This Row],[Durée (100)]],".")</f>
        <v>0.499999999999998</v>
      </c>
      <c r="M28" s="308" t="n">
        <f aca="false">SUMIF(Horodateur11233538192231343743464952555861646985222634384650585462667074788290989410210611411811012212613013413814214615015415816216617017417818218619019419820220621021441014182226303438465054586266707680[Jour],$B28,P$4:P$2004) / Horodateur11233538192231343743464952555861646985222634384650585462667074788290989410210611411811012212613013413814214615015415816216617017417818218619019419820220621021441014182226303438465054586266707680[[#This Row],[hrs (100)]]</f>
        <v>0.774193548387097</v>
      </c>
      <c r="N28" s="306"/>
      <c r="O28" s="309"/>
      <c r="P28" s="56" t="str">
        <f aca="false">IF($P$1=Horodateur11233538192231343743464952555861646985222634384650585462667074788290989410210611411811012212613013413814214615015415816216617017417818218619019419820220621021441014182226303438465054586266707680[[#This Row],[Tâche]],Horodateur11233538192231343743464952555861646985222634384650585462667074788290989410210611411811012212613013413814214615015415816216617017417818218619019419820220621021441014182226303438465054586266707680[[#This Row],[Durée (100)]],"")</f>
        <v/>
      </c>
      <c r="Q28" s="56" t="str">
        <f aca="false">IF($Q$1=Horodateur11233538192231343743464952555861646985222634384650585462667074788290989410210611411811012212613013413814214615015415816216617017417818218619019419820220621021441014182226303438465054586266707680[[#This Row],[Tâche]],Horodateur11233538192231343743464952555861646985222634384650585462667074788290989410210611411811012212613013413814214615015415816216617017417818218619019419820220621021441014182226303438465054586266707680[[#This Row],[Durée (100)]],"")</f>
        <v/>
      </c>
      <c r="R28" s="56" t="str">
        <f aca="false">IF($R$1=Horodateur11233538192231343743464952555861646985222634384650585462667074788290989410210611411811012212613013413814214615015415816216617017417818218619019419820220621021441014182226303438465054586266707680[[#This Row],[Tâche]],Horodateur11233538192231343743464952555861646985222634384650585462667074788290989410210611411811012212613013413814214615015415816216617017417818218619019419820220621021441014182226303438465054586266707680[[#This Row],[Durée (100)]],"")</f>
        <v/>
      </c>
      <c r="S28" s="56" t="n">
        <f aca="false">IF($S$1=Horodateur11233538192231343743464952555861646985222634384650585462667074788290989410210611411811012212613013413814214615015415816216617017417818218619019419820220621021441014182226303438465054586266707680[[#This Row],[Tâche]],Horodateur11233538192231343743464952555861646985222634384650585462667074788290989410210611411811012212613013413814214615015415816216617017417818218619019419820220621021441014182226303438465054586266707680[[#This Row],[Durée (100)]],"")</f>
        <v>0.499999999999998</v>
      </c>
      <c r="T28" s="56" t="str">
        <f aca="false">IF($T$1=Horodateur11233538192231343743464952555861646985222634384650585462667074788290989410210611411811012212613013413814214615015415816216617017417818218619019419820220621021441014182226303438465054586266707680[[#This Row],[Tâche]],Horodateur11233538192231343743464952555861646985222634384650585462667074788290989410210611411811012212613013413814214615015415816216617017417818218619019419820220621021441014182226303438465054586266707680[[#This Row],[Durée (100)]],"")</f>
        <v/>
      </c>
      <c r="U28" s="56" t="str">
        <f aca="false">IF($U$1=Horodateur11233538192231343743464952555861646985222634384650585462667074788290989410210611411811012212613013413814214615015415816216617017417818218619019419820220621021441014182226303438465054586266707680[[#This Row],[Tâche]],Horodateur11233538192231343743464952555861646985222634384650585462667074788290989410210611411811012212613013413814214615015415816216617017417818218619019419820220621021441014182226303438465054586266707680[[#This Row],[Durée (100)]],"")</f>
        <v/>
      </c>
      <c r="V28" s="56" t="str">
        <f aca="false">IF($V$1=Horodateur11233538192231343743464952555861646985222634384650585462667074788290989410210611411811012212613013413814214615015415816216617017417818218619019419820220621021441014182226303438465054586266707680[[#This Row],[Tâche]],Horodateur11233538192231343743464952555861646985222634384650585462667074788290989410210611411811012212613013413814214615015415816216617017417818218619019419820220621021441014182226303438465054586266707680[[#This Row],[Durée (100)]],"")</f>
        <v/>
      </c>
      <c r="W28" s="56" t="str">
        <f aca="false">IF($W$1=Horodateur11233538192231343743464952555861646985222634384650585462667074788290989410210611411811012212613013413814214615015415816216617017417818218619019419820220621021441014182226303438465054586266707680[[#This Row],[Tâche]],Horodateur11233538192231343743464952555861646985222634384650585462667074788290989410210611411811012212613013413814214615015415816216617017417818218619019419820220621021441014182226303438465054586266707680[[#This Row],[Durée (100)]],"")</f>
        <v/>
      </c>
      <c r="X28" s="174"/>
      <c r="Y28" s="71"/>
      <c r="Z28" s="71"/>
      <c r="AA28" s="71"/>
      <c r="AB28" s="71"/>
      <c r="AC28" s="71"/>
      <c r="AD28" s="71"/>
      <c r="AE28" s="71"/>
      <c r="AF28" s="71"/>
      <c r="AG28" s="71"/>
      <c r="AH28" s="71"/>
      <c r="AI28" s="71"/>
      <c r="AJ28" s="71"/>
      <c r="AK28" s="71"/>
      <c r="AL28" s="71"/>
      <c r="AM28" s="71"/>
      <c r="AN28" s="71"/>
      <c r="AO28" s="71"/>
      <c r="AP28" s="71"/>
      <c r="AQ28" s="71"/>
      <c r="AR28" s="71"/>
      <c r="AS28" s="71"/>
      <c r="AT28" s="71"/>
      <c r="AU28" s="71"/>
      <c r="AV28" s="71"/>
      <c r="AW28" s="71"/>
      <c r="AX28" s="71"/>
      <c r="AY28" s="71"/>
      <c r="AZ28" s="71"/>
      <c r="BA28" s="71"/>
    </row>
    <row r="29" customFormat="false" ht="15" hidden="false" customHeight="false" outlineLevel="0" collapsed="false">
      <c r="A29" s="256" t="n">
        <f aca="false">IF(Horodateur11233538192231343743464952555861646985222634384650585462667074788290989410210611411811012212613013413814214615015415816216617017417818218619019419820220621021441014182226303438465054586266707680[[#This Row],[Jour]]="1- Lundi",$B$1+1, IF(Horodateur11233538192231343743464952555861646985222634384650585462667074788290989410210611411811012212613013413814214615015415816216617017417818218619019419820220621021441014182226303438465054586266707680[[#This Row],[Jour]]="2- Mardi",$B$1+2, IF(Horodateur11233538192231343743464952555861646985222634384650585462667074788290989410210611411811012212613013413814214615015415816216617017417818218619019419820220621021441014182226303438465054586266707680[[#This Row],[Jour]]="3- Mercredi",$B$1+3, IF(Horodateur11233538192231343743464952555861646985222634384650585462667074788290989410210611411811012212613013413814214615015415816216617017417818218619019419820220621021441014182226303438465054586266707680[[#This Row],[Jour]]="4- Jeudi",$B$1+4, IF(Horodateur11233538192231343743464952555861646985222634384650585462667074788290989410210611411811012212613013413814214615015415816216617017417818218619019419820220621021441014182226303438465054586266707680[[#This Row],[Jour]]="5- Vendredi",$B$1+5, IF(Horodateur11233538192231343743464952555861646985222634384650585462667074788290989410210611411811012212613013413814214615015415816216617017417818218619019419820220621021441014182226303438465054586266707680[[#This Row],[Jour]]="6- Samedi",$B$1+6, IF(Horodateur11233538192231343743464952555861646985222634384650585462667074788290989410210611411811012212613013413814214615015415816216617017417818218619019419820220621021441014182226303438465054586266707680[[#This Row],[Jour]]="7- Dimanche",$B$1, )))))))</f>
        <v>44309</v>
      </c>
      <c r="B29" s="257" t="s">
        <v>332</v>
      </c>
      <c r="C29" s="258" t="n">
        <v>0.3125</v>
      </c>
      <c r="D29" s="258" t="n">
        <v>0.354166666666667</v>
      </c>
      <c r="E29" s="71" t="s">
        <v>32</v>
      </c>
      <c r="F29" s="71" t="s">
        <v>22</v>
      </c>
      <c r="G29" s="259"/>
      <c r="H29" s="258" t="n">
        <f aca="false">IF($C29=0,"",$D29-$C29)</f>
        <v>0.0416666666666667</v>
      </c>
      <c r="I29" s="260" t="n">
        <f aca="false">IF($C29=0,"",($H29-INT($H29))*24)</f>
        <v>1</v>
      </c>
      <c r="J29" s="303" t="n">
        <f aca="false">SUMIF(Horodateur11233538192231343743464952555861646985222634384650585462667074788290989410210611411811012212613013413814214615015415816216617017417818218619019419820220621021441014182226303438465054586266707680[Jour],$B29,Horodateur11233538192231343743464952555861646985222634384650585462667074788290989410210611411811012212613013413814214615015415816216617017417818218619019419820220621021441014182226303438465054586266707680[Durée (100)])</f>
        <v>9</v>
      </c>
      <c r="K29" s="304" t="s">
        <v>31</v>
      </c>
      <c r="L29" s="263" t="n">
        <f aca="false">IF(Horodateur11233538192231343743464952555861646985222634384650585462667074788290989410210611411811012212613013413814214615015415816216617017417818218619019419820220621021441014182226303438465054586266707680[[#This Row],[O]]="o",Horodateur11233538192231343743464952555861646985222634384650585462667074788290989410210611411811012212613013413814214615015415816216617017417818218619019419820220621021441014182226303438465054586266707680[[#This Row],[Durée (100)]],".")</f>
        <v>1</v>
      </c>
      <c r="M29" s="308" t="n">
        <f aca="false">SUMIF(Horodateur11233538192231343743464952555861646985222634384650585462667074788290989410210611411811012212613013413814214615015415816216617017417818218619019419820220621021441014182226303438465054586266707680[Jour],$B29,P$4:P$2004) / Horodateur11233538192231343743464952555861646985222634384650585462667074788290989410210611411811012212613013413814214615015415816216617017417818218619019419820220621021441014182226303438465054586266707680[[#This Row],[hrs (100)]]</f>
        <v>0.111111111111111</v>
      </c>
      <c r="N29" s="306"/>
      <c r="O29" s="309"/>
      <c r="P29" s="56" t="str">
        <f aca="false">IF($P$1=Horodateur11233538192231343743464952555861646985222634384650585462667074788290989410210611411811012212613013413814214615015415816216617017417818218619019419820220621021441014182226303438465054586266707680[[#This Row],[Tâche]],Horodateur11233538192231343743464952555861646985222634384650585462667074788290989410210611411811012212613013413814214615015415816216617017417818218619019419820220621021441014182226303438465054586266707680[[#This Row],[Durée (100)]],"")</f>
        <v/>
      </c>
      <c r="Q29" s="56" t="str">
        <f aca="false">IF($Q$1=Horodateur11233538192231343743464952555861646985222634384650585462667074788290989410210611411811012212613013413814214615015415816216617017417818218619019419820220621021441014182226303438465054586266707680[[#This Row],[Tâche]],Horodateur11233538192231343743464952555861646985222634384650585462667074788290989410210611411811012212613013413814214615015415816216617017417818218619019419820220621021441014182226303438465054586266707680[[#This Row],[Durée (100)]],"")</f>
        <v/>
      </c>
      <c r="R29" s="56" t="str">
        <f aca="false">IF($R$1=Horodateur11233538192231343743464952555861646985222634384650585462667074788290989410210611411811012212613013413814214615015415816216617017417818218619019419820220621021441014182226303438465054586266707680[[#This Row],[Tâche]],Horodateur11233538192231343743464952555861646985222634384650585462667074788290989410210611411811012212613013413814214615015415816216617017417818218619019419820220621021441014182226303438465054586266707680[[#This Row],[Durée (100)]],"")</f>
        <v/>
      </c>
      <c r="S29" s="56" t="n">
        <f aca="false">IF($S$1=Horodateur11233538192231343743464952555861646985222634384650585462667074788290989410210611411811012212613013413814214615015415816216617017417818218619019419820220621021441014182226303438465054586266707680[[#This Row],[Tâche]],Horodateur11233538192231343743464952555861646985222634384650585462667074788290989410210611411811012212613013413814214615015415816216617017417818218619019419820220621021441014182226303438465054586266707680[[#This Row],[Durée (100)]],"")</f>
        <v>1</v>
      </c>
      <c r="T29" s="56" t="str">
        <f aca="false">IF($T$1=Horodateur11233538192231343743464952555861646985222634384650585462667074788290989410210611411811012212613013413814214615015415816216617017417818218619019419820220621021441014182226303438465054586266707680[[#This Row],[Tâche]],Horodateur11233538192231343743464952555861646985222634384650585462667074788290989410210611411811012212613013413814214615015415816216617017417818218619019419820220621021441014182226303438465054586266707680[[#This Row],[Durée (100)]],"")</f>
        <v/>
      </c>
      <c r="U29" s="56" t="str">
        <f aca="false">IF($U$1=Horodateur11233538192231343743464952555861646985222634384650585462667074788290989410210611411811012212613013413814214615015415816216617017417818218619019419820220621021441014182226303438465054586266707680[[#This Row],[Tâche]],Horodateur11233538192231343743464952555861646985222634384650585462667074788290989410210611411811012212613013413814214615015415816216617017417818218619019419820220621021441014182226303438465054586266707680[[#This Row],[Durée (100)]],"")</f>
        <v/>
      </c>
      <c r="V29" s="56" t="str">
        <f aca="false">IF($V$1=Horodateur11233538192231343743464952555861646985222634384650585462667074788290989410210611411811012212613013413814214615015415816216617017417818218619019419820220621021441014182226303438465054586266707680[[#This Row],[Tâche]],Horodateur11233538192231343743464952555861646985222634384650585462667074788290989410210611411811012212613013413814214615015415816216617017417818218619019419820220621021441014182226303438465054586266707680[[#This Row],[Durée (100)]],"")</f>
        <v/>
      </c>
      <c r="W29" s="56" t="str">
        <f aca="false">IF($W$1=Horodateur11233538192231343743464952555861646985222634384650585462667074788290989410210611411811012212613013413814214615015415816216617017417818218619019419820220621021441014182226303438465054586266707680[[#This Row],[Tâche]],Horodateur11233538192231343743464952555861646985222634384650585462667074788290989410210611411811012212613013413814214615015415816216617017417818218619019419820220621021441014182226303438465054586266707680[[#This Row],[Durée (100)]],"")</f>
        <v/>
      </c>
      <c r="X29" s="174"/>
      <c r="Y29" s="71"/>
      <c r="Z29" s="71"/>
      <c r="AA29" s="71"/>
      <c r="AB29" s="71"/>
      <c r="AC29" s="71"/>
      <c r="AD29" s="71"/>
      <c r="AE29" s="71"/>
      <c r="AF29" s="71"/>
      <c r="AG29" s="71"/>
      <c r="AH29" s="71"/>
      <c r="AI29" s="71"/>
      <c r="AJ29" s="71"/>
      <c r="AK29" s="71"/>
      <c r="AL29" s="71"/>
      <c r="AM29" s="71"/>
      <c r="AN29" s="71"/>
      <c r="AO29" s="71"/>
      <c r="AP29" s="71"/>
      <c r="AQ29" s="71"/>
      <c r="AR29" s="71"/>
      <c r="AS29" s="71"/>
      <c r="AT29" s="71"/>
      <c r="AU29" s="71"/>
      <c r="AV29" s="71"/>
      <c r="AW29" s="71"/>
      <c r="AX29" s="71"/>
      <c r="AY29" s="71"/>
      <c r="AZ29" s="71"/>
      <c r="BA29" s="71"/>
    </row>
    <row r="30" customFormat="false" ht="15" hidden="false" customHeight="false" outlineLevel="0" collapsed="false">
      <c r="A30" s="256" t="n">
        <f aca="false">IF(Horodateur11233538192231343743464952555861646985222634384650585462667074788290989410210611411811012212613013413814214615015415816216617017417818218619019419820220621021441014182226303438465054586266707680[[#This Row],[Jour]]="1- Lundi",$B$1+1, IF(Horodateur11233538192231343743464952555861646985222634384650585462667074788290989410210611411811012212613013413814214615015415816216617017417818218619019419820220621021441014182226303438465054586266707680[[#This Row],[Jour]]="2- Mardi",$B$1+2, IF(Horodateur11233538192231343743464952555861646985222634384650585462667074788290989410210611411811012212613013413814214615015415816216617017417818218619019419820220621021441014182226303438465054586266707680[[#This Row],[Jour]]="3- Mercredi",$B$1+3, IF(Horodateur11233538192231343743464952555861646985222634384650585462667074788290989410210611411811012212613013413814214615015415816216617017417818218619019419820220621021441014182226303438465054586266707680[[#This Row],[Jour]]="4- Jeudi",$B$1+4, IF(Horodateur11233538192231343743464952555861646985222634384650585462667074788290989410210611411811012212613013413814214615015415816216617017417818218619019419820220621021441014182226303438465054586266707680[[#This Row],[Jour]]="5- Vendredi",$B$1+5, IF(Horodateur11233538192231343743464952555861646985222634384650585462667074788290989410210611411811012212613013413814214615015415816216617017417818218619019419820220621021441014182226303438465054586266707680[[#This Row],[Jour]]="6- Samedi",$B$1+6, IF(Horodateur11233538192231343743464952555861646985222634384650585462667074788290989410210611411811012212613013413814214615015415816216617017417818218619019419820220621021441014182226303438465054586266707680[[#This Row],[Jour]]="7- Dimanche",$B$1, )))))))</f>
        <v>44309</v>
      </c>
      <c r="B30" s="257" t="s">
        <v>332</v>
      </c>
      <c r="C30" s="258" t="n">
        <v>0.354166666666667</v>
      </c>
      <c r="D30" s="258" t="n">
        <v>0.416666666666667</v>
      </c>
      <c r="E30" s="71" t="s">
        <v>71</v>
      </c>
      <c r="F30" s="267" t="s">
        <v>23</v>
      </c>
      <c r="G30" s="259"/>
      <c r="H30" s="258" t="n">
        <f aca="false">IF($C30=0,"",$D30-$C30)</f>
        <v>0.0625</v>
      </c>
      <c r="I30" s="260" t="n">
        <f aca="false">IF($C30=0,"",($H30-INT($H30))*24)</f>
        <v>1.5</v>
      </c>
      <c r="J30" s="303" t="n">
        <f aca="false">SUMIF(Horodateur11233538192231343743464952555861646985222634384650585462667074788290989410210611411811012212613013413814214615015415816216617017417818218619019419820220621021441014182226303438465054586266707680[Jour],$B30,Horodateur11233538192231343743464952555861646985222634384650585462667074788290989410210611411811012212613013413814214615015415816216617017417818218619019419820220621021441014182226303438465054586266707680[Durée (100)])</f>
        <v>9</v>
      </c>
      <c r="K30" s="304" t="s">
        <v>31</v>
      </c>
      <c r="L30" s="263" t="n">
        <f aca="false">IF(Horodateur11233538192231343743464952555861646985222634384650585462667074788290989410210611411811012212613013413814214615015415816216617017417818218619019419820220621021441014182226303438465054586266707680[[#This Row],[O]]="o",Horodateur11233538192231343743464952555861646985222634384650585462667074788290989410210611411811012212613013413814214615015415816216617017417818218619019419820220621021441014182226303438465054586266707680[[#This Row],[Durée (100)]],".")</f>
        <v>1.5</v>
      </c>
      <c r="M30" s="308" t="n">
        <f aca="false">SUMIF(Horodateur11233538192231343743464952555861646985222634384650585462667074788290989410210611411811012212613013413814214615015415816216617017417818218619019419820220621021441014182226303438465054586266707680[Jour],$B30,P$4:P$2004) / Horodateur11233538192231343743464952555861646985222634384650585462667074788290989410210611411811012212613013413814214615015415816216617017417818218619019419820220621021441014182226303438465054586266707680[[#This Row],[hrs (100)]]</f>
        <v>0.111111111111111</v>
      </c>
      <c r="N30" s="306"/>
      <c r="O30" s="309"/>
      <c r="P30" s="56" t="str">
        <f aca="false">IF($P$1=Horodateur11233538192231343743464952555861646985222634384650585462667074788290989410210611411811012212613013413814214615015415816216617017417818218619019419820220621021441014182226303438465054586266707680[[#This Row],[Tâche]],Horodateur11233538192231343743464952555861646985222634384650585462667074788290989410210611411811012212613013413814214615015415816216617017417818218619019419820220621021441014182226303438465054586266707680[[#This Row],[Durée (100)]],"")</f>
        <v/>
      </c>
      <c r="Q30" s="56" t="str">
        <f aca="false">IF($Q$1=Horodateur11233538192231343743464952555861646985222634384650585462667074788290989410210611411811012212613013413814214615015415816216617017417818218619019419820220621021441014182226303438465054586266707680[[#This Row],[Tâche]],Horodateur11233538192231343743464952555861646985222634384650585462667074788290989410210611411811012212613013413814214615015415816216617017417818218619019419820220621021441014182226303438465054586266707680[[#This Row],[Durée (100)]],"")</f>
        <v/>
      </c>
      <c r="R30" s="56" t="str">
        <f aca="false">IF($R$1=Horodateur11233538192231343743464952555861646985222634384650585462667074788290989410210611411811012212613013413814214615015415816216617017417818218619019419820220621021441014182226303438465054586266707680[[#This Row],[Tâche]],Horodateur11233538192231343743464952555861646985222634384650585462667074788290989410210611411811012212613013413814214615015415816216617017417818218619019419820220621021441014182226303438465054586266707680[[#This Row],[Durée (100)]],"")</f>
        <v/>
      </c>
      <c r="S30" s="56" t="str">
        <f aca="false">IF($S$1=Horodateur11233538192231343743464952555861646985222634384650585462667074788290989410210611411811012212613013413814214615015415816216617017417818218619019419820220621021441014182226303438465054586266707680[[#This Row],[Tâche]],Horodateur11233538192231343743464952555861646985222634384650585462667074788290989410210611411811012212613013413814214615015415816216617017417818218619019419820220621021441014182226303438465054586266707680[[#This Row],[Durée (100)]],"")</f>
        <v/>
      </c>
      <c r="T30" s="56" t="n">
        <f aca="false">IF($T$1=Horodateur11233538192231343743464952555861646985222634384650585462667074788290989410210611411811012212613013413814214615015415816216617017417818218619019419820220621021441014182226303438465054586266707680[[#This Row],[Tâche]],Horodateur11233538192231343743464952555861646985222634384650585462667074788290989410210611411811012212613013413814214615015415816216617017417818218619019419820220621021441014182226303438465054586266707680[[#This Row],[Durée (100)]],"")</f>
        <v>1.5</v>
      </c>
      <c r="U30" s="56" t="str">
        <f aca="false">IF($U$1=Horodateur11233538192231343743464952555861646985222634384650585462667074788290989410210611411811012212613013413814214615015415816216617017417818218619019419820220621021441014182226303438465054586266707680[[#This Row],[Tâche]],Horodateur11233538192231343743464952555861646985222634384650585462667074788290989410210611411811012212613013413814214615015415816216617017417818218619019419820220621021441014182226303438465054586266707680[[#This Row],[Durée (100)]],"")</f>
        <v/>
      </c>
      <c r="V30" s="56" t="str">
        <f aca="false">IF($V$1=Horodateur11233538192231343743464952555861646985222634384650585462667074788290989410210611411811012212613013413814214615015415816216617017417818218619019419820220621021441014182226303438465054586266707680[[#This Row],[Tâche]],Horodateur11233538192231343743464952555861646985222634384650585462667074788290989410210611411811012212613013413814214615015415816216617017417818218619019419820220621021441014182226303438465054586266707680[[#This Row],[Durée (100)]],"")</f>
        <v/>
      </c>
      <c r="W30" s="56" t="str">
        <f aca="false">IF($W$1=Horodateur11233538192231343743464952555861646985222634384650585462667074788290989410210611411811012212613013413814214615015415816216617017417818218619019419820220621021441014182226303438465054586266707680[[#This Row],[Tâche]],Horodateur11233538192231343743464952555861646985222634384650585462667074788290989410210611411811012212613013413814214615015415816216617017417818218619019419820220621021441014182226303438465054586266707680[[#This Row],[Durée (100)]],"")</f>
        <v/>
      </c>
      <c r="X30" s="174"/>
      <c r="Y30" s="71"/>
      <c r="Z30" s="71"/>
      <c r="AA30" s="71"/>
      <c r="AB30" s="71"/>
      <c r="AC30" s="71"/>
      <c r="AD30" s="71"/>
      <c r="AE30" s="71"/>
      <c r="AF30" s="71"/>
      <c r="AG30" s="71"/>
      <c r="AH30" s="71"/>
      <c r="AI30" s="71"/>
      <c r="AJ30" s="71"/>
      <c r="AK30" s="71"/>
      <c r="AL30" s="71"/>
      <c r="AM30" s="71"/>
      <c r="AN30" s="71"/>
      <c r="AO30" s="71"/>
      <c r="AP30" s="71"/>
      <c r="AQ30" s="71"/>
      <c r="AR30" s="71"/>
      <c r="AS30" s="71"/>
      <c r="AT30" s="71"/>
      <c r="AU30" s="71"/>
      <c r="AV30" s="71"/>
      <c r="AW30" s="71"/>
      <c r="AX30" s="71"/>
      <c r="AY30" s="71"/>
      <c r="AZ30" s="71"/>
      <c r="BA30" s="71"/>
    </row>
    <row r="31" customFormat="false" ht="15" hidden="false" customHeight="false" outlineLevel="0" collapsed="false">
      <c r="A31" s="256" t="n">
        <f aca="false">IF(Horodateur11233538192231343743464952555861646985222634384650585462667074788290989410210611411811012212613013413814214615015415816216617017417818218619019419820220621021441014182226303438465054586266707680[[#This Row],[Jour]]="1- Lundi",$B$1+1, IF(Horodateur11233538192231343743464952555861646985222634384650585462667074788290989410210611411811012212613013413814214615015415816216617017417818218619019419820220621021441014182226303438465054586266707680[[#This Row],[Jour]]="2- Mardi",$B$1+2, IF(Horodateur11233538192231343743464952555861646985222634384650585462667074788290989410210611411811012212613013413814214615015415816216617017417818218619019419820220621021441014182226303438465054586266707680[[#This Row],[Jour]]="3- Mercredi",$B$1+3, IF(Horodateur11233538192231343743464952555861646985222634384650585462667074788290989410210611411811012212613013413814214615015415816216617017417818218619019419820220621021441014182226303438465054586266707680[[#This Row],[Jour]]="4- Jeudi",$B$1+4, IF(Horodateur11233538192231343743464952555861646985222634384650585462667074788290989410210611411811012212613013413814214615015415816216617017417818218619019419820220621021441014182226303438465054586266707680[[#This Row],[Jour]]="5- Vendredi",$B$1+5, IF(Horodateur11233538192231343743464952555861646985222634384650585462667074788290989410210611411811012212613013413814214615015415816216617017417818218619019419820220621021441014182226303438465054586266707680[[#This Row],[Jour]]="6- Samedi",$B$1+6, IF(Horodateur11233538192231343743464952555861646985222634384650585462667074788290989410210611411811012212613013413814214615015415816216617017417818218619019419820220621021441014182226303438465054586266707680[[#This Row],[Jour]]="7- Dimanche",$B$1, )))))))</f>
        <v>44309</v>
      </c>
      <c r="B31" s="257" t="s">
        <v>332</v>
      </c>
      <c r="C31" s="258" t="n">
        <v>0.416666666666667</v>
      </c>
      <c r="D31" s="258" t="n">
        <v>0.458333333333333</v>
      </c>
      <c r="E31" s="71" t="s">
        <v>59</v>
      </c>
      <c r="F31" s="71" t="s">
        <v>19</v>
      </c>
      <c r="G31" s="259" t="s">
        <v>373</v>
      </c>
      <c r="H31" s="258" t="n">
        <f aca="false">IF($C31=0,"",$D31-$C31)</f>
        <v>0.0416666666666666</v>
      </c>
      <c r="I31" s="260" t="n">
        <f aca="false">IF($C31=0,"",($H31-INT($H31))*24)</f>
        <v>0.999999999999999</v>
      </c>
      <c r="J31" s="303" t="n">
        <f aca="false">SUMIF(Horodateur11233538192231343743464952555861646985222634384650585462667074788290989410210611411811012212613013413814214615015415816216617017417818218619019419820220621021441014182226303438465054586266707680[Jour],$B31,Horodateur11233538192231343743464952555861646985222634384650585462667074788290989410210611411811012212613013413814214615015415816216617017417818218619019419820220621021441014182226303438465054586266707680[Durée (100)])</f>
        <v>9</v>
      </c>
      <c r="K31" s="304" t="s">
        <v>31</v>
      </c>
      <c r="L31" s="263" t="n">
        <f aca="false">IF(Horodateur11233538192231343743464952555861646985222634384650585462667074788290989410210611411811012212613013413814214615015415816216617017417818218619019419820220621021441014182226303438465054586266707680[[#This Row],[O]]="o",Horodateur11233538192231343743464952555861646985222634384650585462667074788290989410210611411811012212613013413814214615015415816216617017417818218619019419820220621021441014182226303438465054586266707680[[#This Row],[Durée (100)]],".")</f>
        <v>0.999999999999999</v>
      </c>
      <c r="M31" s="308" t="n">
        <f aca="false">SUMIF(Horodateur11233538192231343743464952555861646985222634384650585462667074788290989410210611411811012212613013413814214615015415816216617017417818218619019419820220621021441014182226303438465054586266707680[Jour],$B31,P$4:P$2004) / Horodateur11233538192231343743464952555861646985222634384650585462667074788290989410210611411811012212613013413814214615015415816216617017417818218619019419820220621021441014182226303438465054586266707680[[#This Row],[hrs (100)]]</f>
        <v>0.111111111111111</v>
      </c>
      <c r="N31" s="306"/>
      <c r="O31" s="309"/>
      <c r="P31" s="56" t="n">
        <f aca="false">IF($P$1=Horodateur11233538192231343743464952555861646985222634384650585462667074788290989410210611411811012212613013413814214615015415816216617017417818218619019419820220621021441014182226303438465054586266707680[[#This Row],[Tâche]],Horodateur11233538192231343743464952555861646985222634384650585462667074788290989410210611411811012212613013413814214615015415816216617017417818218619019419820220621021441014182226303438465054586266707680[[#This Row],[Durée (100)]],"")</f>
        <v>0.999999999999999</v>
      </c>
      <c r="Q31" s="56" t="str">
        <f aca="false">IF($Q$1=Horodateur11233538192231343743464952555861646985222634384650585462667074788290989410210611411811012212613013413814214615015415816216617017417818218619019419820220621021441014182226303438465054586266707680[[#This Row],[Tâche]],Horodateur11233538192231343743464952555861646985222634384650585462667074788290989410210611411811012212613013413814214615015415816216617017417818218619019419820220621021441014182226303438465054586266707680[[#This Row],[Durée (100)]],"")</f>
        <v/>
      </c>
      <c r="R31" s="56" t="str">
        <f aca="false">IF($R$1=Horodateur11233538192231343743464952555861646985222634384650585462667074788290989410210611411811012212613013413814214615015415816216617017417818218619019419820220621021441014182226303438465054586266707680[[#This Row],[Tâche]],Horodateur11233538192231343743464952555861646985222634384650585462667074788290989410210611411811012212613013413814214615015415816216617017417818218619019419820220621021441014182226303438465054586266707680[[#This Row],[Durée (100)]],"")</f>
        <v/>
      </c>
      <c r="S31" s="56" t="str">
        <f aca="false">IF($S$1=Horodateur11233538192231343743464952555861646985222634384650585462667074788290989410210611411811012212613013413814214615015415816216617017417818218619019419820220621021441014182226303438465054586266707680[[#This Row],[Tâche]],Horodateur11233538192231343743464952555861646985222634384650585462667074788290989410210611411811012212613013413814214615015415816216617017417818218619019419820220621021441014182226303438465054586266707680[[#This Row],[Durée (100)]],"")</f>
        <v/>
      </c>
      <c r="T31" s="56" t="str">
        <f aca="false">IF($T$1=Horodateur11233538192231343743464952555861646985222634384650585462667074788290989410210611411811012212613013413814214615015415816216617017417818218619019419820220621021441014182226303438465054586266707680[[#This Row],[Tâche]],Horodateur11233538192231343743464952555861646985222634384650585462667074788290989410210611411811012212613013413814214615015415816216617017417818218619019419820220621021441014182226303438465054586266707680[[#This Row],[Durée (100)]],"")</f>
        <v/>
      </c>
      <c r="U31" s="56" t="str">
        <f aca="false">IF($U$1=Horodateur11233538192231343743464952555861646985222634384650585462667074788290989410210611411811012212613013413814214615015415816216617017417818218619019419820220621021441014182226303438465054586266707680[[#This Row],[Tâche]],Horodateur11233538192231343743464952555861646985222634384650585462667074788290989410210611411811012212613013413814214615015415816216617017417818218619019419820220621021441014182226303438465054586266707680[[#This Row],[Durée (100)]],"")</f>
        <v/>
      </c>
      <c r="V31" s="56" t="str">
        <f aca="false">IF($V$1=Horodateur11233538192231343743464952555861646985222634384650585462667074788290989410210611411811012212613013413814214615015415816216617017417818218619019419820220621021441014182226303438465054586266707680[[#This Row],[Tâche]],Horodateur11233538192231343743464952555861646985222634384650585462667074788290989410210611411811012212613013413814214615015415816216617017417818218619019419820220621021441014182226303438465054586266707680[[#This Row],[Durée (100)]],"")</f>
        <v/>
      </c>
      <c r="W31" s="56" t="str">
        <f aca="false">IF($W$1=Horodateur11233538192231343743464952555861646985222634384650585462667074788290989410210611411811012212613013413814214615015415816216617017417818218619019419820220621021441014182226303438465054586266707680[[#This Row],[Tâche]],Horodateur11233538192231343743464952555861646985222634384650585462667074788290989410210611411811012212613013413814214615015415816216617017417818218619019419820220621021441014182226303438465054586266707680[[#This Row],[Durée (100)]],"")</f>
        <v/>
      </c>
      <c r="X31" s="174"/>
      <c r="Y31" s="71"/>
      <c r="Z31" s="71"/>
      <c r="AA31" s="71"/>
      <c r="AB31" s="71"/>
      <c r="AC31" s="71"/>
      <c r="AD31" s="71"/>
      <c r="AE31" s="71"/>
      <c r="AF31" s="71"/>
      <c r="AG31" s="71"/>
      <c r="AH31" s="71"/>
      <c r="AI31" s="71"/>
      <c r="AJ31" s="71"/>
      <c r="AK31" s="71"/>
      <c r="AL31" s="71"/>
      <c r="AM31" s="71"/>
      <c r="AN31" s="71"/>
      <c r="AO31" s="71"/>
      <c r="AP31" s="71"/>
      <c r="AQ31" s="71"/>
      <c r="AR31" s="71"/>
      <c r="AS31" s="71"/>
      <c r="AT31" s="71"/>
      <c r="AU31" s="71"/>
      <c r="AV31" s="71"/>
      <c r="AW31" s="71"/>
      <c r="AX31" s="71"/>
      <c r="AY31" s="71"/>
      <c r="AZ31" s="71"/>
      <c r="BA31" s="71"/>
    </row>
    <row r="32" customFormat="false" ht="15" hidden="false" customHeight="false" outlineLevel="0" collapsed="false">
      <c r="A32" s="256" t="n">
        <f aca="false">IF(Horodateur11233538192231343743464952555861646985222634384650585462667074788290989410210611411811012212613013413814214615015415816216617017417818218619019419820220621021441014182226303438465054586266707680[[#This Row],[Jour]]="1- Lundi",$B$1+1, IF(Horodateur11233538192231343743464952555861646985222634384650585462667074788290989410210611411811012212613013413814214615015415816216617017417818218619019419820220621021441014182226303438465054586266707680[[#This Row],[Jour]]="2- Mardi",$B$1+2, IF(Horodateur11233538192231343743464952555861646985222634384650585462667074788290989410210611411811012212613013413814214615015415816216617017417818218619019419820220621021441014182226303438465054586266707680[[#This Row],[Jour]]="3- Mercredi",$B$1+3, IF(Horodateur11233538192231343743464952555861646985222634384650585462667074788290989410210611411811012212613013413814214615015415816216617017417818218619019419820220621021441014182226303438465054586266707680[[#This Row],[Jour]]="4- Jeudi",$B$1+4, IF(Horodateur11233538192231343743464952555861646985222634384650585462667074788290989410210611411811012212613013413814214615015415816216617017417818218619019419820220621021441014182226303438465054586266707680[[#This Row],[Jour]]="5- Vendredi",$B$1+5, IF(Horodateur11233538192231343743464952555861646985222634384650585462667074788290989410210611411811012212613013413814214615015415816216617017417818218619019419820220621021441014182226303438465054586266707680[[#This Row],[Jour]]="6- Samedi",$B$1+6, IF(Horodateur11233538192231343743464952555861646985222634384650585462667074788290989410210611411811012212613013413814214615015415816216617017417818218619019419820220621021441014182226303438465054586266707680[[#This Row],[Jour]]="7- Dimanche",$B$1, )))))))</f>
        <v>44309</v>
      </c>
      <c r="B32" s="257" t="s">
        <v>332</v>
      </c>
      <c r="C32" s="258" t="n">
        <v>0.416666666666667</v>
      </c>
      <c r="D32" s="258" t="n">
        <v>0.510416666666667</v>
      </c>
      <c r="E32" s="71" t="s">
        <v>59</v>
      </c>
      <c r="F32" s="267" t="s">
        <v>23</v>
      </c>
      <c r="G32" s="259" t="s">
        <v>374</v>
      </c>
      <c r="H32" s="258" t="n">
        <f aca="false">IF($C32=0,"",$D32-$C32)</f>
        <v>0.0937499999999999</v>
      </c>
      <c r="I32" s="260" t="n">
        <f aca="false">IF($C32=0,"",($H32-INT($H32))*24)</f>
        <v>2.25</v>
      </c>
      <c r="J32" s="303" t="n">
        <f aca="false">SUMIF(Horodateur11233538192231343743464952555861646985222634384650585462667074788290989410210611411811012212613013413814214615015415816216617017417818218619019419820220621021441014182226303438465054586266707680[Jour],$B32,Horodateur11233538192231343743464952555861646985222634384650585462667074788290989410210611411811012212613013413814214615015415816216617017417818218619019419820220621021441014182226303438465054586266707680[Durée (100)])</f>
        <v>9</v>
      </c>
      <c r="K32" s="304" t="s">
        <v>31</v>
      </c>
      <c r="L32" s="263" t="n">
        <f aca="false">IF(Horodateur11233538192231343743464952555861646985222634384650585462667074788290989410210611411811012212613013413814214615015415816216617017417818218619019419820220621021441014182226303438465054586266707680[[#This Row],[O]]="o",Horodateur11233538192231343743464952555861646985222634384650585462667074788290989410210611411811012212613013413814214615015415816216617017417818218619019419820220621021441014182226303438465054586266707680[[#This Row],[Durée (100)]],".")</f>
        <v>2.25</v>
      </c>
      <c r="M32" s="308" t="n">
        <f aca="false">SUMIF(Horodateur11233538192231343743464952555861646985222634384650585462667074788290989410210611411811012212613013413814214615015415816216617017417818218619019419820220621021441014182226303438465054586266707680[Jour],$B32,P$4:P$2004) / Horodateur11233538192231343743464952555861646985222634384650585462667074788290989410210611411811012212613013413814214615015415816216617017417818218619019419820220621021441014182226303438465054586266707680[[#This Row],[hrs (100)]]</f>
        <v>0.111111111111111</v>
      </c>
      <c r="N32" s="306"/>
      <c r="O32" s="309"/>
      <c r="P32" s="56" t="str">
        <f aca="false">IF($P$1=Horodateur11233538192231343743464952555861646985222634384650585462667074788290989410210611411811012212613013413814214615015415816216617017417818218619019419820220621021441014182226303438465054586266707680[[#This Row],[Tâche]],Horodateur11233538192231343743464952555861646985222634384650585462667074788290989410210611411811012212613013413814214615015415816216617017417818218619019419820220621021441014182226303438465054586266707680[[#This Row],[Durée (100)]],"")</f>
        <v/>
      </c>
      <c r="Q32" s="56" t="str">
        <f aca="false">IF($Q$1=Horodateur11233538192231343743464952555861646985222634384650585462667074788290989410210611411811012212613013413814214615015415816216617017417818218619019419820220621021441014182226303438465054586266707680[[#This Row],[Tâche]],Horodateur11233538192231343743464952555861646985222634384650585462667074788290989410210611411811012212613013413814214615015415816216617017417818218619019419820220621021441014182226303438465054586266707680[[#This Row],[Durée (100)]],"")</f>
        <v/>
      </c>
      <c r="R32" s="56" t="str">
        <f aca="false">IF($R$1=Horodateur11233538192231343743464952555861646985222634384650585462667074788290989410210611411811012212613013413814214615015415816216617017417818218619019419820220621021441014182226303438465054586266707680[[#This Row],[Tâche]],Horodateur11233538192231343743464952555861646985222634384650585462667074788290989410210611411811012212613013413814214615015415816216617017417818218619019419820220621021441014182226303438465054586266707680[[#This Row],[Durée (100)]],"")</f>
        <v/>
      </c>
      <c r="S32" s="56" t="str">
        <f aca="false">IF($S$1=Horodateur11233538192231343743464952555861646985222634384650585462667074788290989410210611411811012212613013413814214615015415816216617017417818218619019419820220621021441014182226303438465054586266707680[[#This Row],[Tâche]],Horodateur11233538192231343743464952555861646985222634384650585462667074788290989410210611411811012212613013413814214615015415816216617017417818218619019419820220621021441014182226303438465054586266707680[[#This Row],[Durée (100)]],"")</f>
        <v/>
      </c>
      <c r="T32" s="56" t="n">
        <f aca="false">IF($T$1=Horodateur11233538192231343743464952555861646985222634384650585462667074788290989410210611411811012212613013413814214615015415816216617017417818218619019419820220621021441014182226303438465054586266707680[[#This Row],[Tâche]],Horodateur11233538192231343743464952555861646985222634384650585462667074788290989410210611411811012212613013413814214615015415816216617017417818218619019419820220621021441014182226303438465054586266707680[[#This Row],[Durée (100)]],"")</f>
        <v>2.25</v>
      </c>
      <c r="U32" s="56" t="str">
        <f aca="false">IF($U$1=Horodateur11233538192231343743464952555861646985222634384650585462667074788290989410210611411811012212613013413814214615015415816216617017417818218619019419820220621021441014182226303438465054586266707680[[#This Row],[Tâche]],Horodateur11233538192231343743464952555861646985222634384650585462667074788290989410210611411811012212613013413814214615015415816216617017417818218619019419820220621021441014182226303438465054586266707680[[#This Row],[Durée (100)]],"")</f>
        <v/>
      </c>
      <c r="V32" s="56" t="str">
        <f aca="false">IF($V$1=Horodateur11233538192231343743464952555861646985222634384650585462667074788290989410210611411811012212613013413814214615015415816216617017417818218619019419820220621021441014182226303438465054586266707680[[#This Row],[Tâche]],Horodateur11233538192231343743464952555861646985222634384650585462667074788290989410210611411811012212613013413814214615015415816216617017417818218619019419820220621021441014182226303438465054586266707680[[#This Row],[Durée (100)]],"")</f>
        <v/>
      </c>
      <c r="W32" s="56" t="str">
        <f aca="false">IF($W$1=Horodateur11233538192231343743464952555861646985222634384650585462667074788290989410210611411811012212613013413814214615015415816216617017417818218619019419820220621021441014182226303438465054586266707680[[#This Row],[Tâche]],Horodateur11233538192231343743464952555861646985222634384650585462667074788290989410210611411811012212613013413814214615015415816216617017417818218619019419820220621021441014182226303438465054586266707680[[#This Row],[Durée (100)]],"")</f>
        <v/>
      </c>
      <c r="X32" s="174"/>
      <c r="Y32" s="71"/>
      <c r="Z32" s="71"/>
      <c r="AA32" s="71"/>
      <c r="AB32" s="71"/>
      <c r="AC32" s="71"/>
      <c r="AD32" s="71"/>
      <c r="AE32" s="71"/>
      <c r="AF32" s="71"/>
      <c r="AG32" s="71"/>
      <c r="AH32" s="71"/>
      <c r="AI32" s="71"/>
      <c r="AJ32" s="71"/>
      <c r="AK32" s="71"/>
      <c r="AL32" s="71"/>
      <c r="AM32" s="71"/>
      <c r="AN32" s="71"/>
      <c r="AO32" s="71"/>
      <c r="AP32" s="71"/>
      <c r="AQ32" s="71"/>
      <c r="AR32" s="71"/>
      <c r="AS32" s="71"/>
      <c r="AT32" s="71"/>
      <c r="AU32" s="71"/>
      <c r="AV32" s="71"/>
      <c r="AW32" s="71"/>
      <c r="AX32" s="71"/>
      <c r="AY32" s="71"/>
      <c r="AZ32" s="71"/>
      <c r="BA32" s="71"/>
    </row>
    <row r="33" customFormat="false" ht="15" hidden="false" customHeight="false" outlineLevel="0" collapsed="false">
      <c r="A33" s="256" t="n">
        <f aca="false">IF(Horodateur11233538192231343743464952555861646985222634384650585462667074788290989410210611411811012212613013413814214615015415816216617017417818218619019419820220621021441014182226303438465054586266707680[[#This Row],[Jour]]="1- Lundi",$B$1+1, IF(Horodateur11233538192231343743464952555861646985222634384650585462667074788290989410210611411811012212613013413814214615015415816216617017417818218619019419820220621021441014182226303438465054586266707680[[#This Row],[Jour]]="2- Mardi",$B$1+2, IF(Horodateur11233538192231343743464952555861646985222634384650585462667074788290989410210611411811012212613013413814214615015415816216617017417818218619019419820220621021441014182226303438465054586266707680[[#This Row],[Jour]]="3- Mercredi",$B$1+3, IF(Horodateur11233538192231343743464952555861646985222634384650585462667074788290989410210611411811012212613013413814214615015415816216617017417818218619019419820220621021441014182226303438465054586266707680[[#This Row],[Jour]]="4- Jeudi",$B$1+4, IF(Horodateur11233538192231343743464952555861646985222634384650585462667074788290989410210611411811012212613013413814214615015415816216617017417818218619019419820220621021441014182226303438465054586266707680[[#This Row],[Jour]]="5- Vendredi",$B$1+5, IF(Horodateur11233538192231343743464952555861646985222634384650585462667074788290989410210611411811012212613013413814214615015415816216617017417818218619019419820220621021441014182226303438465054586266707680[[#This Row],[Jour]]="6- Samedi",$B$1+6, IF(Horodateur11233538192231343743464952555861646985222634384650585462667074788290989410210611411811012212613013413814214615015415816216617017417818218619019419820220621021441014182226303438465054586266707680[[#This Row],[Jour]]="7- Dimanche",$B$1, )))))))</f>
        <v>44309</v>
      </c>
      <c r="B33" s="257" t="s">
        <v>332</v>
      </c>
      <c r="C33" s="258" t="n">
        <v>0.572916666666667</v>
      </c>
      <c r="D33" s="258" t="n">
        <v>0.645833333333333</v>
      </c>
      <c r="E33" s="71" t="s">
        <v>363</v>
      </c>
      <c r="F33" s="71" t="s">
        <v>22</v>
      </c>
      <c r="G33" s="259" t="s">
        <v>366</v>
      </c>
      <c r="H33" s="258" t="n">
        <f aca="false">IF($C33=0,"",$D33-$C33)</f>
        <v>0.0729166666666667</v>
      </c>
      <c r="I33" s="260" t="n">
        <f aca="false">IF($C33=0,"",($H33-INT($H33))*24)</f>
        <v>1.75</v>
      </c>
      <c r="J33" s="303" t="n">
        <f aca="false">SUMIF(Horodateur11233538192231343743464952555861646985222634384650585462667074788290989410210611411811012212613013413814214615015415816216617017417818218619019419820220621021441014182226303438465054586266707680[Jour],$B33,Horodateur11233538192231343743464952555861646985222634384650585462667074788290989410210611411811012212613013413814214615015415816216617017417818218619019419820220621021441014182226303438465054586266707680[Durée (100)])</f>
        <v>9</v>
      </c>
      <c r="K33" s="304" t="s">
        <v>31</v>
      </c>
      <c r="L33" s="263" t="n">
        <f aca="false">IF(Horodateur11233538192231343743464952555861646985222634384650585462667074788290989410210611411811012212613013413814214615015415816216617017417818218619019419820220621021441014182226303438465054586266707680[[#This Row],[O]]="o",Horodateur11233538192231343743464952555861646985222634384650585462667074788290989410210611411811012212613013413814214615015415816216617017417818218619019419820220621021441014182226303438465054586266707680[[#This Row],[Durée (100)]],".")</f>
        <v>1.75</v>
      </c>
      <c r="M33" s="308" t="n">
        <f aca="false">SUMIF(Horodateur11233538192231343743464952555861646985222634384650585462667074788290989410210611411811012212613013413814214615015415816216617017417818218619019419820220621021441014182226303438465054586266707680[Jour],$B33,P$4:P$2004) / Horodateur11233538192231343743464952555861646985222634384650585462667074788290989410210611411811012212613013413814214615015415816216617017417818218619019419820220621021441014182226303438465054586266707680[[#This Row],[hrs (100)]]</f>
        <v>0.111111111111111</v>
      </c>
      <c r="N33" s="306"/>
      <c r="O33" s="309"/>
      <c r="P33" s="56" t="str">
        <f aca="false">IF($P$1=Horodateur11233538192231343743464952555861646985222634384650585462667074788290989410210611411811012212613013413814214615015415816216617017417818218619019419820220621021441014182226303438465054586266707680[[#This Row],[Tâche]],Horodateur11233538192231343743464952555861646985222634384650585462667074788290989410210611411811012212613013413814214615015415816216617017417818218619019419820220621021441014182226303438465054586266707680[[#This Row],[Durée (100)]],"")</f>
        <v/>
      </c>
      <c r="Q33" s="56" t="str">
        <f aca="false">IF($Q$1=Horodateur11233538192231343743464952555861646985222634384650585462667074788290989410210611411811012212613013413814214615015415816216617017417818218619019419820220621021441014182226303438465054586266707680[[#This Row],[Tâche]],Horodateur11233538192231343743464952555861646985222634384650585462667074788290989410210611411811012212613013413814214615015415816216617017417818218619019419820220621021441014182226303438465054586266707680[[#This Row],[Durée (100)]],"")</f>
        <v/>
      </c>
      <c r="R33" s="268" t="str">
        <f aca="false">IF($R$1=Horodateur11233538192231343743464952555861646985222634384650585462667074788290989410210611411811012212613013413814214615015415816216617017417818218619019419820220621021441014182226303438465054586266707680[[#This Row],[Tâche]],Horodateur11233538192231343743464952555861646985222634384650585462667074788290989410210611411811012212613013413814214615015415816216617017417818218619019419820220621021441014182226303438465054586266707680[[#This Row],[Durée (100)]],"")</f>
        <v/>
      </c>
      <c r="S33" s="56" t="n">
        <f aca="false">IF($S$1=Horodateur11233538192231343743464952555861646985222634384650585462667074788290989410210611411811012212613013413814214615015415816216617017417818218619019419820220621021441014182226303438465054586266707680[[#This Row],[Tâche]],Horodateur11233538192231343743464952555861646985222634384650585462667074788290989410210611411811012212613013413814214615015415816216617017417818218619019419820220621021441014182226303438465054586266707680[[#This Row],[Durée (100)]],"")</f>
        <v>1.75</v>
      </c>
      <c r="T33" s="56" t="str">
        <f aca="false">IF($T$1=Horodateur11233538192231343743464952555861646985222634384650585462667074788290989410210611411811012212613013413814214615015415816216617017417818218619019419820220621021441014182226303438465054586266707680[[#This Row],[Tâche]],Horodateur11233538192231343743464952555861646985222634384650585462667074788290989410210611411811012212613013413814214615015415816216617017417818218619019419820220621021441014182226303438465054586266707680[[#This Row],[Durée (100)]],"")</f>
        <v/>
      </c>
      <c r="U33" s="56" t="str">
        <f aca="false">IF($U$1=Horodateur11233538192231343743464952555861646985222634384650585462667074788290989410210611411811012212613013413814214615015415816216617017417818218619019419820220621021441014182226303438465054586266707680[[#This Row],[Tâche]],Horodateur11233538192231343743464952555861646985222634384650585462667074788290989410210611411811012212613013413814214615015415816216617017417818218619019419820220621021441014182226303438465054586266707680[[#This Row],[Durée (100)]],"")</f>
        <v/>
      </c>
      <c r="V33" s="56" t="str">
        <f aca="false">IF($V$1=Horodateur11233538192231343743464952555861646985222634384650585462667074788290989410210611411811012212613013413814214615015415816216617017417818218619019419820220621021441014182226303438465054586266707680[[#This Row],[Tâche]],Horodateur11233538192231343743464952555861646985222634384650585462667074788290989410210611411811012212613013413814214615015415816216617017417818218619019419820220621021441014182226303438465054586266707680[[#This Row],[Durée (100)]],"")</f>
        <v/>
      </c>
      <c r="W33" s="56" t="str">
        <f aca="false">IF($W$1=Horodateur11233538192231343743464952555861646985222634384650585462667074788290989410210611411811012212613013413814214615015415816216617017417818218619019419820220621021441014182226303438465054586266707680[[#This Row],[Tâche]],Horodateur11233538192231343743464952555861646985222634384650585462667074788290989410210611411811012212613013413814214615015415816216617017417818218619019419820220621021441014182226303438465054586266707680[[#This Row],[Durée (100)]],"")</f>
        <v/>
      </c>
      <c r="X33" s="174"/>
      <c r="Y33" s="71"/>
      <c r="Z33" s="71"/>
      <c r="AA33" s="71"/>
      <c r="AB33" s="71"/>
      <c r="AC33" s="71"/>
      <c r="AD33" s="71"/>
      <c r="AE33" s="71"/>
      <c r="AF33" s="71"/>
      <c r="AG33" s="71"/>
      <c r="AH33" s="71"/>
      <c r="AI33" s="71"/>
      <c r="AJ33" s="71"/>
      <c r="AK33" s="71"/>
      <c r="AL33" s="71"/>
      <c r="AM33" s="71"/>
      <c r="AN33" s="71"/>
      <c r="AO33" s="71"/>
      <c r="AP33" s="71"/>
      <c r="AQ33" s="71"/>
      <c r="AR33" s="71"/>
      <c r="AS33" s="71"/>
      <c r="AT33" s="71"/>
      <c r="AU33" s="71"/>
      <c r="AV33" s="71"/>
      <c r="AW33" s="71"/>
      <c r="AX33" s="71"/>
      <c r="AY33" s="71"/>
      <c r="AZ33" s="71"/>
      <c r="BA33" s="71"/>
    </row>
    <row r="34" customFormat="false" ht="15" hidden="false" customHeight="false" outlineLevel="0" collapsed="false">
      <c r="A34" s="256" t="n">
        <f aca="false">IF(Horodateur11233538192231343743464952555861646985222634384650585462667074788290989410210611411811012212613013413814214615015415816216617017417818218619019419820220621021441014182226303438465054586266707680[[#This Row],[Jour]]="1- Lundi",$B$1+1, IF(Horodateur11233538192231343743464952555861646985222634384650585462667074788290989410210611411811012212613013413814214615015415816216617017417818218619019419820220621021441014182226303438465054586266707680[[#This Row],[Jour]]="2- Mardi",$B$1+2, IF(Horodateur11233538192231343743464952555861646985222634384650585462667074788290989410210611411811012212613013413814214615015415816216617017417818218619019419820220621021441014182226303438465054586266707680[[#This Row],[Jour]]="3- Mercredi",$B$1+3, IF(Horodateur11233538192231343743464952555861646985222634384650585462667074788290989410210611411811012212613013413814214615015415816216617017417818218619019419820220621021441014182226303438465054586266707680[[#This Row],[Jour]]="4- Jeudi",$B$1+4, IF(Horodateur11233538192231343743464952555861646985222634384650585462667074788290989410210611411811012212613013413814214615015415816216617017417818218619019419820220621021441014182226303438465054586266707680[[#This Row],[Jour]]="5- Vendredi",$B$1+5, IF(Horodateur11233538192231343743464952555861646985222634384650585462667074788290989410210611411811012212613013413814214615015415816216617017417818218619019419820220621021441014182226303438465054586266707680[[#This Row],[Jour]]="6- Samedi",$B$1+6, IF(Horodateur11233538192231343743464952555861646985222634384650585462667074788290989410210611411811012212613013413814214615015415816216617017417818218619019419820220621021441014182226303438465054586266707680[[#This Row],[Jour]]="7- Dimanche",$B$1, )))))))</f>
        <v>44309</v>
      </c>
      <c r="B34" s="257" t="s">
        <v>332</v>
      </c>
      <c r="C34" s="258" t="n">
        <v>0.645833333333333</v>
      </c>
      <c r="D34" s="258" t="n">
        <v>0.708333333333333</v>
      </c>
      <c r="E34" s="71" t="s">
        <v>32</v>
      </c>
      <c r="F34" s="71" t="s">
        <v>22</v>
      </c>
      <c r="G34" s="259"/>
      <c r="H34" s="258" t="n">
        <f aca="false">IF($C34=0,"",$D34-$C34)</f>
        <v>0.0625</v>
      </c>
      <c r="I34" s="260" t="n">
        <f aca="false">IF($C34=0,"",($H34-INT($H34))*24)</f>
        <v>1.5</v>
      </c>
      <c r="J34" s="303" t="n">
        <f aca="false">SUMIF(Horodateur11233538192231343743464952555861646985222634384650585462667074788290989410210611411811012212613013413814214615015415816216617017417818218619019419820220621021441014182226303438465054586266707680[Jour],$B34,Horodateur11233538192231343743464952555861646985222634384650585462667074788290989410210611411811012212613013413814214615015415816216617017417818218619019419820220621021441014182226303438465054586266707680[Durée (100)])</f>
        <v>9</v>
      </c>
      <c r="K34" s="304" t="s">
        <v>31</v>
      </c>
      <c r="L34" s="263" t="n">
        <f aca="false">IF(Horodateur11233538192231343743464952555861646985222634384650585462667074788290989410210611411811012212613013413814214615015415816216617017417818218619019419820220621021441014182226303438465054586266707680[[#This Row],[O]]="o",Horodateur11233538192231343743464952555861646985222634384650585462667074788290989410210611411811012212613013413814214615015415816216617017417818218619019419820220621021441014182226303438465054586266707680[[#This Row],[Durée (100)]],".")</f>
        <v>1.5</v>
      </c>
      <c r="M34" s="308" t="n">
        <f aca="false">SUMIF(Horodateur11233538192231343743464952555861646985222634384650585462667074788290989410210611411811012212613013413814214615015415816216617017417818218619019419820220621021441014182226303438465054586266707680[Jour],$B34,P$4:P$2004) / Horodateur11233538192231343743464952555861646985222634384650585462667074788290989410210611411811012212613013413814214615015415816216617017417818218619019419820220621021441014182226303438465054586266707680[[#This Row],[hrs (100)]]</f>
        <v>0.111111111111111</v>
      </c>
      <c r="N34" s="306"/>
      <c r="O34" s="309"/>
      <c r="P34" s="56" t="str">
        <f aca="false">IF($P$1=Horodateur11233538192231343743464952555861646985222634384650585462667074788290989410210611411811012212613013413814214615015415816216617017417818218619019419820220621021441014182226303438465054586266707680[[#This Row],[Tâche]],Horodateur11233538192231343743464952555861646985222634384650585462667074788290989410210611411811012212613013413814214615015415816216617017417818218619019419820220621021441014182226303438465054586266707680[[#This Row],[Durée (100)]],"")</f>
        <v/>
      </c>
      <c r="Q34" s="56" t="str">
        <f aca="false">IF($Q$1=Horodateur11233538192231343743464952555861646985222634384650585462667074788290989410210611411811012212613013413814214615015415816216617017417818218619019419820220621021441014182226303438465054586266707680[[#This Row],[Tâche]],Horodateur11233538192231343743464952555861646985222634384650585462667074788290989410210611411811012212613013413814214615015415816216617017417818218619019419820220621021441014182226303438465054586266707680[[#This Row],[Durée (100)]],"")</f>
        <v/>
      </c>
      <c r="R34" s="56" t="str">
        <f aca="false">IF($R$1=Horodateur11233538192231343743464952555861646985222634384650585462667074788290989410210611411811012212613013413814214615015415816216617017417818218619019419820220621021441014182226303438465054586266707680[[#This Row],[Tâche]],Horodateur11233538192231343743464952555861646985222634384650585462667074788290989410210611411811012212613013413814214615015415816216617017417818218619019419820220621021441014182226303438465054586266707680[[#This Row],[Durée (100)]],"")</f>
        <v/>
      </c>
      <c r="S34" s="56" t="n">
        <f aca="false">IF($S$1=Horodateur11233538192231343743464952555861646985222634384650585462667074788290989410210611411811012212613013413814214615015415816216617017417818218619019419820220621021441014182226303438465054586266707680[[#This Row],[Tâche]],Horodateur11233538192231343743464952555861646985222634384650585462667074788290989410210611411811012212613013413814214615015415816216617017417818218619019419820220621021441014182226303438465054586266707680[[#This Row],[Durée (100)]],"")</f>
        <v>1.5</v>
      </c>
      <c r="T34" s="56" t="str">
        <f aca="false">IF($T$1=Horodateur11233538192231343743464952555861646985222634384650585462667074788290989410210611411811012212613013413814214615015415816216617017417818218619019419820220621021441014182226303438465054586266707680[[#This Row],[Tâche]],Horodateur11233538192231343743464952555861646985222634384650585462667074788290989410210611411811012212613013413814214615015415816216617017417818218619019419820220621021441014182226303438465054586266707680[[#This Row],[Durée (100)]],"")</f>
        <v/>
      </c>
      <c r="U34" s="56" t="str">
        <f aca="false">IF($U$1=Horodateur11233538192231343743464952555861646985222634384650585462667074788290989410210611411811012212613013413814214615015415816216617017417818218619019419820220621021441014182226303438465054586266707680[[#This Row],[Tâche]],Horodateur11233538192231343743464952555861646985222634384650585462667074788290989410210611411811012212613013413814214615015415816216617017417818218619019419820220621021441014182226303438465054586266707680[[#This Row],[Durée (100)]],"")</f>
        <v/>
      </c>
      <c r="V34" s="56" t="str">
        <f aca="false">IF($V$1=Horodateur11233538192231343743464952555861646985222634384650585462667074788290989410210611411811012212613013413814214615015415816216617017417818218619019419820220621021441014182226303438465054586266707680[[#This Row],[Tâche]],Horodateur11233538192231343743464952555861646985222634384650585462667074788290989410210611411811012212613013413814214615015415816216617017417818218619019419820220621021441014182226303438465054586266707680[[#This Row],[Durée (100)]],"")</f>
        <v/>
      </c>
      <c r="W34" s="56" t="str">
        <f aca="false">IF($W$1=Horodateur11233538192231343743464952555861646985222634384650585462667074788290989410210611411811012212613013413814214615015415816216617017417818218619019419820220621021441014182226303438465054586266707680[[#This Row],[Tâche]],Horodateur11233538192231343743464952555861646985222634384650585462667074788290989410210611411811012212613013413814214615015415816216617017417818218619019419820220621021441014182226303438465054586266707680[[#This Row],[Durée (100)]],"")</f>
        <v/>
      </c>
      <c r="X34" s="174"/>
      <c r="Y34" s="71"/>
      <c r="Z34" s="71"/>
      <c r="AA34" s="71"/>
      <c r="AB34" s="71"/>
      <c r="AC34" s="71"/>
      <c r="AD34" s="71"/>
      <c r="AE34" s="71"/>
      <c r="AF34" s="71"/>
      <c r="AG34" s="71"/>
      <c r="AH34" s="71"/>
      <c r="AI34" s="71"/>
      <c r="AJ34" s="71"/>
      <c r="AK34" s="71"/>
      <c r="AL34" s="71"/>
      <c r="AM34" s="71"/>
      <c r="AN34" s="71"/>
      <c r="AO34" s="71"/>
      <c r="AP34" s="71"/>
      <c r="AQ34" s="71"/>
      <c r="AR34" s="71"/>
      <c r="AS34" s="71"/>
      <c r="AT34" s="71"/>
      <c r="AU34" s="71"/>
      <c r="AV34" s="71"/>
      <c r="AW34" s="71"/>
      <c r="AX34" s="71"/>
      <c r="AY34" s="71"/>
      <c r="AZ34" s="71"/>
      <c r="BA34" s="71"/>
    </row>
    <row r="35" customFormat="false" ht="15" hidden="false" customHeight="false" outlineLevel="0" collapsed="false">
      <c r="A35" s="256" t="n">
        <f aca="false">IF(Horodateur11233538192231343743464952555861646985222634384650585462667074788290989410210611411811012212613013413814214615015415816216617017417818218619019419820220621021441014182226303438465054586266707680[[#This Row],[Jour]]="1- Lundi",$B$1+1, IF(Horodateur11233538192231343743464952555861646985222634384650585462667074788290989410210611411811012212613013413814214615015415816216617017417818218619019419820220621021441014182226303438465054586266707680[[#This Row],[Jour]]="2- Mardi",$B$1+2, IF(Horodateur11233538192231343743464952555861646985222634384650585462667074788290989410210611411811012212613013413814214615015415816216617017417818218619019419820220621021441014182226303438465054586266707680[[#This Row],[Jour]]="3- Mercredi",$B$1+3, IF(Horodateur11233538192231343743464952555861646985222634384650585462667074788290989410210611411811012212613013413814214615015415816216617017417818218619019419820220621021441014182226303438465054586266707680[[#This Row],[Jour]]="4- Jeudi",$B$1+4, IF(Horodateur11233538192231343743464952555861646985222634384650585462667074788290989410210611411811012212613013413814214615015415816216617017417818218619019419820220621021441014182226303438465054586266707680[[#This Row],[Jour]]="5- Vendredi",$B$1+5, IF(Horodateur11233538192231343743464952555861646985222634384650585462667074788290989410210611411811012212613013413814214615015415816216617017417818218619019419820220621021441014182226303438465054586266707680[[#This Row],[Jour]]="6- Samedi",$B$1+6, IF(Horodateur11233538192231343743464952555861646985222634384650585462667074788290989410210611411811012212613013413814214615015415816216617017417818218619019419820220621021441014182226303438465054586266707680[[#This Row],[Jour]]="7- Dimanche",$B$1, )))))))</f>
        <v>44310</v>
      </c>
      <c r="B35" s="257" t="s">
        <v>335</v>
      </c>
      <c r="C35" s="258" t="n">
        <v>0.3125</v>
      </c>
      <c r="D35" s="258" t="n">
        <v>0.322916666666667</v>
      </c>
      <c r="E35" s="71" t="s">
        <v>32</v>
      </c>
      <c r="F35" s="71" t="s">
        <v>21</v>
      </c>
      <c r="G35" s="259"/>
      <c r="H35" s="258" t="n">
        <f aca="false">IF($C35=0,"",$D35-$C35)</f>
        <v>0.0104166666666667</v>
      </c>
      <c r="I35" s="260" t="n">
        <f aca="false">IF($C35=0,"",($H35-INT($H35))*24)</f>
        <v>0.25</v>
      </c>
      <c r="J35" s="303" t="n">
        <f aca="false">SUMIF(Horodateur11233538192231343743464952555861646985222634384650585462667074788290989410210611411811012212613013413814214615015415816216617017417818218619019419820220621021441014182226303438465054586266707680[Jour],$B35,Horodateur11233538192231343743464952555861646985222634384650585462667074788290989410210611411811012212613013413814214615015415816216617017417818218619019419820220621021441014182226303438465054586266707680[Durée (100)])</f>
        <v>5.75</v>
      </c>
      <c r="K35" s="304" t="s">
        <v>31</v>
      </c>
      <c r="L35" s="263" t="n">
        <f aca="false">IF(Horodateur11233538192231343743464952555861646985222634384650585462667074788290989410210611411811012212613013413814214615015415816216617017417818218619019419820220621021441014182226303438465054586266707680[[#This Row],[O]]="o",Horodateur11233538192231343743464952555861646985222634384650585462667074788290989410210611411811012212613013413814214615015415816216617017417818218619019419820220621021441014182226303438465054586266707680[[#This Row],[Durée (100)]],".")</f>
        <v>0.25</v>
      </c>
      <c r="M35" s="308" t="n">
        <f aca="false">SUMIF(Horodateur11233538192231343743464952555861646985222634384650585462667074788290989410210611411811012212613013413814214615015415816216617017417818218619019419820220621021441014182226303438465054586266707680[Jour],$B35,P$4:P$2004) / Horodateur11233538192231343743464952555861646985222634384650585462667074788290989410210611411811012212613013413814214615015415816216617017417818218619019419820220621021441014182226303438465054586266707680[[#This Row],[hrs (100)]]</f>
        <v>0.347826086956522</v>
      </c>
      <c r="N35" s="306"/>
      <c r="O35" s="309"/>
      <c r="P35" s="56" t="str">
        <f aca="false">IF($P$1=Horodateur11233538192231343743464952555861646985222634384650585462667074788290989410210611411811012212613013413814214615015415816216617017417818218619019419820220621021441014182226303438465054586266707680[[#This Row],[Tâche]],Horodateur11233538192231343743464952555861646985222634384650585462667074788290989410210611411811012212613013413814214615015415816216617017417818218619019419820220621021441014182226303438465054586266707680[[#This Row],[Durée (100)]],"")</f>
        <v/>
      </c>
      <c r="Q35" s="56" t="str">
        <f aca="false">IF($Q$1=Horodateur11233538192231343743464952555861646985222634384650585462667074788290989410210611411811012212613013413814214615015415816216617017417818218619019419820220621021441014182226303438465054586266707680[[#This Row],[Tâche]],Horodateur11233538192231343743464952555861646985222634384650585462667074788290989410210611411811012212613013413814214615015415816216617017417818218619019419820220621021441014182226303438465054586266707680[[#This Row],[Durée (100)]],"")</f>
        <v/>
      </c>
      <c r="R35" s="56" t="n">
        <f aca="false">IF($R$1=Horodateur11233538192231343743464952555861646985222634384650585462667074788290989410210611411811012212613013413814214615015415816216617017417818218619019419820220621021441014182226303438465054586266707680[[#This Row],[Tâche]],Horodateur11233538192231343743464952555861646985222634384650585462667074788290989410210611411811012212613013413814214615015415816216617017417818218619019419820220621021441014182226303438465054586266707680[[#This Row],[Durée (100)]],"")</f>
        <v>0.25</v>
      </c>
      <c r="S35" s="56" t="str">
        <f aca="false">IF($S$1=Horodateur11233538192231343743464952555861646985222634384650585462667074788290989410210611411811012212613013413814214615015415816216617017417818218619019419820220621021441014182226303438465054586266707680[[#This Row],[Tâche]],Horodateur11233538192231343743464952555861646985222634384650585462667074788290989410210611411811012212613013413814214615015415816216617017417818218619019419820220621021441014182226303438465054586266707680[[#This Row],[Durée (100)]],"")</f>
        <v/>
      </c>
      <c r="T35" s="56" t="str">
        <f aca="false">IF($T$1=Horodateur11233538192231343743464952555861646985222634384650585462667074788290989410210611411811012212613013413814214615015415816216617017417818218619019419820220621021441014182226303438465054586266707680[[#This Row],[Tâche]],Horodateur11233538192231343743464952555861646985222634384650585462667074788290989410210611411811012212613013413814214615015415816216617017417818218619019419820220621021441014182226303438465054586266707680[[#This Row],[Durée (100)]],"")</f>
        <v/>
      </c>
      <c r="U35" s="56" t="str">
        <f aca="false">IF($U$1=Horodateur11233538192231343743464952555861646985222634384650585462667074788290989410210611411811012212613013413814214615015415816216617017417818218619019419820220621021441014182226303438465054586266707680[[#This Row],[Tâche]],Horodateur11233538192231343743464952555861646985222634384650585462667074788290989410210611411811012212613013413814214615015415816216617017417818218619019419820220621021441014182226303438465054586266707680[[#This Row],[Durée (100)]],"")</f>
        <v/>
      </c>
      <c r="V35" s="56" t="str">
        <f aca="false">IF($V$1=Horodateur11233538192231343743464952555861646985222634384650585462667074788290989410210611411811012212613013413814214615015415816216617017417818218619019419820220621021441014182226303438465054586266707680[[#This Row],[Tâche]],Horodateur11233538192231343743464952555861646985222634384650585462667074788290989410210611411811012212613013413814214615015415816216617017417818218619019419820220621021441014182226303438465054586266707680[[#This Row],[Durée (100)]],"")</f>
        <v/>
      </c>
      <c r="W35" s="56" t="str">
        <f aca="false">IF($W$1=Horodateur11233538192231343743464952555861646985222634384650585462667074788290989410210611411811012212613013413814214615015415816216617017417818218619019419820220621021441014182226303438465054586266707680[[#This Row],[Tâche]],Horodateur11233538192231343743464952555861646985222634384650585462667074788290989410210611411811012212613013413814214615015415816216617017417818218619019419820220621021441014182226303438465054586266707680[[#This Row],[Durée (100)]],"")</f>
        <v/>
      </c>
      <c r="X35" s="174"/>
      <c r="Y35" s="71"/>
      <c r="Z35" s="71"/>
      <c r="AA35" s="71"/>
      <c r="AB35" s="71"/>
      <c r="AC35" s="71"/>
      <c r="AD35" s="71"/>
      <c r="AE35" s="71"/>
      <c r="AF35" s="71"/>
      <c r="AG35" s="71"/>
      <c r="AH35" s="71"/>
      <c r="AI35" s="71"/>
      <c r="AJ35" s="71"/>
      <c r="AK35" s="71"/>
      <c r="AL35" s="71"/>
      <c r="AM35" s="71"/>
      <c r="AN35" s="71"/>
      <c r="AO35" s="71"/>
      <c r="AP35" s="71"/>
      <c r="AQ35" s="71"/>
      <c r="AR35" s="71"/>
      <c r="AS35" s="71"/>
      <c r="AT35" s="71"/>
      <c r="AU35" s="71"/>
      <c r="AV35" s="71"/>
      <c r="AW35" s="71"/>
      <c r="AX35" s="71"/>
      <c r="AY35" s="71"/>
      <c r="AZ35" s="71"/>
      <c r="BA35" s="71"/>
    </row>
    <row r="36" customFormat="false" ht="15" hidden="false" customHeight="false" outlineLevel="0" collapsed="false">
      <c r="A36" s="256" t="n">
        <f aca="false">IF(Horodateur11233538192231343743464952555861646985222634384650585462667074788290989410210611411811012212613013413814214615015415816216617017417818218619019419820220621021441014182226303438465054586266707680[[#This Row],[Jour]]="1- Lundi",$B$1+1, IF(Horodateur11233538192231343743464952555861646985222634384650585462667074788290989410210611411811012212613013413814214615015415816216617017417818218619019419820220621021441014182226303438465054586266707680[[#This Row],[Jour]]="2- Mardi",$B$1+2, IF(Horodateur11233538192231343743464952555861646985222634384650585462667074788290989410210611411811012212613013413814214615015415816216617017417818218619019419820220621021441014182226303438465054586266707680[[#This Row],[Jour]]="3- Mercredi",$B$1+3, IF(Horodateur11233538192231343743464952555861646985222634384650585462667074788290989410210611411811012212613013413814214615015415816216617017417818218619019419820220621021441014182226303438465054586266707680[[#This Row],[Jour]]="4- Jeudi",$B$1+4, IF(Horodateur11233538192231343743464952555861646985222634384650585462667074788290989410210611411811012212613013413814214615015415816216617017417818218619019419820220621021441014182226303438465054586266707680[[#This Row],[Jour]]="5- Vendredi",$B$1+5, IF(Horodateur11233538192231343743464952555861646985222634384650585462667074788290989410210611411811012212613013413814214615015415816216617017417818218619019419820220621021441014182226303438465054586266707680[[#This Row],[Jour]]="6- Samedi",$B$1+6, IF(Horodateur11233538192231343743464952555861646985222634384650585462667074788290989410210611411811012212613013413814214615015415816216617017417818218619019419820220621021441014182226303438465054586266707680[[#This Row],[Jour]]="7- Dimanche",$B$1, )))))))</f>
        <v>44310</v>
      </c>
      <c r="B36" s="257" t="s">
        <v>335</v>
      </c>
      <c r="C36" s="258" t="n">
        <v>0.322916666666667</v>
      </c>
      <c r="D36" s="258" t="n">
        <v>0.333333333333333</v>
      </c>
      <c r="E36" s="71" t="s">
        <v>32</v>
      </c>
      <c r="F36" s="71" t="s">
        <v>21</v>
      </c>
      <c r="G36" s="259"/>
      <c r="H36" s="258" t="n">
        <f aca="false">IF($C36=0,"",$D36-$C36)</f>
        <v>0.0104166666666667</v>
      </c>
      <c r="I36" s="260" t="n">
        <f aca="false">IF($C36=0,"",($H36-INT($H36))*24)</f>
        <v>0.25</v>
      </c>
      <c r="J36" s="303" t="n">
        <f aca="false">SUMIF(Horodateur11233538192231343743464952555861646985222634384650585462667074788290989410210611411811012212613013413814214615015415816216617017417818218619019419820220621021441014182226303438465054586266707680[Jour],$B36,Horodateur11233538192231343743464952555861646985222634384650585462667074788290989410210611411811012212613013413814214615015415816216617017417818218619019419820220621021441014182226303438465054586266707680[Durée (100)])</f>
        <v>5.75</v>
      </c>
      <c r="K36" s="304" t="s">
        <v>31</v>
      </c>
      <c r="L36" s="263" t="n">
        <f aca="false">IF(Horodateur11233538192231343743464952555861646985222634384650585462667074788290989410210611411811012212613013413814214615015415816216617017417818218619019419820220621021441014182226303438465054586266707680[[#This Row],[O]]="o",Horodateur11233538192231343743464952555861646985222634384650585462667074788290989410210611411811012212613013413814214615015415816216617017417818218619019419820220621021441014182226303438465054586266707680[[#This Row],[Durée (100)]],".")</f>
        <v>0.249999999999999</v>
      </c>
      <c r="M36" s="308" t="n">
        <f aca="false">SUMIF(Horodateur11233538192231343743464952555861646985222634384650585462667074788290989410210611411811012212613013413814214615015415816216617017417818218619019419820220621021441014182226303438465054586266707680[Jour],$B36,P$4:P$2004) / Horodateur11233538192231343743464952555861646985222634384650585462667074788290989410210611411811012212613013413814214615015415816216617017417818218619019419820220621021441014182226303438465054586266707680[[#This Row],[hrs (100)]]</f>
        <v>0.347826086956522</v>
      </c>
      <c r="N36" s="306"/>
      <c r="O36" s="309"/>
      <c r="P36" s="56" t="str">
        <f aca="false">IF($P$1=Horodateur11233538192231343743464952555861646985222634384650585462667074788290989410210611411811012212613013413814214615015415816216617017417818218619019419820220621021441014182226303438465054586266707680[[#This Row],[Tâche]],Horodateur11233538192231343743464952555861646985222634384650585462667074788290989410210611411811012212613013413814214615015415816216617017417818218619019419820220621021441014182226303438465054586266707680[[#This Row],[Durée (100)]],"")</f>
        <v/>
      </c>
      <c r="Q36" s="56" t="str">
        <f aca="false">IF($Q$1=Horodateur11233538192231343743464952555861646985222634384650585462667074788290989410210611411811012212613013413814214615015415816216617017417818218619019419820220621021441014182226303438465054586266707680[[#This Row],[Tâche]],Horodateur11233538192231343743464952555861646985222634384650585462667074788290989410210611411811012212613013413814214615015415816216617017417818218619019419820220621021441014182226303438465054586266707680[[#This Row],[Durée (100)]],"")</f>
        <v/>
      </c>
      <c r="R36" s="56" t="n">
        <f aca="false">IF($R$1=Horodateur11233538192231343743464952555861646985222634384650585462667074788290989410210611411811012212613013413814214615015415816216617017417818218619019419820220621021441014182226303438465054586266707680[[#This Row],[Tâche]],Horodateur11233538192231343743464952555861646985222634384650585462667074788290989410210611411811012212613013413814214615015415816216617017417818218619019419820220621021441014182226303438465054586266707680[[#This Row],[Durée (100)]],"")</f>
        <v>0.249999999999999</v>
      </c>
      <c r="S36" s="56" t="str">
        <f aca="false">IF($S$1=Horodateur11233538192231343743464952555861646985222634384650585462667074788290989410210611411811012212613013413814214615015415816216617017417818218619019419820220621021441014182226303438465054586266707680[[#This Row],[Tâche]],Horodateur11233538192231343743464952555861646985222634384650585462667074788290989410210611411811012212613013413814214615015415816216617017417818218619019419820220621021441014182226303438465054586266707680[[#This Row],[Durée (100)]],"")</f>
        <v/>
      </c>
      <c r="T36" s="56" t="str">
        <f aca="false">IF($T$1=Horodateur11233538192231343743464952555861646985222634384650585462667074788290989410210611411811012212613013413814214615015415816216617017417818218619019419820220621021441014182226303438465054586266707680[[#This Row],[Tâche]],Horodateur11233538192231343743464952555861646985222634384650585462667074788290989410210611411811012212613013413814214615015415816216617017417818218619019419820220621021441014182226303438465054586266707680[[#This Row],[Durée (100)]],"")</f>
        <v/>
      </c>
      <c r="U36" s="56" t="str">
        <f aca="false">IF($U$1=Horodateur11233538192231343743464952555861646985222634384650585462667074788290989410210611411811012212613013413814214615015415816216617017417818218619019419820220621021441014182226303438465054586266707680[[#This Row],[Tâche]],Horodateur11233538192231343743464952555861646985222634384650585462667074788290989410210611411811012212613013413814214615015415816216617017417818218619019419820220621021441014182226303438465054586266707680[[#This Row],[Durée (100)]],"")</f>
        <v/>
      </c>
      <c r="V36" s="56" t="str">
        <f aca="false">IF($V$1=Horodateur11233538192231343743464952555861646985222634384650585462667074788290989410210611411811012212613013413814214615015415816216617017417818218619019419820220621021441014182226303438465054586266707680[[#This Row],[Tâche]],Horodateur11233538192231343743464952555861646985222634384650585462667074788290989410210611411811012212613013413814214615015415816216617017417818218619019419820220621021441014182226303438465054586266707680[[#This Row],[Durée (100)]],"")</f>
        <v/>
      </c>
      <c r="W36" s="56" t="str">
        <f aca="false">IF($W$1=Horodateur11233538192231343743464952555861646985222634384650585462667074788290989410210611411811012212613013413814214615015415816216617017417818218619019419820220621021441014182226303438465054586266707680[[#This Row],[Tâche]],Horodateur11233538192231343743464952555861646985222634384650585462667074788290989410210611411811012212613013413814214615015415816216617017417818218619019419820220621021441014182226303438465054586266707680[[#This Row],[Durée (100)]],"")</f>
        <v/>
      </c>
      <c r="X36" s="174"/>
      <c r="Y36" s="71"/>
      <c r="Z36" s="71"/>
      <c r="AA36" s="71"/>
      <c r="AB36" s="71"/>
      <c r="AC36" s="71"/>
      <c r="AD36" s="71"/>
      <c r="AE36" s="71"/>
      <c r="AF36" s="71"/>
      <c r="AG36" s="71"/>
      <c r="AH36" s="71"/>
      <c r="AI36" s="71"/>
      <c r="AJ36" s="71"/>
      <c r="AK36" s="71"/>
      <c r="AL36" s="71"/>
      <c r="AM36" s="71"/>
      <c r="AN36" s="71"/>
      <c r="AO36" s="71"/>
      <c r="AP36" s="71"/>
      <c r="AQ36" s="71"/>
      <c r="AR36" s="71"/>
      <c r="AS36" s="71"/>
      <c r="AT36" s="71"/>
      <c r="AU36" s="71"/>
      <c r="AV36" s="71"/>
      <c r="AW36" s="71"/>
      <c r="AX36" s="71"/>
      <c r="AY36" s="71"/>
      <c r="AZ36" s="71"/>
      <c r="BA36" s="71"/>
    </row>
    <row r="37" customFormat="false" ht="15" hidden="false" customHeight="false" outlineLevel="0" collapsed="false">
      <c r="A37" s="256" t="n">
        <f aca="false">IF(Horodateur11233538192231343743464952555861646985222634384650585462667074788290989410210611411811012212613013413814214615015415816216617017417818218619019419820220621021441014182226303438465054586266707680[[#This Row],[Jour]]="1- Lundi",$B$1+1, IF(Horodateur11233538192231343743464952555861646985222634384650585462667074788290989410210611411811012212613013413814214615015415816216617017417818218619019419820220621021441014182226303438465054586266707680[[#This Row],[Jour]]="2- Mardi",$B$1+2, IF(Horodateur11233538192231343743464952555861646985222634384650585462667074788290989410210611411811012212613013413814214615015415816216617017417818218619019419820220621021441014182226303438465054586266707680[[#This Row],[Jour]]="3- Mercredi",$B$1+3, IF(Horodateur11233538192231343743464952555861646985222634384650585462667074788290989410210611411811012212613013413814214615015415816216617017417818218619019419820220621021441014182226303438465054586266707680[[#This Row],[Jour]]="4- Jeudi",$B$1+4, IF(Horodateur11233538192231343743464952555861646985222634384650585462667074788290989410210611411811012212613013413814214615015415816216617017417818218619019419820220621021441014182226303438465054586266707680[[#This Row],[Jour]]="5- Vendredi",$B$1+5, IF(Horodateur11233538192231343743464952555861646985222634384650585462667074788290989410210611411811012212613013413814214615015415816216617017417818218619019419820220621021441014182226303438465054586266707680[[#This Row],[Jour]]="6- Samedi",$B$1+6, IF(Horodateur11233538192231343743464952555861646985222634384650585462667074788290989410210611411811012212613013413814214615015415816216617017417818218619019419820220621021441014182226303438465054586266707680[[#This Row],[Jour]]="7- Dimanche",$B$1, )))))))</f>
        <v>44310</v>
      </c>
      <c r="B37" s="257" t="s">
        <v>335</v>
      </c>
      <c r="C37" s="258" t="n">
        <v>0.333333333333333</v>
      </c>
      <c r="D37" s="258" t="n">
        <v>0.354166666666667</v>
      </c>
      <c r="E37" s="71" t="s">
        <v>71</v>
      </c>
      <c r="F37" s="267" t="s">
        <v>23</v>
      </c>
      <c r="G37" s="259" t="s">
        <v>375</v>
      </c>
      <c r="H37" s="258" t="n">
        <f aca="false">IF($C37=0,"",$D37-$C37)</f>
        <v>0.0208333333333334</v>
      </c>
      <c r="I37" s="260" t="n">
        <f aca="false">IF($C37=0,"",($H37-INT($H37))*24)</f>
        <v>0.500000000000001</v>
      </c>
      <c r="J37" s="303" t="n">
        <f aca="false">SUMIF(Horodateur11233538192231343743464952555861646985222634384650585462667074788290989410210611411811012212613013413814214615015415816216617017417818218619019419820220621021441014182226303438465054586266707680[Jour],$B37,Horodateur11233538192231343743464952555861646985222634384650585462667074788290989410210611411811012212613013413814214615015415816216617017417818218619019419820220621021441014182226303438465054586266707680[Durée (100)])</f>
        <v>5.75</v>
      </c>
      <c r="K37" s="304" t="s">
        <v>31</v>
      </c>
      <c r="L37" s="263" t="n">
        <f aca="false">IF(Horodateur11233538192231343743464952555861646985222634384650585462667074788290989410210611411811012212613013413814214615015415816216617017417818218619019419820220621021441014182226303438465054586266707680[[#This Row],[O]]="o",Horodateur11233538192231343743464952555861646985222634384650585462667074788290989410210611411811012212613013413814214615015415816216617017417818218619019419820220621021441014182226303438465054586266707680[[#This Row],[Durée (100)]],".")</f>
        <v>0.500000000000001</v>
      </c>
      <c r="M37" s="308" t="n">
        <f aca="false">SUMIF(Horodateur11233538192231343743464952555861646985222634384650585462667074788290989410210611411811012212613013413814214615015415816216617017417818218619019419820220621021441014182226303438465054586266707680[Jour],$B37,P$4:P$2004) / Horodateur11233538192231343743464952555861646985222634384650585462667074788290989410210611411811012212613013413814214615015415816216617017417818218619019419820220621021441014182226303438465054586266707680[[#This Row],[hrs (100)]]</f>
        <v>0.347826086956522</v>
      </c>
      <c r="N37" s="306"/>
      <c r="O37" s="309"/>
      <c r="P37" s="56" t="str">
        <f aca="false">IF($P$1=Horodateur11233538192231343743464952555861646985222634384650585462667074788290989410210611411811012212613013413814214615015415816216617017417818218619019419820220621021441014182226303438465054586266707680[[#This Row],[Tâche]],Horodateur11233538192231343743464952555861646985222634384650585462667074788290989410210611411811012212613013413814214615015415816216617017417818218619019419820220621021441014182226303438465054586266707680[[#This Row],[Durée (100)]],"")</f>
        <v/>
      </c>
      <c r="Q37" s="56"/>
      <c r="R37" s="56"/>
      <c r="S37" s="56"/>
      <c r="T37" s="56"/>
      <c r="U37" s="56"/>
      <c r="V37" s="56"/>
      <c r="W37" s="56"/>
      <c r="X37" s="174"/>
      <c r="Y37" s="71"/>
      <c r="Z37" s="71"/>
      <c r="AA37" s="71"/>
      <c r="AB37" s="71"/>
      <c r="AC37" s="71"/>
      <c r="AD37" s="71"/>
      <c r="AE37" s="71"/>
      <c r="AF37" s="71"/>
      <c r="AG37" s="71"/>
      <c r="AH37" s="71"/>
      <c r="AI37" s="71"/>
      <c r="AJ37" s="71"/>
      <c r="AK37" s="71"/>
      <c r="AL37" s="71"/>
      <c r="AM37" s="71"/>
      <c r="AN37" s="71"/>
      <c r="AO37" s="71"/>
      <c r="AP37" s="71"/>
      <c r="AQ37" s="71"/>
      <c r="AR37" s="71"/>
      <c r="AS37" s="71"/>
      <c r="AT37" s="71"/>
      <c r="AU37" s="71"/>
      <c r="AV37" s="71"/>
      <c r="AW37" s="71"/>
      <c r="AX37" s="71"/>
      <c r="AY37" s="71"/>
      <c r="AZ37" s="71"/>
      <c r="BA37" s="71"/>
    </row>
    <row r="38" customFormat="false" ht="15" hidden="false" customHeight="false" outlineLevel="0" collapsed="false">
      <c r="A38" s="256" t="n">
        <f aca="false">IF(Horodateur11233538192231343743464952555861646985222634384650585462667074788290989410210611411811012212613013413814214615015415816216617017417818218619019419820220621021441014182226303438465054586266707680[[#This Row],[Jour]]="1- Lundi",$B$1+1, IF(Horodateur11233538192231343743464952555861646985222634384650585462667074788290989410210611411811012212613013413814214615015415816216617017417818218619019419820220621021441014182226303438465054586266707680[[#This Row],[Jour]]="2- Mardi",$B$1+2, IF(Horodateur11233538192231343743464952555861646985222634384650585462667074788290989410210611411811012212613013413814214615015415816216617017417818218619019419820220621021441014182226303438465054586266707680[[#This Row],[Jour]]="3- Mercredi",$B$1+3, IF(Horodateur11233538192231343743464952555861646985222634384650585462667074788290989410210611411811012212613013413814214615015415816216617017417818218619019419820220621021441014182226303438465054586266707680[[#This Row],[Jour]]="4- Jeudi",$B$1+4, IF(Horodateur11233538192231343743464952555861646985222634384650585462667074788290989410210611411811012212613013413814214615015415816216617017417818218619019419820220621021441014182226303438465054586266707680[[#This Row],[Jour]]="5- Vendredi",$B$1+5, IF(Horodateur11233538192231343743464952555861646985222634384650585462667074788290989410210611411811012212613013413814214615015415816216617017417818218619019419820220621021441014182226303438465054586266707680[[#This Row],[Jour]]="6- Samedi",$B$1+6, IF(Horodateur11233538192231343743464952555861646985222634384650585462667074788290989410210611411811012212613013413814214615015415816216617017417818218619019419820220621021441014182226303438465054586266707680[[#This Row],[Jour]]="7- Dimanche",$B$1, )))))))</f>
        <v>44310</v>
      </c>
      <c r="B38" s="257" t="s">
        <v>335</v>
      </c>
      <c r="C38" s="258" t="n">
        <v>0.375</v>
      </c>
      <c r="D38" s="258" t="n">
        <v>0.395833333333333</v>
      </c>
      <c r="E38" s="71" t="s">
        <v>59</v>
      </c>
      <c r="F38" s="71" t="s">
        <v>19</v>
      </c>
      <c r="G38" s="259" t="s">
        <v>55</v>
      </c>
      <c r="H38" s="258" t="n">
        <f aca="false">IF($C38=0,"",$D38-$C38)</f>
        <v>0.0208333333333333</v>
      </c>
      <c r="I38" s="260" t="n">
        <f aca="false">IF($C38=0,"",($H38-INT($H38))*24)</f>
        <v>0.5</v>
      </c>
      <c r="J38" s="303" t="n">
        <f aca="false">SUMIF(Horodateur11233538192231343743464952555861646985222634384650585462667074788290989410210611411811012212613013413814214615015415816216617017417818218619019419820220621021441014182226303438465054586266707680[Jour],$B38,Horodateur11233538192231343743464952555861646985222634384650585462667074788290989410210611411811012212613013413814214615015415816216617017417818218619019419820220621021441014182226303438465054586266707680[Durée (100)])</f>
        <v>5.75</v>
      </c>
      <c r="K38" s="304" t="s">
        <v>31</v>
      </c>
      <c r="L38" s="263" t="n">
        <f aca="false">IF(Horodateur11233538192231343743464952555861646985222634384650585462667074788290989410210611411811012212613013413814214615015415816216617017417818218619019419820220621021441014182226303438465054586266707680[[#This Row],[O]]="o",Horodateur11233538192231343743464952555861646985222634384650585462667074788290989410210611411811012212613013413814214615015415816216617017417818218619019419820220621021441014182226303438465054586266707680[[#This Row],[Durée (100)]],".")</f>
        <v>0.5</v>
      </c>
      <c r="M38" s="308" t="n">
        <f aca="false">SUMIF(Horodateur11233538192231343743464952555861646985222634384650585462667074788290989410210611411811012212613013413814214615015415816216617017417818218619019419820220621021441014182226303438465054586266707680[Jour],$B38,P$4:P$2004) / Horodateur11233538192231343743464952555861646985222634384650585462667074788290989410210611411811012212613013413814214615015415816216617017417818218619019419820220621021441014182226303438465054586266707680[[#This Row],[hrs (100)]]</f>
        <v>0.347826086956522</v>
      </c>
      <c r="N38" s="306"/>
      <c r="O38" s="309"/>
      <c r="P38" s="56" t="n">
        <f aca="false">IF($P$1=Horodateur11233538192231343743464952555861646985222634384650585462667074788290989410210611411811012212613013413814214615015415816216617017417818218619019419820220621021441014182226303438465054586266707680[[#This Row],[Tâche]],Horodateur11233538192231343743464952555861646985222634384650585462667074788290989410210611411811012212613013413814214615015415816216617017417818218619019419820220621021441014182226303438465054586266707680[[#This Row],[Durée (100)]],"")</f>
        <v>0.5</v>
      </c>
      <c r="Q38" s="56" t="str">
        <f aca="false">IF($Q$1=Horodateur11233538192231343743464952555861646985222634384650585462667074788290989410210611411811012212613013413814214615015415816216617017417818218619019419820220621021441014182226303438465054586266707680[[#This Row],[Tâche]],Horodateur11233538192231343743464952555861646985222634384650585462667074788290989410210611411811012212613013413814214615015415816216617017417818218619019419820220621021441014182226303438465054586266707680[[#This Row],[Durée (100)]],"")</f>
        <v/>
      </c>
      <c r="R38" s="56" t="str">
        <f aca="false">IF($R$1=Horodateur11233538192231343743464952555861646985222634384650585462667074788290989410210611411811012212613013413814214615015415816216617017417818218619019419820220621021441014182226303438465054586266707680[[#This Row],[Tâche]],Horodateur11233538192231343743464952555861646985222634384650585462667074788290989410210611411811012212613013413814214615015415816216617017417818218619019419820220621021441014182226303438465054586266707680[[#This Row],[Durée (100)]],"")</f>
        <v/>
      </c>
      <c r="S38" s="56" t="str">
        <f aca="false">IF($S$1=Horodateur11233538192231343743464952555861646985222634384650585462667074788290989410210611411811012212613013413814214615015415816216617017417818218619019419820220621021441014182226303438465054586266707680[[#This Row],[Tâche]],Horodateur11233538192231343743464952555861646985222634384650585462667074788290989410210611411811012212613013413814214615015415816216617017417818218619019419820220621021441014182226303438465054586266707680[[#This Row],[Durée (100)]],"")</f>
        <v/>
      </c>
      <c r="T38" s="56" t="str">
        <f aca="false">IF($T$1=Horodateur11233538192231343743464952555861646985222634384650585462667074788290989410210611411811012212613013413814214615015415816216617017417818218619019419820220621021441014182226303438465054586266707680[[#This Row],[Tâche]],Horodateur11233538192231343743464952555861646985222634384650585462667074788290989410210611411811012212613013413814214615015415816216617017417818218619019419820220621021441014182226303438465054586266707680[[#This Row],[Durée (100)]],"")</f>
        <v/>
      </c>
      <c r="U38" s="56" t="str">
        <f aca="false">IF($U$1=Horodateur11233538192231343743464952555861646985222634384650585462667074788290989410210611411811012212613013413814214615015415816216617017417818218619019419820220621021441014182226303438465054586266707680[[#This Row],[Tâche]],Horodateur11233538192231343743464952555861646985222634384650585462667074788290989410210611411811012212613013413814214615015415816216617017417818218619019419820220621021441014182226303438465054586266707680[[#This Row],[Durée (100)]],"")</f>
        <v/>
      </c>
      <c r="V38" s="56" t="str">
        <f aca="false">IF($V$1=Horodateur11233538192231343743464952555861646985222634384650585462667074788290989410210611411811012212613013413814214615015415816216617017417818218619019419820220621021441014182226303438465054586266707680[[#This Row],[Tâche]],Horodateur11233538192231343743464952555861646985222634384650585462667074788290989410210611411811012212613013413814214615015415816216617017417818218619019419820220621021441014182226303438465054586266707680[[#This Row],[Durée (100)]],"")</f>
        <v/>
      </c>
      <c r="W38" s="56" t="str">
        <f aca="false">IF($W$1=Horodateur11233538192231343743464952555861646985222634384650585462667074788290989410210611411811012212613013413814214615015415816216617017417818218619019419820220621021441014182226303438465054586266707680[[#This Row],[Tâche]],Horodateur11233538192231343743464952555861646985222634384650585462667074788290989410210611411811012212613013413814214615015415816216617017417818218619019419820220621021441014182226303438465054586266707680[[#This Row],[Durée (100)]],"")</f>
        <v/>
      </c>
      <c r="X38" s="174"/>
      <c r="Y38" s="71"/>
      <c r="Z38" s="71"/>
      <c r="AA38" s="71"/>
      <c r="AB38" s="71"/>
      <c r="AC38" s="71"/>
      <c r="AD38" s="71"/>
      <c r="AE38" s="71"/>
      <c r="AF38" s="71"/>
      <c r="AG38" s="71"/>
      <c r="AH38" s="71"/>
      <c r="AI38" s="71"/>
      <c r="AJ38" s="71"/>
      <c r="AK38" s="71"/>
      <c r="AL38" s="71"/>
      <c r="AM38" s="71"/>
      <c r="AN38" s="71"/>
      <c r="AO38" s="71"/>
      <c r="AP38" s="71"/>
      <c r="AQ38" s="71"/>
      <c r="AR38" s="71"/>
      <c r="AS38" s="71"/>
      <c r="AT38" s="71"/>
      <c r="AU38" s="71"/>
      <c r="AV38" s="71"/>
      <c r="AW38" s="71"/>
      <c r="AX38" s="71"/>
      <c r="AY38" s="71"/>
      <c r="AZ38" s="71"/>
      <c r="BA38" s="71"/>
    </row>
    <row r="39" customFormat="false" ht="15" hidden="false" customHeight="false" outlineLevel="0" collapsed="false">
      <c r="A39" s="256" t="n">
        <f aca="false">IF(Horodateur11233538192231343743464952555861646985222634384650585462667074788290989410210611411811012212613013413814214615015415816216617017417818218619019419820220621021441014182226303438465054586266707680[[#This Row],[Jour]]="1- Lundi",$B$1+1, IF(Horodateur11233538192231343743464952555861646985222634384650585462667074788290989410210611411811012212613013413814214615015415816216617017417818218619019419820220621021441014182226303438465054586266707680[[#This Row],[Jour]]="2- Mardi",$B$1+2, IF(Horodateur11233538192231343743464952555861646985222634384650585462667074788290989410210611411811012212613013413814214615015415816216617017417818218619019419820220621021441014182226303438465054586266707680[[#This Row],[Jour]]="3- Mercredi",$B$1+3, IF(Horodateur11233538192231343743464952555861646985222634384650585462667074788290989410210611411811012212613013413814214615015415816216617017417818218619019419820220621021441014182226303438465054586266707680[[#This Row],[Jour]]="4- Jeudi",$B$1+4, IF(Horodateur11233538192231343743464952555861646985222634384650585462667074788290989410210611411811012212613013413814214615015415816216617017417818218619019419820220621021441014182226303438465054586266707680[[#This Row],[Jour]]="5- Vendredi",$B$1+5, IF(Horodateur11233538192231343743464952555861646985222634384650585462667074788290989410210611411811012212613013413814214615015415816216617017417818218619019419820220621021441014182226303438465054586266707680[[#This Row],[Jour]]="6- Samedi",$B$1+6, IF(Horodateur11233538192231343743464952555861646985222634384650585462667074788290989410210611411811012212613013413814214615015415816216617017417818218619019419820220621021441014182226303438465054586266707680[[#This Row],[Jour]]="7- Dimanche",$B$1, )))))))</f>
        <v>44310</v>
      </c>
      <c r="B39" s="257" t="s">
        <v>335</v>
      </c>
      <c r="C39" s="258" t="n">
        <v>0.416666666666667</v>
      </c>
      <c r="D39" s="258" t="n">
        <v>0.4375</v>
      </c>
      <c r="E39" s="71" t="s">
        <v>363</v>
      </c>
      <c r="F39" s="71" t="s">
        <v>19</v>
      </c>
      <c r="G39" s="259" t="s">
        <v>55</v>
      </c>
      <c r="H39" s="258" t="n">
        <f aca="false">IF($C39=0,"",$D39-$C39)</f>
        <v>0.0208333333333333</v>
      </c>
      <c r="I39" s="260" t="n">
        <f aca="false">IF($C39=0,"",($H39-INT($H39))*24)</f>
        <v>0.5</v>
      </c>
      <c r="J39" s="303" t="n">
        <f aca="false">SUMIF(Horodateur11233538192231343743464952555861646985222634384650585462667074788290989410210611411811012212613013413814214615015415816216617017417818218619019419820220621021441014182226303438465054586266707680[Jour],$B39,Horodateur11233538192231343743464952555861646985222634384650585462667074788290989410210611411811012212613013413814214615015415816216617017417818218619019419820220621021441014182226303438465054586266707680[Durée (100)])</f>
        <v>5.75</v>
      </c>
      <c r="K39" s="304" t="s">
        <v>31</v>
      </c>
      <c r="L39" s="263" t="n">
        <f aca="false">IF(Horodateur11233538192231343743464952555861646985222634384650585462667074788290989410210611411811012212613013413814214615015415816216617017417818218619019419820220621021441014182226303438465054586266707680[[#This Row],[O]]="o",Horodateur11233538192231343743464952555861646985222634384650585462667074788290989410210611411811012212613013413814214615015415816216617017417818218619019419820220621021441014182226303438465054586266707680[[#This Row],[Durée (100)]],".")</f>
        <v>0.5</v>
      </c>
      <c r="M39" s="308" t="n">
        <f aca="false">SUMIF(Horodateur11233538192231343743464952555861646985222634384650585462667074788290989410210611411811012212613013413814214615015415816216617017417818218619019419820220621021441014182226303438465054586266707680[Jour],$B39,P$4:P$2004) / Horodateur11233538192231343743464952555861646985222634384650585462667074788290989410210611411811012212613013413814214615015415816216617017417818218619019419820220621021441014182226303438465054586266707680[[#This Row],[hrs (100)]]</f>
        <v>0.347826086956522</v>
      </c>
      <c r="N39" s="306"/>
      <c r="O39" s="309"/>
      <c r="P39" s="56" t="n">
        <f aca="false">IF($P$1=Horodateur11233538192231343743464952555861646985222634384650585462667074788290989410210611411811012212613013413814214615015415816216617017417818218619019419820220621021441014182226303438465054586266707680[[#This Row],[Tâche]],Horodateur11233538192231343743464952555861646985222634384650585462667074788290989410210611411811012212613013413814214615015415816216617017417818218619019419820220621021441014182226303438465054586266707680[[#This Row],[Durée (100)]],"")</f>
        <v>0.5</v>
      </c>
      <c r="Q39" s="56" t="str">
        <f aca="false">IF($Q$1=Horodateur11233538192231343743464952555861646985222634384650585462667074788290989410210611411811012212613013413814214615015415816216617017417818218619019419820220621021441014182226303438465054586266707680[[#This Row],[Tâche]],Horodateur11233538192231343743464952555861646985222634384650585462667074788290989410210611411811012212613013413814214615015415816216617017417818218619019419820220621021441014182226303438465054586266707680[[#This Row],[Durée (100)]],"")</f>
        <v/>
      </c>
      <c r="R39" s="56" t="str">
        <f aca="false">IF($R$1=Horodateur11233538192231343743464952555861646985222634384650585462667074788290989410210611411811012212613013413814214615015415816216617017417818218619019419820220621021441014182226303438465054586266707680[[#This Row],[Tâche]],Horodateur11233538192231343743464952555861646985222634384650585462667074788290989410210611411811012212613013413814214615015415816216617017417818218619019419820220621021441014182226303438465054586266707680[[#This Row],[Durée (100)]],"")</f>
        <v/>
      </c>
      <c r="S39" s="56" t="str">
        <f aca="false">IF($S$1=Horodateur11233538192231343743464952555861646985222634384650585462667074788290989410210611411811012212613013413814214615015415816216617017417818218619019419820220621021441014182226303438465054586266707680[[#This Row],[Tâche]],Horodateur11233538192231343743464952555861646985222634384650585462667074788290989410210611411811012212613013413814214615015415816216617017417818218619019419820220621021441014182226303438465054586266707680[[#This Row],[Durée (100)]],"")</f>
        <v/>
      </c>
      <c r="T39" s="56" t="str">
        <f aca="false">IF($T$1=Horodateur11233538192231343743464952555861646985222634384650585462667074788290989410210611411811012212613013413814214615015415816216617017417818218619019419820220621021441014182226303438465054586266707680[[#This Row],[Tâche]],Horodateur11233538192231343743464952555861646985222634384650585462667074788290989410210611411811012212613013413814214615015415816216617017417818218619019419820220621021441014182226303438465054586266707680[[#This Row],[Durée (100)]],"")</f>
        <v/>
      </c>
      <c r="U39" s="56" t="str">
        <f aca="false">IF($U$1=Horodateur11233538192231343743464952555861646985222634384650585462667074788290989410210611411811012212613013413814214615015415816216617017417818218619019419820220621021441014182226303438465054586266707680[[#This Row],[Tâche]],Horodateur11233538192231343743464952555861646985222634384650585462667074788290989410210611411811012212613013413814214615015415816216617017417818218619019419820220621021441014182226303438465054586266707680[[#This Row],[Durée (100)]],"")</f>
        <v/>
      </c>
      <c r="V39" s="56" t="str">
        <f aca="false">IF($V$1=Horodateur11233538192231343743464952555861646985222634384650585462667074788290989410210611411811012212613013413814214615015415816216617017417818218619019419820220621021441014182226303438465054586266707680[[#This Row],[Tâche]],Horodateur11233538192231343743464952555861646985222634384650585462667074788290989410210611411811012212613013413814214615015415816216617017417818218619019419820220621021441014182226303438465054586266707680[[#This Row],[Durée (100)]],"")</f>
        <v/>
      </c>
      <c r="W39" s="56" t="str">
        <f aca="false">IF($W$1=Horodateur11233538192231343743464952555861646985222634384650585462667074788290989410210611411811012212613013413814214615015415816216617017417818218619019419820220621021441014182226303438465054586266707680[[#This Row],[Tâche]],Horodateur11233538192231343743464952555861646985222634384650585462667074788290989410210611411811012212613013413814214615015415816216617017417818218619019419820220621021441014182226303438465054586266707680[[#This Row],[Durée (100)]],"")</f>
        <v/>
      </c>
      <c r="X39" s="174"/>
      <c r="Y39" s="71"/>
      <c r="Z39" s="71"/>
      <c r="AA39" s="71"/>
      <c r="AB39" s="71"/>
      <c r="AC39" s="71"/>
      <c r="AD39" s="71"/>
      <c r="AE39" s="71"/>
      <c r="AF39" s="71"/>
      <c r="AG39" s="71"/>
      <c r="AH39" s="71"/>
      <c r="AI39" s="71"/>
      <c r="AJ39" s="71"/>
      <c r="AK39" s="71"/>
      <c r="AL39" s="71"/>
      <c r="AM39" s="71"/>
      <c r="AN39" s="71"/>
      <c r="AO39" s="71"/>
      <c r="AP39" s="71"/>
      <c r="AQ39" s="71"/>
      <c r="AR39" s="71"/>
      <c r="AS39" s="71"/>
      <c r="AT39" s="71"/>
      <c r="AU39" s="71"/>
      <c r="AV39" s="71"/>
      <c r="AW39" s="71"/>
      <c r="AX39" s="71"/>
      <c r="AY39" s="71"/>
      <c r="AZ39" s="71"/>
      <c r="BA39" s="71"/>
    </row>
    <row r="40" customFormat="false" ht="15" hidden="false" customHeight="false" outlineLevel="0" collapsed="false">
      <c r="A40" s="256" t="n">
        <f aca="false">IF(Horodateur11233538192231343743464952555861646985222634384650585462667074788290989410210611411811012212613013413814214615015415816216617017417818218619019419820220621021441014182226303438465054586266707680[[#This Row],[Jour]]="1- Lundi",$B$1+1, IF(Horodateur11233538192231343743464952555861646985222634384650585462667074788290989410210611411811012212613013413814214615015415816216617017417818218619019419820220621021441014182226303438465054586266707680[[#This Row],[Jour]]="2- Mardi",$B$1+2, IF(Horodateur11233538192231343743464952555861646985222634384650585462667074788290989410210611411811012212613013413814214615015415816216617017417818218619019419820220621021441014182226303438465054586266707680[[#This Row],[Jour]]="3- Mercredi",$B$1+3, IF(Horodateur11233538192231343743464952555861646985222634384650585462667074788290989410210611411811012212613013413814214615015415816216617017417818218619019419820220621021441014182226303438465054586266707680[[#This Row],[Jour]]="4- Jeudi",$B$1+4, IF(Horodateur11233538192231343743464952555861646985222634384650585462667074788290989410210611411811012212613013413814214615015415816216617017417818218619019419820220621021441014182226303438465054586266707680[[#This Row],[Jour]]="5- Vendredi",$B$1+5, IF(Horodateur11233538192231343743464952555861646985222634384650585462667074788290989410210611411811012212613013413814214615015415816216617017417818218619019419820220621021441014182226303438465054586266707680[[#This Row],[Jour]]="6- Samedi",$B$1+6, IF(Horodateur11233538192231343743464952555861646985222634384650585462667074788290989410210611411811012212613013413814214615015415816216617017417818218619019419820220621021441014182226303438465054586266707680[[#This Row],[Jour]]="7- Dimanche",$B$1, )))))))</f>
        <v>44310</v>
      </c>
      <c r="B40" s="257" t="s">
        <v>335</v>
      </c>
      <c r="C40" s="258" t="n">
        <v>0.4375</v>
      </c>
      <c r="D40" s="258" t="n">
        <v>0.479166666666667</v>
      </c>
      <c r="E40" s="71" t="s">
        <v>63</v>
      </c>
      <c r="F40" s="71" t="s">
        <v>19</v>
      </c>
      <c r="G40" s="259" t="s">
        <v>376</v>
      </c>
      <c r="H40" s="258" t="n">
        <f aca="false">IF($C40=0,"",$D40-$C40)</f>
        <v>0.0416666666666667</v>
      </c>
      <c r="I40" s="260" t="n">
        <f aca="false">IF($C40=0,"",($H40-INT($H40))*24)</f>
        <v>1</v>
      </c>
      <c r="J40" s="303" t="n">
        <f aca="false">SUMIF(Horodateur11233538192231343743464952555861646985222634384650585462667074788290989410210611411811012212613013413814214615015415816216617017417818218619019419820220621021441014182226303438465054586266707680[Jour],$B40,Horodateur11233538192231343743464952555861646985222634384650585462667074788290989410210611411811012212613013413814214615015415816216617017417818218619019419820220621021441014182226303438465054586266707680[Durée (100)])</f>
        <v>5.75</v>
      </c>
      <c r="K40" s="304" t="s">
        <v>31</v>
      </c>
      <c r="L40" s="263" t="n">
        <f aca="false">IF(Horodateur11233538192231343743464952555861646985222634384650585462667074788290989410210611411811012212613013413814214615015415816216617017417818218619019419820220621021441014182226303438465054586266707680[[#This Row],[O]]="o",Horodateur11233538192231343743464952555861646985222634384650585462667074788290989410210611411811012212613013413814214615015415816216617017417818218619019419820220621021441014182226303438465054586266707680[[#This Row],[Durée (100)]],".")</f>
        <v>1</v>
      </c>
      <c r="M40" s="308" t="n">
        <f aca="false">SUMIF(Horodateur11233538192231343743464952555861646985222634384650585462667074788290989410210611411811012212613013413814214615015415816216617017417818218619019419820220621021441014182226303438465054586266707680[Jour],$B40,P$4:P$2004) / Horodateur11233538192231343743464952555861646985222634384650585462667074788290989410210611411811012212613013413814214615015415816216617017417818218619019419820220621021441014182226303438465054586266707680[[#This Row],[hrs (100)]]</f>
        <v>0.347826086956522</v>
      </c>
      <c r="N40" s="306"/>
      <c r="O40" s="309"/>
      <c r="P40" s="56" t="n">
        <f aca="false">IF($P$1=Horodateur11233538192231343743464952555861646985222634384650585462667074788290989410210611411811012212613013413814214615015415816216617017417818218619019419820220621021441014182226303438465054586266707680[[#This Row],[Tâche]],Horodateur11233538192231343743464952555861646985222634384650585462667074788290989410210611411811012212613013413814214615015415816216617017417818218619019419820220621021441014182226303438465054586266707680[[#This Row],[Durée (100)]],"")</f>
        <v>1</v>
      </c>
      <c r="Q40" s="56" t="str">
        <f aca="false">IF($Q$1=Horodateur11233538192231343743464952555861646985222634384650585462667074788290989410210611411811012212613013413814214615015415816216617017417818218619019419820220621021441014182226303438465054586266707680[[#This Row],[Tâche]],Horodateur11233538192231343743464952555861646985222634384650585462667074788290989410210611411811012212613013413814214615015415816216617017417818218619019419820220621021441014182226303438465054586266707680[[#This Row],[Durée (100)]],"")</f>
        <v/>
      </c>
      <c r="R40" s="56" t="str">
        <f aca="false">IF($R$1=Horodateur11233538192231343743464952555861646985222634384650585462667074788290989410210611411811012212613013413814214615015415816216617017417818218619019419820220621021441014182226303438465054586266707680[[#This Row],[Tâche]],Horodateur11233538192231343743464952555861646985222634384650585462667074788290989410210611411811012212613013413814214615015415816216617017417818218619019419820220621021441014182226303438465054586266707680[[#This Row],[Durée (100)]],"")</f>
        <v/>
      </c>
      <c r="S40" s="56" t="str">
        <f aca="false">IF($S$1=Horodateur11233538192231343743464952555861646985222634384650585462667074788290989410210611411811012212613013413814214615015415816216617017417818218619019419820220621021441014182226303438465054586266707680[[#This Row],[Tâche]],Horodateur11233538192231343743464952555861646985222634384650585462667074788290989410210611411811012212613013413814214615015415816216617017417818218619019419820220621021441014182226303438465054586266707680[[#This Row],[Durée (100)]],"")</f>
        <v/>
      </c>
      <c r="T40" s="56" t="str">
        <f aca="false">IF($T$1=Horodateur11233538192231343743464952555861646985222634384650585462667074788290989410210611411811012212613013413814214615015415816216617017417818218619019419820220621021441014182226303438465054586266707680[[#This Row],[Tâche]],Horodateur11233538192231343743464952555861646985222634384650585462667074788290989410210611411811012212613013413814214615015415816216617017417818218619019419820220621021441014182226303438465054586266707680[[#This Row],[Durée (100)]],"")</f>
        <v/>
      </c>
      <c r="U40" s="56" t="str">
        <f aca="false">IF($U$1=Horodateur11233538192231343743464952555861646985222634384650585462667074788290989410210611411811012212613013413814214615015415816216617017417818218619019419820220621021441014182226303438465054586266707680[[#This Row],[Tâche]],Horodateur11233538192231343743464952555861646985222634384650585462667074788290989410210611411811012212613013413814214615015415816216617017417818218619019419820220621021441014182226303438465054586266707680[[#This Row],[Durée (100)]],"")</f>
        <v/>
      </c>
      <c r="V40" s="56" t="str">
        <f aca="false">IF($V$1=Horodateur11233538192231343743464952555861646985222634384650585462667074788290989410210611411811012212613013413814214615015415816216617017417818218619019419820220621021441014182226303438465054586266707680[[#This Row],[Tâche]],Horodateur11233538192231343743464952555861646985222634384650585462667074788290989410210611411811012212613013413814214615015415816216617017417818218619019419820220621021441014182226303438465054586266707680[[#This Row],[Durée (100)]],"")</f>
        <v/>
      </c>
      <c r="W40" s="56" t="str">
        <f aca="false">IF($W$1=Horodateur11233538192231343743464952555861646985222634384650585462667074788290989410210611411811012212613013413814214615015415816216617017417818218619019419820220621021441014182226303438465054586266707680[[#This Row],[Tâche]],Horodateur11233538192231343743464952555861646985222634384650585462667074788290989410210611411811012212613013413814214615015415816216617017417818218619019419820220621021441014182226303438465054586266707680[[#This Row],[Durée (100)]],"")</f>
        <v/>
      </c>
      <c r="X40" s="174"/>
      <c r="Y40" s="71"/>
      <c r="Z40" s="71"/>
      <c r="AA40" s="71"/>
      <c r="AB40" s="71"/>
      <c r="AC40" s="71"/>
      <c r="AD40" s="71"/>
      <c r="AE40" s="71"/>
      <c r="AF40" s="71"/>
      <c r="AG40" s="71"/>
      <c r="AH40" s="71"/>
      <c r="AI40" s="71"/>
      <c r="AJ40" s="71"/>
      <c r="AK40" s="71"/>
      <c r="AL40" s="71"/>
      <c r="AM40" s="71"/>
      <c r="AN40" s="71"/>
      <c r="AO40" s="71"/>
      <c r="AP40" s="71"/>
      <c r="AQ40" s="71"/>
      <c r="AR40" s="71"/>
      <c r="AS40" s="71"/>
      <c r="AT40" s="71"/>
      <c r="AU40" s="71"/>
      <c r="AV40" s="71"/>
      <c r="AW40" s="71"/>
      <c r="AX40" s="71"/>
      <c r="AY40" s="71"/>
      <c r="AZ40" s="71"/>
      <c r="BA40" s="71"/>
    </row>
    <row r="41" customFormat="false" ht="15" hidden="false" customHeight="false" outlineLevel="0" collapsed="false">
      <c r="A41" s="256" t="n">
        <f aca="false">IF(Horodateur11233538192231343743464952555861646985222634384650585462667074788290989410210611411811012212613013413814214615015415816216617017417818218619019419820220621021441014182226303438465054586266707680[[#This Row],[Jour]]="1- Lundi",$B$1+1, IF(Horodateur11233538192231343743464952555861646985222634384650585462667074788290989410210611411811012212613013413814214615015415816216617017417818218619019419820220621021441014182226303438465054586266707680[[#This Row],[Jour]]="2- Mardi",$B$1+2, IF(Horodateur11233538192231343743464952555861646985222634384650585462667074788290989410210611411811012212613013413814214615015415816216617017417818218619019419820220621021441014182226303438465054586266707680[[#This Row],[Jour]]="3- Mercredi",$B$1+3, IF(Horodateur11233538192231343743464952555861646985222634384650585462667074788290989410210611411811012212613013413814214615015415816216617017417818218619019419820220621021441014182226303438465054586266707680[[#This Row],[Jour]]="4- Jeudi",$B$1+4, IF(Horodateur11233538192231343743464952555861646985222634384650585462667074788290989410210611411811012212613013413814214615015415816216617017417818218619019419820220621021441014182226303438465054586266707680[[#This Row],[Jour]]="5- Vendredi",$B$1+5, IF(Horodateur11233538192231343743464952555861646985222634384650585462667074788290989410210611411811012212613013413814214615015415816216617017417818218619019419820220621021441014182226303438465054586266707680[[#This Row],[Jour]]="6- Samedi",$B$1+6, IF(Horodateur11233538192231343743464952555861646985222634384650585462667074788290989410210611411811012212613013413814214615015415816216617017417818218619019419820220621021441014182226303438465054586266707680[[#This Row],[Jour]]="7- Dimanche",$B$1, )))))))</f>
        <v>44310</v>
      </c>
      <c r="B41" s="257" t="s">
        <v>335</v>
      </c>
      <c r="C41" s="258" t="n">
        <v>0.541666666666667</v>
      </c>
      <c r="D41" s="258" t="n">
        <v>0.604166666666667</v>
      </c>
      <c r="E41" s="71" t="s">
        <v>363</v>
      </c>
      <c r="F41" s="71" t="s">
        <v>19</v>
      </c>
      <c r="G41" s="259" t="s">
        <v>366</v>
      </c>
      <c r="H41" s="258" t="n">
        <f aca="false">IF($C41=0,"",$D41-$C41)</f>
        <v>0.0625</v>
      </c>
      <c r="I41" s="260" t="n">
        <f aca="false">IF($C41=0,"",($H41-INT($H41))*24)</f>
        <v>1.5</v>
      </c>
      <c r="J41" s="303" t="n">
        <f aca="false">SUMIF(Horodateur11233538192231343743464952555861646985222634384650585462667074788290989410210611411811012212613013413814214615015415816216617017417818218619019419820220621021441014182226303438465054586266707680[Jour],$B41,Horodateur11233538192231343743464952555861646985222634384650585462667074788290989410210611411811012212613013413814214615015415816216617017417818218619019419820220621021441014182226303438465054586266707680[Durée (100)])</f>
        <v>5.75</v>
      </c>
      <c r="K41" s="304" t="s">
        <v>31</v>
      </c>
      <c r="L41" s="263" t="n">
        <f aca="false">IF(Horodateur11233538192231343743464952555861646985222634384650585462667074788290989410210611411811012212613013413814214615015415816216617017417818218619019419820220621021441014182226303438465054586266707680[[#This Row],[O]]="o",Horodateur11233538192231343743464952555861646985222634384650585462667074788290989410210611411811012212613013413814214615015415816216617017417818218619019419820220621021441014182226303438465054586266707680[[#This Row],[Durée (100)]],".")</f>
        <v>1.5</v>
      </c>
      <c r="M41" s="308" t="n">
        <f aca="false">SUMIF(Horodateur11233538192231343743464952555861646985222634384650585462667074788290989410210611411811012212613013413814214615015415816216617017417818218619019419820220621021441014182226303438465054586266707680[Jour],$B41,P$4:P$2004) / Horodateur11233538192231343743464952555861646985222634384650585462667074788290989410210611411811012212613013413814214615015415816216617017417818218619019419820220621021441014182226303438465054586266707680[[#This Row],[hrs (100)]]</f>
        <v>0.347826086956522</v>
      </c>
      <c r="N41" s="306"/>
      <c r="O41" s="309"/>
      <c r="P41" s="56"/>
      <c r="Q41" s="56"/>
      <c r="R41" s="56"/>
      <c r="S41" s="56"/>
      <c r="T41" s="56"/>
      <c r="U41" s="56"/>
      <c r="V41" s="56"/>
      <c r="W41" s="56"/>
      <c r="X41" s="174"/>
      <c r="Y41" s="71"/>
      <c r="Z41" s="71"/>
      <c r="AA41" s="71"/>
      <c r="AB41" s="71"/>
      <c r="AC41" s="71"/>
      <c r="AD41" s="71"/>
      <c r="AE41" s="71"/>
      <c r="AF41" s="71"/>
      <c r="AG41" s="71"/>
      <c r="AH41" s="71"/>
      <c r="AI41" s="71"/>
      <c r="AJ41" s="71"/>
      <c r="AK41" s="71"/>
      <c r="AL41" s="71"/>
      <c r="AM41" s="71"/>
      <c r="AN41" s="71"/>
      <c r="AO41" s="71"/>
      <c r="AP41" s="71"/>
      <c r="AQ41" s="71"/>
      <c r="AR41" s="71"/>
      <c r="AS41" s="71"/>
      <c r="AT41" s="71"/>
      <c r="AU41" s="71"/>
      <c r="AV41" s="71"/>
      <c r="AW41" s="71"/>
      <c r="AX41" s="71"/>
      <c r="AY41" s="71"/>
      <c r="AZ41" s="71"/>
      <c r="BA41" s="71"/>
    </row>
    <row r="42" customFormat="false" ht="15" hidden="false" customHeight="false" outlineLevel="0" collapsed="false">
      <c r="A42" s="256" t="n">
        <f aca="false">IF(Horodateur11233538192231343743464952555861646985222634384650585462667074788290989410210611411811012212613013413814214615015415816216617017417818218619019419820220621021441014182226303438465054586266707680[[#This Row],[Jour]]="1- Lundi",$B$1+1, IF(Horodateur11233538192231343743464952555861646985222634384650585462667074788290989410210611411811012212613013413814214615015415816216617017417818218619019419820220621021441014182226303438465054586266707680[[#This Row],[Jour]]="2- Mardi",$B$1+2, IF(Horodateur11233538192231343743464952555861646985222634384650585462667074788290989410210611411811012212613013413814214615015415816216617017417818218619019419820220621021441014182226303438465054586266707680[[#This Row],[Jour]]="3- Mercredi",$B$1+3, IF(Horodateur11233538192231343743464952555861646985222634384650585462667074788290989410210611411811012212613013413814214615015415816216617017417818218619019419820220621021441014182226303438465054586266707680[[#This Row],[Jour]]="4- Jeudi",$B$1+4, IF(Horodateur11233538192231343743464952555861646985222634384650585462667074788290989410210611411811012212613013413814214615015415816216617017417818218619019419820220621021441014182226303438465054586266707680[[#This Row],[Jour]]="5- Vendredi",$B$1+5, IF(Horodateur11233538192231343743464952555861646985222634384650585462667074788290989410210611411811012212613013413814214615015415816216617017417818218619019419820220621021441014182226303438465054586266707680[[#This Row],[Jour]]="6- Samedi",$B$1+6, IF(Horodateur11233538192231343743464952555861646985222634384650585462667074788290989410210611411811012212613013413814214615015415816216617017417818218619019419820220621021441014182226303438465054586266707680[[#This Row],[Jour]]="7- Dimanche",$B$1, )))))))</f>
        <v>44310</v>
      </c>
      <c r="B42" s="257" t="s">
        <v>335</v>
      </c>
      <c r="C42" s="258" t="n">
        <v>0.604166666666667</v>
      </c>
      <c r="D42" s="258" t="n">
        <v>0.65625</v>
      </c>
      <c r="E42" s="71" t="s">
        <v>32</v>
      </c>
      <c r="F42" s="267" t="s">
        <v>23</v>
      </c>
      <c r="G42" s="259"/>
      <c r="H42" s="258" t="n">
        <f aca="false">IF($C42=0,"",$D42-$C42)</f>
        <v>0.0520833333333334</v>
      </c>
      <c r="I42" s="260" t="n">
        <f aca="false">IF($C42=0,"",($H42-INT($H42))*24)</f>
        <v>1.25</v>
      </c>
      <c r="J42" s="303" t="n">
        <f aca="false">SUMIF(Horodateur11233538192231343743464952555861646985222634384650585462667074788290989410210611411811012212613013413814214615015415816216617017417818218619019419820220621021441014182226303438465054586266707680[Jour],$B42,Horodateur11233538192231343743464952555861646985222634384650585462667074788290989410210611411811012212613013413814214615015415816216617017417818218619019419820220621021441014182226303438465054586266707680[Durée (100)])</f>
        <v>5.75</v>
      </c>
      <c r="K42" s="304" t="s">
        <v>31</v>
      </c>
      <c r="L42" s="263" t="n">
        <f aca="false">IF(Horodateur11233538192231343743464952555861646985222634384650585462667074788290989410210611411811012212613013413814214615015415816216617017417818218619019419820220621021441014182226303438465054586266707680[[#This Row],[O]]="o",Horodateur11233538192231343743464952555861646985222634384650585462667074788290989410210611411811012212613013413814214615015415816216617017417818218619019419820220621021441014182226303438465054586266707680[[#This Row],[Durée (100)]],".")</f>
        <v>1.25</v>
      </c>
      <c r="M42" s="310" t="n">
        <f aca="false">SUMIF(Horodateur11233538192231343743464952555861646985222634384650585462667074788290989410210611411811012212613013413814214615015415816216617017417818218619019419820220621021441014182226303438465054586266707680[Jour],$B42,P$4:P$2004) / Horodateur11233538192231343743464952555861646985222634384650585462667074788290989410210611411811012212613013413814214615015415816216617017417818218619019419820220621021441014182226303438465054586266707680[[#This Row],[hrs (100)]]</f>
        <v>0.347826086956522</v>
      </c>
      <c r="N42" s="306"/>
      <c r="O42" s="311"/>
      <c r="P42" s="56" t="str">
        <f aca="false">IF($P$1=Horodateur11233538192231343743464952555861646985222634384650585462667074788290989410210611411811012212613013413814214615015415816216617017417818218619019419820220621021441014182226303438465054586266707680[[#This Row],[Tâche]],Horodateur11233538192231343743464952555861646985222634384650585462667074788290989410210611411811012212613013413814214615015415816216617017417818218619019419820220621021441014182226303438465054586266707680[[#This Row],[Durée (100)]],"")</f>
        <v/>
      </c>
      <c r="Q42" s="56" t="str">
        <f aca="false">IF($Q$1=Horodateur11233538192231343743464952555861646985222634384650585462667074788290989410210611411811012212613013413814214615015415816216617017417818218619019419820220621021441014182226303438465054586266707680[[#This Row],[Tâche]],Horodateur11233538192231343743464952555861646985222634384650585462667074788290989410210611411811012212613013413814214615015415816216617017417818218619019419820220621021441014182226303438465054586266707680[[#This Row],[Durée (100)]],"")</f>
        <v/>
      </c>
      <c r="R42" s="56" t="str">
        <f aca="false">IF($R$1=Horodateur11233538192231343743464952555861646985222634384650585462667074788290989410210611411811012212613013413814214615015415816216617017417818218619019419820220621021441014182226303438465054586266707680[[#This Row],[Tâche]],Horodateur11233538192231343743464952555861646985222634384650585462667074788290989410210611411811012212613013413814214615015415816216617017417818218619019419820220621021441014182226303438465054586266707680[[#This Row],[Durée (100)]],"")</f>
        <v/>
      </c>
      <c r="S42" s="56" t="str">
        <f aca="false">IF($S$1=Horodateur11233538192231343743464952555861646985222634384650585462667074788290989410210611411811012212613013413814214615015415816216617017417818218619019419820220621021441014182226303438465054586266707680[[#This Row],[Tâche]],Horodateur11233538192231343743464952555861646985222634384650585462667074788290989410210611411811012212613013413814214615015415816216617017417818218619019419820220621021441014182226303438465054586266707680[[#This Row],[Durée (100)]],"")</f>
        <v/>
      </c>
      <c r="T42" s="56" t="n">
        <f aca="false">IF($T$1=Horodateur11233538192231343743464952555861646985222634384650585462667074788290989410210611411811012212613013413814214615015415816216617017417818218619019419820220621021441014182226303438465054586266707680[[#This Row],[Tâche]],Horodateur11233538192231343743464952555861646985222634384650585462667074788290989410210611411811012212613013413814214615015415816216617017417818218619019419820220621021441014182226303438465054586266707680[[#This Row],[Durée (100)]],"")</f>
        <v>1.25</v>
      </c>
      <c r="U42" s="56" t="str">
        <f aca="false">IF($U$1=Horodateur11233538192231343743464952555861646985222634384650585462667074788290989410210611411811012212613013413814214615015415816216617017417818218619019419820220621021441014182226303438465054586266707680[[#This Row],[Tâche]],Horodateur11233538192231343743464952555861646985222634384650585462667074788290989410210611411811012212613013413814214615015415816216617017417818218619019419820220621021441014182226303438465054586266707680[[#This Row],[Durée (100)]],"")</f>
        <v/>
      </c>
      <c r="V42" s="56" t="str">
        <f aca="false">IF($V$1=Horodateur11233538192231343743464952555861646985222634384650585462667074788290989410210611411811012212613013413814214615015415816216617017417818218619019419820220621021441014182226303438465054586266707680[[#This Row],[Tâche]],Horodateur11233538192231343743464952555861646985222634384650585462667074788290989410210611411811012212613013413814214615015415816216617017417818218619019419820220621021441014182226303438465054586266707680[[#This Row],[Durée (100)]],"")</f>
        <v/>
      </c>
      <c r="W42" s="56" t="str">
        <f aca="false">IF($W$1=Horodateur11233538192231343743464952555861646985222634384650585462667074788290989410210611411811012212613013413814214615015415816216617017417818218619019419820220621021441014182226303438465054586266707680[[#This Row],[Tâche]],Horodateur11233538192231343743464952555861646985222634384650585462667074788290989410210611411811012212613013413814214615015415816216617017417818218619019419820220621021441014182226303438465054586266707680[[#This Row],[Durée (100)]],"")</f>
        <v/>
      </c>
      <c r="X42" s="174"/>
      <c r="Y42" s="71"/>
      <c r="Z42" s="71"/>
      <c r="AA42" s="71"/>
      <c r="AB42" s="71"/>
      <c r="AC42" s="71"/>
      <c r="AD42" s="71"/>
      <c r="AE42" s="71"/>
      <c r="AF42" s="71"/>
      <c r="AG42" s="71"/>
      <c r="AH42" s="71"/>
      <c r="AI42" s="71"/>
      <c r="AJ42" s="71"/>
      <c r="AK42" s="71"/>
      <c r="AL42" s="71"/>
      <c r="AM42" s="71"/>
      <c r="AN42" s="71"/>
      <c r="AO42" s="71"/>
      <c r="AP42" s="71"/>
      <c r="AQ42" s="71"/>
      <c r="AR42" s="71"/>
      <c r="AS42" s="71"/>
      <c r="AT42" s="71"/>
      <c r="AU42" s="71"/>
      <c r="AV42" s="71"/>
      <c r="AW42" s="71"/>
      <c r="AX42" s="71"/>
      <c r="AY42" s="71"/>
      <c r="AZ42" s="71"/>
      <c r="BA42" s="71"/>
    </row>
    <row r="43" customFormat="false" ht="15" hidden="false" customHeight="false" outlineLevel="0" collapsed="false">
      <c r="A43" s="312"/>
      <c r="B43" s="257" t="s">
        <v>335</v>
      </c>
      <c r="C43" s="258"/>
      <c r="D43" s="258"/>
      <c r="E43" s="71"/>
      <c r="F43" s="267"/>
      <c r="G43" s="259"/>
      <c r="H43" s="258"/>
      <c r="I43" s="313"/>
      <c r="J43" s="314"/>
      <c r="K43" s="304"/>
      <c r="L43" s="263"/>
      <c r="M43" s="315"/>
      <c r="N43" s="306"/>
      <c r="O43" s="316"/>
      <c r="P43" s="168"/>
      <c r="Q43" s="168"/>
      <c r="R43" s="168"/>
      <c r="S43" s="168"/>
      <c r="T43" s="168"/>
      <c r="U43" s="168"/>
      <c r="V43" s="168"/>
      <c r="W43" s="168"/>
      <c r="X43" s="174"/>
      <c r="Y43" s="71"/>
      <c r="Z43" s="71"/>
      <c r="AA43" s="71"/>
      <c r="AB43" s="71"/>
      <c r="AC43" s="71"/>
      <c r="AD43" s="71"/>
      <c r="AE43" s="71"/>
      <c r="AF43" s="71"/>
      <c r="AG43" s="71"/>
      <c r="AH43" s="71"/>
      <c r="AI43" s="71"/>
      <c r="AJ43" s="71"/>
      <c r="AK43" s="71"/>
      <c r="AL43" s="71"/>
      <c r="AM43" s="71"/>
      <c r="AN43" s="71"/>
      <c r="AO43" s="71"/>
      <c r="AP43" s="71"/>
      <c r="AQ43" s="71"/>
      <c r="AR43" s="71"/>
      <c r="AS43" s="71"/>
      <c r="AT43" s="71"/>
      <c r="AU43" s="71"/>
      <c r="AV43" s="71"/>
      <c r="AW43" s="71"/>
      <c r="AX43" s="71"/>
      <c r="AY43" s="71"/>
      <c r="AZ43" s="71"/>
      <c r="BA43" s="71"/>
    </row>
    <row r="44" customFormat="false" ht="15" hidden="false" customHeight="false" outlineLevel="0" collapsed="false">
      <c r="A44" s="137"/>
      <c r="B44" s="187"/>
      <c r="C44" s="71"/>
      <c r="D44" s="1"/>
      <c r="E44" s="1"/>
      <c r="F44" s="71"/>
      <c r="G44" s="1"/>
      <c r="H44" s="1"/>
      <c r="I44" s="119"/>
      <c r="J44" s="271"/>
      <c r="K44" s="1"/>
      <c r="L44" s="1"/>
      <c r="M44" s="188"/>
      <c r="N44" s="272"/>
      <c r="O44" s="189"/>
      <c r="P44" s="71"/>
      <c r="Q44" s="187"/>
      <c r="R44" s="187"/>
      <c r="S44" s="71"/>
      <c r="T44" s="71"/>
      <c r="U44" s="71"/>
      <c r="V44" s="71"/>
      <c r="W44" s="71"/>
      <c r="X44" s="71"/>
      <c r="Y44" s="71"/>
      <c r="Z44" s="71"/>
      <c r="AA44" s="71"/>
      <c r="AB44" s="71"/>
      <c r="AC44" s="71"/>
      <c r="AD44" s="71"/>
      <c r="AE44" s="71"/>
      <c r="AF44" s="71"/>
      <c r="AG44" s="71"/>
      <c r="AH44" s="71"/>
      <c r="AI44" s="71"/>
      <c r="AJ44" s="71"/>
      <c r="AK44" s="71"/>
      <c r="AL44" s="71"/>
      <c r="AM44" s="71"/>
      <c r="AN44" s="71"/>
      <c r="AO44" s="71"/>
      <c r="AP44" s="71"/>
      <c r="AQ44" s="71"/>
      <c r="AR44" s="71"/>
      <c r="AS44" s="71"/>
      <c r="AT44" s="71"/>
      <c r="AU44" s="71"/>
      <c r="AV44" s="71"/>
      <c r="AW44" s="71"/>
      <c r="AX44" s="71"/>
      <c r="AY44" s="71"/>
      <c r="AZ44" s="71"/>
      <c r="BA44" s="71"/>
    </row>
    <row r="45" customFormat="false" ht="15" hidden="false" customHeight="false" outlineLevel="0" collapsed="false">
      <c r="A45" s="137"/>
      <c r="B45" s="187"/>
      <c r="C45" s="71"/>
      <c r="D45" s="1"/>
      <c r="E45" s="1"/>
      <c r="F45" s="71"/>
      <c r="G45" s="1"/>
      <c r="H45" s="1"/>
      <c r="I45" s="119"/>
      <c r="J45" s="271"/>
      <c r="K45" s="1"/>
      <c r="L45" s="1"/>
      <c r="M45" s="188"/>
      <c r="N45" s="272"/>
      <c r="O45" s="189"/>
      <c r="P45" s="71"/>
      <c r="Q45" s="187"/>
      <c r="R45" s="187"/>
      <c r="S45" s="71"/>
      <c r="T45" s="71"/>
      <c r="U45" s="71"/>
      <c r="V45" s="71"/>
      <c r="W45" s="71"/>
      <c r="X45" s="71"/>
      <c r="Y45" s="71"/>
      <c r="Z45" s="71"/>
      <c r="AA45" s="71"/>
      <c r="AB45" s="71"/>
      <c r="AC45" s="71"/>
      <c r="AD45" s="71"/>
      <c r="AE45" s="71"/>
      <c r="AF45" s="71"/>
      <c r="AG45" s="71"/>
      <c r="AH45" s="71"/>
      <c r="AI45" s="71"/>
      <c r="AJ45" s="71"/>
      <c r="AK45" s="71"/>
      <c r="AL45" s="71"/>
      <c r="AM45" s="71"/>
      <c r="AN45" s="71"/>
      <c r="AO45" s="71"/>
      <c r="AP45" s="71"/>
      <c r="AQ45" s="71"/>
      <c r="AR45" s="71"/>
      <c r="AS45" s="71"/>
      <c r="AT45" s="71"/>
      <c r="AU45" s="71"/>
      <c r="AV45" s="71"/>
      <c r="AW45" s="71"/>
      <c r="AX45" s="71"/>
      <c r="AY45" s="71"/>
      <c r="AZ45" s="71"/>
      <c r="BA45" s="71"/>
    </row>
    <row r="46" customFormat="false" ht="15" hidden="false" customHeight="false" outlineLevel="0" collapsed="false">
      <c r="A46" s="137"/>
      <c r="B46" s="187"/>
      <c r="C46" s="71"/>
      <c r="D46" s="1"/>
      <c r="E46" s="1"/>
      <c r="F46" s="71"/>
      <c r="G46" s="1"/>
      <c r="H46" s="1"/>
      <c r="I46" s="119"/>
      <c r="J46" s="271"/>
      <c r="K46" s="1"/>
      <c r="L46" s="1"/>
      <c r="M46" s="188"/>
      <c r="O46" s="273"/>
      <c r="P46" s="71"/>
      <c r="Q46" s="187"/>
      <c r="R46" s="187"/>
      <c r="S46" s="71"/>
      <c r="T46" s="71"/>
      <c r="U46" s="71"/>
      <c r="V46" s="71"/>
      <c r="W46" s="71"/>
      <c r="X46" s="71"/>
      <c r="Y46" s="71"/>
      <c r="Z46" s="71"/>
      <c r="AA46" s="71"/>
      <c r="AB46" s="71"/>
      <c r="AC46" s="71"/>
      <c r="AD46" s="71"/>
      <c r="AE46" s="71"/>
      <c r="AF46" s="71"/>
      <c r="AG46" s="71"/>
      <c r="AH46" s="71"/>
      <c r="AI46" s="71"/>
      <c r="AJ46" s="71"/>
      <c r="AK46" s="71"/>
      <c r="AL46" s="71"/>
      <c r="AM46" s="71"/>
      <c r="AN46" s="71"/>
      <c r="AO46" s="71"/>
      <c r="AP46" s="71"/>
      <c r="AQ46" s="71"/>
      <c r="AR46" s="71"/>
      <c r="AS46" s="71"/>
      <c r="AT46" s="71"/>
      <c r="AU46" s="71"/>
      <c r="AV46" s="71"/>
      <c r="AW46" s="71"/>
      <c r="AX46" s="71"/>
      <c r="AY46" s="71"/>
      <c r="AZ46" s="71"/>
      <c r="BA46" s="71"/>
    </row>
    <row r="47" customFormat="false" ht="15" hidden="false" customHeight="false" outlineLevel="0" collapsed="false">
      <c r="A47" s="274" t="s">
        <v>377</v>
      </c>
      <c r="B47" s="275" t="str">
        <f aca="false">SUM($A$93:$A$523) &amp; " heures"</f>
        <v>26.75 heures</v>
      </c>
      <c r="C47" s="276" t="str">
        <f aca="false">SUM($A$93:$A$514) / 8 &amp; " Jours"</f>
        <v>3.34375 Jours</v>
      </c>
      <c r="D47" s="277"/>
      <c r="E47" s="277" t="n">
        <v>33.25</v>
      </c>
      <c r="F47" s="278" t="n">
        <f aca="false">E47/8</f>
        <v>4.15625</v>
      </c>
      <c r="G47" s="277"/>
      <c r="H47" s="277"/>
      <c r="I47" s="279"/>
      <c r="J47" s="280"/>
      <c r="K47" s="277"/>
      <c r="L47" s="277"/>
      <c r="M47" s="281"/>
      <c r="N47" s="282"/>
      <c r="O47" s="282"/>
      <c r="P47" s="277"/>
      <c r="Q47" s="283"/>
      <c r="R47" s="283"/>
      <c r="S47" s="277"/>
      <c r="T47" s="277"/>
      <c r="U47" s="277"/>
      <c r="V47" s="277"/>
      <c r="W47" s="277"/>
      <c r="X47" s="277"/>
      <c r="Y47" s="277"/>
      <c r="Z47" s="278"/>
      <c r="AA47" s="278"/>
      <c r="AB47" s="278"/>
      <c r="AC47" s="278"/>
      <c r="AD47" s="278"/>
      <c r="AE47" s="278"/>
      <c r="AF47" s="278"/>
      <c r="AG47" s="278"/>
      <c r="AH47" s="278"/>
      <c r="AI47" s="278"/>
      <c r="AJ47" s="278"/>
      <c r="AK47" s="278"/>
      <c r="AL47" s="278"/>
      <c r="AM47" s="278"/>
      <c r="AN47" s="278"/>
      <c r="AO47" s="278"/>
      <c r="AP47" s="278"/>
      <c r="AQ47" s="278"/>
      <c r="AR47" s="278"/>
      <c r="AS47" s="278"/>
      <c r="AT47" s="278"/>
      <c r="AU47" s="278"/>
      <c r="AV47" s="278"/>
      <c r="AW47" s="278"/>
      <c r="AX47" s="278"/>
      <c r="AY47" s="278"/>
      <c r="AZ47" s="278"/>
      <c r="BA47" s="278"/>
    </row>
    <row r="48" customFormat="false" ht="15" hidden="false" customHeight="false" outlineLevel="0" collapsed="false">
      <c r="A48" s="137"/>
      <c r="B48" s="187"/>
      <c r="C48" s="71"/>
      <c r="D48" s="1"/>
      <c r="E48" s="1"/>
      <c r="F48" s="71"/>
      <c r="G48" s="1"/>
      <c r="H48" s="1"/>
      <c r="I48" s="119"/>
      <c r="J48" s="271"/>
      <c r="K48" s="1"/>
      <c r="L48" s="1"/>
      <c r="M48" s="188"/>
      <c r="N48" s="272"/>
      <c r="O48" s="272"/>
      <c r="P48" s="1"/>
      <c r="Q48" s="187"/>
      <c r="R48" s="187"/>
      <c r="S48" s="1"/>
      <c r="T48" s="1"/>
      <c r="U48" s="1"/>
      <c r="V48" s="1"/>
      <c r="W48" s="1"/>
      <c r="X48" s="1"/>
      <c r="Y48" s="1"/>
      <c r="Z48" s="71"/>
      <c r="AA48" s="71"/>
      <c r="AB48" s="71"/>
      <c r="AC48" s="71"/>
      <c r="AD48" s="71"/>
      <c r="AE48" s="71"/>
      <c r="AF48" s="71"/>
      <c r="AG48" s="71"/>
      <c r="AH48" s="71"/>
      <c r="AI48" s="71"/>
      <c r="AJ48" s="71"/>
      <c r="AK48" s="71"/>
      <c r="AL48" s="71"/>
      <c r="AM48" s="71"/>
      <c r="AN48" s="71"/>
      <c r="AO48" s="71"/>
      <c r="AP48" s="71"/>
      <c r="AQ48" s="71"/>
      <c r="AR48" s="71"/>
      <c r="AS48" s="71"/>
      <c r="AT48" s="71"/>
      <c r="AU48" s="71"/>
      <c r="AV48" s="71"/>
      <c r="AW48" s="71"/>
      <c r="AX48" s="71"/>
      <c r="AY48" s="71"/>
      <c r="AZ48" s="71"/>
      <c r="BA48" s="71"/>
    </row>
    <row r="49" customFormat="false" ht="15" hidden="true" customHeight="false" outlineLevel="1" collapsed="false">
      <c r="A49" s="137"/>
      <c r="B49" s="137"/>
      <c r="C49" s="137"/>
      <c r="D49" s="137"/>
      <c r="E49" s="1"/>
      <c r="F49" s="71"/>
      <c r="G49" s="1"/>
      <c r="H49" s="1"/>
      <c r="I49" s="119"/>
      <c r="J49" s="271"/>
      <c r="K49" s="1"/>
      <c r="L49" s="1"/>
      <c r="M49" s="188"/>
      <c r="N49" s="272"/>
      <c r="O49" s="272"/>
      <c r="P49" s="1"/>
      <c r="Q49" s="187"/>
      <c r="R49" s="187"/>
      <c r="S49" s="1"/>
      <c r="T49" s="1"/>
      <c r="U49" s="1"/>
      <c r="V49" s="1"/>
      <c r="W49" s="1"/>
      <c r="X49" s="1"/>
      <c r="Y49" s="1"/>
      <c r="Z49" s="71"/>
      <c r="AA49" s="71"/>
      <c r="AB49" s="71"/>
      <c r="AC49" s="71"/>
      <c r="AD49" s="71"/>
      <c r="AE49" s="71"/>
      <c r="AF49" s="71"/>
      <c r="AG49" s="71"/>
      <c r="AH49" s="71"/>
      <c r="AI49" s="71"/>
      <c r="AJ49" s="71"/>
      <c r="AK49" s="71"/>
      <c r="AL49" s="71"/>
      <c r="AM49" s="71"/>
      <c r="AN49" s="71"/>
      <c r="AO49" s="71"/>
      <c r="AP49" s="71"/>
      <c r="AQ49" s="71"/>
      <c r="AR49" s="71"/>
      <c r="AS49" s="71"/>
      <c r="AT49" s="71"/>
      <c r="AU49" s="71"/>
      <c r="AV49" s="71"/>
      <c r="AW49" s="71"/>
      <c r="AX49" s="71"/>
      <c r="AY49" s="71"/>
      <c r="AZ49" s="71"/>
      <c r="BA49" s="71"/>
    </row>
    <row r="50" customFormat="false" ht="15" hidden="true" customHeight="false" outlineLevel="1" collapsed="false">
      <c r="A50" s="284" t="s">
        <v>84</v>
      </c>
      <c r="B50" s="285" t="s">
        <v>21</v>
      </c>
      <c r="C50" s="285" t="s">
        <v>20</v>
      </c>
      <c r="D50" s="285" t="s">
        <v>23</v>
      </c>
      <c r="E50" s="285" t="s">
        <v>25</v>
      </c>
      <c r="F50" s="285" t="s">
        <v>26</v>
      </c>
      <c r="G50" s="285" t="s">
        <v>378</v>
      </c>
      <c r="H50" s="285" t="s">
        <v>379</v>
      </c>
      <c r="I50" s="285" t="s">
        <v>380</v>
      </c>
      <c r="J50" s="286" t="s">
        <v>58</v>
      </c>
      <c r="K50" s="287"/>
      <c r="L50" s="287"/>
      <c r="M50" s="288"/>
      <c r="N50" s="289"/>
      <c r="O50" s="289"/>
      <c r="P50" s="1"/>
      <c r="Q50" s="187"/>
      <c r="R50" s="187"/>
      <c r="S50" s="1"/>
      <c r="T50" s="1"/>
      <c r="U50" s="1"/>
      <c r="V50" s="1"/>
      <c r="W50" s="1"/>
      <c r="X50" s="1"/>
      <c r="Y50" s="71"/>
      <c r="Z50" s="71"/>
      <c r="AA50" s="71"/>
      <c r="AB50" s="71"/>
      <c r="AC50" s="71"/>
      <c r="AD50" s="71"/>
      <c r="AE50" s="71"/>
      <c r="AF50" s="71"/>
      <c r="AG50" s="71"/>
      <c r="AH50" s="71"/>
      <c r="AI50" s="71"/>
      <c r="AJ50" s="71"/>
      <c r="AK50" s="71"/>
      <c r="AL50" s="71"/>
      <c r="AM50" s="71"/>
      <c r="AN50" s="71"/>
      <c r="AO50" s="71"/>
      <c r="AP50" s="71"/>
      <c r="AQ50" s="71"/>
      <c r="AR50" s="71"/>
      <c r="AS50" s="71"/>
      <c r="AT50" s="71"/>
      <c r="AU50" s="71"/>
      <c r="AV50" s="71"/>
      <c r="AW50" s="71"/>
      <c r="AX50" s="71"/>
      <c r="AY50" s="71"/>
      <c r="AZ50" s="71"/>
    </row>
    <row r="51" customFormat="false" ht="15" hidden="true" customHeight="false" outlineLevel="1" collapsed="false">
      <c r="A51" s="187" t="s">
        <v>312</v>
      </c>
      <c r="B51" s="71" t="n">
        <f aca="false">SUMIFS(Horodateur11233538192231343743464952555861646985222634384650585462667074788290989410210611411811012212613013413814214615015415816216617017417818218619019419820220621021441014182226303438465054586266707680[Durée (100)],Horodateur11233538192231343743464952555861646985222634384650585462667074788290989410210611411811012212613013413814214615015415816216617017417818218619019419820220621021441014182226303438465054586266707680[Tâche],Taches_Jours1224363917202932354144475053565962678320243236444856526064687276808896921001041121161081201241281321361401441481521561601641681721761801841881921962002042082122612162024283236444852566064687478[[#Headers],[GB]],Horodateur11233538192231343743464952555861646985222634384650585462667074788290989410210611411811012212613013413814214615015415816216617017417818218619019419820220621021441014182226303438465054586266707680[Jour],Taches_Jours1224363917202932354144475053565962678320243236444856526064687276808896921001041121161081201241281321361401441481521561601641681721761801841881921962002042082122612162024283236444852566064687478[[#This Row],[Jours]])</f>
        <v>1.75</v>
      </c>
      <c r="C51" s="71" t="n">
        <f aca="false">SUMIFS(Horodateur11233538192231343743464952555861646985222634384650585462667074788290989410210611411811012212613013413814214615015415816216617017417818218619019419820220621021441014182226303438465054586266707680[Durée (100)],Horodateur11233538192231343743464952555861646985222634384650585462667074788290989410210611411811012212613013413814214615015415816216617017417818218619019419820220621021441014182226303438465054586266707680[Tâche],Taches_Jours1224363917202932354144475053565962678320243236444856526064687276808896921001041121161081201241281321361401441481521561601641681721761801841881921962002042082122612162024283236444852566064687478[[#Headers],[RI]],Horodateur11233538192231343743464952555861646985222634384650585462667074788290989410210611411811012212613013413814214615015415816216617017417818218619019419820220621021441014182226303438465054586266707680[Jour],Taches_Jours1224363917202932354144475053565962678320243236444856526064687276808896921001041121161081201241281321361401441481521561601641681721761801841881921962002042082122612162024283236444852566064687478[[#This Row],[Jours]])</f>
        <v>0.500000000000001</v>
      </c>
      <c r="D51" s="71" t="n">
        <f aca="false">SUMIFS(Horodateur11233538192231343743464952555861646985222634384650585462667074788290989410210611411811012212613013413814214615015415816216617017417818218619019419820220621021441014182226303438465054586266707680[Durée (100)],Horodateur11233538192231343743464952555861646985222634384650585462667074788290989410210611411811012212613013413814214615015415816216617017417818218619019419820220621021441014182226303438465054586266707680[Tâche],Taches_Jours1224363917202932354144475053565962678320243236444856526064687276808896921001041121161081201241281321361401441481521561601641681721761801841881921962002042082122612162024283236444852566064687478[[#Headers],[FG]],Horodateur11233538192231343743464952555861646985222634384650585462667074788290989410210611411811012212613013413814214615015415816216617017417818218619019419820220621021441014182226303438465054586266707680[Jour],Taches_Jours1224363917202932354144475053565962678320243236444856526064687276808896921001041121161081201241281321361401441481521561601641681721761801841881921962002042082122612162024283236444852566064687478[[#This Row],[Jours]])</f>
        <v>0</v>
      </c>
      <c r="E51" s="71" t="n">
        <f aca="false">SUMIFS(Horodateur11233538192231343743464952555861646985222634384650585462667074788290989410210611411811012212613013413814214615015415816216617017417818218619019419820220621021441014182226303438465054586266707680[Durée (100)],Horodateur11233538192231343743464952555861646985222634384650585462667074788290989410210611411811012212613013413814214615015415816216617017417818218619019419820220621021441014182226303438465054586266707680[Tâche],Taches_Jours1224363917202932354144475053565962678320243236444856526064687276808896921001041121161081201241281321361401441481521561601641681721761801841881921962002042082122612162024283236444852566064687478[[#Headers],[PS]],Horodateur11233538192231343743464952555861646985222634384650585462667074788290989410210611411811012212613013413814214615015415816216617017417818218619019419820220621021441014182226303438465054586266707680[Jour],Taches_Jours1224363917202932354144475053565962678320243236444856526064687276808896921001041121161081201241281321361401441481521561601641681721761801841881921962002042082122612162024283236444852566064687478[[#This Row],[Jours]])</f>
        <v>0</v>
      </c>
      <c r="F51" s="71" t="n">
        <f aca="false">SUMIFS(Horodateur11233538192231343743464952555861646985222634384650585462667074788290989410210611411811012212613013413814214615015415816216617017417818218619019419820220621021441014182226303438465054586266707680[Durée (100)],Horodateur11233538192231343743464952555861646985222634384650585462667074788290989410210611411811012212613013413814214615015415816216617017417818218619019419820220621021441014182226303438465054586266707680[Tâche],Taches_Jours1224363917202932354144475053565962678320243236444856526064687276808896921001041121161081201241281321361401441481521561601641681721761801841881921962002042082122612162024283236444852566064687478[[#Headers],[TD]],Horodateur11233538192231343743464952555861646985222634384650585462667074788290989410210611411811012212613013413814214615015415816216617017417818218619019419820220621021441014182226303438465054586266707680[Jour],Taches_Jours1224363917202932354144475053565962678320243236444856526064687276808896921001041121161081201241281321361401441481521561601641681721761801841881921962002042082122612162024283236444852566064687478[[#This Row],[Jours]])</f>
        <v>0</v>
      </c>
      <c r="G51" s="71" t="n">
        <f aca="false">SUMIFS(Horodateur11233538192231343743464952555861646985222634384650585462667074788290989410210611411811012212613013413814214615015415816216617017417818218619019419820220621021441014182226303438465054586266707680[Durée (100)],Horodateur11233538192231343743464952555861646985222634384650585462667074788290989410210611411811012212613013413814214615015415816216617017417818218619019419820220621021441014182226303438465054586266707680[Tâche],Taches_Jours1224363917202932354144475053565962678320243236444856526064687276808896921001041121161081201241281321361401441481521561601641681721761801841881921962002042082122612162024283236444852566064687478[[#Headers],[GP]],Horodateur11233538192231343743464952555861646985222634384650585462667074788290989410210611411811012212613013413814214615015415816216617017417818218619019419820220621021441014182226303438465054586266707680[Jour],Taches_Jours1224363917202932354144475053565962678320243236444856526064687276808896921001041121161081201241281321361401441481521561601641681721761801841881921962002042082122612162024283236444852566064687478[[#This Row],[Jours]])</f>
        <v>0</v>
      </c>
      <c r="H51" s="71" t="n">
        <f aca="false">SUMIFS(Horodateur11233538192231343743464952555861646985222634384650585462667074788290989410210611411811012212613013413814214615015415816216617017417818218619019419820220621021441014182226303438465054586266707680[Durée (100)],Horodateur11233538192231343743464952555861646985222634384650585462667074788290989410210611411811012212613013413814214615015415816216617017417818218619019419820220621021441014182226303438465054586266707680[Tâche],Taches_Jours1224363917202932354144475053565962678320243236444856526064687276808896921001041121161081201241281321361401441481521561601641681721761801841881921962002042082122612162024283236444852566064687478[[#Headers],[GP / SP]],Horodateur11233538192231343743464952555861646985222634384650585462667074788290989410210611411811012212613013413814214615015415816216617017417818218619019419820220621021441014182226303438465054586266707680[Jour],Taches_Jours1224363917202932354144475053565962678320243236444856526064687276808896921001041121161081201241281321361401441481521561601641681721761801841881921962002042082122612162024283236444852566064687478[[#This Row],[Jours]])</f>
        <v>0</v>
      </c>
      <c r="I51" s="71" t="n">
        <f aca="false">SUMIFS(Horodateur11233538192231343743464952555861646985222634384650585462667074788290989410210611411811012212613013413814214615015415816216617017417818218619019419820220621021441014182226303438465054586266707680[Durée (100)],Horodateur11233538192231343743464952555861646985222634384650585462667074788290989410210611411811012212613013413814214615015415816216617017417818218619019419820220621021441014182226303438465054586266707680[Tâche],Taches_Jours1224363917202932354144475053565962678320243236444856526064687276808896921001041121161081201241281321361401441481521561601641681721761801841881921962002042082122612162024283236444852566064687478[[#Headers],[GP / SP]],Horodateur11233538192231343743464952555861646985222634384650585462667074788290989410210611411811012212613013413814214615015415816216617017417818218619019419820220621021441014182226303438465054586266707680[Jour],Taches_Jours1224363917202932354144475053565962678320243236444856526064687276808896921001041121161081201241281321361401441481521561601641681721761801841881921962002042082122612162024283236444852566064687478[[#This Row],[Jours]])</f>
        <v>0</v>
      </c>
      <c r="J51" s="290" t="n">
        <f aca="false">SUM(Taches_Jours1224363917202932354144475053565962678320243236444856526064687276808896921001041121161081201241281321361401441481521561601641681721761801841881921962002042082122612162024283236444852566064687478[[#This Row],[GB]:[GP / SP]])</f>
        <v>2.25</v>
      </c>
      <c r="K51" s="188"/>
      <c r="L51" s="188"/>
      <c r="M51" s="288"/>
      <c r="N51" s="289"/>
      <c r="O51" s="289"/>
      <c r="P51" s="1"/>
      <c r="Q51" s="187"/>
      <c r="R51" s="187"/>
      <c r="S51" s="1"/>
      <c r="T51" s="1"/>
      <c r="U51" s="1"/>
      <c r="V51" s="1"/>
      <c r="W51" s="1"/>
      <c r="X51" s="1"/>
      <c r="Y51" s="71"/>
      <c r="Z51" s="71"/>
      <c r="AA51" s="71"/>
      <c r="AB51" s="71"/>
      <c r="AC51" s="71"/>
      <c r="AD51" s="71"/>
      <c r="AE51" s="71"/>
      <c r="AF51" s="71"/>
      <c r="AG51" s="71"/>
      <c r="AH51" s="71"/>
      <c r="AI51" s="71"/>
      <c r="AJ51" s="71"/>
      <c r="AK51" s="71"/>
      <c r="AL51" s="71"/>
      <c r="AM51" s="71"/>
      <c r="AN51" s="71"/>
      <c r="AO51" s="71"/>
      <c r="AP51" s="71"/>
      <c r="AQ51" s="71"/>
      <c r="AR51" s="71"/>
      <c r="AS51" s="71"/>
      <c r="AT51" s="71"/>
      <c r="AU51" s="71"/>
      <c r="AV51" s="71"/>
      <c r="AW51" s="71"/>
      <c r="AX51" s="71"/>
      <c r="AY51" s="71"/>
      <c r="AZ51" s="71"/>
    </row>
    <row r="52" customFormat="false" ht="15" hidden="true" customHeight="false" outlineLevel="1" collapsed="false">
      <c r="A52" s="187" t="s">
        <v>319</v>
      </c>
      <c r="B52" s="71" t="n">
        <f aca="false">SUMIFS(Horodateur11233538192231343743464952555861646985222634384650585462667074788290989410210611411811012212613013413814214615015415816216617017417818218619019419820220621021441014182226303438465054586266707680[Durée (100)],Horodateur11233538192231343743464952555861646985222634384650585462667074788290989410210611411811012212613013413814214615015415816216617017417818218619019419820220621021441014182226303438465054586266707680[Tâche],Taches_Jours1224363917202932354144475053565962678320243236444856526064687276808896921001041121161081201241281321361401441481521561601641681721761801841881921962002042082122612162024283236444852566064687478[[#Headers],[GB]],Horodateur11233538192231343743464952555861646985222634384650585462667074788290989410210611411811012212613013413814214615015415816216617017417818218619019419820220621021441014182226303438465054586266707680[Jour],Taches_Jours1224363917202932354144475053565962678320243236444856526064687276808896921001041121161081201241281321361401441481521561601641681721761801841881921962002042082122612162024283236444852566064687478[[#This Row],[Jours]])</f>
        <v>0.5</v>
      </c>
      <c r="C52" s="71" t="n">
        <f aca="false">SUMIFS(Horodateur11233538192231343743464952555861646985222634384650585462667074788290989410210611411811012212613013413814214615015415816216617017417818218619019419820220621021441014182226303438465054586266707680[Durée (100)],Horodateur11233538192231343743464952555861646985222634384650585462667074788290989410210611411811012212613013413814214615015415816216617017417818218619019419820220621021441014182226303438465054586266707680[Tâche],Taches_Jours1224363917202932354144475053565962678320243236444856526064687276808896921001041121161081201241281321361401441481521561601641681721761801841881921962002042082122612162024283236444852566064687478[[#Headers],[RI]],Horodateur11233538192231343743464952555861646985222634384650585462667074788290989410210611411811012212613013413814214615015415816216617017417818218619019419820220621021441014182226303438465054586266707680[Jour],Taches_Jours1224363917202932354144475053565962678320243236444856526064687276808896921001041121161081201241281321361401441481521561601641681721761801841881921962002042082122612162024283236444852566064687478[[#This Row],[Jours]])</f>
        <v>0.500000000000001</v>
      </c>
      <c r="D52" s="71" t="n">
        <f aca="false">SUMIFS(Horodateur11233538192231343743464952555861646985222634384650585462667074788290989410210611411811012212613013413814214615015415816216617017417818218619019419820220621021441014182226303438465054586266707680[Durée (100)],Horodateur11233538192231343743464952555861646985222634384650585462667074788290989410210611411811012212613013413814214615015415816216617017417818218619019419820220621021441014182226303438465054586266707680[Tâche],Taches_Jours1224363917202932354144475053565962678320243236444856526064687276808896921001041121161081201241281321361401441481521561601641681721761801841881921962002042082122612162024283236444852566064687478[[#Headers],[FG]],Horodateur11233538192231343743464952555861646985222634384650585462667074788290989410210611411811012212613013413814214615015415816216617017417818218619019419820220621021441014182226303438465054586266707680[Jour],Taches_Jours1224363917202932354144475053565962678320243236444856526064687276808896921001041121161081201241281321361401441481521561601641681721761801841881921962002042082122612162024283236444852566064687478[[#This Row],[Jours]])</f>
        <v>2</v>
      </c>
      <c r="E52" s="71" t="n">
        <f aca="false">SUMIFS(Horodateur11233538192231343743464952555861646985222634384650585462667074788290989410210611411811012212613013413814214615015415816216617017417818218619019419820220621021441014182226303438465054586266707680[Durée (100)],Horodateur11233538192231343743464952555861646985222634384650585462667074788290989410210611411811012212613013413814214615015415816216617017417818218619019419820220621021441014182226303438465054586266707680[Tâche],Taches_Jours1224363917202932354144475053565962678320243236444856526064687276808896921001041121161081201241281321361401441481521561601641681721761801841881921962002042082122612162024283236444852566064687478[[#Headers],[PS]],Horodateur11233538192231343743464952555861646985222634384650585462667074788290989410210611411811012212613013413814214615015415816216617017417818218619019419820220621021441014182226303438465054586266707680[Jour],Taches_Jours1224363917202932354144475053565962678320243236444856526064687276808896921001041121161081201241281321361401441481521561601641681721761801841881921962002042082122612162024283236444852566064687478[[#This Row],[Jours]])</f>
        <v>0</v>
      </c>
      <c r="F52" s="71" t="n">
        <f aca="false">SUMIFS(Horodateur11233538192231343743464952555861646985222634384650585462667074788290989410210611411811012212613013413814214615015415816216617017417818218619019419820220621021441014182226303438465054586266707680[Durée (100)],Horodateur11233538192231343743464952555861646985222634384650585462667074788290989410210611411811012212613013413814214615015415816216617017417818218619019419820220621021441014182226303438465054586266707680[Tâche],Taches_Jours1224363917202932354144475053565962678320243236444856526064687276808896921001041121161081201241281321361401441481521561601641681721761801841881921962002042082122612162024283236444852566064687478[[#Headers],[TD]],Horodateur11233538192231343743464952555861646985222634384650585462667074788290989410210611411811012212613013413814214615015415816216617017417818218619019419820220621021441014182226303438465054586266707680[Jour],Taches_Jours1224363917202932354144475053565962678320243236444856526064687276808896921001041121161081201241281321361401441481521561601641681721761801841881921962002042082122612162024283236444852566064687478[[#This Row],[Jours]])</f>
        <v>0</v>
      </c>
      <c r="G52" s="71" t="n">
        <f aca="false">SUMIFS(Horodateur11233538192231343743464952555861646985222634384650585462667074788290989410210611411811012212613013413814214615015415816216617017417818218619019419820220621021441014182226303438465054586266707680[Durée (100)],Horodateur11233538192231343743464952555861646985222634384650585462667074788290989410210611411811012212613013413814214615015415816216617017417818218619019419820220621021441014182226303438465054586266707680[Tâche],Taches_Jours1224363917202932354144475053565962678320243236444856526064687276808896921001041121161081201241281321361401441481521561601641681721761801841881921962002042082122612162024283236444852566064687478[[#Headers],[GP]],Horodateur11233538192231343743464952555861646985222634384650585462667074788290989410210611411811012212613013413814214615015415816216617017417818218619019419820220621021441014182226303438465054586266707680[Jour],Taches_Jours1224363917202932354144475053565962678320243236444856526064687276808896921001041121161081201241281321361401441481521561601641681721761801841881921962002042082122612162024283236444852566064687478[[#This Row],[Jours]])</f>
        <v>0</v>
      </c>
      <c r="H52" s="71" t="n">
        <f aca="false">SUMIFS(Horodateur11233538192231343743464952555861646985222634384650585462667074788290989410210611411811012212613013413814214615015415816216617017417818218619019419820220621021441014182226303438465054586266707680[Durée (100)],Horodateur11233538192231343743464952555861646985222634384650585462667074788290989410210611411811012212613013413814214615015415816216617017417818218619019419820220621021441014182226303438465054586266707680[Tâche],Taches_Jours1224363917202932354144475053565962678320243236444856526064687276808896921001041121161081201241281321361401441481521561601641681721761801841881921962002042082122612162024283236444852566064687478[[#Headers],[GP / SP]],Horodateur11233538192231343743464952555861646985222634384650585462667074788290989410210611411811012212613013413814214615015415816216617017417818218619019419820220621021441014182226303438465054586266707680[Jour],Taches_Jours1224363917202932354144475053565962678320243236444856526064687276808896921001041121161081201241281321361401441481521561601641681721761801841881921962002042082122612162024283236444852566064687478[[#This Row],[Jours]])</f>
        <v>0</v>
      </c>
      <c r="I52" s="71" t="n">
        <f aca="false">SUMIFS(Horodateur11233538192231343743464952555861646985222634384650585462667074788290989410210611411811012212613013413814214615015415816216617017417818218619019419820220621021441014182226303438465054586266707680[Durée (100)],Horodateur11233538192231343743464952555861646985222634384650585462667074788290989410210611411811012212613013413814214615015415816216617017417818218619019419820220621021441014182226303438465054586266707680[Tâche],Taches_Jours1224363917202932354144475053565962678320243236444856526064687276808896921001041121161081201241281321361401441481521561601641681721761801841881921962002042082122612162024283236444852566064687478[[#Headers],[GP / SP]],Horodateur11233538192231343743464952555861646985222634384650585462667074788290989410210611411811012212613013413814214615015415816216617017417818218619019419820220621021441014182226303438465054586266707680[Jour],Taches_Jours1224363917202932354144475053565962678320243236444856526064687276808896921001041121161081201241281321361401441481521561601641681721761801841881921962002042082122612162024283236444852566064687478[[#This Row],[Jours]])</f>
        <v>0</v>
      </c>
      <c r="J52" s="290" t="n">
        <f aca="false">SUM(Taches_Jours1224363917202932354144475053565962678320243236444856526064687276808896921001041121161081201241281321361401441481521561601641681721761801841881921962002042082122612162024283236444852566064687478[[#This Row],[GB]:[GP / SP]])</f>
        <v>3</v>
      </c>
      <c r="K52" s="188"/>
      <c r="L52" s="188"/>
      <c r="M52" s="288"/>
      <c r="N52" s="289"/>
      <c r="O52" s="289"/>
      <c r="P52" s="1"/>
      <c r="Q52" s="187"/>
      <c r="R52" s="187"/>
      <c r="S52" s="1"/>
      <c r="T52" s="1"/>
      <c r="U52" s="1"/>
      <c r="V52" s="1"/>
      <c r="W52" s="1"/>
      <c r="X52" s="1"/>
      <c r="Y52" s="71"/>
      <c r="Z52" s="71"/>
      <c r="AA52" s="71"/>
      <c r="AB52" s="71"/>
      <c r="AC52" s="71"/>
      <c r="AD52" s="71"/>
      <c r="AE52" s="71"/>
      <c r="AF52" s="71"/>
      <c r="AG52" s="71"/>
      <c r="AH52" s="71"/>
      <c r="AI52" s="71"/>
      <c r="AJ52" s="71"/>
      <c r="AK52" s="71"/>
      <c r="AL52" s="71"/>
      <c r="AM52" s="71"/>
      <c r="AN52" s="71"/>
      <c r="AO52" s="71"/>
      <c r="AP52" s="71"/>
      <c r="AQ52" s="71"/>
      <c r="AR52" s="71"/>
      <c r="AS52" s="71"/>
      <c r="AT52" s="71"/>
      <c r="AU52" s="71"/>
      <c r="AV52" s="71"/>
      <c r="AW52" s="71"/>
      <c r="AX52" s="71"/>
      <c r="AY52" s="71"/>
      <c r="AZ52" s="71"/>
    </row>
    <row r="53" customFormat="false" ht="15" hidden="true" customHeight="false" outlineLevel="1" collapsed="false">
      <c r="A53" s="187" t="s">
        <v>324</v>
      </c>
      <c r="B53" s="71" t="n">
        <f aca="false">SUMIFS(Horodateur11233538192231343743464952555861646985222634384650585462667074788290989410210611411811012212613013413814214615015415816216617017417818218619019419820220621021441014182226303438465054586266707680[Durée (100)],Horodateur11233538192231343743464952555861646985222634384650585462667074788290989410210611411811012212613013413814214615015415816216617017417818218619019419820220621021441014182226303438465054586266707680[Tâche],Taches_Jours1224363917202932354144475053565962678320243236444856526064687276808896921001041121161081201241281321361401441481521561601641681721761801841881921962002042082122612162024283236444852566064687478[[#Headers],[GB]],Horodateur11233538192231343743464952555861646985222634384650585462667074788290989410210611411811012212613013413814214615015415816216617017417818218619019419820220621021441014182226303438465054586266707680[Jour],Taches_Jours1224363917202932354144475053565962678320243236444856526064687276808896921001041121161081201241281321361401441481521561601641681721761801841881921962002042082122612162024283236444852566064687478[[#This Row],[Jours]])</f>
        <v>0.250000000000002</v>
      </c>
      <c r="C53" s="71" t="n">
        <f aca="false">SUMIFS(Horodateur11233538192231343743464952555861646985222634384650585462667074788290989410210611411811012212613013413814214615015415816216617017417818218619019419820220621021441014182226303438465054586266707680[Durée (100)],Horodateur11233538192231343743464952555861646985222634384650585462667074788290989410210611411811012212613013413814214615015415816216617017417818218619019419820220621021441014182226303438465054586266707680[Tâche],Taches_Jours1224363917202932354144475053565962678320243236444856526064687276808896921001041121161081201241281321361401441481521561601641681721761801841881921962002042082122612162024283236444852566064687478[[#Headers],[RI]],Horodateur11233538192231343743464952555861646985222634384650585462667074788290989410210611411811012212613013413814214615015415816216617017417818218619019419820220621021441014182226303438465054586266707680[Jour],Taches_Jours1224363917202932354144475053565962678320243236444856526064687276808896921001041121161081201241281321361401441481521561601641681721761801841881921962002042082122612162024283236444852566064687478[[#This Row],[Jours]])</f>
        <v>0</v>
      </c>
      <c r="D53" s="71" t="n">
        <f aca="false">SUMIFS(Horodateur11233538192231343743464952555861646985222634384650585462667074788290989410210611411811012212613013413814214615015415816216617017417818218619019419820220621021441014182226303438465054586266707680[Durée (100)],Horodateur11233538192231343743464952555861646985222634384650585462667074788290989410210611411811012212613013413814214615015415816216617017417818218619019419820220621021441014182226303438465054586266707680[Tâche],Taches_Jours1224363917202932354144475053565962678320243236444856526064687276808896921001041121161081201241281321361401441481521561601641681721761801841881921962002042082122612162024283236444852566064687478[[#Headers],[FG]],Horodateur11233538192231343743464952555861646985222634384650585462667074788290989410210611411811012212613013413814214615015415816216617017417818218619019419820220621021441014182226303438465054586266707680[Jour],Taches_Jours1224363917202932354144475053565962678320243236444856526064687276808896921001041121161081201241281321361401441481521561601641681721761801841881921962002042082122612162024283236444852566064687478[[#This Row],[Jours]])</f>
        <v>0</v>
      </c>
      <c r="E53" s="71" t="n">
        <f aca="false">SUMIFS(Horodateur11233538192231343743464952555861646985222634384650585462667074788290989410210611411811012212613013413814214615015415816216617017417818218619019419820220621021441014182226303438465054586266707680[Durée (100)],Horodateur11233538192231343743464952555861646985222634384650585462667074788290989410210611411811012212613013413814214615015415816216617017417818218619019419820220621021441014182226303438465054586266707680[Tâche],Taches_Jours1224363917202932354144475053565962678320243236444856526064687276808896921001041121161081201241281321361401441481521561601641681721761801841881921962002042082122612162024283236444852566064687478[[#Headers],[PS]],Horodateur11233538192231343743464952555861646985222634384650585462667074788290989410210611411811012212613013413814214615015415816216617017417818218619019419820220621021441014182226303438465054586266707680[Jour],Taches_Jours1224363917202932354144475053565962678320243236444856526064687276808896921001041121161081201241281321361401441481521561601641681721761801841881921962002042082122612162024283236444852566064687478[[#This Row],[Jours]])</f>
        <v>0</v>
      </c>
      <c r="F53" s="71" t="n">
        <f aca="false">SUMIFS(Horodateur11233538192231343743464952555861646985222634384650585462667074788290989410210611411811012212613013413814214615015415816216617017417818218619019419820220621021441014182226303438465054586266707680[Durée (100)],Horodateur11233538192231343743464952555861646985222634384650585462667074788290989410210611411811012212613013413814214615015415816216617017417818218619019419820220621021441014182226303438465054586266707680[Tâche],Taches_Jours1224363917202932354144475053565962678320243236444856526064687276808896921001041121161081201241281321361401441481521561601641681721761801841881921962002042082122612162024283236444852566064687478[[#Headers],[TD]],Horodateur11233538192231343743464952555861646985222634384650585462667074788290989410210611411811012212613013413814214615015415816216617017417818218619019419820220621021441014182226303438465054586266707680[Jour],Taches_Jours1224363917202932354144475053565962678320243236444856526064687276808896921001041121161081201241281321361401441481521561601641681721761801841881921962002042082122612162024283236444852566064687478[[#This Row],[Jours]])</f>
        <v>0</v>
      </c>
      <c r="G53" s="71" t="n">
        <f aca="false">SUMIFS(Horodateur11233538192231343743464952555861646985222634384650585462667074788290989410210611411811012212613013413814214615015415816216617017417818218619019419820220621021441014182226303438465054586266707680[Durée (100)],Horodateur11233538192231343743464952555861646985222634384650585462667074788290989410210611411811012212613013413814214615015415816216617017417818218619019419820220621021441014182226303438465054586266707680[Tâche],Taches_Jours1224363917202932354144475053565962678320243236444856526064687276808896921001041121161081201241281321361401441481521561601641681721761801841881921962002042082122612162024283236444852566064687478[[#Headers],[GP]],Horodateur11233538192231343743464952555861646985222634384650585462667074788290989410210611411811012212613013413814214615015415816216617017417818218619019419820220621021441014182226303438465054586266707680[Jour],Taches_Jours1224363917202932354144475053565962678320243236444856526064687276808896921001041121161081201241281321361401441481521561601641681721761801841881921962002042082122612162024283236444852566064687478[[#This Row],[Jours]])</f>
        <v>0</v>
      </c>
      <c r="H53" s="71" t="n">
        <f aca="false">SUMIFS(Horodateur11233538192231343743464952555861646985222634384650585462667074788290989410210611411811012212613013413814214615015415816216617017417818218619019419820220621021441014182226303438465054586266707680[Durée (100)],Horodateur11233538192231343743464952555861646985222634384650585462667074788290989410210611411811012212613013413814214615015415816216617017417818218619019419820220621021441014182226303438465054586266707680[Tâche],Taches_Jours1224363917202932354144475053565962678320243236444856526064687276808896921001041121161081201241281321361401441481521561601641681721761801841881921962002042082122612162024283236444852566064687478[[#Headers],[GP / SP]],Horodateur11233538192231343743464952555861646985222634384650585462667074788290989410210611411811012212613013413814214615015415816216617017417818218619019419820220621021441014182226303438465054586266707680[Jour],Taches_Jours1224363917202932354144475053565962678320243236444856526064687276808896921001041121161081201241281321361401441481521561601641681721761801841881921962002042082122612162024283236444852566064687478[[#This Row],[Jours]])</f>
        <v>0</v>
      </c>
      <c r="I53" s="71" t="n">
        <f aca="false">SUMIFS(Horodateur11233538192231343743464952555861646985222634384650585462667074788290989410210611411811012212613013413814214615015415816216617017417818218619019419820220621021441014182226303438465054586266707680[Durée (100)],Horodateur11233538192231343743464952555861646985222634384650585462667074788290989410210611411811012212613013413814214615015415816216617017417818218619019419820220621021441014182226303438465054586266707680[Tâche],Taches_Jours1224363917202932354144475053565962678320243236444856526064687276808896921001041121161081201241281321361401441481521561601641681721761801841881921962002042082122612162024283236444852566064687478[[#Headers],[GP / SP]],Horodateur11233538192231343743464952555861646985222634384650585462667074788290989410210611411811012212613013413814214615015415816216617017417818218619019419820220621021441014182226303438465054586266707680[Jour],Taches_Jours1224363917202932354144475053565962678320243236444856526064687276808896921001041121161081201241281321361401441481521561601641681721761801841881921962002042082122612162024283236444852566064687478[[#This Row],[Jours]])</f>
        <v>0</v>
      </c>
      <c r="J53" s="290" t="n">
        <f aca="false">SUM(Taches_Jours1224363917202932354144475053565962678320243236444856526064687276808896921001041121161081201241281321361401441481521561601641681721761801841881921962002042082122612162024283236444852566064687478[[#This Row],[GB]:[GP / SP]])</f>
        <v>0.250000000000002</v>
      </c>
      <c r="K53" s="188"/>
      <c r="L53" s="188"/>
      <c r="M53" s="288"/>
      <c r="N53" s="289"/>
      <c r="O53" s="289"/>
      <c r="P53" s="1"/>
      <c r="Q53" s="187"/>
      <c r="R53" s="187"/>
      <c r="S53" s="1"/>
      <c r="T53" s="1"/>
      <c r="U53" s="1"/>
      <c r="V53" s="1"/>
      <c r="W53" s="1"/>
      <c r="X53" s="1"/>
      <c r="Y53" s="71"/>
      <c r="Z53" s="71"/>
      <c r="AA53" s="71"/>
      <c r="AB53" s="71"/>
      <c r="AC53" s="71"/>
      <c r="AD53" s="71"/>
      <c r="AE53" s="71"/>
      <c r="AF53" s="71"/>
      <c r="AG53" s="71"/>
      <c r="AH53" s="71"/>
      <c r="AI53" s="71"/>
      <c r="AJ53" s="71"/>
      <c r="AK53" s="71"/>
      <c r="AL53" s="71"/>
      <c r="AM53" s="71"/>
      <c r="AN53" s="71"/>
      <c r="AO53" s="71"/>
      <c r="AP53" s="71"/>
      <c r="AQ53" s="71"/>
      <c r="AR53" s="71"/>
      <c r="AS53" s="71"/>
      <c r="AT53" s="71"/>
      <c r="AU53" s="71"/>
      <c r="AV53" s="71"/>
      <c r="AW53" s="71"/>
      <c r="AX53" s="71"/>
      <c r="AY53" s="71"/>
      <c r="AZ53" s="71"/>
    </row>
    <row r="54" customFormat="false" ht="15" hidden="true" customHeight="false" outlineLevel="1" collapsed="false">
      <c r="A54" s="187" t="s">
        <v>332</v>
      </c>
      <c r="B54" s="71" t="n">
        <f aca="false">SUMIFS(Horodateur11233538192231343743464952555861646985222634384650585462667074788290989410210611411811012212613013413814214615015415816216617017417818218619019419820220621021441014182226303438465054586266707680[Durée (100)],Horodateur11233538192231343743464952555861646985222634384650585462667074788290989410210611411811012212613013413814214615015415816216617017417818218619019419820220621021441014182226303438465054586266707680[Tâche],Taches_Jours1224363917202932354144475053565962678320243236444856526064687276808896921001041121161081201241281321361401441481521561601641681721761801841881921962002042082122612162024283236444852566064687478[[#Headers],[GB]],Horodateur11233538192231343743464952555861646985222634384650585462667074788290989410210611411811012212613013413814214615015415816216617017417818218619019419820220621021441014182226303438465054586266707680[Jour],Taches_Jours1224363917202932354144475053565962678320243236444856526064687276808896921001041121161081201241281321361401441481521561601641681721761801841881921962002042082122612162024283236444852566064687478[[#This Row],[Jours]])</f>
        <v>0</v>
      </c>
      <c r="C54" s="71" t="n">
        <f aca="false">SUMIFS(Horodateur11233538192231343743464952555861646985222634384650585462667074788290989410210611411811012212613013413814214615015415816216617017417818218619019419820220621021441014182226303438465054586266707680[Durée (100)],Horodateur11233538192231343743464952555861646985222634384650585462667074788290989410210611411811012212613013413814214615015415816216617017417818218619019419820220621021441014182226303438465054586266707680[Tâche],Taches_Jours1224363917202932354144475053565962678320243236444856526064687276808896921001041121161081201241281321361401441481521561601641681721761801841881921962002042082122612162024283236444852566064687478[[#Headers],[RI]],Horodateur11233538192231343743464952555861646985222634384650585462667074788290989410210611411811012212613013413814214615015415816216617017417818218619019419820220621021441014182226303438465054586266707680[Jour],Taches_Jours1224363917202932354144475053565962678320243236444856526064687276808896921001041121161081201241281321361401441481521561601641681721761801841881921962002042082122612162024283236444852566064687478[[#This Row],[Jours]])</f>
        <v>0</v>
      </c>
      <c r="D54" s="71" t="n">
        <f aca="false">SUMIFS(Horodateur11233538192231343743464952555861646985222634384650585462667074788290989410210611411811012212613013413814214615015415816216617017417818218619019419820220621021441014182226303438465054586266707680[Durée (100)],Horodateur11233538192231343743464952555861646985222634384650585462667074788290989410210611411811012212613013413814214615015415816216617017417818218619019419820220621021441014182226303438465054586266707680[Tâche],Taches_Jours1224363917202932354144475053565962678320243236444856526064687276808896921001041121161081201241281321361401441481521561601641681721761801841881921962002042082122612162024283236444852566064687478[[#Headers],[FG]],Horodateur11233538192231343743464952555861646985222634384650585462667074788290989410210611411811012212613013413814214615015415816216617017417818218619019419820220621021441014182226303438465054586266707680[Jour],Taches_Jours1224363917202932354144475053565962678320243236444856526064687276808896921001041121161081201241281321361401441481521561601641681721761801841881921962002042082122612162024283236444852566064687478[[#This Row],[Jours]])</f>
        <v>3.75</v>
      </c>
      <c r="E54" s="71" t="n">
        <f aca="false">SUMIFS(Horodateur11233538192231343743464952555861646985222634384650585462667074788290989410210611411811012212613013413814214615015415816216617017417818218619019419820220621021441014182226303438465054586266707680[Durée (100)],Horodateur11233538192231343743464952555861646985222634384650585462667074788290989410210611411811012212613013413814214615015415816216617017417818218619019419820220621021441014182226303438465054586266707680[Tâche],Taches_Jours1224363917202932354144475053565962678320243236444856526064687276808896921001041121161081201241281321361401441481521561601641681721761801841881921962002042082122612162024283236444852566064687478[[#Headers],[PS]],Horodateur11233538192231343743464952555861646985222634384650585462667074788290989410210611411811012212613013413814214615015415816216617017417818218619019419820220621021441014182226303438465054586266707680[Jour],Taches_Jours1224363917202932354144475053565962678320243236444856526064687276808896921001041121161081201241281321361401441481521561601641681721761801841881921962002042082122612162024283236444852566064687478[[#This Row],[Jours]])</f>
        <v>0</v>
      </c>
      <c r="F54" s="71" t="n">
        <f aca="false">SUMIFS(Horodateur11233538192231343743464952555861646985222634384650585462667074788290989410210611411811012212613013413814214615015415816216617017417818218619019419820220621021441014182226303438465054586266707680[Durée (100)],Horodateur11233538192231343743464952555861646985222634384650585462667074788290989410210611411811012212613013413814214615015415816216617017417818218619019419820220621021441014182226303438465054586266707680[Tâche],Taches_Jours1224363917202932354144475053565962678320243236444856526064687276808896921001041121161081201241281321361401441481521561601641681721761801841881921962002042082122612162024283236444852566064687478[[#Headers],[TD]],Horodateur11233538192231343743464952555861646985222634384650585462667074788290989410210611411811012212613013413814214615015415816216617017417818218619019419820220621021441014182226303438465054586266707680[Jour],Taches_Jours1224363917202932354144475053565962678320243236444856526064687276808896921001041121161081201241281321361401441481521561601641681721761801841881921962002042082122612162024283236444852566064687478[[#This Row],[Jours]])</f>
        <v>0</v>
      </c>
      <c r="G54" s="71" t="n">
        <f aca="false">SUMIFS(Horodateur11233538192231343743464952555861646985222634384650585462667074788290989410210611411811012212613013413814214615015415816216617017417818218619019419820220621021441014182226303438465054586266707680[Durée (100)],Horodateur11233538192231343743464952555861646985222634384650585462667074788290989410210611411811012212613013413814214615015415816216617017417818218619019419820220621021441014182226303438465054586266707680[Tâche],Taches_Jours1224363917202932354144475053565962678320243236444856526064687276808896921001041121161081201241281321361401441481521561601641681721761801841881921962002042082122612162024283236444852566064687478[[#Headers],[GP]],Horodateur11233538192231343743464952555861646985222634384650585462667074788290989410210611411811012212613013413814214615015415816216617017417818218619019419820220621021441014182226303438465054586266707680[Jour],Taches_Jours1224363917202932354144475053565962678320243236444856526064687276808896921001041121161081201241281321361401441481521561601641681721761801841881921962002042082122612162024283236444852566064687478[[#This Row],[Jours]])</f>
        <v>0</v>
      </c>
      <c r="H54" s="71" t="n">
        <f aca="false">SUMIFS(Horodateur11233538192231343743464952555861646985222634384650585462667074788290989410210611411811012212613013413814214615015415816216617017417818218619019419820220621021441014182226303438465054586266707680[Durée (100)],Horodateur11233538192231343743464952555861646985222634384650585462667074788290989410210611411811012212613013413814214615015415816216617017417818218619019419820220621021441014182226303438465054586266707680[Tâche],Taches_Jours1224363917202932354144475053565962678320243236444856526064687276808896921001041121161081201241281321361401441481521561601641681721761801841881921962002042082122612162024283236444852566064687478[[#Headers],[GP / SP]],Horodateur11233538192231343743464952555861646985222634384650585462667074788290989410210611411811012212613013413814214615015415816216617017417818218619019419820220621021441014182226303438465054586266707680[Jour],Taches_Jours1224363917202932354144475053565962678320243236444856526064687276808896921001041121161081201241281321361401441481521561601641681721761801841881921962002042082122612162024283236444852566064687478[[#This Row],[Jours]])</f>
        <v>0</v>
      </c>
      <c r="I54" s="71" t="n">
        <f aca="false">SUMIFS(Horodateur11233538192231343743464952555861646985222634384650585462667074788290989410210611411811012212613013413814214615015415816216617017417818218619019419820220621021441014182226303438465054586266707680[Durée (100)],Horodateur11233538192231343743464952555861646985222634384650585462667074788290989410210611411811012212613013413814214615015415816216617017417818218619019419820220621021441014182226303438465054586266707680[Tâche],Taches_Jours1224363917202932354144475053565962678320243236444856526064687276808896921001041121161081201241281321361401441481521561601641681721761801841881921962002042082122612162024283236444852566064687478[[#Headers],[GP / SP]],Horodateur11233538192231343743464952555861646985222634384650585462667074788290989410210611411811012212613013413814214615015415816216617017417818218619019419820220621021441014182226303438465054586266707680[Jour],Taches_Jours1224363917202932354144475053565962678320243236444856526064687276808896921001041121161081201241281321361401441481521561601641681721761801841881921962002042082122612162024283236444852566064687478[[#This Row],[Jours]])</f>
        <v>0</v>
      </c>
      <c r="J54" s="290" t="n">
        <f aca="false">SUM(Taches_Jours1224363917202932354144475053565962678320243236444856526064687276808896921001041121161081201241281321361401441481521561601641681721761801841881921962002042082122612162024283236444852566064687478[[#This Row],[GB]:[GP / SP]])</f>
        <v>3.75</v>
      </c>
      <c r="K54" s="188"/>
      <c r="L54" s="188"/>
      <c r="M54" s="288"/>
      <c r="N54" s="289"/>
      <c r="O54" s="289"/>
      <c r="P54" s="71"/>
      <c r="Q54" s="187"/>
      <c r="R54" s="187"/>
      <c r="S54" s="71"/>
      <c r="T54" s="71"/>
      <c r="U54" s="71"/>
      <c r="V54" s="71"/>
      <c r="W54" s="71"/>
      <c r="X54" s="71"/>
      <c r="Y54" s="71"/>
      <c r="Z54" s="71"/>
      <c r="AA54" s="71"/>
      <c r="AB54" s="71"/>
      <c r="AC54" s="71"/>
      <c r="AD54" s="71"/>
      <c r="AE54" s="71"/>
      <c r="AF54" s="71"/>
      <c r="AG54" s="71"/>
      <c r="AH54" s="71"/>
      <c r="AI54" s="71"/>
      <c r="AJ54" s="71"/>
      <c r="AK54" s="71"/>
      <c r="AL54" s="71"/>
      <c r="AM54" s="71"/>
      <c r="AN54" s="71"/>
      <c r="AO54" s="71"/>
      <c r="AP54" s="71"/>
      <c r="AQ54" s="71"/>
      <c r="AR54" s="71"/>
      <c r="AS54" s="71"/>
      <c r="AT54" s="71"/>
      <c r="AU54" s="71"/>
      <c r="AV54" s="71"/>
      <c r="AW54" s="71"/>
      <c r="AX54" s="71"/>
      <c r="AY54" s="71"/>
      <c r="AZ54" s="71"/>
    </row>
    <row r="55" customFormat="false" ht="15" hidden="true" customHeight="false" outlineLevel="1" collapsed="false">
      <c r="A55" s="187" t="s">
        <v>335</v>
      </c>
      <c r="B55" s="71" t="n">
        <f aca="false">SUMIFS(Horodateur11233538192231343743464952555861646985222634384650585462667074788290989410210611411811012212613013413814214615015415816216617017417818218619019419820220621021441014182226303438465054586266707680[Durée (100)],Horodateur11233538192231343743464952555861646985222634384650585462667074788290989410210611411811012212613013413814214615015415816216617017417818218619019419820220621021441014182226303438465054586266707680[Tâche],Taches_Jours1224363917202932354144475053565962678320243236444856526064687276808896921001041121161081201241281321361401441481521561601641681721761801841881921962002042082122612162024283236444852566064687478[[#Headers],[GB]],Horodateur11233538192231343743464952555861646985222634384650585462667074788290989410210611411811012212613013413814214615015415816216617017417818218619019419820220621021441014182226303438465054586266707680[Jour],Taches_Jours1224363917202932354144475053565962678320243236444856526064687276808896921001041121161081201241281321361401441481521561601641681721761801841881921962002042082122612162024283236444852566064687478[[#This Row],[Jours]])</f>
        <v>0.5</v>
      </c>
      <c r="C55" s="71" t="n">
        <f aca="false">SUMIFS(Horodateur11233538192231343743464952555861646985222634384650585462667074788290989410210611411811012212613013413814214615015415816216617017417818218619019419820220621021441014182226303438465054586266707680[Durée (100)],Horodateur11233538192231343743464952555861646985222634384650585462667074788290989410210611411811012212613013413814214615015415816216617017417818218619019419820220621021441014182226303438465054586266707680[Tâche],Taches_Jours1224363917202932354144475053565962678320243236444856526064687276808896921001041121161081201241281321361401441481521561601641681721761801841881921962002042082122612162024283236444852566064687478[[#Headers],[RI]],Horodateur11233538192231343743464952555861646985222634384650585462667074788290989410210611411811012212613013413814214615015415816216617017417818218619019419820220621021441014182226303438465054586266707680[Jour],Taches_Jours1224363917202932354144475053565962678320243236444856526064687276808896921001041121161081201241281321361401441481521561601641681721761801841881921962002042082122612162024283236444852566064687478[[#This Row],[Jours]])</f>
        <v>0</v>
      </c>
      <c r="D55" s="71" t="n">
        <f aca="false">SUMIFS(Horodateur11233538192231343743464952555861646985222634384650585462667074788290989410210611411811012212613013413814214615015415816216617017417818218619019419820220621021441014182226303438465054586266707680[Durée (100)],Horodateur11233538192231343743464952555861646985222634384650585462667074788290989410210611411811012212613013413814214615015415816216617017417818218619019419820220621021441014182226303438465054586266707680[Tâche],Taches_Jours1224363917202932354144475053565962678320243236444856526064687276808896921001041121161081201241281321361401441481521561601641681721761801841881921962002042082122612162024283236444852566064687478[[#Headers],[FG]],Horodateur11233538192231343743464952555861646985222634384650585462667074788290989410210611411811012212613013413814214615015415816216617017417818218619019419820220621021441014182226303438465054586266707680[Jour],Taches_Jours1224363917202932354144475053565962678320243236444856526064687276808896921001041121161081201241281321361401441481521561601641681721761801841881921962002042082122612162024283236444852566064687478[[#This Row],[Jours]])</f>
        <v>1.75</v>
      </c>
      <c r="E55" s="71" t="n">
        <f aca="false">SUMIFS(Horodateur11233538192231343743464952555861646985222634384650585462667074788290989410210611411811012212613013413814214615015415816216617017417818218619019419820220621021441014182226303438465054586266707680[Durée (100)],Horodateur11233538192231343743464952555861646985222634384650585462667074788290989410210611411811012212613013413814214615015415816216617017417818218619019419820220621021441014182226303438465054586266707680[Tâche],Taches_Jours1224363917202932354144475053565962678320243236444856526064687276808896921001041121161081201241281321361401441481521561601641681721761801841881921962002042082122612162024283236444852566064687478[[#Headers],[PS]],Horodateur11233538192231343743464952555861646985222634384650585462667074788290989410210611411811012212613013413814214615015415816216617017417818218619019419820220621021441014182226303438465054586266707680[Jour],Taches_Jours1224363917202932354144475053565962678320243236444856526064687276808896921001041121161081201241281321361401441481521561601641681721761801841881921962002042082122612162024283236444852566064687478[[#This Row],[Jours]])</f>
        <v>0</v>
      </c>
      <c r="F55" s="71" t="n">
        <f aca="false">SUMIFS(Horodateur11233538192231343743464952555861646985222634384650585462667074788290989410210611411811012212613013413814214615015415816216617017417818218619019419820220621021441014182226303438465054586266707680[Durée (100)],Horodateur11233538192231343743464952555861646985222634384650585462667074788290989410210611411811012212613013413814214615015415816216617017417818218619019419820220621021441014182226303438465054586266707680[Tâche],Taches_Jours1224363917202932354144475053565962678320243236444856526064687276808896921001041121161081201241281321361401441481521561601641681721761801841881921962002042082122612162024283236444852566064687478[[#Headers],[TD]],Horodateur11233538192231343743464952555861646985222634384650585462667074788290989410210611411811012212613013413814214615015415816216617017417818218619019419820220621021441014182226303438465054586266707680[Jour],Taches_Jours1224363917202932354144475053565962678320243236444856526064687276808896921001041121161081201241281321361401441481521561601641681721761801841881921962002042082122612162024283236444852566064687478[[#This Row],[Jours]])</f>
        <v>0</v>
      </c>
      <c r="G55" s="71" t="n">
        <f aca="false">SUMIFS(Horodateur11233538192231343743464952555861646985222634384650585462667074788290989410210611411811012212613013413814214615015415816216617017417818218619019419820220621021441014182226303438465054586266707680[Durée (100)],Horodateur11233538192231343743464952555861646985222634384650585462667074788290989410210611411811012212613013413814214615015415816216617017417818218619019419820220621021441014182226303438465054586266707680[Tâche],Taches_Jours1224363917202932354144475053565962678320243236444856526064687276808896921001041121161081201241281321361401441481521561601641681721761801841881921962002042082122612162024283236444852566064687478[[#Headers],[GP]],Horodateur11233538192231343743464952555861646985222634384650585462667074788290989410210611411811012212613013413814214615015415816216617017417818218619019419820220621021441014182226303438465054586266707680[Jour],Taches_Jours1224363917202932354144475053565962678320243236444856526064687276808896921001041121161081201241281321361401441481521561601641681721761801841881921962002042082122612162024283236444852566064687478[[#This Row],[Jours]])</f>
        <v>0</v>
      </c>
      <c r="H55" s="71" t="n">
        <f aca="false">SUMIFS(Horodateur11233538192231343743464952555861646985222634384650585462667074788290989410210611411811012212613013413814214615015415816216617017417818218619019419820220621021441014182226303438465054586266707680[Durée (100)],Horodateur11233538192231343743464952555861646985222634384650585462667074788290989410210611411811012212613013413814214615015415816216617017417818218619019419820220621021441014182226303438465054586266707680[Tâche],Taches_Jours1224363917202932354144475053565962678320243236444856526064687276808896921001041121161081201241281321361401441481521561601641681721761801841881921962002042082122612162024283236444852566064687478[[#Headers],[GP / SP]],Horodateur11233538192231343743464952555861646985222634384650585462667074788290989410210611411811012212613013413814214615015415816216617017417818218619019419820220621021441014182226303438465054586266707680[Jour],Taches_Jours1224363917202932354144475053565962678320243236444856526064687276808896921001041121161081201241281321361401441481521561601641681721761801841881921962002042082122612162024283236444852566064687478[[#This Row],[Jours]])</f>
        <v>0</v>
      </c>
      <c r="I55" s="71" t="n">
        <f aca="false">SUMIFS(Horodateur11233538192231343743464952555861646985222634384650585462667074788290989410210611411811012212613013413814214615015415816216617017417818218619019419820220621021441014182226303438465054586266707680[Durée (100)],Horodateur11233538192231343743464952555861646985222634384650585462667074788290989410210611411811012212613013413814214615015415816216617017417818218619019419820220621021441014182226303438465054586266707680[Tâche],Taches_Jours1224363917202932354144475053565962678320243236444856526064687276808896921001041121161081201241281321361401441481521561601641681721761801841881921962002042082122612162024283236444852566064687478[[#Headers],[GP / SP]],Horodateur11233538192231343743464952555861646985222634384650585462667074788290989410210611411811012212613013413814214615015415816216617017417818218619019419820220621021441014182226303438465054586266707680[Jour],Taches_Jours1224363917202932354144475053565962678320243236444856526064687276808896921001041121161081201241281321361401441481521561601641681721761801841881921962002042082122612162024283236444852566064687478[[#This Row],[Jours]])</f>
        <v>0</v>
      </c>
      <c r="J55" s="290" t="n">
        <f aca="false">SUM(Taches_Jours1224363917202932354144475053565962678320243236444856526064687276808896921001041121161081201241281321361401441481521561601641681721761801841881921962002042082122612162024283236444852566064687478[[#This Row],[GB]:[GP / SP]])</f>
        <v>2.25</v>
      </c>
      <c r="K55" s="188"/>
      <c r="L55" s="188"/>
      <c r="M55" s="288"/>
      <c r="N55" s="289"/>
      <c r="O55" s="289"/>
      <c r="P55" s="1"/>
      <c r="Q55" s="187"/>
      <c r="R55" s="187"/>
      <c r="S55" s="1"/>
      <c r="T55" s="1"/>
      <c r="U55" s="1"/>
      <c r="V55" s="1"/>
      <c r="W55" s="1"/>
      <c r="X55" s="1"/>
      <c r="Y55" s="71"/>
      <c r="Z55" s="71"/>
      <c r="AA55" s="71"/>
      <c r="AB55" s="71"/>
      <c r="AC55" s="71"/>
      <c r="AD55" s="71"/>
      <c r="AE55" s="71"/>
      <c r="AF55" s="71"/>
      <c r="AG55" s="71"/>
      <c r="AH55" s="71"/>
      <c r="AI55" s="71"/>
      <c r="AJ55" s="71"/>
      <c r="AK55" s="71"/>
      <c r="AL55" s="71"/>
      <c r="AM55" s="71"/>
      <c r="AN55" s="71"/>
      <c r="AO55" s="71"/>
      <c r="AP55" s="71"/>
      <c r="AQ55" s="71"/>
      <c r="AR55" s="71"/>
      <c r="AS55" s="71"/>
      <c r="AT55" s="71"/>
      <c r="AU55" s="71"/>
      <c r="AV55" s="71"/>
      <c r="AW55" s="71"/>
      <c r="AX55" s="71"/>
      <c r="AY55" s="71"/>
      <c r="AZ55" s="71"/>
    </row>
    <row r="56" customFormat="false" ht="15" hidden="true" customHeight="false" outlineLevel="1" collapsed="false">
      <c r="A56" s="187" t="s">
        <v>341</v>
      </c>
      <c r="B56" s="71" t="n">
        <f aca="false">SUMIFS(Horodateur11233538192231343743464952555861646985222634384650585462667074788290989410210611411811012212613013413814214615015415816216617017417818218619019419820220621021441014182226303438465054586266707680[Durée (100)],Horodateur11233538192231343743464952555861646985222634384650585462667074788290989410210611411811012212613013413814214615015415816216617017417818218619019419820220621021441014182226303438465054586266707680[Tâche],Taches_Jours1224363917202932354144475053565962678320243236444856526064687276808896921001041121161081201241281321361401441481521561601641681721761801841881921962002042082122612162024283236444852566064687478[[#Headers],[GB]],Horodateur11233538192231343743464952555861646985222634384650585462667074788290989410210611411811012212613013413814214615015415816216617017417818218619019419820220621021441014182226303438465054586266707680[Jour],Taches_Jours1224363917202932354144475053565962678320243236444856526064687276808896921001041121161081201241281321361401441481521561601641681721761801841881921962002042082122612162024283236444852566064687478[[#This Row],[Jours]])</f>
        <v>0</v>
      </c>
      <c r="C56" s="71" t="n">
        <f aca="false">SUMIFS(Horodateur11233538192231343743464952555861646985222634384650585462667074788290989410210611411811012212613013413814214615015415816216617017417818218619019419820220621021441014182226303438465054586266707680[Durée (100)],Horodateur11233538192231343743464952555861646985222634384650585462667074788290989410210611411811012212613013413814214615015415816216617017417818218619019419820220621021441014182226303438465054586266707680[Tâche],Taches_Jours1224363917202932354144475053565962678320243236444856526064687276808896921001041121161081201241281321361401441481521561601641681721761801841881921962002042082122612162024283236444852566064687478[[#Headers],[RI]],Horodateur11233538192231343743464952555861646985222634384650585462667074788290989410210611411811012212613013413814214615015415816216617017417818218619019419820220621021441014182226303438465054586266707680[Jour],Taches_Jours1224363917202932354144475053565962678320243236444856526064687276808896921001041121161081201241281321361401441481521561601641681721761801841881921962002042082122612162024283236444852566064687478[[#This Row],[Jours]])</f>
        <v>0</v>
      </c>
      <c r="D56" s="71" t="n">
        <f aca="false">SUMIFS(Horodateur11233538192231343743464952555861646985222634384650585462667074788290989410210611411811012212613013413814214615015415816216617017417818218619019419820220621021441014182226303438465054586266707680[Durée (100)],Horodateur11233538192231343743464952555861646985222634384650585462667074788290989410210611411811012212613013413814214615015415816216617017417818218619019419820220621021441014182226303438465054586266707680[Tâche],Taches_Jours1224363917202932354144475053565962678320243236444856526064687276808896921001041121161081201241281321361401441481521561601641681721761801841881921962002042082122612162024283236444852566064687478[[#Headers],[FG]],Horodateur11233538192231343743464952555861646985222634384650585462667074788290989410210611411811012212613013413814214615015415816216617017417818218619019419820220621021441014182226303438465054586266707680[Jour],Taches_Jours1224363917202932354144475053565962678320243236444856526064687276808896921001041121161081201241281321361401441481521561601641681721761801841881921962002042082122612162024283236444852566064687478[[#This Row],[Jours]])</f>
        <v>0</v>
      </c>
      <c r="E56" s="71" t="n">
        <f aca="false">SUMIFS(Horodateur11233538192231343743464952555861646985222634384650585462667074788290989410210611411811012212613013413814214615015415816216617017417818218619019419820220621021441014182226303438465054586266707680[Durée (100)],Horodateur11233538192231343743464952555861646985222634384650585462667074788290989410210611411811012212613013413814214615015415816216617017417818218619019419820220621021441014182226303438465054586266707680[Tâche],Taches_Jours1224363917202932354144475053565962678320243236444856526064687276808896921001041121161081201241281321361401441481521561601641681721761801841881921962002042082122612162024283236444852566064687478[[#Headers],[PS]],Horodateur11233538192231343743464952555861646985222634384650585462667074788290989410210611411811012212613013413814214615015415816216617017417818218619019419820220621021441014182226303438465054586266707680[Jour],Taches_Jours1224363917202932354144475053565962678320243236444856526064687276808896921001041121161081201241281321361401441481521561601641681721761801841881921962002042082122612162024283236444852566064687478[[#This Row],[Jours]])</f>
        <v>0</v>
      </c>
      <c r="F56" s="71" t="n">
        <f aca="false">SUMIFS(Horodateur11233538192231343743464952555861646985222634384650585462667074788290989410210611411811012212613013413814214615015415816216617017417818218619019419820220621021441014182226303438465054586266707680[Durée (100)],Horodateur11233538192231343743464952555861646985222634384650585462667074788290989410210611411811012212613013413814214615015415816216617017417818218619019419820220621021441014182226303438465054586266707680[Tâche],Taches_Jours1224363917202932354144475053565962678320243236444856526064687276808896921001041121161081201241281321361401441481521561601641681721761801841881921962002042082122612162024283236444852566064687478[[#Headers],[TD]],Horodateur11233538192231343743464952555861646985222634384650585462667074788290989410210611411811012212613013413814214615015415816216617017417818218619019419820220621021441014182226303438465054586266707680[Jour],Taches_Jours1224363917202932354144475053565962678320243236444856526064687276808896921001041121161081201241281321361401441481521561601641681721761801841881921962002042082122612162024283236444852566064687478[[#This Row],[Jours]])</f>
        <v>0</v>
      </c>
      <c r="G56" s="71" t="n">
        <f aca="false">SUMIFS(Horodateur11233538192231343743464952555861646985222634384650585462667074788290989410210611411811012212613013413814214615015415816216617017417818218619019419820220621021441014182226303438465054586266707680[Durée (100)],Horodateur11233538192231343743464952555861646985222634384650585462667074788290989410210611411811012212613013413814214615015415816216617017417818218619019419820220621021441014182226303438465054586266707680[Tâche],Taches_Jours1224363917202932354144475053565962678320243236444856526064687276808896921001041121161081201241281321361401441481521561601641681721761801841881921962002042082122612162024283236444852566064687478[[#Headers],[GP]],Horodateur11233538192231343743464952555861646985222634384650585462667074788290989410210611411811012212613013413814214615015415816216617017417818218619019419820220621021441014182226303438465054586266707680[Jour],Taches_Jours1224363917202932354144475053565962678320243236444856526064687276808896921001041121161081201241281321361401441481521561601641681721761801841881921962002042082122612162024283236444852566064687478[[#This Row],[Jours]])</f>
        <v>0</v>
      </c>
      <c r="H56" s="71" t="n">
        <f aca="false">SUMIFS(Horodateur11233538192231343743464952555861646985222634384650585462667074788290989410210611411811012212613013413814214615015415816216617017417818218619019419820220621021441014182226303438465054586266707680[Durée (100)],Horodateur11233538192231343743464952555861646985222634384650585462667074788290989410210611411811012212613013413814214615015415816216617017417818218619019419820220621021441014182226303438465054586266707680[Tâche],Taches_Jours1224363917202932354144475053565962678320243236444856526064687276808896921001041121161081201241281321361401441481521561601641681721761801841881921962002042082122612162024283236444852566064687478[[#Headers],[GP / SP]],Horodateur11233538192231343743464952555861646985222634384650585462667074788290989410210611411811012212613013413814214615015415816216617017417818218619019419820220621021441014182226303438465054586266707680[Jour],Taches_Jours1224363917202932354144475053565962678320243236444856526064687276808896921001041121161081201241281321361401441481521561601641681721761801841881921962002042082122612162024283236444852566064687478[[#This Row],[Jours]])</f>
        <v>0</v>
      </c>
      <c r="I56" s="290" t="n">
        <f aca="false">SUMIFS(Horodateur11233538192231343743464952555861646985222634384650585462667074788290989410210611411811012212613013413814214615015415816216617017417818218619019419820220621021441014182226303438465054586266707680[Durée (100)],Horodateur11233538192231343743464952555861646985222634384650585462667074788290989410210611411811012212613013413814214615015415816216617017417818218619019419820220621021441014182226303438465054586266707680[Tâche],Taches_Jours1224363917202932354144475053565962678320243236444856526064687276808896921001041121161081201241281321361401441481521561601641681721761801841881921962002042082122612162024283236444852566064687478[[#Headers],[GP / SP]],Horodateur11233538192231343743464952555861646985222634384650585462667074788290989410210611411811012212613013413814214615015415816216617017417818218619019419820220621021441014182226303438465054586266707680[Jour],Taches_Jours1224363917202932354144475053565962678320243236444856526064687276808896921001041121161081201241281321361401441481521561601641681721761801841881921962002042082122612162024283236444852566064687478[[#This Row],[Jours]])</f>
        <v>0</v>
      </c>
      <c r="J56" s="71" t="n">
        <f aca="false">SUM(Taches_Jours1224363917202932354144475053565962678320243236444856526064687276808896921001041121161081201241281321361401441481521561601641681721761801841881921962002042082122612162024283236444852566064687478[[#This Row],[GB]:[GP / SP]])</f>
        <v>0</v>
      </c>
      <c r="K56" s="188"/>
      <c r="L56" s="188"/>
      <c r="M56" s="288"/>
      <c r="N56" s="289"/>
      <c r="O56" s="289"/>
      <c r="P56" s="1"/>
      <c r="Q56" s="187"/>
      <c r="R56" s="187"/>
      <c r="S56" s="1"/>
      <c r="T56" s="1"/>
      <c r="U56" s="1"/>
      <c r="V56" s="1"/>
      <c r="W56" s="1"/>
      <c r="X56" s="1"/>
      <c r="Y56" s="71"/>
      <c r="Z56" s="71"/>
      <c r="AA56" s="71"/>
      <c r="AB56" s="71"/>
      <c r="AC56" s="71"/>
      <c r="AD56" s="71"/>
      <c r="AE56" s="71"/>
      <c r="AF56" s="71"/>
      <c r="AG56" s="71"/>
      <c r="AH56" s="71"/>
      <c r="AI56" s="71"/>
      <c r="AJ56" s="71"/>
      <c r="AK56" s="71"/>
      <c r="AL56" s="71"/>
      <c r="AM56" s="71"/>
      <c r="AN56" s="71"/>
      <c r="AO56" s="71"/>
      <c r="AP56" s="71"/>
      <c r="AQ56" s="71"/>
      <c r="AR56" s="71"/>
      <c r="AS56" s="71"/>
      <c r="AT56" s="71"/>
      <c r="AU56" s="71"/>
      <c r="AV56" s="71"/>
      <c r="AW56" s="71"/>
      <c r="AX56" s="71"/>
      <c r="AY56" s="71"/>
      <c r="AZ56" s="71"/>
    </row>
    <row r="57" customFormat="false" ht="15" hidden="true" customHeight="false" outlineLevel="1" collapsed="false">
      <c r="A57" s="187" t="s">
        <v>381</v>
      </c>
      <c r="B57" s="71" t="n">
        <f aca="false">SUMIFS(Horodateur11233538192231343743464952555861646985222634384650585462667074788290989410210611411811012212613013413814214615015415816216617017417818218619019419820220621021441014182226303438465054586266707680[Durée (100)],Horodateur11233538192231343743464952555861646985222634384650585462667074788290989410210611411811012212613013413814214615015415816216617017417818218619019419820220621021441014182226303438465054586266707680[Tâche],Taches_Jours1224363917202932354144475053565962678320243236444856526064687276808896921001041121161081201241281321361401441481521561601641681721761801841881921962002042082122612162024283236444852566064687478[[#Headers],[GB]],Horodateur11233538192231343743464952555861646985222634384650585462667074788290989410210611411811012212613013413814214615015415816216617017417818218619019419820220621021441014182226303438465054586266707680[Jour],Taches_Jours1224363917202932354144475053565962678320243236444856526064687276808896921001041121161081201241281321361401441481521561601641681721761801841881921962002042082122612162024283236444852566064687478[[#This Row],[Jours]])</f>
        <v>0</v>
      </c>
      <c r="C57" s="71" t="n">
        <f aca="false">SUMIFS(Horodateur11233538192231343743464952555861646985222634384650585462667074788290989410210611411811012212613013413814214615015415816216617017417818218619019419820220621021441014182226303438465054586266707680[Durée (100)],Horodateur11233538192231343743464952555861646985222634384650585462667074788290989410210611411811012212613013413814214615015415816216617017417818218619019419820220621021441014182226303438465054586266707680[Tâche],Taches_Jours1224363917202932354144475053565962678320243236444856526064687276808896921001041121161081201241281321361401441481521561601641681721761801841881921962002042082122612162024283236444852566064687478[[#Headers],[RI]],Horodateur11233538192231343743464952555861646985222634384650585462667074788290989410210611411811012212613013413814214615015415816216617017417818218619019419820220621021441014182226303438465054586266707680[Jour],Taches_Jours1224363917202932354144475053565962678320243236444856526064687276808896921001041121161081201241281321361401441481521561601641681721761801841881921962002042082122612162024283236444852566064687478[[#This Row],[Jours]])</f>
        <v>0</v>
      </c>
      <c r="D57" s="71" t="n">
        <f aca="false">SUMIFS(Horodateur11233538192231343743464952555861646985222634384650585462667074788290989410210611411811012212613013413814214615015415816216617017417818218619019419820220621021441014182226303438465054586266707680[Durée (100)],Horodateur11233538192231343743464952555861646985222634384650585462667074788290989410210611411811012212613013413814214615015415816216617017417818218619019419820220621021441014182226303438465054586266707680[Tâche],Taches_Jours1224363917202932354144475053565962678320243236444856526064687276808896921001041121161081201241281321361401441481521561601641681721761801841881921962002042082122612162024283236444852566064687478[[#Headers],[FG]],Horodateur11233538192231343743464952555861646985222634384650585462667074788290989410210611411811012212613013413814214615015415816216617017417818218619019419820220621021441014182226303438465054586266707680[Jour],Taches_Jours1224363917202932354144475053565962678320243236444856526064687276808896921001041121161081201241281321361401441481521561601641681721761801841881921962002042082122612162024283236444852566064687478[[#This Row],[Jours]])</f>
        <v>0</v>
      </c>
      <c r="E57" s="71" t="n">
        <f aca="false">SUMIFS(Horodateur11233538192231343743464952555861646985222634384650585462667074788290989410210611411811012212613013413814214615015415816216617017417818218619019419820220621021441014182226303438465054586266707680[Durée (100)],Horodateur11233538192231343743464952555861646985222634384650585462667074788290989410210611411811012212613013413814214615015415816216617017417818218619019419820220621021441014182226303438465054586266707680[Tâche],Taches_Jours1224363917202932354144475053565962678320243236444856526064687276808896921001041121161081201241281321361401441481521561601641681721761801841881921962002042082122612162024283236444852566064687478[[#Headers],[PS]],Horodateur11233538192231343743464952555861646985222634384650585462667074788290989410210611411811012212613013413814214615015415816216617017417818218619019419820220621021441014182226303438465054586266707680[Jour],Taches_Jours1224363917202932354144475053565962678320243236444856526064687276808896921001041121161081201241281321361401441481521561601641681721761801841881921962002042082122612162024283236444852566064687478[[#This Row],[Jours]])</f>
        <v>0</v>
      </c>
      <c r="F57" s="71" t="n">
        <f aca="false">SUMIFS(Horodateur11233538192231343743464952555861646985222634384650585462667074788290989410210611411811012212613013413814214615015415816216617017417818218619019419820220621021441014182226303438465054586266707680[Durée (100)],Horodateur11233538192231343743464952555861646985222634384650585462667074788290989410210611411811012212613013413814214615015415816216617017417818218619019419820220621021441014182226303438465054586266707680[Tâche],Taches_Jours1224363917202932354144475053565962678320243236444856526064687276808896921001041121161081201241281321361401441481521561601641681721761801841881921962002042082122612162024283236444852566064687478[[#Headers],[TD]],Horodateur11233538192231343743464952555861646985222634384650585462667074788290989410210611411811012212613013413814214615015415816216617017417818218619019419820220621021441014182226303438465054586266707680[Jour],Taches_Jours1224363917202932354144475053565962678320243236444856526064687276808896921001041121161081201241281321361401441481521561601641681721761801841881921962002042082122612162024283236444852566064687478[[#This Row],[Jours]])</f>
        <v>0</v>
      </c>
      <c r="G57" s="71" t="n">
        <f aca="false">SUMIFS(Horodateur11233538192231343743464952555861646985222634384650585462667074788290989410210611411811012212613013413814214615015415816216617017417818218619019419820220621021441014182226303438465054586266707680[Durée (100)],Horodateur11233538192231343743464952555861646985222634384650585462667074788290989410210611411811012212613013413814214615015415816216617017417818218619019419820220621021441014182226303438465054586266707680[Tâche],Taches_Jours1224363917202932354144475053565962678320243236444856526064687276808896921001041121161081201241281321361401441481521561601641681721761801841881921962002042082122612162024283236444852566064687478[[#Headers],[GP]],Horodateur11233538192231343743464952555861646985222634384650585462667074788290989410210611411811012212613013413814214615015415816216617017417818218619019419820220621021441014182226303438465054586266707680[Jour],Taches_Jours1224363917202932354144475053565962678320243236444856526064687276808896921001041121161081201241281321361401441481521561601641681721761801841881921962002042082122612162024283236444852566064687478[[#This Row],[Jours]])</f>
        <v>0</v>
      </c>
      <c r="H57" s="71" t="n">
        <f aca="false">SUMIFS(Horodateur11233538192231343743464952555861646985222634384650585462667074788290989410210611411811012212613013413814214615015415816216617017417818218619019419820220621021441014182226303438465054586266707680[Durée (100)],Horodateur11233538192231343743464952555861646985222634384650585462667074788290989410210611411811012212613013413814214615015415816216617017417818218619019419820220621021441014182226303438465054586266707680[Tâche],Taches_Jours1224363917202932354144475053565962678320243236444856526064687276808896921001041121161081201241281321361401441481521561601641681721761801841881921962002042082122612162024283236444852566064687478[[#Headers],[GP / SP]],Horodateur11233538192231343743464952555861646985222634384650585462667074788290989410210611411811012212613013413814214615015415816216617017417818218619019419820220621021441014182226303438465054586266707680[Jour],Taches_Jours1224363917202932354144475053565962678320243236444856526064687276808896921001041121161081201241281321361401441481521561601641681721761801841881921962002042082122612162024283236444852566064687478[[#This Row],[Jours]])</f>
        <v>0</v>
      </c>
      <c r="I57" s="290" t="n">
        <f aca="false">SUMIFS(Horodateur11233538192231343743464952555861646985222634384650585462667074788290989410210611411811012212613013413814214615015415816216617017417818218619019419820220621021441014182226303438465054586266707680[Durée (100)],Horodateur11233538192231343743464952555861646985222634384650585462667074788290989410210611411811012212613013413814214615015415816216617017417818218619019419820220621021441014182226303438465054586266707680[Tâche],Taches_Jours1224363917202932354144475053565962678320243236444856526064687276808896921001041121161081201241281321361401441481521561601641681721761801841881921962002042082122612162024283236444852566064687478[[#Headers],[GP / SP]],Horodateur11233538192231343743464952555861646985222634384650585462667074788290989410210611411811012212613013413814214615015415816216617017417818218619019419820220621021441014182226303438465054586266707680[Jour],Taches_Jours1224363917202932354144475053565962678320243236444856526064687276808896921001041121161081201241281321361401441481521561601641681721761801841881921962002042082122612162024283236444852566064687478[[#This Row],[Jours]])</f>
        <v>0</v>
      </c>
      <c r="J57" s="71" t="n">
        <f aca="false">SUM(Taches_Jours1224363917202932354144475053565962678320243236444856526064687276808896921001041121161081201241281321361401441481521561601641681721761801841881921962002042082122612162024283236444852566064687478[[#This Row],[GB]:[GP / SP]])</f>
        <v>0</v>
      </c>
      <c r="K57" s="188"/>
      <c r="L57" s="188"/>
      <c r="M57" s="288"/>
      <c r="N57" s="289"/>
      <c r="O57" s="289"/>
      <c r="P57" s="1"/>
      <c r="Q57" s="187"/>
      <c r="R57" s="187"/>
      <c r="S57" s="1"/>
      <c r="T57" s="1"/>
      <c r="U57" s="1"/>
      <c r="V57" s="1"/>
      <c r="W57" s="1"/>
      <c r="X57" s="1"/>
      <c r="Y57" s="71"/>
      <c r="Z57" s="71"/>
      <c r="AA57" s="71"/>
      <c r="AB57" s="71"/>
      <c r="AC57" s="71"/>
      <c r="AD57" s="71"/>
      <c r="AE57" s="71"/>
      <c r="AF57" s="71"/>
      <c r="AG57" s="71"/>
      <c r="AH57" s="71"/>
      <c r="AI57" s="71"/>
      <c r="AJ57" s="71"/>
      <c r="AK57" s="71"/>
      <c r="AL57" s="71"/>
      <c r="AM57" s="71"/>
      <c r="AN57" s="71"/>
      <c r="AO57" s="71"/>
      <c r="AP57" s="71"/>
      <c r="AQ57" s="71"/>
      <c r="AR57" s="71"/>
      <c r="AS57" s="71"/>
      <c r="AT57" s="71"/>
      <c r="AU57" s="71"/>
      <c r="AV57" s="71"/>
      <c r="AW57" s="71"/>
      <c r="AX57" s="71"/>
      <c r="AY57" s="71"/>
      <c r="AZ57" s="71"/>
    </row>
    <row r="58" customFormat="false" ht="15" hidden="true" customHeight="false" outlineLevel="1" collapsed="false">
      <c r="A58" s="137"/>
      <c r="B58" s="187"/>
      <c r="C58" s="71"/>
      <c r="D58" s="1"/>
      <c r="E58" s="1"/>
      <c r="F58" s="71"/>
      <c r="G58" s="1"/>
      <c r="H58" s="1"/>
      <c r="I58" s="119"/>
      <c r="J58" s="271"/>
      <c r="K58" s="1"/>
      <c r="L58" s="1"/>
      <c r="M58" s="188"/>
      <c r="N58" s="272"/>
      <c r="O58" s="272"/>
      <c r="P58" s="1"/>
      <c r="Q58" s="187"/>
      <c r="R58" s="187"/>
      <c r="S58" s="1"/>
      <c r="T58" s="1"/>
      <c r="U58" s="1"/>
      <c r="V58" s="1"/>
      <c r="W58" s="1"/>
      <c r="X58" s="1"/>
      <c r="Y58" s="1"/>
      <c r="Z58" s="71"/>
      <c r="AA58" s="71"/>
      <c r="AB58" s="71"/>
      <c r="AC58" s="71"/>
      <c r="AD58" s="71"/>
      <c r="AE58" s="71"/>
      <c r="AF58" s="71"/>
      <c r="AG58" s="71"/>
      <c r="AH58" s="71"/>
      <c r="AI58" s="71"/>
      <c r="AJ58" s="71"/>
      <c r="AK58" s="71"/>
      <c r="AL58" s="71"/>
      <c r="AM58" s="71"/>
      <c r="AN58" s="71"/>
      <c r="AO58" s="71"/>
      <c r="AP58" s="71"/>
      <c r="AQ58" s="71"/>
      <c r="AR58" s="71"/>
      <c r="AS58" s="71"/>
      <c r="AT58" s="71"/>
      <c r="AU58" s="71"/>
      <c r="AV58" s="71"/>
      <c r="AW58" s="71"/>
      <c r="AX58" s="71"/>
      <c r="AY58" s="71"/>
      <c r="AZ58" s="71"/>
      <c r="BA58" s="71"/>
    </row>
    <row r="59" customFormat="false" ht="15" hidden="true" customHeight="false" outlineLevel="1" collapsed="false">
      <c r="A59" s="291" t="s">
        <v>85</v>
      </c>
      <c r="B59" s="292" t="s">
        <v>312</v>
      </c>
      <c r="C59" s="292" t="s">
        <v>319</v>
      </c>
      <c r="D59" s="292" t="s">
        <v>324</v>
      </c>
      <c r="E59" s="292" t="s">
        <v>332</v>
      </c>
      <c r="F59" s="293" t="s">
        <v>335</v>
      </c>
      <c r="G59" s="292" t="s">
        <v>341</v>
      </c>
      <c r="H59" s="292" t="s">
        <v>381</v>
      </c>
      <c r="I59" s="294" t="s">
        <v>58</v>
      </c>
      <c r="J59" s="271"/>
      <c r="K59" s="1"/>
      <c r="L59" s="1"/>
      <c r="M59" s="188"/>
      <c r="N59" s="272"/>
      <c r="O59" s="272"/>
      <c r="P59" s="1"/>
      <c r="Q59" s="187"/>
      <c r="R59" s="187"/>
      <c r="S59" s="1"/>
      <c r="T59" s="1"/>
      <c r="U59" s="1"/>
      <c r="V59" s="1"/>
      <c r="W59" s="1"/>
      <c r="X59" s="1"/>
      <c r="Y59" s="1"/>
      <c r="Z59" s="71"/>
      <c r="AA59" s="71"/>
      <c r="AB59" s="71"/>
      <c r="AC59" s="71"/>
      <c r="AD59" s="71"/>
      <c r="AE59" s="71"/>
      <c r="AF59" s="71"/>
      <c r="AG59" s="71"/>
      <c r="AH59" s="71"/>
      <c r="AI59" s="71"/>
      <c r="AJ59" s="71"/>
      <c r="AK59" s="71"/>
      <c r="AL59" s="71"/>
      <c r="AM59" s="71"/>
      <c r="AN59" s="71"/>
      <c r="AO59" s="71"/>
      <c r="AP59" s="71"/>
      <c r="AQ59" s="71"/>
      <c r="AR59" s="71"/>
      <c r="AS59" s="71"/>
      <c r="AT59" s="71"/>
      <c r="AU59" s="71"/>
      <c r="AV59" s="71"/>
      <c r="AW59" s="71"/>
      <c r="AX59" s="71"/>
      <c r="AY59" s="71"/>
      <c r="AZ59" s="71"/>
      <c r="BA59" s="71"/>
    </row>
    <row r="60" customFormat="false" ht="15" hidden="true" customHeight="false" outlineLevel="1" collapsed="false">
      <c r="A60" s="137" t="s">
        <v>21</v>
      </c>
      <c r="B60" s="187" t="n">
        <f aca="false">SUMIFS(Horodateur11233538192231343743464952555861646985222634384650585462667074788290989410210611411811012212613013413814214615015415816216617017417818218619019419820220621021441014182226303438465054586266707680[Durée (100)],Horodateur11233538192231343743464952555861646985222634384650585462667074788290989410210611411811012212613013413814214615015415816216617017417818218619019419820220621021441014182226303438465054586266707680[Jour],$B$59,Horodateur11233538192231343743464952555861646985222634384650585462667074788290989410210611411811012212613013413814214615015415816216617017417818218619019419820220621021441014182226303438465054586266707680[Tâche],$A60)</f>
        <v>1.75</v>
      </c>
      <c r="C60" s="187" t="n">
        <f aca="false">SUMIFS(Horodateur11233538192231343743464952555861646985222634384650585462667074788290989410210611411811012212613013413814214615015415816216617017417818218619019419820220621021441014182226303438465054586266707680[Durée (100)],Horodateur11233538192231343743464952555861646985222634384650585462667074788290989410210611411811012212613013413814214615015415816216617017417818218619019419820220621021441014182226303438465054586266707680[Jour],$C$59,Horodateur11233538192231343743464952555861646985222634384650585462667074788290989410210611411811012212613013413814214615015415816216617017417818218619019419820220621021441014182226303438465054586266707680[Tâche],$A60)</f>
        <v>0.5</v>
      </c>
      <c r="D60" s="187" t="n">
        <f aca="false">SUMIFS(Horodateur11233538192231343743464952555861646985222634384650585462667074788290989410210611411811012212613013413814214615015415816216617017417818218619019419820220621021441014182226303438465054586266707680[Durée (100)],Horodateur11233538192231343743464952555861646985222634384650585462667074788290989410210611411811012212613013413814214615015415816216617017417818218619019419820220621021441014182226303438465054586266707680[Jour],$D$59,Horodateur11233538192231343743464952555861646985222634384650585462667074788290989410210611411811012212613013413814214615015415816216617017417818218619019419820220621021441014182226303438465054586266707680[Tâche],$A60)</f>
        <v>0.250000000000002</v>
      </c>
      <c r="E60" s="187" t="n">
        <f aca="false">SUMIFS(Horodateur11233538192231343743464952555861646985222634384650585462667074788290989410210611411811012212613013413814214615015415816216617017417818218619019419820220621021441014182226303438465054586266707680[Durée (100)],Horodateur11233538192231343743464952555861646985222634384650585462667074788290989410210611411811012212613013413814214615015415816216617017417818218619019419820220621021441014182226303438465054586266707680[Jour],$E$59,Horodateur11233538192231343743464952555861646985222634384650585462667074788290989410210611411811012212613013413814214615015415816216617017417818218619019419820220621021441014182226303438465054586266707680[Tâche],$A60)</f>
        <v>0</v>
      </c>
      <c r="F60" s="71" t="n">
        <f aca="false">SUMIFS(Horodateur11233538192231343743464952555861646985222634384650585462667074788290989410210611411811012212613013413814214615015415816216617017417818218619019419820220621021441014182226303438465054586266707680[Durée (100)],Horodateur11233538192231343743464952555861646985222634384650585462667074788290989410210611411811012212613013413814214615015415816216617017417818218619019419820220621021441014182226303438465054586266707680[Jour],$F$59,Horodateur11233538192231343743464952555861646985222634384650585462667074788290989410210611411811012212613013413814214615015415816216617017417818218619019419820220621021441014182226303438465054586266707680[Tâche],$A60)</f>
        <v>0.5</v>
      </c>
      <c r="G60" s="187" t="n">
        <f aca="false">SUMIFS(Horodateur11233538192231343743464952555861646985222634384650585462667074788290989410210611411811012212613013413814214615015415816216617017417818218619019419820220621021441014182226303438465054586266707680[Durée (100)],Horodateur11233538192231343743464952555861646985222634384650585462667074788290989410210611411811012212613013413814214615015415816216617017417818218619019419820220621021441014182226303438465054586266707680[Jour],$G$59,Horodateur11233538192231343743464952555861646985222634384650585462667074788290989410210611411811012212613013413814214615015415816216617017417818218619019419820220621021441014182226303438465054586266707680[Tâche],$A60)</f>
        <v>0</v>
      </c>
      <c r="H60" s="187" t="n">
        <f aca="false">SUMIFS(Horodateur11233538192231343743464952555861646985222634384650585462667074788290989410210611411811012212613013413814214615015415816216617017417818218619019419820220621021441014182226303438465054586266707680[Durée (100)],Horodateur11233538192231343743464952555861646985222634384650585462667074788290989410210611411811012212613013413814214615015415816216617017417818218619019419820220621021441014182226303438465054586266707680[Jour],$H$59,Horodateur11233538192231343743464952555861646985222634384650585462667074788290989410210611411811012212613013413814214615015415816216617017417818218619019419820220621021441014182226303438465054586266707680[Tâche],$A60)</f>
        <v>0</v>
      </c>
      <c r="I60" s="295" t="n">
        <f aca="false">SUM(Taches_Jour21325374018213033364245485154576063688421253337454957536165697377818997931011051131171091211251291331371411451491531571611651691731771811851891931972012052092133913172125293337454953576165697579[[#This Row],[1- Lundi]:[7- Dimanche]])</f>
        <v>3</v>
      </c>
      <c r="J60" s="271"/>
      <c r="K60" s="1"/>
      <c r="L60" s="1"/>
      <c r="M60" s="188"/>
      <c r="N60" s="272"/>
      <c r="O60" s="272"/>
      <c r="P60" s="1"/>
      <c r="Q60" s="187"/>
      <c r="R60" s="187"/>
      <c r="S60" s="1"/>
      <c r="T60" s="1"/>
      <c r="U60" s="1"/>
      <c r="V60" s="1"/>
      <c r="W60" s="1"/>
      <c r="X60" s="1"/>
      <c r="Y60" s="1"/>
      <c r="Z60" s="71"/>
      <c r="AA60" s="71"/>
      <c r="AB60" s="71"/>
      <c r="AC60" s="71"/>
      <c r="AD60" s="71"/>
      <c r="AE60" s="71"/>
      <c r="AF60" s="71"/>
      <c r="AG60" s="71"/>
      <c r="AH60" s="71"/>
      <c r="AI60" s="71"/>
      <c r="AJ60" s="71"/>
      <c r="AK60" s="71"/>
      <c r="AL60" s="71"/>
      <c r="AM60" s="71"/>
      <c r="AN60" s="71"/>
      <c r="AO60" s="71"/>
      <c r="AP60" s="71"/>
      <c r="AQ60" s="71"/>
      <c r="AR60" s="71"/>
      <c r="AS60" s="71"/>
      <c r="AT60" s="71"/>
      <c r="AU60" s="71"/>
      <c r="AV60" s="71"/>
      <c r="AW60" s="71"/>
      <c r="AX60" s="71"/>
      <c r="AY60" s="71"/>
      <c r="AZ60" s="71"/>
      <c r="BA60" s="71"/>
    </row>
    <row r="61" customFormat="false" ht="15" hidden="true" customHeight="false" outlineLevel="1" collapsed="false">
      <c r="A61" s="137" t="s">
        <v>20</v>
      </c>
      <c r="B61" s="187" t="n">
        <f aca="false">SUMIFS(Horodateur11233538192231343743464952555861646985222634384650585462667074788290989410210611411811012212613013413814214615015415816216617017417818218619019419820220621021441014182226303438465054586266707680[Durée (100)],Horodateur11233538192231343743464952555861646985222634384650585462667074788290989410210611411811012212613013413814214615015415816216617017417818218619019419820220621021441014182226303438465054586266707680[Jour],$B$59,Horodateur11233538192231343743464952555861646985222634384650585462667074788290989410210611411811012212613013413814214615015415816216617017417818218619019419820220621021441014182226303438465054586266707680[Tâche],$A61)</f>
        <v>0.500000000000001</v>
      </c>
      <c r="C61" s="187" t="n">
        <f aca="false">SUMIFS(Horodateur11233538192231343743464952555861646985222634384650585462667074788290989410210611411811012212613013413814214615015415816216617017417818218619019419820220621021441014182226303438465054586266707680[Durée (100)],Horodateur11233538192231343743464952555861646985222634384650585462667074788290989410210611411811012212613013413814214615015415816216617017417818218619019419820220621021441014182226303438465054586266707680[Jour],$C$59,Horodateur11233538192231343743464952555861646985222634384650585462667074788290989410210611411811012212613013413814214615015415816216617017417818218619019419820220621021441014182226303438465054586266707680[Tâche],$A61)</f>
        <v>0.500000000000001</v>
      </c>
      <c r="D61" s="187" t="n">
        <f aca="false">SUMIFS(Horodateur11233538192231343743464952555861646985222634384650585462667074788290989410210611411811012212613013413814214615015415816216617017417818218619019419820220621021441014182226303438465054586266707680[Durée (100)],Horodateur11233538192231343743464952555861646985222634384650585462667074788290989410210611411811012212613013413814214615015415816216617017417818218619019419820220621021441014182226303438465054586266707680[Jour],$D$59,Horodateur11233538192231343743464952555861646985222634384650585462667074788290989410210611411811012212613013413814214615015415816216617017417818218619019419820220621021441014182226303438465054586266707680[Tâche],$A61)</f>
        <v>0</v>
      </c>
      <c r="E61" s="187" t="n">
        <f aca="false">SUMIFS(Horodateur11233538192231343743464952555861646985222634384650585462667074788290989410210611411811012212613013413814214615015415816216617017417818218619019419820220621021441014182226303438465054586266707680[Durée (100)],Horodateur11233538192231343743464952555861646985222634384650585462667074788290989410210611411811012212613013413814214615015415816216617017417818218619019419820220621021441014182226303438465054586266707680[Jour],$E$59,Horodateur11233538192231343743464952555861646985222634384650585462667074788290989410210611411811012212613013413814214615015415816216617017417818218619019419820220621021441014182226303438465054586266707680[Tâche],$A61)</f>
        <v>0</v>
      </c>
      <c r="F61" s="71" t="n">
        <f aca="false">SUMIFS(Horodateur11233538192231343743464952555861646985222634384650585462667074788290989410210611411811012212613013413814214615015415816216617017417818218619019419820220621021441014182226303438465054586266707680[Durée (100)],Horodateur11233538192231343743464952555861646985222634384650585462667074788290989410210611411811012212613013413814214615015415816216617017417818218619019419820220621021441014182226303438465054586266707680[Jour],$F$59,Horodateur11233538192231343743464952555861646985222634384650585462667074788290989410210611411811012212613013413814214615015415816216617017417818218619019419820220621021441014182226303438465054586266707680[Tâche],$A61)</f>
        <v>0</v>
      </c>
      <c r="G61" s="187" t="n">
        <f aca="false">SUMIFS(Horodateur11233538192231343743464952555861646985222634384650585462667074788290989410210611411811012212613013413814214615015415816216617017417818218619019419820220621021441014182226303438465054586266707680[Durée (100)],Horodateur11233538192231343743464952555861646985222634384650585462667074788290989410210611411811012212613013413814214615015415816216617017417818218619019419820220621021441014182226303438465054586266707680[Jour],$G$59,Horodateur11233538192231343743464952555861646985222634384650585462667074788290989410210611411811012212613013413814214615015415816216617017417818218619019419820220621021441014182226303438465054586266707680[Tâche],$A61)</f>
        <v>0</v>
      </c>
      <c r="H61" s="187" t="n">
        <f aca="false">SUMIFS(Horodateur11233538192231343743464952555861646985222634384650585462667074788290989410210611411811012212613013413814214615015415816216617017417818218619019419820220621021441014182226303438465054586266707680[Durée (100)],Horodateur11233538192231343743464952555861646985222634384650585462667074788290989410210611411811012212613013413814214615015415816216617017417818218619019419820220621021441014182226303438465054586266707680[Jour],$H$59,Horodateur11233538192231343743464952555861646985222634384650585462667074788290989410210611411811012212613013413814214615015415816216617017417818218619019419820220621021441014182226303438465054586266707680[Tâche],$A61)</f>
        <v>0</v>
      </c>
      <c r="I61" s="295" t="n">
        <f aca="false">SUM(Taches_Jour21325374018213033364245485154576063688421253337454957536165697377818997931011051131171091211251291331371411451491531571611651691731771811851891931972012052092133913172125293337454953576165697579[[#This Row],[1- Lundi]:[7- Dimanche]])</f>
        <v>1</v>
      </c>
      <c r="J61" s="271"/>
      <c r="K61" s="1"/>
      <c r="L61" s="1"/>
      <c r="M61" s="188"/>
      <c r="N61" s="272"/>
      <c r="O61" s="272"/>
      <c r="P61" s="1"/>
      <c r="Q61" s="187"/>
      <c r="R61" s="187"/>
      <c r="S61" s="1"/>
      <c r="T61" s="1"/>
      <c r="U61" s="1"/>
      <c r="V61" s="1"/>
      <c r="W61" s="1"/>
      <c r="X61" s="1"/>
      <c r="Y61" s="1"/>
      <c r="Z61" s="71"/>
      <c r="AA61" s="71"/>
      <c r="AB61" s="71"/>
      <c r="AC61" s="71"/>
      <c r="AD61" s="71"/>
      <c r="AE61" s="71"/>
      <c r="AF61" s="71"/>
      <c r="AG61" s="71"/>
      <c r="AH61" s="71"/>
      <c r="AI61" s="71"/>
      <c r="AJ61" s="71"/>
      <c r="AK61" s="71"/>
      <c r="AL61" s="71"/>
      <c r="AM61" s="71"/>
      <c r="AN61" s="71"/>
      <c r="AO61" s="71"/>
      <c r="AP61" s="71"/>
      <c r="AQ61" s="71"/>
      <c r="AR61" s="71"/>
      <c r="AS61" s="71"/>
      <c r="AT61" s="71"/>
      <c r="AU61" s="71"/>
      <c r="AV61" s="71"/>
      <c r="AW61" s="71"/>
      <c r="AX61" s="71"/>
      <c r="AY61" s="71"/>
      <c r="AZ61" s="71"/>
      <c r="BA61" s="71"/>
    </row>
    <row r="62" customFormat="false" ht="15" hidden="true" customHeight="false" outlineLevel="1" collapsed="false">
      <c r="A62" s="137" t="s">
        <v>23</v>
      </c>
      <c r="B62" s="187" t="n">
        <f aca="false">SUMIFS(Horodateur11233538192231343743464952555861646985222634384650585462667074788290989410210611411811012212613013413814214615015415816216617017417818218619019419820220621021441014182226303438465054586266707680[Durée (100)],Horodateur11233538192231343743464952555861646985222634384650585462667074788290989410210611411811012212613013413814214615015415816216617017417818218619019419820220621021441014182226303438465054586266707680[Jour],$B$59,Horodateur11233538192231343743464952555861646985222634384650585462667074788290989410210611411811012212613013413814214615015415816216617017417818218619019419820220621021441014182226303438465054586266707680[Tâche],$A62)</f>
        <v>0</v>
      </c>
      <c r="C62" s="187" t="n">
        <f aca="false">SUMIFS(Horodateur11233538192231343743464952555861646985222634384650585462667074788290989410210611411811012212613013413814214615015415816216617017417818218619019419820220621021441014182226303438465054586266707680[Durée (100)],Horodateur11233538192231343743464952555861646985222634384650585462667074788290989410210611411811012212613013413814214615015415816216617017417818218619019419820220621021441014182226303438465054586266707680[Jour],$C$59,Horodateur11233538192231343743464952555861646985222634384650585462667074788290989410210611411811012212613013413814214615015415816216617017417818218619019419820220621021441014182226303438465054586266707680[Tâche],$A62)</f>
        <v>2</v>
      </c>
      <c r="D62" s="187" t="n">
        <f aca="false">SUMIFS(Horodateur11233538192231343743464952555861646985222634384650585462667074788290989410210611411811012212613013413814214615015415816216617017417818218619019419820220621021441014182226303438465054586266707680[Durée (100)],Horodateur11233538192231343743464952555861646985222634384650585462667074788290989410210611411811012212613013413814214615015415816216617017417818218619019419820220621021441014182226303438465054586266707680[Jour],$D$59,Horodateur11233538192231343743464952555861646985222634384650585462667074788290989410210611411811012212613013413814214615015415816216617017417818218619019419820220621021441014182226303438465054586266707680[Tâche],$A62)</f>
        <v>0</v>
      </c>
      <c r="E62" s="187" t="n">
        <f aca="false">SUMIFS(Horodateur11233538192231343743464952555861646985222634384650585462667074788290989410210611411811012212613013413814214615015415816216617017417818218619019419820220621021441014182226303438465054586266707680[Durée (100)],Horodateur11233538192231343743464952555861646985222634384650585462667074788290989410210611411811012212613013413814214615015415816216617017417818218619019419820220621021441014182226303438465054586266707680[Jour],$E$59,Horodateur11233538192231343743464952555861646985222634384650585462667074788290989410210611411811012212613013413814214615015415816216617017417818218619019419820220621021441014182226303438465054586266707680[Tâche],$A62)</f>
        <v>3.75</v>
      </c>
      <c r="F62" s="71" t="n">
        <f aca="false">SUMIFS(Horodateur11233538192231343743464952555861646985222634384650585462667074788290989410210611411811012212613013413814214615015415816216617017417818218619019419820220621021441014182226303438465054586266707680[Durée (100)],Horodateur11233538192231343743464952555861646985222634384650585462667074788290989410210611411811012212613013413814214615015415816216617017417818218619019419820220621021441014182226303438465054586266707680[Jour],$F$59,Horodateur11233538192231343743464952555861646985222634384650585462667074788290989410210611411811012212613013413814214615015415816216617017417818218619019419820220621021441014182226303438465054586266707680[Tâche],$A62)</f>
        <v>1.75</v>
      </c>
      <c r="G62" s="187" t="n">
        <f aca="false">SUMIFS(Horodateur11233538192231343743464952555861646985222634384650585462667074788290989410210611411811012212613013413814214615015415816216617017417818218619019419820220621021441014182226303438465054586266707680[Durée (100)],Horodateur11233538192231343743464952555861646985222634384650585462667074788290989410210611411811012212613013413814214615015415816216617017417818218619019419820220621021441014182226303438465054586266707680[Jour],$G$59,Horodateur11233538192231343743464952555861646985222634384650585462667074788290989410210611411811012212613013413814214615015415816216617017417818218619019419820220621021441014182226303438465054586266707680[Tâche],$A62)</f>
        <v>0</v>
      </c>
      <c r="H62" s="187" t="n">
        <f aca="false">SUMIFS(Horodateur11233538192231343743464952555861646985222634384650585462667074788290989410210611411811012212613013413814214615015415816216617017417818218619019419820220621021441014182226303438465054586266707680[Durée (100)],Horodateur11233538192231343743464952555861646985222634384650585462667074788290989410210611411811012212613013413814214615015415816216617017417818218619019419820220621021441014182226303438465054586266707680[Jour],$H$59,Horodateur11233538192231343743464952555861646985222634384650585462667074788290989410210611411811012212613013413814214615015415816216617017417818218619019419820220621021441014182226303438465054586266707680[Tâche],$A62)</f>
        <v>0</v>
      </c>
      <c r="I62" s="295" t="n">
        <f aca="false">SUM(Taches_Jour21325374018213033364245485154576063688421253337454957536165697377818997931011051131171091211251291331371411451491531571611651691731771811851891931972012052092133913172125293337454953576165697579[[#This Row],[1- Lundi]:[7- Dimanche]])</f>
        <v>7.5</v>
      </c>
      <c r="J62" s="271"/>
      <c r="K62" s="1"/>
      <c r="L62" s="1"/>
      <c r="M62" s="188"/>
      <c r="N62" s="272"/>
      <c r="O62" s="272"/>
      <c r="P62" s="1"/>
      <c r="Q62" s="187"/>
      <c r="R62" s="187"/>
      <c r="S62" s="1"/>
      <c r="T62" s="1"/>
      <c r="U62" s="1"/>
      <c r="V62" s="1"/>
      <c r="W62" s="1"/>
      <c r="X62" s="1"/>
      <c r="Y62" s="1"/>
      <c r="Z62" s="71"/>
      <c r="AA62" s="71"/>
      <c r="AB62" s="71"/>
      <c r="AC62" s="71"/>
      <c r="AD62" s="71"/>
      <c r="AE62" s="71"/>
      <c r="AF62" s="71"/>
      <c r="AG62" s="71"/>
      <c r="AH62" s="71"/>
      <c r="AI62" s="71"/>
      <c r="AJ62" s="71"/>
      <c r="AK62" s="71"/>
      <c r="AL62" s="71"/>
      <c r="AM62" s="71"/>
      <c r="AN62" s="71"/>
      <c r="AO62" s="71"/>
      <c r="AP62" s="71"/>
      <c r="AQ62" s="71"/>
      <c r="AR62" s="71"/>
      <c r="AS62" s="71"/>
      <c r="AT62" s="71"/>
      <c r="AU62" s="71"/>
      <c r="AV62" s="71"/>
      <c r="AW62" s="71"/>
      <c r="AX62" s="71"/>
      <c r="AY62" s="71"/>
      <c r="AZ62" s="71"/>
      <c r="BA62" s="71"/>
    </row>
    <row r="63" customFormat="false" ht="15" hidden="true" customHeight="false" outlineLevel="1" collapsed="false">
      <c r="A63" s="137" t="s">
        <v>25</v>
      </c>
      <c r="B63" s="187" t="n">
        <f aca="false">SUMIFS(Horodateur11233538192231343743464952555861646985222634384650585462667074788290989410210611411811012212613013413814214615015415816216617017417818218619019419820220621021441014182226303438465054586266707680[Durée (100)],Horodateur11233538192231343743464952555861646985222634384650585462667074788290989410210611411811012212613013413814214615015415816216617017417818218619019419820220621021441014182226303438465054586266707680[Jour],$B$59,Horodateur11233538192231343743464952555861646985222634384650585462667074788290989410210611411811012212613013413814214615015415816216617017417818218619019419820220621021441014182226303438465054586266707680[Tâche],$A63)</f>
        <v>0</v>
      </c>
      <c r="C63" s="187" t="n">
        <f aca="false">SUMIFS(Horodateur11233538192231343743464952555861646985222634384650585462667074788290989410210611411811012212613013413814214615015415816216617017417818218619019419820220621021441014182226303438465054586266707680[Durée (100)],Horodateur11233538192231343743464952555861646985222634384650585462667074788290989410210611411811012212613013413814214615015415816216617017417818218619019419820220621021441014182226303438465054586266707680[Jour],$C$59,Horodateur11233538192231343743464952555861646985222634384650585462667074788290989410210611411811012212613013413814214615015415816216617017417818218619019419820220621021441014182226303438465054586266707680[Tâche],$A63)</f>
        <v>0</v>
      </c>
      <c r="D63" s="187" t="n">
        <f aca="false">SUMIFS(Horodateur11233538192231343743464952555861646985222634384650585462667074788290989410210611411811012212613013413814214615015415816216617017417818218619019419820220621021441014182226303438465054586266707680[Durée (100)],Horodateur11233538192231343743464952555861646985222634384650585462667074788290989410210611411811012212613013413814214615015415816216617017417818218619019419820220621021441014182226303438465054586266707680[Jour],$D$59,Horodateur11233538192231343743464952555861646985222634384650585462667074788290989410210611411811012212613013413814214615015415816216617017417818218619019419820220621021441014182226303438465054586266707680[Tâche],$A63)</f>
        <v>0</v>
      </c>
      <c r="E63" s="187" t="n">
        <f aca="false">SUMIFS(Horodateur11233538192231343743464952555861646985222634384650585462667074788290989410210611411811012212613013413814214615015415816216617017417818218619019419820220621021441014182226303438465054586266707680[Durée (100)],Horodateur11233538192231343743464952555861646985222634384650585462667074788290989410210611411811012212613013413814214615015415816216617017417818218619019419820220621021441014182226303438465054586266707680[Jour],$E$59,Horodateur11233538192231343743464952555861646985222634384650585462667074788290989410210611411811012212613013413814214615015415816216617017417818218619019419820220621021441014182226303438465054586266707680[Tâche],$A63)</f>
        <v>0</v>
      </c>
      <c r="F63" s="71" t="n">
        <f aca="false">SUMIFS(Horodateur11233538192231343743464952555861646985222634384650585462667074788290989410210611411811012212613013413814214615015415816216617017417818218619019419820220621021441014182226303438465054586266707680[Durée (100)],Horodateur11233538192231343743464952555861646985222634384650585462667074788290989410210611411811012212613013413814214615015415816216617017417818218619019419820220621021441014182226303438465054586266707680[Jour],$F$59,Horodateur11233538192231343743464952555861646985222634384650585462667074788290989410210611411811012212613013413814214615015415816216617017417818218619019419820220621021441014182226303438465054586266707680[Tâche],$A63)</f>
        <v>0</v>
      </c>
      <c r="G63" s="187" t="n">
        <f aca="false">SUMIFS(Horodateur11233538192231343743464952555861646985222634384650585462667074788290989410210611411811012212613013413814214615015415816216617017417818218619019419820220621021441014182226303438465054586266707680[Durée (100)],Horodateur11233538192231343743464952555861646985222634384650585462667074788290989410210611411811012212613013413814214615015415816216617017417818218619019419820220621021441014182226303438465054586266707680[Jour],$G$59,Horodateur11233538192231343743464952555861646985222634384650585462667074788290989410210611411811012212613013413814214615015415816216617017417818218619019419820220621021441014182226303438465054586266707680[Tâche],$A63)</f>
        <v>0</v>
      </c>
      <c r="H63" s="187" t="n">
        <f aca="false">SUMIFS(Horodateur11233538192231343743464952555861646985222634384650585462667074788290989410210611411811012212613013413814214615015415816216617017417818218619019419820220621021441014182226303438465054586266707680[Durée (100)],Horodateur11233538192231343743464952555861646985222634384650585462667074788290989410210611411811012212613013413814214615015415816216617017417818218619019419820220621021441014182226303438465054586266707680[Jour],$H$59,Horodateur11233538192231343743464952555861646985222634384650585462667074788290989410210611411811012212613013413814214615015415816216617017417818218619019419820220621021441014182226303438465054586266707680[Tâche],$A63)</f>
        <v>0</v>
      </c>
      <c r="I63" s="295" t="n">
        <f aca="false">SUM(Taches_Jour21325374018213033364245485154576063688421253337454957536165697377818997931011051131171091211251291331371411451491531571611651691731771811851891931972012052092133913172125293337454953576165697579[[#This Row],[1- Lundi]:[7- Dimanche]])</f>
        <v>0</v>
      </c>
      <c r="J63" s="271"/>
      <c r="K63" s="1"/>
      <c r="L63" s="1"/>
      <c r="M63" s="188"/>
      <c r="N63" s="272"/>
      <c r="O63" s="272"/>
      <c r="P63" s="1"/>
      <c r="Q63" s="187"/>
      <c r="R63" s="187"/>
      <c r="S63" s="1"/>
      <c r="T63" s="1"/>
      <c r="U63" s="1"/>
      <c r="V63" s="1"/>
      <c r="W63" s="1"/>
      <c r="X63" s="1"/>
      <c r="Y63" s="1"/>
      <c r="Z63" s="71"/>
      <c r="AA63" s="71"/>
      <c r="AB63" s="71"/>
      <c r="AC63" s="71"/>
      <c r="AD63" s="71"/>
      <c r="AE63" s="71"/>
      <c r="AF63" s="71"/>
      <c r="AG63" s="71"/>
      <c r="AH63" s="71"/>
      <c r="AI63" s="71"/>
      <c r="AJ63" s="71"/>
      <c r="AK63" s="71"/>
      <c r="AL63" s="71"/>
      <c r="AM63" s="71"/>
      <c r="AN63" s="71"/>
      <c r="AO63" s="71"/>
      <c r="AP63" s="71"/>
      <c r="AQ63" s="71"/>
      <c r="AR63" s="71"/>
      <c r="AS63" s="71"/>
      <c r="AT63" s="71"/>
      <c r="AU63" s="71"/>
      <c r="AV63" s="71"/>
      <c r="AW63" s="71"/>
      <c r="AX63" s="71"/>
      <c r="AY63" s="71"/>
      <c r="AZ63" s="71"/>
      <c r="BA63" s="71"/>
    </row>
    <row r="64" customFormat="false" ht="15" hidden="true" customHeight="false" outlineLevel="1" collapsed="false">
      <c r="A64" s="137" t="s">
        <v>26</v>
      </c>
      <c r="B64" s="187" t="n">
        <f aca="false">SUMIFS(Horodateur11233538192231343743464952555861646985222634384650585462667074788290989410210611411811012212613013413814214615015415816216617017417818218619019419820220621021441014182226303438465054586266707680[Durée (100)],Horodateur11233538192231343743464952555861646985222634384650585462667074788290989410210611411811012212613013413814214615015415816216617017417818218619019419820220621021441014182226303438465054586266707680[Jour],$B$59,Horodateur11233538192231343743464952555861646985222634384650585462667074788290989410210611411811012212613013413814214615015415816216617017417818218619019419820220621021441014182226303438465054586266707680[Tâche],$A64)</f>
        <v>0</v>
      </c>
      <c r="C64" s="187" t="n">
        <f aca="false">SUMIFS(Horodateur11233538192231343743464952555861646985222634384650585462667074788290989410210611411811012212613013413814214615015415816216617017417818218619019419820220621021441014182226303438465054586266707680[Durée (100)],Horodateur11233538192231343743464952555861646985222634384650585462667074788290989410210611411811012212613013413814214615015415816216617017417818218619019419820220621021441014182226303438465054586266707680[Jour],$C$59,Horodateur11233538192231343743464952555861646985222634384650585462667074788290989410210611411811012212613013413814214615015415816216617017417818218619019419820220621021441014182226303438465054586266707680[Tâche],$A64)</f>
        <v>0</v>
      </c>
      <c r="D64" s="187" t="n">
        <f aca="false">SUMIFS(Horodateur11233538192231343743464952555861646985222634384650585462667074788290989410210611411811012212613013413814214615015415816216617017417818218619019419820220621021441014182226303438465054586266707680[Durée (100)],Horodateur11233538192231343743464952555861646985222634384650585462667074788290989410210611411811012212613013413814214615015415816216617017417818218619019419820220621021441014182226303438465054586266707680[Jour],$D$59,Horodateur11233538192231343743464952555861646985222634384650585462667074788290989410210611411811012212613013413814214615015415816216617017417818218619019419820220621021441014182226303438465054586266707680[Tâche],$A64)</f>
        <v>0</v>
      </c>
      <c r="E64" s="187" t="n">
        <f aca="false">SUMIFS(Horodateur11233538192231343743464952555861646985222634384650585462667074788290989410210611411811012212613013413814214615015415816216617017417818218619019419820220621021441014182226303438465054586266707680[Durée (100)],Horodateur11233538192231343743464952555861646985222634384650585462667074788290989410210611411811012212613013413814214615015415816216617017417818218619019419820220621021441014182226303438465054586266707680[Jour],$E$59,Horodateur11233538192231343743464952555861646985222634384650585462667074788290989410210611411811012212613013413814214615015415816216617017417818218619019419820220621021441014182226303438465054586266707680[Tâche],$A64)</f>
        <v>0</v>
      </c>
      <c r="F64" s="71" t="n">
        <f aca="false">SUMIFS(Horodateur11233538192231343743464952555861646985222634384650585462667074788290989410210611411811012212613013413814214615015415816216617017417818218619019419820220621021441014182226303438465054586266707680[Durée (100)],Horodateur11233538192231343743464952555861646985222634384650585462667074788290989410210611411811012212613013413814214615015415816216617017417818218619019419820220621021441014182226303438465054586266707680[Jour],$F$59,Horodateur11233538192231343743464952555861646985222634384650585462667074788290989410210611411811012212613013413814214615015415816216617017417818218619019419820220621021441014182226303438465054586266707680[Tâche],$A64)</f>
        <v>0</v>
      </c>
      <c r="G64" s="187" t="n">
        <f aca="false">SUMIFS(Horodateur11233538192231343743464952555861646985222634384650585462667074788290989410210611411811012212613013413814214615015415816216617017417818218619019419820220621021441014182226303438465054586266707680[Durée (100)],Horodateur11233538192231343743464952555861646985222634384650585462667074788290989410210611411811012212613013413814214615015415816216617017417818218619019419820220621021441014182226303438465054586266707680[Jour],$G$59,Horodateur11233538192231343743464952555861646985222634384650585462667074788290989410210611411811012212613013413814214615015415816216617017417818218619019419820220621021441014182226303438465054586266707680[Tâche],$A64)</f>
        <v>0</v>
      </c>
      <c r="H64" s="187" t="n">
        <f aca="false">SUMIFS(Horodateur11233538192231343743464952555861646985222634384650585462667074788290989410210611411811012212613013413814214615015415816216617017417818218619019419820220621021441014182226303438465054586266707680[Durée (100)],Horodateur11233538192231343743464952555861646985222634384650585462667074788290989410210611411811012212613013413814214615015415816216617017417818218619019419820220621021441014182226303438465054586266707680[Jour],$H$59,Horodateur11233538192231343743464952555861646985222634384650585462667074788290989410210611411811012212613013413814214615015415816216617017417818218619019419820220621021441014182226303438465054586266707680[Tâche],$A64)</f>
        <v>0</v>
      </c>
      <c r="I64" s="295" t="n">
        <f aca="false">SUM(Taches_Jour21325374018213033364245485154576063688421253337454957536165697377818997931011051131171091211251291331371411451491531571611651691731771811851891931972012052092133913172125293337454953576165697579[[#This Row],[1- Lundi]:[7- Dimanche]])</f>
        <v>0</v>
      </c>
      <c r="J64" s="271"/>
      <c r="K64" s="1"/>
      <c r="L64" s="1"/>
      <c r="M64" s="188"/>
      <c r="N64" s="272"/>
      <c r="O64" s="272"/>
      <c r="P64" s="1"/>
      <c r="Q64" s="187"/>
      <c r="R64" s="187"/>
      <c r="S64" s="1"/>
      <c r="T64" s="1"/>
      <c r="U64" s="1"/>
      <c r="V64" s="1"/>
      <c r="W64" s="1"/>
      <c r="X64" s="1"/>
      <c r="Y64" s="1"/>
      <c r="Z64" s="71"/>
      <c r="AA64" s="71"/>
      <c r="AB64" s="71"/>
      <c r="AC64" s="71"/>
      <c r="AD64" s="71"/>
      <c r="AE64" s="71"/>
      <c r="AF64" s="71"/>
      <c r="AG64" s="71"/>
      <c r="AH64" s="71"/>
      <c r="AI64" s="71"/>
      <c r="AJ64" s="71"/>
      <c r="AK64" s="71"/>
      <c r="AL64" s="71"/>
      <c r="AM64" s="71"/>
      <c r="AN64" s="71"/>
      <c r="AO64" s="71"/>
      <c r="AP64" s="71"/>
      <c r="AQ64" s="71"/>
      <c r="AR64" s="71"/>
      <c r="AS64" s="71"/>
      <c r="AT64" s="71"/>
      <c r="AU64" s="71"/>
      <c r="AV64" s="71"/>
      <c r="AW64" s="71"/>
      <c r="AX64" s="71"/>
      <c r="AY64" s="71"/>
      <c r="AZ64" s="71"/>
      <c r="BA64" s="71"/>
    </row>
    <row r="65" customFormat="false" ht="15" hidden="true" customHeight="false" outlineLevel="1" collapsed="false">
      <c r="A65" s="137" t="s">
        <v>378</v>
      </c>
      <c r="B65" s="187" t="n">
        <f aca="false">SUMIFS(Horodateur11233538192231343743464952555861646985222634384650585462667074788290989410210611411811012212613013413814214615015415816216617017417818218619019419820220621021441014182226303438465054586266707680[Durée (100)],Horodateur11233538192231343743464952555861646985222634384650585462667074788290989410210611411811012212613013413814214615015415816216617017417818218619019419820220621021441014182226303438465054586266707680[Jour],$B$59,Horodateur11233538192231343743464952555861646985222634384650585462667074788290989410210611411811012212613013413814214615015415816216617017417818218619019419820220621021441014182226303438465054586266707680[Tâche],$A65)</f>
        <v>0</v>
      </c>
      <c r="C65" s="187" t="n">
        <f aca="false">SUMIFS(Horodateur11233538192231343743464952555861646985222634384650585462667074788290989410210611411811012212613013413814214615015415816216617017417818218619019419820220621021441014182226303438465054586266707680[Durée (100)],Horodateur11233538192231343743464952555861646985222634384650585462667074788290989410210611411811012212613013413814214615015415816216617017417818218619019419820220621021441014182226303438465054586266707680[Jour],$C$59,Horodateur11233538192231343743464952555861646985222634384650585462667074788290989410210611411811012212613013413814214615015415816216617017417818218619019419820220621021441014182226303438465054586266707680[Tâche],$A65)</f>
        <v>0</v>
      </c>
      <c r="D65" s="187" t="n">
        <f aca="false">SUMIFS(Horodateur11233538192231343743464952555861646985222634384650585462667074788290989410210611411811012212613013413814214615015415816216617017417818218619019419820220621021441014182226303438465054586266707680[Durée (100)],Horodateur11233538192231343743464952555861646985222634384650585462667074788290989410210611411811012212613013413814214615015415816216617017417818218619019419820220621021441014182226303438465054586266707680[Jour],$D$59,Horodateur11233538192231343743464952555861646985222634384650585462667074788290989410210611411811012212613013413814214615015415816216617017417818218619019419820220621021441014182226303438465054586266707680[Tâche],$A65)</f>
        <v>0</v>
      </c>
      <c r="E65" s="187" t="n">
        <f aca="false">SUMIFS(Horodateur11233538192231343743464952555861646985222634384650585462667074788290989410210611411811012212613013413814214615015415816216617017417818218619019419820220621021441014182226303438465054586266707680[Durée (100)],Horodateur11233538192231343743464952555861646985222634384650585462667074788290989410210611411811012212613013413814214615015415816216617017417818218619019419820220621021441014182226303438465054586266707680[Jour],$E$59,Horodateur11233538192231343743464952555861646985222634384650585462667074788290989410210611411811012212613013413814214615015415816216617017417818218619019419820220621021441014182226303438465054586266707680[Tâche],$A65)</f>
        <v>0</v>
      </c>
      <c r="F65" s="71" t="n">
        <f aca="false">SUMIFS(Horodateur11233538192231343743464952555861646985222634384650585462667074788290989410210611411811012212613013413814214615015415816216617017417818218619019419820220621021441014182226303438465054586266707680[Durée (100)],Horodateur11233538192231343743464952555861646985222634384650585462667074788290989410210611411811012212613013413814214615015415816216617017417818218619019419820220621021441014182226303438465054586266707680[Jour],$F$59,Horodateur11233538192231343743464952555861646985222634384650585462667074788290989410210611411811012212613013413814214615015415816216617017417818218619019419820220621021441014182226303438465054586266707680[Tâche],$A65)</f>
        <v>0</v>
      </c>
      <c r="G65" s="187" t="n">
        <f aca="false">SUMIFS(Horodateur11233538192231343743464952555861646985222634384650585462667074788290989410210611411811012212613013413814214615015415816216617017417818218619019419820220621021441014182226303438465054586266707680[Durée (100)],Horodateur11233538192231343743464952555861646985222634384650585462667074788290989410210611411811012212613013413814214615015415816216617017417818218619019419820220621021441014182226303438465054586266707680[Jour],$G$59,Horodateur11233538192231343743464952555861646985222634384650585462667074788290989410210611411811012212613013413814214615015415816216617017417818218619019419820220621021441014182226303438465054586266707680[Tâche],$A65)</f>
        <v>0</v>
      </c>
      <c r="H65" s="187" t="n">
        <f aca="false">SUMIFS(Horodateur11233538192231343743464952555861646985222634384650585462667074788290989410210611411811012212613013413814214615015415816216617017417818218619019419820220621021441014182226303438465054586266707680[Durée (100)],Horodateur11233538192231343743464952555861646985222634384650585462667074788290989410210611411811012212613013413814214615015415816216617017417818218619019419820220621021441014182226303438465054586266707680[Jour],$H$59,Horodateur11233538192231343743464952555861646985222634384650585462667074788290989410210611411811012212613013413814214615015415816216617017417818218619019419820220621021441014182226303438465054586266707680[Tâche],$A65)</f>
        <v>0</v>
      </c>
      <c r="I65" s="295" t="n">
        <f aca="false">SUM(Taches_Jour21325374018213033364245485154576063688421253337454957536165697377818997931011051131171091211251291331371411451491531571611651691731771811851891931972012052092133913172125293337454953576165697579[[#This Row],[1- Lundi]:[7- Dimanche]])</f>
        <v>0</v>
      </c>
      <c r="J65" s="271"/>
      <c r="K65" s="1"/>
      <c r="L65" s="1"/>
      <c r="M65" s="188"/>
      <c r="N65" s="272"/>
      <c r="O65" s="272"/>
      <c r="P65" s="1"/>
      <c r="Q65" s="187"/>
      <c r="R65" s="187"/>
      <c r="S65" s="1"/>
      <c r="T65" s="1"/>
      <c r="U65" s="1"/>
      <c r="V65" s="1"/>
      <c r="W65" s="1"/>
      <c r="X65" s="1"/>
      <c r="Y65" s="1"/>
      <c r="Z65" s="71"/>
      <c r="AA65" s="71"/>
      <c r="AB65" s="71"/>
      <c r="AC65" s="71"/>
      <c r="AD65" s="71"/>
      <c r="AE65" s="71"/>
      <c r="AF65" s="71"/>
      <c r="AG65" s="71"/>
      <c r="AH65" s="71"/>
      <c r="AI65" s="71"/>
      <c r="AJ65" s="71"/>
      <c r="AK65" s="71"/>
      <c r="AL65" s="71"/>
      <c r="AM65" s="71"/>
      <c r="AN65" s="71"/>
      <c r="AO65" s="71"/>
      <c r="AP65" s="71"/>
      <c r="AQ65" s="71"/>
      <c r="AR65" s="71"/>
      <c r="AS65" s="71"/>
      <c r="AT65" s="71"/>
      <c r="AU65" s="71"/>
      <c r="AV65" s="71"/>
      <c r="AW65" s="71"/>
      <c r="AX65" s="71"/>
      <c r="AY65" s="71"/>
      <c r="AZ65" s="71"/>
      <c r="BA65" s="71"/>
    </row>
    <row r="66" customFormat="false" ht="15" hidden="true" customHeight="false" outlineLevel="1" collapsed="false">
      <c r="A66" s="137" t="s">
        <v>382</v>
      </c>
      <c r="B66" s="187" t="n">
        <f aca="false">SUMIFS(Horodateur11233538192231343743464952555861646985222634384650585462667074788290989410210611411811012212613013413814214615015415816216617017417818218619019419820220621021441014182226303438465054586266707680[Durée (100)],Horodateur11233538192231343743464952555861646985222634384650585462667074788290989410210611411811012212613013413814214615015415816216617017417818218619019419820220621021441014182226303438465054586266707680[Jour],$B$59,Horodateur11233538192231343743464952555861646985222634384650585462667074788290989410210611411811012212613013413814214615015415816216617017417818218619019419820220621021441014182226303438465054586266707680[Tâche],$A66)</f>
        <v>0</v>
      </c>
      <c r="C66" s="187" t="n">
        <f aca="false">SUMIFS(Horodateur11233538192231343743464952555861646985222634384650585462667074788290989410210611411811012212613013413814214615015415816216617017417818218619019419820220621021441014182226303438465054586266707680[Durée (100)],Horodateur11233538192231343743464952555861646985222634384650585462667074788290989410210611411811012212613013413814214615015415816216617017417818218619019419820220621021441014182226303438465054586266707680[Jour],$C$59,Horodateur11233538192231343743464952555861646985222634384650585462667074788290989410210611411811012212613013413814214615015415816216617017417818218619019419820220621021441014182226303438465054586266707680[Tâche],$A66)</f>
        <v>0</v>
      </c>
      <c r="D66" s="187" t="n">
        <f aca="false">SUMIFS(Horodateur11233538192231343743464952555861646985222634384650585462667074788290989410210611411811012212613013413814214615015415816216617017417818218619019419820220621021441014182226303438465054586266707680[Durée (100)],Horodateur11233538192231343743464952555861646985222634384650585462667074788290989410210611411811012212613013413814214615015415816216617017417818218619019419820220621021441014182226303438465054586266707680[Jour],$D$59,Horodateur11233538192231343743464952555861646985222634384650585462667074788290989410210611411811012212613013413814214615015415816216617017417818218619019419820220621021441014182226303438465054586266707680[Tâche],$A66)</f>
        <v>0</v>
      </c>
      <c r="E66" s="187" t="n">
        <f aca="false">SUMIFS(Horodateur11233538192231343743464952555861646985222634384650585462667074788290989410210611411811012212613013413814214615015415816216617017417818218619019419820220621021441014182226303438465054586266707680[Durée (100)],Horodateur11233538192231343743464952555861646985222634384650585462667074788290989410210611411811012212613013413814214615015415816216617017417818218619019419820220621021441014182226303438465054586266707680[Jour],$E$59,Horodateur11233538192231343743464952555861646985222634384650585462667074788290989410210611411811012212613013413814214615015415816216617017417818218619019419820220621021441014182226303438465054586266707680[Tâche],$A66)</f>
        <v>0</v>
      </c>
      <c r="F66" s="71" t="n">
        <f aca="false">SUMIFS(Horodateur11233538192231343743464952555861646985222634384650585462667074788290989410210611411811012212613013413814214615015415816216617017417818218619019419820220621021441014182226303438465054586266707680[Durée (100)],Horodateur11233538192231343743464952555861646985222634384650585462667074788290989410210611411811012212613013413814214615015415816216617017417818218619019419820220621021441014182226303438465054586266707680[Jour],$F$59,Horodateur11233538192231343743464952555861646985222634384650585462667074788290989410210611411811012212613013413814214615015415816216617017417818218619019419820220621021441014182226303438465054586266707680[Tâche],$A66)</f>
        <v>0</v>
      </c>
      <c r="G66" s="187" t="n">
        <f aca="false">SUMIFS(Horodateur11233538192231343743464952555861646985222634384650585462667074788290989410210611411811012212613013413814214615015415816216617017417818218619019419820220621021441014182226303438465054586266707680[Durée (100)],Horodateur11233538192231343743464952555861646985222634384650585462667074788290989410210611411811012212613013413814214615015415816216617017417818218619019419820220621021441014182226303438465054586266707680[Jour],$G$59,Horodateur11233538192231343743464952555861646985222634384650585462667074788290989410210611411811012212613013413814214615015415816216617017417818218619019419820220621021441014182226303438465054586266707680[Tâche],$A66)</f>
        <v>0</v>
      </c>
      <c r="H66" s="187" t="n">
        <f aca="false">SUMIFS(Horodateur11233538192231343743464952555861646985222634384650585462667074788290989410210611411811012212613013413814214615015415816216617017417818218619019419820220621021441014182226303438465054586266707680[Durée (100)],Horodateur11233538192231343743464952555861646985222634384650585462667074788290989410210611411811012212613013413814214615015415816216617017417818218619019419820220621021441014182226303438465054586266707680[Jour],$H$59,Horodateur11233538192231343743464952555861646985222634384650585462667074788290989410210611411811012212613013413814214615015415816216617017417818218619019419820220621021441014182226303438465054586266707680[Tâche],$A66)</f>
        <v>0</v>
      </c>
      <c r="I66" s="295" t="n">
        <f aca="false">SUM(Taches_Jour21325374018213033364245485154576063688421253337454957536165697377818997931011051131171091211251291331371411451491531571611651691731771811851891931972012052092133913172125293337454953576165697579[[#This Row],[1- Lundi]:[7- Dimanche]])</f>
        <v>0</v>
      </c>
      <c r="J66" s="271"/>
      <c r="K66" s="1"/>
      <c r="L66" s="1"/>
      <c r="M66" s="188"/>
      <c r="N66" s="272"/>
      <c r="O66" s="272"/>
      <c r="P66" s="1"/>
      <c r="Q66" s="187"/>
      <c r="R66" s="187"/>
      <c r="S66" s="1"/>
      <c r="T66" s="1"/>
      <c r="U66" s="1"/>
      <c r="V66" s="1"/>
      <c r="W66" s="1"/>
      <c r="X66" s="1"/>
      <c r="Y66" s="1"/>
      <c r="Z66" s="71"/>
      <c r="AA66" s="71"/>
      <c r="AB66" s="71"/>
      <c r="AC66" s="71"/>
      <c r="AD66" s="71"/>
      <c r="AE66" s="71"/>
      <c r="AF66" s="71"/>
      <c r="AG66" s="71"/>
      <c r="AH66" s="71"/>
      <c r="AI66" s="71"/>
      <c r="AJ66" s="71"/>
      <c r="AK66" s="71"/>
      <c r="AL66" s="71"/>
      <c r="AM66" s="71"/>
      <c r="AN66" s="71"/>
      <c r="AO66" s="71"/>
      <c r="AP66" s="71"/>
      <c r="AQ66" s="71"/>
      <c r="AR66" s="71"/>
      <c r="AS66" s="71"/>
      <c r="AT66" s="71"/>
      <c r="AU66" s="71"/>
      <c r="AV66" s="71"/>
      <c r="AW66" s="71"/>
      <c r="AX66" s="71"/>
      <c r="AY66" s="71"/>
      <c r="AZ66" s="71"/>
      <c r="BA66" s="71"/>
    </row>
    <row r="67" customFormat="false" ht="15" hidden="true" customHeight="false" outlineLevel="1" collapsed="false">
      <c r="A67" s="137" t="s">
        <v>380</v>
      </c>
      <c r="B67" s="187" t="n">
        <f aca="false">SUMIFS(Horodateur11233538192231343743464952555861646985222634384650585462667074788290989410210611411811012212613013413814214615015415816216617017417818218619019419820220621021441014182226303438465054586266707680[Durée (100)],Horodateur11233538192231343743464952555861646985222634384650585462667074788290989410210611411811012212613013413814214615015415816216617017417818218619019419820220621021441014182226303438465054586266707680[Jour],$B$59,Horodateur11233538192231343743464952555861646985222634384650585462667074788290989410210611411811012212613013413814214615015415816216617017417818218619019419820220621021441014182226303438465054586266707680[Tâche],$A67)</f>
        <v>0</v>
      </c>
      <c r="C67" s="187" t="n">
        <f aca="false">SUMIFS(Horodateur11233538192231343743464952555861646985222634384650585462667074788290989410210611411811012212613013413814214615015415816216617017417818218619019419820220621021441014182226303438465054586266707680[Durée (100)],Horodateur11233538192231343743464952555861646985222634384650585462667074788290989410210611411811012212613013413814214615015415816216617017417818218619019419820220621021441014182226303438465054586266707680[Jour],$C$59,Horodateur11233538192231343743464952555861646985222634384650585462667074788290989410210611411811012212613013413814214615015415816216617017417818218619019419820220621021441014182226303438465054586266707680[Tâche],$A67)</f>
        <v>0</v>
      </c>
      <c r="D67" s="187" t="n">
        <f aca="false">SUMIFS(Horodateur11233538192231343743464952555861646985222634384650585462667074788290989410210611411811012212613013413814214615015415816216617017417818218619019419820220621021441014182226303438465054586266707680[Durée (100)],Horodateur11233538192231343743464952555861646985222634384650585462667074788290989410210611411811012212613013413814214615015415816216617017417818218619019419820220621021441014182226303438465054586266707680[Jour],$D$59,Horodateur11233538192231343743464952555861646985222634384650585462667074788290989410210611411811012212613013413814214615015415816216617017417818218619019419820220621021441014182226303438465054586266707680[Tâche],$A67)</f>
        <v>0</v>
      </c>
      <c r="E67" s="187" t="n">
        <f aca="false">SUMIFS(Horodateur11233538192231343743464952555861646985222634384650585462667074788290989410210611411811012212613013413814214615015415816216617017417818218619019419820220621021441014182226303438465054586266707680[Durée (100)],Horodateur11233538192231343743464952555861646985222634384650585462667074788290989410210611411811012212613013413814214615015415816216617017417818218619019419820220621021441014182226303438465054586266707680[Jour],$E$59,Horodateur11233538192231343743464952555861646985222634384650585462667074788290989410210611411811012212613013413814214615015415816216617017417818218619019419820220621021441014182226303438465054586266707680[Tâche],$A67)</f>
        <v>0</v>
      </c>
      <c r="F67" s="71" t="n">
        <f aca="false">SUMIFS(Horodateur11233538192231343743464952555861646985222634384650585462667074788290989410210611411811012212613013413814214615015415816216617017417818218619019419820220621021441014182226303438465054586266707680[Durée (100)],Horodateur11233538192231343743464952555861646985222634384650585462667074788290989410210611411811012212613013413814214615015415816216617017417818218619019419820220621021441014182226303438465054586266707680[Jour],$F$59,Horodateur11233538192231343743464952555861646985222634384650585462667074788290989410210611411811012212613013413814214615015415816216617017417818218619019419820220621021441014182226303438465054586266707680[Tâche],$A67)</f>
        <v>0</v>
      </c>
      <c r="G67" s="187" t="n">
        <f aca="false">SUMIFS(Horodateur11233538192231343743464952555861646985222634384650585462667074788290989410210611411811012212613013413814214615015415816216617017417818218619019419820220621021441014182226303438465054586266707680[Durée (100)],Horodateur11233538192231343743464952555861646985222634384650585462667074788290989410210611411811012212613013413814214615015415816216617017417818218619019419820220621021441014182226303438465054586266707680[Jour],$G$59,Horodateur11233538192231343743464952555861646985222634384650585462667074788290989410210611411811012212613013413814214615015415816216617017417818218619019419820220621021441014182226303438465054586266707680[Tâche],$A67)</f>
        <v>0</v>
      </c>
      <c r="H67" s="187" t="n">
        <f aca="false">SUMIFS(Horodateur11233538192231343743464952555861646985222634384650585462667074788290989410210611411811012212613013413814214615015415816216617017417818218619019419820220621021441014182226303438465054586266707680[Durée (100)],Horodateur11233538192231343743464952555861646985222634384650585462667074788290989410210611411811012212613013413814214615015415816216617017417818218619019419820220621021441014182226303438465054586266707680[Jour],$H$59,Horodateur11233538192231343743464952555861646985222634384650585462667074788290989410210611411811012212613013413814214615015415816216617017417818218619019419820220621021441014182226303438465054586266707680[Tâche],$A67)</f>
        <v>0</v>
      </c>
      <c r="I67" s="295" t="n">
        <f aca="false">SUM(Taches_Jour21325374018213033364245485154576063688421253337454957536165697377818997931011051131171091211251291331371411451491531571611651691731771811851891931972012052092133913172125293337454953576165697579[[#This Row],[1- Lundi]:[7- Dimanche]])</f>
        <v>0</v>
      </c>
      <c r="J67" s="271"/>
      <c r="K67" s="1"/>
      <c r="L67" s="1"/>
      <c r="M67" s="188"/>
      <c r="N67" s="272"/>
      <c r="O67" s="272"/>
      <c r="Q67" s="76"/>
      <c r="R67" s="76"/>
    </row>
    <row r="68" customFormat="false" ht="15" hidden="true" customHeight="false" outlineLevel="1" collapsed="false">
      <c r="Q68" s="76"/>
      <c r="R68" s="76"/>
    </row>
    <row r="69" customFormat="false" ht="15" hidden="false" customHeight="false" outlineLevel="1" collapsed="false">
      <c r="G69" s="0" t="s">
        <v>383</v>
      </c>
      <c r="Q69" s="76"/>
      <c r="R69" s="76"/>
    </row>
    <row r="70" customFormat="false" ht="15" hidden="false" customHeight="false" outlineLevel="0" collapsed="false">
      <c r="Q70" s="76"/>
      <c r="R70" s="76"/>
    </row>
    <row r="71" customFormat="false" ht="15" hidden="false" customHeight="false" outlineLevel="0" collapsed="false">
      <c r="G71" s="76"/>
      <c r="Q71" s="76"/>
      <c r="R71" s="76"/>
    </row>
    <row r="72" customFormat="false" ht="15" hidden="false" customHeight="false" outlineLevel="0" collapsed="false">
      <c r="Q72" s="76"/>
      <c r="R72" s="76"/>
    </row>
    <row r="73" customFormat="false" ht="15" hidden="false" customHeight="false" outlineLevel="0" collapsed="false">
      <c r="Q73" s="76"/>
      <c r="R73" s="76"/>
    </row>
    <row r="74" customFormat="false" ht="15" hidden="false" customHeight="false" outlineLevel="0" collapsed="false">
      <c r="Q74" s="76"/>
      <c r="R74" s="76"/>
    </row>
    <row r="75" customFormat="false" ht="15" hidden="false" customHeight="false" outlineLevel="0" collapsed="false">
      <c r="Q75" s="76"/>
      <c r="R75" s="76"/>
    </row>
    <row r="76" customFormat="false" ht="15" hidden="false" customHeight="false" outlineLevel="0" collapsed="false">
      <c r="Q76" s="76"/>
      <c r="R76" s="76"/>
    </row>
    <row r="77" customFormat="false" ht="15" hidden="false" customHeight="false" outlineLevel="0" collapsed="false">
      <c r="Q77" s="76"/>
      <c r="R77" s="76"/>
    </row>
    <row r="78" customFormat="false" ht="15" hidden="false" customHeight="false" outlineLevel="0" collapsed="false">
      <c r="Q78" s="76"/>
      <c r="R78" s="76"/>
    </row>
    <row r="79" customFormat="false" ht="15" hidden="false" customHeight="false" outlineLevel="0" collapsed="false">
      <c r="Q79" s="76"/>
      <c r="R79" s="76"/>
    </row>
    <row r="80" customFormat="false" ht="15" hidden="false" customHeight="false" outlineLevel="0" collapsed="false">
      <c r="Q80" s="76"/>
      <c r="R80" s="76"/>
    </row>
    <row r="81" customFormat="false" ht="15" hidden="false" customHeight="false" outlineLevel="0" collapsed="false">
      <c r="Q81" s="76"/>
      <c r="R81" s="76"/>
    </row>
    <row r="82" customFormat="false" ht="15" hidden="false" customHeight="false" outlineLevel="0" collapsed="false">
      <c r="Q82" s="76"/>
      <c r="R82" s="76"/>
    </row>
    <row r="83" customFormat="false" ht="15" hidden="false" customHeight="false" outlineLevel="0" collapsed="false">
      <c r="Q83" s="76"/>
      <c r="R83" s="76"/>
    </row>
    <row r="84" customFormat="false" ht="15" hidden="false" customHeight="false" outlineLevel="0" collapsed="false">
      <c r="Q84" s="76"/>
      <c r="R84" s="76"/>
    </row>
    <row r="85" customFormat="false" ht="15" hidden="false" customHeight="false" outlineLevel="0" collapsed="false">
      <c r="Q85" s="76"/>
      <c r="R85" s="76"/>
    </row>
    <row r="86" customFormat="false" ht="15" hidden="false" customHeight="false" outlineLevel="0" collapsed="false">
      <c r="Q86" s="76"/>
      <c r="R86" s="76"/>
    </row>
    <row r="87" customFormat="false" ht="15" hidden="false" customHeight="false" outlineLevel="0" collapsed="false">
      <c r="Q87" s="76"/>
      <c r="R87" s="76"/>
    </row>
    <row r="88" customFormat="false" ht="15" hidden="false" customHeight="false" outlineLevel="0" collapsed="false">
      <c r="Q88" s="76"/>
      <c r="R88" s="76"/>
    </row>
    <row r="89" customFormat="false" ht="15" hidden="false" customHeight="false" outlineLevel="0" collapsed="false">
      <c r="Q89" s="76"/>
      <c r="R89" s="76"/>
    </row>
    <row r="90" customFormat="false" ht="15" hidden="false" customHeight="false" outlineLevel="0" collapsed="false">
      <c r="Q90" s="76"/>
      <c r="R90" s="76"/>
    </row>
    <row r="91" customFormat="false" ht="15" hidden="false" customHeight="false" outlineLevel="0" collapsed="false">
      <c r="A91" s="296" t="s">
        <v>384</v>
      </c>
      <c r="B91" s="296"/>
      <c r="Q91" s="76"/>
      <c r="R91" s="76"/>
    </row>
    <row r="92" customFormat="false" ht="15" hidden="false" customHeight="false" outlineLevel="0" collapsed="false">
      <c r="A92" s="297" t="s">
        <v>385</v>
      </c>
      <c r="B92" s="297" t="s">
        <v>8</v>
      </c>
      <c r="Q92" s="76"/>
      <c r="R92" s="76"/>
    </row>
    <row r="93" customFormat="false" ht="15" hidden="false" customHeight="false" outlineLevel="0" collapsed="false">
      <c r="A93" s="298" t="n">
        <v>0</v>
      </c>
      <c r="B93" s="299" t="s">
        <v>386</v>
      </c>
      <c r="Q93" s="76"/>
      <c r="R93" s="76"/>
    </row>
    <row r="94" customFormat="false" ht="15" hidden="false" customHeight="false" outlineLevel="0" collapsed="false">
      <c r="A94" s="298" t="n">
        <v>-2</v>
      </c>
      <c r="B94" s="299" t="s">
        <v>387</v>
      </c>
      <c r="Q94" s="76"/>
      <c r="R94" s="76"/>
    </row>
    <row r="95" customFormat="false" ht="15" hidden="false" customHeight="false" outlineLevel="0" collapsed="false">
      <c r="A95" s="298" t="n">
        <v>8.5</v>
      </c>
      <c r="B95" s="299" t="s">
        <v>388</v>
      </c>
      <c r="Q95" s="76"/>
      <c r="R95" s="76"/>
    </row>
    <row r="96" customFormat="false" ht="15" hidden="false" customHeight="false" outlineLevel="0" collapsed="false">
      <c r="A96" s="298" t="n">
        <v>14.5</v>
      </c>
      <c r="B96" s="299" t="s">
        <v>389</v>
      </c>
      <c r="Q96" s="76"/>
      <c r="R96" s="76"/>
    </row>
    <row r="97" customFormat="false" ht="15" hidden="false" customHeight="false" outlineLevel="0" collapsed="false">
      <c r="A97" s="298" t="n">
        <v>8.5</v>
      </c>
      <c r="B97" s="299" t="s">
        <v>390</v>
      </c>
      <c r="Q97" s="76"/>
      <c r="R97" s="76"/>
    </row>
    <row r="98" customFormat="false" ht="15" hidden="false" customHeight="false" outlineLevel="0" collapsed="false">
      <c r="A98" s="298" t="n">
        <v>10</v>
      </c>
      <c r="B98" s="299" t="s">
        <v>391</v>
      </c>
      <c r="Q98" s="76"/>
      <c r="R98" s="76"/>
    </row>
    <row r="99" customFormat="false" ht="15" hidden="false" customHeight="false" outlineLevel="0" collapsed="false">
      <c r="A99" s="298" t="n">
        <v>-7.5</v>
      </c>
      <c r="B99" s="299" t="s">
        <v>392</v>
      </c>
      <c r="Q99" s="76"/>
      <c r="R99" s="76"/>
    </row>
    <row r="100" customFormat="false" ht="15" hidden="false" customHeight="false" outlineLevel="0" collapsed="false">
      <c r="A100" s="298" t="n">
        <v>2</v>
      </c>
      <c r="B100" s="299" t="s">
        <v>393</v>
      </c>
      <c r="Q100" s="76"/>
      <c r="R100" s="76"/>
    </row>
    <row r="101" customFormat="false" ht="15" hidden="false" customHeight="false" outlineLevel="0" collapsed="false">
      <c r="A101" s="300" t="n">
        <v>2</v>
      </c>
      <c r="B101" s="301" t="s">
        <v>394</v>
      </c>
      <c r="Q101" s="76"/>
      <c r="R101" s="76"/>
    </row>
    <row r="102" customFormat="false" ht="15" hidden="false" customHeight="false" outlineLevel="0" collapsed="false">
      <c r="A102" s="300" t="n">
        <v>2.25</v>
      </c>
      <c r="B102" s="301" t="s">
        <v>395</v>
      </c>
    </row>
    <row r="103" customFormat="false" ht="15" hidden="false" customHeight="false" outlineLevel="0" collapsed="false">
      <c r="A103" s="300" t="n">
        <v>-4</v>
      </c>
      <c r="B103" s="302" t="s">
        <v>396</v>
      </c>
    </row>
    <row r="104" customFormat="false" ht="15" hidden="false" customHeight="false" outlineLevel="0" collapsed="false">
      <c r="A104" s="300" t="n">
        <v>-7.5</v>
      </c>
      <c r="B104" s="301" t="s">
        <v>397</v>
      </c>
    </row>
  </sheetData>
  <mergeCells count="1">
    <mergeCell ref="A91:B91"/>
  </mergeCells>
  <conditionalFormatting sqref="D4:D43">
    <cfRule type="expression" priority="2" aboveAverage="0" equalAverage="0" bottom="0" percent="0" rank="0" text="" dxfId="707">
      <formula>K4="O"</formula>
    </cfRule>
  </conditionalFormatting>
  <conditionalFormatting sqref="C4:C43">
    <cfRule type="expression" priority="3" aboveAverage="0" equalAverage="0" bottom="0" percent="0" rank="0" text="" dxfId="708">
      <formula>K4="O"</formula>
    </cfRule>
  </conditionalFormatting>
  <conditionalFormatting sqref="C4:I43">
    <cfRule type="containsText" priority="4" operator="containsText" aboveAverage="0" equalAverage="0" bottom="0" percent="0" rank="0" text="Lundi" dxfId="693">
      <formula>NOT(ISERROR(SEARCH("Lundi",C4)))</formula>
    </cfRule>
  </conditionalFormatting>
  <conditionalFormatting sqref="I4:I43">
    <cfRule type="expression" priority="5" aboveAverage="0" equalAverage="0" bottom="0" percent="0" rank="0" text="" dxfId="709">
      <formula>K4="O"</formula>
    </cfRule>
  </conditionalFormatting>
  <conditionalFormatting sqref="F4:F43">
    <cfRule type="expression" priority="6" aboveAverage="0" equalAverage="0" bottom="0" percent="0" rank="0" text="" dxfId="710">
      <formula>K4="O"</formula>
    </cfRule>
  </conditionalFormatting>
  <conditionalFormatting sqref="B4:B43">
    <cfRule type="containsText" priority="7" operator="containsText" aboveAverage="0" equalAverage="0" bottom="0" percent="0" rank="0" text="5" dxfId="711">
      <formula>NOT(ISERROR(SEARCH("5",B4)))</formula>
    </cfRule>
    <cfRule type="containsText" priority="8" operator="containsText" aboveAverage="0" equalAverage="0" bottom="0" percent="0" rank="0" text="4" dxfId="712">
      <formula>NOT(ISERROR(SEARCH("4",B4)))</formula>
    </cfRule>
    <cfRule type="containsText" priority="9" operator="containsText" aboveAverage="0" equalAverage="0" bottom="0" percent="0" rank="0" text="3" dxfId="713">
      <formula>NOT(ISERROR(SEARCH("3",B4)))</formula>
    </cfRule>
    <cfRule type="containsText" priority="10" operator="containsText" aboveAverage="0" equalAverage="0" bottom="0" percent="0" rank="0" text="2" dxfId="714">
      <formula>NOT(ISERROR(SEARCH("2",B4)))</formula>
    </cfRule>
    <cfRule type="containsText" priority="11" operator="containsText" aboveAverage="0" equalAverage="0" bottom="0" percent="0" rank="0" text="1" dxfId="715">
      <formula>NOT(ISERROR(SEARCH("1",B4)))</formula>
    </cfRule>
  </conditionalFormatting>
  <conditionalFormatting sqref="I60:I67">
    <cfRule type="dataBar" priority="12">
      <dataBar showValue="1" minLength="10" maxLength="90">
        <cfvo type="min" val="0"/>
        <cfvo type="max" val="0"/>
        <color rgb="FFFFB628"/>
      </dataBar>
      <extLst>
        <ext xmlns:x14="http://schemas.microsoft.com/office/spreadsheetml/2009/9/main" uri="{B025F937-C7B1-47D3-B67F-A62EFF666E3E}">
          <x14:id>{8C736AAC-25A4-4A18-8BD8-9776D1C2C7FB}</x14:id>
        </ext>
      </extLst>
    </cfRule>
  </conditionalFormatting>
  <conditionalFormatting sqref="I56:I57 J51:J55">
    <cfRule type="dataBar" priority="13">
      <dataBar showValue="1" minLength="10" maxLength="90">
        <cfvo type="min" val="0"/>
        <cfvo type="max" val="0"/>
        <color rgb="FFFFB628"/>
      </dataBar>
      <extLst>
        <ext xmlns:x14="http://schemas.microsoft.com/office/spreadsheetml/2009/9/main" uri="{B025F937-C7B1-47D3-B67F-A62EFF666E3E}">
          <x14:id>{7F106AFC-F1EE-498F-9DCF-CE9F1291DA75}</x14:id>
        </ext>
      </extLst>
    </cfRule>
  </conditionalFormatting>
  <conditionalFormatting sqref="Z2:BA2">
    <cfRule type="dataBar" priority="14">
      <dataBar showValue="1" minLength="10" maxLength="90">
        <cfvo type="min" val="0"/>
        <cfvo type="max" val="0"/>
        <color rgb="FF63C384"/>
      </dataBar>
      <extLst>
        <ext xmlns:x14="http://schemas.microsoft.com/office/spreadsheetml/2009/9/main" uri="{B025F937-C7B1-47D3-B67F-A62EFF666E3E}">
          <x14:id>{133ABB54-DB83-4272-AF69-FEC712904F40}</x14:id>
        </ext>
      </extLst>
    </cfRule>
  </conditionalFormatting>
  <conditionalFormatting sqref="P2:Y2">
    <cfRule type="dataBar" priority="15">
      <dataBar showValue="1" minLength="10" maxLength="90">
        <cfvo type="min" val="0"/>
        <cfvo type="max" val="0"/>
        <color rgb="FFFFB628"/>
      </dataBar>
      <extLst>
        <ext xmlns:x14="http://schemas.microsoft.com/office/spreadsheetml/2009/9/main" uri="{B025F937-C7B1-47D3-B67F-A62EFF666E3E}">
          <x14:id>{8E60E840-D59F-49DE-9E6B-F0A822BBBDBA}</x14:id>
        </ext>
      </extLst>
    </cfRule>
  </conditionalFormatting>
  <conditionalFormatting sqref="P2:BA2">
    <cfRule type="dataBar" priority="16">
      <dataBar showValue="1" minLength="10" maxLength="90">
        <cfvo type="min" val="0"/>
        <cfvo type="max" val="0"/>
        <color rgb="FFFFB628"/>
      </dataBar>
      <extLst>
        <ext xmlns:x14="http://schemas.microsoft.com/office/spreadsheetml/2009/9/main" uri="{B025F937-C7B1-47D3-B67F-A62EFF666E3E}">
          <x14:id>{3C2D63CE-C89B-49F2-B685-E8E8F9938E17}</x14:id>
        </ext>
      </extLst>
    </cfRule>
  </conditionalFormatting>
  <conditionalFormatting sqref="P2:X2">
    <cfRule type="dataBar" priority="17">
      <dataBar showValue="1" minLength="10" maxLength="90">
        <cfvo type="min" val="0"/>
        <cfvo type="max" val="0"/>
        <color rgb="FF638EC6"/>
      </dataBar>
      <extLst>
        <ext xmlns:x14="http://schemas.microsoft.com/office/spreadsheetml/2009/9/main" uri="{B025F937-C7B1-47D3-B67F-A62EFF666E3E}">
          <x14:id>{D5D1B4FF-8951-425B-8683-6BA9EA3BA55A}</x14:id>
        </ext>
      </extLst>
    </cfRule>
  </conditionalFormatting>
  <conditionalFormatting sqref="Y2">
    <cfRule type="dataBar" priority="18">
      <dataBar showValue="1" minLength="10" maxLength="90">
        <cfvo type="min" val="0"/>
        <cfvo type="max" val="0"/>
        <color rgb="FF63C384"/>
      </dataBar>
      <extLst>
        <ext xmlns:x14="http://schemas.microsoft.com/office/spreadsheetml/2009/9/main" uri="{B025F937-C7B1-47D3-B67F-A62EFF666E3E}">
          <x14:id>{63F0A3B4-CB3B-45FB-987F-E07C27CDCB13}</x14:id>
        </ext>
      </extLst>
    </cfRule>
  </conditionalFormatting>
  <conditionalFormatting sqref="A4:A43">
    <cfRule type="colorScale" priority="19">
      <colorScale>
        <cfvo type="min" val="0"/>
        <cfvo type="percentile" val="50"/>
        <cfvo type="max" val="0"/>
        <color rgb="FFFFCC99"/>
        <color rgb="FFFFD966"/>
        <color rgb="FFFFF2CC"/>
      </colorScale>
    </cfRule>
  </conditionalFormatting>
  <conditionalFormatting sqref="J4:J43">
    <cfRule type="iconSet" priority="20">
      <iconSet iconSet="3TrafficLights1">
        <cfvo type="percent" val="0"/>
        <cfvo type="percent" val="33"/>
        <cfvo type="percent" val="67"/>
      </iconSet>
    </cfRule>
  </conditionalFormatting>
  <conditionalFormatting sqref="E4:E43">
    <cfRule type="expression" priority="21" aboveAverage="0" equalAverage="0" bottom="0" percent="0" rank="0" text="" dxfId="716">
      <formula>K4="O"</formula>
    </cfRule>
  </conditionalFormatting>
  <conditionalFormatting sqref="G4:G43">
    <cfRule type="expression" priority="22" aboveAverage="0" equalAverage="0" bottom="0" percent="0" rank="0" text="" dxfId="717">
      <formula>K4="O"</formula>
    </cfRule>
    <cfRule type="expression" priority="23" aboveAverage="0" equalAverage="0" bottom="0" percent="0" rank="0" text="" dxfId="718">
      <formula>H4=0</formula>
    </cfRule>
  </conditionalFormatting>
  <conditionalFormatting sqref="H4:H43">
    <cfRule type="expression" priority="24" aboveAverage="0" equalAverage="0" bottom="0" percent="0" rank="0" text="" dxfId="719">
      <formula>K4="O"</formula>
    </cfRule>
  </conditionalFormatting>
  <dataValidations count="4">
    <dataValidation allowBlank="true" errorStyle="stop" operator="between" showDropDown="false" showErrorMessage="true" showInputMessage="true" sqref="B1" type="list">
      <formula1>Data!$A$2:$A$106</formula1>
      <formula2>0</formula2>
    </dataValidation>
    <dataValidation allowBlank="true" errorStyle="information" errorTitle="OK ?" operator="between" showDropDown="false" showErrorMessage="true" showInputMessage="true" sqref="F4:F43" type="list">
      <formula1>Data!$D$2:$D$16</formula1>
      <formula2>0</formula2>
    </dataValidation>
    <dataValidation allowBlank="false" errorStyle="stop" operator="between" showDropDown="false" showErrorMessage="true" showInputMessage="true" sqref="E4:E43" type="list">
      <formula1>Data!$E$2:$E$30</formula1>
      <formula2>0</formula2>
    </dataValidation>
    <dataValidation allowBlank="true" errorStyle="stop" operator="between" showDropDown="false" showErrorMessage="true" showInputMessage="true" sqref="B4:B43" type="list">
      <formula1>Data!$C$2:$C$8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  <tableParts>
    <tablePart r:id="rId4"/>
    <tablePart r:id="rId5"/>
    <tablePart r:id="rId6"/>
    <tablePart r:id="rId7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8C736AAC-25A4-4A18-8BD8-9776D1C2C7FB}">
            <x14:dataBar minLength="10" maxLength="90" axisPosition="automatic" gradient="true">
              <x14:cfvo type="autoMin"/>
              <x14:cfvo type="autoMax"/>
              <x14:negativeFillColor rgb="FFFF0000"/>
              <x14:axisColor rgb="FF000000"/>
            </x14:dataBar>
          </x14:cfRule>
          <xm:sqref>I60:I67</xm:sqref>
        </x14:conditionalFormatting>
        <x14:conditionalFormatting xmlns:xm="http://schemas.microsoft.com/office/excel/2006/main">
          <x14:cfRule type="dataBar" id="{7F106AFC-F1EE-498F-9DCF-CE9F1291DA75}">
            <x14:dataBar minLength="10" maxLength="90" axisPosition="automatic" gradient="true">
              <x14:cfvo type="autoMin"/>
              <x14:cfvo type="autoMax"/>
              <x14:negativeFillColor rgb="FFFF0000"/>
              <x14:axisColor rgb="FF000000"/>
            </x14:dataBar>
          </x14:cfRule>
          <xm:sqref>I56:I57 J51:J55</xm:sqref>
        </x14:conditionalFormatting>
        <x14:conditionalFormatting xmlns:xm="http://schemas.microsoft.com/office/excel/2006/main">
          <x14:cfRule type="dataBar" id="{133ABB54-DB83-4272-AF69-FEC712904F40}">
            <x14:dataBar minLength="10" maxLength="90" axisPosition="automatic" gradient="true">
              <x14:cfvo type="autoMin"/>
              <x14:cfvo type="autoMax"/>
              <x14:negativeFillColor rgb="FFFF0000"/>
              <x14:axisColor rgb="FF000000"/>
            </x14:dataBar>
          </x14:cfRule>
          <xm:sqref>Z2:BA2</xm:sqref>
        </x14:conditionalFormatting>
        <x14:conditionalFormatting xmlns:xm="http://schemas.microsoft.com/office/excel/2006/main">
          <x14:cfRule type="dataBar" id="{8E60E840-D59F-49DE-9E6B-F0A822BBBDBA}">
            <x14:dataBar minLength="10" maxLength="90" axisPosition="automatic" gradient="true">
              <x14:cfvo type="autoMin"/>
              <x14:cfvo type="autoMax"/>
              <x14:negativeFillColor rgb="FFFF0000"/>
              <x14:axisColor rgb="FF000000"/>
            </x14:dataBar>
          </x14:cfRule>
          <xm:sqref>P2:Y2</xm:sqref>
        </x14:conditionalFormatting>
        <x14:conditionalFormatting xmlns:xm="http://schemas.microsoft.com/office/excel/2006/main">
          <x14:cfRule type="dataBar" id="{3C2D63CE-C89B-49F2-B685-E8E8F9938E17}">
            <x14:dataBar minLength="10" maxLength="90" axisPosition="automatic" gradient="false">
              <x14:cfvo type="autoMin"/>
              <x14:cfvo type="autoMax"/>
              <x14:negativeFillColor rgb="FFFF0000"/>
              <x14:axisColor rgb="FF000000"/>
            </x14:dataBar>
          </x14:cfRule>
          <xm:sqref>P2:BA2</xm:sqref>
        </x14:conditionalFormatting>
        <x14:conditionalFormatting xmlns:xm="http://schemas.microsoft.com/office/excel/2006/main">
          <x14:cfRule type="dataBar" id="{D5D1B4FF-8951-425B-8683-6BA9EA3BA55A}">
            <x14:dataBar minLength="10" maxLength="90" axisPosition="automatic" gradient="false">
              <x14:cfvo type="autoMin"/>
              <x14:cfvo type="autoMax"/>
              <x14:negativeFillColor rgb="FFFF0000"/>
              <x14:axisColor rgb="FF000000"/>
            </x14:dataBar>
          </x14:cfRule>
          <xm:sqref>P2:X2</xm:sqref>
        </x14:conditionalFormatting>
        <x14:conditionalFormatting xmlns:xm="http://schemas.microsoft.com/office/excel/2006/main">
          <x14:cfRule type="dataBar" id="{63F0A3B4-CB3B-45FB-987F-E07C27CDCB13}">
            <x14:dataBar minLength="10" maxLength="90" axisPosition="automatic" gradient="false">
              <x14:cfvo type="autoMin"/>
              <x14:cfvo type="autoMax"/>
              <x14:negativeFillColor rgb="FFFF0000"/>
              <x14:axisColor rgb="FF000000"/>
            </x14:dataBar>
          </x14:cfRule>
          <xm:sqref>Y2</xm:sqref>
        </x14:conditionalFormatting>
      </x14:conditionalFormatting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0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23" activeCellId="0" sqref="C23"/>
    </sheetView>
  </sheetViews>
  <sheetFormatPr defaultColWidth="18.1484375" defaultRowHeight="15" zeroHeight="false" outlineLevelRow="0" outlineLevelCol="0"/>
  <cols>
    <col collapsed="false" customWidth="true" hidden="false" outlineLevel="0" max="1" min="1" style="73" width="18"/>
    <col collapsed="false" customWidth="true" hidden="false" outlineLevel="0" max="2" min="2" style="0" width="12"/>
    <col collapsed="false" customWidth="true" hidden="false" outlineLevel="0" max="3" min="3" style="0" width="35.43"/>
    <col collapsed="false" customWidth="true" hidden="false" outlineLevel="0" max="4" min="4" style="0" width="22.42"/>
    <col collapsed="false" customWidth="true" hidden="false" outlineLevel="0" max="5" min="5" style="75" width="9.14"/>
    <col collapsed="false" customWidth="true" hidden="false" outlineLevel="0" max="6" min="6" style="0" width="24.29"/>
    <col collapsed="false" customWidth="true" hidden="false" outlineLevel="0" max="7" min="7" style="76" width="41"/>
    <col collapsed="false" customWidth="true" hidden="false" outlineLevel="0" max="8" min="8" style="0" width="18"/>
  </cols>
  <sheetData>
    <row r="1" s="84" customFormat="true" ht="22.05" hidden="false" customHeight="false" outlineLevel="0" collapsed="false">
      <c r="A1" s="77" t="s">
        <v>82</v>
      </c>
      <c r="B1" s="79" t="s">
        <v>84</v>
      </c>
      <c r="C1" s="79" t="s">
        <v>85</v>
      </c>
      <c r="D1" s="80" t="s">
        <v>57</v>
      </c>
      <c r="E1" s="82"/>
      <c r="F1" s="79"/>
      <c r="G1" s="83"/>
      <c r="H1" s="79"/>
    </row>
    <row r="2" customFormat="false" ht="22.05" hidden="false" customHeight="false" outlineLevel="0" collapsed="false">
      <c r="A2" s="317" t="n">
        <v>44193</v>
      </c>
      <c r="B2" s="87" t="s">
        <v>312</v>
      </c>
      <c r="C2" s="87" t="s">
        <v>380</v>
      </c>
      <c r="D2" s="88" t="s">
        <v>86</v>
      </c>
      <c r="F2" s="89" t="s">
        <v>87</v>
      </c>
      <c r="G2" s="90" t="s">
        <v>88</v>
      </c>
      <c r="H2" s="91" t="n">
        <v>44193</v>
      </c>
    </row>
    <row r="3" customFormat="false" ht="15" hidden="false" customHeight="false" outlineLevel="0" collapsed="false">
      <c r="A3" s="318" t="n">
        <v>44200</v>
      </c>
      <c r="B3" s="87" t="s">
        <v>319</v>
      </c>
      <c r="C3" s="87" t="s">
        <v>301</v>
      </c>
      <c r="D3" s="88" t="s">
        <v>81</v>
      </c>
      <c r="F3" s="93" t="s">
        <v>90</v>
      </c>
      <c r="G3" s="90" t="s">
        <v>91</v>
      </c>
      <c r="H3" s="91" t="n">
        <f aca="false">H2+7</f>
        <v>44200</v>
      </c>
    </row>
    <row r="4" customFormat="false" ht="15" hidden="false" customHeight="false" outlineLevel="0" collapsed="false">
      <c r="A4" s="319" t="n">
        <v>44207</v>
      </c>
      <c r="B4" s="87" t="s">
        <v>324</v>
      </c>
      <c r="C4" s="87" t="s">
        <v>23</v>
      </c>
      <c r="D4" s="88" t="s">
        <v>59</v>
      </c>
      <c r="F4" s="89" t="s">
        <v>92</v>
      </c>
      <c r="G4" s="90" t="s">
        <v>93</v>
      </c>
      <c r="H4" s="91" t="n">
        <f aca="false">H3+7</f>
        <v>44207</v>
      </c>
    </row>
    <row r="5" customFormat="false" ht="15" hidden="false" customHeight="false" outlineLevel="0" collapsed="false">
      <c r="A5" s="318" t="n">
        <v>44214</v>
      </c>
      <c r="B5" s="87" t="s">
        <v>332</v>
      </c>
      <c r="C5" s="87" t="s">
        <v>21</v>
      </c>
      <c r="D5" s="88" t="s">
        <v>62</v>
      </c>
      <c r="F5" s="93" t="s">
        <v>95</v>
      </c>
      <c r="G5" s="90" t="s">
        <v>96</v>
      </c>
      <c r="H5" s="91" t="n">
        <f aca="false">H4+7</f>
        <v>44214</v>
      </c>
    </row>
    <row r="6" customFormat="false" ht="15" hidden="false" customHeight="false" outlineLevel="0" collapsed="false">
      <c r="A6" s="319" t="n">
        <v>44221</v>
      </c>
      <c r="B6" s="87" t="s">
        <v>335</v>
      </c>
      <c r="C6" s="87" t="s">
        <v>378</v>
      </c>
      <c r="D6" s="88" t="s">
        <v>63</v>
      </c>
      <c r="F6" s="89"/>
      <c r="G6" s="90" t="s">
        <v>97</v>
      </c>
      <c r="H6" s="91" t="n">
        <f aca="false">H5+7</f>
        <v>44221</v>
      </c>
    </row>
    <row r="7" customFormat="false" ht="15" hidden="false" customHeight="false" outlineLevel="0" collapsed="false">
      <c r="A7" s="318" t="n">
        <v>44228</v>
      </c>
      <c r="B7" s="87" t="s">
        <v>341</v>
      </c>
      <c r="C7" s="87" t="s">
        <v>398</v>
      </c>
      <c r="D7" s="95" t="s">
        <v>69</v>
      </c>
      <c r="F7" s="93" t="s">
        <v>99</v>
      </c>
      <c r="G7" s="90" t="s">
        <v>100</v>
      </c>
      <c r="H7" s="91" t="n">
        <f aca="false">H6+7</f>
        <v>44228</v>
      </c>
    </row>
    <row r="8" customFormat="false" ht="15" hidden="false" customHeight="false" outlineLevel="0" collapsed="false">
      <c r="A8" s="319" t="n">
        <v>44235</v>
      </c>
      <c r="B8" s="87" t="s">
        <v>381</v>
      </c>
      <c r="C8" s="87" t="s">
        <v>399</v>
      </c>
      <c r="D8" s="88" t="s">
        <v>64</v>
      </c>
      <c r="F8" s="89" t="s">
        <v>53</v>
      </c>
      <c r="G8" s="96"/>
      <c r="H8" s="91" t="n">
        <f aca="false">H7+7</f>
        <v>44235</v>
      </c>
    </row>
    <row r="9" customFormat="false" ht="15" hidden="false" customHeight="false" outlineLevel="0" collapsed="false">
      <c r="A9" s="318" t="n">
        <v>44242</v>
      </c>
      <c r="C9" s="87" t="s">
        <v>400</v>
      </c>
      <c r="D9" s="88" t="s">
        <v>65</v>
      </c>
      <c r="F9" s="93" t="s">
        <v>102</v>
      </c>
      <c r="G9" s="96"/>
      <c r="H9" s="91" t="n">
        <f aca="false">H8+7</f>
        <v>44242</v>
      </c>
    </row>
    <row r="10" customFormat="false" ht="15" hidden="false" customHeight="false" outlineLevel="0" collapsed="false">
      <c r="A10" s="319" t="n">
        <v>44249</v>
      </c>
      <c r="C10" s="87" t="s">
        <v>25</v>
      </c>
      <c r="D10" s="97" t="s">
        <v>66</v>
      </c>
      <c r="F10" s="89" t="s">
        <v>104</v>
      </c>
      <c r="G10" s="96"/>
      <c r="H10" s="91" t="n">
        <f aca="false">H9+7</f>
        <v>44249</v>
      </c>
    </row>
    <row r="11" customFormat="false" ht="15" hidden="false" customHeight="false" outlineLevel="0" collapsed="false">
      <c r="A11" s="318" t="n">
        <v>44256</v>
      </c>
      <c r="C11" s="87" t="s">
        <v>22</v>
      </c>
      <c r="D11" s="98" t="s">
        <v>47</v>
      </c>
      <c r="G11" s="96"/>
      <c r="H11" s="91" t="n">
        <f aca="false">H10+7</f>
        <v>44256</v>
      </c>
    </row>
    <row r="12" customFormat="false" ht="15" hidden="false" customHeight="false" outlineLevel="0" collapsed="false">
      <c r="A12" s="319" t="n">
        <v>44263</v>
      </c>
      <c r="C12" s="87" t="s">
        <v>20</v>
      </c>
      <c r="D12" s="88" t="s">
        <v>67</v>
      </c>
      <c r="G12" s="96"/>
      <c r="H12" s="91" t="n">
        <f aca="false">H11+7</f>
        <v>44263</v>
      </c>
    </row>
    <row r="13" customFormat="false" ht="15" hidden="false" customHeight="false" outlineLevel="0" collapsed="false">
      <c r="A13" s="318" t="n">
        <v>44270</v>
      </c>
      <c r="C13" s="87" t="s">
        <v>26</v>
      </c>
      <c r="D13" s="97" t="s">
        <v>68</v>
      </c>
      <c r="G13" s="96"/>
      <c r="H13" s="91" t="n">
        <f aca="false">H12+7</f>
        <v>44270</v>
      </c>
    </row>
    <row r="14" customFormat="false" ht="15" hidden="false" customHeight="false" outlineLevel="0" collapsed="false">
      <c r="A14" s="319" t="n">
        <v>44277</v>
      </c>
      <c r="D14" s="99" t="s">
        <v>41</v>
      </c>
      <c r="G14" s="96"/>
      <c r="H14" s="91" t="n">
        <f aca="false">H13+7</f>
        <v>44277</v>
      </c>
    </row>
    <row r="15" customFormat="false" ht="15" hidden="false" customHeight="false" outlineLevel="0" collapsed="false">
      <c r="A15" s="318" t="n">
        <v>44284</v>
      </c>
      <c r="D15" s="76" t="s">
        <v>61</v>
      </c>
      <c r="G15" s="96"/>
      <c r="H15" s="91" t="n">
        <f aca="false">H14+7</f>
        <v>44284</v>
      </c>
    </row>
    <row r="16" customFormat="false" ht="15" hidden="false" customHeight="false" outlineLevel="0" collapsed="false">
      <c r="A16" s="319" t="n">
        <v>44291</v>
      </c>
      <c r="C16" s="1"/>
      <c r="D16" s="100" t="s">
        <v>32</v>
      </c>
      <c r="F16" s="1"/>
      <c r="G16" s="96"/>
      <c r="H16" s="91" t="n">
        <f aca="false">H15+7</f>
        <v>44291</v>
      </c>
    </row>
    <row r="17" customFormat="false" ht="15" hidden="false" customHeight="false" outlineLevel="0" collapsed="false">
      <c r="A17" s="318" t="n">
        <v>44298</v>
      </c>
      <c r="D17" s="87" t="s">
        <v>70</v>
      </c>
      <c r="G17" s="96"/>
      <c r="H17" s="91" t="n">
        <f aca="false">H16+7</f>
        <v>44298</v>
      </c>
    </row>
    <row r="18" customFormat="false" ht="15" hidden="false" customHeight="false" outlineLevel="0" collapsed="false">
      <c r="A18" s="319" t="n">
        <v>44305</v>
      </c>
      <c r="D18" s="87" t="s">
        <v>71</v>
      </c>
      <c r="G18" s="96"/>
      <c r="H18" s="91" t="n">
        <f aca="false">H17+7</f>
        <v>44305</v>
      </c>
    </row>
    <row r="19" customFormat="false" ht="15" hidden="false" customHeight="false" outlineLevel="0" collapsed="false">
      <c r="A19" s="318" t="n">
        <v>44312</v>
      </c>
      <c r="D19" s="87" t="s">
        <v>72</v>
      </c>
      <c r="G19" s="96"/>
      <c r="H19" s="91" t="n">
        <f aca="false">H18+7</f>
        <v>44312</v>
      </c>
    </row>
    <row r="20" customFormat="false" ht="15" hidden="false" customHeight="false" outlineLevel="0" collapsed="false">
      <c r="A20" s="319" t="n">
        <v>44319</v>
      </c>
      <c r="D20" s="87" t="s">
        <v>362</v>
      </c>
      <c r="G20" s="96"/>
      <c r="H20" s="91" t="n">
        <f aca="false">H19+7</f>
        <v>44319</v>
      </c>
    </row>
    <row r="21" customFormat="false" ht="15" hidden="false" customHeight="false" outlineLevel="0" collapsed="false">
      <c r="A21" s="318" t="n">
        <v>44326</v>
      </c>
      <c r="D21" s="76" t="s">
        <v>74</v>
      </c>
      <c r="H21" s="91" t="n">
        <f aca="false">H20+7</f>
        <v>44326</v>
      </c>
    </row>
    <row r="22" customFormat="false" ht="15" hidden="false" customHeight="false" outlineLevel="0" collapsed="false">
      <c r="A22" s="319" t="n">
        <v>44333</v>
      </c>
      <c r="D22" s="87" t="s">
        <v>363</v>
      </c>
      <c r="H22" s="91" t="n">
        <f aca="false">H21+7</f>
        <v>44333</v>
      </c>
    </row>
    <row r="23" customFormat="false" ht="15" hidden="false" customHeight="false" outlineLevel="0" collapsed="false">
      <c r="A23" s="318" t="n">
        <v>44340</v>
      </c>
      <c r="D23" s="100" t="s">
        <v>37</v>
      </c>
      <c r="H23" s="91" t="n">
        <f aca="false">H22+7</f>
        <v>44340</v>
      </c>
    </row>
    <row r="24" customFormat="false" ht="15" hidden="false" customHeight="false" outlineLevel="0" collapsed="false">
      <c r="A24" s="319" t="n">
        <v>44347</v>
      </c>
      <c r="D24" s="87" t="s">
        <v>76</v>
      </c>
      <c r="H24" s="91" t="n">
        <f aca="false">H23+7</f>
        <v>44347</v>
      </c>
    </row>
    <row r="25" customFormat="false" ht="15" hidden="false" customHeight="false" outlineLevel="0" collapsed="false">
      <c r="A25" s="318" t="n">
        <v>44354</v>
      </c>
      <c r="D25" s="76" t="s">
        <v>77</v>
      </c>
      <c r="H25" s="91" t="n">
        <f aca="false">H24+7</f>
        <v>44354</v>
      </c>
    </row>
    <row r="26" customFormat="false" ht="15" hidden="false" customHeight="false" outlineLevel="0" collapsed="false">
      <c r="A26" s="319" t="n">
        <v>44361</v>
      </c>
      <c r="C26" s="1"/>
      <c r="D26" s="100" t="s">
        <v>45</v>
      </c>
      <c r="F26" s="1"/>
      <c r="H26" s="91" t="n">
        <f aca="false">H25+7</f>
        <v>44361</v>
      </c>
    </row>
    <row r="27" customFormat="false" ht="15" hidden="false" customHeight="false" outlineLevel="0" collapsed="false">
      <c r="A27" s="318" t="n">
        <v>44368</v>
      </c>
      <c r="D27" s="76" t="s">
        <v>78</v>
      </c>
      <c r="H27" s="91" t="n">
        <f aca="false">H26+7</f>
        <v>44368</v>
      </c>
    </row>
    <row r="28" customFormat="false" ht="15" hidden="false" customHeight="false" outlineLevel="0" collapsed="false">
      <c r="A28" s="319" t="n">
        <v>44375</v>
      </c>
      <c r="D28" s="101" t="s">
        <v>79</v>
      </c>
      <c r="H28" s="91" t="n">
        <f aca="false">H27+7</f>
        <v>44375</v>
      </c>
    </row>
    <row r="29" customFormat="false" ht="15" hidden="false" customHeight="false" outlineLevel="0" collapsed="false">
      <c r="A29" s="318" t="n">
        <v>44382</v>
      </c>
      <c r="D29" s="87" t="s">
        <v>80</v>
      </c>
      <c r="H29" s="91" t="n">
        <f aca="false">H28+7</f>
        <v>44382</v>
      </c>
    </row>
    <row r="30" customFormat="false" ht="15" hidden="false" customHeight="false" outlineLevel="0" collapsed="false">
      <c r="A30" s="319" t="n">
        <v>44389</v>
      </c>
      <c r="D30" s="87" t="s">
        <v>60</v>
      </c>
      <c r="H30" s="91" t="n">
        <f aca="false">H29+7</f>
        <v>44389</v>
      </c>
    </row>
    <row r="31" customFormat="false" ht="15" hidden="false" customHeight="false" outlineLevel="0" collapsed="false">
      <c r="A31" s="318" t="n">
        <v>44396</v>
      </c>
      <c r="H31" s="91" t="n">
        <f aca="false">H30+7</f>
        <v>44396</v>
      </c>
    </row>
    <row r="32" customFormat="false" ht="15" hidden="false" customHeight="false" outlineLevel="0" collapsed="false">
      <c r="A32" s="319" t="n">
        <v>44403</v>
      </c>
      <c r="H32" s="91" t="n">
        <f aca="false">H31+7</f>
        <v>44403</v>
      </c>
    </row>
    <row r="33" customFormat="false" ht="15" hidden="false" customHeight="false" outlineLevel="0" collapsed="false">
      <c r="A33" s="318" t="n">
        <v>44410</v>
      </c>
      <c r="H33" s="91" t="n">
        <f aca="false">H32+7</f>
        <v>44410</v>
      </c>
    </row>
    <row r="34" customFormat="false" ht="15" hidden="false" customHeight="false" outlineLevel="0" collapsed="false">
      <c r="A34" s="319" t="n">
        <v>44417</v>
      </c>
      <c r="H34" s="91" t="n">
        <f aca="false">H33+7</f>
        <v>44417</v>
      </c>
    </row>
    <row r="35" customFormat="false" ht="15" hidden="false" customHeight="false" outlineLevel="0" collapsed="false">
      <c r="A35" s="318" t="n">
        <v>44424</v>
      </c>
      <c r="H35" s="91" t="n">
        <f aca="false">H34+7</f>
        <v>44424</v>
      </c>
    </row>
    <row r="36" customFormat="false" ht="15" hidden="false" customHeight="false" outlineLevel="0" collapsed="false">
      <c r="A36" s="319" t="n">
        <v>44431</v>
      </c>
      <c r="H36" s="91" t="n">
        <f aca="false">H35+7</f>
        <v>44431</v>
      </c>
    </row>
    <row r="37" customFormat="false" ht="15" hidden="false" customHeight="false" outlineLevel="0" collapsed="false">
      <c r="A37" s="318" t="n">
        <v>44438</v>
      </c>
      <c r="H37" s="91" t="n">
        <f aca="false">H36+7</f>
        <v>44438</v>
      </c>
    </row>
    <row r="38" customFormat="false" ht="15" hidden="false" customHeight="false" outlineLevel="0" collapsed="false">
      <c r="A38" s="319" t="n">
        <v>44445</v>
      </c>
      <c r="H38" s="91" t="n">
        <f aca="false">H37+7</f>
        <v>44445</v>
      </c>
    </row>
    <row r="39" customFormat="false" ht="15" hidden="false" customHeight="false" outlineLevel="0" collapsed="false">
      <c r="A39" s="318" t="n">
        <v>44452</v>
      </c>
      <c r="H39" s="91" t="n">
        <f aca="false">H38+7</f>
        <v>44452</v>
      </c>
    </row>
    <row r="40" customFormat="false" ht="15" hidden="false" customHeight="false" outlineLevel="0" collapsed="false">
      <c r="A40" s="319" t="n">
        <v>44459</v>
      </c>
      <c r="H40" s="91" t="n">
        <f aca="false">H39+7</f>
        <v>44459</v>
      </c>
    </row>
    <row r="41" customFormat="false" ht="15" hidden="false" customHeight="false" outlineLevel="0" collapsed="false">
      <c r="A41" s="318" t="n">
        <v>44466</v>
      </c>
      <c r="C41" s="91"/>
      <c r="F41" s="91"/>
      <c r="H41" s="91" t="n">
        <f aca="false">H40+7</f>
        <v>44466</v>
      </c>
    </row>
    <row r="42" customFormat="false" ht="15" hidden="false" customHeight="false" outlineLevel="0" collapsed="false">
      <c r="A42" s="319" t="n">
        <v>44473</v>
      </c>
      <c r="H42" s="91" t="n">
        <f aca="false">H41+7</f>
        <v>44473</v>
      </c>
    </row>
    <row r="43" customFormat="false" ht="15" hidden="false" customHeight="false" outlineLevel="0" collapsed="false">
      <c r="A43" s="318" t="n">
        <v>44480</v>
      </c>
      <c r="H43" s="91" t="n">
        <f aca="false">H42+7</f>
        <v>44480</v>
      </c>
    </row>
    <row r="44" customFormat="false" ht="15" hidden="false" customHeight="false" outlineLevel="0" collapsed="false">
      <c r="A44" s="319" t="n">
        <v>44487</v>
      </c>
      <c r="H44" s="91" t="n">
        <f aca="false">H43+7</f>
        <v>44487</v>
      </c>
    </row>
    <row r="45" customFormat="false" ht="15" hidden="false" customHeight="false" outlineLevel="0" collapsed="false">
      <c r="A45" s="318" t="n">
        <v>44494</v>
      </c>
      <c r="H45" s="91" t="n">
        <f aca="false">H44+7</f>
        <v>44494</v>
      </c>
    </row>
    <row r="46" customFormat="false" ht="15" hidden="false" customHeight="false" outlineLevel="0" collapsed="false">
      <c r="A46" s="319" t="n">
        <v>44501</v>
      </c>
      <c r="H46" s="91" t="n">
        <f aca="false">H45+7</f>
        <v>44501</v>
      </c>
    </row>
    <row r="47" customFormat="false" ht="15" hidden="false" customHeight="false" outlineLevel="0" collapsed="false">
      <c r="A47" s="318" t="n">
        <v>44508</v>
      </c>
      <c r="H47" s="91" t="n">
        <f aca="false">H46+7</f>
        <v>44508</v>
      </c>
    </row>
    <row r="48" customFormat="false" ht="15" hidden="false" customHeight="false" outlineLevel="0" collapsed="false">
      <c r="A48" s="319" t="n">
        <v>44515</v>
      </c>
      <c r="H48" s="91" t="n">
        <f aca="false">H47+7</f>
        <v>44515</v>
      </c>
    </row>
    <row r="49" customFormat="false" ht="15" hidden="false" customHeight="false" outlineLevel="0" collapsed="false">
      <c r="A49" s="318" t="n">
        <v>44522</v>
      </c>
      <c r="H49" s="91" t="n">
        <f aca="false">H48+7</f>
        <v>44522</v>
      </c>
    </row>
    <row r="50" customFormat="false" ht="15" hidden="false" customHeight="false" outlineLevel="0" collapsed="false">
      <c r="A50" s="319" t="n">
        <v>44529</v>
      </c>
      <c r="H50" s="91" t="n">
        <f aca="false">H49+7</f>
        <v>44529</v>
      </c>
    </row>
    <row r="51" customFormat="false" ht="15" hidden="false" customHeight="false" outlineLevel="0" collapsed="false">
      <c r="A51" s="318" t="n">
        <v>44536</v>
      </c>
      <c r="H51" s="91" t="n">
        <f aca="false">H50+7</f>
        <v>44536</v>
      </c>
    </row>
    <row r="52" customFormat="false" ht="15" hidden="false" customHeight="false" outlineLevel="0" collapsed="false">
      <c r="A52" s="319" t="n">
        <v>44543</v>
      </c>
      <c r="H52" s="91" t="n">
        <f aca="false">H51+7</f>
        <v>44543</v>
      </c>
    </row>
    <row r="53" customFormat="false" ht="15" hidden="false" customHeight="false" outlineLevel="0" collapsed="false">
      <c r="A53" s="318" t="n">
        <v>44550</v>
      </c>
      <c r="H53" s="91" t="n">
        <f aca="false">H52+7</f>
        <v>44550</v>
      </c>
    </row>
    <row r="54" customFormat="false" ht="15" hidden="false" customHeight="false" outlineLevel="0" collapsed="false">
      <c r="A54" s="320" t="n">
        <v>44557</v>
      </c>
      <c r="H54" s="91" t="n">
        <f aca="false">H53+7</f>
        <v>44557</v>
      </c>
    </row>
    <row r="55" customFormat="false" ht="15" hidden="false" customHeight="false" outlineLevel="0" collapsed="false">
      <c r="A55" s="91"/>
      <c r="H55" s="91" t="n">
        <f aca="false">H54+7</f>
        <v>44564</v>
      </c>
    </row>
    <row r="56" customFormat="false" ht="15" hidden="false" customHeight="false" outlineLevel="0" collapsed="false">
      <c r="A56" s="91"/>
      <c r="H56" s="91" t="n">
        <f aca="false">H55+7</f>
        <v>44571</v>
      </c>
    </row>
    <row r="57" customFormat="false" ht="15" hidden="false" customHeight="false" outlineLevel="0" collapsed="false">
      <c r="A57" s="91"/>
      <c r="H57" s="91" t="n">
        <f aca="false">H56+7</f>
        <v>44578</v>
      </c>
    </row>
    <row r="58" customFormat="false" ht="15" hidden="false" customHeight="false" outlineLevel="0" collapsed="false">
      <c r="A58" s="91"/>
      <c r="H58" s="91" t="n">
        <f aca="false">H57+7</f>
        <v>44585</v>
      </c>
    </row>
    <row r="59" customFormat="false" ht="15" hidden="false" customHeight="false" outlineLevel="0" collapsed="false">
      <c r="A59" s="91"/>
      <c r="H59" s="91" t="n">
        <f aca="false">H58+7</f>
        <v>44592</v>
      </c>
    </row>
    <row r="60" customFormat="false" ht="15" hidden="false" customHeight="false" outlineLevel="0" collapsed="false">
      <c r="A60" s="91"/>
      <c r="H60" s="91" t="n">
        <f aca="false">H59+7</f>
        <v>44599</v>
      </c>
    </row>
    <row r="61" customFormat="false" ht="15" hidden="false" customHeight="false" outlineLevel="0" collapsed="false">
      <c r="A61" s="91"/>
      <c r="H61" s="91" t="n">
        <f aca="false">H60+7</f>
        <v>44606</v>
      </c>
    </row>
    <row r="62" customFormat="false" ht="15" hidden="false" customHeight="false" outlineLevel="0" collapsed="false">
      <c r="A62" s="91"/>
      <c r="H62" s="91" t="n">
        <f aca="false">H61+7</f>
        <v>44613</v>
      </c>
    </row>
    <row r="63" customFormat="false" ht="15" hidden="false" customHeight="false" outlineLevel="0" collapsed="false">
      <c r="A63" s="91"/>
      <c r="H63" s="91" t="n">
        <f aca="false">H62+7</f>
        <v>44620</v>
      </c>
    </row>
    <row r="64" customFormat="false" ht="15" hidden="false" customHeight="false" outlineLevel="0" collapsed="false">
      <c r="A64" s="91"/>
      <c r="H64" s="91" t="n">
        <f aca="false">H63+7</f>
        <v>44627</v>
      </c>
    </row>
    <row r="65" customFormat="false" ht="15" hidden="false" customHeight="false" outlineLevel="0" collapsed="false">
      <c r="A65" s="91"/>
      <c r="H65" s="91" t="n">
        <f aca="false">H64+7</f>
        <v>44634</v>
      </c>
    </row>
    <row r="66" customFormat="false" ht="15" hidden="false" customHeight="false" outlineLevel="0" collapsed="false">
      <c r="A66" s="91"/>
      <c r="H66" s="91" t="n">
        <f aca="false">H65+7</f>
        <v>44641</v>
      </c>
    </row>
    <row r="67" customFormat="false" ht="15" hidden="false" customHeight="false" outlineLevel="0" collapsed="false">
      <c r="A67" s="91"/>
      <c r="H67" s="91" t="n">
        <f aca="false">H66+7</f>
        <v>44648</v>
      </c>
    </row>
    <row r="68" customFormat="false" ht="15" hidden="false" customHeight="false" outlineLevel="0" collapsed="false">
      <c r="A68" s="91"/>
      <c r="H68" s="91" t="n">
        <f aca="false">H67+7</f>
        <v>44655</v>
      </c>
    </row>
    <row r="69" customFormat="false" ht="15" hidden="false" customHeight="false" outlineLevel="0" collapsed="false">
      <c r="A69" s="91"/>
      <c r="H69" s="91" t="n">
        <f aca="false">H68+7</f>
        <v>44662</v>
      </c>
    </row>
    <row r="70" customFormat="false" ht="15" hidden="false" customHeight="false" outlineLevel="0" collapsed="false">
      <c r="A70" s="91"/>
      <c r="H70" s="91" t="n">
        <f aca="false">H69+7</f>
        <v>44669</v>
      </c>
    </row>
    <row r="71" customFormat="false" ht="15" hidden="false" customHeight="false" outlineLevel="0" collapsed="false">
      <c r="A71" s="91"/>
      <c r="H71" s="91" t="n">
        <f aca="false">H70+7</f>
        <v>44676</v>
      </c>
    </row>
    <row r="72" customFormat="false" ht="15" hidden="false" customHeight="false" outlineLevel="0" collapsed="false">
      <c r="A72" s="91"/>
      <c r="H72" s="91" t="n">
        <f aca="false">H71+7</f>
        <v>44683</v>
      </c>
    </row>
    <row r="73" customFormat="false" ht="15" hidden="false" customHeight="false" outlineLevel="0" collapsed="false">
      <c r="A73" s="91"/>
      <c r="H73" s="91" t="n">
        <f aca="false">H72+7</f>
        <v>44690</v>
      </c>
    </row>
    <row r="74" customFormat="false" ht="15" hidden="false" customHeight="false" outlineLevel="0" collapsed="false">
      <c r="A74" s="91"/>
      <c r="H74" s="91" t="n">
        <f aca="false">H73+7</f>
        <v>44697</v>
      </c>
    </row>
    <row r="75" customFormat="false" ht="15" hidden="false" customHeight="false" outlineLevel="0" collapsed="false">
      <c r="A75" s="91"/>
      <c r="H75" s="91" t="n">
        <f aca="false">H74+7</f>
        <v>44704</v>
      </c>
    </row>
    <row r="76" customFormat="false" ht="15" hidden="false" customHeight="false" outlineLevel="0" collapsed="false">
      <c r="A76" s="91"/>
      <c r="H76" s="91" t="n">
        <f aca="false">H75+7</f>
        <v>44711</v>
      </c>
    </row>
    <row r="77" customFormat="false" ht="15" hidden="false" customHeight="false" outlineLevel="0" collapsed="false">
      <c r="A77" s="91"/>
      <c r="H77" s="91" t="n">
        <f aca="false">H76+7</f>
        <v>44718</v>
      </c>
    </row>
    <row r="78" customFormat="false" ht="15" hidden="false" customHeight="false" outlineLevel="0" collapsed="false">
      <c r="A78" s="91"/>
      <c r="H78" s="91" t="n">
        <f aca="false">H77+7</f>
        <v>44725</v>
      </c>
    </row>
    <row r="79" customFormat="false" ht="15" hidden="false" customHeight="false" outlineLevel="0" collapsed="false">
      <c r="A79" s="91"/>
      <c r="H79" s="91" t="n">
        <f aca="false">H78+7</f>
        <v>44732</v>
      </c>
    </row>
    <row r="80" customFormat="false" ht="15" hidden="false" customHeight="false" outlineLevel="0" collapsed="false">
      <c r="A80" s="91"/>
      <c r="H80" s="91" t="n">
        <f aca="false">H79+7</f>
        <v>44739</v>
      </c>
    </row>
    <row r="81" customFormat="false" ht="15" hidden="false" customHeight="false" outlineLevel="0" collapsed="false">
      <c r="A81" s="91"/>
      <c r="H81" s="91" t="n">
        <f aca="false">H80+7</f>
        <v>44746</v>
      </c>
    </row>
    <row r="82" customFormat="false" ht="15" hidden="false" customHeight="false" outlineLevel="0" collapsed="false">
      <c r="A82" s="91"/>
      <c r="H82" s="91" t="n">
        <f aca="false">H81+7</f>
        <v>44753</v>
      </c>
    </row>
    <row r="83" customFormat="false" ht="15" hidden="false" customHeight="false" outlineLevel="0" collapsed="false">
      <c r="A83" s="91"/>
      <c r="H83" s="91" t="n">
        <f aca="false">H82+7</f>
        <v>44760</v>
      </c>
    </row>
    <row r="84" customFormat="false" ht="15" hidden="false" customHeight="false" outlineLevel="0" collapsed="false">
      <c r="A84" s="91"/>
      <c r="H84" s="91" t="n">
        <f aca="false">H83+7</f>
        <v>44767</v>
      </c>
    </row>
    <row r="85" customFormat="false" ht="15" hidden="false" customHeight="false" outlineLevel="0" collapsed="false">
      <c r="A85" s="91"/>
      <c r="H85" s="91" t="n">
        <f aca="false">H84+7</f>
        <v>44774</v>
      </c>
    </row>
    <row r="86" customFormat="false" ht="15" hidden="false" customHeight="false" outlineLevel="0" collapsed="false">
      <c r="A86" s="91"/>
      <c r="H86" s="91" t="n">
        <f aca="false">H85+7</f>
        <v>44781</v>
      </c>
    </row>
    <row r="87" customFormat="false" ht="15" hidden="false" customHeight="false" outlineLevel="0" collapsed="false">
      <c r="A87" s="91"/>
      <c r="H87" s="91" t="n">
        <f aca="false">H86+7</f>
        <v>44788</v>
      </c>
    </row>
    <row r="88" customFormat="false" ht="15" hidden="false" customHeight="false" outlineLevel="0" collapsed="false">
      <c r="A88" s="91"/>
      <c r="H88" s="91" t="n">
        <f aca="false">H87+7</f>
        <v>44795</v>
      </c>
    </row>
    <row r="89" customFormat="false" ht="15" hidden="false" customHeight="false" outlineLevel="0" collapsed="false">
      <c r="A89" s="91"/>
      <c r="H89" s="91" t="n">
        <f aca="false">H88+7</f>
        <v>44802</v>
      </c>
    </row>
    <row r="90" customFormat="false" ht="15" hidden="false" customHeight="false" outlineLevel="0" collapsed="false">
      <c r="A90" s="91"/>
      <c r="H90" s="91" t="n">
        <f aca="false">H89+7</f>
        <v>44809</v>
      </c>
    </row>
    <row r="91" customFormat="false" ht="15" hidden="false" customHeight="false" outlineLevel="0" collapsed="false">
      <c r="A91" s="91"/>
      <c r="H91" s="91" t="n">
        <f aca="false">H90+7</f>
        <v>44816</v>
      </c>
    </row>
    <row r="92" customFormat="false" ht="15" hidden="false" customHeight="false" outlineLevel="0" collapsed="false">
      <c r="A92" s="91"/>
      <c r="H92" s="91" t="n">
        <f aca="false">H91+7</f>
        <v>44823</v>
      </c>
    </row>
    <row r="93" customFormat="false" ht="15" hidden="false" customHeight="false" outlineLevel="0" collapsed="false">
      <c r="A93" s="91"/>
      <c r="H93" s="91" t="n">
        <f aca="false">H92+7</f>
        <v>44830</v>
      </c>
    </row>
    <row r="94" customFormat="false" ht="15" hidden="false" customHeight="false" outlineLevel="0" collapsed="false">
      <c r="A94" s="91"/>
      <c r="H94" s="91" t="n">
        <f aca="false">H93+7</f>
        <v>44837</v>
      </c>
    </row>
    <row r="95" customFormat="false" ht="15" hidden="false" customHeight="false" outlineLevel="0" collapsed="false">
      <c r="A95" s="91"/>
      <c r="H95" s="91" t="n">
        <f aca="false">H94+7</f>
        <v>44844</v>
      </c>
    </row>
    <row r="96" customFormat="false" ht="15" hidden="false" customHeight="false" outlineLevel="0" collapsed="false">
      <c r="A96" s="91"/>
      <c r="H96" s="91" t="n">
        <f aca="false">H95+7</f>
        <v>44851</v>
      </c>
    </row>
    <row r="97" customFormat="false" ht="15" hidden="false" customHeight="false" outlineLevel="0" collapsed="false">
      <c r="A97" s="91"/>
      <c r="H97" s="91" t="n">
        <f aca="false">H96+7</f>
        <v>44858</v>
      </c>
    </row>
    <row r="98" customFormat="false" ht="15" hidden="false" customHeight="false" outlineLevel="0" collapsed="false">
      <c r="A98" s="91"/>
      <c r="H98" s="91" t="n">
        <f aca="false">H97+7</f>
        <v>44865</v>
      </c>
    </row>
    <row r="99" customFormat="false" ht="15" hidden="false" customHeight="false" outlineLevel="0" collapsed="false">
      <c r="A99" s="91"/>
      <c r="H99" s="91" t="n">
        <f aca="false">H98+7</f>
        <v>44872</v>
      </c>
    </row>
    <row r="100" customFormat="false" ht="15" hidden="false" customHeight="false" outlineLevel="0" collapsed="false">
      <c r="A100" s="91"/>
      <c r="H100" s="91" t="n">
        <f aca="false">H99+7</f>
        <v>44879</v>
      </c>
    </row>
    <row r="101" customFormat="false" ht="15" hidden="false" customHeight="false" outlineLevel="0" collapsed="false">
      <c r="A101" s="91"/>
      <c r="H101" s="91" t="n">
        <f aca="false">H100+7</f>
        <v>44886</v>
      </c>
    </row>
    <row r="102" customFormat="false" ht="15" hidden="false" customHeight="false" outlineLevel="0" collapsed="false">
      <c r="A102" s="91"/>
      <c r="H102" s="91" t="n">
        <f aca="false">H101+7</f>
        <v>44893</v>
      </c>
    </row>
    <row r="103" customFormat="false" ht="15" hidden="false" customHeight="false" outlineLevel="0" collapsed="false">
      <c r="A103" s="91"/>
      <c r="H103" s="91" t="n">
        <f aca="false">H102+7</f>
        <v>44900</v>
      </c>
    </row>
    <row r="104" customFormat="false" ht="15" hidden="false" customHeight="false" outlineLevel="0" collapsed="false">
      <c r="A104" s="91"/>
      <c r="H104" s="91" t="n">
        <f aca="false">H103+7</f>
        <v>44907</v>
      </c>
    </row>
    <row r="105" customFormat="false" ht="15" hidden="false" customHeight="false" outlineLevel="0" collapsed="false">
      <c r="A105" s="91"/>
      <c r="H105" s="91" t="n">
        <f aca="false">H104+7</f>
        <v>44914</v>
      </c>
    </row>
    <row r="106" customFormat="false" ht="15" hidden="false" customHeight="false" outlineLevel="0" collapsed="false">
      <c r="A106" s="91"/>
      <c r="H106" s="91" t="n">
        <f aca="false">H105+7</f>
        <v>44921</v>
      </c>
    </row>
    <row r="107" customFormat="false" ht="15" hidden="false" customHeight="false" outlineLevel="0" collapsed="false">
      <c r="A107" s="91"/>
    </row>
    <row r="108" customFormat="false" ht="15" hidden="false" customHeight="false" outlineLevel="0" collapsed="false">
      <c r="A108" s="91"/>
    </row>
    <row r="109" customFormat="false" ht="15" hidden="false" customHeight="false" outlineLevel="0" collapsed="false">
      <c r="A109" s="91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  <tablePart r:id="rId2"/>
  </tableParts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J102"/>
  <sheetViews>
    <sheetView showFormulas="false" showGridLines="true" showRowColHeaders="true" showZeros="true" rightToLeft="false" tabSelected="false" showOutlineSymbols="true" defaultGridColor="true" view="normal" topLeftCell="D1" colorId="64" zoomScale="100" zoomScaleNormal="100" zoomScalePageLayoutView="100" workbookViewId="0">
      <pane xSplit="0" ySplit="3" topLeftCell="A13" activePane="bottomLeft" state="frozen"/>
      <selection pane="topLeft" activeCell="D1" activeCellId="0" sqref="D1"/>
      <selection pane="bottomLeft" activeCell="G26" activeCellId="0" sqref="G26"/>
    </sheetView>
  </sheetViews>
  <sheetFormatPr defaultColWidth="8.6796875" defaultRowHeight="15" zeroHeight="false" outlineLevelRow="1" outlineLevelCol="1"/>
  <cols>
    <col collapsed="false" customWidth="true" hidden="false" outlineLevel="0" max="1" min="1" style="0" width="16.57"/>
    <col collapsed="false" customWidth="true" hidden="false" outlineLevel="0" max="2" min="2" style="0" width="17.71"/>
    <col collapsed="false" customWidth="true" hidden="false" outlineLevel="0" max="3" min="3" style="0" width="15.14"/>
    <col collapsed="false" customWidth="true" hidden="false" outlineLevel="0" max="4" min="4" style="0" width="10.57"/>
    <col collapsed="false" customWidth="true" hidden="false" outlineLevel="0" max="5" min="5" style="0" width="24.42"/>
    <col collapsed="false" customWidth="true" hidden="false" outlineLevel="0" max="6" min="6" style="0" width="21.57"/>
    <col collapsed="false" customWidth="true" hidden="false" outlineLevel="0" max="7" min="7" style="0" width="29.71"/>
    <col collapsed="false" customWidth="true" hidden="false" outlineLevel="0" max="8" min="8" style="0" width="13.29"/>
    <col collapsed="false" customWidth="true" hidden="false" outlineLevel="0" max="9" min="9" style="0" width="15"/>
    <col collapsed="false" customWidth="true" hidden="false" outlineLevel="0" max="10" min="10" style="0" width="14"/>
    <col collapsed="false" customWidth="true" hidden="false" outlineLevel="0" max="11" min="11" style="0" width="16.14"/>
    <col collapsed="false" customWidth="true" hidden="false" outlineLevel="0" max="12" min="12" style="0" width="7"/>
    <col collapsed="false" customWidth="true" hidden="false" outlineLevel="0" max="13" min="13" style="0" width="7.71"/>
    <col collapsed="false" customWidth="true" hidden="false" outlineLevel="0" max="14" min="14" style="224" width="9.86"/>
    <col collapsed="false" customWidth="true" hidden="false" outlineLevel="0" max="15" min="15" style="224" width="19.71"/>
    <col collapsed="false" customWidth="true" hidden="false" outlineLevel="1" max="16" min="16" style="0" width="10.29"/>
    <col collapsed="false" customWidth="true" hidden="false" outlineLevel="1" max="17" min="17" style="0" width="9.57"/>
    <col collapsed="false" customWidth="true" hidden="false" outlineLevel="1" max="18" min="18" style="0" width="8.57"/>
    <col collapsed="false" customWidth="true" hidden="false" outlineLevel="1" max="20" min="19" style="0" width="7.29"/>
    <col collapsed="false" customWidth="true" hidden="false" outlineLevel="1" max="21" min="21" style="0" width="8.57"/>
    <col collapsed="false" customWidth="true" hidden="false" outlineLevel="1" max="22" min="22" style="0" width="7.71"/>
    <col collapsed="false" customWidth="true" hidden="false" outlineLevel="1" max="23" min="23" style="0" width="12"/>
    <col collapsed="false" customWidth="true" hidden="false" outlineLevel="1" max="24" min="24" style="0" width="10.14"/>
    <col collapsed="false" customWidth="true" hidden="false" outlineLevel="1" max="25" min="25" style="0" width="11.71"/>
    <col collapsed="false" customWidth="true" hidden="false" outlineLevel="1" max="26" min="26" style="0" width="12.71"/>
    <col collapsed="false" customWidth="true" hidden="false" outlineLevel="1" max="27" min="27" style="0" width="8.57"/>
    <col collapsed="false" customWidth="true" hidden="false" outlineLevel="1" max="28" min="28" style="0" width="7.29"/>
    <col collapsed="false" customWidth="true" hidden="false" outlineLevel="1" max="29" min="29" style="0" width="9.71"/>
    <col collapsed="false" customWidth="true" hidden="false" outlineLevel="1" max="30" min="30" style="0" width="11.43"/>
    <col collapsed="false" customWidth="true" hidden="false" outlineLevel="1" max="31" min="31" style="0" width="10"/>
    <col collapsed="false" customWidth="true" hidden="false" outlineLevel="1" max="32" min="32" style="0" width="9.86"/>
    <col collapsed="false" customWidth="true" hidden="false" outlineLevel="1" max="33" min="33" style="0" width="7.86"/>
    <col collapsed="false" customWidth="true" hidden="false" outlineLevel="1" max="34" min="34" style="0" width="18.71"/>
    <col collapsed="false" customWidth="true" hidden="false" outlineLevel="1" max="35" min="35" style="0" width="27.15"/>
    <col collapsed="false" customWidth="true" hidden="false" outlineLevel="1" max="36" min="36" style="0" width="5.42"/>
  </cols>
  <sheetData>
    <row r="1" customFormat="false" ht="22.05" hidden="false" customHeight="false" outlineLevel="0" collapsed="false">
      <c r="A1" s="225" t="str">
        <f aca="false">"Semaine du " &amp; Data!D41</f>
        <v>Semaine du </v>
      </c>
      <c r="B1" s="226" t="n">
        <v>44305</v>
      </c>
      <c r="C1" s="227"/>
      <c r="D1" s="321" t="s">
        <v>361</v>
      </c>
      <c r="E1" s="322" t="n">
        <f aca="false">AVERAGE(F2:J2)</f>
        <v>6.3</v>
      </c>
      <c r="F1" s="323" t="s">
        <v>0</v>
      </c>
      <c r="G1" s="324" t="s">
        <v>1</v>
      </c>
      <c r="H1" s="324" t="s">
        <v>2</v>
      </c>
      <c r="I1" s="324" t="s">
        <v>3</v>
      </c>
      <c r="J1" s="324" t="s">
        <v>4</v>
      </c>
      <c r="K1" s="325" t="s">
        <v>401</v>
      </c>
      <c r="L1" s="326"/>
      <c r="M1" s="234" t="n">
        <f aca="false">COUNTIF(Horodateur11233538192231343743464952555861646985222634384650585462667074788290989410210611411811012212613013413814214615015415816216617017417818218619019419820220621021441014182226303438465054586266[O],"o")+ COUNTIF(Horodateur11233538192231343743464952555861646985222634384650585462667074788290989410210611411811012212613013413814214615015415816216617017417818218619019419820220621021441014182226303438465054586266[O],".")</f>
        <v>37</v>
      </c>
      <c r="N1" s="128" t="n">
        <f aca="false">B2</f>
        <v>31.5</v>
      </c>
      <c r="O1" s="128" t="n">
        <f aca="false">SUM(Horodateur11233538192231343743464952555861646985222634384650585462667074788290989410210611411811012212613013413814214615015415816216617017417818218619019419820220621021441014182226303438465054586266[%])</f>
        <v>0</v>
      </c>
      <c r="P1" s="131" t="s">
        <v>21</v>
      </c>
      <c r="Q1" s="130" t="s">
        <v>20</v>
      </c>
      <c r="R1" s="130" t="s">
        <v>23</v>
      </c>
      <c r="S1" s="130" t="s">
        <v>25</v>
      </c>
      <c r="T1" s="130" t="s">
        <v>26</v>
      </c>
      <c r="U1" s="130" t="s">
        <v>378</v>
      </c>
      <c r="V1" s="130" t="s">
        <v>380</v>
      </c>
      <c r="W1" s="136" t="s">
        <v>32</v>
      </c>
      <c r="X1" s="136" t="s">
        <v>69</v>
      </c>
      <c r="Y1" s="136" t="s">
        <v>66</v>
      </c>
      <c r="Z1" s="136" t="s">
        <v>47</v>
      </c>
      <c r="AA1" s="136" t="s">
        <v>68</v>
      </c>
      <c r="AB1" s="136" t="s">
        <v>41</v>
      </c>
      <c r="AC1" s="136" t="s">
        <v>61</v>
      </c>
      <c r="AD1" s="136" t="s">
        <v>74</v>
      </c>
      <c r="AE1" s="136" t="s">
        <v>37</v>
      </c>
      <c r="AF1" s="136" t="s">
        <v>77</v>
      </c>
      <c r="AG1" s="136" t="s">
        <v>45</v>
      </c>
      <c r="AH1" s="136" t="s">
        <v>78</v>
      </c>
      <c r="AI1" s="136" t="s">
        <v>79</v>
      </c>
      <c r="AJ1" s="87" t="str">
        <f aca="false">SUM(N4:N41) &amp; " / " &amp; B2-SUM(N4:N41)</f>
        <v>2,25 / 29,25</v>
      </c>
    </row>
    <row r="2" customFormat="false" ht="22.05" hidden="false" customHeight="false" outlineLevel="0" collapsed="false">
      <c r="A2" s="327" t="n">
        <f aca="false">SUM(Horodateur11233538192231343743464952555861646985222634384650585462667074788290989410210611411811012212613013413814214615015415816216617017417818218619019419820220621021441014182226303438465054586266[Durée (60)])</f>
        <v>1.3125</v>
      </c>
      <c r="B2" s="328" t="n">
        <f aca="false">SUM(Horodateur11233538192231343743464952555861646985222634384650585462667074788290989410210611411811012212613013413814214615015415816216617017417818218619019419820220621021441014182226303438465054586266[Durée (100)])</f>
        <v>31.5</v>
      </c>
      <c r="C2" s="237" t="str">
        <f aca="false">N2</f>
        <v>2,25 / 29,25</v>
      </c>
      <c r="D2" s="238"/>
      <c r="E2" s="239"/>
      <c r="F2" s="329" t="n">
        <f aca="false">SUMIF(Horodateur11233538192231343743464952555861646985222634384650585462667074788290989410210611411811012212613013413814214615015415816216617017417818218619019419820220621021441014182226303438465054586266[Jour],"1- Lundi",Horodateur11233538192231343743464952555861646985222634384650585462667074788290989410210611411811012212613013413814214615015415816216617017417818218619019419820220621021441014182226303438465054586266[Durée (100)])</f>
        <v>8.5</v>
      </c>
      <c r="G2" s="330" t="n">
        <f aca="false">SUMIF(Horodateur11233538192231343743464952555861646985222634384650585462667074788290989410210611411811012212613013413814214615015415816216617017417818218619019419820220621021441014182226303438465054586266[Jour],"2- Mardi",Horodateur11233538192231343743464952555861646985222634384650585462667074788290989410210611411811012212613013413814214615015415816216617017417818218619019419820220621021441014182226303438465054586266[Durée (100)])</f>
        <v>5.5</v>
      </c>
      <c r="H2" s="330" t="n">
        <f aca="false">SUMIF(Horodateur11233538192231343743464952555861646985222634384650585462667074788290989410210611411811012212613013413814214615015415816216617017417818218619019419820220621021441014182226303438465054586266[Jour],"3- Mercredi",Horodateur11233538192231343743464952555861646985222634384650585462667074788290989410210611411811012212613013413814214615015415816216617017417818218619019419820220621021441014182226303438465054586266[Durée (100)])</f>
        <v>7.5</v>
      </c>
      <c r="I2" s="330" t="n">
        <f aca="false">SUMIF(Horodateur11233538192231343743464952555861646985222634384650585462667074788290989410210611411811012212613013413814214615015415816216617017417818218619019419820220621021441014182226303438465054586266[Jour],"4- Jeudi",Horodateur11233538192231343743464952555861646985222634384650585462667074788290989410210611411811012212613013413814214615015415816216617017417818218619019419820220621021441014182226303438465054586266[Durée (100)])</f>
        <v>9</v>
      </c>
      <c r="J2" s="330" t="n">
        <f aca="false">SUMIF(Horodateur11233538192231343743464952555861646985222634384650585462667074788290989410210611411811012212613013413814214615015415816216617017417818218619019419820220621021441014182226303438465054586266[Jour],"5- Vendredi",Horodateur11233538192231343743464952555861646985222634384650585462667074788290989410210611411811012212613013413814214615015415816216617017417818218619019419820220621021441014182226303438465054586266[Durée (100)])</f>
        <v>1</v>
      </c>
      <c r="K2" s="331" t="str">
        <f aca="false">ROUND(SUMIF(Horodateur11233538192231343743464952555861646985222634384650585462667074788290989410210611411811012212613013413814214615015415816216617017417818218619019419820220621021441014182226303438465054586266[Jour],"6- Samedi",Horodateur11233538192231343743464952555861646985222634384650585462667074788290989410210611411811012212613013413814214615015415816216617017417818218619019419820220621021441014182226303438465054586266[Durée (100)]),2) &amp;  "   /    " &amp;  ROUND(SUMIF(Horodateur11233538192231343743464952555861646985222634384650585462667074788290989410210611411811012212613013413814214615015415816216617017417818218619019419820220621021441014182226303438465054586266[Jour],"7- Dimanche",Horodateur11233538192231343743464952555861646985222634384650585462667074788290989410210611411811012212613013413814214615015415816216617017417818218619019419820220621021441014182226303438465054586266[Durée (100)]),2)</f>
        <v>0   /    0</v>
      </c>
      <c r="L2" s="332"/>
      <c r="M2" s="244" t="str">
        <f aca="false">COUNTIF(Horodateur11233538192231343743464952555861646985222634384650585462667074788290989410210611411811012212613013413814214615015415816216617017417818218619019419820220621021441014182226303438465054586266[O],"o")&amp;" / " &amp;  COUNTIF(Horodateur11233538192231343743464952555861646985222634384650585462667074788290989410210611411811012212613013413814214615015415816216617017417818218619019419820220621021441014182226303438465054586266[O],".")</f>
        <v>2 / 35</v>
      </c>
      <c r="N2" s="333" t="str">
        <f aca="false">ROUND(SUM(N4:N41),2) &amp; " / " &amp; ROUND(B2-SUM(N4:N41),2)</f>
        <v>2,25 / 29,25</v>
      </c>
      <c r="O2" s="334" t="str">
        <f aca="false">O1/B2*100 &amp; "%"</f>
        <v>0%</v>
      </c>
      <c r="P2" s="248" t="n">
        <f aca="false">SUMIF(Horodateur11233538192231343743464952555861646985222634384650585462667074788290989410210611411811012212613013413814214615015415816216617017417818218619019419820220621021441014182226303438465054586266[Tâche],P$1,Horodateur11233538192231343743464952555861646985222634384650585462667074788290989410210611411811012212613013413814214615015415816216617017417818218619019419820220621021441014182226303438465054586266[Durée (100)])</f>
        <v>3.25</v>
      </c>
      <c r="Q2" s="247" t="n">
        <f aca="false">SUMIF(Horodateur11233538192231343743464952555861646985222634384650585462667074788290989410210611411811012212613013413814214615015415816216617017417818218619019419820220621021441014182226303438465054586266[Tâche],Q$1,Horodateur11233538192231343743464952555861646985222634384650585462667074788290989410210611411811012212613013413814214615015415816216617017417818218619019419820220621021441014182226303438465054586266[Durée (100)])</f>
        <v>1</v>
      </c>
      <c r="R2" s="247" t="n">
        <f aca="false">SUMIF(Horodateur11233538192231343743464952555861646985222634384650585462667074788290989410210611411811012212613013413814214615015415816216617017417818218619019419820220621021441014182226303438465054586266[Tâche],R$1,Horodateur11233538192231343743464952555861646985222634384650585462667074788290989410210611411811012212613013413814214615015415816216617017417818218619019419820220621021441014182226303438465054586266[Durée (100)])</f>
        <v>0</v>
      </c>
      <c r="S2" s="247" t="n">
        <f aca="false">SUMIF(Horodateur11233538192231343743464952555861646985222634384650585462667074788290989410210611411811012212613013413814214615015415816216617017417818218619019419820220621021441014182226303438465054586266[Tâche],S$1,Horodateur11233538192231343743464952555861646985222634384650585462667074788290989410210611411811012212613013413814214615015415816216617017417818218619019419820220621021441014182226303438465054586266[Durée (100)])</f>
        <v>0</v>
      </c>
      <c r="T2" s="247" t="n">
        <f aca="false">SUMIF(Horodateur11233538192231343743464952555861646985222634384650585462667074788290989410210611411811012212613013413814214615015415816216617017417818218619019419820220621021441014182226303438465054586266[Tâche],T$1,Horodateur11233538192231343743464952555861646985222634384650585462667074788290989410210611411811012212613013413814214615015415816216617017417818218619019419820220621021441014182226303438465054586266[Durée (100)])</f>
        <v>0</v>
      </c>
      <c r="U2" s="247" t="n">
        <f aca="false">SUMIF(Horodateur11233538192231343743464952555861646985222634384650585462667074788290989410210611411811012212613013413814214615015415816216617017417818218619019419820220621021441014182226303438465054586266[Tâche],U$1,Horodateur11233538192231343743464952555861646985222634384650585462667074788290989410210611411811012212613013413814214615015415816216617017417818218619019419820220621021441014182226303438465054586266[Durée (100)])</f>
        <v>19.75</v>
      </c>
      <c r="V2" s="247" t="n">
        <f aca="false">SUMIF(Horodateur11233538192231343743464952555861646985222634384650585462667074788290989410210611411811012212613013413814214615015415816216617017417818218619019419820220621021441014182226303438465054586266[Tâche],V$1,Horodateur11233538192231343743464952555861646985222634384650585462667074788290989410210611411811012212613013413814214615015415816216617017417818218619019419820220621021441014182226303438465054586266[Durée (100)])</f>
        <v>0</v>
      </c>
      <c r="W2" s="151" t="n">
        <f aca="false">SUMIF(Horodateur11233538192231343743464952555861646985222634384650585462667074788290989410210611411811012212613013413814214615015415816216617017417818218619019419820220621021441014182226303438465054586266[Client],W$1,Horodateur11233538192231343743464952555861646985222634384650585462667074788290989410210611411811012212613013413814214615015415816216617017417818218619019419820220621021441014182226303438465054586266[Durée (100)])</f>
        <v>5.5</v>
      </c>
      <c r="X2" s="151" t="n">
        <f aca="false">SUMIF(Horodateur11233538192231343743464952555861646985222634384650585462667074788290989410210611411811012212613013413814214615015415816216617017417818218619019419820220621021441014182226303438465054586266[Client],X$1,Horodateur11233538192231343743464952555861646985222634384650585462667074788290989410210611411811012212613013413814214615015415816216617017417818218619019419820220621021441014182226303438465054586266[Durée (100)])</f>
        <v>0</v>
      </c>
      <c r="Y2" s="151" t="n">
        <f aca="false">SUMIF(Horodateur11233538192231343743464952555861646985222634384650585462667074788290989410210611411811012212613013413814214615015415816216617017417818218619019419820220621021441014182226303438465054586266[Client],Y$1,Horodateur11233538192231343743464952555861646985222634384650585462667074788290989410210611411811012212613013413814214615015415816216617017417818218619019419820220621021441014182226303438465054586266[Durée (100)])</f>
        <v>0</v>
      </c>
      <c r="Z2" s="151" t="n">
        <f aca="false">SUMIF(Horodateur11233538192231343743464952555861646985222634384650585462667074788290989410210611411811012212613013413814214615015415816216617017417818218619019419820220621021441014182226303438465054586266[Client],Z$1,Horodateur11233538192231343743464952555861646985222634384650585462667074788290989410210611411811012212613013413814214615015415816216617017417818218619019419820220621021441014182226303438465054586266[Durée (100)])</f>
        <v>0</v>
      </c>
      <c r="AA2" s="151" t="n">
        <f aca="false">SUMIF(Horodateur11233538192231343743464952555861646985222634384650585462667074788290989410210611411811012212613013413814214615015415816216617017417818218619019419820220621021441014182226303438465054586266[Client],AA$1,Horodateur11233538192231343743464952555861646985222634384650585462667074788290989410210611411811012212613013413814214615015415816216617017417818218619019419820220621021441014182226303438465054586266[Durée (100)])</f>
        <v>0</v>
      </c>
      <c r="AB2" s="151" t="n">
        <f aca="false">SUMIF(Horodateur11233538192231343743464952555861646985222634384650585462667074788290989410210611411811012212613013413814214615015415816216617017417818218619019419820220621021441014182226303438465054586266[Client],AB$1,Horodateur11233538192231343743464952555861646985222634384650585462667074788290989410210611411811012212613013413814214615015415816216617017417818218619019419820220621021441014182226303438465054586266[Durée (100)])</f>
        <v>0</v>
      </c>
      <c r="AC2" s="151" t="n">
        <f aca="false">SUMIF(Horodateur11233538192231343743464952555861646985222634384650585462667074788290989410210611411811012212613013413814214615015415816216617017417818218619019419820220621021441014182226303438465054586266[Client],AC$1,Horodateur11233538192231343743464952555861646985222634384650585462667074788290989410210611411811012212613013413814214615015415816216617017417818218619019419820220621021441014182226303438465054586266[Durée (100)])</f>
        <v>0</v>
      </c>
      <c r="AD2" s="151" t="n">
        <f aca="false">SUMIF(Horodateur11233538192231343743464952555861646985222634384650585462667074788290989410210611411811012212613013413814214615015415816216617017417818218619019419820220621021441014182226303438465054586266[Client],AD$1,Horodateur11233538192231343743464952555861646985222634384650585462667074788290989410210611411811012212613013413814214615015415816216617017417818218619019419820220621021441014182226303438465054586266[Durée (100)])</f>
        <v>0</v>
      </c>
      <c r="AE2" s="151" t="n">
        <f aca="false">SUMIF(Horodateur11233538192231343743464952555861646985222634384650585462667074788290989410210611411811012212613013413814214615015415816216617017417818218619019419820220621021441014182226303438465054586266[Client],AE$1,Horodateur11233538192231343743464952555861646985222634384650585462667074788290989410210611411811012212613013413814214615015415816216617017417818218619019419820220621021441014182226303438465054586266[Durée (100)])</f>
        <v>4.25</v>
      </c>
      <c r="AF2" s="151" t="n">
        <f aca="false">SUMIF(Horodateur11233538192231343743464952555861646985222634384650585462667074788290989410210611411811012212613013413814214615015415816216617017417818218619019419820220621021441014182226303438465054586266[Client],AF$1,Horodateur11233538192231343743464952555861646985222634384650585462667074788290989410210611411811012212613013413814214615015415816216617017417818218619019419820220621021441014182226303438465054586266[Durée (100)])</f>
        <v>0</v>
      </c>
      <c r="AG2" s="151" t="n">
        <f aca="false">SUMIF(Horodateur11233538192231343743464952555861646985222634384650585462667074788290989410210611411811012212613013413814214615015415816216617017417818218619019419820220621021441014182226303438465054586266[Client],AG$1,Horodateur11233538192231343743464952555861646985222634384650585462667074788290989410210611411811012212613013413814214615015415816216617017417818218619019419820220621021441014182226303438465054586266[Durée (100)])</f>
        <v>0</v>
      </c>
      <c r="AH2" s="151" t="n">
        <f aca="false">SUMIF(Horodateur11233538192231343743464952555861646985222634384650585462667074788290989410210611411811012212613013413814214615015415816216617017417818218619019419820220621021441014182226303438465054586266[Client],AH$1,Horodateur11233538192231343743464952555861646985222634384650585462667074788290989410210611411811012212613013413814214615015415816216617017417818218619019419820220621021441014182226303438465054586266[Durée (100)])</f>
        <v>0</v>
      </c>
      <c r="AI2" s="151" t="n">
        <f aca="false">SUMIF(Horodateur11233538192231343743464952555861646985222634384650585462667074788290989410210611411811012212613013413814214615015415816216617017417818218619019419820220621021441014182226303438465054586266[Client],AI$1,Horodateur11233538192231343743464952555861646985222634384650585462667074788290989410210611411811012212613013413814214615015415816216617017417818218619019419820220621021441014182226303438465054586266[Durée (100)])</f>
        <v>0.5</v>
      </c>
    </row>
    <row r="3" s="137" customFormat="true" ht="15" hidden="false" customHeight="false" outlineLevel="0" collapsed="false">
      <c r="A3" s="249" t="s">
        <v>8</v>
      </c>
      <c r="B3" s="249" t="s">
        <v>9</v>
      </c>
      <c r="C3" s="193" t="s">
        <v>10</v>
      </c>
      <c r="D3" s="193" t="s">
        <v>11</v>
      </c>
      <c r="E3" s="250" t="s">
        <v>12</v>
      </c>
      <c r="F3" s="250" t="s">
        <v>13</v>
      </c>
      <c r="G3" s="250" t="s">
        <v>14</v>
      </c>
      <c r="H3" s="193" t="s">
        <v>302</v>
      </c>
      <c r="I3" s="252" t="s">
        <v>364</v>
      </c>
      <c r="J3" s="253" t="s">
        <v>365</v>
      </c>
      <c r="K3" s="250" t="s">
        <v>402</v>
      </c>
      <c r="L3" s="194" t="s">
        <v>403</v>
      </c>
      <c r="M3" s="255" t="s">
        <v>7</v>
      </c>
      <c r="N3" s="254" t="s">
        <v>29</v>
      </c>
      <c r="O3" s="254" t="s">
        <v>18</v>
      </c>
      <c r="P3" s="153" t="n">
        <f aca="false">P2/$B$2</f>
        <v>0.103174603174603</v>
      </c>
      <c r="Q3" s="153" t="n">
        <f aca="false">Q2/$B$2</f>
        <v>0.0317460317460318</v>
      </c>
      <c r="R3" s="153" t="n">
        <f aca="false">R2/$B$2</f>
        <v>0</v>
      </c>
      <c r="S3" s="153" t="n">
        <f aca="false">S2/$B$2</f>
        <v>0</v>
      </c>
      <c r="T3" s="153" t="n">
        <f aca="false">T2/$B$2</f>
        <v>0</v>
      </c>
      <c r="U3" s="153" t="n">
        <f aca="false">U2/$B$2</f>
        <v>0.626984126984127</v>
      </c>
      <c r="V3" s="153" t="n">
        <f aca="false">V2/$B$2</f>
        <v>0</v>
      </c>
      <c r="W3" s="153" t="n">
        <f aca="false">W2/$B$2</f>
        <v>0.174603174603175</v>
      </c>
      <c r="X3" s="153" t="n">
        <f aca="false">X2/$B$2</f>
        <v>0</v>
      </c>
      <c r="Y3" s="153" t="n">
        <f aca="false">Y2/$B$2</f>
        <v>0</v>
      </c>
      <c r="Z3" s="153" t="n">
        <f aca="false">Z2/$B$2</f>
        <v>0</v>
      </c>
      <c r="AA3" s="153" t="n">
        <f aca="false">AA2/$B$2</f>
        <v>0</v>
      </c>
      <c r="AB3" s="153" t="n">
        <f aca="false">AB2/$B$2</f>
        <v>0</v>
      </c>
      <c r="AC3" s="153" t="n">
        <f aca="false">AC2/$B$2</f>
        <v>0</v>
      </c>
      <c r="AD3" s="153" t="n">
        <f aca="false">AD2/$B$2</f>
        <v>0</v>
      </c>
      <c r="AE3" s="153" t="n">
        <f aca="false">AE2/$B$2</f>
        <v>0.134920634920635</v>
      </c>
      <c r="AF3" s="153" t="n">
        <f aca="false">AF2/$B$2</f>
        <v>0</v>
      </c>
      <c r="AG3" s="153" t="n">
        <f aca="false">AG2/$B$2</f>
        <v>0</v>
      </c>
      <c r="AH3" s="153" t="n">
        <f aca="false">AH2/$B$2</f>
        <v>0</v>
      </c>
      <c r="AI3" s="153" t="n">
        <f aca="false">AI2/$B$2</f>
        <v>0.0158730158730159</v>
      </c>
    </row>
    <row r="4" customFormat="false" ht="15" hidden="false" customHeight="false" outlineLevel="0" collapsed="false">
      <c r="A4" s="256" t="n">
        <f aca="false">IF(Horodateur11233538192231343743464952555861646985222634384650585462667074788290989410210611411811012212613013413814214615015415816216617017417818218619019419820220621021441014182226303438465054586266[[#This Row],[Jour]]="1- Lundi",$B$1+1, IF(Horodateur11233538192231343743464952555861646985222634384650585462667074788290989410210611411811012212613013413814214615015415816216617017417818218619019419820220621021441014182226303438465054586266[[#This Row],[Jour]]="2- Mardi",$B$1+2, IF(Horodateur11233538192231343743464952555861646985222634384650585462667074788290989410210611411811012212613013413814214615015415816216617017417818218619019419820220621021441014182226303438465054586266[[#This Row],[Jour]]="3- Mercredi",$B$1+3, IF(Horodateur11233538192231343743464952555861646985222634384650585462667074788290989410210611411811012212613013413814214615015415816216617017417818218619019419820220621021441014182226303438465054586266[[#This Row],[Jour]]="4- Jeudi",$B$1+4, IF(Horodateur11233538192231343743464952555861646985222634384650585462667074788290989410210611411811012212613013413814214615015415816216617017417818218619019419820220621021441014182226303438465054586266[[#This Row],[Jour]]="5- Vendredi",$B$1+5, IF(Horodateur11233538192231343743464952555861646985222634384650585462667074788290989410210611411811012212613013413814214615015415816216617017417818218619019419820220621021441014182226303438465054586266[[#This Row],[Jour]]="6- Samedi",$B$1+6, IF(Horodateur11233538192231343743464952555861646985222634384650585462667074788290989410210611411811012212613013413814214615015415816216617017417818218619019419820220621021441014182226303438465054586266[[#This Row],[Jour]]="7- Dimanche",$B$1, )))))))</f>
        <v>44306</v>
      </c>
      <c r="B4" s="257" t="s">
        <v>312</v>
      </c>
      <c r="C4" s="258" t="n">
        <v>0.291666666666667</v>
      </c>
      <c r="D4" s="258" t="n">
        <v>0.364583333333333</v>
      </c>
      <c r="E4" s="71" t="s">
        <v>32</v>
      </c>
      <c r="F4" s="71" t="s">
        <v>21</v>
      </c>
      <c r="G4" s="259"/>
      <c r="H4" s="258" t="n">
        <f aca="false">IF($C4=0,"",$D4-$C4)</f>
        <v>0.0729166666666667</v>
      </c>
      <c r="I4" s="260" t="n">
        <f aca="false">IF($C4=0,"",($H4-INT($H4))*24)</f>
        <v>1.75</v>
      </c>
      <c r="J4" s="303" t="n">
        <f aca="false">SUMIF(Horodateur11233538192231343743464952555861646985222634384650585462667074788290989410210611411811012212613013413814214615015415816216617017417818218619019419820220621021441014182226303438465054586266[Jour],$B4,Horodateur11233538192231343743464952555861646985222634384650585462667074788290989410210611411811012212613013413814214615015415816216617017417818218619019419820220621021441014182226303438465054586266[Durée (100)])</f>
        <v>8.5</v>
      </c>
      <c r="K4" s="335"/>
      <c r="L4" s="336" t="s">
        <v>404</v>
      </c>
      <c r="M4" s="188" t="s">
        <v>31</v>
      </c>
      <c r="N4" s="272" t="n">
        <f aca="false">IF(Horodateur11233538192231343743464952555861646985222634384650585462667074788290989410210611411811012212613013413814214615015415816216617017417818218619019419820220621021441014182226303438465054586266[[#This Row],[O]]="o",Horodateur11233538192231343743464952555861646985222634384650585462667074788290989410210611411811012212613013413814214615015415816216617017417818218619019419820220621021441014182226303438465054586266[[#This Row],[Durée (100)]],".")</f>
        <v>1.75</v>
      </c>
      <c r="O4" s="337" t="n">
        <f aca="false">IF(L4 = "c", I4, 0)</f>
        <v>0</v>
      </c>
      <c r="P4" s="187"/>
      <c r="Q4" s="71"/>
      <c r="R4" s="71"/>
      <c r="S4" s="71"/>
      <c r="T4" s="71"/>
      <c r="U4" s="71"/>
      <c r="V4" s="71"/>
      <c r="W4" s="71"/>
      <c r="X4" s="71"/>
      <c r="Y4" s="71"/>
      <c r="Z4" s="71"/>
      <c r="AA4" s="71"/>
      <c r="AB4" s="71"/>
      <c r="AC4" s="71"/>
      <c r="AD4" s="71"/>
      <c r="AE4" s="71"/>
      <c r="AF4" s="71"/>
      <c r="AG4" s="71"/>
      <c r="AH4" s="71"/>
      <c r="AI4" s="71"/>
    </row>
    <row r="5" customFormat="false" ht="15" hidden="false" customHeight="false" outlineLevel="0" collapsed="false">
      <c r="A5" s="256" t="n">
        <f aca="false">IF(Horodateur11233538192231343743464952555861646985222634384650585462667074788290989410210611411811012212613013413814214615015415816216617017417818218619019419820220621021441014182226303438465054586266[[#This Row],[Jour]]="1- Lundi",$B$1+1, IF(Horodateur11233538192231343743464952555861646985222634384650585462667074788290989410210611411811012212613013413814214615015415816216617017417818218619019419820220621021441014182226303438465054586266[[#This Row],[Jour]]="2- Mardi",$B$1+2, IF(Horodateur11233538192231343743464952555861646985222634384650585462667074788290989410210611411811012212613013413814214615015415816216617017417818218619019419820220621021441014182226303438465054586266[[#This Row],[Jour]]="3- Mercredi",$B$1+3, IF(Horodateur11233538192231343743464952555861646985222634384650585462667074788290989410210611411811012212613013413814214615015415816216617017417818218619019419820220621021441014182226303438465054586266[[#This Row],[Jour]]="4- Jeudi",$B$1+4, IF(Horodateur11233538192231343743464952555861646985222634384650585462667074788290989410210611411811012212613013413814214615015415816216617017417818218619019419820220621021441014182226303438465054586266[[#This Row],[Jour]]="5- Vendredi",$B$1+5, IF(Horodateur11233538192231343743464952555861646985222634384650585462667074788290989410210611411811012212613013413814214615015415816216617017417818218619019419820220621021441014182226303438465054586266[[#This Row],[Jour]]="6- Samedi",$B$1+6, IF(Horodateur11233538192231343743464952555861646985222634384650585462667074788290989410210611411811012212613013413814214615015415816216617017417818218619019419820220621021441014182226303438465054586266[[#This Row],[Jour]]="7- Dimanche",$B$1, )))))))</f>
        <v>44306</v>
      </c>
      <c r="B5" s="257" t="s">
        <v>312</v>
      </c>
      <c r="C5" s="258" t="n">
        <v>0.364583333333333</v>
      </c>
      <c r="D5" s="258" t="n">
        <v>0.385416666666667</v>
      </c>
      <c r="E5" s="71" t="s">
        <v>32</v>
      </c>
      <c r="F5" s="71" t="s">
        <v>20</v>
      </c>
      <c r="G5" s="259" t="s">
        <v>121</v>
      </c>
      <c r="H5" s="258" t="n">
        <f aca="false">IF($C5=0,"",$D5-$C5)</f>
        <v>0.0208333333333333</v>
      </c>
      <c r="I5" s="260" t="n">
        <f aca="false">IF($C5=0,"",($H5-INT($H5))*24)</f>
        <v>0.5</v>
      </c>
      <c r="J5" s="303" t="n">
        <f aca="false">SUMIF(Horodateur11233538192231343743464952555861646985222634384650585462667074788290989410210611411811012212613013413814214615015415816216617017417818218619019419820220621021441014182226303438465054586266[Jour],$B5,Horodateur11233538192231343743464952555861646985222634384650585462667074788290989410210611411811012212613013413814214615015415816216617017417818218619019419820220621021441014182226303438465054586266[Durée (100)])</f>
        <v>8.5</v>
      </c>
      <c r="K5" s="335"/>
      <c r="L5" s="336" t="s">
        <v>404</v>
      </c>
      <c r="M5" s="188" t="s">
        <v>31</v>
      </c>
      <c r="N5" s="272" t="n">
        <f aca="false">IF(Horodateur11233538192231343743464952555861646985222634384650585462667074788290989410210611411811012212613013413814214615015415816216617017417818218619019419820220621021441014182226303438465054586266[[#This Row],[O]]="o",Horodateur11233538192231343743464952555861646985222634384650585462667074788290989410210611411811012212613013413814214615015415816216617017417818218619019419820220621021441014182226303438465054586266[[#This Row],[Durée (100)]],".")</f>
        <v>0.500000000000001</v>
      </c>
      <c r="O5" s="337" t="n">
        <f aca="false">IF(L5 = "c", I5, 0)</f>
        <v>0</v>
      </c>
      <c r="P5" s="187"/>
      <c r="Q5" s="71"/>
      <c r="R5" s="71"/>
      <c r="S5" s="71"/>
      <c r="T5" s="71"/>
      <c r="U5" s="71"/>
      <c r="V5" s="71"/>
      <c r="W5" s="71"/>
      <c r="X5" s="71"/>
      <c r="Y5" s="71"/>
      <c r="Z5" s="71"/>
      <c r="AA5" s="71"/>
      <c r="AB5" s="71"/>
      <c r="AC5" s="71"/>
      <c r="AD5" s="71"/>
      <c r="AE5" s="71"/>
      <c r="AF5" s="71"/>
      <c r="AG5" s="71"/>
      <c r="AH5" s="71"/>
      <c r="AI5" s="71"/>
    </row>
    <row r="6" customFormat="false" ht="15" hidden="false" customHeight="false" outlineLevel="0" collapsed="false">
      <c r="A6" s="256" t="n">
        <f aca="false">IF(Horodateur11233538192231343743464952555861646985222634384650585462667074788290989410210611411811012212613013413814214615015415816216617017417818218619019419820220621021441014182226303438465054586266[[#This Row],[Jour]]="1- Lundi",$B$1+1, IF(Horodateur11233538192231343743464952555861646985222634384650585462667074788290989410210611411811012212613013413814214615015415816216617017417818218619019419820220621021441014182226303438465054586266[[#This Row],[Jour]]="2- Mardi",$B$1+2, IF(Horodateur11233538192231343743464952555861646985222634384650585462667074788290989410210611411811012212613013413814214615015415816216617017417818218619019419820220621021441014182226303438465054586266[[#This Row],[Jour]]="3- Mercredi",$B$1+3, IF(Horodateur11233538192231343743464952555861646985222634384650585462667074788290989410210611411811012212613013413814214615015415816216617017417818218619019419820220621021441014182226303438465054586266[[#This Row],[Jour]]="4- Jeudi",$B$1+4, IF(Horodateur11233538192231343743464952555861646985222634384650585462667074788290989410210611411811012212613013413814214615015415816216617017417818218619019419820220621021441014182226303438465054586266[[#This Row],[Jour]]="5- Vendredi",$B$1+5, IF(Horodateur11233538192231343743464952555861646985222634384650585462667074788290989410210611411811012212613013413814214615015415816216617017417818218619019419820220621021441014182226303438465054586266[[#This Row],[Jour]]="6- Samedi",$B$1+6, IF(Horodateur11233538192231343743464952555861646985222634384650585462667074788290989410210611411811012212613013413814214615015415816216617017417818218619019419820220621021441014182226303438465054586266[[#This Row],[Jour]]="7- Dimanche",$B$1, )))))))</f>
        <v>44306</v>
      </c>
      <c r="B6" s="257" t="s">
        <v>312</v>
      </c>
      <c r="C6" s="258" t="n">
        <v>0.395833333333333</v>
      </c>
      <c r="D6" s="258" t="n">
        <v>0.416666666666667</v>
      </c>
      <c r="E6" s="71" t="s">
        <v>37</v>
      </c>
      <c r="F6" s="71" t="s">
        <v>379</v>
      </c>
      <c r="G6" s="259" t="s">
        <v>55</v>
      </c>
      <c r="H6" s="258" t="n">
        <f aca="false">IF($C6=0,"",$D6-$C6)</f>
        <v>0.0208333333333333</v>
      </c>
      <c r="I6" s="260" t="n">
        <f aca="false">IF($C6=0,"",($H6-INT($H6))*24)</f>
        <v>0.5</v>
      </c>
      <c r="J6" s="303" t="n">
        <f aca="false">SUMIF(Horodateur11233538192231343743464952555861646985222634384650585462667074788290989410210611411811012212613013413814214615015415816216617017417818218619019419820220621021441014182226303438465054586266[Jour],$B6,Horodateur11233538192231343743464952555861646985222634384650585462667074788290989410210611411811012212613013413814214615015415816216617017417818218619019419820220621021441014182226303438465054586266[Durée (100)])</f>
        <v>8.5</v>
      </c>
      <c r="K6" s="335"/>
      <c r="L6" s="336" t="s">
        <v>404</v>
      </c>
      <c r="M6" s="188" t="s">
        <v>33</v>
      </c>
      <c r="N6" s="272" t="str">
        <f aca="false">IF(Horodateur11233538192231343743464952555861646985222634384650585462667074788290989410210611411811012212613013413814214615015415816216617017417818218619019419820220621021441014182226303438465054586266[[#This Row],[O]]="o",Horodateur11233538192231343743464952555861646985222634384650585462667074788290989410210611411811012212613013413814214615015415816216617017417818218619019419820220621021441014182226303438465054586266[[#This Row],[Durée (100)]],".")</f>
        <v>.</v>
      </c>
      <c r="O6" s="337" t="n">
        <f aca="false">IF(L6 = "c", I6, 0)</f>
        <v>0</v>
      </c>
      <c r="P6" s="187"/>
      <c r="Q6" s="71"/>
      <c r="R6" s="71"/>
      <c r="S6" s="71"/>
      <c r="T6" s="71"/>
      <c r="U6" s="71"/>
      <c r="V6" s="71"/>
      <c r="W6" s="71"/>
      <c r="X6" s="71"/>
      <c r="Y6" s="71"/>
      <c r="Z6" s="71"/>
      <c r="AA6" s="71"/>
      <c r="AB6" s="71"/>
      <c r="AC6" s="71"/>
      <c r="AD6" s="71"/>
      <c r="AE6" s="71"/>
      <c r="AF6" s="71"/>
      <c r="AG6" s="71"/>
      <c r="AH6" s="71"/>
      <c r="AI6" s="71"/>
    </row>
    <row r="7" customFormat="false" ht="15" hidden="false" customHeight="false" outlineLevel="0" collapsed="false">
      <c r="A7" s="256" t="n">
        <f aca="false">IF(Horodateur11233538192231343743464952555861646985222634384650585462667074788290989410210611411811012212613013413814214615015415816216617017417818218619019419820220621021441014182226303438465054586266[[#This Row],[Jour]]="1- Lundi",$B$1+1, IF(Horodateur11233538192231343743464952555861646985222634384650585462667074788290989410210611411811012212613013413814214615015415816216617017417818218619019419820220621021441014182226303438465054586266[[#This Row],[Jour]]="2- Mardi",$B$1+2, IF(Horodateur11233538192231343743464952555861646985222634384650585462667074788290989410210611411811012212613013413814214615015415816216617017417818218619019419820220621021441014182226303438465054586266[[#This Row],[Jour]]="3- Mercredi",$B$1+3, IF(Horodateur11233538192231343743464952555861646985222634384650585462667074788290989410210611411811012212613013413814214615015415816216617017417818218619019419820220621021441014182226303438465054586266[[#This Row],[Jour]]="4- Jeudi",$B$1+4, IF(Horodateur11233538192231343743464952555861646985222634384650585462667074788290989410210611411811012212613013413814214615015415816216617017417818218619019419820220621021441014182226303438465054586266[[#This Row],[Jour]]="5- Vendredi",$B$1+5, IF(Horodateur11233538192231343743464952555861646985222634384650585462667074788290989410210611411811012212613013413814214615015415816216617017417818218619019419820220621021441014182226303438465054586266[[#This Row],[Jour]]="6- Samedi",$B$1+6, IF(Horodateur11233538192231343743464952555861646985222634384650585462667074788290989410210611411811012212613013413814214615015415816216617017417818218619019419820220621021441014182226303438465054586266[[#This Row],[Jour]]="7- Dimanche",$B$1, )))))))</f>
        <v>44306</v>
      </c>
      <c r="B7" s="257" t="s">
        <v>312</v>
      </c>
      <c r="C7" s="258" t="n">
        <v>0.427083333333333</v>
      </c>
      <c r="D7" s="258" t="n">
        <v>0.5</v>
      </c>
      <c r="E7" s="71" t="s">
        <v>363</v>
      </c>
      <c r="F7" s="71" t="s">
        <v>378</v>
      </c>
      <c r="G7" s="259" t="s">
        <v>405</v>
      </c>
      <c r="H7" s="258" t="n">
        <f aca="false">IF($C7=0,"",$D7-$C7)</f>
        <v>0.0729166666666667</v>
      </c>
      <c r="I7" s="260" t="n">
        <f aca="false">IF($C7=0,"",($H7-INT($H7))*24)</f>
        <v>1.75</v>
      </c>
      <c r="J7" s="303" t="n">
        <f aca="false">SUMIF(Horodateur11233538192231343743464952555861646985222634384650585462667074788290989410210611411811012212613013413814214615015415816216617017417818218619019419820220621021441014182226303438465054586266[Jour],$B7,Horodateur11233538192231343743464952555861646985222634384650585462667074788290989410210611411811012212613013413814214615015415816216617017417818218619019419820220621021441014182226303438465054586266[Durée (100)])</f>
        <v>8.5</v>
      </c>
      <c r="K7" s="335"/>
      <c r="L7" s="336" t="s">
        <v>404</v>
      </c>
      <c r="M7" s="188" t="s">
        <v>33</v>
      </c>
      <c r="N7" s="272" t="str">
        <f aca="false">IF(Horodateur11233538192231343743464952555861646985222634384650585462667074788290989410210611411811012212613013413814214615015415816216617017417818218619019419820220621021441014182226303438465054586266[[#This Row],[O]]="o",Horodateur11233538192231343743464952555861646985222634384650585462667074788290989410210611411811012212613013413814214615015415816216617017417818218619019419820220621021441014182226303438465054586266[[#This Row],[Durée (100)]],".")</f>
        <v>.</v>
      </c>
      <c r="O7" s="337" t="n">
        <f aca="false">IF(L7 = "c", I7, 0)</f>
        <v>0</v>
      </c>
      <c r="P7" s="187"/>
      <c r="Q7" s="71"/>
      <c r="R7" s="71"/>
      <c r="S7" s="71"/>
      <c r="T7" s="71"/>
      <c r="U7" s="71"/>
      <c r="V7" s="71"/>
      <c r="W7" s="71"/>
      <c r="X7" s="71"/>
      <c r="Y7" s="71"/>
      <c r="Z7" s="71"/>
      <c r="AA7" s="71"/>
      <c r="AB7" s="71"/>
      <c r="AC7" s="71"/>
      <c r="AD7" s="71"/>
      <c r="AE7" s="71"/>
      <c r="AF7" s="71"/>
      <c r="AG7" s="71"/>
      <c r="AH7" s="71"/>
      <c r="AI7" s="71"/>
    </row>
    <row r="8" customFormat="false" ht="15" hidden="false" customHeight="false" outlineLevel="0" collapsed="false">
      <c r="A8" s="256" t="n">
        <f aca="false">IF(Horodateur11233538192231343743464952555861646985222634384650585462667074788290989410210611411811012212613013413814214615015415816216617017417818218619019419820220621021441014182226303438465054586266[[#This Row],[Jour]]="1- Lundi",$B$1+1, IF(Horodateur11233538192231343743464952555861646985222634384650585462667074788290989410210611411811012212613013413814214615015415816216617017417818218619019419820220621021441014182226303438465054586266[[#This Row],[Jour]]="2- Mardi",$B$1+2, IF(Horodateur11233538192231343743464952555861646985222634384650585462667074788290989410210611411811012212613013413814214615015415816216617017417818218619019419820220621021441014182226303438465054586266[[#This Row],[Jour]]="3- Mercredi",$B$1+3, IF(Horodateur11233538192231343743464952555861646985222634384650585462667074788290989410210611411811012212613013413814214615015415816216617017417818218619019419820220621021441014182226303438465054586266[[#This Row],[Jour]]="4- Jeudi",$B$1+4, IF(Horodateur11233538192231343743464952555861646985222634384650585462667074788290989410210611411811012212613013413814214615015415816216617017417818218619019419820220621021441014182226303438465054586266[[#This Row],[Jour]]="5- Vendredi",$B$1+5, IF(Horodateur11233538192231343743464952555861646985222634384650585462667074788290989410210611411811012212613013413814214615015415816216617017417818218619019419820220621021441014182226303438465054586266[[#This Row],[Jour]]="6- Samedi",$B$1+6, IF(Horodateur11233538192231343743464952555861646985222634384650585462667074788290989410210611411811012212613013413814214615015415816216617017417818218619019419820220621021441014182226303438465054586266[[#This Row],[Jour]]="7- Dimanche",$B$1, )))))))</f>
        <v>44306</v>
      </c>
      <c r="B8" s="257" t="s">
        <v>312</v>
      </c>
      <c r="C8" s="258" t="n">
        <v>0.5625</v>
      </c>
      <c r="D8" s="258" t="n">
        <v>0.583333333333333</v>
      </c>
      <c r="E8" s="71" t="s">
        <v>63</v>
      </c>
      <c r="F8" s="71" t="s">
        <v>379</v>
      </c>
      <c r="G8" s="259" t="s">
        <v>55</v>
      </c>
      <c r="H8" s="258" t="n">
        <f aca="false">IF($C8=0,"",$D8-$C8)</f>
        <v>0.0208333333333333</v>
      </c>
      <c r="I8" s="260" t="n">
        <f aca="false">IF($C8=0,"",($H8-INT($H8))*24)</f>
        <v>0.5</v>
      </c>
      <c r="J8" s="303" t="n">
        <f aca="false">SUMIF(Horodateur11233538192231343743464952555861646985222634384650585462667074788290989410210611411811012212613013413814214615015415816216617017417818218619019419820220621021441014182226303438465054586266[Jour],$B8,Horodateur11233538192231343743464952555861646985222634384650585462667074788290989410210611411811012212613013413814214615015415816216617017417818218619019419820220621021441014182226303438465054586266[Durée (100)])</f>
        <v>8.5</v>
      </c>
      <c r="K8" s="335"/>
      <c r="L8" s="336" t="s">
        <v>404</v>
      </c>
      <c r="M8" s="188" t="s">
        <v>33</v>
      </c>
      <c r="N8" s="272" t="str">
        <f aca="false">IF(Horodateur11233538192231343743464952555861646985222634384650585462667074788290989410210611411811012212613013413814214615015415816216617017417818218619019419820220621021441014182226303438465054586266[[#This Row],[O]]="o",Horodateur11233538192231343743464952555861646985222634384650585462667074788290989410210611411811012212613013413814214615015415816216617017417818218619019419820220621021441014182226303438465054586266[[#This Row],[Durée (100)]],".")</f>
        <v>.</v>
      </c>
      <c r="O8" s="337" t="n">
        <f aca="false">IF(L8 = "c", I8, 0)</f>
        <v>0</v>
      </c>
      <c r="P8" s="187"/>
      <c r="Q8" s="71"/>
      <c r="R8" s="71"/>
      <c r="S8" s="71"/>
      <c r="T8" s="71"/>
      <c r="U8" s="71"/>
      <c r="V8" s="71"/>
      <c r="W8" s="71"/>
      <c r="X8" s="71"/>
      <c r="Y8" s="71"/>
      <c r="Z8" s="71"/>
      <c r="AA8" s="71"/>
      <c r="AB8" s="71"/>
      <c r="AC8" s="71"/>
      <c r="AD8" s="71"/>
      <c r="AE8" s="71"/>
      <c r="AF8" s="71"/>
      <c r="AG8" s="71"/>
      <c r="AH8" s="71"/>
      <c r="AI8" s="71"/>
    </row>
    <row r="9" customFormat="false" ht="15" hidden="false" customHeight="false" outlineLevel="0" collapsed="false">
      <c r="A9" s="256" t="n">
        <f aca="false">IF(Horodateur11233538192231343743464952555861646985222634384650585462667074788290989410210611411811012212613013413814214615015415816216617017417818218619019419820220621021441014182226303438465054586266[[#This Row],[Jour]]="1- Lundi",$B$1+1, IF(Horodateur11233538192231343743464952555861646985222634384650585462667074788290989410210611411811012212613013413814214615015415816216617017417818218619019419820220621021441014182226303438465054586266[[#This Row],[Jour]]="2- Mardi",$B$1+2, IF(Horodateur11233538192231343743464952555861646985222634384650585462667074788290989410210611411811012212613013413814214615015415816216617017417818218619019419820220621021441014182226303438465054586266[[#This Row],[Jour]]="3- Mercredi",$B$1+3, IF(Horodateur11233538192231343743464952555861646985222634384650585462667074788290989410210611411811012212613013413814214615015415816216617017417818218619019419820220621021441014182226303438465054586266[[#This Row],[Jour]]="4- Jeudi",$B$1+4, IF(Horodateur11233538192231343743464952555861646985222634384650585462667074788290989410210611411811012212613013413814214615015415816216617017417818218619019419820220621021441014182226303438465054586266[[#This Row],[Jour]]="5- Vendredi",$B$1+5, IF(Horodateur11233538192231343743464952555861646985222634384650585462667074788290989410210611411811012212613013413814214615015415816216617017417818218619019419820220621021441014182226303438465054586266[[#This Row],[Jour]]="6- Samedi",$B$1+6, IF(Horodateur11233538192231343743464952555861646985222634384650585462667074788290989410210611411811012212613013413814214615015415816216617017417818218619019419820220621021441014182226303438465054586266[[#This Row],[Jour]]="7- Dimanche",$B$1, )))))))</f>
        <v>44306</v>
      </c>
      <c r="B9" s="257" t="s">
        <v>312</v>
      </c>
      <c r="C9" s="258" t="n">
        <v>0.583333333333333</v>
      </c>
      <c r="D9" s="258" t="n">
        <v>0.729166666666667</v>
      </c>
      <c r="E9" s="71" t="s">
        <v>363</v>
      </c>
      <c r="F9" s="71" t="s">
        <v>378</v>
      </c>
      <c r="G9" s="259" t="s">
        <v>405</v>
      </c>
      <c r="H9" s="258" t="n">
        <f aca="false">IF($C9=0,"",$D9-$C9)</f>
        <v>0.145833333333333</v>
      </c>
      <c r="I9" s="260" t="n">
        <f aca="false">IF($C9=0,"",($H9-INT($H9))*24)</f>
        <v>3.5</v>
      </c>
      <c r="J9" s="303" t="n">
        <f aca="false">SUMIF(Horodateur11233538192231343743464952555861646985222634384650585462667074788290989410210611411811012212613013413814214615015415816216617017417818218619019419820220621021441014182226303438465054586266[Jour],$B9,Horodateur11233538192231343743464952555861646985222634384650585462667074788290989410210611411811012212613013413814214615015415816216617017417818218619019419820220621021441014182226303438465054586266[Durée (100)])</f>
        <v>8.5</v>
      </c>
      <c r="K9" s="335"/>
      <c r="L9" s="336"/>
      <c r="M9" s="188" t="s">
        <v>33</v>
      </c>
      <c r="N9" s="272" t="str">
        <f aca="false">IF(Horodateur11233538192231343743464952555861646985222634384650585462667074788290989410210611411811012212613013413814214615015415816216617017417818218619019419820220621021441014182226303438465054586266[[#This Row],[O]]="o",Horodateur11233538192231343743464952555861646985222634384650585462667074788290989410210611411811012212613013413814214615015415816216617017417818218619019419820220621021441014182226303438465054586266[[#This Row],[Durée (100)]],".")</f>
        <v>.</v>
      </c>
      <c r="O9" s="337" t="n">
        <f aca="false">IF(L9 = "c", I9, 0)</f>
        <v>0</v>
      </c>
      <c r="P9" s="187"/>
      <c r="Q9" s="71"/>
      <c r="R9" s="71"/>
      <c r="S9" s="71"/>
      <c r="T9" s="71"/>
      <c r="U9" s="71"/>
      <c r="V9" s="71"/>
      <c r="W9" s="71"/>
      <c r="X9" s="71"/>
      <c r="Y9" s="71"/>
      <c r="Z9" s="71"/>
      <c r="AA9" s="71"/>
      <c r="AB9" s="71"/>
      <c r="AC9" s="71"/>
      <c r="AD9" s="71"/>
      <c r="AE9" s="71"/>
      <c r="AF9" s="71"/>
      <c r="AG9" s="71"/>
      <c r="AH9" s="71"/>
      <c r="AI9" s="71"/>
    </row>
    <row r="10" customFormat="false" ht="15" hidden="false" customHeight="false" outlineLevel="0" collapsed="false">
      <c r="A10" s="256" t="n">
        <f aca="false">IF(Horodateur11233538192231343743464952555861646985222634384650585462667074788290989410210611411811012212613013413814214615015415816216617017417818218619019419820220621021441014182226303438465054586266[[#This Row],[Jour]]="1- Lundi",$B$1+1, IF(Horodateur11233538192231343743464952555861646985222634384650585462667074788290989410210611411811012212613013413814214615015415816216617017417818218619019419820220621021441014182226303438465054586266[[#This Row],[Jour]]="2- Mardi",$B$1+2, IF(Horodateur11233538192231343743464952555861646985222634384650585462667074788290989410210611411811012212613013413814214615015415816216617017417818218619019419820220621021441014182226303438465054586266[[#This Row],[Jour]]="3- Mercredi",$B$1+3, IF(Horodateur11233538192231343743464952555861646985222634384650585462667074788290989410210611411811012212613013413814214615015415816216617017417818218619019419820220621021441014182226303438465054586266[[#This Row],[Jour]]="4- Jeudi",$B$1+4, IF(Horodateur11233538192231343743464952555861646985222634384650585462667074788290989410210611411811012212613013413814214615015415816216617017417818218619019419820220621021441014182226303438465054586266[[#This Row],[Jour]]="5- Vendredi",$B$1+5, IF(Horodateur11233538192231343743464952555861646985222634384650585462667074788290989410210611411811012212613013413814214615015415816216617017417818218619019419820220621021441014182226303438465054586266[[#This Row],[Jour]]="6- Samedi",$B$1+6, IF(Horodateur11233538192231343743464952555861646985222634384650585462667074788290989410210611411811012212613013413814214615015415816216617017417818218619019419820220621021441014182226303438465054586266[[#This Row],[Jour]]="7- Dimanche",$B$1, )))))))</f>
        <v>44306</v>
      </c>
      <c r="B10" s="257" t="s">
        <v>312</v>
      </c>
      <c r="C10" s="258" t="n">
        <v>0.625</v>
      </c>
      <c r="D10" s="258" t="n">
        <v>0.625</v>
      </c>
      <c r="E10" s="71" t="s">
        <v>63</v>
      </c>
      <c r="F10" s="71" t="s">
        <v>378</v>
      </c>
      <c r="G10" s="259" t="s">
        <v>406</v>
      </c>
      <c r="H10" s="258" t="n">
        <f aca="false">IF($C10=0,"",$D10-$C10)</f>
        <v>0</v>
      </c>
      <c r="I10" s="260" t="n">
        <f aca="false">IF($C10=0,"",($H10-INT($H10))*24)</f>
        <v>0</v>
      </c>
      <c r="J10" s="303" t="n">
        <f aca="false">SUMIF(Horodateur11233538192231343743464952555861646985222634384650585462667074788290989410210611411811012212613013413814214615015415816216617017417818218619019419820220621021441014182226303438465054586266[Jour],$B10,Horodateur11233538192231343743464952555861646985222634384650585462667074788290989410210611411811012212613013413814214615015415816216617017417818218619019419820220621021441014182226303438465054586266[Durée (100)])</f>
        <v>8.5</v>
      </c>
      <c r="K10" s="335" t="s">
        <v>407</v>
      </c>
      <c r="L10" s="336"/>
      <c r="M10" s="188" t="s">
        <v>33</v>
      </c>
      <c r="N10" s="272" t="str">
        <f aca="false">IF(Horodateur11233538192231343743464952555861646985222634384650585462667074788290989410210611411811012212613013413814214615015415816216617017417818218619019419820220621021441014182226303438465054586266[[#This Row],[O]]="o",Horodateur11233538192231343743464952555861646985222634384650585462667074788290989410210611411811012212613013413814214615015415816216617017417818218619019419820220621021441014182226303438465054586266[[#This Row],[Durée (100)]],".")</f>
        <v>.</v>
      </c>
      <c r="O10" s="337" t="n">
        <f aca="false">IF(L10 = "c", I10, 0)</f>
        <v>0</v>
      </c>
      <c r="P10" s="187"/>
      <c r="Q10" s="71"/>
      <c r="R10" s="71"/>
      <c r="S10" s="71"/>
      <c r="T10" s="71"/>
      <c r="U10" s="71"/>
      <c r="V10" s="71"/>
      <c r="W10" s="71"/>
      <c r="X10" s="71"/>
      <c r="Y10" s="71"/>
      <c r="Z10" s="71"/>
      <c r="AA10" s="71"/>
      <c r="AB10" s="71"/>
      <c r="AC10" s="71"/>
      <c r="AD10" s="71"/>
      <c r="AE10" s="71"/>
      <c r="AF10" s="71"/>
      <c r="AG10" s="71"/>
      <c r="AH10" s="71"/>
      <c r="AI10" s="71"/>
    </row>
    <row r="11" customFormat="false" ht="15" hidden="false" customHeight="false" outlineLevel="0" collapsed="false">
      <c r="A11" s="256" t="n">
        <f aca="false">IF(Horodateur11233538192231343743464952555861646985222634384650585462667074788290989410210611411811012212613013413814214615015415816216617017417818218619019419820220621021441014182226303438465054586266[[#This Row],[Jour]]="1- Lundi",$B$1+1, IF(Horodateur11233538192231343743464952555861646985222634384650585462667074788290989410210611411811012212613013413814214615015415816216617017417818218619019419820220621021441014182226303438465054586266[[#This Row],[Jour]]="2- Mardi",$B$1+2, IF(Horodateur11233538192231343743464952555861646985222634384650585462667074788290989410210611411811012212613013413814214615015415816216617017417818218619019419820220621021441014182226303438465054586266[[#This Row],[Jour]]="3- Mercredi",$B$1+3, IF(Horodateur11233538192231343743464952555861646985222634384650585462667074788290989410210611411811012212613013413814214615015415816216617017417818218619019419820220621021441014182226303438465054586266[[#This Row],[Jour]]="4- Jeudi",$B$1+4, IF(Horodateur11233538192231343743464952555861646985222634384650585462667074788290989410210611411811012212613013413814214615015415816216617017417818218619019419820220621021441014182226303438465054586266[[#This Row],[Jour]]="5- Vendredi",$B$1+5, IF(Horodateur11233538192231343743464952555861646985222634384650585462667074788290989410210611411811012212613013413814214615015415816216617017417818218619019419820220621021441014182226303438465054586266[[#This Row],[Jour]]="6- Samedi",$B$1+6, IF(Horodateur11233538192231343743464952555861646985222634384650585462667074788290989410210611411811012212613013413814214615015415816216617017417818218619019419820220621021441014182226303438465054586266[[#This Row],[Jour]]="7- Dimanche",$B$1, )))))))</f>
        <v>44307</v>
      </c>
      <c r="B11" s="257" t="s">
        <v>319</v>
      </c>
      <c r="C11" s="258" t="n">
        <v>0.3125</v>
      </c>
      <c r="D11" s="258" t="n">
        <v>0.333333333333333</v>
      </c>
      <c r="E11" s="71" t="s">
        <v>32</v>
      </c>
      <c r="F11" s="71" t="s">
        <v>21</v>
      </c>
      <c r="G11" s="259"/>
      <c r="H11" s="258" t="n">
        <f aca="false">IF($C11=0,"",$D11-$C11)</f>
        <v>0.0208333333333333</v>
      </c>
      <c r="I11" s="260" t="n">
        <f aca="false">IF($C11=0,"",($H11-INT($H11))*24)</f>
        <v>0.5</v>
      </c>
      <c r="J11" s="303" t="n">
        <f aca="false">SUMIF(Horodateur11233538192231343743464952555861646985222634384650585462667074788290989410210611411811012212613013413814214615015415816216617017417818218619019419820220621021441014182226303438465054586266[Jour],$B11,Horodateur11233538192231343743464952555861646985222634384650585462667074788290989410210611411811012212613013413814214615015415816216617017417818218619019419820220621021441014182226303438465054586266[Durée (100)])</f>
        <v>5.5</v>
      </c>
      <c r="K11" s="335"/>
      <c r="L11" s="336"/>
      <c r="M11" s="188" t="s">
        <v>33</v>
      </c>
      <c r="N11" s="272" t="str">
        <f aca="false">IF(Horodateur11233538192231343743464952555861646985222634384650585462667074788290989410210611411811012212613013413814214615015415816216617017417818218619019419820220621021441014182226303438465054586266[[#This Row],[O]]="o",Horodateur11233538192231343743464952555861646985222634384650585462667074788290989410210611411811012212613013413814214615015415816216617017417818218619019419820220621021441014182226303438465054586266[[#This Row],[Durée (100)]],".")</f>
        <v>.</v>
      </c>
      <c r="O11" s="337" t="n">
        <f aca="false">IF(L11 = "c", I11, 0)</f>
        <v>0</v>
      </c>
      <c r="P11" s="187"/>
      <c r="Q11" s="71"/>
      <c r="R11" s="71"/>
      <c r="S11" s="71"/>
      <c r="T11" s="71"/>
      <c r="U11" s="71"/>
      <c r="V11" s="71"/>
      <c r="W11" s="71"/>
      <c r="X11" s="71"/>
      <c r="Y11" s="71"/>
      <c r="Z11" s="71"/>
      <c r="AA11" s="71"/>
      <c r="AB11" s="71"/>
      <c r="AC11" s="71"/>
      <c r="AD11" s="71"/>
      <c r="AE11" s="71"/>
      <c r="AF11" s="71"/>
      <c r="AG11" s="71"/>
      <c r="AH11" s="71"/>
      <c r="AI11" s="71"/>
    </row>
    <row r="12" customFormat="false" ht="15" hidden="false" customHeight="false" outlineLevel="0" collapsed="false">
      <c r="A12" s="256" t="n">
        <f aca="false">IF(Horodateur11233538192231343743464952555861646985222634384650585462667074788290989410210611411811012212613013413814214615015415816216617017417818218619019419820220621021441014182226303438465054586266[[#This Row],[Jour]]="1- Lundi",$B$1+1, IF(Horodateur11233538192231343743464952555861646985222634384650585462667074788290989410210611411811012212613013413814214615015415816216617017417818218619019419820220621021441014182226303438465054586266[[#This Row],[Jour]]="2- Mardi",$B$1+2, IF(Horodateur11233538192231343743464952555861646985222634384650585462667074788290989410210611411811012212613013413814214615015415816216617017417818218619019419820220621021441014182226303438465054586266[[#This Row],[Jour]]="3- Mercredi",$B$1+3, IF(Horodateur11233538192231343743464952555861646985222634384650585462667074788290989410210611411811012212613013413814214615015415816216617017417818218619019419820220621021441014182226303438465054586266[[#This Row],[Jour]]="4- Jeudi",$B$1+4, IF(Horodateur11233538192231343743464952555861646985222634384650585462667074788290989410210611411811012212613013413814214615015415816216617017417818218619019419820220621021441014182226303438465054586266[[#This Row],[Jour]]="5- Vendredi",$B$1+5, IF(Horodateur11233538192231343743464952555861646985222634384650585462667074788290989410210611411811012212613013413814214615015415816216617017417818218619019419820220621021441014182226303438465054586266[[#This Row],[Jour]]="6- Samedi",$B$1+6, IF(Horodateur11233538192231343743464952555861646985222634384650585462667074788290989410210611411811012212613013413814214615015415816216617017417818218619019419820220621021441014182226303438465054586266[[#This Row],[Jour]]="7- Dimanche",$B$1, )))))))</f>
        <v>44307</v>
      </c>
      <c r="B12" s="257" t="s">
        <v>319</v>
      </c>
      <c r="C12" s="258" t="n">
        <v>0.333333333333333</v>
      </c>
      <c r="D12" s="258" t="n">
        <v>0.385416666666667</v>
      </c>
      <c r="E12" s="71" t="s">
        <v>363</v>
      </c>
      <c r="F12" s="71" t="s">
        <v>378</v>
      </c>
      <c r="G12" s="259" t="s">
        <v>405</v>
      </c>
      <c r="H12" s="258" t="n">
        <f aca="false">IF($C12=0,"",$D12-$C12)</f>
        <v>0.0520833333333333</v>
      </c>
      <c r="I12" s="260" t="n">
        <f aca="false">IF($C12=0,"",($H12-INT($H12))*24)</f>
        <v>1.25</v>
      </c>
      <c r="J12" s="303" t="n">
        <f aca="false">SUMIF(Horodateur11233538192231343743464952555861646985222634384650585462667074788290989410210611411811012212613013413814214615015415816216617017417818218619019419820220621021441014182226303438465054586266[Jour],$B12,Horodateur11233538192231343743464952555861646985222634384650585462667074788290989410210611411811012212613013413814214615015415816216617017417818218619019419820220621021441014182226303438465054586266[Durée (100)])</f>
        <v>5.5</v>
      </c>
      <c r="K12" s="335"/>
      <c r="L12" s="336"/>
      <c r="M12" s="188" t="s">
        <v>33</v>
      </c>
      <c r="N12" s="272" t="str">
        <f aca="false">IF(Horodateur11233538192231343743464952555861646985222634384650585462667074788290989410210611411811012212613013413814214615015415816216617017417818218619019419820220621021441014182226303438465054586266[[#This Row],[O]]="o",Horodateur11233538192231343743464952555861646985222634384650585462667074788290989410210611411811012212613013413814214615015415816216617017417818218619019419820220621021441014182226303438465054586266[[#This Row],[Durée (100)]],".")</f>
        <v>.</v>
      </c>
      <c r="O12" s="337" t="n">
        <f aca="false">IF(L12 = "c", I12, 0)</f>
        <v>0</v>
      </c>
      <c r="P12" s="187"/>
      <c r="Q12" s="71"/>
      <c r="R12" s="71"/>
      <c r="S12" s="71"/>
      <c r="T12" s="71"/>
      <c r="U12" s="71"/>
      <c r="V12" s="71"/>
      <c r="W12" s="71"/>
      <c r="X12" s="71"/>
      <c r="Y12" s="71"/>
      <c r="Z12" s="71"/>
      <c r="AA12" s="71"/>
      <c r="AB12" s="71"/>
      <c r="AC12" s="71"/>
      <c r="AD12" s="71"/>
      <c r="AE12" s="71"/>
      <c r="AF12" s="71"/>
      <c r="AG12" s="71"/>
      <c r="AH12" s="71"/>
      <c r="AI12" s="71"/>
    </row>
    <row r="13" customFormat="false" ht="15" hidden="false" customHeight="false" outlineLevel="0" collapsed="false">
      <c r="A13" s="256" t="n">
        <f aca="false">IF(Horodateur11233538192231343743464952555861646985222634384650585462667074788290989410210611411811012212613013413814214615015415816216617017417818218619019419820220621021441014182226303438465054586266[[#This Row],[Jour]]="1- Lundi",$B$1+1, IF(Horodateur11233538192231343743464952555861646985222634384650585462667074788290989410210611411811012212613013413814214615015415816216617017417818218619019419820220621021441014182226303438465054586266[[#This Row],[Jour]]="2- Mardi",$B$1+2, IF(Horodateur11233538192231343743464952555861646985222634384650585462667074788290989410210611411811012212613013413814214615015415816216617017417818218619019419820220621021441014182226303438465054586266[[#This Row],[Jour]]="3- Mercredi",$B$1+3, IF(Horodateur11233538192231343743464952555861646985222634384650585462667074788290989410210611411811012212613013413814214615015415816216617017417818218619019419820220621021441014182226303438465054586266[[#This Row],[Jour]]="4- Jeudi",$B$1+4, IF(Horodateur11233538192231343743464952555861646985222634384650585462667074788290989410210611411811012212613013413814214615015415816216617017417818218619019419820220621021441014182226303438465054586266[[#This Row],[Jour]]="5- Vendredi",$B$1+5, IF(Horodateur11233538192231343743464952555861646985222634384650585462667074788290989410210611411811012212613013413814214615015415816216617017417818218619019419820220621021441014182226303438465054586266[[#This Row],[Jour]]="6- Samedi",$B$1+6, IF(Horodateur11233538192231343743464952555861646985222634384650585462667074788290989410210611411811012212613013413814214615015415816216617017417818218619019419820220621021441014182226303438465054586266[[#This Row],[Jour]]="7- Dimanche",$B$1, )))))))</f>
        <v>44307</v>
      </c>
      <c r="B13" s="257" t="s">
        <v>319</v>
      </c>
      <c r="C13" s="258" t="n">
        <v>0.385416666666667</v>
      </c>
      <c r="D13" s="258" t="n">
        <v>0.416666666666667</v>
      </c>
      <c r="E13" s="71" t="s">
        <v>59</v>
      </c>
      <c r="F13" s="71" t="s">
        <v>378</v>
      </c>
      <c r="G13" s="259" t="s">
        <v>368</v>
      </c>
      <c r="H13" s="258" t="n">
        <f aca="false">IF($C13=0,"",$D13-$C13)</f>
        <v>0.03125</v>
      </c>
      <c r="I13" s="260" t="n">
        <f aca="false">IF($C13=0,"",($H13-INT($H13))*24)</f>
        <v>0.75</v>
      </c>
      <c r="J13" s="303" t="n">
        <f aca="false">SUMIF(Horodateur11233538192231343743464952555861646985222634384650585462667074788290989410210611411811012212613013413814214615015415816216617017417818218619019419820220621021441014182226303438465054586266[Jour],$B13,Horodateur11233538192231343743464952555861646985222634384650585462667074788290989410210611411811012212613013413814214615015415816216617017417818218619019419820220621021441014182226303438465054586266[Durée (100)])</f>
        <v>5.5</v>
      </c>
      <c r="K13" s="335"/>
      <c r="L13" s="336"/>
      <c r="M13" s="188" t="s">
        <v>33</v>
      </c>
      <c r="N13" s="272" t="str">
        <f aca="false">IF(Horodateur11233538192231343743464952555861646985222634384650585462667074788290989410210611411811012212613013413814214615015415816216617017417818218619019419820220621021441014182226303438465054586266[[#This Row],[O]]="o",Horodateur11233538192231343743464952555861646985222634384650585462667074788290989410210611411811012212613013413814214615015415816216617017417818218619019419820220621021441014182226303438465054586266[[#This Row],[Durée (100)]],".")</f>
        <v>.</v>
      </c>
      <c r="O13" s="337" t="n">
        <f aca="false">IF(L13 = "c", I13, 0)</f>
        <v>0</v>
      </c>
      <c r="P13" s="187"/>
      <c r="Q13" s="71"/>
      <c r="R13" s="71"/>
      <c r="S13" s="71"/>
      <c r="T13" s="71"/>
      <c r="U13" s="71"/>
      <c r="V13" s="71"/>
      <c r="W13" s="71"/>
      <c r="X13" s="71"/>
      <c r="Y13" s="71"/>
      <c r="Z13" s="71"/>
      <c r="AA13" s="71"/>
      <c r="AB13" s="71"/>
      <c r="AC13" s="71"/>
      <c r="AD13" s="71"/>
      <c r="AE13" s="71"/>
      <c r="AF13" s="71"/>
      <c r="AG13" s="71"/>
      <c r="AH13" s="71"/>
      <c r="AI13" s="71"/>
    </row>
    <row r="14" customFormat="false" ht="15" hidden="false" customHeight="false" outlineLevel="0" collapsed="false">
      <c r="A14" s="256" t="n">
        <f aca="false">IF(Horodateur11233538192231343743464952555861646985222634384650585462667074788290989410210611411811012212613013413814214615015415816216617017417818218619019419820220621021441014182226303438465054586266[[#This Row],[Jour]]="1- Lundi",$B$1+1, IF(Horodateur11233538192231343743464952555861646985222634384650585462667074788290989410210611411811012212613013413814214615015415816216617017417818218619019419820220621021441014182226303438465054586266[[#This Row],[Jour]]="2- Mardi",$B$1+2, IF(Horodateur11233538192231343743464952555861646985222634384650585462667074788290989410210611411811012212613013413814214615015415816216617017417818218619019419820220621021441014182226303438465054586266[[#This Row],[Jour]]="3- Mercredi",$B$1+3, IF(Horodateur11233538192231343743464952555861646985222634384650585462667074788290989410210611411811012212613013413814214615015415816216617017417818218619019419820220621021441014182226303438465054586266[[#This Row],[Jour]]="4- Jeudi",$B$1+4, IF(Horodateur11233538192231343743464952555861646985222634384650585462667074788290989410210611411811012212613013413814214615015415816216617017417818218619019419820220621021441014182226303438465054586266[[#This Row],[Jour]]="5- Vendredi",$B$1+5, IF(Horodateur11233538192231343743464952555861646985222634384650585462667074788290989410210611411811012212613013413814214615015415816216617017417818218619019419820220621021441014182226303438465054586266[[#This Row],[Jour]]="6- Samedi",$B$1+6, IF(Horodateur11233538192231343743464952555861646985222634384650585462667074788290989410210611411811012212613013413814214615015415816216617017417818218619019419820220621021441014182226303438465054586266[[#This Row],[Jour]]="7- Dimanche",$B$1, )))))))</f>
        <v>44307</v>
      </c>
      <c r="B14" s="257" t="s">
        <v>319</v>
      </c>
      <c r="C14" s="258" t="n">
        <v>0.4375</v>
      </c>
      <c r="D14" s="258" t="n">
        <v>0.447916666666667</v>
      </c>
      <c r="E14" s="71" t="s">
        <v>363</v>
      </c>
      <c r="F14" s="71" t="s">
        <v>378</v>
      </c>
      <c r="G14" s="259" t="s">
        <v>405</v>
      </c>
      <c r="H14" s="258" t="n">
        <f aca="false">IF($C14=0,"",$D14-$C14)</f>
        <v>0.0104166666666667</v>
      </c>
      <c r="I14" s="260" t="n">
        <f aca="false">IF($C14=0,"",($H14-INT($H14))*24)</f>
        <v>0.25</v>
      </c>
      <c r="J14" s="303" t="n">
        <f aca="false">SUMIF(Horodateur11233538192231343743464952555861646985222634384650585462667074788290989410210611411811012212613013413814214615015415816216617017417818218619019419820220621021441014182226303438465054586266[Jour],$B14,Horodateur11233538192231343743464952555861646985222634384650585462667074788290989410210611411811012212613013413814214615015415816216617017417818218619019419820220621021441014182226303438465054586266[Durée (100)])</f>
        <v>5.5</v>
      </c>
      <c r="K14" s="335"/>
      <c r="L14" s="336"/>
      <c r="M14" s="188" t="s">
        <v>33</v>
      </c>
      <c r="N14" s="272" t="str">
        <f aca="false">IF(Horodateur11233538192231343743464952555861646985222634384650585462667074788290989410210611411811012212613013413814214615015415816216617017417818218619019419820220621021441014182226303438465054586266[[#This Row],[O]]="o",Horodateur11233538192231343743464952555861646985222634384650585462667074788290989410210611411811012212613013413814214615015415816216617017417818218619019419820220621021441014182226303438465054586266[[#This Row],[Durée (100)]],".")</f>
        <v>.</v>
      </c>
      <c r="O14" s="337" t="n">
        <f aca="false">IF(L14 = "c", I14, 0)</f>
        <v>0</v>
      </c>
      <c r="P14" s="187"/>
      <c r="Q14" s="71"/>
      <c r="R14" s="71"/>
      <c r="S14" s="71"/>
      <c r="T14" s="71"/>
      <c r="U14" s="71"/>
      <c r="V14" s="71"/>
      <c r="W14" s="71"/>
      <c r="X14" s="71"/>
      <c r="Y14" s="71"/>
      <c r="Z14" s="71"/>
      <c r="AA14" s="71"/>
      <c r="AB14" s="71"/>
      <c r="AC14" s="71"/>
      <c r="AD14" s="71"/>
      <c r="AE14" s="71"/>
      <c r="AF14" s="71"/>
      <c r="AG14" s="71"/>
      <c r="AH14" s="71"/>
      <c r="AI14" s="71"/>
    </row>
    <row r="15" customFormat="false" ht="15" hidden="false" customHeight="false" outlineLevel="0" collapsed="false">
      <c r="A15" s="256" t="n">
        <f aca="false">IF(Horodateur11233538192231343743464952555861646985222634384650585462667074788290989410210611411811012212613013413814214615015415816216617017417818218619019419820220621021441014182226303438465054586266[[#This Row],[Jour]]="1- Lundi",$B$1+1, IF(Horodateur11233538192231343743464952555861646985222634384650585462667074788290989410210611411811012212613013413814214615015415816216617017417818218619019419820220621021441014182226303438465054586266[[#This Row],[Jour]]="2- Mardi",$B$1+2, IF(Horodateur11233538192231343743464952555861646985222634384650585462667074788290989410210611411811012212613013413814214615015415816216617017417818218619019419820220621021441014182226303438465054586266[[#This Row],[Jour]]="3- Mercredi",$B$1+3, IF(Horodateur11233538192231343743464952555861646985222634384650585462667074788290989410210611411811012212613013413814214615015415816216617017417818218619019419820220621021441014182226303438465054586266[[#This Row],[Jour]]="4- Jeudi",$B$1+4, IF(Horodateur11233538192231343743464952555861646985222634384650585462667074788290989410210611411811012212613013413814214615015415816216617017417818218619019419820220621021441014182226303438465054586266[[#This Row],[Jour]]="5- Vendredi",$B$1+5, IF(Horodateur11233538192231343743464952555861646985222634384650585462667074788290989410210611411811012212613013413814214615015415816216617017417818218619019419820220621021441014182226303438465054586266[[#This Row],[Jour]]="6- Samedi",$B$1+6, IF(Horodateur11233538192231343743464952555861646985222634384650585462667074788290989410210611411811012212613013413814214615015415816216617017417818218619019419820220621021441014182226303438465054586266[[#This Row],[Jour]]="7- Dimanche",$B$1, )))))))</f>
        <v>44307</v>
      </c>
      <c r="B15" s="257" t="s">
        <v>319</v>
      </c>
      <c r="C15" s="258" t="n">
        <v>0.614583333333333</v>
      </c>
      <c r="D15" s="258" t="n">
        <v>0.6875</v>
      </c>
      <c r="E15" s="71" t="s">
        <v>363</v>
      </c>
      <c r="F15" s="71" t="s">
        <v>378</v>
      </c>
      <c r="G15" s="259" t="s">
        <v>405</v>
      </c>
      <c r="H15" s="258" t="n">
        <f aca="false">IF($C15=0,"",$D15-$C15)</f>
        <v>0.0729166666666667</v>
      </c>
      <c r="I15" s="260" t="n">
        <f aca="false">IF($C15=0,"",($H15-INT($H15))*24)</f>
        <v>1.75</v>
      </c>
      <c r="J15" s="303" t="n">
        <f aca="false">SUMIF(Horodateur11233538192231343743464952555861646985222634384650585462667074788290989410210611411811012212613013413814214615015415816216617017417818218619019419820220621021441014182226303438465054586266[Jour],$B15,Horodateur11233538192231343743464952555861646985222634384650585462667074788290989410210611411811012212613013413814214615015415816216617017417818218619019419820220621021441014182226303438465054586266[Durée (100)])</f>
        <v>5.5</v>
      </c>
      <c r="K15" s="335"/>
      <c r="L15" s="336"/>
      <c r="M15" s="188" t="s">
        <v>33</v>
      </c>
      <c r="N15" s="272" t="str">
        <f aca="false">IF(Horodateur11233538192231343743464952555861646985222634384650585462667074788290989410210611411811012212613013413814214615015415816216617017417818218619019419820220621021441014182226303438465054586266[[#This Row],[O]]="o",Horodateur11233538192231343743464952555861646985222634384650585462667074788290989410210611411811012212613013413814214615015415816216617017417818218619019419820220621021441014182226303438465054586266[[#This Row],[Durée (100)]],".")</f>
        <v>.</v>
      </c>
      <c r="O15" s="337" t="n">
        <f aca="false">IF(L15 = "c", I15, 0)</f>
        <v>0</v>
      </c>
      <c r="P15" s="187"/>
      <c r="Q15" s="71"/>
      <c r="R15" s="71"/>
      <c r="S15" s="71"/>
      <c r="T15" s="71"/>
      <c r="U15" s="71"/>
      <c r="V15" s="71"/>
      <c r="W15" s="71"/>
      <c r="X15" s="71"/>
      <c r="Y15" s="71"/>
      <c r="Z15" s="71"/>
      <c r="AA15" s="71"/>
      <c r="AB15" s="71"/>
      <c r="AC15" s="71"/>
      <c r="AD15" s="71"/>
      <c r="AE15" s="71"/>
      <c r="AF15" s="71"/>
      <c r="AG15" s="71"/>
      <c r="AH15" s="71"/>
      <c r="AI15" s="71"/>
    </row>
    <row r="16" customFormat="false" ht="15" hidden="false" customHeight="false" outlineLevel="0" collapsed="false">
      <c r="A16" s="256" t="n">
        <f aca="false">IF(Horodateur11233538192231343743464952555861646985222634384650585462667074788290989410210611411811012212613013413814214615015415816216617017417818218619019419820220621021441014182226303438465054586266[[#This Row],[Jour]]="1- Lundi",$B$1+1, IF(Horodateur11233538192231343743464952555861646985222634384650585462667074788290989410210611411811012212613013413814214615015415816216617017417818218619019419820220621021441014182226303438465054586266[[#This Row],[Jour]]="2- Mardi",$B$1+2, IF(Horodateur11233538192231343743464952555861646985222634384650585462667074788290989410210611411811012212613013413814214615015415816216617017417818218619019419820220621021441014182226303438465054586266[[#This Row],[Jour]]="3- Mercredi",$B$1+3, IF(Horodateur11233538192231343743464952555861646985222634384650585462667074788290989410210611411811012212613013413814214615015415816216617017417818218619019419820220621021441014182226303438465054586266[[#This Row],[Jour]]="4- Jeudi",$B$1+4, IF(Horodateur11233538192231343743464952555861646985222634384650585462667074788290989410210611411811012212613013413814214615015415816216617017417818218619019419820220621021441014182226303438465054586266[[#This Row],[Jour]]="5- Vendredi",$B$1+5, IF(Horodateur11233538192231343743464952555861646985222634384650585462667074788290989410210611411811012212613013413814214615015415816216617017417818218619019419820220621021441014182226303438465054586266[[#This Row],[Jour]]="6- Samedi",$B$1+6, IF(Horodateur11233538192231343743464952555861646985222634384650585462667074788290989410210611411811012212613013413814214615015415816216617017417818218619019419820220621021441014182226303438465054586266[[#This Row],[Jour]]="7- Dimanche",$B$1, )))))))</f>
        <v>44307</v>
      </c>
      <c r="B16" s="257" t="s">
        <v>319</v>
      </c>
      <c r="C16" s="258" t="n">
        <v>0.6875</v>
      </c>
      <c r="D16" s="258" t="n">
        <v>0.708333333333333</v>
      </c>
      <c r="E16" s="71" t="s">
        <v>79</v>
      </c>
      <c r="F16" s="71" t="s">
        <v>20</v>
      </c>
      <c r="G16" s="259" t="s">
        <v>369</v>
      </c>
      <c r="H16" s="258" t="n">
        <f aca="false">IF($C16=0,"",$D16-$C16)</f>
        <v>0.0208333333333333</v>
      </c>
      <c r="I16" s="260" t="n">
        <f aca="false">IF($C16=0,"",($H16-INT($H16))*24)</f>
        <v>0.5</v>
      </c>
      <c r="J16" s="303" t="n">
        <f aca="false">SUMIF(Horodateur11233538192231343743464952555861646985222634384650585462667074788290989410210611411811012212613013413814214615015415816216617017417818218619019419820220621021441014182226303438465054586266[Jour],$B16,Horodateur11233538192231343743464952555861646985222634384650585462667074788290989410210611411811012212613013413814214615015415816216617017417818218619019419820220621021441014182226303438465054586266[Durée (100)])</f>
        <v>5.5</v>
      </c>
      <c r="K16" s="335"/>
      <c r="L16" s="336"/>
      <c r="M16" s="188" t="s">
        <v>33</v>
      </c>
      <c r="N16" s="272" t="str">
        <f aca="false">IF(Horodateur11233538192231343743464952555861646985222634384650585462667074788290989410210611411811012212613013413814214615015415816216617017417818218619019419820220621021441014182226303438465054586266[[#This Row],[O]]="o",Horodateur11233538192231343743464952555861646985222634384650585462667074788290989410210611411811012212613013413814214615015415816216617017417818218619019419820220621021441014182226303438465054586266[[#This Row],[Durée (100)]],".")</f>
        <v>.</v>
      </c>
      <c r="O16" s="337" t="n">
        <f aca="false">IF(L16 = "c", I16, 0)</f>
        <v>0</v>
      </c>
      <c r="P16" s="187"/>
      <c r="Q16" s="71"/>
      <c r="R16" s="71"/>
      <c r="S16" s="71"/>
      <c r="T16" s="71"/>
      <c r="U16" s="71"/>
      <c r="V16" s="71"/>
      <c r="W16" s="71"/>
      <c r="X16" s="71"/>
      <c r="Y16" s="71"/>
      <c r="Z16" s="71"/>
      <c r="AA16" s="71"/>
      <c r="AB16" s="71"/>
      <c r="AC16" s="71"/>
      <c r="AD16" s="71"/>
      <c r="AE16" s="71"/>
      <c r="AF16" s="71"/>
      <c r="AG16" s="71"/>
      <c r="AH16" s="71"/>
      <c r="AI16" s="71"/>
    </row>
    <row r="17" customFormat="false" ht="15" hidden="false" customHeight="false" outlineLevel="0" collapsed="false">
      <c r="A17" s="256" t="n">
        <f aca="false">IF(Horodateur11233538192231343743464952555861646985222634384650585462667074788290989410210611411811012212613013413814214615015415816216617017417818218619019419820220621021441014182226303438465054586266[[#This Row],[Jour]]="1- Lundi",$B$1+1, IF(Horodateur11233538192231343743464952555861646985222634384650585462667074788290989410210611411811012212613013413814214615015415816216617017417818218619019419820220621021441014182226303438465054586266[[#This Row],[Jour]]="2- Mardi",$B$1+2, IF(Horodateur11233538192231343743464952555861646985222634384650585462667074788290989410210611411811012212613013413814214615015415816216617017417818218619019419820220621021441014182226303438465054586266[[#This Row],[Jour]]="3- Mercredi",$B$1+3, IF(Horodateur11233538192231343743464952555861646985222634384650585462667074788290989410210611411811012212613013413814214615015415816216617017417818218619019419820220621021441014182226303438465054586266[[#This Row],[Jour]]="4- Jeudi",$B$1+4, IF(Horodateur11233538192231343743464952555861646985222634384650585462667074788290989410210611411811012212613013413814214615015415816216617017417818218619019419820220621021441014182226303438465054586266[[#This Row],[Jour]]="5- Vendredi",$B$1+5, IF(Horodateur11233538192231343743464952555861646985222634384650585462667074788290989410210611411811012212613013413814214615015415816216617017417818218619019419820220621021441014182226303438465054586266[[#This Row],[Jour]]="6- Samedi",$B$1+6, IF(Horodateur11233538192231343743464952555861646985222634384650585462667074788290989410210611411811012212613013413814214615015415816216617017417818218619019419820220621021441014182226303438465054586266[[#This Row],[Jour]]="7- Dimanche",$B$1, )))))))</f>
        <v>44307</v>
      </c>
      <c r="B17" s="257" t="s">
        <v>319</v>
      </c>
      <c r="C17" s="258" t="n">
        <v>0.708333333333333</v>
      </c>
      <c r="D17" s="258" t="n">
        <v>0.729166666666667</v>
      </c>
      <c r="E17" s="71" t="s">
        <v>363</v>
      </c>
      <c r="F17" s="71" t="s">
        <v>378</v>
      </c>
      <c r="G17" s="259" t="s">
        <v>405</v>
      </c>
      <c r="H17" s="258" t="n">
        <f aca="false">IF($C17=0,"",$D17-$C17)</f>
        <v>0.0208333333333333</v>
      </c>
      <c r="I17" s="260" t="n">
        <f aca="false">IF($C17=0,"",($H17-INT($H17))*24)</f>
        <v>0.5</v>
      </c>
      <c r="J17" s="303" t="n">
        <f aca="false">SUMIF(Horodateur11233538192231343743464952555861646985222634384650585462667074788290989410210611411811012212613013413814214615015415816216617017417818218619019419820220621021441014182226303438465054586266[Jour],$B17,Horodateur11233538192231343743464952555861646985222634384650585462667074788290989410210611411811012212613013413814214615015415816216617017417818218619019419820220621021441014182226303438465054586266[Durée (100)])</f>
        <v>5.5</v>
      </c>
      <c r="K17" s="335"/>
      <c r="L17" s="336"/>
      <c r="M17" s="188" t="s">
        <v>33</v>
      </c>
      <c r="N17" s="272" t="str">
        <f aca="false">IF(Horodateur11233538192231343743464952555861646985222634384650585462667074788290989410210611411811012212613013413814214615015415816216617017417818218619019419820220621021441014182226303438465054586266[[#This Row],[O]]="o",Horodateur11233538192231343743464952555861646985222634384650585462667074788290989410210611411811012212613013413814214615015415816216617017417818218619019419820220621021441014182226303438465054586266[[#This Row],[Durée (100)]],".")</f>
        <v>.</v>
      </c>
      <c r="O17" s="337" t="n">
        <f aca="false">IF(L17 = "c", I17, 0)</f>
        <v>0</v>
      </c>
      <c r="P17" s="187"/>
      <c r="Q17" s="71"/>
      <c r="R17" s="71"/>
      <c r="S17" s="71"/>
      <c r="T17" s="71"/>
      <c r="U17" s="71"/>
      <c r="V17" s="71"/>
      <c r="W17" s="71"/>
      <c r="X17" s="71"/>
      <c r="Y17" s="71"/>
      <c r="Z17" s="71"/>
      <c r="AA17" s="71"/>
      <c r="AB17" s="71"/>
      <c r="AC17" s="71"/>
      <c r="AD17" s="71"/>
      <c r="AE17" s="71"/>
      <c r="AF17" s="71"/>
      <c r="AG17" s="71"/>
      <c r="AH17" s="71"/>
      <c r="AI17" s="71"/>
    </row>
    <row r="18" customFormat="false" ht="15" hidden="false" customHeight="false" outlineLevel="0" collapsed="false">
      <c r="A18" s="256" t="n">
        <f aca="false">IF(Horodateur11233538192231343743464952555861646985222634384650585462667074788290989410210611411811012212613013413814214615015415816216617017417818218619019419820220621021441014182226303438465054586266[[#This Row],[Jour]]="1- Lundi",$B$1+1, IF(Horodateur11233538192231343743464952555861646985222634384650585462667074788290989410210611411811012212613013413814214615015415816216617017417818218619019419820220621021441014182226303438465054586266[[#This Row],[Jour]]="2- Mardi",$B$1+2, IF(Horodateur11233538192231343743464952555861646985222634384650585462667074788290989410210611411811012212613013413814214615015415816216617017417818218619019419820220621021441014182226303438465054586266[[#This Row],[Jour]]="3- Mercredi",$B$1+3, IF(Horodateur11233538192231343743464952555861646985222634384650585462667074788290989410210611411811012212613013413814214615015415816216617017417818218619019419820220621021441014182226303438465054586266[[#This Row],[Jour]]="4- Jeudi",$B$1+4, IF(Horodateur11233538192231343743464952555861646985222634384650585462667074788290989410210611411811012212613013413814214615015415816216617017417818218619019419820220621021441014182226303438465054586266[[#This Row],[Jour]]="5- Vendredi",$B$1+5, IF(Horodateur11233538192231343743464952555861646985222634384650585462667074788290989410210611411811012212613013413814214615015415816216617017417818218619019419820220621021441014182226303438465054586266[[#This Row],[Jour]]="6- Samedi",$B$1+6, IF(Horodateur11233538192231343743464952555861646985222634384650585462667074788290989410210611411811012212613013413814214615015415816216617017417818218619019419820220621021441014182226303438465054586266[[#This Row],[Jour]]="7- Dimanche",$B$1, )))))))</f>
        <v>44308</v>
      </c>
      <c r="B18" s="257" t="s">
        <v>324</v>
      </c>
      <c r="C18" s="258" t="n">
        <v>0.3125</v>
      </c>
      <c r="D18" s="258" t="n">
        <v>0.354166666666667</v>
      </c>
      <c r="E18" s="71" t="s">
        <v>32</v>
      </c>
      <c r="F18" s="71" t="s">
        <v>21</v>
      </c>
      <c r="G18" s="259"/>
      <c r="H18" s="258" t="n">
        <f aca="false">IF($C18=0,"",$D18-$C18)</f>
        <v>0.0416666666666667</v>
      </c>
      <c r="I18" s="260" t="n">
        <f aca="false">IF($C18=0,"",($H18-INT($H18))*24)</f>
        <v>1</v>
      </c>
      <c r="J18" s="303" t="n">
        <f aca="false">SUMIF(Horodateur11233538192231343743464952555861646985222634384650585462667074788290989410210611411811012212613013413814214615015415816216617017417818218619019419820220621021441014182226303438465054586266[Jour],$B18,Horodateur11233538192231343743464952555861646985222634384650585462667074788290989410210611411811012212613013413814214615015415816216617017417818218619019419820220621021441014182226303438465054586266[Durée (100)])</f>
        <v>7.5</v>
      </c>
      <c r="K18" s="335"/>
      <c r="L18" s="336"/>
      <c r="M18" s="188" t="s">
        <v>33</v>
      </c>
      <c r="N18" s="272" t="str">
        <f aca="false">IF(Horodateur11233538192231343743464952555861646985222634384650585462667074788290989410210611411811012212613013413814214615015415816216617017417818218619019419820220621021441014182226303438465054586266[[#This Row],[O]]="o",Horodateur11233538192231343743464952555861646985222634384650585462667074788290989410210611411811012212613013413814214615015415816216617017417818218619019419820220621021441014182226303438465054586266[[#This Row],[Durée (100)]],".")</f>
        <v>.</v>
      </c>
      <c r="O18" s="337" t="n">
        <f aca="false">IF(L18 = "c", I18, 0)</f>
        <v>0</v>
      </c>
      <c r="P18" s="187"/>
      <c r="Q18" s="71"/>
      <c r="R18" s="71"/>
      <c r="S18" s="71"/>
      <c r="T18" s="71"/>
      <c r="U18" s="71"/>
      <c r="V18" s="71"/>
      <c r="W18" s="71"/>
      <c r="X18" s="71"/>
      <c r="Y18" s="71"/>
      <c r="Z18" s="71"/>
      <c r="AA18" s="71"/>
      <c r="AB18" s="71"/>
      <c r="AC18" s="71"/>
      <c r="AD18" s="71"/>
      <c r="AE18" s="71"/>
      <c r="AF18" s="71"/>
      <c r="AG18" s="71"/>
      <c r="AH18" s="71"/>
      <c r="AI18" s="71"/>
    </row>
    <row r="19" customFormat="false" ht="15" hidden="false" customHeight="false" outlineLevel="0" collapsed="false">
      <c r="A19" s="256" t="n">
        <f aca="false">IF(Horodateur11233538192231343743464952555861646985222634384650585462667074788290989410210611411811012212613013413814214615015415816216617017417818218619019419820220621021441014182226303438465054586266[[#This Row],[Jour]]="1- Lundi",$B$1+1, IF(Horodateur11233538192231343743464952555861646985222634384650585462667074788290989410210611411811012212613013413814214615015415816216617017417818218619019419820220621021441014182226303438465054586266[[#This Row],[Jour]]="2- Mardi",$B$1+2, IF(Horodateur11233538192231343743464952555861646985222634384650585462667074788290989410210611411811012212613013413814214615015415816216617017417818218619019419820220621021441014182226303438465054586266[[#This Row],[Jour]]="3- Mercredi",$B$1+3, IF(Horodateur11233538192231343743464952555861646985222634384650585462667074788290989410210611411811012212613013413814214615015415816216617017417818218619019419820220621021441014182226303438465054586266[[#This Row],[Jour]]="4- Jeudi",$B$1+4, IF(Horodateur11233538192231343743464952555861646985222634384650585462667074788290989410210611411811012212613013413814214615015415816216617017417818218619019419820220621021441014182226303438465054586266[[#This Row],[Jour]]="5- Vendredi",$B$1+5, IF(Horodateur11233538192231343743464952555861646985222634384650585462667074788290989410210611411811012212613013413814214615015415816216617017417818218619019419820220621021441014182226303438465054586266[[#This Row],[Jour]]="6- Samedi",$B$1+6, IF(Horodateur11233538192231343743464952555861646985222634384650585462667074788290989410210611411811012212613013413814214615015415816216617017417818218619019419820220621021441014182226303438465054586266[[#This Row],[Jour]]="7- Dimanche",$B$1, )))))))</f>
        <v>44308</v>
      </c>
      <c r="B19" s="257" t="s">
        <v>324</v>
      </c>
      <c r="C19" s="258" t="n">
        <v>0.354166666666667</v>
      </c>
      <c r="D19" s="258" t="n">
        <v>0.385416666666667</v>
      </c>
      <c r="E19" s="71" t="s">
        <v>363</v>
      </c>
      <c r="F19" s="71" t="s">
        <v>378</v>
      </c>
      <c r="G19" s="259" t="s">
        <v>405</v>
      </c>
      <c r="H19" s="258" t="n">
        <f aca="false">IF($C19=0,"",$D19-$C19)</f>
        <v>0.03125</v>
      </c>
      <c r="I19" s="260" t="n">
        <f aca="false">IF($C19=0,"",($H19-INT($H19))*24)</f>
        <v>0.75</v>
      </c>
      <c r="J19" s="303" t="n">
        <f aca="false">SUMIF(Horodateur11233538192231343743464952555861646985222634384650585462667074788290989410210611411811012212613013413814214615015415816216617017417818218619019419820220621021441014182226303438465054586266[Jour],$B19,Horodateur11233538192231343743464952555861646985222634384650585462667074788290989410210611411811012212613013413814214615015415816216617017417818218619019419820220621021441014182226303438465054586266[Durée (100)])</f>
        <v>7.5</v>
      </c>
      <c r="K19" s="335"/>
      <c r="L19" s="336"/>
      <c r="M19" s="188" t="s">
        <v>33</v>
      </c>
      <c r="N19" s="272" t="str">
        <f aca="false">IF(Horodateur11233538192231343743464952555861646985222634384650585462667074788290989410210611411811012212613013413814214615015415816216617017417818218619019419820220621021441014182226303438465054586266[[#This Row],[O]]="o",Horodateur11233538192231343743464952555861646985222634384650585462667074788290989410210611411811012212613013413814214615015415816216617017417818218619019419820220621021441014182226303438465054586266[[#This Row],[Durée (100)]],".")</f>
        <v>.</v>
      </c>
      <c r="O19" s="337" t="n">
        <f aca="false">IF(L19 = "c", I19, 0)</f>
        <v>0</v>
      </c>
      <c r="P19" s="187"/>
      <c r="Q19" s="71"/>
      <c r="R19" s="71"/>
      <c r="S19" s="71"/>
      <c r="T19" s="71"/>
      <c r="U19" s="71"/>
      <c r="V19" s="71"/>
      <c r="W19" s="71"/>
      <c r="X19" s="71"/>
      <c r="Y19" s="71"/>
      <c r="Z19" s="71"/>
      <c r="AA19" s="71"/>
      <c r="AB19" s="71"/>
      <c r="AC19" s="71"/>
      <c r="AD19" s="71"/>
      <c r="AE19" s="71"/>
      <c r="AF19" s="71"/>
      <c r="AG19" s="71"/>
      <c r="AH19" s="71"/>
      <c r="AI19" s="71"/>
    </row>
    <row r="20" customFormat="false" ht="15" hidden="false" customHeight="false" outlineLevel="0" collapsed="false">
      <c r="A20" s="256" t="n">
        <f aca="false">IF(Horodateur11233538192231343743464952555861646985222634384650585462667074788290989410210611411811012212613013413814214615015415816216617017417818218619019419820220621021441014182226303438465054586266[[#This Row],[Jour]]="1- Lundi",$B$1+1, IF(Horodateur11233538192231343743464952555861646985222634384650585462667074788290989410210611411811012212613013413814214615015415816216617017417818218619019419820220621021441014182226303438465054586266[[#This Row],[Jour]]="2- Mardi",$B$1+2, IF(Horodateur11233538192231343743464952555861646985222634384650585462667074788290989410210611411811012212613013413814214615015415816216617017417818218619019419820220621021441014182226303438465054586266[[#This Row],[Jour]]="3- Mercredi",$B$1+3, IF(Horodateur11233538192231343743464952555861646985222634384650585462667074788290989410210611411811012212613013413814214615015415816216617017417818218619019419820220621021441014182226303438465054586266[[#This Row],[Jour]]="4- Jeudi",$B$1+4, IF(Horodateur11233538192231343743464952555861646985222634384650585462667074788290989410210611411811012212613013413814214615015415816216617017417818218619019419820220621021441014182226303438465054586266[[#This Row],[Jour]]="5- Vendredi",$B$1+5, IF(Horodateur11233538192231343743464952555861646985222634384650585462667074788290989410210611411811012212613013413814214615015415816216617017417818218619019419820220621021441014182226303438465054586266[[#This Row],[Jour]]="6- Samedi",$B$1+6, IF(Horodateur11233538192231343743464952555861646985222634384650585462667074788290989410210611411811012212613013413814214615015415816216617017417818218619019419820220621021441014182226303438465054586266[[#This Row],[Jour]]="7- Dimanche",$B$1, )))))))</f>
        <v>44308</v>
      </c>
      <c r="B20" s="257" t="s">
        <v>324</v>
      </c>
      <c r="C20" s="258" t="n">
        <v>0.40625</v>
      </c>
      <c r="D20" s="258" t="n">
        <v>0.416666666666667</v>
      </c>
      <c r="E20" s="71" t="s">
        <v>63</v>
      </c>
      <c r="F20" s="71" t="s">
        <v>378</v>
      </c>
      <c r="G20" s="259" t="s">
        <v>370</v>
      </c>
      <c r="H20" s="258" t="n">
        <f aca="false">IF($C20=0,"",$D20-$C20)</f>
        <v>0.0104166666666667</v>
      </c>
      <c r="I20" s="260" t="n">
        <f aca="false">IF($C20=0,"",($H20-INT($H20))*24)</f>
        <v>0.25</v>
      </c>
      <c r="J20" s="303" t="n">
        <f aca="false">SUMIF(Horodateur11233538192231343743464952555861646985222634384650585462667074788290989410210611411811012212613013413814214615015415816216617017417818218619019419820220621021441014182226303438465054586266[Jour],$B20,Horodateur11233538192231343743464952555861646985222634384650585462667074788290989410210611411811012212613013413814214615015415816216617017417818218619019419820220621021441014182226303438465054586266[Durée (100)])</f>
        <v>7.5</v>
      </c>
      <c r="K20" s="335"/>
      <c r="L20" s="336"/>
      <c r="M20" s="188" t="s">
        <v>33</v>
      </c>
      <c r="N20" s="272" t="str">
        <f aca="false">IF(Horodateur11233538192231343743464952555861646985222634384650585462667074788290989410210611411811012212613013413814214615015415816216617017417818218619019419820220621021441014182226303438465054586266[[#This Row],[O]]="o",Horodateur11233538192231343743464952555861646985222634384650585462667074788290989410210611411811012212613013413814214615015415816216617017417818218619019419820220621021441014182226303438465054586266[[#This Row],[Durée (100)]],".")</f>
        <v>.</v>
      </c>
      <c r="O20" s="337" t="n">
        <f aca="false">IF(L20 = "c", I20, 0)</f>
        <v>0</v>
      </c>
      <c r="P20" s="187"/>
      <c r="Q20" s="71"/>
      <c r="R20" s="71"/>
      <c r="S20" s="71"/>
      <c r="T20" s="71"/>
      <c r="U20" s="71"/>
      <c r="V20" s="71"/>
      <c r="W20" s="71"/>
      <c r="X20" s="71"/>
      <c r="Y20" s="71"/>
      <c r="Z20" s="71"/>
      <c r="AA20" s="71"/>
      <c r="AB20" s="71"/>
      <c r="AC20" s="71"/>
      <c r="AD20" s="71"/>
      <c r="AE20" s="71"/>
      <c r="AF20" s="71"/>
      <c r="AG20" s="71"/>
      <c r="AH20" s="71"/>
      <c r="AI20" s="71"/>
    </row>
    <row r="21" customFormat="false" ht="15" hidden="false" customHeight="false" outlineLevel="0" collapsed="false">
      <c r="A21" s="256" t="n">
        <f aca="false">IF(Horodateur11233538192231343743464952555861646985222634384650585462667074788290989410210611411811012212613013413814214615015415816216617017417818218619019419820220621021441014182226303438465054586266[[#This Row],[Jour]]="1- Lundi",$B$1+1, IF(Horodateur11233538192231343743464952555861646985222634384650585462667074788290989410210611411811012212613013413814214615015415816216617017417818218619019419820220621021441014182226303438465054586266[[#This Row],[Jour]]="2- Mardi",$B$1+2, IF(Horodateur11233538192231343743464952555861646985222634384650585462667074788290989410210611411811012212613013413814214615015415816216617017417818218619019419820220621021441014182226303438465054586266[[#This Row],[Jour]]="3- Mercredi",$B$1+3, IF(Horodateur11233538192231343743464952555861646985222634384650585462667074788290989410210611411811012212613013413814214615015415816216617017417818218619019419820220621021441014182226303438465054586266[[#This Row],[Jour]]="4- Jeudi",$B$1+4, IF(Horodateur11233538192231343743464952555861646985222634384650585462667074788290989410210611411811012212613013413814214615015415816216617017417818218619019419820220621021441014182226303438465054586266[[#This Row],[Jour]]="5- Vendredi",$B$1+5, IF(Horodateur11233538192231343743464952555861646985222634384650585462667074788290989410210611411811012212613013413814214615015415816216617017417818218619019419820220621021441014182226303438465054586266[[#This Row],[Jour]]="6- Samedi",$B$1+6, IF(Horodateur11233538192231343743464952555861646985222634384650585462667074788290989410210611411811012212613013413814214615015415816216617017417818218619019419820220621021441014182226303438465054586266[[#This Row],[Jour]]="7- Dimanche",$B$1, )))))))</f>
        <v>44308</v>
      </c>
      <c r="B21" s="257" t="s">
        <v>324</v>
      </c>
      <c r="C21" s="258" t="n">
        <v>0.427083333333333</v>
      </c>
      <c r="D21" s="258" t="n">
        <v>0.458333333333333</v>
      </c>
      <c r="E21" s="71" t="s">
        <v>37</v>
      </c>
      <c r="F21" s="71" t="s">
        <v>378</v>
      </c>
      <c r="G21" s="259" t="s">
        <v>371</v>
      </c>
      <c r="H21" s="258" t="n">
        <f aca="false">IF($C21=0,"",$D21-$C21)</f>
        <v>0.03125</v>
      </c>
      <c r="I21" s="260" t="n">
        <f aca="false">IF($C21=0,"",($H21-INT($H21))*24)</f>
        <v>0.75</v>
      </c>
      <c r="J21" s="303" t="n">
        <f aca="false">SUMIF(Horodateur11233538192231343743464952555861646985222634384650585462667074788290989410210611411811012212613013413814214615015415816216617017417818218619019419820220621021441014182226303438465054586266[Jour],$B21,Horodateur11233538192231343743464952555861646985222634384650585462667074788290989410210611411811012212613013413814214615015415816216617017417818218619019419820220621021441014182226303438465054586266[Durée (100)])</f>
        <v>7.5</v>
      </c>
      <c r="K21" s="335"/>
      <c r="L21" s="336"/>
      <c r="M21" s="188" t="s">
        <v>33</v>
      </c>
      <c r="N21" s="272" t="str">
        <f aca="false">IF(Horodateur11233538192231343743464952555861646985222634384650585462667074788290989410210611411811012212613013413814214615015415816216617017417818218619019419820220621021441014182226303438465054586266[[#This Row],[O]]="o",Horodateur11233538192231343743464952555861646985222634384650585462667074788290989410210611411811012212613013413814214615015415816216617017417818218619019419820220621021441014182226303438465054586266[[#This Row],[Durée (100)]],".")</f>
        <v>.</v>
      </c>
      <c r="O21" s="337" t="n">
        <f aca="false">IF(L21 = "c", I21, 0)</f>
        <v>0</v>
      </c>
      <c r="P21" s="187"/>
      <c r="Q21" s="71"/>
      <c r="R21" s="71"/>
      <c r="S21" s="71"/>
      <c r="T21" s="71"/>
      <c r="U21" s="71"/>
      <c r="V21" s="71"/>
      <c r="W21" s="71"/>
      <c r="X21" s="71"/>
      <c r="Y21" s="71"/>
      <c r="Z21" s="71"/>
      <c r="AA21" s="71"/>
      <c r="AB21" s="71"/>
      <c r="AC21" s="71"/>
      <c r="AD21" s="71"/>
      <c r="AE21" s="71"/>
      <c r="AF21" s="71"/>
      <c r="AG21" s="71"/>
      <c r="AH21" s="71"/>
      <c r="AI21" s="71"/>
    </row>
    <row r="22" customFormat="false" ht="15" hidden="false" customHeight="false" outlineLevel="0" collapsed="false">
      <c r="A22" s="256" t="n">
        <f aca="false">IF(Horodateur11233538192231343743464952555861646985222634384650585462667074788290989410210611411811012212613013413814214615015415816216617017417818218619019419820220621021441014182226303438465054586266[[#This Row],[Jour]]="1- Lundi",$B$1+1, IF(Horodateur11233538192231343743464952555861646985222634384650585462667074788290989410210611411811012212613013413814214615015415816216617017417818218619019419820220621021441014182226303438465054586266[[#This Row],[Jour]]="2- Mardi",$B$1+2, IF(Horodateur11233538192231343743464952555861646985222634384650585462667074788290989410210611411811012212613013413814214615015415816216617017417818218619019419820220621021441014182226303438465054586266[[#This Row],[Jour]]="3- Mercredi",$B$1+3, IF(Horodateur11233538192231343743464952555861646985222634384650585462667074788290989410210611411811012212613013413814214615015415816216617017417818218619019419820220621021441014182226303438465054586266[[#This Row],[Jour]]="4- Jeudi",$B$1+4, IF(Horodateur11233538192231343743464952555861646985222634384650585462667074788290989410210611411811012212613013413814214615015415816216617017417818218619019419820220621021441014182226303438465054586266[[#This Row],[Jour]]="5- Vendredi",$B$1+5, IF(Horodateur11233538192231343743464952555861646985222634384650585462667074788290989410210611411811012212613013413814214615015415816216617017417818218619019419820220621021441014182226303438465054586266[[#This Row],[Jour]]="6- Samedi",$B$1+6, IF(Horodateur11233538192231343743464952555861646985222634384650585462667074788290989410210611411811012212613013413814214615015415816216617017417818218619019419820220621021441014182226303438465054586266[[#This Row],[Jour]]="7- Dimanche",$B$1, )))))))</f>
        <v>44308</v>
      </c>
      <c r="B22" s="257" t="s">
        <v>324</v>
      </c>
      <c r="C22" s="258" t="n">
        <v>0.479166666666667</v>
      </c>
      <c r="D22" s="258" t="n">
        <v>0.5</v>
      </c>
      <c r="E22" s="71" t="s">
        <v>37</v>
      </c>
      <c r="F22" s="71" t="s">
        <v>378</v>
      </c>
      <c r="G22" s="259" t="s">
        <v>371</v>
      </c>
      <c r="H22" s="258" t="n">
        <f aca="false">IF($C22=0,"",$D22-$C22)</f>
        <v>0.0208333333333333</v>
      </c>
      <c r="I22" s="260" t="n">
        <f aca="false">IF($C22=0,"",($H22-INT($H22))*24)</f>
        <v>0.5</v>
      </c>
      <c r="J22" s="303" t="n">
        <f aca="false">SUMIF(Horodateur11233538192231343743464952555861646985222634384650585462667074788290989410210611411811012212613013413814214615015415816216617017417818218619019419820220621021441014182226303438465054586266[Jour],$B22,Horodateur11233538192231343743464952555861646985222634384650585462667074788290989410210611411811012212613013413814214615015415816216617017417818218619019419820220621021441014182226303438465054586266[Durée (100)])</f>
        <v>7.5</v>
      </c>
      <c r="K22" s="335"/>
      <c r="L22" s="336"/>
      <c r="M22" s="188" t="s">
        <v>33</v>
      </c>
      <c r="N22" s="272" t="str">
        <f aca="false">IF(Horodateur11233538192231343743464952555861646985222634384650585462667074788290989410210611411811012212613013413814214615015415816216617017417818218619019419820220621021441014182226303438465054586266[[#This Row],[O]]="o",Horodateur11233538192231343743464952555861646985222634384650585462667074788290989410210611411811012212613013413814214615015415816216617017417818218619019419820220621021441014182226303438465054586266[[#This Row],[Durée (100)]],".")</f>
        <v>.</v>
      </c>
      <c r="O22" s="337" t="n">
        <f aca="false">IF(L22 = "c", I22, 0)</f>
        <v>0</v>
      </c>
      <c r="P22" s="187"/>
      <c r="Q22" s="71"/>
      <c r="R22" s="71"/>
      <c r="S22" s="71"/>
      <c r="T22" s="71"/>
      <c r="U22" s="71"/>
      <c r="V22" s="71"/>
      <c r="W22" s="71"/>
      <c r="X22" s="71"/>
      <c r="Y22" s="71"/>
      <c r="Z22" s="71"/>
      <c r="AA22" s="71"/>
      <c r="AB22" s="71"/>
      <c r="AC22" s="71"/>
      <c r="AD22" s="71"/>
      <c r="AE22" s="71"/>
      <c r="AF22" s="71"/>
      <c r="AG22" s="71"/>
      <c r="AH22" s="71"/>
      <c r="AI22" s="71"/>
    </row>
    <row r="23" customFormat="false" ht="15" hidden="false" customHeight="false" outlineLevel="0" collapsed="false">
      <c r="A23" s="256" t="n">
        <f aca="false">IF(Horodateur11233538192231343743464952555861646985222634384650585462667074788290989410210611411811012212613013413814214615015415816216617017417818218619019419820220621021441014182226303438465054586266[[#This Row],[Jour]]="1- Lundi",$B$1+1, IF(Horodateur11233538192231343743464952555861646985222634384650585462667074788290989410210611411811012212613013413814214615015415816216617017417818218619019419820220621021441014182226303438465054586266[[#This Row],[Jour]]="2- Mardi",$B$1+2, IF(Horodateur11233538192231343743464952555861646985222634384650585462667074788290989410210611411811012212613013413814214615015415816216617017417818218619019419820220621021441014182226303438465054586266[[#This Row],[Jour]]="3- Mercredi",$B$1+3, IF(Horodateur11233538192231343743464952555861646985222634384650585462667074788290989410210611411811012212613013413814214615015415816216617017417818218619019419820220621021441014182226303438465054586266[[#This Row],[Jour]]="4- Jeudi",$B$1+4, IF(Horodateur11233538192231343743464952555861646985222634384650585462667074788290989410210611411811012212613013413814214615015415816216617017417818218619019419820220621021441014182226303438465054586266[[#This Row],[Jour]]="5- Vendredi",$B$1+5, IF(Horodateur11233538192231343743464952555861646985222634384650585462667074788290989410210611411811012212613013413814214615015415816216617017417818218619019419820220621021441014182226303438465054586266[[#This Row],[Jour]]="6- Samedi",$B$1+6, IF(Horodateur11233538192231343743464952555861646985222634384650585462667074788290989410210611411811012212613013413814214615015415816216617017417818218619019419820220621021441014182226303438465054586266[[#This Row],[Jour]]="7- Dimanche",$B$1, )))))))</f>
        <v>44308</v>
      </c>
      <c r="B23" s="257" t="s">
        <v>324</v>
      </c>
      <c r="C23" s="258" t="n">
        <v>0.552083333333333</v>
      </c>
      <c r="D23" s="258" t="n">
        <v>0.572916666666667</v>
      </c>
      <c r="E23" s="71" t="s">
        <v>63</v>
      </c>
      <c r="F23" s="71" t="s">
        <v>378</v>
      </c>
      <c r="G23" s="259" t="s">
        <v>370</v>
      </c>
      <c r="H23" s="258" t="n">
        <f aca="false">IF($C23=0,"",$D23-$C23)</f>
        <v>0.0208333333333333</v>
      </c>
      <c r="I23" s="260" t="n">
        <f aca="false">IF($C23=0,"",($H23-INT($H23))*24)</f>
        <v>0.5</v>
      </c>
      <c r="J23" s="303" t="n">
        <f aca="false">SUMIF(Horodateur11233538192231343743464952555861646985222634384650585462667074788290989410210611411811012212613013413814214615015415816216617017417818218619019419820220621021441014182226303438465054586266[Jour],$B23,Horodateur11233538192231343743464952555861646985222634384650585462667074788290989410210611411811012212613013413814214615015415816216617017417818218619019419820220621021441014182226303438465054586266[Durée (100)])</f>
        <v>7.5</v>
      </c>
      <c r="K23" s="335"/>
      <c r="L23" s="336"/>
      <c r="M23" s="188" t="s">
        <v>33</v>
      </c>
      <c r="N23" s="272" t="str">
        <f aca="false">IF(Horodateur11233538192231343743464952555861646985222634384650585462667074788290989410210611411811012212613013413814214615015415816216617017417818218619019419820220621021441014182226303438465054586266[[#This Row],[O]]="o",Horodateur11233538192231343743464952555861646985222634384650585462667074788290989410210611411811012212613013413814214615015415816216617017417818218619019419820220621021441014182226303438465054586266[[#This Row],[Durée (100)]],".")</f>
        <v>.</v>
      </c>
      <c r="O23" s="337" t="n">
        <f aca="false">IF(L23 = "c", I23, 0)</f>
        <v>0</v>
      </c>
      <c r="P23" s="187"/>
      <c r="Q23" s="71"/>
      <c r="R23" s="71"/>
      <c r="S23" s="71"/>
      <c r="T23" s="71"/>
      <c r="U23" s="71"/>
      <c r="V23" s="71"/>
      <c r="W23" s="71"/>
      <c r="X23" s="71"/>
      <c r="Y23" s="71"/>
      <c r="Z23" s="71"/>
      <c r="AA23" s="71"/>
      <c r="AB23" s="71"/>
      <c r="AC23" s="71"/>
      <c r="AD23" s="71"/>
      <c r="AE23" s="71"/>
      <c r="AF23" s="71"/>
      <c r="AG23" s="71"/>
      <c r="AH23" s="71"/>
      <c r="AI23" s="71"/>
    </row>
    <row r="24" customFormat="false" ht="15" hidden="false" customHeight="false" outlineLevel="0" collapsed="false">
      <c r="A24" s="256" t="n">
        <f aca="false">IF(Horodateur11233538192231343743464952555861646985222634384650585462667074788290989410210611411811012212613013413814214615015415816216617017417818218619019419820220621021441014182226303438465054586266[[#This Row],[Jour]]="1- Lundi",$B$1+1, IF(Horodateur11233538192231343743464952555861646985222634384650585462667074788290989410210611411811012212613013413814214615015415816216617017417818218619019419820220621021441014182226303438465054586266[[#This Row],[Jour]]="2- Mardi",$B$1+2, IF(Horodateur11233538192231343743464952555861646985222634384650585462667074788290989410210611411811012212613013413814214615015415816216617017417818218619019419820220621021441014182226303438465054586266[[#This Row],[Jour]]="3- Mercredi",$B$1+3, IF(Horodateur11233538192231343743464952555861646985222634384650585462667074788290989410210611411811012212613013413814214615015415816216617017417818218619019419820220621021441014182226303438465054586266[[#This Row],[Jour]]="4- Jeudi",$B$1+4, IF(Horodateur11233538192231343743464952555861646985222634384650585462667074788290989410210611411811012212613013413814214615015415816216617017417818218619019419820220621021441014182226303438465054586266[[#This Row],[Jour]]="5- Vendredi",$B$1+5, IF(Horodateur11233538192231343743464952555861646985222634384650585462667074788290989410210611411811012212613013413814214615015415816216617017417818218619019419820220621021441014182226303438465054586266[[#This Row],[Jour]]="6- Samedi",$B$1+6, IF(Horodateur11233538192231343743464952555861646985222634384650585462667074788290989410210611411811012212613013413814214615015415816216617017417818218619019419820220621021441014182226303438465054586266[[#This Row],[Jour]]="7- Dimanche",$B$1, )))))))</f>
        <v>44308</v>
      </c>
      <c r="B24" s="257" t="s">
        <v>324</v>
      </c>
      <c r="C24" s="258" t="n">
        <v>0.572916666666667</v>
      </c>
      <c r="D24" s="258" t="n">
        <v>0.583333333333333</v>
      </c>
      <c r="E24" s="71" t="s">
        <v>32</v>
      </c>
      <c r="F24" s="71"/>
      <c r="G24" s="259"/>
      <c r="H24" s="258" t="n">
        <f aca="false">IF($C24=0,"",$D24-$C24)</f>
        <v>0.0104166666666667</v>
      </c>
      <c r="I24" s="260" t="n">
        <f aca="false">IF($C24=0,"",($H24-INT($H24))*24)</f>
        <v>0.25</v>
      </c>
      <c r="J24" s="303" t="n">
        <f aca="false">SUMIF(Horodateur11233538192231343743464952555861646985222634384650585462667074788290989410210611411811012212613013413814214615015415816216617017417818218619019419820220621021441014182226303438465054586266[Jour],$B24,Horodateur11233538192231343743464952555861646985222634384650585462667074788290989410210611411811012212613013413814214615015415816216617017417818218619019419820220621021441014182226303438465054586266[Durée (100)])</f>
        <v>7.5</v>
      </c>
      <c r="K24" s="335"/>
      <c r="L24" s="336"/>
      <c r="M24" s="188" t="s">
        <v>33</v>
      </c>
      <c r="N24" s="272" t="str">
        <f aca="false">IF(Horodateur11233538192231343743464952555861646985222634384650585462667074788290989410210611411811012212613013413814214615015415816216617017417818218619019419820220621021441014182226303438465054586266[[#This Row],[O]]="o",Horodateur11233538192231343743464952555861646985222634384650585462667074788290989410210611411811012212613013413814214615015415816216617017417818218619019419820220621021441014182226303438465054586266[[#This Row],[Durée (100)]],".")</f>
        <v>.</v>
      </c>
      <c r="O24" s="337" t="n">
        <f aca="false">IF(L24 = "c", I24, 0)</f>
        <v>0</v>
      </c>
      <c r="P24" s="187"/>
      <c r="Q24" s="71"/>
      <c r="R24" s="71"/>
      <c r="S24" s="71"/>
      <c r="T24" s="71"/>
      <c r="U24" s="71"/>
      <c r="V24" s="71"/>
      <c r="W24" s="71"/>
      <c r="X24" s="71"/>
      <c r="Y24" s="71"/>
      <c r="Z24" s="71"/>
      <c r="AA24" s="71"/>
      <c r="AB24" s="71"/>
      <c r="AC24" s="71"/>
      <c r="AD24" s="71"/>
      <c r="AE24" s="71"/>
      <c r="AF24" s="71"/>
      <c r="AG24" s="71"/>
      <c r="AH24" s="71"/>
      <c r="AI24" s="71"/>
    </row>
    <row r="25" customFormat="false" ht="15" hidden="false" customHeight="false" outlineLevel="0" collapsed="false">
      <c r="A25" s="256" t="n">
        <f aca="false">IF(Horodateur11233538192231343743464952555861646985222634384650585462667074788290989410210611411811012212613013413814214615015415816216617017417818218619019419820220621021441014182226303438465054586266[[#This Row],[Jour]]="1- Lundi",$B$1+1, IF(Horodateur11233538192231343743464952555861646985222634384650585462667074788290989410210611411811012212613013413814214615015415816216617017417818218619019419820220621021441014182226303438465054586266[[#This Row],[Jour]]="2- Mardi",$B$1+2, IF(Horodateur11233538192231343743464952555861646985222634384650585462667074788290989410210611411811012212613013413814214615015415816216617017417818218619019419820220621021441014182226303438465054586266[[#This Row],[Jour]]="3- Mercredi",$B$1+3, IF(Horodateur11233538192231343743464952555861646985222634384650585462667074788290989410210611411811012212613013413814214615015415816216617017417818218619019419820220621021441014182226303438465054586266[[#This Row],[Jour]]="4- Jeudi",$B$1+4, IF(Horodateur11233538192231343743464952555861646985222634384650585462667074788290989410210611411811012212613013413814214615015415816216617017417818218619019419820220621021441014182226303438465054586266[[#This Row],[Jour]]="5- Vendredi",$B$1+5, IF(Horodateur11233538192231343743464952555861646985222634384650585462667074788290989410210611411811012212613013413814214615015415816216617017417818218619019419820220621021441014182226303438465054586266[[#This Row],[Jour]]="6- Samedi",$B$1+6, IF(Horodateur11233538192231343743464952555861646985222634384650585462667074788290989410210611411811012212613013413814214615015415816216617017417818218619019419820220621021441014182226303438465054586266[[#This Row],[Jour]]="7- Dimanche",$B$1, )))))))</f>
        <v>44308</v>
      </c>
      <c r="B25" s="257" t="s">
        <v>324</v>
      </c>
      <c r="C25" s="258" t="n">
        <v>0.583333333333333</v>
      </c>
      <c r="D25" s="258" t="n">
        <v>0.6875</v>
      </c>
      <c r="E25" s="71" t="s">
        <v>37</v>
      </c>
      <c r="F25" s="71" t="s">
        <v>378</v>
      </c>
      <c r="G25" s="259" t="s">
        <v>371</v>
      </c>
      <c r="H25" s="258" t="n">
        <f aca="false">IF($C25=0,"",$D25-$C25)</f>
        <v>0.104166666666667</v>
      </c>
      <c r="I25" s="260" t="n">
        <f aca="false">IF($C25=0,"",($H25-INT($H25))*24)</f>
        <v>2.5</v>
      </c>
      <c r="J25" s="303" t="n">
        <f aca="false">SUMIF(Horodateur11233538192231343743464952555861646985222634384650585462667074788290989410210611411811012212613013413814214615015415816216617017417818218619019419820220621021441014182226303438465054586266[Jour],$B25,Horodateur11233538192231343743464952555861646985222634384650585462667074788290989410210611411811012212613013413814214615015415816216617017417818218619019419820220621021441014182226303438465054586266[Durée (100)])</f>
        <v>7.5</v>
      </c>
      <c r="K25" s="335"/>
      <c r="L25" s="336"/>
      <c r="M25" s="188" t="s">
        <v>33</v>
      </c>
      <c r="N25" s="272" t="str">
        <f aca="false">IF(Horodateur11233538192231343743464952555861646985222634384650585462667074788290989410210611411811012212613013413814214615015415816216617017417818218619019419820220621021441014182226303438465054586266[[#This Row],[O]]="o",Horodateur11233538192231343743464952555861646985222634384650585462667074788290989410210611411811012212613013413814214615015415816216617017417818218619019419820220621021441014182226303438465054586266[[#This Row],[Durée (100)]],".")</f>
        <v>.</v>
      </c>
      <c r="O25" s="337" t="n">
        <f aca="false">IF(L25 = "c", I25, 0)</f>
        <v>0</v>
      </c>
      <c r="P25" s="187"/>
      <c r="Q25" s="71"/>
      <c r="R25" s="71"/>
      <c r="S25" s="71"/>
      <c r="T25" s="71"/>
      <c r="U25" s="71"/>
      <c r="V25" s="71"/>
      <c r="W25" s="71"/>
      <c r="X25" s="71"/>
      <c r="Y25" s="71"/>
      <c r="Z25" s="71"/>
      <c r="AA25" s="71"/>
      <c r="AB25" s="71"/>
      <c r="AC25" s="71"/>
      <c r="AD25" s="71"/>
      <c r="AE25" s="71"/>
      <c r="AF25" s="71"/>
      <c r="AG25" s="71"/>
      <c r="AH25" s="71"/>
      <c r="AI25" s="71"/>
    </row>
    <row r="26" customFormat="false" ht="15" hidden="false" customHeight="false" outlineLevel="0" collapsed="false">
      <c r="A26" s="256" t="n">
        <f aca="false">IF(Horodateur11233538192231343743464952555861646985222634384650585462667074788290989410210611411811012212613013413814214615015415816216617017417818218619019419820220621021441014182226303438465054586266[[#This Row],[Jour]]="1- Lundi",$B$1+1, IF(Horodateur11233538192231343743464952555861646985222634384650585462667074788290989410210611411811012212613013413814214615015415816216617017417818218619019419820220621021441014182226303438465054586266[[#This Row],[Jour]]="2- Mardi",$B$1+2, IF(Horodateur11233538192231343743464952555861646985222634384650585462667074788290989410210611411811012212613013413814214615015415816216617017417818218619019419820220621021441014182226303438465054586266[[#This Row],[Jour]]="3- Mercredi",$B$1+3, IF(Horodateur11233538192231343743464952555861646985222634384650585462667074788290989410210611411811012212613013413814214615015415816216617017417818218619019419820220621021441014182226303438465054586266[[#This Row],[Jour]]="4- Jeudi",$B$1+4, IF(Horodateur11233538192231343743464952555861646985222634384650585462667074788290989410210611411811012212613013413814214615015415816216617017417818218619019419820220621021441014182226303438465054586266[[#This Row],[Jour]]="5- Vendredi",$B$1+5, IF(Horodateur11233538192231343743464952555861646985222634384650585462667074788290989410210611411811012212613013413814214615015415816216617017417818218619019419820220621021441014182226303438465054586266[[#This Row],[Jour]]="6- Samedi",$B$1+6, IF(Horodateur11233538192231343743464952555861646985222634384650585462667074788290989410210611411811012212613013413814214615015415816216617017417818218619019419820220621021441014182226303438465054586266[[#This Row],[Jour]]="7- Dimanche",$B$1, )))))))</f>
        <v>44308</v>
      </c>
      <c r="B26" s="257" t="s">
        <v>324</v>
      </c>
      <c r="C26" s="258" t="n">
        <v>0.6875</v>
      </c>
      <c r="D26" s="258" t="n">
        <v>0.708333333333333</v>
      </c>
      <c r="E26" s="71" t="s">
        <v>63</v>
      </c>
      <c r="F26" s="71" t="s">
        <v>378</v>
      </c>
      <c r="G26" s="259" t="s">
        <v>370</v>
      </c>
      <c r="H26" s="258" t="n">
        <f aca="false">IF($C26=0,"",$D26-$C26)</f>
        <v>0.0208333333333334</v>
      </c>
      <c r="I26" s="260" t="n">
        <f aca="false">IF($C26=0,"",($H26-INT($H26))*24)</f>
        <v>0.5</v>
      </c>
      <c r="J26" s="303" t="n">
        <f aca="false">SUMIF(Horodateur11233538192231343743464952555861646985222634384650585462667074788290989410210611411811012212613013413814214615015415816216617017417818218619019419820220621021441014182226303438465054586266[Jour],$B26,Horodateur11233538192231343743464952555861646985222634384650585462667074788290989410210611411811012212613013413814214615015415816216617017417818218619019419820220621021441014182226303438465054586266[Durée (100)])</f>
        <v>7.5</v>
      </c>
      <c r="K26" s="335"/>
      <c r="L26" s="336"/>
      <c r="M26" s="188" t="s">
        <v>33</v>
      </c>
      <c r="N26" s="272" t="str">
        <f aca="false">IF(Horodateur11233538192231343743464952555861646985222634384650585462667074788290989410210611411811012212613013413814214615015415816216617017417818218619019419820220621021441014182226303438465054586266[[#This Row],[O]]="o",Horodateur11233538192231343743464952555861646985222634384650585462667074788290989410210611411811012212613013413814214615015415816216617017417818218619019419820220621021441014182226303438465054586266[[#This Row],[Durée (100)]],".")</f>
        <v>.</v>
      </c>
      <c r="O26" s="337" t="n">
        <f aca="false">IF(L26 = "c", I26, 0)</f>
        <v>0</v>
      </c>
      <c r="P26" s="187"/>
      <c r="Q26" s="71"/>
      <c r="R26" s="71"/>
      <c r="S26" s="71"/>
      <c r="T26" s="71"/>
      <c r="U26" s="71"/>
      <c r="V26" s="71"/>
      <c r="W26" s="71"/>
      <c r="X26" s="71"/>
      <c r="Y26" s="71"/>
      <c r="Z26" s="71"/>
      <c r="AA26" s="71"/>
      <c r="AB26" s="71"/>
      <c r="AC26" s="71"/>
      <c r="AD26" s="71"/>
      <c r="AE26" s="71"/>
      <c r="AF26" s="71"/>
      <c r="AG26" s="71"/>
      <c r="AH26" s="71"/>
      <c r="AI26" s="71"/>
    </row>
    <row r="27" customFormat="false" ht="15" hidden="false" customHeight="false" outlineLevel="0" collapsed="false">
      <c r="A27" s="256" t="n">
        <f aca="false">IF(Horodateur11233538192231343743464952555861646985222634384650585462667074788290989410210611411811012212613013413814214615015415816216617017417818218619019419820220621021441014182226303438465054586266[[#This Row],[Jour]]="1- Lundi",$B$1+1, IF(Horodateur11233538192231343743464952555861646985222634384650585462667074788290989410210611411811012212613013413814214615015415816216617017417818218619019419820220621021441014182226303438465054586266[[#This Row],[Jour]]="2- Mardi",$B$1+2, IF(Horodateur11233538192231343743464952555861646985222634384650585462667074788290989410210611411811012212613013413814214615015415816216617017417818218619019419820220621021441014182226303438465054586266[[#This Row],[Jour]]="3- Mercredi",$B$1+3, IF(Horodateur11233538192231343743464952555861646985222634384650585462667074788290989410210611411811012212613013413814214615015415816216617017417818218619019419820220621021441014182226303438465054586266[[#This Row],[Jour]]="4- Jeudi",$B$1+4, IF(Horodateur11233538192231343743464952555861646985222634384650585462667074788290989410210611411811012212613013413814214615015415816216617017417818218619019419820220621021441014182226303438465054586266[[#This Row],[Jour]]="5- Vendredi",$B$1+5, IF(Horodateur11233538192231343743464952555861646985222634384650585462667074788290989410210611411811012212613013413814214615015415816216617017417818218619019419820220621021441014182226303438465054586266[[#This Row],[Jour]]="6- Samedi",$B$1+6, IF(Horodateur11233538192231343743464952555861646985222634384650585462667074788290989410210611411811012212613013413814214615015415816216617017417818218619019419820220621021441014182226303438465054586266[[#This Row],[Jour]]="7- Dimanche",$B$1, )))))))</f>
        <v>44308</v>
      </c>
      <c r="B27" s="257" t="s">
        <v>324</v>
      </c>
      <c r="C27" s="258" t="n">
        <v>0.708333333333333</v>
      </c>
      <c r="D27" s="258" t="n">
        <v>0.729166666666667</v>
      </c>
      <c r="E27" s="71" t="s">
        <v>32</v>
      </c>
      <c r="F27" s="71" t="s">
        <v>22</v>
      </c>
      <c r="G27" s="259"/>
      <c r="H27" s="258" t="n">
        <f aca="false">IF($C27=0,"",$D27-$C27)</f>
        <v>0.0208333333333333</v>
      </c>
      <c r="I27" s="260" t="n">
        <f aca="false">IF($C27=0,"",($H27-INT($H27))*24)</f>
        <v>0.5</v>
      </c>
      <c r="J27" s="303" t="n">
        <f aca="false">SUMIF(Horodateur11233538192231343743464952555861646985222634384650585462667074788290989410210611411811012212613013413814214615015415816216617017417818218619019419820220621021441014182226303438465054586266[Jour],$B27,Horodateur11233538192231343743464952555861646985222634384650585462667074788290989410210611411811012212613013413814214615015415816216617017417818218619019419820220621021441014182226303438465054586266[Durée (100)])</f>
        <v>7.5</v>
      </c>
      <c r="K27" s="335"/>
      <c r="L27" s="336"/>
      <c r="M27" s="188" t="s">
        <v>33</v>
      </c>
      <c r="N27" s="272" t="str">
        <f aca="false">IF(Horodateur11233538192231343743464952555861646985222634384650585462667074788290989410210611411811012212613013413814214615015415816216617017417818218619019419820220621021441014182226303438465054586266[[#This Row],[O]]="o",Horodateur11233538192231343743464952555861646985222634384650585462667074788290989410210611411811012212613013413814214615015415816216617017417818218619019419820220621021441014182226303438465054586266[[#This Row],[Durée (100)]],".")</f>
        <v>.</v>
      </c>
      <c r="O27" s="337" t="n">
        <f aca="false">IF(L27 = "c", I27, 0)</f>
        <v>0</v>
      </c>
      <c r="P27" s="187"/>
      <c r="Q27" s="71"/>
      <c r="R27" s="71"/>
      <c r="S27" s="71"/>
      <c r="T27" s="71"/>
      <c r="U27" s="71"/>
      <c r="V27" s="71"/>
      <c r="W27" s="71"/>
      <c r="X27" s="71"/>
      <c r="Y27" s="71"/>
      <c r="Z27" s="71"/>
      <c r="AA27" s="71"/>
      <c r="AB27" s="71"/>
      <c r="AC27" s="71"/>
      <c r="AD27" s="71"/>
      <c r="AE27" s="71"/>
      <c r="AF27" s="71"/>
      <c r="AG27" s="71"/>
      <c r="AH27" s="71"/>
      <c r="AI27" s="71"/>
    </row>
    <row r="28" customFormat="false" ht="15" hidden="false" customHeight="false" outlineLevel="0" collapsed="false">
      <c r="A28" s="256" t="n">
        <f aca="false">IF(Horodateur11233538192231343743464952555861646985222634384650585462667074788290989410210611411811012212613013413814214615015415816216617017417818218619019419820220621021441014182226303438465054586266[[#This Row],[Jour]]="1- Lundi",$B$1+1, IF(Horodateur11233538192231343743464952555861646985222634384650585462667074788290989410210611411811012212613013413814214615015415816216617017417818218619019419820220621021441014182226303438465054586266[[#This Row],[Jour]]="2- Mardi",$B$1+2, IF(Horodateur11233538192231343743464952555861646985222634384650585462667074788290989410210611411811012212613013413814214615015415816216617017417818218619019419820220621021441014182226303438465054586266[[#This Row],[Jour]]="3- Mercredi",$B$1+3, IF(Horodateur11233538192231343743464952555861646985222634384650585462667074788290989410210611411811012212613013413814214615015415816216617017417818218619019419820220621021441014182226303438465054586266[[#This Row],[Jour]]="4- Jeudi",$B$1+4, IF(Horodateur11233538192231343743464952555861646985222634384650585462667074788290989410210611411811012212613013413814214615015415816216617017417818218619019419820220621021441014182226303438465054586266[[#This Row],[Jour]]="5- Vendredi",$B$1+5, IF(Horodateur11233538192231343743464952555861646985222634384650585462667074788290989410210611411811012212613013413814214615015415816216617017417818218619019419820220621021441014182226303438465054586266[[#This Row],[Jour]]="6- Samedi",$B$1+6, IF(Horodateur11233538192231343743464952555861646985222634384650585462667074788290989410210611411811012212613013413814214615015415816216617017417818218619019419820220621021441014182226303438465054586266[[#This Row],[Jour]]="7- Dimanche",$B$1, )))))))</f>
        <v>44309</v>
      </c>
      <c r="B28" s="257" t="s">
        <v>332</v>
      </c>
      <c r="C28" s="258" t="n">
        <v>0.3125</v>
      </c>
      <c r="D28" s="258" t="n">
        <v>0.354166666666667</v>
      </c>
      <c r="E28" s="71" t="s">
        <v>32</v>
      </c>
      <c r="F28" s="71"/>
      <c r="G28" s="259"/>
      <c r="H28" s="258" t="n">
        <f aca="false">IF($C28=0,"",$D28-$C28)</f>
        <v>0.0416666666666667</v>
      </c>
      <c r="I28" s="260" t="n">
        <f aca="false">IF($C28=0,"",($H28-INT($H28))*24)</f>
        <v>1</v>
      </c>
      <c r="J28" s="303" t="n">
        <f aca="false">SUMIF(Horodateur11233538192231343743464952555861646985222634384650585462667074788290989410210611411811012212613013413814214615015415816216617017417818218619019419820220621021441014182226303438465054586266[Jour],$B28,Horodateur11233538192231343743464952555861646985222634384650585462667074788290989410210611411811012212613013413814214615015415816216617017417818218619019419820220621021441014182226303438465054586266[Durée (100)])</f>
        <v>9</v>
      </c>
      <c r="K28" s="335"/>
      <c r="L28" s="336"/>
      <c r="M28" s="188" t="s">
        <v>33</v>
      </c>
      <c r="N28" s="272" t="str">
        <f aca="false">IF(Horodateur11233538192231343743464952555861646985222634384650585462667074788290989410210611411811012212613013413814214615015415816216617017417818218619019419820220621021441014182226303438465054586266[[#This Row],[O]]="o",Horodateur11233538192231343743464952555861646985222634384650585462667074788290989410210611411811012212613013413814214615015415816216617017417818218619019419820220621021441014182226303438465054586266[[#This Row],[Durée (100)]],".")</f>
        <v>.</v>
      </c>
      <c r="O28" s="337" t="n">
        <f aca="false">IF(L28 = "c", I28, 0)</f>
        <v>0</v>
      </c>
      <c r="P28" s="187"/>
      <c r="Q28" s="71"/>
      <c r="R28" s="71"/>
      <c r="S28" s="71"/>
      <c r="T28" s="71"/>
      <c r="U28" s="71"/>
      <c r="V28" s="71"/>
      <c r="W28" s="71"/>
      <c r="X28" s="71"/>
      <c r="Y28" s="71"/>
      <c r="Z28" s="71"/>
      <c r="AA28" s="71"/>
      <c r="AB28" s="71"/>
      <c r="AC28" s="71"/>
      <c r="AD28" s="71"/>
      <c r="AE28" s="71"/>
      <c r="AF28" s="71"/>
      <c r="AG28" s="71"/>
      <c r="AH28" s="71"/>
      <c r="AI28" s="71"/>
    </row>
    <row r="29" customFormat="false" ht="15" hidden="false" customHeight="false" outlineLevel="0" collapsed="false">
      <c r="A29" s="256" t="n">
        <f aca="false">IF(Horodateur11233538192231343743464952555861646985222634384650585462667074788290989410210611411811012212613013413814214615015415816216617017417818218619019419820220621021441014182226303438465054586266[[#This Row],[Jour]]="1- Lundi",$B$1+1, IF(Horodateur11233538192231343743464952555861646985222634384650585462667074788290989410210611411811012212613013413814214615015415816216617017417818218619019419820220621021441014182226303438465054586266[[#This Row],[Jour]]="2- Mardi",$B$1+2, IF(Horodateur11233538192231343743464952555861646985222634384650585462667074788290989410210611411811012212613013413814214615015415816216617017417818218619019419820220621021441014182226303438465054586266[[#This Row],[Jour]]="3- Mercredi",$B$1+3, IF(Horodateur11233538192231343743464952555861646985222634384650585462667074788290989410210611411811012212613013413814214615015415816216617017417818218619019419820220621021441014182226303438465054586266[[#This Row],[Jour]]="4- Jeudi",$B$1+4, IF(Horodateur11233538192231343743464952555861646985222634384650585462667074788290989410210611411811012212613013413814214615015415816216617017417818218619019419820220621021441014182226303438465054586266[[#This Row],[Jour]]="5- Vendredi",$B$1+5, IF(Horodateur11233538192231343743464952555861646985222634384650585462667074788290989410210611411811012212613013413814214615015415816216617017417818218619019419820220621021441014182226303438465054586266[[#This Row],[Jour]]="6- Samedi",$B$1+6, IF(Horodateur11233538192231343743464952555861646985222634384650585462667074788290989410210611411811012212613013413814214615015415816216617017417818218619019419820220621021441014182226303438465054586266[[#This Row],[Jour]]="7- Dimanche",$B$1, )))))))</f>
        <v>44309</v>
      </c>
      <c r="B29" s="257" t="s">
        <v>332</v>
      </c>
      <c r="C29" s="258" t="n">
        <v>0.354166666666667</v>
      </c>
      <c r="D29" s="258" t="n">
        <v>0.416666666666667</v>
      </c>
      <c r="E29" s="71" t="s">
        <v>71</v>
      </c>
      <c r="F29" s="71" t="s">
        <v>378</v>
      </c>
      <c r="G29" s="259"/>
      <c r="H29" s="258" t="n">
        <f aca="false">IF($C29=0,"",$D29-$C29)</f>
        <v>0.0625</v>
      </c>
      <c r="I29" s="260" t="n">
        <f aca="false">IF($C29=0,"",($H29-INT($H29))*24)</f>
        <v>1.5</v>
      </c>
      <c r="J29" s="303" t="n">
        <f aca="false">SUMIF(Horodateur11233538192231343743464952555861646985222634384650585462667074788290989410210611411811012212613013413814214615015415816216617017417818218619019419820220621021441014182226303438465054586266[Jour],$B29,Horodateur11233538192231343743464952555861646985222634384650585462667074788290989410210611411811012212613013413814214615015415816216617017417818218619019419820220621021441014182226303438465054586266[Durée (100)])</f>
        <v>9</v>
      </c>
      <c r="K29" s="335"/>
      <c r="L29" s="336"/>
      <c r="M29" s="188" t="s">
        <v>33</v>
      </c>
      <c r="N29" s="272" t="str">
        <f aca="false">IF(Horodateur11233538192231343743464952555861646985222634384650585462667074788290989410210611411811012212613013413814214615015415816216617017417818218619019419820220621021441014182226303438465054586266[[#This Row],[O]]="o",Horodateur11233538192231343743464952555861646985222634384650585462667074788290989410210611411811012212613013413814214615015415816216617017417818218619019419820220621021441014182226303438465054586266[[#This Row],[Durée (100)]],".")</f>
        <v>.</v>
      </c>
      <c r="O29" s="337" t="n">
        <f aca="false">IF(L29 = "c", I29, 0)</f>
        <v>0</v>
      </c>
      <c r="P29" s="187"/>
      <c r="Q29" s="71"/>
      <c r="R29" s="71"/>
      <c r="S29" s="71"/>
      <c r="T29" s="71"/>
      <c r="U29" s="71"/>
      <c r="V29" s="71"/>
      <c r="W29" s="71"/>
      <c r="X29" s="71"/>
      <c r="Y29" s="71"/>
      <c r="Z29" s="71"/>
      <c r="AA29" s="71"/>
      <c r="AB29" s="71"/>
      <c r="AC29" s="71"/>
      <c r="AD29" s="71"/>
      <c r="AE29" s="71"/>
      <c r="AF29" s="71"/>
      <c r="AG29" s="71"/>
      <c r="AH29" s="71"/>
      <c r="AI29" s="71"/>
    </row>
    <row r="30" customFormat="false" ht="15" hidden="false" customHeight="false" outlineLevel="0" collapsed="false">
      <c r="A30" s="256" t="n">
        <f aca="false">IF(Horodateur11233538192231343743464952555861646985222634384650585462667074788290989410210611411811012212613013413814214615015415816216617017417818218619019419820220621021441014182226303438465054586266[[#This Row],[Jour]]="1- Lundi",$B$1+1, IF(Horodateur11233538192231343743464952555861646985222634384650585462667074788290989410210611411811012212613013413814214615015415816216617017417818218619019419820220621021441014182226303438465054586266[[#This Row],[Jour]]="2- Mardi",$B$1+2, IF(Horodateur11233538192231343743464952555861646985222634384650585462667074788290989410210611411811012212613013413814214615015415816216617017417818218619019419820220621021441014182226303438465054586266[[#This Row],[Jour]]="3- Mercredi",$B$1+3, IF(Horodateur11233538192231343743464952555861646985222634384650585462667074788290989410210611411811012212613013413814214615015415816216617017417818218619019419820220621021441014182226303438465054586266[[#This Row],[Jour]]="4- Jeudi",$B$1+4, IF(Horodateur11233538192231343743464952555861646985222634384650585462667074788290989410210611411811012212613013413814214615015415816216617017417818218619019419820220621021441014182226303438465054586266[[#This Row],[Jour]]="5- Vendredi",$B$1+5, IF(Horodateur11233538192231343743464952555861646985222634384650585462667074788290989410210611411811012212613013413814214615015415816216617017417818218619019419820220621021441014182226303438465054586266[[#This Row],[Jour]]="6- Samedi",$B$1+6, IF(Horodateur11233538192231343743464952555861646985222634384650585462667074788290989410210611411811012212613013413814214615015415816216617017417818218619019419820220621021441014182226303438465054586266[[#This Row],[Jour]]="7- Dimanche",$B$1, )))))))</f>
        <v>44309</v>
      </c>
      <c r="B30" s="257" t="s">
        <v>332</v>
      </c>
      <c r="C30" s="258" t="n">
        <v>0.416666666666667</v>
      </c>
      <c r="D30" s="258" t="n">
        <v>0.458333333333333</v>
      </c>
      <c r="E30" s="71" t="s">
        <v>59</v>
      </c>
      <c r="F30" s="71" t="s">
        <v>378</v>
      </c>
      <c r="G30" s="259" t="s">
        <v>373</v>
      </c>
      <c r="H30" s="258" t="n">
        <f aca="false">IF($C30=0,"",$D30-$C30)</f>
        <v>0.0416666666666666</v>
      </c>
      <c r="I30" s="260" t="n">
        <f aca="false">IF($C30=0,"",($H30-INT($H30))*24)</f>
        <v>0.999999999999999</v>
      </c>
      <c r="J30" s="303" t="n">
        <f aca="false">SUMIF(Horodateur11233538192231343743464952555861646985222634384650585462667074788290989410210611411811012212613013413814214615015415816216617017417818218619019419820220621021441014182226303438465054586266[Jour],$B30,Horodateur11233538192231343743464952555861646985222634384650585462667074788290989410210611411811012212613013413814214615015415816216617017417818218619019419820220621021441014182226303438465054586266[Durée (100)])</f>
        <v>9</v>
      </c>
      <c r="K30" s="335"/>
      <c r="L30" s="336"/>
      <c r="M30" s="188"/>
      <c r="N30" s="272" t="str">
        <f aca="false">IF(Horodateur11233538192231343743464952555861646985222634384650585462667074788290989410210611411811012212613013413814214615015415816216617017417818218619019419820220621021441014182226303438465054586266[[#This Row],[O]]="o",Horodateur11233538192231343743464952555861646985222634384650585462667074788290989410210611411811012212613013413814214615015415816216617017417818218619019419820220621021441014182226303438465054586266[[#This Row],[Durée (100)]],".")</f>
        <v>.</v>
      </c>
      <c r="O30" s="337" t="n">
        <f aca="false">IF(L30 = "c", I30, 0)</f>
        <v>0</v>
      </c>
      <c r="P30" s="187"/>
      <c r="Q30" s="71"/>
      <c r="R30" s="71"/>
      <c r="S30" s="71"/>
      <c r="T30" s="71"/>
      <c r="U30" s="71"/>
      <c r="V30" s="71"/>
      <c r="W30" s="71"/>
      <c r="X30" s="71"/>
      <c r="Y30" s="71"/>
      <c r="Z30" s="71"/>
      <c r="AA30" s="71"/>
      <c r="AB30" s="71"/>
      <c r="AC30" s="71"/>
      <c r="AD30" s="71"/>
      <c r="AE30" s="71"/>
      <c r="AF30" s="71"/>
      <c r="AG30" s="71"/>
      <c r="AH30" s="71"/>
      <c r="AI30" s="71"/>
    </row>
    <row r="31" customFormat="false" ht="15" hidden="false" customHeight="false" outlineLevel="0" collapsed="false">
      <c r="A31" s="256" t="n">
        <f aca="false">IF(Horodateur11233538192231343743464952555861646985222634384650585462667074788290989410210611411811012212613013413814214615015415816216617017417818218619019419820220621021441014182226303438465054586266[[#This Row],[Jour]]="1- Lundi",$B$1+1, IF(Horodateur11233538192231343743464952555861646985222634384650585462667074788290989410210611411811012212613013413814214615015415816216617017417818218619019419820220621021441014182226303438465054586266[[#This Row],[Jour]]="2- Mardi",$B$1+2, IF(Horodateur11233538192231343743464952555861646985222634384650585462667074788290989410210611411811012212613013413814214615015415816216617017417818218619019419820220621021441014182226303438465054586266[[#This Row],[Jour]]="3- Mercredi",$B$1+3, IF(Horodateur11233538192231343743464952555861646985222634384650585462667074788290989410210611411811012212613013413814214615015415816216617017417818218619019419820220621021441014182226303438465054586266[[#This Row],[Jour]]="4- Jeudi",$B$1+4, IF(Horodateur11233538192231343743464952555861646985222634384650585462667074788290989410210611411811012212613013413814214615015415816216617017417818218619019419820220621021441014182226303438465054586266[[#This Row],[Jour]]="5- Vendredi",$B$1+5, IF(Horodateur11233538192231343743464952555861646985222634384650585462667074788290989410210611411811012212613013413814214615015415816216617017417818218619019419820220621021441014182226303438465054586266[[#This Row],[Jour]]="6- Samedi",$B$1+6, IF(Horodateur11233538192231343743464952555861646985222634384650585462667074788290989410210611411811012212613013413814214615015415816216617017417818218619019419820220621021441014182226303438465054586266[[#This Row],[Jour]]="7- Dimanche",$B$1, )))))))</f>
        <v>44309</v>
      </c>
      <c r="B31" s="257" t="s">
        <v>332</v>
      </c>
      <c r="C31" s="258" t="n">
        <v>0.416666666666667</v>
      </c>
      <c r="D31" s="258" t="n">
        <v>0.510416666666667</v>
      </c>
      <c r="E31" s="71" t="s">
        <v>59</v>
      </c>
      <c r="F31" s="71" t="s">
        <v>408</v>
      </c>
      <c r="G31" s="259" t="s">
        <v>374</v>
      </c>
      <c r="H31" s="258" t="n">
        <f aca="false">IF($C31=0,"",$D31-$C31)</f>
        <v>0.0937499999999999</v>
      </c>
      <c r="I31" s="260" t="n">
        <f aca="false">IF($C31=0,"",($H31-INT($H31))*24)</f>
        <v>2.25</v>
      </c>
      <c r="J31" s="303" t="n">
        <f aca="false">SUMIF(Horodateur11233538192231343743464952555861646985222634384650585462667074788290989410210611411811012212613013413814214615015415816216617017417818218619019419820220621021441014182226303438465054586266[Jour],$B31,Horodateur11233538192231343743464952555861646985222634384650585462667074788290989410210611411811012212613013413814214615015415816216617017417818218619019419820220621021441014182226303438465054586266[Durée (100)])</f>
        <v>9</v>
      </c>
      <c r="K31" s="335"/>
      <c r="L31" s="336"/>
      <c r="M31" s="188" t="s">
        <v>33</v>
      </c>
      <c r="N31" s="272" t="str">
        <f aca="false">IF(Horodateur11233538192231343743464952555861646985222634384650585462667074788290989410210611411811012212613013413814214615015415816216617017417818218619019419820220621021441014182226303438465054586266[[#This Row],[O]]="o",Horodateur11233538192231343743464952555861646985222634384650585462667074788290989410210611411811012212613013413814214615015415816216617017417818218619019419820220621021441014182226303438465054586266[[#This Row],[Durée (100)]],".")</f>
        <v>.</v>
      </c>
      <c r="O31" s="337" t="n">
        <f aca="false">IF(L31 = "c", I31, 0)</f>
        <v>0</v>
      </c>
      <c r="P31" s="187"/>
      <c r="Q31" s="71"/>
      <c r="R31" s="71"/>
      <c r="S31" s="71"/>
      <c r="T31" s="71"/>
      <c r="U31" s="71"/>
      <c r="V31" s="71"/>
      <c r="W31" s="71"/>
      <c r="X31" s="71"/>
      <c r="Y31" s="71"/>
      <c r="Z31" s="71"/>
      <c r="AA31" s="71"/>
      <c r="AB31" s="71"/>
      <c r="AC31" s="71"/>
      <c r="AD31" s="71"/>
      <c r="AE31" s="71"/>
      <c r="AF31" s="71"/>
      <c r="AG31" s="71"/>
      <c r="AH31" s="71"/>
      <c r="AI31" s="71"/>
    </row>
    <row r="32" customFormat="false" ht="15" hidden="false" customHeight="false" outlineLevel="0" collapsed="false">
      <c r="A32" s="256" t="n">
        <f aca="false">IF(Horodateur11233538192231343743464952555861646985222634384650585462667074788290989410210611411811012212613013413814214615015415816216617017417818218619019419820220621021441014182226303438465054586266[[#This Row],[Jour]]="1- Lundi",$B$1+1, IF(Horodateur11233538192231343743464952555861646985222634384650585462667074788290989410210611411811012212613013413814214615015415816216617017417818218619019419820220621021441014182226303438465054586266[[#This Row],[Jour]]="2- Mardi",$B$1+2, IF(Horodateur11233538192231343743464952555861646985222634384650585462667074788290989410210611411811012212613013413814214615015415816216617017417818218619019419820220621021441014182226303438465054586266[[#This Row],[Jour]]="3- Mercredi",$B$1+3, IF(Horodateur11233538192231343743464952555861646985222634384650585462667074788290989410210611411811012212613013413814214615015415816216617017417818218619019419820220621021441014182226303438465054586266[[#This Row],[Jour]]="4- Jeudi",$B$1+4, IF(Horodateur11233538192231343743464952555861646985222634384650585462667074788290989410210611411811012212613013413814214615015415816216617017417818218619019419820220621021441014182226303438465054586266[[#This Row],[Jour]]="5- Vendredi",$B$1+5, IF(Horodateur11233538192231343743464952555861646985222634384650585462667074788290989410210611411811012212613013413814214615015415816216617017417818218619019419820220621021441014182226303438465054586266[[#This Row],[Jour]]="6- Samedi",$B$1+6, IF(Horodateur11233538192231343743464952555861646985222634384650585462667074788290989410210611411811012212613013413814214615015415816216617017417818218619019419820220621021441014182226303438465054586266[[#This Row],[Jour]]="7- Dimanche",$B$1, )))))))</f>
        <v>44309</v>
      </c>
      <c r="B32" s="257" t="s">
        <v>332</v>
      </c>
      <c r="C32" s="258" t="n">
        <v>0.572916666666667</v>
      </c>
      <c r="D32" s="258" t="n">
        <v>0.645833333333333</v>
      </c>
      <c r="E32" s="71" t="s">
        <v>363</v>
      </c>
      <c r="F32" s="71" t="s">
        <v>378</v>
      </c>
      <c r="G32" s="259" t="s">
        <v>405</v>
      </c>
      <c r="H32" s="258" t="n">
        <f aca="false">IF($C32=0,"",$D32-$C32)</f>
        <v>0.0729166666666667</v>
      </c>
      <c r="I32" s="260" t="n">
        <f aca="false">IF($C32=0,"",($H32-INT($H32))*24)</f>
        <v>1.75</v>
      </c>
      <c r="J32" s="303" t="n">
        <f aca="false">SUMIF(Horodateur11233538192231343743464952555861646985222634384650585462667074788290989410210611411811012212613013413814214615015415816216617017417818218619019419820220621021441014182226303438465054586266[Jour],$B32,Horodateur11233538192231343743464952555861646985222634384650585462667074788290989410210611411811012212613013413814214615015415816216617017417818218619019419820220621021441014182226303438465054586266[Durée (100)])</f>
        <v>9</v>
      </c>
      <c r="K32" s="335"/>
      <c r="L32" s="336"/>
      <c r="M32" s="188" t="s">
        <v>33</v>
      </c>
      <c r="N32" s="272" t="str">
        <f aca="false">IF(Horodateur11233538192231343743464952555861646985222634384650585462667074788290989410210611411811012212613013413814214615015415816216617017417818218619019419820220621021441014182226303438465054586266[[#This Row],[O]]="o",Horodateur11233538192231343743464952555861646985222634384650585462667074788290989410210611411811012212613013413814214615015415816216617017417818218619019419820220621021441014182226303438465054586266[[#This Row],[Durée (100)]],".")</f>
        <v>.</v>
      </c>
      <c r="O32" s="337" t="n">
        <f aca="false">IF(L32 = "c", I32, 0)</f>
        <v>0</v>
      </c>
      <c r="P32" s="187"/>
      <c r="Q32" s="71"/>
      <c r="R32" s="71"/>
      <c r="S32" s="71"/>
      <c r="T32" s="71"/>
      <c r="U32" s="71"/>
      <c r="V32" s="71"/>
      <c r="W32" s="71"/>
      <c r="X32" s="71"/>
      <c r="Y32" s="71"/>
      <c r="Z32" s="71"/>
      <c r="AA32" s="71"/>
      <c r="AB32" s="71"/>
      <c r="AC32" s="71"/>
      <c r="AD32" s="71"/>
      <c r="AE32" s="71"/>
      <c r="AF32" s="71"/>
      <c r="AG32" s="71"/>
      <c r="AH32" s="71"/>
      <c r="AI32" s="71"/>
    </row>
    <row r="33" customFormat="false" ht="15" hidden="false" customHeight="false" outlineLevel="0" collapsed="false">
      <c r="A33" s="256" t="n">
        <f aca="false">IF(Horodateur11233538192231343743464952555861646985222634384650585462667074788290989410210611411811012212613013413814214615015415816216617017417818218619019419820220621021441014182226303438465054586266[[#This Row],[Jour]]="1- Lundi",$B$1+1, IF(Horodateur11233538192231343743464952555861646985222634384650585462667074788290989410210611411811012212613013413814214615015415816216617017417818218619019419820220621021441014182226303438465054586266[[#This Row],[Jour]]="2- Mardi",$B$1+2, IF(Horodateur11233538192231343743464952555861646985222634384650585462667074788290989410210611411811012212613013413814214615015415816216617017417818218619019419820220621021441014182226303438465054586266[[#This Row],[Jour]]="3- Mercredi",$B$1+3, IF(Horodateur11233538192231343743464952555861646985222634384650585462667074788290989410210611411811012212613013413814214615015415816216617017417818218619019419820220621021441014182226303438465054586266[[#This Row],[Jour]]="4- Jeudi",$B$1+4, IF(Horodateur11233538192231343743464952555861646985222634384650585462667074788290989410210611411811012212613013413814214615015415816216617017417818218619019419820220621021441014182226303438465054586266[[#This Row],[Jour]]="5- Vendredi",$B$1+5, IF(Horodateur11233538192231343743464952555861646985222634384650585462667074788290989410210611411811012212613013413814214615015415816216617017417818218619019419820220621021441014182226303438465054586266[[#This Row],[Jour]]="6- Samedi",$B$1+6, IF(Horodateur11233538192231343743464952555861646985222634384650585462667074788290989410210611411811012212613013413814214615015415816216617017417818218619019419820220621021441014182226303438465054586266[[#This Row],[Jour]]="7- Dimanche",$B$1, )))))))</f>
        <v>44309</v>
      </c>
      <c r="B33" s="257" t="s">
        <v>332</v>
      </c>
      <c r="C33" s="258" t="n">
        <v>0.645833333333333</v>
      </c>
      <c r="D33" s="258" t="n">
        <v>0.708333333333333</v>
      </c>
      <c r="E33" s="71"/>
      <c r="F33" s="71"/>
      <c r="G33" s="259"/>
      <c r="H33" s="258" t="n">
        <f aca="false">IF($C33=0,"",$D33-$C33)</f>
        <v>0.0625</v>
      </c>
      <c r="I33" s="260" t="n">
        <f aca="false">IF($C33=0,"",($H33-INT($H33))*24)</f>
        <v>1.5</v>
      </c>
      <c r="J33" s="303" t="n">
        <f aca="false">SUMIF(Horodateur11233538192231343743464952555861646985222634384650585462667074788290989410210611411811012212613013413814214615015415816216617017417818218619019419820220621021441014182226303438465054586266[Jour],$B33,Horodateur11233538192231343743464952555861646985222634384650585462667074788290989410210611411811012212613013413814214615015415816216617017417818218619019419820220621021441014182226303438465054586266[Durée (100)])</f>
        <v>9</v>
      </c>
      <c r="K33" s="335"/>
      <c r="L33" s="336"/>
      <c r="M33" s="188" t="s">
        <v>33</v>
      </c>
      <c r="N33" s="272" t="str">
        <f aca="false">IF(Horodateur11233538192231343743464952555861646985222634384650585462667074788290989410210611411811012212613013413814214615015415816216617017417818218619019419820220621021441014182226303438465054586266[[#This Row],[O]]="o",Horodateur11233538192231343743464952555861646985222634384650585462667074788290989410210611411811012212613013413814214615015415816216617017417818218619019419820220621021441014182226303438465054586266[[#This Row],[Durée (100)]],".")</f>
        <v>.</v>
      </c>
      <c r="O33" s="337" t="n">
        <f aca="false">IF(L33 = "c", I33, 0)</f>
        <v>0</v>
      </c>
      <c r="P33" s="187"/>
      <c r="Q33" s="71"/>
      <c r="R33" s="71"/>
      <c r="S33" s="71"/>
      <c r="T33" s="71"/>
      <c r="U33" s="71"/>
      <c r="V33" s="71"/>
      <c r="W33" s="71"/>
      <c r="X33" s="71"/>
      <c r="Y33" s="71"/>
      <c r="Z33" s="71"/>
      <c r="AA33" s="71"/>
      <c r="AB33" s="71"/>
      <c r="AC33" s="71"/>
      <c r="AD33" s="71"/>
      <c r="AE33" s="71"/>
      <c r="AF33" s="71"/>
      <c r="AG33" s="71"/>
      <c r="AH33" s="71"/>
      <c r="AI33" s="71"/>
    </row>
    <row r="34" customFormat="false" ht="15" hidden="false" customHeight="false" outlineLevel="0" collapsed="false">
      <c r="A34" s="256" t="n">
        <f aca="false">IF(Horodateur11233538192231343743464952555861646985222634384650585462667074788290989410210611411811012212613013413814214615015415816216617017417818218619019419820220621021441014182226303438465054586266[[#This Row],[Jour]]="1- Lundi",$B$1+1, IF(Horodateur11233538192231343743464952555861646985222634384650585462667074788290989410210611411811012212613013413814214615015415816216617017417818218619019419820220621021441014182226303438465054586266[[#This Row],[Jour]]="2- Mardi",$B$1+2, IF(Horodateur11233538192231343743464952555861646985222634384650585462667074788290989410210611411811012212613013413814214615015415816216617017417818218619019419820220621021441014182226303438465054586266[[#This Row],[Jour]]="3- Mercredi",$B$1+3, IF(Horodateur11233538192231343743464952555861646985222634384650585462667074788290989410210611411811012212613013413814214615015415816216617017417818218619019419820220621021441014182226303438465054586266[[#This Row],[Jour]]="4- Jeudi",$B$1+4, IF(Horodateur11233538192231343743464952555861646985222634384650585462667074788290989410210611411811012212613013413814214615015415816216617017417818218619019419820220621021441014182226303438465054586266[[#This Row],[Jour]]="5- Vendredi",$B$1+5, IF(Horodateur11233538192231343743464952555861646985222634384650585462667074788290989410210611411811012212613013413814214615015415816216617017417818218619019419820220621021441014182226303438465054586266[[#This Row],[Jour]]="6- Samedi",$B$1+6, IF(Horodateur11233538192231343743464952555861646985222634384650585462667074788290989410210611411811012212613013413814214615015415816216617017417818218619019419820220621021441014182226303438465054586266[[#This Row],[Jour]]="7- Dimanche",$B$1, )))))))</f>
        <v>44309</v>
      </c>
      <c r="B34" s="257" t="s">
        <v>332</v>
      </c>
      <c r="C34" s="258"/>
      <c r="D34" s="258"/>
      <c r="E34" s="71"/>
      <c r="F34" s="71"/>
      <c r="G34" s="259"/>
      <c r="H34" s="258" t="str">
        <f aca="false">IF($C34=0,"",$D34-$C34)</f>
        <v/>
      </c>
      <c r="I34" s="260" t="str">
        <f aca="false">IF($C34=0,"",($H34-INT($H34))*24)</f>
        <v/>
      </c>
      <c r="J34" s="303" t="n">
        <f aca="false">SUMIF(Horodateur11233538192231343743464952555861646985222634384650585462667074788290989410210611411811012212613013413814214615015415816216617017417818218619019419820220621021441014182226303438465054586266[Jour],$B34,Horodateur11233538192231343743464952555861646985222634384650585462667074788290989410210611411811012212613013413814214615015415816216617017417818218619019419820220621021441014182226303438465054586266[Durée (100)])</f>
        <v>9</v>
      </c>
      <c r="K34" s="335"/>
      <c r="L34" s="336"/>
      <c r="M34" s="188" t="s">
        <v>33</v>
      </c>
      <c r="N34" s="272" t="str">
        <f aca="false">IF(Horodateur11233538192231343743464952555861646985222634384650585462667074788290989410210611411811012212613013413814214615015415816216617017417818218619019419820220621021441014182226303438465054586266[[#This Row],[O]]="o",Horodateur11233538192231343743464952555861646985222634384650585462667074788290989410210611411811012212613013413814214615015415816216617017417818218619019419820220621021441014182226303438465054586266[[#This Row],[Durée (100)]],".")</f>
        <v>.</v>
      </c>
      <c r="O34" s="337" t="n">
        <f aca="false">IF(L34 = "c", I34, 0)</f>
        <v>0</v>
      </c>
      <c r="P34" s="187"/>
      <c r="Q34" s="71"/>
      <c r="R34" s="71"/>
      <c r="S34" s="71"/>
      <c r="T34" s="71"/>
      <c r="U34" s="71"/>
      <c r="V34" s="71"/>
      <c r="W34" s="71"/>
      <c r="X34" s="71"/>
      <c r="Y34" s="71"/>
      <c r="Z34" s="71"/>
      <c r="AA34" s="71"/>
      <c r="AB34" s="71"/>
      <c r="AC34" s="71"/>
      <c r="AD34" s="71"/>
      <c r="AE34" s="71"/>
      <c r="AF34" s="71"/>
      <c r="AG34" s="71"/>
      <c r="AH34" s="71"/>
      <c r="AI34" s="71"/>
    </row>
    <row r="35" customFormat="false" ht="15" hidden="false" customHeight="false" outlineLevel="0" collapsed="false">
      <c r="A35" s="256" t="n">
        <f aca="false">IF(Horodateur11233538192231343743464952555861646985222634384650585462667074788290989410210611411811012212613013413814214615015415816216617017417818218619019419820220621021441014182226303438465054586266[[#This Row],[Jour]]="1- Lundi",$B$1+1, IF(Horodateur11233538192231343743464952555861646985222634384650585462667074788290989410210611411811012212613013413814214615015415816216617017417818218619019419820220621021441014182226303438465054586266[[#This Row],[Jour]]="2- Mardi",$B$1+2, IF(Horodateur11233538192231343743464952555861646985222634384650585462667074788290989410210611411811012212613013413814214615015415816216617017417818218619019419820220621021441014182226303438465054586266[[#This Row],[Jour]]="3- Mercredi",$B$1+3, IF(Horodateur11233538192231343743464952555861646985222634384650585462667074788290989410210611411811012212613013413814214615015415816216617017417818218619019419820220621021441014182226303438465054586266[[#This Row],[Jour]]="4- Jeudi",$B$1+4, IF(Horodateur11233538192231343743464952555861646985222634384650585462667074788290989410210611411811012212613013413814214615015415816216617017417818218619019419820220621021441014182226303438465054586266[[#This Row],[Jour]]="5- Vendredi",$B$1+5, IF(Horodateur11233538192231343743464952555861646985222634384650585462667074788290989410210611411811012212613013413814214615015415816216617017417818218619019419820220621021441014182226303438465054586266[[#This Row],[Jour]]="6- Samedi",$B$1+6, IF(Horodateur11233538192231343743464952555861646985222634384650585462667074788290989410210611411811012212613013413814214615015415816216617017417818218619019419820220621021441014182226303438465054586266[[#This Row],[Jour]]="7- Dimanche",$B$1, )))))))</f>
        <v>44310</v>
      </c>
      <c r="B35" s="257" t="s">
        <v>335</v>
      </c>
      <c r="C35" s="258"/>
      <c r="D35" s="258"/>
      <c r="E35" s="71"/>
      <c r="F35" s="71"/>
      <c r="G35" s="259"/>
      <c r="H35" s="258" t="str">
        <f aca="false">IF($C35=0,"",$D35-$C35)</f>
        <v/>
      </c>
      <c r="I35" s="260" t="str">
        <f aca="false">IF($C35=0,"",($H35-INT($H35))*24)</f>
        <v/>
      </c>
      <c r="J35" s="303" t="n">
        <f aca="false">SUMIF(Horodateur11233538192231343743464952555861646985222634384650585462667074788290989410210611411811012212613013413814214615015415816216617017417818218619019419820220621021441014182226303438465054586266[Jour],$B35,Horodateur11233538192231343743464952555861646985222634384650585462667074788290989410210611411811012212613013413814214615015415816216617017417818218619019419820220621021441014182226303438465054586266[Durée (100)])</f>
        <v>1</v>
      </c>
      <c r="K35" s="335"/>
      <c r="L35" s="336"/>
      <c r="M35" s="188" t="s">
        <v>33</v>
      </c>
      <c r="N35" s="272" t="str">
        <f aca="false">IF(Horodateur11233538192231343743464952555861646985222634384650585462667074788290989410210611411811012212613013413814214615015415816216617017417818218619019419820220621021441014182226303438465054586266[[#This Row],[O]]="o",Horodateur11233538192231343743464952555861646985222634384650585462667074788290989410210611411811012212613013413814214615015415816216617017417818218619019419820220621021441014182226303438465054586266[[#This Row],[Durée (100)]],".")</f>
        <v>.</v>
      </c>
      <c r="O35" s="337" t="n">
        <f aca="false">IF(L35 = "c", I35, 0)</f>
        <v>0</v>
      </c>
      <c r="P35" s="187"/>
      <c r="Q35" s="71"/>
      <c r="R35" s="71"/>
      <c r="S35" s="71"/>
      <c r="T35" s="71"/>
      <c r="U35" s="71"/>
      <c r="V35" s="71"/>
      <c r="W35" s="71"/>
      <c r="X35" s="71"/>
      <c r="Y35" s="71"/>
      <c r="Z35" s="71"/>
      <c r="AA35" s="71"/>
      <c r="AB35" s="71"/>
      <c r="AC35" s="71"/>
      <c r="AD35" s="71"/>
      <c r="AE35" s="71"/>
      <c r="AF35" s="71"/>
      <c r="AG35" s="71"/>
      <c r="AH35" s="71"/>
      <c r="AI35" s="71"/>
    </row>
    <row r="36" customFormat="false" ht="15" hidden="false" customHeight="false" outlineLevel="0" collapsed="false">
      <c r="A36" s="256" t="n">
        <f aca="false">IF(Horodateur11233538192231343743464952555861646985222634384650585462667074788290989410210611411811012212613013413814214615015415816216617017417818218619019419820220621021441014182226303438465054586266[[#This Row],[Jour]]="1- Lundi",$B$1+1, IF(Horodateur11233538192231343743464952555861646985222634384650585462667074788290989410210611411811012212613013413814214615015415816216617017417818218619019419820220621021441014182226303438465054586266[[#This Row],[Jour]]="2- Mardi",$B$1+2, IF(Horodateur11233538192231343743464952555861646985222634384650585462667074788290989410210611411811012212613013413814214615015415816216617017417818218619019419820220621021441014182226303438465054586266[[#This Row],[Jour]]="3- Mercredi",$B$1+3, IF(Horodateur11233538192231343743464952555861646985222634384650585462667074788290989410210611411811012212613013413814214615015415816216617017417818218619019419820220621021441014182226303438465054586266[[#This Row],[Jour]]="4- Jeudi",$B$1+4, IF(Horodateur11233538192231343743464952555861646985222634384650585462667074788290989410210611411811012212613013413814214615015415816216617017417818218619019419820220621021441014182226303438465054586266[[#This Row],[Jour]]="5- Vendredi",$B$1+5, IF(Horodateur11233538192231343743464952555861646985222634384650585462667074788290989410210611411811012212613013413814214615015415816216617017417818218619019419820220621021441014182226303438465054586266[[#This Row],[Jour]]="6- Samedi",$B$1+6, IF(Horodateur11233538192231343743464952555861646985222634384650585462667074788290989410210611411811012212613013413814214615015415816216617017417818218619019419820220621021441014182226303438465054586266[[#This Row],[Jour]]="7- Dimanche",$B$1, )))))))</f>
        <v>44310</v>
      </c>
      <c r="B36" s="257" t="s">
        <v>335</v>
      </c>
      <c r="C36" s="258"/>
      <c r="D36" s="258"/>
      <c r="E36" s="71"/>
      <c r="F36" s="71"/>
      <c r="G36" s="259"/>
      <c r="H36" s="258" t="str">
        <f aca="false">IF($C36=0,"",$D36-$C36)</f>
        <v/>
      </c>
      <c r="I36" s="260" t="str">
        <f aca="false">IF($C36=0,"",($H36-INT($H36))*24)</f>
        <v/>
      </c>
      <c r="J36" s="303" t="n">
        <f aca="false">SUMIF(Horodateur11233538192231343743464952555861646985222634384650585462667074788290989410210611411811012212613013413814214615015415816216617017417818218619019419820220621021441014182226303438465054586266[Jour],$B36,Horodateur11233538192231343743464952555861646985222634384650585462667074788290989410210611411811012212613013413814214615015415816216617017417818218619019419820220621021441014182226303438465054586266[Durée (100)])</f>
        <v>1</v>
      </c>
      <c r="K36" s="335"/>
      <c r="L36" s="336"/>
      <c r="M36" s="188" t="s">
        <v>33</v>
      </c>
      <c r="N36" s="272" t="str">
        <f aca="false">IF(Horodateur11233538192231343743464952555861646985222634384650585462667074788290989410210611411811012212613013413814214615015415816216617017417818218619019419820220621021441014182226303438465054586266[[#This Row],[O]]="o",Horodateur11233538192231343743464952555861646985222634384650585462667074788290989410210611411811012212613013413814214615015415816216617017417818218619019419820220621021441014182226303438465054586266[[#This Row],[Durée (100)]],".")</f>
        <v>.</v>
      </c>
      <c r="O36" s="337" t="n">
        <f aca="false">IF(L36 = "c", I36, 0)</f>
        <v>0</v>
      </c>
      <c r="P36" s="187"/>
      <c r="Q36" s="71"/>
      <c r="R36" s="71"/>
      <c r="S36" s="71"/>
      <c r="T36" s="71"/>
      <c r="U36" s="71"/>
      <c r="V36" s="71"/>
      <c r="W36" s="71"/>
      <c r="X36" s="71"/>
      <c r="Y36" s="71"/>
      <c r="Z36" s="71"/>
      <c r="AA36" s="71"/>
      <c r="AB36" s="71"/>
      <c r="AC36" s="71"/>
      <c r="AD36" s="71"/>
      <c r="AE36" s="71"/>
      <c r="AF36" s="71"/>
      <c r="AG36" s="71"/>
      <c r="AH36" s="71"/>
      <c r="AI36" s="71"/>
    </row>
    <row r="37" customFormat="false" ht="15" hidden="false" customHeight="false" outlineLevel="0" collapsed="false">
      <c r="A37" s="256" t="n">
        <f aca="false">IF(Horodateur11233538192231343743464952555861646985222634384650585462667074788290989410210611411811012212613013413814214615015415816216617017417818218619019419820220621021441014182226303438465054586266[[#This Row],[Jour]]="1- Lundi",$B$1+1, IF(Horodateur11233538192231343743464952555861646985222634384650585462667074788290989410210611411811012212613013413814214615015415816216617017417818218619019419820220621021441014182226303438465054586266[[#This Row],[Jour]]="2- Mardi",$B$1+2, IF(Horodateur11233538192231343743464952555861646985222634384650585462667074788290989410210611411811012212613013413814214615015415816216617017417818218619019419820220621021441014182226303438465054586266[[#This Row],[Jour]]="3- Mercredi",$B$1+3, IF(Horodateur11233538192231343743464952555861646985222634384650585462667074788290989410210611411811012212613013413814214615015415816216617017417818218619019419820220621021441014182226303438465054586266[[#This Row],[Jour]]="4- Jeudi",$B$1+4, IF(Horodateur11233538192231343743464952555861646985222634384650585462667074788290989410210611411811012212613013413814214615015415816216617017417818218619019419820220621021441014182226303438465054586266[[#This Row],[Jour]]="5- Vendredi",$B$1+5, IF(Horodateur11233538192231343743464952555861646985222634384650585462667074788290989410210611411811012212613013413814214615015415816216617017417818218619019419820220621021441014182226303438465054586266[[#This Row],[Jour]]="6- Samedi",$B$1+6, IF(Horodateur11233538192231343743464952555861646985222634384650585462667074788290989410210611411811012212613013413814214615015415816216617017417818218619019419820220621021441014182226303438465054586266[[#This Row],[Jour]]="7- Dimanche",$B$1, )))))))</f>
        <v>44310</v>
      </c>
      <c r="B37" s="257" t="s">
        <v>335</v>
      </c>
      <c r="C37" s="258" t="n">
        <v>0.375</v>
      </c>
      <c r="D37" s="258" t="n">
        <v>0.395833333333333</v>
      </c>
      <c r="E37" s="71" t="s">
        <v>59</v>
      </c>
      <c r="F37" s="71" t="s">
        <v>379</v>
      </c>
      <c r="G37" s="259" t="s">
        <v>55</v>
      </c>
      <c r="H37" s="258" t="n">
        <f aca="false">IF($C37=0,"",$D37-$C37)</f>
        <v>0.0208333333333333</v>
      </c>
      <c r="I37" s="260" t="n">
        <f aca="false">IF($C37=0,"",($H37-INT($H37))*24)</f>
        <v>0.5</v>
      </c>
      <c r="J37" s="303" t="n">
        <f aca="false">SUMIF(Horodateur11233538192231343743464952555861646985222634384650585462667074788290989410210611411811012212613013413814214615015415816216617017417818218619019419820220621021441014182226303438465054586266[Jour],$B37,Horodateur11233538192231343743464952555861646985222634384650585462667074788290989410210611411811012212613013413814214615015415816216617017417818218619019419820220621021441014182226303438465054586266[Durée (100)])</f>
        <v>1</v>
      </c>
      <c r="K37" s="335"/>
      <c r="L37" s="336"/>
      <c r="M37" s="188" t="s">
        <v>33</v>
      </c>
      <c r="N37" s="272" t="str">
        <f aca="false">IF(Horodateur11233538192231343743464952555861646985222634384650585462667074788290989410210611411811012212613013413814214615015415816216617017417818218619019419820220621021441014182226303438465054586266[[#This Row],[O]]="o",Horodateur11233538192231343743464952555861646985222634384650585462667074788290989410210611411811012212613013413814214615015415816216617017417818218619019419820220621021441014182226303438465054586266[[#This Row],[Durée (100)]],".")</f>
        <v>.</v>
      </c>
      <c r="O37" s="337" t="n">
        <f aca="false">IF(L37 = "c", I37, 0)</f>
        <v>0</v>
      </c>
      <c r="P37" s="187"/>
      <c r="Q37" s="71"/>
      <c r="R37" s="71"/>
      <c r="S37" s="71"/>
      <c r="T37" s="71"/>
      <c r="U37" s="71"/>
      <c r="V37" s="71"/>
      <c r="W37" s="71"/>
      <c r="X37" s="71"/>
      <c r="Y37" s="71"/>
      <c r="Z37" s="71"/>
      <c r="AA37" s="71"/>
      <c r="AB37" s="71"/>
      <c r="AC37" s="71"/>
      <c r="AD37" s="71"/>
      <c r="AE37" s="71"/>
      <c r="AF37" s="71"/>
      <c r="AG37" s="71"/>
      <c r="AH37" s="71"/>
      <c r="AI37" s="71"/>
    </row>
    <row r="38" customFormat="false" ht="15" hidden="false" customHeight="false" outlineLevel="0" collapsed="false">
      <c r="A38" s="256" t="n">
        <f aca="false">IF(Horodateur11233538192231343743464952555861646985222634384650585462667074788290989410210611411811012212613013413814214615015415816216617017417818218619019419820220621021441014182226303438465054586266[[#This Row],[Jour]]="1- Lundi",$B$1+1, IF(Horodateur11233538192231343743464952555861646985222634384650585462667074788290989410210611411811012212613013413814214615015415816216617017417818218619019419820220621021441014182226303438465054586266[[#This Row],[Jour]]="2- Mardi",$B$1+2, IF(Horodateur11233538192231343743464952555861646985222634384650585462667074788290989410210611411811012212613013413814214615015415816216617017417818218619019419820220621021441014182226303438465054586266[[#This Row],[Jour]]="3- Mercredi",$B$1+3, IF(Horodateur11233538192231343743464952555861646985222634384650585462667074788290989410210611411811012212613013413814214615015415816216617017417818218619019419820220621021441014182226303438465054586266[[#This Row],[Jour]]="4- Jeudi",$B$1+4, IF(Horodateur11233538192231343743464952555861646985222634384650585462667074788290989410210611411811012212613013413814214615015415816216617017417818218619019419820220621021441014182226303438465054586266[[#This Row],[Jour]]="5- Vendredi",$B$1+5, IF(Horodateur11233538192231343743464952555861646985222634384650585462667074788290989410210611411811012212613013413814214615015415816216617017417818218619019419820220621021441014182226303438465054586266[[#This Row],[Jour]]="6- Samedi",$B$1+6, IF(Horodateur11233538192231343743464952555861646985222634384650585462667074788290989410210611411811012212613013413814214615015415816216617017417818218619019419820220621021441014182226303438465054586266[[#This Row],[Jour]]="7- Dimanche",$B$1, )))))))</f>
        <v>44310</v>
      </c>
      <c r="B38" s="257" t="s">
        <v>335</v>
      </c>
      <c r="C38" s="258"/>
      <c r="D38" s="258"/>
      <c r="E38" s="71"/>
      <c r="F38" s="71"/>
      <c r="G38" s="259"/>
      <c r="H38" s="258" t="str">
        <f aca="false">IF($C38=0,"",$D38-$C38)</f>
        <v/>
      </c>
      <c r="I38" s="260" t="str">
        <f aca="false">IF($C38=0,"",($H38-INT($H38))*24)</f>
        <v/>
      </c>
      <c r="J38" s="303" t="n">
        <f aca="false">SUMIF(Horodateur11233538192231343743464952555861646985222634384650585462667074788290989410210611411811012212613013413814214615015415816216617017417818218619019419820220621021441014182226303438465054586266[Jour],$B38,Horodateur11233538192231343743464952555861646985222634384650585462667074788290989410210611411811012212613013413814214615015415816216617017417818218619019419820220621021441014182226303438465054586266[Durée (100)])</f>
        <v>1</v>
      </c>
      <c r="K38" s="335"/>
      <c r="L38" s="336"/>
      <c r="M38" s="188" t="s">
        <v>33</v>
      </c>
      <c r="N38" s="272" t="str">
        <f aca="false">IF(Horodateur11233538192231343743464952555861646985222634384650585462667074788290989410210611411811012212613013413814214615015415816216617017417818218619019419820220621021441014182226303438465054586266[[#This Row],[O]]="o",Horodateur11233538192231343743464952555861646985222634384650585462667074788290989410210611411811012212613013413814214615015415816216617017417818218619019419820220621021441014182226303438465054586266[[#This Row],[Durée (100)]],".")</f>
        <v>.</v>
      </c>
      <c r="O38" s="337" t="n">
        <f aca="false">IF(L38 = "c", I38, 0)</f>
        <v>0</v>
      </c>
      <c r="P38" s="187"/>
      <c r="Q38" s="71"/>
      <c r="R38" s="71"/>
      <c r="S38" s="71"/>
      <c r="T38" s="71"/>
      <c r="U38" s="71"/>
      <c r="V38" s="71"/>
      <c r="W38" s="71"/>
      <c r="X38" s="71"/>
      <c r="Y38" s="71"/>
      <c r="Z38" s="71"/>
      <c r="AA38" s="71"/>
      <c r="AB38" s="71"/>
      <c r="AC38" s="71"/>
      <c r="AD38" s="71"/>
      <c r="AE38" s="71"/>
      <c r="AF38" s="71"/>
      <c r="AG38" s="71"/>
      <c r="AH38" s="71"/>
      <c r="AI38" s="71"/>
    </row>
    <row r="39" customFormat="false" ht="15" hidden="false" customHeight="false" outlineLevel="0" collapsed="false">
      <c r="A39" s="256" t="n">
        <f aca="false">IF(Horodateur11233538192231343743464952555861646985222634384650585462667074788290989410210611411811012212613013413814214615015415816216617017417818218619019419820220621021441014182226303438465054586266[[#This Row],[Jour]]="1- Lundi",$B$1+1, IF(Horodateur11233538192231343743464952555861646985222634384650585462667074788290989410210611411811012212613013413814214615015415816216617017417818218619019419820220621021441014182226303438465054586266[[#This Row],[Jour]]="2- Mardi",$B$1+2, IF(Horodateur11233538192231343743464952555861646985222634384650585462667074788290989410210611411811012212613013413814214615015415816216617017417818218619019419820220621021441014182226303438465054586266[[#This Row],[Jour]]="3- Mercredi",$B$1+3, IF(Horodateur11233538192231343743464952555861646985222634384650585462667074788290989410210611411811012212613013413814214615015415816216617017417818218619019419820220621021441014182226303438465054586266[[#This Row],[Jour]]="4- Jeudi",$B$1+4, IF(Horodateur11233538192231343743464952555861646985222634384650585462667074788290989410210611411811012212613013413814214615015415816216617017417818218619019419820220621021441014182226303438465054586266[[#This Row],[Jour]]="5- Vendredi",$B$1+5, IF(Horodateur11233538192231343743464952555861646985222634384650585462667074788290989410210611411811012212613013413814214615015415816216617017417818218619019419820220621021441014182226303438465054586266[[#This Row],[Jour]]="6- Samedi",$B$1+6, IF(Horodateur11233538192231343743464952555861646985222634384650585462667074788290989410210611411811012212613013413814214615015415816216617017417818218619019419820220621021441014182226303438465054586266[[#This Row],[Jour]]="7- Dimanche",$B$1, )))))))</f>
        <v>44310</v>
      </c>
      <c r="B39" s="257" t="s">
        <v>335</v>
      </c>
      <c r="C39" s="258" t="n">
        <v>0.416666666666667</v>
      </c>
      <c r="D39" s="258" t="n">
        <v>0.4375</v>
      </c>
      <c r="E39" s="71" t="s">
        <v>363</v>
      </c>
      <c r="F39" s="71" t="s">
        <v>379</v>
      </c>
      <c r="G39" s="259" t="s">
        <v>55</v>
      </c>
      <c r="H39" s="258" t="n">
        <f aca="false">IF($C39=0,"",$D39-$C39)</f>
        <v>0.0208333333333333</v>
      </c>
      <c r="I39" s="260" t="n">
        <f aca="false">IF($C39=0,"",($H39-INT($H39))*24)</f>
        <v>0.5</v>
      </c>
      <c r="J39" s="303" t="n">
        <f aca="false">SUMIF(Horodateur11233538192231343743464952555861646985222634384650585462667074788290989410210611411811012212613013413814214615015415816216617017417818218619019419820220621021441014182226303438465054586266[Jour],$B39,Horodateur11233538192231343743464952555861646985222634384650585462667074788290989410210611411811012212613013413814214615015415816216617017417818218619019419820220621021441014182226303438465054586266[Durée (100)])</f>
        <v>1</v>
      </c>
      <c r="K39" s="335"/>
      <c r="L39" s="336"/>
      <c r="M39" s="188" t="s">
        <v>33</v>
      </c>
      <c r="N39" s="272" t="str">
        <f aca="false">IF(Horodateur11233538192231343743464952555861646985222634384650585462667074788290989410210611411811012212613013413814214615015415816216617017417818218619019419820220621021441014182226303438465054586266[[#This Row],[O]]="o",Horodateur11233538192231343743464952555861646985222634384650585462667074788290989410210611411811012212613013413814214615015415816216617017417818218619019419820220621021441014182226303438465054586266[[#This Row],[Durée (100)]],".")</f>
        <v>.</v>
      </c>
      <c r="O39" s="337" t="n">
        <f aca="false">IF(L39 = "c", I39, 0)</f>
        <v>0</v>
      </c>
      <c r="P39" s="187"/>
      <c r="Q39" s="71"/>
      <c r="R39" s="71"/>
      <c r="S39" s="71"/>
      <c r="T39" s="71"/>
      <c r="U39" s="71"/>
      <c r="V39" s="71"/>
      <c r="W39" s="71"/>
      <c r="X39" s="71"/>
      <c r="Y39" s="71"/>
      <c r="Z39" s="71"/>
      <c r="AA39" s="71"/>
      <c r="AB39" s="71"/>
      <c r="AC39" s="71"/>
      <c r="AD39" s="71"/>
      <c r="AE39" s="71"/>
      <c r="AF39" s="71"/>
      <c r="AG39" s="71"/>
      <c r="AH39" s="71"/>
      <c r="AI39" s="71"/>
    </row>
    <row r="40" customFormat="false" ht="15" hidden="false" customHeight="false" outlineLevel="0" collapsed="false">
      <c r="A40" s="256" t="n">
        <f aca="false">IF(Horodateur11233538192231343743464952555861646985222634384650585462667074788290989410210611411811012212613013413814214615015415816216617017417818218619019419820220621021441014182226303438465054586266[[#This Row],[Jour]]="1- Lundi",$B$1+1, IF(Horodateur11233538192231343743464952555861646985222634384650585462667074788290989410210611411811012212613013413814214615015415816216617017417818218619019419820220621021441014182226303438465054586266[[#This Row],[Jour]]="2- Mardi",$B$1+2, IF(Horodateur11233538192231343743464952555861646985222634384650585462667074788290989410210611411811012212613013413814214615015415816216617017417818218619019419820220621021441014182226303438465054586266[[#This Row],[Jour]]="3- Mercredi",$B$1+3, IF(Horodateur11233538192231343743464952555861646985222634384650585462667074788290989410210611411811012212613013413814214615015415816216617017417818218619019419820220621021441014182226303438465054586266[[#This Row],[Jour]]="4- Jeudi",$B$1+4, IF(Horodateur11233538192231343743464952555861646985222634384650585462667074788290989410210611411811012212613013413814214615015415816216617017417818218619019419820220621021441014182226303438465054586266[[#This Row],[Jour]]="5- Vendredi",$B$1+5, IF(Horodateur11233538192231343743464952555861646985222634384650585462667074788290989410210611411811012212613013413814214615015415816216617017417818218619019419820220621021441014182226303438465054586266[[#This Row],[Jour]]="6- Samedi",$B$1+6, IF(Horodateur11233538192231343743464952555861646985222634384650585462667074788290989410210611411811012212613013413814214615015415816216617017417818218619019419820220621021441014182226303438465054586266[[#This Row],[Jour]]="7- Dimanche",$B$1, )))))))</f>
        <v>44310</v>
      </c>
      <c r="B40" s="257" t="s">
        <v>335</v>
      </c>
      <c r="C40" s="258"/>
      <c r="D40" s="258"/>
      <c r="E40" s="71"/>
      <c r="F40" s="71"/>
      <c r="G40" s="259"/>
      <c r="H40" s="258" t="str">
        <f aca="false">IF($C40=0,"",$D40-$C40)</f>
        <v/>
      </c>
      <c r="I40" s="260" t="str">
        <f aca="false">IF($C40=0,"",($H40-INT($H40))*24)</f>
        <v/>
      </c>
      <c r="J40" s="303" t="n">
        <f aca="false">SUMIF(Horodateur11233538192231343743464952555861646985222634384650585462667074788290989410210611411811012212613013413814214615015415816216617017417818218619019419820220621021441014182226303438465054586266[Jour],$B40,Horodateur11233538192231343743464952555861646985222634384650585462667074788290989410210611411811012212613013413814214615015415816216617017417818218619019419820220621021441014182226303438465054586266[Durée (100)])</f>
        <v>1</v>
      </c>
      <c r="K40" s="335"/>
      <c r="L40" s="336"/>
      <c r="M40" s="188" t="s">
        <v>33</v>
      </c>
      <c r="N40" s="272" t="str">
        <f aca="false">IF(Horodateur11233538192231343743464952555861646985222634384650585462667074788290989410210611411811012212613013413814214615015415816216617017417818218619019419820220621021441014182226303438465054586266[[#This Row],[O]]="o",Horodateur11233538192231343743464952555861646985222634384650585462667074788290989410210611411811012212613013413814214615015415816216617017417818218619019419820220621021441014182226303438465054586266[[#This Row],[Durée (100)]],".")</f>
        <v>.</v>
      </c>
      <c r="O40" s="337" t="n">
        <f aca="false">IF(L40 = "c", I40, 0)</f>
        <v>0</v>
      </c>
      <c r="P40" s="187"/>
      <c r="Q40" s="71"/>
      <c r="R40" s="71"/>
      <c r="S40" s="71"/>
      <c r="T40" s="71"/>
      <c r="U40" s="71"/>
      <c r="V40" s="71"/>
      <c r="W40" s="71"/>
      <c r="X40" s="71"/>
      <c r="Y40" s="71"/>
      <c r="Z40" s="71"/>
      <c r="AA40" s="71"/>
      <c r="AB40" s="71"/>
      <c r="AC40" s="71"/>
      <c r="AD40" s="71"/>
      <c r="AE40" s="71"/>
      <c r="AF40" s="71"/>
      <c r="AG40" s="71"/>
      <c r="AH40" s="71"/>
      <c r="AI40" s="71"/>
    </row>
    <row r="41" customFormat="false" ht="15" hidden="false" customHeight="false" outlineLevel="0" collapsed="false">
      <c r="A41" s="256" t="n">
        <f aca="false">IF(Horodateur11233538192231343743464952555861646985222634384650585462667074788290989410210611411811012212613013413814214615015415816216617017417818218619019419820220621021441014182226303438465054586266[[#This Row],[Jour]]="1- Lundi",$B$1+1, IF(Horodateur11233538192231343743464952555861646985222634384650585462667074788290989410210611411811012212613013413814214615015415816216617017417818218619019419820220621021441014182226303438465054586266[[#This Row],[Jour]]="2- Mardi",$B$1+2, IF(Horodateur11233538192231343743464952555861646985222634384650585462667074788290989410210611411811012212613013413814214615015415816216617017417818218619019419820220621021441014182226303438465054586266[[#This Row],[Jour]]="3- Mercredi",$B$1+3, IF(Horodateur11233538192231343743464952555861646985222634384650585462667074788290989410210611411811012212613013413814214615015415816216617017417818218619019419820220621021441014182226303438465054586266[[#This Row],[Jour]]="4- Jeudi",$B$1+4, IF(Horodateur11233538192231343743464952555861646985222634384650585462667074788290989410210611411811012212613013413814214615015415816216617017417818218619019419820220621021441014182226303438465054586266[[#This Row],[Jour]]="5- Vendredi",$B$1+5, IF(Horodateur11233538192231343743464952555861646985222634384650585462667074788290989410210611411811012212613013413814214615015415816216617017417818218619019419820220621021441014182226303438465054586266[[#This Row],[Jour]]="6- Samedi",$B$1+6, IF(Horodateur11233538192231343743464952555861646985222634384650585462667074788290989410210611411811012212613013413814214615015415816216617017417818218619019419820220621021441014182226303438465054586266[[#This Row],[Jour]]="7- Dimanche",$B$1, )))))))</f>
        <v>44310</v>
      </c>
      <c r="B41" s="257" t="s">
        <v>335</v>
      </c>
      <c r="C41" s="258"/>
      <c r="D41" s="258"/>
      <c r="E41" s="71"/>
      <c r="F41" s="71"/>
      <c r="G41" s="259"/>
      <c r="H41" s="258" t="str">
        <f aca="false">IF($C41=0,"",$D41-$C41)</f>
        <v/>
      </c>
      <c r="I41" s="260" t="str">
        <f aca="false">IF($C41=0,"",($H41-INT($H41))*24)</f>
        <v/>
      </c>
      <c r="J41" s="303" t="n">
        <f aca="false">SUMIF(Horodateur11233538192231343743464952555861646985222634384650585462667074788290989410210611411811012212613013413814214615015415816216617017417818218619019419820220621021441014182226303438465054586266[Jour],$B41,Horodateur11233538192231343743464952555861646985222634384650585462667074788290989410210611411811012212613013413814214615015415816216617017417818218619019419820220621021441014182226303438465054586266[Durée (100)])</f>
        <v>1</v>
      </c>
      <c r="K41" s="335"/>
      <c r="L41" s="336"/>
      <c r="M41" s="188" t="s">
        <v>33</v>
      </c>
      <c r="N41" s="272" t="str">
        <f aca="false">IF(Horodateur11233538192231343743464952555861646985222634384650585462667074788290989410210611411811012212613013413814214615015415816216617017417818218619019419820220621021441014182226303438465054586266[[#This Row],[O]]="o",Horodateur11233538192231343743464952555861646985222634384650585462667074788290989410210611411811012212613013413814214615015415816216617017417818218619019419820220621021441014182226303438465054586266[[#This Row],[Durée (100)]],".")</f>
        <v>.</v>
      </c>
      <c r="O41" s="337" t="n">
        <f aca="false">IF(L41 = "c", I41, 0)</f>
        <v>0</v>
      </c>
      <c r="P41" s="187"/>
      <c r="Q41" s="71"/>
      <c r="R41" s="71"/>
      <c r="S41" s="71"/>
      <c r="T41" s="71"/>
      <c r="U41" s="71"/>
      <c r="V41" s="71"/>
      <c r="W41" s="71"/>
      <c r="X41" s="71"/>
      <c r="Y41" s="71"/>
      <c r="Z41" s="71"/>
      <c r="AA41" s="71"/>
      <c r="AB41" s="71"/>
      <c r="AC41" s="71"/>
      <c r="AD41" s="71"/>
      <c r="AE41" s="71"/>
      <c r="AF41" s="71"/>
      <c r="AG41" s="71"/>
      <c r="AH41" s="71"/>
      <c r="AI41" s="71"/>
    </row>
    <row r="42" customFormat="false" ht="15" hidden="false" customHeight="false" outlineLevel="0" collapsed="false">
      <c r="A42" s="137"/>
      <c r="B42" s="187"/>
      <c r="C42" s="71"/>
      <c r="D42" s="1"/>
      <c r="E42" s="1"/>
      <c r="F42" s="71"/>
      <c r="G42" s="1"/>
      <c r="H42" s="1"/>
      <c r="I42" s="119"/>
      <c r="J42" s="271"/>
      <c r="K42" s="1"/>
      <c r="L42" s="1"/>
      <c r="M42" s="188"/>
      <c r="N42" s="272"/>
      <c r="O42" s="272"/>
      <c r="P42" s="187"/>
      <c r="Q42" s="71"/>
      <c r="R42" s="71"/>
      <c r="S42" s="71"/>
      <c r="T42" s="71"/>
      <c r="U42" s="71"/>
      <c r="V42" s="71"/>
      <c r="W42" s="71"/>
      <c r="X42" s="71"/>
      <c r="Y42" s="71"/>
      <c r="Z42" s="71"/>
      <c r="AA42" s="71"/>
      <c r="AB42" s="71"/>
      <c r="AC42" s="71"/>
      <c r="AD42" s="71"/>
      <c r="AE42" s="71"/>
      <c r="AF42" s="71"/>
      <c r="AG42" s="71"/>
      <c r="AH42" s="71"/>
      <c r="AI42" s="71"/>
    </row>
    <row r="43" customFormat="false" ht="15" hidden="false" customHeight="false" outlineLevel="0" collapsed="false">
      <c r="A43" s="137"/>
      <c r="B43" s="187"/>
      <c r="C43" s="71"/>
      <c r="D43" s="1"/>
      <c r="E43" s="1"/>
      <c r="F43" s="71"/>
      <c r="G43" s="1"/>
      <c r="H43" s="1"/>
      <c r="I43" s="119"/>
      <c r="J43" s="271"/>
      <c r="K43" s="1"/>
      <c r="L43" s="1"/>
      <c r="M43" s="188"/>
      <c r="N43" s="272"/>
      <c r="O43" s="272"/>
      <c r="P43" s="187"/>
      <c r="Q43" s="71"/>
      <c r="R43" s="71"/>
      <c r="S43" s="71"/>
      <c r="T43" s="71"/>
      <c r="U43" s="71"/>
      <c r="V43" s="71"/>
      <c r="W43" s="71"/>
      <c r="X43" s="71"/>
      <c r="Y43" s="71"/>
      <c r="Z43" s="71"/>
      <c r="AA43" s="71"/>
      <c r="AB43" s="71"/>
      <c r="AC43" s="71"/>
      <c r="AD43" s="71"/>
      <c r="AE43" s="71"/>
      <c r="AF43" s="71"/>
      <c r="AG43" s="71"/>
      <c r="AH43" s="71"/>
      <c r="AI43" s="71"/>
    </row>
    <row r="44" customFormat="false" ht="15" hidden="false" customHeight="false" outlineLevel="0" collapsed="false">
      <c r="A44" s="137"/>
      <c r="B44" s="187"/>
      <c r="C44" s="71"/>
      <c r="D44" s="1"/>
      <c r="E44" s="1"/>
      <c r="F44" s="71"/>
      <c r="G44" s="1"/>
      <c r="H44" s="1"/>
      <c r="I44" s="119"/>
      <c r="J44" s="271"/>
      <c r="K44" s="1"/>
      <c r="L44" s="1"/>
      <c r="M44" s="188"/>
      <c r="P44" s="187"/>
      <c r="Q44" s="71"/>
      <c r="R44" s="71"/>
      <c r="S44" s="71"/>
      <c r="T44" s="71"/>
      <c r="U44" s="71"/>
      <c r="V44" s="71"/>
      <c r="W44" s="71"/>
      <c r="X44" s="71"/>
      <c r="Y44" s="71"/>
      <c r="Z44" s="71"/>
      <c r="AA44" s="71"/>
      <c r="AB44" s="71"/>
      <c r="AC44" s="71"/>
      <c r="AD44" s="71"/>
      <c r="AE44" s="71"/>
      <c r="AF44" s="71"/>
      <c r="AG44" s="71"/>
      <c r="AH44" s="71"/>
      <c r="AI44" s="71"/>
    </row>
    <row r="45" customFormat="false" ht="15" hidden="false" customHeight="false" outlineLevel="0" collapsed="false">
      <c r="A45" s="274" t="s">
        <v>377</v>
      </c>
      <c r="B45" s="275" t="str">
        <f aca="false">SUM($A$91:$A$521) &amp; " heures"</f>
        <v>26.75 heures</v>
      </c>
      <c r="C45" s="276" t="str">
        <f aca="false">SUM($A$91:$A$512) / 8 &amp; " Jours"</f>
        <v>3.34375 Jours</v>
      </c>
      <c r="D45" s="277"/>
      <c r="E45" s="277" t="n">
        <v>33.25</v>
      </c>
      <c r="F45" s="278" t="n">
        <f aca="false">E45/8</f>
        <v>4.15625</v>
      </c>
      <c r="G45" s="277"/>
      <c r="H45" s="277"/>
      <c r="I45" s="279"/>
      <c r="J45" s="280"/>
      <c r="K45" s="277"/>
      <c r="L45" s="277"/>
      <c r="M45" s="281"/>
      <c r="N45" s="282"/>
      <c r="O45" s="282"/>
      <c r="P45" s="283"/>
      <c r="Q45" s="277"/>
      <c r="R45" s="277"/>
      <c r="S45" s="277"/>
      <c r="T45" s="277"/>
      <c r="U45" s="277"/>
      <c r="V45" s="277"/>
      <c r="W45" s="278"/>
      <c r="X45" s="278"/>
      <c r="Y45" s="278"/>
      <c r="Z45" s="278"/>
      <c r="AA45" s="278"/>
      <c r="AB45" s="278"/>
      <c r="AC45" s="278"/>
      <c r="AD45" s="278"/>
      <c r="AE45" s="278"/>
      <c r="AF45" s="278"/>
      <c r="AG45" s="278"/>
      <c r="AH45" s="278"/>
      <c r="AI45" s="278"/>
    </row>
    <row r="46" customFormat="false" ht="15" hidden="false" customHeight="false" outlineLevel="0" collapsed="false">
      <c r="A46" s="137"/>
      <c r="B46" s="187"/>
      <c r="C46" s="71"/>
      <c r="D46" s="1"/>
      <c r="E46" s="1"/>
      <c r="F46" s="71"/>
      <c r="G46" s="1"/>
      <c r="H46" s="1"/>
      <c r="I46" s="119"/>
      <c r="J46" s="271"/>
      <c r="K46" s="1"/>
      <c r="L46" s="1"/>
      <c r="M46" s="188"/>
      <c r="N46" s="272"/>
      <c r="O46" s="272"/>
      <c r="P46" s="187"/>
      <c r="Q46" s="1"/>
      <c r="R46" s="1"/>
      <c r="S46" s="1"/>
      <c r="T46" s="1"/>
      <c r="U46" s="1"/>
      <c r="V46" s="1"/>
      <c r="W46" s="71"/>
      <c r="X46" s="71"/>
      <c r="Y46" s="71"/>
      <c r="Z46" s="71"/>
      <c r="AA46" s="71"/>
      <c r="AB46" s="71"/>
      <c r="AC46" s="71"/>
      <c r="AD46" s="71"/>
      <c r="AE46" s="71"/>
      <c r="AF46" s="71"/>
      <c r="AG46" s="71"/>
      <c r="AH46" s="71"/>
      <c r="AI46" s="71"/>
    </row>
    <row r="47" customFormat="false" ht="15" hidden="true" customHeight="false" outlineLevel="1" collapsed="false">
      <c r="A47" s="137"/>
      <c r="B47" s="137"/>
      <c r="C47" s="137"/>
      <c r="D47" s="137"/>
      <c r="E47" s="1"/>
      <c r="F47" s="71"/>
      <c r="G47" s="1"/>
      <c r="H47" s="1"/>
      <c r="I47" s="119"/>
      <c r="J47" s="271"/>
      <c r="K47" s="1"/>
      <c r="L47" s="1"/>
      <c r="M47" s="188"/>
      <c r="N47" s="272"/>
      <c r="O47" s="272"/>
      <c r="P47" s="187"/>
      <c r="Q47" s="1"/>
      <c r="R47" s="1"/>
      <c r="S47" s="1"/>
      <c r="T47" s="1"/>
      <c r="U47" s="1"/>
      <c r="V47" s="1"/>
      <c r="W47" s="71"/>
      <c r="X47" s="71"/>
      <c r="Y47" s="71"/>
      <c r="Z47" s="71"/>
      <c r="AA47" s="71"/>
      <c r="AB47" s="71"/>
      <c r="AC47" s="71"/>
      <c r="AD47" s="71"/>
      <c r="AE47" s="71"/>
      <c r="AF47" s="71"/>
      <c r="AG47" s="71"/>
      <c r="AH47" s="71"/>
      <c r="AI47" s="71"/>
    </row>
    <row r="48" customFormat="false" ht="15" hidden="true" customHeight="false" outlineLevel="1" collapsed="false">
      <c r="A48" s="284" t="s">
        <v>84</v>
      </c>
      <c r="B48" s="285" t="s">
        <v>21</v>
      </c>
      <c r="C48" s="285" t="s">
        <v>20</v>
      </c>
      <c r="D48" s="285" t="s">
        <v>23</v>
      </c>
      <c r="E48" s="285" t="s">
        <v>25</v>
      </c>
      <c r="F48" s="285" t="s">
        <v>26</v>
      </c>
      <c r="G48" s="285" t="s">
        <v>378</v>
      </c>
      <c r="H48" s="285" t="s">
        <v>379</v>
      </c>
      <c r="I48" s="285" t="s">
        <v>380</v>
      </c>
      <c r="J48" s="286" t="s">
        <v>58</v>
      </c>
      <c r="K48" s="287"/>
      <c r="L48" s="287"/>
      <c r="M48" s="288"/>
      <c r="N48" s="289"/>
      <c r="O48" s="289"/>
      <c r="P48" s="187"/>
      <c r="Q48" s="1"/>
      <c r="R48" s="1"/>
      <c r="S48" s="1"/>
      <c r="T48" s="1"/>
      <c r="U48" s="1"/>
      <c r="V48" s="71"/>
      <c r="W48" s="71"/>
      <c r="X48" s="71"/>
      <c r="Y48" s="71"/>
      <c r="Z48" s="71"/>
      <c r="AA48" s="71"/>
      <c r="AB48" s="71"/>
      <c r="AC48" s="71"/>
      <c r="AD48" s="71"/>
      <c r="AE48" s="71"/>
      <c r="AF48" s="71"/>
      <c r="AG48" s="71"/>
      <c r="AH48" s="71"/>
    </row>
    <row r="49" customFormat="false" ht="15" hidden="true" customHeight="false" outlineLevel="1" collapsed="false">
      <c r="A49" s="187" t="s">
        <v>312</v>
      </c>
      <c r="B49" s="71" t="n">
        <f aca="false">SUMIFS(Horodateur11233538192231343743464952555861646985222634384650585462667074788290989410210611411811012212613013413814214615015415816216617017417818218619019419820220621021441014182226303438465054586266[Durée (100)],Horodateur11233538192231343743464952555861646985222634384650585462667074788290989410210611411811012212613013413814214615015415816216617017417818218619019419820220621021441014182226303438465054586266[Tâche],Taches_Jours1224363917202932354144475053565962678320243236444856526064687276808896921001041121161081201241281321361401441481521561601641681721761801841881921962002042082122612162024283236444852566064[[#Headers],[GB]],Horodateur11233538192231343743464952555861646985222634384650585462667074788290989410210611411811012212613013413814214615015415816216617017417818218619019419820220621021441014182226303438465054586266[Jour],Taches_Jours1224363917202932354144475053565962678320243236444856526064687276808896921001041121161081201241281321361401441481521561601641681721761801841881921962002042082122612162024283236444852566064[[#This Row],[Jours]])</f>
        <v>1.75</v>
      </c>
      <c r="C49" s="71" t="n">
        <f aca="false">SUMIFS(Horodateur11233538192231343743464952555861646985222634384650585462667074788290989410210611411811012212613013413814214615015415816216617017417818218619019419820220621021441014182226303438465054586266[Durée (100)],Horodateur11233538192231343743464952555861646985222634384650585462667074788290989410210611411811012212613013413814214615015415816216617017417818218619019419820220621021441014182226303438465054586266[Tâche],Taches_Jours1224363917202932354144475053565962678320243236444856526064687276808896921001041121161081201241281321361401441481521561601641681721761801841881921962002042082122612162024283236444852566064[[#Headers],[RI]],Horodateur11233538192231343743464952555861646985222634384650585462667074788290989410210611411811012212613013413814214615015415816216617017417818218619019419820220621021441014182226303438465054586266[Jour],Taches_Jours1224363917202932354144475053565962678320243236444856526064687276808896921001041121161081201241281321361401441481521561601641681721761801841881921962002042082122612162024283236444852566064[[#This Row],[Jours]])</f>
        <v>0.5</v>
      </c>
      <c r="D49" s="71" t="n">
        <f aca="false">SUMIFS(Horodateur11233538192231343743464952555861646985222634384650585462667074788290989410210611411811012212613013413814214615015415816216617017417818218619019419820220621021441014182226303438465054586266[Durée (100)],Horodateur11233538192231343743464952555861646985222634384650585462667074788290989410210611411811012212613013413814214615015415816216617017417818218619019419820220621021441014182226303438465054586266[Tâche],Taches_Jours1224363917202932354144475053565962678320243236444856526064687276808896921001041121161081201241281321361401441481521561601641681721761801841881921962002042082122612162024283236444852566064[[#Headers],[FG]],Horodateur11233538192231343743464952555861646985222634384650585462667074788290989410210611411811012212613013413814214615015415816216617017417818218619019419820220621021441014182226303438465054586266[Jour],Taches_Jours1224363917202932354144475053565962678320243236444856526064687276808896921001041121161081201241281321361401441481521561601641681721761801841881921962002042082122612162024283236444852566064[[#This Row],[Jours]])</f>
        <v>0</v>
      </c>
      <c r="E49" s="71" t="n">
        <f aca="false">SUMIFS(Horodateur11233538192231343743464952555861646985222634384650585462667074788290989410210611411811012212613013413814214615015415816216617017417818218619019419820220621021441014182226303438465054586266[Durée (100)],Horodateur11233538192231343743464952555861646985222634384650585462667074788290989410210611411811012212613013413814214615015415816216617017417818218619019419820220621021441014182226303438465054586266[Tâche],Taches_Jours1224363917202932354144475053565962678320243236444856526064687276808896921001041121161081201241281321361401441481521561601641681721761801841881921962002042082122612162024283236444852566064[[#Headers],[PS]],Horodateur11233538192231343743464952555861646985222634384650585462667074788290989410210611411811012212613013413814214615015415816216617017417818218619019419820220621021441014182226303438465054586266[Jour],Taches_Jours1224363917202932354144475053565962678320243236444856526064687276808896921001041121161081201241281321361401441481521561601641681721761801841881921962002042082122612162024283236444852566064[[#This Row],[Jours]])</f>
        <v>0</v>
      </c>
      <c r="F49" s="71" t="n">
        <f aca="false">SUMIFS(Horodateur11233538192231343743464952555861646985222634384650585462667074788290989410210611411811012212613013413814214615015415816216617017417818218619019419820220621021441014182226303438465054586266[Durée (100)],Horodateur11233538192231343743464952555861646985222634384650585462667074788290989410210611411811012212613013413814214615015415816216617017417818218619019419820220621021441014182226303438465054586266[Tâche],Taches_Jours1224363917202932354144475053565962678320243236444856526064687276808896921001041121161081201241281321361401441481521561601641681721761801841881921962002042082122612162024283236444852566064[[#Headers],[TD]],Horodateur11233538192231343743464952555861646985222634384650585462667074788290989410210611411811012212613013413814214615015415816216617017417818218619019419820220621021441014182226303438465054586266[Jour],Taches_Jours1224363917202932354144475053565962678320243236444856526064687276808896921001041121161081201241281321361401441481521561601641681721761801841881921962002042082122612162024283236444852566064[[#This Row],[Jours]])</f>
        <v>0</v>
      </c>
      <c r="G49" s="71" t="n">
        <f aca="false">SUMIFS(Horodateur11233538192231343743464952555861646985222634384650585462667074788290989410210611411811012212613013413814214615015415816216617017417818218619019419820220621021441014182226303438465054586266[Durée (100)],Horodateur11233538192231343743464952555861646985222634384650585462667074788290989410210611411811012212613013413814214615015415816216617017417818218619019419820220621021441014182226303438465054586266[Tâche],Taches_Jours1224363917202932354144475053565962678320243236444856526064687276808896921001041121161081201241281321361401441481521561601641681721761801841881921962002042082122612162024283236444852566064[[#Headers],[GP]],Horodateur11233538192231343743464952555861646985222634384650585462667074788290989410210611411811012212613013413814214615015415816216617017417818218619019419820220621021441014182226303438465054586266[Jour],Taches_Jours1224363917202932354144475053565962678320243236444856526064687276808896921001041121161081201241281321361401441481521561601641681721761801841881921962002042082122612162024283236444852566064[[#This Row],[Jours]])</f>
        <v>5.25</v>
      </c>
      <c r="H49" s="71" t="n">
        <f aca="false">SUMIFS(Horodateur11233538192231343743464952555861646985222634384650585462667074788290989410210611411811012212613013413814214615015415816216617017417818218619019419820220621021441014182226303438465054586266[Durée (100)],Horodateur11233538192231343743464952555861646985222634384650585462667074788290989410210611411811012212613013413814214615015415816216617017417818218619019419820220621021441014182226303438465054586266[Tâche],Taches_Jours1224363917202932354144475053565962678320243236444856526064687276808896921001041121161081201241281321361401441481521561601641681721761801841881921962002042082122612162024283236444852566064[[#Headers],[GP / SP]],Horodateur11233538192231343743464952555861646985222634384650585462667074788290989410210611411811012212613013413814214615015415816216617017417818218619019419820220621021441014182226303438465054586266[Jour],Taches_Jours1224363917202932354144475053565962678320243236444856526064687276808896921001041121161081201241281321361401441481521561601641681721761801841881921962002042082122612162024283236444852566064[[#This Row],[Jours]])</f>
        <v>1</v>
      </c>
      <c r="I49" s="71" t="n">
        <f aca="false">SUMIFS(Horodateur11233538192231343743464952555861646985222634384650585462667074788290989410210611411811012212613013413814214615015415816216617017417818218619019419820220621021441014182226303438465054586266[Durée (100)],Horodateur11233538192231343743464952555861646985222634384650585462667074788290989410210611411811012212613013413814214615015415816216617017417818218619019419820220621021441014182226303438465054586266[Tâche],Taches_Jours1224363917202932354144475053565962678320243236444856526064687276808896921001041121161081201241281321361401441481521561601641681721761801841881921962002042082122612162024283236444852566064[[#Headers],[GP / SP]],Horodateur11233538192231343743464952555861646985222634384650585462667074788290989410210611411811012212613013413814214615015415816216617017417818218619019419820220621021441014182226303438465054586266[Jour],Taches_Jours1224363917202932354144475053565962678320243236444856526064687276808896921001041121161081201241281321361401441481521561601641681721761801841881921962002042082122612162024283236444852566064[[#This Row],[Jours]])</f>
        <v>1</v>
      </c>
      <c r="J49" s="290" t="n">
        <f aca="false">SUM(Taches_Jours1224363917202932354144475053565962678320243236444856526064687276808896921001041121161081201241281321361401441481521561601641681721761801841881921962002042082122612162024283236444852566064[[#This Row],[GB]:[GP / SP]])</f>
        <v>8.5</v>
      </c>
      <c r="K49" s="188"/>
      <c r="L49" s="188"/>
      <c r="M49" s="288"/>
      <c r="N49" s="289"/>
      <c r="O49" s="289"/>
      <c r="P49" s="187"/>
      <c r="Q49" s="1"/>
      <c r="R49" s="1"/>
      <c r="S49" s="1"/>
      <c r="T49" s="1"/>
      <c r="U49" s="1"/>
      <c r="V49" s="71"/>
      <c r="W49" s="71"/>
      <c r="X49" s="71"/>
      <c r="Y49" s="71"/>
      <c r="Z49" s="71"/>
      <c r="AA49" s="71"/>
      <c r="AB49" s="71"/>
      <c r="AC49" s="71"/>
      <c r="AD49" s="71"/>
      <c r="AE49" s="71"/>
      <c r="AF49" s="71"/>
      <c r="AG49" s="71"/>
      <c r="AH49" s="71"/>
    </row>
    <row r="50" customFormat="false" ht="15" hidden="true" customHeight="false" outlineLevel="1" collapsed="false">
      <c r="A50" s="187" t="s">
        <v>319</v>
      </c>
      <c r="B50" s="71" t="n">
        <f aca="false">SUMIFS(Horodateur11233538192231343743464952555861646985222634384650585462667074788290989410210611411811012212613013413814214615015415816216617017417818218619019419820220621021441014182226303438465054586266[Durée (100)],Horodateur11233538192231343743464952555861646985222634384650585462667074788290989410210611411811012212613013413814214615015415816216617017417818218619019419820220621021441014182226303438465054586266[Tâche],Taches_Jours1224363917202932354144475053565962678320243236444856526064687276808896921001041121161081201241281321361401441481521561601641681721761801841881921962002042082122612162024283236444852566064[[#Headers],[GB]],Horodateur11233538192231343743464952555861646985222634384650585462667074788290989410210611411811012212613013413814214615015415816216617017417818218619019419820220621021441014182226303438465054586266[Jour],Taches_Jours1224363917202932354144475053565962678320243236444856526064687276808896921001041121161081201241281321361401441481521561601641681721761801841881921962002042082122612162024283236444852566064[[#This Row],[Jours]])</f>
        <v>0.5</v>
      </c>
      <c r="C50" s="71" t="n">
        <f aca="false">SUMIFS(Horodateur11233538192231343743464952555861646985222634384650585462667074788290989410210611411811012212613013413814214615015415816216617017417818218619019419820220621021441014182226303438465054586266[Durée (100)],Horodateur11233538192231343743464952555861646985222634384650585462667074788290989410210611411811012212613013413814214615015415816216617017417818218619019419820220621021441014182226303438465054586266[Tâche],Taches_Jours1224363917202932354144475053565962678320243236444856526064687276808896921001041121161081201241281321361401441481521561601641681721761801841881921962002042082122612162024283236444852566064[[#Headers],[RI]],Horodateur11233538192231343743464952555861646985222634384650585462667074788290989410210611411811012212613013413814214615015415816216617017417818218619019419820220621021441014182226303438465054586266[Jour],Taches_Jours1224363917202932354144475053565962678320243236444856526064687276808896921001041121161081201241281321361401441481521561601641681721761801841881921962002042082122612162024283236444852566064[[#This Row],[Jours]])</f>
        <v>0.5</v>
      </c>
      <c r="D50" s="71" t="n">
        <f aca="false">SUMIFS(Horodateur11233538192231343743464952555861646985222634384650585462667074788290989410210611411811012212613013413814214615015415816216617017417818218619019419820220621021441014182226303438465054586266[Durée (100)],Horodateur11233538192231343743464952555861646985222634384650585462667074788290989410210611411811012212613013413814214615015415816216617017417818218619019419820220621021441014182226303438465054586266[Tâche],Taches_Jours1224363917202932354144475053565962678320243236444856526064687276808896921001041121161081201241281321361401441481521561601641681721761801841881921962002042082122612162024283236444852566064[[#Headers],[FG]],Horodateur11233538192231343743464952555861646985222634384650585462667074788290989410210611411811012212613013413814214615015415816216617017417818218619019419820220621021441014182226303438465054586266[Jour],Taches_Jours1224363917202932354144475053565962678320243236444856526064687276808896921001041121161081201241281321361401441481521561601641681721761801841881921962002042082122612162024283236444852566064[[#This Row],[Jours]])</f>
        <v>0</v>
      </c>
      <c r="E50" s="71" t="n">
        <f aca="false">SUMIFS(Horodateur11233538192231343743464952555861646985222634384650585462667074788290989410210611411811012212613013413814214615015415816216617017417818218619019419820220621021441014182226303438465054586266[Durée (100)],Horodateur11233538192231343743464952555861646985222634384650585462667074788290989410210611411811012212613013413814214615015415816216617017417818218619019419820220621021441014182226303438465054586266[Tâche],Taches_Jours1224363917202932354144475053565962678320243236444856526064687276808896921001041121161081201241281321361401441481521561601641681721761801841881921962002042082122612162024283236444852566064[[#Headers],[PS]],Horodateur11233538192231343743464952555861646985222634384650585462667074788290989410210611411811012212613013413814214615015415816216617017417818218619019419820220621021441014182226303438465054586266[Jour],Taches_Jours1224363917202932354144475053565962678320243236444856526064687276808896921001041121161081201241281321361401441481521561601641681721761801841881921962002042082122612162024283236444852566064[[#This Row],[Jours]])</f>
        <v>0</v>
      </c>
      <c r="F50" s="71" t="n">
        <f aca="false">SUMIFS(Horodateur11233538192231343743464952555861646985222634384650585462667074788290989410210611411811012212613013413814214615015415816216617017417818218619019419820220621021441014182226303438465054586266[Durée (100)],Horodateur11233538192231343743464952555861646985222634384650585462667074788290989410210611411811012212613013413814214615015415816216617017417818218619019419820220621021441014182226303438465054586266[Tâche],Taches_Jours1224363917202932354144475053565962678320243236444856526064687276808896921001041121161081201241281321361401441481521561601641681721761801841881921962002042082122612162024283236444852566064[[#Headers],[TD]],Horodateur11233538192231343743464952555861646985222634384650585462667074788290989410210611411811012212613013413814214615015415816216617017417818218619019419820220621021441014182226303438465054586266[Jour],Taches_Jours1224363917202932354144475053565962678320243236444856526064687276808896921001041121161081201241281321361401441481521561601641681721761801841881921962002042082122612162024283236444852566064[[#This Row],[Jours]])</f>
        <v>0</v>
      </c>
      <c r="G50" s="71" t="n">
        <f aca="false">SUMIFS(Horodateur11233538192231343743464952555861646985222634384650585462667074788290989410210611411811012212613013413814214615015415816216617017417818218619019419820220621021441014182226303438465054586266[Durée (100)],Horodateur11233538192231343743464952555861646985222634384650585462667074788290989410210611411811012212613013413814214615015415816216617017417818218619019419820220621021441014182226303438465054586266[Tâche],Taches_Jours1224363917202932354144475053565962678320243236444856526064687276808896921001041121161081201241281321361401441481521561601641681721761801841881921962002042082122612162024283236444852566064[[#Headers],[GP]],Horodateur11233538192231343743464952555861646985222634384650585462667074788290989410210611411811012212613013413814214615015415816216617017417818218619019419820220621021441014182226303438465054586266[Jour],Taches_Jours1224363917202932354144475053565962678320243236444856526064687276808896921001041121161081201241281321361401441481521561601641681721761801841881921962002042082122612162024283236444852566064[[#This Row],[Jours]])</f>
        <v>4.5</v>
      </c>
      <c r="H50" s="71" t="n">
        <f aca="false">SUMIFS(Horodateur11233538192231343743464952555861646985222634384650585462667074788290989410210611411811012212613013413814214615015415816216617017417818218619019419820220621021441014182226303438465054586266[Durée (100)],Horodateur11233538192231343743464952555861646985222634384650585462667074788290989410210611411811012212613013413814214615015415816216617017417818218619019419820220621021441014182226303438465054586266[Tâche],Taches_Jours1224363917202932354144475053565962678320243236444856526064687276808896921001041121161081201241281321361401441481521561601641681721761801841881921962002042082122612162024283236444852566064[[#Headers],[GP / SP]],Horodateur11233538192231343743464952555861646985222634384650585462667074788290989410210611411811012212613013413814214615015415816216617017417818218619019419820220621021441014182226303438465054586266[Jour],Taches_Jours1224363917202932354144475053565962678320243236444856526064687276808896921001041121161081201241281321361401441481521561601641681721761801841881921962002042082122612162024283236444852566064[[#This Row],[Jours]])</f>
        <v>0</v>
      </c>
      <c r="I50" s="71" t="n">
        <f aca="false">SUMIFS(Horodateur11233538192231343743464952555861646985222634384650585462667074788290989410210611411811012212613013413814214615015415816216617017417818218619019419820220621021441014182226303438465054586266[Durée (100)],Horodateur11233538192231343743464952555861646985222634384650585462667074788290989410210611411811012212613013413814214615015415816216617017417818218619019419820220621021441014182226303438465054586266[Tâche],Taches_Jours1224363917202932354144475053565962678320243236444856526064687276808896921001041121161081201241281321361401441481521561601641681721761801841881921962002042082122612162024283236444852566064[[#Headers],[GP / SP]],Horodateur11233538192231343743464952555861646985222634384650585462667074788290989410210611411811012212613013413814214615015415816216617017417818218619019419820220621021441014182226303438465054586266[Jour],Taches_Jours1224363917202932354144475053565962678320243236444856526064687276808896921001041121161081201241281321361401441481521561601641681721761801841881921962002042082122612162024283236444852566064[[#This Row],[Jours]])</f>
        <v>0</v>
      </c>
      <c r="J50" s="290" t="n">
        <f aca="false">SUM(Taches_Jours1224363917202932354144475053565962678320243236444856526064687276808896921001041121161081201241281321361401441481521561601641681721761801841881921962002042082122612162024283236444852566064[[#This Row],[GB]:[GP / SP]])</f>
        <v>5.5</v>
      </c>
      <c r="K50" s="188"/>
      <c r="L50" s="188"/>
      <c r="M50" s="288"/>
      <c r="N50" s="289"/>
      <c r="O50" s="289"/>
      <c r="P50" s="187"/>
      <c r="Q50" s="1"/>
      <c r="R50" s="1"/>
      <c r="S50" s="1"/>
      <c r="T50" s="1"/>
      <c r="U50" s="1"/>
      <c r="V50" s="71"/>
      <c r="W50" s="71"/>
      <c r="X50" s="71"/>
      <c r="Y50" s="71"/>
      <c r="Z50" s="71"/>
      <c r="AA50" s="71"/>
      <c r="AB50" s="71"/>
      <c r="AC50" s="71"/>
      <c r="AD50" s="71"/>
      <c r="AE50" s="71"/>
      <c r="AF50" s="71"/>
      <c r="AG50" s="71"/>
      <c r="AH50" s="71"/>
    </row>
    <row r="51" customFormat="false" ht="15" hidden="true" customHeight="false" outlineLevel="1" collapsed="false">
      <c r="A51" s="187" t="s">
        <v>324</v>
      </c>
      <c r="B51" s="71" t="n">
        <f aca="false">SUMIFS(Horodateur11233538192231343743464952555861646985222634384650585462667074788290989410210611411811012212613013413814214615015415816216617017417818218619019419820220621021441014182226303438465054586266[Durée (100)],Horodateur11233538192231343743464952555861646985222634384650585462667074788290989410210611411811012212613013413814214615015415816216617017417818218619019419820220621021441014182226303438465054586266[Tâche],Taches_Jours1224363917202932354144475053565962678320243236444856526064687276808896921001041121161081201241281321361401441481521561601641681721761801841881921962002042082122612162024283236444852566064[[#Headers],[GB]],Horodateur11233538192231343743464952555861646985222634384650585462667074788290989410210611411811012212613013413814214615015415816216617017417818218619019419820220621021441014182226303438465054586266[Jour],Taches_Jours1224363917202932354144475053565962678320243236444856526064687276808896921001041121161081201241281321361401441481521561601641681721761801841881921962002042082122612162024283236444852566064[[#This Row],[Jours]])</f>
        <v>1</v>
      </c>
      <c r="C51" s="71" t="n">
        <f aca="false">SUMIFS(Horodateur11233538192231343743464952555861646985222634384650585462667074788290989410210611411811012212613013413814214615015415816216617017417818218619019419820220621021441014182226303438465054586266[Durée (100)],Horodateur11233538192231343743464952555861646985222634384650585462667074788290989410210611411811012212613013413814214615015415816216617017417818218619019419820220621021441014182226303438465054586266[Tâche],Taches_Jours1224363917202932354144475053565962678320243236444856526064687276808896921001041121161081201241281321361401441481521561601641681721761801841881921962002042082122612162024283236444852566064[[#Headers],[RI]],Horodateur11233538192231343743464952555861646985222634384650585462667074788290989410210611411811012212613013413814214615015415816216617017417818218619019419820220621021441014182226303438465054586266[Jour],Taches_Jours1224363917202932354144475053565962678320243236444856526064687276808896921001041121161081201241281321361401441481521561601641681721761801841881921962002042082122612162024283236444852566064[[#This Row],[Jours]])</f>
        <v>0</v>
      </c>
      <c r="D51" s="71" t="n">
        <f aca="false">SUMIFS(Horodateur11233538192231343743464952555861646985222634384650585462667074788290989410210611411811012212613013413814214615015415816216617017417818218619019419820220621021441014182226303438465054586266[Durée (100)],Horodateur11233538192231343743464952555861646985222634384650585462667074788290989410210611411811012212613013413814214615015415816216617017417818218619019419820220621021441014182226303438465054586266[Tâche],Taches_Jours1224363917202932354144475053565962678320243236444856526064687276808896921001041121161081201241281321361401441481521561601641681721761801841881921962002042082122612162024283236444852566064[[#Headers],[FG]],Horodateur11233538192231343743464952555861646985222634384650585462667074788290989410210611411811012212613013413814214615015415816216617017417818218619019419820220621021441014182226303438465054586266[Jour],Taches_Jours1224363917202932354144475053565962678320243236444856526064687276808896921001041121161081201241281321361401441481521561601641681721761801841881921962002042082122612162024283236444852566064[[#This Row],[Jours]])</f>
        <v>0</v>
      </c>
      <c r="E51" s="71" t="n">
        <f aca="false">SUMIFS(Horodateur11233538192231343743464952555861646985222634384650585462667074788290989410210611411811012212613013413814214615015415816216617017417818218619019419820220621021441014182226303438465054586266[Durée (100)],Horodateur11233538192231343743464952555861646985222634384650585462667074788290989410210611411811012212613013413814214615015415816216617017417818218619019419820220621021441014182226303438465054586266[Tâche],Taches_Jours1224363917202932354144475053565962678320243236444856526064687276808896921001041121161081201241281321361401441481521561601641681721761801841881921962002042082122612162024283236444852566064[[#Headers],[PS]],Horodateur11233538192231343743464952555861646985222634384650585462667074788290989410210611411811012212613013413814214615015415816216617017417818218619019419820220621021441014182226303438465054586266[Jour],Taches_Jours1224363917202932354144475053565962678320243236444856526064687276808896921001041121161081201241281321361401441481521561601641681721761801841881921962002042082122612162024283236444852566064[[#This Row],[Jours]])</f>
        <v>0</v>
      </c>
      <c r="F51" s="71" t="n">
        <f aca="false">SUMIFS(Horodateur11233538192231343743464952555861646985222634384650585462667074788290989410210611411811012212613013413814214615015415816216617017417818218619019419820220621021441014182226303438465054586266[Durée (100)],Horodateur11233538192231343743464952555861646985222634384650585462667074788290989410210611411811012212613013413814214615015415816216617017417818218619019419820220621021441014182226303438465054586266[Tâche],Taches_Jours1224363917202932354144475053565962678320243236444856526064687276808896921001041121161081201241281321361401441481521561601641681721761801841881921962002042082122612162024283236444852566064[[#Headers],[TD]],Horodateur11233538192231343743464952555861646985222634384650585462667074788290989410210611411811012212613013413814214615015415816216617017417818218619019419820220621021441014182226303438465054586266[Jour],Taches_Jours1224363917202932354144475053565962678320243236444856526064687276808896921001041121161081201241281321361401441481521561601641681721761801841881921962002042082122612162024283236444852566064[[#This Row],[Jours]])</f>
        <v>0</v>
      </c>
      <c r="G51" s="71" t="n">
        <f aca="false">SUMIFS(Horodateur11233538192231343743464952555861646985222634384650585462667074788290989410210611411811012212613013413814214615015415816216617017417818218619019419820220621021441014182226303438465054586266[Durée (100)],Horodateur11233538192231343743464952555861646985222634384650585462667074788290989410210611411811012212613013413814214615015415816216617017417818218619019419820220621021441014182226303438465054586266[Tâche],Taches_Jours1224363917202932354144475053565962678320243236444856526064687276808896921001041121161081201241281321361401441481521561601641681721761801841881921962002042082122612162024283236444852566064[[#Headers],[GP]],Horodateur11233538192231343743464952555861646985222634384650585462667074788290989410210611411811012212613013413814214615015415816216617017417818218619019419820220621021441014182226303438465054586266[Jour],Taches_Jours1224363917202932354144475053565962678320243236444856526064687276808896921001041121161081201241281321361401441481521561601641681721761801841881921962002042082122612162024283236444852566064[[#This Row],[Jours]])</f>
        <v>5.75</v>
      </c>
      <c r="H51" s="71" t="n">
        <f aca="false">SUMIFS(Horodateur11233538192231343743464952555861646985222634384650585462667074788290989410210611411811012212613013413814214615015415816216617017417818218619019419820220621021441014182226303438465054586266[Durée (100)],Horodateur11233538192231343743464952555861646985222634384650585462667074788290989410210611411811012212613013413814214615015415816216617017417818218619019419820220621021441014182226303438465054586266[Tâche],Taches_Jours1224363917202932354144475053565962678320243236444856526064687276808896921001041121161081201241281321361401441481521561601641681721761801841881921962002042082122612162024283236444852566064[[#Headers],[GP / SP]],Horodateur11233538192231343743464952555861646985222634384650585462667074788290989410210611411811012212613013413814214615015415816216617017417818218619019419820220621021441014182226303438465054586266[Jour],Taches_Jours1224363917202932354144475053565962678320243236444856526064687276808896921001041121161081201241281321361401441481521561601641681721761801841881921962002042082122612162024283236444852566064[[#This Row],[Jours]])</f>
        <v>0</v>
      </c>
      <c r="I51" s="71" t="n">
        <f aca="false">SUMIFS(Horodateur11233538192231343743464952555861646985222634384650585462667074788290989410210611411811012212613013413814214615015415816216617017417818218619019419820220621021441014182226303438465054586266[Durée (100)],Horodateur11233538192231343743464952555861646985222634384650585462667074788290989410210611411811012212613013413814214615015415816216617017417818218619019419820220621021441014182226303438465054586266[Tâche],Taches_Jours1224363917202932354144475053565962678320243236444856526064687276808896921001041121161081201241281321361401441481521561601641681721761801841881921962002042082122612162024283236444852566064[[#Headers],[GP / SP]],Horodateur11233538192231343743464952555861646985222634384650585462667074788290989410210611411811012212613013413814214615015415816216617017417818218619019419820220621021441014182226303438465054586266[Jour],Taches_Jours1224363917202932354144475053565962678320243236444856526064687276808896921001041121161081201241281321361401441481521561601641681721761801841881921962002042082122612162024283236444852566064[[#This Row],[Jours]])</f>
        <v>0</v>
      </c>
      <c r="J51" s="290" t="n">
        <f aca="false">SUM(Taches_Jours1224363917202932354144475053565962678320243236444856526064687276808896921001041121161081201241281321361401441481521561601641681721761801841881921962002042082122612162024283236444852566064[[#This Row],[GB]:[GP / SP]])</f>
        <v>6.75</v>
      </c>
      <c r="K51" s="188"/>
      <c r="L51" s="188"/>
      <c r="M51" s="288"/>
      <c r="N51" s="289"/>
      <c r="O51" s="289"/>
      <c r="P51" s="187"/>
      <c r="Q51" s="1"/>
      <c r="R51" s="1"/>
      <c r="S51" s="1"/>
      <c r="T51" s="1"/>
      <c r="U51" s="1"/>
      <c r="V51" s="71"/>
      <c r="W51" s="71"/>
      <c r="X51" s="71"/>
      <c r="Y51" s="71"/>
      <c r="Z51" s="71"/>
      <c r="AA51" s="71"/>
      <c r="AB51" s="71"/>
      <c r="AC51" s="71"/>
      <c r="AD51" s="71"/>
      <c r="AE51" s="71"/>
      <c r="AF51" s="71"/>
      <c r="AG51" s="71"/>
      <c r="AH51" s="71"/>
    </row>
    <row r="52" customFormat="false" ht="15" hidden="true" customHeight="false" outlineLevel="1" collapsed="false">
      <c r="A52" s="187" t="s">
        <v>332</v>
      </c>
      <c r="B52" s="71" t="n">
        <f aca="false">SUMIFS(Horodateur11233538192231343743464952555861646985222634384650585462667074788290989410210611411811012212613013413814214615015415816216617017417818218619019419820220621021441014182226303438465054586266[Durée (100)],Horodateur11233538192231343743464952555861646985222634384650585462667074788290989410210611411811012212613013413814214615015415816216617017417818218619019419820220621021441014182226303438465054586266[Tâche],Taches_Jours1224363917202932354144475053565962678320243236444856526064687276808896921001041121161081201241281321361401441481521561601641681721761801841881921962002042082122612162024283236444852566064[[#Headers],[GB]],Horodateur11233538192231343743464952555861646985222634384650585462667074788290989410210611411811012212613013413814214615015415816216617017417818218619019419820220621021441014182226303438465054586266[Jour],Taches_Jours1224363917202932354144475053565962678320243236444856526064687276808896921001041121161081201241281321361401441481521561601641681721761801841881921962002042082122612162024283236444852566064[[#This Row],[Jours]])</f>
        <v>0</v>
      </c>
      <c r="C52" s="71" t="n">
        <f aca="false">SUMIFS(Horodateur11233538192231343743464952555861646985222634384650585462667074788290989410210611411811012212613013413814214615015415816216617017417818218619019419820220621021441014182226303438465054586266[Durée (100)],Horodateur11233538192231343743464952555861646985222634384650585462667074788290989410210611411811012212613013413814214615015415816216617017417818218619019419820220621021441014182226303438465054586266[Tâche],Taches_Jours1224363917202932354144475053565962678320243236444856526064687276808896921001041121161081201241281321361401441481521561601641681721761801841881921962002042082122612162024283236444852566064[[#Headers],[RI]],Horodateur11233538192231343743464952555861646985222634384650585462667074788290989410210611411811012212613013413814214615015415816216617017417818218619019419820220621021441014182226303438465054586266[Jour],Taches_Jours1224363917202932354144475053565962678320243236444856526064687276808896921001041121161081201241281321361401441481521561601641681721761801841881921962002042082122612162024283236444852566064[[#This Row],[Jours]])</f>
        <v>0</v>
      </c>
      <c r="D52" s="71" t="n">
        <f aca="false">SUMIFS(Horodateur11233538192231343743464952555861646985222634384650585462667074788290989410210611411811012212613013413814214615015415816216617017417818218619019419820220621021441014182226303438465054586266[Durée (100)],Horodateur11233538192231343743464952555861646985222634384650585462667074788290989410210611411811012212613013413814214615015415816216617017417818218619019419820220621021441014182226303438465054586266[Tâche],Taches_Jours1224363917202932354144475053565962678320243236444856526064687276808896921001041121161081201241281321361401441481521561601641681721761801841881921962002042082122612162024283236444852566064[[#Headers],[FG]],Horodateur11233538192231343743464952555861646985222634384650585462667074788290989410210611411811012212613013413814214615015415816216617017417818218619019419820220621021441014182226303438465054586266[Jour],Taches_Jours1224363917202932354144475053565962678320243236444856526064687276808896921001041121161081201241281321361401441481521561601641681721761801841881921962002042082122612162024283236444852566064[[#This Row],[Jours]])</f>
        <v>0</v>
      </c>
      <c r="E52" s="71" t="n">
        <f aca="false">SUMIFS(Horodateur11233538192231343743464952555861646985222634384650585462667074788290989410210611411811012212613013413814214615015415816216617017417818218619019419820220621021441014182226303438465054586266[Durée (100)],Horodateur11233538192231343743464952555861646985222634384650585462667074788290989410210611411811012212613013413814214615015415816216617017417818218619019419820220621021441014182226303438465054586266[Tâche],Taches_Jours1224363917202932354144475053565962678320243236444856526064687276808896921001041121161081201241281321361401441481521561601641681721761801841881921962002042082122612162024283236444852566064[[#Headers],[PS]],Horodateur11233538192231343743464952555861646985222634384650585462667074788290989410210611411811012212613013413814214615015415816216617017417818218619019419820220621021441014182226303438465054586266[Jour],Taches_Jours1224363917202932354144475053565962678320243236444856526064687276808896921001041121161081201241281321361401441481521561601641681721761801841881921962002042082122612162024283236444852566064[[#This Row],[Jours]])</f>
        <v>0</v>
      </c>
      <c r="F52" s="71" t="n">
        <f aca="false">SUMIFS(Horodateur11233538192231343743464952555861646985222634384650585462667074788290989410210611411811012212613013413814214615015415816216617017417818218619019419820220621021441014182226303438465054586266[Durée (100)],Horodateur11233538192231343743464952555861646985222634384650585462667074788290989410210611411811012212613013413814214615015415816216617017417818218619019419820220621021441014182226303438465054586266[Tâche],Taches_Jours1224363917202932354144475053565962678320243236444856526064687276808896921001041121161081201241281321361401441481521561601641681721761801841881921962002042082122612162024283236444852566064[[#Headers],[TD]],Horodateur11233538192231343743464952555861646985222634384650585462667074788290989410210611411811012212613013413814214615015415816216617017417818218619019419820220621021441014182226303438465054586266[Jour],Taches_Jours1224363917202932354144475053565962678320243236444856526064687276808896921001041121161081201241281321361401441481521561601641681721761801841881921962002042082122612162024283236444852566064[[#This Row],[Jours]])</f>
        <v>0</v>
      </c>
      <c r="G52" s="71" t="n">
        <f aca="false">SUMIFS(Horodateur11233538192231343743464952555861646985222634384650585462667074788290989410210611411811012212613013413814214615015415816216617017417818218619019419820220621021441014182226303438465054586266[Durée (100)],Horodateur11233538192231343743464952555861646985222634384650585462667074788290989410210611411811012212613013413814214615015415816216617017417818218619019419820220621021441014182226303438465054586266[Tâche],Taches_Jours1224363917202932354144475053565962678320243236444856526064687276808896921001041121161081201241281321361401441481521561601641681721761801841881921962002042082122612162024283236444852566064[[#Headers],[GP]],Horodateur11233538192231343743464952555861646985222634384650585462667074788290989410210611411811012212613013413814214615015415816216617017417818218619019419820220621021441014182226303438465054586266[Jour],Taches_Jours1224363917202932354144475053565962678320243236444856526064687276808896921001041121161081201241281321361401441481521561601641681721761801841881921962002042082122612162024283236444852566064[[#This Row],[Jours]])</f>
        <v>4.25</v>
      </c>
      <c r="H52" s="71" t="n">
        <f aca="false">SUMIFS(Horodateur11233538192231343743464952555861646985222634384650585462667074788290989410210611411811012212613013413814214615015415816216617017417818218619019419820220621021441014182226303438465054586266[Durée (100)],Horodateur11233538192231343743464952555861646985222634384650585462667074788290989410210611411811012212613013413814214615015415816216617017417818218619019419820220621021441014182226303438465054586266[Tâche],Taches_Jours1224363917202932354144475053565962678320243236444856526064687276808896921001041121161081201241281321361401441481521561601641681721761801841881921962002042082122612162024283236444852566064[[#Headers],[GP / SP]],Horodateur11233538192231343743464952555861646985222634384650585462667074788290989410210611411811012212613013413814214615015415816216617017417818218619019419820220621021441014182226303438465054586266[Jour],Taches_Jours1224363917202932354144475053565962678320243236444856526064687276808896921001041121161081201241281321361401441481521561601641681721761801841881921962002042082122612162024283236444852566064[[#This Row],[Jours]])</f>
        <v>0</v>
      </c>
      <c r="I52" s="71" t="n">
        <f aca="false">SUMIFS(Horodateur11233538192231343743464952555861646985222634384650585462667074788290989410210611411811012212613013413814214615015415816216617017417818218619019419820220621021441014182226303438465054586266[Durée (100)],Horodateur11233538192231343743464952555861646985222634384650585462667074788290989410210611411811012212613013413814214615015415816216617017417818218619019419820220621021441014182226303438465054586266[Tâche],Taches_Jours1224363917202932354144475053565962678320243236444856526064687276808896921001041121161081201241281321361401441481521561601641681721761801841881921962002042082122612162024283236444852566064[[#Headers],[GP / SP]],Horodateur11233538192231343743464952555861646985222634384650585462667074788290989410210611411811012212613013413814214615015415816216617017417818218619019419820220621021441014182226303438465054586266[Jour],Taches_Jours1224363917202932354144475053565962678320243236444856526064687276808896921001041121161081201241281321361401441481521561601641681721761801841881921962002042082122612162024283236444852566064[[#This Row],[Jours]])</f>
        <v>0</v>
      </c>
      <c r="J52" s="290" t="n">
        <f aca="false">SUM(Taches_Jours1224363917202932354144475053565962678320243236444856526064687276808896921001041121161081201241281321361401441481521561601641681721761801841881921962002042082122612162024283236444852566064[[#This Row],[GB]:[GP / SP]])</f>
        <v>4.25</v>
      </c>
      <c r="K52" s="188"/>
      <c r="L52" s="188"/>
      <c r="M52" s="288"/>
      <c r="N52" s="289"/>
      <c r="O52" s="289"/>
      <c r="P52" s="187"/>
      <c r="Q52" s="71"/>
      <c r="R52" s="71"/>
      <c r="S52" s="71"/>
      <c r="T52" s="71"/>
      <c r="U52" s="71"/>
      <c r="V52" s="71"/>
      <c r="W52" s="71"/>
      <c r="X52" s="71"/>
      <c r="Y52" s="71"/>
      <c r="Z52" s="71"/>
      <c r="AA52" s="71"/>
      <c r="AB52" s="71"/>
      <c r="AC52" s="71"/>
      <c r="AD52" s="71"/>
      <c r="AE52" s="71"/>
      <c r="AF52" s="71"/>
      <c r="AG52" s="71"/>
      <c r="AH52" s="71"/>
    </row>
    <row r="53" customFormat="false" ht="15" hidden="true" customHeight="false" outlineLevel="1" collapsed="false">
      <c r="A53" s="187" t="s">
        <v>335</v>
      </c>
      <c r="B53" s="71" t="n">
        <f aca="false">SUMIFS(Horodateur11233538192231343743464952555861646985222634384650585462667074788290989410210611411811012212613013413814214615015415816216617017417818218619019419820220621021441014182226303438465054586266[Durée (100)],Horodateur11233538192231343743464952555861646985222634384650585462667074788290989410210611411811012212613013413814214615015415816216617017417818218619019419820220621021441014182226303438465054586266[Tâche],Taches_Jours1224363917202932354144475053565962678320243236444856526064687276808896921001041121161081201241281321361401441481521561601641681721761801841881921962002042082122612162024283236444852566064[[#Headers],[GB]],Horodateur11233538192231343743464952555861646985222634384650585462667074788290989410210611411811012212613013413814214615015415816216617017417818218619019419820220621021441014182226303438465054586266[Jour],Taches_Jours1224363917202932354144475053565962678320243236444856526064687276808896921001041121161081201241281321361401441481521561601641681721761801841881921962002042082122612162024283236444852566064[[#This Row],[Jours]])</f>
        <v>0</v>
      </c>
      <c r="C53" s="71" t="n">
        <f aca="false">SUMIFS(Horodateur11233538192231343743464952555861646985222634384650585462667074788290989410210611411811012212613013413814214615015415816216617017417818218619019419820220621021441014182226303438465054586266[Durée (100)],Horodateur11233538192231343743464952555861646985222634384650585462667074788290989410210611411811012212613013413814214615015415816216617017417818218619019419820220621021441014182226303438465054586266[Tâche],Taches_Jours1224363917202932354144475053565962678320243236444856526064687276808896921001041121161081201241281321361401441481521561601641681721761801841881921962002042082122612162024283236444852566064[[#Headers],[RI]],Horodateur11233538192231343743464952555861646985222634384650585462667074788290989410210611411811012212613013413814214615015415816216617017417818218619019419820220621021441014182226303438465054586266[Jour],Taches_Jours1224363917202932354144475053565962678320243236444856526064687276808896921001041121161081201241281321361401441481521561601641681721761801841881921962002042082122612162024283236444852566064[[#This Row],[Jours]])</f>
        <v>0</v>
      </c>
      <c r="D53" s="71" t="n">
        <f aca="false">SUMIFS(Horodateur11233538192231343743464952555861646985222634384650585462667074788290989410210611411811012212613013413814214615015415816216617017417818218619019419820220621021441014182226303438465054586266[Durée (100)],Horodateur11233538192231343743464952555861646985222634384650585462667074788290989410210611411811012212613013413814214615015415816216617017417818218619019419820220621021441014182226303438465054586266[Tâche],Taches_Jours1224363917202932354144475053565962678320243236444856526064687276808896921001041121161081201241281321361401441481521561601641681721761801841881921962002042082122612162024283236444852566064[[#Headers],[FG]],Horodateur11233538192231343743464952555861646985222634384650585462667074788290989410210611411811012212613013413814214615015415816216617017417818218619019419820220621021441014182226303438465054586266[Jour],Taches_Jours1224363917202932354144475053565962678320243236444856526064687276808896921001041121161081201241281321361401441481521561601641681721761801841881921962002042082122612162024283236444852566064[[#This Row],[Jours]])</f>
        <v>0</v>
      </c>
      <c r="E53" s="71" t="n">
        <f aca="false">SUMIFS(Horodateur11233538192231343743464952555861646985222634384650585462667074788290989410210611411811012212613013413814214615015415816216617017417818218619019419820220621021441014182226303438465054586266[Durée (100)],Horodateur11233538192231343743464952555861646985222634384650585462667074788290989410210611411811012212613013413814214615015415816216617017417818218619019419820220621021441014182226303438465054586266[Tâche],Taches_Jours1224363917202932354144475053565962678320243236444856526064687276808896921001041121161081201241281321361401441481521561601641681721761801841881921962002042082122612162024283236444852566064[[#Headers],[PS]],Horodateur11233538192231343743464952555861646985222634384650585462667074788290989410210611411811012212613013413814214615015415816216617017417818218619019419820220621021441014182226303438465054586266[Jour],Taches_Jours1224363917202932354144475053565962678320243236444856526064687276808896921001041121161081201241281321361401441481521561601641681721761801841881921962002042082122612162024283236444852566064[[#This Row],[Jours]])</f>
        <v>0</v>
      </c>
      <c r="F53" s="71" t="n">
        <f aca="false">SUMIFS(Horodateur11233538192231343743464952555861646985222634384650585462667074788290989410210611411811012212613013413814214615015415816216617017417818218619019419820220621021441014182226303438465054586266[Durée (100)],Horodateur11233538192231343743464952555861646985222634384650585462667074788290989410210611411811012212613013413814214615015415816216617017417818218619019419820220621021441014182226303438465054586266[Tâche],Taches_Jours1224363917202932354144475053565962678320243236444856526064687276808896921001041121161081201241281321361401441481521561601641681721761801841881921962002042082122612162024283236444852566064[[#Headers],[TD]],Horodateur11233538192231343743464952555861646985222634384650585462667074788290989410210611411811012212613013413814214615015415816216617017417818218619019419820220621021441014182226303438465054586266[Jour],Taches_Jours1224363917202932354144475053565962678320243236444856526064687276808896921001041121161081201241281321361401441481521561601641681721761801841881921962002042082122612162024283236444852566064[[#This Row],[Jours]])</f>
        <v>0</v>
      </c>
      <c r="G53" s="71" t="n">
        <f aca="false">SUMIFS(Horodateur11233538192231343743464952555861646985222634384650585462667074788290989410210611411811012212613013413814214615015415816216617017417818218619019419820220621021441014182226303438465054586266[Durée (100)],Horodateur11233538192231343743464952555861646985222634384650585462667074788290989410210611411811012212613013413814214615015415816216617017417818218619019419820220621021441014182226303438465054586266[Tâche],Taches_Jours1224363917202932354144475053565962678320243236444856526064687276808896921001041121161081201241281321361401441481521561601641681721761801841881921962002042082122612162024283236444852566064[[#Headers],[GP]],Horodateur11233538192231343743464952555861646985222634384650585462667074788290989410210611411811012212613013413814214615015415816216617017417818218619019419820220621021441014182226303438465054586266[Jour],Taches_Jours1224363917202932354144475053565962678320243236444856526064687276808896921001041121161081201241281321361401441481521561601641681721761801841881921962002042082122612162024283236444852566064[[#This Row],[Jours]])</f>
        <v>0</v>
      </c>
      <c r="H53" s="71" t="n">
        <f aca="false">SUMIFS(Horodateur11233538192231343743464952555861646985222634384650585462667074788290989410210611411811012212613013413814214615015415816216617017417818218619019419820220621021441014182226303438465054586266[Durée (100)],Horodateur11233538192231343743464952555861646985222634384650585462667074788290989410210611411811012212613013413814214615015415816216617017417818218619019419820220621021441014182226303438465054586266[Tâche],Taches_Jours1224363917202932354144475053565962678320243236444856526064687276808896921001041121161081201241281321361401441481521561601641681721761801841881921962002042082122612162024283236444852566064[[#Headers],[GP / SP]],Horodateur11233538192231343743464952555861646985222634384650585462667074788290989410210611411811012212613013413814214615015415816216617017417818218619019419820220621021441014182226303438465054586266[Jour],Taches_Jours1224363917202932354144475053565962678320243236444856526064687276808896921001041121161081201241281321361401441481521561601641681721761801841881921962002042082122612162024283236444852566064[[#This Row],[Jours]])</f>
        <v>1</v>
      </c>
      <c r="I53" s="71" t="n">
        <f aca="false">SUMIFS(Horodateur11233538192231343743464952555861646985222634384650585462667074788290989410210611411811012212613013413814214615015415816216617017417818218619019419820220621021441014182226303438465054586266[Durée (100)],Horodateur11233538192231343743464952555861646985222634384650585462667074788290989410210611411811012212613013413814214615015415816216617017417818218619019419820220621021441014182226303438465054586266[Tâche],Taches_Jours1224363917202932354144475053565962678320243236444856526064687276808896921001041121161081201241281321361401441481521561601641681721761801841881921962002042082122612162024283236444852566064[[#Headers],[GP / SP]],Horodateur11233538192231343743464952555861646985222634384650585462667074788290989410210611411811012212613013413814214615015415816216617017417818218619019419820220621021441014182226303438465054586266[Jour],Taches_Jours1224363917202932354144475053565962678320243236444856526064687276808896921001041121161081201241281321361401441481521561601641681721761801841881921962002042082122612162024283236444852566064[[#This Row],[Jours]])</f>
        <v>1</v>
      </c>
      <c r="J53" s="290" t="n">
        <f aca="false">SUM(Taches_Jours1224363917202932354144475053565962678320243236444856526064687276808896921001041121161081201241281321361401441481521561601641681721761801841881921962002042082122612162024283236444852566064[[#This Row],[GB]:[GP / SP]])</f>
        <v>1</v>
      </c>
      <c r="K53" s="188"/>
      <c r="L53" s="188"/>
      <c r="M53" s="288"/>
      <c r="N53" s="289"/>
      <c r="O53" s="289"/>
      <c r="P53" s="187"/>
      <c r="Q53" s="1"/>
      <c r="R53" s="1"/>
      <c r="S53" s="1"/>
      <c r="T53" s="1"/>
      <c r="U53" s="1"/>
      <c r="V53" s="71"/>
      <c r="W53" s="71"/>
      <c r="X53" s="71"/>
      <c r="Y53" s="71"/>
      <c r="Z53" s="71"/>
      <c r="AA53" s="71"/>
      <c r="AB53" s="71"/>
      <c r="AC53" s="71"/>
      <c r="AD53" s="71"/>
      <c r="AE53" s="71"/>
      <c r="AF53" s="71"/>
      <c r="AG53" s="71"/>
      <c r="AH53" s="71"/>
    </row>
    <row r="54" customFormat="false" ht="15" hidden="true" customHeight="false" outlineLevel="1" collapsed="false">
      <c r="A54" s="187" t="s">
        <v>341</v>
      </c>
      <c r="B54" s="71" t="n">
        <f aca="false">SUMIFS(Horodateur11233538192231343743464952555861646985222634384650585462667074788290989410210611411811012212613013413814214615015415816216617017417818218619019419820220621021441014182226303438465054586266[Durée (100)],Horodateur11233538192231343743464952555861646985222634384650585462667074788290989410210611411811012212613013413814214615015415816216617017417818218619019419820220621021441014182226303438465054586266[Tâche],Taches_Jours1224363917202932354144475053565962678320243236444856526064687276808896921001041121161081201241281321361401441481521561601641681721761801841881921962002042082122612162024283236444852566064[[#Headers],[GB]],Horodateur11233538192231343743464952555861646985222634384650585462667074788290989410210611411811012212613013413814214615015415816216617017417818218619019419820220621021441014182226303438465054586266[Jour],Taches_Jours1224363917202932354144475053565962678320243236444856526064687276808896921001041121161081201241281321361401441481521561601641681721761801841881921962002042082122612162024283236444852566064[[#This Row],[Jours]])</f>
        <v>0</v>
      </c>
      <c r="C54" s="71" t="n">
        <f aca="false">SUMIFS(Horodateur11233538192231343743464952555861646985222634384650585462667074788290989410210611411811012212613013413814214615015415816216617017417818218619019419820220621021441014182226303438465054586266[Durée (100)],Horodateur11233538192231343743464952555861646985222634384650585462667074788290989410210611411811012212613013413814214615015415816216617017417818218619019419820220621021441014182226303438465054586266[Tâche],Taches_Jours1224363917202932354144475053565962678320243236444856526064687276808896921001041121161081201241281321361401441481521561601641681721761801841881921962002042082122612162024283236444852566064[[#Headers],[RI]],Horodateur11233538192231343743464952555861646985222634384650585462667074788290989410210611411811012212613013413814214615015415816216617017417818218619019419820220621021441014182226303438465054586266[Jour],Taches_Jours1224363917202932354144475053565962678320243236444856526064687276808896921001041121161081201241281321361401441481521561601641681721761801841881921962002042082122612162024283236444852566064[[#This Row],[Jours]])</f>
        <v>0</v>
      </c>
      <c r="D54" s="71" t="n">
        <f aca="false">SUMIFS(Horodateur11233538192231343743464952555861646985222634384650585462667074788290989410210611411811012212613013413814214615015415816216617017417818218619019419820220621021441014182226303438465054586266[Durée (100)],Horodateur11233538192231343743464952555861646985222634384650585462667074788290989410210611411811012212613013413814214615015415816216617017417818218619019419820220621021441014182226303438465054586266[Tâche],Taches_Jours1224363917202932354144475053565962678320243236444856526064687276808896921001041121161081201241281321361401441481521561601641681721761801841881921962002042082122612162024283236444852566064[[#Headers],[FG]],Horodateur11233538192231343743464952555861646985222634384650585462667074788290989410210611411811012212613013413814214615015415816216617017417818218619019419820220621021441014182226303438465054586266[Jour],Taches_Jours1224363917202932354144475053565962678320243236444856526064687276808896921001041121161081201241281321361401441481521561601641681721761801841881921962002042082122612162024283236444852566064[[#This Row],[Jours]])</f>
        <v>0</v>
      </c>
      <c r="E54" s="71" t="n">
        <f aca="false">SUMIFS(Horodateur11233538192231343743464952555861646985222634384650585462667074788290989410210611411811012212613013413814214615015415816216617017417818218619019419820220621021441014182226303438465054586266[Durée (100)],Horodateur11233538192231343743464952555861646985222634384650585462667074788290989410210611411811012212613013413814214615015415816216617017417818218619019419820220621021441014182226303438465054586266[Tâche],Taches_Jours1224363917202932354144475053565962678320243236444856526064687276808896921001041121161081201241281321361401441481521561601641681721761801841881921962002042082122612162024283236444852566064[[#Headers],[PS]],Horodateur11233538192231343743464952555861646985222634384650585462667074788290989410210611411811012212613013413814214615015415816216617017417818218619019419820220621021441014182226303438465054586266[Jour],Taches_Jours1224363917202932354144475053565962678320243236444856526064687276808896921001041121161081201241281321361401441481521561601641681721761801841881921962002042082122612162024283236444852566064[[#This Row],[Jours]])</f>
        <v>0</v>
      </c>
      <c r="F54" s="71" t="n">
        <f aca="false">SUMIFS(Horodateur11233538192231343743464952555861646985222634384650585462667074788290989410210611411811012212613013413814214615015415816216617017417818218619019419820220621021441014182226303438465054586266[Durée (100)],Horodateur11233538192231343743464952555861646985222634384650585462667074788290989410210611411811012212613013413814214615015415816216617017417818218619019419820220621021441014182226303438465054586266[Tâche],Taches_Jours1224363917202932354144475053565962678320243236444856526064687276808896921001041121161081201241281321361401441481521561601641681721761801841881921962002042082122612162024283236444852566064[[#Headers],[TD]],Horodateur11233538192231343743464952555861646985222634384650585462667074788290989410210611411811012212613013413814214615015415816216617017417818218619019419820220621021441014182226303438465054586266[Jour],Taches_Jours1224363917202932354144475053565962678320243236444856526064687276808896921001041121161081201241281321361401441481521561601641681721761801841881921962002042082122612162024283236444852566064[[#This Row],[Jours]])</f>
        <v>0</v>
      </c>
      <c r="G54" s="71" t="n">
        <f aca="false">SUMIFS(Horodateur11233538192231343743464952555861646985222634384650585462667074788290989410210611411811012212613013413814214615015415816216617017417818218619019419820220621021441014182226303438465054586266[Durée (100)],Horodateur11233538192231343743464952555861646985222634384650585462667074788290989410210611411811012212613013413814214615015415816216617017417818218619019419820220621021441014182226303438465054586266[Tâche],Taches_Jours1224363917202932354144475053565962678320243236444856526064687276808896921001041121161081201241281321361401441481521561601641681721761801841881921962002042082122612162024283236444852566064[[#Headers],[GP]],Horodateur11233538192231343743464952555861646985222634384650585462667074788290989410210611411811012212613013413814214615015415816216617017417818218619019419820220621021441014182226303438465054586266[Jour],Taches_Jours1224363917202932354144475053565962678320243236444856526064687276808896921001041121161081201241281321361401441481521561601641681721761801841881921962002042082122612162024283236444852566064[[#This Row],[Jours]])</f>
        <v>0</v>
      </c>
      <c r="H54" s="71" t="n">
        <f aca="false">SUMIFS(Horodateur11233538192231343743464952555861646985222634384650585462667074788290989410210611411811012212613013413814214615015415816216617017417818218619019419820220621021441014182226303438465054586266[Durée (100)],Horodateur11233538192231343743464952555861646985222634384650585462667074788290989410210611411811012212613013413814214615015415816216617017417818218619019419820220621021441014182226303438465054586266[Tâche],Taches_Jours1224363917202932354144475053565962678320243236444856526064687276808896921001041121161081201241281321361401441481521561601641681721761801841881921962002042082122612162024283236444852566064[[#Headers],[GP / SP]],Horodateur11233538192231343743464952555861646985222634384650585462667074788290989410210611411811012212613013413814214615015415816216617017417818218619019419820220621021441014182226303438465054586266[Jour],Taches_Jours1224363917202932354144475053565962678320243236444856526064687276808896921001041121161081201241281321361401441481521561601641681721761801841881921962002042082122612162024283236444852566064[[#This Row],[Jours]])</f>
        <v>0</v>
      </c>
      <c r="I54" s="290" t="n">
        <f aca="false">SUMIFS(Horodateur11233538192231343743464952555861646985222634384650585462667074788290989410210611411811012212613013413814214615015415816216617017417818218619019419820220621021441014182226303438465054586266[Durée (100)],Horodateur11233538192231343743464952555861646985222634384650585462667074788290989410210611411811012212613013413814214615015415816216617017417818218619019419820220621021441014182226303438465054586266[Tâche],Taches_Jours1224363917202932354144475053565962678320243236444856526064687276808896921001041121161081201241281321361401441481521561601641681721761801841881921962002042082122612162024283236444852566064[[#Headers],[GP / SP]],Horodateur11233538192231343743464952555861646985222634384650585462667074788290989410210611411811012212613013413814214615015415816216617017417818218619019419820220621021441014182226303438465054586266[Jour],Taches_Jours1224363917202932354144475053565962678320243236444856526064687276808896921001041121161081201241281321361401441481521561601641681721761801841881921962002042082122612162024283236444852566064[[#This Row],[Jours]])</f>
        <v>0</v>
      </c>
      <c r="J54" s="71" t="n">
        <f aca="false">SUM(Taches_Jours1224363917202932354144475053565962678320243236444856526064687276808896921001041121161081201241281321361401441481521561601641681721761801841881921962002042082122612162024283236444852566064[[#This Row],[GB]:[GP / SP]])</f>
        <v>0</v>
      </c>
      <c r="K54" s="188"/>
      <c r="L54" s="188"/>
      <c r="M54" s="288"/>
      <c r="N54" s="289"/>
      <c r="O54" s="289"/>
      <c r="P54" s="187"/>
      <c r="Q54" s="1"/>
      <c r="R54" s="1"/>
      <c r="S54" s="1"/>
      <c r="T54" s="1"/>
      <c r="U54" s="1"/>
      <c r="V54" s="71"/>
      <c r="W54" s="71"/>
      <c r="X54" s="71"/>
      <c r="Y54" s="71"/>
      <c r="Z54" s="71"/>
      <c r="AA54" s="71"/>
      <c r="AB54" s="71"/>
      <c r="AC54" s="71"/>
      <c r="AD54" s="71"/>
      <c r="AE54" s="71"/>
      <c r="AF54" s="71"/>
      <c r="AG54" s="71"/>
      <c r="AH54" s="71"/>
    </row>
    <row r="55" customFormat="false" ht="15" hidden="true" customHeight="false" outlineLevel="1" collapsed="false">
      <c r="A55" s="187" t="s">
        <v>381</v>
      </c>
      <c r="B55" s="71" t="n">
        <f aca="false">SUMIFS(Horodateur11233538192231343743464952555861646985222634384650585462667074788290989410210611411811012212613013413814214615015415816216617017417818218619019419820220621021441014182226303438465054586266[Durée (100)],Horodateur11233538192231343743464952555861646985222634384650585462667074788290989410210611411811012212613013413814214615015415816216617017417818218619019419820220621021441014182226303438465054586266[Tâche],Taches_Jours1224363917202932354144475053565962678320243236444856526064687276808896921001041121161081201241281321361401441481521561601641681721761801841881921962002042082122612162024283236444852566064[[#Headers],[GB]],Horodateur11233538192231343743464952555861646985222634384650585462667074788290989410210611411811012212613013413814214615015415816216617017417818218619019419820220621021441014182226303438465054586266[Jour],Taches_Jours1224363917202932354144475053565962678320243236444856526064687276808896921001041121161081201241281321361401441481521561601641681721761801841881921962002042082122612162024283236444852566064[[#This Row],[Jours]])</f>
        <v>0</v>
      </c>
      <c r="C55" s="71" t="n">
        <f aca="false">SUMIFS(Horodateur11233538192231343743464952555861646985222634384650585462667074788290989410210611411811012212613013413814214615015415816216617017417818218619019419820220621021441014182226303438465054586266[Durée (100)],Horodateur11233538192231343743464952555861646985222634384650585462667074788290989410210611411811012212613013413814214615015415816216617017417818218619019419820220621021441014182226303438465054586266[Tâche],Taches_Jours1224363917202932354144475053565962678320243236444856526064687276808896921001041121161081201241281321361401441481521561601641681721761801841881921962002042082122612162024283236444852566064[[#Headers],[RI]],Horodateur11233538192231343743464952555861646985222634384650585462667074788290989410210611411811012212613013413814214615015415816216617017417818218619019419820220621021441014182226303438465054586266[Jour],Taches_Jours1224363917202932354144475053565962678320243236444856526064687276808896921001041121161081201241281321361401441481521561601641681721761801841881921962002042082122612162024283236444852566064[[#This Row],[Jours]])</f>
        <v>0</v>
      </c>
      <c r="D55" s="71" t="n">
        <f aca="false">SUMIFS(Horodateur11233538192231343743464952555861646985222634384650585462667074788290989410210611411811012212613013413814214615015415816216617017417818218619019419820220621021441014182226303438465054586266[Durée (100)],Horodateur11233538192231343743464952555861646985222634384650585462667074788290989410210611411811012212613013413814214615015415816216617017417818218619019419820220621021441014182226303438465054586266[Tâche],Taches_Jours1224363917202932354144475053565962678320243236444856526064687276808896921001041121161081201241281321361401441481521561601641681721761801841881921962002042082122612162024283236444852566064[[#Headers],[FG]],Horodateur11233538192231343743464952555861646985222634384650585462667074788290989410210611411811012212613013413814214615015415816216617017417818218619019419820220621021441014182226303438465054586266[Jour],Taches_Jours1224363917202932354144475053565962678320243236444856526064687276808896921001041121161081201241281321361401441481521561601641681721761801841881921962002042082122612162024283236444852566064[[#This Row],[Jours]])</f>
        <v>0</v>
      </c>
      <c r="E55" s="71" t="n">
        <f aca="false">SUMIFS(Horodateur11233538192231343743464952555861646985222634384650585462667074788290989410210611411811012212613013413814214615015415816216617017417818218619019419820220621021441014182226303438465054586266[Durée (100)],Horodateur11233538192231343743464952555861646985222634384650585462667074788290989410210611411811012212613013413814214615015415816216617017417818218619019419820220621021441014182226303438465054586266[Tâche],Taches_Jours1224363917202932354144475053565962678320243236444856526064687276808896921001041121161081201241281321361401441481521561601641681721761801841881921962002042082122612162024283236444852566064[[#Headers],[PS]],Horodateur11233538192231343743464952555861646985222634384650585462667074788290989410210611411811012212613013413814214615015415816216617017417818218619019419820220621021441014182226303438465054586266[Jour],Taches_Jours1224363917202932354144475053565962678320243236444856526064687276808896921001041121161081201241281321361401441481521561601641681721761801841881921962002042082122612162024283236444852566064[[#This Row],[Jours]])</f>
        <v>0</v>
      </c>
      <c r="F55" s="71" t="n">
        <f aca="false">SUMIFS(Horodateur11233538192231343743464952555861646985222634384650585462667074788290989410210611411811012212613013413814214615015415816216617017417818218619019419820220621021441014182226303438465054586266[Durée (100)],Horodateur11233538192231343743464952555861646985222634384650585462667074788290989410210611411811012212613013413814214615015415816216617017417818218619019419820220621021441014182226303438465054586266[Tâche],Taches_Jours1224363917202932354144475053565962678320243236444856526064687276808896921001041121161081201241281321361401441481521561601641681721761801841881921962002042082122612162024283236444852566064[[#Headers],[TD]],Horodateur11233538192231343743464952555861646985222634384650585462667074788290989410210611411811012212613013413814214615015415816216617017417818218619019419820220621021441014182226303438465054586266[Jour],Taches_Jours1224363917202932354144475053565962678320243236444856526064687276808896921001041121161081201241281321361401441481521561601641681721761801841881921962002042082122612162024283236444852566064[[#This Row],[Jours]])</f>
        <v>0</v>
      </c>
      <c r="G55" s="71" t="n">
        <f aca="false">SUMIFS(Horodateur11233538192231343743464952555861646985222634384650585462667074788290989410210611411811012212613013413814214615015415816216617017417818218619019419820220621021441014182226303438465054586266[Durée (100)],Horodateur11233538192231343743464952555861646985222634384650585462667074788290989410210611411811012212613013413814214615015415816216617017417818218619019419820220621021441014182226303438465054586266[Tâche],Taches_Jours1224363917202932354144475053565962678320243236444856526064687276808896921001041121161081201241281321361401441481521561601641681721761801841881921962002042082122612162024283236444852566064[[#Headers],[GP]],Horodateur11233538192231343743464952555861646985222634384650585462667074788290989410210611411811012212613013413814214615015415816216617017417818218619019419820220621021441014182226303438465054586266[Jour],Taches_Jours1224363917202932354144475053565962678320243236444856526064687276808896921001041121161081201241281321361401441481521561601641681721761801841881921962002042082122612162024283236444852566064[[#This Row],[Jours]])</f>
        <v>0</v>
      </c>
      <c r="H55" s="71" t="n">
        <f aca="false">SUMIFS(Horodateur11233538192231343743464952555861646985222634384650585462667074788290989410210611411811012212613013413814214615015415816216617017417818218619019419820220621021441014182226303438465054586266[Durée (100)],Horodateur11233538192231343743464952555861646985222634384650585462667074788290989410210611411811012212613013413814214615015415816216617017417818218619019419820220621021441014182226303438465054586266[Tâche],Taches_Jours1224363917202932354144475053565962678320243236444856526064687276808896921001041121161081201241281321361401441481521561601641681721761801841881921962002042082122612162024283236444852566064[[#Headers],[GP / SP]],Horodateur11233538192231343743464952555861646985222634384650585462667074788290989410210611411811012212613013413814214615015415816216617017417818218619019419820220621021441014182226303438465054586266[Jour],Taches_Jours1224363917202932354144475053565962678320243236444856526064687276808896921001041121161081201241281321361401441481521561601641681721761801841881921962002042082122612162024283236444852566064[[#This Row],[Jours]])</f>
        <v>0</v>
      </c>
      <c r="I55" s="290" t="n">
        <f aca="false">SUMIFS(Horodateur11233538192231343743464952555861646985222634384650585462667074788290989410210611411811012212613013413814214615015415816216617017417818218619019419820220621021441014182226303438465054586266[Durée (100)],Horodateur11233538192231343743464952555861646985222634384650585462667074788290989410210611411811012212613013413814214615015415816216617017417818218619019419820220621021441014182226303438465054586266[Tâche],Taches_Jours1224363917202932354144475053565962678320243236444856526064687276808896921001041121161081201241281321361401441481521561601641681721761801841881921962002042082122612162024283236444852566064[[#Headers],[GP / SP]],Horodateur11233538192231343743464952555861646985222634384650585462667074788290989410210611411811012212613013413814214615015415816216617017417818218619019419820220621021441014182226303438465054586266[Jour],Taches_Jours1224363917202932354144475053565962678320243236444856526064687276808896921001041121161081201241281321361401441481521561601641681721761801841881921962002042082122612162024283236444852566064[[#This Row],[Jours]])</f>
        <v>0</v>
      </c>
      <c r="J55" s="71" t="n">
        <f aca="false">SUM(Taches_Jours1224363917202932354144475053565962678320243236444856526064687276808896921001041121161081201241281321361401441481521561601641681721761801841881921962002042082122612162024283236444852566064[[#This Row],[GB]:[GP / SP]])</f>
        <v>0</v>
      </c>
      <c r="K55" s="188"/>
      <c r="L55" s="188"/>
      <c r="M55" s="288"/>
      <c r="N55" s="289"/>
      <c r="O55" s="289"/>
      <c r="P55" s="187"/>
      <c r="Q55" s="1"/>
      <c r="R55" s="1"/>
      <c r="S55" s="1"/>
      <c r="T55" s="1"/>
      <c r="U55" s="1"/>
      <c r="V55" s="71"/>
      <c r="W55" s="71"/>
      <c r="X55" s="71"/>
      <c r="Y55" s="71"/>
      <c r="Z55" s="71"/>
      <c r="AA55" s="71"/>
      <c r="AB55" s="71"/>
      <c r="AC55" s="71"/>
      <c r="AD55" s="71"/>
      <c r="AE55" s="71"/>
      <c r="AF55" s="71"/>
      <c r="AG55" s="71"/>
      <c r="AH55" s="71"/>
    </row>
    <row r="56" customFormat="false" ht="15" hidden="true" customHeight="false" outlineLevel="1" collapsed="false">
      <c r="A56" s="137"/>
      <c r="B56" s="187"/>
      <c r="C56" s="71"/>
      <c r="D56" s="1"/>
      <c r="E56" s="1"/>
      <c r="F56" s="71"/>
      <c r="G56" s="1"/>
      <c r="H56" s="1"/>
      <c r="I56" s="119"/>
      <c r="J56" s="271"/>
      <c r="K56" s="1"/>
      <c r="L56" s="1"/>
      <c r="M56" s="188"/>
      <c r="N56" s="272"/>
      <c r="O56" s="272"/>
      <c r="P56" s="187"/>
      <c r="Q56" s="1"/>
      <c r="R56" s="1"/>
      <c r="S56" s="1"/>
      <c r="T56" s="1"/>
      <c r="U56" s="1"/>
      <c r="V56" s="1"/>
      <c r="W56" s="71"/>
      <c r="X56" s="71"/>
      <c r="Y56" s="71"/>
      <c r="Z56" s="71"/>
      <c r="AA56" s="71"/>
      <c r="AB56" s="71"/>
      <c r="AC56" s="71"/>
      <c r="AD56" s="71"/>
      <c r="AE56" s="71"/>
      <c r="AF56" s="71"/>
      <c r="AG56" s="71"/>
      <c r="AH56" s="71"/>
      <c r="AI56" s="71"/>
    </row>
    <row r="57" customFormat="false" ht="15" hidden="true" customHeight="false" outlineLevel="1" collapsed="false">
      <c r="A57" s="291" t="s">
        <v>85</v>
      </c>
      <c r="B57" s="292" t="s">
        <v>312</v>
      </c>
      <c r="C57" s="292" t="s">
        <v>319</v>
      </c>
      <c r="D57" s="292" t="s">
        <v>324</v>
      </c>
      <c r="E57" s="292" t="s">
        <v>332</v>
      </c>
      <c r="F57" s="293" t="s">
        <v>335</v>
      </c>
      <c r="G57" s="292" t="s">
        <v>341</v>
      </c>
      <c r="H57" s="292" t="s">
        <v>381</v>
      </c>
      <c r="I57" s="294" t="s">
        <v>58</v>
      </c>
      <c r="J57" s="271"/>
      <c r="K57" s="1"/>
      <c r="L57" s="1"/>
      <c r="M57" s="188"/>
      <c r="N57" s="272"/>
      <c r="O57" s="272"/>
      <c r="P57" s="187"/>
      <c r="Q57" s="1"/>
      <c r="R57" s="1"/>
      <c r="S57" s="1"/>
      <c r="T57" s="1"/>
      <c r="U57" s="1"/>
      <c r="V57" s="1"/>
      <c r="W57" s="71"/>
      <c r="X57" s="71"/>
      <c r="Y57" s="71"/>
      <c r="Z57" s="71"/>
      <c r="AA57" s="71"/>
      <c r="AB57" s="71"/>
      <c r="AC57" s="71"/>
      <c r="AD57" s="71"/>
      <c r="AE57" s="71"/>
      <c r="AF57" s="71"/>
      <c r="AG57" s="71"/>
      <c r="AH57" s="71"/>
      <c r="AI57" s="71"/>
    </row>
    <row r="58" customFormat="false" ht="15" hidden="true" customHeight="false" outlineLevel="1" collapsed="false">
      <c r="A58" s="137" t="s">
        <v>21</v>
      </c>
      <c r="B58" s="187" t="n">
        <f aca="false">SUMIFS(Horodateur11233538192231343743464952555861646985222634384650585462667074788290989410210611411811012212613013413814214615015415816216617017417818218619019419820220621021441014182226303438465054586266[Durée (100)],Horodateur11233538192231343743464952555861646985222634384650585462667074788290989410210611411811012212613013413814214615015415816216617017417818218619019419820220621021441014182226303438465054586266[Jour],$B$57,Horodateur11233538192231343743464952555861646985222634384650585462667074788290989410210611411811012212613013413814214615015415816216617017417818218619019419820220621021441014182226303438465054586266[Tâche],$A58)</f>
        <v>1.75</v>
      </c>
      <c r="C58" s="187" t="n">
        <f aca="false">SUMIFS(Horodateur11233538192231343743464952555861646985222634384650585462667074788290989410210611411811012212613013413814214615015415816216617017417818218619019419820220621021441014182226303438465054586266[Durée (100)],Horodateur11233538192231343743464952555861646985222634384650585462667074788290989410210611411811012212613013413814214615015415816216617017417818218619019419820220621021441014182226303438465054586266[Jour],$C$57,Horodateur11233538192231343743464952555861646985222634384650585462667074788290989410210611411811012212613013413814214615015415816216617017417818218619019419820220621021441014182226303438465054586266[Tâche],$A58)</f>
        <v>0.5</v>
      </c>
      <c r="D58" s="187" t="n">
        <f aca="false">SUMIFS(Horodateur11233538192231343743464952555861646985222634384650585462667074788290989410210611411811012212613013413814214615015415816216617017417818218619019419820220621021441014182226303438465054586266[Durée (100)],Horodateur11233538192231343743464952555861646985222634384650585462667074788290989410210611411811012212613013413814214615015415816216617017417818218619019419820220621021441014182226303438465054586266[Jour],$D$57,Horodateur11233538192231343743464952555861646985222634384650585462667074788290989410210611411811012212613013413814214615015415816216617017417818218619019419820220621021441014182226303438465054586266[Tâche],$A58)</f>
        <v>1</v>
      </c>
      <c r="E58" s="187" t="n">
        <f aca="false">SUMIFS(Horodateur11233538192231343743464952555861646985222634384650585462667074788290989410210611411811012212613013413814214615015415816216617017417818218619019419820220621021441014182226303438465054586266[Durée (100)],Horodateur11233538192231343743464952555861646985222634384650585462667074788290989410210611411811012212613013413814214615015415816216617017417818218619019419820220621021441014182226303438465054586266[Jour],$E$57,Horodateur11233538192231343743464952555861646985222634384650585462667074788290989410210611411811012212613013413814214615015415816216617017417818218619019419820220621021441014182226303438465054586266[Tâche],$A58)</f>
        <v>0</v>
      </c>
      <c r="F58" s="71" t="n">
        <f aca="false">SUMIFS(Horodateur11233538192231343743464952555861646985222634384650585462667074788290989410210611411811012212613013413814214615015415816216617017417818218619019419820220621021441014182226303438465054586266[Durée (100)],Horodateur11233538192231343743464952555861646985222634384650585462667074788290989410210611411811012212613013413814214615015415816216617017417818218619019419820220621021441014182226303438465054586266[Jour],$F$57,Horodateur11233538192231343743464952555861646985222634384650585462667074788290989410210611411811012212613013413814214615015415816216617017417818218619019419820220621021441014182226303438465054586266[Tâche],$A58)</f>
        <v>0</v>
      </c>
      <c r="G58" s="187" t="n">
        <f aca="false">SUMIFS(Horodateur11233538192231343743464952555861646985222634384650585462667074788290989410210611411811012212613013413814214615015415816216617017417818218619019419820220621021441014182226303438465054586266[Durée (100)],Horodateur11233538192231343743464952555861646985222634384650585462667074788290989410210611411811012212613013413814214615015415816216617017417818218619019419820220621021441014182226303438465054586266[Jour],$G$57,Horodateur11233538192231343743464952555861646985222634384650585462667074788290989410210611411811012212613013413814214615015415816216617017417818218619019419820220621021441014182226303438465054586266[Tâche],$A58)</f>
        <v>0</v>
      </c>
      <c r="H58" s="187" t="n">
        <f aca="false">SUMIFS(Horodateur11233538192231343743464952555861646985222634384650585462667074788290989410210611411811012212613013413814214615015415816216617017417818218619019419820220621021441014182226303438465054586266[Durée (100)],Horodateur11233538192231343743464952555861646985222634384650585462667074788290989410210611411811012212613013413814214615015415816216617017417818218619019419820220621021441014182226303438465054586266[Jour],$H$57,Horodateur11233538192231343743464952555861646985222634384650585462667074788290989410210611411811012212613013413814214615015415816216617017417818218619019419820220621021441014182226303438465054586266[Tâche],$A58)</f>
        <v>0</v>
      </c>
      <c r="I58" s="295" t="n">
        <f aca="false">SUM(Taches_Jour21325374018213033364245485154576063688421253337454957536165697377818997931011051131171091211251291331371411451491531571611651691731771811851891931972012052092133913172125293337454953576165[[#This Row],[1- Lundi]:[7- Dimanche]])</f>
        <v>3.25</v>
      </c>
      <c r="J58" s="271"/>
      <c r="K58" s="1"/>
      <c r="L58" s="1"/>
      <c r="M58" s="188"/>
      <c r="N58" s="272"/>
      <c r="O58" s="272"/>
      <c r="P58" s="187"/>
      <c r="Q58" s="1"/>
      <c r="R58" s="1"/>
      <c r="S58" s="1"/>
      <c r="T58" s="1"/>
      <c r="U58" s="1"/>
      <c r="V58" s="1"/>
      <c r="W58" s="71"/>
      <c r="X58" s="71"/>
      <c r="Y58" s="71"/>
      <c r="Z58" s="71"/>
      <c r="AA58" s="71"/>
      <c r="AB58" s="71"/>
      <c r="AC58" s="71"/>
      <c r="AD58" s="71"/>
      <c r="AE58" s="71"/>
      <c r="AF58" s="71"/>
      <c r="AG58" s="71"/>
      <c r="AH58" s="71"/>
      <c r="AI58" s="71"/>
    </row>
    <row r="59" customFormat="false" ht="15" hidden="true" customHeight="false" outlineLevel="1" collapsed="false">
      <c r="A59" s="137" t="s">
        <v>20</v>
      </c>
      <c r="B59" s="187" t="n">
        <f aca="false">SUMIFS(Horodateur11233538192231343743464952555861646985222634384650585462667074788290989410210611411811012212613013413814214615015415816216617017417818218619019419820220621021441014182226303438465054586266[Durée (100)],Horodateur11233538192231343743464952555861646985222634384650585462667074788290989410210611411811012212613013413814214615015415816216617017417818218619019419820220621021441014182226303438465054586266[Jour],$B$57,Horodateur11233538192231343743464952555861646985222634384650585462667074788290989410210611411811012212613013413814214615015415816216617017417818218619019419820220621021441014182226303438465054586266[Tâche],$A59)</f>
        <v>0.5</v>
      </c>
      <c r="C59" s="187" t="n">
        <f aca="false">SUMIFS(Horodateur11233538192231343743464952555861646985222634384650585462667074788290989410210611411811012212613013413814214615015415816216617017417818218619019419820220621021441014182226303438465054586266[Durée (100)],Horodateur11233538192231343743464952555861646985222634384650585462667074788290989410210611411811012212613013413814214615015415816216617017417818218619019419820220621021441014182226303438465054586266[Jour],$C$57,Horodateur11233538192231343743464952555861646985222634384650585462667074788290989410210611411811012212613013413814214615015415816216617017417818218619019419820220621021441014182226303438465054586266[Tâche],$A59)</f>
        <v>0.5</v>
      </c>
      <c r="D59" s="187" t="n">
        <f aca="false">SUMIFS(Horodateur11233538192231343743464952555861646985222634384650585462667074788290989410210611411811012212613013413814214615015415816216617017417818218619019419820220621021441014182226303438465054586266[Durée (100)],Horodateur11233538192231343743464952555861646985222634384650585462667074788290989410210611411811012212613013413814214615015415816216617017417818218619019419820220621021441014182226303438465054586266[Jour],$D$57,Horodateur11233538192231343743464952555861646985222634384650585462667074788290989410210611411811012212613013413814214615015415816216617017417818218619019419820220621021441014182226303438465054586266[Tâche],$A59)</f>
        <v>0</v>
      </c>
      <c r="E59" s="187" t="n">
        <f aca="false">SUMIFS(Horodateur11233538192231343743464952555861646985222634384650585462667074788290989410210611411811012212613013413814214615015415816216617017417818218619019419820220621021441014182226303438465054586266[Durée (100)],Horodateur11233538192231343743464952555861646985222634384650585462667074788290989410210611411811012212613013413814214615015415816216617017417818218619019419820220621021441014182226303438465054586266[Jour],$E$57,Horodateur11233538192231343743464952555861646985222634384650585462667074788290989410210611411811012212613013413814214615015415816216617017417818218619019419820220621021441014182226303438465054586266[Tâche],$A59)</f>
        <v>0</v>
      </c>
      <c r="F59" s="71" t="n">
        <f aca="false">SUMIFS(Horodateur11233538192231343743464952555861646985222634384650585462667074788290989410210611411811012212613013413814214615015415816216617017417818218619019419820220621021441014182226303438465054586266[Durée (100)],Horodateur11233538192231343743464952555861646985222634384650585462667074788290989410210611411811012212613013413814214615015415816216617017417818218619019419820220621021441014182226303438465054586266[Jour],$F$57,Horodateur11233538192231343743464952555861646985222634384650585462667074788290989410210611411811012212613013413814214615015415816216617017417818218619019419820220621021441014182226303438465054586266[Tâche],$A59)</f>
        <v>0</v>
      </c>
      <c r="G59" s="187" t="n">
        <f aca="false">SUMIFS(Horodateur11233538192231343743464952555861646985222634384650585462667074788290989410210611411811012212613013413814214615015415816216617017417818218619019419820220621021441014182226303438465054586266[Durée (100)],Horodateur11233538192231343743464952555861646985222634384650585462667074788290989410210611411811012212613013413814214615015415816216617017417818218619019419820220621021441014182226303438465054586266[Jour],$G$57,Horodateur11233538192231343743464952555861646985222634384650585462667074788290989410210611411811012212613013413814214615015415816216617017417818218619019419820220621021441014182226303438465054586266[Tâche],$A59)</f>
        <v>0</v>
      </c>
      <c r="H59" s="187" t="n">
        <f aca="false">SUMIFS(Horodateur11233538192231343743464952555861646985222634384650585462667074788290989410210611411811012212613013413814214615015415816216617017417818218619019419820220621021441014182226303438465054586266[Durée (100)],Horodateur11233538192231343743464952555861646985222634384650585462667074788290989410210611411811012212613013413814214615015415816216617017417818218619019419820220621021441014182226303438465054586266[Jour],$H$57,Horodateur11233538192231343743464952555861646985222634384650585462667074788290989410210611411811012212613013413814214615015415816216617017417818218619019419820220621021441014182226303438465054586266[Tâche],$A59)</f>
        <v>0</v>
      </c>
      <c r="I59" s="295" t="n">
        <f aca="false">SUM(Taches_Jour21325374018213033364245485154576063688421253337454957536165697377818997931011051131171091211251291331371411451491531571611651691731771811851891931972012052092133913172125293337454953576165[[#This Row],[1- Lundi]:[7- Dimanche]])</f>
        <v>1</v>
      </c>
      <c r="J59" s="271"/>
      <c r="K59" s="1"/>
      <c r="L59" s="1"/>
      <c r="M59" s="188"/>
      <c r="N59" s="272"/>
      <c r="O59" s="272"/>
      <c r="P59" s="187"/>
      <c r="Q59" s="1"/>
      <c r="R59" s="1"/>
      <c r="S59" s="1"/>
      <c r="T59" s="1"/>
      <c r="U59" s="1"/>
      <c r="V59" s="1"/>
      <c r="W59" s="71"/>
      <c r="X59" s="71"/>
      <c r="Y59" s="71"/>
      <c r="Z59" s="71"/>
      <c r="AA59" s="71"/>
      <c r="AB59" s="71"/>
      <c r="AC59" s="71"/>
      <c r="AD59" s="71"/>
      <c r="AE59" s="71"/>
      <c r="AF59" s="71"/>
      <c r="AG59" s="71"/>
      <c r="AH59" s="71"/>
      <c r="AI59" s="71"/>
    </row>
    <row r="60" customFormat="false" ht="15" hidden="true" customHeight="false" outlineLevel="1" collapsed="false">
      <c r="A60" s="137" t="s">
        <v>23</v>
      </c>
      <c r="B60" s="187" t="n">
        <f aca="false">SUMIFS(Horodateur11233538192231343743464952555861646985222634384650585462667074788290989410210611411811012212613013413814214615015415816216617017417818218619019419820220621021441014182226303438465054586266[Durée (100)],Horodateur11233538192231343743464952555861646985222634384650585462667074788290989410210611411811012212613013413814214615015415816216617017417818218619019419820220621021441014182226303438465054586266[Jour],$B$57,Horodateur11233538192231343743464952555861646985222634384650585462667074788290989410210611411811012212613013413814214615015415816216617017417818218619019419820220621021441014182226303438465054586266[Tâche],$A60)</f>
        <v>0</v>
      </c>
      <c r="C60" s="187" t="n">
        <f aca="false">SUMIFS(Horodateur11233538192231343743464952555861646985222634384650585462667074788290989410210611411811012212613013413814214615015415816216617017417818218619019419820220621021441014182226303438465054586266[Durée (100)],Horodateur11233538192231343743464952555861646985222634384650585462667074788290989410210611411811012212613013413814214615015415816216617017417818218619019419820220621021441014182226303438465054586266[Jour],$C$57,Horodateur11233538192231343743464952555861646985222634384650585462667074788290989410210611411811012212613013413814214615015415816216617017417818218619019419820220621021441014182226303438465054586266[Tâche],$A60)</f>
        <v>0</v>
      </c>
      <c r="D60" s="187" t="n">
        <f aca="false">SUMIFS(Horodateur11233538192231343743464952555861646985222634384650585462667074788290989410210611411811012212613013413814214615015415816216617017417818218619019419820220621021441014182226303438465054586266[Durée (100)],Horodateur11233538192231343743464952555861646985222634384650585462667074788290989410210611411811012212613013413814214615015415816216617017417818218619019419820220621021441014182226303438465054586266[Jour],$D$57,Horodateur11233538192231343743464952555861646985222634384650585462667074788290989410210611411811012212613013413814214615015415816216617017417818218619019419820220621021441014182226303438465054586266[Tâche],$A60)</f>
        <v>0</v>
      </c>
      <c r="E60" s="187" t="n">
        <f aca="false">SUMIFS(Horodateur11233538192231343743464952555861646985222634384650585462667074788290989410210611411811012212613013413814214615015415816216617017417818218619019419820220621021441014182226303438465054586266[Durée (100)],Horodateur11233538192231343743464952555861646985222634384650585462667074788290989410210611411811012212613013413814214615015415816216617017417818218619019419820220621021441014182226303438465054586266[Jour],$E$57,Horodateur11233538192231343743464952555861646985222634384650585462667074788290989410210611411811012212613013413814214615015415816216617017417818218619019419820220621021441014182226303438465054586266[Tâche],$A60)</f>
        <v>0</v>
      </c>
      <c r="F60" s="71" t="n">
        <f aca="false">SUMIFS(Horodateur11233538192231343743464952555861646985222634384650585462667074788290989410210611411811012212613013413814214615015415816216617017417818218619019419820220621021441014182226303438465054586266[Durée (100)],Horodateur11233538192231343743464952555861646985222634384650585462667074788290989410210611411811012212613013413814214615015415816216617017417818218619019419820220621021441014182226303438465054586266[Jour],$F$57,Horodateur11233538192231343743464952555861646985222634384650585462667074788290989410210611411811012212613013413814214615015415816216617017417818218619019419820220621021441014182226303438465054586266[Tâche],$A60)</f>
        <v>0</v>
      </c>
      <c r="G60" s="187" t="n">
        <f aca="false">SUMIFS(Horodateur11233538192231343743464952555861646985222634384650585462667074788290989410210611411811012212613013413814214615015415816216617017417818218619019419820220621021441014182226303438465054586266[Durée (100)],Horodateur11233538192231343743464952555861646985222634384650585462667074788290989410210611411811012212613013413814214615015415816216617017417818218619019419820220621021441014182226303438465054586266[Jour],$G$57,Horodateur11233538192231343743464952555861646985222634384650585462667074788290989410210611411811012212613013413814214615015415816216617017417818218619019419820220621021441014182226303438465054586266[Tâche],$A60)</f>
        <v>0</v>
      </c>
      <c r="H60" s="187" t="n">
        <f aca="false">SUMIFS(Horodateur11233538192231343743464952555861646985222634384650585462667074788290989410210611411811012212613013413814214615015415816216617017417818218619019419820220621021441014182226303438465054586266[Durée (100)],Horodateur11233538192231343743464952555861646985222634384650585462667074788290989410210611411811012212613013413814214615015415816216617017417818218619019419820220621021441014182226303438465054586266[Jour],$H$57,Horodateur11233538192231343743464952555861646985222634384650585462667074788290989410210611411811012212613013413814214615015415816216617017417818218619019419820220621021441014182226303438465054586266[Tâche],$A60)</f>
        <v>0</v>
      </c>
      <c r="I60" s="295" t="n">
        <f aca="false">SUM(Taches_Jour21325374018213033364245485154576063688421253337454957536165697377818997931011051131171091211251291331371411451491531571611651691731771811851891931972012052092133913172125293337454953576165[[#This Row],[1- Lundi]:[7- Dimanche]])</f>
        <v>0</v>
      </c>
      <c r="J60" s="271"/>
      <c r="K60" s="1"/>
      <c r="L60" s="1"/>
      <c r="M60" s="188"/>
      <c r="N60" s="272"/>
      <c r="O60" s="272"/>
      <c r="P60" s="187"/>
      <c r="Q60" s="1"/>
      <c r="R60" s="1"/>
      <c r="S60" s="1"/>
      <c r="T60" s="1"/>
      <c r="U60" s="1"/>
      <c r="V60" s="1"/>
      <c r="W60" s="71"/>
      <c r="X60" s="71"/>
      <c r="Y60" s="71"/>
      <c r="Z60" s="71"/>
      <c r="AA60" s="71"/>
      <c r="AB60" s="71"/>
      <c r="AC60" s="71"/>
      <c r="AD60" s="71"/>
      <c r="AE60" s="71"/>
      <c r="AF60" s="71"/>
      <c r="AG60" s="71"/>
      <c r="AH60" s="71"/>
      <c r="AI60" s="71"/>
    </row>
    <row r="61" customFormat="false" ht="15" hidden="true" customHeight="false" outlineLevel="1" collapsed="false">
      <c r="A61" s="137" t="s">
        <v>25</v>
      </c>
      <c r="B61" s="187" t="n">
        <f aca="false">SUMIFS(Horodateur11233538192231343743464952555861646985222634384650585462667074788290989410210611411811012212613013413814214615015415816216617017417818218619019419820220621021441014182226303438465054586266[Durée (100)],Horodateur11233538192231343743464952555861646985222634384650585462667074788290989410210611411811012212613013413814214615015415816216617017417818218619019419820220621021441014182226303438465054586266[Jour],$B$57,Horodateur11233538192231343743464952555861646985222634384650585462667074788290989410210611411811012212613013413814214615015415816216617017417818218619019419820220621021441014182226303438465054586266[Tâche],$A61)</f>
        <v>0</v>
      </c>
      <c r="C61" s="187" t="n">
        <f aca="false">SUMIFS(Horodateur11233538192231343743464952555861646985222634384650585462667074788290989410210611411811012212613013413814214615015415816216617017417818218619019419820220621021441014182226303438465054586266[Durée (100)],Horodateur11233538192231343743464952555861646985222634384650585462667074788290989410210611411811012212613013413814214615015415816216617017417818218619019419820220621021441014182226303438465054586266[Jour],$C$57,Horodateur11233538192231343743464952555861646985222634384650585462667074788290989410210611411811012212613013413814214615015415816216617017417818218619019419820220621021441014182226303438465054586266[Tâche],$A61)</f>
        <v>0</v>
      </c>
      <c r="D61" s="187" t="n">
        <f aca="false">SUMIFS(Horodateur11233538192231343743464952555861646985222634384650585462667074788290989410210611411811012212613013413814214615015415816216617017417818218619019419820220621021441014182226303438465054586266[Durée (100)],Horodateur11233538192231343743464952555861646985222634384650585462667074788290989410210611411811012212613013413814214615015415816216617017417818218619019419820220621021441014182226303438465054586266[Jour],$D$57,Horodateur11233538192231343743464952555861646985222634384650585462667074788290989410210611411811012212613013413814214615015415816216617017417818218619019419820220621021441014182226303438465054586266[Tâche],$A61)</f>
        <v>0</v>
      </c>
      <c r="E61" s="187" t="n">
        <f aca="false">SUMIFS(Horodateur11233538192231343743464952555861646985222634384650585462667074788290989410210611411811012212613013413814214615015415816216617017417818218619019419820220621021441014182226303438465054586266[Durée (100)],Horodateur11233538192231343743464952555861646985222634384650585462667074788290989410210611411811012212613013413814214615015415816216617017417818218619019419820220621021441014182226303438465054586266[Jour],$E$57,Horodateur11233538192231343743464952555861646985222634384650585462667074788290989410210611411811012212613013413814214615015415816216617017417818218619019419820220621021441014182226303438465054586266[Tâche],$A61)</f>
        <v>0</v>
      </c>
      <c r="F61" s="71" t="n">
        <f aca="false">SUMIFS(Horodateur11233538192231343743464952555861646985222634384650585462667074788290989410210611411811012212613013413814214615015415816216617017417818218619019419820220621021441014182226303438465054586266[Durée (100)],Horodateur11233538192231343743464952555861646985222634384650585462667074788290989410210611411811012212613013413814214615015415816216617017417818218619019419820220621021441014182226303438465054586266[Jour],$F$57,Horodateur11233538192231343743464952555861646985222634384650585462667074788290989410210611411811012212613013413814214615015415816216617017417818218619019419820220621021441014182226303438465054586266[Tâche],$A61)</f>
        <v>0</v>
      </c>
      <c r="G61" s="187" t="n">
        <f aca="false">SUMIFS(Horodateur11233538192231343743464952555861646985222634384650585462667074788290989410210611411811012212613013413814214615015415816216617017417818218619019419820220621021441014182226303438465054586266[Durée (100)],Horodateur11233538192231343743464952555861646985222634384650585462667074788290989410210611411811012212613013413814214615015415816216617017417818218619019419820220621021441014182226303438465054586266[Jour],$G$57,Horodateur11233538192231343743464952555861646985222634384650585462667074788290989410210611411811012212613013413814214615015415816216617017417818218619019419820220621021441014182226303438465054586266[Tâche],$A61)</f>
        <v>0</v>
      </c>
      <c r="H61" s="187" t="n">
        <f aca="false">SUMIFS(Horodateur11233538192231343743464952555861646985222634384650585462667074788290989410210611411811012212613013413814214615015415816216617017417818218619019419820220621021441014182226303438465054586266[Durée (100)],Horodateur11233538192231343743464952555861646985222634384650585462667074788290989410210611411811012212613013413814214615015415816216617017417818218619019419820220621021441014182226303438465054586266[Jour],$H$57,Horodateur11233538192231343743464952555861646985222634384650585462667074788290989410210611411811012212613013413814214615015415816216617017417818218619019419820220621021441014182226303438465054586266[Tâche],$A61)</f>
        <v>0</v>
      </c>
      <c r="I61" s="295" t="n">
        <f aca="false">SUM(Taches_Jour21325374018213033364245485154576063688421253337454957536165697377818997931011051131171091211251291331371411451491531571611651691731771811851891931972012052092133913172125293337454953576165[[#This Row],[1- Lundi]:[7- Dimanche]])</f>
        <v>0</v>
      </c>
      <c r="J61" s="271"/>
      <c r="K61" s="1"/>
      <c r="L61" s="1"/>
      <c r="M61" s="188"/>
      <c r="N61" s="272"/>
      <c r="O61" s="272"/>
      <c r="P61" s="187"/>
      <c r="Q61" s="1"/>
      <c r="R61" s="1"/>
      <c r="S61" s="1"/>
      <c r="T61" s="1"/>
      <c r="U61" s="1"/>
      <c r="V61" s="1"/>
      <c r="W61" s="71"/>
      <c r="X61" s="71"/>
      <c r="Y61" s="71"/>
      <c r="Z61" s="71"/>
      <c r="AA61" s="71"/>
      <c r="AB61" s="71"/>
      <c r="AC61" s="71"/>
      <c r="AD61" s="71"/>
      <c r="AE61" s="71"/>
      <c r="AF61" s="71"/>
      <c r="AG61" s="71"/>
      <c r="AH61" s="71"/>
      <c r="AI61" s="71"/>
    </row>
    <row r="62" customFormat="false" ht="15" hidden="true" customHeight="false" outlineLevel="1" collapsed="false">
      <c r="A62" s="137" t="s">
        <v>26</v>
      </c>
      <c r="B62" s="187" t="n">
        <f aca="false">SUMIFS(Horodateur11233538192231343743464952555861646985222634384650585462667074788290989410210611411811012212613013413814214615015415816216617017417818218619019419820220621021441014182226303438465054586266[Durée (100)],Horodateur11233538192231343743464952555861646985222634384650585462667074788290989410210611411811012212613013413814214615015415816216617017417818218619019419820220621021441014182226303438465054586266[Jour],$B$57,Horodateur11233538192231343743464952555861646985222634384650585462667074788290989410210611411811012212613013413814214615015415816216617017417818218619019419820220621021441014182226303438465054586266[Tâche],$A62)</f>
        <v>0</v>
      </c>
      <c r="C62" s="187" t="n">
        <f aca="false">SUMIFS(Horodateur11233538192231343743464952555861646985222634384650585462667074788290989410210611411811012212613013413814214615015415816216617017417818218619019419820220621021441014182226303438465054586266[Durée (100)],Horodateur11233538192231343743464952555861646985222634384650585462667074788290989410210611411811012212613013413814214615015415816216617017417818218619019419820220621021441014182226303438465054586266[Jour],$C$57,Horodateur11233538192231343743464952555861646985222634384650585462667074788290989410210611411811012212613013413814214615015415816216617017417818218619019419820220621021441014182226303438465054586266[Tâche],$A62)</f>
        <v>0</v>
      </c>
      <c r="D62" s="187" t="n">
        <f aca="false">SUMIFS(Horodateur11233538192231343743464952555861646985222634384650585462667074788290989410210611411811012212613013413814214615015415816216617017417818218619019419820220621021441014182226303438465054586266[Durée (100)],Horodateur11233538192231343743464952555861646985222634384650585462667074788290989410210611411811012212613013413814214615015415816216617017417818218619019419820220621021441014182226303438465054586266[Jour],$D$57,Horodateur11233538192231343743464952555861646985222634384650585462667074788290989410210611411811012212613013413814214615015415816216617017417818218619019419820220621021441014182226303438465054586266[Tâche],$A62)</f>
        <v>0</v>
      </c>
      <c r="E62" s="187" t="n">
        <f aca="false">SUMIFS(Horodateur11233538192231343743464952555861646985222634384650585462667074788290989410210611411811012212613013413814214615015415816216617017417818218619019419820220621021441014182226303438465054586266[Durée (100)],Horodateur11233538192231343743464952555861646985222634384650585462667074788290989410210611411811012212613013413814214615015415816216617017417818218619019419820220621021441014182226303438465054586266[Jour],$E$57,Horodateur11233538192231343743464952555861646985222634384650585462667074788290989410210611411811012212613013413814214615015415816216617017417818218619019419820220621021441014182226303438465054586266[Tâche],$A62)</f>
        <v>0</v>
      </c>
      <c r="F62" s="71" t="n">
        <f aca="false">SUMIFS(Horodateur11233538192231343743464952555861646985222634384650585462667074788290989410210611411811012212613013413814214615015415816216617017417818218619019419820220621021441014182226303438465054586266[Durée (100)],Horodateur11233538192231343743464952555861646985222634384650585462667074788290989410210611411811012212613013413814214615015415816216617017417818218619019419820220621021441014182226303438465054586266[Jour],$F$57,Horodateur11233538192231343743464952555861646985222634384650585462667074788290989410210611411811012212613013413814214615015415816216617017417818218619019419820220621021441014182226303438465054586266[Tâche],$A62)</f>
        <v>0</v>
      </c>
      <c r="G62" s="187" t="n">
        <f aca="false">SUMIFS(Horodateur11233538192231343743464952555861646985222634384650585462667074788290989410210611411811012212613013413814214615015415816216617017417818218619019419820220621021441014182226303438465054586266[Durée (100)],Horodateur11233538192231343743464952555861646985222634384650585462667074788290989410210611411811012212613013413814214615015415816216617017417818218619019419820220621021441014182226303438465054586266[Jour],$G$57,Horodateur11233538192231343743464952555861646985222634384650585462667074788290989410210611411811012212613013413814214615015415816216617017417818218619019419820220621021441014182226303438465054586266[Tâche],$A62)</f>
        <v>0</v>
      </c>
      <c r="H62" s="187" t="n">
        <f aca="false">SUMIFS(Horodateur11233538192231343743464952555861646985222634384650585462667074788290989410210611411811012212613013413814214615015415816216617017417818218619019419820220621021441014182226303438465054586266[Durée (100)],Horodateur11233538192231343743464952555861646985222634384650585462667074788290989410210611411811012212613013413814214615015415816216617017417818218619019419820220621021441014182226303438465054586266[Jour],$H$57,Horodateur11233538192231343743464952555861646985222634384650585462667074788290989410210611411811012212613013413814214615015415816216617017417818218619019419820220621021441014182226303438465054586266[Tâche],$A62)</f>
        <v>0</v>
      </c>
      <c r="I62" s="295" t="n">
        <f aca="false">SUM(Taches_Jour21325374018213033364245485154576063688421253337454957536165697377818997931011051131171091211251291331371411451491531571611651691731771811851891931972012052092133913172125293337454953576165[[#This Row],[1- Lundi]:[7- Dimanche]])</f>
        <v>0</v>
      </c>
      <c r="J62" s="271"/>
      <c r="K62" s="1"/>
      <c r="L62" s="1"/>
      <c r="M62" s="188"/>
      <c r="N62" s="272"/>
      <c r="O62" s="272"/>
      <c r="P62" s="187"/>
      <c r="Q62" s="1"/>
      <c r="R62" s="1"/>
      <c r="S62" s="1"/>
      <c r="T62" s="1"/>
      <c r="U62" s="1"/>
      <c r="V62" s="1"/>
      <c r="W62" s="71"/>
      <c r="X62" s="71"/>
      <c r="Y62" s="71"/>
      <c r="Z62" s="71"/>
      <c r="AA62" s="71"/>
      <c r="AB62" s="71"/>
      <c r="AC62" s="71"/>
      <c r="AD62" s="71"/>
      <c r="AE62" s="71"/>
      <c r="AF62" s="71"/>
      <c r="AG62" s="71"/>
      <c r="AH62" s="71"/>
      <c r="AI62" s="71"/>
    </row>
    <row r="63" customFormat="false" ht="15" hidden="true" customHeight="false" outlineLevel="1" collapsed="false">
      <c r="A63" s="137" t="s">
        <v>378</v>
      </c>
      <c r="B63" s="187" t="n">
        <f aca="false">SUMIFS(Horodateur11233538192231343743464952555861646985222634384650585462667074788290989410210611411811012212613013413814214615015415816216617017417818218619019419820220621021441014182226303438465054586266[Durée (100)],Horodateur11233538192231343743464952555861646985222634384650585462667074788290989410210611411811012212613013413814214615015415816216617017417818218619019419820220621021441014182226303438465054586266[Jour],$B$57,Horodateur11233538192231343743464952555861646985222634384650585462667074788290989410210611411811012212613013413814214615015415816216617017417818218619019419820220621021441014182226303438465054586266[Tâche],$A63)</f>
        <v>5.25</v>
      </c>
      <c r="C63" s="187" t="n">
        <f aca="false">SUMIFS(Horodateur11233538192231343743464952555861646985222634384650585462667074788290989410210611411811012212613013413814214615015415816216617017417818218619019419820220621021441014182226303438465054586266[Durée (100)],Horodateur11233538192231343743464952555861646985222634384650585462667074788290989410210611411811012212613013413814214615015415816216617017417818218619019419820220621021441014182226303438465054586266[Jour],$C$57,Horodateur11233538192231343743464952555861646985222634384650585462667074788290989410210611411811012212613013413814214615015415816216617017417818218619019419820220621021441014182226303438465054586266[Tâche],$A63)</f>
        <v>4.5</v>
      </c>
      <c r="D63" s="187" t="n">
        <f aca="false">SUMIFS(Horodateur11233538192231343743464952555861646985222634384650585462667074788290989410210611411811012212613013413814214615015415816216617017417818218619019419820220621021441014182226303438465054586266[Durée (100)],Horodateur11233538192231343743464952555861646985222634384650585462667074788290989410210611411811012212613013413814214615015415816216617017417818218619019419820220621021441014182226303438465054586266[Jour],$D$57,Horodateur11233538192231343743464952555861646985222634384650585462667074788290989410210611411811012212613013413814214615015415816216617017417818218619019419820220621021441014182226303438465054586266[Tâche],$A63)</f>
        <v>5.75</v>
      </c>
      <c r="E63" s="187" t="n">
        <f aca="false">SUMIFS(Horodateur11233538192231343743464952555861646985222634384650585462667074788290989410210611411811012212613013413814214615015415816216617017417818218619019419820220621021441014182226303438465054586266[Durée (100)],Horodateur11233538192231343743464952555861646985222634384650585462667074788290989410210611411811012212613013413814214615015415816216617017417818218619019419820220621021441014182226303438465054586266[Jour],$E$57,Horodateur11233538192231343743464952555861646985222634384650585462667074788290989410210611411811012212613013413814214615015415816216617017417818218619019419820220621021441014182226303438465054586266[Tâche],$A63)</f>
        <v>4.25</v>
      </c>
      <c r="F63" s="71" t="n">
        <f aca="false">SUMIFS(Horodateur11233538192231343743464952555861646985222634384650585462667074788290989410210611411811012212613013413814214615015415816216617017417818218619019419820220621021441014182226303438465054586266[Durée (100)],Horodateur11233538192231343743464952555861646985222634384650585462667074788290989410210611411811012212613013413814214615015415816216617017417818218619019419820220621021441014182226303438465054586266[Jour],$F$57,Horodateur11233538192231343743464952555861646985222634384650585462667074788290989410210611411811012212613013413814214615015415816216617017417818218619019419820220621021441014182226303438465054586266[Tâche],$A63)</f>
        <v>0</v>
      </c>
      <c r="G63" s="187" t="n">
        <f aca="false">SUMIFS(Horodateur11233538192231343743464952555861646985222634384650585462667074788290989410210611411811012212613013413814214615015415816216617017417818218619019419820220621021441014182226303438465054586266[Durée (100)],Horodateur11233538192231343743464952555861646985222634384650585462667074788290989410210611411811012212613013413814214615015415816216617017417818218619019419820220621021441014182226303438465054586266[Jour],$G$57,Horodateur11233538192231343743464952555861646985222634384650585462667074788290989410210611411811012212613013413814214615015415816216617017417818218619019419820220621021441014182226303438465054586266[Tâche],$A63)</f>
        <v>0</v>
      </c>
      <c r="H63" s="187" t="n">
        <f aca="false">SUMIFS(Horodateur11233538192231343743464952555861646985222634384650585462667074788290989410210611411811012212613013413814214615015415816216617017417818218619019419820220621021441014182226303438465054586266[Durée (100)],Horodateur11233538192231343743464952555861646985222634384650585462667074788290989410210611411811012212613013413814214615015415816216617017417818218619019419820220621021441014182226303438465054586266[Jour],$H$57,Horodateur11233538192231343743464952555861646985222634384650585462667074788290989410210611411811012212613013413814214615015415816216617017417818218619019419820220621021441014182226303438465054586266[Tâche],$A63)</f>
        <v>0</v>
      </c>
      <c r="I63" s="295" t="n">
        <f aca="false">SUM(Taches_Jour21325374018213033364245485154576063688421253337454957536165697377818997931011051131171091211251291331371411451491531571611651691731771811851891931972012052092133913172125293337454953576165[[#This Row],[1- Lundi]:[7- Dimanche]])</f>
        <v>19.75</v>
      </c>
      <c r="J63" s="271"/>
      <c r="K63" s="1"/>
      <c r="L63" s="1"/>
      <c r="M63" s="188"/>
      <c r="N63" s="272"/>
      <c r="O63" s="272"/>
      <c r="P63" s="187"/>
      <c r="Q63" s="1"/>
      <c r="R63" s="1"/>
      <c r="S63" s="1"/>
      <c r="T63" s="1"/>
      <c r="U63" s="1"/>
      <c r="V63" s="1"/>
      <c r="W63" s="71"/>
      <c r="X63" s="71"/>
      <c r="Y63" s="71"/>
      <c r="Z63" s="71"/>
      <c r="AA63" s="71"/>
      <c r="AB63" s="71"/>
      <c r="AC63" s="71"/>
      <c r="AD63" s="71"/>
      <c r="AE63" s="71"/>
      <c r="AF63" s="71"/>
      <c r="AG63" s="71"/>
      <c r="AH63" s="71"/>
      <c r="AI63" s="71"/>
    </row>
    <row r="64" customFormat="false" ht="15" hidden="true" customHeight="false" outlineLevel="1" collapsed="false">
      <c r="A64" s="137" t="s">
        <v>382</v>
      </c>
      <c r="B64" s="187" t="n">
        <f aca="false">SUMIFS(Horodateur11233538192231343743464952555861646985222634384650585462667074788290989410210611411811012212613013413814214615015415816216617017417818218619019419820220621021441014182226303438465054586266[Durée (100)],Horodateur11233538192231343743464952555861646985222634384650585462667074788290989410210611411811012212613013413814214615015415816216617017417818218619019419820220621021441014182226303438465054586266[Jour],$B$57,Horodateur11233538192231343743464952555861646985222634384650585462667074788290989410210611411811012212613013413814214615015415816216617017417818218619019419820220621021441014182226303438465054586266[Tâche],$A64)</f>
        <v>0</v>
      </c>
      <c r="C64" s="187" t="n">
        <f aca="false">SUMIFS(Horodateur11233538192231343743464952555861646985222634384650585462667074788290989410210611411811012212613013413814214615015415816216617017417818218619019419820220621021441014182226303438465054586266[Durée (100)],Horodateur11233538192231343743464952555861646985222634384650585462667074788290989410210611411811012212613013413814214615015415816216617017417818218619019419820220621021441014182226303438465054586266[Jour],$C$57,Horodateur11233538192231343743464952555861646985222634384650585462667074788290989410210611411811012212613013413814214615015415816216617017417818218619019419820220621021441014182226303438465054586266[Tâche],$A64)</f>
        <v>0</v>
      </c>
      <c r="D64" s="187" t="n">
        <f aca="false">SUMIFS(Horodateur11233538192231343743464952555861646985222634384650585462667074788290989410210611411811012212613013413814214615015415816216617017417818218619019419820220621021441014182226303438465054586266[Durée (100)],Horodateur11233538192231343743464952555861646985222634384650585462667074788290989410210611411811012212613013413814214615015415816216617017417818218619019419820220621021441014182226303438465054586266[Jour],$D$57,Horodateur11233538192231343743464952555861646985222634384650585462667074788290989410210611411811012212613013413814214615015415816216617017417818218619019419820220621021441014182226303438465054586266[Tâche],$A64)</f>
        <v>0</v>
      </c>
      <c r="E64" s="187" t="n">
        <f aca="false">SUMIFS(Horodateur11233538192231343743464952555861646985222634384650585462667074788290989410210611411811012212613013413814214615015415816216617017417818218619019419820220621021441014182226303438465054586266[Durée (100)],Horodateur11233538192231343743464952555861646985222634384650585462667074788290989410210611411811012212613013413814214615015415816216617017417818218619019419820220621021441014182226303438465054586266[Jour],$E$57,Horodateur11233538192231343743464952555861646985222634384650585462667074788290989410210611411811012212613013413814214615015415816216617017417818218619019419820220621021441014182226303438465054586266[Tâche],$A64)</f>
        <v>0</v>
      </c>
      <c r="F64" s="71" t="n">
        <f aca="false">SUMIFS(Horodateur11233538192231343743464952555861646985222634384650585462667074788290989410210611411811012212613013413814214615015415816216617017417818218619019419820220621021441014182226303438465054586266[Durée (100)],Horodateur11233538192231343743464952555861646985222634384650585462667074788290989410210611411811012212613013413814214615015415816216617017417818218619019419820220621021441014182226303438465054586266[Jour],$F$57,Horodateur11233538192231343743464952555861646985222634384650585462667074788290989410210611411811012212613013413814214615015415816216617017417818218619019419820220621021441014182226303438465054586266[Tâche],$A64)</f>
        <v>0</v>
      </c>
      <c r="G64" s="187" t="n">
        <f aca="false">SUMIFS(Horodateur11233538192231343743464952555861646985222634384650585462667074788290989410210611411811012212613013413814214615015415816216617017417818218619019419820220621021441014182226303438465054586266[Durée (100)],Horodateur11233538192231343743464952555861646985222634384650585462667074788290989410210611411811012212613013413814214615015415816216617017417818218619019419820220621021441014182226303438465054586266[Jour],$G$57,Horodateur11233538192231343743464952555861646985222634384650585462667074788290989410210611411811012212613013413814214615015415816216617017417818218619019419820220621021441014182226303438465054586266[Tâche],$A64)</f>
        <v>0</v>
      </c>
      <c r="H64" s="187" t="n">
        <f aca="false">SUMIFS(Horodateur11233538192231343743464952555861646985222634384650585462667074788290989410210611411811012212613013413814214615015415816216617017417818218619019419820220621021441014182226303438465054586266[Durée (100)],Horodateur11233538192231343743464952555861646985222634384650585462667074788290989410210611411811012212613013413814214615015415816216617017417818218619019419820220621021441014182226303438465054586266[Jour],$H$57,Horodateur11233538192231343743464952555861646985222634384650585462667074788290989410210611411811012212613013413814214615015415816216617017417818218619019419820220621021441014182226303438465054586266[Tâche],$A64)</f>
        <v>0</v>
      </c>
      <c r="I64" s="295" t="n">
        <f aca="false">SUM(Taches_Jour21325374018213033364245485154576063688421253337454957536165697377818997931011051131171091211251291331371411451491531571611651691731771811851891931972012052092133913172125293337454953576165[[#This Row],[1- Lundi]:[7- Dimanche]])</f>
        <v>0</v>
      </c>
      <c r="J64" s="271"/>
      <c r="K64" s="1"/>
      <c r="L64" s="1"/>
      <c r="M64" s="188"/>
      <c r="N64" s="272"/>
      <c r="O64" s="272"/>
      <c r="P64" s="187"/>
      <c r="Q64" s="1"/>
      <c r="R64" s="1"/>
      <c r="S64" s="1"/>
      <c r="T64" s="1"/>
      <c r="U64" s="1"/>
      <c r="V64" s="1"/>
      <c r="W64" s="71"/>
      <c r="X64" s="71"/>
      <c r="Y64" s="71"/>
      <c r="Z64" s="71"/>
      <c r="AA64" s="71"/>
      <c r="AB64" s="71"/>
      <c r="AC64" s="71"/>
      <c r="AD64" s="71"/>
      <c r="AE64" s="71"/>
      <c r="AF64" s="71"/>
      <c r="AG64" s="71"/>
      <c r="AH64" s="71"/>
      <c r="AI64" s="71"/>
    </row>
    <row r="65" customFormat="false" ht="15" hidden="true" customHeight="false" outlineLevel="1" collapsed="false">
      <c r="A65" s="137" t="s">
        <v>380</v>
      </c>
      <c r="B65" s="187" t="n">
        <f aca="false">SUMIFS(Horodateur11233538192231343743464952555861646985222634384650585462667074788290989410210611411811012212613013413814214615015415816216617017417818218619019419820220621021441014182226303438465054586266[Durée (100)],Horodateur11233538192231343743464952555861646985222634384650585462667074788290989410210611411811012212613013413814214615015415816216617017417818218619019419820220621021441014182226303438465054586266[Jour],$B$57,Horodateur11233538192231343743464952555861646985222634384650585462667074788290989410210611411811012212613013413814214615015415816216617017417818218619019419820220621021441014182226303438465054586266[Tâche],$A65)</f>
        <v>0</v>
      </c>
      <c r="C65" s="187" t="n">
        <f aca="false">SUMIFS(Horodateur11233538192231343743464952555861646985222634384650585462667074788290989410210611411811012212613013413814214615015415816216617017417818218619019419820220621021441014182226303438465054586266[Durée (100)],Horodateur11233538192231343743464952555861646985222634384650585462667074788290989410210611411811012212613013413814214615015415816216617017417818218619019419820220621021441014182226303438465054586266[Jour],$C$57,Horodateur11233538192231343743464952555861646985222634384650585462667074788290989410210611411811012212613013413814214615015415816216617017417818218619019419820220621021441014182226303438465054586266[Tâche],$A65)</f>
        <v>0</v>
      </c>
      <c r="D65" s="187" t="n">
        <f aca="false">SUMIFS(Horodateur11233538192231343743464952555861646985222634384650585462667074788290989410210611411811012212613013413814214615015415816216617017417818218619019419820220621021441014182226303438465054586266[Durée (100)],Horodateur11233538192231343743464952555861646985222634384650585462667074788290989410210611411811012212613013413814214615015415816216617017417818218619019419820220621021441014182226303438465054586266[Jour],$D$57,Horodateur11233538192231343743464952555861646985222634384650585462667074788290989410210611411811012212613013413814214615015415816216617017417818218619019419820220621021441014182226303438465054586266[Tâche],$A65)</f>
        <v>0</v>
      </c>
      <c r="E65" s="187" t="n">
        <f aca="false">SUMIFS(Horodateur11233538192231343743464952555861646985222634384650585462667074788290989410210611411811012212613013413814214615015415816216617017417818218619019419820220621021441014182226303438465054586266[Durée (100)],Horodateur11233538192231343743464952555861646985222634384650585462667074788290989410210611411811012212613013413814214615015415816216617017417818218619019419820220621021441014182226303438465054586266[Jour],$E$57,Horodateur11233538192231343743464952555861646985222634384650585462667074788290989410210611411811012212613013413814214615015415816216617017417818218619019419820220621021441014182226303438465054586266[Tâche],$A65)</f>
        <v>0</v>
      </c>
      <c r="F65" s="71" t="n">
        <f aca="false">SUMIFS(Horodateur11233538192231343743464952555861646985222634384650585462667074788290989410210611411811012212613013413814214615015415816216617017417818218619019419820220621021441014182226303438465054586266[Durée (100)],Horodateur11233538192231343743464952555861646985222634384650585462667074788290989410210611411811012212613013413814214615015415816216617017417818218619019419820220621021441014182226303438465054586266[Jour],$F$57,Horodateur11233538192231343743464952555861646985222634384650585462667074788290989410210611411811012212613013413814214615015415816216617017417818218619019419820220621021441014182226303438465054586266[Tâche],$A65)</f>
        <v>0</v>
      </c>
      <c r="G65" s="187" t="n">
        <f aca="false">SUMIFS(Horodateur11233538192231343743464952555861646985222634384650585462667074788290989410210611411811012212613013413814214615015415816216617017417818218619019419820220621021441014182226303438465054586266[Durée (100)],Horodateur11233538192231343743464952555861646985222634384650585462667074788290989410210611411811012212613013413814214615015415816216617017417818218619019419820220621021441014182226303438465054586266[Jour],$G$57,Horodateur11233538192231343743464952555861646985222634384650585462667074788290989410210611411811012212613013413814214615015415816216617017417818218619019419820220621021441014182226303438465054586266[Tâche],$A65)</f>
        <v>0</v>
      </c>
      <c r="H65" s="187" t="n">
        <f aca="false">SUMIFS(Horodateur11233538192231343743464952555861646985222634384650585462667074788290989410210611411811012212613013413814214615015415816216617017417818218619019419820220621021441014182226303438465054586266[Durée (100)],Horodateur11233538192231343743464952555861646985222634384650585462667074788290989410210611411811012212613013413814214615015415816216617017417818218619019419820220621021441014182226303438465054586266[Jour],$H$57,Horodateur11233538192231343743464952555861646985222634384650585462667074788290989410210611411811012212613013413814214615015415816216617017417818218619019419820220621021441014182226303438465054586266[Tâche],$A65)</f>
        <v>0</v>
      </c>
      <c r="I65" s="295" t="n">
        <f aca="false">SUM(Taches_Jour21325374018213033364245485154576063688421253337454957536165697377818997931011051131171091211251291331371411451491531571611651691731771811851891931972012052092133913172125293337454953576165[[#This Row],[1- Lundi]:[7- Dimanche]])</f>
        <v>0</v>
      </c>
      <c r="J65" s="271"/>
      <c r="K65" s="1"/>
      <c r="L65" s="1"/>
      <c r="M65" s="188"/>
      <c r="N65" s="272"/>
      <c r="O65" s="272"/>
      <c r="P65" s="76"/>
    </row>
    <row r="66" customFormat="false" ht="15" hidden="true" customHeight="false" outlineLevel="1" collapsed="false">
      <c r="P66" s="76"/>
    </row>
    <row r="67" customFormat="false" ht="15" hidden="false" customHeight="false" outlineLevel="1" collapsed="false">
      <c r="G67" s="0" t="s">
        <v>383</v>
      </c>
      <c r="P67" s="76"/>
    </row>
    <row r="68" customFormat="false" ht="15" hidden="false" customHeight="false" outlineLevel="0" collapsed="false">
      <c r="P68" s="76"/>
    </row>
    <row r="69" customFormat="false" ht="15" hidden="false" customHeight="false" outlineLevel="0" collapsed="false">
      <c r="G69" s="76"/>
      <c r="P69" s="76"/>
    </row>
    <row r="70" customFormat="false" ht="15" hidden="false" customHeight="false" outlineLevel="0" collapsed="false">
      <c r="P70" s="76"/>
    </row>
    <row r="71" customFormat="false" ht="15" hidden="false" customHeight="false" outlineLevel="0" collapsed="false">
      <c r="P71" s="76"/>
    </row>
    <row r="72" customFormat="false" ht="15" hidden="false" customHeight="false" outlineLevel="0" collapsed="false">
      <c r="P72" s="76"/>
    </row>
    <row r="73" customFormat="false" ht="15" hidden="false" customHeight="false" outlineLevel="0" collapsed="false">
      <c r="P73" s="76"/>
    </row>
    <row r="74" customFormat="false" ht="15" hidden="false" customHeight="false" outlineLevel="0" collapsed="false">
      <c r="P74" s="76"/>
    </row>
    <row r="75" customFormat="false" ht="15" hidden="false" customHeight="false" outlineLevel="0" collapsed="false">
      <c r="P75" s="76"/>
    </row>
    <row r="76" customFormat="false" ht="15" hidden="false" customHeight="false" outlineLevel="0" collapsed="false">
      <c r="P76" s="76"/>
    </row>
    <row r="77" customFormat="false" ht="15" hidden="false" customHeight="false" outlineLevel="0" collapsed="false">
      <c r="P77" s="76"/>
    </row>
    <row r="78" customFormat="false" ht="15" hidden="false" customHeight="false" outlineLevel="0" collapsed="false">
      <c r="P78" s="76"/>
    </row>
    <row r="79" customFormat="false" ht="15" hidden="false" customHeight="false" outlineLevel="0" collapsed="false">
      <c r="P79" s="76"/>
    </row>
    <row r="80" customFormat="false" ht="15" hidden="false" customHeight="false" outlineLevel="0" collapsed="false">
      <c r="P80" s="76"/>
    </row>
    <row r="81" customFormat="false" ht="15" hidden="false" customHeight="false" outlineLevel="0" collapsed="false">
      <c r="P81" s="76"/>
    </row>
    <row r="82" customFormat="false" ht="15" hidden="false" customHeight="false" outlineLevel="0" collapsed="false">
      <c r="P82" s="76"/>
    </row>
    <row r="83" customFormat="false" ht="15" hidden="false" customHeight="false" outlineLevel="0" collapsed="false">
      <c r="P83" s="76"/>
    </row>
    <row r="84" customFormat="false" ht="15" hidden="false" customHeight="false" outlineLevel="0" collapsed="false">
      <c r="P84" s="76"/>
    </row>
    <row r="85" customFormat="false" ht="15" hidden="false" customHeight="false" outlineLevel="0" collapsed="false">
      <c r="P85" s="76"/>
    </row>
    <row r="86" customFormat="false" ht="15" hidden="false" customHeight="false" outlineLevel="0" collapsed="false">
      <c r="P86" s="76"/>
    </row>
    <row r="87" customFormat="false" ht="15" hidden="false" customHeight="false" outlineLevel="0" collapsed="false">
      <c r="P87" s="76"/>
    </row>
    <row r="88" customFormat="false" ht="15" hidden="false" customHeight="false" outlineLevel="0" collapsed="false">
      <c r="P88" s="76"/>
    </row>
    <row r="89" customFormat="false" ht="15" hidden="false" customHeight="false" outlineLevel="0" collapsed="false">
      <c r="A89" s="296" t="s">
        <v>384</v>
      </c>
      <c r="B89" s="296"/>
      <c r="P89" s="76"/>
    </row>
    <row r="90" customFormat="false" ht="15" hidden="false" customHeight="false" outlineLevel="0" collapsed="false">
      <c r="A90" s="297" t="s">
        <v>385</v>
      </c>
      <c r="B90" s="297" t="s">
        <v>8</v>
      </c>
      <c r="P90" s="76"/>
    </row>
    <row r="91" customFormat="false" ht="15" hidden="false" customHeight="false" outlineLevel="0" collapsed="false">
      <c r="A91" s="298" t="n">
        <v>0</v>
      </c>
      <c r="B91" s="299" t="s">
        <v>386</v>
      </c>
      <c r="P91" s="76"/>
    </row>
    <row r="92" customFormat="false" ht="15" hidden="false" customHeight="false" outlineLevel="0" collapsed="false">
      <c r="A92" s="298" t="n">
        <v>-2</v>
      </c>
      <c r="B92" s="299" t="s">
        <v>387</v>
      </c>
      <c r="P92" s="76"/>
    </row>
    <row r="93" customFormat="false" ht="15" hidden="false" customHeight="false" outlineLevel="0" collapsed="false">
      <c r="A93" s="298" t="n">
        <v>8.5</v>
      </c>
      <c r="B93" s="299" t="s">
        <v>388</v>
      </c>
      <c r="P93" s="76"/>
    </row>
    <row r="94" customFormat="false" ht="15" hidden="false" customHeight="false" outlineLevel="0" collapsed="false">
      <c r="A94" s="298" t="n">
        <v>14.5</v>
      </c>
      <c r="B94" s="299" t="s">
        <v>389</v>
      </c>
      <c r="P94" s="76"/>
    </row>
    <row r="95" customFormat="false" ht="15" hidden="false" customHeight="false" outlineLevel="0" collapsed="false">
      <c r="A95" s="298" t="n">
        <v>8.5</v>
      </c>
      <c r="B95" s="299" t="s">
        <v>390</v>
      </c>
      <c r="P95" s="76"/>
    </row>
    <row r="96" customFormat="false" ht="15" hidden="false" customHeight="false" outlineLevel="0" collapsed="false">
      <c r="A96" s="298" t="n">
        <v>10</v>
      </c>
      <c r="B96" s="299" t="s">
        <v>391</v>
      </c>
      <c r="P96" s="76"/>
    </row>
    <row r="97" customFormat="false" ht="15" hidden="false" customHeight="false" outlineLevel="0" collapsed="false">
      <c r="A97" s="298" t="n">
        <v>-7.5</v>
      </c>
      <c r="B97" s="299" t="s">
        <v>392</v>
      </c>
      <c r="P97" s="76"/>
    </row>
    <row r="98" customFormat="false" ht="15" hidden="false" customHeight="false" outlineLevel="0" collapsed="false">
      <c r="A98" s="298" t="n">
        <v>2</v>
      </c>
      <c r="B98" s="299" t="s">
        <v>393</v>
      </c>
      <c r="P98" s="76"/>
    </row>
    <row r="99" customFormat="false" ht="15" hidden="false" customHeight="false" outlineLevel="0" collapsed="false">
      <c r="A99" s="300" t="n">
        <v>2</v>
      </c>
      <c r="B99" s="301" t="s">
        <v>394</v>
      </c>
      <c r="P99" s="76"/>
    </row>
    <row r="100" customFormat="false" ht="15" hidden="false" customHeight="false" outlineLevel="0" collapsed="false">
      <c r="A100" s="300" t="n">
        <v>2.25</v>
      </c>
      <c r="B100" s="301" t="s">
        <v>395</v>
      </c>
    </row>
    <row r="101" customFormat="false" ht="15" hidden="false" customHeight="false" outlineLevel="0" collapsed="false">
      <c r="A101" s="300" t="n">
        <v>-4</v>
      </c>
      <c r="B101" s="302" t="s">
        <v>396</v>
      </c>
    </row>
    <row r="102" customFormat="false" ht="15" hidden="false" customHeight="false" outlineLevel="0" collapsed="false">
      <c r="A102" s="300" t="n">
        <v>-7.5</v>
      </c>
      <c r="B102" s="301" t="s">
        <v>397</v>
      </c>
    </row>
  </sheetData>
  <mergeCells count="1">
    <mergeCell ref="A89:B89"/>
  </mergeCells>
  <conditionalFormatting sqref="G4:G41">
    <cfRule type="expression" priority="2" aboveAverage="0" equalAverage="0" bottom="0" percent="0" rank="0" text="" dxfId="722">
      <formula>M4="O"</formula>
    </cfRule>
    <cfRule type="expression" priority="3" aboveAverage="0" equalAverage="0" bottom="0" percent="0" rank="0" text="" dxfId="723">
      <formula>H4=0</formula>
    </cfRule>
  </conditionalFormatting>
  <conditionalFormatting sqref="F4:F41">
    <cfRule type="expression" priority="4" aboveAverage="0" equalAverage="0" bottom="0" percent="0" rank="0" text="" dxfId="724">
      <formula>M4="O"</formula>
    </cfRule>
  </conditionalFormatting>
  <conditionalFormatting sqref="E4:E41">
    <cfRule type="expression" priority="5" aboveAverage="0" equalAverage="0" bottom="0" percent="0" rank="0" text="" dxfId="725">
      <formula>M4="O"</formula>
    </cfRule>
  </conditionalFormatting>
  <conditionalFormatting sqref="C4:I41 K4:L41">
    <cfRule type="containsText" priority="6" operator="containsText" aboveAverage="0" equalAverage="0" bottom="0" percent="0" rank="0" text="Lundi" dxfId="693">
      <formula>NOT(ISERROR(SEARCH("Lundi",C4)))</formula>
    </cfRule>
  </conditionalFormatting>
  <conditionalFormatting sqref="D4:D41">
    <cfRule type="expression" priority="7" aboveAverage="0" equalAverage="0" bottom="0" percent="0" rank="0" text="" dxfId="726">
      <formula>M4="O"</formula>
    </cfRule>
  </conditionalFormatting>
  <conditionalFormatting sqref="C4:C41">
    <cfRule type="expression" priority="8" aboveAverage="0" equalAverage="0" bottom="0" percent="0" rank="0" text="" dxfId="727">
      <formula>M4="O"</formula>
    </cfRule>
  </conditionalFormatting>
  <conditionalFormatting sqref="K4:L41">
    <cfRule type="expression" priority="9" aboveAverage="0" equalAverage="0" bottom="0" percent="0" rank="0" text="" dxfId="728">
      <formula>M4="O"</formula>
    </cfRule>
  </conditionalFormatting>
  <conditionalFormatting sqref="I4:I41">
    <cfRule type="expression" priority="10" aboveAverage="0" equalAverage="0" bottom="0" percent="0" rank="0" text="" dxfId="729">
      <formula>M4="O"</formula>
    </cfRule>
  </conditionalFormatting>
  <conditionalFormatting sqref="H4:H41">
    <cfRule type="expression" priority="11" aboveAverage="0" equalAverage="0" bottom="0" percent="0" rank="0" text="" dxfId="730">
      <formula>M4="O"</formula>
    </cfRule>
  </conditionalFormatting>
  <conditionalFormatting sqref="F2:J2">
    <cfRule type="iconSet" priority="12">
      <iconSet iconSet="3TrafficLights1">
        <cfvo type="percent" val="0"/>
        <cfvo type="percent" val="33"/>
        <cfvo type="percent" val="67"/>
      </iconSet>
    </cfRule>
  </conditionalFormatting>
  <conditionalFormatting sqref="B4:B41">
    <cfRule type="containsText" priority="13" operator="containsText" aboveAverage="0" equalAverage="0" bottom="0" percent="0" rank="0" text="5" dxfId="731">
      <formula>NOT(ISERROR(SEARCH("5",B4)))</formula>
    </cfRule>
    <cfRule type="containsText" priority="14" operator="containsText" aboveAverage="0" equalAverage="0" bottom="0" percent="0" rank="0" text="4" dxfId="732">
      <formula>NOT(ISERROR(SEARCH("4",B4)))</formula>
    </cfRule>
    <cfRule type="containsText" priority="15" operator="containsText" aboveAverage="0" equalAverage="0" bottom="0" percent="0" rank="0" text="3" dxfId="733">
      <formula>NOT(ISERROR(SEARCH("3",B4)))</formula>
    </cfRule>
    <cfRule type="containsText" priority="16" operator="containsText" aboveAverage="0" equalAverage="0" bottom="0" percent="0" rank="0" text="2" dxfId="734">
      <formula>NOT(ISERROR(SEARCH("2",B4)))</formula>
    </cfRule>
    <cfRule type="containsText" priority="17" operator="containsText" aboveAverage="0" equalAverage="0" bottom="0" percent="0" rank="0" text="1" dxfId="735">
      <formula>NOT(ISERROR(SEARCH("1",B4)))</formula>
    </cfRule>
  </conditionalFormatting>
  <conditionalFormatting sqref="I58:I65">
    <cfRule type="dataBar" priority="18">
      <dataBar showValue="1" minLength="10" maxLength="90">
        <cfvo type="min" val="0"/>
        <cfvo type="max" val="0"/>
        <color rgb="FFFFB628"/>
      </dataBar>
      <extLst>
        <ext xmlns:x14="http://schemas.microsoft.com/office/spreadsheetml/2009/9/main" uri="{B025F937-C7B1-47D3-B67F-A62EFF666E3E}">
          <x14:id>{1EB36A44-C08E-4BF7-A5D1-60ACA6DF8B83}</x14:id>
        </ext>
      </extLst>
    </cfRule>
  </conditionalFormatting>
  <conditionalFormatting sqref="I54:I55 J49:J53">
    <cfRule type="dataBar" priority="19">
      <dataBar showValue="1" minLength="10" maxLength="90">
        <cfvo type="min" val="0"/>
        <cfvo type="max" val="0"/>
        <color rgb="FFFFB628"/>
      </dataBar>
      <extLst>
        <ext xmlns:x14="http://schemas.microsoft.com/office/spreadsheetml/2009/9/main" uri="{B025F937-C7B1-47D3-B67F-A62EFF666E3E}">
          <x14:id>{8C9D8D8B-ABBD-47A6-9F49-D47C39253F78}</x14:id>
        </ext>
      </extLst>
    </cfRule>
  </conditionalFormatting>
  <conditionalFormatting sqref="W2:AI2">
    <cfRule type="dataBar" priority="20">
      <dataBar showValue="1" minLength="10" maxLength="90">
        <cfvo type="min" val="0"/>
        <cfvo type="max" val="0"/>
        <color rgb="FF63C384"/>
      </dataBar>
      <extLst>
        <ext xmlns:x14="http://schemas.microsoft.com/office/spreadsheetml/2009/9/main" uri="{B025F937-C7B1-47D3-B67F-A62EFF666E3E}">
          <x14:id>{44D1339B-74E7-431C-8F31-3EC54760D3AD}</x14:id>
        </ext>
      </extLst>
    </cfRule>
  </conditionalFormatting>
  <conditionalFormatting sqref="P2:V2">
    <cfRule type="dataBar" priority="21">
      <dataBar showValue="1" minLength="10" maxLength="90">
        <cfvo type="min" val="0"/>
        <cfvo type="max" val="0"/>
        <color rgb="FFFFB628"/>
      </dataBar>
      <extLst>
        <ext xmlns:x14="http://schemas.microsoft.com/office/spreadsheetml/2009/9/main" uri="{B025F937-C7B1-47D3-B67F-A62EFF666E3E}">
          <x14:id>{E8B01E50-4D43-4C9F-9B1F-E57D5272F4D6}</x14:id>
        </ext>
      </extLst>
    </cfRule>
  </conditionalFormatting>
  <conditionalFormatting sqref="P2:AI2">
    <cfRule type="dataBar" priority="22">
      <dataBar showValue="1" minLength="10" maxLength="90">
        <cfvo type="min" val="0"/>
        <cfvo type="max" val="0"/>
        <color rgb="FFFFB628"/>
      </dataBar>
      <extLst>
        <ext xmlns:x14="http://schemas.microsoft.com/office/spreadsheetml/2009/9/main" uri="{B025F937-C7B1-47D3-B67F-A62EFF666E3E}">
          <x14:id>{15103594-53E5-4DAD-9855-CE123F3F55E4}</x14:id>
        </ext>
      </extLst>
    </cfRule>
  </conditionalFormatting>
  <conditionalFormatting sqref="P2:U2">
    <cfRule type="dataBar" priority="23">
      <dataBar showValue="1" minLength="10" maxLength="90">
        <cfvo type="min" val="0"/>
        <cfvo type="max" val="0"/>
        <color rgb="FF638EC6"/>
      </dataBar>
      <extLst>
        <ext xmlns:x14="http://schemas.microsoft.com/office/spreadsheetml/2009/9/main" uri="{B025F937-C7B1-47D3-B67F-A62EFF666E3E}">
          <x14:id>{80D05DD6-EA11-4FFF-889D-27BDACE85EEE}</x14:id>
        </ext>
      </extLst>
    </cfRule>
  </conditionalFormatting>
  <conditionalFormatting sqref="V2">
    <cfRule type="dataBar" priority="24">
      <dataBar showValue="1" minLength="10" maxLength="90">
        <cfvo type="min" val="0"/>
        <cfvo type="max" val="0"/>
        <color rgb="FF63C384"/>
      </dataBar>
      <extLst>
        <ext xmlns:x14="http://schemas.microsoft.com/office/spreadsheetml/2009/9/main" uri="{B025F937-C7B1-47D3-B67F-A62EFF666E3E}">
          <x14:id>{223355B9-122C-4B70-8270-6BAD3A9552F4}</x14:id>
        </ext>
      </extLst>
    </cfRule>
  </conditionalFormatting>
  <conditionalFormatting sqref="A4:A41">
    <cfRule type="colorScale" priority="25">
      <colorScale>
        <cfvo type="min" val="0"/>
        <cfvo type="percentile" val="50"/>
        <cfvo type="max" val="0"/>
        <color rgb="FFFFCC99"/>
        <color rgb="FFFFD966"/>
        <color rgb="FFFFF2CC"/>
      </colorScale>
    </cfRule>
  </conditionalFormatting>
  <conditionalFormatting sqref="J4:J41">
    <cfRule type="iconSet" priority="26">
      <iconSet iconSet="3TrafficLights1">
        <cfvo type="percent" val="0"/>
        <cfvo type="percent" val="33"/>
        <cfvo type="percent" val="67"/>
      </iconSet>
    </cfRule>
  </conditionalFormatting>
  <dataValidations count="4">
    <dataValidation allowBlank="true" errorStyle="stop" operator="between" showDropDown="false" showErrorMessage="true" showInputMessage="true" sqref="B1" type="list">
      <formula1>Data!$A$2:$A$106</formula1>
      <formula2>0</formula2>
    </dataValidation>
    <dataValidation allowBlank="true" errorStyle="information" errorTitle="OK ?" operator="between" showDropDown="false" showErrorMessage="true" showInputMessage="true" sqref="F4:F41" type="list">
      <formula1>Data!$D$2:$D$16</formula1>
      <formula2>0</formula2>
    </dataValidation>
    <dataValidation allowBlank="false" errorStyle="stop" operator="between" showDropDown="false" showErrorMessage="true" showInputMessage="true" sqref="E4:E41" type="list">
      <formula1>Data!$E$2:$E$30</formula1>
      <formula2>0</formula2>
    </dataValidation>
    <dataValidation allowBlank="true" errorStyle="stop" operator="between" showDropDown="false" showErrorMessage="true" showInputMessage="true" sqref="B4:B41" type="list">
      <formula1>Data!$C$2:$C$8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  <tableParts>
    <tablePart r:id="rId4"/>
    <tablePart r:id="rId5"/>
    <tablePart r:id="rId6"/>
    <tablePart r:id="rId7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EB36A44-C08E-4BF7-A5D1-60ACA6DF8B83}">
            <x14:dataBar minLength="10" maxLength="90" axisPosition="automatic" gradient="true">
              <x14:cfvo type="autoMin"/>
              <x14:cfvo type="autoMax"/>
              <x14:negativeFillColor rgb="FFFF0000"/>
              <x14:axisColor rgb="FF000000"/>
            </x14:dataBar>
          </x14:cfRule>
          <xm:sqref>I58:I65</xm:sqref>
        </x14:conditionalFormatting>
        <x14:conditionalFormatting xmlns:xm="http://schemas.microsoft.com/office/excel/2006/main">
          <x14:cfRule type="dataBar" id="{8C9D8D8B-ABBD-47A6-9F49-D47C39253F78}">
            <x14:dataBar minLength="10" maxLength="90" axisPosition="automatic" gradient="true">
              <x14:cfvo type="autoMin"/>
              <x14:cfvo type="autoMax"/>
              <x14:negativeFillColor rgb="FFFF0000"/>
              <x14:axisColor rgb="FF000000"/>
            </x14:dataBar>
          </x14:cfRule>
          <xm:sqref>I54:I55 J49:J53</xm:sqref>
        </x14:conditionalFormatting>
        <x14:conditionalFormatting xmlns:xm="http://schemas.microsoft.com/office/excel/2006/main">
          <x14:cfRule type="dataBar" id="{44D1339B-74E7-431C-8F31-3EC54760D3AD}">
            <x14:dataBar minLength="10" maxLength="90" axisPosition="automatic" gradient="true">
              <x14:cfvo type="autoMin"/>
              <x14:cfvo type="autoMax"/>
              <x14:negativeFillColor rgb="FFFF0000"/>
              <x14:axisColor rgb="FF000000"/>
            </x14:dataBar>
          </x14:cfRule>
          <xm:sqref>W2:AI2</xm:sqref>
        </x14:conditionalFormatting>
        <x14:conditionalFormatting xmlns:xm="http://schemas.microsoft.com/office/excel/2006/main">
          <x14:cfRule type="dataBar" id="{E8B01E50-4D43-4C9F-9B1F-E57D5272F4D6}">
            <x14:dataBar minLength="10" maxLength="90" axisPosition="automatic" gradient="true">
              <x14:cfvo type="autoMin"/>
              <x14:cfvo type="autoMax"/>
              <x14:negativeFillColor rgb="FFFF0000"/>
              <x14:axisColor rgb="FF000000"/>
            </x14:dataBar>
          </x14:cfRule>
          <xm:sqref>P2:V2</xm:sqref>
        </x14:conditionalFormatting>
        <x14:conditionalFormatting xmlns:xm="http://schemas.microsoft.com/office/excel/2006/main">
          <x14:cfRule type="dataBar" id="{15103594-53E5-4DAD-9855-CE123F3F55E4}">
            <x14:dataBar minLength="10" maxLength="90" axisPosition="automatic" gradient="false">
              <x14:cfvo type="autoMin"/>
              <x14:cfvo type="autoMax"/>
              <x14:negativeFillColor rgb="FFFF0000"/>
              <x14:axisColor rgb="FF000000"/>
            </x14:dataBar>
          </x14:cfRule>
          <xm:sqref>P2:AI2</xm:sqref>
        </x14:conditionalFormatting>
        <x14:conditionalFormatting xmlns:xm="http://schemas.microsoft.com/office/excel/2006/main">
          <x14:cfRule type="dataBar" id="{80D05DD6-EA11-4FFF-889D-27BDACE85EEE}">
            <x14:dataBar minLength="10" maxLength="90" axisPosition="automatic" gradient="false">
              <x14:cfvo type="autoMin"/>
              <x14:cfvo type="autoMax"/>
              <x14:negativeFillColor rgb="FFFF0000"/>
              <x14:axisColor rgb="FF000000"/>
            </x14:dataBar>
          </x14:cfRule>
          <xm:sqref>P2:U2</xm:sqref>
        </x14:conditionalFormatting>
        <x14:conditionalFormatting xmlns:xm="http://schemas.microsoft.com/office/excel/2006/main">
          <x14:cfRule type="dataBar" id="{223355B9-122C-4B70-8270-6BAD3A9552F4}">
            <x14:dataBar minLength="10" maxLength="90" axisPosition="automatic" gradient="false">
              <x14:cfvo type="autoMin"/>
              <x14:cfvo type="autoMax"/>
              <x14:negativeFillColor rgb="FFFF0000"/>
              <x14:axisColor rgb="FF000000"/>
            </x14:dataBar>
          </x14:cfRule>
          <xm:sqref>V2</xm:sqref>
        </x14:conditionalFormatting>
      </x14:conditionalFormatting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J8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G5" activeCellId="0" sqref="G5"/>
    </sheetView>
  </sheetViews>
  <sheetFormatPr defaultColWidth="8.6796875" defaultRowHeight="15" zeroHeight="false" outlineLevelRow="1" outlineLevelCol="1"/>
  <cols>
    <col collapsed="false" customWidth="true" hidden="false" outlineLevel="0" max="1" min="1" style="0" width="16.57"/>
    <col collapsed="false" customWidth="true" hidden="false" outlineLevel="0" max="2" min="2" style="0" width="17.71"/>
    <col collapsed="false" customWidth="true" hidden="false" outlineLevel="0" max="3" min="3" style="0" width="15.14"/>
    <col collapsed="false" customWidth="true" hidden="false" outlineLevel="0" max="4" min="4" style="0" width="10.57"/>
    <col collapsed="false" customWidth="true" hidden="false" outlineLevel="0" max="5" min="5" style="0" width="24.42"/>
    <col collapsed="false" customWidth="true" hidden="false" outlineLevel="0" max="6" min="6" style="0" width="21.57"/>
    <col collapsed="false" customWidth="true" hidden="false" outlineLevel="0" max="7" min="7" style="0" width="29.71"/>
    <col collapsed="false" customWidth="true" hidden="false" outlineLevel="0" max="8" min="8" style="0" width="13.29"/>
    <col collapsed="false" customWidth="true" hidden="false" outlineLevel="0" max="9" min="9" style="0" width="15"/>
    <col collapsed="false" customWidth="true" hidden="false" outlineLevel="0" max="10" min="10" style="0" width="14"/>
    <col collapsed="false" customWidth="true" hidden="false" outlineLevel="0" max="11" min="11" style="0" width="16.14"/>
    <col collapsed="false" customWidth="true" hidden="false" outlineLevel="0" max="12" min="12" style="0" width="1.57"/>
    <col collapsed="false" customWidth="true" hidden="false" outlineLevel="0" max="13" min="13" style="0" width="7.71"/>
    <col collapsed="false" customWidth="true" hidden="false" outlineLevel="0" max="14" min="14" style="224" width="9.86"/>
    <col collapsed="false" customWidth="true" hidden="false" outlineLevel="0" max="15" min="15" style="224" width="27.15"/>
    <col collapsed="false" customWidth="true" hidden="false" outlineLevel="1" max="16" min="16" style="0" width="10.29"/>
    <col collapsed="false" customWidth="true" hidden="false" outlineLevel="1" max="17" min="17" style="0" width="9.57"/>
    <col collapsed="false" customWidth="true" hidden="false" outlineLevel="1" max="18" min="18" style="0" width="8.57"/>
    <col collapsed="false" customWidth="true" hidden="false" outlineLevel="1" max="20" min="19" style="0" width="7.29"/>
    <col collapsed="false" customWidth="true" hidden="false" outlineLevel="1" max="21" min="21" style="0" width="8.57"/>
    <col collapsed="false" customWidth="true" hidden="false" outlineLevel="1" max="22" min="22" style="0" width="7.71"/>
    <col collapsed="false" customWidth="true" hidden="false" outlineLevel="1" max="23" min="23" style="0" width="12"/>
    <col collapsed="false" customWidth="true" hidden="false" outlineLevel="1" max="24" min="24" style="0" width="10.14"/>
    <col collapsed="false" customWidth="true" hidden="false" outlineLevel="1" max="25" min="25" style="0" width="11.71"/>
    <col collapsed="false" customWidth="true" hidden="false" outlineLevel="1" max="26" min="26" style="0" width="12.71"/>
    <col collapsed="false" customWidth="true" hidden="false" outlineLevel="1" max="27" min="27" style="0" width="8.57"/>
    <col collapsed="false" customWidth="true" hidden="false" outlineLevel="1" max="28" min="28" style="0" width="7.29"/>
    <col collapsed="false" customWidth="true" hidden="false" outlineLevel="1" max="29" min="29" style="0" width="9.71"/>
    <col collapsed="false" customWidth="true" hidden="false" outlineLevel="1" max="30" min="30" style="0" width="11.43"/>
    <col collapsed="false" customWidth="true" hidden="false" outlineLevel="1" max="31" min="31" style="0" width="10"/>
    <col collapsed="false" customWidth="true" hidden="false" outlineLevel="1" max="32" min="32" style="0" width="9.86"/>
    <col collapsed="false" customWidth="true" hidden="false" outlineLevel="1" max="33" min="33" style="0" width="7.86"/>
    <col collapsed="false" customWidth="true" hidden="false" outlineLevel="1" max="34" min="34" style="0" width="18.71"/>
    <col collapsed="false" customWidth="true" hidden="false" outlineLevel="1" max="35" min="35" style="0" width="27.15"/>
    <col collapsed="false" customWidth="true" hidden="false" outlineLevel="1" max="36" min="36" style="0" width="5.42"/>
  </cols>
  <sheetData>
    <row r="1" customFormat="false" ht="22.05" hidden="false" customHeight="false" outlineLevel="0" collapsed="false">
      <c r="A1" s="225" t="str">
        <f aca="false">"Semaine du " &amp; Data!D41</f>
        <v>Semaine du </v>
      </c>
      <c r="B1" s="226" t="n">
        <v>44305</v>
      </c>
      <c r="C1" s="227"/>
      <c r="D1" s="321" t="s">
        <v>361</v>
      </c>
      <c r="E1" s="322" t="n">
        <f aca="false">AVERAGE(F2:J2)</f>
        <v>6.95</v>
      </c>
      <c r="F1" s="323" t="s">
        <v>0</v>
      </c>
      <c r="G1" s="324" t="s">
        <v>1</v>
      </c>
      <c r="H1" s="324" t="s">
        <v>2</v>
      </c>
      <c r="I1" s="324" t="s">
        <v>3</v>
      </c>
      <c r="J1" s="324" t="s">
        <v>4</v>
      </c>
      <c r="K1" s="325" t="s">
        <v>401</v>
      </c>
      <c r="L1" s="326"/>
      <c r="M1" s="234" t="n">
        <f aca="false">COUNTIF(Horodateur112335381922313437434649525558616469852226343846505854626670747882909894102106114118110122126130134138142146150154158162166170174178182186190194198202206210214410141822263034384650545862[O],"o")+ COUNTIF(Horodateur112335381922313437434649525558616469852226343846505854626670747882909894102106114118110122126130134138142146150154158162166170174178182186190194198202206210214410141822263034384650545862[O],".")</f>
        <v>23</v>
      </c>
      <c r="N1" s="128" t="n">
        <f aca="false">B2</f>
        <v>34.75</v>
      </c>
      <c r="O1" s="128" t="n">
        <f aca="false">SUM(Horodateur112335381922313437434649525558616469852226343846505854626670747882909894102106114118110122126130134138142146150154158162166170174178182186190194198202206210214410141822263034384650545862[%])</f>
        <v>0</v>
      </c>
      <c r="P1" s="131" t="s">
        <v>21</v>
      </c>
      <c r="Q1" s="130" t="s">
        <v>20</v>
      </c>
      <c r="R1" s="130" t="s">
        <v>23</v>
      </c>
      <c r="S1" s="130" t="s">
        <v>25</v>
      </c>
      <c r="T1" s="130" t="s">
        <v>26</v>
      </c>
      <c r="U1" s="130" t="s">
        <v>378</v>
      </c>
      <c r="V1" s="130" t="s">
        <v>380</v>
      </c>
      <c r="W1" s="136" t="s">
        <v>32</v>
      </c>
      <c r="X1" s="136" t="s">
        <v>69</v>
      </c>
      <c r="Y1" s="136" t="s">
        <v>66</v>
      </c>
      <c r="Z1" s="136" t="s">
        <v>47</v>
      </c>
      <c r="AA1" s="136" t="s">
        <v>68</v>
      </c>
      <c r="AB1" s="136" t="s">
        <v>41</v>
      </c>
      <c r="AC1" s="136" t="s">
        <v>61</v>
      </c>
      <c r="AD1" s="136" t="s">
        <v>74</v>
      </c>
      <c r="AE1" s="136" t="s">
        <v>37</v>
      </c>
      <c r="AF1" s="136" t="s">
        <v>77</v>
      </c>
      <c r="AG1" s="136" t="s">
        <v>45</v>
      </c>
      <c r="AH1" s="136" t="s">
        <v>78</v>
      </c>
      <c r="AI1" s="136" t="s">
        <v>79</v>
      </c>
      <c r="AJ1" s="87" t="str">
        <f aca="false">SUM(N4:N26) &amp; " / " &amp; B2-SUM(N4:N26)</f>
        <v>34.75 / 0</v>
      </c>
    </row>
    <row r="2" customFormat="false" ht="22.05" hidden="false" customHeight="false" outlineLevel="0" collapsed="false">
      <c r="A2" s="327" t="n">
        <f aca="false">SUM(Horodateur112335381922313437434649525558616469852226343846505854626670747882909894102106114118110122126130134138142146150154158162166170174178182186190194198202206210214410141822263034384650545862[Durée (60)])</f>
        <v>1.44791666666667</v>
      </c>
      <c r="B2" s="328" t="n">
        <f aca="false">SUM(Horodateur112335381922313437434649525558616469852226343846505854626670747882909894102106114118110122126130134138142146150154158162166170174178182186190194198202206210214410141822263034384650545862[Durée (100)])</f>
        <v>34.75</v>
      </c>
      <c r="C2" s="237" t="str">
        <f aca="false">N2</f>
        <v>34.75 / 0</v>
      </c>
      <c r="D2" s="238"/>
      <c r="E2" s="239"/>
      <c r="F2" s="329" t="n">
        <f aca="false">SUMIF(Horodateur112335381922313437434649525558616469852226343846505854626670747882909894102106114118110122126130134138142146150154158162166170174178182186190194198202206210214410141822263034384650545862[Jour],"1- Lundi",Horodateur112335381922313437434649525558616469852226343846505854626670747882909894102106114118110122126130134138142146150154158162166170174178182186190194198202206210214410141822263034384650545862[Durée (100)])</f>
        <v>8</v>
      </c>
      <c r="G2" s="330" t="n">
        <f aca="false">SUMIF(Horodateur112335381922313437434649525558616469852226343846505854626670747882909894102106114118110122126130134138142146150154158162166170174178182186190194198202206210214410141822263034384650545862[Jour],"2- Mardi",Horodateur112335381922313437434649525558616469852226343846505854626670747882909894102106114118110122126130134138142146150154158162166170174178182186190194198202206210214410141822263034384650545862[Durée (100)])</f>
        <v>7</v>
      </c>
      <c r="H2" s="330" t="n">
        <f aca="false">SUMIF(Horodateur112335381922313437434649525558616469852226343846505854626670747882909894102106114118110122126130134138142146150154158162166170174178182186190194198202206210214410141822263034384650545862[Jour],"3- Mercredi",Horodateur112335381922313437434649525558616469852226343846505854626670747882909894102106114118110122126130134138142146150154158162166170174178182186190194198202206210214410141822263034384650545862[Durée (100)])</f>
        <v>6.75</v>
      </c>
      <c r="I2" s="330" t="n">
        <f aca="false">SUMIF(Horodateur112335381922313437434649525558616469852226343846505854626670747882909894102106114118110122126130134138142146150154158162166170174178182186190194198202206210214410141822263034384650545862[Jour],"4- Jeudi",Horodateur112335381922313437434649525558616469852226343846505854626670747882909894102106114118110122126130134138142146150154158162166170174178182186190194198202206210214410141822263034384650545862[Durée (100)])</f>
        <v>5</v>
      </c>
      <c r="J2" s="330" t="n">
        <f aca="false">SUMIF(Horodateur112335381922313437434649525558616469852226343846505854626670747882909894102106114118110122126130134138142146150154158162166170174178182186190194198202206210214410141822263034384650545862[Jour],"5- Vendredi",Horodateur112335381922313437434649525558616469852226343846505854626670747882909894102106114118110122126130134138142146150154158162166170174178182186190194198202206210214410141822263034384650545862[Durée (100)])</f>
        <v>8</v>
      </c>
      <c r="K2" s="331" t="str">
        <f aca="false">ROUND(SUMIF(Horodateur112335381922313437434649525558616469852226343846505854626670747882909894102106114118110122126130134138142146150154158162166170174178182186190194198202206210214410141822263034384650545862[Jour],"6- Samedi",Horodateur112335381922313437434649525558616469852226343846505854626670747882909894102106114118110122126130134138142146150154158162166170174178182186190194198202206210214410141822263034384650545862[Durée (100)]),2) &amp;  "   /    " &amp;  ROUND(SUMIF(Horodateur112335381922313437434649525558616469852226343846505854626670747882909894102106114118110122126130134138142146150154158162166170174178182186190194198202206210214410141822263034384650545862[Jour],"7- Dimanche",Horodateur112335381922313437434649525558616469852226343846505854626670747882909894102106114118110122126130134138142146150154158162166170174178182186190194198202206210214410141822263034384650545862[Durée (100)]),2)</f>
        <v>0   /    0</v>
      </c>
      <c r="L2" s="332"/>
      <c r="M2" s="244" t="str">
        <f aca="false">COUNTIF(Horodateur112335381922313437434649525558616469852226343846505854626670747882909894102106114118110122126130134138142146150154158162166170174178182186190194198202206210214410141822263034384650545862[O],"o")&amp;" / " &amp;  COUNTIF(Horodateur112335381922313437434649525558616469852226343846505854626670747882909894102106114118110122126130134138142146150154158162166170174178182186190194198202206210214410141822263034384650545862[O],".")</f>
        <v>23 / 0</v>
      </c>
      <c r="N2" s="143" t="str">
        <f aca="false">SUM(N4:N26) &amp; " / " &amp; B2-SUM(N4:N26)</f>
        <v>34.75 / 0</v>
      </c>
      <c r="O2" s="334" t="str">
        <f aca="false">O1/B2*100 &amp; "%"</f>
        <v>0%</v>
      </c>
      <c r="P2" s="248" t="n">
        <f aca="false">SUMIF(Horodateur112335381922313437434649525558616469852226343846505854626670747882909894102106114118110122126130134138142146150154158162166170174178182186190194198202206210214410141822263034384650545862[Tâche],P$1,Horodateur112335381922313437434649525558616469852226343846505854626670747882909894102106114118110122126130134138142146150154158162166170174178182186190194198202206210214410141822263034384650545862[Durée (100)])</f>
        <v>0.999999999999999</v>
      </c>
      <c r="Q2" s="247" t="n">
        <f aca="false">SUMIF(Horodateur112335381922313437434649525558616469852226343846505854626670747882909894102106114118110122126130134138142146150154158162166170174178182186190194198202206210214410141822263034384650545862[Tâche],Q$1,Horodateur112335381922313437434649525558616469852226343846505854626670747882909894102106114118110122126130134138142146150154158162166170174178182186190194198202206210214410141822263034384650545862[Durée (100)])</f>
        <v>0.999999999999999</v>
      </c>
      <c r="R2" s="247" t="n">
        <f aca="false">SUMIF(Horodateur112335381922313437434649525558616469852226343846505854626670747882909894102106114118110122126130134138142146150154158162166170174178182186190194198202206210214410141822263034384650545862[Tâche],R$1,Horodateur112335381922313437434649525558616469852226343846505854626670747882909894102106114118110122126130134138142146150154158162166170174178182186190194198202206210214410141822263034384650545862[Durée (100)])</f>
        <v>0</v>
      </c>
      <c r="S2" s="247" t="n">
        <f aca="false">SUMIF(Horodateur112335381922313437434649525558616469852226343846505854626670747882909894102106114118110122126130134138142146150154158162166170174178182186190194198202206210214410141822263034384650545862[Tâche],S$1,Horodateur112335381922313437434649525558616469852226343846505854626670747882909894102106114118110122126130134138142146150154158162166170174178182186190194198202206210214410141822263034384650545862[Durée (100)])</f>
        <v>0</v>
      </c>
      <c r="T2" s="247" t="n">
        <f aca="false">SUMIF(Horodateur112335381922313437434649525558616469852226343846505854626670747882909894102106114118110122126130134138142146150154158162166170174178182186190194198202206210214410141822263034384650545862[Tâche],T$1,Horodateur112335381922313437434649525558616469852226343846505854626670747882909894102106114118110122126130134138142146150154158162166170174178182186190194198202206210214410141822263034384650545862[Durée (100)])</f>
        <v>6</v>
      </c>
      <c r="U2" s="247" t="n">
        <f aca="false">SUMIF(Horodateur112335381922313437434649525558616469852226343846505854626670747882909894102106114118110122126130134138142146150154158162166170174178182186190194198202206210214410141822263034384650545862[Tâche],U$1,Horodateur112335381922313437434649525558616469852226343846505854626670747882909894102106114118110122126130134138142146150154158162166170174178182186190194198202206210214410141822263034384650545862[Durée (100)])</f>
        <v>12</v>
      </c>
      <c r="V2" s="247" t="n">
        <f aca="false">SUMIF(Horodateur112335381922313437434649525558616469852226343846505854626670747882909894102106114118110122126130134138142146150154158162166170174178182186190194198202206210214410141822263034384650545862[Tâche],V$1,Horodateur112335381922313437434649525558616469852226343846505854626670747882909894102106114118110122126130134138142146150154158162166170174178182186190194198202206210214410141822263034384650545862[Durée (100)])</f>
        <v>0</v>
      </c>
      <c r="W2" s="151" t="n">
        <f aca="false">SUMIF(Horodateur112335381922313437434649525558616469852226343846505854626670747882909894102106114118110122126130134138142146150154158162166170174178182186190194198202206210214410141822263034384650545862[Client],W$1,Horodateur112335381922313437434649525558616469852226343846505854626670747882909894102106114118110122126130134138142146150154158162166170174178182186190194198202206210214410141822263034384650545862[Durée (100)])</f>
        <v>18.25</v>
      </c>
      <c r="X2" s="151" t="n">
        <f aca="false">SUMIF(Horodateur112335381922313437434649525558616469852226343846505854626670747882909894102106114118110122126130134138142146150154158162166170174178182186190194198202206210214410141822263034384650545862[Client],X$1,Horodateur112335381922313437434649525558616469852226343846505854626670747882909894102106114118110122126130134138142146150154158162166170174178182186190194198202206210214410141822263034384650545862[Durée (100)])</f>
        <v>0</v>
      </c>
      <c r="Y2" s="151" t="n">
        <f aca="false">SUMIF(Horodateur112335381922313437434649525558616469852226343846505854626670747882909894102106114118110122126130134138142146150154158162166170174178182186190194198202206210214410141822263034384650545862[Client],Y$1,Horodateur112335381922313437434649525558616469852226343846505854626670747882909894102106114118110122126130134138142146150154158162166170174178182186190194198202206210214410141822263034384650545862[Durée (100)])</f>
        <v>0</v>
      </c>
      <c r="Z2" s="151" t="n">
        <f aca="false">SUMIF(Horodateur112335381922313437434649525558616469852226343846505854626670747882909894102106114118110122126130134138142146150154158162166170174178182186190194198202206210214410141822263034384650545862[Client],Z$1,Horodateur112335381922313437434649525558616469852226343846505854626670747882909894102106114118110122126130134138142146150154158162166170174178182186190194198202206210214410141822263034384650545862[Durée (100)])</f>
        <v>0</v>
      </c>
      <c r="AA2" s="151" t="n">
        <f aca="false">SUMIF(Horodateur112335381922313437434649525558616469852226343846505854626670747882909894102106114118110122126130134138142146150154158162166170174178182186190194198202206210214410141822263034384650545862[Client],AA$1,Horodateur112335381922313437434649525558616469852226343846505854626670747882909894102106114118110122126130134138142146150154158162166170174178182186190194198202206210214410141822263034384650545862[Durée (100)])</f>
        <v>0</v>
      </c>
      <c r="AB2" s="151" t="n">
        <f aca="false">SUMIF(Horodateur112335381922313437434649525558616469852226343846505854626670747882909894102106114118110122126130134138142146150154158162166170174178182186190194198202206210214410141822263034384650545862[Client],AB$1,Horodateur112335381922313437434649525558616469852226343846505854626670747882909894102106114118110122126130134138142146150154158162166170174178182186190194198202206210214410141822263034384650545862[Durée (100)])</f>
        <v>0</v>
      </c>
      <c r="AC2" s="151" t="n">
        <f aca="false">SUMIF(Horodateur112335381922313437434649525558616469852226343846505854626670747882909894102106114118110122126130134138142146150154158162166170174178182186190194198202206210214410141822263034384650545862[Client],AC$1,Horodateur112335381922313437434649525558616469852226343846505854626670747882909894102106114118110122126130134138142146150154158162166170174178182186190194198202206210214410141822263034384650545862[Durée (100)])</f>
        <v>0.25</v>
      </c>
      <c r="AD2" s="151" t="n">
        <f aca="false">SUMIF(Horodateur112335381922313437434649525558616469852226343846505854626670747882909894102106114118110122126130134138142146150154158162166170174178182186190194198202206210214410141822263034384650545862[Client],AD$1,Horodateur112335381922313437434649525558616469852226343846505854626670747882909894102106114118110122126130134138142146150154158162166170174178182186190194198202206210214410141822263034384650545862[Durée (100)])</f>
        <v>0</v>
      </c>
      <c r="AE2" s="151" t="n">
        <f aca="false">SUMIF(Horodateur112335381922313437434649525558616469852226343846505854626670747882909894102106114118110122126130134138142146150154158162166170174178182186190194198202206210214410141822263034384650545862[Client],AE$1,Horodateur112335381922313437434649525558616469852226343846505854626670747882909894102106114118110122126130134138142146150154158162166170174178182186190194198202206210214410141822263034384650545862[Durée (100)])</f>
        <v>0</v>
      </c>
      <c r="AF2" s="151" t="n">
        <f aca="false">SUMIF(Horodateur112335381922313437434649525558616469852226343846505854626670747882909894102106114118110122126130134138142146150154158162166170174178182186190194198202206210214410141822263034384650545862[Client],AF$1,Horodateur112335381922313437434649525558616469852226343846505854626670747882909894102106114118110122126130134138142146150154158162166170174178182186190194198202206210214410141822263034384650545862[Durée (100)])</f>
        <v>0</v>
      </c>
      <c r="AG2" s="151" t="n">
        <f aca="false">SUMIF(Horodateur112335381922313437434649525558616469852226343846505854626670747882909894102106114118110122126130134138142146150154158162166170174178182186190194198202206210214410141822263034384650545862[Client],AG$1,Horodateur112335381922313437434649525558616469852226343846505854626670747882909894102106114118110122126130134138142146150154158162166170174178182186190194198202206210214410141822263034384650545862[Durée (100)])</f>
        <v>0</v>
      </c>
      <c r="AH2" s="151" t="n">
        <f aca="false">SUMIF(Horodateur112335381922313437434649525558616469852226343846505854626670747882909894102106114118110122126130134138142146150154158162166170174178182186190194198202206210214410141822263034384650545862[Client],AH$1,Horodateur112335381922313437434649525558616469852226343846505854626670747882909894102106114118110122126130134138142146150154158162166170174178182186190194198202206210214410141822263034384650545862[Durée (100)])</f>
        <v>0</v>
      </c>
      <c r="AI2" s="151" t="n">
        <f aca="false">SUMIF(Horodateur112335381922313437434649525558616469852226343846505854626670747882909894102106114118110122126130134138142146150154158162166170174178182186190194198202206210214410141822263034384650545862[Client],AI$1,Horodateur112335381922313437434649525558616469852226343846505854626670747882909894102106114118110122126130134138142146150154158162166170174178182186190194198202206210214410141822263034384650545862[Durée (100)])</f>
        <v>0</v>
      </c>
    </row>
    <row r="3" s="137" customFormat="true" ht="15" hidden="false" customHeight="false" outlineLevel="0" collapsed="false">
      <c r="A3" s="249" t="s">
        <v>8</v>
      </c>
      <c r="B3" s="249" t="s">
        <v>9</v>
      </c>
      <c r="C3" s="193" t="s">
        <v>10</v>
      </c>
      <c r="D3" s="193" t="s">
        <v>11</v>
      </c>
      <c r="E3" s="250" t="s">
        <v>12</v>
      </c>
      <c r="F3" s="250" t="s">
        <v>13</v>
      </c>
      <c r="G3" s="250" t="s">
        <v>14</v>
      </c>
      <c r="H3" s="193" t="s">
        <v>302</v>
      </c>
      <c r="I3" s="252" t="s">
        <v>364</v>
      </c>
      <c r="J3" s="253" t="s">
        <v>365</v>
      </c>
      <c r="K3" s="250" t="s">
        <v>402</v>
      </c>
      <c r="L3" s="194" t="s">
        <v>403</v>
      </c>
      <c r="M3" s="255" t="s">
        <v>7</v>
      </c>
      <c r="N3" s="254" t="s">
        <v>29</v>
      </c>
      <c r="O3" s="254" t="s">
        <v>18</v>
      </c>
      <c r="P3" s="153" t="n">
        <f aca="false">P2/$B$2</f>
        <v>0.0287769784172662</v>
      </c>
      <c r="Q3" s="153" t="n">
        <f aca="false">Q2/$B$2</f>
        <v>0.0287769784172662</v>
      </c>
      <c r="R3" s="153" t="n">
        <f aca="false">R2/$B$2</f>
        <v>0</v>
      </c>
      <c r="S3" s="153" t="n">
        <f aca="false">S2/$B$2</f>
        <v>0</v>
      </c>
      <c r="T3" s="153" t="n">
        <f aca="false">T2/$B$2</f>
        <v>0.172661870503597</v>
      </c>
      <c r="U3" s="153" t="n">
        <f aca="false">U2/$B$2</f>
        <v>0.345323741007194</v>
      </c>
      <c r="V3" s="153" t="n">
        <f aca="false">V2/$B$2</f>
        <v>0</v>
      </c>
      <c r="W3" s="153" t="n">
        <f aca="false">W2/$B$2</f>
        <v>0.525179856115108</v>
      </c>
      <c r="X3" s="153" t="n">
        <f aca="false">X2/$B$2</f>
        <v>0</v>
      </c>
      <c r="Y3" s="153" t="n">
        <f aca="false">Y2/$B$2</f>
        <v>0</v>
      </c>
      <c r="Z3" s="153" t="n">
        <f aca="false">Z2/$B$2</f>
        <v>0</v>
      </c>
      <c r="AA3" s="153" t="n">
        <f aca="false">AA2/$B$2</f>
        <v>0</v>
      </c>
      <c r="AB3" s="153" t="n">
        <f aca="false">AB2/$B$2</f>
        <v>0</v>
      </c>
      <c r="AC3" s="153" t="n">
        <f aca="false">AC2/$B$2</f>
        <v>0.00719424460431656</v>
      </c>
      <c r="AD3" s="153" t="n">
        <f aca="false">AD2/$B$2</f>
        <v>0</v>
      </c>
      <c r="AE3" s="153" t="n">
        <f aca="false">AE2/$B$2</f>
        <v>0</v>
      </c>
      <c r="AF3" s="153" t="n">
        <f aca="false">AF2/$B$2</f>
        <v>0</v>
      </c>
      <c r="AG3" s="153" t="n">
        <f aca="false">AG2/$B$2</f>
        <v>0</v>
      </c>
      <c r="AH3" s="153" t="n">
        <f aca="false">AH2/$B$2</f>
        <v>0</v>
      </c>
      <c r="AI3" s="153" t="n">
        <f aca="false">AI2/$B$2</f>
        <v>0</v>
      </c>
    </row>
    <row r="4" customFormat="false" ht="15" hidden="false" customHeight="false" outlineLevel="0" collapsed="false">
      <c r="A4" s="256" t="n">
        <f aca="false">IF(Horodateur112335381922313437434649525558616469852226343846505854626670747882909894102106114118110122126130134138142146150154158162166170174178182186190194198202206210214410141822263034384650545862[[#This Row],[Jour]]="1- Lundi",$B$1+1, IF(Horodateur112335381922313437434649525558616469852226343846505854626670747882909894102106114118110122126130134138142146150154158162166170174178182186190194198202206210214410141822263034384650545862[[#This Row],[Jour]]="2- Mardi",$B$1+2, IF(Horodateur112335381922313437434649525558616469852226343846505854626670747882909894102106114118110122126130134138142146150154158162166170174178182186190194198202206210214410141822263034384650545862[[#This Row],[Jour]]="3- Mercredi",$B$1+3, IF(Horodateur112335381922313437434649525558616469852226343846505854626670747882909894102106114118110122126130134138142146150154158162166170174178182186190194198202206210214410141822263034384650545862[[#This Row],[Jour]]="4- Jeudi",$B$1+4, IF(Horodateur112335381922313437434649525558616469852226343846505854626670747882909894102106114118110122126130134138142146150154158162166170174178182186190194198202206210214410141822263034384650545862[[#This Row],[Jour]]="5- Vendredi",$B$1+5, IF(Horodateur112335381922313437434649525558616469852226343846505854626670747882909894102106114118110122126130134138142146150154158162166170174178182186190194198202206210214410141822263034384650545862[[#This Row],[Jour]]="6- Samedi",$B$1+6, IF(Horodateur112335381922313437434649525558616469852226343846505854626670747882909894102106114118110122126130134138142146150154158162166170174178182186190194198202206210214410141822263034384650545862[[#This Row],[Jour]]="7- Dimanche",$B$1, )))))))</f>
        <v>44306</v>
      </c>
      <c r="B4" s="257" t="s">
        <v>312</v>
      </c>
      <c r="C4" s="258" t="n">
        <v>0.322916666666667</v>
      </c>
      <c r="D4" s="258" t="n">
        <v>0.364583333333333</v>
      </c>
      <c r="E4" s="71" t="s">
        <v>32</v>
      </c>
      <c r="F4" s="71" t="s">
        <v>21</v>
      </c>
      <c r="G4" s="259"/>
      <c r="H4" s="258" t="n">
        <f aca="false">IF($C4=0,"",$D4-$C4)</f>
        <v>0.0416666666666667</v>
      </c>
      <c r="I4" s="260" t="n">
        <f aca="false">IF($C4=0,"",($H4-INT($H4))*24)</f>
        <v>1</v>
      </c>
      <c r="J4" s="303" t="n">
        <f aca="false">SUMIF(Horodateur112335381922313437434649525558616469852226343846505854626670747882909894102106114118110122126130134138142146150154158162166170174178182186190194198202206210214410141822263034384650545862[Jour],$B4,Horodateur112335381922313437434649525558616469852226343846505854626670747882909894102106114118110122126130134138142146150154158162166170174178182186190194198202206210214410141822263034384650545862[Durée (100)])</f>
        <v>8</v>
      </c>
      <c r="K4" s="335"/>
      <c r="L4" s="336" t="s">
        <v>404</v>
      </c>
      <c r="M4" s="188" t="s">
        <v>31</v>
      </c>
      <c r="N4" s="272" t="n">
        <f aca="false">IF(Horodateur112335381922313437434649525558616469852226343846505854626670747882909894102106114118110122126130134138142146150154158162166170174178182186190194198202206210214410141822263034384650545862[[#This Row],[O]]="o",Horodateur112335381922313437434649525558616469852226343846505854626670747882909894102106114118110122126130134138142146150154158162166170174178182186190194198202206210214410141822263034384650545862[[#This Row],[Durée (100)]],".")</f>
        <v>0.999999999999999</v>
      </c>
      <c r="O4" s="337" t="n">
        <f aca="false">IF(L4 = "c", I4, 0)</f>
        <v>0</v>
      </c>
      <c r="P4" s="187"/>
      <c r="Q4" s="71"/>
      <c r="R4" s="71"/>
      <c r="S4" s="71"/>
      <c r="T4" s="71"/>
      <c r="U4" s="71"/>
      <c r="V4" s="71"/>
      <c r="W4" s="71"/>
      <c r="X4" s="71"/>
      <c r="Y4" s="71"/>
      <c r="Z4" s="71"/>
      <c r="AA4" s="71"/>
      <c r="AB4" s="71"/>
      <c r="AC4" s="71"/>
      <c r="AD4" s="71"/>
      <c r="AE4" s="71"/>
      <c r="AF4" s="71"/>
      <c r="AG4" s="71"/>
      <c r="AH4" s="71"/>
      <c r="AI4" s="71"/>
    </row>
    <row r="5" customFormat="false" ht="15" hidden="false" customHeight="false" outlineLevel="0" collapsed="false">
      <c r="A5" s="256" t="n">
        <f aca="false">IF(Horodateur112335381922313437434649525558616469852226343846505854626670747882909894102106114118110122126130134138142146150154158162166170174178182186190194198202206210214410141822263034384650545862[[#This Row],[Jour]]="1- Lundi",$B$1+1, IF(Horodateur112335381922313437434649525558616469852226343846505854626670747882909894102106114118110122126130134138142146150154158162166170174178182186190194198202206210214410141822263034384650545862[[#This Row],[Jour]]="2- Mardi",$B$1+2, IF(Horodateur112335381922313437434649525558616469852226343846505854626670747882909894102106114118110122126130134138142146150154158162166170174178182186190194198202206210214410141822263034384650545862[[#This Row],[Jour]]="3- Mercredi",$B$1+3, IF(Horodateur112335381922313437434649525558616469852226343846505854626670747882909894102106114118110122126130134138142146150154158162166170174178182186190194198202206210214410141822263034384650545862[[#This Row],[Jour]]="4- Jeudi",$B$1+4, IF(Horodateur112335381922313437434649525558616469852226343846505854626670747882909894102106114118110122126130134138142146150154158162166170174178182186190194198202206210214410141822263034384650545862[[#This Row],[Jour]]="5- Vendredi",$B$1+5, IF(Horodateur112335381922313437434649525558616469852226343846505854626670747882909894102106114118110122126130134138142146150154158162166170174178182186190194198202206210214410141822263034384650545862[[#This Row],[Jour]]="6- Samedi",$B$1+6, IF(Horodateur112335381922313437434649525558616469852226343846505854626670747882909894102106114118110122126130134138142146150154158162166170174178182186190194198202206210214410141822263034384650545862[[#This Row],[Jour]]="7- Dimanche",$B$1, )))))))</f>
        <v>44306</v>
      </c>
      <c r="B5" s="257" t="s">
        <v>312</v>
      </c>
      <c r="C5" s="258" t="n">
        <v>0.364583333333333</v>
      </c>
      <c r="D5" s="258" t="n">
        <v>0.385416666666667</v>
      </c>
      <c r="E5" s="71" t="s">
        <v>32</v>
      </c>
      <c r="F5" s="71" t="s">
        <v>20</v>
      </c>
      <c r="G5" s="259" t="s">
        <v>121</v>
      </c>
      <c r="H5" s="258" t="n">
        <f aca="false">IF($C5=0,"",$D5-$C5)</f>
        <v>0.0208333333333333</v>
      </c>
      <c r="I5" s="260" t="n">
        <f aca="false">IF($C5=0,"",($H5-INT($H5))*24)</f>
        <v>0.5</v>
      </c>
      <c r="J5" s="303" t="n">
        <f aca="false">SUMIF(Horodateur112335381922313437434649525558616469852226343846505854626670747882909894102106114118110122126130134138142146150154158162166170174178182186190194198202206210214410141822263034384650545862[Jour],$B5,Horodateur112335381922313437434649525558616469852226343846505854626670747882909894102106114118110122126130134138142146150154158162166170174178182186190194198202206210214410141822263034384650545862[Durée (100)])</f>
        <v>8</v>
      </c>
      <c r="K5" s="335"/>
      <c r="L5" s="336" t="s">
        <v>404</v>
      </c>
      <c r="M5" s="188" t="s">
        <v>31</v>
      </c>
      <c r="N5" s="272" t="n">
        <f aca="false">IF(Horodateur112335381922313437434649525558616469852226343846505854626670747882909894102106114118110122126130134138142146150154158162166170174178182186190194198202206210214410141822263034384650545862[[#This Row],[O]]="o",Horodateur112335381922313437434649525558616469852226343846505854626670747882909894102106114118110122126130134138142146150154158162166170174178182186190194198202206210214410141822263034384650545862[[#This Row],[Durée (100)]],".")</f>
        <v>0.500000000000001</v>
      </c>
      <c r="O5" s="337" t="n">
        <f aca="false">IF(L5 = "c", I5, 0)</f>
        <v>0</v>
      </c>
      <c r="P5" s="187"/>
      <c r="Q5" s="71"/>
      <c r="R5" s="71"/>
      <c r="S5" s="71"/>
      <c r="T5" s="71"/>
      <c r="U5" s="71"/>
      <c r="V5" s="71"/>
      <c r="W5" s="71"/>
      <c r="X5" s="71"/>
      <c r="Y5" s="71"/>
      <c r="Z5" s="71"/>
      <c r="AA5" s="71"/>
      <c r="AB5" s="71"/>
      <c r="AC5" s="71"/>
      <c r="AD5" s="71"/>
      <c r="AE5" s="71"/>
      <c r="AF5" s="71"/>
      <c r="AG5" s="71"/>
      <c r="AH5" s="71"/>
      <c r="AI5" s="71"/>
    </row>
    <row r="6" customFormat="false" ht="15" hidden="false" customHeight="false" outlineLevel="0" collapsed="false">
      <c r="A6" s="256" t="n">
        <f aca="false">IF(Horodateur112335381922313437434649525558616469852226343846505854626670747882909894102106114118110122126130134138142146150154158162166170174178182186190194198202206210214410141822263034384650545862[[#This Row],[Jour]]="1- Lundi",$B$1+1, IF(Horodateur112335381922313437434649525558616469852226343846505854626670747882909894102106114118110122126130134138142146150154158162166170174178182186190194198202206210214410141822263034384650545862[[#This Row],[Jour]]="2- Mardi",$B$1+2, IF(Horodateur112335381922313437434649525558616469852226343846505854626670747882909894102106114118110122126130134138142146150154158162166170174178182186190194198202206210214410141822263034384650545862[[#This Row],[Jour]]="3- Mercredi",$B$1+3, IF(Horodateur112335381922313437434649525558616469852226343846505854626670747882909894102106114118110122126130134138142146150154158162166170174178182186190194198202206210214410141822263034384650545862[[#This Row],[Jour]]="4- Jeudi",$B$1+4, IF(Horodateur112335381922313437434649525558616469852226343846505854626670747882909894102106114118110122126130134138142146150154158162166170174178182186190194198202206210214410141822263034384650545862[[#This Row],[Jour]]="5- Vendredi",$B$1+5, IF(Horodateur112335381922313437434649525558616469852226343846505854626670747882909894102106114118110122126130134138142146150154158162166170174178182186190194198202206210214410141822263034384650545862[[#This Row],[Jour]]="6- Samedi",$B$1+6, IF(Horodateur112335381922313437434649525558616469852226343846505854626670747882909894102106114118110122126130134138142146150154158162166170174178182186190194198202206210214410141822263034384650545862[[#This Row],[Jour]]="7- Dimanche",$B$1, )))))))</f>
        <v>44306</v>
      </c>
      <c r="B6" s="257" t="s">
        <v>312</v>
      </c>
      <c r="C6" s="258" t="n">
        <v>0.385416666666667</v>
      </c>
      <c r="D6" s="258" t="n">
        <v>0.416666666666667</v>
      </c>
      <c r="E6" s="71" t="s">
        <v>32</v>
      </c>
      <c r="F6" s="71" t="s">
        <v>22</v>
      </c>
      <c r="G6" s="259"/>
      <c r="H6" s="258" t="n">
        <f aca="false">IF($C6=0,"",$D6-$C6)</f>
        <v>0.03125</v>
      </c>
      <c r="I6" s="260" t="n">
        <f aca="false">IF($C6=0,"",($H6-INT($H6))*24)</f>
        <v>0.75</v>
      </c>
      <c r="J6" s="303" t="n">
        <f aca="false">SUMIF(Horodateur112335381922313437434649525558616469852226343846505854626670747882909894102106114118110122126130134138142146150154158162166170174178182186190194198202206210214410141822263034384650545862[Jour],$B6,Horodateur112335381922313437434649525558616469852226343846505854626670747882909894102106114118110122126130134138142146150154158162166170174178182186190194198202206210214410141822263034384650545862[Durée (100)])</f>
        <v>8</v>
      </c>
      <c r="K6" s="335"/>
      <c r="L6" s="336" t="s">
        <v>404</v>
      </c>
      <c r="M6" s="188" t="s">
        <v>31</v>
      </c>
      <c r="N6" s="272" t="n">
        <f aca="false">IF(Horodateur112335381922313437434649525558616469852226343846505854626670747882909894102106114118110122126130134138142146150154158162166170174178182186190194198202206210214410141822263034384650545862[[#This Row],[O]]="o",Horodateur112335381922313437434649525558616469852226343846505854626670747882909894102106114118110122126130134138142146150154158162166170174178182186190194198202206210214410141822263034384650545862[[#This Row],[Durée (100)]],".")</f>
        <v>0.75</v>
      </c>
      <c r="O6" s="337" t="n">
        <f aca="false">IF(L6 = "c", I6, 0)</f>
        <v>0</v>
      </c>
      <c r="P6" s="187"/>
      <c r="Q6" s="71"/>
      <c r="R6" s="71"/>
      <c r="S6" s="71"/>
      <c r="T6" s="71"/>
      <c r="U6" s="71"/>
      <c r="V6" s="71"/>
      <c r="W6" s="71"/>
      <c r="X6" s="71"/>
      <c r="Y6" s="71"/>
      <c r="Z6" s="71"/>
      <c r="AA6" s="71"/>
      <c r="AB6" s="71"/>
      <c r="AC6" s="71"/>
      <c r="AD6" s="71"/>
      <c r="AE6" s="71"/>
      <c r="AF6" s="71"/>
      <c r="AG6" s="71"/>
      <c r="AH6" s="71"/>
      <c r="AI6" s="71"/>
    </row>
    <row r="7" customFormat="false" ht="15" hidden="false" customHeight="false" outlineLevel="0" collapsed="false">
      <c r="A7" s="256" t="n">
        <f aca="false">IF(Horodateur112335381922313437434649525558616469852226343846505854626670747882909894102106114118110122126130134138142146150154158162166170174178182186190194198202206210214410141822263034384650545862[[#This Row],[Jour]]="1- Lundi",$B$1+1, IF(Horodateur112335381922313437434649525558616469852226343846505854626670747882909894102106114118110122126130134138142146150154158162166170174178182186190194198202206210214410141822263034384650545862[[#This Row],[Jour]]="2- Mardi",$B$1+2, IF(Horodateur112335381922313437434649525558616469852226343846505854626670747882909894102106114118110122126130134138142146150154158162166170174178182186190194198202206210214410141822263034384650545862[[#This Row],[Jour]]="3- Mercredi",$B$1+3, IF(Horodateur112335381922313437434649525558616469852226343846505854626670747882909894102106114118110122126130134138142146150154158162166170174178182186190194198202206210214410141822263034384650545862[[#This Row],[Jour]]="4- Jeudi",$B$1+4, IF(Horodateur112335381922313437434649525558616469852226343846505854626670747882909894102106114118110122126130134138142146150154158162166170174178182186190194198202206210214410141822263034384650545862[[#This Row],[Jour]]="5- Vendredi",$B$1+5, IF(Horodateur112335381922313437434649525558616469852226343846505854626670747882909894102106114118110122126130134138142146150154158162166170174178182186190194198202206210214410141822263034384650545862[[#This Row],[Jour]]="6- Samedi",$B$1+6, IF(Horodateur112335381922313437434649525558616469852226343846505854626670747882909894102106114118110122126130134138142146150154158162166170174178182186190194198202206210214410141822263034384650545862[[#This Row],[Jour]]="7- Dimanche",$B$1, )))))))</f>
        <v>44306</v>
      </c>
      <c r="B7" s="257" t="s">
        <v>312</v>
      </c>
      <c r="C7" s="258" t="n">
        <v>0.416666666666667</v>
      </c>
      <c r="D7" s="258" t="n">
        <v>0.458333333333333</v>
      </c>
      <c r="E7" s="71" t="s">
        <v>363</v>
      </c>
      <c r="F7" s="71" t="s">
        <v>378</v>
      </c>
      <c r="G7" s="259" t="s">
        <v>409</v>
      </c>
      <c r="H7" s="258" t="n">
        <f aca="false">IF($C7=0,"",$D7-$C7)</f>
        <v>0.0416666666666666</v>
      </c>
      <c r="I7" s="260" t="n">
        <f aca="false">IF($C7=0,"",($H7-INT($H7))*24)</f>
        <v>0.999999999999999</v>
      </c>
      <c r="J7" s="303" t="n">
        <f aca="false">SUMIF(Horodateur112335381922313437434649525558616469852226343846505854626670747882909894102106114118110122126130134138142146150154158162166170174178182186190194198202206210214410141822263034384650545862[Jour],$B7,Horodateur112335381922313437434649525558616469852226343846505854626670747882909894102106114118110122126130134138142146150154158162166170174178182186190194198202206210214410141822263034384650545862[Durée (100)])</f>
        <v>8</v>
      </c>
      <c r="K7" s="335"/>
      <c r="L7" s="336" t="s">
        <v>404</v>
      </c>
      <c r="M7" s="188" t="s">
        <v>31</v>
      </c>
      <c r="N7" s="272" t="n">
        <f aca="false">IF(Horodateur112335381922313437434649525558616469852226343846505854626670747882909894102106114118110122126130134138142146150154158162166170174178182186190194198202206210214410141822263034384650545862[[#This Row],[O]]="o",Horodateur112335381922313437434649525558616469852226343846505854626670747882909894102106114118110122126130134138142146150154158162166170174178182186190194198202206210214410141822263034384650545862[[#This Row],[Durée (100)]],".")</f>
        <v>0.999999999999999</v>
      </c>
      <c r="O7" s="337" t="n">
        <f aca="false">IF(L7 = "c", I7, 0)</f>
        <v>0</v>
      </c>
      <c r="P7" s="187"/>
      <c r="Q7" s="71"/>
      <c r="R7" s="71"/>
      <c r="S7" s="71"/>
      <c r="T7" s="71"/>
      <c r="U7" s="71"/>
      <c r="V7" s="71"/>
      <c r="W7" s="71"/>
      <c r="X7" s="71"/>
      <c r="Y7" s="71"/>
      <c r="Z7" s="71"/>
      <c r="AA7" s="71"/>
      <c r="AB7" s="71"/>
      <c r="AC7" s="71"/>
      <c r="AD7" s="71"/>
      <c r="AE7" s="71"/>
      <c r="AF7" s="71"/>
      <c r="AG7" s="71"/>
      <c r="AH7" s="71"/>
      <c r="AI7" s="71"/>
    </row>
    <row r="8" customFormat="false" ht="15" hidden="false" customHeight="false" outlineLevel="0" collapsed="false">
      <c r="A8" s="256" t="n">
        <f aca="false">IF(Horodateur112335381922313437434649525558616469852226343846505854626670747882909894102106114118110122126130134138142146150154158162166170174178182186190194198202206210214410141822263034384650545862[[#This Row],[Jour]]="1- Lundi",$B$1+1, IF(Horodateur112335381922313437434649525558616469852226343846505854626670747882909894102106114118110122126130134138142146150154158162166170174178182186190194198202206210214410141822263034384650545862[[#This Row],[Jour]]="2- Mardi",$B$1+2, IF(Horodateur112335381922313437434649525558616469852226343846505854626670747882909894102106114118110122126130134138142146150154158162166170174178182186190194198202206210214410141822263034384650545862[[#This Row],[Jour]]="3- Mercredi",$B$1+3, IF(Horodateur112335381922313437434649525558616469852226343846505854626670747882909894102106114118110122126130134138142146150154158162166170174178182186190194198202206210214410141822263034384650545862[[#This Row],[Jour]]="4- Jeudi",$B$1+4, IF(Horodateur112335381922313437434649525558616469852226343846505854626670747882909894102106114118110122126130134138142146150154158162166170174178182186190194198202206210214410141822263034384650545862[[#This Row],[Jour]]="5- Vendredi",$B$1+5, IF(Horodateur112335381922313437434649525558616469852226343846505854626670747882909894102106114118110122126130134138142146150154158162166170174178182186190194198202206210214410141822263034384650545862[[#This Row],[Jour]]="6- Samedi",$B$1+6, IF(Horodateur112335381922313437434649525558616469852226343846505854626670747882909894102106114118110122126130134138142146150154158162166170174178182186190194198202206210214410141822263034384650545862[[#This Row],[Jour]]="7- Dimanche",$B$1, )))))))</f>
        <v>44306</v>
      </c>
      <c r="B8" s="257" t="s">
        <v>312</v>
      </c>
      <c r="C8" s="258" t="n">
        <v>0.458333333333333</v>
      </c>
      <c r="D8" s="258" t="n">
        <v>0.46875</v>
      </c>
      <c r="E8" s="71" t="s">
        <v>59</v>
      </c>
      <c r="F8" s="71" t="s">
        <v>379</v>
      </c>
      <c r="G8" s="259" t="s">
        <v>410</v>
      </c>
      <c r="H8" s="258" t="n">
        <f aca="false">IF($C8=0,"",$D8-$C8)</f>
        <v>0.0104166666666667</v>
      </c>
      <c r="I8" s="260" t="n">
        <f aca="false">IF($C8=0,"",($H8-INT($H8))*24)</f>
        <v>0.25</v>
      </c>
      <c r="J8" s="303" t="n">
        <f aca="false">SUMIF(Horodateur112335381922313437434649525558616469852226343846505854626670747882909894102106114118110122126130134138142146150154158162166170174178182186190194198202206210214410141822263034384650545862[Jour],$B8,Horodateur112335381922313437434649525558616469852226343846505854626670747882909894102106114118110122126130134138142146150154158162166170174178182186190194198202206210214410141822263034384650545862[Durée (100)])</f>
        <v>8</v>
      </c>
      <c r="K8" s="335"/>
      <c r="L8" s="336" t="s">
        <v>404</v>
      </c>
      <c r="M8" s="188" t="s">
        <v>31</v>
      </c>
      <c r="N8" s="272" t="n">
        <f aca="false">IF(Horodateur112335381922313437434649525558616469852226343846505854626670747882909894102106114118110122126130134138142146150154158162166170174178182186190194198202206210214410141822263034384650545862[[#This Row],[O]]="o",Horodateur112335381922313437434649525558616469852226343846505854626670747882909894102106114118110122126130134138142146150154158162166170174178182186190194198202206210214410141822263034384650545862[[#This Row],[Durée (100)]],".")</f>
        <v>0.25</v>
      </c>
      <c r="O8" s="337" t="n">
        <f aca="false">IF(L8 = "c", I8, 0)</f>
        <v>0</v>
      </c>
      <c r="P8" s="187"/>
      <c r="Q8" s="71"/>
      <c r="R8" s="71"/>
      <c r="S8" s="71"/>
      <c r="T8" s="71"/>
      <c r="U8" s="71"/>
      <c r="V8" s="71"/>
      <c r="W8" s="71"/>
      <c r="X8" s="71"/>
      <c r="Y8" s="71"/>
      <c r="Z8" s="71"/>
      <c r="AA8" s="71"/>
      <c r="AB8" s="71"/>
      <c r="AC8" s="71"/>
      <c r="AD8" s="71"/>
      <c r="AE8" s="71"/>
      <c r="AF8" s="71"/>
      <c r="AG8" s="71"/>
      <c r="AH8" s="71"/>
      <c r="AI8" s="71"/>
    </row>
    <row r="9" customFormat="false" ht="15" hidden="false" customHeight="false" outlineLevel="0" collapsed="false">
      <c r="A9" s="256" t="n">
        <f aca="false">IF(Horodateur112335381922313437434649525558616469852226343846505854626670747882909894102106114118110122126130134138142146150154158162166170174178182186190194198202206210214410141822263034384650545862[[#This Row],[Jour]]="1- Lundi",$B$1+1, IF(Horodateur112335381922313437434649525558616469852226343846505854626670747882909894102106114118110122126130134138142146150154158162166170174178182186190194198202206210214410141822263034384650545862[[#This Row],[Jour]]="2- Mardi",$B$1+2, IF(Horodateur112335381922313437434649525558616469852226343846505854626670747882909894102106114118110122126130134138142146150154158162166170174178182186190194198202206210214410141822263034384650545862[[#This Row],[Jour]]="3- Mercredi",$B$1+3, IF(Horodateur112335381922313437434649525558616469852226343846505854626670747882909894102106114118110122126130134138142146150154158162166170174178182186190194198202206210214410141822263034384650545862[[#This Row],[Jour]]="4- Jeudi",$B$1+4, IF(Horodateur112335381922313437434649525558616469852226343846505854626670747882909894102106114118110122126130134138142146150154158162166170174178182186190194198202206210214410141822263034384650545862[[#This Row],[Jour]]="5- Vendredi",$B$1+5, IF(Horodateur112335381922313437434649525558616469852226343846505854626670747882909894102106114118110122126130134138142146150154158162166170174178182186190194198202206210214410141822263034384650545862[[#This Row],[Jour]]="6- Samedi",$B$1+6, IF(Horodateur112335381922313437434649525558616469852226343846505854626670747882909894102106114118110122126130134138142146150154158162166170174178182186190194198202206210214410141822263034384650545862[[#This Row],[Jour]]="7- Dimanche",$B$1, )))))))</f>
        <v>44306</v>
      </c>
      <c r="B9" s="257" t="s">
        <v>312</v>
      </c>
      <c r="C9" s="258" t="n">
        <v>0.46875</v>
      </c>
      <c r="D9" s="258" t="n">
        <v>0.489583333333333</v>
      </c>
      <c r="E9" s="71" t="s">
        <v>363</v>
      </c>
      <c r="F9" s="71" t="s">
        <v>378</v>
      </c>
      <c r="G9" s="259" t="s">
        <v>409</v>
      </c>
      <c r="H9" s="258" t="n">
        <f aca="false">IF($C9=0,"",$D9-$C9)</f>
        <v>0.0208333333333333</v>
      </c>
      <c r="I9" s="260" t="n">
        <f aca="false">IF($C9=0,"",($H9-INT($H9))*24)</f>
        <v>0.5</v>
      </c>
      <c r="J9" s="303" t="n">
        <f aca="false">SUMIF(Horodateur112335381922313437434649525558616469852226343846505854626670747882909894102106114118110122126130134138142146150154158162166170174178182186190194198202206210214410141822263034384650545862[Jour],$B9,Horodateur112335381922313437434649525558616469852226343846505854626670747882909894102106114118110122126130134138142146150154158162166170174178182186190194198202206210214410141822263034384650545862[Durée (100)])</f>
        <v>8</v>
      </c>
      <c r="K9" s="335"/>
      <c r="L9" s="336" t="s">
        <v>404</v>
      </c>
      <c r="M9" s="188" t="s">
        <v>31</v>
      </c>
      <c r="N9" s="272" t="n">
        <f aca="false">IF(Horodateur112335381922313437434649525558616469852226343846505854626670747882909894102106114118110122126130134138142146150154158162166170174178182186190194198202206210214410141822263034384650545862[[#This Row],[O]]="o",Horodateur112335381922313437434649525558616469852226343846505854626670747882909894102106114118110122126130134138142146150154158162166170174178182186190194198202206210214410141822263034384650545862[[#This Row],[Durée (100)]],".")</f>
        <v>0.5</v>
      </c>
      <c r="O9" s="337" t="n">
        <f aca="false">IF(L9 = "c", I9, 0)</f>
        <v>0</v>
      </c>
      <c r="P9" s="187"/>
      <c r="Q9" s="71"/>
      <c r="R9" s="71"/>
      <c r="S9" s="71"/>
      <c r="T9" s="71"/>
      <c r="U9" s="71"/>
      <c r="V9" s="71"/>
      <c r="W9" s="71"/>
      <c r="X9" s="71"/>
      <c r="Y9" s="71"/>
      <c r="Z9" s="71"/>
      <c r="AA9" s="71"/>
      <c r="AB9" s="71"/>
      <c r="AC9" s="71"/>
      <c r="AD9" s="71"/>
      <c r="AE9" s="71"/>
      <c r="AF9" s="71"/>
      <c r="AG9" s="71"/>
      <c r="AH9" s="71"/>
      <c r="AI9" s="71"/>
    </row>
    <row r="10" customFormat="false" ht="15" hidden="false" customHeight="false" outlineLevel="0" collapsed="false">
      <c r="A10" s="256" t="n">
        <f aca="false">IF(Horodateur112335381922313437434649525558616469852226343846505854626670747882909894102106114118110122126130134138142146150154158162166170174178182186190194198202206210214410141822263034384650545862[[#This Row],[Jour]]="1- Lundi",$B$1+1, IF(Horodateur112335381922313437434649525558616469852226343846505854626670747882909894102106114118110122126130134138142146150154158162166170174178182186190194198202206210214410141822263034384650545862[[#This Row],[Jour]]="2- Mardi",$B$1+2, IF(Horodateur112335381922313437434649525558616469852226343846505854626670747882909894102106114118110122126130134138142146150154158162166170174178182186190194198202206210214410141822263034384650545862[[#This Row],[Jour]]="3- Mercredi",$B$1+3, IF(Horodateur112335381922313437434649525558616469852226343846505854626670747882909894102106114118110122126130134138142146150154158162166170174178182186190194198202206210214410141822263034384650545862[[#This Row],[Jour]]="4- Jeudi",$B$1+4, IF(Horodateur112335381922313437434649525558616469852226343846505854626670747882909894102106114118110122126130134138142146150154158162166170174178182186190194198202206210214410141822263034384650545862[[#This Row],[Jour]]="5- Vendredi",$B$1+5, IF(Horodateur112335381922313437434649525558616469852226343846505854626670747882909894102106114118110122126130134138142146150154158162166170174178182186190194198202206210214410141822263034384650545862[[#This Row],[Jour]]="6- Samedi",$B$1+6, IF(Horodateur112335381922313437434649525558616469852226343846505854626670747882909894102106114118110122126130134138142146150154158162166170174178182186190194198202206210214410141822263034384650545862[[#This Row],[Jour]]="7- Dimanche",$B$1, )))))))</f>
        <v>44306</v>
      </c>
      <c r="B10" s="257" t="s">
        <v>312</v>
      </c>
      <c r="C10" s="258" t="n">
        <v>0.583333333333333</v>
      </c>
      <c r="D10" s="258" t="n">
        <v>0.604166666666667</v>
      </c>
      <c r="E10" s="71" t="s">
        <v>32</v>
      </c>
      <c r="F10" s="71" t="s">
        <v>22</v>
      </c>
      <c r="G10" s="259"/>
      <c r="H10" s="258" t="n">
        <f aca="false">IF($C10=0,"",$D10-$C10)</f>
        <v>0.0208333333333333</v>
      </c>
      <c r="I10" s="260" t="n">
        <f aca="false">IF($C10=0,"",($H10-INT($H10))*24)</f>
        <v>0.499999999999998</v>
      </c>
      <c r="J10" s="303" t="n">
        <f aca="false">SUMIF(Horodateur112335381922313437434649525558616469852226343846505854626670747882909894102106114118110122126130134138142146150154158162166170174178182186190194198202206210214410141822263034384650545862[Jour],$B10,Horodateur112335381922313437434649525558616469852226343846505854626670747882909894102106114118110122126130134138142146150154158162166170174178182186190194198202206210214410141822263034384650545862[Durée (100)])</f>
        <v>8</v>
      </c>
      <c r="K10" s="335"/>
      <c r="L10" s="336"/>
      <c r="M10" s="188" t="s">
        <v>31</v>
      </c>
      <c r="N10" s="272" t="n">
        <f aca="false">IF(Horodateur112335381922313437434649525558616469852226343846505854626670747882909894102106114118110122126130134138142146150154158162166170174178182186190194198202206210214410141822263034384650545862[[#This Row],[O]]="o",Horodateur112335381922313437434649525558616469852226343846505854626670747882909894102106114118110122126130134138142146150154158162166170174178182186190194198202206210214410141822263034384650545862[[#This Row],[Durée (100)]],".")</f>
        <v>0.499999999999998</v>
      </c>
      <c r="O10" s="337" t="n">
        <f aca="false">IF(L10 = "c", I10, 0)</f>
        <v>0</v>
      </c>
      <c r="P10" s="187"/>
      <c r="Q10" s="71"/>
      <c r="R10" s="71"/>
      <c r="S10" s="71"/>
      <c r="T10" s="71"/>
      <c r="U10" s="71"/>
      <c r="V10" s="71"/>
      <c r="W10" s="71"/>
      <c r="X10" s="71"/>
      <c r="Y10" s="71"/>
      <c r="Z10" s="71"/>
      <c r="AA10" s="71"/>
      <c r="AB10" s="71"/>
      <c r="AC10" s="71"/>
      <c r="AD10" s="71"/>
      <c r="AE10" s="71"/>
      <c r="AF10" s="71"/>
      <c r="AG10" s="71"/>
      <c r="AH10" s="71"/>
      <c r="AI10" s="71"/>
    </row>
    <row r="11" customFormat="false" ht="15" hidden="false" customHeight="false" outlineLevel="0" collapsed="false">
      <c r="A11" s="256" t="n">
        <f aca="false">IF(Horodateur112335381922313437434649525558616469852226343846505854626670747882909894102106114118110122126130134138142146150154158162166170174178182186190194198202206210214410141822263034384650545862[[#This Row],[Jour]]="1- Lundi",$B$1+1, IF(Horodateur112335381922313437434649525558616469852226343846505854626670747882909894102106114118110122126130134138142146150154158162166170174178182186190194198202206210214410141822263034384650545862[[#This Row],[Jour]]="2- Mardi",$B$1+2, IF(Horodateur112335381922313437434649525558616469852226343846505854626670747882909894102106114118110122126130134138142146150154158162166170174178182186190194198202206210214410141822263034384650545862[[#This Row],[Jour]]="3- Mercredi",$B$1+3, IF(Horodateur112335381922313437434649525558616469852226343846505854626670747882909894102106114118110122126130134138142146150154158162166170174178182186190194198202206210214410141822263034384650545862[[#This Row],[Jour]]="4- Jeudi",$B$1+4, IF(Horodateur112335381922313437434649525558616469852226343846505854626670747882909894102106114118110122126130134138142146150154158162166170174178182186190194198202206210214410141822263034384650545862[[#This Row],[Jour]]="5- Vendredi",$B$1+5, IF(Horodateur112335381922313437434649525558616469852226343846505854626670747882909894102106114118110122126130134138142146150154158162166170174178182186190194198202206210214410141822263034384650545862[[#This Row],[Jour]]="6- Samedi",$B$1+6, IF(Horodateur112335381922313437434649525558616469852226343846505854626670747882909894102106114118110122126130134138142146150154158162166170174178182186190194198202206210214410141822263034384650545862[[#This Row],[Jour]]="7- Dimanche",$B$1, )))))))</f>
        <v>44306</v>
      </c>
      <c r="B11" s="257" t="s">
        <v>312</v>
      </c>
      <c r="C11" s="258" t="n">
        <v>0.604166666666667</v>
      </c>
      <c r="D11" s="258" t="n">
        <v>0.708333333333333</v>
      </c>
      <c r="E11" s="71" t="s">
        <v>363</v>
      </c>
      <c r="F11" s="71" t="s">
        <v>378</v>
      </c>
      <c r="G11" s="259" t="s">
        <v>409</v>
      </c>
      <c r="H11" s="258" t="n">
        <f aca="false">IF($C11=0,"",$D11-$C11)</f>
        <v>0.104166666666667</v>
      </c>
      <c r="I11" s="260" t="n">
        <f aca="false">IF($C11=0,"",($H11-INT($H11))*24)</f>
        <v>2.5</v>
      </c>
      <c r="J11" s="303" t="n">
        <f aca="false">SUMIF(Horodateur112335381922313437434649525558616469852226343846505854626670747882909894102106114118110122126130134138142146150154158162166170174178182186190194198202206210214410141822263034384650545862[Jour],$B11,Horodateur112335381922313437434649525558616469852226343846505854626670747882909894102106114118110122126130134138142146150154158162166170174178182186190194198202206210214410141822263034384650545862[Durée (100)])</f>
        <v>8</v>
      </c>
      <c r="K11" s="335"/>
      <c r="L11" s="336"/>
      <c r="M11" s="188" t="s">
        <v>31</v>
      </c>
      <c r="N11" s="272" t="n">
        <f aca="false">IF(Horodateur112335381922313437434649525558616469852226343846505854626670747882909894102106114118110122126130134138142146150154158162166170174178182186190194198202206210214410141822263034384650545862[[#This Row],[O]]="o",Horodateur112335381922313437434649525558616469852226343846505854626670747882909894102106114118110122126130134138142146150154158162166170174178182186190194198202206210214410141822263034384650545862[[#This Row],[Durée (100)]],".")</f>
        <v>2.5</v>
      </c>
      <c r="O11" s="337" t="n">
        <f aca="false">IF(L11 = "c", I11, 0)</f>
        <v>0</v>
      </c>
      <c r="P11" s="187"/>
      <c r="Q11" s="71"/>
      <c r="R11" s="71"/>
      <c r="S11" s="71"/>
      <c r="T11" s="71"/>
      <c r="U11" s="71"/>
      <c r="V11" s="71"/>
      <c r="W11" s="71"/>
      <c r="X11" s="71"/>
      <c r="Y11" s="71"/>
      <c r="Z11" s="71"/>
      <c r="AA11" s="71"/>
      <c r="AB11" s="71"/>
      <c r="AC11" s="71"/>
      <c r="AD11" s="71"/>
      <c r="AE11" s="71"/>
      <c r="AF11" s="71"/>
      <c r="AG11" s="71"/>
      <c r="AH11" s="71"/>
      <c r="AI11" s="71"/>
    </row>
    <row r="12" customFormat="false" ht="15" hidden="false" customHeight="false" outlineLevel="0" collapsed="false">
      <c r="A12" s="256" t="n">
        <f aca="false">IF(Horodateur112335381922313437434649525558616469852226343846505854626670747882909894102106114118110122126130134138142146150154158162166170174178182186190194198202206210214410141822263034384650545862[[#This Row],[Jour]]="1- Lundi",$B$1+1, IF(Horodateur112335381922313437434649525558616469852226343846505854626670747882909894102106114118110122126130134138142146150154158162166170174178182186190194198202206210214410141822263034384650545862[[#This Row],[Jour]]="2- Mardi",$B$1+2, IF(Horodateur112335381922313437434649525558616469852226343846505854626670747882909894102106114118110122126130134138142146150154158162166170174178182186190194198202206210214410141822263034384650545862[[#This Row],[Jour]]="3- Mercredi",$B$1+3, IF(Horodateur112335381922313437434649525558616469852226343846505854626670747882909894102106114118110122126130134138142146150154158162166170174178182186190194198202206210214410141822263034384650545862[[#This Row],[Jour]]="4- Jeudi",$B$1+4, IF(Horodateur112335381922313437434649525558616469852226343846505854626670747882909894102106114118110122126130134138142146150154158162166170174178182186190194198202206210214410141822263034384650545862[[#This Row],[Jour]]="5- Vendredi",$B$1+5, IF(Horodateur112335381922313437434649525558616469852226343846505854626670747882909894102106114118110122126130134138142146150154158162166170174178182186190194198202206210214410141822263034384650545862[[#This Row],[Jour]]="6- Samedi",$B$1+6, IF(Horodateur112335381922313437434649525558616469852226343846505854626670747882909894102106114118110122126130134138142146150154158162166170174178182186190194198202206210214410141822263034384650545862[[#This Row],[Jour]]="7- Dimanche",$B$1, )))))))</f>
        <v>44306</v>
      </c>
      <c r="B12" s="257" t="s">
        <v>312</v>
      </c>
      <c r="C12" s="258" t="n">
        <v>0.708333333333333</v>
      </c>
      <c r="D12" s="258" t="n">
        <v>0.75</v>
      </c>
      <c r="E12" s="71" t="s">
        <v>32</v>
      </c>
      <c r="F12" s="71"/>
      <c r="G12" s="259"/>
      <c r="H12" s="258" t="n">
        <f aca="false">IF($C12=0,"",$D12-$C12)</f>
        <v>0.0416666666666666</v>
      </c>
      <c r="I12" s="260" t="n">
        <f aca="false">IF($C12=0,"",($H12-INT($H12))*24)</f>
        <v>0.999999999999999</v>
      </c>
      <c r="J12" s="303" t="n">
        <f aca="false">SUMIF(Horodateur112335381922313437434649525558616469852226343846505854626670747882909894102106114118110122126130134138142146150154158162166170174178182186190194198202206210214410141822263034384650545862[Jour],$B12,Horodateur112335381922313437434649525558616469852226343846505854626670747882909894102106114118110122126130134138142146150154158162166170174178182186190194198202206210214410141822263034384650545862[Durée (100)])</f>
        <v>8</v>
      </c>
      <c r="K12" s="335"/>
      <c r="L12" s="336"/>
      <c r="M12" s="188" t="s">
        <v>31</v>
      </c>
      <c r="N12" s="272" t="n">
        <f aca="false">IF(Horodateur112335381922313437434649525558616469852226343846505854626670747882909894102106114118110122126130134138142146150154158162166170174178182186190194198202206210214410141822263034384650545862[[#This Row],[O]]="o",Horodateur112335381922313437434649525558616469852226343846505854626670747882909894102106114118110122126130134138142146150154158162166170174178182186190194198202206210214410141822263034384650545862[[#This Row],[Durée (100)]],".")</f>
        <v>0.999999999999999</v>
      </c>
      <c r="O12" s="337" t="n">
        <f aca="false">IF(L12 = "c", I12, 0)</f>
        <v>0</v>
      </c>
      <c r="P12" s="187"/>
      <c r="Q12" s="71"/>
      <c r="R12" s="71"/>
      <c r="S12" s="71"/>
      <c r="T12" s="71"/>
      <c r="U12" s="71"/>
      <c r="V12" s="71"/>
      <c r="W12" s="71"/>
      <c r="X12" s="71"/>
      <c r="Y12" s="71"/>
      <c r="Z12" s="71"/>
      <c r="AA12" s="71"/>
      <c r="AB12" s="71"/>
      <c r="AC12" s="71"/>
      <c r="AD12" s="71"/>
      <c r="AE12" s="71"/>
      <c r="AF12" s="71"/>
      <c r="AG12" s="71"/>
      <c r="AH12" s="71"/>
      <c r="AI12" s="71"/>
    </row>
    <row r="13" customFormat="false" ht="15" hidden="false" customHeight="false" outlineLevel="0" collapsed="false">
      <c r="A13" s="256" t="n">
        <f aca="false">IF(Horodateur112335381922313437434649525558616469852226343846505854626670747882909894102106114118110122126130134138142146150154158162166170174178182186190194198202206210214410141822263034384650545862[[#This Row],[Jour]]="1- Lundi",$B$1+1, IF(Horodateur112335381922313437434649525558616469852226343846505854626670747882909894102106114118110122126130134138142146150154158162166170174178182186190194198202206210214410141822263034384650545862[[#This Row],[Jour]]="2- Mardi",$B$1+2, IF(Horodateur112335381922313437434649525558616469852226343846505854626670747882909894102106114118110122126130134138142146150154158162166170174178182186190194198202206210214410141822263034384650545862[[#This Row],[Jour]]="3- Mercredi",$B$1+3, IF(Horodateur112335381922313437434649525558616469852226343846505854626670747882909894102106114118110122126130134138142146150154158162166170174178182186190194198202206210214410141822263034384650545862[[#This Row],[Jour]]="4- Jeudi",$B$1+4, IF(Horodateur112335381922313437434649525558616469852226343846505854626670747882909894102106114118110122126130134138142146150154158162166170174178182186190194198202206210214410141822263034384650545862[[#This Row],[Jour]]="5- Vendredi",$B$1+5, IF(Horodateur112335381922313437434649525558616469852226343846505854626670747882909894102106114118110122126130134138142146150154158162166170174178182186190194198202206210214410141822263034384650545862[[#This Row],[Jour]]="6- Samedi",$B$1+6, IF(Horodateur112335381922313437434649525558616469852226343846505854626670747882909894102106114118110122126130134138142146150154158162166170174178182186190194198202206210214410141822263034384650545862[[#This Row],[Jour]]="7- Dimanche",$B$1, )))))))</f>
        <v>44307</v>
      </c>
      <c r="B13" s="257" t="s">
        <v>319</v>
      </c>
      <c r="C13" s="258" t="n">
        <v>0.333333333333333</v>
      </c>
      <c r="D13" s="258" t="n">
        <v>0.416666666666667</v>
      </c>
      <c r="E13" s="71" t="s">
        <v>59</v>
      </c>
      <c r="F13" s="71" t="s">
        <v>408</v>
      </c>
      <c r="G13" s="259" t="s">
        <v>411</v>
      </c>
      <c r="H13" s="258" t="n">
        <f aca="false">IF($C13=0,"",$D13-$C13)</f>
        <v>0.0833333333333333</v>
      </c>
      <c r="I13" s="260" t="n">
        <f aca="false">IF($C13=0,"",($H13-INT($H13))*24)</f>
        <v>2</v>
      </c>
      <c r="J13" s="303" t="n">
        <f aca="false">SUMIF(Horodateur112335381922313437434649525558616469852226343846505854626670747882909894102106114118110122126130134138142146150154158162166170174178182186190194198202206210214410141822263034384650545862[Jour],$B13,Horodateur112335381922313437434649525558616469852226343846505854626670747882909894102106114118110122126130134138142146150154158162166170174178182186190194198202206210214410141822263034384650545862[Durée (100)])</f>
        <v>7</v>
      </c>
      <c r="K13" s="335"/>
      <c r="L13" s="336"/>
      <c r="M13" s="188" t="s">
        <v>31</v>
      </c>
      <c r="N13" s="272" t="n">
        <f aca="false">IF(Horodateur112335381922313437434649525558616469852226343846505854626670747882909894102106114118110122126130134138142146150154158162166170174178182186190194198202206210214410141822263034384650545862[[#This Row],[O]]="o",Horodateur112335381922313437434649525558616469852226343846505854626670747882909894102106114118110122126130134138142146150154158162166170174178182186190194198202206210214410141822263034384650545862[[#This Row],[Durée (100)]],".")</f>
        <v>2</v>
      </c>
      <c r="O13" s="337" t="n">
        <f aca="false">IF(L13 = "c", I13, 0)</f>
        <v>0</v>
      </c>
      <c r="P13" s="187"/>
      <c r="Q13" s="71"/>
      <c r="R13" s="71"/>
      <c r="S13" s="71"/>
      <c r="T13" s="71"/>
      <c r="U13" s="71"/>
      <c r="V13" s="71"/>
      <c r="W13" s="71"/>
      <c r="X13" s="71"/>
      <c r="Y13" s="71"/>
      <c r="Z13" s="71"/>
      <c r="AA13" s="71"/>
      <c r="AB13" s="71"/>
      <c r="AC13" s="71"/>
      <c r="AD13" s="71"/>
      <c r="AE13" s="71"/>
      <c r="AF13" s="71"/>
      <c r="AG13" s="71"/>
      <c r="AH13" s="71"/>
      <c r="AI13" s="71"/>
    </row>
    <row r="14" customFormat="false" ht="15" hidden="false" customHeight="false" outlineLevel="0" collapsed="false">
      <c r="A14" s="256" t="n">
        <f aca="false">IF(Horodateur112335381922313437434649525558616469852226343846505854626670747882909894102106114118110122126130134138142146150154158162166170174178182186190194198202206210214410141822263034384650545862[[#This Row],[Jour]]="1- Lundi",$B$1+1, IF(Horodateur112335381922313437434649525558616469852226343846505854626670747882909894102106114118110122126130134138142146150154158162166170174178182186190194198202206210214410141822263034384650545862[[#This Row],[Jour]]="2- Mardi",$B$1+2, IF(Horodateur112335381922313437434649525558616469852226343846505854626670747882909894102106114118110122126130134138142146150154158162166170174178182186190194198202206210214410141822263034384650545862[[#This Row],[Jour]]="3- Mercredi",$B$1+3, IF(Horodateur112335381922313437434649525558616469852226343846505854626670747882909894102106114118110122126130134138142146150154158162166170174178182186190194198202206210214410141822263034384650545862[[#This Row],[Jour]]="4- Jeudi",$B$1+4, IF(Horodateur112335381922313437434649525558616469852226343846505854626670747882909894102106114118110122126130134138142146150154158162166170174178182186190194198202206210214410141822263034384650545862[[#This Row],[Jour]]="5- Vendredi",$B$1+5, IF(Horodateur112335381922313437434649525558616469852226343846505854626670747882909894102106114118110122126130134138142146150154158162166170174178182186190194198202206210214410141822263034384650545862[[#This Row],[Jour]]="6- Samedi",$B$1+6, IF(Horodateur112335381922313437434649525558616469852226343846505854626670747882909894102106114118110122126130134138142146150154158162166170174178182186190194198202206210214410141822263034384650545862[[#This Row],[Jour]]="7- Dimanche",$B$1, )))))))</f>
        <v>44307</v>
      </c>
      <c r="B14" s="257" t="s">
        <v>319</v>
      </c>
      <c r="C14" s="258" t="n">
        <v>0.427083333333333</v>
      </c>
      <c r="D14" s="258" t="n">
        <v>0.4375</v>
      </c>
      <c r="E14" s="71" t="s">
        <v>61</v>
      </c>
      <c r="F14" s="71" t="s">
        <v>399</v>
      </c>
      <c r="G14" s="259" t="s">
        <v>412</v>
      </c>
      <c r="H14" s="258" t="n">
        <f aca="false">IF($C14=0,"",$D14-$C14)</f>
        <v>0.0104166666666667</v>
      </c>
      <c r="I14" s="260" t="n">
        <f aca="false">IF($C14=0,"",($H14-INT($H14))*24)</f>
        <v>0.25</v>
      </c>
      <c r="J14" s="303" t="n">
        <f aca="false">SUMIF(Horodateur112335381922313437434649525558616469852226343846505854626670747882909894102106114118110122126130134138142146150154158162166170174178182186190194198202206210214410141822263034384650545862[Jour],$B14,Horodateur112335381922313437434649525558616469852226343846505854626670747882909894102106114118110122126130134138142146150154158162166170174178182186190194198202206210214410141822263034384650545862[Durée (100)])</f>
        <v>7</v>
      </c>
      <c r="K14" s="335"/>
      <c r="L14" s="336"/>
      <c r="M14" s="188" t="s">
        <v>31</v>
      </c>
      <c r="N14" s="272" t="n">
        <f aca="false">IF(Horodateur112335381922313437434649525558616469852226343846505854626670747882909894102106114118110122126130134138142146150154158162166170174178182186190194198202206210214410141822263034384650545862[[#This Row],[O]]="o",Horodateur112335381922313437434649525558616469852226343846505854626670747882909894102106114118110122126130134138142146150154158162166170174178182186190194198202206210214410141822263034384650545862[[#This Row],[Durée (100)]],".")</f>
        <v>0.25</v>
      </c>
      <c r="O14" s="337" t="n">
        <f aca="false">IF(L14 = "c", I14, 0)</f>
        <v>0</v>
      </c>
      <c r="P14" s="187"/>
      <c r="Q14" s="71"/>
      <c r="R14" s="71"/>
      <c r="S14" s="71"/>
      <c r="T14" s="71"/>
      <c r="U14" s="71"/>
      <c r="V14" s="71"/>
      <c r="W14" s="71"/>
      <c r="X14" s="71"/>
      <c r="Y14" s="71"/>
      <c r="Z14" s="71"/>
      <c r="AA14" s="71"/>
      <c r="AB14" s="71"/>
      <c r="AC14" s="71"/>
      <c r="AD14" s="71"/>
      <c r="AE14" s="71"/>
      <c r="AF14" s="71"/>
      <c r="AG14" s="71"/>
      <c r="AH14" s="71"/>
      <c r="AI14" s="71"/>
    </row>
    <row r="15" customFormat="false" ht="15" hidden="false" customHeight="false" outlineLevel="0" collapsed="false">
      <c r="A15" s="256" t="n">
        <f aca="false">IF(Horodateur112335381922313437434649525558616469852226343846505854626670747882909894102106114118110122126130134138142146150154158162166170174178182186190194198202206210214410141822263034384650545862[[#This Row],[Jour]]="1- Lundi",$B$1+1, IF(Horodateur112335381922313437434649525558616469852226343846505854626670747882909894102106114118110122126130134138142146150154158162166170174178182186190194198202206210214410141822263034384650545862[[#This Row],[Jour]]="2- Mardi",$B$1+2, IF(Horodateur112335381922313437434649525558616469852226343846505854626670747882909894102106114118110122126130134138142146150154158162166170174178182186190194198202206210214410141822263034384650545862[[#This Row],[Jour]]="3- Mercredi",$B$1+3, IF(Horodateur112335381922313437434649525558616469852226343846505854626670747882909894102106114118110122126130134138142146150154158162166170174178182186190194198202206210214410141822263034384650545862[[#This Row],[Jour]]="4- Jeudi",$B$1+4, IF(Horodateur112335381922313437434649525558616469852226343846505854626670747882909894102106114118110122126130134138142146150154158162166170174178182186190194198202206210214410141822263034384650545862[[#This Row],[Jour]]="5- Vendredi",$B$1+5, IF(Horodateur112335381922313437434649525558616469852226343846505854626670747882909894102106114118110122126130134138142146150154158162166170174178182186190194198202206210214410141822263034384650545862[[#This Row],[Jour]]="6- Samedi",$B$1+6, IF(Horodateur112335381922313437434649525558616469852226343846505854626670747882909894102106114118110122126130134138142146150154158162166170174178182186190194198202206210214410141822263034384650545862[[#This Row],[Jour]]="7- Dimanche",$B$1, )))))))</f>
        <v>44307</v>
      </c>
      <c r="B15" s="257" t="s">
        <v>319</v>
      </c>
      <c r="C15" s="258" t="n">
        <v>0.4375</v>
      </c>
      <c r="D15" s="258" t="n">
        <v>0.479166666666667</v>
      </c>
      <c r="E15" s="71" t="s">
        <v>363</v>
      </c>
      <c r="F15" s="71" t="s">
        <v>378</v>
      </c>
      <c r="G15" s="259" t="s">
        <v>413</v>
      </c>
      <c r="H15" s="258" t="n">
        <f aca="false">IF($C15=0,"",$D15-$C15)</f>
        <v>0.0416666666666667</v>
      </c>
      <c r="I15" s="260" t="n">
        <f aca="false">IF($C15=0,"",($H15-INT($H15))*24)</f>
        <v>1</v>
      </c>
      <c r="J15" s="303" t="n">
        <f aca="false">SUMIF(Horodateur112335381922313437434649525558616469852226343846505854626670747882909894102106114118110122126130134138142146150154158162166170174178182186190194198202206210214410141822263034384650545862[Jour],$B15,Horodateur112335381922313437434649525558616469852226343846505854626670747882909894102106114118110122126130134138142146150154158162166170174178182186190194198202206210214410141822263034384650545862[Durée (100)])</f>
        <v>7</v>
      </c>
      <c r="K15" s="335"/>
      <c r="L15" s="336"/>
      <c r="M15" s="188" t="s">
        <v>31</v>
      </c>
      <c r="N15" s="272" t="n">
        <f aca="false">IF(Horodateur112335381922313437434649525558616469852226343846505854626670747882909894102106114118110122126130134138142146150154158162166170174178182186190194198202206210214410141822263034384650545862[[#This Row],[O]]="o",Horodateur112335381922313437434649525558616469852226343846505854626670747882909894102106114118110122126130134138142146150154158162166170174178182186190194198202206210214410141822263034384650545862[[#This Row],[Durée (100)]],".")</f>
        <v>1</v>
      </c>
      <c r="O15" s="337" t="n">
        <f aca="false">IF(L15 = "c", I15, 0)</f>
        <v>0</v>
      </c>
      <c r="P15" s="187"/>
      <c r="Q15" s="71"/>
      <c r="R15" s="71"/>
      <c r="S15" s="71"/>
      <c r="T15" s="71"/>
      <c r="U15" s="71"/>
      <c r="V15" s="71"/>
      <c r="W15" s="71"/>
      <c r="X15" s="71"/>
      <c r="Y15" s="71"/>
      <c r="Z15" s="71"/>
      <c r="AA15" s="71"/>
      <c r="AB15" s="71"/>
      <c r="AC15" s="71"/>
      <c r="AD15" s="71"/>
      <c r="AE15" s="71"/>
      <c r="AF15" s="71"/>
      <c r="AG15" s="71"/>
      <c r="AH15" s="71"/>
      <c r="AI15" s="71"/>
    </row>
    <row r="16" customFormat="false" ht="15" hidden="false" customHeight="false" outlineLevel="0" collapsed="false">
      <c r="A16" s="256" t="n">
        <f aca="false">IF(Horodateur112335381922313437434649525558616469852226343846505854626670747882909894102106114118110122126130134138142146150154158162166170174178182186190194198202206210214410141822263034384650545862[[#This Row],[Jour]]="1- Lundi",$B$1+1, IF(Horodateur112335381922313437434649525558616469852226343846505854626670747882909894102106114118110122126130134138142146150154158162166170174178182186190194198202206210214410141822263034384650545862[[#This Row],[Jour]]="2- Mardi",$B$1+2, IF(Horodateur112335381922313437434649525558616469852226343846505854626670747882909894102106114118110122126130134138142146150154158162166170174178182186190194198202206210214410141822263034384650545862[[#This Row],[Jour]]="3- Mercredi",$B$1+3, IF(Horodateur112335381922313437434649525558616469852226343846505854626670747882909894102106114118110122126130134138142146150154158162166170174178182186190194198202206210214410141822263034384650545862[[#This Row],[Jour]]="4- Jeudi",$B$1+4, IF(Horodateur112335381922313437434649525558616469852226343846505854626670747882909894102106114118110122126130134138142146150154158162166170174178182186190194198202206210214410141822263034384650545862[[#This Row],[Jour]]="5- Vendredi",$B$1+5, IF(Horodateur112335381922313437434649525558616469852226343846505854626670747882909894102106114118110122126130134138142146150154158162166170174178182186190194198202206210214410141822263034384650545862[[#This Row],[Jour]]="6- Samedi",$B$1+6, IF(Horodateur112335381922313437434649525558616469852226343846505854626670747882909894102106114118110122126130134138142146150154158162166170174178182186190194198202206210214410141822263034384650545862[[#This Row],[Jour]]="7- Dimanche",$B$1, )))))))</f>
        <v>44307</v>
      </c>
      <c r="B16" s="257" t="s">
        <v>319</v>
      </c>
      <c r="C16" s="258" t="n">
        <v>0.541666666666667</v>
      </c>
      <c r="D16" s="258" t="n">
        <v>0.5625</v>
      </c>
      <c r="E16" s="71" t="s">
        <v>363</v>
      </c>
      <c r="F16" s="71" t="s">
        <v>378</v>
      </c>
      <c r="G16" s="259" t="s">
        <v>413</v>
      </c>
      <c r="H16" s="258" t="n">
        <f aca="false">IF($C16=0,"",$D16-$C16)</f>
        <v>0.0208333333333334</v>
      </c>
      <c r="I16" s="260" t="n">
        <f aca="false">IF($C16=0,"",($H16-INT($H16))*24)</f>
        <v>0.500000000000001</v>
      </c>
      <c r="J16" s="303" t="n">
        <f aca="false">SUMIF(Horodateur112335381922313437434649525558616469852226343846505854626670747882909894102106114118110122126130134138142146150154158162166170174178182186190194198202206210214410141822263034384650545862[Jour],$B16,Horodateur112335381922313437434649525558616469852226343846505854626670747882909894102106114118110122126130134138142146150154158162166170174178182186190194198202206210214410141822263034384650545862[Durée (100)])</f>
        <v>7</v>
      </c>
      <c r="K16" s="335"/>
      <c r="L16" s="336"/>
      <c r="M16" s="188" t="s">
        <v>31</v>
      </c>
      <c r="N16" s="272" t="n">
        <f aca="false">IF(Horodateur112335381922313437434649525558616469852226343846505854626670747882909894102106114118110122126130134138142146150154158162166170174178182186190194198202206210214410141822263034384650545862[[#This Row],[O]]="o",Horodateur112335381922313437434649525558616469852226343846505854626670747882909894102106114118110122126130134138142146150154158162166170174178182186190194198202206210214410141822263034384650545862[[#This Row],[Durée (100)]],".")</f>
        <v>0.500000000000001</v>
      </c>
      <c r="O16" s="337" t="n">
        <f aca="false">IF(L16 = "c", I16, 0)</f>
        <v>0</v>
      </c>
      <c r="P16" s="187"/>
      <c r="Q16" s="71"/>
      <c r="R16" s="71"/>
      <c r="S16" s="71"/>
      <c r="T16" s="71"/>
      <c r="U16" s="71"/>
      <c r="V16" s="71"/>
      <c r="W16" s="71"/>
      <c r="X16" s="71"/>
      <c r="Y16" s="71"/>
      <c r="Z16" s="71"/>
      <c r="AA16" s="71"/>
      <c r="AB16" s="71"/>
      <c r="AC16" s="71"/>
      <c r="AD16" s="71"/>
      <c r="AE16" s="71"/>
      <c r="AF16" s="71"/>
      <c r="AG16" s="71"/>
      <c r="AH16" s="71"/>
      <c r="AI16" s="71"/>
    </row>
    <row r="17" customFormat="false" ht="15" hidden="false" customHeight="false" outlineLevel="0" collapsed="false">
      <c r="A17" s="256" t="n">
        <f aca="false">IF(Horodateur112335381922313437434649525558616469852226343846505854626670747882909894102106114118110122126130134138142146150154158162166170174178182186190194198202206210214410141822263034384650545862[[#This Row],[Jour]]="1- Lundi",$B$1+1, IF(Horodateur112335381922313437434649525558616469852226343846505854626670747882909894102106114118110122126130134138142146150154158162166170174178182186190194198202206210214410141822263034384650545862[[#This Row],[Jour]]="2- Mardi",$B$1+2, IF(Horodateur112335381922313437434649525558616469852226343846505854626670747882909894102106114118110122126130134138142146150154158162166170174178182186190194198202206210214410141822263034384650545862[[#This Row],[Jour]]="3- Mercredi",$B$1+3, IF(Horodateur112335381922313437434649525558616469852226343846505854626670747882909894102106114118110122126130134138142146150154158162166170174178182186190194198202206210214410141822263034384650545862[[#This Row],[Jour]]="4- Jeudi",$B$1+4, IF(Horodateur112335381922313437434649525558616469852226343846505854626670747882909894102106114118110122126130134138142146150154158162166170174178182186190194198202206210214410141822263034384650545862[[#This Row],[Jour]]="5- Vendredi",$B$1+5, IF(Horodateur112335381922313437434649525558616469852226343846505854626670747882909894102106114118110122126130134138142146150154158162166170174178182186190194198202206210214410141822263034384650545862[[#This Row],[Jour]]="6- Samedi",$B$1+6, IF(Horodateur112335381922313437434649525558616469852226343846505854626670747882909894102106114118110122126130134138142146150154158162166170174178182186190194198202206210214410141822263034384650545862[[#This Row],[Jour]]="7- Dimanche",$B$1, )))))))</f>
        <v>44307</v>
      </c>
      <c r="B17" s="257" t="s">
        <v>319</v>
      </c>
      <c r="C17" s="258" t="n">
        <v>0.5625</v>
      </c>
      <c r="D17" s="258" t="n">
        <v>0.645833333333333</v>
      </c>
      <c r="E17" s="71" t="s">
        <v>363</v>
      </c>
      <c r="F17" s="71" t="s">
        <v>408</v>
      </c>
      <c r="G17" s="259" t="s">
        <v>414</v>
      </c>
      <c r="H17" s="258" t="n">
        <f aca="false">IF($C17=0,"",$D17-$C17)</f>
        <v>0.0833333333333333</v>
      </c>
      <c r="I17" s="260" t="n">
        <f aca="false">IF($C17=0,"",($H17-INT($H17))*24)</f>
        <v>2</v>
      </c>
      <c r="J17" s="303" t="n">
        <f aca="false">SUMIF(Horodateur112335381922313437434649525558616469852226343846505854626670747882909894102106114118110122126130134138142146150154158162166170174178182186190194198202206210214410141822263034384650545862[Jour],$B17,Horodateur112335381922313437434649525558616469852226343846505854626670747882909894102106114118110122126130134138142146150154158162166170174178182186190194198202206210214410141822263034384650545862[Durée (100)])</f>
        <v>7</v>
      </c>
      <c r="K17" s="335"/>
      <c r="L17" s="336"/>
      <c r="M17" s="188" t="s">
        <v>31</v>
      </c>
      <c r="N17" s="272" t="n">
        <f aca="false">IF(Horodateur112335381922313437434649525558616469852226343846505854626670747882909894102106114118110122126130134138142146150154158162166170174178182186190194198202206210214410141822263034384650545862[[#This Row],[O]]="o",Horodateur112335381922313437434649525558616469852226343846505854626670747882909894102106114118110122126130134138142146150154158162166170174178182186190194198202206210214410141822263034384650545862[[#This Row],[Durée (100)]],".")</f>
        <v>2</v>
      </c>
      <c r="O17" s="337" t="n">
        <f aca="false">IF(L17 = "c", I17, 0)</f>
        <v>0</v>
      </c>
      <c r="P17" s="187"/>
      <c r="Q17" s="71"/>
      <c r="R17" s="71"/>
      <c r="S17" s="71"/>
      <c r="T17" s="71"/>
      <c r="U17" s="71"/>
      <c r="V17" s="71"/>
      <c r="W17" s="71"/>
      <c r="X17" s="71"/>
      <c r="Y17" s="71"/>
      <c r="Z17" s="71"/>
      <c r="AA17" s="71"/>
      <c r="AB17" s="71"/>
      <c r="AC17" s="71"/>
      <c r="AD17" s="71"/>
      <c r="AE17" s="71"/>
      <c r="AF17" s="71"/>
      <c r="AG17" s="71"/>
      <c r="AH17" s="71"/>
      <c r="AI17" s="71"/>
    </row>
    <row r="18" customFormat="false" ht="15" hidden="false" customHeight="false" outlineLevel="0" collapsed="false">
      <c r="A18" s="256" t="n">
        <f aca="false">IF(Horodateur112335381922313437434649525558616469852226343846505854626670747882909894102106114118110122126130134138142146150154158162166170174178182186190194198202206210214410141822263034384650545862[[#This Row],[Jour]]="1- Lundi",$B$1+1, IF(Horodateur112335381922313437434649525558616469852226343846505854626670747882909894102106114118110122126130134138142146150154158162166170174178182186190194198202206210214410141822263034384650545862[[#This Row],[Jour]]="2- Mardi",$B$1+2, IF(Horodateur112335381922313437434649525558616469852226343846505854626670747882909894102106114118110122126130134138142146150154158162166170174178182186190194198202206210214410141822263034384650545862[[#This Row],[Jour]]="3- Mercredi",$B$1+3, IF(Horodateur112335381922313437434649525558616469852226343846505854626670747882909894102106114118110122126130134138142146150154158162166170174178182186190194198202206210214410141822263034384650545862[[#This Row],[Jour]]="4- Jeudi",$B$1+4, IF(Horodateur112335381922313437434649525558616469852226343846505854626670747882909894102106114118110122126130134138142146150154158162166170174178182186190194198202206210214410141822263034384650545862[[#This Row],[Jour]]="5- Vendredi",$B$1+5, IF(Horodateur112335381922313437434649525558616469852226343846505854626670747882909894102106114118110122126130134138142146150154158162166170174178182186190194198202206210214410141822263034384650545862[[#This Row],[Jour]]="6- Samedi",$B$1+6, IF(Horodateur112335381922313437434649525558616469852226343846505854626670747882909894102106114118110122126130134138142146150154158162166170174178182186190194198202206210214410141822263034384650545862[[#This Row],[Jour]]="7- Dimanche",$B$1, )))))))</f>
        <v>44307</v>
      </c>
      <c r="B18" s="257" t="s">
        <v>319</v>
      </c>
      <c r="C18" s="258" t="n">
        <v>0.645833333333333</v>
      </c>
      <c r="D18" s="258" t="n">
        <v>0.666666666666667</v>
      </c>
      <c r="E18" s="71" t="s">
        <v>32</v>
      </c>
      <c r="F18" s="71" t="s">
        <v>20</v>
      </c>
      <c r="G18" s="259" t="s">
        <v>415</v>
      </c>
      <c r="H18" s="258" t="n">
        <f aca="false">IF($C18=0,"",$D18-$C18)</f>
        <v>0.0208333333333333</v>
      </c>
      <c r="I18" s="260" t="n">
        <f aca="false">IF($C18=0,"",($H18-INT($H18))*24)</f>
        <v>0.499999999999998</v>
      </c>
      <c r="J18" s="303" t="n">
        <f aca="false">SUMIF(Horodateur112335381922313437434649525558616469852226343846505854626670747882909894102106114118110122126130134138142146150154158162166170174178182186190194198202206210214410141822263034384650545862[Jour],$B18,Horodateur112335381922313437434649525558616469852226343846505854626670747882909894102106114118110122126130134138142146150154158162166170174178182186190194198202206210214410141822263034384650545862[Durée (100)])</f>
        <v>7</v>
      </c>
      <c r="K18" s="335"/>
      <c r="L18" s="336"/>
      <c r="M18" s="188" t="s">
        <v>31</v>
      </c>
      <c r="N18" s="272" t="n">
        <f aca="false">IF(Horodateur112335381922313437434649525558616469852226343846505854626670747882909894102106114118110122126130134138142146150154158162166170174178182186190194198202206210214410141822263034384650545862[[#This Row],[O]]="o",Horodateur112335381922313437434649525558616469852226343846505854626670747882909894102106114118110122126130134138142146150154158162166170174178182186190194198202206210214410141822263034384650545862[[#This Row],[Durée (100)]],".")</f>
        <v>0.499999999999998</v>
      </c>
      <c r="O18" s="337" t="n">
        <f aca="false">IF(L18 = "c", I18, 0)</f>
        <v>0</v>
      </c>
      <c r="P18" s="187"/>
      <c r="Q18" s="71"/>
      <c r="R18" s="71"/>
      <c r="S18" s="71"/>
      <c r="T18" s="71"/>
      <c r="U18" s="71"/>
      <c r="V18" s="71"/>
      <c r="W18" s="71"/>
      <c r="X18" s="71"/>
      <c r="Y18" s="71"/>
      <c r="Z18" s="71"/>
      <c r="AA18" s="71"/>
      <c r="AB18" s="71"/>
      <c r="AC18" s="71"/>
      <c r="AD18" s="71"/>
      <c r="AE18" s="71"/>
      <c r="AF18" s="71"/>
      <c r="AG18" s="71"/>
      <c r="AH18" s="71"/>
      <c r="AI18" s="71"/>
    </row>
    <row r="19" customFormat="false" ht="15" hidden="false" customHeight="false" outlineLevel="0" collapsed="false">
      <c r="A19" s="256" t="n">
        <f aca="false">IF(Horodateur112335381922313437434649525558616469852226343846505854626670747882909894102106114118110122126130134138142146150154158162166170174178182186190194198202206210214410141822263034384650545862[[#This Row],[Jour]]="1- Lundi",$B$1+1, IF(Horodateur112335381922313437434649525558616469852226343846505854626670747882909894102106114118110122126130134138142146150154158162166170174178182186190194198202206210214410141822263034384650545862[[#This Row],[Jour]]="2- Mardi",$B$1+2, IF(Horodateur112335381922313437434649525558616469852226343846505854626670747882909894102106114118110122126130134138142146150154158162166170174178182186190194198202206210214410141822263034384650545862[[#This Row],[Jour]]="3- Mercredi",$B$1+3, IF(Horodateur112335381922313437434649525558616469852226343846505854626670747882909894102106114118110122126130134138142146150154158162166170174178182186190194198202206210214410141822263034384650545862[[#This Row],[Jour]]="4- Jeudi",$B$1+4, IF(Horodateur112335381922313437434649525558616469852226343846505854626670747882909894102106114118110122126130134138142146150154158162166170174178182186190194198202206210214410141822263034384650545862[[#This Row],[Jour]]="5- Vendredi",$B$1+5, IF(Horodateur112335381922313437434649525558616469852226343846505854626670747882909894102106114118110122126130134138142146150154158162166170174178182186190194198202206210214410141822263034384650545862[[#This Row],[Jour]]="6- Samedi",$B$1+6, IF(Horodateur112335381922313437434649525558616469852226343846505854626670747882909894102106114118110122126130134138142146150154158162166170174178182186190194198202206210214410141822263034384650545862[[#This Row],[Jour]]="7- Dimanche",$B$1, )))))))</f>
        <v>44307</v>
      </c>
      <c r="B19" s="257" t="s">
        <v>319</v>
      </c>
      <c r="C19" s="258" t="n">
        <v>0.666666666666667</v>
      </c>
      <c r="D19" s="258" t="n">
        <v>0.697916666666667</v>
      </c>
      <c r="E19" s="71" t="s">
        <v>363</v>
      </c>
      <c r="F19" s="71" t="s">
        <v>378</v>
      </c>
      <c r="G19" s="259" t="s">
        <v>413</v>
      </c>
      <c r="H19" s="258" t="n">
        <f aca="false">IF($C19=0,"",$D19-$C19)</f>
        <v>0.03125</v>
      </c>
      <c r="I19" s="260" t="n">
        <f aca="false">IF($C19=0,"",($H19-INT($H19))*24)</f>
        <v>0.75</v>
      </c>
      <c r="J19" s="303" t="n">
        <f aca="false">SUMIF(Horodateur112335381922313437434649525558616469852226343846505854626670747882909894102106114118110122126130134138142146150154158162166170174178182186190194198202206210214410141822263034384650545862[Jour],$B19,Horodateur112335381922313437434649525558616469852226343846505854626670747882909894102106114118110122126130134138142146150154158162166170174178182186190194198202206210214410141822263034384650545862[Durée (100)])</f>
        <v>7</v>
      </c>
      <c r="K19" s="335"/>
      <c r="L19" s="336"/>
      <c r="M19" s="188" t="s">
        <v>31</v>
      </c>
      <c r="N19" s="272" t="n">
        <f aca="false">IF(Horodateur112335381922313437434649525558616469852226343846505854626670747882909894102106114118110122126130134138142146150154158162166170174178182186190194198202206210214410141822263034384650545862[[#This Row],[O]]="o",Horodateur112335381922313437434649525558616469852226343846505854626670747882909894102106114118110122126130134138142146150154158162166170174178182186190194198202206210214410141822263034384650545862[[#This Row],[Durée (100)]],".")</f>
        <v>0.75</v>
      </c>
      <c r="O19" s="337" t="n">
        <f aca="false">IF(L19 = "c", I19, 0)</f>
        <v>0</v>
      </c>
      <c r="P19" s="187"/>
      <c r="Q19" s="71"/>
      <c r="R19" s="71"/>
      <c r="S19" s="71"/>
      <c r="T19" s="71"/>
      <c r="U19" s="71"/>
      <c r="V19" s="71"/>
      <c r="W19" s="71"/>
      <c r="X19" s="71"/>
      <c r="Y19" s="71"/>
      <c r="Z19" s="71"/>
      <c r="AA19" s="71"/>
      <c r="AB19" s="71"/>
      <c r="AC19" s="71"/>
      <c r="AD19" s="71"/>
      <c r="AE19" s="71"/>
      <c r="AF19" s="71"/>
      <c r="AG19" s="71"/>
      <c r="AH19" s="71"/>
      <c r="AI19" s="71"/>
    </row>
    <row r="20" customFormat="false" ht="15" hidden="false" customHeight="false" outlineLevel="0" collapsed="false">
      <c r="A20" s="256" t="n">
        <f aca="false">IF(Horodateur112335381922313437434649525558616469852226343846505854626670747882909894102106114118110122126130134138142146150154158162166170174178182186190194198202206210214410141822263034384650545862[[#This Row],[Jour]]="1- Lundi",$B$1+1, IF(Horodateur112335381922313437434649525558616469852226343846505854626670747882909894102106114118110122126130134138142146150154158162166170174178182186190194198202206210214410141822263034384650545862[[#This Row],[Jour]]="2- Mardi",$B$1+2, IF(Horodateur112335381922313437434649525558616469852226343846505854626670747882909894102106114118110122126130134138142146150154158162166170174178182186190194198202206210214410141822263034384650545862[[#This Row],[Jour]]="3- Mercredi",$B$1+3, IF(Horodateur112335381922313437434649525558616469852226343846505854626670747882909894102106114118110122126130134138142146150154158162166170174178182186190194198202206210214410141822263034384650545862[[#This Row],[Jour]]="4- Jeudi",$B$1+4, IF(Horodateur112335381922313437434649525558616469852226343846505854626670747882909894102106114118110122126130134138142146150154158162166170174178182186190194198202206210214410141822263034384650545862[[#This Row],[Jour]]="5- Vendredi",$B$1+5, IF(Horodateur112335381922313437434649525558616469852226343846505854626670747882909894102106114118110122126130134138142146150154158162166170174178182186190194198202206210214410141822263034384650545862[[#This Row],[Jour]]="6- Samedi",$B$1+6, IF(Horodateur112335381922313437434649525558616469852226343846505854626670747882909894102106114118110122126130134138142146150154158162166170174178182186190194198202206210214410141822263034384650545862[[#This Row],[Jour]]="7- Dimanche",$B$1, )))))))</f>
        <v>44308</v>
      </c>
      <c r="B20" s="257" t="s">
        <v>324</v>
      </c>
      <c r="C20" s="258" t="n">
        <v>0.21875</v>
      </c>
      <c r="D20" s="258" t="n">
        <v>0.333333333333333</v>
      </c>
      <c r="E20" s="71" t="s">
        <v>32</v>
      </c>
      <c r="F20" s="71" t="s">
        <v>26</v>
      </c>
      <c r="G20" s="259" t="s">
        <v>416</v>
      </c>
      <c r="H20" s="258" t="n">
        <f aca="false">IF($C20=0,"",$D20-$C20)</f>
        <v>0.114583333333333</v>
      </c>
      <c r="I20" s="260" t="n">
        <f aca="false">IF($C20=0,"",($H20-INT($H20))*24)</f>
        <v>2.75</v>
      </c>
      <c r="J20" s="303" t="n">
        <f aca="false">SUMIF(Horodateur112335381922313437434649525558616469852226343846505854626670747882909894102106114118110122126130134138142146150154158162166170174178182186190194198202206210214410141822263034384650545862[Jour],$B20,Horodateur112335381922313437434649525558616469852226343846505854626670747882909894102106114118110122126130134138142146150154158162166170174178182186190194198202206210214410141822263034384650545862[Durée (100)])</f>
        <v>6.75</v>
      </c>
      <c r="K20" s="335"/>
      <c r="L20" s="336"/>
      <c r="M20" s="188" t="s">
        <v>31</v>
      </c>
      <c r="N20" s="272" t="n">
        <f aca="false">IF(Horodateur112335381922313437434649525558616469852226343846505854626670747882909894102106114118110122126130134138142146150154158162166170174178182186190194198202206210214410141822263034384650545862[[#This Row],[O]]="o",Horodateur112335381922313437434649525558616469852226343846505854626670747882909894102106114118110122126130134138142146150154158162166170174178182186190194198202206210214410141822263034384650545862[[#This Row],[Durée (100)]],".")</f>
        <v>2.75</v>
      </c>
      <c r="O20" s="337" t="n">
        <f aca="false">IF(L20 = "c", I20, 0)</f>
        <v>0</v>
      </c>
      <c r="P20" s="187"/>
      <c r="Q20" s="71"/>
      <c r="R20" s="71"/>
      <c r="S20" s="71"/>
      <c r="T20" s="71"/>
      <c r="U20" s="71"/>
      <c r="V20" s="71"/>
      <c r="W20" s="71"/>
      <c r="X20" s="71"/>
      <c r="Y20" s="71"/>
      <c r="Z20" s="71"/>
      <c r="AA20" s="71"/>
      <c r="AB20" s="71"/>
      <c r="AC20" s="71"/>
      <c r="AD20" s="71"/>
      <c r="AE20" s="71"/>
      <c r="AF20" s="71"/>
      <c r="AG20" s="71"/>
      <c r="AH20" s="71"/>
      <c r="AI20" s="71"/>
    </row>
    <row r="21" customFormat="false" ht="15" hidden="false" customHeight="false" outlineLevel="0" collapsed="false">
      <c r="A21" s="256" t="n">
        <f aca="false">IF(Horodateur112335381922313437434649525558616469852226343846505854626670747882909894102106114118110122126130134138142146150154158162166170174178182186190194198202206210214410141822263034384650545862[[#This Row],[Jour]]="1- Lundi",$B$1+1, IF(Horodateur112335381922313437434649525558616469852226343846505854626670747882909894102106114118110122126130134138142146150154158162166170174178182186190194198202206210214410141822263034384650545862[[#This Row],[Jour]]="2- Mardi",$B$1+2, IF(Horodateur112335381922313437434649525558616469852226343846505854626670747882909894102106114118110122126130134138142146150154158162166170174178182186190194198202206210214410141822263034384650545862[[#This Row],[Jour]]="3- Mercredi",$B$1+3, IF(Horodateur112335381922313437434649525558616469852226343846505854626670747882909894102106114118110122126130134138142146150154158162166170174178182186190194198202206210214410141822263034384650545862[[#This Row],[Jour]]="4- Jeudi",$B$1+4, IF(Horodateur112335381922313437434649525558616469852226343846505854626670747882909894102106114118110122126130134138142146150154158162166170174178182186190194198202206210214410141822263034384650545862[[#This Row],[Jour]]="5- Vendredi",$B$1+5, IF(Horodateur112335381922313437434649525558616469852226343846505854626670747882909894102106114118110122126130134138142146150154158162166170174178182186190194198202206210214410141822263034384650545862[[#This Row],[Jour]]="6- Samedi",$B$1+6, IF(Horodateur112335381922313437434649525558616469852226343846505854626670747882909894102106114118110122126130134138142146150154158162166170174178182186190194198202206210214410141822263034384650545862[[#This Row],[Jour]]="7- Dimanche",$B$1, )))))))</f>
        <v>44308</v>
      </c>
      <c r="B21" s="257" t="s">
        <v>324</v>
      </c>
      <c r="C21" s="258" t="n">
        <v>0.333333333333333</v>
      </c>
      <c r="D21" s="258" t="n">
        <v>0.489583333333333</v>
      </c>
      <c r="E21" s="71" t="s">
        <v>63</v>
      </c>
      <c r="F21" s="71" t="s">
        <v>378</v>
      </c>
      <c r="G21" s="259" t="s">
        <v>417</v>
      </c>
      <c r="H21" s="258" t="n">
        <f aca="false">IF($C21=0,"",$D21-$C21)</f>
        <v>0.15625</v>
      </c>
      <c r="I21" s="260" t="n">
        <f aca="false">IF($C21=0,"",($H21-INT($H21))*24)</f>
        <v>3.75</v>
      </c>
      <c r="J21" s="303" t="n">
        <f aca="false">SUMIF(Horodateur112335381922313437434649525558616469852226343846505854626670747882909894102106114118110122126130134138142146150154158162166170174178182186190194198202206210214410141822263034384650545862[Jour],$B21,Horodateur112335381922313437434649525558616469852226343846505854626670747882909894102106114118110122126130134138142146150154158162166170174178182186190194198202206210214410141822263034384650545862[Durée (100)])</f>
        <v>6.75</v>
      </c>
      <c r="K21" s="335"/>
      <c r="L21" s="336"/>
      <c r="M21" s="188" t="s">
        <v>31</v>
      </c>
      <c r="N21" s="272" t="n">
        <f aca="false">IF(Horodateur112335381922313437434649525558616469852226343846505854626670747882909894102106114118110122126130134138142146150154158162166170174178182186190194198202206210214410141822263034384650545862[[#This Row],[O]]="o",Horodateur112335381922313437434649525558616469852226343846505854626670747882909894102106114118110122126130134138142146150154158162166170174178182186190194198202206210214410141822263034384650545862[[#This Row],[Durée (100)]],".")</f>
        <v>3.75</v>
      </c>
      <c r="O21" s="337" t="n">
        <f aca="false">IF(L21 = "c", I21, 0)</f>
        <v>0</v>
      </c>
      <c r="P21" s="187"/>
      <c r="Q21" s="71"/>
      <c r="R21" s="71"/>
      <c r="S21" s="71"/>
      <c r="T21" s="71"/>
      <c r="U21" s="71"/>
      <c r="V21" s="71"/>
      <c r="W21" s="71"/>
      <c r="X21" s="71"/>
      <c r="Y21" s="71"/>
      <c r="Z21" s="71"/>
      <c r="AA21" s="71"/>
      <c r="AB21" s="71"/>
      <c r="AC21" s="71"/>
      <c r="AD21" s="71"/>
      <c r="AE21" s="71"/>
      <c r="AF21" s="71"/>
      <c r="AG21" s="71"/>
      <c r="AH21" s="71"/>
      <c r="AI21" s="71"/>
    </row>
    <row r="22" customFormat="false" ht="15" hidden="false" customHeight="false" outlineLevel="0" collapsed="false">
      <c r="A22" s="256" t="n">
        <f aca="false">IF(Horodateur112335381922313437434649525558616469852226343846505854626670747882909894102106114118110122126130134138142146150154158162166170174178182186190194198202206210214410141822263034384650545862[[#This Row],[Jour]]="1- Lundi",$B$1+1, IF(Horodateur112335381922313437434649525558616469852226343846505854626670747882909894102106114118110122126130134138142146150154158162166170174178182186190194198202206210214410141822263034384650545862[[#This Row],[Jour]]="2- Mardi",$B$1+2, IF(Horodateur112335381922313437434649525558616469852226343846505854626670747882909894102106114118110122126130134138142146150154158162166170174178182186190194198202206210214410141822263034384650545862[[#This Row],[Jour]]="3- Mercredi",$B$1+3, IF(Horodateur112335381922313437434649525558616469852226343846505854626670747882909894102106114118110122126130134138142146150154158162166170174178182186190194198202206210214410141822263034384650545862[[#This Row],[Jour]]="4- Jeudi",$B$1+4, IF(Horodateur112335381922313437434649525558616469852226343846505854626670747882909894102106114118110122126130134138142146150154158162166170174178182186190194198202206210214410141822263034384650545862[[#This Row],[Jour]]="5- Vendredi",$B$1+5, IF(Horodateur112335381922313437434649525558616469852226343846505854626670747882909894102106114118110122126130134138142146150154158162166170174178182186190194198202206210214410141822263034384650545862[[#This Row],[Jour]]="6- Samedi",$B$1+6, IF(Horodateur112335381922313437434649525558616469852226343846505854626670747882909894102106114118110122126130134138142146150154158162166170174178182186190194198202206210214410141822263034384650545862[[#This Row],[Jour]]="7- Dimanche",$B$1, )))))))</f>
        <v>44308</v>
      </c>
      <c r="B22" s="257" t="s">
        <v>324</v>
      </c>
      <c r="C22" s="258" t="n">
        <v>0.489583333333333</v>
      </c>
      <c r="D22" s="258" t="n">
        <v>0.5</v>
      </c>
      <c r="E22" s="71" t="s">
        <v>32</v>
      </c>
      <c r="F22" s="71" t="s">
        <v>26</v>
      </c>
      <c r="G22" s="259" t="s">
        <v>416</v>
      </c>
      <c r="H22" s="258" t="n">
        <f aca="false">IF($C22=0,"",$D22-$C22)</f>
        <v>0.0104166666666667</v>
      </c>
      <c r="I22" s="260" t="n">
        <f aca="false">IF($C22=0,"",($H22-INT($H22))*24)</f>
        <v>0.25</v>
      </c>
      <c r="J22" s="303" t="n">
        <f aca="false">SUMIF(Horodateur112335381922313437434649525558616469852226343846505854626670747882909894102106114118110122126130134138142146150154158162166170174178182186190194198202206210214410141822263034384650545862[Jour],$B22,Horodateur112335381922313437434649525558616469852226343846505854626670747882909894102106114118110122126130134138142146150154158162166170174178182186190194198202206210214410141822263034384650545862[Durée (100)])</f>
        <v>6.75</v>
      </c>
      <c r="K22" s="335"/>
      <c r="L22" s="336"/>
      <c r="M22" s="188" t="s">
        <v>31</v>
      </c>
      <c r="N22" s="272" t="n">
        <f aca="false">IF(Horodateur112335381922313437434649525558616469852226343846505854626670747882909894102106114118110122126130134138142146150154158162166170174178182186190194198202206210214410141822263034384650545862[[#This Row],[O]]="o",Horodateur112335381922313437434649525558616469852226343846505854626670747882909894102106114118110122126130134138142146150154158162166170174178182186190194198202206210214410141822263034384650545862[[#This Row],[Durée (100)]],".")</f>
        <v>0.25</v>
      </c>
      <c r="O22" s="337" t="n">
        <f aca="false">IF(L22 = "c", I22, 0)</f>
        <v>0</v>
      </c>
      <c r="P22" s="187"/>
      <c r="Q22" s="71"/>
      <c r="R22" s="71"/>
      <c r="S22" s="71"/>
      <c r="T22" s="71"/>
      <c r="U22" s="71"/>
      <c r="V22" s="71"/>
      <c r="W22" s="71"/>
      <c r="X22" s="71"/>
      <c r="Y22" s="71"/>
      <c r="Z22" s="71"/>
      <c r="AA22" s="71"/>
      <c r="AB22" s="71"/>
      <c r="AC22" s="71"/>
      <c r="AD22" s="71"/>
      <c r="AE22" s="71"/>
      <c r="AF22" s="71"/>
      <c r="AG22" s="71"/>
      <c r="AH22" s="71"/>
      <c r="AI22" s="71"/>
    </row>
    <row r="23" customFormat="false" ht="15" hidden="false" customHeight="false" outlineLevel="0" collapsed="false">
      <c r="A23" s="256" t="n">
        <f aca="false">IF(Horodateur112335381922313437434649525558616469852226343846505854626670747882909894102106114118110122126130134138142146150154158162166170174178182186190194198202206210214410141822263034384650545862[[#This Row],[Jour]]="1- Lundi",$B$1+1, IF(Horodateur112335381922313437434649525558616469852226343846505854626670747882909894102106114118110122126130134138142146150154158162166170174178182186190194198202206210214410141822263034384650545862[[#This Row],[Jour]]="2- Mardi",$B$1+2, IF(Horodateur112335381922313437434649525558616469852226343846505854626670747882909894102106114118110122126130134138142146150154158162166170174178182186190194198202206210214410141822263034384650545862[[#This Row],[Jour]]="3- Mercredi",$B$1+3, IF(Horodateur112335381922313437434649525558616469852226343846505854626670747882909894102106114118110122126130134138142146150154158162166170174178182186190194198202206210214410141822263034384650545862[[#This Row],[Jour]]="4- Jeudi",$B$1+4, IF(Horodateur112335381922313437434649525558616469852226343846505854626670747882909894102106114118110122126130134138142146150154158162166170174178182186190194198202206210214410141822263034384650545862[[#This Row],[Jour]]="5- Vendredi",$B$1+5, IF(Horodateur112335381922313437434649525558616469852226343846505854626670747882909894102106114118110122126130134138142146150154158162166170174178182186190194198202206210214410141822263034384650545862[[#This Row],[Jour]]="6- Samedi",$B$1+6, IF(Horodateur112335381922313437434649525558616469852226343846505854626670747882909894102106114118110122126130134138142146150154158162166170174178182186190194198202206210214410141822263034384650545862[[#This Row],[Jour]]="7- Dimanche",$B$1, )))))))</f>
        <v>44309</v>
      </c>
      <c r="B23" s="257" t="s">
        <v>332</v>
      </c>
      <c r="C23" s="258" t="n">
        <v>0.322916666666667</v>
      </c>
      <c r="D23" s="258" t="n">
        <v>0.333333333333333</v>
      </c>
      <c r="E23" s="71" t="s">
        <v>32</v>
      </c>
      <c r="F23" s="71" t="s">
        <v>26</v>
      </c>
      <c r="G23" s="259" t="s">
        <v>418</v>
      </c>
      <c r="H23" s="258" t="n">
        <f aca="false">IF($C23=0,"",$D23-$C23)</f>
        <v>0.0104166666666667</v>
      </c>
      <c r="I23" s="260" t="n">
        <f aca="false">IF($C23=0,"",($H23-INT($H23))*24)</f>
        <v>0.25</v>
      </c>
      <c r="J23" s="303" t="n">
        <f aca="false">SUMIF(Horodateur112335381922313437434649525558616469852226343846505854626670747882909894102106114118110122126130134138142146150154158162166170174178182186190194198202206210214410141822263034384650545862[Jour],$B23,Horodateur112335381922313437434649525558616469852226343846505854626670747882909894102106114118110122126130134138142146150154158162166170174178182186190194198202206210214410141822263034384650545862[Durée (100)])</f>
        <v>5</v>
      </c>
      <c r="K23" s="335"/>
      <c r="L23" s="336"/>
      <c r="M23" s="188" t="s">
        <v>31</v>
      </c>
      <c r="N23" s="272" t="n">
        <f aca="false">IF(Horodateur112335381922313437434649525558616469852226343846505854626670747882909894102106114118110122126130134138142146150154158162166170174178182186190194198202206210214410141822263034384650545862[[#This Row],[O]]="o",Horodateur112335381922313437434649525558616469852226343846505854626670747882909894102106114118110122126130134138142146150154158162166170174178182186190194198202206210214410141822263034384650545862[[#This Row],[Durée (100)]],".")</f>
        <v>0.249999999999999</v>
      </c>
      <c r="O23" s="337" t="n">
        <f aca="false">IF(L23 = "c", I23, 0)</f>
        <v>0</v>
      </c>
      <c r="P23" s="187"/>
      <c r="Q23" s="71"/>
      <c r="R23" s="71"/>
      <c r="S23" s="71"/>
      <c r="T23" s="71"/>
      <c r="U23" s="71"/>
      <c r="V23" s="71"/>
      <c r="W23" s="71"/>
      <c r="X23" s="71"/>
      <c r="Y23" s="71"/>
      <c r="Z23" s="71"/>
      <c r="AA23" s="71"/>
      <c r="AB23" s="71"/>
      <c r="AC23" s="71"/>
      <c r="AD23" s="71"/>
      <c r="AE23" s="71"/>
      <c r="AF23" s="71"/>
      <c r="AG23" s="71"/>
      <c r="AH23" s="71"/>
      <c r="AI23" s="71"/>
    </row>
    <row r="24" customFormat="false" ht="15" hidden="false" customHeight="false" outlineLevel="0" collapsed="false">
      <c r="A24" s="256" t="n">
        <f aca="false">IF(Horodateur112335381922313437434649525558616469852226343846505854626670747882909894102106114118110122126130134138142146150154158162166170174178182186190194198202206210214410141822263034384650545862[[#This Row],[Jour]]="1- Lundi",$B$1+1, IF(Horodateur112335381922313437434649525558616469852226343846505854626670747882909894102106114118110122126130134138142146150154158162166170174178182186190194198202206210214410141822263034384650545862[[#This Row],[Jour]]="2- Mardi",$B$1+2, IF(Horodateur112335381922313437434649525558616469852226343846505854626670747882909894102106114118110122126130134138142146150154158162166170174178182186190194198202206210214410141822263034384650545862[[#This Row],[Jour]]="3- Mercredi",$B$1+3, IF(Horodateur112335381922313437434649525558616469852226343846505854626670747882909894102106114118110122126130134138142146150154158162166170174178182186190194198202206210214410141822263034384650545862[[#This Row],[Jour]]="4- Jeudi",$B$1+4, IF(Horodateur112335381922313437434649525558616469852226343846505854626670747882909894102106114118110122126130134138142146150154158162166170174178182186190194198202206210214410141822263034384650545862[[#This Row],[Jour]]="5- Vendredi",$B$1+5, IF(Horodateur112335381922313437434649525558616469852226343846505854626670747882909894102106114118110122126130134138142146150154158162166170174178182186190194198202206210214410141822263034384650545862[[#This Row],[Jour]]="6- Samedi",$B$1+6, IF(Horodateur112335381922313437434649525558616469852226343846505854626670747882909894102106114118110122126130134138142146150154158162166170174178182186190194198202206210214410141822263034384650545862[[#This Row],[Jour]]="7- Dimanche",$B$1, )))))))</f>
        <v>44309</v>
      </c>
      <c r="B24" s="257" t="s">
        <v>332</v>
      </c>
      <c r="C24" s="258" t="n">
        <v>0.333333333333333</v>
      </c>
      <c r="D24" s="258" t="n">
        <v>0.416666666666667</v>
      </c>
      <c r="E24" s="71" t="s">
        <v>59</v>
      </c>
      <c r="F24" s="71" t="s">
        <v>378</v>
      </c>
      <c r="G24" s="259" t="s">
        <v>417</v>
      </c>
      <c r="H24" s="258" t="n">
        <f aca="false">IF($C24=0,"",$D24-$C24)</f>
        <v>0.0833333333333334</v>
      </c>
      <c r="I24" s="260" t="n">
        <f aca="false">IF($C24=0,"",($H24-INT($H24))*24)</f>
        <v>2</v>
      </c>
      <c r="J24" s="303" t="n">
        <f aca="false">SUMIF(Horodateur112335381922313437434649525558616469852226343846505854626670747882909894102106114118110122126130134138142146150154158162166170174178182186190194198202206210214410141822263034384650545862[Jour],$B24,Horodateur112335381922313437434649525558616469852226343846505854626670747882909894102106114118110122126130134138142146150154158162166170174178182186190194198202206210214410141822263034384650545862[Durée (100)])</f>
        <v>5</v>
      </c>
      <c r="K24" s="335"/>
      <c r="L24" s="336"/>
      <c r="M24" s="188" t="s">
        <v>31</v>
      </c>
      <c r="N24" s="272" t="n">
        <f aca="false">IF(Horodateur112335381922313437434649525558616469852226343846505854626670747882909894102106114118110122126130134138142146150154158162166170174178182186190194198202206210214410141822263034384650545862[[#This Row],[O]]="o",Horodateur112335381922313437434649525558616469852226343846505854626670747882909894102106114118110122126130134138142146150154158162166170174178182186190194198202206210214410141822263034384650545862[[#This Row],[Durée (100)]],".")</f>
        <v>2</v>
      </c>
      <c r="O24" s="337" t="n">
        <f aca="false">IF(L24 = "c", I24, 0)</f>
        <v>0</v>
      </c>
      <c r="P24" s="187"/>
      <c r="Q24" s="71"/>
      <c r="R24" s="71"/>
      <c r="S24" s="71"/>
      <c r="T24" s="71"/>
      <c r="U24" s="71"/>
      <c r="V24" s="71"/>
      <c r="W24" s="71"/>
      <c r="X24" s="71"/>
      <c r="Y24" s="71"/>
      <c r="Z24" s="71"/>
      <c r="AA24" s="71"/>
      <c r="AB24" s="71"/>
      <c r="AC24" s="71"/>
      <c r="AD24" s="71"/>
      <c r="AE24" s="71"/>
      <c r="AF24" s="71"/>
      <c r="AG24" s="71"/>
      <c r="AH24" s="71"/>
      <c r="AI24" s="71"/>
    </row>
    <row r="25" customFormat="false" ht="15" hidden="false" customHeight="false" outlineLevel="0" collapsed="false">
      <c r="A25" s="256" t="n">
        <f aca="false">IF(Horodateur112335381922313437434649525558616469852226343846505854626670747882909894102106114118110122126130134138142146150154158162166170174178182186190194198202206210214410141822263034384650545862[[#This Row],[Jour]]="1- Lundi",$B$1+1, IF(Horodateur112335381922313437434649525558616469852226343846505854626670747882909894102106114118110122126130134138142146150154158162166170174178182186190194198202206210214410141822263034384650545862[[#This Row],[Jour]]="2- Mardi",$B$1+2, IF(Horodateur112335381922313437434649525558616469852226343846505854626670747882909894102106114118110122126130134138142146150154158162166170174178182186190194198202206210214410141822263034384650545862[[#This Row],[Jour]]="3- Mercredi",$B$1+3, IF(Horodateur112335381922313437434649525558616469852226343846505854626670747882909894102106114118110122126130134138142146150154158162166170174178182186190194198202206210214410141822263034384650545862[[#This Row],[Jour]]="4- Jeudi",$B$1+4, IF(Horodateur112335381922313437434649525558616469852226343846505854626670747882909894102106114118110122126130134138142146150154158162166170174178182186190194198202206210214410141822263034384650545862[[#This Row],[Jour]]="5- Vendredi",$B$1+5, IF(Horodateur112335381922313437434649525558616469852226343846505854626670747882909894102106114118110122126130134138142146150154158162166170174178182186190194198202206210214410141822263034384650545862[[#This Row],[Jour]]="6- Samedi",$B$1+6, IF(Horodateur112335381922313437434649525558616469852226343846505854626670747882909894102106114118110122126130134138142146150154158162166170174178182186190194198202206210214410141822263034384650545862[[#This Row],[Jour]]="7- Dimanche",$B$1, )))))))</f>
        <v>44309</v>
      </c>
      <c r="B25" s="257" t="s">
        <v>332</v>
      </c>
      <c r="C25" s="258" t="n">
        <v>0.416666666666667</v>
      </c>
      <c r="D25" s="258" t="n">
        <v>0.53125</v>
      </c>
      <c r="E25" s="71" t="s">
        <v>32</v>
      </c>
      <c r="F25" s="71" t="s">
        <v>26</v>
      </c>
      <c r="G25" s="259" t="s">
        <v>419</v>
      </c>
      <c r="H25" s="258" t="n">
        <f aca="false">IF($C25=0,"",$D25-$C25)</f>
        <v>0.114583333333333</v>
      </c>
      <c r="I25" s="260" t="n">
        <f aca="false">IF($C25=0,"",($H25-INT($H25))*24)</f>
        <v>2.75</v>
      </c>
      <c r="J25" s="303" t="n">
        <f aca="false">SUMIF(Horodateur112335381922313437434649525558616469852226343846505854626670747882909894102106114118110122126130134138142146150154158162166170174178182186190194198202206210214410141822263034384650545862[Jour],$B25,Horodateur112335381922313437434649525558616469852226343846505854626670747882909894102106114118110122126130134138142146150154158162166170174178182186190194198202206210214410141822263034384650545862[Durée (100)])</f>
        <v>5</v>
      </c>
      <c r="K25" s="335"/>
      <c r="L25" s="336"/>
      <c r="M25" s="188" t="s">
        <v>31</v>
      </c>
      <c r="N25" s="272" t="n">
        <f aca="false">IF(Horodateur112335381922313437434649525558616469852226343846505854626670747882909894102106114118110122126130134138142146150154158162166170174178182186190194198202206210214410141822263034384650545862[[#This Row],[O]]="o",Horodateur112335381922313437434649525558616469852226343846505854626670747882909894102106114118110122126130134138142146150154158162166170174178182186190194198202206210214410141822263034384650545862[[#This Row],[Durée (100)]],".")</f>
        <v>2.75</v>
      </c>
      <c r="O25" s="337" t="n">
        <f aca="false">IF(L25 = "c", I25, 0)</f>
        <v>0</v>
      </c>
      <c r="P25" s="187"/>
      <c r="Q25" s="71"/>
      <c r="R25" s="71"/>
      <c r="S25" s="71"/>
      <c r="T25" s="71"/>
      <c r="U25" s="71"/>
      <c r="V25" s="71"/>
      <c r="W25" s="71"/>
      <c r="X25" s="71"/>
      <c r="Y25" s="71"/>
      <c r="Z25" s="71"/>
      <c r="AA25" s="71"/>
      <c r="AB25" s="71"/>
      <c r="AC25" s="71"/>
      <c r="AD25" s="71"/>
      <c r="AE25" s="71"/>
      <c r="AF25" s="71"/>
      <c r="AG25" s="71"/>
      <c r="AH25" s="71"/>
      <c r="AI25" s="71"/>
    </row>
    <row r="26" customFormat="false" ht="15" hidden="false" customHeight="false" outlineLevel="0" collapsed="false">
      <c r="A26" s="256" t="n">
        <f aca="false">IF(Horodateur112335381922313437434649525558616469852226343846505854626670747882909894102106114118110122126130134138142146150154158162166170174178182186190194198202206210214410141822263034384650545862[[#This Row],[Jour]]="1- Lundi",$B$1+1, IF(Horodateur112335381922313437434649525558616469852226343846505854626670747882909894102106114118110122126130134138142146150154158162166170174178182186190194198202206210214410141822263034384650545862[[#This Row],[Jour]]="2- Mardi",$B$1+2, IF(Horodateur112335381922313437434649525558616469852226343846505854626670747882909894102106114118110122126130134138142146150154158162166170174178182186190194198202206210214410141822263034384650545862[[#This Row],[Jour]]="3- Mercredi",$B$1+3, IF(Horodateur112335381922313437434649525558616469852226343846505854626670747882909894102106114118110122126130134138142146150154158162166170174178182186190194198202206210214410141822263034384650545862[[#This Row],[Jour]]="4- Jeudi",$B$1+4, IF(Horodateur112335381922313437434649525558616469852226343846505854626670747882909894102106114118110122126130134138142146150154158162166170174178182186190194198202206210214410141822263034384650545862[[#This Row],[Jour]]="5- Vendredi",$B$1+5, IF(Horodateur112335381922313437434649525558616469852226343846505854626670747882909894102106114118110122126130134138142146150154158162166170174178182186190194198202206210214410141822263034384650545862[[#This Row],[Jour]]="6- Samedi",$B$1+6, IF(Horodateur112335381922313437434649525558616469852226343846505854626670747882909894102106114118110122126130134138142146150154158162166170174178182186190194198202206210214410141822263034384650545862[[#This Row],[Jour]]="7- Dimanche",$B$1, )))))))</f>
        <v>44310</v>
      </c>
      <c r="B26" s="257" t="s">
        <v>335</v>
      </c>
      <c r="C26" s="258" t="n">
        <v>0.333333333333333</v>
      </c>
      <c r="D26" s="258" t="n">
        <v>0.666666666666667</v>
      </c>
      <c r="E26" s="71" t="s">
        <v>32</v>
      </c>
      <c r="F26" s="71" t="s">
        <v>301</v>
      </c>
      <c r="G26" s="259" t="s">
        <v>420</v>
      </c>
      <c r="H26" s="258" t="n">
        <f aca="false">IF($C26=0,"",$D26-$C26)</f>
        <v>0.333333333333333</v>
      </c>
      <c r="I26" s="260" t="n">
        <f aca="false">IF($C26=0,"",($H26-INT($H26))*24)</f>
        <v>8</v>
      </c>
      <c r="J26" s="303" t="n">
        <f aca="false">SUMIF(Horodateur112335381922313437434649525558616469852226343846505854626670747882909894102106114118110122126130134138142146150154158162166170174178182186190194198202206210214410141822263034384650545862[Jour],$B26,Horodateur112335381922313437434649525558616469852226343846505854626670747882909894102106114118110122126130134138142146150154158162166170174178182186190194198202206210214410141822263034384650545862[Durée (100)])</f>
        <v>8</v>
      </c>
      <c r="K26" s="335"/>
      <c r="L26" s="336"/>
      <c r="M26" s="188" t="s">
        <v>31</v>
      </c>
      <c r="N26" s="272" t="n">
        <f aca="false">IF(Horodateur112335381922313437434649525558616469852226343846505854626670747882909894102106114118110122126130134138142146150154158162166170174178182186190194198202206210214410141822263034384650545862[[#This Row],[O]]="o",Horodateur112335381922313437434649525558616469852226343846505854626670747882909894102106114118110122126130134138142146150154158162166170174178182186190194198202206210214410141822263034384650545862[[#This Row],[Durée (100)]],".")</f>
        <v>8</v>
      </c>
      <c r="O26" s="337" t="n">
        <f aca="false">IF(L26 = "c", I26, 0)</f>
        <v>0</v>
      </c>
      <c r="P26" s="187"/>
      <c r="Q26" s="71"/>
      <c r="R26" s="71"/>
      <c r="S26" s="71"/>
      <c r="T26" s="71"/>
      <c r="U26" s="71"/>
      <c r="V26" s="71"/>
      <c r="W26" s="71"/>
      <c r="X26" s="71"/>
      <c r="Y26" s="71"/>
      <c r="Z26" s="71"/>
      <c r="AA26" s="71"/>
      <c r="AB26" s="71"/>
      <c r="AC26" s="71"/>
      <c r="AD26" s="71"/>
      <c r="AE26" s="71"/>
      <c r="AF26" s="71"/>
      <c r="AG26" s="71"/>
      <c r="AH26" s="71"/>
      <c r="AI26" s="71"/>
    </row>
    <row r="27" customFormat="false" ht="15" hidden="false" customHeight="false" outlineLevel="0" collapsed="false">
      <c r="A27" s="137"/>
      <c r="B27" s="187"/>
      <c r="C27" s="71"/>
      <c r="D27" s="1"/>
      <c r="E27" s="1"/>
      <c r="F27" s="71"/>
      <c r="G27" s="1"/>
      <c r="H27" s="1"/>
      <c r="I27" s="119"/>
      <c r="J27" s="271"/>
      <c r="K27" s="1"/>
      <c r="L27" s="1"/>
      <c r="M27" s="188"/>
      <c r="N27" s="272"/>
      <c r="O27" s="272"/>
      <c r="P27" s="187"/>
      <c r="Q27" s="71"/>
      <c r="R27" s="71"/>
      <c r="S27" s="71"/>
      <c r="T27" s="71"/>
      <c r="U27" s="71"/>
      <c r="V27" s="71"/>
      <c r="W27" s="71"/>
      <c r="X27" s="71"/>
      <c r="Y27" s="71"/>
      <c r="Z27" s="71"/>
      <c r="AA27" s="71"/>
      <c r="AB27" s="71"/>
      <c r="AC27" s="71"/>
      <c r="AD27" s="71"/>
      <c r="AE27" s="71"/>
      <c r="AF27" s="71"/>
      <c r="AG27" s="71"/>
      <c r="AH27" s="71"/>
      <c r="AI27" s="71"/>
    </row>
    <row r="28" customFormat="false" ht="15" hidden="false" customHeight="false" outlineLevel="0" collapsed="false">
      <c r="A28" s="137"/>
      <c r="B28" s="187"/>
      <c r="C28" s="71"/>
      <c r="D28" s="1"/>
      <c r="E28" s="1"/>
      <c r="F28" s="71"/>
      <c r="G28" s="1"/>
      <c r="H28" s="1"/>
      <c r="I28" s="119"/>
      <c r="J28" s="271"/>
      <c r="K28" s="1"/>
      <c r="L28" s="1"/>
      <c r="M28" s="188"/>
      <c r="N28" s="272"/>
      <c r="O28" s="272"/>
      <c r="P28" s="187"/>
      <c r="Q28" s="71"/>
      <c r="R28" s="71"/>
      <c r="S28" s="71"/>
      <c r="T28" s="71"/>
      <c r="U28" s="71"/>
      <c r="V28" s="71"/>
      <c r="W28" s="71"/>
      <c r="X28" s="71"/>
      <c r="Y28" s="71"/>
      <c r="Z28" s="71"/>
      <c r="AA28" s="71"/>
      <c r="AB28" s="71"/>
      <c r="AC28" s="71"/>
      <c r="AD28" s="71"/>
      <c r="AE28" s="71"/>
      <c r="AF28" s="71"/>
      <c r="AG28" s="71"/>
      <c r="AH28" s="71"/>
      <c r="AI28" s="71"/>
    </row>
    <row r="29" customFormat="false" ht="15" hidden="false" customHeight="false" outlineLevel="0" collapsed="false">
      <c r="A29" s="137"/>
      <c r="B29" s="187"/>
      <c r="C29" s="71"/>
      <c r="D29" s="1"/>
      <c r="E29" s="1"/>
      <c r="F29" s="71"/>
      <c r="G29" s="1"/>
      <c r="H29" s="1"/>
      <c r="I29" s="119"/>
      <c r="J29" s="271"/>
      <c r="K29" s="1"/>
      <c r="L29" s="1"/>
      <c r="M29" s="188"/>
      <c r="P29" s="187"/>
      <c r="Q29" s="71"/>
      <c r="R29" s="71"/>
      <c r="S29" s="71"/>
      <c r="T29" s="71"/>
      <c r="U29" s="71"/>
      <c r="V29" s="71"/>
      <c r="W29" s="71"/>
      <c r="X29" s="71"/>
      <c r="Y29" s="71"/>
      <c r="Z29" s="71"/>
      <c r="AA29" s="71"/>
      <c r="AB29" s="71"/>
      <c r="AC29" s="71"/>
      <c r="AD29" s="71"/>
      <c r="AE29" s="71"/>
      <c r="AF29" s="71"/>
      <c r="AG29" s="71"/>
      <c r="AH29" s="71"/>
      <c r="AI29" s="71"/>
    </row>
    <row r="30" customFormat="false" ht="15" hidden="false" customHeight="false" outlineLevel="0" collapsed="false">
      <c r="A30" s="274" t="s">
        <v>377</v>
      </c>
      <c r="B30" s="275" t="str">
        <f aca="false">SUM($A$76:$A$506) &amp; " heures"</f>
        <v>26.75 heures</v>
      </c>
      <c r="C30" s="276" t="str">
        <f aca="false">SUM($A$76:$A$497) / 8 &amp; " Jours"</f>
        <v>3.34375 Jours</v>
      </c>
      <c r="D30" s="277"/>
      <c r="E30" s="277" t="n">
        <v>33.25</v>
      </c>
      <c r="F30" s="278" t="n">
        <f aca="false">E30/8</f>
        <v>4.15625</v>
      </c>
      <c r="G30" s="277"/>
      <c r="H30" s="277"/>
      <c r="I30" s="279"/>
      <c r="J30" s="280"/>
      <c r="K30" s="277"/>
      <c r="L30" s="277"/>
      <c r="M30" s="281"/>
      <c r="N30" s="282"/>
      <c r="O30" s="282"/>
      <c r="P30" s="283"/>
      <c r="Q30" s="277"/>
      <c r="R30" s="277"/>
      <c r="S30" s="277"/>
      <c r="T30" s="277"/>
      <c r="U30" s="277"/>
      <c r="V30" s="277"/>
      <c r="W30" s="278"/>
      <c r="X30" s="278"/>
      <c r="Y30" s="278"/>
      <c r="Z30" s="278"/>
      <c r="AA30" s="278"/>
      <c r="AB30" s="278"/>
      <c r="AC30" s="278"/>
      <c r="AD30" s="278"/>
      <c r="AE30" s="278"/>
      <c r="AF30" s="278"/>
      <c r="AG30" s="278"/>
      <c r="AH30" s="278"/>
      <c r="AI30" s="278"/>
    </row>
    <row r="31" customFormat="false" ht="15" hidden="false" customHeight="false" outlineLevel="0" collapsed="false">
      <c r="A31" s="137"/>
      <c r="B31" s="187"/>
      <c r="C31" s="71"/>
      <c r="D31" s="1"/>
      <c r="E31" s="1"/>
      <c r="F31" s="71"/>
      <c r="G31" s="1"/>
      <c r="H31" s="1"/>
      <c r="I31" s="119"/>
      <c r="J31" s="271"/>
      <c r="K31" s="1"/>
      <c r="L31" s="1"/>
      <c r="M31" s="188"/>
      <c r="N31" s="272"/>
      <c r="O31" s="272"/>
      <c r="P31" s="187"/>
      <c r="Q31" s="1"/>
      <c r="R31" s="1"/>
      <c r="S31" s="1"/>
      <c r="T31" s="1"/>
      <c r="U31" s="1"/>
      <c r="V31" s="1"/>
      <c r="W31" s="71"/>
      <c r="X31" s="71"/>
      <c r="Y31" s="71"/>
      <c r="Z31" s="71"/>
      <c r="AA31" s="71"/>
      <c r="AB31" s="71"/>
      <c r="AC31" s="71"/>
      <c r="AD31" s="71"/>
      <c r="AE31" s="71"/>
      <c r="AF31" s="71"/>
      <c r="AG31" s="71"/>
      <c r="AH31" s="71"/>
      <c r="AI31" s="71"/>
    </row>
    <row r="32" customFormat="false" ht="15" hidden="true" customHeight="false" outlineLevel="1" collapsed="false">
      <c r="A32" s="137"/>
      <c r="B32" s="137"/>
      <c r="C32" s="137"/>
      <c r="D32" s="137"/>
      <c r="E32" s="1"/>
      <c r="F32" s="71"/>
      <c r="G32" s="1"/>
      <c r="H32" s="1"/>
      <c r="I32" s="119"/>
      <c r="J32" s="271"/>
      <c r="K32" s="1"/>
      <c r="L32" s="1"/>
      <c r="M32" s="188"/>
      <c r="N32" s="272"/>
      <c r="O32" s="272"/>
      <c r="P32" s="187"/>
      <c r="Q32" s="1"/>
      <c r="R32" s="1"/>
      <c r="S32" s="1"/>
      <c r="T32" s="1"/>
      <c r="U32" s="1"/>
      <c r="V32" s="1"/>
      <c r="W32" s="71"/>
      <c r="X32" s="71"/>
      <c r="Y32" s="71"/>
      <c r="Z32" s="71"/>
      <c r="AA32" s="71"/>
      <c r="AB32" s="71"/>
      <c r="AC32" s="71"/>
      <c r="AD32" s="71"/>
      <c r="AE32" s="71"/>
      <c r="AF32" s="71"/>
      <c r="AG32" s="71"/>
      <c r="AH32" s="71"/>
      <c r="AI32" s="71"/>
    </row>
    <row r="33" customFormat="false" ht="15" hidden="true" customHeight="false" outlineLevel="1" collapsed="false">
      <c r="A33" s="284" t="s">
        <v>84</v>
      </c>
      <c r="B33" s="285" t="s">
        <v>21</v>
      </c>
      <c r="C33" s="285" t="s">
        <v>20</v>
      </c>
      <c r="D33" s="285" t="s">
        <v>23</v>
      </c>
      <c r="E33" s="285" t="s">
        <v>25</v>
      </c>
      <c r="F33" s="285" t="s">
        <v>26</v>
      </c>
      <c r="G33" s="285" t="s">
        <v>378</v>
      </c>
      <c r="H33" s="285" t="s">
        <v>379</v>
      </c>
      <c r="I33" s="285" t="s">
        <v>380</v>
      </c>
      <c r="J33" s="286" t="s">
        <v>58</v>
      </c>
      <c r="K33" s="287"/>
      <c r="L33" s="287"/>
      <c r="M33" s="288"/>
      <c r="N33" s="289"/>
      <c r="O33" s="289"/>
      <c r="P33" s="187"/>
      <c r="Q33" s="1"/>
      <c r="R33" s="1"/>
      <c r="S33" s="1"/>
      <c r="T33" s="1"/>
      <c r="U33" s="1"/>
      <c r="V33" s="71"/>
      <c r="W33" s="71"/>
      <c r="X33" s="71"/>
      <c r="Y33" s="71"/>
      <c r="Z33" s="71"/>
      <c r="AA33" s="71"/>
      <c r="AB33" s="71"/>
      <c r="AC33" s="71"/>
      <c r="AD33" s="71"/>
      <c r="AE33" s="71"/>
      <c r="AF33" s="71"/>
      <c r="AG33" s="71"/>
      <c r="AH33" s="71"/>
    </row>
    <row r="34" customFormat="false" ht="15" hidden="true" customHeight="false" outlineLevel="1" collapsed="false">
      <c r="A34" s="187" t="s">
        <v>312</v>
      </c>
      <c r="B34" s="71" t="n">
        <f aca="false">SUMIFS(Horodateur112335381922313437434649525558616469852226343846505854626670747882909894102106114118110122126130134138142146150154158162166170174178182186190194198202206210214410141822263034384650545862[Durée (100)],Horodateur112335381922313437434649525558616469852226343846505854626670747882909894102106114118110122126130134138142146150154158162166170174178182186190194198202206210214410141822263034384650545862[Tâche],Taches_Jours12243639172029323541444750535659626783202432364448565260646872768088969210010411211610812012412813213614014414815215616016416817217618018418819219620020420821226121620242832364448525660[[#Headers],[GB]],Horodateur112335381922313437434649525558616469852226343846505854626670747882909894102106114118110122126130134138142146150154158162166170174178182186190194198202206210214410141822263034384650545862[Jour],Taches_Jours12243639172029323541444750535659626783202432364448565260646872768088969210010411211610812012412813213614014414815215616016416817217618018418819219620020420821226121620242832364448525660[[#This Row],[Jours]])</f>
        <v>0.999999999999999</v>
      </c>
      <c r="C34" s="71" t="n">
        <f aca="false">SUMIFS(Horodateur112335381922313437434649525558616469852226343846505854626670747882909894102106114118110122126130134138142146150154158162166170174178182186190194198202206210214410141822263034384650545862[Durée (100)],Horodateur112335381922313437434649525558616469852226343846505854626670747882909894102106114118110122126130134138142146150154158162166170174178182186190194198202206210214410141822263034384650545862[Tâche],Taches_Jours12243639172029323541444750535659626783202432364448565260646872768088969210010411211610812012412813213614014414815215616016416817217618018418819219620020420821226121620242832364448525660[[#Headers],[RI]],Horodateur112335381922313437434649525558616469852226343846505854626670747882909894102106114118110122126130134138142146150154158162166170174178182186190194198202206210214410141822263034384650545862[Jour],Taches_Jours12243639172029323541444750535659626783202432364448565260646872768088969210010411211610812012412813213614014414815215616016416817217618018418819219620020420821226121620242832364448525660[[#This Row],[Jours]])</f>
        <v>0.500000000000001</v>
      </c>
      <c r="D34" s="71" t="n">
        <f aca="false">SUMIFS(Horodateur112335381922313437434649525558616469852226343846505854626670747882909894102106114118110122126130134138142146150154158162166170174178182186190194198202206210214410141822263034384650545862[Durée (100)],Horodateur112335381922313437434649525558616469852226343846505854626670747882909894102106114118110122126130134138142146150154158162166170174178182186190194198202206210214410141822263034384650545862[Tâche],Taches_Jours12243639172029323541444750535659626783202432364448565260646872768088969210010411211610812012412813213614014414815215616016416817217618018418819219620020420821226121620242832364448525660[[#Headers],[FG]],Horodateur112335381922313437434649525558616469852226343846505854626670747882909894102106114118110122126130134138142146150154158162166170174178182186190194198202206210214410141822263034384650545862[Jour],Taches_Jours12243639172029323541444750535659626783202432364448565260646872768088969210010411211610812012412813213614014414815215616016416817217618018418819219620020420821226121620242832364448525660[[#This Row],[Jours]])</f>
        <v>0</v>
      </c>
      <c r="E34" s="71" t="n">
        <f aca="false">SUMIFS(Horodateur112335381922313437434649525558616469852226343846505854626670747882909894102106114118110122126130134138142146150154158162166170174178182186190194198202206210214410141822263034384650545862[Durée (100)],Horodateur112335381922313437434649525558616469852226343846505854626670747882909894102106114118110122126130134138142146150154158162166170174178182186190194198202206210214410141822263034384650545862[Tâche],Taches_Jours12243639172029323541444750535659626783202432364448565260646872768088969210010411211610812012412813213614014414815215616016416817217618018418819219620020420821226121620242832364448525660[[#Headers],[PS]],Horodateur112335381922313437434649525558616469852226343846505854626670747882909894102106114118110122126130134138142146150154158162166170174178182186190194198202206210214410141822263034384650545862[Jour],Taches_Jours12243639172029323541444750535659626783202432364448565260646872768088969210010411211610812012412813213614014414815215616016416817217618018418819219620020420821226121620242832364448525660[[#This Row],[Jours]])</f>
        <v>0</v>
      </c>
      <c r="F34" s="71" t="n">
        <f aca="false">SUMIFS(Horodateur112335381922313437434649525558616469852226343846505854626670747882909894102106114118110122126130134138142146150154158162166170174178182186190194198202206210214410141822263034384650545862[Durée (100)],Horodateur112335381922313437434649525558616469852226343846505854626670747882909894102106114118110122126130134138142146150154158162166170174178182186190194198202206210214410141822263034384650545862[Tâche],Taches_Jours12243639172029323541444750535659626783202432364448565260646872768088969210010411211610812012412813213614014414815215616016416817217618018418819219620020420821226121620242832364448525660[[#Headers],[TD]],Horodateur112335381922313437434649525558616469852226343846505854626670747882909894102106114118110122126130134138142146150154158162166170174178182186190194198202206210214410141822263034384650545862[Jour],Taches_Jours12243639172029323541444750535659626783202432364448565260646872768088969210010411211610812012412813213614014414815215616016416817217618018418819219620020420821226121620242832364448525660[[#This Row],[Jours]])</f>
        <v>0</v>
      </c>
      <c r="G34" s="71" t="n">
        <f aca="false">SUMIFS(Horodateur112335381922313437434649525558616469852226343846505854626670747882909894102106114118110122126130134138142146150154158162166170174178182186190194198202206210214410141822263034384650545862[Durée (100)],Horodateur112335381922313437434649525558616469852226343846505854626670747882909894102106114118110122126130134138142146150154158162166170174178182186190194198202206210214410141822263034384650545862[Tâche],Taches_Jours12243639172029323541444750535659626783202432364448565260646872768088969210010411211610812012412813213614014414815215616016416817217618018418819219620020420821226121620242832364448525660[[#Headers],[GP]],Horodateur112335381922313437434649525558616469852226343846505854626670747882909894102106114118110122126130134138142146150154158162166170174178182186190194198202206210214410141822263034384650545862[Jour],Taches_Jours12243639172029323541444750535659626783202432364448565260646872768088969210010411211610812012412813213614014414815215616016416817217618018418819219620020420821226121620242832364448525660[[#This Row],[Jours]])</f>
        <v>4</v>
      </c>
      <c r="H34" s="71" t="n">
        <f aca="false">SUMIFS(Horodateur112335381922313437434649525558616469852226343846505854626670747882909894102106114118110122126130134138142146150154158162166170174178182186190194198202206210214410141822263034384650545862[Durée (100)],Horodateur112335381922313437434649525558616469852226343846505854626670747882909894102106114118110122126130134138142146150154158162166170174178182186190194198202206210214410141822263034384650545862[Tâche],Taches_Jours12243639172029323541444750535659626783202432364448565260646872768088969210010411211610812012412813213614014414815215616016416817217618018418819219620020420821226121620242832364448525660[[#Headers],[GP / SP]],Horodateur112335381922313437434649525558616469852226343846505854626670747882909894102106114118110122126130134138142146150154158162166170174178182186190194198202206210214410141822263034384650545862[Jour],Taches_Jours12243639172029323541444750535659626783202432364448565260646872768088969210010411211610812012412813213614014414815215616016416817217618018418819219620020420821226121620242832364448525660[[#This Row],[Jours]])</f>
        <v>0.25</v>
      </c>
      <c r="I34" s="71" t="n">
        <f aca="false">SUMIFS(Horodateur112335381922313437434649525558616469852226343846505854626670747882909894102106114118110122126130134138142146150154158162166170174178182186190194198202206210214410141822263034384650545862[Durée (100)],Horodateur112335381922313437434649525558616469852226343846505854626670747882909894102106114118110122126130134138142146150154158162166170174178182186190194198202206210214410141822263034384650545862[Tâche],Taches_Jours12243639172029323541444750535659626783202432364448565260646872768088969210010411211610812012412813213614014414815215616016416817217618018418819219620020420821226121620242832364448525660[[#Headers],[GP / SP]],Horodateur112335381922313437434649525558616469852226343846505854626670747882909894102106114118110122126130134138142146150154158162166170174178182186190194198202206210214410141822263034384650545862[Jour],Taches_Jours12243639172029323541444750535659626783202432364448565260646872768088969210010411211610812012412813213614014414815215616016416817217618018418819219620020420821226121620242832364448525660[[#This Row],[Jours]])</f>
        <v>0.25</v>
      </c>
      <c r="J34" s="290" t="n">
        <f aca="false">SUM(Taches_Jours12243639172029323541444750535659626783202432364448565260646872768088969210010411211610812012412813213614014414815215616016416817217618018418819219620020420821226121620242832364448525660[[#This Row],[GB]:[GP / SP]])</f>
        <v>5.75</v>
      </c>
      <c r="K34" s="188"/>
      <c r="L34" s="188"/>
      <c r="M34" s="288"/>
      <c r="N34" s="289"/>
      <c r="O34" s="289"/>
      <c r="P34" s="187"/>
      <c r="Q34" s="1"/>
      <c r="R34" s="1"/>
      <c r="S34" s="1"/>
      <c r="T34" s="1"/>
      <c r="U34" s="1"/>
      <c r="V34" s="71"/>
      <c r="W34" s="71"/>
      <c r="X34" s="71"/>
      <c r="Y34" s="71"/>
      <c r="Z34" s="71"/>
      <c r="AA34" s="71"/>
      <c r="AB34" s="71"/>
      <c r="AC34" s="71"/>
      <c r="AD34" s="71"/>
      <c r="AE34" s="71"/>
      <c r="AF34" s="71"/>
      <c r="AG34" s="71"/>
      <c r="AH34" s="71"/>
    </row>
    <row r="35" customFormat="false" ht="15" hidden="true" customHeight="false" outlineLevel="1" collapsed="false">
      <c r="A35" s="187" t="s">
        <v>319</v>
      </c>
      <c r="B35" s="71" t="n">
        <f aca="false">SUMIFS(Horodateur112335381922313437434649525558616469852226343846505854626670747882909894102106114118110122126130134138142146150154158162166170174178182186190194198202206210214410141822263034384650545862[Durée (100)],Horodateur112335381922313437434649525558616469852226343846505854626670747882909894102106114118110122126130134138142146150154158162166170174178182186190194198202206210214410141822263034384650545862[Tâche],Taches_Jours12243639172029323541444750535659626783202432364448565260646872768088969210010411211610812012412813213614014414815215616016416817217618018418819219620020420821226121620242832364448525660[[#Headers],[GB]],Horodateur112335381922313437434649525558616469852226343846505854626670747882909894102106114118110122126130134138142146150154158162166170174178182186190194198202206210214410141822263034384650545862[Jour],Taches_Jours12243639172029323541444750535659626783202432364448565260646872768088969210010411211610812012412813213614014414815215616016416817217618018418819219620020420821226121620242832364448525660[[#This Row],[Jours]])</f>
        <v>0</v>
      </c>
      <c r="C35" s="71" t="n">
        <f aca="false">SUMIFS(Horodateur112335381922313437434649525558616469852226343846505854626670747882909894102106114118110122126130134138142146150154158162166170174178182186190194198202206210214410141822263034384650545862[Durée (100)],Horodateur112335381922313437434649525558616469852226343846505854626670747882909894102106114118110122126130134138142146150154158162166170174178182186190194198202206210214410141822263034384650545862[Tâche],Taches_Jours12243639172029323541444750535659626783202432364448565260646872768088969210010411211610812012412813213614014414815215616016416817217618018418819219620020420821226121620242832364448525660[[#Headers],[RI]],Horodateur112335381922313437434649525558616469852226343846505854626670747882909894102106114118110122126130134138142146150154158162166170174178182186190194198202206210214410141822263034384650545862[Jour],Taches_Jours12243639172029323541444750535659626783202432364448565260646872768088969210010411211610812012412813213614014414815215616016416817217618018418819219620020420821226121620242832364448525660[[#This Row],[Jours]])</f>
        <v>0.499999999999998</v>
      </c>
      <c r="D35" s="71" t="n">
        <f aca="false">SUMIFS(Horodateur112335381922313437434649525558616469852226343846505854626670747882909894102106114118110122126130134138142146150154158162166170174178182186190194198202206210214410141822263034384650545862[Durée (100)],Horodateur112335381922313437434649525558616469852226343846505854626670747882909894102106114118110122126130134138142146150154158162166170174178182186190194198202206210214410141822263034384650545862[Tâche],Taches_Jours12243639172029323541444750535659626783202432364448565260646872768088969210010411211610812012412813213614014414815215616016416817217618018418819219620020420821226121620242832364448525660[[#Headers],[FG]],Horodateur112335381922313437434649525558616469852226343846505854626670747882909894102106114118110122126130134138142146150154158162166170174178182186190194198202206210214410141822263034384650545862[Jour],Taches_Jours12243639172029323541444750535659626783202432364448565260646872768088969210010411211610812012412813213614014414815215616016416817217618018418819219620020420821226121620242832364448525660[[#This Row],[Jours]])</f>
        <v>0</v>
      </c>
      <c r="E35" s="71" t="n">
        <f aca="false">SUMIFS(Horodateur112335381922313437434649525558616469852226343846505854626670747882909894102106114118110122126130134138142146150154158162166170174178182186190194198202206210214410141822263034384650545862[Durée (100)],Horodateur112335381922313437434649525558616469852226343846505854626670747882909894102106114118110122126130134138142146150154158162166170174178182186190194198202206210214410141822263034384650545862[Tâche],Taches_Jours12243639172029323541444750535659626783202432364448565260646872768088969210010411211610812012412813213614014414815215616016416817217618018418819219620020420821226121620242832364448525660[[#Headers],[PS]],Horodateur112335381922313437434649525558616469852226343846505854626670747882909894102106114118110122126130134138142146150154158162166170174178182186190194198202206210214410141822263034384650545862[Jour],Taches_Jours12243639172029323541444750535659626783202432364448565260646872768088969210010411211610812012412813213614014414815215616016416817217618018418819219620020420821226121620242832364448525660[[#This Row],[Jours]])</f>
        <v>0</v>
      </c>
      <c r="F35" s="71" t="n">
        <f aca="false">SUMIFS(Horodateur112335381922313437434649525558616469852226343846505854626670747882909894102106114118110122126130134138142146150154158162166170174178182186190194198202206210214410141822263034384650545862[Durée (100)],Horodateur112335381922313437434649525558616469852226343846505854626670747882909894102106114118110122126130134138142146150154158162166170174178182186190194198202206210214410141822263034384650545862[Tâche],Taches_Jours12243639172029323541444750535659626783202432364448565260646872768088969210010411211610812012412813213614014414815215616016416817217618018418819219620020420821226121620242832364448525660[[#Headers],[TD]],Horodateur112335381922313437434649525558616469852226343846505854626670747882909894102106114118110122126130134138142146150154158162166170174178182186190194198202206210214410141822263034384650545862[Jour],Taches_Jours12243639172029323541444750535659626783202432364448565260646872768088969210010411211610812012412813213614014414815215616016416817217618018418819219620020420821226121620242832364448525660[[#This Row],[Jours]])</f>
        <v>0</v>
      </c>
      <c r="G35" s="71" t="n">
        <f aca="false">SUMIFS(Horodateur112335381922313437434649525558616469852226343846505854626670747882909894102106114118110122126130134138142146150154158162166170174178182186190194198202206210214410141822263034384650545862[Durée (100)],Horodateur112335381922313437434649525558616469852226343846505854626670747882909894102106114118110122126130134138142146150154158162166170174178182186190194198202206210214410141822263034384650545862[Tâche],Taches_Jours12243639172029323541444750535659626783202432364448565260646872768088969210010411211610812012412813213614014414815215616016416817217618018418819219620020420821226121620242832364448525660[[#Headers],[GP]],Horodateur112335381922313437434649525558616469852226343846505854626670747882909894102106114118110122126130134138142146150154158162166170174178182186190194198202206210214410141822263034384650545862[Jour],Taches_Jours12243639172029323541444750535659626783202432364448565260646872768088969210010411211610812012412813213614014414815215616016416817217618018418819219620020420821226121620242832364448525660[[#This Row],[Jours]])</f>
        <v>2.25</v>
      </c>
      <c r="H35" s="71" t="n">
        <f aca="false">SUMIFS(Horodateur112335381922313437434649525558616469852226343846505854626670747882909894102106114118110122126130134138142146150154158162166170174178182186190194198202206210214410141822263034384650545862[Durée (100)],Horodateur112335381922313437434649525558616469852226343846505854626670747882909894102106114118110122126130134138142146150154158162166170174178182186190194198202206210214410141822263034384650545862[Tâche],Taches_Jours12243639172029323541444750535659626783202432364448565260646872768088969210010411211610812012412813213614014414815215616016416817217618018418819219620020420821226121620242832364448525660[[#Headers],[GP / SP]],Horodateur112335381922313437434649525558616469852226343846505854626670747882909894102106114118110122126130134138142146150154158162166170174178182186190194198202206210214410141822263034384650545862[Jour],Taches_Jours12243639172029323541444750535659626783202432364448565260646872768088969210010411211610812012412813213614014414815215616016416817217618018418819219620020420821226121620242832364448525660[[#This Row],[Jours]])</f>
        <v>0</v>
      </c>
      <c r="I35" s="71" t="n">
        <f aca="false">SUMIFS(Horodateur112335381922313437434649525558616469852226343846505854626670747882909894102106114118110122126130134138142146150154158162166170174178182186190194198202206210214410141822263034384650545862[Durée (100)],Horodateur112335381922313437434649525558616469852226343846505854626670747882909894102106114118110122126130134138142146150154158162166170174178182186190194198202206210214410141822263034384650545862[Tâche],Taches_Jours12243639172029323541444750535659626783202432364448565260646872768088969210010411211610812012412813213614014414815215616016416817217618018418819219620020420821226121620242832364448525660[[#Headers],[GP / SP]],Horodateur112335381922313437434649525558616469852226343846505854626670747882909894102106114118110122126130134138142146150154158162166170174178182186190194198202206210214410141822263034384650545862[Jour],Taches_Jours12243639172029323541444750535659626783202432364448565260646872768088969210010411211610812012412813213614014414815215616016416817217618018418819219620020420821226121620242832364448525660[[#This Row],[Jours]])</f>
        <v>0</v>
      </c>
      <c r="J35" s="290" t="n">
        <f aca="false">SUM(Taches_Jours12243639172029323541444750535659626783202432364448565260646872768088969210010411211610812012412813213614014414815215616016416817217618018418819219620020420821226121620242832364448525660[[#This Row],[GB]:[GP / SP]])</f>
        <v>2.75</v>
      </c>
      <c r="K35" s="188"/>
      <c r="L35" s="188"/>
      <c r="M35" s="288"/>
      <c r="N35" s="289"/>
      <c r="O35" s="289"/>
      <c r="P35" s="187"/>
      <c r="Q35" s="1"/>
      <c r="R35" s="1"/>
      <c r="S35" s="1"/>
      <c r="T35" s="1"/>
      <c r="U35" s="1"/>
      <c r="V35" s="71"/>
      <c r="W35" s="71"/>
      <c r="X35" s="71"/>
      <c r="Y35" s="71"/>
      <c r="Z35" s="71"/>
      <c r="AA35" s="71"/>
      <c r="AB35" s="71"/>
      <c r="AC35" s="71"/>
      <c r="AD35" s="71"/>
      <c r="AE35" s="71"/>
      <c r="AF35" s="71"/>
      <c r="AG35" s="71"/>
      <c r="AH35" s="71"/>
    </row>
    <row r="36" customFormat="false" ht="15" hidden="true" customHeight="false" outlineLevel="1" collapsed="false">
      <c r="A36" s="187" t="s">
        <v>324</v>
      </c>
      <c r="B36" s="71" t="n">
        <f aca="false">SUMIFS(Horodateur112335381922313437434649525558616469852226343846505854626670747882909894102106114118110122126130134138142146150154158162166170174178182186190194198202206210214410141822263034384650545862[Durée (100)],Horodateur112335381922313437434649525558616469852226343846505854626670747882909894102106114118110122126130134138142146150154158162166170174178182186190194198202206210214410141822263034384650545862[Tâche],Taches_Jours12243639172029323541444750535659626783202432364448565260646872768088969210010411211610812012412813213614014414815215616016416817217618018418819219620020420821226121620242832364448525660[[#Headers],[GB]],Horodateur112335381922313437434649525558616469852226343846505854626670747882909894102106114118110122126130134138142146150154158162166170174178182186190194198202206210214410141822263034384650545862[Jour],Taches_Jours12243639172029323541444750535659626783202432364448565260646872768088969210010411211610812012412813213614014414815215616016416817217618018418819219620020420821226121620242832364448525660[[#This Row],[Jours]])</f>
        <v>0</v>
      </c>
      <c r="C36" s="71" t="n">
        <f aca="false">SUMIFS(Horodateur112335381922313437434649525558616469852226343846505854626670747882909894102106114118110122126130134138142146150154158162166170174178182186190194198202206210214410141822263034384650545862[Durée (100)],Horodateur112335381922313437434649525558616469852226343846505854626670747882909894102106114118110122126130134138142146150154158162166170174178182186190194198202206210214410141822263034384650545862[Tâche],Taches_Jours12243639172029323541444750535659626783202432364448565260646872768088969210010411211610812012412813213614014414815215616016416817217618018418819219620020420821226121620242832364448525660[[#Headers],[RI]],Horodateur112335381922313437434649525558616469852226343846505854626670747882909894102106114118110122126130134138142146150154158162166170174178182186190194198202206210214410141822263034384650545862[Jour],Taches_Jours12243639172029323541444750535659626783202432364448565260646872768088969210010411211610812012412813213614014414815215616016416817217618018418819219620020420821226121620242832364448525660[[#This Row],[Jours]])</f>
        <v>0</v>
      </c>
      <c r="D36" s="71" t="n">
        <f aca="false">SUMIFS(Horodateur112335381922313437434649525558616469852226343846505854626670747882909894102106114118110122126130134138142146150154158162166170174178182186190194198202206210214410141822263034384650545862[Durée (100)],Horodateur112335381922313437434649525558616469852226343846505854626670747882909894102106114118110122126130134138142146150154158162166170174178182186190194198202206210214410141822263034384650545862[Tâche],Taches_Jours12243639172029323541444750535659626783202432364448565260646872768088969210010411211610812012412813213614014414815215616016416817217618018418819219620020420821226121620242832364448525660[[#Headers],[FG]],Horodateur112335381922313437434649525558616469852226343846505854626670747882909894102106114118110122126130134138142146150154158162166170174178182186190194198202206210214410141822263034384650545862[Jour],Taches_Jours12243639172029323541444750535659626783202432364448565260646872768088969210010411211610812012412813213614014414815215616016416817217618018418819219620020420821226121620242832364448525660[[#This Row],[Jours]])</f>
        <v>0</v>
      </c>
      <c r="E36" s="71" t="n">
        <f aca="false">SUMIFS(Horodateur112335381922313437434649525558616469852226343846505854626670747882909894102106114118110122126130134138142146150154158162166170174178182186190194198202206210214410141822263034384650545862[Durée (100)],Horodateur112335381922313437434649525558616469852226343846505854626670747882909894102106114118110122126130134138142146150154158162166170174178182186190194198202206210214410141822263034384650545862[Tâche],Taches_Jours12243639172029323541444750535659626783202432364448565260646872768088969210010411211610812012412813213614014414815215616016416817217618018418819219620020420821226121620242832364448525660[[#Headers],[PS]],Horodateur112335381922313437434649525558616469852226343846505854626670747882909894102106114118110122126130134138142146150154158162166170174178182186190194198202206210214410141822263034384650545862[Jour],Taches_Jours12243639172029323541444750535659626783202432364448565260646872768088969210010411211610812012412813213614014414815215616016416817217618018418819219620020420821226121620242832364448525660[[#This Row],[Jours]])</f>
        <v>0</v>
      </c>
      <c r="F36" s="71" t="n">
        <f aca="false">SUMIFS(Horodateur112335381922313437434649525558616469852226343846505854626670747882909894102106114118110122126130134138142146150154158162166170174178182186190194198202206210214410141822263034384650545862[Durée (100)],Horodateur112335381922313437434649525558616469852226343846505854626670747882909894102106114118110122126130134138142146150154158162166170174178182186190194198202206210214410141822263034384650545862[Tâche],Taches_Jours12243639172029323541444750535659626783202432364448565260646872768088969210010411211610812012412813213614014414815215616016416817217618018418819219620020420821226121620242832364448525660[[#Headers],[TD]],Horodateur112335381922313437434649525558616469852226343846505854626670747882909894102106114118110122126130134138142146150154158162166170174178182186190194198202206210214410141822263034384650545862[Jour],Taches_Jours12243639172029323541444750535659626783202432364448565260646872768088969210010411211610812012412813213614014414815215616016416817217618018418819219620020420821226121620242832364448525660[[#This Row],[Jours]])</f>
        <v>3</v>
      </c>
      <c r="G36" s="71" t="n">
        <f aca="false">SUMIFS(Horodateur112335381922313437434649525558616469852226343846505854626670747882909894102106114118110122126130134138142146150154158162166170174178182186190194198202206210214410141822263034384650545862[Durée (100)],Horodateur112335381922313437434649525558616469852226343846505854626670747882909894102106114118110122126130134138142146150154158162166170174178182186190194198202206210214410141822263034384650545862[Tâche],Taches_Jours12243639172029323541444750535659626783202432364448565260646872768088969210010411211610812012412813213614014414815215616016416817217618018418819219620020420821226121620242832364448525660[[#Headers],[GP]],Horodateur112335381922313437434649525558616469852226343846505854626670747882909894102106114118110122126130134138142146150154158162166170174178182186190194198202206210214410141822263034384650545862[Jour],Taches_Jours12243639172029323541444750535659626783202432364448565260646872768088969210010411211610812012412813213614014414815215616016416817217618018418819219620020420821226121620242832364448525660[[#This Row],[Jours]])</f>
        <v>3.75</v>
      </c>
      <c r="H36" s="71" t="n">
        <f aca="false">SUMIFS(Horodateur112335381922313437434649525558616469852226343846505854626670747882909894102106114118110122126130134138142146150154158162166170174178182186190194198202206210214410141822263034384650545862[Durée (100)],Horodateur112335381922313437434649525558616469852226343846505854626670747882909894102106114118110122126130134138142146150154158162166170174178182186190194198202206210214410141822263034384650545862[Tâche],Taches_Jours12243639172029323541444750535659626783202432364448565260646872768088969210010411211610812012412813213614014414815215616016416817217618018418819219620020420821226121620242832364448525660[[#Headers],[GP / SP]],Horodateur112335381922313437434649525558616469852226343846505854626670747882909894102106114118110122126130134138142146150154158162166170174178182186190194198202206210214410141822263034384650545862[Jour],Taches_Jours12243639172029323541444750535659626783202432364448565260646872768088969210010411211610812012412813213614014414815215616016416817217618018418819219620020420821226121620242832364448525660[[#This Row],[Jours]])</f>
        <v>0</v>
      </c>
      <c r="I36" s="71" t="n">
        <f aca="false">SUMIFS(Horodateur112335381922313437434649525558616469852226343846505854626670747882909894102106114118110122126130134138142146150154158162166170174178182186190194198202206210214410141822263034384650545862[Durée (100)],Horodateur112335381922313437434649525558616469852226343846505854626670747882909894102106114118110122126130134138142146150154158162166170174178182186190194198202206210214410141822263034384650545862[Tâche],Taches_Jours12243639172029323541444750535659626783202432364448565260646872768088969210010411211610812012412813213614014414815215616016416817217618018418819219620020420821226121620242832364448525660[[#Headers],[GP / SP]],Horodateur112335381922313437434649525558616469852226343846505854626670747882909894102106114118110122126130134138142146150154158162166170174178182186190194198202206210214410141822263034384650545862[Jour],Taches_Jours12243639172029323541444750535659626783202432364448565260646872768088969210010411211610812012412813213614014414815215616016416817217618018418819219620020420821226121620242832364448525660[[#This Row],[Jours]])</f>
        <v>0</v>
      </c>
      <c r="J36" s="290" t="n">
        <f aca="false">SUM(Taches_Jours12243639172029323541444750535659626783202432364448565260646872768088969210010411211610812012412813213614014414815215616016416817217618018418819219620020420821226121620242832364448525660[[#This Row],[GB]:[GP / SP]])</f>
        <v>6.75</v>
      </c>
      <c r="K36" s="188"/>
      <c r="L36" s="188"/>
      <c r="M36" s="288"/>
      <c r="N36" s="289"/>
      <c r="O36" s="289"/>
      <c r="P36" s="187"/>
      <c r="Q36" s="1"/>
      <c r="R36" s="1"/>
      <c r="S36" s="1"/>
      <c r="T36" s="1"/>
      <c r="U36" s="1"/>
      <c r="V36" s="71"/>
      <c r="W36" s="71"/>
      <c r="X36" s="71"/>
      <c r="Y36" s="71"/>
      <c r="Z36" s="71"/>
      <c r="AA36" s="71"/>
      <c r="AB36" s="71"/>
      <c r="AC36" s="71"/>
      <c r="AD36" s="71"/>
      <c r="AE36" s="71"/>
      <c r="AF36" s="71"/>
      <c r="AG36" s="71"/>
      <c r="AH36" s="71"/>
    </row>
    <row r="37" customFormat="false" ht="15" hidden="true" customHeight="false" outlineLevel="1" collapsed="false">
      <c r="A37" s="187" t="s">
        <v>332</v>
      </c>
      <c r="B37" s="71" t="n">
        <f aca="false">SUMIFS(Horodateur112335381922313437434649525558616469852226343846505854626670747882909894102106114118110122126130134138142146150154158162166170174178182186190194198202206210214410141822263034384650545862[Durée (100)],Horodateur112335381922313437434649525558616469852226343846505854626670747882909894102106114118110122126130134138142146150154158162166170174178182186190194198202206210214410141822263034384650545862[Tâche],Taches_Jours12243639172029323541444750535659626783202432364448565260646872768088969210010411211610812012412813213614014414815215616016416817217618018418819219620020420821226121620242832364448525660[[#Headers],[GB]],Horodateur112335381922313437434649525558616469852226343846505854626670747882909894102106114118110122126130134138142146150154158162166170174178182186190194198202206210214410141822263034384650545862[Jour],Taches_Jours12243639172029323541444750535659626783202432364448565260646872768088969210010411211610812012412813213614014414815215616016416817217618018418819219620020420821226121620242832364448525660[[#This Row],[Jours]])</f>
        <v>0</v>
      </c>
      <c r="C37" s="71" t="n">
        <f aca="false">SUMIFS(Horodateur112335381922313437434649525558616469852226343846505854626670747882909894102106114118110122126130134138142146150154158162166170174178182186190194198202206210214410141822263034384650545862[Durée (100)],Horodateur112335381922313437434649525558616469852226343846505854626670747882909894102106114118110122126130134138142146150154158162166170174178182186190194198202206210214410141822263034384650545862[Tâche],Taches_Jours12243639172029323541444750535659626783202432364448565260646872768088969210010411211610812012412813213614014414815215616016416817217618018418819219620020420821226121620242832364448525660[[#Headers],[RI]],Horodateur112335381922313437434649525558616469852226343846505854626670747882909894102106114118110122126130134138142146150154158162166170174178182186190194198202206210214410141822263034384650545862[Jour],Taches_Jours12243639172029323541444750535659626783202432364448565260646872768088969210010411211610812012412813213614014414815215616016416817217618018418819219620020420821226121620242832364448525660[[#This Row],[Jours]])</f>
        <v>0</v>
      </c>
      <c r="D37" s="71" t="n">
        <f aca="false">SUMIFS(Horodateur112335381922313437434649525558616469852226343846505854626670747882909894102106114118110122126130134138142146150154158162166170174178182186190194198202206210214410141822263034384650545862[Durée (100)],Horodateur112335381922313437434649525558616469852226343846505854626670747882909894102106114118110122126130134138142146150154158162166170174178182186190194198202206210214410141822263034384650545862[Tâche],Taches_Jours12243639172029323541444750535659626783202432364448565260646872768088969210010411211610812012412813213614014414815215616016416817217618018418819219620020420821226121620242832364448525660[[#Headers],[FG]],Horodateur112335381922313437434649525558616469852226343846505854626670747882909894102106114118110122126130134138142146150154158162166170174178182186190194198202206210214410141822263034384650545862[Jour],Taches_Jours12243639172029323541444750535659626783202432364448565260646872768088969210010411211610812012412813213614014414815215616016416817217618018418819219620020420821226121620242832364448525660[[#This Row],[Jours]])</f>
        <v>0</v>
      </c>
      <c r="E37" s="71" t="n">
        <f aca="false">SUMIFS(Horodateur112335381922313437434649525558616469852226343846505854626670747882909894102106114118110122126130134138142146150154158162166170174178182186190194198202206210214410141822263034384650545862[Durée (100)],Horodateur112335381922313437434649525558616469852226343846505854626670747882909894102106114118110122126130134138142146150154158162166170174178182186190194198202206210214410141822263034384650545862[Tâche],Taches_Jours12243639172029323541444750535659626783202432364448565260646872768088969210010411211610812012412813213614014414815215616016416817217618018418819219620020420821226121620242832364448525660[[#Headers],[PS]],Horodateur112335381922313437434649525558616469852226343846505854626670747882909894102106114118110122126130134138142146150154158162166170174178182186190194198202206210214410141822263034384650545862[Jour],Taches_Jours12243639172029323541444750535659626783202432364448565260646872768088969210010411211610812012412813213614014414815215616016416817217618018418819219620020420821226121620242832364448525660[[#This Row],[Jours]])</f>
        <v>0</v>
      </c>
      <c r="F37" s="71" t="n">
        <f aca="false">SUMIFS(Horodateur112335381922313437434649525558616469852226343846505854626670747882909894102106114118110122126130134138142146150154158162166170174178182186190194198202206210214410141822263034384650545862[Durée (100)],Horodateur112335381922313437434649525558616469852226343846505854626670747882909894102106114118110122126130134138142146150154158162166170174178182186190194198202206210214410141822263034384650545862[Tâche],Taches_Jours12243639172029323541444750535659626783202432364448565260646872768088969210010411211610812012412813213614014414815215616016416817217618018418819219620020420821226121620242832364448525660[[#Headers],[TD]],Horodateur112335381922313437434649525558616469852226343846505854626670747882909894102106114118110122126130134138142146150154158162166170174178182186190194198202206210214410141822263034384650545862[Jour],Taches_Jours12243639172029323541444750535659626783202432364448565260646872768088969210010411211610812012412813213614014414815215616016416817217618018418819219620020420821226121620242832364448525660[[#This Row],[Jours]])</f>
        <v>3</v>
      </c>
      <c r="G37" s="71" t="n">
        <f aca="false">SUMIFS(Horodateur112335381922313437434649525558616469852226343846505854626670747882909894102106114118110122126130134138142146150154158162166170174178182186190194198202206210214410141822263034384650545862[Durée (100)],Horodateur112335381922313437434649525558616469852226343846505854626670747882909894102106114118110122126130134138142146150154158162166170174178182186190194198202206210214410141822263034384650545862[Tâche],Taches_Jours12243639172029323541444750535659626783202432364448565260646872768088969210010411211610812012412813213614014414815215616016416817217618018418819219620020420821226121620242832364448525660[[#Headers],[GP]],Horodateur112335381922313437434649525558616469852226343846505854626670747882909894102106114118110122126130134138142146150154158162166170174178182186190194198202206210214410141822263034384650545862[Jour],Taches_Jours12243639172029323541444750535659626783202432364448565260646872768088969210010411211610812012412813213614014414815215616016416817217618018418819219620020420821226121620242832364448525660[[#This Row],[Jours]])</f>
        <v>2</v>
      </c>
      <c r="H37" s="71" t="n">
        <f aca="false">SUMIFS(Horodateur112335381922313437434649525558616469852226343846505854626670747882909894102106114118110122126130134138142146150154158162166170174178182186190194198202206210214410141822263034384650545862[Durée (100)],Horodateur112335381922313437434649525558616469852226343846505854626670747882909894102106114118110122126130134138142146150154158162166170174178182186190194198202206210214410141822263034384650545862[Tâche],Taches_Jours12243639172029323541444750535659626783202432364448565260646872768088969210010411211610812012412813213614014414815215616016416817217618018418819219620020420821226121620242832364448525660[[#Headers],[GP / SP]],Horodateur112335381922313437434649525558616469852226343846505854626670747882909894102106114118110122126130134138142146150154158162166170174178182186190194198202206210214410141822263034384650545862[Jour],Taches_Jours12243639172029323541444750535659626783202432364448565260646872768088969210010411211610812012412813213614014414815215616016416817217618018418819219620020420821226121620242832364448525660[[#This Row],[Jours]])</f>
        <v>0</v>
      </c>
      <c r="I37" s="71" t="n">
        <f aca="false">SUMIFS(Horodateur112335381922313437434649525558616469852226343846505854626670747882909894102106114118110122126130134138142146150154158162166170174178182186190194198202206210214410141822263034384650545862[Durée (100)],Horodateur112335381922313437434649525558616469852226343846505854626670747882909894102106114118110122126130134138142146150154158162166170174178182186190194198202206210214410141822263034384650545862[Tâche],Taches_Jours12243639172029323541444750535659626783202432364448565260646872768088969210010411211610812012412813213614014414815215616016416817217618018418819219620020420821226121620242832364448525660[[#Headers],[GP / SP]],Horodateur112335381922313437434649525558616469852226343846505854626670747882909894102106114118110122126130134138142146150154158162166170174178182186190194198202206210214410141822263034384650545862[Jour],Taches_Jours12243639172029323541444750535659626783202432364448565260646872768088969210010411211610812012412813213614014414815215616016416817217618018418819219620020420821226121620242832364448525660[[#This Row],[Jours]])</f>
        <v>0</v>
      </c>
      <c r="J37" s="290" t="n">
        <f aca="false">SUM(Taches_Jours12243639172029323541444750535659626783202432364448565260646872768088969210010411211610812012412813213614014414815215616016416817217618018418819219620020420821226121620242832364448525660[[#This Row],[GB]:[GP / SP]])</f>
        <v>5</v>
      </c>
      <c r="K37" s="188"/>
      <c r="L37" s="188"/>
      <c r="M37" s="288"/>
      <c r="N37" s="289"/>
      <c r="O37" s="289"/>
      <c r="P37" s="187"/>
      <c r="Q37" s="71"/>
      <c r="R37" s="71"/>
      <c r="S37" s="71"/>
      <c r="T37" s="71"/>
      <c r="U37" s="71"/>
      <c r="V37" s="71"/>
      <c r="W37" s="71"/>
      <c r="X37" s="71"/>
      <c r="Y37" s="71"/>
      <c r="Z37" s="71"/>
      <c r="AA37" s="71"/>
      <c r="AB37" s="71"/>
      <c r="AC37" s="71"/>
      <c r="AD37" s="71"/>
      <c r="AE37" s="71"/>
      <c r="AF37" s="71"/>
      <c r="AG37" s="71"/>
      <c r="AH37" s="71"/>
    </row>
    <row r="38" customFormat="false" ht="15" hidden="true" customHeight="false" outlineLevel="1" collapsed="false">
      <c r="A38" s="187" t="s">
        <v>335</v>
      </c>
      <c r="B38" s="71" t="n">
        <f aca="false">SUMIFS(Horodateur112335381922313437434649525558616469852226343846505854626670747882909894102106114118110122126130134138142146150154158162166170174178182186190194198202206210214410141822263034384650545862[Durée (100)],Horodateur112335381922313437434649525558616469852226343846505854626670747882909894102106114118110122126130134138142146150154158162166170174178182186190194198202206210214410141822263034384650545862[Tâche],Taches_Jours12243639172029323541444750535659626783202432364448565260646872768088969210010411211610812012412813213614014414815215616016416817217618018418819219620020420821226121620242832364448525660[[#Headers],[GB]],Horodateur112335381922313437434649525558616469852226343846505854626670747882909894102106114118110122126130134138142146150154158162166170174178182186190194198202206210214410141822263034384650545862[Jour],Taches_Jours12243639172029323541444750535659626783202432364448565260646872768088969210010411211610812012412813213614014414815215616016416817217618018418819219620020420821226121620242832364448525660[[#This Row],[Jours]])</f>
        <v>0</v>
      </c>
      <c r="C38" s="71" t="n">
        <f aca="false">SUMIFS(Horodateur112335381922313437434649525558616469852226343846505854626670747882909894102106114118110122126130134138142146150154158162166170174178182186190194198202206210214410141822263034384650545862[Durée (100)],Horodateur112335381922313437434649525558616469852226343846505854626670747882909894102106114118110122126130134138142146150154158162166170174178182186190194198202206210214410141822263034384650545862[Tâche],Taches_Jours12243639172029323541444750535659626783202432364448565260646872768088969210010411211610812012412813213614014414815215616016416817217618018418819219620020420821226121620242832364448525660[[#Headers],[RI]],Horodateur112335381922313437434649525558616469852226343846505854626670747882909894102106114118110122126130134138142146150154158162166170174178182186190194198202206210214410141822263034384650545862[Jour],Taches_Jours12243639172029323541444750535659626783202432364448565260646872768088969210010411211610812012412813213614014414815215616016416817217618018418819219620020420821226121620242832364448525660[[#This Row],[Jours]])</f>
        <v>0</v>
      </c>
      <c r="D38" s="71" t="n">
        <f aca="false">SUMIFS(Horodateur112335381922313437434649525558616469852226343846505854626670747882909894102106114118110122126130134138142146150154158162166170174178182186190194198202206210214410141822263034384650545862[Durée (100)],Horodateur112335381922313437434649525558616469852226343846505854626670747882909894102106114118110122126130134138142146150154158162166170174178182186190194198202206210214410141822263034384650545862[Tâche],Taches_Jours12243639172029323541444750535659626783202432364448565260646872768088969210010411211610812012412813213614014414815215616016416817217618018418819219620020420821226121620242832364448525660[[#Headers],[FG]],Horodateur112335381922313437434649525558616469852226343846505854626670747882909894102106114118110122126130134138142146150154158162166170174178182186190194198202206210214410141822263034384650545862[Jour],Taches_Jours12243639172029323541444750535659626783202432364448565260646872768088969210010411211610812012412813213614014414815215616016416817217618018418819219620020420821226121620242832364448525660[[#This Row],[Jours]])</f>
        <v>0</v>
      </c>
      <c r="E38" s="71" t="n">
        <f aca="false">SUMIFS(Horodateur112335381922313437434649525558616469852226343846505854626670747882909894102106114118110122126130134138142146150154158162166170174178182186190194198202206210214410141822263034384650545862[Durée (100)],Horodateur112335381922313437434649525558616469852226343846505854626670747882909894102106114118110122126130134138142146150154158162166170174178182186190194198202206210214410141822263034384650545862[Tâche],Taches_Jours12243639172029323541444750535659626783202432364448565260646872768088969210010411211610812012412813213614014414815215616016416817217618018418819219620020420821226121620242832364448525660[[#Headers],[PS]],Horodateur112335381922313437434649525558616469852226343846505854626670747882909894102106114118110122126130134138142146150154158162166170174178182186190194198202206210214410141822263034384650545862[Jour],Taches_Jours12243639172029323541444750535659626783202432364448565260646872768088969210010411211610812012412813213614014414815215616016416817217618018418819219620020420821226121620242832364448525660[[#This Row],[Jours]])</f>
        <v>0</v>
      </c>
      <c r="F38" s="71" t="n">
        <f aca="false">SUMIFS(Horodateur112335381922313437434649525558616469852226343846505854626670747882909894102106114118110122126130134138142146150154158162166170174178182186190194198202206210214410141822263034384650545862[Durée (100)],Horodateur112335381922313437434649525558616469852226343846505854626670747882909894102106114118110122126130134138142146150154158162166170174178182186190194198202206210214410141822263034384650545862[Tâche],Taches_Jours12243639172029323541444750535659626783202432364448565260646872768088969210010411211610812012412813213614014414815215616016416817217618018418819219620020420821226121620242832364448525660[[#Headers],[TD]],Horodateur112335381922313437434649525558616469852226343846505854626670747882909894102106114118110122126130134138142146150154158162166170174178182186190194198202206210214410141822263034384650545862[Jour],Taches_Jours12243639172029323541444750535659626783202432364448565260646872768088969210010411211610812012412813213614014414815215616016416817217618018418819219620020420821226121620242832364448525660[[#This Row],[Jours]])</f>
        <v>0</v>
      </c>
      <c r="G38" s="71" t="n">
        <f aca="false">SUMIFS(Horodateur112335381922313437434649525558616469852226343846505854626670747882909894102106114118110122126130134138142146150154158162166170174178182186190194198202206210214410141822263034384650545862[Durée (100)],Horodateur112335381922313437434649525558616469852226343846505854626670747882909894102106114118110122126130134138142146150154158162166170174178182186190194198202206210214410141822263034384650545862[Tâche],Taches_Jours12243639172029323541444750535659626783202432364448565260646872768088969210010411211610812012412813213614014414815215616016416817217618018418819219620020420821226121620242832364448525660[[#Headers],[GP]],Horodateur112335381922313437434649525558616469852226343846505854626670747882909894102106114118110122126130134138142146150154158162166170174178182186190194198202206210214410141822263034384650545862[Jour],Taches_Jours12243639172029323541444750535659626783202432364448565260646872768088969210010411211610812012412813213614014414815215616016416817217618018418819219620020420821226121620242832364448525660[[#This Row],[Jours]])</f>
        <v>0</v>
      </c>
      <c r="H38" s="71" t="n">
        <f aca="false">SUMIFS(Horodateur112335381922313437434649525558616469852226343846505854626670747882909894102106114118110122126130134138142146150154158162166170174178182186190194198202206210214410141822263034384650545862[Durée (100)],Horodateur112335381922313437434649525558616469852226343846505854626670747882909894102106114118110122126130134138142146150154158162166170174178182186190194198202206210214410141822263034384650545862[Tâche],Taches_Jours12243639172029323541444750535659626783202432364448565260646872768088969210010411211610812012412813213614014414815215616016416817217618018418819219620020420821226121620242832364448525660[[#Headers],[GP / SP]],Horodateur112335381922313437434649525558616469852226343846505854626670747882909894102106114118110122126130134138142146150154158162166170174178182186190194198202206210214410141822263034384650545862[Jour],Taches_Jours12243639172029323541444750535659626783202432364448565260646872768088969210010411211610812012412813213614014414815215616016416817217618018418819219620020420821226121620242832364448525660[[#This Row],[Jours]])</f>
        <v>0</v>
      </c>
      <c r="I38" s="71" t="n">
        <f aca="false">SUMIFS(Horodateur112335381922313437434649525558616469852226343846505854626670747882909894102106114118110122126130134138142146150154158162166170174178182186190194198202206210214410141822263034384650545862[Durée (100)],Horodateur112335381922313437434649525558616469852226343846505854626670747882909894102106114118110122126130134138142146150154158162166170174178182186190194198202206210214410141822263034384650545862[Tâche],Taches_Jours12243639172029323541444750535659626783202432364448565260646872768088969210010411211610812012412813213614014414815215616016416817217618018418819219620020420821226121620242832364448525660[[#Headers],[GP / SP]],Horodateur112335381922313437434649525558616469852226343846505854626670747882909894102106114118110122126130134138142146150154158162166170174178182186190194198202206210214410141822263034384650545862[Jour],Taches_Jours12243639172029323541444750535659626783202432364448565260646872768088969210010411211610812012412813213614014414815215616016416817217618018418819219620020420821226121620242832364448525660[[#This Row],[Jours]])</f>
        <v>0</v>
      </c>
      <c r="J38" s="290" t="n">
        <f aca="false">SUM(Taches_Jours12243639172029323541444750535659626783202432364448565260646872768088969210010411211610812012412813213614014414815215616016416817217618018418819219620020420821226121620242832364448525660[[#This Row],[GB]:[GP / SP]])</f>
        <v>0</v>
      </c>
      <c r="K38" s="188"/>
      <c r="L38" s="188"/>
      <c r="M38" s="288"/>
      <c r="N38" s="289"/>
      <c r="O38" s="289"/>
      <c r="P38" s="187"/>
      <c r="Q38" s="1"/>
      <c r="R38" s="1"/>
      <c r="S38" s="1"/>
      <c r="T38" s="1"/>
      <c r="U38" s="1"/>
      <c r="V38" s="71"/>
      <c r="W38" s="71"/>
      <c r="X38" s="71"/>
      <c r="Y38" s="71"/>
      <c r="Z38" s="71"/>
      <c r="AA38" s="71"/>
      <c r="AB38" s="71"/>
      <c r="AC38" s="71"/>
      <c r="AD38" s="71"/>
      <c r="AE38" s="71"/>
      <c r="AF38" s="71"/>
      <c r="AG38" s="71"/>
      <c r="AH38" s="71"/>
    </row>
    <row r="39" customFormat="false" ht="15" hidden="true" customHeight="false" outlineLevel="1" collapsed="false">
      <c r="A39" s="187" t="s">
        <v>341</v>
      </c>
      <c r="B39" s="71" t="n">
        <f aca="false">SUMIFS(Horodateur112335381922313437434649525558616469852226343846505854626670747882909894102106114118110122126130134138142146150154158162166170174178182186190194198202206210214410141822263034384650545862[Durée (100)],Horodateur112335381922313437434649525558616469852226343846505854626670747882909894102106114118110122126130134138142146150154158162166170174178182186190194198202206210214410141822263034384650545862[Tâche],Taches_Jours12243639172029323541444750535659626783202432364448565260646872768088969210010411211610812012412813213614014414815215616016416817217618018418819219620020420821226121620242832364448525660[[#Headers],[GB]],Horodateur112335381922313437434649525558616469852226343846505854626670747882909894102106114118110122126130134138142146150154158162166170174178182186190194198202206210214410141822263034384650545862[Jour],Taches_Jours12243639172029323541444750535659626783202432364448565260646872768088969210010411211610812012412813213614014414815215616016416817217618018418819219620020420821226121620242832364448525660[[#This Row],[Jours]])</f>
        <v>0</v>
      </c>
      <c r="C39" s="71" t="n">
        <f aca="false">SUMIFS(Horodateur112335381922313437434649525558616469852226343846505854626670747882909894102106114118110122126130134138142146150154158162166170174178182186190194198202206210214410141822263034384650545862[Durée (100)],Horodateur112335381922313437434649525558616469852226343846505854626670747882909894102106114118110122126130134138142146150154158162166170174178182186190194198202206210214410141822263034384650545862[Tâche],Taches_Jours12243639172029323541444750535659626783202432364448565260646872768088969210010411211610812012412813213614014414815215616016416817217618018418819219620020420821226121620242832364448525660[[#Headers],[RI]],Horodateur112335381922313437434649525558616469852226343846505854626670747882909894102106114118110122126130134138142146150154158162166170174178182186190194198202206210214410141822263034384650545862[Jour],Taches_Jours12243639172029323541444750535659626783202432364448565260646872768088969210010411211610812012412813213614014414815215616016416817217618018418819219620020420821226121620242832364448525660[[#This Row],[Jours]])</f>
        <v>0</v>
      </c>
      <c r="D39" s="71" t="n">
        <f aca="false">SUMIFS(Horodateur112335381922313437434649525558616469852226343846505854626670747882909894102106114118110122126130134138142146150154158162166170174178182186190194198202206210214410141822263034384650545862[Durée (100)],Horodateur112335381922313437434649525558616469852226343846505854626670747882909894102106114118110122126130134138142146150154158162166170174178182186190194198202206210214410141822263034384650545862[Tâche],Taches_Jours12243639172029323541444750535659626783202432364448565260646872768088969210010411211610812012412813213614014414815215616016416817217618018418819219620020420821226121620242832364448525660[[#Headers],[FG]],Horodateur112335381922313437434649525558616469852226343846505854626670747882909894102106114118110122126130134138142146150154158162166170174178182186190194198202206210214410141822263034384650545862[Jour],Taches_Jours12243639172029323541444750535659626783202432364448565260646872768088969210010411211610812012412813213614014414815215616016416817217618018418819219620020420821226121620242832364448525660[[#This Row],[Jours]])</f>
        <v>0</v>
      </c>
      <c r="E39" s="71" t="n">
        <f aca="false">SUMIFS(Horodateur112335381922313437434649525558616469852226343846505854626670747882909894102106114118110122126130134138142146150154158162166170174178182186190194198202206210214410141822263034384650545862[Durée (100)],Horodateur112335381922313437434649525558616469852226343846505854626670747882909894102106114118110122126130134138142146150154158162166170174178182186190194198202206210214410141822263034384650545862[Tâche],Taches_Jours12243639172029323541444750535659626783202432364448565260646872768088969210010411211610812012412813213614014414815215616016416817217618018418819219620020420821226121620242832364448525660[[#Headers],[PS]],Horodateur112335381922313437434649525558616469852226343846505854626670747882909894102106114118110122126130134138142146150154158162166170174178182186190194198202206210214410141822263034384650545862[Jour],Taches_Jours12243639172029323541444750535659626783202432364448565260646872768088969210010411211610812012412813213614014414815215616016416817217618018418819219620020420821226121620242832364448525660[[#This Row],[Jours]])</f>
        <v>0</v>
      </c>
      <c r="F39" s="71" t="n">
        <f aca="false">SUMIFS(Horodateur112335381922313437434649525558616469852226343846505854626670747882909894102106114118110122126130134138142146150154158162166170174178182186190194198202206210214410141822263034384650545862[Durée (100)],Horodateur112335381922313437434649525558616469852226343846505854626670747882909894102106114118110122126130134138142146150154158162166170174178182186190194198202206210214410141822263034384650545862[Tâche],Taches_Jours12243639172029323541444750535659626783202432364448565260646872768088969210010411211610812012412813213614014414815215616016416817217618018418819219620020420821226121620242832364448525660[[#Headers],[TD]],Horodateur112335381922313437434649525558616469852226343846505854626670747882909894102106114118110122126130134138142146150154158162166170174178182186190194198202206210214410141822263034384650545862[Jour],Taches_Jours12243639172029323541444750535659626783202432364448565260646872768088969210010411211610812012412813213614014414815215616016416817217618018418819219620020420821226121620242832364448525660[[#This Row],[Jours]])</f>
        <v>0</v>
      </c>
      <c r="G39" s="71" t="n">
        <f aca="false">SUMIFS(Horodateur112335381922313437434649525558616469852226343846505854626670747882909894102106114118110122126130134138142146150154158162166170174178182186190194198202206210214410141822263034384650545862[Durée (100)],Horodateur112335381922313437434649525558616469852226343846505854626670747882909894102106114118110122126130134138142146150154158162166170174178182186190194198202206210214410141822263034384650545862[Tâche],Taches_Jours12243639172029323541444750535659626783202432364448565260646872768088969210010411211610812012412813213614014414815215616016416817217618018418819219620020420821226121620242832364448525660[[#Headers],[GP]],Horodateur112335381922313437434649525558616469852226343846505854626670747882909894102106114118110122126130134138142146150154158162166170174178182186190194198202206210214410141822263034384650545862[Jour],Taches_Jours12243639172029323541444750535659626783202432364448565260646872768088969210010411211610812012412813213614014414815215616016416817217618018418819219620020420821226121620242832364448525660[[#This Row],[Jours]])</f>
        <v>0</v>
      </c>
      <c r="H39" s="71" t="n">
        <f aca="false">SUMIFS(Horodateur112335381922313437434649525558616469852226343846505854626670747882909894102106114118110122126130134138142146150154158162166170174178182186190194198202206210214410141822263034384650545862[Durée (100)],Horodateur112335381922313437434649525558616469852226343846505854626670747882909894102106114118110122126130134138142146150154158162166170174178182186190194198202206210214410141822263034384650545862[Tâche],Taches_Jours12243639172029323541444750535659626783202432364448565260646872768088969210010411211610812012412813213614014414815215616016416817217618018418819219620020420821226121620242832364448525660[[#Headers],[GP / SP]],Horodateur112335381922313437434649525558616469852226343846505854626670747882909894102106114118110122126130134138142146150154158162166170174178182186190194198202206210214410141822263034384650545862[Jour],Taches_Jours12243639172029323541444750535659626783202432364448565260646872768088969210010411211610812012412813213614014414815215616016416817217618018418819219620020420821226121620242832364448525660[[#This Row],[Jours]])</f>
        <v>0</v>
      </c>
      <c r="I39" s="290" t="n">
        <f aca="false">SUMIFS(Horodateur112335381922313437434649525558616469852226343846505854626670747882909894102106114118110122126130134138142146150154158162166170174178182186190194198202206210214410141822263034384650545862[Durée (100)],Horodateur112335381922313437434649525558616469852226343846505854626670747882909894102106114118110122126130134138142146150154158162166170174178182186190194198202206210214410141822263034384650545862[Tâche],Taches_Jours12243639172029323541444750535659626783202432364448565260646872768088969210010411211610812012412813213614014414815215616016416817217618018418819219620020420821226121620242832364448525660[[#Headers],[GP / SP]],Horodateur112335381922313437434649525558616469852226343846505854626670747882909894102106114118110122126130134138142146150154158162166170174178182186190194198202206210214410141822263034384650545862[Jour],Taches_Jours12243639172029323541444750535659626783202432364448565260646872768088969210010411211610812012412813213614014414815215616016416817217618018418819219620020420821226121620242832364448525660[[#This Row],[Jours]])</f>
        <v>0</v>
      </c>
      <c r="J39" s="71" t="n">
        <f aca="false">SUM(Taches_Jours12243639172029323541444750535659626783202432364448565260646872768088969210010411211610812012412813213614014414815215616016416817217618018418819219620020420821226121620242832364448525660[[#This Row],[GB]:[GP / SP]])</f>
        <v>0</v>
      </c>
      <c r="K39" s="188"/>
      <c r="L39" s="188"/>
      <c r="M39" s="288"/>
      <c r="N39" s="289"/>
      <c r="O39" s="289"/>
      <c r="P39" s="187"/>
      <c r="Q39" s="1"/>
      <c r="R39" s="1"/>
      <c r="S39" s="1"/>
      <c r="T39" s="1"/>
      <c r="U39" s="1"/>
      <c r="V39" s="71"/>
      <c r="W39" s="71"/>
      <c r="X39" s="71"/>
      <c r="Y39" s="71"/>
      <c r="Z39" s="71"/>
      <c r="AA39" s="71"/>
      <c r="AB39" s="71"/>
      <c r="AC39" s="71"/>
      <c r="AD39" s="71"/>
      <c r="AE39" s="71"/>
      <c r="AF39" s="71"/>
      <c r="AG39" s="71"/>
      <c r="AH39" s="71"/>
    </row>
    <row r="40" customFormat="false" ht="15" hidden="true" customHeight="false" outlineLevel="1" collapsed="false">
      <c r="A40" s="187" t="s">
        <v>381</v>
      </c>
      <c r="B40" s="71" t="n">
        <f aca="false">SUMIFS(Horodateur112335381922313437434649525558616469852226343846505854626670747882909894102106114118110122126130134138142146150154158162166170174178182186190194198202206210214410141822263034384650545862[Durée (100)],Horodateur112335381922313437434649525558616469852226343846505854626670747882909894102106114118110122126130134138142146150154158162166170174178182186190194198202206210214410141822263034384650545862[Tâche],Taches_Jours12243639172029323541444750535659626783202432364448565260646872768088969210010411211610812012412813213614014414815215616016416817217618018418819219620020420821226121620242832364448525660[[#Headers],[GB]],Horodateur112335381922313437434649525558616469852226343846505854626670747882909894102106114118110122126130134138142146150154158162166170174178182186190194198202206210214410141822263034384650545862[Jour],Taches_Jours12243639172029323541444750535659626783202432364448565260646872768088969210010411211610812012412813213614014414815215616016416817217618018418819219620020420821226121620242832364448525660[[#This Row],[Jours]])</f>
        <v>0</v>
      </c>
      <c r="C40" s="71" t="n">
        <f aca="false">SUMIFS(Horodateur112335381922313437434649525558616469852226343846505854626670747882909894102106114118110122126130134138142146150154158162166170174178182186190194198202206210214410141822263034384650545862[Durée (100)],Horodateur112335381922313437434649525558616469852226343846505854626670747882909894102106114118110122126130134138142146150154158162166170174178182186190194198202206210214410141822263034384650545862[Tâche],Taches_Jours12243639172029323541444750535659626783202432364448565260646872768088969210010411211610812012412813213614014414815215616016416817217618018418819219620020420821226121620242832364448525660[[#Headers],[RI]],Horodateur112335381922313437434649525558616469852226343846505854626670747882909894102106114118110122126130134138142146150154158162166170174178182186190194198202206210214410141822263034384650545862[Jour],Taches_Jours12243639172029323541444750535659626783202432364448565260646872768088969210010411211610812012412813213614014414815215616016416817217618018418819219620020420821226121620242832364448525660[[#This Row],[Jours]])</f>
        <v>0</v>
      </c>
      <c r="D40" s="71" t="n">
        <f aca="false">SUMIFS(Horodateur112335381922313437434649525558616469852226343846505854626670747882909894102106114118110122126130134138142146150154158162166170174178182186190194198202206210214410141822263034384650545862[Durée (100)],Horodateur112335381922313437434649525558616469852226343846505854626670747882909894102106114118110122126130134138142146150154158162166170174178182186190194198202206210214410141822263034384650545862[Tâche],Taches_Jours12243639172029323541444750535659626783202432364448565260646872768088969210010411211610812012412813213614014414815215616016416817217618018418819219620020420821226121620242832364448525660[[#Headers],[FG]],Horodateur112335381922313437434649525558616469852226343846505854626670747882909894102106114118110122126130134138142146150154158162166170174178182186190194198202206210214410141822263034384650545862[Jour],Taches_Jours12243639172029323541444750535659626783202432364448565260646872768088969210010411211610812012412813213614014414815215616016416817217618018418819219620020420821226121620242832364448525660[[#This Row],[Jours]])</f>
        <v>0</v>
      </c>
      <c r="E40" s="71" t="n">
        <f aca="false">SUMIFS(Horodateur112335381922313437434649525558616469852226343846505854626670747882909894102106114118110122126130134138142146150154158162166170174178182186190194198202206210214410141822263034384650545862[Durée (100)],Horodateur112335381922313437434649525558616469852226343846505854626670747882909894102106114118110122126130134138142146150154158162166170174178182186190194198202206210214410141822263034384650545862[Tâche],Taches_Jours12243639172029323541444750535659626783202432364448565260646872768088969210010411211610812012412813213614014414815215616016416817217618018418819219620020420821226121620242832364448525660[[#Headers],[PS]],Horodateur112335381922313437434649525558616469852226343846505854626670747882909894102106114118110122126130134138142146150154158162166170174178182186190194198202206210214410141822263034384650545862[Jour],Taches_Jours12243639172029323541444750535659626783202432364448565260646872768088969210010411211610812012412813213614014414815215616016416817217618018418819219620020420821226121620242832364448525660[[#This Row],[Jours]])</f>
        <v>0</v>
      </c>
      <c r="F40" s="71" t="n">
        <f aca="false">SUMIFS(Horodateur112335381922313437434649525558616469852226343846505854626670747882909894102106114118110122126130134138142146150154158162166170174178182186190194198202206210214410141822263034384650545862[Durée (100)],Horodateur112335381922313437434649525558616469852226343846505854626670747882909894102106114118110122126130134138142146150154158162166170174178182186190194198202206210214410141822263034384650545862[Tâche],Taches_Jours12243639172029323541444750535659626783202432364448565260646872768088969210010411211610812012412813213614014414815215616016416817217618018418819219620020420821226121620242832364448525660[[#Headers],[TD]],Horodateur112335381922313437434649525558616469852226343846505854626670747882909894102106114118110122126130134138142146150154158162166170174178182186190194198202206210214410141822263034384650545862[Jour],Taches_Jours12243639172029323541444750535659626783202432364448565260646872768088969210010411211610812012412813213614014414815215616016416817217618018418819219620020420821226121620242832364448525660[[#This Row],[Jours]])</f>
        <v>0</v>
      </c>
      <c r="G40" s="71" t="n">
        <f aca="false">SUMIFS(Horodateur112335381922313437434649525558616469852226343846505854626670747882909894102106114118110122126130134138142146150154158162166170174178182186190194198202206210214410141822263034384650545862[Durée (100)],Horodateur112335381922313437434649525558616469852226343846505854626670747882909894102106114118110122126130134138142146150154158162166170174178182186190194198202206210214410141822263034384650545862[Tâche],Taches_Jours12243639172029323541444750535659626783202432364448565260646872768088969210010411211610812012412813213614014414815215616016416817217618018418819219620020420821226121620242832364448525660[[#Headers],[GP]],Horodateur112335381922313437434649525558616469852226343846505854626670747882909894102106114118110122126130134138142146150154158162166170174178182186190194198202206210214410141822263034384650545862[Jour],Taches_Jours12243639172029323541444750535659626783202432364448565260646872768088969210010411211610812012412813213614014414815215616016416817217618018418819219620020420821226121620242832364448525660[[#This Row],[Jours]])</f>
        <v>0</v>
      </c>
      <c r="H40" s="71" t="n">
        <f aca="false">SUMIFS(Horodateur112335381922313437434649525558616469852226343846505854626670747882909894102106114118110122126130134138142146150154158162166170174178182186190194198202206210214410141822263034384650545862[Durée (100)],Horodateur112335381922313437434649525558616469852226343846505854626670747882909894102106114118110122126130134138142146150154158162166170174178182186190194198202206210214410141822263034384650545862[Tâche],Taches_Jours12243639172029323541444750535659626783202432364448565260646872768088969210010411211610812012412813213614014414815215616016416817217618018418819219620020420821226121620242832364448525660[[#Headers],[GP / SP]],Horodateur112335381922313437434649525558616469852226343846505854626670747882909894102106114118110122126130134138142146150154158162166170174178182186190194198202206210214410141822263034384650545862[Jour],Taches_Jours12243639172029323541444750535659626783202432364448565260646872768088969210010411211610812012412813213614014414815215616016416817217618018418819219620020420821226121620242832364448525660[[#This Row],[Jours]])</f>
        <v>0</v>
      </c>
      <c r="I40" s="290" t="n">
        <f aca="false">SUMIFS(Horodateur112335381922313437434649525558616469852226343846505854626670747882909894102106114118110122126130134138142146150154158162166170174178182186190194198202206210214410141822263034384650545862[Durée (100)],Horodateur112335381922313437434649525558616469852226343846505854626670747882909894102106114118110122126130134138142146150154158162166170174178182186190194198202206210214410141822263034384650545862[Tâche],Taches_Jours12243639172029323541444750535659626783202432364448565260646872768088969210010411211610812012412813213614014414815215616016416817217618018418819219620020420821226121620242832364448525660[[#Headers],[GP / SP]],Horodateur112335381922313437434649525558616469852226343846505854626670747882909894102106114118110122126130134138142146150154158162166170174178182186190194198202206210214410141822263034384650545862[Jour],Taches_Jours12243639172029323541444750535659626783202432364448565260646872768088969210010411211610812012412813213614014414815215616016416817217618018418819219620020420821226121620242832364448525660[[#This Row],[Jours]])</f>
        <v>0</v>
      </c>
      <c r="J40" s="71" t="n">
        <f aca="false">SUM(Taches_Jours12243639172029323541444750535659626783202432364448565260646872768088969210010411211610812012412813213614014414815215616016416817217618018418819219620020420821226121620242832364448525660[[#This Row],[GB]:[GP / SP]])</f>
        <v>0</v>
      </c>
      <c r="K40" s="188"/>
      <c r="L40" s="188"/>
      <c r="M40" s="288"/>
      <c r="N40" s="289"/>
      <c r="O40" s="289"/>
      <c r="P40" s="187"/>
      <c r="Q40" s="1"/>
      <c r="R40" s="1"/>
      <c r="S40" s="1"/>
      <c r="T40" s="1"/>
      <c r="U40" s="1"/>
      <c r="V40" s="71"/>
      <c r="W40" s="71"/>
      <c r="X40" s="71"/>
      <c r="Y40" s="71"/>
      <c r="Z40" s="71"/>
      <c r="AA40" s="71"/>
      <c r="AB40" s="71"/>
      <c r="AC40" s="71"/>
      <c r="AD40" s="71"/>
      <c r="AE40" s="71"/>
      <c r="AF40" s="71"/>
      <c r="AG40" s="71"/>
      <c r="AH40" s="71"/>
    </row>
    <row r="41" customFormat="false" ht="15" hidden="true" customHeight="false" outlineLevel="1" collapsed="false">
      <c r="A41" s="137"/>
      <c r="B41" s="187"/>
      <c r="C41" s="71"/>
      <c r="D41" s="1"/>
      <c r="E41" s="1"/>
      <c r="F41" s="71"/>
      <c r="G41" s="1"/>
      <c r="H41" s="1"/>
      <c r="I41" s="119"/>
      <c r="J41" s="271"/>
      <c r="K41" s="1"/>
      <c r="L41" s="1"/>
      <c r="M41" s="188"/>
      <c r="N41" s="272"/>
      <c r="O41" s="272"/>
      <c r="P41" s="187"/>
      <c r="Q41" s="1"/>
      <c r="R41" s="1"/>
      <c r="S41" s="1"/>
      <c r="T41" s="1"/>
      <c r="U41" s="1"/>
      <c r="V41" s="1"/>
      <c r="W41" s="71"/>
      <c r="X41" s="71"/>
      <c r="Y41" s="71"/>
      <c r="Z41" s="71"/>
      <c r="AA41" s="71"/>
      <c r="AB41" s="71"/>
      <c r="AC41" s="71"/>
      <c r="AD41" s="71"/>
      <c r="AE41" s="71"/>
      <c r="AF41" s="71"/>
      <c r="AG41" s="71"/>
      <c r="AH41" s="71"/>
      <c r="AI41" s="71"/>
    </row>
    <row r="42" customFormat="false" ht="15" hidden="true" customHeight="false" outlineLevel="1" collapsed="false">
      <c r="A42" s="291" t="s">
        <v>85</v>
      </c>
      <c r="B42" s="292" t="s">
        <v>312</v>
      </c>
      <c r="C42" s="292" t="s">
        <v>319</v>
      </c>
      <c r="D42" s="292" t="s">
        <v>324</v>
      </c>
      <c r="E42" s="292" t="s">
        <v>332</v>
      </c>
      <c r="F42" s="293" t="s">
        <v>335</v>
      </c>
      <c r="G42" s="292" t="s">
        <v>341</v>
      </c>
      <c r="H42" s="292" t="s">
        <v>381</v>
      </c>
      <c r="I42" s="294" t="s">
        <v>58</v>
      </c>
      <c r="J42" s="271"/>
      <c r="K42" s="1"/>
      <c r="L42" s="1"/>
      <c r="M42" s="188"/>
      <c r="N42" s="272"/>
      <c r="O42" s="272"/>
      <c r="P42" s="187"/>
      <c r="Q42" s="1"/>
      <c r="R42" s="1"/>
      <c r="S42" s="1"/>
      <c r="T42" s="1"/>
      <c r="U42" s="1"/>
      <c r="V42" s="1"/>
      <c r="W42" s="71"/>
      <c r="X42" s="71"/>
      <c r="Y42" s="71"/>
      <c r="Z42" s="71"/>
      <c r="AA42" s="71"/>
      <c r="AB42" s="71"/>
      <c r="AC42" s="71"/>
      <c r="AD42" s="71"/>
      <c r="AE42" s="71"/>
      <c r="AF42" s="71"/>
      <c r="AG42" s="71"/>
      <c r="AH42" s="71"/>
      <c r="AI42" s="71"/>
    </row>
    <row r="43" customFormat="false" ht="15" hidden="true" customHeight="false" outlineLevel="1" collapsed="false">
      <c r="A43" s="137" t="s">
        <v>21</v>
      </c>
      <c r="B43" s="187" t="n">
        <f aca="false">SUMIFS(Horodateur112335381922313437434649525558616469852226343846505854626670747882909894102106114118110122126130134138142146150154158162166170174178182186190194198202206210214410141822263034384650545862[Durée (100)],Horodateur112335381922313437434649525558616469852226343846505854626670747882909894102106114118110122126130134138142146150154158162166170174178182186190194198202206210214410141822263034384650545862[Jour],$B$42,Horodateur112335381922313437434649525558616469852226343846505854626670747882909894102106114118110122126130134138142146150154158162166170174178182186190194198202206210214410141822263034384650545862[Tâche],$A43)</f>
        <v>0.999999999999999</v>
      </c>
      <c r="C43" s="187" t="n">
        <f aca="false">SUMIFS(Horodateur112335381922313437434649525558616469852226343846505854626670747882909894102106114118110122126130134138142146150154158162166170174178182186190194198202206210214410141822263034384650545862[Durée (100)],Horodateur112335381922313437434649525558616469852226343846505854626670747882909894102106114118110122126130134138142146150154158162166170174178182186190194198202206210214410141822263034384650545862[Jour],$C$42,Horodateur112335381922313437434649525558616469852226343846505854626670747882909894102106114118110122126130134138142146150154158162166170174178182186190194198202206210214410141822263034384650545862[Tâche],$A43)</f>
        <v>0</v>
      </c>
      <c r="D43" s="187" t="n">
        <f aca="false">SUMIFS(Horodateur112335381922313437434649525558616469852226343846505854626670747882909894102106114118110122126130134138142146150154158162166170174178182186190194198202206210214410141822263034384650545862[Durée (100)],Horodateur112335381922313437434649525558616469852226343846505854626670747882909894102106114118110122126130134138142146150154158162166170174178182186190194198202206210214410141822263034384650545862[Jour],$D$42,Horodateur112335381922313437434649525558616469852226343846505854626670747882909894102106114118110122126130134138142146150154158162166170174178182186190194198202206210214410141822263034384650545862[Tâche],$A43)</f>
        <v>0</v>
      </c>
      <c r="E43" s="187" t="n">
        <f aca="false">SUMIFS(Horodateur112335381922313437434649525558616469852226343846505854626670747882909894102106114118110122126130134138142146150154158162166170174178182186190194198202206210214410141822263034384650545862[Durée (100)],Horodateur112335381922313437434649525558616469852226343846505854626670747882909894102106114118110122126130134138142146150154158162166170174178182186190194198202206210214410141822263034384650545862[Jour],$E$42,Horodateur112335381922313437434649525558616469852226343846505854626670747882909894102106114118110122126130134138142146150154158162166170174178182186190194198202206210214410141822263034384650545862[Tâche],$A43)</f>
        <v>0</v>
      </c>
      <c r="F43" s="71" t="n">
        <f aca="false">SUMIFS(Horodateur112335381922313437434649525558616469852226343846505854626670747882909894102106114118110122126130134138142146150154158162166170174178182186190194198202206210214410141822263034384650545862[Durée (100)],Horodateur112335381922313437434649525558616469852226343846505854626670747882909894102106114118110122126130134138142146150154158162166170174178182186190194198202206210214410141822263034384650545862[Jour],$F$42,Horodateur112335381922313437434649525558616469852226343846505854626670747882909894102106114118110122126130134138142146150154158162166170174178182186190194198202206210214410141822263034384650545862[Tâche],$A43)</f>
        <v>0</v>
      </c>
      <c r="G43" s="187" t="n">
        <f aca="false">SUMIFS(Horodateur112335381922313437434649525558616469852226343846505854626670747882909894102106114118110122126130134138142146150154158162166170174178182186190194198202206210214410141822263034384650545862[Durée (100)],Horodateur112335381922313437434649525558616469852226343846505854626670747882909894102106114118110122126130134138142146150154158162166170174178182186190194198202206210214410141822263034384650545862[Jour],$G$42,Horodateur112335381922313437434649525558616469852226343846505854626670747882909894102106114118110122126130134138142146150154158162166170174178182186190194198202206210214410141822263034384650545862[Tâche],$A43)</f>
        <v>0</v>
      </c>
      <c r="H43" s="187" t="n">
        <f aca="false">SUMIFS(Horodateur112335381922313437434649525558616469852226343846505854626670747882909894102106114118110122126130134138142146150154158162166170174178182186190194198202206210214410141822263034384650545862[Durée (100)],Horodateur112335381922313437434649525558616469852226343846505854626670747882909894102106114118110122126130134138142146150154158162166170174178182186190194198202206210214410141822263034384650545862[Jour],$H$42,Horodateur112335381922313437434649525558616469852226343846505854626670747882909894102106114118110122126130134138142146150154158162166170174178182186190194198202206210214410141822263034384650545862[Tâche],$A43)</f>
        <v>0</v>
      </c>
      <c r="I43" s="295" t="n">
        <f aca="false">SUM(Taches_Jour213253740182130333642454851545760636884212533374549575361656973778189979310110511311710912112512913313714114514915315716116516917317718118518919319720120520921339131721252933374549535761[[#This Row],[1- Lundi]:[7- Dimanche]])</f>
        <v>0.999999999999999</v>
      </c>
      <c r="J43" s="271"/>
      <c r="K43" s="1"/>
      <c r="L43" s="1"/>
      <c r="M43" s="188"/>
      <c r="N43" s="272"/>
      <c r="O43" s="272"/>
      <c r="P43" s="187"/>
      <c r="Q43" s="1"/>
      <c r="R43" s="1"/>
      <c r="S43" s="1"/>
      <c r="T43" s="1"/>
      <c r="U43" s="1"/>
      <c r="V43" s="1"/>
      <c r="W43" s="71"/>
      <c r="X43" s="71"/>
      <c r="Y43" s="71"/>
      <c r="Z43" s="71"/>
      <c r="AA43" s="71"/>
      <c r="AB43" s="71"/>
      <c r="AC43" s="71"/>
      <c r="AD43" s="71"/>
      <c r="AE43" s="71"/>
      <c r="AF43" s="71"/>
      <c r="AG43" s="71"/>
      <c r="AH43" s="71"/>
      <c r="AI43" s="71"/>
    </row>
    <row r="44" customFormat="false" ht="15" hidden="true" customHeight="false" outlineLevel="1" collapsed="false">
      <c r="A44" s="137" t="s">
        <v>20</v>
      </c>
      <c r="B44" s="187" t="n">
        <f aca="false">SUMIFS(Horodateur112335381922313437434649525558616469852226343846505854626670747882909894102106114118110122126130134138142146150154158162166170174178182186190194198202206210214410141822263034384650545862[Durée (100)],Horodateur112335381922313437434649525558616469852226343846505854626670747882909894102106114118110122126130134138142146150154158162166170174178182186190194198202206210214410141822263034384650545862[Jour],$B$42,Horodateur112335381922313437434649525558616469852226343846505854626670747882909894102106114118110122126130134138142146150154158162166170174178182186190194198202206210214410141822263034384650545862[Tâche],$A44)</f>
        <v>0.500000000000001</v>
      </c>
      <c r="C44" s="187" t="n">
        <f aca="false">SUMIFS(Horodateur112335381922313437434649525558616469852226343846505854626670747882909894102106114118110122126130134138142146150154158162166170174178182186190194198202206210214410141822263034384650545862[Durée (100)],Horodateur112335381922313437434649525558616469852226343846505854626670747882909894102106114118110122126130134138142146150154158162166170174178182186190194198202206210214410141822263034384650545862[Jour],$C$42,Horodateur112335381922313437434649525558616469852226343846505854626670747882909894102106114118110122126130134138142146150154158162166170174178182186190194198202206210214410141822263034384650545862[Tâche],$A44)</f>
        <v>0.499999999999998</v>
      </c>
      <c r="D44" s="187" t="n">
        <f aca="false">SUMIFS(Horodateur112335381922313437434649525558616469852226343846505854626670747882909894102106114118110122126130134138142146150154158162166170174178182186190194198202206210214410141822263034384650545862[Durée (100)],Horodateur112335381922313437434649525558616469852226343846505854626670747882909894102106114118110122126130134138142146150154158162166170174178182186190194198202206210214410141822263034384650545862[Jour],$D$42,Horodateur112335381922313437434649525558616469852226343846505854626670747882909894102106114118110122126130134138142146150154158162166170174178182186190194198202206210214410141822263034384650545862[Tâche],$A44)</f>
        <v>0</v>
      </c>
      <c r="E44" s="187" t="n">
        <f aca="false">SUMIFS(Horodateur112335381922313437434649525558616469852226343846505854626670747882909894102106114118110122126130134138142146150154158162166170174178182186190194198202206210214410141822263034384650545862[Durée (100)],Horodateur112335381922313437434649525558616469852226343846505854626670747882909894102106114118110122126130134138142146150154158162166170174178182186190194198202206210214410141822263034384650545862[Jour],$E$42,Horodateur112335381922313437434649525558616469852226343846505854626670747882909894102106114118110122126130134138142146150154158162166170174178182186190194198202206210214410141822263034384650545862[Tâche],$A44)</f>
        <v>0</v>
      </c>
      <c r="F44" s="71" t="n">
        <f aca="false">SUMIFS(Horodateur112335381922313437434649525558616469852226343846505854626670747882909894102106114118110122126130134138142146150154158162166170174178182186190194198202206210214410141822263034384650545862[Durée (100)],Horodateur112335381922313437434649525558616469852226343846505854626670747882909894102106114118110122126130134138142146150154158162166170174178182186190194198202206210214410141822263034384650545862[Jour],$F$42,Horodateur112335381922313437434649525558616469852226343846505854626670747882909894102106114118110122126130134138142146150154158162166170174178182186190194198202206210214410141822263034384650545862[Tâche],$A44)</f>
        <v>0</v>
      </c>
      <c r="G44" s="187" t="n">
        <f aca="false">SUMIFS(Horodateur112335381922313437434649525558616469852226343846505854626670747882909894102106114118110122126130134138142146150154158162166170174178182186190194198202206210214410141822263034384650545862[Durée (100)],Horodateur112335381922313437434649525558616469852226343846505854626670747882909894102106114118110122126130134138142146150154158162166170174178182186190194198202206210214410141822263034384650545862[Jour],$G$42,Horodateur112335381922313437434649525558616469852226343846505854626670747882909894102106114118110122126130134138142146150154158162166170174178182186190194198202206210214410141822263034384650545862[Tâche],$A44)</f>
        <v>0</v>
      </c>
      <c r="H44" s="187" t="n">
        <f aca="false">SUMIFS(Horodateur112335381922313437434649525558616469852226343846505854626670747882909894102106114118110122126130134138142146150154158162166170174178182186190194198202206210214410141822263034384650545862[Durée (100)],Horodateur112335381922313437434649525558616469852226343846505854626670747882909894102106114118110122126130134138142146150154158162166170174178182186190194198202206210214410141822263034384650545862[Jour],$H$42,Horodateur112335381922313437434649525558616469852226343846505854626670747882909894102106114118110122126130134138142146150154158162166170174178182186190194198202206210214410141822263034384650545862[Tâche],$A44)</f>
        <v>0</v>
      </c>
      <c r="I44" s="295" t="n">
        <f aca="false">SUM(Taches_Jour213253740182130333642454851545760636884212533374549575361656973778189979310110511311710912112512913313714114514915315716116516917317718118518919319720120520921339131721252933374549535761[[#This Row],[1- Lundi]:[7- Dimanche]])</f>
        <v>0.999999999999999</v>
      </c>
      <c r="J44" s="271"/>
      <c r="K44" s="1"/>
      <c r="L44" s="1"/>
      <c r="M44" s="188"/>
      <c r="N44" s="272"/>
      <c r="O44" s="272"/>
      <c r="P44" s="187"/>
      <c r="Q44" s="1"/>
      <c r="R44" s="1"/>
      <c r="S44" s="1"/>
      <c r="T44" s="1"/>
      <c r="U44" s="1"/>
      <c r="V44" s="1"/>
      <c r="W44" s="71"/>
      <c r="X44" s="71"/>
      <c r="Y44" s="71"/>
      <c r="Z44" s="71"/>
      <c r="AA44" s="71"/>
      <c r="AB44" s="71"/>
      <c r="AC44" s="71"/>
      <c r="AD44" s="71"/>
      <c r="AE44" s="71"/>
      <c r="AF44" s="71"/>
      <c r="AG44" s="71"/>
      <c r="AH44" s="71"/>
      <c r="AI44" s="71"/>
    </row>
    <row r="45" customFormat="false" ht="15" hidden="true" customHeight="false" outlineLevel="1" collapsed="false">
      <c r="A45" s="137" t="s">
        <v>23</v>
      </c>
      <c r="B45" s="187" t="n">
        <f aca="false">SUMIFS(Horodateur112335381922313437434649525558616469852226343846505854626670747882909894102106114118110122126130134138142146150154158162166170174178182186190194198202206210214410141822263034384650545862[Durée (100)],Horodateur112335381922313437434649525558616469852226343846505854626670747882909894102106114118110122126130134138142146150154158162166170174178182186190194198202206210214410141822263034384650545862[Jour],$B$42,Horodateur112335381922313437434649525558616469852226343846505854626670747882909894102106114118110122126130134138142146150154158162166170174178182186190194198202206210214410141822263034384650545862[Tâche],$A45)</f>
        <v>0</v>
      </c>
      <c r="C45" s="187" t="n">
        <f aca="false">SUMIFS(Horodateur112335381922313437434649525558616469852226343846505854626670747882909894102106114118110122126130134138142146150154158162166170174178182186190194198202206210214410141822263034384650545862[Durée (100)],Horodateur112335381922313437434649525558616469852226343846505854626670747882909894102106114118110122126130134138142146150154158162166170174178182186190194198202206210214410141822263034384650545862[Jour],$C$42,Horodateur112335381922313437434649525558616469852226343846505854626670747882909894102106114118110122126130134138142146150154158162166170174178182186190194198202206210214410141822263034384650545862[Tâche],$A45)</f>
        <v>0</v>
      </c>
      <c r="D45" s="187" t="n">
        <f aca="false">SUMIFS(Horodateur112335381922313437434649525558616469852226343846505854626670747882909894102106114118110122126130134138142146150154158162166170174178182186190194198202206210214410141822263034384650545862[Durée (100)],Horodateur112335381922313437434649525558616469852226343846505854626670747882909894102106114118110122126130134138142146150154158162166170174178182186190194198202206210214410141822263034384650545862[Jour],$D$42,Horodateur112335381922313437434649525558616469852226343846505854626670747882909894102106114118110122126130134138142146150154158162166170174178182186190194198202206210214410141822263034384650545862[Tâche],$A45)</f>
        <v>0</v>
      </c>
      <c r="E45" s="187" t="n">
        <f aca="false">SUMIFS(Horodateur112335381922313437434649525558616469852226343846505854626670747882909894102106114118110122126130134138142146150154158162166170174178182186190194198202206210214410141822263034384650545862[Durée (100)],Horodateur112335381922313437434649525558616469852226343846505854626670747882909894102106114118110122126130134138142146150154158162166170174178182186190194198202206210214410141822263034384650545862[Jour],$E$42,Horodateur112335381922313437434649525558616469852226343846505854626670747882909894102106114118110122126130134138142146150154158162166170174178182186190194198202206210214410141822263034384650545862[Tâche],$A45)</f>
        <v>0</v>
      </c>
      <c r="F45" s="71" t="n">
        <f aca="false">SUMIFS(Horodateur112335381922313437434649525558616469852226343846505854626670747882909894102106114118110122126130134138142146150154158162166170174178182186190194198202206210214410141822263034384650545862[Durée (100)],Horodateur112335381922313437434649525558616469852226343846505854626670747882909894102106114118110122126130134138142146150154158162166170174178182186190194198202206210214410141822263034384650545862[Jour],$F$42,Horodateur112335381922313437434649525558616469852226343846505854626670747882909894102106114118110122126130134138142146150154158162166170174178182186190194198202206210214410141822263034384650545862[Tâche],$A45)</f>
        <v>0</v>
      </c>
      <c r="G45" s="187" t="n">
        <f aca="false">SUMIFS(Horodateur112335381922313437434649525558616469852226343846505854626670747882909894102106114118110122126130134138142146150154158162166170174178182186190194198202206210214410141822263034384650545862[Durée (100)],Horodateur112335381922313437434649525558616469852226343846505854626670747882909894102106114118110122126130134138142146150154158162166170174178182186190194198202206210214410141822263034384650545862[Jour],$G$42,Horodateur112335381922313437434649525558616469852226343846505854626670747882909894102106114118110122126130134138142146150154158162166170174178182186190194198202206210214410141822263034384650545862[Tâche],$A45)</f>
        <v>0</v>
      </c>
      <c r="H45" s="187" t="n">
        <f aca="false">SUMIFS(Horodateur112335381922313437434649525558616469852226343846505854626670747882909894102106114118110122126130134138142146150154158162166170174178182186190194198202206210214410141822263034384650545862[Durée (100)],Horodateur112335381922313437434649525558616469852226343846505854626670747882909894102106114118110122126130134138142146150154158162166170174178182186190194198202206210214410141822263034384650545862[Jour],$H$42,Horodateur112335381922313437434649525558616469852226343846505854626670747882909894102106114118110122126130134138142146150154158162166170174178182186190194198202206210214410141822263034384650545862[Tâche],$A45)</f>
        <v>0</v>
      </c>
      <c r="I45" s="295" t="n">
        <f aca="false">SUM(Taches_Jour213253740182130333642454851545760636884212533374549575361656973778189979310110511311710912112512913313714114514915315716116516917317718118518919319720120520921339131721252933374549535761[[#This Row],[1- Lundi]:[7- Dimanche]])</f>
        <v>0</v>
      </c>
      <c r="J45" s="271"/>
      <c r="K45" s="1"/>
      <c r="L45" s="1"/>
      <c r="M45" s="188"/>
      <c r="N45" s="272"/>
      <c r="O45" s="272"/>
      <c r="P45" s="187"/>
      <c r="Q45" s="1"/>
      <c r="R45" s="1"/>
      <c r="S45" s="1"/>
      <c r="T45" s="1"/>
      <c r="U45" s="1"/>
      <c r="V45" s="1"/>
      <c r="W45" s="71"/>
      <c r="X45" s="71"/>
      <c r="Y45" s="71"/>
      <c r="Z45" s="71"/>
      <c r="AA45" s="71"/>
      <c r="AB45" s="71"/>
      <c r="AC45" s="71"/>
      <c r="AD45" s="71"/>
      <c r="AE45" s="71"/>
      <c r="AF45" s="71"/>
      <c r="AG45" s="71"/>
      <c r="AH45" s="71"/>
      <c r="AI45" s="71"/>
    </row>
    <row r="46" customFormat="false" ht="15" hidden="true" customHeight="false" outlineLevel="1" collapsed="false">
      <c r="A46" s="137" t="s">
        <v>25</v>
      </c>
      <c r="B46" s="187" t="n">
        <f aca="false">SUMIFS(Horodateur112335381922313437434649525558616469852226343846505854626670747882909894102106114118110122126130134138142146150154158162166170174178182186190194198202206210214410141822263034384650545862[Durée (100)],Horodateur112335381922313437434649525558616469852226343846505854626670747882909894102106114118110122126130134138142146150154158162166170174178182186190194198202206210214410141822263034384650545862[Jour],$B$42,Horodateur112335381922313437434649525558616469852226343846505854626670747882909894102106114118110122126130134138142146150154158162166170174178182186190194198202206210214410141822263034384650545862[Tâche],$A46)</f>
        <v>0</v>
      </c>
      <c r="C46" s="187" t="n">
        <f aca="false">SUMIFS(Horodateur112335381922313437434649525558616469852226343846505854626670747882909894102106114118110122126130134138142146150154158162166170174178182186190194198202206210214410141822263034384650545862[Durée (100)],Horodateur112335381922313437434649525558616469852226343846505854626670747882909894102106114118110122126130134138142146150154158162166170174178182186190194198202206210214410141822263034384650545862[Jour],$C$42,Horodateur112335381922313437434649525558616469852226343846505854626670747882909894102106114118110122126130134138142146150154158162166170174178182186190194198202206210214410141822263034384650545862[Tâche],$A46)</f>
        <v>0</v>
      </c>
      <c r="D46" s="187" t="n">
        <f aca="false">SUMIFS(Horodateur112335381922313437434649525558616469852226343846505854626670747882909894102106114118110122126130134138142146150154158162166170174178182186190194198202206210214410141822263034384650545862[Durée (100)],Horodateur112335381922313437434649525558616469852226343846505854626670747882909894102106114118110122126130134138142146150154158162166170174178182186190194198202206210214410141822263034384650545862[Jour],$D$42,Horodateur112335381922313437434649525558616469852226343846505854626670747882909894102106114118110122126130134138142146150154158162166170174178182186190194198202206210214410141822263034384650545862[Tâche],$A46)</f>
        <v>0</v>
      </c>
      <c r="E46" s="187" t="n">
        <f aca="false">SUMIFS(Horodateur112335381922313437434649525558616469852226343846505854626670747882909894102106114118110122126130134138142146150154158162166170174178182186190194198202206210214410141822263034384650545862[Durée (100)],Horodateur112335381922313437434649525558616469852226343846505854626670747882909894102106114118110122126130134138142146150154158162166170174178182186190194198202206210214410141822263034384650545862[Jour],$E$42,Horodateur112335381922313437434649525558616469852226343846505854626670747882909894102106114118110122126130134138142146150154158162166170174178182186190194198202206210214410141822263034384650545862[Tâche],$A46)</f>
        <v>0</v>
      </c>
      <c r="F46" s="71" t="n">
        <f aca="false">SUMIFS(Horodateur112335381922313437434649525558616469852226343846505854626670747882909894102106114118110122126130134138142146150154158162166170174178182186190194198202206210214410141822263034384650545862[Durée (100)],Horodateur112335381922313437434649525558616469852226343846505854626670747882909894102106114118110122126130134138142146150154158162166170174178182186190194198202206210214410141822263034384650545862[Jour],$F$42,Horodateur112335381922313437434649525558616469852226343846505854626670747882909894102106114118110122126130134138142146150154158162166170174178182186190194198202206210214410141822263034384650545862[Tâche],$A46)</f>
        <v>0</v>
      </c>
      <c r="G46" s="187" t="n">
        <f aca="false">SUMIFS(Horodateur112335381922313437434649525558616469852226343846505854626670747882909894102106114118110122126130134138142146150154158162166170174178182186190194198202206210214410141822263034384650545862[Durée (100)],Horodateur112335381922313437434649525558616469852226343846505854626670747882909894102106114118110122126130134138142146150154158162166170174178182186190194198202206210214410141822263034384650545862[Jour],$G$42,Horodateur112335381922313437434649525558616469852226343846505854626670747882909894102106114118110122126130134138142146150154158162166170174178182186190194198202206210214410141822263034384650545862[Tâche],$A46)</f>
        <v>0</v>
      </c>
      <c r="H46" s="187" t="n">
        <f aca="false">SUMIFS(Horodateur112335381922313437434649525558616469852226343846505854626670747882909894102106114118110122126130134138142146150154158162166170174178182186190194198202206210214410141822263034384650545862[Durée (100)],Horodateur112335381922313437434649525558616469852226343846505854626670747882909894102106114118110122126130134138142146150154158162166170174178182186190194198202206210214410141822263034384650545862[Jour],$H$42,Horodateur112335381922313437434649525558616469852226343846505854626670747882909894102106114118110122126130134138142146150154158162166170174178182186190194198202206210214410141822263034384650545862[Tâche],$A46)</f>
        <v>0</v>
      </c>
      <c r="I46" s="295" t="n">
        <f aca="false">SUM(Taches_Jour213253740182130333642454851545760636884212533374549575361656973778189979310110511311710912112512913313714114514915315716116516917317718118518919319720120520921339131721252933374549535761[[#This Row],[1- Lundi]:[7- Dimanche]])</f>
        <v>0</v>
      </c>
      <c r="J46" s="271"/>
      <c r="K46" s="1"/>
      <c r="L46" s="1"/>
      <c r="M46" s="188"/>
      <c r="N46" s="272"/>
      <c r="O46" s="272"/>
      <c r="P46" s="187"/>
      <c r="Q46" s="1"/>
      <c r="R46" s="1"/>
      <c r="S46" s="1"/>
      <c r="T46" s="1"/>
      <c r="U46" s="1"/>
      <c r="V46" s="1"/>
      <c r="W46" s="71"/>
      <c r="X46" s="71"/>
      <c r="Y46" s="71"/>
      <c r="Z46" s="71"/>
      <c r="AA46" s="71"/>
      <c r="AB46" s="71"/>
      <c r="AC46" s="71"/>
      <c r="AD46" s="71"/>
      <c r="AE46" s="71"/>
      <c r="AF46" s="71"/>
      <c r="AG46" s="71"/>
      <c r="AH46" s="71"/>
      <c r="AI46" s="71"/>
    </row>
    <row r="47" customFormat="false" ht="15" hidden="true" customHeight="false" outlineLevel="1" collapsed="false">
      <c r="A47" s="137" t="s">
        <v>26</v>
      </c>
      <c r="B47" s="187" t="n">
        <f aca="false">SUMIFS(Horodateur112335381922313437434649525558616469852226343846505854626670747882909894102106114118110122126130134138142146150154158162166170174178182186190194198202206210214410141822263034384650545862[Durée (100)],Horodateur112335381922313437434649525558616469852226343846505854626670747882909894102106114118110122126130134138142146150154158162166170174178182186190194198202206210214410141822263034384650545862[Jour],$B$42,Horodateur112335381922313437434649525558616469852226343846505854626670747882909894102106114118110122126130134138142146150154158162166170174178182186190194198202206210214410141822263034384650545862[Tâche],$A47)</f>
        <v>0</v>
      </c>
      <c r="C47" s="187" t="n">
        <f aca="false">SUMIFS(Horodateur112335381922313437434649525558616469852226343846505854626670747882909894102106114118110122126130134138142146150154158162166170174178182186190194198202206210214410141822263034384650545862[Durée (100)],Horodateur112335381922313437434649525558616469852226343846505854626670747882909894102106114118110122126130134138142146150154158162166170174178182186190194198202206210214410141822263034384650545862[Jour],$C$42,Horodateur112335381922313437434649525558616469852226343846505854626670747882909894102106114118110122126130134138142146150154158162166170174178182186190194198202206210214410141822263034384650545862[Tâche],$A47)</f>
        <v>0</v>
      </c>
      <c r="D47" s="187" t="n">
        <f aca="false">SUMIFS(Horodateur112335381922313437434649525558616469852226343846505854626670747882909894102106114118110122126130134138142146150154158162166170174178182186190194198202206210214410141822263034384650545862[Durée (100)],Horodateur112335381922313437434649525558616469852226343846505854626670747882909894102106114118110122126130134138142146150154158162166170174178182186190194198202206210214410141822263034384650545862[Jour],$D$42,Horodateur112335381922313437434649525558616469852226343846505854626670747882909894102106114118110122126130134138142146150154158162166170174178182186190194198202206210214410141822263034384650545862[Tâche],$A47)</f>
        <v>3</v>
      </c>
      <c r="E47" s="187" t="n">
        <f aca="false">SUMIFS(Horodateur112335381922313437434649525558616469852226343846505854626670747882909894102106114118110122126130134138142146150154158162166170174178182186190194198202206210214410141822263034384650545862[Durée (100)],Horodateur112335381922313437434649525558616469852226343846505854626670747882909894102106114118110122126130134138142146150154158162166170174178182186190194198202206210214410141822263034384650545862[Jour],$E$42,Horodateur112335381922313437434649525558616469852226343846505854626670747882909894102106114118110122126130134138142146150154158162166170174178182186190194198202206210214410141822263034384650545862[Tâche],$A47)</f>
        <v>3</v>
      </c>
      <c r="F47" s="71" t="n">
        <f aca="false">SUMIFS(Horodateur112335381922313437434649525558616469852226343846505854626670747882909894102106114118110122126130134138142146150154158162166170174178182186190194198202206210214410141822263034384650545862[Durée (100)],Horodateur112335381922313437434649525558616469852226343846505854626670747882909894102106114118110122126130134138142146150154158162166170174178182186190194198202206210214410141822263034384650545862[Jour],$F$42,Horodateur112335381922313437434649525558616469852226343846505854626670747882909894102106114118110122126130134138142146150154158162166170174178182186190194198202206210214410141822263034384650545862[Tâche],$A47)</f>
        <v>0</v>
      </c>
      <c r="G47" s="187" t="n">
        <f aca="false">SUMIFS(Horodateur112335381922313437434649525558616469852226343846505854626670747882909894102106114118110122126130134138142146150154158162166170174178182186190194198202206210214410141822263034384650545862[Durée (100)],Horodateur112335381922313437434649525558616469852226343846505854626670747882909894102106114118110122126130134138142146150154158162166170174178182186190194198202206210214410141822263034384650545862[Jour],$G$42,Horodateur112335381922313437434649525558616469852226343846505854626670747882909894102106114118110122126130134138142146150154158162166170174178182186190194198202206210214410141822263034384650545862[Tâche],$A47)</f>
        <v>0</v>
      </c>
      <c r="H47" s="187" t="n">
        <f aca="false">SUMIFS(Horodateur112335381922313437434649525558616469852226343846505854626670747882909894102106114118110122126130134138142146150154158162166170174178182186190194198202206210214410141822263034384650545862[Durée (100)],Horodateur112335381922313437434649525558616469852226343846505854626670747882909894102106114118110122126130134138142146150154158162166170174178182186190194198202206210214410141822263034384650545862[Jour],$H$42,Horodateur112335381922313437434649525558616469852226343846505854626670747882909894102106114118110122126130134138142146150154158162166170174178182186190194198202206210214410141822263034384650545862[Tâche],$A47)</f>
        <v>0</v>
      </c>
      <c r="I47" s="295" t="n">
        <f aca="false">SUM(Taches_Jour213253740182130333642454851545760636884212533374549575361656973778189979310110511311710912112512913313714114514915315716116516917317718118518919319720120520921339131721252933374549535761[[#This Row],[1- Lundi]:[7- Dimanche]])</f>
        <v>6</v>
      </c>
      <c r="J47" s="271"/>
      <c r="K47" s="1"/>
      <c r="L47" s="1"/>
      <c r="M47" s="188"/>
      <c r="N47" s="272"/>
      <c r="O47" s="272"/>
      <c r="P47" s="187"/>
      <c r="Q47" s="1"/>
      <c r="R47" s="1"/>
      <c r="S47" s="1"/>
      <c r="T47" s="1"/>
      <c r="U47" s="1"/>
      <c r="V47" s="1"/>
      <c r="W47" s="71"/>
      <c r="X47" s="71"/>
      <c r="Y47" s="71"/>
      <c r="Z47" s="71"/>
      <c r="AA47" s="71"/>
      <c r="AB47" s="71"/>
      <c r="AC47" s="71"/>
      <c r="AD47" s="71"/>
      <c r="AE47" s="71"/>
      <c r="AF47" s="71"/>
      <c r="AG47" s="71"/>
      <c r="AH47" s="71"/>
      <c r="AI47" s="71"/>
    </row>
    <row r="48" customFormat="false" ht="15" hidden="true" customHeight="false" outlineLevel="1" collapsed="false">
      <c r="A48" s="137" t="s">
        <v>378</v>
      </c>
      <c r="B48" s="187" t="n">
        <f aca="false">SUMIFS(Horodateur112335381922313437434649525558616469852226343846505854626670747882909894102106114118110122126130134138142146150154158162166170174178182186190194198202206210214410141822263034384650545862[Durée (100)],Horodateur112335381922313437434649525558616469852226343846505854626670747882909894102106114118110122126130134138142146150154158162166170174178182186190194198202206210214410141822263034384650545862[Jour],$B$42,Horodateur112335381922313437434649525558616469852226343846505854626670747882909894102106114118110122126130134138142146150154158162166170174178182186190194198202206210214410141822263034384650545862[Tâche],$A48)</f>
        <v>4</v>
      </c>
      <c r="C48" s="187" t="n">
        <f aca="false">SUMIFS(Horodateur112335381922313437434649525558616469852226343846505854626670747882909894102106114118110122126130134138142146150154158162166170174178182186190194198202206210214410141822263034384650545862[Durée (100)],Horodateur112335381922313437434649525558616469852226343846505854626670747882909894102106114118110122126130134138142146150154158162166170174178182186190194198202206210214410141822263034384650545862[Jour],$C$42,Horodateur112335381922313437434649525558616469852226343846505854626670747882909894102106114118110122126130134138142146150154158162166170174178182186190194198202206210214410141822263034384650545862[Tâche],$A48)</f>
        <v>2.25</v>
      </c>
      <c r="D48" s="187" t="n">
        <f aca="false">SUMIFS(Horodateur112335381922313437434649525558616469852226343846505854626670747882909894102106114118110122126130134138142146150154158162166170174178182186190194198202206210214410141822263034384650545862[Durée (100)],Horodateur112335381922313437434649525558616469852226343846505854626670747882909894102106114118110122126130134138142146150154158162166170174178182186190194198202206210214410141822263034384650545862[Jour],$D$42,Horodateur112335381922313437434649525558616469852226343846505854626670747882909894102106114118110122126130134138142146150154158162166170174178182186190194198202206210214410141822263034384650545862[Tâche],$A48)</f>
        <v>3.75</v>
      </c>
      <c r="E48" s="187" t="n">
        <f aca="false">SUMIFS(Horodateur112335381922313437434649525558616469852226343846505854626670747882909894102106114118110122126130134138142146150154158162166170174178182186190194198202206210214410141822263034384650545862[Durée (100)],Horodateur112335381922313437434649525558616469852226343846505854626670747882909894102106114118110122126130134138142146150154158162166170174178182186190194198202206210214410141822263034384650545862[Jour],$E$42,Horodateur112335381922313437434649525558616469852226343846505854626670747882909894102106114118110122126130134138142146150154158162166170174178182186190194198202206210214410141822263034384650545862[Tâche],$A48)</f>
        <v>2</v>
      </c>
      <c r="F48" s="71" t="n">
        <f aca="false">SUMIFS(Horodateur112335381922313437434649525558616469852226343846505854626670747882909894102106114118110122126130134138142146150154158162166170174178182186190194198202206210214410141822263034384650545862[Durée (100)],Horodateur112335381922313437434649525558616469852226343846505854626670747882909894102106114118110122126130134138142146150154158162166170174178182186190194198202206210214410141822263034384650545862[Jour],$F$42,Horodateur112335381922313437434649525558616469852226343846505854626670747882909894102106114118110122126130134138142146150154158162166170174178182186190194198202206210214410141822263034384650545862[Tâche],$A48)</f>
        <v>0</v>
      </c>
      <c r="G48" s="187" t="n">
        <f aca="false">SUMIFS(Horodateur112335381922313437434649525558616469852226343846505854626670747882909894102106114118110122126130134138142146150154158162166170174178182186190194198202206210214410141822263034384650545862[Durée (100)],Horodateur112335381922313437434649525558616469852226343846505854626670747882909894102106114118110122126130134138142146150154158162166170174178182186190194198202206210214410141822263034384650545862[Jour],$G$42,Horodateur112335381922313437434649525558616469852226343846505854626670747882909894102106114118110122126130134138142146150154158162166170174178182186190194198202206210214410141822263034384650545862[Tâche],$A48)</f>
        <v>0</v>
      </c>
      <c r="H48" s="187" t="n">
        <f aca="false">SUMIFS(Horodateur112335381922313437434649525558616469852226343846505854626670747882909894102106114118110122126130134138142146150154158162166170174178182186190194198202206210214410141822263034384650545862[Durée (100)],Horodateur112335381922313437434649525558616469852226343846505854626670747882909894102106114118110122126130134138142146150154158162166170174178182186190194198202206210214410141822263034384650545862[Jour],$H$42,Horodateur112335381922313437434649525558616469852226343846505854626670747882909894102106114118110122126130134138142146150154158162166170174178182186190194198202206210214410141822263034384650545862[Tâche],$A48)</f>
        <v>0</v>
      </c>
      <c r="I48" s="295" t="n">
        <f aca="false">SUM(Taches_Jour213253740182130333642454851545760636884212533374549575361656973778189979310110511311710912112512913313714114514915315716116516917317718118518919319720120520921339131721252933374549535761[[#This Row],[1- Lundi]:[7- Dimanche]])</f>
        <v>12</v>
      </c>
      <c r="J48" s="271"/>
      <c r="K48" s="1"/>
      <c r="L48" s="1"/>
      <c r="M48" s="188"/>
      <c r="N48" s="272"/>
      <c r="O48" s="272"/>
      <c r="P48" s="187"/>
      <c r="Q48" s="1"/>
      <c r="R48" s="1"/>
      <c r="S48" s="1"/>
      <c r="T48" s="1"/>
      <c r="U48" s="1"/>
      <c r="V48" s="1"/>
      <c r="W48" s="71"/>
      <c r="X48" s="71"/>
      <c r="Y48" s="71"/>
      <c r="Z48" s="71"/>
      <c r="AA48" s="71"/>
      <c r="AB48" s="71"/>
      <c r="AC48" s="71"/>
      <c r="AD48" s="71"/>
      <c r="AE48" s="71"/>
      <c r="AF48" s="71"/>
      <c r="AG48" s="71"/>
      <c r="AH48" s="71"/>
      <c r="AI48" s="71"/>
    </row>
    <row r="49" customFormat="false" ht="15" hidden="true" customHeight="false" outlineLevel="1" collapsed="false">
      <c r="A49" s="137" t="s">
        <v>382</v>
      </c>
      <c r="B49" s="187" t="n">
        <f aca="false">SUMIFS(Horodateur112335381922313437434649525558616469852226343846505854626670747882909894102106114118110122126130134138142146150154158162166170174178182186190194198202206210214410141822263034384650545862[Durée (100)],Horodateur112335381922313437434649525558616469852226343846505854626670747882909894102106114118110122126130134138142146150154158162166170174178182186190194198202206210214410141822263034384650545862[Jour],$B$42,Horodateur112335381922313437434649525558616469852226343846505854626670747882909894102106114118110122126130134138142146150154158162166170174178182186190194198202206210214410141822263034384650545862[Tâche],$A49)</f>
        <v>0</v>
      </c>
      <c r="C49" s="187" t="n">
        <f aca="false">SUMIFS(Horodateur112335381922313437434649525558616469852226343846505854626670747882909894102106114118110122126130134138142146150154158162166170174178182186190194198202206210214410141822263034384650545862[Durée (100)],Horodateur112335381922313437434649525558616469852226343846505854626670747882909894102106114118110122126130134138142146150154158162166170174178182186190194198202206210214410141822263034384650545862[Jour],$C$42,Horodateur112335381922313437434649525558616469852226343846505854626670747882909894102106114118110122126130134138142146150154158162166170174178182186190194198202206210214410141822263034384650545862[Tâche],$A49)</f>
        <v>0</v>
      </c>
      <c r="D49" s="187" t="n">
        <f aca="false">SUMIFS(Horodateur112335381922313437434649525558616469852226343846505854626670747882909894102106114118110122126130134138142146150154158162166170174178182186190194198202206210214410141822263034384650545862[Durée (100)],Horodateur112335381922313437434649525558616469852226343846505854626670747882909894102106114118110122126130134138142146150154158162166170174178182186190194198202206210214410141822263034384650545862[Jour],$D$42,Horodateur112335381922313437434649525558616469852226343846505854626670747882909894102106114118110122126130134138142146150154158162166170174178182186190194198202206210214410141822263034384650545862[Tâche],$A49)</f>
        <v>0</v>
      </c>
      <c r="E49" s="187" t="n">
        <f aca="false">SUMIFS(Horodateur112335381922313437434649525558616469852226343846505854626670747882909894102106114118110122126130134138142146150154158162166170174178182186190194198202206210214410141822263034384650545862[Durée (100)],Horodateur112335381922313437434649525558616469852226343846505854626670747882909894102106114118110122126130134138142146150154158162166170174178182186190194198202206210214410141822263034384650545862[Jour],$E$42,Horodateur112335381922313437434649525558616469852226343846505854626670747882909894102106114118110122126130134138142146150154158162166170174178182186190194198202206210214410141822263034384650545862[Tâche],$A49)</f>
        <v>0</v>
      </c>
      <c r="F49" s="71" t="n">
        <f aca="false">SUMIFS(Horodateur112335381922313437434649525558616469852226343846505854626670747882909894102106114118110122126130134138142146150154158162166170174178182186190194198202206210214410141822263034384650545862[Durée (100)],Horodateur112335381922313437434649525558616469852226343846505854626670747882909894102106114118110122126130134138142146150154158162166170174178182186190194198202206210214410141822263034384650545862[Jour],$F$42,Horodateur112335381922313437434649525558616469852226343846505854626670747882909894102106114118110122126130134138142146150154158162166170174178182186190194198202206210214410141822263034384650545862[Tâche],$A49)</f>
        <v>0</v>
      </c>
      <c r="G49" s="187" t="n">
        <f aca="false">SUMIFS(Horodateur112335381922313437434649525558616469852226343846505854626670747882909894102106114118110122126130134138142146150154158162166170174178182186190194198202206210214410141822263034384650545862[Durée (100)],Horodateur112335381922313437434649525558616469852226343846505854626670747882909894102106114118110122126130134138142146150154158162166170174178182186190194198202206210214410141822263034384650545862[Jour],$G$42,Horodateur112335381922313437434649525558616469852226343846505854626670747882909894102106114118110122126130134138142146150154158162166170174178182186190194198202206210214410141822263034384650545862[Tâche],$A49)</f>
        <v>0</v>
      </c>
      <c r="H49" s="187" t="n">
        <f aca="false">SUMIFS(Horodateur112335381922313437434649525558616469852226343846505854626670747882909894102106114118110122126130134138142146150154158162166170174178182186190194198202206210214410141822263034384650545862[Durée (100)],Horodateur112335381922313437434649525558616469852226343846505854626670747882909894102106114118110122126130134138142146150154158162166170174178182186190194198202206210214410141822263034384650545862[Jour],$H$42,Horodateur112335381922313437434649525558616469852226343846505854626670747882909894102106114118110122126130134138142146150154158162166170174178182186190194198202206210214410141822263034384650545862[Tâche],$A49)</f>
        <v>0</v>
      </c>
      <c r="I49" s="295" t="n">
        <f aca="false">SUM(Taches_Jour213253740182130333642454851545760636884212533374549575361656973778189979310110511311710912112512913313714114514915315716116516917317718118518919319720120520921339131721252933374549535761[[#This Row],[1- Lundi]:[7- Dimanche]])</f>
        <v>0</v>
      </c>
      <c r="J49" s="271"/>
      <c r="K49" s="1"/>
      <c r="L49" s="1"/>
      <c r="M49" s="188"/>
      <c r="N49" s="272"/>
      <c r="O49" s="272"/>
      <c r="P49" s="187"/>
      <c r="Q49" s="1"/>
      <c r="R49" s="1"/>
      <c r="S49" s="1"/>
      <c r="T49" s="1"/>
      <c r="U49" s="1"/>
      <c r="V49" s="1"/>
      <c r="W49" s="71"/>
      <c r="X49" s="71"/>
      <c r="Y49" s="71"/>
      <c r="Z49" s="71"/>
      <c r="AA49" s="71"/>
      <c r="AB49" s="71"/>
      <c r="AC49" s="71"/>
      <c r="AD49" s="71"/>
      <c r="AE49" s="71"/>
      <c r="AF49" s="71"/>
      <c r="AG49" s="71"/>
      <c r="AH49" s="71"/>
      <c r="AI49" s="71"/>
    </row>
    <row r="50" customFormat="false" ht="15" hidden="true" customHeight="false" outlineLevel="1" collapsed="false">
      <c r="A50" s="137" t="s">
        <v>380</v>
      </c>
      <c r="B50" s="187" t="n">
        <f aca="false">SUMIFS(Horodateur112335381922313437434649525558616469852226343846505854626670747882909894102106114118110122126130134138142146150154158162166170174178182186190194198202206210214410141822263034384650545862[Durée (100)],Horodateur112335381922313437434649525558616469852226343846505854626670747882909894102106114118110122126130134138142146150154158162166170174178182186190194198202206210214410141822263034384650545862[Jour],$B$42,Horodateur112335381922313437434649525558616469852226343846505854626670747882909894102106114118110122126130134138142146150154158162166170174178182186190194198202206210214410141822263034384650545862[Tâche],$A50)</f>
        <v>0</v>
      </c>
      <c r="C50" s="187" t="n">
        <f aca="false">SUMIFS(Horodateur112335381922313437434649525558616469852226343846505854626670747882909894102106114118110122126130134138142146150154158162166170174178182186190194198202206210214410141822263034384650545862[Durée (100)],Horodateur112335381922313437434649525558616469852226343846505854626670747882909894102106114118110122126130134138142146150154158162166170174178182186190194198202206210214410141822263034384650545862[Jour],$C$42,Horodateur112335381922313437434649525558616469852226343846505854626670747882909894102106114118110122126130134138142146150154158162166170174178182186190194198202206210214410141822263034384650545862[Tâche],$A50)</f>
        <v>0</v>
      </c>
      <c r="D50" s="187" t="n">
        <f aca="false">SUMIFS(Horodateur112335381922313437434649525558616469852226343846505854626670747882909894102106114118110122126130134138142146150154158162166170174178182186190194198202206210214410141822263034384650545862[Durée (100)],Horodateur112335381922313437434649525558616469852226343846505854626670747882909894102106114118110122126130134138142146150154158162166170174178182186190194198202206210214410141822263034384650545862[Jour],$D$42,Horodateur112335381922313437434649525558616469852226343846505854626670747882909894102106114118110122126130134138142146150154158162166170174178182186190194198202206210214410141822263034384650545862[Tâche],$A50)</f>
        <v>0</v>
      </c>
      <c r="E50" s="187" t="n">
        <f aca="false">SUMIFS(Horodateur112335381922313437434649525558616469852226343846505854626670747882909894102106114118110122126130134138142146150154158162166170174178182186190194198202206210214410141822263034384650545862[Durée (100)],Horodateur112335381922313437434649525558616469852226343846505854626670747882909894102106114118110122126130134138142146150154158162166170174178182186190194198202206210214410141822263034384650545862[Jour],$E$42,Horodateur112335381922313437434649525558616469852226343846505854626670747882909894102106114118110122126130134138142146150154158162166170174178182186190194198202206210214410141822263034384650545862[Tâche],$A50)</f>
        <v>0</v>
      </c>
      <c r="F50" s="71" t="n">
        <f aca="false">SUMIFS(Horodateur112335381922313437434649525558616469852226343846505854626670747882909894102106114118110122126130134138142146150154158162166170174178182186190194198202206210214410141822263034384650545862[Durée (100)],Horodateur112335381922313437434649525558616469852226343846505854626670747882909894102106114118110122126130134138142146150154158162166170174178182186190194198202206210214410141822263034384650545862[Jour],$F$42,Horodateur112335381922313437434649525558616469852226343846505854626670747882909894102106114118110122126130134138142146150154158162166170174178182186190194198202206210214410141822263034384650545862[Tâche],$A50)</f>
        <v>0</v>
      </c>
      <c r="G50" s="187" t="n">
        <f aca="false">SUMIFS(Horodateur112335381922313437434649525558616469852226343846505854626670747882909894102106114118110122126130134138142146150154158162166170174178182186190194198202206210214410141822263034384650545862[Durée (100)],Horodateur112335381922313437434649525558616469852226343846505854626670747882909894102106114118110122126130134138142146150154158162166170174178182186190194198202206210214410141822263034384650545862[Jour],$G$42,Horodateur112335381922313437434649525558616469852226343846505854626670747882909894102106114118110122126130134138142146150154158162166170174178182186190194198202206210214410141822263034384650545862[Tâche],$A50)</f>
        <v>0</v>
      </c>
      <c r="H50" s="187" t="n">
        <f aca="false">SUMIFS(Horodateur112335381922313437434649525558616469852226343846505854626670747882909894102106114118110122126130134138142146150154158162166170174178182186190194198202206210214410141822263034384650545862[Durée (100)],Horodateur112335381922313437434649525558616469852226343846505854626670747882909894102106114118110122126130134138142146150154158162166170174178182186190194198202206210214410141822263034384650545862[Jour],$H$42,Horodateur112335381922313437434649525558616469852226343846505854626670747882909894102106114118110122126130134138142146150154158162166170174178182186190194198202206210214410141822263034384650545862[Tâche],$A50)</f>
        <v>0</v>
      </c>
      <c r="I50" s="295" t="n">
        <f aca="false">SUM(Taches_Jour213253740182130333642454851545760636884212533374549575361656973778189979310110511311710912112512913313714114514915315716116516917317718118518919319720120520921339131721252933374549535761[[#This Row],[1- Lundi]:[7- Dimanche]])</f>
        <v>0</v>
      </c>
      <c r="J50" s="271"/>
      <c r="K50" s="1"/>
      <c r="L50" s="1"/>
      <c r="M50" s="188"/>
      <c r="N50" s="272"/>
      <c r="O50" s="272"/>
      <c r="P50" s="76"/>
    </row>
    <row r="51" customFormat="false" ht="15" hidden="true" customHeight="false" outlineLevel="1" collapsed="false">
      <c r="P51" s="76"/>
    </row>
    <row r="52" customFormat="false" ht="15" hidden="false" customHeight="false" outlineLevel="1" collapsed="false">
      <c r="G52" s="0" t="s">
        <v>383</v>
      </c>
      <c r="P52" s="76"/>
    </row>
    <row r="53" customFormat="false" ht="15" hidden="false" customHeight="false" outlineLevel="0" collapsed="false">
      <c r="P53" s="76"/>
    </row>
    <row r="54" customFormat="false" ht="15" hidden="false" customHeight="false" outlineLevel="0" collapsed="false">
      <c r="G54" s="76"/>
      <c r="P54" s="76"/>
    </row>
    <row r="55" customFormat="false" ht="15" hidden="false" customHeight="false" outlineLevel="0" collapsed="false">
      <c r="P55" s="76"/>
    </row>
    <row r="56" customFormat="false" ht="15" hidden="false" customHeight="false" outlineLevel="0" collapsed="false">
      <c r="P56" s="76"/>
    </row>
    <row r="57" customFormat="false" ht="15" hidden="false" customHeight="false" outlineLevel="0" collapsed="false">
      <c r="P57" s="76"/>
    </row>
    <row r="58" customFormat="false" ht="15" hidden="false" customHeight="false" outlineLevel="0" collapsed="false">
      <c r="P58" s="76"/>
    </row>
    <row r="59" customFormat="false" ht="15" hidden="false" customHeight="false" outlineLevel="0" collapsed="false">
      <c r="P59" s="76"/>
    </row>
    <row r="60" customFormat="false" ht="15" hidden="false" customHeight="false" outlineLevel="0" collapsed="false">
      <c r="P60" s="76"/>
    </row>
    <row r="61" customFormat="false" ht="15" hidden="false" customHeight="false" outlineLevel="0" collapsed="false">
      <c r="P61" s="76"/>
    </row>
    <row r="62" customFormat="false" ht="15" hidden="false" customHeight="false" outlineLevel="0" collapsed="false">
      <c r="P62" s="76"/>
    </row>
    <row r="63" customFormat="false" ht="15" hidden="false" customHeight="false" outlineLevel="0" collapsed="false">
      <c r="P63" s="76"/>
    </row>
    <row r="64" customFormat="false" ht="15" hidden="false" customHeight="false" outlineLevel="0" collapsed="false">
      <c r="P64" s="76"/>
    </row>
    <row r="65" customFormat="false" ht="15" hidden="false" customHeight="false" outlineLevel="0" collapsed="false">
      <c r="P65" s="76"/>
    </row>
    <row r="66" customFormat="false" ht="15" hidden="false" customHeight="false" outlineLevel="0" collapsed="false">
      <c r="P66" s="76"/>
    </row>
    <row r="67" customFormat="false" ht="15" hidden="false" customHeight="false" outlineLevel="0" collapsed="false">
      <c r="P67" s="76"/>
    </row>
    <row r="68" customFormat="false" ht="15" hidden="false" customHeight="false" outlineLevel="0" collapsed="false">
      <c r="P68" s="76"/>
    </row>
    <row r="69" customFormat="false" ht="15" hidden="false" customHeight="false" outlineLevel="0" collapsed="false">
      <c r="P69" s="76"/>
    </row>
    <row r="70" customFormat="false" ht="15" hidden="false" customHeight="false" outlineLevel="0" collapsed="false">
      <c r="P70" s="76"/>
    </row>
    <row r="71" customFormat="false" ht="15" hidden="false" customHeight="false" outlineLevel="0" collapsed="false">
      <c r="P71" s="76"/>
    </row>
    <row r="72" customFormat="false" ht="15" hidden="false" customHeight="false" outlineLevel="0" collapsed="false">
      <c r="P72" s="76"/>
    </row>
    <row r="73" customFormat="false" ht="15" hidden="false" customHeight="false" outlineLevel="0" collapsed="false">
      <c r="P73" s="76"/>
    </row>
    <row r="74" customFormat="false" ht="15" hidden="false" customHeight="false" outlineLevel="0" collapsed="false">
      <c r="A74" s="296" t="s">
        <v>384</v>
      </c>
      <c r="B74" s="296"/>
      <c r="P74" s="76"/>
    </row>
    <row r="75" customFormat="false" ht="15" hidden="false" customHeight="false" outlineLevel="0" collapsed="false">
      <c r="A75" s="297" t="s">
        <v>385</v>
      </c>
      <c r="B75" s="297" t="s">
        <v>8</v>
      </c>
      <c r="P75" s="76"/>
    </row>
    <row r="76" customFormat="false" ht="15" hidden="false" customHeight="false" outlineLevel="0" collapsed="false">
      <c r="A76" s="298" t="n">
        <v>0</v>
      </c>
      <c r="B76" s="299" t="s">
        <v>386</v>
      </c>
      <c r="P76" s="76"/>
    </row>
    <row r="77" customFormat="false" ht="15" hidden="false" customHeight="false" outlineLevel="0" collapsed="false">
      <c r="A77" s="298" t="n">
        <v>-2</v>
      </c>
      <c r="B77" s="299" t="s">
        <v>387</v>
      </c>
      <c r="P77" s="76"/>
    </row>
    <row r="78" customFormat="false" ht="15" hidden="false" customHeight="false" outlineLevel="0" collapsed="false">
      <c r="A78" s="298" t="n">
        <v>8.5</v>
      </c>
      <c r="B78" s="299" t="s">
        <v>388</v>
      </c>
      <c r="P78" s="76"/>
    </row>
    <row r="79" customFormat="false" ht="15" hidden="false" customHeight="false" outlineLevel="0" collapsed="false">
      <c r="A79" s="298" t="n">
        <v>14.5</v>
      </c>
      <c r="B79" s="299" t="s">
        <v>389</v>
      </c>
      <c r="P79" s="76"/>
    </row>
    <row r="80" customFormat="false" ht="15" hidden="false" customHeight="false" outlineLevel="0" collapsed="false">
      <c r="A80" s="298" t="n">
        <v>8.5</v>
      </c>
      <c r="B80" s="299" t="s">
        <v>390</v>
      </c>
      <c r="P80" s="76"/>
    </row>
    <row r="81" customFormat="false" ht="15" hidden="false" customHeight="false" outlineLevel="0" collapsed="false">
      <c r="A81" s="298" t="n">
        <v>10</v>
      </c>
      <c r="B81" s="299" t="s">
        <v>391</v>
      </c>
      <c r="P81" s="76"/>
    </row>
    <row r="82" customFormat="false" ht="15" hidden="false" customHeight="false" outlineLevel="0" collapsed="false">
      <c r="A82" s="298" t="n">
        <v>-7.5</v>
      </c>
      <c r="B82" s="299" t="s">
        <v>392</v>
      </c>
      <c r="P82" s="76"/>
    </row>
    <row r="83" customFormat="false" ht="15" hidden="false" customHeight="false" outlineLevel="0" collapsed="false">
      <c r="A83" s="298" t="n">
        <v>2</v>
      </c>
      <c r="B83" s="299" t="s">
        <v>393</v>
      </c>
      <c r="P83" s="76"/>
    </row>
    <row r="84" customFormat="false" ht="15" hidden="false" customHeight="false" outlineLevel="0" collapsed="false">
      <c r="A84" s="300" t="n">
        <v>2</v>
      </c>
      <c r="B84" s="301" t="s">
        <v>394</v>
      </c>
      <c r="P84" s="76"/>
    </row>
    <row r="85" customFormat="false" ht="15" hidden="false" customHeight="false" outlineLevel="0" collapsed="false">
      <c r="A85" s="300" t="n">
        <v>2.25</v>
      </c>
      <c r="B85" s="301" t="s">
        <v>395</v>
      </c>
    </row>
    <row r="86" customFormat="false" ht="15" hidden="false" customHeight="false" outlineLevel="0" collapsed="false">
      <c r="A86" s="300" t="n">
        <v>-4</v>
      </c>
      <c r="B86" s="302" t="s">
        <v>396</v>
      </c>
    </row>
    <row r="87" customFormat="false" ht="15" hidden="false" customHeight="false" outlineLevel="0" collapsed="false">
      <c r="A87" s="300" t="n">
        <v>-7.5</v>
      </c>
      <c r="B87" s="301" t="s">
        <v>397</v>
      </c>
    </row>
  </sheetData>
  <mergeCells count="1">
    <mergeCell ref="A74:B74"/>
  </mergeCells>
  <conditionalFormatting sqref="B4:B26">
    <cfRule type="containsText" priority="3" operator="containsText" aboveAverage="0" equalAverage="0" bottom="0" percent="0" rank="0" text="5" dxfId="739">
      <formula>NOT(ISERROR(SEARCH("5",B4)))</formula>
    </cfRule>
    <cfRule type="containsText" priority="4" operator="containsText" aboveAverage="0" equalAverage="0" bottom="0" percent="0" rank="0" text="4" dxfId="740">
      <formula>NOT(ISERROR(SEARCH("4",B4)))</formula>
    </cfRule>
    <cfRule type="containsText" priority="5" operator="containsText" aboveAverage="0" equalAverage="0" bottom="0" percent="0" rank="0" text="3" dxfId="741">
      <formula>NOT(ISERROR(SEARCH("3",B4)))</formula>
    </cfRule>
    <cfRule type="containsText" priority="6" operator="containsText" aboveAverage="0" equalAverage="0" bottom="0" percent="0" rank="0" text="2" dxfId="742">
      <formula>NOT(ISERROR(SEARCH("2",B4)))</formula>
    </cfRule>
    <cfRule type="containsText" priority="7" operator="containsText" aboveAverage="0" equalAverage="0" bottom="0" percent="0" rank="0" text="1" dxfId="743">
      <formula>NOT(ISERROR(SEARCH("1",B4)))</formula>
    </cfRule>
  </conditionalFormatting>
  <conditionalFormatting sqref="G4:G26">
    <cfRule type="expression" priority="8" aboveAverage="0" equalAverage="0" bottom="0" percent="0" rank="0" text="" dxfId="744">
      <formula>M4="O"</formula>
    </cfRule>
    <cfRule type="expression" priority="9" aboveAverage="0" equalAverage="0" bottom="0" percent="0" rank="0" text="" dxfId="745">
      <formula>H4=0</formula>
    </cfRule>
  </conditionalFormatting>
  <conditionalFormatting sqref="F4:F26">
    <cfRule type="expression" priority="10" aboveAverage="0" equalAverage="0" bottom="0" percent="0" rank="0" text="" dxfId="746">
      <formula>M4="O"</formula>
    </cfRule>
  </conditionalFormatting>
  <conditionalFormatting sqref="E4:E26">
    <cfRule type="expression" priority="11" aboveAverage="0" equalAverage="0" bottom="0" percent="0" rank="0" text="" dxfId="747">
      <formula>M4="O"</formula>
    </cfRule>
  </conditionalFormatting>
  <conditionalFormatting sqref="C4:I26 K4:L26">
    <cfRule type="containsText" priority="12" operator="containsText" aboveAverage="0" equalAverage="0" bottom="0" percent="0" rank="0" text="Lundi" dxfId="693">
      <formula>NOT(ISERROR(SEARCH("Lundi",C4)))</formula>
    </cfRule>
  </conditionalFormatting>
  <conditionalFormatting sqref="D4:D26">
    <cfRule type="expression" priority="13" aboveAverage="0" equalAverage="0" bottom="0" percent="0" rank="0" text="" dxfId="748">
      <formula>M4="O"</formula>
    </cfRule>
  </conditionalFormatting>
  <conditionalFormatting sqref="C4:C26">
    <cfRule type="expression" priority="14" aboveAverage="0" equalAverage="0" bottom="0" percent="0" rank="0" text="" dxfId="749">
      <formula>M4="O"</formula>
    </cfRule>
  </conditionalFormatting>
  <conditionalFormatting sqref="K4:L26">
    <cfRule type="expression" priority="15" aboveAverage="0" equalAverage="0" bottom="0" percent="0" rank="0" text="" dxfId="750">
      <formula>M4="O"</formula>
    </cfRule>
  </conditionalFormatting>
  <conditionalFormatting sqref="I4:I26">
    <cfRule type="expression" priority="16" aboveAverage="0" equalAverage="0" bottom="0" percent="0" rank="0" text="" dxfId="751">
      <formula>M4="O"</formula>
    </cfRule>
  </conditionalFormatting>
  <conditionalFormatting sqref="H4:H26">
    <cfRule type="expression" priority="17" aboveAverage="0" equalAverage="0" bottom="0" percent="0" rank="0" text="" dxfId="752">
      <formula>M4="O"</formula>
    </cfRule>
  </conditionalFormatting>
  <conditionalFormatting sqref="F2:J2">
    <cfRule type="iconSet" priority="18">
      <iconSet iconSet="3TrafficLights1">
        <cfvo type="percent" val="0"/>
        <cfvo type="percent" val="33"/>
        <cfvo type="percent" val="67"/>
      </iconSet>
    </cfRule>
  </conditionalFormatting>
  <conditionalFormatting sqref="I43:I50">
    <cfRule type="dataBar" priority="19">
      <dataBar showValue="1" minLength="10" maxLength="90">
        <cfvo type="min" val="0"/>
        <cfvo type="max" val="0"/>
        <color rgb="FFFFB628"/>
      </dataBar>
      <extLst>
        <ext xmlns:x14="http://schemas.microsoft.com/office/spreadsheetml/2009/9/main" uri="{B025F937-C7B1-47D3-B67F-A62EFF666E3E}">
          <x14:id>{5722E9B6-41C9-4580-AC70-4EC098E297C0}</x14:id>
        </ext>
      </extLst>
    </cfRule>
  </conditionalFormatting>
  <conditionalFormatting sqref="I39:I40 J34:J38">
    <cfRule type="dataBar" priority="20">
      <dataBar showValue="1" minLength="10" maxLength="90">
        <cfvo type="min" val="0"/>
        <cfvo type="max" val="0"/>
        <color rgb="FFFFB628"/>
      </dataBar>
      <extLst>
        <ext xmlns:x14="http://schemas.microsoft.com/office/spreadsheetml/2009/9/main" uri="{B025F937-C7B1-47D3-B67F-A62EFF666E3E}">
          <x14:id>{1DDA2BED-AB6D-4987-8692-58AE4E109776}</x14:id>
        </ext>
      </extLst>
    </cfRule>
  </conditionalFormatting>
  <conditionalFormatting sqref="W2:AI2">
    <cfRule type="dataBar" priority="21">
      <dataBar showValue="1" minLength="10" maxLength="90">
        <cfvo type="min" val="0"/>
        <cfvo type="max" val="0"/>
        <color rgb="FF63C384"/>
      </dataBar>
      <extLst>
        <ext xmlns:x14="http://schemas.microsoft.com/office/spreadsheetml/2009/9/main" uri="{B025F937-C7B1-47D3-B67F-A62EFF666E3E}">
          <x14:id>{2F2C69E2-DA7F-4629-9F40-D85C7D7BF7A8}</x14:id>
        </ext>
      </extLst>
    </cfRule>
  </conditionalFormatting>
  <conditionalFormatting sqref="P2:V2">
    <cfRule type="dataBar" priority="22">
      <dataBar showValue="1" minLength="10" maxLength="90">
        <cfvo type="min" val="0"/>
        <cfvo type="max" val="0"/>
        <color rgb="FFFFB628"/>
      </dataBar>
      <extLst>
        <ext xmlns:x14="http://schemas.microsoft.com/office/spreadsheetml/2009/9/main" uri="{B025F937-C7B1-47D3-B67F-A62EFF666E3E}">
          <x14:id>{EC11E234-4DA3-4940-9095-6BCC222099A2}</x14:id>
        </ext>
      </extLst>
    </cfRule>
  </conditionalFormatting>
  <conditionalFormatting sqref="P2:AI2">
    <cfRule type="dataBar" priority="23">
      <dataBar showValue="1" minLength="10" maxLength="90">
        <cfvo type="min" val="0"/>
        <cfvo type="max" val="0"/>
        <color rgb="FFFFB628"/>
      </dataBar>
      <extLst>
        <ext xmlns:x14="http://schemas.microsoft.com/office/spreadsheetml/2009/9/main" uri="{B025F937-C7B1-47D3-B67F-A62EFF666E3E}">
          <x14:id>{D87ED3DE-E652-4727-B138-C7A66D456D85}</x14:id>
        </ext>
      </extLst>
    </cfRule>
  </conditionalFormatting>
  <conditionalFormatting sqref="P2:U2">
    <cfRule type="dataBar" priority="24">
      <dataBar showValue="1" minLength="10" maxLength="90">
        <cfvo type="min" val="0"/>
        <cfvo type="max" val="0"/>
        <color rgb="FF638EC6"/>
      </dataBar>
      <extLst>
        <ext xmlns:x14="http://schemas.microsoft.com/office/spreadsheetml/2009/9/main" uri="{B025F937-C7B1-47D3-B67F-A62EFF666E3E}">
          <x14:id>{D05FFA2E-605F-40EE-A877-E4115CC1BF7C}</x14:id>
        </ext>
      </extLst>
    </cfRule>
  </conditionalFormatting>
  <conditionalFormatting sqref="V2">
    <cfRule type="dataBar" priority="25">
      <dataBar showValue="1" minLength="10" maxLength="90">
        <cfvo type="min" val="0"/>
        <cfvo type="max" val="0"/>
        <color rgb="FF63C384"/>
      </dataBar>
      <extLst>
        <ext xmlns:x14="http://schemas.microsoft.com/office/spreadsheetml/2009/9/main" uri="{B025F937-C7B1-47D3-B67F-A62EFF666E3E}">
          <x14:id>{639D3E69-D06D-433B-B3FF-B67E6FB62DB0}</x14:id>
        </ext>
      </extLst>
    </cfRule>
  </conditionalFormatting>
  <conditionalFormatting sqref="A4:A26">
    <cfRule type="colorScale" priority="26">
      <colorScale>
        <cfvo type="min" val="0"/>
        <cfvo type="percentile" val="50"/>
        <cfvo type="max" val="0"/>
        <color rgb="FFFFCC99"/>
        <color rgb="FFFFD966"/>
        <color rgb="FFFFF2CC"/>
      </colorScale>
    </cfRule>
  </conditionalFormatting>
  <conditionalFormatting sqref="J4:J26">
    <cfRule type="iconSet" priority="27">
      <iconSet iconSet="3TrafficLights1">
        <cfvo type="percent" val="0"/>
        <cfvo type="percent" val="33"/>
        <cfvo type="percent" val="67"/>
      </iconSet>
    </cfRule>
  </conditionalFormatting>
  <dataValidations count="4">
    <dataValidation allowBlank="true" errorStyle="stop" operator="between" showDropDown="false" showErrorMessage="true" showInputMessage="true" sqref="B1" type="list">
      <formula1>Data!$A$2:$A$106</formula1>
      <formula2>0</formula2>
    </dataValidation>
    <dataValidation allowBlank="true" errorStyle="stop" operator="between" showDropDown="false" showErrorMessage="true" showInputMessage="true" sqref="B4:B26" type="list">
      <formula1>Data!$C$2:$C$8</formula1>
      <formula2>0</formula2>
    </dataValidation>
    <dataValidation allowBlank="false" errorStyle="stop" operator="between" showDropDown="false" showErrorMessage="true" showInputMessage="true" sqref="E4:E26" type="list">
      <formula1>Data!$E$2:$E$30</formula1>
      <formula2>0</formula2>
    </dataValidation>
    <dataValidation allowBlank="true" errorStyle="information" errorTitle="OK ?" operator="between" showDropDown="false" showErrorMessage="true" showInputMessage="true" sqref="F4:F26" type="list">
      <formula1>Data!$D$2:$D$16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  <tableParts>
    <tablePart r:id="rId4"/>
    <tablePart r:id="rId5"/>
    <tablePart r:id="rId6"/>
    <tablePart r:id="rId7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" id="{63F9589F-E332-48F7-AE9A-CD632DE88B39}">
            <xm:f>NOT(ISERROR(SEARCH("6",'Semaine 04-05-2025'!B4)))</xm:f>
            <x14:dxf>
              <font>
                <color rgb="FFA6A6A6"/>
              </font>
              <fill>
                <patternFill>
                  <bgColor theme="1" tint="0.1499"/>
                </patternFill>
              </fill>
            </x14:dxf>
          </x14:cfRule>
          <xm:sqref>B4:B26</xm:sqref>
        </x14:conditionalFormatting>
        <x14:conditionalFormatting xmlns:xm="http://schemas.microsoft.com/office/excel/2006/main">
          <x14:cfRule type="dataBar" id="{5722E9B6-41C9-4580-AC70-4EC098E297C0}">
            <x14:dataBar minLength="10" maxLength="90" axisPosition="automatic" gradient="true">
              <x14:cfvo type="autoMin"/>
              <x14:cfvo type="autoMax"/>
              <x14:negativeFillColor rgb="FFFF0000"/>
              <x14:axisColor rgb="FF000000"/>
            </x14:dataBar>
          </x14:cfRule>
          <xm:sqref>I43:I50</xm:sqref>
        </x14:conditionalFormatting>
        <x14:conditionalFormatting xmlns:xm="http://schemas.microsoft.com/office/excel/2006/main">
          <x14:cfRule type="dataBar" id="{1DDA2BED-AB6D-4987-8692-58AE4E109776}">
            <x14:dataBar minLength="10" maxLength="90" axisPosition="automatic" gradient="true">
              <x14:cfvo type="autoMin"/>
              <x14:cfvo type="autoMax"/>
              <x14:negativeFillColor rgb="FFFF0000"/>
              <x14:axisColor rgb="FF000000"/>
            </x14:dataBar>
          </x14:cfRule>
          <xm:sqref>I39:I40 J34:J38</xm:sqref>
        </x14:conditionalFormatting>
        <x14:conditionalFormatting xmlns:xm="http://schemas.microsoft.com/office/excel/2006/main">
          <x14:cfRule type="dataBar" id="{2F2C69E2-DA7F-4629-9F40-D85C7D7BF7A8}">
            <x14:dataBar minLength="10" maxLength="90" axisPosition="automatic" gradient="true">
              <x14:cfvo type="autoMin"/>
              <x14:cfvo type="autoMax"/>
              <x14:negativeFillColor rgb="FFFF0000"/>
              <x14:axisColor rgb="FF000000"/>
            </x14:dataBar>
          </x14:cfRule>
          <xm:sqref>W2:AI2</xm:sqref>
        </x14:conditionalFormatting>
        <x14:conditionalFormatting xmlns:xm="http://schemas.microsoft.com/office/excel/2006/main">
          <x14:cfRule type="dataBar" id="{EC11E234-4DA3-4940-9095-6BCC222099A2}">
            <x14:dataBar minLength="10" maxLength="90" axisPosition="automatic" gradient="true">
              <x14:cfvo type="autoMin"/>
              <x14:cfvo type="autoMax"/>
              <x14:negativeFillColor rgb="FFFF0000"/>
              <x14:axisColor rgb="FF000000"/>
            </x14:dataBar>
          </x14:cfRule>
          <xm:sqref>P2:V2</xm:sqref>
        </x14:conditionalFormatting>
        <x14:conditionalFormatting xmlns:xm="http://schemas.microsoft.com/office/excel/2006/main">
          <x14:cfRule type="dataBar" id="{D87ED3DE-E652-4727-B138-C7A66D456D85}">
            <x14:dataBar minLength="10" maxLength="90" axisPosition="automatic" gradient="false">
              <x14:cfvo type="autoMin"/>
              <x14:cfvo type="autoMax"/>
              <x14:negativeFillColor rgb="FFFF0000"/>
              <x14:axisColor rgb="FF000000"/>
            </x14:dataBar>
          </x14:cfRule>
          <xm:sqref>P2:AI2</xm:sqref>
        </x14:conditionalFormatting>
        <x14:conditionalFormatting xmlns:xm="http://schemas.microsoft.com/office/excel/2006/main">
          <x14:cfRule type="dataBar" id="{D05FFA2E-605F-40EE-A877-E4115CC1BF7C}">
            <x14:dataBar minLength="10" maxLength="90" axisPosition="automatic" gradient="false">
              <x14:cfvo type="autoMin"/>
              <x14:cfvo type="autoMax"/>
              <x14:negativeFillColor rgb="FFFF0000"/>
              <x14:axisColor rgb="FF000000"/>
            </x14:dataBar>
          </x14:cfRule>
          <xm:sqref>P2:U2</xm:sqref>
        </x14:conditionalFormatting>
        <x14:conditionalFormatting xmlns:xm="http://schemas.microsoft.com/office/excel/2006/main">
          <x14:cfRule type="dataBar" id="{639D3E69-D06D-433B-B3FF-B67E6FB62DB0}">
            <x14:dataBar minLength="10" maxLength="90" axisPosition="automatic" gradient="false">
              <x14:cfvo type="autoMin"/>
              <x14:cfvo type="autoMax"/>
              <x14:negativeFillColor rgb="FFFF0000"/>
              <x14:axisColor rgb="FF000000"/>
            </x14:dataBar>
          </x14:cfRule>
          <xm:sqref>V2</xm:sqref>
        </x14:conditionalFormatting>
      </x14:conditionalFormatting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J10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23" activePane="bottomLeft" state="frozen"/>
      <selection pane="topLeft" activeCell="A1" activeCellId="0" sqref="A1"/>
      <selection pane="bottomLeft" activeCell="G38" activeCellId="0" sqref="G38"/>
    </sheetView>
  </sheetViews>
  <sheetFormatPr defaultColWidth="8.6796875" defaultRowHeight="15" zeroHeight="false" outlineLevelRow="1" outlineLevelCol="1"/>
  <cols>
    <col collapsed="false" customWidth="true" hidden="false" outlineLevel="0" max="1" min="1" style="0" width="16.57"/>
    <col collapsed="false" customWidth="true" hidden="false" outlineLevel="0" max="2" min="2" style="0" width="17.71"/>
    <col collapsed="false" customWidth="true" hidden="false" outlineLevel="0" max="3" min="3" style="0" width="15.14"/>
    <col collapsed="false" customWidth="true" hidden="false" outlineLevel="0" max="4" min="4" style="0" width="10.57"/>
    <col collapsed="false" customWidth="true" hidden="false" outlineLevel="0" max="5" min="5" style="0" width="24.42"/>
    <col collapsed="false" customWidth="true" hidden="false" outlineLevel="0" max="6" min="6" style="0" width="21.57"/>
    <col collapsed="false" customWidth="true" hidden="false" outlineLevel="0" max="7" min="7" style="0" width="29.71"/>
    <col collapsed="false" customWidth="true" hidden="false" outlineLevel="0" max="8" min="8" style="0" width="13.29"/>
    <col collapsed="false" customWidth="true" hidden="false" outlineLevel="0" max="9" min="9" style="0" width="15"/>
    <col collapsed="false" customWidth="true" hidden="false" outlineLevel="0" max="10" min="10" style="0" width="14"/>
    <col collapsed="false" customWidth="true" hidden="false" outlineLevel="0" max="11" min="11" style="0" width="16.14"/>
    <col collapsed="false" customWidth="true" hidden="false" outlineLevel="0" max="12" min="12" style="0" width="1.57"/>
    <col collapsed="false" customWidth="true" hidden="false" outlineLevel="0" max="13" min="13" style="0" width="7.71"/>
    <col collapsed="false" customWidth="true" hidden="false" outlineLevel="0" max="14" min="14" style="224" width="9.86"/>
    <col collapsed="false" customWidth="true" hidden="false" outlineLevel="0" max="15" min="15" style="224" width="27.15"/>
    <col collapsed="false" customWidth="true" hidden="false" outlineLevel="1" max="16" min="16" style="0" width="10.29"/>
    <col collapsed="false" customWidth="true" hidden="false" outlineLevel="1" max="17" min="17" style="0" width="9.57"/>
    <col collapsed="false" customWidth="true" hidden="false" outlineLevel="1" max="18" min="18" style="0" width="8.57"/>
    <col collapsed="false" customWidth="true" hidden="false" outlineLevel="1" max="20" min="19" style="0" width="7.29"/>
    <col collapsed="false" customWidth="true" hidden="false" outlineLevel="1" max="21" min="21" style="0" width="8.57"/>
    <col collapsed="false" customWidth="true" hidden="false" outlineLevel="1" max="22" min="22" style="0" width="7.71"/>
    <col collapsed="false" customWidth="true" hidden="false" outlineLevel="1" max="23" min="23" style="0" width="12"/>
    <col collapsed="false" customWidth="true" hidden="false" outlineLevel="1" max="24" min="24" style="0" width="10.14"/>
    <col collapsed="false" customWidth="true" hidden="false" outlineLevel="1" max="25" min="25" style="0" width="11.71"/>
    <col collapsed="false" customWidth="true" hidden="false" outlineLevel="1" max="26" min="26" style="0" width="12.71"/>
    <col collapsed="false" customWidth="true" hidden="false" outlineLevel="1" max="27" min="27" style="0" width="8.57"/>
    <col collapsed="false" customWidth="true" hidden="false" outlineLevel="1" max="28" min="28" style="0" width="7.29"/>
    <col collapsed="false" customWidth="true" hidden="false" outlineLevel="1" max="29" min="29" style="0" width="9.71"/>
    <col collapsed="false" customWidth="true" hidden="false" outlineLevel="1" max="30" min="30" style="0" width="11.43"/>
    <col collapsed="false" customWidth="true" hidden="false" outlineLevel="1" max="31" min="31" style="0" width="10"/>
    <col collapsed="false" customWidth="true" hidden="false" outlineLevel="1" max="32" min="32" style="0" width="9.86"/>
    <col collapsed="false" customWidth="true" hidden="false" outlineLevel="1" max="33" min="33" style="0" width="7.86"/>
    <col collapsed="false" customWidth="true" hidden="false" outlineLevel="1" max="34" min="34" style="0" width="18.71"/>
    <col collapsed="false" customWidth="true" hidden="false" outlineLevel="1" max="35" min="35" style="0" width="27.15"/>
    <col collapsed="false" customWidth="true" hidden="false" outlineLevel="1" max="36" min="36" style="0" width="5.42"/>
  </cols>
  <sheetData>
    <row r="1" customFormat="false" ht="22.05" hidden="false" customHeight="false" outlineLevel="0" collapsed="false">
      <c r="A1" s="225" t="str">
        <f aca="false">"Semaine du " &amp; Data!D41</f>
        <v>Semaine du </v>
      </c>
      <c r="B1" s="226" t="n">
        <v>44298</v>
      </c>
      <c r="C1" s="227"/>
      <c r="D1" s="321" t="s">
        <v>361</v>
      </c>
      <c r="E1" s="322" t="n">
        <f aca="false">AVERAGE(F2:J2)</f>
        <v>7.4</v>
      </c>
      <c r="F1" s="323" t="s">
        <v>0</v>
      </c>
      <c r="G1" s="324" t="s">
        <v>1</v>
      </c>
      <c r="H1" s="324" t="s">
        <v>2</v>
      </c>
      <c r="I1" s="324" t="s">
        <v>3</v>
      </c>
      <c r="J1" s="324" t="s">
        <v>4</v>
      </c>
      <c r="K1" s="325" t="s">
        <v>401</v>
      </c>
      <c r="L1" s="326"/>
      <c r="M1" s="234" t="n">
        <f aca="false">COUNTIF(Horodateur1123353819223134374346495255586164698522263438465058546266707478829098941021061141181101221261301341381421461501541581621661701741781821861901941982022062102144101418222630343846505458[O],"o")+ COUNTIF(Horodateur1123353819223134374346495255586164698522263438465058546266707478829098941021061141181101221261301341381421461501541581621661701741781821861901941982022062102144101418222630343846505458[O],".")</f>
        <v>38</v>
      </c>
      <c r="N1" s="128" t="n">
        <f aca="false">B2</f>
        <v>40</v>
      </c>
      <c r="O1" s="128" t="n">
        <f aca="false">SUM(Horodateur1123353819223134374346495255586164698522263438465058546266707478829098941021061141181101221261301341381421461501541581621661701741781821861901941982022062102144101418222630343846505458[%])</f>
        <v>1</v>
      </c>
      <c r="P1" s="131" t="s">
        <v>21</v>
      </c>
      <c r="Q1" s="130" t="s">
        <v>20</v>
      </c>
      <c r="R1" s="130" t="s">
        <v>23</v>
      </c>
      <c r="S1" s="130" t="s">
        <v>25</v>
      </c>
      <c r="T1" s="130" t="s">
        <v>26</v>
      </c>
      <c r="U1" s="130" t="s">
        <v>378</v>
      </c>
      <c r="V1" s="130" t="s">
        <v>380</v>
      </c>
      <c r="W1" s="136" t="s">
        <v>32</v>
      </c>
      <c r="X1" s="136" t="s">
        <v>69</v>
      </c>
      <c r="Y1" s="136" t="s">
        <v>66</v>
      </c>
      <c r="Z1" s="136" t="s">
        <v>47</v>
      </c>
      <c r="AA1" s="136" t="s">
        <v>68</v>
      </c>
      <c r="AB1" s="136" t="s">
        <v>41</v>
      </c>
      <c r="AC1" s="136" t="s">
        <v>61</v>
      </c>
      <c r="AD1" s="136" t="s">
        <v>74</v>
      </c>
      <c r="AE1" s="136" t="s">
        <v>37</v>
      </c>
      <c r="AF1" s="136" t="s">
        <v>77</v>
      </c>
      <c r="AG1" s="136" t="s">
        <v>45</v>
      </c>
      <c r="AH1" s="136" t="s">
        <v>78</v>
      </c>
      <c r="AI1" s="136" t="s">
        <v>79</v>
      </c>
      <c r="AJ1" s="87" t="str">
        <f aca="false">SUM(N4:N41) &amp; " / " &amp; B2-SUM(N4:N41)</f>
        <v>38.75 / 1.25</v>
      </c>
    </row>
    <row r="2" customFormat="false" ht="22.05" hidden="false" customHeight="false" outlineLevel="0" collapsed="false">
      <c r="A2" s="327" t="n">
        <f aca="false">SUM(Horodateur1123353819223134374346495255586164698522263438465058546266707478829098941021061141181101221261301341381421461501541581621661701741781821861901941982022062102144101418222630343846505458[Durée (60)])</f>
        <v>1.66666666666667</v>
      </c>
      <c r="B2" s="328" t="n">
        <f aca="false">SUM(Horodateur1123353819223134374346495255586164698522263438465058546266707478829098941021061141181101221261301341381421461501541581621661701741781821861901941982022062102144101418222630343846505458[Durée (100)])</f>
        <v>40</v>
      </c>
      <c r="C2" s="237" t="str">
        <f aca="false">N2</f>
        <v>38.75 / 1.25</v>
      </c>
      <c r="D2" s="238"/>
      <c r="E2" s="239"/>
      <c r="F2" s="329" t="n">
        <f aca="false">SUMIF(Horodateur1123353819223134374346495255586164698522263438465058546266707478829098941021061141181101221261301341381421461501541581621661701741781821861901941982022062102144101418222630343846505458[Jour],"1- Lundi",Horodateur1123353819223134374346495255586164698522263438465058546266707478829098941021061141181101221261301341381421461501541581621661701741781821861901941982022062102144101418222630343846505458[Durée (100)])</f>
        <v>8</v>
      </c>
      <c r="G2" s="330" t="n">
        <f aca="false">SUMIF(Horodateur1123353819223134374346495255586164698522263438465058546266707478829098941021061141181101221261301341381421461501541581621661701741781821861901941982022062102144101418222630343846505458[Jour],"2- Mardi",Horodateur1123353819223134374346495255586164698522263438465058546266707478829098941021061141181101221261301341381421461501541581621661701741781821861901941982022062102144101418222630343846505458[Durée (100)])</f>
        <v>8</v>
      </c>
      <c r="H2" s="330" t="n">
        <f aca="false">SUMIF(Horodateur1123353819223134374346495255586164698522263438465058546266707478829098941021061141181101221261301341381421461501541581621661701741781821861901941982022062102144101418222630343846505458[Jour],"3- Mercredi",Horodateur1123353819223134374346495255586164698522263438465058546266707478829098941021061141181101221261301341381421461501541581621661701741781821861901941982022062102144101418222630343846505458[Durée (100)])</f>
        <v>9.5</v>
      </c>
      <c r="I2" s="330" t="n">
        <f aca="false">SUMIF(Horodateur1123353819223134374346495255586164698522263438465058546266707478829098941021061141181101221261301341381421461501541581621661701741781821861901941982022062102144101418222630343846505458[Jour],"4- Jeudi",Horodateur1123353819223134374346495255586164698522263438465058546266707478829098941021061141181101221261301341381421461501541581621661701741781821861901941982022062102144101418222630343846505458[Durée (100)])</f>
        <v>8</v>
      </c>
      <c r="J2" s="330" t="n">
        <f aca="false">SUMIF(Horodateur1123353819223134374346495255586164698522263438465058546266707478829098941021061141181101221261301341381421461501541581621661701741781821861901941982022062102144101418222630343846505458[Jour],"5- Vendredi",Horodateur1123353819223134374346495255586164698522263438465058546266707478829098941021061141181101221261301341381421461501541581621661701741781821861901941982022062102144101418222630343846505458[Durée (100)])</f>
        <v>3.5</v>
      </c>
      <c r="K2" s="331" t="str">
        <f aca="false">ROUND(SUMIF(Horodateur1123353819223134374346495255586164698522263438465058546266707478829098941021061141181101221261301341381421461501541581621661701741781821861901941982022062102144101418222630343846505458[Jour],"6- Samedi",Horodateur1123353819223134374346495255586164698522263438465058546266707478829098941021061141181101221261301341381421461501541581621661701741781821861901941982022062102144101418222630343846505458[Durée (100)]),2) &amp;  "   /    " &amp;  ROUND(SUMIF(Horodateur1123353819223134374346495255586164698522263438465058546266707478829098941021061141181101221261301341381421461501541581621661701741781821861901941982022062102144101418222630343846505458[Jour],"7- Dimanche",Horodateur1123353819223134374346495255586164698522263438465058546266707478829098941021061141181101221261301341381421461501541581621661701741781821861901941982022062102144101418222630343846505458[Durée (100)]),2)</f>
        <v>3   /    0</v>
      </c>
      <c r="L2" s="332"/>
      <c r="M2" s="244" t="str">
        <f aca="false">COUNTIF(Horodateur1123353819223134374346495255586164698522263438465058546266707478829098941021061141181101221261301341381421461501541581621661701741781821861901941982022062102144101418222630343846505458[O],"o")&amp;" / " &amp;  COUNTIF(Horodateur1123353819223134374346495255586164698522263438465058546266707478829098941021061141181101221261301341381421461501541581621661701741781821861901941982022062102144101418222630343846505458[O],".")</f>
        <v>36 / 2</v>
      </c>
      <c r="N2" s="143" t="str">
        <f aca="false">SUM(N4:N41) &amp; " / " &amp; B2-SUM(N4:N41)</f>
        <v>38.75 / 1.25</v>
      </c>
      <c r="O2" s="334" t="str">
        <f aca="false">O1/B2*100 &amp; "%"</f>
        <v>2.5%</v>
      </c>
      <c r="P2" s="248" t="n">
        <f aca="false">SUMIF(Horodateur1123353819223134374346495255586164698522263438465058546266707478829098941021061141181101221261301341381421461501541581621661701741781821861901941982022062102144101418222630343846505458[Tâche],P$1,Horodateur1123353819223134374346495255586164698522263438465058546266707478829098941021061141181101221261301341381421461501541581621661701741781821861901941982022062102144101418222630343846505458[Durée (100)])</f>
        <v>2.75</v>
      </c>
      <c r="Q2" s="247" t="n">
        <f aca="false">SUMIF(Horodateur1123353819223134374346495255586164698522263438465058546266707478829098941021061141181101221261301341381421461501541581621661701741781821861901941982022062102144101418222630343846505458[Tâche],Q$1,Horodateur1123353819223134374346495255586164698522263438465058546266707478829098941021061141181101221261301341381421461501541581621661701741781821861901941982022062102144101418222630343846505458[Durée (100)])</f>
        <v>0.500000000000001</v>
      </c>
      <c r="R2" s="247" t="n">
        <f aca="false">SUMIF(Horodateur1123353819223134374346495255586164698522263438465058546266707478829098941021061141181101221261301341381421461501541581621661701741781821861901941982022062102144101418222630343846505458[Tâche],R$1,Horodateur1123353819223134374346495255586164698522263438465058546266707478829098941021061141181101221261301341381421461501541581621661701741781821861901941982022062102144101418222630343846505458[Durée (100)])</f>
        <v>2.5</v>
      </c>
      <c r="S2" s="247" t="n">
        <f aca="false">SUMIF(Horodateur1123353819223134374346495255586164698522263438465058546266707478829098941021061141181101221261301341381421461501541581621661701741781821861901941982022062102144101418222630343846505458[Tâche],S$1,Horodateur1123353819223134374346495255586164698522263438465058546266707478829098941021061141181101221261301341381421461501541581621661701741781821861901941982022062102144101418222630343846505458[Durée (100)])</f>
        <v>0</v>
      </c>
      <c r="T2" s="247" t="n">
        <f aca="false">SUMIF(Horodateur1123353819223134374346495255586164698522263438465058546266707478829098941021061141181101221261301341381421461501541581621661701741781821861901941982022062102144101418222630343846505458[Tâche],T$1,Horodateur1123353819223134374346495255586164698522263438465058546266707478829098941021061141181101221261301341381421461501541581621661701741781821861901941982022062102144101418222630343846505458[Durée (100)])</f>
        <v>0</v>
      </c>
      <c r="U2" s="247" t="n">
        <f aca="false">SUMIF(Horodateur1123353819223134374346495255586164698522263438465058546266707478829098941021061141181101221261301341381421461501541581621661701741781821861901941982022062102144101418222630343846505458[Tâche],U$1,Horodateur1123353819223134374346495255586164698522263438465058546266707478829098941021061141181101221261301341381421461501541581621661701741781821861901941982022062102144101418222630343846505458[Durée (100)])</f>
        <v>23</v>
      </c>
      <c r="V2" s="247" t="n">
        <f aca="false">SUMIF(Horodateur1123353819223134374346495255586164698522263438465058546266707478829098941021061141181101221261301341381421461501541581621661701741781821861901941982022062102144101418222630343846505458[Tâche],V$1,Horodateur1123353819223134374346495255586164698522263438465058546266707478829098941021061141181101221261301341381421461501541581621661701741781821861901941982022062102144101418222630343846505458[Durée (100)])</f>
        <v>0</v>
      </c>
      <c r="W2" s="151" t="n">
        <f aca="false">SUMIF(Horodateur1123353819223134374346495255586164698522263438465058546266707478829098941021061141181101221261301341381421461501541581621661701741781821861901941982022062102144101418222630343846505458[Client],W$1,Horodateur1123353819223134374346495255586164698522263438465058546266707478829098941021061141181101221261301341381421461501541581621661701741781821861901941982022062102144101418222630343846505458[Durée (100)])</f>
        <v>5.25</v>
      </c>
      <c r="X2" s="151" t="n">
        <f aca="false">SUMIF(Horodateur1123353819223134374346495255586164698522263438465058546266707478829098941021061141181101221261301341381421461501541581621661701741781821861901941982022062102144101418222630343846505458[Client],X$1,Horodateur1123353819223134374346495255586164698522263438465058546266707478829098941021061141181101221261301341381421461501541581621661701741781821861901941982022062102144101418222630343846505458[Durée (100)])</f>
        <v>0</v>
      </c>
      <c r="Y2" s="151" t="n">
        <f aca="false">SUMIF(Horodateur1123353819223134374346495255586164698522263438465058546266707478829098941021061141181101221261301341381421461501541581621661701741781821861901941982022062102144101418222630343846505458[Client],Y$1,Horodateur1123353819223134374346495255586164698522263438465058546266707478829098941021061141181101221261301341381421461501541581621661701741781821861901941982022062102144101418222630343846505458[Durée (100)])</f>
        <v>0</v>
      </c>
      <c r="Z2" s="151" t="n">
        <f aca="false">SUMIF(Horodateur1123353819223134374346495255586164698522263438465058546266707478829098941021061141181101221261301341381421461501541581621661701741781821861901941982022062102144101418222630343846505458[Client],Z$1,Horodateur1123353819223134374346495255586164698522263438465058546266707478829098941021061141181101221261301341381421461501541581621661701741781821861901941982022062102144101418222630343846505458[Durée (100)])</f>
        <v>0</v>
      </c>
      <c r="AA2" s="151" t="n">
        <f aca="false">SUMIF(Horodateur1123353819223134374346495255586164698522263438465058546266707478829098941021061141181101221261301341381421461501541581621661701741781821861901941982022062102144101418222630343846505458[Client],AA$1,Horodateur1123353819223134374346495255586164698522263438465058546266707478829098941021061141181101221261301341381421461501541581621661701741781821861901941982022062102144101418222630343846505458[Durée (100)])</f>
        <v>0</v>
      </c>
      <c r="AB2" s="151" t="n">
        <f aca="false">SUMIF(Horodateur1123353819223134374346495255586164698522263438465058546266707478829098941021061141181101221261301341381421461501541581621661701741781821861901941982022062102144101418222630343846505458[Client],AB$1,Horodateur1123353819223134374346495255586164698522263438465058546266707478829098941021061141181101221261301341381421461501541581621661701741781821861901941982022062102144101418222630343846505458[Durée (100)])</f>
        <v>0</v>
      </c>
      <c r="AC2" s="151" t="n">
        <f aca="false">SUMIF(Horodateur1123353819223134374346495255586164698522263438465058546266707478829098941021061141181101221261301341381421461501541581621661701741781821861901941982022062102144101418222630343846505458[Client],AC$1,Horodateur1123353819223134374346495255586164698522263438465058546266707478829098941021061141181101221261301341381421461501541581621661701741781821861901941982022062102144101418222630343846505458[Durée (100)])</f>
        <v>0</v>
      </c>
      <c r="AD2" s="151" t="n">
        <f aca="false">SUMIF(Horodateur1123353819223134374346495255586164698522263438465058546266707478829098941021061141181101221261301341381421461501541581621661701741781821861901941982022062102144101418222630343846505458[Client],AD$1,Horodateur1123353819223134374346495255586164698522263438465058546266707478829098941021061141181101221261301341381421461501541581621661701741781821861901941982022062102144101418222630343846505458[Durée (100)])</f>
        <v>0</v>
      </c>
      <c r="AE2" s="151" t="n">
        <f aca="false">SUMIF(Horodateur1123353819223134374346495255586164698522263438465058546266707478829098941021061141181101221261301341381421461501541581621661701741781821861901941982022062102144101418222630343846505458[Client],AE$1,Horodateur1123353819223134374346495255586164698522263438465058546266707478829098941021061141181101221261301341381421461501541581621661701741781821861901941982022062102144101418222630343846505458[Durée (100)])</f>
        <v>0.500000000000001</v>
      </c>
      <c r="AF2" s="151" t="n">
        <f aca="false">SUMIF(Horodateur1123353819223134374346495255586164698522263438465058546266707478829098941021061141181101221261301341381421461501541581621661701741781821861901941982022062102144101418222630343846505458[Client],AF$1,Horodateur1123353819223134374346495255586164698522263438465058546266707478829098941021061141181101221261301341381421461501541581621661701741781821861901941982022062102144101418222630343846505458[Durée (100)])</f>
        <v>0</v>
      </c>
      <c r="AG2" s="151" t="n">
        <f aca="false">SUMIF(Horodateur1123353819223134374346495255586164698522263438465058546266707478829098941021061141181101221261301341381421461501541581621661701741781821861901941982022062102144101418222630343846505458[Client],AG$1,Horodateur1123353819223134374346495255586164698522263438465058546266707478829098941021061141181101221261301341381421461501541581621661701741781821861901941982022062102144101418222630343846505458[Durée (100)])</f>
        <v>0</v>
      </c>
      <c r="AH2" s="151" t="n">
        <f aca="false">SUMIF(Horodateur1123353819223134374346495255586164698522263438465058546266707478829098941021061141181101221261301341381421461501541581621661701741781821861901941982022062102144101418222630343846505458[Client],AH$1,Horodateur1123353819223134374346495255586164698522263438465058546266707478829098941021061141181101221261301341381421461501541581621661701741781821861901941982022062102144101418222630343846505458[Durée (100)])</f>
        <v>0</v>
      </c>
      <c r="AI2" s="151" t="n">
        <f aca="false">SUMIF(Horodateur1123353819223134374346495255586164698522263438465058546266707478829098941021061141181101221261301341381421461501541581621661701741781821861901941982022062102144101418222630343846505458[Client],AI$1,Horodateur1123353819223134374346495255586164698522263438465058546266707478829098941021061141181101221261301341381421461501541581621661701741781821861901941982022062102144101418222630343846505458[Durée (100)])</f>
        <v>0</v>
      </c>
    </row>
    <row r="3" s="137" customFormat="true" ht="15" hidden="false" customHeight="false" outlineLevel="0" collapsed="false">
      <c r="A3" s="249" t="s">
        <v>8</v>
      </c>
      <c r="B3" s="249" t="s">
        <v>9</v>
      </c>
      <c r="C3" s="193" t="s">
        <v>10</v>
      </c>
      <c r="D3" s="193" t="s">
        <v>11</v>
      </c>
      <c r="E3" s="250" t="s">
        <v>12</v>
      </c>
      <c r="F3" s="250" t="s">
        <v>13</v>
      </c>
      <c r="G3" s="250" t="s">
        <v>14</v>
      </c>
      <c r="H3" s="193" t="s">
        <v>302</v>
      </c>
      <c r="I3" s="252" t="s">
        <v>364</v>
      </c>
      <c r="J3" s="253" t="s">
        <v>365</v>
      </c>
      <c r="K3" s="250" t="s">
        <v>402</v>
      </c>
      <c r="L3" s="194" t="s">
        <v>403</v>
      </c>
      <c r="M3" s="255" t="s">
        <v>7</v>
      </c>
      <c r="N3" s="254" t="s">
        <v>29</v>
      </c>
      <c r="O3" s="254" t="s">
        <v>18</v>
      </c>
      <c r="P3" s="153" t="n">
        <f aca="false">P2/$B$2</f>
        <v>0.06875</v>
      </c>
      <c r="Q3" s="153" t="n">
        <f aca="false">Q2/$B$2</f>
        <v>0.0125</v>
      </c>
      <c r="R3" s="153" t="n">
        <f aca="false">R2/$B$2</f>
        <v>0.0625</v>
      </c>
      <c r="S3" s="153" t="n">
        <f aca="false">S2/$B$2</f>
        <v>0</v>
      </c>
      <c r="T3" s="153" t="n">
        <f aca="false">T2/$B$2</f>
        <v>0</v>
      </c>
      <c r="U3" s="153" t="n">
        <f aca="false">U2/$B$2</f>
        <v>0.575</v>
      </c>
      <c r="V3" s="153" t="n">
        <f aca="false">V2/$B$2</f>
        <v>0</v>
      </c>
      <c r="W3" s="153" t="n">
        <f aca="false">W2/$B$2</f>
        <v>0.13125</v>
      </c>
      <c r="X3" s="153" t="n">
        <f aca="false">X2/$B$2</f>
        <v>0</v>
      </c>
      <c r="Y3" s="153" t="n">
        <f aca="false">Y2/$B$2</f>
        <v>0</v>
      </c>
      <c r="Z3" s="153" t="n">
        <f aca="false">Z2/$B$2</f>
        <v>0</v>
      </c>
      <c r="AA3" s="153" t="n">
        <f aca="false">AA2/$B$2</f>
        <v>0</v>
      </c>
      <c r="AB3" s="153" t="n">
        <f aca="false">AB2/$B$2</f>
        <v>0</v>
      </c>
      <c r="AC3" s="153" t="n">
        <f aca="false">AC2/$B$2</f>
        <v>0</v>
      </c>
      <c r="AD3" s="153" t="n">
        <f aca="false">AD2/$B$2</f>
        <v>0</v>
      </c>
      <c r="AE3" s="153" t="n">
        <f aca="false">AE2/$B$2</f>
        <v>0.0125</v>
      </c>
      <c r="AF3" s="153" t="n">
        <f aca="false">AF2/$B$2</f>
        <v>0</v>
      </c>
      <c r="AG3" s="153" t="n">
        <f aca="false">AG2/$B$2</f>
        <v>0</v>
      </c>
      <c r="AH3" s="153" t="n">
        <f aca="false">AH2/$B$2</f>
        <v>0</v>
      </c>
      <c r="AI3" s="153" t="n">
        <f aca="false">AI2/$B$2</f>
        <v>0</v>
      </c>
    </row>
    <row r="4" customFormat="false" ht="15" hidden="false" customHeight="false" outlineLevel="0" collapsed="false">
      <c r="A4" s="256" t="n">
        <f aca="false">IF(Horodateur1123353819223134374346495255586164698522263438465058546266707478829098941021061141181101221261301341381421461501541581621661701741781821861901941982022062102144101418222630343846505458[[#This Row],[Jour]]="1- Lundi",$B$1+1, IF(Horodateur1123353819223134374346495255586164698522263438465058546266707478829098941021061141181101221261301341381421461501541581621661701741781821861901941982022062102144101418222630343846505458[[#This Row],[Jour]]="2- Mardi",$B$1+2, IF(Horodateur1123353819223134374346495255586164698522263438465058546266707478829098941021061141181101221261301341381421461501541581621661701741781821861901941982022062102144101418222630343846505458[[#This Row],[Jour]]="3- Mercredi",$B$1+3, IF(Horodateur1123353819223134374346495255586164698522263438465058546266707478829098941021061141181101221261301341381421461501541581621661701741781821861901941982022062102144101418222630343846505458[[#This Row],[Jour]]="4- Jeudi",$B$1+4, IF(Horodateur1123353819223134374346495255586164698522263438465058546266707478829098941021061141181101221261301341381421461501541581621661701741781821861901941982022062102144101418222630343846505458[[#This Row],[Jour]]="5- Vendredi",$B$1+5, IF(Horodateur1123353819223134374346495255586164698522263438465058546266707478829098941021061141181101221261301341381421461501541581621661701741781821861901941982022062102144101418222630343846505458[[#This Row],[Jour]]="6- Samedi",$B$1+6, IF(Horodateur1123353819223134374346495255586164698522263438465058546266707478829098941021061141181101221261301341381421461501541581621661701741781821861901941982022062102144101418222630343846505458[[#This Row],[Jour]]="7- Dimanche",$B$1, )))))))</f>
        <v>44299</v>
      </c>
      <c r="B4" s="257" t="s">
        <v>312</v>
      </c>
      <c r="C4" s="258" t="n">
        <v>0.333333333333333</v>
      </c>
      <c r="D4" s="258" t="n">
        <v>0.364583333333333</v>
      </c>
      <c r="E4" s="71" t="s">
        <v>32</v>
      </c>
      <c r="F4" s="71" t="s">
        <v>21</v>
      </c>
      <c r="G4" s="259"/>
      <c r="H4" s="258" t="n">
        <f aca="false">IF($C4=0,"",$D4-$C4)</f>
        <v>0.03125</v>
      </c>
      <c r="I4" s="260" t="n">
        <f aca="false">IF($C4=0,"",($H4-INT($H4))*24)</f>
        <v>0.75</v>
      </c>
      <c r="J4" s="303" t="n">
        <f aca="false">SUMIF(Horodateur1123353819223134374346495255586164698522263438465058546266707478829098941021061141181101221261301341381421461501541581621661701741781821861901941982022062102144101418222630343846505458[Jour],$B4,Horodateur1123353819223134374346495255586164698522263438465058546266707478829098941021061141181101221261301341381421461501541581621661701741781821861901941982022062102144101418222630343846505458[Durée (100)])</f>
        <v>8</v>
      </c>
      <c r="K4" s="335"/>
      <c r="L4" s="336" t="s">
        <v>33</v>
      </c>
      <c r="M4" s="188" t="s">
        <v>31</v>
      </c>
      <c r="N4" s="272" t="n">
        <f aca="false">IF(Horodateur1123353819223134374346495255586164698522263438465058546266707478829098941021061141181101221261301341381421461501541581621661701741781821861901941982022062102144101418222630343846505458[[#This Row],[O]]="o",Horodateur1123353819223134374346495255586164698522263438465058546266707478829098941021061141181101221261301341381421461501541581621661701741781821861901941982022062102144101418222630343846505458[[#This Row],[Durée (100)]],".")</f>
        <v>0.75</v>
      </c>
      <c r="O4" s="337" t="n">
        <f aca="false">IF(L4 = "c", I4, 0)</f>
        <v>0</v>
      </c>
      <c r="P4" s="187"/>
      <c r="Q4" s="71"/>
      <c r="R4" s="71"/>
      <c r="S4" s="71"/>
      <c r="T4" s="71"/>
      <c r="U4" s="71"/>
      <c r="V4" s="71"/>
      <c r="W4" s="71"/>
      <c r="X4" s="71"/>
      <c r="Y4" s="71"/>
      <c r="Z4" s="71"/>
      <c r="AA4" s="71"/>
      <c r="AB4" s="71"/>
      <c r="AC4" s="71"/>
      <c r="AD4" s="71"/>
      <c r="AE4" s="71"/>
      <c r="AF4" s="71"/>
      <c r="AG4" s="71"/>
      <c r="AH4" s="71"/>
      <c r="AI4" s="71"/>
    </row>
    <row r="5" customFormat="false" ht="15" hidden="false" customHeight="false" outlineLevel="0" collapsed="false">
      <c r="A5" s="256" t="n">
        <f aca="false">IF(Horodateur1123353819223134374346495255586164698522263438465058546266707478829098941021061141181101221261301341381421461501541581621661701741781821861901941982022062102144101418222630343846505458[[#This Row],[Jour]]="1- Lundi",$B$1+1, IF(Horodateur1123353819223134374346495255586164698522263438465058546266707478829098941021061141181101221261301341381421461501541581621661701741781821861901941982022062102144101418222630343846505458[[#This Row],[Jour]]="2- Mardi",$B$1+2, IF(Horodateur1123353819223134374346495255586164698522263438465058546266707478829098941021061141181101221261301341381421461501541581621661701741781821861901941982022062102144101418222630343846505458[[#This Row],[Jour]]="3- Mercredi",$B$1+3, IF(Horodateur1123353819223134374346495255586164698522263438465058546266707478829098941021061141181101221261301341381421461501541581621661701741781821861901941982022062102144101418222630343846505458[[#This Row],[Jour]]="4- Jeudi",$B$1+4, IF(Horodateur1123353819223134374346495255586164698522263438465058546266707478829098941021061141181101221261301341381421461501541581621661701741781821861901941982022062102144101418222630343846505458[[#This Row],[Jour]]="5- Vendredi",$B$1+5, IF(Horodateur1123353819223134374346495255586164698522263438465058546266707478829098941021061141181101221261301341381421461501541581621661701741781821861901941982022062102144101418222630343846505458[[#This Row],[Jour]]="6- Samedi",$B$1+6, IF(Horodateur1123353819223134374346495255586164698522263438465058546266707478829098941021061141181101221261301341381421461501541581621661701741781821861901941982022062102144101418222630343846505458[[#This Row],[Jour]]="7- Dimanche",$B$1, )))))))</f>
        <v>44299</v>
      </c>
      <c r="B5" s="257" t="s">
        <v>312</v>
      </c>
      <c r="C5" s="258" t="n">
        <v>0.364583333333333</v>
      </c>
      <c r="D5" s="258" t="n">
        <v>0.385416666666667</v>
      </c>
      <c r="E5" s="71" t="s">
        <v>32</v>
      </c>
      <c r="F5" s="71" t="s">
        <v>20</v>
      </c>
      <c r="G5" s="259" t="s">
        <v>121</v>
      </c>
      <c r="H5" s="258" t="n">
        <f aca="false">IF($C5=0,"",$D5-$C5)</f>
        <v>0.0208333333333333</v>
      </c>
      <c r="I5" s="260" t="n">
        <f aca="false">IF($C5=0,"",($H5-INT($H5))*24)</f>
        <v>0.5</v>
      </c>
      <c r="J5" s="303" t="n">
        <f aca="false">SUMIF(Horodateur1123353819223134374346495255586164698522263438465058546266707478829098941021061141181101221261301341381421461501541581621661701741781821861901941982022062102144101418222630343846505458[Jour],$B5,Horodateur1123353819223134374346495255586164698522263438465058546266707478829098941021061141181101221261301341381421461501541581621661701741781821861901941982022062102144101418222630343846505458[Durée (100)])</f>
        <v>8</v>
      </c>
      <c r="K5" s="335"/>
      <c r="L5" s="336" t="s">
        <v>33</v>
      </c>
      <c r="M5" s="188" t="s">
        <v>31</v>
      </c>
      <c r="N5" s="272" t="n">
        <f aca="false">IF(Horodateur1123353819223134374346495255586164698522263438465058546266707478829098941021061141181101221261301341381421461501541581621661701741781821861901941982022062102144101418222630343846505458[[#This Row],[O]]="o",Horodateur1123353819223134374346495255586164698522263438465058546266707478829098941021061141181101221261301341381421461501541581621661701741781821861901941982022062102144101418222630343846505458[[#This Row],[Durée (100)]],".")</f>
        <v>0.500000000000001</v>
      </c>
      <c r="O5" s="337" t="n">
        <f aca="false">IF(L5 = "c", I5, 0)</f>
        <v>0</v>
      </c>
      <c r="P5" s="187"/>
      <c r="Q5" s="71"/>
      <c r="R5" s="71"/>
      <c r="S5" s="71"/>
      <c r="T5" s="71"/>
      <c r="U5" s="71"/>
      <c r="V5" s="71"/>
      <c r="W5" s="71"/>
      <c r="X5" s="71"/>
      <c r="Y5" s="71"/>
      <c r="Z5" s="71"/>
      <c r="AA5" s="71"/>
      <c r="AB5" s="71"/>
      <c r="AC5" s="71"/>
      <c r="AD5" s="71"/>
      <c r="AE5" s="71"/>
      <c r="AF5" s="71"/>
      <c r="AG5" s="71"/>
      <c r="AH5" s="71"/>
      <c r="AI5" s="71"/>
    </row>
    <row r="6" customFormat="false" ht="15" hidden="false" customHeight="false" outlineLevel="0" collapsed="false">
      <c r="A6" s="256" t="n">
        <f aca="false">IF(Horodateur1123353819223134374346495255586164698522263438465058546266707478829098941021061141181101221261301341381421461501541581621661701741781821861901941982022062102144101418222630343846505458[[#This Row],[Jour]]="1- Lundi",$B$1+1, IF(Horodateur1123353819223134374346495255586164698522263438465058546266707478829098941021061141181101221261301341381421461501541581621661701741781821861901941982022062102144101418222630343846505458[[#This Row],[Jour]]="2- Mardi",$B$1+2, IF(Horodateur1123353819223134374346495255586164698522263438465058546266707478829098941021061141181101221261301341381421461501541581621661701741781821861901941982022062102144101418222630343846505458[[#This Row],[Jour]]="3- Mercredi",$B$1+3, IF(Horodateur1123353819223134374346495255586164698522263438465058546266707478829098941021061141181101221261301341381421461501541581621661701741781821861901941982022062102144101418222630343846505458[[#This Row],[Jour]]="4- Jeudi",$B$1+4, IF(Horodateur1123353819223134374346495255586164698522263438465058546266707478829098941021061141181101221261301341381421461501541581621661701741781821861901941982022062102144101418222630343846505458[[#This Row],[Jour]]="5- Vendredi",$B$1+5, IF(Horodateur1123353819223134374346495255586164698522263438465058546266707478829098941021061141181101221261301341381421461501541581621661701741781821861901941982022062102144101418222630343846505458[[#This Row],[Jour]]="6- Samedi",$B$1+6, IF(Horodateur1123353819223134374346495255586164698522263438465058546266707478829098941021061141181101221261301341381421461501541581621661701741781821861901941982022062102144101418222630343846505458[[#This Row],[Jour]]="7- Dimanche",$B$1, )))))))</f>
        <v>44299</v>
      </c>
      <c r="B6" s="257" t="s">
        <v>312</v>
      </c>
      <c r="C6" s="258" t="n">
        <v>0.395833333333333</v>
      </c>
      <c r="D6" s="258" t="n">
        <v>0.416666666666667</v>
      </c>
      <c r="E6" s="71" t="s">
        <v>37</v>
      </c>
      <c r="F6" s="71" t="s">
        <v>378</v>
      </c>
      <c r="G6" s="259" t="s">
        <v>55</v>
      </c>
      <c r="H6" s="258" t="n">
        <f aca="false">IF($C6=0,"",$D6-$C6)</f>
        <v>0.0208333333333333</v>
      </c>
      <c r="I6" s="260" t="n">
        <f aca="false">IF($C6=0,"",($H6-INT($H6))*24)</f>
        <v>0.5</v>
      </c>
      <c r="J6" s="303" t="n">
        <f aca="false">SUMIF(Horodateur1123353819223134374346495255586164698522263438465058546266707478829098941021061141181101221261301341381421461501541581621661701741781821861901941982022062102144101418222630343846505458[Jour],$B6,Horodateur1123353819223134374346495255586164698522263438465058546266707478829098941021061141181101221261301341381421461501541581621661701741781821861901941982022062102144101418222630343846505458[Durée (100)])</f>
        <v>8</v>
      </c>
      <c r="K6" s="335"/>
      <c r="L6" s="336" t="s">
        <v>403</v>
      </c>
      <c r="M6" s="188" t="s">
        <v>31</v>
      </c>
      <c r="N6" s="272" t="n">
        <f aca="false">IF(Horodateur1123353819223134374346495255586164698522263438465058546266707478829098941021061141181101221261301341381421461501541581621661701741781821861901941982022062102144101418222630343846505458[[#This Row],[O]]="o",Horodateur1123353819223134374346495255586164698522263438465058546266707478829098941021061141181101221261301341381421461501541581621661701741781821861901941982022062102144101418222630343846505458[[#This Row],[Durée (100)]],".")</f>
        <v>0.500000000000001</v>
      </c>
      <c r="O6" s="337" t="n">
        <f aca="false">IF(L6 = "c", I6, 0)</f>
        <v>0.5</v>
      </c>
      <c r="P6" s="187"/>
      <c r="Q6" s="71"/>
      <c r="R6" s="71"/>
      <c r="S6" s="71"/>
      <c r="T6" s="71"/>
      <c r="U6" s="71"/>
      <c r="V6" s="71"/>
      <c r="W6" s="71"/>
      <c r="X6" s="71"/>
      <c r="Y6" s="71"/>
      <c r="Z6" s="71"/>
      <c r="AA6" s="71"/>
      <c r="AB6" s="71"/>
      <c r="AC6" s="71"/>
      <c r="AD6" s="71"/>
      <c r="AE6" s="71"/>
      <c r="AF6" s="71"/>
      <c r="AG6" s="71"/>
      <c r="AH6" s="71"/>
      <c r="AI6" s="71"/>
    </row>
    <row r="7" customFormat="false" ht="15" hidden="false" customHeight="false" outlineLevel="0" collapsed="false">
      <c r="A7" s="256" t="n">
        <f aca="false">IF(Horodateur1123353819223134374346495255586164698522263438465058546266707478829098941021061141181101221261301341381421461501541581621661701741781821861901941982022062102144101418222630343846505458[[#This Row],[Jour]]="1- Lundi",$B$1+1, IF(Horodateur1123353819223134374346495255586164698522263438465058546266707478829098941021061141181101221261301341381421461501541581621661701741781821861901941982022062102144101418222630343846505458[[#This Row],[Jour]]="2- Mardi",$B$1+2, IF(Horodateur1123353819223134374346495255586164698522263438465058546266707478829098941021061141181101221261301341381421461501541581621661701741781821861901941982022062102144101418222630343846505458[[#This Row],[Jour]]="3- Mercredi",$B$1+3, IF(Horodateur1123353819223134374346495255586164698522263438465058546266707478829098941021061141181101221261301341381421461501541581621661701741781821861901941982022062102144101418222630343846505458[[#This Row],[Jour]]="4- Jeudi",$B$1+4, IF(Horodateur1123353819223134374346495255586164698522263438465058546266707478829098941021061141181101221261301341381421461501541581621661701741781821861901941982022062102144101418222630343846505458[[#This Row],[Jour]]="5- Vendredi",$B$1+5, IF(Horodateur1123353819223134374346495255586164698522263438465058546266707478829098941021061141181101221261301341381421461501541581621661701741781821861901941982022062102144101418222630343846505458[[#This Row],[Jour]]="6- Samedi",$B$1+6, IF(Horodateur1123353819223134374346495255586164698522263438465058546266707478829098941021061141181101221261301341381421461501541581621661701741781821861901941982022062102144101418222630343846505458[[#This Row],[Jour]]="7- Dimanche",$B$1, )))))))</f>
        <v>44299</v>
      </c>
      <c r="B7" s="257" t="s">
        <v>312</v>
      </c>
      <c r="C7" s="258" t="n">
        <v>0.416666666666667</v>
      </c>
      <c r="D7" s="258" t="n">
        <v>0.458333333333333</v>
      </c>
      <c r="E7" s="71" t="s">
        <v>63</v>
      </c>
      <c r="F7" s="71" t="s">
        <v>378</v>
      </c>
      <c r="G7" s="259" t="s">
        <v>421</v>
      </c>
      <c r="H7" s="258" t="n">
        <f aca="false">IF($C7=0,"",$D7-$C7)</f>
        <v>0.0416666666666666</v>
      </c>
      <c r="I7" s="260" t="n">
        <f aca="false">IF($C7=0,"",($H7-INT($H7))*24)</f>
        <v>0.999999999999999</v>
      </c>
      <c r="J7" s="303" t="n">
        <f aca="false">SUMIF(Horodateur1123353819223134374346495255586164698522263438465058546266707478829098941021061141181101221261301341381421461501541581621661701741781821861901941982022062102144101418222630343846505458[Jour],$B7,Horodateur1123353819223134374346495255586164698522263438465058546266707478829098941021061141181101221261301341381421461501541581621661701741781821861901941982022062102144101418222630343846505458[Durée (100)])</f>
        <v>8</v>
      </c>
      <c r="K7" s="335" t="s">
        <v>422</v>
      </c>
      <c r="L7" s="336" t="s">
        <v>33</v>
      </c>
      <c r="M7" s="188" t="s">
        <v>31</v>
      </c>
      <c r="N7" s="272" t="n">
        <f aca="false">IF(Horodateur1123353819223134374346495255586164698522263438465058546266707478829098941021061141181101221261301341381421461501541581621661701741781821861901941982022062102144101418222630343846505458[[#This Row],[O]]="o",Horodateur1123353819223134374346495255586164698522263438465058546266707478829098941021061141181101221261301341381421461501541581621661701741781821861901941982022062102144101418222630343846505458[[#This Row],[Durée (100)]],".")</f>
        <v>0.999999999999999</v>
      </c>
      <c r="O7" s="337" t="n">
        <f aca="false">IF(L7 = "c", I7, 0)</f>
        <v>0</v>
      </c>
      <c r="P7" s="187"/>
      <c r="Q7" s="71"/>
      <c r="R7" s="71"/>
      <c r="S7" s="71"/>
      <c r="T7" s="71"/>
      <c r="U7" s="71"/>
      <c r="V7" s="71"/>
      <c r="W7" s="71"/>
      <c r="X7" s="71"/>
      <c r="Y7" s="71"/>
      <c r="Z7" s="71"/>
      <c r="AA7" s="71"/>
      <c r="AB7" s="71"/>
      <c r="AC7" s="71"/>
      <c r="AD7" s="71"/>
      <c r="AE7" s="71"/>
      <c r="AF7" s="71"/>
      <c r="AG7" s="71"/>
      <c r="AH7" s="71"/>
      <c r="AI7" s="71"/>
    </row>
    <row r="8" customFormat="false" ht="15" hidden="false" customHeight="false" outlineLevel="0" collapsed="false">
      <c r="A8" s="256" t="n">
        <f aca="false">IF(Horodateur1123353819223134374346495255586164698522263438465058546266707478829098941021061141181101221261301341381421461501541581621661701741781821861901941982022062102144101418222630343846505458[[#This Row],[Jour]]="1- Lundi",$B$1+1, IF(Horodateur1123353819223134374346495255586164698522263438465058546266707478829098941021061141181101221261301341381421461501541581621661701741781821861901941982022062102144101418222630343846505458[[#This Row],[Jour]]="2- Mardi",$B$1+2, IF(Horodateur1123353819223134374346495255586164698522263438465058546266707478829098941021061141181101221261301341381421461501541581621661701741781821861901941982022062102144101418222630343846505458[[#This Row],[Jour]]="3- Mercredi",$B$1+3, IF(Horodateur1123353819223134374346495255586164698522263438465058546266707478829098941021061141181101221261301341381421461501541581621661701741781821861901941982022062102144101418222630343846505458[[#This Row],[Jour]]="4- Jeudi",$B$1+4, IF(Horodateur1123353819223134374346495255586164698522263438465058546266707478829098941021061141181101221261301341381421461501541581621661701741781821861901941982022062102144101418222630343846505458[[#This Row],[Jour]]="5- Vendredi",$B$1+5, IF(Horodateur1123353819223134374346495255586164698522263438465058546266707478829098941021061141181101221261301341381421461501541581621661701741781821861901941982022062102144101418222630343846505458[[#This Row],[Jour]]="6- Samedi",$B$1+6, IF(Horodateur1123353819223134374346495255586164698522263438465058546266707478829098941021061141181101221261301341381421461501541581621661701741781821861901941982022062102144101418222630343846505458[[#This Row],[Jour]]="7- Dimanche",$B$1, )))))))</f>
        <v>44299</v>
      </c>
      <c r="B8" s="257" t="s">
        <v>312</v>
      </c>
      <c r="C8" s="258" t="n">
        <v>0.479166666666667</v>
      </c>
      <c r="D8" s="258" t="n">
        <v>0.5</v>
      </c>
      <c r="E8" s="71" t="s">
        <v>59</v>
      </c>
      <c r="F8" s="71" t="s">
        <v>378</v>
      </c>
      <c r="G8" s="259" t="s">
        <v>423</v>
      </c>
      <c r="H8" s="258" t="n">
        <f aca="false">IF($C8=0,"",$D8-$C8)</f>
        <v>0.0208333333333333</v>
      </c>
      <c r="I8" s="260" t="n">
        <f aca="false">IF($C8=0,"",($H8-INT($H8))*24)</f>
        <v>0.5</v>
      </c>
      <c r="J8" s="303" t="n">
        <f aca="false">SUMIF(Horodateur1123353819223134374346495255586164698522263438465058546266707478829098941021061141181101221261301341381421461501541581621661701741781821861901941982022062102144101418222630343846505458[Jour],$B8,Horodateur1123353819223134374346495255586164698522263438465058546266707478829098941021061141181101221261301341381421461501541581621661701741781821861901941982022062102144101418222630343846505458[Durée (100)])</f>
        <v>8</v>
      </c>
      <c r="K8" s="335"/>
      <c r="L8" s="336" t="s">
        <v>33</v>
      </c>
      <c r="M8" s="188" t="s">
        <v>31</v>
      </c>
      <c r="N8" s="272" t="n">
        <f aca="false">IF(Horodateur1123353819223134374346495255586164698522263438465058546266707478829098941021061141181101221261301341381421461501541581621661701741781821861901941982022062102144101418222630343846505458[[#This Row],[O]]="o",Horodateur1123353819223134374346495255586164698522263438465058546266707478829098941021061141181101221261301341381421461501541581621661701741781821861901941982022062102144101418222630343846505458[[#This Row],[Durée (100)]],".")</f>
        <v>0.5</v>
      </c>
      <c r="O8" s="337" t="n">
        <f aca="false">IF(L8 = "c", I8, 0)</f>
        <v>0</v>
      </c>
      <c r="P8" s="187"/>
      <c r="Q8" s="71"/>
      <c r="R8" s="71"/>
      <c r="S8" s="71"/>
      <c r="T8" s="71"/>
      <c r="U8" s="71"/>
      <c r="V8" s="71"/>
      <c r="W8" s="71"/>
      <c r="X8" s="71"/>
      <c r="Y8" s="71"/>
      <c r="Z8" s="71"/>
      <c r="AA8" s="71"/>
      <c r="AB8" s="71"/>
      <c r="AC8" s="71"/>
      <c r="AD8" s="71"/>
      <c r="AE8" s="71"/>
      <c r="AF8" s="71"/>
      <c r="AG8" s="71"/>
      <c r="AH8" s="71"/>
      <c r="AI8" s="71"/>
    </row>
    <row r="9" customFormat="false" ht="15" hidden="false" customHeight="false" outlineLevel="0" collapsed="false">
      <c r="A9" s="256" t="n">
        <f aca="false">IF(Horodateur1123353819223134374346495255586164698522263438465058546266707478829098941021061141181101221261301341381421461501541581621661701741781821861901941982022062102144101418222630343846505458[[#This Row],[Jour]]="1- Lundi",$B$1+1, IF(Horodateur1123353819223134374346495255586164698522263438465058546266707478829098941021061141181101221261301341381421461501541581621661701741781821861901941982022062102144101418222630343846505458[[#This Row],[Jour]]="2- Mardi",$B$1+2, IF(Horodateur1123353819223134374346495255586164698522263438465058546266707478829098941021061141181101221261301341381421461501541581621661701741781821861901941982022062102144101418222630343846505458[[#This Row],[Jour]]="3- Mercredi",$B$1+3, IF(Horodateur1123353819223134374346495255586164698522263438465058546266707478829098941021061141181101221261301341381421461501541581621661701741781821861901941982022062102144101418222630343846505458[[#This Row],[Jour]]="4- Jeudi",$B$1+4, IF(Horodateur1123353819223134374346495255586164698522263438465058546266707478829098941021061141181101221261301341381421461501541581621661701741781821861901941982022062102144101418222630343846505458[[#This Row],[Jour]]="5- Vendredi",$B$1+5, IF(Horodateur1123353819223134374346495255586164698522263438465058546266707478829098941021061141181101221261301341381421461501541581621661701741781821861901941982022062102144101418222630343846505458[[#This Row],[Jour]]="6- Samedi",$B$1+6, IF(Horodateur1123353819223134374346495255586164698522263438465058546266707478829098941021061141181101221261301341381421461501541581621661701741781821861901941982022062102144101418222630343846505458[[#This Row],[Jour]]="7- Dimanche",$B$1, )))))))</f>
        <v>44299</v>
      </c>
      <c r="B9" s="257" t="s">
        <v>312</v>
      </c>
      <c r="C9" s="258" t="n">
        <v>0.5625</v>
      </c>
      <c r="D9" s="258" t="n">
        <v>0.583333333333333</v>
      </c>
      <c r="E9" s="71" t="s">
        <v>63</v>
      </c>
      <c r="F9" s="71" t="s">
        <v>379</v>
      </c>
      <c r="G9" s="259" t="s">
        <v>55</v>
      </c>
      <c r="H9" s="258" t="n">
        <f aca="false">IF($C9=0,"",$D9-$C9)</f>
        <v>0.0208333333333333</v>
      </c>
      <c r="I9" s="260" t="n">
        <f aca="false">IF($C9=0,"",($H9-INT($H9))*24)</f>
        <v>0.5</v>
      </c>
      <c r="J9" s="303" t="n">
        <f aca="false">SUMIF(Horodateur1123353819223134374346495255586164698522263438465058546266707478829098941021061141181101221261301341381421461501541581621661701741781821861901941982022062102144101418222630343846505458[Jour],$B9,Horodateur1123353819223134374346495255586164698522263438465058546266707478829098941021061141181101221261301341381421461501541581621661701741781821861901941982022062102144101418222630343846505458[Durée (100)])</f>
        <v>8</v>
      </c>
      <c r="K9" s="335"/>
      <c r="L9" s="336" t="s">
        <v>403</v>
      </c>
      <c r="M9" s="188" t="s">
        <v>31</v>
      </c>
      <c r="N9" s="272" t="n">
        <f aca="false">IF(Horodateur1123353819223134374346495255586164698522263438465058546266707478829098941021061141181101221261301341381421461501541581621661701741781821861901941982022062102144101418222630343846505458[[#This Row],[O]]="o",Horodateur1123353819223134374346495255586164698522263438465058546266707478829098941021061141181101221261301341381421461501541581621661701741781821861901941982022062102144101418222630343846505458[[#This Row],[Durée (100)]],".")</f>
        <v>0.500000000000001</v>
      </c>
      <c r="O9" s="337" t="n">
        <f aca="false">IF(L9 = "c", I9, 0)</f>
        <v>0.5</v>
      </c>
      <c r="P9" s="187"/>
      <c r="Q9" s="71"/>
      <c r="R9" s="71"/>
      <c r="S9" s="71"/>
      <c r="T9" s="71"/>
      <c r="U9" s="71"/>
      <c r="V9" s="71"/>
      <c r="W9" s="71"/>
      <c r="X9" s="71"/>
      <c r="Y9" s="71"/>
      <c r="Z9" s="71"/>
      <c r="AA9" s="71"/>
      <c r="AB9" s="71"/>
      <c r="AC9" s="71"/>
      <c r="AD9" s="71"/>
      <c r="AE9" s="71"/>
      <c r="AF9" s="71"/>
      <c r="AG9" s="71"/>
      <c r="AH9" s="71"/>
      <c r="AI9" s="71"/>
    </row>
    <row r="10" customFormat="false" ht="15" hidden="false" customHeight="false" outlineLevel="0" collapsed="false">
      <c r="A10" s="256" t="n">
        <f aca="false">IF(Horodateur1123353819223134374346495255586164698522263438465058546266707478829098941021061141181101221261301341381421461501541581621661701741781821861901941982022062102144101418222630343846505458[[#This Row],[Jour]]="1- Lundi",$B$1+1, IF(Horodateur1123353819223134374346495255586164698522263438465058546266707478829098941021061141181101221261301341381421461501541581621661701741781821861901941982022062102144101418222630343846505458[[#This Row],[Jour]]="2- Mardi",$B$1+2, IF(Horodateur1123353819223134374346495255586164698522263438465058546266707478829098941021061141181101221261301341381421461501541581621661701741781821861901941982022062102144101418222630343846505458[[#This Row],[Jour]]="3- Mercredi",$B$1+3, IF(Horodateur1123353819223134374346495255586164698522263438465058546266707478829098941021061141181101221261301341381421461501541581621661701741781821861901941982022062102144101418222630343846505458[[#This Row],[Jour]]="4- Jeudi",$B$1+4, IF(Horodateur1123353819223134374346495255586164698522263438465058546266707478829098941021061141181101221261301341381421461501541581621661701741781821861901941982022062102144101418222630343846505458[[#This Row],[Jour]]="5- Vendredi",$B$1+5, IF(Horodateur1123353819223134374346495255586164698522263438465058546266707478829098941021061141181101221261301341381421461501541581621661701741781821861901941982022062102144101418222630343846505458[[#This Row],[Jour]]="6- Samedi",$B$1+6, IF(Horodateur1123353819223134374346495255586164698522263438465058546266707478829098941021061141181101221261301341381421461501541581621661701741781821861901941982022062102144101418222630343846505458[[#This Row],[Jour]]="7- Dimanche",$B$1, )))))))</f>
        <v>44299</v>
      </c>
      <c r="B10" s="257" t="s">
        <v>312</v>
      </c>
      <c r="C10" s="258" t="n">
        <v>0.583333333333333</v>
      </c>
      <c r="D10" s="258" t="n">
        <v>0.6875</v>
      </c>
      <c r="E10" s="71" t="s">
        <v>59</v>
      </c>
      <c r="F10" s="71" t="s">
        <v>378</v>
      </c>
      <c r="G10" s="259" t="s">
        <v>423</v>
      </c>
      <c r="H10" s="258" t="n">
        <f aca="false">IF($C10=0,"",$D10-$C10)</f>
        <v>0.104166666666667</v>
      </c>
      <c r="I10" s="260" t="n">
        <f aca="false">IF($C10=0,"",($H10-INT($H10))*24)</f>
        <v>2.5</v>
      </c>
      <c r="J10" s="303" t="n">
        <f aca="false">SUMIF(Horodateur1123353819223134374346495255586164698522263438465058546266707478829098941021061141181101221261301341381421461501541581621661701741781821861901941982022062102144101418222630343846505458[Jour],$B10,Horodateur1123353819223134374346495255586164698522263438465058546266707478829098941021061141181101221261301341381421461501541581621661701741781821861901941982022062102144101418222630343846505458[Durée (100)])</f>
        <v>8</v>
      </c>
      <c r="K10" s="335"/>
      <c r="L10" s="336"/>
      <c r="M10" s="188" t="s">
        <v>31</v>
      </c>
      <c r="N10" s="272" t="n">
        <f aca="false">IF(Horodateur1123353819223134374346495255586164698522263438465058546266707478829098941021061141181101221261301341381421461501541581621661701741781821861901941982022062102144101418222630343846505458[[#This Row],[O]]="o",Horodateur1123353819223134374346495255586164698522263438465058546266707478829098941021061141181101221261301341381421461501541581621661701741781821861901941982022062102144101418222630343846505458[[#This Row],[Durée (100)]],".")</f>
        <v>2.5</v>
      </c>
      <c r="O10" s="337" t="n">
        <f aca="false">IF(L10 = "c", I10, 0)</f>
        <v>0</v>
      </c>
      <c r="P10" s="187"/>
      <c r="Q10" s="71"/>
      <c r="R10" s="71"/>
      <c r="S10" s="71"/>
      <c r="T10" s="71"/>
      <c r="U10" s="71"/>
      <c r="V10" s="71"/>
      <c r="W10" s="71"/>
      <c r="X10" s="71"/>
      <c r="Y10" s="71"/>
      <c r="Z10" s="71"/>
      <c r="AA10" s="71"/>
      <c r="AB10" s="71"/>
      <c r="AC10" s="71"/>
      <c r="AD10" s="71"/>
      <c r="AE10" s="71"/>
      <c r="AF10" s="71"/>
      <c r="AG10" s="71"/>
      <c r="AH10" s="71"/>
      <c r="AI10" s="71"/>
    </row>
    <row r="11" customFormat="false" ht="15" hidden="false" customHeight="false" outlineLevel="0" collapsed="false">
      <c r="A11" s="256" t="n">
        <f aca="false">IF(Horodateur1123353819223134374346495255586164698522263438465058546266707478829098941021061141181101221261301341381421461501541581621661701741781821861901941982022062102144101418222630343846505458[[#This Row],[Jour]]="1- Lundi",$B$1+1, IF(Horodateur1123353819223134374346495255586164698522263438465058546266707478829098941021061141181101221261301341381421461501541581621661701741781821861901941982022062102144101418222630343846505458[[#This Row],[Jour]]="2- Mardi",$B$1+2, IF(Horodateur1123353819223134374346495255586164698522263438465058546266707478829098941021061141181101221261301341381421461501541581621661701741781821861901941982022062102144101418222630343846505458[[#This Row],[Jour]]="3- Mercredi",$B$1+3, IF(Horodateur1123353819223134374346495255586164698522263438465058546266707478829098941021061141181101221261301341381421461501541581621661701741781821861901941982022062102144101418222630343846505458[[#This Row],[Jour]]="4- Jeudi",$B$1+4, IF(Horodateur1123353819223134374346495255586164698522263438465058546266707478829098941021061141181101221261301341381421461501541581621661701741781821861901941982022062102144101418222630343846505458[[#This Row],[Jour]]="5- Vendredi",$B$1+5, IF(Horodateur1123353819223134374346495255586164698522263438465058546266707478829098941021061141181101221261301341381421461501541581621661701741781821861901941982022062102144101418222630343846505458[[#This Row],[Jour]]="6- Samedi",$B$1+6, IF(Horodateur1123353819223134374346495255586164698522263438465058546266707478829098941021061141181101221261301341381421461501541581621661701741781821861901941982022062102144101418222630343846505458[[#This Row],[Jour]]="7- Dimanche",$B$1, )))))))</f>
        <v>44299</v>
      </c>
      <c r="B11" s="257" t="s">
        <v>312</v>
      </c>
      <c r="C11" s="258" t="n">
        <v>0.6875</v>
      </c>
      <c r="D11" s="258" t="n">
        <v>0.760416666666667</v>
      </c>
      <c r="E11" s="71" t="s">
        <v>59</v>
      </c>
      <c r="F11" s="71" t="s">
        <v>22</v>
      </c>
      <c r="G11" s="259" t="s">
        <v>423</v>
      </c>
      <c r="H11" s="258" t="n">
        <f aca="false">IF($C11=0,"",$D11-$C11)</f>
        <v>0.0729166666666666</v>
      </c>
      <c r="I11" s="260" t="n">
        <f aca="false">IF($C11=0,"",($H11-INT($H11))*24)</f>
        <v>1.75</v>
      </c>
      <c r="J11" s="303" t="n">
        <f aca="false">SUMIF(Horodateur1123353819223134374346495255586164698522263438465058546266707478829098941021061141181101221261301341381421461501541581621661701741781821861901941982022062102144101418222630343846505458[Jour],$B11,Horodateur1123353819223134374346495255586164698522263438465058546266707478829098941021061141181101221261301341381421461501541581621661701741781821861901941982022062102144101418222630343846505458[Durée (100)])</f>
        <v>8</v>
      </c>
      <c r="K11" s="335" t="s">
        <v>27</v>
      </c>
      <c r="L11" s="336"/>
      <c r="M11" s="188" t="s">
        <v>31</v>
      </c>
      <c r="N11" s="272" t="n">
        <f aca="false">IF(Horodateur1123353819223134374346495255586164698522263438465058546266707478829098941021061141181101221261301341381421461501541581621661701741781821861901941982022062102144101418222630343846505458[[#This Row],[O]]="o",Horodateur1123353819223134374346495255586164698522263438465058546266707478829098941021061141181101221261301341381421461501541581621661701741781821861901941982022062102144101418222630343846505458[[#This Row],[Durée (100)]],".")</f>
        <v>1.75</v>
      </c>
      <c r="O11" s="337" t="n">
        <f aca="false">IF(L11 = "c", I11, 0)</f>
        <v>0</v>
      </c>
      <c r="P11" s="187"/>
      <c r="Q11" s="71"/>
      <c r="R11" s="71"/>
      <c r="S11" s="71"/>
      <c r="T11" s="71"/>
      <c r="U11" s="71"/>
      <c r="V11" s="71"/>
      <c r="W11" s="71"/>
      <c r="X11" s="71"/>
      <c r="Y11" s="71"/>
      <c r="Z11" s="71"/>
      <c r="AA11" s="71"/>
      <c r="AB11" s="71"/>
      <c r="AC11" s="71"/>
      <c r="AD11" s="71"/>
      <c r="AE11" s="71"/>
      <c r="AF11" s="71"/>
      <c r="AG11" s="71"/>
      <c r="AH11" s="71"/>
      <c r="AI11" s="71"/>
    </row>
    <row r="12" customFormat="false" ht="15" hidden="false" customHeight="false" outlineLevel="0" collapsed="false">
      <c r="A12" s="256" t="n">
        <f aca="false">IF(Horodateur1123353819223134374346495255586164698522263438465058546266707478829098941021061141181101221261301341381421461501541581621661701741781821861901941982022062102144101418222630343846505458[[#This Row],[Jour]]="1- Lundi",$B$1+1, IF(Horodateur1123353819223134374346495255586164698522263438465058546266707478829098941021061141181101221261301341381421461501541581621661701741781821861901941982022062102144101418222630343846505458[[#This Row],[Jour]]="2- Mardi",$B$1+2, IF(Horodateur1123353819223134374346495255586164698522263438465058546266707478829098941021061141181101221261301341381421461501541581621661701741781821861901941982022062102144101418222630343846505458[[#This Row],[Jour]]="3- Mercredi",$B$1+3, IF(Horodateur1123353819223134374346495255586164698522263438465058546266707478829098941021061141181101221261301341381421461501541581621661701741781821861901941982022062102144101418222630343846505458[[#This Row],[Jour]]="4- Jeudi",$B$1+4, IF(Horodateur1123353819223134374346495255586164698522263438465058546266707478829098941021061141181101221261301341381421461501541581621661701741781821861901941982022062102144101418222630343846505458[[#This Row],[Jour]]="5- Vendredi",$B$1+5, IF(Horodateur1123353819223134374346495255586164698522263438465058546266707478829098941021061141181101221261301341381421461501541581621661701741781821861901941982022062102144101418222630343846505458[[#This Row],[Jour]]="6- Samedi",$B$1+6, IF(Horodateur1123353819223134374346495255586164698522263438465058546266707478829098941021061141181101221261301341381421461501541581621661701741781821861901941982022062102144101418222630343846505458[[#This Row],[Jour]]="7- Dimanche",$B$1, )))))))</f>
        <v>44300</v>
      </c>
      <c r="B12" s="257" t="s">
        <v>319</v>
      </c>
      <c r="C12" s="258" t="n">
        <v>0.291666666666667</v>
      </c>
      <c r="D12" s="258" t="n">
        <v>0.3125</v>
      </c>
      <c r="E12" s="71" t="s">
        <v>32</v>
      </c>
      <c r="F12" s="71" t="s">
        <v>21</v>
      </c>
      <c r="G12" s="259"/>
      <c r="H12" s="258" t="n">
        <f aca="false">IF($C12=0,"",$D12-$C12)</f>
        <v>0.0208333333333333</v>
      </c>
      <c r="I12" s="260" t="n">
        <f aca="false">IF($C12=0,"",($H12-INT($H12))*24)</f>
        <v>0.5</v>
      </c>
      <c r="J12" s="303" t="n">
        <f aca="false">SUMIF(Horodateur1123353819223134374346495255586164698522263438465058546266707478829098941021061141181101221261301341381421461501541581621661701741781821861901941982022062102144101418222630343846505458[Jour],$B12,Horodateur1123353819223134374346495255586164698522263438465058546266707478829098941021061141181101221261301341381421461501541581621661701741781821861901941982022062102144101418222630343846505458[Durée (100)])</f>
        <v>8</v>
      </c>
      <c r="K12" s="335"/>
      <c r="L12" s="336"/>
      <c r="M12" s="188" t="s">
        <v>31</v>
      </c>
      <c r="N12" s="272" t="n">
        <f aca="false">IF(Horodateur1123353819223134374346495255586164698522263438465058546266707478829098941021061141181101221261301341381421461501541581621661701741781821861901941982022062102144101418222630343846505458[[#This Row],[O]]="o",Horodateur1123353819223134374346495255586164698522263438465058546266707478829098941021061141181101221261301341381421461501541581621661701741781821861901941982022062102144101418222630343846505458[[#This Row],[Durée (100)]],".")</f>
        <v>0.5</v>
      </c>
      <c r="O12" s="337" t="n">
        <f aca="false">IF(L12 = "c", I12, 0)</f>
        <v>0</v>
      </c>
      <c r="P12" s="187"/>
      <c r="Q12" s="71"/>
      <c r="R12" s="71"/>
      <c r="S12" s="71"/>
      <c r="T12" s="71"/>
      <c r="U12" s="71"/>
      <c r="V12" s="71"/>
      <c r="W12" s="71"/>
      <c r="X12" s="71"/>
      <c r="Y12" s="71"/>
      <c r="Z12" s="71"/>
      <c r="AA12" s="71"/>
      <c r="AB12" s="71"/>
      <c r="AC12" s="71"/>
      <c r="AD12" s="71"/>
      <c r="AE12" s="71"/>
      <c r="AF12" s="71"/>
      <c r="AG12" s="71"/>
      <c r="AH12" s="71"/>
      <c r="AI12" s="71"/>
    </row>
    <row r="13" customFormat="false" ht="15" hidden="false" customHeight="false" outlineLevel="0" collapsed="false">
      <c r="A13" s="256" t="n">
        <f aca="false">IF(Horodateur1123353819223134374346495255586164698522263438465058546266707478829098941021061141181101221261301341381421461501541581621661701741781821861901941982022062102144101418222630343846505458[[#This Row],[Jour]]="1- Lundi",$B$1+1, IF(Horodateur1123353819223134374346495255586164698522263438465058546266707478829098941021061141181101221261301341381421461501541581621661701741781821861901941982022062102144101418222630343846505458[[#This Row],[Jour]]="2- Mardi",$B$1+2, IF(Horodateur1123353819223134374346495255586164698522263438465058546266707478829098941021061141181101221261301341381421461501541581621661701741781821861901941982022062102144101418222630343846505458[[#This Row],[Jour]]="3- Mercredi",$B$1+3, IF(Horodateur1123353819223134374346495255586164698522263438465058546266707478829098941021061141181101221261301341381421461501541581621661701741781821861901941982022062102144101418222630343846505458[[#This Row],[Jour]]="4- Jeudi",$B$1+4, IF(Horodateur1123353819223134374346495255586164698522263438465058546266707478829098941021061141181101221261301341381421461501541581621661701741781821861901941982022062102144101418222630343846505458[[#This Row],[Jour]]="5- Vendredi",$B$1+5, IF(Horodateur1123353819223134374346495255586164698522263438465058546266707478829098941021061141181101221261301341381421461501541581621661701741781821861901941982022062102144101418222630343846505458[[#This Row],[Jour]]="6- Samedi",$B$1+6, IF(Horodateur1123353819223134374346495255586164698522263438465058546266707478829098941021061141181101221261301341381421461501541581621661701741781821861901941982022062102144101418222630343846505458[[#This Row],[Jour]]="7- Dimanche",$B$1, )))))))</f>
        <v>44300</v>
      </c>
      <c r="B13" s="257" t="s">
        <v>319</v>
      </c>
      <c r="C13" s="258" t="n">
        <v>0.3125</v>
      </c>
      <c r="D13" s="258" t="n">
        <v>0.333333333333333</v>
      </c>
      <c r="E13" s="71" t="s">
        <v>59</v>
      </c>
      <c r="F13" s="71" t="s">
        <v>378</v>
      </c>
      <c r="G13" s="259" t="s">
        <v>424</v>
      </c>
      <c r="H13" s="258" t="n">
        <f aca="false">IF($C13=0,"",$D13-$C13)</f>
        <v>0.0208333333333333</v>
      </c>
      <c r="I13" s="260" t="n">
        <f aca="false">IF($C13=0,"",($H13-INT($H13))*24)</f>
        <v>0.5</v>
      </c>
      <c r="J13" s="303" t="n">
        <f aca="false">SUMIF(Horodateur1123353819223134374346495255586164698522263438465058546266707478829098941021061141181101221261301341381421461501541581621661701741781821861901941982022062102144101418222630343846505458[Jour],$B13,Horodateur1123353819223134374346495255586164698522263438465058546266707478829098941021061141181101221261301341381421461501541581621661701741781821861901941982022062102144101418222630343846505458[Durée (100)])</f>
        <v>8</v>
      </c>
      <c r="K13" s="335"/>
      <c r="L13" s="336"/>
      <c r="M13" s="188" t="s">
        <v>31</v>
      </c>
      <c r="N13" s="272" t="n">
        <f aca="false">IF(Horodateur1123353819223134374346495255586164698522263438465058546266707478829098941021061141181101221261301341381421461501541581621661701741781821861901941982022062102144101418222630343846505458[[#This Row],[O]]="o",Horodateur1123353819223134374346495255586164698522263438465058546266707478829098941021061141181101221261301341381421461501541581621661701741781821861901941982022062102144101418222630343846505458[[#This Row],[Durée (100)]],".")</f>
        <v>0.5</v>
      </c>
      <c r="O13" s="337" t="n">
        <f aca="false">IF(L13 = "c", I13, 0)</f>
        <v>0</v>
      </c>
      <c r="P13" s="187"/>
      <c r="Q13" s="71"/>
      <c r="R13" s="71"/>
      <c r="S13" s="71"/>
      <c r="T13" s="71"/>
      <c r="U13" s="71"/>
      <c r="V13" s="71"/>
      <c r="W13" s="71"/>
      <c r="X13" s="71"/>
      <c r="Y13" s="71"/>
      <c r="Z13" s="71"/>
      <c r="AA13" s="71"/>
      <c r="AB13" s="71"/>
      <c r="AC13" s="71"/>
      <c r="AD13" s="71"/>
      <c r="AE13" s="71"/>
      <c r="AF13" s="71"/>
      <c r="AG13" s="71"/>
      <c r="AH13" s="71"/>
      <c r="AI13" s="71"/>
    </row>
    <row r="14" customFormat="false" ht="15" hidden="false" customHeight="false" outlineLevel="0" collapsed="false">
      <c r="A14" s="256" t="n">
        <f aca="false">IF(Horodateur1123353819223134374346495255586164698522263438465058546266707478829098941021061141181101221261301341381421461501541581621661701741781821861901941982022062102144101418222630343846505458[[#This Row],[Jour]]="1- Lundi",$B$1+1, IF(Horodateur1123353819223134374346495255586164698522263438465058546266707478829098941021061141181101221261301341381421461501541581621661701741781821861901941982022062102144101418222630343846505458[[#This Row],[Jour]]="2- Mardi",$B$1+2, IF(Horodateur1123353819223134374346495255586164698522263438465058546266707478829098941021061141181101221261301341381421461501541581621661701741781821861901941982022062102144101418222630343846505458[[#This Row],[Jour]]="3- Mercredi",$B$1+3, IF(Horodateur1123353819223134374346495255586164698522263438465058546266707478829098941021061141181101221261301341381421461501541581621661701741781821861901941982022062102144101418222630343846505458[[#This Row],[Jour]]="4- Jeudi",$B$1+4, IF(Horodateur1123353819223134374346495255586164698522263438465058546266707478829098941021061141181101221261301341381421461501541581621661701741781821861901941982022062102144101418222630343846505458[[#This Row],[Jour]]="5- Vendredi",$B$1+5, IF(Horodateur1123353819223134374346495255586164698522263438465058546266707478829098941021061141181101221261301341381421461501541581621661701741781821861901941982022062102144101418222630343846505458[[#This Row],[Jour]]="6- Samedi",$B$1+6, IF(Horodateur1123353819223134374346495255586164698522263438465058546266707478829098941021061141181101221261301341381421461501541581621661701741781821861901941982022062102144101418222630343846505458[[#This Row],[Jour]]="7- Dimanche",$B$1, )))))))</f>
        <v>44300</v>
      </c>
      <c r="B14" s="257" t="s">
        <v>319</v>
      </c>
      <c r="C14" s="258" t="n">
        <v>0.354166666666667</v>
      </c>
      <c r="D14" s="258" t="n">
        <v>0.375</v>
      </c>
      <c r="E14" s="71" t="s">
        <v>63</v>
      </c>
      <c r="F14" s="71" t="s">
        <v>379</v>
      </c>
      <c r="G14" s="259" t="s">
        <v>425</v>
      </c>
      <c r="H14" s="258" t="n">
        <f aca="false">IF($C14=0,"",$D14-$C14)</f>
        <v>0.0208333333333333</v>
      </c>
      <c r="I14" s="260" t="n">
        <f aca="false">IF($C14=0,"",($H14-INT($H14))*24)</f>
        <v>0.5</v>
      </c>
      <c r="J14" s="303" t="n">
        <f aca="false">SUMIF(Horodateur1123353819223134374346495255586164698522263438465058546266707478829098941021061141181101221261301341381421461501541581621661701741781821861901941982022062102144101418222630343846505458[Jour],$B14,Horodateur1123353819223134374346495255586164698522263438465058546266707478829098941021061141181101221261301341381421461501541581621661701741781821861901941982022062102144101418222630343846505458[Durée (100)])</f>
        <v>8</v>
      </c>
      <c r="K14" s="335"/>
      <c r="L14" s="336"/>
      <c r="M14" s="188" t="s">
        <v>31</v>
      </c>
      <c r="N14" s="272" t="n">
        <f aca="false">IF(Horodateur1123353819223134374346495255586164698522263438465058546266707478829098941021061141181101221261301341381421461501541581621661701741781821861901941982022062102144101418222630343846505458[[#This Row],[O]]="o",Horodateur1123353819223134374346495255586164698522263438465058546266707478829098941021061141181101221261301341381421461501541581621661701741781821861901941982022062102144101418222630343846505458[[#This Row],[Durée (100)]],".")</f>
        <v>0.5</v>
      </c>
      <c r="O14" s="337" t="n">
        <f aca="false">IF(L14 = "c", I14, 0)</f>
        <v>0</v>
      </c>
      <c r="P14" s="187"/>
      <c r="Q14" s="71"/>
      <c r="R14" s="71"/>
      <c r="S14" s="71"/>
      <c r="T14" s="71"/>
      <c r="U14" s="71"/>
      <c r="V14" s="71"/>
      <c r="W14" s="71"/>
      <c r="X14" s="71"/>
      <c r="Y14" s="71"/>
      <c r="Z14" s="71"/>
      <c r="AA14" s="71"/>
      <c r="AB14" s="71"/>
      <c r="AC14" s="71"/>
      <c r="AD14" s="71"/>
      <c r="AE14" s="71"/>
      <c r="AF14" s="71"/>
      <c r="AG14" s="71"/>
      <c r="AH14" s="71"/>
      <c r="AI14" s="71"/>
    </row>
    <row r="15" customFormat="false" ht="15" hidden="false" customHeight="false" outlineLevel="0" collapsed="false">
      <c r="A15" s="256" t="n">
        <f aca="false">IF(Horodateur1123353819223134374346495255586164698522263438465058546266707478829098941021061141181101221261301341381421461501541581621661701741781821861901941982022062102144101418222630343846505458[[#This Row],[Jour]]="1- Lundi",$B$1+1, IF(Horodateur1123353819223134374346495255586164698522263438465058546266707478829098941021061141181101221261301341381421461501541581621661701741781821861901941982022062102144101418222630343846505458[[#This Row],[Jour]]="2- Mardi",$B$1+2, IF(Horodateur1123353819223134374346495255586164698522263438465058546266707478829098941021061141181101221261301341381421461501541581621661701741781821861901941982022062102144101418222630343846505458[[#This Row],[Jour]]="3- Mercredi",$B$1+3, IF(Horodateur1123353819223134374346495255586164698522263438465058546266707478829098941021061141181101221261301341381421461501541581621661701741781821861901941982022062102144101418222630343846505458[[#This Row],[Jour]]="4- Jeudi",$B$1+4, IF(Horodateur1123353819223134374346495255586164698522263438465058546266707478829098941021061141181101221261301341381421461501541581621661701741781821861901941982022062102144101418222630343846505458[[#This Row],[Jour]]="5- Vendredi",$B$1+5, IF(Horodateur1123353819223134374346495255586164698522263438465058546266707478829098941021061141181101221261301341381421461501541581621661701741781821861901941982022062102144101418222630343846505458[[#This Row],[Jour]]="6- Samedi",$B$1+6, IF(Horodateur1123353819223134374346495255586164698522263438465058546266707478829098941021061141181101221261301341381421461501541581621661701741781821861901941982022062102144101418222630343846505458[[#This Row],[Jour]]="7- Dimanche",$B$1, )))))))</f>
        <v>44300</v>
      </c>
      <c r="B15" s="257" t="s">
        <v>319</v>
      </c>
      <c r="C15" s="258" t="n">
        <v>0.375</v>
      </c>
      <c r="D15" s="258" t="n">
        <v>0.5</v>
      </c>
      <c r="E15" s="71" t="s">
        <v>59</v>
      </c>
      <c r="F15" s="71" t="s">
        <v>378</v>
      </c>
      <c r="G15" s="259" t="s">
        <v>424</v>
      </c>
      <c r="H15" s="258" t="n">
        <f aca="false">IF($C15=0,"",$D15-$C15)</f>
        <v>0.125</v>
      </c>
      <c r="I15" s="260" t="n">
        <f aca="false">IF($C15=0,"",($H15-INT($H15))*24)</f>
        <v>3</v>
      </c>
      <c r="J15" s="303" t="n">
        <f aca="false">SUMIF(Horodateur1123353819223134374346495255586164698522263438465058546266707478829098941021061141181101221261301341381421461501541581621661701741781821861901941982022062102144101418222630343846505458[Jour],$B15,Horodateur1123353819223134374346495255586164698522263438465058546266707478829098941021061141181101221261301341381421461501541581621661701741781821861901941982022062102144101418222630343846505458[Durée (100)])</f>
        <v>8</v>
      </c>
      <c r="K15" s="335"/>
      <c r="L15" s="336"/>
      <c r="M15" s="188" t="s">
        <v>31</v>
      </c>
      <c r="N15" s="272" t="n">
        <f aca="false">IF(Horodateur1123353819223134374346495255586164698522263438465058546266707478829098941021061141181101221261301341381421461501541581621661701741781821861901941982022062102144101418222630343846505458[[#This Row],[O]]="o",Horodateur1123353819223134374346495255586164698522263438465058546266707478829098941021061141181101221261301341381421461501541581621661701741781821861901941982022062102144101418222630343846505458[[#This Row],[Durée (100)]],".")</f>
        <v>3</v>
      </c>
      <c r="O15" s="337" t="n">
        <f aca="false">IF(L15 = "c", I15, 0)</f>
        <v>0</v>
      </c>
      <c r="P15" s="187"/>
      <c r="Q15" s="71"/>
      <c r="R15" s="71"/>
      <c r="S15" s="71"/>
      <c r="T15" s="71"/>
      <c r="U15" s="71"/>
      <c r="V15" s="71"/>
      <c r="W15" s="71"/>
      <c r="X15" s="71"/>
      <c r="Y15" s="71"/>
      <c r="Z15" s="71"/>
      <c r="AA15" s="71"/>
      <c r="AB15" s="71"/>
      <c r="AC15" s="71"/>
      <c r="AD15" s="71"/>
      <c r="AE15" s="71"/>
      <c r="AF15" s="71"/>
      <c r="AG15" s="71"/>
      <c r="AH15" s="71"/>
      <c r="AI15" s="71"/>
    </row>
    <row r="16" customFormat="false" ht="15" hidden="false" customHeight="false" outlineLevel="0" collapsed="false">
      <c r="A16" s="256" t="n">
        <f aca="false">IF(Horodateur1123353819223134374346495255586164698522263438465058546266707478829098941021061141181101221261301341381421461501541581621661701741781821861901941982022062102144101418222630343846505458[[#This Row],[Jour]]="1- Lundi",$B$1+1, IF(Horodateur1123353819223134374346495255586164698522263438465058546266707478829098941021061141181101221261301341381421461501541581621661701741781821861901941982022062102144101418222630343846505458[[#This Row],[Jour]]="2- Mardi",$B$1+2, IF(Horodateur1123353819223134374346495255586164698522263438465058546266707478829098941021061141181101221261301341381421461501541581621661701741781821861901941982022062102144101418222630343846505458[[#This Row],[Jour]]="3- Mercredi",$B$1+3, IF(Horodateur1123353819223134374346495255586164698522263438465058546266707478829098941021061141181101221261301341381421461501541581621661701741781821861901941982022062102144101418222630343846505458[[#This Row],[Jour]]="4- Jeudi",$B$1+4, IF(Horodateur1123353819223134374346495255586164698522263438465058546266707478829098941021061141181101221261301341381421461501541581621661701741781821861901941982022062102144101418222630343846505458[[#This Row],[Jour]]="5- Vendredi",$B$1+5, IF(Horodateur1123353819223134374346495255586164698522263438465058546266707478829098941021061141181101221261301341381421461501541581621661701741781821861901941982022062102144101418222630343846505458[[#This Row],[Jour]]="6- Samedi",$B$1+6, IF(Horodateur1123353819223134374346495255586164698522263438465058546266707478829098941021061141181101221261301341381421461501541581621661701741781821861901941982022062102144101418222630343846505458[[#This Row],[Jour]]="7- Dimanche",$B$1, )))))))</f>
        <v>44300</v>
      </c>
      <c r="B16" s="257" t="s">
        <v>319</v>
      </c>
      <c r="C16" s="258" t="n">
        <v>0.541666666666667</v>
      </c>
      <c r="D16" s="258" t="n">
        <v>0.583333333333333</v>
      </c>
      <c r="E16" s="71" t="s">
        <v>63</v>
      </c>
      <c r="F16" s="71" t="s">
        <v>408</v>
      </c>
      <c r="G16" s="259" t="s">
        <v>426</v>
      </c>
      <c r="H16" s="258" t="n">
        <f aca="false">IF($C16=0,"",$D16-$C16)</f>
        <v>0.0416666666666667</v>
      </c>
      <c r="I16" s="260" t="n">
        <f aca="false">IF($C16=0,"",($H16-INT($H16))*24)</f>
        <v>1</v>
      </c>
      <c r="J16" s="303" t="n">
        <f aca="false">SUMIF(Horodateur1123353819223134374346495255586164698522263438465058546266707478829098941021061141181101221261301341381421461501541581621661701741781821861901941982022062102144101418222630343846505458[Jour],$B16,Horodateur1123353819223134374346495255586164698522263438465058546266707478829098941021061141181101221261301341381421461501541581621661701741781821861901941982022062102144101418222630343846505458[Durée (100)])</f>
        <v>8</v>
      </c>
      <c r="K16" s="335"/>
      <c r="L16" s="336"/>
      <c r="M16" s="188" t="s">
        <v>31</v>
      </c>
      <c r="N16" s="272" t="n">
        <f aca="false">IF(Horodateur1123353819223134374346495255586164698522263438465058546266707478829098941021061141181101221261301341381421461501541581621661701741781821861901941982022062102144101418222630343846505458[[#This Row],[O]]="o",Horodateur1123353819223134374346495255586164698522263438465058546266707478829098941021061141181101221261301341381421461501541581621661701741781821861901941982022062102144101418222630343846505458[[#This Row],[Durée (100)]],".")</f>
        <v>1</v>
      </c>
      <c r="O16" s="337" t="n">
        <f aca="false">IF(L16 = "c", I16, 0)</f>
        <v>0</v>
      </c>
      <c r="P16" s="187"/>
      <c r="Q16" s="71"/>
      <c r="R16" s="71"/>
      <c r="S16" s="71"/>
      <c r="T16" s="71"/>
      <c r="U16" s="71"/>
      <c r="V16" s="71"/>
      <c r="W16" s="71"/>
      <c r="X16" s="71"/>
      <c r="Y16" s="71"/>
      <c r="Z16" s="71"/>
      <c r="AA16" s="71"/>
      <c r="AB16" s="71"/>
      <c r="AC16" s="71"/>
      <c r="AD16" s="71"/>
      <c r="AE16" s="71"/>
      <c r="AF16" s="71"/>
      <c r="AG16" s="71"/>
      <c r="AH16" s="71"/>
      <c r="AI16" s="71"/>
    </row>
    <row r="17" customFormat="false" ht="15" hidden="false" customHeight="false" outlineLevel="0" collapsed="false">
      <c r="A17" s="256" t="n">
        <f aca="false">IF(Horodateur1123353819223134374346495255586164698522263438465058546266707478829098941021061141181101221261301341381421461501541581621661701741781821861901941982022062102144101418222630343846505458[[#This Row],[Jour]]="1- Lundi",$B$1+1, IF(Horodateur1123353819223134374346495255586164698522263438465058546266707478829098941021061141181101221261301341381421461501541581621661701741781821861901941982022062102144101418222630343846505458[[#This Row],[Jour]]="2- Mardi",$B$1+2, IF(Horodateur1123353819223134374346495255586164698522263438465058546266707478829098941021061141181101221261301341381421461501541581621661701741781821861901941982022062102144101418222630343846505458[[#This Row],[Jour]]="3- Mercredi",$B$1+3, IF(Horodateur1123353819223134374346495255586164698522263438465058546266707478829098941021061141181101221261301341381421461501541581621661701741781821861901941982022062102144101418222630343846505458[[#This Row],[Jour]]="4- Jeudi",$B$1+4, IF(Horodateur1123353819223134374346495255586164698522263438465058546266707478829098941021061141181101221261301341381421461501541581621661701741781821861901941982022062102144101418222630343846505458[[#This Row],[Jour]]="5- Vendredi",$B$1+5, IF(Horodateur1123353819223134374346495255586164698522263438465058546266707478829098941021061141181101221261301341381421461501541581621661701741781821861901941982022062102144101418222630343846505458[[#This Row],[Jour]]="6- Samedi",$B$1+6, IF(Horodateur1123353819223134374346495255586164698522263438465058546266707478829098941021061141181101221261301341381421461501541581621661701741781821861901941982022062102144101418222630343846505458[[#This Row],[Jour]]="7- Dimanche",$B$1, )))))))</f>
        <v>44300</v>
      </c>
      <c r="B17" s="257" t="s">
        <v>319</v>
      </c>
      <c r="C17" s="258" t="n">
        <v>0.583333333333333</v>
      </c>
      <c r="D17" s="258" t="n">
        <v>0.604166666666667</v>
      </c>
      <c r="E17" s="71" t="s">
        <v>59</v>
      </c>
      <c r="F17" s="71" t="s">
        <v>378</v>
      </c>
      <c r="G17" s="259" t="s">
        <v>424</v>
      </c>
      <c r="H17" s="258" t="n">
        <f aca="false">IF($C17=0,"",$D17-$C17)</f>
        <v>0.0208333333333333</v>
      </c>
      <c r="I17" s="260" t="n">
        <f aca="false">IF($C17=0,"",($H17-INT($H17))*24)</f>
        <v>0.499999999999998</v>
      </c>
      <c r="J17" s="303" t="n">
        <f aca="false">SUMIF(Horodateur1123353819223134374346495255586164698522263438465058546266707478829098941021061141181101221261301341381421461501541581621661701741781821861901941982022062102144101418222630343846505458[Jour],$B17,Horodateur1123353819223134374346495255586164698522263438465058546266707478829098941021061141181101221261301341381421461501541581621661701741781821861901941982022062102144101418222630343846505458[Durée (100)])</f>
        <v>8</v>
      </c>
      <c r="K17" s="335"/>
      <c r="L17" s="336"/>
      <c r="M17" s="188" t="s">
        <v>31</v>
      </c>
      <c r="N17" s="272" t="n">
        <f aca="false">IF(Horodateur1123353819223134374346495255586164698522263438465058546266707478829098941021061141181101221261301341381421461501541581621661701741781821861901941982022062102144101418222630343846505458[[#This Row],[O]]="o",Horodateur1123353819223134374346495255586164698522263438465058546266707478829098941021061141181101221261301341381421461501541581621661701741781821861901941982022062102144101418222630343846505458[[#This Row],[Durée (100)]],".")</f>
        <v>0.499999999999998</v>
      </c>
      <c r="O17" s="337" t="n">
        <f aca="false">IF(L17 = "c", I17, 0)</f>
        <v>0</v>
      </c>
      <c r="P17" s="187"/>
      <c r="Q17" s="71"/>
      <c r="R17" s="71"/>
      <c r="S17" s="71"/>
      <c r="T17" s="71"/>
      <c r="U17" s="71"/>
      <c r="V17" s="71"/>
      <c r="W17" s="71"/>
      <c r="X17" s="71"/>
      <c r="Y17" s="71"/>
      <c r="Z17" s="71"/>
      <c r="AA17" s="71"/>
      <c r="AB17" s="71"/>
      <c r="AC17" s="71"/>
      <c r="AD17" s="71"/>
      <c r="AE17" s="71"/>
      <c r="AF17" s="71"/>
      <c r="AG17" s="71"/>
      <c r="AH17" s="71"/>
      <c r="AI17" s="71"/>
    </row>
    <row r="18" customFormat="false" ht="15" hidden="false" customHeight="false" outlineLevel="0" collapsed="false">
      <c r="A18" s="256" t="n">
        <f aca="false">IF(Horodateur1123353819223134374346495255586164698522263438465058546266707478829098941021061141181101221261301341381421461501541581621661701741781821861901941982022062102144101418222630343846505458[[#This Row],[Jour]]="1- Lundi",$B$1+1, IF(Horodateur1123353819223134374346495255586164698522263438465058546266707478829098941021061141181101221261301341381421461501541581621661701741781821861901941982022062102144101418222630343846505458[[#This Row],[Jour]]="2- Mardi",$B$1+2, IF(Horodateur1123353819223134374346495255586164698522263438465058546266707478829098941021061141181101221261301341381421461501541581621661701741781821861901941982022062102144101418222630343846505458[[#This Row],[Jour]]="3- Mercredi",$B$1+3, IF(Horodateur1123353819223134374346495255586164698522263438465058546266707478829098941021061141181101221261301341381421461501541581621661701741781821861901941982022062102144101418222630343846505458[[#This Row],[Jour]]="4- Jeudi",$B$1+4, IF(Horodateur1123353819223134374346495255586164698522263438465058546266707478829098941021061141181101221261301341381421461501541581621661701741781821861901941982022062102144101418222630343846505458[[#This Row],[Jour]]="5- Vendredi",$B$1+5, IF(Horodateur1123353819223134374346495255586164698522263438465058546266707478829098941021061141181101221261301341381421461501541581621661701741781821861901941982022062102144101418222630343846505458[[#This Row],[Jour]]="6- Samedi",$B$1+6, IF(Horodateur1123353819223134374346495255586164698522263438465058546266707478829098941021061141181101221261301341381421461501541581621661701741781821861901941982022062102144101418222630343846505458[[#This Row],[Jour]]="7- Dimanche",$B$1, )))))))</f>
        <v>44300</v>
      </c>
      <c r="B18" s="257" t="s">
        <v>319</v>
      </c>
      <c r="C18" s="258" t="n">
        <v>0.604166666666667</v>
      </c>
      <c r="D18" s="258" t="n">
        <v>0.666666666666667</v>
      </c>
      <c r="E18" s="71" t="s">
        <v>59</v>
      </c>
      <c r="F18" s="71" t="s">
        <v>378</v>
      </c>
      <c r="G18" s="259" t="s">
        <v>427</v>
      </c>
      <c r="H18" s="258" t="n">
        <f aca="false">IF($C18=0,"",$D18-$C18)</f>
        <v>0.0625</v>
      </c>
      <c r="I18" s="260" t="n">
        <f aca="false">IF($C18=0,"",($H18-INT($H18))*24)</f>
        <v>1.5</v>
      </c>
      <c r="J18" s="303" t="n">
        <f aca="false">SUMIF(Horodateur1123353819223134374346495255586164698522263438465058546266707478829098941021061141181101221261301341381421461501541581621661701741781821861901941982022062102144101418222630343846505458[Jour],$B18,Horodateur1123353819223134374346495255586164698522263438465058546266707478829098941021061141181101221261301341381421461501541581621661701741781821861901941982022062102144101418222630343846505458[Durée (100)])</f>
        <v>8</v>
      </c>
      <c r="K18" s="335"/>
      <c r="L18" s="336"/>
      <c r="M18" s="188" t="s">
        <v>31</v>
      </c>
      <c r="N18" s="272" t="n">
        <f aca="false">IF(Horodateur1123353819223134374346495255586164698522263438465058546266707478829098941021061141181101221261301341381421461501541581621661701741781821861901941982022062102144101418222630343846505458[[#This Row],[O]]="o",Horodateur1123353819223134374346495255586164698522263438465058546266707478829098941021061141181101221261301341381421461501541581621661701741781821861901941982022062102144101418222630343846505458[[#This Row],[Durée (100)]],".")</f>
        <v>1.5</v>
      </c>
      <c r="O18" s="337" t="n">
        <f aca="false">IF(L18 = "c", I18, 0)</f>
        <v>0</v>
      </c>
      <c r="P18" s="187"/>
      <c r="Q18" s="71"/>
      <c r="R18" s="71"/>
      <c r="S18" s="71"/>
      <c r="T18" s="71"/>
      <c r="U18" s="71"/>
      <c r="V18" s="71"/>
      <c r="W18" s="71"/>
      <c r="X18" s="71"/>
      <c r="Y18" s="71"/>
      <c r="Z18" s="71"/>
      <c r="AA18" s="71"/>
      <c r="AB18" s="71"/>
      <c r="AC18" s="71"/>
      <c r="AD18" s="71"/>
      <c r="AE18" s="71"/>
      <c r="AF18" s="71"/>
      <c r="AG18" s="71"/>
      <c r="AH18" s="71"/>
      <c r="AI18" s="71"/>
    </row>
    <row r="19" customFormat="false" ht="15" hidden="false" customHeight="false" outlineLevel="0" collapsed="false">
      <c r="A19" s="256" t="n">
        <f aca="false">IF(Horodateur1123353819223134374346495255586164698522263438465058546266707478829098941021061141181101221261301341381421461501541581621661701741781821861901941982022062102144101418222630343846505458[[#This Row],[Jour]]="1- Lundi",$B$1+1, IF(Horodateur1123353819223134374346495255586164698522263438465058546266707478829098941021061141181101221261301341381421461501541581621661701741781821861901941982022062102144101418222630343846505458[[#This Row],[Jour]]="2- Mardi",$B$1+2, IF(Horodateur1123353819223134374346495255586164698522263438465058546266707478829098941021061141181101221261301341381421461501541581621661701741781821861901941982022062102144101418222630343846505458[[#This Row],[Jour]]="3- Mercredi",$B$1+3, IF(Horodateur1123353819223134374346495255586164698522263438465058546266707478829098941021061141181101221261301341381421461501541581621661701741781821861901941982022062102144101418222630343846505458[[#This Row],[Jour]]="4- Jeudi",$B$1+4, IF(Horodateur1123353819223134374346495255586164698522263438465058546266707478829098941021061141181101221261301341381421461501541581621661701741781821861901941982022062102144101418222630343846505458[[#This Row],[Jour]]="5- Vendredi",$B$1+5, IF(Horodateur1123353819223134374346495255586164698522263438465058546266707478829098941021061141181101221261301341381421461501541581621661701741781821861901941982022062102144101418222630343846505458[[#This Row],[Jour]]="6- Samedi",$B$1+6, IF(Horodateur1123353819223134374346495255586164698522263438465058546266707478829098941021061141181101221261301341381421461501541581621661701741781821861901941982022062102144101418222630343846505458[[#This Row],[Jour]]="7- Dimanche",$B$1, )))))))</f>
        <v>44300</v>
      </c>
      <c r="B19" s="257" t="s">
        <v>319</v>
      </c>
      <c r="C19" s="258" t="n">
        <v>0.666666666666667</v>
      </c>
      <c r="D19" s="258" t="n">
        <v>0.6875</v>
      </c>
      <c r="E19" s="71" t="s">
        <v>59</v>
      </c>
      <c r="F19" s="71" t="s">
        <v>378</v>
      </c>
      <c r="G19" s="259" t="s">
        <v>428</v>
      </c>
      <c r="H19" s="258" t="n">
        <f aca="false">IF($C19=0,"",$D19-$C19)</f>
        <v>0.0208333333333333</v>
      </c>
      <c r="I19" s="260" t="n">
        <f aca="false">IF($C19=0,"",($H19-INT($H19))*24)</f>
        <v>0.5</v>
      </c>
      <c r="J19" s="303" t="n">
        <f aca="false">SUMIF(Horodateur1123353819223134374346495255586164698522263438465058546266707478829098941021061141181101221261301341381421461501541581621661701741781821861901941982022062102144101418222630343846505458[Jour],$B19,Horodateur1123353819223134374346495255586164698522263438465058546266707478829098941021061141181101221261301341381421461501541581621661701741781821861901941982022062102144101418222630343846505458[Durée (100)])</f>
        <v>8</v>
      </c>
      <c r="K19" s="335"/>
      <c r="L19" s="336"/>
      <c r="M19" s="188" t="s">
        <v>31</v>
      </c>
      <c r="N19" s="272" t="n">
        <f aca="false">IF(Horodateur1123353819223134374346495255586164698522263438465058546266707478829098941021061141181101221261301341381421461501541581621661701741781821861901941982022062102144101418222630343846505458[[#This Row],[O]]="o",Horodateur1123353819223134374346495255586164698522263438465058546266707478829098941021061141181101221261301341381421461501541581621661701741781821861901941982022062102144101418222630343846505458[[#This Row],[Durée (100)]],".")</f>
        <v>0.500000000000001</v>
      </c>
      <c r="O19" s="337" t="n">
        <f aca="false">IF(L19 = "c", I19, 0)</f>
        <v>0</v>
      </c>
      <c r="P19" s="187"/>
      <c r="Q19" s="71"/>
      <c r="R19" s="71"/>
      <c r="S19" s="71"/>
      <c r="T19" s="71"/>
      <c r="U19" s="71"/>
      <c r="V19" s="71"/>
      <c r="W19" s="71"/>
      <c r="X19" s="71"/>
      <c r="Y19" s="71"/>
      <c r="Z19" s="71"/>
      <c r="AA19" s="71"/>
      <c r="AB19" s="71"/>
      <c r="AC19" s="71"/>
      <c r="AD19" s="71"/>
      <c r="AE19" s="71"/>
      <c r="AF19" s="71"/>
      <c r="AG19" s="71"/>
      <c r="AH19" s="71"/>
      <c r="AI19" s="71"/>
    </row>
    <row r="20" customFormat="false" ht="15" hidden="false" customHeight="false" outlineLevel="0" collapsed="false">
      <c r="A20" s="256" t="n">
        <f aca="false">IF(Horodateur1123353819223134374346495255586164698522263438465058546266707478829098941021061141181101221261301341381421461501541581621661701741781821861901941982022062102144101418222630343846505458[[#This Row],[Jour]]="1- Lundi",$B$1+1, IF(Horodateur1123353819223134374346495255586164698522263438465058546266707478829098941021061141181101221261301341381421461501541581621661701741781821861901941982022062102144101418222630343846505458[[#This Row],[Jour]]="2- Mardi",$B$1+2, IF(Horodateur1123353819223134374346495255586164698522263438465058546266707478829098941021061141181101221261301341381421461501541581621661701741781821861901941982022062102144101418222630343846505458[[#This Row],[Jour]]="3- Mercredi",$B$1+3, IF(Horodateur1123353819223134374346495255586164698522263438465058546266707478829098941021061141181101221261301341381421461501541581621661701741781821861901941982022062102144101418222630343846505458[[#This Row],[Jour]]="4- Jeudi",$B$1+4, IF(Horodateur1123353819223134374346495255586164698522263438465058546266707478829098941021061141181101221261301341381421461501541581621661701741781821861901941982022062102144101418222630343846505458[[#This Row],[Jour]]="5- Vendredi",$B$1+5, IF(Horodateur1123353819223134374346495255586164698522263438465058546266707478829098941021061141181101221261301341381421461501541581621661701741781821861901941982022062102144101418222630343846505458[[#This Row],[Jour]]="6- Samedi",$B$1+6, IF(Horodateur1123353819223134374346495255586164698522263438465058546266707478829098941021061141181101221261301341381421461501541581621661701741781821861901941982022062102144101418222630343846505458[[#This Row],[Jour]]="7- Dimanche",$B$1, )))))))</f>
        <v>44301</v>
      </c>
      <c r="B20" s="257" t="s">
        <v>324</v>
      </c>
      <c r="C20" s="258" t="n">
        <v>0.333333333333333</v>
      </c>
      <c r="D20" s="258" t="n">
        <v>0.333333333333333</v>
      </c>
      <c r="E20" s="71" t="s">
        <v>32</v>
      </c>
      <c r="F20" s="71"/>
      <c r="G20" s="259"/>
      <c r="H20" s="258" t="n">
        <f aca="false">IF($C20=0,"",$D20-$C20)</f>
        <v>0</v>
      </c>
      <c r="I20" s="260" t="n">
        <f aca="false">IF($C20=0,"",($H20-INT($H20))*24)</f>
        <v>0</v>
      </c>
      <c r="J20" s="303" t="n">
        <f aca="false">SUMIF(Horodateur1123353819223134374346495255586164698522263438465058546266707478829098941021061141181101221261301341381421461501541581621661701741781821861901941982022062102144101418222630343846505458[Jour],$B20,Horodateur1123353819223134374346495255586164698522263438465058546266707478829098941021061141181101221261301341381421461501541581621661701741781821861901941982022062102144101418222630343846505458[Durée (100)])</f>
        <v>9.5</v>
      </c>
      <c r="K20" s="335" t="s">
        <v>429</v>
      </c>
      <c r="L20" s="336"/>
      <c r="M20" s="188" t="s">
        <v>33</v>
      </c>
      <c r="N20" s="272" t="str">
        <f aca="false">IF(Horodateur1123353819223134374346495255586164698522263438465058546266707478829098941021061141181101221261301341381421461501541581621661701741781821861901941982022062102144101418222630343846505458[[#This Row],[O]]="o",Horodateur1123353819223134374346495255586164698522263438465058546266707478829098941021061141181101221261301341381421461501541581621661701741781821861901941982022062102144101418222630343846505458[[#This Row],[Durée (100)]],".")</f>
        <v>.</v>
      </c>
      <c r="O20" s="337" t="n">
        <f aca="false">IF(L20 = "c", I20, 0)</f>
        <v>0</v>
      </c>
      <c r="P20" s="187"/>
      <c r="Q20" s="71"/>
      <c r="R20" s="71"/>
      <c r="S20" s="71"/>
      <c r="T20" s="71"/>
      <c r="U20" s="71"/>
      <c r="V20" s="71"/>
      <c r="W20" s="71"/>
      <c r="X20" s="71"/>
      <c r="Y20" s="71"/>
      <c r="Z20" s="71"/>
      <c r="AA20" s="71"/>
      <c r="AB20" s="71"/>
      <c r="AC20" s="71"/>
      <c r="AD20" s="71"/>
      <c r="AE20" s="71"/>
      <c r="AF20" s="71"/>
      <c r="AG20" s="71"/>
      <c r="AH20" s="71"/>
      <c r="AI20" s="71"/>
    </row>
    <row r="21" customFormat="false" ht="15" hidden="false" customHeight="false" outlineLevel="0" collapsed="false">
      <c r="A21" s="256" t="n">
        <f aca="false">IF(Horodateur1123353819223134374346495255586164698522263438465058546266707478829098941021061141181101221261301341381421461501541581621661701741781821861901941982022062102144101418222630343846505458[[#This Row],[Jour]]="1- Lundi",$B$1+1, IF(Horodateur1123353819223134374346495255586164698522263438465058546266707478829098941021061141181101221261301341381421461501541581621661701741781821861901941982022062102144101418222630343846505458[[#This Row],[Jour]]="2- Mardi",$B$1+2, IF(Horodateur1123353819223134374346495255586164698522263438465058546266707478829098941021061141181101221261301341381421461501541581621661701741781821861901941982022062102144101418222630343846505458[[#This Row],[Jour]]="3- Mercredi",$B$1+3, IF(Horodateur1123353819223134374346495255586164698522263438465058546266707478829098941021061141181101221261301341381421461501541581621661701741781821861901941982022062102144101418222630343846505458[[#This Row],[Jour]]="4- Jeudi",$B$1+4, IF(Horodateur1123353819223134374346495255586164698522263438465058546266707478829098941021061141181101221261301341381421461501541581621661701741781821861901941982022062102144101418222630343846505458[[#This Row],[Jour]]="5- Vendredi",$B$1+5, IF(Horodateur1123353819223134374346495255586164698522263438465058546266707478829098941021061141181101221261301341381421461501541581621661701741781821861901941982022062102144101418222630343846505458[[#This Row],[Jour]]="6- Samedi",$B$1+6, IF(Horodateur1123353819223134374346495255586164698522263438465058546266707478829098941021061141181101221261301341381421461501541581621661701741781821861901941982022062102144101418222630343846505458[[#This Row],[Jour]]="7- Dimanche",$B$1, )))))))</f>
        <v>44301</v>
      </c>
      <c r="B21" s="257" t="s">
        <v>324</v>
      </c>
      <c r="C21" s="258" t="n">
        <v>0.375</v>
      </c>
      <c r="D21" s="258" t="n">
        <v>0.427083333333333</v>
      </c>
      <c r="E21" s="71" t="s">
        <v>63</v>
      </c>
      <c r="F21" s="71"/>
      <c r="G21" s="259" t="s">
        <v>53</v>
      </c>
      <c r="H21" s="258" t="n">
        <f aca="false">IF($C21=0,"",$D21-$C21)</f>
        <v>0.0520833333333333</v>
      </c>
      <c r="I21" s="260" t="n">
        <f aca="false">IF($C21=0,"",($H21-INT($H21))*24)</f>
        <v>1.25</v>
      </c>
      <c r="J21" s="303" t="n">
        <f aca="false">SUMIF(Horodateur1123353819223134374346495255586164698522263438465058546266707478829098941021061141181101221261301341381421461501541581621661701741781821861901941982022062102144101418222630343846505458[Jour],$B21,Horodateur1123353819223134374346495255586164698522263438465058546266707478829098941021061141181101221261301341381421461501541581621661701741781821861901941982022062102144101418222630343846505458[Durée (100)])</f>
        <v>9.5</v>
      </c>
      <c r="K21" s="335" t="s">
        <v>430</v>
      </c>
      <c r="L21" s="336"/>
      <c r="M21" s="188" t="s">
        <v>33</v>
      </c>
      <c r="N21" s="272" t="str">
        <f aca="false">IF(Horodateur1123353819223134374346495255586164698522263438465058546266707478829098941021061141181101221261301341381421461501541581621661701741781821861901941982022062102144101418222630343846505458[[#This Row],[O]]="o",Horodateur1123353819223134374346495255586164698522263438465058546266707478829098941021061141181101221261301341381421461501541581621661701741781821861901941982022062102144101418222630343846505458[[#This Row],[Durée (100)]],".")</f>
        <v>.</v>
      </c>
      <c r="O21" s="337" t="n">
        <f aca="false">IF(L21 = "c", I21, 0)</f>
        <v>0</v>
      </c>
      <c r="P21" s="187"/>
      <c r="Q21" s="71"/>
      <c r="R21" s="71"/>
      <c r="S21" s="71"/>
      <c r="T21" s="71"/>
      <c r="U21" s="71"/>
      <c r="V21" s="71"/>
      <c r="W21" s="71"/>
      <c r="X21" s="71"/>
      <c r="Y21" s="71"/>
      <c r="Z21" s="71"/>
      <c r="AA21" s="71"/>
      <c r="AB21" s="71"/>
      <c r="AC21" s="71"/>
      <c r="AD21" s="71"/>
      <c r="AE21" s="71"/>
      <c r="AF21" s="71"/>
      <c r="AG21" s="71"/>
      <c r="AH21" s="71"/>
      <c r="AI21" s="71"/>
    </row>
    <row r="22" customFormat="false" ht="15" hidden="false" customHeight="false" outlineLevel="0" collapsed="false">
      <c r="A22" s="256" t="n">
        <f aca="false">IF(Horodateur1123353819223134374346495255586164698522263438465058546266707478829098941021061141181101221261301341381421461501541581621661701741781821861901941982022062102144101418222630343846505458[[#This Row],[Jour]]="1- Lundi",$B$1+1, IF(Horodateur1123353819223134374346495255586164698522263438465058546266707478829098941021061141181101221261301341381421461501541581621661701741781821861901941982022062102144101418222630343846505458[[#This Row],[Jour]]="2- Mardi",$B$1+2, IF(Horodateur1123353819223134374346495255586164698522263438465058546266707478829098941021061141181101221261301341381421461501541581621661701741781821861901941982022062102144101418222630343846505458[[#This Row],[Jour]]="3- Mercredi",$B$1+3, IF(Horodateur1123353819223134374346495255586164698522263438465058546266707478829098941021061141181101221261301341381421461501541581621661701741781821861901941982022062102144101418222630343846505458[[#This Row],[Jour]]="4- Jeudi",$B$1+4, IF(Horodateur1123353819223134374346495255586164698522263438465058546266707478829098941021061141181101221261301341381421461501541581621661701741781821861901941982022062102144101418222630343846505458[[#This Row],[Jour]]="5- Vendredi",$B$1+5, IF(Horodateur1123353819223134374346495255586164698522263438465058546266707478829098941021061141181101221261301341381421461501541581621661701741781821861901941982022062102144101418222630343846505458[[#This Row],[Jour]]="6- Samedi",$B$1+6, IF(Horodateur1123353819223134374346495255586164698522263438465058546266707478829098941021061141181101221261301341381421461501541581621661701741781821861901941982022062102144101418222630343846505458[[#This Row],[Jour]]="7- Dimanche",$B$1, )))))))</f>
        <v>44301</v>
      </c>
      <c r="B22" s="257" t="s">
        <v>324</v>
      </c>
      <c r="C22" s="258" t="n">
        <v>0.395833333333333</v>
      </c>
      <c r="D22" s="258" t="n">
        <v>0.416666666666667</v>
      </c>
      <c r="E22" s="71" t="s">
        <v>59</v>
      </c>
      <c r="F22" s="71" t="s">
        <v>22</v>
      </c>
      <c r="G22" s="259" t="s">
        <v>431</v>
      </c>
      <c r="H22" s="258" t="n">
        <f aca="false">IF($C22=0,"",$D22-$C22)</f>
        <v>0.0208333333333334</v>
      </c>
      <c r="I22" s="260" t="n">
        <f aca="false">IF($C22=0,"",($H22-INT($H22))*24)</f>
        <v>0.500000000000001</v>
      </c>
      <c r="J22" s="303" t="n">
        <f aca="false">SUMIF(Horodateur1123353819223134374346495255586164698522263438465058546266707478829098941021061141181101221261301341381421461501541581621661701741781821861901941982022062102144101418222630343846505458[Jour],$B22,Horodateur1123353819223134374346495255586164698522263438465058546266707478829098941021061141181101221261301341381421461501541581621661701741781821861901941982022062102144101418222630343846505458[Durée (100)])</f>
        <v>9.5</v>
      </c>
      <c r="K22" s="335"/>
      <c r="L22" s="336"/>
      <c r="M22" s="338" t="s">
        <v>31</v>
      </c>
      <c r="N22" s="272" t="n">
        <f aca="false">IF(Horodateur1123353819223134374346495255586164698522263438465058546266707478829098941021061141181101221261301341381421461501541581621661701741781821861901941982022062102144101418222630343846505458[[#This Row],[O]]="o",Horodateur1123353819223134374346495255586164698522263438465058546266707478829098941021061141181101221261301341381421461501541581621661701741781821861901941982022062102144101418222630343846505458[[#This Row],[Durée (100)]],".")</f>
        <v>0.500000000000001</v>
      </c>
      <c r="O22" s="337" t="n">
        <f aca="false">IF(L22 = "c", I22, 0)</f>
        <v>0</v>
      </c>
      <c r="P22" s="187"/>
      <c r="Q22" s="71"/>
      <c r="R22" s="71"/>
      <c r="S22" s="71"/>
      <c r="T22" s="71"/>
      <c r="U22" s="71"/>
      <c r="V22" s="71"/>
      <c r="W22" s="71"/>
      <c r="X22" s="71"/>
      <c r="Y22" s="71"/>
      <c r="Z22" s="71"/>
      <c r="AA22" s="71"/>
      <c r="AB22" s="71"/>
      <c r="AC22" s="71"/>
      <c r="AD22" s="71"/>
      <c r="AE22" s="71"/>
      <c r="AF22" s="71"/>
      <c r="AG22" s="71"/>
      <c r="AH22" s="71"/>
      <c r="AI22" s="71"/>
    </row>
    <row r="23" customFormat="false" ht="15" hidden="false" customHeight="false" outlineLevel="0" collapsed="false">
      <c r="A23" s="256" t="n">
        <f aca="false">IF(Horodateur1123353819223134374346495255586164698522263438465058546266707478829098941021061141181101221261301341381421461501541581621661701741781821861901941982022062102144101418222630343846505458[[#This Row],[Jour]]="1- Lundi",$B$1+1, IF(Horodateur1123353819223134374346495255586164698522263438465058546266707478829098941021061141181101221261301341381421461501541581621661701741781821861901941982022062102144101418222630343846505458[[#This Row],[Jour]]="2- Mardi",$B$1+2, IF(Horodateur1123353819223134374346495255586164698522263438465058546266707478829098941021061141181101221261301341381421461501541581621661701741781821861901941982022062102144101418222630343846505458[[#This Row],[Jour]]="3- Mercredi",$B$1+3, IF(Horodateur1123353819223134374346495255586164698522263438465058546266707478829098941021061141181101221261301341381421461501541581621661701741781821861901941982022062102144101418222630343846505458[[#This Row],[Jour]]="4- Jeudi",$B$1+4, IF(Horodateur1123353819223134374346495255586164698522263438465058546266707478829098941021061141181101221261301341381421461501541581621661701741781821861901941982022062102144101418222630343846505458[[#This Row],[Jour]]="5- Vendredi",$B$1+5, IF(Horodateur1123353819223134374346495255586164698522263438465058546266707478829098941021061141181101221261301341381421461501541581621661701741781821861901941982022062102144101418222630343846505458[[#This Row],[Jour]]="6- Samedi",$B$1+6, IF(Horodateur1123353819223134374346495255586164698522263438465058546266707478829098941021061141181101221261301341381421461501541581621661701741781821861901941982022062102144101418222630343846505458[[#This Row],[Jour]]="7- Dimanche",$B$1, )))))))</f>
        <v>44301</v>
      </c>
      <c r="B23" s="257" t="s">
        <v>324</v>
      </c>
      <c r="C23" s="258" t="n">
        <v>0.416666666666667</v>
      </c>
      <c r="D23" s="258" t="n">
        <v>0.5</v>
      </c>
      <c r="E23" s="71" t="s">
        <v>32</v>
      </c>
      <c r="F23" s="71" t="s">
        <v>23</v>
      </c>
      <c r="G23" s="259"/>
      <c r="H23" s="258" t="n">
        <f aca="false">IF($C23=0,"",$D23-$C23)</f>
        <v>0.0833333333333333</v>
      </c>
      <c r="I23" s="260" t="n">
        <f aca="false">IF($C23=0,"",($H23-INT($H23))*24)</f>
        <v>2</v>
      </c>
      <c r="J23" s="303" t="n">
        <f aca="false">SUMIF(Horodateur1123353819223134374346495255586164698522263438465058546266707478829098941021061141181101221261301341381421461501541581621661701741781821861901941982022062102144101418222630343846505458[Jour],$B23,Horodateur1123353819223134374346495255586164698522263438465058546266707478829098941021061141181101221261301341381421461501541581621661701741781821861901941982022062102144101418222630343846505458[Durée (100)])</f>
        <v>9.5</v>
      </c>
      <c r="K23" s="335"/>
      <c r="L23" s="336"/>
      <c r="M23" s="338" t="s">
        <v>31</v>
      </c>
      <c r="N23" s="272" t="n">
        <f aca="false">IF(Horodateur1123353819223134374346495255586164698522263438465058546266707478829098941021061141181101221261301341381421461501541581621661701741781821861901941982022062102144101418222630343846505458[[#This Row],[O]]="o",Horodateur1123353819223134374346495255586164698522263438465058546266707478829098941021061141181101221261301341381421461501541581621661701741781821861901941982022062102144101418222630343846505458[[#This Row],[Durée (100)]],".")</f>
        <v>2</v>
      </c>
      <c r="O23" s="337" t="n">
        <f aca="false">IF(L23 = "c", I23, 0)</f>
        <v>0</v>
      </c>
      <c r="P23" s="187"/>
      <c r="Q23" s="71"/>
      <c r="R23" s="71"/>
      <c r="S23" s="71"/>
      <c r="T23" s="71"/>
      <c r="U23" s="71"/>
      <c r="V23" s="71"/>
      <c r="W23" s="71"/>
      <c r="X23" s="71"/>
      <c r="Y23" s="71"/>
      <c r="Z23" s="71"/>
      <c r="AA23" s="71"/>
      <c r="AB23" s="71"/>
      <c r="AC23" s="71"/>
      <c r="AD23" s="71"/>
      <c r="AE23" s="71"/>
      <c r="AF23" s="71"/>
      <c r="AG23" s="71"/>
      <c r="AH23" s="71"/>
      <c r="AI23" s="71"/>
    </row>
    <row r="24" customFormat="false" ht="15" hidden="false" customHeight="false" outlineLevel="0" collapsed="false">
      <c r="A24" s="256" t="n">
        <f aca="false">IF(Horodateur1123353819223134374346495255586164698522263438465058546266707478829098941021061141181101221261301341381421461501541581621661701741781821861901941982022062102144101418222630343846505458[[#This Row],[Jour]]="1- Lundi",$B$1+1, IF(Horodateur1123353819223134374346495255586164698522263438465058546266707478829098941021061141181101221261301341381421461501541581621661701741781821861901941982022062102144101418222630343846505458[[#This Row],[Jour]]="2- Mardi",$B$1+2, IF(Horodateur1123353819223134374346495255586164698522263438465058546266707478829098941021061141181101221261301341381421461501541581621661701741781821861901941982022062102144101418222630343846505458[[#This Row],[Jour]]="3- Mercredi",$B$1+3, IF(Horodateur1123353819223134374346495255586164698522263438465058546266707478829098941021061141181101221261301341381421461501541581621661701741781821861901941982022062102144101418222630343846505458[[#This Row],[Jour]]="4- Jeudi",$B$1+4, IF(Horodateur1123353819223134374346495255586164698522263438465058546266707478829098941021061141181101221261301341381421461501541581621661701741781821861901941982022062102144101418222630343846505458[[#This Row],[Jour]]="5- Vendredi",$B$1+5, IF(Horodateur1123353819223134374346495255586164698522263438465058546266707478829098941021061141181101221261301341381421461501541581621661701741781821861901941982022062102144101418222630343846505458[[#This Row],[Jour]]="6- Samedi",$B$1+6, IF(Horodateur1123353819223134374346495255586164698522263438465058546266707478829098941021061141181101221261301341381421461501541581621661701741781821861901941982022062102144101418222630343846505458[[#This Row],[Jour]]="7- Dimanche",$B$1, )))))))</f>
        <v>44301</v>
      </c>
      <c r="B24" s="257" t="s">
        <v>324</v>
      </c>
      <c r="C24" s="258" t="n">
        <v>0.541666666666667</v>
      </c>
      <c r="D24" s="258" t="n">
        <v>0.645833333333333</v>
      </c>
      <c r="E24" s="71" t="s">
        <v>59</v>
      </c>
      <c r="F24" s="71" t="s">
        <v>22</v>
      </c>
      <c r="G24" s="259" t="s">
        <v>432</v>
      </c>
      <c r="H24" s="258" t="n">
        <f aca="false">IF($C24=0,"",$D24-$C24)</f>
        <v>0.104166666666667</v>
      </c>
      <c r="I24" s="260" t="n">
        <f aca="false">IF($C24=0,"",($H24-INT($H24))*24)</f>
        <v>2.5</v>
      </c>
      <c r="J24" s="303" t="n">
        <f aca="false">SUMIF(Horodateur1123353819223134374346495255586164698522263438465058546266707478829098941021061141181101221261301341381421461501541581621661701741781821861901941982022062102144101418222630343846505458[Jour],$B24,Horodateur1123353819223134374346495255586164698522263438465058546266707478829098941021061141181101221261301341381421461501541581621661701741781821861901941982022062102144101418222630343846505458[Durée (100)])</f>
        <v>9.5</v>
      </c>
      <c r="K24" s="335"/>
      <c r="L24" s="336"/>
      <c r="M24" s="338" t="s">
        <v>31</v>
      </c>
      <c r="N24" s="272" t="n">
        <f aca="false">IF(Horodateur1123353819223134374346495255586164698522263438465058546266707478829098941021061141181101221261301341381421461501541581621661701741781821861901941982022062102144101418222630343846505458[[#This Row],[O]]="o",Horodateur1123353819223134374346495255586164698522263438465058546266707478829098941021061141181101221261301341381421461501541581621661701741781821861901941982022062102144101418222630343846505458[[#This Row],[Durée (100)]],".")</f>
        <v>2.5</v>
      </c>
      <c r="O24" s="337" t="n">
        <f aca="false">IF(L24 = "c", I24, 0)</f>
        <v>0</v>
      </c>
      <c r="P24" s="187"/>
      <c r="Q24" s="71"/>
      <c r="R24" s="71"/>
      <c r="S24" s="71"/>
      <c r="T24" s="71"/>
      <c r="U24" s="71"/>
      <c r="V24" s="71"/>
      <c r="W24" s="71"/>
      <c r="X24" s="71"/>
      <c r="Y24" s="71"/>
      <c r="Z24" s="71"/>
      <c r="AA24" s="71"/>
      <c r="AB24" s="71"/>
      <c r="AC24" s="71"/>
      <c r="AD24" s="71"/>
      <c r="AE24" s="71"/>
      <c r="AF24" s="71"/>
      <c r="AG24" s="71"/>
      <c r="AH24" s="71"/>
      <c r="AI24" s="71"/>
    </row>
    <row r="25" customFormat="false" ht="15" hidden="false" customHeight="false" outlineLevel="0" collapsed="false">
      <c r="A25" s="256" t="n">
        <f aca="false">IF(Horodateur1123353819223134374346495255586164698522263438465058546266707478829098941021061141181101221261301341381421461501541581621661701741781821861901941982022062102144101418222630343846505458[[#This Row],[Jour]]="1- Lundi",$B$1+1, IF(Horodateur1123353819223134374346495255586164698522263438465058546266707478829098941021061141181101221261301341381421461501541581621661701741781821861901941982022062102144101418222630343846505458[[#This Row],[Jour]]="2- Mardi",$B$1+2, IF(Horodateur1123353819223134374346495255586164698522263438465058546266707478829098941021061141181101221261301341381421461501541581621661701741781821861901941982022062102144101418222630343846505458[[#This Row],[Jour]]="3- Mercredi",$B$1+3, IF(Horodateur1123353819223134374346495255586164698522263438465058546266707478829098941021061141181101221261301341381421461501541581621661701741781821861901941982022062102144101418222630343846505458[[#This Row],[Jour]]="4- Jeudi",$B$1+4, IF(Horodateur1123353819223134374346495255586164698522263438465058546266707478829098941021061141181101221261301341381421461501541581621661701741781821861901941982022062102144101418222630343846505458[[#This Row],[Jour]]="5- Vendredi",$B$1+5, IF(Horodateur1123353819223134374346495255586164698522263438465058546266707478829098941021061141181101221261301341381421461501541581621661701741781821861901941982022062102144101418222630343846505458[[#This Row],[Jour]]="6- Samedi",$B$1+6, IF(Horodateur1123353819223134374346495255586164698522263438465058546266707478829098941021061141181101221261301341381421461501541581621661701741781821861901941982022062102144101418222630343846505458[[#This Row],[Jour]]="7- Dimanche",$B$1, )))))))</f>
        <v>44301</v>
      </c>
      <c r="B25" s="257" t="s">
        <v>324</v>
      </c>
      <c r="C25" s="258" t="n">
        <v>0.65625</v>
      </c>
      <c r="D25" s="258" t="n">
        <v>0.666666666666667</v>
      </c>
      <c r="E25" s="71" t="s">
        <v>63</v>
      </c>
      <c r="F25" s="71" t="s">
        <v>378</v>
      </c>
      <c r="G25" s="259" t="s">
        <v>433</v>
      </c>
      <c r="H25" s="258" t="n">
        <f aca="false">IF($C25=0,"",$D25-$C25)</f>
        <v>0.0104166666666667</v>
      </c>
      <c r="I25" s="260" t="n">
        <f aca="false">IF($C25=0,"",($H25-INT($H25))*24)</f>
        <v>0.25</v>
      </c>
      <c r="J25" s="303" t="n">
        <f aca="false">SUMIF(Horodateur1123353819223134374346495255586164698522263438465058546266707478829098941021061141181101221261301341381421461501541581621661701741781821861901941982022062102144101418222630343846505458[Jour],$B25,Horodateur1123353819223134374346495255586164698522263438465058546266707478829098941021061141181101221261301341381421461501541581621661701741781821861901941982022062102144101418222630343846505458[Durée (100)])</f>
        <v>9.5</v>
      </c>
      <c r="K25" s="335"/>
      <c r="L25" s="336"/>
      <c r="M25" s="338" t="s">
        <v>31</v>
      </c>
      <c r="N25" s="272" t="n">
        <f aca="false">IF(Horodateur1123353819223134374346495255586164698522263438465058546266707478829098941021061141181101221261301341381421461501541581621661701741781821861901941982022062102144101418222630343846505458[[#This Row],[O]]="o",Horodateur1123353819223134374346495255586164698522263438465058546266707478829098941021061141181101221261301341381421461501541581621661701741781821861901941982022062102144101418222630343846505458[[#This Row],[Durée (100)]],".")</f>
        <v>0.249999999999999</v>
      </c>
      <c r="O25" s="337" t="n">
        <f aca="false">IF(L25 = "c", I25, 0)</f>
        <v>0</v>
      </c>
      <c r="P25" s="187"/>
      <c r="Q25" s="71"/>
      <c r="R25" s="71"/>
      <c r="S25" s="71"/>
      <c r="T25" s="71"/>
      <c r="U25" s="71"/>
      <c r="V25" s="71"/>
      <c r="W25" s="71"/>
      <c r="X25" s="71"/>
      <c r="Y25" s="71"/>
      <c r="Z25" s="71"/>
      <c r="AA25" s="71"/>
      <c r="AB25" s="71"/>
      <c r="AC25" s="71"/>
      <c r="AD25" s="71"/>
      <c r="AE25" s="71"/>
      <c r="AF25" s="71"/>
      <c r="AG25" s="71"/>
      <c r="AH25" s="71"/>
      <c r="AI25" s="71"/>
    </row>
    <row r="26" customFormat="false" ht="15" hidden="false" customHeight="false" outlineLevel="0" collapsed="false">
      <c r="A26" s="256" t="n">
        <f aca="false">IF(Horodateur1123353819223134374346495255586164698522263438465058546266707478829098941021061141181101221261301341381421461501541581621661701741781821861901941982022062102144101418222630343846505458[[#This Row],[Jour]]="1- Lundi",$B$1+1, IF(Horodateur1123353819223134374346495255586164698522263438465058546266707478829098941021061141181101221261301341381421461501541581621661701741781821861901941982022062102144101418222630343846505458[[#This Row],[Jour]]="2- Mardi",$B$1+2, IF(Horodateur1123353819223134374346495255586164698522263438465058546266707478829098941021061141181101221261301341381421461501541581621661701741781821861901941982022062102144101418222630343846505458[[#This Row],[Jour]]="3- Mercredi",$B$1+3, IF(Horodateur1123353819223134374346495255586164698522263438465058546266707478829098941021061141181101221261301341381421461501541581621661701741781821861901941982022062102144101418222630343846505458[[#This Row],[Jour]]="4- Jeudi",$B$1+4, IF(Horodateur1123353819223134374346495255586164698522263438465058546266707478829098941021061141181101221261301341381421461501541581621661701741781821861901941982022062102144101418222630343846505458[[#This Row],[Jour]]="5- Vendredi",$B$1+5, IF(Horodateur1123353819223134374346495255586164698522263438465058546266707478829098941021061141181101221261301341381421461501541581621661701741781821861901941982022062102144101418222630343846505458[[#This Row],[Jour]]="6- Samedi",$B$1+6, IF(Horodateur1123353819223134374346495255586164698522263438465058546266707478829098941021061141181101221261301341381421461501541581621661701741781821861901941982022062102144101418222630343846505458[[#This Row],[Jour]]="7- Dimanche",$B$1, )))))))</f>
        <v>44301</v>
      </c>
      <c r="B26" s="257" t="s">
        <v>324</v>
      </c>
      <c r="C26" s="258" t="n">
        <v>0.666666666666667</v>
      </c>
      <c r="D26" s="258" t="n">
        <v>0.791666666666667</v>
      </c>
      <c r="E26" s="71" t="s">
        <v>59</v>
      </c>
      <c r="F26" s="71" t="s">
        <v>378</v>
      </c>
      <c r="G26" s="259" t="s">
        <v>106</v>
      </c>
      <c r="H26" s="258" t="n">
        <f aca="false">IF($C26=0,"",$D26-$C26)</f>
        <v>0.125</v>
      </c>
      <c r="I26" s="260" t="n">
        <f aca="false">IF($C26=0,"",($H26-INT($H26))*24)</f>
        <v>3</v>
      </c>
      <c r="J26" s="303" t="n">
        <f aca="false">SUMIF(Horodateur1123353819223134374346495255586164698522263438465058546266707478829098941021061141181101221261301341381421461501541581621661701741781821861901941982022062102144101418222630343846505458[Jour],$B26,Horodateur1123353819223134374346495255586164698522263438465058546266707478829098941021061141181101221261301341381421461501541581621661701741781821861901941982022062102144101418222630343846505458[Durée (100)])</f>
        <v>9.5</v>
      </c>
      <c r="K26" s="335"/>
      <c r="L26" s="336"/>
      <c r="M26" s="338" t="s">
        <v>31</v>
      </c>
      <c r="N26" s="272" t="n">
        <f aca="false">IF(Horodateur1123353819223134374346495255586164698522263438465058546266707478829098941021061141181101221261301341381421461501541581621661701741781821861901941982022062102144101418222630343846505458[[#This Row],[O]]="o",Horodateur1123353819223134374346495255586164698522263438465058546266707478829098941021061141181101221261301341381421461501541581621661701741781821861901941982022062102144101418222630343846505458[[#This Row],[Durée (100)]],".")</f>
        <v>3</v>
      </c>
      <c r="O26" s="337" t="n">
        <f aca="false">IF(L26 = "c", I26, 0)</f>
        <v>0</v>
      </c>
      <c r="P26" s="187"/>
      <c r="Q26" s="71"/>
      <c r="R26" s="71"/>
      <c r="S26" s="71"/>
      <c r="T26" s="71"/>
      <c r="U26" s="71"/>
      <c r="V26" s="71"/>
      <c r="W26" s="71"/>
      <c r="X26" s="71"/>
      <c r="Y26" s="71"/>
      <c r="Z26" s="71"/>
      <c r="AA26" s="71"/>
      <c r="AB26" s="71"/>
      <c r="AC26" s="71"/>
      <c r="AD26" s="71"/>
      <c r="AE26" s="71"/>
      <c r="AF26" s="71"/>
      <c r="AG26" s="71"/>
      <c r="AH26" s="71"/>
      <c r="AI26" s="71"/>
    </row>
    <row r="27" customFormat="false" ht="15" hidden="false" customHeight="false" outlineLevel="0" collapsed="false">
      <c r="A27" s="256" t="n">
        <f aca="false">IF(Horodateur1123353819223134374346495255586164698522263438465058546266707478829098941021061141181101221261301341381421461501541581621661701741781821861901941982022062102144101418222630343846505458[[#This Row],[Jour]]="1- Lundi",$B$1+1, IF(Horodateur1123353819223134374346495255586164698522263438465058546266707478829098941021061141181101221261301341381421461501541581621661701741781821861901941982022062102144101418222630343846505458[[#This Row],[Jour]]="2- Mardi",$B$1+2, IF(Horodateur1123353819223134374346495255586164698522263438465058546266707478829098941021061141181101221261301341381421461501541581621661701741781821861901941982022062102144101418222630343846505458[[#This Row],[Jour]]="3- Mercredi",$B$1+3, IF(Horodateur1123353819223134374346495255586164698522263438465058546266707478829098941021061141181101221261301341381421461501541581621661701741781821861901941982022062102144101418222630343846505458[[#This Row],[Jour]]="4- Jeudi",$B$1+4, IF(Horodateur1123353819223134374346495255586164698522263438465058546266707478829098941021061141181101221261301341381421461501541581621661701741781821861901941982022062102144101418222630343846505458[[#This Row],[Jour]]="5- Vendredi",$B$1+5, IF(Horodateur1123353819223134374346495255586164698522263438465058546266707478829098941021061141181101221261301341381421461501541581621661701741781821861901941982022062102144101418222630343846505458[[#This Row],[Jour]]="6- Samedi",$B$1+6, IF(Horodateur1123353819223134374346495255586164698522263438465058546266707478829098941021061141181101221261301341381421461501541581621661701741781821861901941982022062102144101418222630343846505458[[#This Row],[Jour]]="7- Dimanche",$B$1, )))))))</f>
        <v>44302</v>
      </c>
      <c r="B27" s="257" t="s">
        <v>332</v>
      </c>
      <c r="C27" s="258" t="n">
        <v>0.3125</v>
      </c>
      <c r="D27" s="258" t="n">
        <v>0.333333333333333</v>
      </c>
      <c r="E27" s="71" t="s">
        <v>32</v>
      </c>
      <c r="F27" s="71" t="s">
        <v>21</v>
      </c>
      <c r="G27" s="259"/>
      <c r="H27" s="258" t="n">
        <f aca="false">IF($C27=0,"",$D27-$C27)</f>
        <v>0.0208333333333333</v>
      </c>
      <c r="I27" s="260" t="n">
        <f aca="false">IF($C27=0,"",($H27-INT($H27))*24)</f>
        <v>0.5</v>
      </c>
      <c r="J27" s="303" t="n">
        <f aca="false">SUMIF(Horodateur1123353819223134374346495255586164698522263438465058546266707478829098941021061141181101221261301341381421461501541581621661701741781821861901941982022062102144101418222630343846505458[Jour],$B27,Horodateur1123353819223134374346495255586164698522263438465058546266707478829098941021061141181101221261301341381421461501541581621661701741781821861901941982022062102144101418222630343846505458[Durée (100)])</f>
        <v>8</v>
      </c>
      <c r="K27" s="335"/>
      <c r="L27" s="336"/>
      <c r="M27" s="188" t="s">
        <v>31</v>
      </c>
      <c r="N27" s="272" t="n">
        <f aca="false">IF(Horodateur1123353819223134374346495255586164698522263438465058546266707478829098941021061141181101221261301341381421461501541581621661701741781821861901941982022062102144101418222630343846505458[[#This Row],[O]]="o",Horodateur1123353819223134374346495255586164698522263438465058546266707478829098941021061141181101221261301341381421461501541581621661701741781821861901941982022062102144101418222630343846505458[[#This Row],[Durée (100)]],".")</f>
        <v>0.5</v>
      </c>
      <c r="O27" s="337" t="n">
        <f aca="false">IF(L27 = "c", I27, 0)</f>
        <v>0</v>
      </c>
      <c r="P27" s="187"/>
      <c r="Q27" s="71"/>
      <c r="R27" s="71"/>
      <c r="S27" s="71"/>
      <c r="T27" s="71"/>
      <c r="U27" s="71"/>
      <c r="V27" s="71"/>
      <c r="W27" s="71"/>
      <c r="X27" s="71"/>
      <c r="Y27" s="71"/>
      <c r="Z27" s="71"/>
      <c r="AA27" s="71"/>
      <c r="AB27" s="71"/>
      <c r="AC27" s="71"/>
      <c r="AD27" s="71"/>
      <c r="AE27" s="71"/>
      <c r="AF27" s="71"/>
      <c r="AG27" s="71"/>
      <c r="AH27" s="71"/>
      <c r="AI27" s="71"/>
    </row>
    <row r="28" customFormat="false" ht="15" hidden="false" customHeight="false" outlineLevel="0" collapsed="false">
      <c r="A28" s="256" t="n">
        <f aca="false">IF(Horodateur1123353819223134374346495255586164698522263438465058546266707478829098941021061141181101221261301341381421461501541581621661701741781821861901941982022062102144101418222630343846505458[[#This Row],[Jour]]="1- Lundi",$B$1+1, IF(Horodateur1123353819223134374346495255586164698522263438465058546266707478829098941021061141181101221261301341381421461501541581621661701741781821861901941982022062102144101418222630343846505458[[#This Row],[Jour]]="2- Mardi",$B$1+2, IF(Horodateur1123353819223134374346495255586164698522263438465058546266707478829098941021061141181101221261301341381421461501541581621661701741781821861901941982022062102144101418222630343846505458[[#This Row],[Jour]]="3- Mercredi",$B$1+3, IF(Horodateur1123353819223134374346495255586164698522263438465058546266707478829098941021061141181101221261301341381421461501541581621661701741781821861901941982022062102144101418222630343846505458[[#This Row],[Jour]]="4- Jeudi",$B$1+4, IF(Horodateur1123353819223134374346495255586164698522263438465058546266707478829098941021061141181101221261301341381421461501541581621661701741781821861901941982022062102144101418222630343846505458[[#This Row],[Jour]]="5- Vendredi",$B$1+5, IF(Horodateur1123353819223134374346495255586164698522263438465058546266707478829098941021061141181101221261301341381421461501541581621661701741781821861901941982022062102144101418222630343846505458[[#This Row],[Jour]]="6- Samedi",$B$1+6, IF(Horodateur1123353819223134374346495255586164698522263438465058546266707478829098941021061141181101221261301341381421461501541581621661701741781821861901941982022062102144101418222630343846505458[[#This Row],[Jour]]="7- Dimanche",$B$1, )))))))</f>
        <v>44302</v>
      </c>
      <c r="B28" s="257" t="s">
        <v>332</v>
      </c>
      <c r="C28" s="258" t="n">
        <v>0.333333333333333</v>
      </c>
      <c r="D28" s="258" t="n">
        <v>0.354166666666667</v>
      </c>
      <c r="E28" s="71" t="s">
        <v>363</v>
      </c>
      <c r="F28" s="71" t="s">
        <v>23</v>
      </c>
      <c r="G28" s="259" t="s">
        <v>330</v>
      </c>
      <c r="H28" s="258" t="n">
        <f aca="false">IF($C28=0,"",$D28-$C28)</f>
        <v>0.0208333333333334</v>
      </c>
      <c r="I28" s="260" t="n">
        <f aca="false">IF($C28=0,"",($H28-INT($H28))*24)</f>
        <v>0.500000000000001</v>
      </c>
      <c r="J28" s="303" t="n">
        <f aca="false">SUMIF(Horodateur1123353819223134374346495255586164698522263438465058546266707478829098941021061141181101221261301341381421461501541581621661701741781821861901941982022062102144101418222630343846505458[Jour],$B28,Horodateur1123353819223134374346495255586164698522263438465058546266707478829098941021061141181101221261301341381421461501541581621661701741781821861901941982022062102144101418222630343846505458[Durée (100)])</f>
        <v>8</v>
      </c>
      <c r="K28" s="335"/>
      <c r="L28" s="336"/>
      <c r="M28" s="188" t="s">
        <v>31</v>
      </c>
      <c r="N28" s="272" t="n">
        <f aca="false">IF(Horodateur1123353819223134374346495255586164698522263438465058546266707478829098941021061141181101221261301341381421461501541581621661701741781821861901941982022062102144101418222630343846505458[[#This Row],[O]]="o",Horodateur1123353819223134374346495255586164698522263438465058546266707478829098941021061141181101221261301341381421461501541581621661701741781821861901941982022062102144101418222630343846505458[[#This Row],[Durée (100)]],".")</f>
        <v>0.500000000000001</v>
      </c>
      <c r="O28" s="337" t="n">
        <f aca="false">IF(L28 = "c", I28, 0)</f>
        <v>0</v>
      </c>
      <c r="P28" s="187"/>
      <c r="Q28" s="71"/>
      <c r="R28" s="71"/>
      <c r="S28" s="71"/>
      <c r="T28" s="71"/>
      <c r="U28" s="71"/>
      <c r="V28" s="71"/>
      <c r="W28" s="71"/>
      <c r="X28" s="71"/>
      <c r="Y28" s="71"/>
      <c r="Z28" s="71"/>
      <c r="AA28" s="71"/>
      <c r="AB28" s="71"/>
      <c r="AC28" s="71"/>
      <c r="AD28" s="71"/>
      <c r="AE28" s="71"/>
      <c r="AF28" s="71"/>
      <c r="AG28" s="71"/>
      <c r="AH28" s="71"/>
      <c r="AI28" s="71"/>
    </row>
    <row r="29" customFormat="false" ht="15" hidden="false" customHeight="false" outlineLevel="0" collapsed="false">
      <c r="A29" s="256" t="n">
        <f aca="false">IF(Horodateur1123353819223134374346495255586164698522263438465058546266707478829098941021061141181101221261301341381421461501541581621661701741781821861901941982022062102144101418222630343846505458[[#This Row],[Jour]]="1- Lundi",$B$1+1, IF(Horodateur1123353819223134374346495255586164698522263438465058546266707478829098941021061141181101221261301341381421461501541581621661701741781821861901941982022062102144101418222630343846505458[[#This Row],[Jour]]="2- Mardi",$B$1+2, IF(Horodateur1123353819223134374346495255586164698522263438465058546266707478829098941021061141181101221261301341381421461501541581621661701741781821861901941982022062102144101418222630343846505458[[#This Row],[Jour]]="3- Mercredi",$B$1+3, IF(Horodateur1123353819223134374346495255586164698522263438465058546266707478829098941021061141181101221261301341381421461501541581621661701741781821861901941982022062102144101418222630343846505458[[#This Row],[Jour]]="4- Jeudi",$B$1+4, IF(Horodateur1123353819223134374346495255586164698522263438465058546266707478829098941021061141181101221261301341381421461501541581621661701741781821861901941982022062102144101418222630343846505458[[#This Row],[Jour]]="5- Vendredi",$B$1+5, IF(Horodateur1123353819223134374346495255586164698522263438465058546266707478829098941021061141181101221261301341381421461501541581621661701741781821861901941982022062102144101418222630343846505458[[#This Row],[Jour]]="6- Samedi",$B$1+6, IF(Horodateur1123353819223134374346495255586164698522263438465058546266707478829098941021061141181101221261301341381421461501541581621661701741781821861901941982022062102144101418222630343846505458[[#This Row],[Jour]]="7- Dimanche",$B$1, )))))))</f>
        <v>44302</v>
      </c>
      <c r="B29" s="257" t="s">
        <v>332</v>
      </c>
      <c r="C29" s="258" t="n">
        <v>0.354166666666667</v>
      </c>
      <c r="D29" s="258" t="n">
        <v>0.375</v>
      </c>
      <c r="E29" s="71" t="s">
        <v>363</v>
      </c>
      <c r="F29" s="71" t="s">
        <v>379</v>
      </c>
      <c r="G29" s="259" t="s">
        <v>55</v>
      </c>
      <c r="H29" s="258" t="n">
        <f aca="false">IF($C29=0,"",$D29-$C29)</f>
        <v>0.0208333333333333</v>
      </c>
      <c r="I29" s="260" t="n">
        <f aca="false">IF($C29=0,"",($H29-INT($H29))*24)</f>
        <v>0.5</v>
      </c>
      <c r="J29" s="303" t="n">
        <f aca="false">SUMIF(Horodateur1123353819223134374346495255586164698522263438465058546266707478829098941021061141181101221261301341381421461501541581621661701741781821861901941982022062102144101418222630343846505458[Jour],$B29,Horodateur1123353819223134374346495255586164698522263438465058546266707478829098941021061141181101221261301341381421461501541581621661701741781821861901941982022062102144101418222630343846505458[Durée (100)])</f>
        <v>8</v>
      </c>
      <c r="K29" s="335"/>
      <c r="L29" s="336"/>
      <c r="M29" s="188" t="s">
        <v>31</v>
      </c>
      <c r="N29" s="272" t="n">
        <f aca="false">IF(Horodateur1123353819223134374346495255586164698522263438465058546266707478829098941021061141181101221261301341381421461501541581621661701741781821861901941982022062102144101418222630343846505458[[#This Row],[O]]="o",Horodateur1123353819223134374346495255586164698522263438465058546266707478829098941021061141181101221261301341381421461501541581621661701741781821861901941982022062102144101418222630343846505458[[#This Row],[Durée (100)]],".")</f>
        <v>0.5</v>
      </c>
      <c r="O29" s="337" t="n">
        <f aca="false">IF(L29 = "c", I29, 0)</f>
        <v>0</v>
      </c>
      <c r="P29" s="187"/>
      <c r="Q29" s="71"/>
      <c r="R29" s="71"/>
      <c r="S29" s="71"/>
      <c r="T29" s="71"/>
      <c r="U29" s="71"/>
      <c r="V29" s="71"/>
      <c r="W29" s="71"/>
      <c r="X29" s="71"/>
      <c r="Y29" s="71"/>
      <c r="Z29" s="71"/>
      <c r="AA29" s="71"/>
      <c r="AB29" s="71"/>
      <c r="AC29" s="71"/>
      <c r="AD29" s="71"/>
      <c r="AE29" s="71"/>
      <c r="AF29" s="71"/>
      <c r="AG29" s="71"/>
      <c r="AH29" s="71"/>
      <c r="AI29" s="71"/>
    </row>
    <row r="30" customFormat="false" ht="15" hidden="false" customHeight="false" outlineLevel="0" collapsed="false">
      <c r="A30" s="256" t="n">
        <f aca="false">IF(Horodateur1123353819223134374346495255586164698522263438465058546266707478829098941021061141181101221261301341381421461501541581621661701741781821861901941982022062102144101418222630343846505458[[#This Row],[Jour]]="1- Lundi",$B$1+1, IF(Horodateur1123353819223134374346495255586164698522263438465058546266707478829098941021061141181101221261301341381421461501541581621661701741781821861901941982022062102144101418222630343846505458[[#This Row],[Jour]]="2- Mardi",$B$1+2, IF(Horodateur1123353819223134374346495255586164698522263438465058546266707478829098941021061141181101221261301341381421461501541581621661701741781821861901941982022062102144101418222630343846505458[[#This Row],[Jour]]="3- Mercredi",$B$1+3, IF(Horodateur1123353819223134374346495255586164698522263438465058546266707478829098941021061141181101221261301341381421461501541581621661701741781821861901941982022062102144101418222630343846505458[[#This Row],[Jour]]="4- Jeudi",$B$1+4, IF(Horodateur1123353819223134374346495255586164698522263438465058546266707478829098941021061141181101221261301341381421461501541581621661701741781821861901941982022062102144101418222630343846505458[[#This Row],[Jour]]="5- Vendredi",$B$1+5, IF(Horodateur1123353819223134374346495255586164698522263438465058546266707478829098941021061141181101221261301341381421461501541581621661701741781821861901941982022062102144101418222630343846505458[[#This Row],[Jour]]="6- Samedi",$B$1+6, IF(Horodateur1123353819223134374346495255586164698522263438465058546266707478829098941021061141181101221261301341381421461501541581621661701741781821861901941982022062102144101418222630343846505458[[#This Row],[Jour]]="7- Dimanche",$B$1, )))))))</f>
        <v>44302</v>
      </c>
      <c r="B30" s="257" t="s">
        <v>332</v>
      </c>
      <c r="C30" s="258" t="n">
        <v>0.375</v>
      </c>
      <c r="D30" s="258" t="n">
        <v>0.395833333333333</v>
      </c>
      <c r="E30" s="71" t="s">
        <v>59</v>
      </c>
      <c r="F30" s="71" t="s">
        <v>379</v>
      </c>
      <c r="G30" s="259" t="s">
        <v>55</v>
      </c>
      <c r="H30" s="258" t="n">
        <f aca="false">IF($C30=0,"",$D30-$C30)</f>
        <v>0.0208333333333333</v>
      </c>
      <c r="I30" s="260" t="n">
        <f aca="false">IF($C30=0,"",($H30-INT($H30))*24)</f>
        <v>0.5</v>
      </c>
      <c r="J30" s="303" t="n">
        <f aca="false">SUMIF(Horodateur1123353819223134374346495255586164698522263438465058546266707478829098941021061141181101221261301341381421461501541581621661701741781821861901941982022062102144101418222630343846505458[Jour],$B30,Horodateur1123353819223134374346495255586164698522263438465058546266707478829098941021061141181101221261301341381421461501541581621661701741781821861901941982022062102144101418222630343846505458[Durée (100)])</f>
        <v>8</v>
      </c>
      <c r="K30" s="335"/>
      <c r="L30" s="336"/>
      <c r="M30" s="188" t="s">
        <v>31</v>
      </c>
      <c r="N30" s="272" t="n">
        <f aca="false">IF(Horodateur1123353819223134374346495255586164698522263438465058546266707478829098941021061141181101221261301341381421461501541581621661701741781821861901941982022062102144101418222630343846505458[[#This Row],[O]]="o",Horodateur1123353819223134374346495255586164698522263438465058546266707478829098941021061141181101221261301341381421461501541581621661701741781821861901941982022062102144101418222630343846505458[[#This Row],[Durée (100)]],".")</f>
        <v>0.5</v>
      </c>
      <c r="O30" s="337" t="n">
        <f aca="false">IF(L30 = "c", I30, 0)</f>
        <v>0</v>
      </c>
      <c r="P30" s="187"/>
      <c r="Q30" s="71"/>
      <c r="R30" s="71"/>
      <c r="S30" s="71"/>
      <c r="T30" s="71"/>
      <c r="U30" s="71"/>
      <c r="V30" s="71"/>
      <c r="W30" s="71"/>
      <c r="X30" s="71"/>
      <c r="Y30" s="71"/>
      <c r="Z30" s="71"/>
      <c r="AA30" s="71"/>
      <c r="AB30" s="71"/>
      <c r="AC30" s="71"/>
      <c r="AD30" s="71"/>
      <c r="AE30" s="71"/>
      <c r="AF30" s="71"/>
      <c r="AG30" s="71"/>
      <c r="AH30" s="71"/>
      <c r="AI30" s="71"/>
    </row>
    <row r="31" customFormat="false" ht="15" hidden="false" customHeight="false" outlineLevel="0" collapsed="false">
      <c r="A31" s="256" t="n">
        <f aca="false">IF(Horodateur1123353819223134374346495255586164698522263438465058546266707478829098941021061141181101221261301341381421461501541581621661701741781821861901941982022062102144101418222630343846505458[[#This Row],[Jour]]="1- Lundi",$B$1+1, IF(Horodateur1123353819223134374346495255586164698522263438465058546266707478829098941021061141181101221261301341381421461501541581621661701741781821861901941982022062102144101418222630343846505458[[#This Row],[Jour]]="2- Mardi",$B$1+2, IF(Horodateur1123353819223134374346495255586164698522263438465058546266707478829098941021061141181101221261301341381421461501541581621661701741781821861901941982022062102144101418222630343846505458[[#This Row],[Jour]]="3- Mercredi",$B$1+3, IF(Horodateur1123353819223134374346495255586164698522263438465058546266707478829098941021061141181101221261301341381421461501541581621661701741781821861901941982022062102144101418222630343846505458[[#This Row],[Jour]]="4- Jeudi",$B$1+4, IF(Horodateur1123353819223134374346495255586164698522263438465058546266707478829098941021061141181101221261301341381421461501541581621661701741781821861901941982022062102144101418222630343846505458[[#This Row],[Jour]]="5- Vendredi",$B$1+5, IF(Horodateur1123353819223134374346495255586164698522263438465058546266707478829098941021061141181101221261301341381421461501541581621661701741781821861901941982022062102144101418222630343846505458[[#This Row],[Jour]]="6- Samedi",$B$1+6, IF(Horodateur1123353819223134374346495255586164698522263438465058546266707478829098941021061141181101221261301341381421461501541581621661701741781821861901941982022062102144101418222630343846505458[[#This Row],[Jour]]="7- Dimanche",$B$1, )))))))</f>
        <v>44302</v>
      </c>
      <c r="B31" s="257" t="s">
        <v>332</v>
      </c>
      <c r="C31" s="258" t="n">
        <v>0.416666666666667</v>
      </c>
      <c r="D31" s="258" t="n">
        <v>0.458333333333333</v>
      </c>
      <c r="E31" s="71" t="s">
        <v>363</v>
      </c>
      <c r="F31" s="71" t="s">
        <v>408</v>
      </c>
      <c r="G31" s="259" t="s">
        <v>434</v>
      </c>
      <c r="H31" s="258" t="n">
        <f aca="false">IF($C31=0,"",$D31-$C31)</f>
        <v>0.0416666666666666</v>
      </c>
      <c r="I31" s="260" t="n">
        <f aca="false">IF($C31=0,"",($H31-INT($H31))*24)</f>
        <v>0.999999999999999</v>
      </c>
      <c r="J31" s="303" t="n">
        <f aca="false">SUMIF(Horodateur1123353819223134374346495255586164698522263438465058546266707478829098941021061141181101221261301341381421461501541581621661701741781821861901941982022062102144101418222630343846505458[Jour],$B31,Horodateur1123353819223134374346495255586164698522263438465058546266707478829098941021061141181101221261301341381421461501541581621661701741781821861901941982022062102144101418222630343846505458[Durée (100)])</f>
        <v>8</v>
      </c>
      <c r="K31" s="335"/>
      <c r="L31" s="336"/>
      <c r="M31" s="188" t="s">
        <v>31</v>
      </c>
      <c r="N31" s="272" t="n">
        <f aca="false">IF(Horodateur1123353819223134374346495255586164698522263438465058546266707478829098941021061141181101221261301341381421461501541581621661701741781821861901941982022062102144101418222630343846505458[[#This Row],[O]]="o",Horodateur1123353819223134374346495255586164698522263438465058546266707478829098941021061141181101221261301341381421461501541581621661701741781821861901941982022062102144101418222630343846505458[[#This Row],[Durée (100)]],".")</f>
        <v>0.999999999999999</v>
      </c>
      <c r="O31" s="337" t="n">
        <f aca="false">IF(L31 = "c", I31, 0)</f>
        <v>0</v>
      </c>
      <c r="P31" s="187"/>
      <c r="Q31" s="71"/>
      <c r="R31" s="71"/>
      <c r="S31" s="71"/>
      <c r="T31" s="71"/>
      <c r="U31" s="71"/>
      <c r="V31" s="71"/>
      <c r="W31" s="71"/>
      <c r="X31" s="71"/>
      <c r="Y31" s="71"/>
      <c r="Z31" s="71"/>
      <c r="AA31" s="71"/>
      <c r="AB31" s="71"/>
      <c r="AC31" s="71"/>
      <c r="AD31" s="71"/>
      <c r="AE31" s="71"/>
      <c r="AF31" s="71"/>
      <c r="AG31" s="71"/>
      <c r="AH31" s="71"/>
      <c r="AI31" s="71"/>
    </row>
    <row r="32" customFormat="false" ht="15" hidden="false" customHeight="false" outlineLevel="0" collapsed="false">
      <c r="A32" s="256" t="n">
        <f aca="false">IF(Horodateur1123353819223134374346495255586164698522263438465058546266707478829098941021061141181101221261301341381421461501541581621661701741781821861901941982022062102144101418222630343846505458[[#This Row],[Jour]]="1- Lundi",$B$1+1, IF(Horodateur1123353819223134374346495255586164698522263438465058546266707478829098941021061141181101221261301341381421461501541581621661701741781821861901941982022062102144101418222630343846505458[[#This Row],[Jour]]="2- Mardi",$B$1+2, IF(Horodateur1123353819223134374346495255586164698522263438465058546266707478829098941021061141181101221261301341381421461501541581621661701741781821861901941982022062102144101418222630343846505458[[#This Row],[Jour]]="3- Mercredi",$B$1+3, IF(Horodateur1123353819223134374346495255586164698522263438465058546266707478829098941021061141181101221261301341381421461501541581621661701741781821861901941982022062102144101418222630343846505458[[#This Row],[Jour]]="4- Jeudi",$B$1+4, IF(Horodateur1123353819223134374346495255586164698522263438465058546266707478829098941021061141181101221261301341381421461501541581621661701741781821861901941982022062102144101418222630343846505458[[#This Row],[Jour]]="5- Vendredi",$B$1+5, IF(Horodateur1123353819223134374346495255586164698522263438465058546266707478829098941021061141181101221261301341381421461501541581621661701741781821861901941982022062102144101418222630343846505458[[#This Row],[Jour]]="6- Samedi",$B$1+6, IF(Horodateur1123353819223134374346495255586164698522263438465058546266707478829098941021061141181101221261301341381421461501541581621661701741781821861901941982022062102144101418222630343846505458[[#This Row],[Jour]]="7- Dimanche",$B$1, )))))))</f>
        <v>44302</v>
      </c>
      <c r="B32" s="257" t="s">
        <v>332</v>
      </c>
      <c r="C32" s="258" t="n">
        <v>0.458333333333333</v>
      </c>
      <c r="D32" s="258" t="n">
        <v>0.5</v>
      </c>
      <c r="E32" s="71" t="s">
        <v>363</v>
      </c>
      <c r="F32" s="71" t="s">
        <v>22</v>
      </c>
      <c r="G32" s="259" t="s">
        <v>434</v>
      </c>
      <c r="H32" s="258" t="n">
        <f aca="false">IF($C32=0,"",$D32-$C32)</f>
        <v>0.0416666666666667</v>
      </c>
      <c r="I32" s="260" t="n">
        <f aca="false">IF($C32=0,"",($H32-INT($H32))*24)</f>
        <v>1</v>
      </c>
      <c r="J32" s="303" t="n">
        <f aca="false">SUMIF(Horodateur1123353819223134374346495255586164698522263438465058546266707478829098941021061141181101221261301341381421461501541581621661701741781821861901941982022062102144101418222630343846505458[Jour],$B32,Horodateur1123353819223134374346495255586164698522263438465058546266707478829098941021061141181101221261301341381421461501541581621661701741781821861901941982022062102144101418222630343846505458[Durée (100)])</f>
        <v>8</v>
      </c>
      <c r="K32" s="335"/>
      <c r="L32" s="336"/>
      <c r="M32" s="188" t="s">
        <v>31</v>
      </c>
      <c r="N32" s="272" t="n">
        <f aca="false">IF(Horodateur1123353819223134374346495255586164698522263438465058546266707478829098941021061141181101221261301341381421461501541581621661701741781821861901941982022062102144101418222630343846505458[[#This Row],[O]]="o",Horodateur1123353819223134374346495255586164698522263438465058546266707478829098941021061141181101221261301341381421461501541581621661701741781821861901941982022062102144101418222630343846505458[[#This Row],[Durée (100)]],".")</f>
        <v>1</v>
      </c>
      <c r="O32" s="337" t="n">
        <f aca="false">IF(L32 = "c", I32, 0)</f>
        <v>0</v>
      </c>
      <c r="P32" s="187"/>
      <c r="Q32" s="71"/>
      <c r="R32" s="71"/>
      <c r="S32" s="71"/>
      <c r="T32" s="71"/>
      <c r="U32" s="71"/>
      <c r="V32" s="71"/>
      <c r="W32" s="71"/>
      <c r="X32" s="71"/>
      <c r="Y32" s="71"/>
      <c r="Z32" s="71"/>
      <c r="AA32" s="71"/>
      <c r="AB32" s="71"/>
      <c r="AC32" s="71"/>
      <c r="AD32" s="71"/>
      <c r="AE32" s="71"/>
      <c r="AF32" s="71"/>
      <c r="AG32" s="71"/>
      <c r="AH32" s="71"/>
      <c r="AI32" s="71"/>
    </row>
    <row r="33" customFormat="false" ht="15" hidden="false" customHeight="false" outlineLevel="0" collapsed="false">
      <c r="A33" s="256" t="n">
        <f aca="false">IF(Horodateur1123353819223134374346495255586164698522263438465058546266707478829098941021061141181101221261301341381421461501541581621661701741781821861901941982022062102144101418222630343846505458[[#This Row],[Jour]]="1- Lundi",$B$1+1, IF(Horodateur1123353819223134374346495255586164698522263438465058546266707478829098941021061141181101221261301341381421461501541581621661701741781821861901941982022062102144101418222630343846505458[[#This Row],[Jour]]="2- Mardi",$B$1+2, IF(Horodateur1123353819223134374346495255586164698522263438465058546266707478829098941021061141181101221261301341381421461501541581621661701741781821861901941982022062102144101418222630343846505458[[#This Row],[Jour]]="3- Mercredi",$B$1+3, IF(Horodateur1123353819223134374346495255586164698522263438465058546266707478829098941021061141181101221261301341381421461501541581621661701741781821861901941982022062102144101418222630343846505458[[#This Row],[Jour]]="4- Jeudi",$B$1+4, IF(Horodateur1123353819223134374346495255586164698522263438465058546266707478829098941021061141181101221261301341381421461501541581621661701741781821861901941982022062102144101418222630343846505458[[#This Row],[Jour]]="5- Vendredi",$B$1+5, IF(Horodateur1123353819223134374346495255586164698522263438465058546266707478829098941021061141181101221261301341381421461501541581621661701741781821861901941982022062102144101418222630343846505458[[#This Row],[Jour]]="6- Samedi",$B$1+6, IF(Horodateur1123353819223134374346495255586164698522263438465058546266707478829098941021061141181101221261301341381421461501541581621661701741781821861901941982022062102144101418222630343846505458[[#This Row],[Jour]]="7- Dimanche",$B$1, )))))))</f>
        <v>44302</v>
      </c>
      <c r="B33" s="257" t="s">
        <v>332</v>
      </c>
      <c r="C33" s="258" t="n">
        <v>0.5625</v>
      </c>
      <c r="D33" s="258" t="n">
        <v>0.583333333333333</v>
      </c>
      <c r="E33" s="71" t="s">
        <v>363</v>
      </c>
      <c r="F33" s="71" t="s">
        <v>378</v>
      </c>
      <c r="G33" s="259" t="s">
        <v>435</v>
      </c>
      <c r="H33" s="258" t="n">
        <f aca="false">IF($C33=0,"",$D33-$C33)</f>
        <v>0.0208333333333333</v>
      </c>
      <c r="I33" s="260" t="n">
        <f aca="false">IF($C33=0,"",($H33-INT($H33))*24)</f>
        <v>0.5</v>
      </c>
      <c r="J33" s="303" t="n">
        <f aca="false">SUMIF(Horodateur1123353819223134374346495255586164698522263438465058546266707478829098941021061141181101221261301341381421461501541581621661701741781821861901941982022062102144101418222630343846505458[Jour],$B33,Horodateur1123353819223134374346495255586164698522263438465058546266707478829098941021061141181101221261301341381421461501541581621661701741781821861901941982022062102144101418222630343846505458[Durée (100)])</f>
        <v>8</v>
      </c>
      <c r="K33" s="335"/>
      <c r="L33" s="336"/>
      <c r="M33" s="188" t="s">
        <v>31</v>
      </c>
      <c r="N33" s="272" t="n">
        <f aca="false">IF(Horodateur1123353819223134374346495255586164698522263438465058546266707478829098941021061141181101221261301341381421461501541581621661701741781821861901941982022062102144101418222630343846505458[[#This Row],[O]]="o",Horodateur1123353819223134374346495255586164698522263438465058546266707478829098941021061141181101221261301341381421461501541581621661701741781821861901941982022062102144101418222630343846505458[[#This Row],[Durée (100)]],".")</f>
        <v>0.500000000000001</v>
      </c>
      <c r="O33" s="337" t="n">
        <f aca="false">IF(L33 = "c", I33, 0)</f>
        <v>0</v>
      </c>
      <c r="P33" s="187"/>
      <c r="Q33" s="71"/>
      <c r="R33" s="71"/>
      <c r="S33" s="71"/>
      <c r="T33" s="71"/>
      <c r="U33" s="71"/>
      <c r="V33" s="71"/>
      <c r="W33" s="71"/>
      <c r="X33" s="71"/>
      <c r="Y33" s="71"/>
      <c r="Z33" s="71"/>
      <c r="AA33" s="71"/>
      <c r="AB33" s="71"/>
      <c r="AC33" s="71"/>
      <c r="AD33" s="71"/>
      <c r="AE33" s="71"/>
      <c r="AF33" s="71"/>
      <c r="AG33" s="71"/>
      <c r="AH33" s="71"/>
      <c r="AI33" s="71"/>
    </row>
    <row r="34" customFormat="false" ht="15" hidden="false" customHeight="false" outlineLevel="0" collapsed="false">
      <c r="A34" s="256" t="n">
        <f aca="false">IF(Horodateur1123353819223134374346495255586164698522263438465058546266707478829098941021061141181101221261301341381421461501541581621661701741781821861901941982022062102144101418222630343846505458[[#This Row],[Jour]]="1- Lundi",$B$1+1, IF(Horodateur1123353819223134374346495255586164698522263438465058546266707478829098941021061141181101221261301341381421461501541581621661701741781821861901941982022062102144101418222630343846505458[[#This Row],[Jour]]="2- Mardi",$B$1+2, IF(Horodateur1123353819223134374346495255586164698522263438465058546266707478829098941021061141181101221261301341381421461501541581621661701741781821861901941982022062102144101418222630343846505458[[#This Row],[Jour]]="3- Mercredi",$B$1+3, IF(Horodateur1123353819223134374346495255586164698522263438465058546266707478829098941021061141181101221261301341381421461501541581621661701741781821861901941982022062102144101418222630343846505458[[#This Row],[Jour]]="4- Jeudi",$B$1+4, IF(Horodateur1123353819223134374346495255586164698522263438465058546266707478829098941021061141181101221261301341381421461501541581621661701741781821861901941982022062102144101418222630343846505458[[#This Row],[Jour]]="5- Vendredi",$B$1+5, IF(Horodateur1123353819223134374346495255586164698522263438465058546266707478829098941021061141181101221261301341381421461501541581621661701741781821861901941982022062102144101418222630343846505458[[#This Row],[Jour]]="6- Samedi",$B$1+6, IF(Horodateur1123353819223134374346495255586164698522263438465058546266707478829098941021061141181101221261301341381421461501541581621661701741781821861901941982022062102144101418222630343846505458[[#This Row],[Jour]]="7- Dimanche",$B$1, )))))))</f>
        <v>44302</v>
      </c>
      <c r="B34" s="257" t="s">
        <v>332</v>
      </c>
      <c r="C34" s="258" t="n">
        <v>0.583333333333333</v>
      </c>
      <c r="D34" s="258" t="n">
        <v>0.59375</v>
      </c>
      <c r="E34" s="71" t="s">
        <v>71</v>
      </c>
      <c r="F34" s="71" t="s">
        <v>399</v>
      </c>
      <c r="G34" s="259" t="s">
        <v>436</v>
      </c>
      <c r="H34" s="258" t="n">
        <f aca="false">IF($C34=0,"",$D34-$C34)</f>
        <v>0.0104166666666667</v>
      </c>
      <c r="I34" s="260" t="n">
        <f aca="false">IF($C34=0,"",($H34-INT($H34))*24)</f>
        <v>0.25</v>
      </c>
      <c r="J34" s="303" t="n">
        <f aca="false">SUMIF(Horodateur1123353819223134374346495255586164698522263438465058546266707478829098941021061141181101221261301341381421461501541581621661701741781821861901941982022062102144101418222630343846505458[Jour],$B34,Horodateur1123353819223134374346495255586164698522263438465058546266707478829098941021061141181101221261301341381421461501541581621661701741781821861901941982022062102144101418222630343846505458[Durée (100)])</f>
        <v>8</v>
      </c>
      <c r="K34" s="335"/>
      <c r="L34" s="336"/>
      <c r="M34" s="188" t="s">
        <v>31</v>
      </c>
      <c r="N34" s="272" t="n">
        <f aca="false">IF(Horodateur1123353819223134374346495255586164698522263438465058546266707478829098941021061141181101221261301341381421461501541581621661701741781821861901941982022062102144101418222630343846505458[[#This Row],[O]]="o",Horodateur1123353819223134374346495255586164698522263438465058546266707478829098941021061141181101221261301341381421461501541581621661701741781821861901941982022062102144101418222630343846505458[[#This Row],[Durée (100)]],".")</f>
        <v>0.249999999999999</v>
      </c>
      <c r="O34" s="337" t="n">
        <f aca="false">IF(L34 = "c", I34, 0)</f>
        <v>0</v>
      </c>
      <c r="P34" s="187"/>
      <c r="Q34" s="71"/>
      <c r="R34" s="71"/>
      <c r="S34" s="71"/>
      <c r="T34" s="71"/>
      <c r="U34" s="71"/>
      <c r="V34" s="71"/>
      <c r="W34" s="71"/>
      <c r="X34" s="71"/>
      <c r="Y34" s="71"/>
      <c r="Z34" s="71"/>
      <c r="AA34" s="71"/>
      <c r="AB34" s="71"/>
      <c r="AC34" s="71"/>
      <c r="AD34" s="71"/>
      <c r="AE34" s="71"/>
      <c r="AF34" s="71"/>
      <c r="AG34" s="71"/>
      <c r="AH34" s="71"/>
      <c r="AI34" s="71"/>
    </row>
    <row r="35" customFormat="false" ht="15" hidden="false" customHeight="false" outlineLevel="0" collapsed="false">
      <c r="A35" s="256" t="n">
        <f aca="false">IF(Horodateur1123353819223134374346495255586164698522263438465058546266707478829098941021061141181101221261301341381421461501541581621661701741781821861901941982022062102144101418222630343846505458[[#This Row],[Jour]]="1- Lundi",$B$1+1, IF(Horodateur1123353819223134374346495255586164698522263438465058546266707478829098941021061141181101221261301341381421461501541581621661701741781821861901941982022062102144101418222630343846505458[[#This Row],[Jour]]="2- Mardi",$B$1+2, IF(Horodateur1123353819223134374346495255586164698522263438465058546266707478829098941021061141181101221261301341381421461501541581621661701741781821861901941982022062102144101418222630343846505458[[#This Row],[Jour]]="3- Mercredi",$B$1+3, IF(Horodateur1123353819223134374346495255586164698522263438465058546266707478829098941021061141181101221261301341381421461501541581621661701741781821861901941982022062102144101418222630343846505458[[#This Row],[Jour]]="4- Jeudi",$B$1+4, IF(Horodateur1123353819223134374346495255586164698522263438465058546266707478829098941021061141181101221261301341381421461501541581621661701741781821861901941982022062102144101418222630343846505458[[#This Row],[Jour]]="5- Vendredi",$B$1+5, IF(Horodateur1123353819223134374346495255586164698522263438465058546266707478829098941021061141181101221261301341381421461501541581621661701741781821861901941982022062102144101418222630343846505458[[#This Row],[Jour]]="6- Samedi",$B$1+6, IF(Horodateur1123353819223134374346495255586164698522263438465058546266707478829098941021061141181101221261301341381421461501541581621661701741781821861901941982022062102144101418222630343846505458[[#This Row],[Jour]]="7- Dimanche",$B$1, )))))))</f>
        <v>44302</v>
      </c>
      <c r="B35" s="257" t="s">
        <v>332</v>
      </c>
      <c r="C35" s="258" t="n">
        <v>0.614583333333333</v>
      </c>
      <c r="D35" s="258" t="n">
        <v>0.677083333333333</v>
      </c>
      <c r="E35" s="71" t="s">
        <v>363</v>
      </c>
      <c r="F35" s="71" t="s">
        <v>378</v>
      </c>
      <c r="G35" s="259" t="s">
        <v>437</v>
      </c>
      <c r="H35" s="258" t="n">
        <f aca="false">IF($C35=0,"",$D35-$C35)</f>
        <v>0.0625</v>
      </c>
      <c r="I35" s="260" t="n">
        <f aca="false">IF($C35=0,"",($H35-INT($H35))*24)</f>
        <v>1.5</v>
      </c>
      <c r="J35" s="303" t="n">
        <f aca="false">SUMIF(Horodateur1123353819223134374346495255586164698522263438465058546266707478829098941021061141181101221261301341381421461501541581621661701741781821861901941982022062102144101418222630343846505458[Jour],$B35,Horodateur1123353819223134374346495255586164698522263438465058546266707478829098941021061141181101221261301341381421461501541581621661701741781821861901941982022062102144101418222630343846505458[Durée (100)])</f>
        <v>8</v>
      </c>
      <c r="K35" s="335"/>
      <c r="L35" s="336"/>
      <c r="M35" s="188" t="s">
        <v>31</v>
      </c>
      <c r="N35" s="272" t="n">
        <f aca="false">IF(Horodateur1123353819223134374346495255586164698522263438465058546266707478829098941021061141181101221261301341381421461501541581621661701741781821861901941982022062102144101418222630343846505458[[#This Row],[O]]="o",Horodateur1123353819223134374346495255586164698522263438465058546266707478829098941021061141181101221261301341381421461501541581621661701741781821861901941982022062102144101418222630343846505458[[#This Row],[Durée (100)]],".")</f>
        <v>1.5</v>
      </c>
      <c r="O35" s="337" t="n">
        <f aca="false">IF(L35 = "c", I35, 0)</f>
        <v>0</v>
      </c>
      <c r="P35" s="187"/>
      <c r="Q35" s="71"/>
      <c r="R35" s="71"/>
      <c r="S35" s="71"/>
      <c r="T35" s="71"/>
      <c r="U35" s="71"/>
      <c r="V35" s="71"/>
      <c r="W35" s="71"/>
      <c r="X35" s="71"/>
      <c r="Y35" s="71"/>
      <c r="Z35" s="71"/>
      <c r="AA35" s="71"/>
      <c r="AB35" s="71"/>
      <c r="AC35" s="71"/>
      <c r="AD35" s="71"/>
      <c r="AE35" s="71"/>
      <c r="AF35" s="71"/>
      <c r="AG35" s="71"/>
      <c r="AH35" s="71"/>
      <c r="AI35" s="71"/>
    </row>
    <row r="36" customFormat="false" ht="15" hidden="false" customHeight="false" outlineLevel="0" collapsed="false">
      <c r="A36" s="256" t="n">
        <f aca="false">IF(Horodateur1123353819223134374346495255586164698522263438465058546266707478829098941021061141181101221261301341381421461501541581621661701741781821861901941982022062102144101418222630343846505458[[#This Row],[Jour]]="1- Lundi",$B$1+1, IF(Horodateur1123353819223134374346495255586164698522263438465058546266707478829098941021061141181101221261301341381421461501541581621661701741781821861901941982022062102144101418222630343846505458[[#This Row],[Jour]]="2- Mardi",$B$1+2, IF(Horodateur1123353819223134374346495255586164698522263438465058546266707478829098941021061141181101221261301341381421461501541581621661701741781821861901941982022062102144101418222630343846505458[[#This Row],[Jour]]="3- Mercredi",$B$1+3, IF(Horodateur1123353819223134374346495255586164698522263438465058546266707478829098941021061141181101221261301341381421461501541581621661701741781821861901941982022062102144101418222630343846505458[[#This Row],[Jour]]="4- Jeudi",$B$1+4, IF(Horodateur1123353819223134374346495255586164698522263438465058546266707478829098941021061141181101221261301341381421461501541581621661701741781821861901941982022062102144101418222630343846505458[[#This Row],[Jour]]="5- Vendredi",$B$1+5, IF(Horodateur1123353819223134374346495255586164698522263438465058546266707478829098941021061141181101221261301341381421461501541581621661701741781821861901941982022062102144101418222630343846505458[[#This Row],[Jour]]="6- Samedi",$B$1+6, IF(Horodateur1123353819223134374346495255586164698522263438465058546266707478829098941021061141181101221261301341381421461501541581621661701741781821861901941982022062102144101418222630343846505458[[#This Row],[Jour]]="7- Dimanche",$B$1, )))))))</f>
        <v>44302</v>
      </c>
      <c r="B36" s="257" t="s">
        <v>332</v>
      </c>
      <c r="C36" s="258" t="n">
        <v>0.677083333333333</v>
      </c>
      <c r="D36" s="258" t="n">
        <v>0.75</v>
      </c>
      <c r="E36" s="71" t="s">
        <v>363</v>
      </c>
      <c r="F36" s="71" t="s">
        <v>378</v>
      </c>
      <c r="G36" s="259" t="s">
        <v>437</v>
      </c>
      <c r="H36" s="258" t="n">
        <f aca="false">IF($C36=0,"",$D36-$C36)</f>
        <v>0.0729166666666666</v>
      </c>
      <c r="I36" s="260" t="n">
        <f aca="false">IF($C36=0,"",($H36-INT($H36))*24)</f>
        <v>1.75</v>
      </c>
      <c r="J36" s="303" t="n">
        <f aca="false">SUMIF(Horodateur1123353819223134374346495255586164698522263438465058546266707478829098941021061141181101221261301341381421461501541581621661701741781821861901941982022062102144101418222630343846505458[Jour],$B36,Horodateur1123353819223134374346495255586164698522263438465058546266707478829098941021061141181101221261301341381421461501541581621661701741781821861901941982022062102144101418222630343846505458[Durée (100)])</f>
        <v>8</v>
      </c>
      <c r="K36" s="335"/>
      <c r="L36" s="336"/>
      <c r="M36" s="188" t="s">
        <v>31</v>
      </c>
      <c r="N36" s="272" t="n">
        <f aca="false">IF(Horodateur1123353819223134374346495255586164698522263438465058546266707478829098941021061141181101221261301341381421461501541581621661701741781821861901941982022062102144101418222630343846505458[[#This Row],[O]]="o",Horodateur1123353819223134374346495255586164698522263438465058546266707478829098941021061141181101221261301341381421461501541581621661701741781821861901941982022062102144101418222630343846505458[[#This Row],[Durée (100)]],".")</f>
        <v>1.75</v>
      </c>
      <c r="O36" s="337" t="n">
        <f aca="false">IF(L36 = "c", I36, 0)</f>
        <v>0</v>
      </c>
      <c r="P36" s="187"/>
      <c r="Q36" s="71"/>
      <c r="R36" s="71"/>
      <c r="S36" s="71"/>
      <c r="T36" s="71"/>
      <c r="U36" s="71"/>
      <c r="V36" s="71"/>
      <c r="W36" s="71"/>
      <c r="X36" s="71"/>
      <c r="Y36" s="71"/>
      <c r="Z36" s="71"/>
      <c r="AA36" s="71"/>
      <c r="AB36" s="71"/>
      <c r="AC36" s="71"/>
      <c r="AD36" s="71"/>
      <c r="AE36" s="71"/>
      <c r="AF36" s="71"/>
      <c r="AG36" s="71"/>
      <c r="AH36" s="71"/>
      <c r="AI36" s="71"/>
    </row>
    <row r="37" customFormat="false" ht="15" hidden="false" customHeight="false" outlineLevel="0" collapsed="false">
      <c r="A37" s="256" t="n">
        <f aca="false">IF(Horodateur1123353819223134374346495255586164698522263438465058546266707478829098941021061141181101221261301341381421461501541581621661701741781821861901941982022062102144101418222630343846505458[[#This Row],[Jour]]="1- Lundi",$B$1+1, IF(Horodateur1123353819223134374346495255586164698522263438465058546266707478829098941021061141181101221261301341381421461501541581621661701741781821861901941982022062102144101418222630343846505458[[#This Row],[Jour]]="2- Mardi",$B$1+2, IF(Horodateur1123353819223134374346495255586164698522263438465058546266707478829098941021061141181101221261301341381421461501541581621661701741781821861901941982022062102144101418222630343846505458[[#This Row],[Jour]]="3- Mercredi",$B$1+3, IF(Horodateur1123353819223134374346495255586164698522263438465058546266707478829098941021061141181101221261301341381421461501541581621661701741781821861901941982022062102144101418222630343846505458[[#This Row],[Jour]]="4- Jeudi",$B$1+4, IF(Horodateur1123353819223134374346495255586164698522263438465058546266707478829098941021061141181101221261301341381421461501541581621661701741781821861901941982022062102144101418222630343846505458[[#This Row],[Jour]]="5- Vendredi",$B$1+5, IF(Horodateur1123353819223134374346495255586164698522263438465058546266707478829098941021061141181101221261301341381421461501541581621661701741781821861901941982022062102144101418222630343846505458[[#This Row],[Jour]]="6- Samedi",$B$1+6, IF(Horodateur1123353819223134374346495255586164698522263438465058546266707478829098941021061141181101221261301341381421461501541581621661701741781821861901941982022062102144101418222630343846505458[[#This Row],[Jour]]="7- Dimanche",$B$1, )))))))</f>
        <v>44303</v>
      </c>
      <c r="B37" s="257" t="s">
        <v>335</v>
      </c>
      <c r="C37" s="258" t="n">
        <v>0.3125</v>
      </c>
      <c r="D37" s="258" t="n">
        <v>0.333333333333333</v>
      </c>
      <c r="E37" s="71" t="s">
        <v>32</v>
      </c>
      <c r="F37" s="71" t="s">
        <v>21</v>
      </c>
      <c r="G37" s="259"/>
      <c r="H37" s="258" t="n">
        <f aca="false">IF($C37=0,"",$D37-$C37)</f>
        <v>0.0208333333333333</v>
      </c>
      <c r="I37" s="260" t="n">
        <f aca="false">IF($C37=0,"",($H37-INT($H37))*24)</f>
        <v>0.5</v>
      </c>
      <c r="J37" s="303" t="n">
        <f aca="false">SUMIF(Horodateur1123353819223134374346495255586164698522263438465058546266707478829098941021061141181101221261301341381421461501541581621661701741781821861901941982022062102144101418222630343846505458[Jour],$B37,Horodateur1123353819223134374346495255586164698522263438465058546266707478829098941021061141181101221261301341381421461501541581621661701741781821861901941982022062102144101418222630343846505458[Durée (100)])</f>
        <v>3.5</v>
      </c>
      <c r="K37" s="335"/>
      <c r="L37" s="336"/>
      <c r="M37" s="188" t="s">
        <v>31</v>
      </c>
      <c r="N37" s="272" t="n">
        <f aca="false">IF(Horodateur1123353819223134374346495255586164698522263438465058546266707478829098941021061141181101221261301341381421461501541581621661701741781821861901941982022062102144101418222630343846505458[[#This Row],[O]]="o",Horodateur1123353819223134374346495255586164698522263438465058546266707478829098941021061141181101221261301341381421461501541581621661701741781821861901941982022062102144101418222630343846505458[[#This Row],[Durée (100)]],".")</f>
        <v>0.5</v>
      </c>
      <c r="O37" s="337" t="n">
        <f aca="false">IF(L37 = "c", I37, 0)</f>
        <v>0</v>
      </c>
      <c r="P37" s="187"/>
      <c r="Q37" s="71"/>
      <c r="R37" s="71"/>
      <c r="S37" s="71"/>
      <c r="T37" s="71"/>
      <c r="U37" s="71"/>
      <c r="V37" s="71"/>
      <c r="W37" s="71"/>
      <c r="X37" s="71"/>
      <c r="Y37" s="71"/>
      <c r="Z37" s="71"/>
      <c r="AA37" s="71"/>
      <c r="AB37" s="71"/>
      <c r="AC37" s="71"/>
      <c r="AD37" s="71"/>
      <c r="AE37" s="71"/>
      <c r="AF37" s="71"/>
      <c r="AG37" s="71"/>
      <c r="AH37" s="71"/>
      <c r="AI37" s="71"/>
    </row>
    <row r="38" customFormat="false" ht="15" hidden="false" customHeight="false" outlineLevel="0" collapsed="false">
      <c r="A38" s="256" t="n">
        <f aca="false">IF(Horodateur1123353819223134374346495255586164698522263438465058546266707478829098941021061141181101221261301341381421461501541581621661701741781821861901941982022062102144101418222630343846505458[[#This Row],[Jour]]="1- Lundi",$B$1+1, IF(Horodateur1123353819223134374346495255586164698522263438465058546266707478829098941021061141181101221261301341381421461501541581621661701741781821861901941982022062102144101418222630343846505458[[#This Row],[Jour]]="2- Mardi",$B$1+2, IF(Horodateur1123353819223134374346495255586164698522263438465058546266707478829098941021061141181101221261301341381421461501541581621661701741781821861901941982022062102144101418222630343846505458[[#This Row],[Jour]]="3- Mercredi",$B$1+3, IF(Horodateur1123353819223134374346495255586164698522263438465058546266707478829098941021061141181101221261301341381421461501541581621661701741781821861901941982022062102144101418222630343846505458[[#This Row],[Jour]]="4- Jeudi",$B$1+4, IF(Horodateur1123353819223134374346495255586164698522263438465058546266707478829098941021061141181101221261301341381421461501541581621661701741781821861901941982022062102144101418222630343846505458[[#This Row],[Jour]]="5- Vendredi",$B$1+5, IF(Horodateur1123353819223134374346495255586164698522263438465058546266707478829098941021061141181101221261301341381421461501541581621661701741781821861901941982022062102144101418222630343846505458[[#This Row],[Jour]]="6- Samedi",$B$1+6, IF(Horodateur1123353819223134374346495255586164698522263438465058546266707478829098941021061141181101221261301341381421461501541581621661701741781821861901941982022062102144101418222630343846505458[[#This Row],[Jour]]="7- Dimanche",$B$1, )))))))</f>
        <v>44303</v>
      </c>
      <c r="B38" s="257" t="s">
        <v>335</v>
      </c>
      <c r="C38" s="258" t="n">
        <v>0.354166666666667</v>
      </c>
      <c r="D38" s="258" t="n">
        <v>0.479166666666667</v>
      </c>
      <c r="E38" s="71" t="s">
        <v>363</v>
      </c>
      <c r="F38" s="71" t="s">
        <v>378</v>
      </c>
      <c r="G38" s="259" t="s">
        <v>409</v>
      </c>
      <c r="H38" s="258" t="n">
        <f aca="false">IF($C38=0,"",$D38-$C38)</f>
        <v>0.125</v>
      </c>
      <c r="I38" s="260" t="n">
        <f aca="false">IF($C38=0,"",($H38-INT($H38))*24)</f>
        <v>3</v>
      </c>
      <c r="J38" s="303" t="n">
        <f aca="false">SUMIF(Horodateur1123353819223134374346495255586164698522263438465058546266707478829098941021061141181101221261301341381421461501541581621661701741781821861901941982022062102144101418222630343846505458[Jour],$B38,Horodateur1123353819223134374346495255586164698522263438465058546266707478829098941021061141181101221261301341381421461501541581621661701741781821861901941982022062102144101418222630343846505458[Durée (100)])</f>
        <v>3.5</v>
      </c>
      <c r="K38" s="335"/>
      <c r="L38" s="336"/>
      <c r="M38" s="188" t="s">
        <v>31</v>
      </c>
      <c r="N38" s="272" t="n">
        <f aca="false">IF(Horodateur1123353819223134374346495255586164698522263438465058546266707478829098941021061141181101221261301341381421461501541581621661701741781821861901941982022062102144101418222630343846505458[[#This Row],[O]]="o",Horodateur1123353819223134374346495255586164698522263438465058546266707478829098941021061141181101221261301341381421461501541581621661701741781821861901941982022062102144101418222630343846505458[[#This Row],[Durée (100)]],".")</f>
        <v>3</v>
      </c>
      <c r="O38" s="337" t="n">
        <f aca="false">IF(L38 = "c", I38, 0)</f>
        <v>0</v>
      </c>
      <c r="P38" s="187"/>
      <c r="Q38" s="71"/>
      <c r="R38" s="71"/>
      <c r="S38" s="71"/>
      <c r="T38" s="71"/>
      <c r="U38" s="71"/>
      <c r="V38" s="71"/>
      <c r="W38" s="71"/>
      <c r="X38" s="71"/>
      <c r="Y38" s="71"/>
      <c r="Z38" s="71"/>
      <c r="AA38" s="71"/>
      <c r="AB38" s="71"/>
      <c r="AC38" s="71"/>
      <c r="AD38" s="71"/>
      <c r="AE38" s="71"/>
      <c r="AF38" s="71"/>
      <c r="AG38" s="71"/>
      <c r="AH38" s="71"/>
      <c r="AI38" s="71"/>
    </row>
    <row r="39" customFormat="false" ht="15" hidden="false" customHeight="false" outlineLevel="0" collapsed="false">
      <c r="A39" s="256" t="n">
        <f aca="false">IF(Horodateur1123353819223134374346495255586164698522263438465058546266707478829098941021061141181101221261301341381421461501541581621661701741781821861901941982022062102144101418222630343846505458[[#This Row],[Jour]]="1- Lundi",$B$1+1, IF(Horodateur1123353819223134374346495255586164698522263438465058546266707478829098941021061141181101221261301341381421461501541581621661701741781821861901941982022062102144101418222630343846505458[[#This Row],[Jour]]="2- Mardi",$B$1+2, IF(Horodateur1123353819223134374346495255586164698522263438465058546266707478829098941021061141181101221261301341381421461501541581621661701741781821861901941982022062102144101418222630343846505458[[#This Row],[Jour]]="3- Mercredi",$B$1+3, IF(Horodateur1123353819223134374346495255586164698522263438465058546266707478829098941021061141181101221261301341381421461501541581621661701741781821861901941982022062102144101418222630343846505458[[#This Row],[Jour]]="4- Jeudi",$B$1+4, IF(Horodateur1123353819223134374346495255586164698522263438465058546266707478829098941021061141181101221261301341381421461501541581621661701741781821861901941982022062102144101418222630343846505458[[#This Row],[Jour]]="5- Vendredi",$B$1+5, IF(Horodateur1123353819223134374346495255586164698522263438465058546266707478829098941021061141181101221261301341381421461501541581621661701741781821861901941982022062102144101418222630343846505458[[#This Row],[Jour]]="6- Samedi",$B$1+6, IF(Horodateur1123353819223134374346495255586164698522263438465058546266707478829098941021061141181101221261301341381421461501541581621661701741781821861901941982022062102144101418222630343846505458[[#This Row],[Jour]]="7- Dimanche",$B$1, )))))))</f>
        <v>44304</v>
      </c>
      <c r="B39" s="257" t="s">
        <v>341</v>
      </c>
      <c r="C39" s="258" t="n">
        <v>0.375</v>
      </c>
      <c r="D39" s="258" t="n">
        <v>0.395833333333333</v>
      </c>
      <c r="E39" s="71" t="s">
        <v>32</v>
      </c>
      <c r="F39" s="71" t="s">
        <v>21</v>
      </c>
      <c r="G39" s="259"/>
      <c r="H39" s="258" t="n">
        <f aca="false">IF($C39=0,"",$D39-$C39)</f>
        <v>0.0208333333333333</v>
      </c>
      <c r="I39" s="260" t="n">
        <f aca="false">IF($C39=0,"",($H39-INT($H39))*24)</f>
        <v>0.5</v>
      </c>
      <c r="J39" s="303" t="n">
        <f aca="false">SUMIF(Horodateur1123353819223134374346495255586164698522263438465058546266707478829098941021061141181101221261301341381421461501541581621661701741781821861901941982022062102144101418222630343846505458[Jour],$B39,Horodateur1123353819223134374346495255586164698522263438465058546266707478829098941021061141181101221261301341381421461501541581621661701741781821861901941982022062102144101418222630343846505458[Durée (100)])</f>
        <v>3</v>
      </c>
      <c r="K39" s="335"/>
      <c r="L39" s="336"/>
      <c r="M39" s="188" t="s">
        <v>31</v>
      </c>
      <c r="N39" s="272" t="n">
        <f aca="false">IF(Horodateur1123353819223134374346495255586164698522263438465058546266707478829098941021061141181101221261301341381421461501541581621661701741781821861901941982022062102144101418222630343846505458[[#This Row],[O]]="o",Horodateur1123353819223134374346495255586164698522263438465058546266707478829098941021061141181101221261301341381421461501541581621661701741781821861901941982022062102144101418222630343846505458[[#This Row],[Durée (100)]],".")</f>
        <v>0.5</v>
      </c>
      <c r="O39" s="337" t="n">
        <f aca="false">IF(L39 = "c", I39, 0)</f>
        <v>0</v>
      </c>
      <c r="P39" s="187"/>
      <c r="Q39" s="71"/>
      <c r="R39" s="71"/>
      <c r="S39" s="71"/>
      <c r="T39" s="71"/>
      <c r="U39" s="71"/>
      <c r="V39" s="71"/>
      <c r="W39" s="71"/>
      <c r="X39" s="71"/>
      <c r="Y39" s="71"/>
      <c r="Z39" s="71"/>
      <c r="AA39" s="71"/>
      <c r="AB39" s="71"/>
      <c r="AC39" s="71"/>
      <c r="AD39" s="71"/>
      <c r="AE39" s="71"/>
      <c r="AF39" s="71"/>
      <c r="AG39" s="71"/>
      <c r="AH39" s="71"/>
      <c r="AI39" s="71"/>
    </row>
    <row r="40" customFormat="false" ht="15" hidden="false" customHeight="false" outlineLevel="0" collapsed="false">
      <c r="A40" s="256" t="n">
        <f aca="false">IF(Horodateur1123353819223134374346495255586164698522263438465058546266707478829098941021061141181101221261301341381421461501541581621661701741781821861901941982022062102144101418222630343846505458[[#This Row],[Jour]]="1- Lundi",$B$1+1, IF(Horodateur1123353819223134374346495255586164698522263438465058546266707478829098941021061141181101221261301341381421461501541581621661701741781821861901941982022062102144101418222630343846505458[[#This Row],[Jour]]="2- Mardi",$B$1+2, IF(Horodateur1123353819223134374346495255586164698522263438465058546266707478829098941021061141181101221261301341381421461501541581621661701741781821861901941982022062102144101418222630343846505458[[#This Row],[Jour]]="3- Mercredi",$B$1+3, IF(Horodateur1123353819223134374346495255586164698522263438465058546266707478829098941021061141181101221261301341381421461501541581621661701741781821861901941982022062102144101418222630343846505458[[#This Row],[Jour]]="4- Jeudi",$B$1+4, IF(Horodateur1123353819223134374346495255586164698522263438465058546266707478829098941021061141181101221261301341381421461501541581621661701741781821861901941982022062102144101418222630343846505458[[#This Row],[Jour]]="5- Vendredi",$B$1+5, IF(Horodateur1123353819223134374346495255586164698522263438465058546266707478829098941021061141181101221261301341381421461501541581621661701741781821861901941982022062102144101418222630343846505458[[#This Row],[Jour]]="6- Samedi",$B$1+6, IF(Horodateur1123353819223134374346495255586164698522263438465058546266707478829098941021061141181101221261301341381421461501541581621661701741781821861901941982022062102144101418222630343846505458[[#This Row],[Jour]]="7- Dimanche",$B$1, )))))))</f>
        <v>44304</v>
      </c>
      <c r="B40" s="257" t="s">
        <v>341</v>
      </c>
      <c r="C40" s="258" t="n">
        <v>0.395833333333333</v>
      </c>
      <c r="D40" s="258" t="n">
        <v>0.458333333333333</v>
      </c>
      <c r="E40" s="71" t="s">
        <v>363</v>
      </c>
      <c r="F40" s="71" t="s">
        <v>378</v>
      </c>
      <c r="G40" s="259" t="s">
        <v>409</v>
      </c>
      <c r="H40" s="258" t="n">
        <f aca="false">IF($C40=0,"",$D40-$C40)</f>
        <v>0.0625</v>
      </c>
      <c r="I40" s="260" t="n">
        <f aca="false">IF($C40=0,"",($H40-INT($H40))*24)</f>
        <v>1.5</v>
      </c>
      <c r="J40" s="303" t="n">
        <f aca="false">SUMIF(Horodateur1123353819223134374346495255586164698522263438465058546266707478829098941021061141181101221261301341381421461501541581621661701741781821861901941982022062102144101418222630343846505458[Jour],$B40,Horodateur1123353819223134374346495255586164698522263438465058546266707478829098941021061141181101221261301341381421461501541581621661701741781821861901941982022062102144101418222630343846505458[Durée (100)])</f>
        <v>3</v>
      </c>
      <c r="K40" s="335"/>
      <c r="L40" s="336"/>
      <c r="M40" s="188" t="s">
        <v>31</v>
      </c>
      <c r="N40" s="272" t="n">
        <f aca="false">IF(Horodateur1123353819223134374346495255586164698522263438465058546266707478829098941021061141181101221261301341381421461501541581621661701741781821861901941982022062102144101418222630343846505458[[#This Row],[O]]="o",Horodateur1123353819223134374346495255586164698522263438465058546266707478829098941021061141181101221261301341381421461501541581621661701741781821861901941982022062102144101418222630343846505458[[#This Row],[Durée (100)]],".")</f>
        <v>1.5</v>
      </c>
      <c r="O40" s="337" t="n">
        <f aca="false">IF(L40 = "c", I40, 0)</f>
        <v>0</v>
      </c>
      <c r="P40" s="187"/>
      <c r="Q40" s="71"/>
      <c r="R40" s="71"/>
      <c r="S40" s="71"/>
      <c r="T40" s="71"/>
      <c r="U40" s="71"/>
      <c r="V40" s="71"/>
      <c r="W40" s="71"/>
      <c r="X40" s="71"/>
      <c r="Y40" s="71"/>
      <c r="Z40" s="71"/>
      <c r="AA40" s="71"/>
      <c r="AB40" s="71"/>
      <c r="AC40" s="71"/>
      <c r="AD40" s="71"/>
      <c r="AE40" s="71"/>
      <c r="AF40" s="71"/>
      <c r="AG40" s="71"/>
      <c r="AH40" s="71"/>
      <c r="AI40" s="71"/>
    </row>
    <row r="41" customFormat="false" ht="15" hidden="false" customHeight="false" outlineLevel="0" collapsed="false">
      <c r="A41" s="256" t="n">
        <f aca="false">IF(Horodateur1123353819223134374346495255586164698522263438465058546266707478829098941021061141181101221261301341381421461501541581621661701741781821861901941982022062102144101418222630343846505458[[#This Row],[Jour]]="1- Lundi",$B$1+1, IF(Horodateur1123353819223134374346495255586164698522263438465058546266707478829098941021061141181101221261301341381421461501541581621661701741781821861901941982022062102144101418222630343846505458[[#This Row],[Jour]]="2- Mardi",$B$1+2, IF(Horodateur1123353819223134374346495255586164698522263438465058546266707478829098941021061141181101221261301341381421461501541581621661701741781821861901941982022062102144101418222630343846505458[[#This Row],[Jour]]="3- Mercredi",$B$1+3, IF(Horodateur1123353819223134374346495255586164698522263438465058546266707478829098941021061141181101221261301341381421461501541581621661701741781821861901941982022062102144101418222630343846505458[[#This Row],[Jour]]="4- Jeudi",$B$1+4, IF(Horodateur1123353819223134374346495255586164698522263438465058546266707478829098941021061141181101221261301341381421461501541581621661701741781821861901941982022062102144101418222630343846505458[[#This Row],[Jour]]="5- Vendredi",$B$1+5, IF(Horodateur1123353819223134374346495255586164698522263438465058546266707478829098941021061141181101221261301341381421461501541581621661701741781821861901941982022062102144101418222630343846505458[[#This Row],[Jour]]="6- Samedi",$B$1+6, IF(Horodateur1123353819223134374346495255586164698522263438465058546266707478829098941021061141181101221261301341381421461501541581621661701741781821861901941982022062102144101418222630343846505458[[#This Row],[Jour]]="7- Dimanche",$B$1, )))))))</f>
        <v>44304</v>
      </c>
      <c r="B41" s="257" t="s">
        <v>341</v>
      </c>
      <c r="C41" s="258" t="n">
        <v>0.479166666666667</v>
      </c>
      <c r="D41" s="258" t="n">
        <v>0.520833333333333</v>
      </c>
      <c r="E41" s="71" t="s">
        <v>363</v>
      </c>
      <c r="F41" s="71" t="s">
        <v>378</v>
      </c>
      <c r="G41" s="259" t="s">
        <v>409</v>
      </c>
      <c r="H41" s="258" t="n">
        <f aca="false">IF($C41=0,"",$D41-$C41)</f>
        <v>0.0416666666666667</v>
      </c>
      <c r="I41" s="260" t="n">
        <f aca="false">IF($C41=0,"",($H41-INT($H41))*24)</f>
        <v>1</v>
      </c>
      <c r="J41" s="303" t="n">
        <f aca="false">SUMIF(Horodateur1123353819223134374346495255586164698522263438465058546266707478829098941021061141181101221261301341381421461501541581621661701741781821861901941982022062102144101418222630343846505458[Jour],$B41,Horodateur1123353819223134374346495255586164698522263438465058546266707478829098941021061141181101221261301341381421461501541581621661701741781821861901941982022062102144101418222630343846505458[Durée (100)])</f>
        <v>3</v>
      </c>
      <c r="K41" s="335"/>
      <c r="L41" s="336"/>
      <c r="M41" s="188" t="s">
        <v>31</v>
      </c>
      <c r="N41" s="272" t="n">
        <f aca="false">IF(Horodateur1123353819223134374346495255586164698522263438465058546266707478829098941021061141181101221261301341381421461501541581621661701741781821861901941982022062102144101418222630343846505458[[#This Row],[O]]="o",Horodateur1123353819223134374346495255586164698522263438465058546266707478829098941021061141181101221261301341381421461501541581621661701741781821861901941982022062102144101418222630343846505458[[#This Row],[Durée (100)]],".")</f>
        <v>1</v>
      </c>
      <c r="O41" s="337" t="n">
        <f aca="false">IF(L41 = "c", I41, 0)</f>
        <v>0</v>
      </c>
      <c r="P41" s="187"/>
      <c r="Q41" s="71"/>
      <c r="R41" s="71"/>
      <c r="S41" s="71"/>
      <c r="T41" s="71"/>
      <c r="U41" s="71"/>
      <c r="V41" s="71"/>
      <c r="W41" s="71"/>
      <c r="X41" s="71"/>
      <c r="Y41" s="71"/>
      <c r="Z41" s="71"/>
      <c r="AA41" s="71"/>
      <c r="AB41" s="71"/>
      <c r="AC41" s="71"/>
      <c r="AD41" s="71"/>
      <c r="AE41" s="71"/>
      <c r="AF41" s="71"/>
      <c r="AG41" s="71"/>
      <c r="AH41" s="71"/>
      <c r="AI41" s="71"/>
    </row>
    <row r="42" customFormat="false" ht="15" hidden="false" customHeight="false" outlineLevel="0" collapsed="false">
      <c r="A42" s="137"/>
      <c r="B42" s="187"/>
      <c r="C42" s="71"/>
      <c r="D42" s="1"/>
      <c r="E42" s="1"/>
      <c r="F42" s="71"/>
      <c r="G42" s="1"/>
      <c r="H42" s="1"/>
      <c r="I42" s="119"/>
      <c r="J42" s="271"/>
      <c r="K42" s="1"/>
      <c r="L42" s="1"/>
      <c r="M42" s="188"/>
      <c r="N42" s="272"/>
      <c r="O42" s="272"/>
      <c r="P42" s="187"/>
      <c r="Q42" s="71"/>
      <c r="R42" s="71"/>
      <c r="S42" s="71"/>
      <c r="T42" s="71"/>
      <c r="U42" s="71"/>
      <c r="V42" s="71"/>
      <c r="W42" s="71"/>
      <c r="X42" s="71"/>
      <c r="Y42" s="71"/>
      <c r="Z42" s="71"/>
      <c r="AA42" s="71"/>
      <c r="AB42" s="71"/>
      <c r="AC42" s="71"/>
      <c r="AD42" s="71"/>
      <c r="AE42" s="71"/>
      <c r="AF42" s="71"/>
      <c r="AG42" s="71"/>
      <c r="AH42" s="71"/>
      <c r="AI42" s="71"/>
    </row>
    <row r="43" customFormat="false" ht="15" hidden="false" customHeight="false" outlineLevel="0" collapsed="false">
      <c r="A43" s="137"/>
      <c r="B43" s="187"/>
      <c r="C43" s="71"/>
      <c r="D43" s="1"/>
      <c r="E43" s="1"/>
      <c r="F43" s="71"/>
      <c r="G43" s="1"/>
      <c r="H43" s="1"/>
      <c r="I43" s="119"/>
      <c r="J43" s="271"/>
      <c r="K43" s="1"/>
      <c r="L43" s="1"/>
      <c r="M43" s="188"/>
      <c r="N43" s="272"/>
      <c r="O43" s="272"/>
      <c r="P43" s="187"/>
      <c r="Q43" s="71"/>
      <c r="R43" s="71"/>
      <c r="S43" s="71"/>
      <c r="T43" s="71"/>
      <c r="U43" s="71"/>
      <c r="V43" s="71"/>
      <c r="W43" s="71"/>
      <c r="X43" s="71"/>
      <c r="Y43" s="71"/>
      <c r="Z43" s="71"/>
      <c r="AA43" s="71"/>
      <c r="AB43" s="71"/>
      <c r="AC43" s="71"/>
      <c r="AD43" s="71"/>
      <c r="AE43" s="71"/>
      <c r="AF43" s="71"/>
      <c r="AG43" s="71"/>
      <c r="AH43" s="71"/>
      <c r="AI43" s="71"/>
    </row>
    <row r="44" customFormat="false" ht="15" hidden="false" customHeight="false" outlineLevel="0" collapsed="false">
      <c r="A44" s="137"/>
      <c r="B44" s="187"/>
      <c r="C44" s="71"/>
      <c r="D44" s="1"/>
      <c r="E44" s="1"/>
      <c r="F44" s="71"/>
      <c r="G44" s="1"/>
      <c r="H44" s="1"/>
      <c r="I44" s="119"/>
      <c r="J44" s="271"/>
      <c r="K44" s="1"/>
      <c r="L44" s="1"/>
      <c r="M44" s="188"/>
      <c r="P44" s="187"/>
      <c r="Q44" s="71"/>
      <c r="R44" s="71"/>
      <c r="S44" s="71"/>
      <c r="T44" s="71"/>
      <c r="U44" s="71"/>
      <c r="V44" s="71"/>
      <c r="W44" s="71"/>
      <c r="X44" s="71"/>
      <c r="Y44" s="71"/>
      <c r="Z44" s="71"/>
      <c r="AA44" s="71"/>
      <c r="AB44" s="71"/>
      <c r="AC44" s="71"/>
      <c r="AD44" s="71"/>
      <c r="AE44" s="71"/>
      <c r="AF44" s="71"/>
      <c r="AG44" s="71"/>
      <c r="AH44" s="71"/>
      <c r="AI44" s="71"/>
    </row>
    <row r="45" customFormat="false" ht="15" hidden="false" customHeight="false" outlineLevel="0" collapsed="false">
      <c r="A45" s="274" t="s">
        <v>377</v>
      </c>
      <c r="B45" s="275" t="str">
        <f aca="false">SUM($A$91:$A$521) &amp; " heures"</f>
        <v>26.75 heures</v>
      </c>
      <c r="C45" s="276" t="str">
        <f aca="false">SUM($A$91:$A$512) / 8 &amp; " Jours"</f>
        <v>3.34375 Jours</v>
      </c>
      <c r="D45" s="277"/>
      <c r="E45" s="277" t="n">
        <v>33.25</v>
      </c>
      <c r="F45" s="278" t="n">
        <f aca="false">E45/8</f>
        <v>4.15625</v>
      </c>
      <c r="G45" s="277"/>
      <c r="H45" s="277"/>
      <c r="I45" s="279"/>
      <c r="J45" s="280"/>
      <c r="K45" s="277"/>
      <c r="L45" s="277"/>
      <c r="M45" s="281"/>
      <c r="N45" s="282"/>
      <c r="O45" s="282"/>
      <c r="P45" s="283"/>
      <c r="Q45" s="277"/>
      <c r="R45" s="277"/>
      <c r="S45" s="277"/>
      <c r="T45" s="277"/>
      <c r="U45" s="277"/>
      <c r="V45" s="277"/>
      <c r="W45" s="278"/>
      <c r="X45" s="278"/>
      <c r="Y45" s="278"/>
      <c r="Z45" s="278"/>
      <c r="AA45" s="278"/>
      <c r="AB45" s="278"/>
      <c r="AC45" s="278"/>
      <c r="AD45" s="278"/>
      <c r="AE45" s="278"/>
      <c r="AF45" s="278"/>
      <c r="AG45" s="278"/>
      <c r="AH45" s="278"/>
      <c r="AI45" s="278"/>
    </row>
    <row r="46" customFormat="false" ht="15" hidden="false" customHeight="false" outlineLevel="0" collapsed="false">
      <c r="A46" s="137"/>
      <c r="B46" s="187"/>
      <c r="C46" s="71"/>
      <c r="D46" s="1"/>
      <c r="E46" s="1"/>
      <c r="F46" s="71"/>
      <c r="G46" s="1"/>
      <c r="H46" s="1"/>
      <c r="I46" s="119"/>
      <c r="J46" s="271"/>
      <c r="K46" s="1"/>
      <c r="L46" s="1"/>
      <c r="M46" s="188"/>
      <c r="N46" s="272"/>
      <c r="O46" s="272"/>
      <c r="P46" s="187"/>
      <c r="Q46" s="1"/>
      <c r="R46" s="1"/>
      <c r="S46" s="1"/>
      <c r="T46" s="1"/>
      <c r="U46" s="1"/>
      <c r="V46" s="1"/>
      <c r="W46" s="71"/>
      <c r="X46" s="71"/>
      <c r="Y46" s="71"/>
      <c r="Z46" s="71"/>
      <c r="AA46" s="71"/>
      <c r="AB46" s="71"/>
      <c r="AC46" s="71"/>
      <c r="AD46" s="71"/>
      <c r="AE46" s="71"/>
      <c r="AF46" s="71"/>
      <c r="AG46" s="71"/>
      <c r="AH46" s="71"/>
      <c r="AI46" s="71"/>
    </row>
    <row r="47" customFormat="false" ht="15" hidden="true" customHeight="false" outlineLevel="1" collapsed="false">
      <c r="A47" s="137"/>
      <c r="B47" s="137"/>
      <c r="C47" s="137"/>
      <c r="D47" s="137"/>
      <c r="E47" s="1"/>
      <c r="F47" s="71"/>
      <c r="G47" s="1"/>
      <c r="H47" s="1"/>
      <c r="I47" s="119"/>
      <c r="J47" s="271"/>
      <c r="K47" s="1"/>
      <c r="L47" s="1"/>
      <c r="M47" s="188"/>
      <c r="N47" s="272"/>
      <c r="O47" s="272"/>
      <c r="P47" s="187"/>
      <c r="Q47" s="1"/>
      <c r="R47" s="1"/>
      <c r="S47" s="1"/>
      <c r="T47" s="1"/>
      <c r="U47" s="1"/>
      <c r="V47" s="1"/>
      <c r="W47" s="71"/>
      <c r="X47" s="71"/>
      <c r="Y47" s="71"/>
      <c r="Z47" s="71"/>
      <c r="AA47" s="71"/>
      <c r="AB47" s="71"/>
      <c r="AC47" s="71"/>
      <c r="AD47" s="71"/>
      <c r="AE47" s="71"/>
      <c r="AF47" s="71"/>
      <c r="AG47" s="71"/>
      <c r="AH47" s="71"/>
      <c r="AI47" s="71"/>
    </row>
    <row r="48" customFormat="false" ht="15" hidden="true" customHeight="false" outlineLevel="1" collapsed="false">
      <c r="A48" s="284" t="s">
        <v>84</v>
      </c>
      <c r="B48" s="285" t="s">
        <v>21</v>
      </c>
      <c r="C48" s="285" t="s">
        <v>20</v>
      </c>
      <c r="D48" s="285" t="s">
        <v>23</v>
      </c>
      <c r="E48" s="285" t="s">
        <v>25</v>
      </c>
      <c r="F48" s="285" t="s">
        <v>26</v>
      </c>
      <c r="G48" s="285" t="s">
        <v>378</v>
      </c>
      <c r="H48" s="285" t="s">
        <v>379</v>
      </c>
      <c r="I48" s="285" t="s">
        <v>380</v>
      </c>
      <c r="J48" s="286" t="s">
        <v>58</v>
      </c>
      <c r="K48" s="287"/>
      <c r="L48" s="287"/>
      <c r="M48" s="288"/>
      <c r="N48" s="289"/>
      <c r="O48" s="289"/>
      <c r="P48" s="187"/>
      <c r="Q48" s="1"/>
      <c r="R48" s="1"/>
      <c r="S48" s="1"/>
      <c r="T48" s="1"/>
      <c r="U48" s="1"/>
      <c r="V48" s="71"/>
      <c r="W48" s="71"/>
      <c r="X48" s="71"/>
      <c r="Y48" s="71"/>
      <c r="Z48" s="71"/>
      <c r="AA48" s="71"/>
      <c r="AB48" s="71"/>
      <c r="AC48" s="71"/>
      <c r="AD48" s="71"/>
      <c r="AE48" s="71"/>
      <c r="AF48" s="71"/>
      <c r="AG48" s="71"/>
      <c r="AH48" s="71"/>
    </row>
    <row r="49" customFormat="false" ht="15" hidden="true" customHeight="false" outlineLevel="1" collapsed="false">
      <c r="A49" s="187" t="s">
        <v>312</v>
      </c>
      <c r="B49" s="71" t="n">
        <f aca="false">SUMIFS(Horodateur1123353819223134374346495255586164698522263438465058546266707478829098941021061141181101221261301341381421461501541581621661701741781821861901941982022062102144101418222630343846505458[Durée (100)],Horodateur1123353819223134374346495255586164698522263438465058546266707478829098941021061141181101221261301341381421461501541581621661701741781821861901941982022062102144101418222630343846505458[Tâche],Taches_Jours122436391720293235414447505356596267832024323644485652606468727680889692100104112116108120124128132136140144148152156160164168172176180184188192196200204208212261216202428323644485256[[#Headers],[GB]],Horodateur1123353819223134374346495255586164698522263438465058546266707478829098941021061141181101221261301341381421461501541581621661701741781821861901941982022062102144101418222630343846505458[Jour],Taches_Jours122436391720293235414447505356596267832024323644485652606468727680889692100104112116108120124128132136140144148152156160164168172176180184188192196200204208212261216202428323644485256[[#This Row],[Jours]])</f>
        <v>0.75</v>
      </c>
      <c r="C49" s="71" t="n">
        <f aca="false">SUMIFS(Horodateur1123353819223134374346495255586164698522263438465058546266707478829098941021061141181101221261301341381421461501541581621661701741781821861901941982022062102144101418222630343846505458[Durée (100)],Horodateur1123353819223134374346495255586164698522263438465058546266707478829098941021061141181101221261301341381421461501541581621661701741781821861901941982022062102144101418222630343846505458[Tâche],Taches_Jours122436391720293235414447505356596267832024323644485652606468727680889692100104112116108120124128132136140144148152156160164168172176180184188192196200204208212261216202428323644485256[[#Headers],[RI]],Horodateur1123353819223134374346495255586164698522263438465058546266707478829098941021061141181101221261301341381421461501541581621661701741781821861901941982022062102144101418222630343846505458[Jour],Taches_Jours122436391720293235414447505356596267832024323644485652606468727680889692100104112116108120124128132136140144148152156160164168172176180184188192196200204208212261216202428323644485256[[#This Row],[Jours]])</f>
        <v>0.500000000000001</v>
      </c>
      <c r="D49" s="71" t="n">
        <f aca="false">SUMIFS(Horodateur1123353819223134374346495255586164698522263438465058546266707478829098941021061141181101221261301341381421461501541581621661701741781821861901941982022062102144101418222630343846505458[Durée (100)],Horodateur1123353819223134374346495255586164698522263438465058546266707478829098941021061141181101221261301341381421461501541581621661701741781821861901941982022062102144101418222630343846505458[Tâche],Taches_Jours122436391720293235414447505356596267832024323644485652606468727680889692100104112116108120124128132136140144148152156160164168172176180184188192196200204208212261216202428323644485256[[#Headers],[FG]],Horodateur1123353819223134374346495255586164698522263438465058546266707478829098941021061141181101221261301341381421461501541581621661701741781821861901941982022062102144101418222630343846505458[Jour],Taches_Jours122436391720293235414447505356596267832024323644485652606468727680889692100104112116108120124128132136140144148152156160164168172176180184188192196200204208212261216202428323644485256[[#This Row],[Jours]])</f>
        <v>0</v>
      </c>
      <c r="E49" s="71" t="n">
        <f aca="false">SUMIFS(Horodateur1123353819223134374346495255586164698522263438465058546266707478829098941021061141181101221261301341381421461501541581621661701741781821861901941982022062102144101418222630343846505458[Durée (100)],Horodateur1123353819223134374346495255586164698522263438465058546266707478829098941021061141181101221261301341381421461501541581621661701741781821861901941982022062102144101418222630343846505458[Tâche],Taches_Jours122436391720293235414447505356596267832024323644485652606468727680889692100104112116108120124128132136140144148152156160164168172176180184188192196200204208212261216202428323644485256[[#Headers],[PS]],Horodateur1123353819223134374346495255586164698522263438465058546266707478829098941021061141181101221261301341381421461501541581621661701741781821861901941982022062102144101418222630343846505458[Jour],Taches_Jours122436391720293235414447505356596267832024323644485652606468727680889692100104112116108120124128132136140144148152156160164168172176180184188192196200204208212261216202428323644485256[[#This Row],[Jours]])</f>
        <v>0</v>
      </c>
      <c r="F49" s="71" t="n">
        <f aca="false">SUMIFS(Horodateur1123353819223134374346495255586164698522263438465058546266707478829098941021061141181101221261301341381421461501541581621661701741781821861901941982022062102144101418222630343846505458[Durée (100)],Horodateur1123353819223134374346495255586164698522263438465058546266707478829098941021061141181101221261301341381421461501541581621661701741781821861901941982022062102144101418222630343846505458[Tâche],Taches_Jours122436391720293235414447505356596267832024323644485652606468727680889692100104112116108120124128132136140144148152156160164168172176180184188192196200204208212261216202428323644485256[[#Headers],[TD]],Horodateur1123353819223134374346495255586164698522263438465058546266707478829098941021061141181101221261301341381421461501541581621661701741781821861901941982022062102144101418222630343846505458[Jour],Taches_Jours122436391720293235414447505356596267832024323644485652606468727680889692100104112116108120124128132136140144148152156160164168172176180184188192196200204208212261216202428323644485256[[#This Row],[Jours]])</f>
        <v>0</v>
      </c>
      <c r="G49" s="71" t="n">
        <f aca="false">SUMIFS(Horodateur1123353819223134374346495255586164698522263438465058546266707478829098941021061141181101221261301341381421461501541581621661701741781821861901941982022062102144101418222630343846505458[Durée (100)],Horodateur1123353819223134374346495255586164698522263438465058546266707478829098941021061141181101221261301341381421461501541581621661701741781821861901941982022062102144101418222630343846505458[Tâche],Taches_Jours122436391720293235414447505356596267832024323644485652606468727680889692100104112116108120124128132136140144148152156160164168172176180184188192196200204208212261216202428323644485256[[#Headers],[GP]],Horodateur1123353819223134374346495255586164698522263438465058546266707478829098941021061141181101221261301341381421461501541581621661701741781821861901941982022062102144101418222630343846505458[Jour],Taches_Jours122436391720293235414447505356596267832024323644485652606468727680889692100104112116108120124128132136140144148152156160164168172176180184188192196200204208212261216202428323644485256[[#This Row],[Jours]])</f>
        <v>4.5</v>
      </c>
      <c r="H49" s="71" t="n">
        <f aca="false">SUMIFS(Horodateur1123353819223134374346495255586164698522263438465058546266707478829098941021061141181101221261301341381421461501541581621661701741781821861901941982022062102144101418222630343846505458[Durée (100)],Horodateur1123353819223134374346495255586164698522263438465058546266707478829098941021061141181101221261301341381421461501541581621661701741781821861901941982022062102144101418222630343846505458[Tâche],Taches_Jours122436391720293235414447505356596267832024323644485652606468727680889692100104112116108120124128132136140144148152156160164168172176180184188192196200204208212261216202428323644485256[[#Headers],[GP / SP]],Horodateur1123353819223134374346495255586164698522263438465058546266707478829098941021061141181101221261301341381421461501541581621661701741781821861901941982022062102144101418222630343846505458[Jour],Taches_Jours122436391720293235414447505356596267832024323644485652606468727680889692100104112116108120124128132136140144148152156160164168172176180184188192196200204208212261216202428323644485256[[#This Row],[Jours]])</f>
        <v>0.500000000000001</v>
      </c>
      <c r="I49" s="71" t="n">
        <f aca="false">SUMIFS(Horodateur1123353819223134374346495255586164698522263438465058546266707478829098941021061141181101221261301341381421461501541581621661701741781821861901941982022062102144101418222630343846505458[Durée (100)],Horodateur1123353819223134374346495255586164698522263438465058546266707478829098941021061141181101221261301341381421461501541581621661701741781821861901941982022062102144101418222630343846505458[Tâche],Taches_Jours122436391720293235414447505356596267832024323644485652606468727680889692100104112116108120124128132136140144148152156160164168172176180184188192196200204208212261216202428323644485256[[#Headers],[GP / SP]],Horodateur1123353819223134374346495255586164698522263438465058546266707478829098941021061141181101221261301341381421461501541581621661701741781821861901941982022062102144101418222630343846505458[Jour],Taches_Jours122436391720293235414447505356596267832024323644485652606468727680889692100104112116108120124128132136140144148152156160164168172176180184188192196200204208212261216202428323644485256[[#This Row],[Jours]])</f>
        <v>0.500000000000001</v>
      </c>
      <c r="J49" s="290" t="n">
        <f aca="false">SUM(Taches_Jours122436391720293235414447505356596267832024323644485652606468727680889692100104112116108120124128132136140144148152156160164168172176180184188192196200204208212261216202428323644485256[[#This Row],[GB]:[GP / SP]])</f>
        <v>6.25</v>
      </c>
      <c r="K49" s="188"/>
      <c r="L49" s="188"/>
      <c r="M49" s="288"/>
      <c r="N49" s="289"/>
      <c r="O49" s="289"/>
      <c r="P49" s="187"/>
      <c r="Q49" s="1"/>
      <c r="R49" s="1"/>
      <c r="S49" s="1"/>
      <c r="T49" s="1"/>
      <c r="U49" s="1"/>
      <c r="V49" s="71"/>
      <c r="W49" s="71"/>
      <c r="X49" s="71"/>
      <c r="Y49" s="71"/>
      <c r="Z49" s="71"/>
      <c r="AA49" s="71"/>
      <c r="AB49" s="71"/>
      <c r="AC49" s="71"/>
      <c r="AD49" s="71"/>
      <c r="AE49" s="71"/>
      <c r="AF49" s="71"/>
      <c r="AG49" s="71"/>
      <c r="AH49" s="71"/>
    </row>
    <row r="50" customFormat="false" ht="15" hidden="true" customHeight="false" outlineLevel="1" collapsed="false">
      <c r="A50" s="187" t="s">
        <v>319</v>
      </c>
      <c r="B50" s="71" t="n">
        <f aca="false">SUMIFS(Horodateur1123353819223134374346495255586164698522263438465058546266707478829098941021061141181101221261301341381421461501541581621661701741781821861901941982022062102144101418222630343846505458[Durée (100)],Horodateur1123353819223134374346495255586164698522263438465058546266707478829098941021061141181101221261301341381421461501541581621661701741781821861901941982022062102144101418222630343846505458[Tâche],Taches_Jours122436391720293235414447505356596267832024323644485652606468727680889692100104112116108120124128132136140144148152156160164168172176180184188192196200204208212261216202428323644485256[[#Headers],[GB]],Horodateur1123353819223134374346495255586164698522263438465058546266707478829098941021061141181101221261301341381421461501541581621661701741781821861901941982022062102144101418222630343846505458[Jour],Taches_Jours122436391720293235414447505356596267832024323644485652606468727680889692100104112116108120124128132136140144148152156160164168172176180184188192196200204208212261216202428323644485256[[#This Row],[Jours]])</f>
        <v>0.5</v>
      </c>
      <c r="C50" s="71" t="n">
        <f aca="false">SUMIFS(Horodateur1123353819223134374346495255586164698522263438465058546266707478829098941021061141181101221261301341381421461501541581621661701741781821861901941982022062102144101418222630343846505458[Durée (100)],Horodateur1123353819223134374346495255586164698522263438465058546266707478829098941021061141181101221261301341381421461501541581621661701741781821861901941982022062102144101418222630343846505458[Tâche],Taches_Jours122436391720293235414447505356596267832024323644485652606468727680889692100104112116108120124128132136140144148152156160164168172176180184188192196200204208212261216202428323644485256[[#Headers],[RI]],Horodateur1123353819223134374346495255586164698522263438465058546266707478829098941021061141181101221261301341381421461501541581621661701741781821861901941982022062102144101418222630343846505458[Jour],Taches_Jours122436391720293235414447505356596267832024323644485652606468727680889692100104112116108120124128132136140144148152156160164168172176180184188192196200204208212261216202428323644485256[[#This Row],[Jours]])</f>
        <v>0</v>
      </c>
      <c r="D50" s="71" t="n">
        <f aca="false">SUMIFS(Horodateur1123353819223134374346495255586164698522263438465058546266707478829098941021061141181101221261301341381421461501541581621661701741781821861901941982022062102144101418222630343846505458[Durée (100)],Horodateur1123353819223134374346495255586164698522263438465058546266707478829098941021061141181101221261301341381421461501541581621661701741781821861901941982022062102144101418222630343846505458[Tâche],Taches_Jours122436391720293235414447505356596267832024323644485652606468727680889692100104112116108120124128132136140144148152156160164168172176180184188192196200204208212261216202428323644485256[[#Headers],[FG]],Horodateur1123353819223134374346495255586164698522263438465058546266707478829098941021061141181101221261301341381421461501541581621661701741781821861901941982022062102144101418222630343846505458[Jour],Taches_Jours122436391720293235414447505356596267832024323644485652606468727680889692100104112116108120124128132136140144148152156160164168172176180184188192196200204208212261216202428323644485256[[#This Row],[Jours]])</f>
        <v>0</v>
      </c>
      <c r="E50" s="71" t="n">
        <f aca="false">SUMIFS(Horodateur1123353819223134374346495255586164698522263438465058546266707478829098941021061141181101221261301341381421461501541581621661701741781821861901941982022062102144101418222630343846505458[Durée (100)],Horodateur1123353819223134374346495255586164698522263438465058546266707478829098941021061141181101221261301341381421461501541581621661701741781821861901941982022062102144101418222630343846505458[Tâche],Taches_Jours122436391720293235414447505356596267832024323644485652606468727680889692100104112116108120124128132136140144148152156160164168172176180184188192196200204208212261216202428323644485256[[#Headers],[PS]],Horodateur1123353819223134374346495255586164698522263438465058546266707478829098941021061141181101221261301341381421461501541581621661701741781821861901941982022062102144101418222630343846505458[Jour],Taches_Jours122436391720293235414447505356596267832024323644485652606468727680889692100104112116108120124128132136140144148152156160164168172176180184188192196200204208212261216202428323644485256[[#This Row],[Jours]])</f>
        <v>0</v>
      </c>
      <c r="F50" s="71" t="n">
        <f aca="false">SUMIFS(Horodateur1123353819223134374346495255586164698522263438465058546266707478829098941021061141181101221261301341381421461501541581621661701741781821861901941982022062102144101418222630343846505458[Durée (100)],Horodateur1123353819223134374346495255586164698522263438465058546266707478829098941021061141181101221261301341381421461501541581621661701741781821861901941982022062102144101418222630343846505458[Tâche],Taches_Jours122436391720293235414447505356596267832024323644485652606468727680889692100104112116108120124128132136140144148152156160164168172176180184188192196200204208212261216202428323644485256[[#Headers],[TD]],Horodateur1123353819223134374346495255586164698522263438465058546266707478829098941021061141181101221261301341381421461501541581621661701741781821861901941982022062102144101418222630343846505458[Jour],Taches_Jours122436391720293235414447505356596267832024323644485652606468727680889692100104112116108120124128132136140144148152156160164168172176180184188192196200204208212261216202428323644485256[[#This Row],[Jours]])</f>
        <v>0</v>
      </c>
      <c r="G50" s="71" t="n">
        <f aca="false">SUMIFS(Horodateur1123353819223134374346495255586164698522263438465058546266707478829098941021061141181101221261301341381421461501541581621661701741781821861901941982022062102144101418222630343846505458[Durée (100)],Horodateur1123353819223134374346495255586164698522263438465058546266707478829098941021061141181101221261301341381421461501541581621661701741781821861901941982022062102144101418222630343846505458[Tâche],Taches_Jours122436391720293235414447505356596267832024323644485652606468727680889692100104112116108120124128132136140144148152156160164168172176180184188192196200204208212261216202428323644485256[[#Headers],[GP]],Horodateur1123353819223134374346495255586164698522263438465058546266707478829098941021061141181101221261301341381421461501541581621661701741781821861901941982022062102144101418222630343846505458[Jour],Taches_Jours122436391720293235414447505356596267832024323644485652606468727680889692100104112116108120124128132136140144148152156160164168172176180184188192196200204208212261216202428323644485256[[#This Row],[Jours]])</f>
        <v>6</v>
      </c>
      <c r="H50" s="71" t="n">
        <f aca="false">SUMIFS(Horodateur1123353819223134374346495255586164698522263438465058546266707478829098941021061141181101221261301341381421461501541581621661701741781821861901941982022062102144101418222630343846505458[Durée (100)],Horodateur1123353819223134374346495255586164698522263438465058546266707478829098941021061141181101221261301341381421461501541581621661701741781821861901941982022062102144101418222630343846505458[Tâche],Taches_Jours122436391720293235414447505356596267832024323644485652606468727680889692100104112116108120124128132136140144148152156160164168172176180184188192196200204208212261216202428323644485256[[#Headers],[GP / SP]],Horodateur1123353819223134374346495255586164698522263438465058546266707478829098941021061141181101221261301341381421461501541581621661701741781821861901941982022062102144101418222630343846505458[Jour],Taches_Jours122436391720293235414447505356596267832024323644485652606468727680889692100104112116108120124128132136140144148152156160164168172176180184188192196200204208212261216202428323644485256[[#This Row],[Jours]])</f>
        <v>0.5</v>
      </c>
      <c r="I50" s="71" t="n">
        <f aca="false">SUMIFS(Horodateur1123353819223134374346495255586164698522263438465058546266707478829098941021061141181101221261301341381421461501541581621661701741781821861901941982022062102144101418222630343846505458[Durée (100)],Horodateur1123353819223134374346495255586164698522263438465058546266707478829098941021061141181101221261301341381421461501541581621661701741781821861901941982022062102144101418222630343846505458[Tâche],Taches_Jours122436391720293235414447505356596267832024323644485652606468727680889692100104112116108120124128132136140144148152156160164168172176180184188192196200204208212261216202428323644485256[[#Headers],[GP / SP]],Horodateur1123353819223134374346495255586164698522263438465058546266707478829098941021061141181101221261301341381421461501541581621661701741781821861901941982022062102144101418222630343846505458[Jour],Taches_Jours122436391720293235414447505356596267832024323644485652606468727680889692100104112116108120124128132136140144148152156160164168172176180184188192196200204208212261216202428323644485256[[#This Row],[Jours]])</f>
        <v>0.5</v>
      </c>
      <c r="J50" s="290" t="n">
        <f aca="false">SUM(Taches_Jours122436391720293235414447505356596267832024323644485652606468727680889692100104112116108120124128132136140144148152156160164168172176180184188192196200204208212261216202428323644485256[[#This Row],[GB]:[GP / SP]])</f>
        <v>7</v>
      </c>
      <c r="K50" s="188"/>
      <c r="L50" s="188"/>
      <c r="M50" s="288"/>
      <c r="N50" s="289"/>
      <c r="O50" s="289"/>
      <c r="P50" s="187"/>
      <c r="Q50" s="1"/>
      <c r="R50" s="1"/>
      <c r="S50" s="1"/>
      <c r="T50" s="1"/>
      <c r="U50" s="1"/>
      <c r="V50" s="71"/>
      <c r="W50" s="71"/>
      <c r="X50" s="71"/>
      <c r="Y50" s="71"/>
      <c r="Z50" s="71"/>
      <c r="AA50" s="71"/>
      <c r="AB50" s="71"/>
      <c r="AC50" s="71"/>
      <c r="AD50" s="71"/>
      <c r="AE50" s="71"/>
      <c r="AF50" s="71"/>
      <c r="AG50" s="71"/>
      <c r="AH50" s="71"/>
    </row>
    <row r="51" customFormat="false" ht="15" hidden="true" customHeight="false" outlineLevel="1" collapsed="false">
      <c r="A51" s="187" t="s">
        <v>324</v>
      </c>
      <c r="B51" s="71" t="n">
        <f aca="false">SUMIFS(Horodateur1123353819223134374346495255586164698522263438465058546266707478829098941021061141181101221261301341381421461501541581621661701741781821861901941982022062102144101418222630343846505458[Durée (100)],Horodateur1123353819223134374346495255586164698522263438465058546266707478829098941021061141181101221261301341381421461501541581621661701741781821861901941982022062102144101418222630343846505458[Tâche],Taches_Jours122436391720293235414447505356596267832024323644485652606468727680889692100104112116108120124128132136140144148152156160164168172176180184188192196200204208212261216202428323644485256[[#Headers],[GB]],Horodateur1123353819223134374346495255586164698522263438465058546266707478829098941021061141181101221261301341381421461501541581621661701741781821861901941982022062102144101418222630343846505458[Jour],Taches_Jours122436391720293235414447505356596267832024323644485652606468727680889692100104112116108120124128132136140144148152156160164168172176180184188192196200204208212261216202428323644485256[[#This Row],[Jours]])</f>
        <v>0</v>
      </c>
      <c r="C51" s="71" t="n">
        <f aca="false">SUMIFS(Horodateur1123353819223134374346495255586164698522263438465058546266707478829098941021061141181101221261301341381421461501541581621661701741781821861901941982022062102144101418222630343846505458[Durée (100)],Horodateur1123353819223134374346495255586164698522263438465058546266707478829098941021061141181101221261301341381421461501541581621661701741781821861901941982022062102144101418222630343846505458[Tâche],Taches_Jours122436391720293235414447505356596267832024323644485652606468727680889692100104112116108120124128132136140144148152156160164168172176180184188192196200204208212261216202428323644485256[[#Headers],[RI]],Horodateur1123353819223134374346495255586164698522263438465058546266707478829098941021061141181101221261301341381421461501541581621661701741781821861901941982022062102144101418222630343846505458[Jour],Taches_Jours122436391720293235414447505356596267832024323644485652606468727680889692100104112116108120124128132136140144148152156160164168172176180184188192196200204208212261216202428323644485256[[#This Row],[Jours]])</f>
        <v>0</v>
      </c>
      <c r="D51" s="71" t="n">
        <f aca="false">SUMIFS(Horodateur1123353819223134374346495255586164698522263438465058546266707478829098941021061141181101221261301341381421461501541581621661701741781821861901941982022062102144101418222630343846505458[Durée (100)],Horodateur1123353819223134374346495255586164698522263438465058546266707478829098941021061141181101221261301341381421461501541581621661701741781821861901941982022062102144101418222630343846505458[Tâche],Taches_Jours122436391720293235414447505356596267832024323644485652606468727680889692100104112116108120124128132136140144148152156160164168172176180184188192196200204208212261216202428323644485256[[#Headers],[FG]],Horodateur1123353819223134374346495255586164698522263438465058546266707478829098941021061141181101221261301341381421461501541581621661701741781821861901941982022062102144101418222630343846505458[Jour],Taches_Jours122436391720293235414447505356596267832024323644485652606468727680889692100104112116108120124128132136140144148152156160164168172176180184188192196200204208212261216202428323644485256[[#This Row],[Jours]])</f>
        <v>2</v>
      </c>
      <c r="E51" s="71" t="n">
        <f aca="false">SUMIFS(Horodateur1123353819223134374346495255586164698522263438465058546266707478829098941021061141181101221261301341381421461501541581621661701741781821861901941982022062102144101418222630343846505458[Durée (100)],Horodateur1123353819223134374346495255586164698522263438465058546266707478829098941021061141181101221261301341381421461501541581621661701741781821861901941982022062102144101418222630343846505458[Tâche],Taches_Jours122436391720293235414447505356596267832024323644485652606468727680889692100104112116108120124128132136140144148152156160164168172176180184188192196200204208212261216202428323644485256[[#Headers],[PS]],Horodateur1123353819223134374346495255586164698522263438465058546266707478829098941021061141181101221261301341381421461501541581621661701741781821861901941982022062102144101418222630343846505458[Jour],Taches_Jours122436391720293235414447505356596267832024323644485652606468727680889692100104112116108120124128132136140144148152156160164168172176180184188192196200204208212261216202428323644485256[[#This Row],[Jours]])</f>
        <v>0</v>
      </c>
      <c r="F51" s="71" t="n">
        <f aca="false">SUMIFS(Horodateur1123353819223134374346495255586164698522263438465058546266707478829098941021061141181101221261301341381421461501541581621661701741781821861901941982022062102144101418222630343846505458[Durée (100)],Horodateur1123353819223134374346495255586164698522263438465058546266707478829098941021061141181101221261301341381421461501541581621661701741781821861901941982022062102144101418222630343846505458[Tâche],Taches_Jours122436391720293235414447505356596267832024323644485652606468727680889692100104112116108120124128132136140144148152156160164168172176180184188192196200204208212261216202428323644485256[[#Headers],[TD]],Horodateur1123353819223134374346495255586164698522263438465058546266707478829098941021061141181101221261301341381421461501541581621661701741781821861901941982022062102144101418222630343846505458[Jour],Taches_Jours122436391720293235414447505356596267832024323644485652606468727680889692100104112116108120124128132136140144148152156160164168172176180184188192196200204208212261216202428323644485256[[#This Row],[Jours]])</f>
        <v>0</v>
      </c>
      <c r="G51" s="71" t="n">
        <f aca="false">SUMIFS(Horodateur1123353819223134374346495255586164698522263438465058546266707478829098941021061141181101221261301341381421461501541581621661701741781821861901941982022062102144101418222630343846505458[Durée (100)],Horodateur1123353819223134374346495255586164698522263438465058546266707478829098941021061141181101221261301341381421461501541581621661701741781821861901941982022062102144101418222630343846505458[Tâche],Taches_Jours122436391720293235414447505356596267832024323644485652606468727680889692100104112116108120124128132136140144148152156160164168172176180184188192196200204208212261216202428323644485256[[#Headers],[GP]],Horodateur1123353819223134374346495255586164698522263438465058546266707478829098941021061141181101221261301341381421461501541581621661701741781821861901941982022062102144101418222630343846505458[Jour],Taches_Jours122436391720293235414447505356596267832024323644485652606468727680889692100104112116108120124128132136140144148152156160164168172176180184188192196200204208212261216202428323644485256[[#This Row],[Jours]])</f>
        <v>3.25</v>
      </c>
      <c r="H51" s="71" t="n">
        <f aca="false">SUMIFS(Horodateur1123353819223134374346495255586164698522263438465058546266707478829098941021061141181101221261301341381421461501541581621661701741781821861901941982022062102144101418222630343846505458[Durée (100)],Horodateur1123353819223134374346495255586164698522263438465058546266707478829098941021061141181101221261301341381421461501541581621661701741781821861901941982022062102144101418222630343846505458[Tâche],Taches_Jours122436391720293235414447505356596267832024323644485652606468727680889692100104112116108120124128132136140144148152156160164168172176180184188192196200204208212261216202428323644485256[[#Headers],[GP / SP]],Horodateur1123353819223134374346495255586164698522263438465058546266707478829098941021061141181101221261301341381421461501541581621661701741781821861901941982022062102144101418222630343846505458[Jour],Taches_Jours122436391720293235414447505356596267832024323644485652606468727680889692100104112116108120124128132136140144148152156160164168172176180184188192196200204208212261216202428323644485256[[#This Row],[Jours]])</f>
        <v>0</v>
      </c>
      <c r="I51" s="71" t="n">
        <f aca="false">SUMIFS(Horodateur1123353819223134374346495255586164698522263438465058546266707478829098941021061141181101221261301341381421461501541581621661701741781821861901941982022062102144101418222630343846505458[Durée (100)],Horodateur1123353819223134374346495255586164698522263438465058546266707478829098941021061141181101221261301341381421461501541581621661701741781821861901941982022062102144101418222630343846505458[Tâche],Taches_Jours122436391720293235414447505356596267832024323644485652606468727680889692100104112116108120124128132136140144148152156160164168172176180184188192196200204208212261216202428323644485256[[#Headers],[GP / SP]],Horodateur1123353819223134374346495255586164698522263438465058546266707478829098941021061141181101221261301341381421461501541581621661701741781821861901941982022062102144101418222630343846505458[Jour],Taches_Jours122436391720293235414447505356596267832024323644485652606468727680889692100104112116108120124128132136140144148152156160164168172176180184188192196200204208212261216202428323644485256[[#This Row],[Jours]])</f>
        <v>0</v>
      </c>
      <c r="J51" s="290" t="n">
        <f aca="false">SUM(Taches_Jours122436391720293235414447505356596267832024323644485652606468727680889692100104112116108120124128132136140144148152156160164168172176180184188192196200204208212261216202428323644485256[[#This Row],[GB]:[GP / SP]])</f>
        <v>5.25</v>
      </c>
      <c r="K51" s="188"/>
      <c r="L51" s="188"/>
      <c r="M51" s="288"/>
      <c r="N51" s="289"/>
      <c r="O51" s="289"/>
      <c r="P51" s="187"/>
      <c r="Q51" s="1"/>
      <c r="R51" s="1"/>
      <c r="S51" s="1"/>
      <c r="T51" s="1"/>
      <c r="U51" s="1"/>
      <c r="V51" s="71"/>
      <c r="W51" s="71"/>
      <c r="X51" s="71"/>
      <c r="Y51" s="71"/>
      <c r="Z51" s="71"/>
      <c r="AA51" s="71"/>
      <c r="AB51" s="71"/>
      <c r="AC51" s="71"/>
      <c r="AD51" s="71"/>
      <c r="AE51" s="71"/>
      <c r="AF51" s="71"/>
      <c r="AG51" s="71"/>
      <c r="AH51" s="71"/>
    </row>
    <row r="52" customFormat="false" ht="15" hidden="true" customHeight="false" outlineLevel="1" collapsed="false">
      <c r="A52" s="187" t="s">
        <v>332</v>
      </c>
      <c r="B52" s="71" t="n">
        <f aca="false">SUMIFS(Horodateur1123353819223134374346495255586164698522263438465058546266707478829098941021061141181101221261301341381421461501541581621661701741781821861901941982022062102144101418222630343846505458[Durée (100)],Horodateur1123353819223134374346495255586164698522263438465058546266707478829098941021061141181101221261301341381421461501541581621661701741781821861901941982022062102144101418222630343846505458[Tâche],Taches_Jours122436391720293235414447505356596267832024323644485652606468727680889692100104112116108120124128132136140144148152156160164168172176180184188192196200204208212261216202428323644485256[[#Headers],[GB]],Horodateur1123353819223134374346495255586164698522263438465058546266707478829098941021061141181101221261301341381421461501541581621661701741781821861901941982022062102144101418222630343846505458[Jour],Taches_Jours122436391720293235414447505356596267832024323644485652606468727680889692100104112116108120124128132136140144148152156160164168172176180184188192196200204208212261216202428323644485256[[#This Row],[Jours]])</f>
        <v>0.5</v>
      </c>
      <c r="C52" s="71" t="n">
        <f aca="false">SUMIFS(Horodateur1123353819223134374346495255586164698522263438465058546266707478829098941021061141181101221261301341381421461501541581621661701741781821861901941982022062102144101418222630343846505458[Durée (100)],Horodateur1123353819223134374346495255586164698522263438465058546266707478829098941021061141181101221261301341381421461501541581621661701741781821861901941982022062102144101418222630343846505458[Tâche],Taches_Jours122436391720293235414447505356596267832024323644485652606468727680889692100104112116108120124128132136140144148152156160164168172176180184188192196200204208212261216202428323644485256[[#Headers],[RI]],Horodateur1123353819223134374346495255586164698522263438465058546266707478829098941021061141181101221261301341381421461501541581621661701741781821861901941982022062102144101418222630343846505458[Jour],Taches_Jours122436391720293235414447505356596267832024323644485652606468727680889692100104112116108120124128132136140144148152156160164168172176180184188192196200204208212261216202428323644485256[[#This Row],[Jours]])</f>
        <v>0</v>
      </c>
      <c r="D52" s="71" t="n">
        <f aca="false">SUMIFS(Horodateur1123353819223134374346495255586164698522263438465058546266707478829098941021061141181101221261301341381421461501541581621661701741781821861901941982022062102144101418222630343846505458[Durée (100)],Horodateur1123353819223134374346495255586164698522263438465058546266707478829098941021061141181101221261301341381421461501541581621661701741781821861901941982022062102144101418222630343846505458[Tâche],Taches_Jours122436391720293235414447505356596267832024323644485652606468727680889692100104112116108120124128132136140144148152156160164168172176180184188192196200204208212261216202428323644485256[[#Headers],[FG]],Horodateur1123353819223134374346495255586164698522263438465058546266707478829098941021061141181101221261301341381421461501541581621661701741781821861901941982022062102144101418222630343846505458[Jour],Taches_Jours122436391720293235414447505356596267832024323644485652606468727680889692100104112116108120124128132136140144148152156160164168172176180184188192196200204208212261216202428323644485256[[#This Row],[Jours]])</f>
        <v>0.500000000000001</v>
      </c>
      <c r="E52" s="71" t="n">
        <f aca="false">SUMIFS(Horodateur1123353819223134374346495255586164698522263438465058546266707478829098941021061141181101221261301341381421461501541581621661701741781821861901941982022062102144101418222630343846505458[Durée (100)],Horodateur1123353819223134374346495255586164698522263438465058546266707478829098941021061141181101221261301341381421461501541581621661701741781821861901941982022062102144101418222630343846505458[Tâche],Taches_Jours122436391720293235414447505356596267832024323644485652606468727680889692100104112116108120124128132136140144148152156160164168172176180184188192196200204208212261216202428323644485256[[#Headers],[PS]],Horodateur1123353819223134374346495255586164698522263438465058546266707478829098941021061141181101221261301341381421461501541581621661701741781821861901941982022062102144101418222630343846505458[Jour],Taches_Jours122436391720293235414447505356596267832024323644485652606468727680889692100104112116108120124128132136140144148152156160164168172176180184188192196200204208212261216202428323644485256[[#This Row],[Jours]])</f>
        <v>0</v>
      </c>
      <c r="F52" s="71" t="n">
        <f aca="false">SUMIFS(Horodateur1123353819223134374346495255586164698522263438465058546266707478829098941021061141181101221261301341381421461501541581621661701741781821861901941982022062102144101418222630343846505458[Durée (100)],Horodateur1123353819223134374346495255586164698522263438465058546266707478829098941021061141181101221261301341381421461501541581621661701741781821861901941982022062102144101418222630343846505458[Tâche],Taches_Jours122436391720293235414447505356596267832024323644485652606468727680889692100104112116108120124128132136140144148152156160164168172176180184188192196200204208212261216202428323644485256[[#Headers],[TD]],Horodateur1123353819223134374346495255586164698522263438465058546266707478829098941021061141181101221261301341381421461501541581621661701741781821861901941982022062102144101418222630343846505458[Jour],Taches_Jours122436391720293235414447505356596267832024323644485652606468727680889692100104112116108120124128132136140144148152156160164168172176180184188192196200204208212261216202428323644485256[[#This Row],[Jours]])</f>
        <v>0</v>
      </c>
      <c r="G52" s="71" t="n">
        <f aca="false">SUMIFS(Horodateur1123353819223134374346495255586164698522263438465058546266707478829098941021061141181101221261301341381421461501541581621661701741781821861901941982022062102144101418222630343846505458[Durée (100)],Horodateur1123353819223134374346495255586164698522263438465058546266707478829098941021061141181101221261301341381421461501541581621661701741781821861901941982022062102144101418222630343846505458[Tâche],Taches_Jours122436391720293235414447505356596267832024323644485652606468727680889692100104112116108120124128132136140144148152156160164168172176180184188192196200204208212261216202428323644485256[[#Headers],[GP]],Horodateur1123353819223134374346495255586164698522263438465058546266707478829098941021061141181101221261301341381421461501541581621661701741781821861901941982022062102144101418222630343846505458[Jour],Taches_Jours122436391720293235414447505356596267832024323644485652606468727680889692100104112116108120124128132136140144148152156160164168172176180184188192196200204208212261216202428323644485256[[#This Row],[Jours]])</f>
        <v>3.75</v>
      </c>
      <c r="H52" s="71" t="n">
        <f aca="false">SUMIFS(Horodateur1123353819223134374346495255586164698522263438465058546266707478829098941021061141181101221261301341381421461501541581621661701741781821861901941982022062102144101418222630343846505458[Durée (100)],Horodateur1123353819223134374346495255586164698522263438465058546266707478829098941021061141181101221261301341381421461501541581621661701741781821861901941982022062102144101418222630343846505458[Tâche],Taches_Jours122436391720293235414447505356596267832024323644485652606468727680889692100104112116108120124128132136140144148152156160164168172176180184188192196200204208212261216202428323644485256[[#Headers],[GP / SP]],Horodateur1123353819223134374346495255586164698522263438465058546266707478829098941021061141181101221261301341381421461501541581621661701741781821861901941982022062102144101418222630343846505458[Jour],Taches_Jours122436391720293235414447505356596267832024323644485652606468727680889692100104112116108120124128132136140144148152156160164168172176180184188192196200204208212261216202428323644485256[[#This Row],[Jours]])</f>
        <v>0.999999999999999</v>
      </c>
      <c r="I52" s="71" t="n">
        <f aca="false">SUMIFS(Horodateur1123353819223134374346495255586164698522263438465058546266707478829098941021061141181101221261301341381421461501541581621661701741781821861901941982022062102144101418222630343846505458[Durée (100)],Horodateur1123353819223134374346495255586164698522263438465058546266707478829098941021061141181101221261301341381421461501541581621661701741781821861901941982022062102144101418222630343846505458[Tâche],Taches_Jours122436391720293235414447505356596267832024323644485652606468727680889692100104112116108120124128132136140144148152156160164168172176180184188192196200204208212261216202428323644485256[[#Headers],[GP / SP]],Horodateur1123353819223134374346495255586164698522263438465058546266707478829098941021061141181101221261301341381421461501541581621661701741781821861901941982022062102144101418222630343846505458[Jour],Taches_Jours122436391720293235414447505356596267832024323644485652606468727680889692100104112116108120124128132136140144148152156160164168172176180184188192196200204208212261216202428323644485256[[#This Row],[Jours]])</f>
        <v>0.999999999999999</v>
      </c>
      <c r="J52" s="290" t="n">
        <f aca="false">SUM(Taches_Jours122436391720293235414447505356596267832024323644485652606468727680889692100104112116108120124128132136140144148152156160164168172176180184188192196200204208212261216202428323644485256[[#This Row],[GB]:[GP / SP]])</f>
        <v>5.75</v>
      </c>
      <c r="K52" s="188"/>
      <c r="L52" s="188"/>
      <c r="M52" s="288"/>
      <c r="N52" s="289"/>
      <c r="O52" s="289"/>
      <c r="P52" s="187"/>
      <c r="Q52" s="71"/>
      <c r="R52" s="71"/>
      <c r="S52" s="71"/>
      <c r="T52" s="71"/>
      <c r="U52" s="71"/>
      <c r="V52" s="71"/>
      <c r="W52" s="71"/>
      <c r="X52" s="71"/>
      <c r="Y52" s="71"/>
      <c r="Z52" s="71"/>
      <c r="AA52" s="71"/>
      <c r="AB52" s="71"/>
      <c r="AC52" s="71"/>
      <c r="AD52" s="71"/>
      <c r="AE52" s="71"/>
      <c r="AF52" s="71"/>
      <c r="AG52" s="71"/>
      <c r="AH52" s="71"/>
    </row>
    <row r="53" customFormat="false" ht="15" hidden="true" customHeight="false" outlineLevel="1" collapsed="false">
      <c r="A53" s="187" t="s">
        <v>335</v>
      </c>
      <c r="B53" s="71" t="n">
        <f aca="false">SUMIFS(Horodateur1123353819223134374346495255586164698522263438465058546266707478829098941021061141181101221261301341381421461501541581621661701741781821861901941982022062102144101418222630343846505458[Durée (100)],Horodateur1123353819223134374346495255586164698522263438465058546266707478829098941021061141181101221261301341381421461501541581621661701741781821861901941982022062102144101418222630343846505458[Tâche],Taches_Jours122436391720293235414447505356596267832024323644485652606468727680889692100104112116108120124128132136140144148152156160164168172176180184188192196200204208212261216202428323644485256[[#Headers],[GB]],Horodateur1123353819223134374346495255586164698522263438465058546266707478829098941021061141181101221261301341381421461501541581621661701741781821861901941982022062102144101418222630343846505458[Jour],Taches_Jours122436391720293235414447505356596267832024323644485652606468727680889692100104112116108120124128132136140144148152156160164168172176180184188192196200204208212261216202428323644485256[[#This Row],[Jours]])</f>
        <v>0.5</v>
      </c>
      <c r="C53" s="71" t="n">
        <f aca="false">SUMIFS(Horodateur1123353819223134374346495255586164698522263438465058546266707478829098941021061141181101221261301341381421461501541581621661701741781821861901941982022062102144101418222630343846505458[Durée (100)],Horodateur1123353819223134374346495255586164698522263438465058546266707478829098941021061141181101221261301341381421461501541581621661701741781821861901941982022062102144101418222630343846505458[Tâche],Taches_Jours122436391720293235414447505356596267832024323644485652606468727680889692100104112116108120124128132136140144148152156160164168172176180184188192196200204208212261216202428323644485256[[#Headers],[RI]],Horodateur1123353819223134374346495255586164698522263438465058546266707478829098941021061141181101221261301341381421461501541581621661701741781821861901941982022062102144101418222630343846505458[Jour],Taches_Jours122436391720293235414447505356596267832024323644485652606468727680889692100104112116108120124128132136140144148152156160164168172176180184188192196200204208212261216202428323644485256[[#This Row],[Jours]])</f>
        <v>0</v>
      </c>
      <c r="D53" s="71" t="n">
        <f aca="false">SUMIFS(Horodateur1123353819223134374346495255586164698522263438465058546266707478829098941021061141181101221261301341381421461501541581621661701741781821861901941982022062102144101418222630343846505458[Durée (100)],Horodateur1123353819223134374346495255586164698522263438465058546266707478829098941021061141181101221261301341381421461501541581621661701741781821861901941982022062102144101418222630343846505458[Tâche],Taches_Jours122436391720293235414447505356596267832024323644485652606468727680889692100104112116108120124128132136140144148152156160164168172176180184188192196200204208212261216202428323644485256[[#Headers],[FG]],Horodateur1123353819223134374346495255586164698522263438465058546266707478829098941021061141181101221261301341381421461501541581621661701741781821861901941982022062102144101418222630343846505458[Jour],Taches_Jours122436391720293235414447505356596267832024323644485652606468727680889692100104112116108120124128132136140144148152156160164168172176180184188192196200204208212261216202428323644485256[[#This Row],[Jours]])</f>
        <v>0</v>
      </c>
      <c r="E53" s="71" t="n">
        <f aca="false">SUMIFS(Horodateur1123353819223134374346495255586164698522263438465058546266707478829098941021061141181101221261301341381421461501541581621661701741781821861901941982022062102144101418222630343846505458[Durée (100)],Horodateur1123353819223134374346495255586164698522263438465058546266707478829098941021061141181101221261301341381421461501541581621661701741781821861901941982022062102144101418222630343846505458[Tâche],Taches_Jours122436391720293235414447505356596267832024323644485652606468727680889692100104112116108120124128132136140144148152156160164168172176180184188192196200204208212261216202428323644485256[[#Headers],[PS]],Horodateur1123353819223134374346495255586164698522263438465058546266707478829098941021061141181101221261301341381421461501541581621661701741781821861901941982022062102144101418222630343846505458[Jour],Taches_Jours122436391720293235414447505356596267832024323644485652606468727680889692100104112116108120124128132136140144148152156160164168172176180184188192196200204208212261216202428323644485256[[#This Row],[Jours]])</f>
        <v>0</v>
      </c>
      <c r="F53" s="71" t="n">
        <f aca="false">SUMIFS(Horodateur1123353819223134374346495255586164698522263438465058546266707478829098941021061141181101221261301341381421461501541581621661701741781821861901941982022062102144101418222630343846505458[Durée (100)],Horodateur1123353819223134374346495255586164698522263438465058546266707478829098941021061141181101221261301341381421461501541581621661701741781821861901941982022062102144101418222630343846505458[Tâche],Taches_Jours122436391720293235414447505356596267832024323644485652606468727680889692100104112116108120124128132136140144148152156160164168172176180184188192196200204208212261216202428323644485256[[#Headers],[TD]],Horodateur1123353819223134374346495255586164698522263438465058546266707478829098941021061141181101221261301341381421461501541581621661701741781821861901941982022062102144101418222630343846505458[Jour],Taches_Jours122436391720293235414447505356596267832024323644485652606468727680889692100104112116108120124128132136140144148152156160164168172176180184188192196200204208212261216202428323644485256[[#This Row],[Jours]])</f>
        <v>0</v>
      </c>
      <c r="G53" s="71" t="n">
        <f aca="false">SUMIFS(Horodateur1123353819223134374346495255586164698522263438465058546266707478829098941021061141181101221261301341381421461501541581621661701741781821861901941982022062102144101418222630343846505458[Durée (100)],Horodateur1123353819223134374346495255586164698522263438465058546266707478829098941021061141181101221261301341381421461501541581621661701741781821861901941982022062102144101418222630343846505458[Tâche],Taches_Jours122436391720293235414447505356596267832024323644485652606468727680889692100104112116108120124128132136140144148152156160164168172176180184188192196200204208212261216202428323644485256[[#Headers],[GP]],Horodateur1123353819223134374346495255586164698522263438465058546266707478829098941021061141181101221261301341381421461501541581621661701741781821861901941982022062102144101418222630343846505458[Jour],Taches_Jours122436391720293235414447505356596267832024323644485652606468727680889692100104112116108120124128132136140144148152156160164168172176180184188192196200204208212261216202428323644485256[[#This Row],[Jours]])</f>
        <v>3</v>
      </c>
      <c r="H53" s="71" t="n">
        <f aca="false">SUMIFS(Horodateur1123353819223134374346495255586164698522263438465058546266707478829098941021061141181101221261301341381421461501541581621661701741781821861901941982022062102144101418222630343846505458[Durée (100)],Horodateur1123353819223134374346495255586164698522263438465058546266707478829098941021061141181101221261301341381421461501541581621661701741781821861901941982022062102144101418222630343846505458[Tâche],Taches_Jours122436391720293235414447505356596267832024323644485652606468727680889692100104112116108120124128132136140144148152156160164168172176180184188192196200204208212261216202428323644485256[[#Headers],[GP / SP]],Horodateur1123353819223134374346495255586164698522263438465058546266707478829098941021061141181101221261301341381421461501541581621661701741781821861901941982022062102144101418222630343846505458[Jour],Taches_Jours122436391720293235414447505356596267832024323644485652606468727680889692100104112116108120124128132136140144148152156160164168172176180184188192196200204208212261216202428323644485256[[#This Row],[Jours]])</f>
        <v>0</v>
      </c>
      <c r="I53" s="71" t="n">
        <f aca="false">SUMIFS(Horodateur1123353819223134374346495255586164698522263438465058546266707478829098941021061141181101221261301341381421461501541581621661701741781821861901941982022062102144101418222630343846505458[Durée (100)],Horodateur1123353819223134374346495255586164698522263438465058546266707478829098941021061141181101221261301341381421461501541581621661701741781821861901941982022062102144101418222630343846505458[Tâche],Taches_Jours122436391720293235414447505356596267832024323644485652606468727680889692100104112116108120124128132136140144148152156160164168172176180184188192196200204208212261216202428323644485256[[#Headers],[GP / SP]],Horodateur1123353819223134374346495255586164698522263438465058546266707478829098941021061141181101221261301341381421461501541581621661701741781821861901941982022062102144101418222630343846505458[Jour],Taches_Jours122436391720293235414447505356596267832024323644485652606468727680889692100104112116108120124128132136140144148152156160164168172176180184188192196200204208212261216202428323644485256[[#This Row],[Jours]])</f>
        <v>0</v>
      </c>
      <c r="J53" s="290" t="n">
        <f aca="false">SUM(Taches_Jours122436391720293235414447505356596267832024323644485652606468727680889692100104112116108120124128132136140144148152156160164168172176180184188192196200204208212261216202428323644485256[[#This Row],[GB]:[GP / SP]])</f>
        <v>3.5</v>
      </c>
      <c r="K53" s="188"/>
      <c r="L53" s="188"/>
      <c r="M53" s="288"/>
      <c r="N53" s="289"/>
      <c r="O53" s="289"/>
      <c r="P53" s="187"/>
      <c r="Q53" s="1"/>
      <c r="R53" s="1"/>
      <c r="S53" s="1"/>
      <c r="T53" s="1"/>
      <c r="U53" s="1"/>
      <c r="V53" s="71"/>
      <c r="W53" s="71"/>
      <c r="X53" s="71"/>
      <c r="Y53" s="71"/>
      <c r="Z53" s="71"/>
      <c r="AA53" s="71"/>
      <c r="AB53" s="71"/>
      <c r="AC53" s="71"/>
      <c r="AD53" s="71"/>
      <c r="AE53" s="71"/>
      <c r="AF53" s="71"/>
      <c r="AG53" s="71"/>
      <c r="AH53" s="71"/>
    </row>
    <row r="54" customFormat="false" ht="15" hidden="true" customHeight="false" outlineLevel="1" collapsed="false">
      <c r="A54" s="187" t="s">
        <v>341</v>
      </c>
      <c r="B54" s="71" t="n">
        <f aca="false">SUMIFS(Horodateur1123353819223134374346495255586164698522263438465058546266707478829098941021061141181101221261301341381421461501541581621661701741781821861901941982022062102144101418222630343846505458[Durée (100)],Horodateur1123353819223134374346495255586164698522263438465058546266707478829098941021061141181101221261301341381421461501541581621661701741781821861901941982022062102144101418222630343846505458[Tâche],Taches_Jours122436391720293235414447505356596267832024323644485652606468727680889692100104112116108120124128132136140144148152156160164168172176180184188192196200204208212261216202428323644485256[[#Headers],[GB]],Horodateur1123353819223134374346495255586164698522263438465058546266707478829098941021061141181101221261301341381421461501541581621661701741781821861901941982022062102144101418222630343846505458[Jour],Taches_Jours122436391720293235414447505356596267832024323644485652606468727680889692100104112116108120124128132136140144148152156160164168172176180184188192196200204208212261216202428323644485256[[#This Row],[Jours]])</f>
        <v>0.5</v>
      </c>
      <c r="C54" s="71" t="n">
        <f aca="false">SUMIFS(Horodateur1123353819223134374346495255586164698522263438465058546266707478829098941021061141181101221261301341381421461501541581621661701741781821861901941982022062102144101418222630343846505458[Durée (100)],Horodateur1123353819223134374346495255586164698522263438465058546266707478829098941021061141181101221261301341381421461501541581621661701741781821861901941982022062102144101418222630343846505458[Tâche],Taches_Jours122436391720293235414447505356596267832024323644485652606468727680889692100104112116108120124128132136140144148152156160164168172176180184188192196200204208212261216202428323644485256[[#Headers],[RI]],Horodateur1123353819223134374346495255586164698522263438465058546266707478829098941021061141181101221261301341381421461501541581621661701741781821861901941982022062102144101418222630343846505458[Jour],Taches_Jours122436391720293235414447505356596267832024323644485652606468727680889692100104112116108120124128132136140144148152156160164168172176180184188192196200204208212261216202428323644485256[[#This Row],[Jours]])</f>
        <v>0</v>
      </c>
      <c r="D54" s="71" t="n">
        <f aca="false">SUMIFS(Horodateur1123353819223134374346495255586164698522263438465058546266707478829098941021061141181101221261301341381421461501541581621661701741781821861901941982022062102144101418222630343846505458[Durée (100)],Horodateur1123353819223134374346495255586164698522263438465058546266707478829098941021061141181101221261301341381421461501541581621661701741781821861901941982022062102144101418222630343846505458[Tâche],Taches_Jours122436391720293235414447505356596267832024323644485652606468727680889692100104112116108120124128132136140144148152156160164168172176180184188192196200204208212261216202428323644485256[[#Headers],[FG]],Horodateur1123353819223134374346495255586164698522263438465058546266707478829098941021061141181101221261301341381421461501541581621661701741781821861901941982022062102144101418222630343846505458[Jour],Taches_Jours122436391720293235414447505356596267832024323644485652606468727680889692100104112116108120124128132136140144148152156160164168172176180184188192196200204208212261216202428323644485256[[#This Row],[Jours]])</f>
        <v>0</v>
      </c>
      <c r="E54" s="71" t="n">
        <f aca="false">SUMIFS(Horodateur1123353819223134374346495255586164698522263438465058546266707478829098941021061141181101221261301341381421461501541581621661701741781821861901941982022062102144101418222630343846505458[Durée (100)],Horodateur1123353819223134374346495255586164698522263438465058546266707478829098941021061141181101221261301341381421461501541581621661701741781821861901941982022062102144101418222630343846505458[Tâche],Taches_Jours122436391720293235414447505356596267832024323644485652606468727680889692100104112116108120124128132136140144148152156160164168172176180184188192196200204208212261216202428323644485256[[#Headers],[PS]],Horodateur1123353819223134374346495255586164698522263438465058546266707478829098941021061141181101221261301341381421461501541581621661701741781821861901941982022062102144101418222630343846505458[Jour],Taches_Jours122436391720293235414447505356596267832024323644485652606468727680889692100104112116108120124128132136140144148152156160164168172176180184188192196200204208212261216202428323644485256[[#This Row],[Jours]])</f>
        <v>0</v>
      </c>
      <c r="F54" s="71" t="n">
        <f aca="false">SUMIFS(Horodateur1123353819223134374346495255586164698522263438465058546266707478829098941021061141181101221261301341381421461501541581621661701741781821861901941982022062102144101418222630343846505458[Durée (100)],Horodateur1123353819223134374346495255586164698522263438465058546266707478829098941021061141181101221261301341381421461501541581621661701741781821861901941982022062102144101418222630343846505458[Tâche],Taches_Jours122436391720293235414447505356596267832024323644485652606468727680889692100104112116108120124128132136140144148152156160164168172176180184188192196200204208212261216202428323644485256[[#Headers],[TD]],Horodateur1123353819223134374346495255586164698522263438465058546266707478829098941021061141181101221261301341381421461501541581621661701741781821861901941982022062102144101418222630343846505458[Jour],Taches_Jours122436391720293235414447505356596267832024323644485652606468727680889692100104112116108120124128132136140144148152156160164168172176180184188192196200204208212261216202428323644485256[[#This Row],[Jours]])</f>
        <v>0</v>
      </c>
      <c r="G54" s="71" t="n">
        <f aca="false">SUMIFS(Horodateur1123353819223134374346495255586164698522263438465058546266707478829098941021061141181101221261301341381421461501541581621661701741781821861901941982022062102144101418222630343846505458[Durée (100)],Horodateur1123353819223134374346495255586164698522263438465058546266707478829098941021061141181101221261301341381421461501541581621661701741781821861901941982022062102144101418222630343846505458[Tâche],Taches_Jours122436391720293235414447505356596267832024323644485652606468727680889692100104112116108120124128132136140144148152156160164168172176180184188192196200204208212261216202428323644485256[[#Headers],[GP]],Horodateur1123353819223134374346495255586164698522263438465058546266707478829098941021061141181101221261301341381421461501541581621661701741781821861901941982022062102144101418222630343846505458[Jour],Taches_Jours122436391720293235414447505356596267832024323644485652606468727680889692100104112116108120124128132136140144148152156160164168172176180184188192196200204208212261216202428323644485256[[#This Row],[Jours]])</f>
        <v>2.5</v>
      </c>
      <c r="H54" s="71" t="n">
        <f aca="false">SUMIFS(Horodateur1123353819223134374346495255586164698522263438465058546266707478829098941021061141181101221261301341381421461501541581621661701741781821861901941982022062102144101418222630343846505458[Durée (100)],Horodateur1123353819223134374346495255586164698522263438465058546266707478829098941021061141181101221261301341381421461501541581621661701741781821861901941982022062102144101418222630343846505458[Tâche],Taches_Jours122436391720293235414447505356596267832024323644485652606468727680889692100104112116108120124128132136140144148152156160164168172176180184188192196200204208212261216202428323644485256[[#Headers],[GP / SP]],Horodateur1123353819223134374346495255586164698522263438465058546266707478829098941021061141181101221261301341381421461501541581621661701741781821861901941982022062102144101418222630343846505458[Jour],Taches_Jours122436391720293235414447505356596267832024323644485652606468727680889692100104112116108120124128132136140144148152156160164168172176180184188192196200204208212261216202428323644485256[[#This Row],[Jours]])</f>
        <v>0</v>
      </c>
      <c r="I54" s="290" t="n">
        <f aca="false">SUMIFS(Horodateur1123353819223134374346495255586164698522263438465058546266707478829098941021061141181101221261301341381421461501541581621661701741781821861901941982022062102144101418222630343846505458[Durée (100)],Horodateur1123353819223134374346495255586164698522263438465058546266707478829098941021061141181101221261301341381421461501541581621661701741781821861901941982022062102144101418222630343846505458[Tâche],Taches_Jours122436391720293235414447505356596267832024323644485652606468727680889692100104112116108120124128132136140144148152156160164168172176180184188192196200204208212261216202428323644485256[[#Headers],[GP / SP]],Horodateur1123353819223134374346495255586164698522263438465058546266707478829098941021061141181101221261301341381421461501541581621661701741781821861901941982022062102144101418222630343846505458[Jour],Taches_Jours122436391720293235414447505356596267832024323644485652606468727680889692100104112116108120124128132136140144148152156160164168172176180184188192196200204208212261216202428323644485256[[#This Row],[Jours]])</f>
        <v>0</v>
      </c>
      <c r="J54" s="71" t="n">
        <f aca="false">SUM(Taches_Jours122436391720293235414447505356596267832024323644485652606468727680889692100104112116108120124128132136140144148152156160164168172176180184188192196200204208212261216202428323644485256[[#This Row],[GB]:[GP / SP]])</f>
        <v>3</v>
      </c>
      <c r="K54" s="188"/>
      <c r="L54" s="188"/>
      <c r="M54" s="288"/>
      <c r="N54" s="289"/>
      <c r="O54" s="289"/>
      <c r="P54" s="187"/>
      <c r="Q54" s="1"/>
      <c r="R54" s="1"/>
      <c r="S54" s="1"/>
      <c r="T54" s="1"/>
      <c r="U54" s="1"/>
      <c r="V54" s="71"/>
      <c r="W54" s="71"/>
      <c r="X54" s="71"/>
      <c r="Y54" s="71"/>
      <c r="Z54" s="71"/>
      <c r="AA54" s="71"/>
      <c r="AB54" s="71"/>
      <c r="AC54" s="71"/>
      <c r="AD54" s="71"/>
      <c r="AE54" s="71"/>
      <c r="AF54" s="71"/>
      <c r="AG54" s="71"/>
      <c r="AH54" s="71"/>
    </row>
    <row r="55" customFormat="false" ht="15" hidden="true" customHeight="false" outlineLevel="1" collapsed="false">
      <c r="A55" s="187" t="s">
        <v>381</v>
      </c>
      <c r="B55" s="71" t="n">
        <f aca="false">SUMIFS(Horodateur1123353819223134374346495255586164698522263438465058546266707478829098941021061141181101221261301341381421461501541581621661701741781821861901941982022062102144101418222630343846505458[Durée (100)],Horodateur1123353819223134374346495255586164698522263438465058546266707478829098941021061141181101221261301341381421461501541581621661701741781821861901941982022062102144101418222630343846505458[Tâche],Taches_Jours122436391720293235414447505356596267832024323644485652606468727680889692100104112116108120124128132136140144148152156160164168172176180184188192196200204208212261216202428323644485256[[#Headers],[GB]],Horodateur1123353819223134374346495255586164698522263438465058546266707478829098941021061141181101221261301341381421461501541581621661701741781821861901941982022062102144101418222630343846505458[Jour],Taches_Jours122436391720293235414447505356596267832024323644485652606468727680889692100104112116108120124128132136140144148152156160164168172176180184188192196200204208212261216202428323644485256[[#This Row],[Jours]])</f>
        <v>0</v>
      </c>
      <c r="C55" s="71" t="n">
        <f aca="false">SUMIFS(Horodateur1123353819223134374346495255586164698522263438465058546266707478829098941021061141181101221261301341381421461501541581621661701741781821861901941982022062102144101418222630343846505458[Durée (100)],Horodateur1123353819223134374346495255586164698522263438465058546266707478829098941021061141181101221261301341381421461501541581621661701741781821861901941982022062102144101418222630343846505458[Tâche],Taches_Jours122436391720293235414447505356596267832024323644485652606468727680889692100104112116108120124128132136140144148152156160164168172176180184188192196200204208212261216202428323644485256[[#Headers],[RI]],Horodateur1123353819223134374346495255586164698522263438465058546266707478829098941021061141181101221261301341381421461501541581621661701741781821861901941982022062102144101418222630343846505458[Jour],Taches_Jours122436391720293235414447505356596267832024323644485652606468727680889692100104112116108120124128132136140144148152156160164168172176180184188192196200204208212261216202428323644485256[[#This Row],[Jours]])</f>
        <v>0</v>
      </c>
      <c r="D55" s="71" t="n">
        <f aca="false">SUMIFS(Horodateur1123353819223134374346495255586164698522263438465058546266707478829098941021061141181101221261301341381421461501541581621661701741781821861901941982022062102144101418222630343846505458[Durée (100)],Horodateur1123353819223134374346495255586164698522263438465058546266707478829098941021061141181101221261301341381421461501541581621661701741781821861901941982022062102144101418222630343846505458[Tâche],Taches_Jours122436391720293235414447505356596267832024323644485652606468727680889692100104112116108120124128132136140144148152156160164168172176180184188192196200204208212261216202428323644485256[[#Headers],[FG]],Horodateur1123353819223134374346495255586164698522263438465058546266707478829098941021061141181101221261301341381421461501541581621661701741781821861901941982022062102144101418222630343846505458[Jour],Taches_Jours122436391720293235414447505356596267832024323644485652606468727680889692100104112116108120124128132136140144148152156160164168172176180184188192196200204208212261216202428323644485256[[#This Row],[Jours]])</f>
        <v>0</v>
      </c>
      <c r="E55" s="71" t="n">
        <f aca="false">SUMIFS(Horodateur1123353819223134374346495255586164698522263438465058546266707478829098941021061141181101221261301341381421461501541581621661701741781821861901941982022062102144101418222630343846505458[Durée (100)],Horodateur1123353819223134374346495255586164698522263438465058546266707478829098941021061141181101221261301341381421461501541581621661701741781821861901941982022062102144101418222630343846505458[Tâche],Taches_Jours122436391720293235414447505356596267832024323644485652606468727680889692100104112116108120124128132136140144148152156160164168172176180184188192196200204208212261216202428323644485256[[#Headers],[PS]],Horodateur1123353819223134374346495255586164698522263438465058546266707478829098941021061141181101221261301341381421461501541581621661701741781821861901941982022062102144101418222630343846505458[Jour],Taches_Jours122436391720293235414447505356596267832024323644485652606468727680889692100104112116108120124128132136140144148152156160164168172176180184188192196200204208212261216202428323644485256[[#This Row],[Jours]])</f>
        <v>0</v>
      </c>
      <c r="F55" s="71" t="n">
        <f aca="false">SUMIFS(Horodateur1123353819223134374346495255586164698522263438465058546266707478829098941021061141181101221261301341381421461501541581621661701741781821861901941982022062102144101418222630343846505458[Durée (100)],Horodateur1123353819223134374346495255586164698522263438465058546266707478829098941021061141181101221261301341381421461501541581621661701741781821861901941982022062102144101418222630343846505458[Tâche],Taches_Jours122436391720293235414447505356596267832024323644485652606468727680889692100104112116108120124128132136140144148152156160164168172176180184188192196200204208212261216202428323644485256[[#Headers],[TD]],Horodateur1123353819223134374346495255586164698522263438465058546266707478829098941021061141181101221261301341381421461501541581621661701741781821861901941982022062102144101418222630343846505458[Jour],Taches_Jours122436391720293235414447505356596267832024323644485652606468727680889692100104112116108120124128132136140144148152156160164168172176180184188192196200204208212261216202428323644485256[[#This Row],[Jours]])</f>
        <v>0</v>
      </c>
      <c r="G55" s="71" t="n">
        <f aca="false">SUMIFS(Horodateur1123353819223134374346495255586164698522263438465058546266707478829098941021061141181101221261301341381421461501541581621661701741781821861901941982022062102144101418222630343846505458[Durée (100)],Horodateur1123353819223134374346495255586164698522263438465058546266707478829098941021061141181101221261301341381421461501541581621661701741781821861901941982022062102144101418222630343846505458[Tâche],Taches_Jours122436391720293235414447505356596267832024323644485652606468727680889692100104112116108120124128132136140144148152156160164168172176180184188192196200204208212261216202428323644485256[[#Headers],[GP]],Horodateur1123353819223134374346495255586164698522263438465058546266707478829098941021061141181101221261301341381421461501541581621661701741781821861901941982022062102144101418222630343846505458[Jour],Taches_Jours122436391720293235414447505356596267832024323644485652606468727680889692100104112116108120124128132136140144148152156160164168172176180184188192196200204208212261216202428323644485256[[#This Row],[Jours]])</f>
        <v>0</v>
      </c>
      <c r="H55" s="71" t="n">
        <f aca="false">SUMIFS(Horodateur1123353819223134374346495255586164698522263438465058546266707478829098941021061141181101221261301341381421461501541581621661701741781821861901941982022062102144101418222630343846505458[Durée (100)],Horodateur1123353819223134374346495255586164698522263438465058546266707478829098941021061141181101221261301341381421461501541581621661701741781821861901941982022062102144101418222630343846505458[Tâche],Taches_Jours122436391720293235414447505356596267832024323644485652606468727680889692100104112116108120124128132136140144148152156160164168172176180184188192196200204208212261216202428323644485256[[#Headers],[GP / SP]],Horodateur1123353819223134374346495255586164698522263438465058546266707478829098941021061141181101221261301341381421461501541581621661701741781821861901941982022062102144101418222630343846505458[Jour],Taches_Jours122436391720293235414447505356596267832024323644485652606468727680889692100104112116108120124128132136140144148152156160164168172176180184188192196200204208212261216202428323644485256[[#This Row],[Jours]])</f>
        <v>0</v>
      </c>
      <c r="I55" s="290" t="n">
        <f aca="false">SUMIFS(Horodateur1123353819223134374346495255586164698522263438465058546266707478829098941021061141181101221261301341381421461501541581621661701741781821861901941982022062102144101418222630343846505458[Durée (100)],Horodateur1123353819223134374346495255586164698522263438465058546266707478829098941021061141181101221261301341381421461501541581621661701741781821861901941982022062102144101418222630343846505458[Tâche],Taches_Jours122436391720293235414447505356596267832024323644485652606468727680889692100104112116108120124128132136140144148152156160164168172176180184188192196200204208212261216202428323644485256[[#Headers],[GP / SP]],Horodateur1123353819223134374346495255586164698522263438465058546266707478829098941021061141181101221261301341381421461501541581621661701741781821861901941982022062102144101418222630343846505458[Jour],Taches_Jours122436391720293235414447505356596267832024323644485652606468727680889692100104112116108120124128132136140144148152156160164168172176180184188192196200204208212261216202428323644485256[[#This Row],[Jours]])</f>
        <v>0</v>
      </c>
      <c r="J55" s="71" t="n">
        <f aca="false">SUM(Taches_Jours122436391720293235414447505356596267832024323644485652606468727680889692100104112116108120124128132136140144148152156160164168172176180184188192196200204208212261216202428323644485256[[#This Row],[GB]:[GP / SP]])</f>
        <v>0</v>
      </c>
      <c r="K55" s="188"/>
      <c r="L55" s="188"/>
      <c r="M55" s="288"/>
      <c r="N55" s="289"/>
      <c r="O55" s="289"/>
      <c r="P55" s="187"/>
      <c r="Q55" s="1"/>
      <c r="R55" s="1"/>
      <c r="S55" s="1"/>
      <c r="T55" s="1"/>
      <c r="U55" s="1"/>
      <c r="V55" s="71"/>
      <c r="W55" s="71"/>
      <c r="X55" s="71"/>
      <c r="Y55" s="71"/>
      <c r="Z55" s="71"/>
      <c r="AA55" s="71"/>
      <c r="AB55" s="71"/>
      <c r="AC55" s="71"/>
      <c r="AD55" s="71"/>
      <c r="AE55" s="71"/>
      <c r="AF55" s="71"/>
      <c r="AG55" s="71"/>
      <c r="AH55" s="71"/>
    </row>
    <row r="56" customFormat="false" ht="15" hidden="true" customHeight="false" outlineLevel="1" collapsed="false">
      <c r="A56" s="137"/>
      <c r="B56" s="187"/>
      <c r="C56" s="71"/>
      <c r="D56" s="1"/>
      <c r="E56" s="1"/>
      <c r="F56" s="71"/>
      <c r="G56" s="1"/>
      <c r="H56" s="1"/>
      <c r="I56" s="119"/>
      <c r="J56" s="271"/>
      <c r="K56" s="1"/>
      <c r="L56" s="1"/>
      <c r="M56" s="188"/>
      <c r="N56" s="272"/>
      <c r="O56" s="272"/>
      <c r="P56" s="187"/>
      <c r="Q56" s="1"/>
      <c r="R56" s="1"/>
      <c r="S56" s="1"/>
      <c r="T56" s="1"/>
      <c r="U56" s="1"/>
      <c r="V56" s="1"/>
      <c r="W56" s="71"/>
      <c r="X56" s="71"/>
      <c r="Y56" s="71"/>
      <c r="Z56" s="71"/>
      <c r="AA56" s="71"/>
      <c r="AB56" s="71"/>
      <c r="AC56" s="71"/>
      <c r="AD56" s="71"/>
      <c r="AE56" s="71"/>
      <c r="AF56" s="71"/>
      <c r="AG56" s="71"/>
      <c r="AH56" s="71"/>
      <c r="AI56" s="71"/>
    </row>
    <row r="57" customFormat="false" ht="15" hidden="true" customHeight="false" outlineLevel="1" collapsed="false">
      <c r="A57" s="291" t="s">
        <v>85</v>
      </c>
      <c r="B57" s="292" t="s">
        <v>312</v>
      </c>
      <c r="C57" s="292" t="s">
        <v>319</v>
      </c>
      <c r="D57" s="292" t="s">
        <v>324</v>
      </c>
      <c r="E57" s="292" t="s">
        <v>332</v>
      </c>
      <c r="F57" s="293" t="s">
        <v>335</v>
      </c>
      <c r="G57" s="292" t="s">
        <v>341</v>
      </c>
      <c r="H57" s="292" t="s">
        <v>381</v>
      </c>
      <c r="I57" s="294" t="s">
        <v>58</v>
      </c>
      <c r="J57" s="271"/>
      <c r="K57" s="1"/>
      <c r="L57" s="1"/>
      <c r="M57" s="188"/>
      <c r="N57" s="272"/>
      <c r="O57" s="272"/>
      <c r="P57" s="187"/>
      <c r="Q57" s="1"/>
      <c r="R57" s="1"/>
      <c r="S57" s="1"/>
      <c r="T57" s="1"/>
      <c r="U57" s="1"/>
      <c r="V57" s="1"/>
      <c r="W57" s="71"/>
      <c r="X57" s="71"/>
      <c r="Y57" s="71"/>
      <c r="Z57" s="71"/>
      <c r="AA57" s="71"/>
      <c r="AB57" s="71"/>
      <c r="AC57" s="71"/>
      <c r="AD57" s="71"/>
      <c r="AE57" s="71"/>
      <c r="AF57" s="71"/>
      <c r="AG57" s="71"/>
      <c r="AH57" s="71"/>
      <c r="AI57" s="71"/>
    </row>
    <row r="58" customFormat="false" ht="15" hidden="true" customHeight="false" outlineLevel="1" collapsed="false">
      <c r="A58" s="137" t="s">
        <v>21</v>
      </c>
      <c r="B58" s="187" t="n">
        <f aca="false">SUMIFS(Horodateur1123353819223134374346495255586164698522263438465058546266707478829098941021061141181101221261301341381421461501541581621661701741781821861901941982022062102144101418222630343846505458[Durée (100)],Horodateur1123353819223134374346495255586164698522263438465058546266707478829098941021061141181101221261301341381421461501541581621661701741781821861901941982022062102144101418222630343846505458[Jour],$B$57,Horodateur1123353819223134374346495255586164698522263438465058546266707478829098941021061141181101221261301341381421461501541581621661701741781821861901941982022062102144101418222630343846505458[Tâche],$A58)</f>
        <v>0.75</v>
      </c>
      <c r="C58" s="187" t="n">
        <f aca="false">SUMIFS(Horodateur1123353819223134374346495255586164698522263438465058546266707478829098941021061141181101221261301341381421461501541581621661701741781821861901941982022062102144101418222630343846505458[Durée (100)],Horodateur1123353819223134374346495255586164698522263438465058546266707478829098941021061141181101221261301341381421461501541581621661701741781821861901941982022062102144101418222630343846505458[Jour],$C$57,Horodateur1123353819223134374346495255586164698522263438465058546266707478829098941021061141181101221261301341381421461501541581621661701741781821861901941982022062102144101418222630343846505458[Tâche],$A58)</f>
        <v>0.5</v>
      </c>
      <c r="D58" s="187" t="n">
        <f aca="false">SUMIFS(Horodateur1123353819223134374346495255586164698522263438465058546266707478829098941021061141181101221261301341381421461501541581621661701741781821861901941982022062102144101418222630343846505458[Durée (100)],Horodateur1123353819223134374346495255586164698522263438465058546266707478829098941021061141181101221261301341381421461501541581621661701741781821861901941982022062102144101418222630343846505458[Jour],$D$57,Horodateur1123353819223134374346495255586164698522263438465058546266707478829098941021061141181101221261301341381421461501541581621661701741781821861901941982022062102144101418222630343846505458[Tâche],$A58)</f>
        <v>0</v>
      </c>
      <c r="E58" s="187" t="n">
        <f aca="false">SUMIFS(Horodateur1123353819223134374346495255586164698522263438465058546266707478829098941021061141181101221261301341381421461501541581621661701741781821861901941982022062102144101418222630343846505458[Durée (100)],Horodateur1123353819223134374346495255586164698522263438465058546266707478829098941021061141181101221261301341381421461501541581621661701741781821861901941982022062102144101418222630343846505458[Jour],$E$57,Horodateur1123353819223134374346495255586164698522263438465058546266707478829098941021061141181101221261301341381421461501541581621661701741781821861901941982022062102144101418222630343846505458[Tâche],$A58)</f>
        <v>0.5</v>
      </c>
      <c r="F58" s="71" t="n">
        <f aca="false">SUMIFS(Horodateur1123353819223134374346495255586164698522263438465058546266707478829098941021061141181101221261301341381421461501541581621661701741781821861901941982022062102144101418222630343846505458[Durée (100)],Horodateur1123353819223134374346495255586164698522263438465058546266707478829098941021061141181101221261301341381421461501541581621661701741781821861901941982022062102144101418222630343846505458[Jour],$F$57,Horodateur1123353819223134374346495255586164698522263438465058546266707478829098941021061141181101221261301341381421461501541581621661701741781821861901941982022062102144101418222630343846505458[Tâche],$A58)</f>
        <v>0.5</v>
      </c>
      <c r="G58" s="187" t="n">
        <f aca="false">SUMIFS(Horodateur1123353819223134374346495255586164698522263438465058546266707478829098941021061141181101221261301341381421461501541581621661701741781821861901941982022062102144101418222630343846505458[Durée (100)],Horodateur1123353819223134374346495255586164698522263438465058546266707478829098941021061141181101221261301341381421461501541581621661701741781821861901941982022062102144101418222630343846505458[Jour],$G$57,Horodateur1123353819223134374346495255586164698522263438465058546266707478829098941021061141181101221261301341381421461501541581621661701741781821861901941982022062102144101418222630343846505458[Tâche],$A58)</f>
        <v>0.5</v>
      </c>
      <c r="H58" s="187" t="n">
        <f aca="false">SUMIFS(Horodateur1123353819223134374346495255586164698522263438465058546266707478829098941021061141181101221261301341381421461501541581621661701741781821861901941982022062102144101418222630343846505458[Durée (100)],Horodateur1123353819223134374346495255586164698522263438465058546266707478829098941021061141181101221261301341381421461501541581621661701741781821861901941982022062102144101418222630343846505458[Jour],$H$57,Horodateur1123353819223134374346495255586164698522263438465058546266707478829098941021061141181101221261301341381421461501541581621661701741781821861901941982022062102144101418222630343846505458[Tâche],$A58)</f>
        <v>0</v>
      </c>
      <c r="I58" s="295" t="n">
        <f aca="false">SUM(Taches_Jour2132537401821303336424548515457606368842125333745495753616569737781899793101105113117109121125129133137141145149153157161165169173177181185189193197201205209213391317212529333745495357[[#This Row],[1- Lundi]:[7- Dimanche]])</f>
        <v>2.75</v>
      </c>
      <c r="J58" s="271"/>
      <c r="K58" s="1"/>
      <c r="L58" s="1"/>
      <c r="M58" s="188"/>
      <c r="N58" s="272"/>
      <c r="O58" s="272"/>
      <c r="P58" s="187"/>
      <c r="Q58" s="1"/>
      <c r="R58" s="1"/>
      <c r="S58" s="1"/>
      <c r="T58" s="1"/>
      <c r="U58" s="1"/>
      <c r="V58" s="1"/>
      <c r="W58" s="71"/>
      <c r="X58" s="71"/>
      <c r="Y58" s="71"/>
      <c r="Z58" s="71"/>
      <c r="AA58" s="71"/>
      <c r="AB58" s="71"/>
      <c r="AC58" s="71"/>
      <c r="AD58" s="71"/>
      <c r="AE58" s="71"/>
      <c r="AF58" s="71"/>
      <c r="AG58" s="71"/>
      <c r="AH58" s="71"/>
      <c r="AI58" s="71"/>
    </row>
    <row r="59" customFormat="false" ht="15" hidden="true" customHeight="false" outlineLevel="1" collapsed="false">
      <c r="A59" s="137" t="s">
        <v>20</v>
      </c>
      <c r="B59" s="187" t="n">
        <f aca="false">SUMIFS(Horodateur1123353819223134374346495255586164698522263438465058546266707478829098941021061141181101221261301341381421461501541581621661701741781821861901941982022062102144101418222630343846505458[Durée (100)],Horodateur1123353819223134374346495255586164698522263438465058546266707478829098941021061141181101221261301341381421461501541581621661701741781821861901941982022062102144101418222630343846505458[Jour],$B$57,Horodateur1123353819223134374346495255586164698522263438465058546266707478829098941021061141181101221261301341381421461501541581621661701741781821861901941982022062102144101418222630343846505458[Tâche],$A59)</f>
        <v>0.500000000000001</v>
      </c>
      <c r="C59" s="187" t="n">
        <f aca="false">SUMIFS(Horodateur1123353819223134374346495255586164698522263438465058546266707478829098941021061141181101221261301341381421461501541581621661701741781821861901941982022062102144101418222630343846505458[Durée (100)],Horodateur1123353819223134374346495255586164698522263438465058546266707478829098941021061141181101221261301341381421461501541581621661701741781821861901941982022062102144101418222630343846505458[Jour],$C$57,Horodateur1123353819223134374346495255586164698522263438465058546266707478829098941021061141181101221261301341381421461501541581621661701741781821861901941982022062102144101418222630343846505458[Tâche],$A59)</f>
        <v>0</v>
      </c>
      <c r="D59" s="187" t="n">
        <f aca="false">SUMIFS(Horodateur1123353819223134374346495255586164698522263438465058546266707478829098941021061141181101221261301341381421461501541581621661701741781821861901941982022062102144101418222630343846505458[Durée (100)],Horodateur1123353819223134374346495255586164698522263438465058546266707478829098941021061141181101221261301341381421461501541581621661701741781821861901941982022062102144101418222630343846505458[Jour],$D$57,Horodateur1123353819223134374346495255586164698522263438465058546266707478829098941021061141181101221261301341381421461501541581621661701741781821861901941982022062102144101418222630343846505458[Tâche],$A59)</f>
        <v>0</v>
      </c>
      <c r="E59" s="187" t="n">
        <f aca="false">SUMIFS(Horodateur1123353819223134374346495255586164698522263438465058546266707478829098941021061141181101221261301341381421461501541581621661701741781821861901941982022062102144101418222630343846505458[Durée (100)],Horodateur1123353819223134374346495255586164698522263438465058546266707478829098941021061141181101221261301341381421461501541581621661701741781821861901941982022062102144101418222630343846505458[Jour],$E$57,Horodateur1123353819223134374346495255586164698522263438465058546266707478829098941021061141181101221261301341381421461501541581621661701741781821861901941982022062102144101418222630343846505458[Tâche],$A59)</f>
        <v>0</v>
      </c>
      <c r="F59" s="71" t="n">
        <f aca="false">SUMIFS(Horodateur1123353819223134374346495255586164698522263438465058546266707478829098941021061141181101221261301341381421461501541581621661701741781821861901941982022062102144101418222630343846505458[Durée (100)],Horodateur1123353819223134374346495255586164698522263438465058546266707478829098941021061141181101221261301341381421461501541581621661701741781821861901941982022062102144101418222630343846505458[Jour],$F$57,Horodateur1123353819223134374346495255586164698522263438465058546266707478829098941021061141181101221261301341381421461501541581621661701741781821861901941982022062102144101418222630343846505458[Tâche],$A59)</f>
        <v>0</v>
      </c>
      <c r="G59" s="187" t="n">
        <f aca="false">SUMIFS(Horodateur1123353819223134374346495255586164698522263438465058546266707478829098941021061141181101221261301341381421461501541581621661701741781821861901941982022062102144101418222630343846505458[Durée (100)],Horodateur1123353819223134374346495255586164698522263438465058546266707478829098941021061141181101221261301341381421461501541581621661701741781821861901941982022062102144101418222630343846505458[Jour],$G$57,Horodateur1123353819223134374346495255586164698522263438465058546266707478829098941021061141181101221261301341381421461501541581621661701741781821861901941982022062102144101418222630343846505458[Tâche],$A59)</f>
        <v>0</v>
      </c>
      <c r="H59" s="187" t="n">
        <f aca="false">SUMIFS(Horodateur1123353819223134374346495255586164698522263438465058546266707478829098941021061141181101221261301341381421461501541581621661701741781821861901941982022062102144101418222630343846505458[Durée (100)],Horodateur1123353819223134374346495255586164698522263438465058546266707478829098941021061141181101221261301341381421461501541581621661701741781821861901941982022062102144101418222630343846505458[Jour],$H$57,Horodateur1123353819223134374346495255586164698522263438465058546266707478829098941021061141181101221261301341381421461501541581621661701741781821861901941982022062102144101418222630343846505458[Tâche],$A59)</f>
        <v>0</v>
      </c>
      <c r="I59" s="295" t="n">
        <f aca="false">SUM(Taches_Jour2132537401821303336424548515457606368842125333745495753616569737781899793101105113117109121125129133137141145149153157161165169173177181185189193197201205209213391317212529333745495357[[#This Row],[1- Lundi]:[7- Dimanche]])</f>
        <v>0.500000000000001</v>
      </c>
      <c r="J59" s="271"/>
      <c r="K59" s="1"/>
      <c r="L59" s="1"/>
      <c r="M59" s="188"/>
      <c r="N59" s="272"/>
      <c r="O59" s="272"/>
      <c r="P59" s="187"/>
      <c r="Q59" s="1"/>
      <c r="R59" s="1"/>
      <c r="S59" s="1"/>
      <c r="T59" s="1"/>
      <c r="U59" s="1"/>
      <c r="V59" s="1"/>
      <c r="W59" s="71"/>
      <c r="X59" s="71"/>
      <c r="Y59" s="71"/>
      <c r="Z59" s="71"/>
      <c r="AA59" s="71"/>
      <c r="AB59" s="71"/>
      <c r="AC59" s="71"/>
      <c r="AD59" s="71"/>
      <c r="AE59" s="71"/>
      <c r="AF59" s="71"/>
      <c r="AG59" s="71"/>
      <c r="AH59" s="71"/>
      <c r="AI59" s="71"/>
    </row>
    <row r="60" customFormat="false" ht="15" hidden="true" customHeight="false" outlineLevel="1" collapsed="false">
      <c r="A60" s="137" t="s">
        <v>23</v>
      </c>
      <c r="B60" s="187" t="n">
        <f aca="false">SUMIFS(Horodateur1123353819223134374346495255586164698522263438465058546266707478829098941021061141181101221261301341381421461501541581621661701741781821861901941982022062102144101418222630343846505458[Durée (100)],Horodateur1123353819223134374346495255586164698522263438465058546266707478829098941021061141181101221261301341381421461501541581621661701741781821861901941982022062102144101418222630343846505458[Jour],$B$57,Horodateur1123353819223134374346495255586164698522263438465058546266707478829098941021061141181101221261301341381421461501541581621661701741781821861901941982022062102144101418222630343846505458[Tâche],$A60)</f>
        <v>0</v>
      </c>
      <c r="C60" s="187" t="n">
        <f aca="false">SUMIFS(Horodateur1123353819223134374346495255586164698522263438465058546266707478829098941021061141181101221261301341381421461501541581621661701741781821861901941982022062102144101418222630343846505458[Durée (100)],Horodateur1123353819223134374346495255586164698522263438465058546266707478829098941021061141181101221261301341381421461501541581621661701741781821861901941982022062102144101418222630343846505458[Jour],$C$57,Horodateur1123353819223134374346495255586164698522263438465058546266707478829098941021061141181101221261301341381421461501541581621661701741781821861901941982022062102144101418222630343846505458[Tâche],$A60)</f>
        <v>0</v>
      </c>
      <c r="D60" s="187" t="n">
        <f aca="false">SUMIFS(Horodateur1123353819223134374346495255586164698522263438465058546266707478829098941021061141181101221261301341381421461501541581621661701741781821861901941982022062102144101418222630343846505458[Durée (100)],Horodateur1123353819223134374346495255586164698522263438465058546266707478829098941021061141181101221261301341381421461501541581621661701741781821861901941982022062102144101418222630343846505458[Jour],$D$57,Horodateur1123353819223134374346495255586164698522263438465058546266707478829098941021061141181101221261301341381421461501541581621661701741781821861901941982022062102144101418222630343846505458[Tâche],$A60)</f>
        <v>2</v>
      </c>
      <c r="E60" s="187" t="n">
        <f aca="false">SUMIFS(Horodateur1123353819223134374346495255586164698522263438465058546266707478829098941021061141181101221261301341381421461501541581621661701741781821861901941982022062102144101418222630343846505458[Durée (100)],Horodateur1123353819223134374346495255586164698522263438465058546266707478829098941021061141181101221261301341381421461501541581621661701741781821861901941982022062102144101418222630343846505458[Jour],$E$57,Horodateur1123353819223134374346495255586164698522263438465058546266707478829098941021061141181101221261301341381421461501541581621661701741781821861901941982022062102144101418222630343846505458[Tâche],$A60)</f>
        <v>0.500000000000001</v>
      </c>
      <c r="F60" s="71" t="n">
        <f aca="false">SUMIFS(Horodateur1123353819223134374346495255586164698522263438465058546266707478829098941021061141181101221261301341381421461501541581621661701741781821861901941982022062102144101418222630343846505458[Durée (100)],Horodateur1123353819223134374346495255586164698522263438465058546266707478829098941021061141181101221261301341381421461501541581621661701741781821861901941982022062102144101418222630343846505458[Jour],$F$57,Horodateur1123353819223134374346495255586164698522263438465058546266707478829098941021061141181101221261301341381421461501541581621661701741781821861901941982022062102144101418222630343846505458[Tâche],$A60)</f>
        <v>0</v>
      </c>
      <c r="G60" s="187" t="n">
        <f aca="false">SUMIFS(Horodateur1123353819223134374346495255586164698522263438465058546266707478829098941021061141181101221261301341381421461501541581621661701741781821861901941982022062102144101418222630343846505458[Durée (100)],Horodateur1123353819223134374346495255586164698522263438465058546266707478829098941021061141181101221261301341381421461501541581621661701741781821861901941982022062102144101418222630343846505458[Jour],$G$57,Horodateur1123353819223134374346495255586164698522263438465058546266707478829098941021061141181101221261301341381421461501541581621661701741781821861901941982022062102144101418222630343846505458[Tâche],$A60)</f>
        <v>0</v>
      </c>
      <c r="H60" s="187" t="n">
        <f aca="false">SUMIFS(Horodateur1123353819223134374346495255586164698522263438465058546266707478829098941021061141181101221261301341381421461501541581621661701741781821861901941982022062102144101418222630343846505458[Durée (100)],Horodateur1123353819223134374346495255586164698522263438465058546266707478829098941021061141181101221261301341381421461501541581621661701741781821861901941982022062102144101418222630343846505458[Jour],$H$57,Horodateur1123353819223134374346495255586164698522263438465058546266707478829098941021061141181101221261301341381421461501541581621661701741781821861901941982022062102144101418222630343846505458[Tâche],$A60)</f>
        <v>0</v>
      </c>
      <c r="I60" s="295" t="n">
        <f aca="false">SUM(Taches_Jour2132537401821303336424548515457606368842125333745495753616569737781899793101105113117109121125129133137141145149153157161165169173177181185189193197201205209213391317212529333745495357[[#This Row],[1- Lundi]:[7- Dimanche]])</f>
        <v>2.5</v>
      </c>
      <c r="J60" s="271"/>
      <c r="K60" s="1"/>
      <c r="L60" s="1"/>
      <c r="M60" s="188"/>
      <c r="N60" s="272"/>
      <c r="O60" s="272"/>
      <c r="P60" s="187"/>
      <c r="Q60" s="1"/>
      <c r="R60" s="1"/>
      <c r="S60" s="1"/>
      <c r="T60" s="1"/>
      <c r="U60" s="1"/>
      <c r="V60" s="1"/>
      <c r="W60" s="71"/>
      <c r="X60" s="71"/>
      <c r="Y60" s="71"/>
      <c r="Z60" s="71"/>
      <c r="AA60" s="71"/>
      <c r="AB60" s="71"/>
      <c r="AC60" s="71"/>
      <c r="AD60" s="71"/>
      <c r="AE60" s="71"/>
      <c r="AF60" s="71"/>
      <c r="AG60" s="71"/>
      <c r="AH60" s="71"/>
      <c r="AI60" s="71"/>
    </row>
    <row r="61" customFormat="false" ht="15" hidden="true" customHeight="false" outlineLevel="1" collapsed="false">
      <c r="A61" s="137" t="s">
        <v>25</v>
      </c>
      <c r="B61" s="187" t="n">
        <f aca="false">SUMIFS(Horodateur1123353819223134374346495255586164698522263438465058546266707478829098941021061141181101221261301341381421461501541581621661701741781821861901941982022062102144101418222630343846505458[Durée (100)],Horodateur1123353819223134374346495255586164698522263438465058546266707478829098941021061141181101221261301341381421461501541581621661701741781821861901941982022062102144101418222630343846505458[Jour],$B$57,Horodateur1123353819223134374346495255586164698522263438465058546266707478829098941021061141181101221261301341381421461501541581621661701741781821861901941982022062102144101418222630343846505458[Tâche],$A61)</f>
        <v>0</v>
      </c>
      <c r="C61" s="187" t="n">
        <f aca="false">SUMIFS(Horodateur1123353819223134374346495255586164698522263438465058546266707478829098941021061141181101221261301341381421461501541581621661701741781821861901941982022062102144101418222630343846505458[Durée (100)],Horodateur1123353819223134374346495255586164698522263438465058546266707478829098941021061141181101221261301341381421461501541581621661701741781821861901941982022062102144101418222630343846505458[Jour],$C$57,Horodateur1123353819223134374346495255586164698522263438465058546266707478829098941021061141181101221261301341381421461501541581621661701741781821861901941982022062102144101418222630343846505458[Tâche],$A61)</f>
        <v>0</v>
      </c>
      <c r="D61" s="187" t="n">
        <f aca="false">SUMIFS(Horodateur1123353819223134374346495255586164698522263438465058546266707478829098941021061141181101221261301341381421461501541581621661701741781821861901941982022062102144101418222630343846505458[Durée (100)],Horodateur1123353819223134374346495255586164698522263438465058546266707478829098941021061141181101221261301341381421461501541581621661701741781821861901941982022062102144101418222630343846505458[Jour],$D$57,Horodateur1123353819223134374346495255586164698522263438465058546266707478829098941021061141181101221261301341381421461501541581621661701741781821861901941982022062102144101418222630343846505458[Tâche],$A61)</f>
        <v>0</v>
      </c>
      <c r="E61" s="187" t="n">
        <f aca="false">SUMIFS(Horodateur1123353819223134374346495255586164698522263438465058546266707478829098941021061141181101221261301341381421461501541581621661701741781821861901941982022062102144101418222630343846505458[Durée (100)],Horodateur1123353819223134374346495255586164698522263438465058546266707478829098941021061141181101221261301341381421461501541581621661701741781821861901941982022062102144101418222630343846505458[Jour],$E$57,Horodateur1123353819223134374346495255586164698522263438465058546266707478829098941021061141181101221261301341381421461501541581621661701741781821861901941982022062102144101418222630343846505458[Tâche],$A61)</f>
        <v>0</v>
      </c>
      <c r="F61" s="71" t="n">
        <f aca="false">SUMIFS(Horodateur1123353819223134374346495255586164698522263438465058546266707478829098941021061141181101221261301341381421461501541581621661701741781821861901941982022062102144101418222630343846505458[Durée (100)],Horodateur1123353819223134374346495255586164698522263438465058546266707478829098941021061141181101221261301341381421461501541581621661701741781821861901941982022062102144101418222630343846505458[Jour],$F$57,Horodateur1123353819223134374346495255586164698522263438465058546266707478829098941021061141181101221261301341381421461501541581621661701741781821861901941982022062102144101418222630343846505458[Tâche],$A61)</f>
        <v>0</v>
      </c>
      <c r="G61" s="187" t="n">
        <f aca="false">SUMIFS(Horodateur1123353819223134374346495255586164698522263438465058546266707478829098941021061141181101221261301341381421461501541581621661701741781821861901941982022062102144101418222630343846505458[Durée (100)],Horodateur1123353819223134374346495255586164698522263438465058546266707478829098941021061141181101221261301341381421461501541581621661701741781821861901941982022062102144101418222630343846505458[Jour],$G$57,Horodateur1123353819223134374346495255586164698522263438465058546266707478829098941021061141181101221261301341381421461501541581621661701741781821861901941982022062102144101418222630343846505458[Tâche],$A61)</f>
        <v>0</v>
      </c>
      <c r="H61" s="187" t="n">
        <f aca="false">SUMIFS(Horodateur1123353819223134374346495255586164698522263438465058546266707478829098941021061141181101221261301341381421461501541581621661701741781821861901941982022062102144101418222630343846505458[Durée (100)],Horodateur1123353819223134374346495255586164698522263438465058546266707478829098941021061141181101221261301341381421461501541581621661701741781821861901941982022062102144101418222630343846505458[Jour],$H$57,Horodateur1123353819223134374346495255586164698522263438465058546266707478829098941021061141181101221261301341381421461501541581621661701741781821861901941982022062102144101418222630343846505458[Tâche],$A61)</f>
        <v>0</v>
      </c>
      <c r="I61" s="295" t="n">
        <f aca="false">SUM(Taches_Jour2132537401821303336424548515457606368842125333745495753616569737781899793101105113117109121125129133137141145149153157161165169173177181185189193197201205209213391317212529333745495357[[#This Row],[1- Lundi]:[7- Dimanche]])</f>
        <v>0</v>
      </c>
      <c r="J61" s="271"/>
      <c r="K61" s="1"/>
      <c r="L61" s="1"/>
      <c r="M61" s="188"/>
      <c r="N61" s="272"/>
      <c r="O61" s="272"/>
      <c r="P61" s="187"/>
      <c r="Q61" s="1"/>
      <c r="R61" s="1"/>
      <c r="S61" s="1"/>
      <c r="T61" s="1"/>
      <c r="U61" s="1"/>
      <c r="V61" s="1"/>
      <c r="W61" s="71"/>
      <c r="X61" s="71"/>
      <c r="Y61" s="71"/>
      <c r="Z61" s="71"/>
      <c r="AA61" s="71"/>
      <c r="AB61" s="71"/>
      <c r="AC61" s="71"/>
      <c r="AD61" s="71"/>
      <c r="AE61" s="71"/>
      <c r="AF61" s="71"/>
      <c r="AG61" s="71"/>
      <c r="AH61" s="71"/>
      <c r="AI61" s="71"/>
    </row>
    <row r="62" customFormat="false" ht="15" hidden="true" customHeight="false" outlineLevel="1" collapsed="false">
      <c r="A62" s="137" t="s">
        <v>26</v>
      </c>
      <c r="B62" s="187" t="n">
        <f aca="false">SUMIFS(Horodateur1123353819223134374346495255586164698522263438465058546266707478829098941021061141181101221261301341381421461501541581621661701741781821861901941982022062102144101418222630343846505458[Durée (100)],Horodateur1123353819223134374346495255586164698522263438465058546266707478829098941021061141181101221261301341381421461501541581621661701741781821861901941982022062102144101418222630343846505458[Jour],$B$57,Horodateur1123353819223134374346495255586164698522263438465058546266707478829098941021061141181101221261301341381421461501541581621661701741781821861901941982022062102144101418222630343846505458[Tâche],$A62)</f>
        <v>0</v>
      </c>
      <c r="C62" s="187" t="n">
        <f aca="false">SUMIFS(Horodateur1123353819223134374346495255586164698522263438465058546266707478829098941021061141181101221261301341381421461501541581621661701741781821861901941982022062102144101418222630343846505458[Durée (100)],Horodateur1123353819223134374346495255586164698522263438465058546266707478829098941021061141181101221261301341381421461501541581621661701741781821861901941982022062102144101418222630343846505458[Jour],$C$57,Horodateur1123353819223134374346495255586164698522263438465058546266707478829098941021061141181101221261301341381421461501541581621661701741781821861901941982022062102144101418222630343846505458[Tâche],$A62)</f>
        <v>0</v>
      </c>
      <c r="D62" s="187" t="n">
        <f aca="false">SUMIFS(Horodateur1123353819223134374346495255586164698522263438465058546266707478829098941021061141181101221261301341381421461501541581621661701741781821861901941982022062102144101418222630343846505458[Durée (100)],Horodateur1123353819223134374346495255586164698522263438465058546266707478829098941021061141181101221261301341381421461501541581621661701741781821861901941982022062102144101418222630343846505458[Jour],$D$57,Horodateur1123353819223134374346495255586164698522263438465058546266707478829098941021061141181101221261301341381421461501541581621661701741781821861901941982022062102144101418222630343846505458[Tâche],$A62)</f>
        <v>0</v>
      </c>
      <c r="E62" s="187" t="n">
        <f aca="false">SUMIFS(Horodateur1123353819223134374346495255586164698522263438465058546266707478829098941021061141181101221261301341381421461501541581621661701741781821861901941982022062102144101418222630343846505458[Durée (100)],Horodateur1123353819223134374346495255586164698522263438465058546266707478829098941021061141181101221261301341381421461501541581621661701741781821861901941982022062102144101418222630343846505458[Jour],$E$57,Horodateur1123353819223134374346495255586164698522263438465058546266707478829098941021061141181101221261301341381421461501541581621661701741781821861901941982022062102144101418222630343846505458[Tâche],$A62)</f>
        <v>0</v>
      </c>
      <c r="F62" s="71" t="n">
        <f aca="false">SUMIFS(Horodateur1123353819223134374346495255586164698522263438465058546266707478829098941021061141181101221261301341381421461501541581621661701741781821861901941982022062102144101418222630343846505458[Durée (100)],Horodateur1123353819223134374346495255586164698522263438465058546266707478829098941021061141181101221261301341381421461501541581621661701741781821861901941982022062102144101418222630343846505458[Jour],$F$57,Horodateur1123353819223134374346495255586164698522263438465058546266707478829098941021061141181101221261301341381421461501541581621661701741781821861901941982022062102144101418222630343846505458[Tâche],$A62)</f>
        <v>0</v>
      </c>
      <c r="G62" s="187" t="n">
        <f aca="false">SUMIFS(Horodateur1123353819223134374346495255586164698522263438465058546266707478829098941021061141181101221261301341381421461501541581621661701741781821861901941982022062102144101418222630343846505458[Durée (100)],Horodateur1123353819223134374346495255586164698522263438465058546266707478829098941021061141181101221261301341381421461501541581621661701741781821861901941982022062102144101418222630343846505458[Jour],$G$57,Horodateur1123353819223134374346495255586164698522263438465058546266707478829098941021061141181101221261301341381421461501541581621661701741781821861901941982022062102144101418222630343846505458[Tâche],$A62)</f>
        <v>0</v>
      </c>
      <c r="H62" s="187" t="n">
        <f aca="false">SUMIFS(Horodateur1123353819223134374346495255586164698522263438465058546266707478829098941021061141181101221261301341381421461501541581621661701741781821861901941982022062102144101418222630343846505458[Durée (100)],Horodateur1123353819223134374346495255586164698522263438465058546266707478829098941021061141181101221261301341381421461501541581621661701741781821861901941982022062102144101418222630343846505458[Jour],$H$57,Horodateur1123353819223134374346495255586164698522263438465058546266707478829098941021061141181101221261301341381421461501541581621661701741781821861901941982022062102144101418222630343846505458[Tâche],$A62)</f>
        <v>0</v>
      </c>
      <c r="I62" s="295" t="n">
        <f aca="false">SUM(Taches_Jour2132537401821303336424548515457606368842125333745495753616569737781899793101105113117109121125129133137141145149153157161165169173177181185189193197201205209213391317212529333745495357[[#This Row],[1- Lundi]:[7- Dimanche]])</f>
        <v>0</v>
      </c>
      <c r="J62" s="271"/>
      <c r="K62" s="1"/>
      <c r="L62" s="1"/>
      <c r="M62" s="188"/>
      <c r="N62" s="272"/>
      <c r="O62" s="272"/>
      <c r="P62" s="187"/>
      <c r="Q62" s="1"/>
      <c r="R62" s="1"/>
      <c r="S62" s="1"/>
      <c r="T62" s="1"/>
      <c r="U62" s="1"/>
      <c r="V62" s="1"/>
      <c r="W62" s="71"/>
      <c r="X62" s="71"/>
      <c r="Y62" s="71"/>
      <c r="Z62" s="71"/>
      <c r="AA62" s="71"/>
      <c r="AB62" s="71"/>
      <c r="AC62" s="71"/>
      <c r="AD62" s="71"/>
      <c r="AE62" s="71"/>
      <c r="AF62" s="71"/>
      <c r="AG62" s="71"/>
      <c r="AH62" s="71"/>
      <c r="AI62" s="71"/>
    </row>
    <row r="63" customFormat="false" ht="15" hidden="true" customHeight="false" outlineLevel="1" collapsed="false">
      <c r="A63" s="137" t="s">
        <v>378</v>
      </c>
      <c r="B63" s="187" t="n">
        <f aca="false">SUMIFS(Horodateur1123353819223134374346495255586164698522263438465058546266707478829098941021061141181101221261301341381421461501541581621661701741781821861901941982022062102144101418222630343846505458[Durée (100)],Horodateur1123353819223134374346495255586164698522263438465058546266707478829098941021061141181101221261301341381421461501541581621661701741781821861901941982022062102144101418222630343846505458[Jour],$B$57,Horodateur1123353819223134374346495255586164698522263438465058546266707478829098941021061141181101221261301341381421461501541581621661701741781821861901941982022062102144101418222630343846505458[Tâche],$A63)</f>
        <v>4.5</v>
      </c>
      <c r="C63" s="187" t="n">
        <f aca="false">SUMIFS(Horodateur1123353819223134374346495255586164698522263438465058546266707478829098941021061141181101221261301341381421461501541581621661701741781821861901941982022062102144101418222630343846505458[Durée (100)],Horodateur1123353819223134374346495255586164698522263438465058546266707478829098941021061141181101221261301341381421461501541581621661701741781821861901941982022062102144101418222630343846505458[Jour],$C$57,Horodateur1123353819223134374346495255586164698522263438465058546266707478829098941021061141181101221261301341381421461501541581621661701741781821861901941982022062102144101418222630343846505458[Tâche],$A63)</f>
        <v>6</v>
      </c>
      <c r="D63" s="187" t="n">
        <f aca="false">SUMIFS(Horodateur1123353819223134374346495255586164698522263438465058546266707478829098941021061141181101221261301341381421461501541581621661701741781821861901941982022062102144101418222630343846505458[Durée (100)],Horodateur1123353819223134374346495255586164698522263438465058546266707478829098941021061141181101221261301341381421461501541581621661701741781821861901941982022062102144101418222630343846505458[Jour],$D$57,Horodateur1123353819223134374346495255586164698522263438465058546266707478829098941021061141181101221261301341381421461501541581621661701741781821861901941982022062102144101418222630343846505458[Tâche],$A63)</f>
        <v>3.25</v>
      </c>
      <c r="E63" s="187" t="n">
        <f aca="false">SUMIFS(Horodateur1123353819223134374346495255586164698522263438465058546266707478829098941021061141181101221261301341381421461501541581621661701741781821861901941982022062102144101418222630343846505458[Durée (100)],Horodateur1123353819223134374346495255586164698522263438465058546266707478829098941021061141181101221261301341381421461501541581621661701741781821861901941982022062102144101418222630343846505458[Jour],$E$57,Horodateur1123353819223134374346495255586164698522263438465058546266707478829098941021061141181101221261301341381421461501541581621661701741781821861901941982022062102144101418222630343846505458[Tâche],$A63)</f>
        <v>3.75</v>
      </c>
      <c r="F63" s="71" t="n">
        <f aca="false">SUMIFS(Horodateur1123353819223134374346495255586164698522263438465058546266707478829098941021061141181101221261301341381421461501541581621661701741781821861901941982022062102144101418222630343846505458[Durée (100)],Horodateur1123353819223134374346495255586164698522263438465058546266707478829098941021061141181101221261301341381421461501541581621661701741781821861901941982022062102144101418222630343846505458[Jour],$F$57,Horodateur1123353819223134374346495255586164698522263438465058546266707478829098941021061141181101221261301341381421461501541581621661701741781821861901941982022062102144101418222630343846505458[Tâche],$A63)</f>
        <v>3</v>
      </c>
      <c r="G63" s="187" t="n">
        <f aca="false">SUMIFS(Horodateur1123353819223134374346495255586164698522263438465058546266707478829098941021061141181101221261301341381421461501541581621661701741781821861901941982022062102144101418222630343846505458[Durée (100)],Horodateur1123353819223134374346495255586164698522263438465058546266707478829098941021061141181101221261301341381421461501541581621661701741781821861901941982022062102144101418222630343846505458[Jour],$G$57,Horodateur1123353819223134374346495255586164698522263438465058546266707478829098941021061141181101221261301341381421461501541581621661701741781821861901941982022062102144101418222630343846505458[Tâche],$A63)</f>
        <v>2.5</v>
      </c>
      <c r="H63" s="187" t="n">
        <f aca="false">SUMIFS(Horodateur1123353819223134374346495255586164698522263438465058546266707478829098941021061141181101221261301341381421461501541581621661701741781821861901941982022062102144101418222630343846505458[Durée (100)],Horodateur1123353819223134374346495255586164698522263438465058546266707478829098941021061141181101221261301341381421461501541581621661701741781821861901941982022062102144101418222630343846505458[Jour],$H$57,Horodateur1123353819223134374346495255586164698522263438465058546266707478829098941021061141181101221261301341381421461501541581621661701741781821861901941982022062102144101418222630343846505458[Tâche],$A63)</f>
        <v>0</v>
      </c>
      <c r="I63" s="295" t="n">
        <f aca="false">SUM(Taches_Jour2132537401821303336424548515457606368842125333745495753616569737781899793101105113117109121125129133137141145149153157161165169173177181185189193197201205209213391317212529333745495357[[#This Row],[1- Lundi]:[7- Dimanche]])</f>
        <v>23</v>
      </c>
      <c r="J63" s="271"/>
      <c r="K63" s="1"/>
      <c r="L63" s="1"/>
      <c r="M63" s="188"/>
      <c r="N63" s="272"/>
      <c r="O63" s="272"/>
      <c r="P63" s="187"/>
      <c r="Q63" s="1"/>
      <c r="R63" s="1"/>
      <c r="S63" s="1"/>
      <c r="T63" s="1"/>
      <c r="U63" s="1"/>
      <c r="V63" s="1"/>
      <c r="W63" s="71"/>
      <c r="X63" s="71"/>
      <c r="Y63" s="71"/>
      <c r="Z63" s="71"/>
      <c r="AA63" s="71"/>
      <c r="AB63" s="71"/>
      <c r="AC63" s="71"/>
      <c r="AD63" s="71"/>
      <c r="AE63" s="71"/>
      <c r="AF63" s="71"/>
      <c r="AG63" s="71"/>
      <c r="AH63" s="71"/>
      <c r="AI63" s="71"/>
    </row>
    <row r="64" customFormat="false" ht="15" hidden="true" customHeight="false" outlineLevel="1" collapsed="false">
      <c r="A64" s="137" t="s">
        <v>382</v>
      </c>
      <c r="B64" s="187" t="n">
        <f aca="false">SUMIFS(Horodateur1123353819223134374346495255586164698522263438465058546266707478829098941021061141181101221261301341381421461501541581621661701741781821861901941982022062102144101418222630343846505458[Durée (100)],Horodateur1123353819223134374346495255586164698522263438465058546266707478829098941021061141181101221261301341381421461501541581621661701741781821861901941982022062102144101418222630343846505458[Jour],$B$57,Horodateur1123353819223134374346495255586164698522263438465058546266707478829098941021061141181101221261301341381421461501541581621661701741781821861901941982022062102144101418222630343846505458[Tâche],$A64)</f>
        <v>0</v>
      </c>
      <c r="C64" s="187" t="n">
        <f aca="false">SUMIFS(Horodateur1123353819223134374346495255586164698522263438465058546266707478829098941021061141181101221261301341381421461501541581621661701741781821861901941982022062102144101418222630343846505458[Durée (100)],Horodateur1123353819223134374346495255586164698522263438465058546266707478829098941021061141181101221261301341381421461501541581621661701741781821861901941982022062102144101418222630343846505458[Jour],$C$57,Horodateur1123353819223134374346495255586164698522263438465058546266707478829098941021061141181101221261301341381421461501541581621661701741781821861901941982022062102144101418222630343846505458[Tâche],$A64)</f>
        <v>0</v>
      </c>
      <c r="D64" s="187" t="n">
        <f aca="false">SUMIFS(Horodateur1123353819223134374346495255586164698522263438465058546266707478829098941021061141181101221261301341381421461501541581621661701741781821861901941982022062102144101418222630343846505458[Durée (100)],Horodateur1123353819223134374346495255586164698522263438465058546266707478829098941021061141181101221261301341381421461501541581621661701741781821861901941982022062102144101418222630343846505458[Jour],$D$57,Horodateur1123353819223134374346495255586164698522263438465058546266707478829098941021061141181101221261301341381421461501541581621661701741781821861901941982022062102144101418222630343846505458[Tâche],$A64)</f>
        <v>0</v>
      </c>
      <c r="E64" s="187" t="n">
        <f aca="false">SUMIFS(Horodateur1123353819223134374346495255586164698522263438465058546266707478829098941021061141181101221261301341381421461501541581621661701741781821861901941982022062102144101418222630343846505458[Durée (100)],Horodateur1123353819223134374346495255586164698522263438465058546266707478829098941021061141181101221261301341381421461501541581621661701741781821861901941982022062102144101418222630343846505458[Jour],$E$57,Horodateur1123353819223134374346495255586164698522263438465058546266707478829098941021061141181101221261301341381421461501541581621661701741781821861901941982022062102144101418222630343846505458[Tâche],$A64)</f>
        <v>0</v>
      </c>
      <c r="F64" s="71" t="n">
        <f aca="false">SUMIFS(Horodateur1123353819223134374346495255586164698522263438465058546266707478829098941021061141181101221261301341381421461501541581621661701741781821861901941982022062102144101418222630343846505458[Durée (100)],Horodateur1123353819223134374346495255586164698522263438465058546266707478829098941021061141181101221261301341381421461501541581621661701741781821861901941982022062102144101418222630343846505458[Jour],$F$57,Horodateur1123353819223134374346495255586164698522263438465058546266707478829098941021061141181101221261301341381421461501541581621661701741781821861901941982022062102144101418222630343846505458[Tâche],$A64)</f>
        <v>0</v>
      </c>
      <c r="G64" s="187" t="n">
        <f aca="false">SUMIFS(Horodateur1123353819223134374346495255586164698522263438465058546266707478829098941021061141181101221261301341381421461501541581621661701741781821861901941982022062102144101418222630343846505458[Durée (100)],Horodateur1123353819223134374346495255586164698522263438465058546266707478829098941021061141181101221261301341381421461501541581621661701741781821861901941982022062102144101418222630343846505458[Jour],$G$57,Horodateur1123353819223134374346495255586164698522263438465058546266707478829098941021061141181101221261301341381421461501541581621661701741781821861901941982022062102144101418222630343846505458[Tâche],$A64)</f>
        <v>0</v>
      </c>
      <c r="H64" s="187" t="n">
        <f aca="false">SUMIFS(Horodateur1123353819223134374346495255586164698522263438465058546266707478829098941021061141181101221261301341381421461501541581621661701741781821861901941982022062102144101418222630343846505458[Durée (100)],Horodateur1123353819223134374346495255586164698522263438465058546266707478829098941021061141181101221261301341381421461501541581621661701741781821861901941982022062102144101418222630343846505458[Jour],$H$57,Horodateur1123353819223134374346495255586164698522263438465058546266707478829098941021061141181101221261301341381421461501541581621661701741781821861901941982022062102144101418222630343846505458[Tâche],$A64)</f>
        <v>0</v>
      </c>
      <c r="I64" s="295" t="n">
        <f aca="false">SUM(Taches_Jour2132537401821303336424548515457606368842125333745495753616569737781899793101105113117109121125129133137141145149153157161165169173177181185189193197201205209213391317212529333745495357[[#This Row],[1- Lundi]:[7- Dimanche]])</f>
        <v>0</v>
      </c>
      <c r="J64" s="271"/>
      <c r="K64" s="1"/>
      <c r="L64" s="1"/>
      <c r="M64" s="188"/>
      <c r="N64" s="272"/>
      <c r="O64" s="272"/>
      <c r="P64" s="187"/>
      <c r="Q64" s="1"/>
      <c r="R64" s="1"/>
      <c r="S64" s="1"/>
      <c r="T64" s="1"/>
      <c r="U64" s="1"/>
      <c r="V64" s="1"/>
      <c r="W64" s="71"/>
      <c r="X64" s="71"/>
      <c r="Y64" s="71"/>
      <c r="Z64" s="71"/>
      <c r="AA64" s="71"/>
      <c r="AB64" s="71"/>
      <c r="AC64" s="71"/>
      <c r="AD64" s="71"/>
      <c r="AE64" s="71"/>
      <c r="AF64" s="71"/>
      <c r="AG64" s="71"/>
      <c r="AH64" s="71"/>
      <c r="AI64" s="71"/>
    </row>
    <row r="65" customFormat="false" ht="15" hidden="true" customHeight="false" outlineLevel="1" collapsed="false">
      <c r="A65" s="137" t="s">
        <v>380</v>
      </c>
      <c r="B65" s="187" t="n">
        <f aca="false">SUMIFS(Horodateur1123353819223134374346495255586164698522263438465058546266707478829098941021061141181101221261301341381421461501541581621661701741781821861901941982022062102144101418222630343846505458[Durée (100)],Horodateur1123353819223134374346495255586164698522263438465058546266707478829098941021061141181101221261301341381421461501541581621661701741781821861901941982022062102144101418222630343846505458[Jour],$B$57,Horodateur1123353819223134374346495255586164698522263438465058546266707478829098941021061141181101221261301341381421461501541581621661701741781821861901941982022062102144101418222630343846505458[Tâche],$A65)</f>
        <v>0</v>
      </c>
      <c r="C65" s="187" t="n">
        <f aca="false">SUMIFS(Horodateur1123353819223134374346495255586164698522263438465058546266707478829098941021061141181101221261301341381421461501541581621661701741781821861901941982022062102144101418222630343846505458[Durée (100)],Horodateur1123353819223134374346495255586164698522263438465058546266707478829098941021061141181101221261301341381421461501541581621661701741781821861901941982022062102144101418222630343846505458[Jour],$C$57,Horodateur1123353819223134374346495255586164698522263438465058546266707478829098941021061141181101221261301341381421461501541581621661701741781821861901941982022062102144101418222630343846505458[Tâche],$A65)</f>
        <v>0</v>
      </c>
      <c r="D65" s="187" t="n">
        <f aca="false">SUMIFS(Horodateur1123353819223134374346495255586164698522263438465058546266707478829098941021061141181101221261301341381421461501541581621661701741781821861901941982022062102144101418222630343846505458[Durée (100)],Horodateur1123353819223134374346495255586164698522263438465058546266707478829098941021061141181101221261301341381421461501541581621661701741781821861901941982022062102144101418222630343846505458[Jour],$D$57,Horodateur1123353819223134374346495255586164698522263438465058546266707478829098941021061141181101221261301341381421461501541581621661701741781821861901941982022062102144101418222630343846505458[Tâche],$A65)</f>
        <v>0</v>
      </c>
      <c r="E65" s="187" t="n">
        <f aca="false">SUMIFS(Horodateur1123353819223134374346495255586164698522263438465058546266707478829098941021061141181101221261301341381421461501541581621661701741781821861901941982022062102144101418222630343846505458[Durée (100)],Horodateur1123353819223134374346495255586164698522263438465058546266707478829098941021061141181101221261301341381421461501541581621661701741781821861901941982022062102144101418222630343846505458[Jour],$E$57,Horodateur1123353819223134374346495255586164698522263438465058546266707478829098941021061141181101221261301341381421461501541581621661701741781821861901941982022062102144101418222630343846505458[Tâche],$A65)</f>
        <v>0</v>
      </c>
      <c r="F65" s="71" t="n">
        <f aca="false">SUMIFS(Horodateur1123353819223134374346495255586164698522263438465058546266707478829098941021061141181101221261301341381421461501541581621661701741781821861901941982022062102144101418222630343846505458[Durée (100)],Horodateur1123353819223134374346495255586164698522263438465058546266707478829098941021061141181101221261301341381421461501541581621661701741781821861901941982022062102144101418222630343846505458[Jour],$F$57,Horodateur1123353819223134374346495255586164698522263438465058546266707478829098941021061141181101221261301341381421461501541581621661701741781821861901941982022062102144101418222630343846505458[Tâche],$A65)</f>
        <v>0</v>
      </c>
      <c r="G65" s="187" t="n">
        <f aca="false">SUMIFS(Horodateur1123353819223134374346495255586164698522263438465058546266707478829098941021061141181101221261301341381421461501541581621661701741781821861901941982022062102144101418222630343846505458[Durée (100)],Horodateur1123353819223134374346495255586164698522263438465058546266707478829098941021061141181101221261301341381421461501541581621661701741781821861901941982022062102144101418222630343846505458[Jour],$G$57,Horodateur1123353819223134374346495255586164698522263438465058546266707478829098941021061141181101221261301341381421461501541581621661701741781821861901941982022062102144101418222630343846505458[Tâche],$A65)</f>
        <v>0</v>
      </c>
      <c r="H65" s="187" t="n">
        <f aca="false">SUMIFS(Horodateur1123353819223134374346495255586164698522263438465058546266707478829098941021061141181101221261301341381421461501541581621661701741781821861901941982022062102144101418222630343846505458[Durée (100)],Horodateur1123353819223134374346495255586164698522263438465058546266707478829098941021061141181101221261301341381421461501541581621661701741781821861901941982022062102144101418222630343846505458[Jour],$H$57,Horodateur1123353819223134374346495255586164698522263438465058546266707478829098941021061141181101221261301341381421461501541581621661701741781821861901941982022062102144101418222630343846505458[Tâche],$A65)</f>
        <v>0</v>
      </c>
      <c r="I65" s="295" t="n">
        <f aca="false">SUM(Taches_Jour2132537401821303336424548515457606368842125333745495753616569737781899793101105113117109121125129133137141145149153157161165169173177181185189193197201205209213391317212529333745495357[[#This Row],[1- Lundi]:[7- Dimanche]])</f>
        <v>0</v>
      </c>
      <c r="J65" s="271"/>
      <c r="K65" s="1"/>
      <c r="L65" s="1"/>
      <c r="M65" s="188"/>
      <c r="N65" s="272"/>
      <c r="O65" s="272"/>
      <c r="P65" s="76"/>
    </row>
    <row r="66" customFormat="false" ht="15" hidden="true" customHeight="false" outlineLevel="1" collapsed="false">
      <c r="P66" s="76"/>
    </row>
    <row r="67" customFormat="false" ht="15" hidden="false" customHeight="false" outlineLevel="1" collapsed="false">
      <c r="G67" s="0" t="s">
        <v>383</v>
      </c>
      <c r="P67" s="76"/>
    </row>
    <row r="68" customFormat="false" ht="15" hidden="false" customHeight="false" outlineLevel="0" collapsed="false">
      <c r="P68" s="76"/>
    </row>
    <row r="69" customFormat="false" ht="15" hidden="false" customHeight="false" outlineLevel="0" collapsed="false">
      <c r="G69" s="76"/>
      <c r="P69" s="76"/>
    </row>
    <row r="70" customFormat="false" ht="15" hidden="false" customHeight="false" outlineLevel="0" collapsed="false">
      <c r="P70" s="76"/>
    </row>
    <row r="71" customFormat="false" ht="15" hidden="false" customHeight="false" outlineLevel="0" collapsed="false">
      <c r="P71" s="76"/>
    </row>
    <row r="72" customFormat="false" ht="15" hidden="false" customHeight="false" outlineLevel="0" collapsed="false">
      <c r="P72" s="76"/>
    </row>
    <row r="73" customFormat="false" ht="15" hidden="false" customHeight="false" outlineLevel="0" collapsed="false">
      <c r="P73" s="76"/>
    </row>
    <row r="74" customFormat="false" ht="15" hidden="false" customHeight="false" outlineLevel="0" collapsed="false">
      <c r="P74" s="76"/>
    </row>
    <row r="75" customFormat="false" ht="15" hidden="false" customHeight="false" outlineLevel="0" collapsed="false">
      <c r="P75" s="76"/>
    </row>
    <row r="76" customFormat="false" ht="15" hidden="false" customHeight="false" outlineLevel="0" collapsed="false">
      <c r="P76" s="76"/>
    </row>
    <row r="77" customFormat="false" ht="15" hidden="false" customHeight="false" outlineLevel="0" collapsed="false">
      <c r="P77" s="76"/>
    </row>
    <row r="78" customFormat="false" ht="15" hidden="false" customHeight="false" outlineLevel="0" collapsed="false">
      <c r="P78" s="76"/>
    </row>
    <row r="79" customFormat="false" ht="15" hidden="false" customHeight="false" outlineLevel="0" collapsed="false">
      <c r="P79" s="76"/>
    </row>
    <row r="80" customFormat="false" ht="15" hidden="false" customHeight="false" outlineLevel="0" collapsed="false">
      <c r="P80" s="76"/>
    </row>
    <row r="81" customFormat="false" ht="15" hidden="false" customHeight="false" outlineLevel="0" collapsed="false">
      <c r="P81" s="76"/>
    </row>
    <row r="82" customFormat="false" ht="15" hidden="false" customHeight="false" outlineLevel="0" collapsed="false">
      <c r="P82" s="76"/>
    </row>
    <row r="83" customFormat="false" ht="15" hidden="false" customHeight="false" outlineLevel="0" collapsed="false">
      <c r="P83" s="76"/>
    </row>
    <row r="84" customFormat="false" ht="15" hidden="false" customHeight="false" outlineLevel="0" collapsed="false">
      <c r="P84" s="76"/>
    </row>
    <row r="85" customFormat="false" ht="15" hidden="false" customHeight="false" outlineLevel="0" collapsed="false">
      <c r="P85" s="76"/>
    </row>
    <row r="86" customFormat="false" ht="15" hidden="false" customHeight="false" outlineLevel="0" collapsed="false">
      <c r="P86" s="76"/>
    </row>
    <row r="87" customFormat="false" ht="15" hidden="false" customHeight="false" outlineLevel="0" collapsed="false">
      <c r="P87" s="76"/>
    </row>
    <row r="88" customFormat="false" ht="15" hidden="false" customHeight="false" outlineLevel="0" collapsed="false">
      <c r="P88" s="76"/>
    </row>
    <row r="89" customFormat="false" ht="15" hidden="false" customHeight="false" outlineLevel="0" collapsed="false">
      <c r="A89" s="296" t="s">
        <v>384</v>
      </c>
      <c r="B89" s="296"/>
      <c r="P89" s="76"/>
    </row>
    <row r="90" customFormat="false" ht="15" hidden="false" customHeight="false" outlineLevel="0" collapsed="false">
      <c r="A90" s="297" t="s">
        <v>385</v>
      </c>
      <c r="B90" s="297" t="s">
        <v>8</v>
      </c>
      <c r="P90" s="76"/>
    </row>
    <row r="91" customFormat="false" ht="15" hidden="false" customHeight="false" outlineLevel="0" collapsed="false">
      <c r="A91" s="298" t="n">
        <v>0</v>
      </c>
      <c r="B91" s="299" t="s">
        <v>386</v>
      </c>
      <c r="P91" s="76"/>
    </row>
    <row r="92" customFormat="false" ht="15" hidden="false" customHeight="false" outlineLevel="0" collapsed="false">
      <c r="A92" s="298" t="n">
        <v>-2</v>
      </c>
      <c r="B92" s="299" t="s">
        <v>387</v>
      </c>
      <c r="P92" s="76"/>
    </row>
    <row r="93" customFormat="false" ht="15" hidden="false" customHeight="false" outlineLevel="0" collapsed="false">
      <c r="A93" s="298" t="n">
        <v>8.5</v>
      </c>
      <c r="B93" s="299" t="s">
        <v>388</v>
      </c>
      <c r="P93" s="76"/>
    </row>
    <row r="94" customFormat="false" ht="15" hidden="false" customHeight="false" outlineLevel="0" collapsed="false">
      <c r="A94" s="298" t="n">
        <v>14.5</v>
      </c>
      <c r="B94" s="299" t="s">
        <v>389</v>
      </c>
      <c r="P94" s="76"/>
    </row>
    <row r="95" customFormat="false" ht="15" hidden="false" customHeight="false" outlineLevel="0" collapsed="false">
      <c r="A95" s="298" t="n">
        <v>8.5</v>
      </c>
      <c r="B95" s="299" t="s">
        <v>390</v>
      </c>
      <c r="P95" s="76"/>
    </row>
    <row r="96" customFormat="false" ht="15" hidden="false" customHeight="false" outlineLevel="0" collapsed="false">
      <c r="A96" s="298" t="n">
        <v>10</v>
      </c>
      <c r="B96" s="299" t="s">
        <v>391</v>
      </c>
      <c r="P96" s="76"/>
    </row>
    <row r="97" customFormat="false" ht="15" hidden="false" customHeight="false" outlineLevel="0" collapsed="false">
      <c r="A97" s="298" t="n">
        <v>-7.5</v>
      </c>
      <c r="B97" s="299" t="s">
        <v>392</v>
      </c>
      <c r="P97" s="76"/>
    </row>
    <row r="98" customFormat="false" ht="15" hidden="false" customHeight="false" outlineLevel="0" collapsed="false">
      <c r="A98" s="298" t="n">
        <v>2</v>
      </c>
      <c r="B98" s="299" t="s">
        <v>393</v>
      </c>
      <c r="P98" s="76"/>
    </row>
    <row r="99" customFormat="false" ht="15" hidden="false" customHeight="false" outlineLevel="0" collapsed="false">
      <c r="A99" s="300" t="n">
        <v>2</v>
      </c>
      <c r="B99" s="301" t="s">
        <v>394</v>
      </c>
      <c r="P99" s="76"/>
    </row>
    <row r="100" customFormat="false" ht="15" hidden="false" customHeight="false" outlineLevel="0" collapsed="false">
      <c r="A100" s="300" t="n">
        <v>2.25</v>
      </c>
      <c r="B100" s="301" t="s">
        <v>395</v>
      </c>
    </row>
    <row r="101" customFormat="false" ht="15" hidden="false" customHeight="false" outlineLevel="0" collapsed="false">
      <c r="A101" s="300" t="n">
        <v>-4</v>
      </c>
      <c r="B101" s="302" t="s">
        <v>396</v>
      </c>
    </row>
    <row r="102" customFormat="false" ht="15" hidden="false" customHeight="false" outlineLevel="0" collapsed="false">
      <c r="A102" s="300" t="n">
        <v>-7.5</v>
      </c>
      <c r="B102" s="301" t="s">
        <v>397</v>
      </c>
    </row>
  </sheetData>
  <mergeCells count="1">
    <mergeCell ref="A89:B89"/>
  </mergeCells>
  <conditionalFormatting sqref="G4:G41">
    <cfRule type="expression" priority="2" aboveAverage="0" equalAverage="0" bottom="0" percent="0" rank="0" text="" dxfId="754">
      <formula>M4="O"</formula>
    </cfRule>
    <cfRule type="expression" priority="3" aboveAverage="0" equalAverage="0" bottom="0" percent="0" rank="0" text="" dxfId="755">
      <formula>H4=0</formula>
    </cfRule>
  </conditionalFormatting>
  <conditionalFormatting sqref="F4:F41">
    <cfRule type="expression" priority="4" aboveAverage="0" equalAverage="0" bottom="0" percent="0" rank="0" text="" dxfId="756">
      <formula>M4="O"</formula>
    </cfRule>
  </conditionalFormatting>
  <conditionalFormatting sqref="E4:E41">
    <cfRule type="expression" priority="5" aboveAverage="0" equalAverage="0" bottom="0" percent="0" rank="0" text="" dxfId="757">
      <formula>M4="O"</formula>
    </cfRule>
  </conditionalFormatting>
  <conditionalFormatting sqref="C4:I41 K4:L41">
    <cfRule type="containsText" priority="6" operator="containsText" aboveAverage="0" equalAverage="0" bottom="0" percent="0" rank="0" text="Lundi" dxfId="693">
      <formula>NOT(ISERROR(SEARCH("Lundi",C4)))</formula>
    </cfRule>
  </conditionalFormatting>
  <conditionalFormatting sqref="D4:D41">
    <cfRule type="expression" priority="7" aboveAverage="0" equalAverage="0" bottom="0" percent="0" rank="0" text="" dxfId="758">
      <formula>M4="O"</formula>
    </cfRule>
  </conditionalFormatting>
  <conditionalFormatting sqref="C4:C41">
    <cfRule type="expression" priority="8" aboveAverage="0" equalAverage="0" bottom="0" percent="0" rank="0" text="" dxfId="759">
      <formula>M4="O"</formula>
    </cfRule>
  </conditionalFormatting>
  <conditionalFormatting sqref="K4:L41">
    <cfRule type="expression" priority="9" aboveAverage="0" equalAverage="0" bottom="0" percent="0" rank="0" text="" dxfId="760">
      <formula>M4="O"</formula>
    </cfRule>
  </conditionalFormatting>
  <conditionalFormatting sqref="I4:I41">
    <cfRule type="expression" priority="10" aboveAverage="0" equalAverage="0" bottom="0" percent="0" rank="0" text="" dxfId="761">
      <formula>M4="O"</formula>
    </cfRule>
  </conditionalFormatting>
  <conditionalFormatting sqref="H4:H41">
    <cfRule type="expression" priority="11" aboveAverage="0" equalAverage="0" bottom="0" percent="0" rank="0" text="" dxfId="762">
      <formula>M4="O"</formula>
    </cfRule>
  </conditionalFormatting>
  <conditionalFormatting sqref="F2:J2">
    <cfRule type="iconSet" priority="12">
      <iconSet iconSet="3TrafficLights1">
        <cfvo type="percent" val="0"/>
        <cfvo type="percent" val="33"/>
        <cfvo type="percent" val="67"/>
      </iconSet>
    </cfRule>
  </conditionalFormatting>
  <conditionalFormatting sqref="B4:B41">
    <cfRule type="containsText" priority="13" operator="containsText" aboveAverage="0" equalAverage="0" bottom="0" percent="0" rank="0" text="5" dxfId="763">
      <formula>NOT(ISERROR(SEARCH("5",B4)))</formula>
    </cfRule>
    <cfRule type="containsText" priority="14" operator="containsText" aboveAverage="0" equalAverage="0" bottom="0" percent="0" rank="0" text="4" dxfId="764">
      <formula>NOT(ISERROR(SEARCH("4",B4)))</formula>
    </cfRule>
    <cfRule type="containsText" priority="15" operator="containsText" aboveAverage="0" equalAverage="0" bottom="0" percent="0" rank="0" text="3" dxfId="765">
      <formula>NOT(ISERROR(SEARCH("3",B4)))</formula>
    </cfRule>
    <cfRule type="containsText" priority="16" operator="containsText" aboveAverage="0" equalAverage="0" bottom="0" percent="0" rank="0" text="2" dxfId="766">
      <formula>NOT(ISERROR(SEARCH("2",B4)))</formula>
    </cfRule>
    <cfRule type="containsText" priority="17" operator="containsText" aboveAverage="0" equalAverage="0" bottom="0" percent="0" rank="0" text="1" dxfId="767">
      <formula>NOT(ISERROR(SEARCH("1",B4)))</formula>
    </cfRule>
  </conditionalFormatting>
  <conditionalFormatting sqref="I58:I65">
    <cfRule type="dataBar" priority="18">
      <dataBar showValue="1" minLength="10" maxLength="90">
        <cfvo type="min" val="0"/>
        <cfvo type="max" val="0"/>
        <color rgb="FFFFB628"/>
      </dataBar>
      <extLst>
        <ext xmlns:x14="http://schemas.microsoft.com/office/spreadsheetml/2009/9/main" uri="{B025F937-C7B1-47D3-B67F-A62EFF666E3E}">
          <x14:id>{FF377125-B0B0-432C-889B-CAB8AFD0A19F}</x14:id>
        </ext>
      </extLst>
    </cfRule>
  </conditionalFormatting>
  <conditionalFormatting sqref="I54:I55 J49:J53">
    <cfRule type="dataBar" priority="19">
      <dataBar showValue="1" minLength="10" maxLength="90">
        <cfvo type="min" val="0"/>
        <cfvo type="max" val="0"/>
        <color rgb="FFFFB628"/>
      </dataBar>
      <extLst>
        <ext xmlns:x14="http://schemas.microsoft.com/office/spreadsheetml/2009/9/main" uri="{B025F937-C7B1-47D3-B67F-A62EFF666E3E}">
          <x14:id>{16FD8F16-6D10-44EB-BCDF-69A0D91B908D}</x14:id>
        </ext>
      </extLst>
    </cfRule>
  </conditionalFormatting>
  <conditionalFormatting sqref="W2:AI2">
    <cfRule type="dataBar" priority="20">
      <dataBar showValue="1" minLength="10" maxLength="90">
        <cfvo type="min" val="0"/>
        <cfvo type="max" val="0"/>
        <color rgb="FF63C384"/>
      </dataBar>
      <extLst>
        <ext xmlns:x14="http://schemas.microsoft.com/office/spreadsheetml/2009/9/main" uri="{B025F937-C7B1-47D3-B67F-A62EFF666E3E}">
          <x14:id>{2014FB35-931C-4D51-8E40-B638175C5C13}</x14:id>
        </ext>
      </extLst>
    </cfRule>
  </conditionalFormatting>
  <conditionalFormatting sqref="P2:V2">
    <cfRule type="dataBar" priority="21">
      <dataBar showValue="1" minLength="10" maxLength="90">
        <cfvo type="min" val="0"/>
        <cfvo type="max" val="0"/>
        <color rgb="FFFFB628"/>
      </dataBar>
      <extLst>
        <ext xmlns:x14="http://schemas.microsoft.com/office/spreadsheetml/2009/9/main" uri="{B025F937-C7B1-47D3-B67F-A62EFF666E3E}">
          <x14:id>{474E8646-7471-483E-BE14-5194A7309150}</x14:id>
        </ext>
      </extLst>
    </cfRule>
  </conditionalFormatting>
  <conditionalFormatting sqref="P2:AI2">
    <cfRule type="dataBar" priority="22">
      <dataBar showValue="1" minLength="10" maxLength="90">
        <cfvo type="min" val="0"/>
        <cfvo type="max" val="0"/>
        <color rgb="FFFFB628"/>
      </dataBar>
      <extLst>
        <ext xmlns:x14="http://schemas.microsoft.com/office/spreadsheetml/2009/9/main" uri="{B025F937-C7B1-47D3-B67F-A62EFF666E3E}">
          <x14:id>{C9F9AE89-39E5-4BD4-8540-84DE26BC3A1F}</x14:id>
        </ext>
      </extLst>
    </cfRule>
  </conditionalFormatting>
  <conditionalFormatting sqref="P2:U2">
    <cfRule type="dataBar" priority="23">
      <dataBar showValue="1" minLength="10" maxLength="90">
        <cfvo type="min" val="0"/>
        <cfvo type="max" val="0"/>
        <color rgb="FF638EC6"/>
      </dataBar>
      <extLst>
        <ext xmlns:x14="http://schemas.microsoft.com/office/spreadsheetml/2009/9/main" uri="{B025F937-C7B1-47D3-B67F-A62EFF666E3E}">
          <x14:id>{197FFE72-2E8D-4927-9A54-B66C34BBEF65}</x14:id>
        </ext>
      </extLst>
    </cfRule>
  </conditionalFormatting>
  <conditionalFormatting sqref="V2">
    <cfRule type="dataBar" priority="24">
      <dataBar showValue="1" minLength="10" maxLength="90">
        <cfvo type="min" val="0"/>
        <cfvo type="max" val="0"/>
        <color rgb="FF63C384"/>
      </dataBar>
      <extLst>
        <ext xmlns:x14="http://schemas.microsoft.com/office/spreadsheetml/2009/9/main" uri="{B025F937-C7B1-47D3-B67F-A62EFF666E3E}">
          <x14:id>{ED3BB682-4090-4412-BD3B-C8E22170D823}</x14:id>
        </ext>
      </extLst>
    </cfRule>
  </conditionalFormatting>
  <conditionalFormatting sqref="A4:A41">
    <cfRule type="colorScale" priority="25">
      <colorScale>
        <cfvo type="min" val="0"/>
        <cfvo type="percentile" val="50"/>
        <cfvo type="max" val="0"/>
        <color rgb="FFFFCC99"/>
        <color rgb="FFFFD966"/>
        <color rgb="FFFFF2CC"/>
      </colorScale>
    </cfRule>
  </conditionalFormatting>
  <conditionalFormatting sqref="J4:J41">
    <cfRule type="iconSet" priority="26">
      <iconSet iconSet="3TrafficLights1">
        <cfvo type="percent" val="0"/>
        <cfvo type="percent" val="33"/>
        <cfvo type="percent" val="67"/>
      </iconSet>
    </cfRule>
  </conditionalFormatting>
  <dataValidations count="4">
    <dataValidation allowBlank="true" errorStyle="stop" operator="between" showDropDown="false" showErrorMessage="true" showInputMessage="true" sqref="B1" type="list">
      <formula1>Data!$A$2:$A$106</formula1>
      <formula2>0</formula2>
    </dataValidation>
    <dataValidation allowBlank="true" errorStyle="information" errorTitle="OK ?" operator="between" showDropDown="false" showErrorMessage="true" showInputMessage="true" sqref="F4:F41" type="list">
      <formula1>Data!$D$2:$D$16</formula1>
      <formula2>0</formula2>
    </dataValidation>
    <dataValidation allowBlank="false" errorStyle="stop" operator="between" showDropDown="false" showErrorMessage="true" showInputMessage="true" sqref="E4:E41" type="list">
      <formula1>Data!$E$2:$E$30</formula1>
      <formula2>0</formula2>
    </dataValidation>
    <dataValidation allowBlank="true" errorStyle="stop" operator="between" showDropDown="false" showErrorMessage="true" showInputMessage="true" sqref="B4:B41" type="list">
      <formula1>Data!$C$2:$C$8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  <tableParts>
    <tablePart r:id="rId4"/>
    <tablePart r:id="rId5"/>
    <tablePart r:id="rId6"/>
    <tablePart r:id="rId7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F377125-B0B0-432C-889B-CAB8AFD0A19F}">
            <x14:dataBar minLength="10" maxLength="90" axisPosition="automatic" gradient="true">
              <x14:cfvo type="autoMin"/>
              <x14:cfvo type="autoMax"/>
              <x14:negativeFillColor rgb="FFFF0000"/>
              <x14:axisColor rgb="FF000000"/>
            </x14:dataBar>
          </x14:cfRule>
          <xm:sqref>I58:I65</xm:sqref>
        </x14:conditionalFormatting>
        <x14:conditionalFormatting xmlns:xm="http://schemas.microsoft.com/office/excel/2006/main">
          <x14:cfRule type="dataBar" id="{16FD8F16-6D10-44EB-BCDF-69A0D91B908D}">
            <x14:dataBar minLength="10" maxLength="90" axisPosition="automatic" gradient="true">
              <x14:cfvo type="autoMin"/>
              <x14:cfvo type="autoMax"/>
              <x14:negativeFillColor rgb="FFFF0000"/>
              <x14:axisColor rgb="FF000000"/>
            </x14:dataBar>
          </x14:cfRule>
          <xm:sqref>I54:I55 J49:J53</xm:sqref>
        </x14:conditionalFormatting>
        <x14:conditionalFormatting xmlns:xm="http://schemas.microsoft.com/office/excel/2006/main">
          <x14:cfRule type="dataBar" id="{2014FB35-931C-4D51-8E40-B638175C5C13}">
            <x14:dataBar minLength="10" maxLength="90" axisPosition="automatic" gradient="true">
              <x14:cfvo type="autoMin"/>
              <x14:cfvo type="autoMax"/>
              <x14:negativeFillColor rgb="FFFF0000"/>
              <x14:axisColor rgb="FF000000"/>
            </x14:dataBar>
          </x14:cfRule>
          <xm:sqref>W2:AI2</xm:sqref>
        </x14:conditionalFormatting>
        <x14:conditionalFormatting xmlns:xm="http://schemas.microsoft.com/office/excel/2006/main">
          <x14:cfRule type="dataBar" id="{474E8646-7471-483E-BE14-5194A7309150}">
            <x14:dataBar minLength="10" maxLength="90" axisPosition="automatic" gradient="true">
              <x14:cfvo type="autoMin"/>
              <x14:cfvo type="autoMax"/>
              <x14:negativeFillColor rgb="FFFF0000"/>
              <x14:axisColor rgb="FF000000"/>
            </x14:dataBar>
          </x14:cfRule>
          <xm:sqref>P2:V2</xm:sqref>
        </x14:conditionalFormatting>
        <x14:conditionalFormatting xmlns:xm="http://schemas.microsoft.com/office/excel/2006/main">
          <x14:cfRule type="dataBar" id="{C9F9AE89-39E5-4BD4-8540-84DE26BC3A1F}">
            <x14:dataBar minLength="10" maxLength="90" axisPosition="automatic" gradient="false">
              <x14:cfvo type="autoMin"/>
              <x14:cfvo type="autoMax"/>
              <x14:negativeFillColor rgb="FFFF0000"/>
              <x14:axisColor rgb="FF000000"/>
            </x14:dataBar>
          </x14:cfRule>
          <xm:sqref>P2:AI2</xm:sqref>
        </x14:conditionalFormatting>
        <x14:conditionalFormatting xmlns:xm="http://schemas.microsoft.com/office/excel/2006/main">
          <x14:cfRule type="dataBar" id="{197FFE72-2E8D-4927-9A54-B66C34BBEF65}">
            <x14:dataBar minLength="10" maxLength="90" axisPosition="automatic" gradient="false">
              <x14:cfvo type="autoMin"/>
              <x14:cfvo type="autoMax"/>
              <x14:negativeFillColor rgb="FFFF0000"/>
              <x14:axisColor rgb="FF000000"/>
            </x14:dataBar>
          </x14:cfRule>
          <xm:sqref>P2:U2</xm:sqref>
        </x14:conditionalFormatting>
        <x14:conditionalFormatting xmlns:xm="http://schemas.microsoft.com/office/excel/2006/main">
          <x14:cfRule type="dataBar" id="{ED3BB682-4090-4412-BD3B-C8E22170D823}">
            <x14:dataBar minLength="10" maxLength="90" axisPosition="automatic" gradient="false">
              <x14:cfvo type="autoMin"/>
              <x14:cfvo type="autoMax"/>
              <x14:negativeFillColor rgb="FFFF0000"/>
              <x14:axisColor rgb="FF000000"/>
            </x14:dataBar>
          </x14:cfRule>
          <xm:sqref>V2</xm:sqref>
        </x14:conditionalFormatting>
      </x14:conditionalFormatting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10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80" activeCellId="0" sqref="A80"/>
    </sheetView>
  </sheetViews>
  <sheetFormatPr defaultColWidth="8.6796875" defaultRowHeight="15" zeroHeight="false" outlineLevelRow="1" outlineLevelCol="1"/>
  <cols>
    <col collapsed="false" customWidth="true" hidden="false" outlineLevel="0" max="1" min="1" style="0" width="16.57"/>
    <col collapsed="false" customWidth="true" hidden="false" outlineLevel="0" max="2" min="2" style="0" width="17.71"/>
    <col collapsed="false" customWidth="true" hidden="false" outlineLevel="0" max="3" min="3" style="0" width="16.43"/>
    <col collapsed="false" customWidth="true" hidden="false" outlineLevel="0" max="4" min="4" style="0" width="10.57"/>
    <col collapsed="false" customWidth="true" hidden="false" outlineLevel="0" max="5" min="5" style="0" width="24.42"/>
    <col collapsed="false" customWidth="true" hidden="false" outlineLevel="0" max="6" min="6" style="0" width="21.57"/>
    <col collapsed="false" customWidth="true" hidden="false" outlineLevel="0" max="7" min="7" style="0" width="29.71"/>
    <col collapsed="false" customWidth="true" hidden="false" outlineLevel="0" max="8" min="8" style="0" width="13.29"/>
    <col collapsed="false" customWidth="true" hidden="false" outlineLevel="0" max="9" min="9" style="0" width="15"/>
    <col collapsed="false" customWidth="true" hidden="false" outlineLevel="0" max="10" min="10" style="0" width="14"/>
    <col collapsed="false" customWidth="true" hidden="false" outlineLevel="0" max="11" min="11" style="0" width="16.14"/>
    <col collapsed="false" customWidth="true" hidden="false" outlineLevel="0" max="12" min="12" style="0" width="7.71"/>
    <col collapsed="false" customWidth="true" hidden="false" outlineLevel="0" max="13" min="13" style="224" width="9.86"/>
    <col collapsed="false" customWidth="true" hidden="false" outlineLevel="1" max="14" min="14" style="0" width="10.29"/>
    <col collapsed="false" customWidth="true" hidden="false" outlineLevel="1" max="15" min="15" style="0" width="9.57"/>
    <col collapsed="false" customWidth="true" hidden="false" outlineLevel="1" max="16" min="16" style="0" width="8.57"/>
    <col collapsed="false" customWidth="true" hidden="false" outlineLevel="1" max="18" min="17" style="0" width="7.29"/>
    <col collapsed="false" customWidth="true" hidden="false" outlineLevel="1" max="19" min="19" style="0" width="8.57"/>
    <col collapsed="false" customWidth="true" hidden="false" outlineLevel="1" max="20" min="20" style="0" width="7.71"/>
    <col collapsed="false" customWidth="true" hidden="false" outlineLevel="1" max="21" min="21" style="0" width="12"/>
    <col collapsed="false" customWidth="true" hidden="false" outlineLevel="1" max="22" min="22" style="0" width="10.14"/>
    <col collapsed="false" customWidth="true" hidden="false" outlineLevel="1" max="23" min="23" style="0" width="11.71"/>
    <col collapsed="false" customWidth="true" hidden="false" outlineLevel="1" max="24" min="24" style="0" width="12.71"/>
    <col collapsed="false" customWidth="true" hidden="false" outlineLevel="1" max="25" min="25" style="0" width="8.57"/>
    <col collapsed="false" customWidth="true" hidden="false" outlineLevel="1" max="26" min="26" style="0" width="7.29"/>
    <col collapsed="false" customWidth="true" hidden="false" outlineLevel="1" max="27" min="27" style="0" width="9.71"/>
    <col collapsed="false" customWidth="true" hidden="false" outlineLevel="1" max="28" min="28" style="0" width="11.43"/>
    <col collapsed="false" customWidth="true" hidden="false" outlineLevel="1" max="29" min="29" style="0" width="10"/>
    <col collapsed="false" customWidth="true" hidden="false" outlineLevel="1" max="30" min="30" style="0" width="9.86"/>
    <col collapsed="false" customWidth="true" hidden="false" outlineLevel="1" max="31" min="31" style="0" width="7.86"/>
    <col collapsed="false" customWidth="true" hidden="false" outlineLevel="1" max="32" min="32" style="0" width="18.71"/>
    <col collapsed="false" customWidth="true" hidden="false" outlineLevel="1" max="33" min="33" style="0" width="27.15"/>
    <col collapsed="false" customWidth="true" hidden="false" outlineLevel="1" max="34" min="34" style="0" width="5.42"/>
  </cols>
  <sheetData>
    <row r="1" customFormat="false" ht="22.05" hidden="false" customHeight="false" outlineLevel="0" collapsed="false">
      <c r="A1" s="225" t="str">
        <f aca="false">"Semaine du " &amp; Data!D41</f>
        <v>Semaine du </v>
      </c>
      <c r="B1" s="226" t="n">
        <v>44291</v>
      </c>
      <c r="C1" s="227"/>
      <c r="D1" s="321" t="s">
        <v>361</v>
      </c>
      <c r="E1" s="322" t="n">
        <f aca="false">AVERAGE(F2:J2)</f>
        <v>8.25</v>
      </c>
      <c r="F1" s="323" t="s">
        <v>0</v>
      </c>
      <c r="G1" s="324" t="s">
        <v>1</v>
      </c>
      <c r="H1" s="324" t="s">
        <v>2</v>
      </c>
      <c r="I1" s="324" t="s">
        <v>3</v>
      </c>
      <c r="J1" s="324" t="s">
        <v>4</v>
      </c>
      <c r="K1" s="325" t="s">
        <v>401</v>
      </c>
      <c r="L1" s="234" t="n">
        <f aca="false">COUNTIF(Horodateur11233538192231343743464952555861646985222634384650585462667074788290989410210611411811012212613013413814214615015415816216617017417818218619019419820220621021441014182226303438465054[O],"o")+ COUNTIF(Horodateur11233538192231343743464952555861646985222634384650585462667074788290989410210611411811012212613013413814214615015415816216617017417818218619019419820220621021441014182226303438465054[O],".")</f>
        <v>44</v>
      </c>
      <c r="M1" s="128" t="n">
        <f aca="false">B2</f>
        <v>44.25</v>
      </c>
      <c r="N1" s="131" t="s">
        <v>21</v>
      </c>
      <c r="O1" s="130" t="s">
        <v>20</v>
      </c>
      <c r="P1" s="130" t="s">
        <v>23</v>
      </c>
      <c r="Q1" s="130" t="s">
        <v>25</v>
      </c>
      <c r="R1" s="130" t="s">
        <v>26</v>
      </c>
      <c r="S1" s="130" t="s">
        <v>378</v>
      </c>
      <c r="T1" s="130" t="s">
        <v>380</v>
      </c>
      <c r="U1" s="136" t="s">
        <v>32</v>
      </c>
      <c r="V1" s="136" t="s">
        <v>69</v>
      </c>
      <c r="W1" s="136" t="s">
        <v>66</v>
      </c>
      <c r="X1" s="136" t="s">
        <v>47</v>
      </c>
      <c r="Y1" s="136" t="s">
        <v>68</v>
      </c>
      <c r="Z1" s="136" t="s">
        <v>41</v>
      </c>
      <c r="AA1" s="136" t="s">
        <v>61</v>
      </c>
      <c r="AB1" s="136" t="s">
        <v>74</v>
      </c>
      <c r="AC1" s="136" t="s">
        <v>37</v>
      </c>
      <c r="AD1" s="136" t="s">
        <v>77</v>
      </c>
      <c r="AE1" s="136" t="s">
        <v>45</v>
      </c>
      <c r="AF1" s="136" t="s">
        <v>78</v>
      </c>
      <c r="AG1" s="136" t="s">
        <v>79</v>
      </c>
      <c r="AH1" s="87" t="str">
        <f aca="false">SUM(M4:M47) &amp; " / " &amp; B2-SUM(M4:M47)</f>
        <v>41.25 / 2.99999999999999</v>
      </c>
    </row>
    <row r="2" customFormat="false" ht="22.05" hidden="false" customHeight="false" outlineLevel="0" collapsed="false">
      <c r="A2" s="327" t="n">
        <f aca="false">SUM(Horodateur11233538192231343743464952555861646985222634384650585462667074788290989410210611411811012212613013413814214615015415816216617017417818218619019419820220621021441014182226303438465054[Durée (60)])</f>
        <v>1.84375</v>
      </c>
      <c r="B2" s="328" t="n">
        <f aca="false">SUM(Horodateur11233538192231343743464952555861646985222634384650585462667074788290989410210611411811012212613013413814214615015415816216617017417818218619019419820220621021441014182226303438465054[Durée (100)])</f>
        <v>44.25</v>
      </c>
      <c r="C2" s="339" t="str">
        <f aca="false">M2</f>
        <v>41.25 / 3</v>
      </c>
      <c r="D2" s="238"/>
      <c r="E2" s="239"/>
      <c r="F2" s="329" t="n">
        <f aca="false">SUMIF(Horodateur11233538192231343743464952555861646985222634384650585462667074788290989410210611411811012212613013413814214615015415816216617017417818218619019419820220621021441014182226303438465054[Jour],"1- Lundi",Horodateur11233538192231343743464952555861646985222634384650585462667074788290989410210611411811012212613013413814214615015415816216617017417818218619019419820220621021441014182226303438465054[Durée (100)])</f>
        <v>9</v>
      </c>
      <c r="G2" s="330" t="n">
        <f aca="false">SUMIF(Horodateur11233538192231343743464952555861646985222634384650585462667074788290989410210611411811012212613013413814214615015415816216617017417818218619019419820220621021441014182226303438465054[Jour],"2- Mardi",Horodateur11233538192231343743464952555861646985222634384650585462667074788290989410210611411811012212613013413814214615015415816216617017417818218619019419820220621021441014182226303438465054[Durée (100)])</f>
        <v>9</v>
      </c>
      <c r="H2" s="330" t="n">
        <f aca="false">SUMIF(Horodateur11233538192231343743464952555861646985222634384650585462667074788290989410210611411811012212613013413814214615015415816216617017417818218619019419820220621021441014182226303438465054[Jour],"3- Mercredi",Horodateur11233538192231343743464952555861646985222634384650585462667074788290989410210611411811012212613013413814214615015415816216617017417818218619019419820220621021441014182226303438465054[Durée (100)])</f>
        <v>9.5</v>
      </c>
      <c r="I2" s="330" t="n">
        <f aca="false">SUMIF(Horodateur11233538192231343743464952555861646985222634384650585462667074788290989410210611411811012212613013413814214615015415816216617017417818218619019419820220621021441014182226303438465054[Jour],"4- Jeudi",Horodateur11233538192231343743464952555861646985222634384650585462667074788290989410210611411811012212613013413814214615015415816216617017417818218619019419820220621021441014182226303438465054[Durée (100)])</f>
        <v>10.25</v>
      </c>
      <c r="J2" s="330" t="n">
        <f aca="false">SUMIF(Horodateur11233538192231343743464952555861646985222634384650585462667074788290989410210611411811012212613013413814214615015415816216617017417818218619019419820220621021441014182226303438465054[Jour],"5- Vendredi",Horodateur11233538192231343743464952555861646985222634384650585462667074788290989410210611411811012212613013413814214615015415816216617017417818218619019419820220621021441014182226303438465054[Durée (100)])</f>
        <v>3.5</v>
      </c>
      <c r="K2" s="331" t="str">
        <f aca="false">ROUND(SUMIF(Horodateur11233538192231343743464952555861646985222634384650585462667074788290989410210611411811012212613013413814214615015415816216617017417818218619019419820220621021441014182226303438465054[Jour],"6- Samedi",Horodateur11233538192231343743464952555861646985222634384650585462667074788290989410210611411811012212613013413814214615015415816216617017417818218619019419820220621021441014182226303438465054[Durée (100)]),2) &amp;  "   /    " &amp;  ROUND(SUMIF(Horodateur11233538192231343743464952555861646985222634384650585462667074788290989410210611411811012212613013413814214615015415816216617017417818218619019419820220621021441014182226303438465054[Jour],"7- Dimanche",Horodateur11233538192231343743464952555861646985222634384650585462667074788290989410210611411811012212613013413814214615015415816216617017417818218619019419820220621021441014182226303438465054[Durée (100)]),2)</f>
        <v>3   /    0</v>
      </c>
      <c r="L2" s="244" t="str">
        <f aca="false">COUNTIF(Horodateur11233538192231343743464952555861646985222634384650585462667074788290989410210611411811012212613013413814214615015415816216617017417818218619019419820220621021441014182226303438465054[O],"o")&amp;" / " &amp;  COUNTIF(Horodateur11233538192231343743464952555861646985222634384650585462667074788290989410210611411811012212613013413814214615015415816216617017417818218619019419820220621021441014182226303438465054[O],".")</f>
        <v>38 / 6</v>
      </c>
      <c r="M2" s="143" t="str">
        <f aca="false">ROUND(SUM(M4:M47),2) &amp; " / " &amp; ROUND(B2-SUM(M4:M47),2)</f>
        <v>41.25 / 3</v>
      </c>
      <c r="N2" s="248" t="n">
        <f aca="false">SUMIF(Horodateur11233538192231343743464952555861646985222634384650585462667074788290989410210611411811012212613013413814214615015415816216617017417818218619019419820220621021441014182226303438465054[Tâche],N$1,Horodateur11233538192231343743464952555861646985222634384650585462667074788290989410210611411811012212613013413814214615015415816216617017417818218619019419820220621021441014182226303438465054[Durée (100)])</f>
        <v>2</v>
      </c>
      <c r="O2" s="247" t="n">
        <f aca="false">SUMIF(Horodateur11233538192231343743464952555861646985222634384650585462667074788290989410210611411811012212613013413814214615015415816216617017417818218619019419820220621021441014182226303438465054[Tâche],O$1,Horodateur11233538192231343743464952555861646985222634384650585462667074788290989410210611411811012212613013413814214615015415816216617017417818218619019419820220621021441014182226303438465054[Durée (100)])</f>
        <v>1</v>
      </c>
      <c r="P2" s="247" t="n">
        <f aca="false">SUMIF(Horodateur11233538192231343743464952555861646985222634384650585462667074788290989410210611411811012212613013413814214615015415816216617017417818218619019419820220621021441014182226303438465054[Tâche],P$1,Horodateur11233538192231343743464952555861646985222634384650585462667074788290989410210611411811012212613013413814214615015415816216617017417818218619019419820220621021441014182226303438465054[Durée (100)])</f>
        <v>3.75</v>
      </c>
      <c r="Q2" s="247" t="n">
        <f aca="false">SUMIF(Horodateur11233538192231343743464952555861646985222634384650585462667074788290989410210611411811012212613013413814214615015415816216617017417818218619019419820220621021441014182226303438465054[Tâche],Q$1,Horodateur11233538192231343743464952555861646985222634384650585462667074788290989410210611411811012212613013413814214615015415816216617017417818218619019419820220621021441014182226303438465054[Durée (100)])</f>
        <v>0</v>
      </c>
      <c r="R2" s="247" t="n">
        <f aca="false">SUMIF(Horodateur11233538192231343743464952555861646985222634384650585462667074788290989410210611411811012212613013413814214615015415816216617017417818218619019419820220621021441014182226303438465054[Tâche],R$1,Horodateur11233538192231343743464952555861646985222634384650585462667074788290989410210611411811012212613013413814214615015415816216617017417818218619019419820220621021441014182226303438465054[Durée (100)])</f>
        <v>0</v>
      </c>
      <c r="S2" s="247" t="n">
        <f aca="false">SUMIF(Horodateur11233538192231343743464952555861646985222634384650585462667074788290989410210611411811012212613013413814214615015415816216617017417818218619019419820220621021441014182226303438465054[Tâche],S$1,Horodateur11233538192231343743464952555861646985222634384650585462667074788290989410210611411811012212613013413814214615015415816216617017417818218619019419820220621021441014182226303438465054[Durée (100)])</f>
        <v>24.5</v>
      </c>
      <c r="T2" s="247" t="n">
        <f aca="false">SUMIF(Horodateur11233538192231343743464952555861646985222634384650585462667074788290989410210611411811012212613013413814214615015415816216617017417818218619019419820220621021441014182226303438465054[Tâche],T$1,Horodateur11233538192231343743464952555861646985222634384650585462667074788290989410210611411811012212613013413814214615015415816216617017417818218619019419820220621021441014182226303438465054[Durée (100)])</f>
        <v>0.500000000000001</v>
      </c>
      <c r="U2" s="151" t="n">
        <f aca="false">SUMIF(Horodateur11233538192231343743464952555861646985222634384650585462667074788290989410210611411811012212613013413814214615015415816216617017417818218619019419820220621021441014182226303438465054[Client],U$1,Horodateur11233538192231343743464952555861646985222634384650585462667074788290989410210611411811012212613013413814214615015415816216617017417818218619019419820220621021441014182226303438465054[Durée (100)])</f>
        <v>8</v>
      </c>
      <c r="V2" s="151" t="n">
        <f aca="false">SUMIF(Horodateur11233538192231343743464952555861646985222634384650585462667074788290989410210611411811012212613013413814214615015415816216617017417818218619019419820220621021441014182226303438465054[Client],V$1,Horodateur11233538192231343743464952555861646985222634384650585462667074788290989410210611411811012212613013413814214615015415816216617017417818218619019419820220621021441014182226303438465054[Durée (100)])</f>
        <v>0</v>
      </c>
      <c r="W2" s="151" t="n">
        <f aca="false">SUMIF(Horodateur11233538192231343743464952555861646985222634384650585462667074788290989410210611411811012212613013413814214615015415816216617017417818218619019419820220621021441014182226303438465054[Client],W$1,Horodateur11233538192231343743464952555861646985222634384650585462667074788290989410210611411811012212613013413814214615015415816216617017417818218619019419820220621021441014182226303438465054[Durée (100)])</f>
        <v>0</v>
      </c>
      <c r="X2" s="151" t="n">
        <f aca="false">SUMIF(Horodateur11233538192231343743464952555861646985222634384650585462667074788290989410210611411811012212613013413814214615015415816216617017417818218619019419820220621021441014182226303438465054[Client],X$1,Horodateur11233538192231343743464952555861646985222634384650585462667074788290989410210611411811012212613013413814214615015415816216617017417818218619019419820220621021441014182226303438465054[Durée (100)])</f>
        <v>0</v>
      </c>
      <c r="Y2" s="151" t="n">
        <f aca="false">SUMIF(Horodateur11233538192231343743464952555861646985222634384650585462667074788290989410210611411811012212613013413814214615015415816216617017417818218619019419820220621021441014182226303438465054[Client],Y$1,Horodateur11233538192231343743464952555861646985222634384650585462667074788290989410210611411811012212613013413814214615015415816216617017417818218619019419820220621021441014182226303438465054[Durée (100)])</f>
        <v>0</v>
      </c>
      <c r="Z2" s="151" t="n">
        <f aca="false">SUMIF(Horodateur11233538192231343743464952555861646985222634384650585462667074788290989410210611411811012212613013413814214615015415816216617017417818218619019419820220621021441014182226303438465054[Client],Z$1,Horodateur11233538192231343743464952555861646985222634384650585462667074788290989410210611411811012212613013413814214615015415816216617017417818218619019419820220621021441014182226303438465054[Durée (100)])</f>
        <v>0</v>
      </c>
      <c r="AA2" s="151" t="n">
        <f aca="false">SUMIF(Horodateur11233538192231343743464952555861646985222634384650585462667074788290989410210611411811012212613013413814214615015415816216617017417818218619019419820220621021441014182226303438465054[Client],AA$1,Horodateur11233538192231343743464952555861646985222634384650585462667074788290989410210611411811012212613013413814214615015415816216617017417818218619019419820220621021441014182226303438465054[Durée (100)])</f>
        <v>0.500000000000001</v>
      </c>
      <c r="AB2" s="151" t="n">
        <f aca="false">SUMIF(Horodateur11233538192231343743464952555861646985222634384650585462667074788290989410210611411811012212613013413814214615015415816216617017417818218619019419820220621021441014182226303438465054[Client],AB$1,Horodateur11233538192231343743464952555861646985222634384650585462667074788290989410210611411811012212613013413814214615015415816216617017417818218619019419820220621021441014182226303438465054[Durée (100)])</f>
        <v>0</v>
      </c>
      <c r="AC2" s="151" t="n">
        <f aca="false">SUMIF(Horodateur11233538192231343743464952555861646985222634384650585462667074788290989410210611411811012212613013413814214615015415816216617017417818218619019419820220621021441014182226303438465054[Client],AC$1,Horodateur11233538192231343743464952555861646985222634384650585462667074788290989410210611411811012212613013413814214615015415816216617017417818218619019419820220621021441014182226303438465054[Durée (100)])</f>
        <v>6.5</v>
      </c>
      <c r="AD2" s="151" t="n">
        <f aca="false">SUMIF(Horodateur11233538192231343743464952555861646985222634384650585462667074788290989410210611411811012212613013413814214615015415816216617017417818218619019419820220621021441014182226303438465054[Client],AD$1,Horodateur11233538192231343743464952555861646985222634384650585462667074788290989410210611411811012212613013413814214615015415816216617017417818218619019419820220621021441014182226303438465054[Durée (100)])</f>
        <v>0</v>
      </c>
      <c r="AE2" s="151" t="n">
        <f aca="false">SUMIF(Horodateur11233538192231343743464952555861646985222634384650585462667074788290989410210611411811012212613013413814214615015415816216617017417818218619019419820220621021441014182226303438465054[Client],AE$1,Horodateur11233538192231343743464952555861646985222634384650585462667074788290989410210611411811012212613013413814214615015415816216617017417818218619019419820220621021441014182226303438465054[Durée (100)])</f>
        <v>0</v>
      </c>
      <c r="AF2" s="151" t="n">
        <f aca="false">SUMIF(Horodateur11233538192231343743464952555861646985222634384650585462667074788290989410210611411811012212613013413814214615015415816216617017417818218619019419820220621021441014182226303438465054[Client],AF$1,Horodateur11233538192231343743464952555861646985222634384650585462667074788290989410210611411811012212613013413814214615015415816216617017417818218619019419820220621021441014182226303438465054[Durée (100)])</f>
        <v>0</v>
      </c>
      <c r="AG2" s="151" t="n">
        <f aca="false">SUMIF(Horodateur11233538192231343743464952555861646985222634384650585462667074788290989410210611411811012212613013413814214615015415816216617017417818218619019419820220621021441014182226303438465054[Client],AG$1,Horodateur11233538192231343743464952555861646985222634384650585462667074788290989410210611411811012212613013413814214615015415816216617017417818218619019419820220621021441014182226303438465054[Durée (100)])</f>
        <v>0</v>
      </c>
    </row>
    <row r="3" s="137" customFormat="true" ht="15" hidden="false" customHeight="false" outlineLevel="0" collapsed="false">
      <c r="A3" s="249" t="s">
        <v>8</v>
      </c>
      <c r="B3" s="249" t="s">
        <v>9</v>
      </c>
      <c r="C3" s="193" t="s">
        <v>10</v>
      </c>
      <c r="D3" s="193" t="s">
        <v>11</v>
      </c>
      <c r="E3" s="250" t="s">
        <v>12</v>
      </c>
      <c r="F3" s="250" t="s">
        <v>13</v>
      </c>
      <c r="G3" s="250" t="s">
        <v>14</v>
      </c>
      <c r="H3" s="193" t="s">
        <v>302</v>
      </c>
      <c r="I3" s="252" t="s">
        <v>364</v>
      </c>
      <c r="J3" s="253" t="s">
        <v>365</v>
      </c>
      <c r="K3" s="250" t="s">
        <v>402</v>
      </c>
      <c r="L3" s="255" t="s">
        <v>7</v>
      </c>
      <c r="M3" s="254" t="s">
        <v>29</v>
      </c>
      <c r="N3" s="153" t="n">
        <f aca="false">N2/$B$2</f>
        <v>0.0451977401129944</v>
      </c>
      <c r="O3" s="153" t="n">
        <f aca="false">O2/$B$2</f>
        <v>0.0225988700564972</v>
      </c>
      <c r="P3" s="153" t="n">
        <f aca="false">P2/$B$2</f>
        <v>0.0847457627118644</v>
      </c>
      <c r="Q3" s="153" t="n">
        <f aca="false">Q2/$B$2</f>
        <v>0</v>
      </c>
      <c r="R3" s="153" t="n">
        <f aca="false">R2/$B$2</f>
        <v>0</v>
      </c>
      <c r="S3" s="153" t="n">
        <f aca="false">S2/$B$2</f>
        <v>0.553672316384181</v>
      </c>
      <c r="T3" s="153" t="n">
        <f aca="false">T2/$B$2</f>
        <v>0.0112994350282486</v>
      </c>
      <c r="U3" s="153" t="n">
        <f aca="false">U2/$B$2</f>
        <v>0.180790960451977</v>
      </c>
      <c r="V3" s="153" t="n">
        <f aca="false">V2/$B$2</f>
        <v>0</v>
      </c>
      <c r="W3" s="153" t="n">
        <f aca="false">W2/$B$2</f>
        <v>0</v>
      </c>
      <c r="X3" s="153" t="n">
        <f aca="false">X2/$B$2</f>
        <v>0</v>
      </c>
      <c r="Y3" s="153" t="n">
        <f aca="false">Y2/$B$2</f>
        <v>0</v>
      </c>
      <c r="Z3" s="153" t="n">
        <f aca="false">Z2/$B$2</f>
        <v>0</v>
      </c>
      <c r="AA3" s="153" t="n">
        <f aca="false">AA2/$B$2</f>
        <v>0.0112994350282486</v>
      </c>
      <c r="AB3" s="153" t="n">
        <f aca="false">AB2/$B$2</f>
        <v>0</v>
      </c>
      <c r="AC3" s="153" t="n">
        <f aca="false">AC2/$B$2</f>
        <v>0.146892655367232</v>
      </c>
      <c r="AD3" s="153" t="n">
        <f aca="false">AD2/$B$2</f>
        <v>0</v>
      </c>
      <c r="AE3" s="153" t="n">
        <f aca="false">AE2/$B$2</f>
        <v>0</v>
      </c>
      <c r="AF3" s="153" t="n">
        <f aca="false">AF2/$B$2</f>
        <v>0</v>
      </c>
      <c r="AG3" s="153" t="n">
        <f aca="false">AG2/$B$2</f>
        <v>0</v>
      </c>
    </row>
    <row r="4" customFormat="false" ht="15" hidden="false" customHeight="false" outlineLevel="0" collapsed="false">
      <c r="A4" s="256" t="n">
        <f aca="false">IF(Horodateur11233538192231343743464952555861646985222634384650585462667074788290989410210611411811012212613013413814214615015415816216617017417818218619019419820220621021441014182226303438465054[[#This Row],[Jour]]="1- Lundi",$B$1+1, IF(Horodateur11233538192231343743464952555861646985222634384650585462667074788290989410210611411811012212613013413814214615015415816216617017417818218619019419820220621021441014182226303438465054[[#This Row],[Jour]]="2- Mardi",$B$1+2, IF(Horodateur11233538192231343743464952555861646985222634384650585462667074788290989410210611411811012212613013413814214615015415816216617017417818218619019419820220621021441014182226303438465054[[#This Row],[Jour]]="3- Mercredi",$B$1+3, IF(Horodateur11233538192231343743464952555861646985222634384650585462667074788290989410210611411811012212613013413814214615015415816216617017417818218619019419820220621021441014182226303438465054[[#This Row],[Jour]]="4- Jeudi",$B$1+4, IF(Horodateur11233538192231343743464952555861646985222634384650585462667074788290989410210611411811012212613013413814214615015415816216617017417818218619019419820220621021441014182226303438465054[[#This Row],[Jour]]="5- Vendredi",$B$1+5, IF(Horodateur11233538192231343743464952555861646985222634384650585462667074788290989410210611411811012212613013413814214615015415816216617017417818218619019419820220621021441014182226303438465054[[#This Row],[Jour]]="6- Samedi",$B$1+6, IF(Horodateur11233538192231343743464952555861646985222634384650585462667074788290989410210611411811012212613013413814214615015415816216617017417818218619019419820220621021441014182226303438465054[[#This Row],[Jour]]="7- Dimanche",$B$1, )))))))</f>
        <v>44292</v>
      </c>
      <c r="B4" s="257" t="s">
        <v>312</v>
      </c>
      <c r="C4" s="258" t="n">
        <v>0.302083333333333</v>
      </c>
      <c r="D4" s="258" t="n">
        <v>0.34375</v>
      </c>
      <c r="E4" s="71" t="s">
        <v>32</v>
      </c>
      <c r="F4" s="71" t="s">
        <v>21</v>
      </c>
      <c r="G4" s="259"/>
      <c r="H4" s="258" t="n">
        <f aca="false">IF($C4=0,"",$D4-$C4)</f>
        <v>0.0416666666666667</v>
      </c>
      <c r="I4" s="260" t="n">
        <f aca="false">IF($C4=0,"",($H4-INT($H4))*24)</f>
        <v>1</v>
      </c>
      <c r="J4" s="303" t="n">
        <f aca="false">SUMIF(Horodateur11233538192231343743464952555861646985222634384650585462667074788290989410210611411811012212613013413814214615015415816216617017417818218619019419820220621021441014182226303438465054[Jour],$B4,Horodateur11233538192231343743464952555861646985222634384650585462667074788290989410210611411811012212613013413814214615015415816216617017417818218619019419820220621021441014182226303438465054[Durée (100)])</f>
        <v>9</v>
      </c>
      <c r="K4" s="335"/>
      <c r="L4" s="188" t="s">
        <v>31</v>
      </c>
      <c r="M4" s="272" t="n">
        <f aca="false">IF(Horodateur11233538192231343743464952555861646985222634384650585462667074788290989410210611411811012212613013413814214615015415816216617017417818218619019419820220621021441014182226303438465054[[#This Row],[O]]="o",Horodateur11233538192231343743464952555861646985222634384650585462667074788290989410210611411811012212613013413814214615015415816216617017417818218619019419820220621021441014182226303438465054[[#This Row],[Durée (100)]],".")</f>
        <v>1</v>
      </c>
      <c r="N4" s="187"/>
      <c r="O4" s="71"/>
      <c r="P4" s="71"/>
      <c r="Q4" s="71"/>
      <c r="R4" s="71"/>
      <c r="S4" s="71"/>
      <c r="T4" s="71"/>
      <c r="U4" s="71"/>
      <c r="V4" s="71"/>
      <c r="W4" s="71"/>
      <c r="X4" s="71"/>
      <c r="Y4" s="71"/>
      <c r="Z4" s="71"/>
      <c r="AA4" s="71"/>
      <c r="AB4" s="71"/>
      <c r="AC4" s="71"/>
      <c r="AD4" s="71"/>
      <c r="AE4" s="71"/>
      <c r="AF4" s="71"/>
      <c r="AG4" s="71"/>
    </row>
    <row r="5" customFormat="false" ht="15" hidden="false" customHeight="false" outlineLevel="0" collapsed="false">
      <c r="A5" s="256" t="n">
        <f aca="false">IF(Horodateur11233538192231343743464952555861646985222634384650585462667074788290989410210611411811012212613013413814214615015415816216617017417818218619019419820220621021441014182226303438465054[[#This Row],[Jour]]="1- Lundi",$B$1+1, IF(Horodateur11233538192231343743464952555861646985222634384650585462667074788290989410210611411811012212613013413814214615015415816216617017417818218619019419820220621021441014182226303438465054[[#This Row],[Jour]]="2- Mardi",$B$1+2, IF(Horodateur11233538192231343743464952555861646985222634384650585462667074788290989410210611411811012212613013413814214615015415816216617017417818218619019419820220621021441014182226303438465054[[#This Row],[Jour]]="3- Mercredi",$B$1+3, IF(Horodateur11233538192231343743464952555861646985222634384650585462667074788290989410210611411811012212613013413814214615015415816216617017417818218619019419820220621021441014182226303438465054[[#This Row],[Jour]]="4- Jeudi",$B$1+4, IF(Horodateur11233538192231343743464952555861646985222634384650585462667074788290989410210611411811012212613013413814214615015415816216617017417818218619019419820220621021441014182226303438465054[[#This Row],[Jour]]="5- Vendredi",$B$1+5, IF(Horodateur11233538192231343743464952555861646985222634384650585462667074788290989410210611411811012212613013413814214615015415816216617017417818218619019419820220621021441014182226303438465054[[#This Row],[Jour]]="6- Samedi",$B$1+6, IF(Horodateur11233538192231343743464952555861646985222634384650585462667074788290989410210611411811012212613013413814214615015415816216617017417818218619019419820220621021441014182226303438465054[[#This Row],[Jour]]="7- Dimanche",$B$1, )))))))</f>
        <v>44292</v>
      </c>
      <c r="B5" s="257" t="s">
        <v>312</v>
      </c>
      <c r="C5" s="258" t="n">
        <v>0.364583333333333</v>
      </c>
      <c r="D5" s="258" t="n">
        <v>0.385416666666667</v>
      </c>
      <c r="E5" s="71" t="s">
        <v>32</v>
      </c>
      <c r="F5" s="71" t="s">
        <v>20</v>
      </c>
      <c r="G5" s="259" t="s">
        <v>121</v>
      </c>
      <c r="H5" s="258" t="n">
        <f aca="false">IF($C5=0,"",$D5-$C5)</f>
        <v>0.0208333333333333</v>
      </c>
      <c r="I5" s="260" t="n">
        <f aca="false">IF($C5=0,"",($H5-INT($H5))*24)</f>
        <v>0.5</v>
      </c>
      <c r="J5" s="303" t="n">
        <f aca="false">SUMIF(Horodateur11233538192231343743464952555861646985222634384650585462667074788290989410210611411811012212613013413814214615015415816216617017417818218619019419820220621021441014182226303438465054[Jour],$B5,Horodateur11233538192231343743464952555861646985222634384650585462667074788290989410210611411811012212613013413814214615015415816216617017417818218619019419820220621021441014182226303438465054[Durée (100)])</f>
        <v>9</v>
      </c>
      <c r="K5" s="335"/>
      <c r="L5" s="188" t="s">
        <v>31</v>
      </c>
      <c r="M5" s="272" t="n">
        <f aca="false">IF(Horodateur11233538192231343743464952555861646985222634384650585462667074788290989410210611411811012212613013413814214615015415816216617017417818218619019419820220621021441014182226303438465054[[#This Row],[O]]="o",Horodateur11233538192231343743464952555861646985222634384650585462667074788290989410210611411811012212613013413814214615015415816216617017417818218619019419820220621021441014182226303438465054[[#This Row],[Durée (100)]],".")</f>
        <v>0.500000000000001</v>
      </c>
      <c r="N5" s="187"/>
      <c r="O5" s="71"/>
      <c r="P5" s="71"/>
      <c r="Q5" s="71"/>
      <c r="R5" s="71"/>
      <c r="S5" s="71"/>
      <c r="T5" s="71"/>
      <c r="U5" s="71"/>
      <c r="V5" s="71"/>
      <c r="W5" s="71"/>
      <c r="X5" s="71"/>
      <c r="Y5" s="71"/>
      <c r="Z5" s="71"/>
      <c r="AA5" s="71"/>
      <c r="AB5" s="71"/>
      <c r="AC5" s="71"/>
      <c r="AD5" s="71"/>
      <c r="AE5" s="71"/>
      <c r="AF5" s="71"/>
      <c r="AG5" s="71"/>
    </row>
    <row r="6" customFormat="false" ht="15" hidden="false" customHeight="false" outlineLevel="0" collapsed="false">
      <c r="A6" s="256" t="n">
        <f aca="false">IF(Horodateur11233538192231343743464952555861646985222634384650585462667074788290989410210611411811012212613013413814214615015415816216617017417818218619019419820220621021441014182226303438465054[[#This Row],[Jour]]="1- Lundi",$B$1+1, IF(Horodateur11233538192231343743464952555861646985222634384650585462667074788290989410210611411811012212613013413814214615015415816216617017417818218619019419820220621021441014182226303438465054[[#This Row],[Jour]]="2- Mardi",$B$1+2, IF(Horodateur11233538192231343743464952555861646985222634384650585462667074788290989410210611411811012212613013413814214615015415816216617017417818218619019419820220621021441014182226303438465054[[#This Row],[Jour]]="3- Mercredi",$B$1+3, IF(Horodateur11233538192231343743464952555861646985222634384650585462667074788290989410210611411811012212613013413814214615015415816216617017417818218619019419820220621021441014182226303438465054[[#This Row],[Jour]]="4- Jeudi",$B$1+4, IF(Horodateur11233538192231343743464952555861646985222634384650585462667074788290989410210611411811012212613013413814214615015415816216617017417818218619019419820220621021441014182226303438465054[[#This Row],[Jour]]="5- Vendredi",$B$1+5, IF(Horodateur11233538192231343743464952555861646985222634384650585462667074788290989410210611411811012212613013413814214615015415816216617017417818218619019419820220621021441014182226303438465054[[#This Row],[Jour]]="6- Samedi",$B$1+6, IF(Horodateur11233538192231343743464952555861646985222634384650585462667074788290989410210611411811012212613013413814214615015415816216617017417818218619019419820220621021441014182226303438465054[[#This Row],[Jour]]="7- Dimanche",$B$1, )))))))</f>
        <v>44292</v>
      </c>
      <c r="B6" s="257" t="s">
        <v>312</v>
      </c>
      <c r="C6" s="258" t="n">
        <v>0.395833333333333</v>
      </c>
      <c r="D6" s="258" t="n">
        <v>0.40625</v>
      </c>
      <c r="E6" s="71" t="s">
        <v>37</v>
      </c>
      <c r="F6" s="71" t="s">
        <v>379</v>
      </c>
      <c r="G6" s="259" t="s">
        <v>55</v>
      </c>
      <c r="H6" s="258" t="n">
        <f aca="false">IF($C6=0,"",$D6-$C6)</f>
        <v>0.0104166666666667</v>
      </c>
      <c r="I6" s="260" t="n">
        <f aca="false">IF($C6=0,"",($H6-INT($H6))*24)</f>
        <v>0.25</v>
      </c>
      <c r="J6" s="303" t="n">
        <f aca="false">SUMIF(Horodateur11233538192231343743464952555861646985222634384650585462667074788290989410210611411811012212613013413814214615015415816216617017417818218619019419820220621021441014182226303438465054[Jour],$B6,Horodateur11233538192231343743464952555861646985222634384650585462667074788290989410210611411811012212613013413814214615015415816216617017417818218619019419820220621021441014182226303438465054[Durée (100)])</f>
        <v>9</v>
      </c>
      <c r="K6" s="335"/>
      <c r="L6" s="188" t="s">
        <v>31</v>
      </c>
      <c r="M6" s="272" t="n">
        <f aca="false">IF(Horodateur11233538192231343743464952555861646985222634384650585462667074788290989410210611411811012212613013413814214615015415816216617017417818218619019419820220621021441014182226303438465054[[#This Row],[O]]="o",Horodateur11233538192231343743464952555861646985222634384650585462667074788290989410210611411811012212613013413814214615015415816216617017417818218619019419820220621021441014182226303438465054[[#This Row],[Durée (100)]],".")</f>
        <v>0.25</v>
      </c>
      <c r="N6" s="187"/>
      <c r="O6" s="71"/>
      <c r="P6" s="71"/>
      <c r="Q6" s="71"/>
      <c r="R6" s="71"/>
      <c r="S6" s="71"/>
      <c r="T6" s="71"/>
      <c r="U6" s="71"/>
      <c r="V6" s="71"/>
      <c r="W6" s="71"/>
      <c r="X6" s="71"/>
      <c r="Y6" s="71"/>
      <c r="Z6" s="71"/>
      <c r="AA6" s="71"/>
      <c r="AB6" s="71"/>
      <c r="AC6" s="71"/>
      <c r="AD6" s="71"/>
      <c r="AE6" s="71"/>
      <c r="AF6" s="71"/>
      <c r="AG6" s="71"/>
    </row>
    <row r="7" customFormat="false" ht="15" hidden="false" customHeight="false" outlineLevel="0" collapsed="false">
      <c r="A7" s="256" t="n">
        <f aca="false">IF(Horodateur11233538192231343743464952555861646985222634384650585462667074788290989410210611411811012212613013413814214615015415816216617017417818218619019419820220621021441014182226303438465054[[#This Row],[Jour]]="1- Lundi",$B$1+1, IF(Horodateur11233538192231343743464952555861646985222634384650585462667074788290989410210611411811012212613013413814214615015415816216617017417818218619019419820220621021441014182226303438465054[[#This Row],[Jour]]="2- Mardi",$B$1+2, IF(Horodateur11233538192231343743464952555861646985222634384650585462667074788290989410210611411811012212613013413814214615015415816216617017417818218619019419820220621021441014182226303438465054[[#This Row],[Jour]]="3- Mercredi",$B$1+3, IF(Horodateur11233538192231343743464952555861646985222634384650585462667074788290989410210611411811012212613013413814214615015415816216617017417818218619019419820220621021441014182226303438465054[[#This Row],[Jour]]="4- Jeudi",$B$1+4, IF(Horodateur11233538192231343743464952555861646985222634384650585462667074788290989410210611411811012212613013413814214615015415816216617017417818218619019419820220621021441014182226303438465054[[#This Row],[Jour]]="5- Vendredi",$B$1+5, IF(Horodateur11233538192231343743464952555861646985222634384650585462667074788290989410210611411811012212613013413814214615015415816216617017417818218619019419820220621021441014182226303438465054[[#This Row],[Jour]]="6- Samedi",$B$1+6, IF(Horodateur11233538192231343743464952555861646985222634384650585462667074788290989410210611411811012212613013413814214615015415816216617017417818218619019419820220621021441014182226303438465054[[#This Row],[Jour]]="7- Dimanche",$B$1, )))))))</f>
        <v>44292</v>
      </c>
      <c r="B7" s="257" t="s">
        <v>312</v>
      </c>
      <c r="C7" s="258" t="n">
        <v>0.385416666666667</v>
      </c>
      <c r="D7" s="258" t="n">
        <v>0.395833333333333</v>
      </c>
      <c r="E7" s="71" t="s">
        <v>37</v>
      </c>
      <c r="F7" s="71" t="s">
        <v>378</v>
      </c>
      <c r="G7" s="259" t="s">
        <v>438</v>
      </c>
      <c r="H7" s="258" t="n">
        <f aca="false">IF($C7=0,"",$D7-$C7)</f>
        <v>0.0104166666666667</v>
      </c>
      <c r="I7" s="260" t="n">
        <f aca="false">IF($C7=0,"",($H7-INT($H7))*24)</f>
        <v>0.25</v>
      </c>
      <c r="J7" s="303" t="n">
        <f aca="false">SUMIF(Horodateur11233538192231343743464952555861646985222634384650585462667074788290989410210611411811012212613013413814214615015415816216617017417818218619019419820220621021441014182226303438465054[Jour],$B7,Horodateur11233538192231343743464952555861646985222634384650585462667074788290989410210611411811012212613013413814214615015415816216617017417818218619019419820220621021441014182226303438465054[Durée (100)])</f>
        <v>9</v>
      </c>
      <c r="K7" s="335"/>
      <c r="L7" s="188" t="s">
        <v>33</v>
      </c>
      <c r="M7" s="272" t="str">
        <f aca="false">IF(Horodateur11233538192231343743464952555861646985222634384650585462667074788290989410210611411811012212613013413814214615015415816216617017417818218619019419820220621021441014182226303438465054[[#This Row],[O]]="o",Horodateur11233538192231343743464952555861646985222634384650585462667074788290989410210611411811012212613013413814214615015415816216617017417818218619019419820220621021441014182226303438465054[[#This Row],[Durée (100)]],".")</f>
        <v>.</v>
      </c>
      <c r="N7" s="187"/>
      <c r="O7" s="71"/>
      <c r="P7" s="71"/>
      <c r="Q7" s="71"/>
      <c r="R7" s="71"/>
      <c r="S7" s="71"/>
      <c r="T7" s="71"/>
      <c r="U7" s="71"/>
      <c r="V7" s="71"/>
      <c r="W7" s="71"/>
      <c r="X7" s="71"/>
      <c r="Y7" s="71"/>
      <c r="Z7" s="71"/>
      <c r="AA7" s="71"/>
      <c r="AB7" s="71"/>
      <c r="AC7" s="71"/>
      <c r="AD7" s="71"/>
      <c r="AE7" s="71"/>
      <c r="AF7" s="71"/>
      <c r="AG7" s="71"/>
    </row>
    <row r="8" customFormat="false" ht="15" hidden="false" customHeight="false" outlineLevel="0" collapsed="false">
      <c r="A8" s="256" t="n">
        <f aca="false">IF(Horodateur11233538192231343743464952555861646985222634384650585462667074788290989410210611411811012212613013413814214615015415816216617017417818218619019419820220621021441014182226303438465054[[#This Row],[Jour]]="1- Lundi",$B$1+1, IF(Horodateur11233538192231343743464952555861646985222634384650585462667074788290989410210611411811012212613013413814214615015415816216617017417818218619019419820220621021441014182226303438465054[[#This Row],[Jour]]="2- Mardi",$B$1+2, IF(Horodateur11233538192231343743464952555861646985222634384650585462667074788290989410210611411811012212613013413814214615015415816216617017417818218619019419820220621021441014182226303438465054[[#This Row],[Jour]]="3- Mercredi",$B$1+3, IF(Horodateur11233538192231343743464952555861646985222634384650585462667074788290989410210611411811012212613013413814214615015415816216617017417818218619019419820220621021441014182226303438465054[[#This Row],[Jour]]="4- Jeudi",$B$1+4, IF(Horodateur11233538192231343743464952555861646985222634384650585462667074788290989410210611411811012212613013413814214615015415816216617017417818218619019419820220621021441014182226303438465054[[#This Row],[Jour]]="5- Vendredi",$B$1+5, IF(Horodateur11233538192231343743464952555861646985222634384650585462667074788290989410210611411811012212613013413814214615015415816216617017417818218619019419820220621021441014182226303438465054[[#This Row],[Jour]]="6- Samedi",$B$1+6, IF(Horodateur11233538192231343743464952555861646985222634384650585462667074788290989410210611411811012212613013413814214615015415816216617017417818218619019419820220621021441014182226303438465054[[#This Row],[Jour]]="7- Dimanche",$B$1, )))))))</f>
        <v>44292</v>
      </c>
      <c r="B8" s="257" t="s">
        <v>312</v>
      </c>
      <c r="C8" s="258" t="n">
        <v>0.395833333333333</v>
      </c>
      <c r="D8" s="258" t="n">
        <v>0.416666666666667</v>
      </c>
      <c r="E8" s="71" t="s">
        <v>32</v>
      </c>
      <c r="F8" s="71" t="s">
        <v>22</v>
      </c>
      <c r="G8" s="259"/>
      <c r="H8" s="258" t="n">
        <f aca="false">IF($C8=0,"",$D8-$C8)</f>
        <v>0.0208333333333333</v>
      </c>
      <c r="I8" s="260" t="n">
        <f aca="false">IF($C8=0,"",($H8-INT($H8))*24)</f>
        <v>0.5</v>
      </c>
      <c r="J8" s="303" t="n">
        <f aca="false">SUMIF(Horodateur11233538192231343743464952555861646985222634384650585462667074788290989410210611411811012212613013413814214615015415816216617017417818218619019419820220621021441014182226303438465054[Jour],$B8,Horodateur11233538192231343743464952555861646985222634384650585462667074788290989410210611411811012212613013413814214615015415816216617017417818218619019419820220621021441014182226303438465054[Durée (100)])</f>
        <v>9</v>
      </c>
      <c r="K8" s="335"/>
      <c r="L8" s="188" t="s">
        <v>31</v>
      </c>
      <c r="M8" s="272" t="n">
        <f aca="false">IF(Horodateur11233538192231343743464952555861646985222634384650585462667074788290989410210611411811012212613013413814214615015415816216617017417818218619019419820220621021441014182226303438465054[[#This Row],[O]]="o",Horodateur11233538192231343743464952555861646985222634384650585462667074788290989410210611411811012212613013413814214615015415816216617017417818218619019419820220621021441014182226303438465054[[#This Row],[Durée (100)]],".")</f>
        <v>0.500000000000001</v>
      </c>
      <c r="N8" s="187"/>
      <c r="O8" s="71"/>
      <c r="P8" s="71"/>
      <c r="Q8" s="71"/>
      <c r="R8" s="71"/>
      <c r="S8" s="71"/>
      <c r="T8" s="71"/>
      <c r="U8" s="71"/>
      <c r="V8" s="71"/>
      <c r="W8" s="71"/>
      <c r="X8" s="71"/>
      <c r="Y8" s="71"/>
      <c r="Z8" s="71"/>
      <c r="AA8" s="71"/>
      <c r="AB8" s="71"/>
      <c r="AC8" s="71"/>
      <c r="AD8" s="71"/>
      <c r="AE8" s="71"/>
      <c r="AF8" s="71"/>
      <c r="AG8" s="71"/>
    </row>
    <row r="9" customFormat="false" ht="15" hidden="false" customHeight="false" outlineLevel="0" collapsed="false">
      <c r="A9" s="256" t="n">
        <f aca="false">IF(Horodateur11233538192231343743464952555861646985222634384650585462667074788290989410210611411811012212613013413814214615015415816216617017417818218619019419820220621021441014182226303438465054[[#This Row],[Jour]]="1- Lundi",$B$1+1, IF(Horodateur11233538192231343743464952555861646985222634384650585462667074788290989410210611411811012212613013413814214615015415816216617017417818218619019419820220621021441014182226303438465054[[#This Row],[Jour]]="2- Mardi",$B$1+2, IF(Horodateur11233538192231343743464952555861646985222634384650585462667074788290989410210611411811012212613013413814214615015415816216617017417818218619019419820220621021441014182226303438465054[[#This Row],[Jour]]="3- Mercredi",$B$1+3, IF(Horodateur11233538192231343743464952555861646985222634384650585462667074788290989410210611411811012212613013413814214615015415816216617017417818218619019419820220621021441014182226303438465054[[#This Row],[Jour]]="4- Jeudi",$B$1+4, IF(Horodateur11233538192231343743464952555861646985222634384650585462667074788290989410210611411811012212613013413814214615015415816216617017417818218619019419820220621021441014182226303438465054[[#This Row],[Jour]]="5- Vendredi",$B$1+5, IF(Horodateur11233538192231343743464952555861646985222634384650585462667074788290989410210611411811012212613013413814214615015415816216617017417818218619019419820220621021441014182226303438465054[[#This Row],[Jour]]="6- Samedi",$B$1+6, IF(Horodateur11233538192231343743464952555861646985222634384650585462667074788290989410210611411811012212613013413814214615015415816216617017417818218619019419820220621021441014182226303438465054[[#This Row],[Jour]]="7- Dimanche",$B$1, )))))))</f>
        <v>44292</v>
      </c>
      <c r="B9" s="257" t="s">
        <v>312</v>
      </c>
      <c r="C9" s="258" t="n">
        <v>0.416666666666667</v>
      </c>
      <c r="D9" s="258" t="n">
        <v>0.458333333333333</v>
      </c>
      <c r="E9" s="71" t="s">
        <v>363</v>
      </c>
      <c r="F9" s="71" t="s">
        <v>378</v>
      </c>
      <c r="G9" s="259" t="s">
        <v>439</v>
      </c>
      <c r="H9" s="258" t="n">
        <f aca="false">IF($C9=0,"",$D9-$C9)</f>
        <v>0.0416666666666667</v>
      </c>
      <c r="I9" s="260" t="n">
        <f aca="false">IF($C9=0,"",($H9-INT($H9))*24)</f>
        <v>1</v>
      </c>
      <c r="J9" s="303" t="n">
        <f aca="false">SUMIF(Horodateur11233538192231343743464952555861646985222634384650585462667074788290989410210611411811012212613013413814214615015415816216617017417818218619019419820220621021441014182226303438465054[Jour],$B9,Horodateur11233538192231343743464952555861646985222634384650585462667074788290989410210611411811012212613013413814214615015415816216617017417818218619019419820220621021441014182226303438465054[Durée (100)])</f>
        <v>9</v>
      </c>
      <c r="K9" s="335"/>
      <c r="L9" s="188" t="s">
        <v>31</v>
      </c>
      <c r="M9" s="272" t="n">
        <f aca="false">IF(Horodateur11233538192231343743464952555861646985222634384650585462667074788290989410210611411811012212613013413814214615015415816216617017417818218619019419820220621021441014182226303438465054[[#This Row],[O]]="o",Horodateur11233538192231343743464952555861646985222634384650585462667074788290989410210611411811012212613013413814214615015415816216617017417818218619019419820220621021441014182226303438465054[[#This Row],[Durée (100)]],".")</f>
        <v>0.999999999999999</v>
      </c>
      <c r="N9" s="187"/>
      <c r="O9" s="71"/>
      <c r="P9" s="71"/>
      <c r="Q9" s="71"/>
      <c r="R9" s="71"/>
      <c r="S9" s="71"/>
      <c r="T9" s="71"/>
      <c r="U9" s="71"/>
      <c r="V9" s="71"/>
      <c r="W9" s="71"/>
      <c r="X9" s="71"/>
      <c r="Y9" s="71"/>
      <c r="Z9" s="71"/>
      <c r="AA9" s="71"/>
      <c r="AB9" s="71"/>
      <c r="AC9" s="71"/>
      <c r="AD9" s="71"/>
      <c r="AE9" s="71"/>
      <c r="AF9" s="71"/>
      <c r="AG9" s="71"/>
    </row>
    <row r="10" customFormat="false" ht="15" hidden="false" customHeight="false" outlineLevel="0" collapsed="false">
      <c r="A10" s="256" t="n">
        <f aca="false">IF(Horodateur11233538192231343743464952555861646985222634384650585462667074788290989410210611411811012212613013413814214615015415816216617017417818218619019419820220621021441014182226303438465054[[#This Row],[Jour]]="1- Lundi",$B$1+1, IF(Horodateur11233538192231343743464952555861646985222634384650585462667074788290989410210611411811012212613013413814214615015415816216617017417818218619019419820220621021441014182226303438465054[[#This Row],[Jour]]="2- Mardi",$B$1+2, IF(Horodateur11233538192231343743464952555861646985222634384650585462667074788290989410210611411811012212613013413814214615015415816216617017417818218619019419820220621021441014182226303438465054[[#This Row],[Jour]]="3- Mercredi",$B$1+3, IF(Horodateur11233538192231343743464952555861646985222634384650585462667074788290989410210611411811012212613013413814214615015415816216617017417818218619019419820220621021441014182226303438465054[[#This Row],[Jour]]="4- Jeudi",$B$1+4, IF(Horodateur11233538192231343743464952555861646985222634384650585462667074788290989410210611411811012212613013413814214615015415816216617017417818218619019419820220621021441014182226303438465054[[#This Row],[Jour]]="5- Vendredi",$B$1+5, IF(Horodateur11233538192231343743464952555861646985222634384650585462667074788290989410210611411811012212613013413814214615015415816216617017417818218619019419820220621021441014182226303438465054[[#This Row],[Jour]]="6- Samedi",$B$1+6, IF(Horodateur11233538192231343743464952555861646985222634384650585462667074788290989410210611411811012212613013413814214615015415816216617017417818218619019419820220621021441014182226303438465054[[#This Row],[Jour]]="7- Dimanche",$B$1, )))))))</f>
        <v>44292</v>
      </c>
      <c r="B10" s="257" t="s">
        <v>312</v>
      </c>
      <c r="C10" s="258" t="n">
        <v>0.479166666666667</v>
      </c>
      <c r="D10" s="258" t="n">
        <v>0.5</v>
      </c>
      <c r="E10" s="71" t="s">
        <v>63</v>
      </c>
      <c r="F10" s="71" t="s">
        <v>378</v>
      </c>
      <c r="G10" s="259" t="s">
        <v>440</v>
      </c>
      <c r="H10" s="258" t="n">
        <f aca="false">IF($C10=0,"",$D10-$C10)</f>
        <v>0.0208333333333333</v>
      </c>
      <c r="I10" s="260" t="n">
        <f aca="false">IF($C10=0,"",($H10-INT($H10))*24)</f>
        <v>0.5</v>
      </c>
      <c r="J10" s="303" t="n">
        <f aca="false">SUMIF(Horodateur11233538192231343743464952555861646985222634384650585462667074788290989410210611411811012212613013413814214615015415816216617017417818218619019419820220621021441014182226303438465054[Jour],$B10,Horodateur11233538192231343743464952555861646985222634384650585462667074788290989410210611411811012212613013413814214615015415816216617017417818218619019419820220621021441014182226303438465054[Durée (100)])</f>
        <v>9</v>
      </c>
      <c r="K10" s="335"/>
      <c r="L10" s="188" t="s">
        <v>31</v>
      </c>
      <c r="M10" s="272" t="n">
        <f aca="false">IF(Horodateur11233538192231343743464952555861646985222634384650585462667074788290989410210611411811012212613013413814214615015415816216617017417818218619019419820220621021441014182226303438465054[[#This Row],[O]]="o",Horodateur11233538192231343743464952555861646985222634384650585462667074788290989410210611411811012212613013413814214615015415816216617017417818218619019419820220621021441014182226303438465054[[#This Row],[Durée (100)]],".")</f>
        <v>0.5</v>
      </c>
      <c r="N10" s="187"/>
      <c r="O10" s="71"/>
      <c r="P10" s="71"/>
      <c r="Q10" s="71"/>
      <c r="R10" s="71"/>
      <c r="S10" s="71"/>
      <c r="T10" s="71"/>
      <c r="U10" s="71"/>
      <c r="V10" s="71"/>
      <c r="W10" s="71"/>
      <c r="X10" s="71"/>
      <c r="Y10" s="71"/>
      <c r="Z10" s="71"/>
      <c r="AA10" s="71"/>
      <c r="AB10" s="71"/>
      <c r="AC10" s="71"/>
      <c r="AD10" s="71"/>
      <c r="AE10" s="71"/>
      <c r="AF10" s="71"/>
      <c r="AG10" s="71"/>
    </row>
    <row r="11" customFormat="false" ht="15" hidden="false" customHeight="false" outlineLevel="0" collapsed="false">
      <c r="A11" s="256" t="n">
        <f aca="false">IF(Horodateur11233538192231343743464952555861646985222634384650585462667074788290989410210611411811012212613013413814214615015415816216617017417818218619019419820220621021441014182226303438465054[[#This Row],[Jour]]="1- Lundi",$B$1+1, IF(Horodateur11233538192231343743464952555861646985222634384650585462667074788290989410210611411811012212613013413814214615015415816216617017417818218619019419820220621021441014182226303438465054[[#This Row],[Jour]]="2- Mardi",$B$1+2, IF(Horodateur11233538192231343743464952555861646985222634384650585462667074788290989410210611411811012212613013413814214615015415816216617017417818218619019419820220621021441014182226303438465054[[#This Row],[Jour]]="3- Mercredi",$B$1+3, IF(Horodateur11233538192231343743464952555861646985222634384650585462667074788290989410210611411811012212613013413814214615015415816216617017417818218619019419820220621021441014182226303438465054[[#This Row],[Jour]]="4- Jeudi",$B$1+4, IF(Horodateur11233538192231343743464952555861646985222634384650585462667074788290989410210611411811012212613013413814214615015415816216617017417818218619019419820220621021441014182226303438465054[[#This Row],[Jour]]="5- Vendredi",$B$1+5, IF(Horodateur11233538192231343743464952555861646985222634384650585462667074788290989410210611411811012212613013413814214615015415816216617017417818218619019419820220621021441014182226303438465054[[#This Row],[Jour]]="6- Samedi",$B$1+6, IF(Horodateur11233538192231343743464952555861646985222634384650585462667074788290989410210611411811012212613013413814214615015415816216617017417818218619019419820220621021441014182226303438465054[[#This Row],[Jour]]="7- Dimanche",$B$1, )))))))</f>
        <v>44292</v>
      </c>
      <c r="B11" s="257" t="s">
        <v>312</v>
      </c>
      <c r="C11" s="258" t="n">
        <v>0.5</v>
      </c>
      <c r="D11" s="258" t="n">
        <v>0.520833333333333</v>
      </c>
      <c r="E11" s="71" t="s">
        <v>63</v>
      </c>
      <c r="F11" s="71" t="s">
        <v>23</v>
      </c>
      <c r="G11" s="259" t="s">
        <v>440</v>
      </c>
      <c r="H11" s="258" t="n">
        <f aca="false">IF($C11=0,"",$D11-$C11)</f>
        <v>0.0208333333333334</v>
      </c>
      <c r="I11" s="260" t="n">
        <f aca="false">IF($C11=0,"",($H11-INT($H11))*24)</f>
        <v>0.500000000000001</v>
      </c>
      <c r="J11" s="303" t="n">
        <f aca="false">SUMIF(Horodateur11233538192231343743464952555861646985222634384650585462667074788290989410210611411811012212613013413814214615015415816216617017417818218619019419820220621021441014182226303438465054[Jour],$B11,Horodateur11233538192231343743464952555861646985222634384650585462667074788290989410210611411811012212613013413814214615015415816216617017417818218619019419820220621021441014182226303438465054[Durée (100)])</f>
        <v>9</v>
      </c>
      <c r="K11" s="335" t="s">
        <v>441</v>
      </c>
      <c r="L11" s="188" t="s">
        <v>31</v>
      </c>
      <c r="M11" s="272" t="n">
        <f aca="false">IF(Horodateur11233538192231343743464952555861646985222634384650585462667074788290989410210611411811012212613013413814214615015415816216617017417818218619019419820220621021441014182226303438465054[[#This Row],[O]]="o",Horodateur11233538192231343743464952555861646985222634384650585462667074788290989410210611411811012212613013413814214615015415816216617017417818218619019419820220621021441014182226303438465054[[#This Row],[Durée (100)]],".")</f>
        <v>0.500000000000001</v>
      </c>
      <c r="N11" s="187"/>
      <c r="O11" s="71"/>
      <c r="P11" s="71"/>
      <c r="Q11" s="71"/>
      <c r="R11" s="71"/>
      <c r="S11" s="71"/>
      <c r="T11" s="71"/>
      <c r="U11" s="71"/>
      <c r="V11" s="71"/>
      <c r="W11" s="71"/>
      <c r="X11" s="71"/>
      <c r="Y11" s="71"/>
      <c r="Z11" s="71"/>
      <c r="AA11" s="71"/>
      <c r="AB11" s="71"/>
      <c r="AC11" s="71"/>
      <c r="AD11" s="71"/>
      <c r="AE11" s="71"/>
      <c r="AF11" s="71"/>
      <c r="AG11" s="71"/>
    </row>
    <row r="12" customFormat="false" ht="15" hidden="false" customHeight="false" outlineLevel="0" collapsed="false">
      <c r="A12" s="256" t="n">
        <f aca="false">IF(Horodateur11233538192231343743464952555861646985222634384650585462667074788290989410210611411811012212613013413814214615015415816216617017417818218619019419820220621021441014182226303438465054[[#This Row],[Jour]]="1- Lundi",$B$1+1, IF(Horodateur11233538192231343743464952555861646985222634384650585462667074788290989410210611411811012212613013413814214615015415816216617017417818218619019419820220621021441014182226303438465054[[#This Row],[Jour]]="2- Mardi",$B$1+2, IF(Horodateur11233538192231343743464952555861646985222634384650585462667074788290989410210611411811012212613013413814214615015415816216617017417818218619019419820220621021441014182226303438465054[[#This Row],[Jour]]="3- Mercredi",$B$1+3, IF(Horodateur11233538192231343743464952555861646985222634384650585462667074788290989410210611411811012212613013413814214615015415816216617017417818218619019419820220621021441014182226303438465054[[#This Row],[Jour]]="4- Jeudi",$B$1+4, IF(Horodateur11233538192231343743464952555861646985222634384650585462667074788290989410210611411811012212613013413814214615015415816216617017417818218619019419820220621021441014182226303438465054[[#This Row],[Jour]]="5- Vendredi",$B$1+5, IF(Horodateur11233538192231343743464952555861646985222634384650585462667074788290989410210611411811012212613013413814214615015415816216617017417818218619019419820220621021441014182226303438465054[[#This Row],[Jour]]="6- Samedi",$B$1+6, IF(Horodateur11233538192231343743464952555861646985222634384650585462667074788290989410210611411811012212613013413814214615015415816216617017417818218619019419820220621021441014182226303438465054[[#This Row],[Jour]]="7- Dimanche",$B$1, )))))))</f>
        <v>44292</v>
      </c>
      <c r="B12" s="257" t="s">
        <v>312</v>
      </c>
      <c r="C12" s="258" t="n">
        <v>0.5625</v>
      </c>
      <c r="D12" s="258" t="n">
        <v>0.604166666666667</v>
      </c>
      <c r="E12" s="71" t="s">
        <v>63</v>
      </c>
      <c r="F12" s="71" t="s">
        <v>379</v>
      </c>
      <c r="G12" s="259" t="s">
        <v>55</v>
      </c>
      <c r="H12" s="258" t="n">
        <f aca="false">IF($C12=0,"",$D12-$C12)</f>
        <v>0.0416666666666667</v>
      </c>
      <c r="I12" s="260" t="n">
        <f aca="false">IF($C12=0,"",($H12-INT($H12))*24)</f>
        <v>1</v>
      </c>
      <c r="J12" s="303" t="n">
        <f aca="false">SUMIF(Horodateur11233538192231343743464952555861646985222634384650585462667074788290989410210611411811012212613013413814214615015415816216617017417818218619019419820220621021441014182226303438465054[Jour],$B12,Horodateur11233538192231343743464952555861646985222634384650585462667074788290989410210611411811012212613013413814214615015415816216617017417818218619019419820220621021441014182226303438465054[Durée (100)])</f>
        <v>9</v>
      </c>
      <c r="K12" s="335"/>
      <c r="L12" s="188" t="s">
        <v>31</v>
      </c>
      <c r="M12" s="272" t="n">
        <f aca="false">IF(Horodateur11233538192231343743464952555861646985222634384650585462667074788290989410210611411811012212613013413814214615015415816216617017417818218619019419820220621021441014182226303438465054[[#This Row],[O]]="o",Horodateur11233538192231343743464952555861646985222634384650585462667074788290989410210611411811012212613013413814214615015415816216617017417818218619019419820220621021441014182226303438465054[[#This Row],[Durée (100)]],".")</f>
        <v>0.999999999999999</v>
      </c>
      <c r="N12" s="187"/>
      <c r="O12" s="71"/>
      <c r="P12" s="71"/>
      <c r="Q12" s="71"/>
      <c r="R12" s="71"/>
      <c r="S12" s="71"/>
      <c r="T12" s="71"/>
      <c r="U12" s="71"/>
      <c r="V12" s="71"/>
      <c r="W12" s="71"/>
      <c r="X12" s="71"/>
      <c r="Y12" s="71"/>
      <c r="Z12" s="71"/>
      <c r="AA12" s="71"/>
      <c r="AB12" s="71"/>
      <c r="AC12" s="71"/>
      <c r="AD12" s="71"/>
      <c r="AE12" s="71"/>
      <c r="AF12" s="71"/>
      <c r="AG12" s="71"/>
    </row>
    <row r="13" customFormat="false" ht="15" hidden="false" customHeight="false" outlineLevel="0" collapsed="false">
      <c r="A13" s="256" t="n">
        <f aca="false">IF(Horodateur11233538192231343743464952555861646985222634384650585462667074788290989410210611411811012212613013413814214615015415816216617017417818218619019419820220621021441014182226303438465054[[#This Row],[Jour]]="1- Lundi",$B$1+1, IF(Horodateur11233538192231343743464952555861646985222634384650585462667074788290989410210611411811012212613013413814214615015415816216617017417818218619019419820220621021441014182226303438465054[[#This Row],[Jour]]="2- Mardi",$B$1+2, IF(Horodateur11233538192231343743464952555861646985222634384650585462667074788290989410210611411811012212613013413814214615015415816216617017417818218619019419820220621021441014182226303438465054[[#This Row],[Jour]]="3- Mercredi",$B$1+3, IF(Horodateur11233538192231343743464952555861646985222634384650585462667074788290989410210611411811012212613013413814214615015415816216617017417818218619019419820220621021441014182226303438465054[[#This Row],[Jour]]="4- Jeudi",$B$1+4, IF(Horodateur11233538192231343743464952555861646985222634384650585462667074788290989410210611411811012212613013413814214615015415816216617017417818218619019419820220621021441014182226303438465054[[#This Row],[Jour]]="5- Vendredi",$B$1+5, IF(Horodateur11233538192231343743464952555861646985222634384650585462667074788290989410210611411811012212613013413814214615015415816216617017417818218619019419820220621021441014182226303438465054[[#This Row],[Jour]]="6- Samedi",$B$1+6, IF(Horodateur11233538192231343743464952555861646985222634384650585462667074788290989410210611411811012212613013413814214615015415816216617017417818218619019419820220621021441014182226303438465054[[#This Row],[Jour]]="7- Dimanche",$B$1, )))))))</f>
        <v>44292</v>
      </c>
      <c r="B13" s="257" t="s">
        <v>312</v>
      </c>
      <c r="C13" s="258" t="n">
        <v>0.604166666666667</v>
      </c>
      <c r="D13" s="258" t="n">
        <v>0.75</v>
      </c>
      <c r="E13" s="71" t="s">
        <v>63</v>
      </c>
      <c r="F13" s="71" t="s">
        <v>378</v>
      </c>
      <c r="G13" s="259" t="s">
        <v>442</v>
      </c>
      <c r="H13" s="258" t="n">
        <f aca="false">IF($C13=0,"",$D13-$C13)</f>
        <v>0.145833333333333</v>
      </c>
      <c r="I13" s="260" t="n">
        <f aca="false">IF($C13=0,"",($H13-INT($H13))*24)</f>
        <v>3.5</v>
      </c>
      <c r="J13" s="303" t="n">
        <f aca="false">SUMIF(Horodateur11233538192231343743464952555861646985222634384650585462667074788290989410210611411811012212613013413814214615015415816216617017417818218619019419820220621021441014182226303438465054[Jour],$B13,Horodateur11233538192231343743464952555861646985222634384650585462667074788290989410210611411811012212613013413814214615015415816216617017417818218619019419820220621021441014182226303438465054[Durée (100)])</f>
        <v>9</v>
      </c>
      <c r="K13" s="335"/>
      <c r="L13" s="188" t="s">
        <v>31</v>
      </c>
      <c r="M13" s="272" t="n">
        <f aca="false">IF(Horodateur11233538192231343743464952555861646985222634384650585462667074788290989410210611411811012212613013413814214615015415816216617017417818218619019419820220621021441014182226303438465054[[#This Row],[O]]="o",Horodateur11233538192231343743464952555861646985222634384650585462667074788290989410210611411811012212613013413814214615015415816216617017417818218619019419820220621021441014182226303438465054[[#This Row],[Durée (100)]],".")</f>
        <v>3.5</v>
      </c>
      <c r="N13" s="187"/>
      <c r="O13" s="71"/>
      <c r="P13" s="71"/>
      <c r="Q13" s="71"/>
      <c r="R13" s="71"/>
      <c r="S13" s="71"/>
      <c r="T13" s="71"/>
      <c r="U13" s="71"/>
      <c r="V13" s="71"/>
      <c r="W13" s="71"/>
      <c r="X13" s="71"/>
      <c r="Y13" s="71"/>
      <c r="Z13" s="71"/>
      <c r="AA13" s="71"/>
      <c r="AB13" s="71"/>
      <c r="AC13" s="71"/>
      <c r="AD13" s="71"/>
      <c r="AE13" s="71"/>
      <c r="AF13" s="71"/>
      <c r="AG13" s="71"/>
    </row>
    <row r="14" customFormat="false" ht="15" hidden="true" customHeight="false" outlineLevel="0" collapsed="false">
      <c r="A14" s="256" t="n">
        <f aca="false">IF(Horodateur11233538192231343743464952555861646985222634384650585462667074788290989410210611411811012212613013413814214615015415816216617017417818218619019419820220621021441014182226303438465054[[#This Row],[Jour]]="1- Lundi",$B$1+1, IF(Horodateur11233538192231343743464952555861646985222634384650585462667074788290989410210611411811012212613013413814214615015415816216617017417818218619019419820220621021441014182226303438465054[[#This Row],[Jour]]="2- Mardi",$B$1+2, IF(Horodateur11233538192231343743464952555861646985222634384650585462667074788290989410210611411811012212613013413814214615015415816216617017417818218619019419820220621021441014182226303438465054[[#This Row],[Jour]]="3- Mercredi",$B$1+3, IF(Horodateur11233538192231343743464952555861646985222634384650585462667074788290989410210611411811012212613013413814214615015415816216617017417818218619019419820220621021441014182226303438465054[[#This Row],[Jour]]="4- Jeudi",$B$1+4, IF(Horodateur11233538192231343743464952555861646985222634384650585462667074788290989410210611411811012212613013413814214615015415816216617017417818218619019419820220621021441014182226303438465054[[#This Row],[Jour]]="5- Vendredi",$B$1+5, IF(Horodateur11233538192231343743464952555861646985222634384650585462667074788290989410210611411811012212613013413814214615015415816216617017417818218619019419820220621021441014182226303438465054[[#This Row],[Jour]]="6- Samedi",$B$1+6, IF(Horodateur11233538192231343743464952555861646985222634384650585462667074788290989410210611411811012212613013413814214615015415816216617017417818218619019419820220621021441014182226303438465054[[#This Row],[Jour]]="7- Dimanche",$B$1, )))))))</f>
        <v>44293</v>
      </c>
      <c r="B14" s="257" t="s">
        <v>319</v>
      </c>
      <c r="C14" s="258" t="n">
        <v>0.333333333333333</v>
      </c>
      <c r="D14" s="258" t="n">
        <v>0.354166666666667</v>
      </c>
      <c r="E14" s="71" t="s">
        <v>363</v>
      </c>
      <c r="F14" s="71" t="s">
        <v>378</v>
      </c>
      <c r="G14" s="259" t="s">
        <v>443</v>
      </c>
      <c r="H14" s="258" t="n">
        <f aca="false">IF($C14=0,"",$D14-$C14)</f>
        <v>0.0208333333333333</v>
      </c>
      <c r="I14" s="260" t="n">
        <f aca="false">IF($C14=0,"",($H14-INT($H14))*24)</f>
        <v>0.5</v>
      </c>
      <c r="J14" s="303" t="n">
        <f aca="false">SUMIF(Horodateur11233538192231343743464952555861646985222634384650585462667074788290989410210611411811012212613013413814214615015415816216617017417818218619019419820220621021441014182226303438465054[Jour],$B14,Horodateur11233538192231343743464952555861646985222634384650585462667074788290989410210611411811012212613013413814214615015415816216617017417818218619019419820220621021441014182226303438465054[Durée (100)])</f>
        <v>9</v>
      </c>
      <c r="K14" s="335"/>
      <c r="L14" s="188" t="s">
        <v>31</v>
      </c>
      <c r="M14" s="272" t="n">
        <f aca="false">IF(Horodateur11233538192231343743464952555861646985222634384650585462667074788290989410210611411811012212613013413814214615015415816216617017417818218619019419820220621021441014182226303438465054[[#This Row],[O]]="o",Horodateur11233538192231343743464952555861646985222634384650585462667074788290989410210611411811012212613013413814214615015415816216617017417818218619019419820220621021441014182226303438465054[[#This Row],[Durée (100)]],".")</f>
        <v>0.500000000000001</v>
      </c>
      <c r="N14" s="187"/>
      <c r="O14" s="71"/>
      <c r="P14" s="71"/>
      <c r="Q14" s="71"/>
      <c r="R14" s="71"/>
      <c r="S14" s="71"/>
      <c r="T14" s="71"/>
      <c r="U14" s="71"/>
      <c r="V14" s="71"/>
      <c r="W14" s="71"/>
      <c r="X14" s="71"/>
      <c r="Y14" s="71"/>
      <c r="Z14" s="71"/>
      <c r="AA14" s="71"/>
      <c r="AB14" s="71"/>
      <c r="AC14" s="71"/>
      <c r="AD14" s="71"/>
      <c r="AE14" s="71"/>
      <c r="AF14" s="71"/>
      <c r="AG14" s="71"/>
    </row>
    <row r="15" customFormat="false" ht="15" hidden="true" customHeight="false" outlineLevel="0" collapsed="false">
      <c r="A15" s="256" t="n">
        <f aca="false">IF(Horodateur11233538192231343743464952555861646985222634384650585462667074788290989410210611411811012212613013413814214615015415816216617017417818218619019419820220621021441014182226303438465054[[#This Row],[Jour]]="1- Lundi",$B$1+1, IF(Horodateur11233538192231343743464952555861646985222634384650585462667074788290989410210611411811012212613013413814214615015415816216617017417818218619019419820220621021441014182226303438465054[[#This Row],[Jour]]="2- Mardi",$B$1+2, IF(Horodateur11233538192231343743464952555861646985222634384650585462667074788290989410210611411811012212613013413814214615015415816216617017417818218619019419820220621021441014182226303438465054[[#This Row],[Jour]]="3- Mercredi",$B$1+3, IF(Horodateur11233538192231343743464952555861646985222634384650585462667074788290989410210611411811012212613013413814214615015415816216617017417818218619019419820220621021441014182226303438465054[[#This Row],[Jour]]="4- Jeudi",$B$1+4, IF(Horodateur11233538192231343743464952555861646985222634384650585462667074788290989410210611411811012212613013413814214615015415816216617017417818218619019419820220621021441014182226303438465054[[#This Row],[Jour]]="5- Vendredi",$B$1+5, IF(Horodateur11233538192231343743464952555861646985222634384650585462667074788290989410210611411811012212613013413814214615015415816216617017417818218619019419820220621021441014182226303438465054[[#This Row],[Jour]]="6- Samedi",$B$1+6, IF(Horodateur11233538192231343743464952555861646985222634384650585462667074788290989410210611411811012212613013413814214615015415816216617017417818218619019419820220621021441014182226303438465054[[#This Row],[Jour]]="7- Dimanche",$B$1, )))))))</f>
        <v>44293</v>
      </c>
      <c r="B15" s="257" t="s">
        <v>319</v>
      </c>
      <c r="C15" s="258" t="n">
        <v>0.354166666666667</v>
      </c>
      <c r="D15" s="258" t="n">
        <v>0.375</v>
      </c>
      <c r="E15" s="71" t="s">
        <v>63</v>
      </c>
      <c r="F15" s="71" t="s">
        <v>378</v>
      </c>
      <c r="G15" s="259" t="s">
        <v>444</v>
      </c>
      <c r="H15" s="258" t="n">
        <f aca="false">IF($C15=0,"",$D15-$C15)</f>
        <v>0.0208333333333333</v>
      </c>
      <c r="I15" s="260" t="n">
        <f aca="false">IF($C15=0,"",($H15-INT($H15))*24)</f>
        <v>0.5</v>
      </c>
      <c r="J15" s="303" t="n">
        <f aca="false">SUMIF(Horodateur11233538192231343743464952555861646985222634384650585462667074788290989410210611411811012212613013413814214615015415816216617017417818218619019419820220621021441014182226303438465054[Jour],$B15,Horodateur11233538192231343743464952555861646985222634384650585462667074788290989410210611411811012212613013413814214615015415816216617017417818218619019419820220621021441014182226303438465054[Durée (100)])</f>
        <v>9</v>
      </c>
      <c r="K15" s="335"/>
      <c r="L15" s="188" t="s">
        <v>31</v>
      </c>
      <c r="M15" s="272" t="n">
        <f aca="false">IF(Horodateur11233538192231343743464952555861646985222634384650585462667074788290989410210611411811012212613013413814214615015415816216617017417818218619019419820220621021441014182226303438465054[[#This Row],[O]]="o",Horodateur11233538192231343743464952555861646985222634384650585462667074788290989410210611411811012212613013413814214615015415816216617017417818218619019419820220621021441014182226303438465054[[#This Row],[Durée (100)]],".")</f>
        <v>0.5</v>
      </c>
      <c r="N15" s="187"/>
      <c r="O15" s="71"/>
      <c r="P15" s="71"/>
      <c r="Q15" s="71"/>
      <c r="R15" s="71"/>
      <c r="S15" s="71"/>
      <c r="T15" s="71"/>
      <c r="U15" s="71"/>
      <c r="V15" s="71"/>
      <c r="W15" s="71"/>
      <c r="X15" s="71"/>
      <c r="Y15" s="71"/>
      <c r="Z15" s="71"/>
      <c r="AA15" s="71"/>
      <c r="AB15" s="71"/>
      <c r="AC15" s="71"/>
      <c r="AD15" s="71"/>
      <c r="AE15" s="71"/>
      <c r="AF15" s="71"/>
      <c r="AG15" s="71"/>
    </row>
    <row r="16" customFormat="false" ht="15" hidden="true" customHeight="false" outlineLevel="0" collapsed="false">
      <c r="A16" s="256" t="n">
        <f aca="false">IF(Horodateur11233538192231343743464952555861646985222634384650585462667074788290989410210611411811012212613013413814214615015415816216617017417818218619019419820220621021441014182226303438465054[[#This Row],[Jour]]="1- Lundi",$B$1+1, IF(Horodateur11233538192231343743464952555861646985222634384650585462667074788290989410210611411811012212613013413814214615015415816216617017417818218619019419820220621021441014182226303438465054[[#This Row],[Jour]]="2- Mardi",$B$1+2, IF(Horodateur11233538192231343743464952555861646985222634384650585462667074788290989410210611411811012212613013413814214615015415816216617017417818218619019419820220621021441014182226303438465054[[#This Row],[Jour]]="3- Mercredi",$B$1+3, IF(Horodateur11233538192231343743464952555861646985222634384650585462667074788290989410210611411811012212613013413814214615015415816216617017417818218619019419820220621021441014182226303438465054[[#This Row],[Jour]]="4- Jeudi",$B$1+4, IF(Horodateur11233538192231343743464952555861646985222634384650585462667074788290989410210611411811012212613013413814214615015415816216617017417818218619019419820220621021441014182226303438465054[[#This Row],[Jour]]="5- Vendredi",$B$1+5, IF(Horodateur11233538192231343743464952555861646985222634384650585462667074788290989410210611411811012212613013413814214615015415816216617017417818218619019419820220621021441014182226303438465054[[#This Row],[Jour]]="6- Samedi",$B$1+6, IF(Horodateur11233538192231343743464952555861646985222634384650585462667074788290989410210611411811012212613013413814214615015415816216617017417818218619019419820220621021441014182226303438465054[[#This Row],[Jour]]="7- Dimanche",$B$1, )))))))</f>
        <v>44293</v>
      </c>
      <c r="B16" s="257" t="s">
        <v>319</v>
      </c>
      <c r="C16" s="258" t="n">
        <v>0.375</v>
      </c>
      <c r="D16" s="258" t="n">
        <v>0.458333333333333</v>
      </c>
      <c r="E16" s="71" t="s">
        <v>63</v>
      </c>
      <c r="F16" s="71" t="s">
        <v>408</v>
      </c>
      <c r="G16" s="259" t="s">
        <v>445</v>
      </c>
      <c r="H16" s="258" t="n">
        <f aca="false">IF($C16=0,"",$D16-$C16)</f>
        <v>0.0833333333333333</v>
      </c>
      <c r="I16" s="260" t="n">
        <f aca="false">IF($C16=0,"",($H16-INT($H16))*24)</f>
        <v>2</v>
      </c>
      <c r="J16" s="303" t="n">
        <f aca="false">SUMIF(Horodateur11233538192231343743464952555861646985222634384650585462667074788290989410210611411811012212613013413814214615015415816216617017417818218619019419820220621021441014182226303438465054[Jour],$B16,Horodateur11233538192231343743464952555861646985222634384650585462667074788290989410210611411811012212613013413814214615015415816216617017417818218619019419820220621021441014182226303438465054[Durée (100)])</f>
        <v>9</v>
      </c>
      <c r="K16" s="335" t="s">
        <v>446</v>
      </c>
      <c r="L16" s="188" t="s">
        <v>31</v>
      </c>
      <c r="M16" s="272" t="n">
        <f aca="false">IF(Horodateur11233538192231343743464952555861646985222634384650585462667074788290989410210611411811012212613013413814214615015415816216617017417818218619019419820220621021441014182226303438465054[[#This Row],[O]]="o",Horodateur11233538192231343743464952555861646985222634384650585462667074788290989410210611411811012212613013413814214615015415816216617017417818218619019419820220621021441014182226303438465054[[#This Row],[Durée (100)]],".")</f>
        <v>2</v>
      </c>
      <c r="N16" s="187"/>
      <c r="O16" s="71"/>
      <c r="P16" s="71"/>
      <c r="Q16" s="71"/>
      <c r="R16" s="71"/>
      <c r="S16" s="71"/>
      <c r="T16" s="71"/>
      <c r="U16" s="71"/>
      <c r="V16" s="71"/>
      <c r="W16" s="71"/>
      <c r="X16" s="71"/>
      <c r="Y16" s="71"/>
      <c r="Z16" s="71"/>
      <c r="AA16" s="71"/>
      <c r="AB16" s="71"/>
      <c r="AC16" s="71"/>
      <c r="AD16" s="71"/>
      <c r="AE16" s="71"/>
      <c r="AF16" s="71"/>
      <c r="AG16" s="71"/>
    </row>
    <row r="17" customFormat="false" ht="15" hidden="true" customHeight="false" outlineLevel="0" collapsed="false">
      <c r="A17" s="256" t="n">
        <f aca="false">IF(Horodateur11233538192231343743464952555861646985222634384650585462667074788290989410210611411811012212613013413814214615015415816216617017417818218619019419820220621021441014182226303438465054[[#This Row],[Jour]]="1- Lundi",$B$1+1, IF(Horodateur11233538192231343743464952555861646985222634384650585462667074788290989410210611411811012212613013413814214615015415816216617017417818218619019419820220621021441014182226303438465054[[#This Row],[Jour]]="2- Mardi",$B$1+2, IF(Horodateur11233538192231343743464952555861646985222634384650585462667074788290989410210611411811012212613013413814214615015415816216617017417818218619019419820220621021441014182226303438465054[[#This Row],[Jour]]="3- Mercredi",$B$1+3, IF(Horodateur11233538192231343743464952555861646985222634384650585462667074788290989410210611411811012212613013413814214615015415816216617017417818218619019419820220621021441014182226303438465054[[#This Row],[Jour]]="4- Jeudi",$B$1+4, IF(Horodateur11233538192231343743464952555861646985222634384650585462667074788290989410210611411811012212613013413814214615015415816216617017417818218619019419820220621021441014182226303438465054[[#This Row],[Jour]]="5- Vendredi",$B$1+5, IF(Horodateur11233538192231343743464952555861646985222634384650585462667074788290989410210611411811012212613013413814214615015415816216617017417818218619019419820220621021441014182226303438465054[[#This Row],[Jour]]="6- Samedi",$B$1+6, IF(Horodateur11233538192231343743464952555861646985222634384650585462667074788290989410210611411811012212613013413814214615015415816216617017417818218619019419820220621021441014182226303438465054[[#This Row],[Jour]]="7- Dimanche",$B$1, )))))))</f>
        <v>44293</v>
      </c>
      <c r="B17" s="257" t="s">
        <v>319</v>
      </c>
      <c r="C17" s="258" t="n">
        <v>0.395833333333333</v>
      </c>
      <c r="D17" s="258" t="n">
        <v>0.479166666666667</v>
      </c>
      <c r="E17" s="71" t="s">
        <v>363</v>
      </c>
      <c r="F17" s="71" t="s">
        <v>378</v>
      </c>
      <c r="G17" s="259" t="s">
        <v>443</v>
      </c>
      <c r="H17" s="258" t="n">
        <f aca="false">IF($C17=0,"",$D17-$C17)</f>
        <v>0.0833333333333333</v>
      </c>
      <c r="I17" s="260" t="n">
        <f aca="false">IF($C17=0,"",($H17-INT($H17))*24)</f>
        <v>2</v>
      </c>
      <c r="J17" s="303" t="n">
        <f aca="false">SUMIF(Horodateur11233538192231343743464952555861646985222634384650585462667074788290989410210611411811012212613013413814214615015415816216617017417818218619019419820220621021441014182226303438465054[Jour],$B17,Horodateur11233538192231343743464952555861646985222634384650585462667074788290989410210611411811012212613013413814214615015415816216617017417818218619019419820220621021441014182226303438465054[Durée (100)])</f>
        <v>9</v>
      </c>
      <c r="K17" s="335"/>
      <c r="L17" s="188" t="s">
        <v>31</v>
      </c>
      <c r="M17" s="272" t="n">
        <f aca="false">IF(Horodateur11233538192231343743464952555861646985222634384650585462667074788290989410210611411811012212613013413814214615015415816216617017417818218619019419820220621021441014182226303438465054[[#This Row],[O]]="o",Horodateur11233538192231343743464952555861646985222634384650585462667074788290989410210611411811012212613013413814214615015415816216617017417818218619019419820220621021441014182226303438465054[[#This Row],[Durée (100)]],".")</f>
        <v>2</v>
      </c>
      <c r="N17" s="187"/>
      <c r="O17" s="71"/>
      <c r="P17" s="71"/>
      <c r="Q17" s="71"/>
      <c r="R17" s="71"/>
      <c r="S17" s="71"/>
      <c r="T17" s="71"/>
      <c r="U17" s="71"/>
      <c r="V17" s="71"/>
      <c r="W17" s="71"/>
      <c r="X17" s="71"/>
      <c r="Y17" s="71"/>
      <c r="Z17" s="71"/>
      <c r="AA17" s="71"/>
      <c r="AB17" s="71"/>
      <c r="AC17" s="71"/>
      <c r="AD17" s="71"/>
      <c r="AE17" s="71"/>
      <c r="AF17" s="71"/>
      <c r="AG17" s="71"/>
    </row>
    <row r="18" customFormat="false" ht="15" hidden="true" customHeight="false" outlineLevel="0" collapsed="false">
      <c r="A18" s="256" t="n">
        <f aca="false">IF(Horodateur11233538192231343743464952555861646985222634384650585462667074788290989410210611411811012212613013413814214615015415816216617017417818218619019419820220621021441014182226303438465054[[#This Row],[Jour]]="1- Lundi",$B$1+1, IF(Horodateur11233538192231343743464952555861646985222634384650585462667074788290989410210611411811012212613013413814214615015415816216617017417818218619019419820220621021441014182226303438465054[[#This Row],[Jour]]="2- Mardi",$B$1+2, IF(Horodateur11233538192231343743464952555861646985222634384650585462667074788290989410210611411811012212613013413814214615015415816216617017417818218619019419820220621021441014182226303438465054[[#This Row],[Jour]]="3- Mercredi",$B$1+3, IF(Horodateur11233538192231343743464952555861646985222634384650585462667074788290989410210611411811012212613013413814214615015415816216617017417818218619019419820220621021441014182226303438465054[[#This Row],[Jour]]="4- Jeudi",$B$1+4, IF(Horodateur11233538192231343743464952555861646985222634384650585462667074788290989410210611411811012212613013413814214615015415816216617017417818218619019419820220621021441014182226303438465054[[#This Row],[Jour]]="5- Vendredi",$B$1+5, IF(Horodateur11233538192231343743464952555861646985222634384650585462667074788290989410210611411811012212613013413814214615015415816216617017417818218619019419820220621021441014182226303438465054[[#This Row],[Jour]]="6- Samedi",$B$1+6, IF(Horodateur11233538192231343743464952555861646985222634384650585462667074788290989410210611411811012212613013413814214615015415816216617017417818218619019419820220621021441014182226303438465054[[#This Row],[Jour]]="7- Dimanche",$B$1, )))))))</f>
        <v>44293</v>
      </c>
      <c r="B18" s="257" t="s">
        <v>319</v>
      </c>
      <c r="C18" s="258" t="n">
        <v>0.479166666666667</v>
      </c>
      <c r="D18" s="258" t="n">
        <v>0.489583333333333</v>
      </c>
      <c r="E18" s="71" t="s">
        <v>37</v>
      </c>
      <c r="F18" s="71" t="s">
        <v>399</v>
      </c>
      <c r="G18" s="259" t="s">
        <v>447</v>
      </c>
      <c r="H18" s="258" t="n">
        <f aca="false">IF($C18=0,"",$D18-$C18)</f>
        <v>0.0104166666666666</v>
      </c>
      <c r="I18" s="260" t="n">
        <f aca="false">IF($C18=0,"",($H18-INT($H18))*24)</f>
        <v>0.249999999999999</v>
      </c>
      <c r="J18" s="303" t="n">
        <f aca="false">SUMIF(Horodateur11233538192231343743464952555861646985222634384650585462667074788290989410210611411811012212613013413814214615015415816216617017417818218619019419820220621021441014182226303438465054[Jour],$B18,Horodateur11233538192231343743464952555861646985222634384650585462667074788290989410210611411811012212613013413814214615015415816216617017417818218619019419820220621021441014182226303438465054[Durée (100)])</f>
        <v>9</v>
      </c>
      <c r="K18" s="335"/>
      <c r="L18" s="188" t="s">
        <v>31</v>
      </c>
      <c r="M18" s="272" t="n">
        <f aca="false">IF(Horodateur11233538192231343743464952555861646985222634384650585462667074788290989410210611411811012212613013413814214615015415816216617017417818218619019419820220621021441014182226303438465054[[#This Row],[O]]="o",Horodateur11233538192231343743464952555861646985222634384650585462667074788290989410210611411811012212613013413814214615015415816216617017417818218619019419820220621021441014182226303438465054[[#This Row],[Durée (100)]],".")</f>
        <v>0.249999999999999</v>
      </c>
      <c r="N18" s="187"/>
      <c r="O18" s="71"/>
      <c r="P18" s="71"/>
      <c r="Q18" s="71"/>
      <c r="R18" s="71"/>
      <c r="S18" s="71"/>
      <c r="T18" s="71"/>
      <c r="U18" s="71"/>
      <c r="V18" s="71"/>
      <c r="W18" s="71"/>
      <c r="X18" s="71"/>
      <c r="Y18" s="71"/>
      <c r="Z18" s="71"/>
      <c r="AA18" s="71"/>
      <c r="AB18" s="71"/>
      <c r="AC18" s="71"/>
      <c r="AD18" s="71"/>
      <c r="AE18" s="71"/>
      <c r="AF18" s="71"/>
      <c r="AG18" s="71"/>
    </row>
    <row r="19" customFormat="false" ht="15" hidden="true" customHeight="false" outlineLevel="0" collapsed="false">
      <c r="A19" s="256" t="n">
        <f aca="false">IF(Horodateur11233538192231343743464952555861646985222634384650585462667074788290989410210611411811012212613013413814214615015415816216617017417818218619019419820220621021441014182226303438465054[[#This Row],[Jour]]="1- Lundi",$B$1+1, IF(Horodateur11233538192231343743464952555861646985222634384650585462667074788290989410210611411811012212613013413814214615015415816216617017417818218619019419820220621021441014182226303438465054[[#This Row],[Jour]]="2- Mardi",$B$1+2, IF(Horodateur11233538192231343743464952555861646985222634384650585462667074788290989410210611411811012212613013413814214615015415816216617017417818218619019419820220621021441014182226303438465054[[#This Row],[Jour]]="3- Mercredi",$B$1+3, IF(Horodateur11233538192231343743464952555861646985222634384650585462667074788290989410210611411811012212613013413814214615015415816216617017417818218619019419820220621021441014182226303438465054[[#This Row],[Jour]]="4- Jeudi",$B$1+4, IF(Horodateur11233538192231343743464952555861646985222634384650585462667074788290989410210611411811012212613013413814214615015415816216617017417818218619019419820220621021441014182226303438465054[[#This Row],[Jour]]="5- Vendredi",$B$1+5, IF(Horodateur11233538192231343743464952555861646985222634384650585462667074788290989410210611411811012212613013413814214615015415816216617017417818218619019419820220621021441014182226303438465054[[#This Row],[Jour]]="6- Samedi",$B$1+6, IF(Horodateur11233538192231343743464952555861646985222634384650585462667074788290989410210611411811012212613013413814214615015415816216617017417818218619019419820220621021441014182226303438465054[[#This Row],[Jour]]="7- Dimanche",$B$1, )))))))</f>
        <v>44293</v>
      </c>
      <c r="B19" s="257" t="s">
        <v>319</v>
      </c>
      <c r="C19" s="258" t="n">
        <v>0.583333333333333</v>
      </c>
      <c r="D19" s="258" t="n">
        <v>0.604166666666667</v>
      </c>
      <c r="E19" s="71" t="s">
        <v>32</v>
      </c>
      <c r="F19" s="71" t="s">
        <v>22</v>
      </c>
      <c r="G19" s="259"/>
      <c r="H19" s="258" t="n">
        <f aca="false">IF($C19=0,"",$D19-$C19)</f>
        <v>0.0208333333333333</v>
      </c>
      <c r="I19" s="260" t="n">
        <f aca="false">IF($C19=0,"",($H19-INT($H19))*24)</f>
        <v>0.499999999999998</v>
      </c>
      <c r="J19" s="303" t="n">
        <f aca="false">SUMIF(Horodateur11233538192231343743464952555861646985222634384650585462667074788290989410210611411811012212613013413814214615015415816216617017417818218619019419820220621021441014182226303438465054[Jour],$B19,Horodateur11233538192231343743464952555861646985222634384650585462667074788290989410210611411811012212613013413814214615015415816216617017417818218619019419820220621021441014182226303438465054[Durée (100)])</f>
        <v>9</v>
      </c>
      <c r="K19" s="335"/>
      <c r="L19" s="188" t="s">
        <v>33</v>
      </c>
      <c r="M19" s="272" t="str">
        <f aca="false">IF(Horodateur11233538192231343743464952555861646985222634384650585462667074788290989410210611411811012212613013413814214615015415816216617017417818218619019419820220621021441014182226303438465054[[#This Row],[O]]="o",Horodateur11233538192231343743464952555861646985222634384650585462667074788290989410210611411811012212613013413814214615015415816216617017417818218619019419820220621021441014182226303438465054[[#This Row],[Durée (100)]],".")</f>
        <v>.</v>
      </c>
      <c r="N19" s="187"/>
      <c r="O19" s="71"/>
      <c r="P19" s="71"/>
      <c r="Q19" s="71"/>
      <c r="R19" s="71"/>
      <c r="S19" s="71"/>
      <c r="T19" s="71"/>
      <c r="U19" s="71"/>
      <c r="V19" s="71"/>
      <c r="W19" s="71"/>
      <c r="X19" s="71"/>
      <c r="Y19" s="71"/>
      <c r="Z19" s="71"/>
      <c r="AA19" s="71"/>
      <c r="AB19" s="71"/>
      <c r="AC19" s="71"/>
      <c r="AD19" s="71"/>
      <c r="AE19" s="71"/>
      <c r="AF19" s="71"/>
      <c r="AG19" s="71"/>
    </row>
    <row r="20" customFormat="false" ht="15" hidden="true" customHeight="false" outlineLevel="0" collapsed="false">
      <c r="A20" s="256" t="n">
        <f aca="false">IF(Horodateur11233538192231343743464952555861646985222634384650585462667074788290989410210611411811012212613013413814214615015415816216617017417818218619019419820220621021441014182226303438465054[[#This Row],[Jour]]="1- Lundi",$B$1+1, IF(Horodateur11233538192231343743464952555861646985222634384650585462667074788290989410210611411811012212613013413814214615015415816216617017417818218619019419820220621021441014182226303438465054[[#This Row],[Jour]]="2- Mardi",$B$1+2, IF(Horodateur11233538192231343743464952555861646985222634384650585462667074788290989410210611411811012212613013413814214615015415816216617017417818218619019419820220621021441014182226303438465054[[#This Row],[Jour]]="3- Mercredi",$B$1+3, IF(Horodateur11233538192231343743464952555861646985222634384650585462667074788290989410210611411811012212613013413814214615015415816216617017417818218619019419820220621021441014182226303438465054[[#This Row],[Jour]]="4- Jeudi",$B$1+4, IF(Horodateur11233538192231343743464952555861646985222634384650585462667074788290989410210611411811012212613013413814214615015415816216617017417818218619019419820220621021441014182226303438465054[[#This Row],[Jour]]="5- Vendredi",$B$1+5, IF(Horodateur11233538192231343743464952555861646985222634384650585462667074788290989410210611411811012212613013413814214615015415816216617017417818218619019419820220621021441014182226303438465054[[#This Row],[Jour]]="6- Samedi",$B$1+6, IF(Horodateur11233538192231343743464952555861646985222634384650585462667074788290989410210611411811012212613013413814214615015415816216617017417818218619019419820220621021441014182226303438465054[[#This Row],[Jour]]="7- Dimanche",$B$1, )))))))</f>
        <v>44293</v>
      </c>
      <c r="B20" s="257" t="s">
        <v>319</v>
      </c>
      <c r="C20" s="258" t="n">
        <v>0.604166666666667</v>
      </c>
      <c r="D20" s="258" t="n">
        <v>0.645833333333333</v>
      </c>
      <c r="E20" s="71" t="s">
        <v>71</v>
      </c>
      <c r="F20" s="71" t="s">
        <v>378</v>
      </c>
      <c r="G20" s="259" t="s">
        <v>448</v>
      </c>
      <c r="H20" s="258" t="n">
        <f aca="false">IF($C20=0,"",$D20-$C20)</f>
        <v>0.0416666666666667</v>
      </c>
      <c r="I20" s="260" t="n">
        <f aca="false">IF($C20=0,"",($H20-INT($H20))*24)</f>
        <v>1</v>
      </c>
      <c r="J20" s="303" t="n">
        <f aca="false">SUMIF(Horodateur11233538192231343743464952555861646985222634384650585462667074788290989410210611411811012212613013413814214615015415816216617017417818218619019419820220621021441014182226303438465054[Jour],$B20,Horodateur11233538192231343743464952555861646985222634384650585462667074788290989410210611411811012212613013413814214615015415816216617017417818218619019419820220621021441014182226303438465054[Durée (100)])</f>
        <v>9</v>
      </c>
      <c r="K20" s="335"/>
      <c r="L20" s="188" t="s">
        <v>31</v>
      </c>
      <c r="M20" s="272" t="n">
        <f aca="false">IF(Horodateur11233538192231343743464952555861646985222634384650585462667074788290989410210611411811012212613013413814214615015415816216617017417818218619019419820220621021441014182226303438465054[[#This Row],[O]]="o",Horodateur11233538192231343743464952555861646985222634384650585462667074788290989410210611411811012212613013413814214615015415816216617017417818218619019419820220621021441014182226303438465054[[#This Row],[Durée (100)]],".")</f>
        <v>1</v>
      </c>
      <c r="N20" s="187"/>
      <c r="O20" s="71"/>
      <c r="P20" s="71"/>
      <c r="Q20" s="71"/>
      <c r="R20" s="71"/>
      <c r="S20" s="71"/>
      <c r="T20" s="71"/>
      <c r="U20" s="71"/>
      <c r="V20" s="71"/>
      <c r="W20" s="71"/>
      <c r="X20" s="71"/>
      <c r="Y20" s="71"/>
      <c r="Z20" s="71"/>
      <c r="AA20" s="71"/>
      <c r="AB20" s="71"/>
      <c r="AC20" s="71"/>
      <c r="AD20" s="71"/>
      <c r="AE20" s="71"/>
      <c r="AF20" s="71"/>
      <c r="AG20" s="71"/>
    </row>
    <row r="21" customFormat="false" ht="15" hidden="true" customHeight="false" outlineLevel="0" collapsed="false">
      <c r="A21" s="256" t="n">
        <f aca="false">IF(Horodateur11233538192231343743464952555861646985222634384650585462667074788290989410210611411811012212613013413814214615015415816216617017417818218619019419820220621021441014182226303438465054[[#This Row],[Jour]]="1- Lundi",$B$1+1, IF(Horodateur11233538192231343743464952555861646985222634384650585462667074788290989410210611411811012212613013413814214615015415816216617017417818218619019419820220621021441014182226303438465054[[#This Row],[Jour]]="2- Mardi",$B$1+2, IF(Horodateur11233538192231343743464952555861646985222634384650585462667074788290989410210611411811012212613013413814214615015415816216617017417818218619019419820220621021441014182226303438465054[[#This Row],[Jour]]="3- Mercredi",$B$1+3, IF(Horodateur11233538192231343743464952555861646985222634384650585462667074788290989410210611411811012212613013413814214615015415816216617017417818218619019419820220621021441014182226303438465054[[#This Row],[Jour]]="4- Jeudi",$B$1+4, IF(Horodateur11233538192231343743464952555861646985222634384650585462667074788290989410210611411811012212613013413814214615015415816216617017417818218619019419820220621021441014182226303438465054[[#This Row],[Jour]]="5- Vendredi",$B$1+5, IF(Horodateur11233538192231343743464952555861646985222634384650585462667074788290989410210611411811012212613013413814214615015415816216617017417818218619019419820220621021441014182226303438465054[[#This Row],[Jour]]="6- Samedi",$B$1+6, IF(Horodateur11233538192231343743464952555861646985222634384650585462667074788290989410210611411811012212613013413814214615015415816216617017417818218619019419820220621021441014182226303438465054[[#This Row],[Jour]]="7- Dimanche",$B$1, )))))))</f>
        <v>44293</v>
      </c>
      <c r="B21" s="257" t="s">
        <v>319</v>
      </c>
      <c r="C21" s="258" t="n">
        <v>0.645833333333333</v>
      </c>
      <c r="D21" s="258" t="n">
        <v>0.65625</v>
      </c>
      <c r="E21" s="71" t="s">
        <v>363</v>
      </c>
      <c r="F21" s="71" t="s">
        <v>23</v>
      </c>
      <c r="G21" s="259"/>
      <c r="H21" s="258" t="n">
        <f aca="false">IF($C21=0,"",$D21-$C21)</f>
        <v>0.0104166666666666</v>
      </c>
      <c r="I21" s="260" t="n">
        <f aca="false">IF($C21=0,"",($H21-INT($H21))*24)</f>
        <v>0.249999999999999</v>
      </c>
      <c r="J21" s="303" t="n">
        <f aca="false">SUMIF(Horodateur11233538192231343743464952555861646985222634384650585462667074788290989410210611411811012212613013413814214615015415816216617017417818218619019419820220621021441014182226303438465054[Jour],$B21,Horodateur11233538192231343743464952555861646985222634384650585462667074788290989410210611411811012212613013413814214615015415816216617017417818218619019419820220621021441014182226303438465054[Durée (100)])</f>
        <v>9</v>
      </c>
      <c r="K21" s="335"/>
      <c r="L21" s="188" t="s">
        <v>33</v>
      </c>
      <c r="M21" s="272" t="str">
        <f aca="false">IF(Horodateur11233538192231343743464952555861646985222634384650585462667074788290989410210611411811012212613013413814214615015415816216617017417818218619019419820220621021441014182226303438465054[[#This Row],[O]]="o",Horodateur11233538192231343743464952555861646985222634384650585462667074788290989410210611411811012212613013413814214615015415816216617017417818218619019419820220621021441014182226303438465054[[#This Row],[Durée (100)]],".")</f>
        <v>.</v>
      </c>
      <c r="N21" s="187"/>
      <c r="O21" s="71"/>
      <c r="P21" s="71"/>
      <c r="Q21" s="71"/>
      <c r="R21" s="71"/>
      <c r="S21" s="71"/>
      <c r="T21" s="71"/>
      <c r="U21" s="71"/>
      <c r="V21" s="71"/>
      <c r="W21" s="71"/>
      <c r="X21" s="71"/>
      <c r="Y21" s="71"/>
      <c r="Z21" s="71"/>
      <c r="AA21" s="71"/>
      <c r="AB21" s="71"/>
      <c r="AC21" s="71"/>
      <c r="AD21" s="71"/>
      <c r="AE21" s="71"/>
      <c r="AF21" s="71"/>
      <c r="AG21" s="71"/>
    </row>
    <row r="22" customFormat="false" ht="15" hidden="true" customHeight="false" outlineLevel="0" collapsed="false">
      <c r="A22" s="256" t="n">
        <f aca="false">IF(Horodateur11233538192231343743464952555861646985222634384650585462667074788290989410210611411811012212613013413814214615015415816216617017417818218619019419820220621021441014182226303438465054[[#This Row],[Jour]]="1- Lundi",$B$1+1, IF(Horodateur11233538192231343743464952555861646985222634384650585462667074788290989410210611411811012212613013413814214615015415816216617017417818218619019419820220621021441014182226303438465054[[#This Row],[Jour]]="2- Mardi",$B$1+2, IF(Horodateur11233538192231343743464952555861646985222634384650585462667074788290989410210611411811012212613013413814214615015415816216617017417818218619019419820220621021441014182226303438465054[[#This Row],[Jour]]="3- Mercredi",$B$1+3, IF(Horodateur11233538192231343743464952555861646985222634384650585462667074788290989410210611411811012212613013413814214615015415816216617017417818218619019419820220621021441014182226303438465054[[#This Row],[Jour]]="4- Jeudi",$B$1+4, IF(Horodateur11233538192231343743464952555861646985222634384650585462667074788290989410210611411811012212613013413814214615015415816216617017417818218619019419820220621021441014182226303438465054[[#This Row],[Jour]]="5- Vendredi",$B$1+5, IF(Horodateur11233538192231343743464952555861646985222634384650585462667074788290989410210611411811012212613013413814214615015415816216617017417818218619019419820220621021441014182226303438465054[[#This Row],[Jour]]="6- Samedi",$B$1+6, IF(Horodateur11233538192231343743464952555861646985222634384650585462667074788290989410210611411811012212613013413814214615015415816216617017417818218619019419820220621021441014182226303438465054[[#This Row],[Jour]]="7- Dimanche",$B$1, )))))))</f>
        <v>44293</v>
      </c>
      <c r="B22" s="257" t="s">
        <v>319</v>
      </c>
      <c r="C22" s="258" t="n">
        <v>0.666666666666667</v>
      </c>
      <c r="D22" s="258" t="n">
        <v>0.75</v>
      </c>
      <c r="E22" s="71" t="s">
        <v>363</v>
      </c>
      <c r="F22" s="71" t="s">
        <v>378</v>
      </c>
      <c r="G22" s="259" t="s">
        <v>449</v>
      </c>
      <c r="H22" s="258" t="n">
        <f aca="false">IF($C22=0,"",$D22-$C22)</f>
        <v>0.0833333333333333</v>
      </c>
      <c r="I22" s="260" t="n">
        <f aca="false">IF($C22=0,"",($H22-INT($H22))*24)</f>
        <v>2</v>
      </c>
      <c r="J22" s="303" t="n">
        <f aca="false">SUMIF(Horodateur11233538192231343743464952555861646985222634384650585462667074788290989410210611411811012212613013413814214615015415816216617017417818218619019419820220621021441014182226303438465054[Jour],$B22,Horodateur11233538192231343743464952555861646985222634384650585462667074788290989410210611411811012212613013413814214615015415816216617017417818218619019419820220621021441014182226303438465054[Durée (100)])</f>
        <v>9</v>
      </c>
      <c r="K22" s="335"/>
      <c r="L22" s="188" t="s">
        <v>31</v>
      </c>
      <c r="M22" s="272" t="n">
        <f aca="false">IF(Horodateur11233538192231343743464952555861646985222634384650585462667074788290989410210611411811012212613013413814214615015415816216617017417818218619019419820220621021441014182226303438465054[[#This Row],[O]]="o",Horodateur11233538192231343743464952555861646985222634384650585462667074788290989410210611411811012212613013413814214615015415816216617017417818218619019419820220621021441014182226303438465054[[#This Row],[Durée (100)]],".")</f>
        <v>2</v>
      </c>
      <c r="N22" s="187"/>
      <c r="O22" s="71"/>
      <c r="P22" s="71"/>
      <c r="Q22" s="71"/>
      <c r="R22" s="71"/>
      <c r="S22" s="71"/>
      <c r="T22" s="71"/>
      <c r="U22" s="71"/>
      <c r="V22" s="71"/>
      <c r="W22" s="71"/>
      <c r="X22" s="71"/>
      <c r="Y22" s="71"/>
      <c r="Z22" s="71"/>
      <c r="AA22" s="71"/>
      <c r="AB22" s="71"/>
      <c r="AC22" s="71"/>
      <c r="AD22" s="71"/>
      <c r="AE22" s="71"/>
      <c r="AF22" s="71"/>
      <c r="AG22" s="71"/>
    </row>
    <row r="23" customFormat="false" ht="15" hidden="true" customHeight="false" outlineLevel="0" collapsed="false">
      <c r="A23" s="256" t="n">
        <f aca="false">IF(Horodateur11233538192231343743464952555861646985222634384650585462667074788290989410210611411811012212613013413814214615015415816216617017417818218619019419820220621021441014182226303438465054[[#This Row],[Jour]]="1- Lundi",$B$1+1, IF(Horodateur11233538192231343743464952555861646985222634384650585462667074788290989410210611411811012212613013413814214615015415816216617017417818218619019419820220621021441014182226303438465054[[#This Row],[Jour]]="2- Mardi",$B$1+2, IF(Horodateur11233538192231343743464952555861646985222634384650585462667074788290989410210611411811012212613013413814214615015415816216617017417818218619019419820220621021441014182226303438465054[[#This Row],[Jour]]="3- Mercredi",$B$1+3, IF(Horodateur11233538192231343743464952555861646985222634384650585462667074788290989410210611411811012212613013413814214615015415816216617017417818218619019419820220621021441014182226303438465054[[#This Row],[Jour]]="4- Jeudi",$B$1+4, IF(Horodateur11233538192231343743464952555861646985222634384650585462667074788290989410210611411811012212613013413814214615015415816216617017417818218619019419820220621021441014182226303438465054[[#This Row],[Jour]]="5- Vendredi",$B$1+5, IF(Horodateur11233538192231343743464952555861646985222634384650585462667074788290989410210611411811012212613013413814214615015415816216617017417818218619019419820220621021441014182226303438465054[[#This Row],[Jour]]="6- Samedi",$B$1+6, IF(Horodateur11233538192231343743464952555861646985222634384650585462667074788290989410210611411811012212613013413814214615015415816216617017417818218619019419820220621021441014182226303438465054[[#This Row],[Jour]]="7- Dimanche",$B$1, )))))))</f>
        <v>44294</v>
      </c>
      <c r="B23" s="257" t="s">
        <v>324</v>
      </c>
      <c r="C23" s="258" t="n">
        <v>0.3125</v>
      </c>
      <c r="D23" s="258" t="n">
        <v>0.354166666666667</v>
      </c>
      <c r="E23" s="71" t="s">
        <v>32</v>
      </c>
      <c r="F23" s="71" t="s">
        <v>23</v>
      </c>
      <c r="G23" s="259" t="s">
        <v>450</v>
      </c>
      <c r="H23" s="258" t="n">
        <f aca="false">IF($C23=0,"",$D23-$C23)</f>
        <v>0.0416666666666667</v>
      </c>
      <c r="I23" s="260" t="n">
        <f aca="false">IF($C23=0,"",($H23-INT($H23))*24)</f>
        <v>1</v>
      </c>
      <c r="J23" s="303" t="n">
        <f aca="false">SUMIF(Horodateur11233538192231343743464952555861646985222634384650585462667074788290989410210611411811012212613013413814214615015415816216617017417818218619019419820220621021441014182226303438465054[Jour],$B23,Horodateur11233538192231343743464952555861646985222634384650585462667074788290989410210611411811012212613013413814214615015415816216617017417818218619019419820220621021441014182226303438465054[Durée (100)])</f>
        <v>9.5</v>
      </c>
      <c r="K23" s="335"/>
      <c r="L23" s="188" t="s">
        <v>33</v>
      </c>
      <c r="M23" s="272" t="str">
        <f aca="false">IF(Horodateur11233538192231343743464952555861646985222634384650585462667074788290989410210611411811012212613013413814214615015415816216617017417818218619019419820220621021441014182226303438465054[[#This Row],[O]]="o",Horodateur11233538192231343743464952555861646985222634384650585462667074788290989410210611411811012212613013413814214615015415816216617017417818218619019419820220621021441014182226303438465054[[#This Row],[Durée (100)]],".")</f>
        <v>.</v>
      </c>
      <c r="N23" s="187"/>
      <c r="O23" s="71"/>
      <c r="P23" s="71"/>
      <c r="Q23" s="71"/>
      <c r="R23" s="71"/>
      <c r="S23" s="71"/>
      <c r="T23" s="71"/>
      <c r="U23" s="71"/>
      <c r="V23" s="71"/>
      <c r="W23" s="71"/>
      <c r="X23" s="71"/>
      <c r="Y23" s="71"/>
      <c r="Z23" s="71"/>
      <c r="AA23" s="71"/>
      <c r="AB23" s="71"/>
      <c r="AC23" s="71"/>
      <c r="AD23" s="71"/>
      <c r="AE23" s="71"/>
      <c r="AF23" s="71"/>
      <c r="AG23" s="71"/>
    </row>
    <row r="24" customFormat="false" ht="15" hidden="true" customHeight="false" outlineLevel="0" collapsed="false">
      <c r="A24" s="256" t="n">
        <f aca="false">IF(Horodateur11233538192231343743464952555861646985222634384650585462667074788290989410210611411811012212613013413814214615015415816216617017417818218619019419820220621021441014182226303438465054[[#This Row],[Jour]]="1- Lundi",$B$1+1, IF(Horodateur11233538192231343743464952555861646985222634384650585462667074788290989410210611411811012212613013413814214615015415816216617017417818218619019419820220621021441014182226303438465054[[#This Row],[Jour]]="2- Mardi",$B$1+2, IF(Horodateur11233538192231343743464952555861646985222634384650585462667074788290989410210611411811012212613013413814214615015415816216617017417818218619019419820220621021441014182226303438465054[[#This Row],[Jour]]="3- Mercredi",$B$1+3, IF(Horodateur11233538192231343743464952555861646985222634384650585462667074788290989410210611411811012212613013413814214615015415816216617017417818218619019419820220621021441014182226303438465054[[#This Row],[Jour]]="4- Jeudi",$B$1+4, IF(Horodateur11233538192231343743464952555861646985222634384650585462667074788290989410210611411811012212613013413814214615015415816216617017417818218619019419820220621021441014182226303438465054[[#This Row],[Jour]]="5- Vendredi",$B$1+5, IF(Horodateur11233538192231343743464952555861646985222634384650585462667074788290989410210611411811012212613013413814214615015415816216617017417818218619019419820220621021441014182226303438465054[[#This Row],[Jour]]="6- Samedi",$B$1+6, IF(Horodateur11233538192231343743464952555861646985222634384650585462667074788290989410210611411811012212613013413814214615015415816216617017417818218619019419820220621021441014182226303438465054[[#This Row],[Jour]]="7- Dimanche",$B$1, )))))))</f>
        <v>44294</v>
      </c>
      <c r="B24" s="257" t="s">
        <v>324</v>
      </c>
      <c r="C24" s="258" t="n">
        <v>0.354166666666667</v>
      </c>
      <c r="D24" s="258" t="n">
        <v>0.375</v>
      </c>
      <c r="E24" s="71" t="s">
        <v>63</v>
      </c>
      <c r="F24" s="71" t="s">
        <v>378</v>
      </c>
      <c r="G24" s="259" t="s">
        <v>451</v>
      </c>
      <c r="H24" s="258" t="n">
        <f aca="false">IF($C24=0,"",$D24-$C24)</f>
        <v>0.0208333333333333</v>
      </c>
      <c r="I24" s="260" t="n">
        <f aca="false">IF($C24=0,"",($H24-INT($H24))*24)</f>
        <v>0.5</v>
      </c>
      <c r="J24" s="303" t="n">
        <f aca="false">SUMIF(Horodateur11233538192231343743464952555861646985222634384650585462667074788290989410210611411811012212613013413814214615015415816216617017417818218619019419820220621021441014182226303438465054[Jour],$B24,Horodateur11233538192231343743464952555861646985222634384650585462667074788290989410210611411811012212613013413814214615015415816216617017417818218619019419820220621021441014182226303438465054[Durée (100)])</f>
        <v>9.5</v>
      </c>
      <c r="K24" s="335"/>
      <c r="L24" s="188" t="s">
        <v>31</v>
      </c>
      <c r="M24" s="272" t="n">
        <f aca="false">IF(Horodateur11233538192231343743464952555861646985222634384650585462667074788290989410210611411811012212613013413814214615015415816216617017417818218619019419820220621021441014182226303438465054[[#This Row],[O]]="o",Horodateur11233538192231343743464952555861646985222634384650585462667074788290989410210611411811012212613013413814214615015415816216617017417818218619019419820220621021441014182226303438465054[[#This Row],[Durée (100)]],".")</f>
        <v>0.5</v>
      </c>
      <c r="N24" s="187"/>
      <c r="O24" s="71"/>
      <c r="P24" s="71"/>
      <c r="Q24" s="71"/>
      <c r="R24" s="71"/>
      <c r="S24" s="71"/>
      <c r="T24" s="71"/>
      <c r="U24" s="71"/>
      <c r="V24" s="71"/>
      <c r="W24" s="71"/>
      <c r="X24" s="71"/>
      <c r="Y24" s="71"/>
      <c r="Z24" s="71"/>
      <c r="AA24" s="71"/>
      <c r="AB24" s="71"/>
      <c r="AC24" s="71"/>
      <c r="AD24" s="71"/>
      <c r="AE24" s="71"/>
      <c r="AF24" s="71"/>
      <c r="AG24" s="71"/>
    </row>
    <row r="25" customFormat="false" ht="15" hidden="true" customHeight="false" outlineLevel="0" collapsed="false">
      <c r="A25" s="256" t="n">
        <f aca="false">IF(Horodateur11233538192231343743464952555861646985222634384650585462667074788290989410210611411811012212613013413814214615015415816216617017417818218619019419820220621021441014182226303438465054[[#This Row],[Jour]]="1- Lundi",$B$1+1, IF(Horodateur11233538192231343743464952555861646985222634384650585462667074788290989410210611411811012212613013413814214615015415816216617017417818218619019419820220621021441014182226303438465054[[#This Row],[Jour]]="2- Mardi",$B$1+2, IF(Horodateur11233538192231343743464952555861646985222634384650585462667074788290989410210611411811012212613013413814214615015415816216617017417818218619019419820220621021441014182226303438465054[[#This Row],[Jour]]="3- Mercredi",$B$1+3, IF(Horodateur11233538192231343743464952555861646985222634384650585462667074788290989410210611411811012212613013413814214615015415816216617017417818218619019419820220621021441014182226303438465054[[#This Row],[Jour]]="4- Jeudi",$B$1+4, IF(Horodateur11233538192231343743464952555861646985222634384650585462667074788290989410210611411811012212613013413814214615015415816216617017417818218619019419820220621021441014182226303438465054[[#This Row],[Jour]]="5- Vendredi",$B$1+5, IF(Horodateur11233538192231343743464952555861646985222634384650585462667074788290989410210611411811012212613013413814214615015415816216617017417818218619019419820220621021441014182226303438465054[[#This Row],[Jour]]="6- Samedi",$B$1+6, IF(Horodateur11233538192231343743464952555861646985222634384650585462667074788290989410210611411811012212613013413814214615015415816216617017417818218619019419820220621021441014182226303438465054[[#This Row],[Jour]]="7- Dimanche",$B$1, )))))))</f>
        <v>44294</v>
      </c>
      <c r="B25" s="257" t="s">
        <v>324</v>
      </c>
      <c r="C25" s="258" t="n">
        <v>0.375</v>
      </c>
      <c r="D25" s="258" t="n">
        <v>0.458333333333333</v>
      </c>
      <c r="E25" s="71" t="s">
        <v>63</v>
      </c>
      <c r="F25" s="71" t="s">
        <v>408</v>
      </c>
      <c r="G25" s="259" t="s">
        <v>374</v>
      </c>
      <c r="H25" s="258" t="n">
        <f aca="false">IF($C25=0,"",$D25-$C25)</f>
        <v>0.0833333333333333</v>
      </c>
      <c r="I25" s="260" t="n">
        <f aca="false">IF($C25=0,"",($H25-INT($H25))*24)</f>
        <v>2</v>
      </c>
      <c r="J25" s="303" t="n">
        <f aca="false">SUMIF(Horodateur11233538192231343743464952555861646985222634384650585462667074788290989410210611411811012212613013413814214615015415816216617017417818218619019419820220621021441014182226303438465054[Jour],$B25,Horodateur11233538192231343743464952555861646985222634384650585462667074788290989410210611411811012212613013413814214615015415816216617017417818218619019419820220621021441014182226303438465054[Durée (100)])</f>
        <v>9.5</v>
      </c>
      <c r="K25" s="335" t="s">
        <v>452</v>
      </c>
      <c r="L25" s="188" t="s">
        <v>31</v>
      </c>
      <c r="M25" s="272" t="n">
        <f aca="false">IF(Horodateur11233538192231343743464952555861646985222634384650585462667074788290989410210611411811012212613013413814214615015415816216617017417818218619019419820220621021441014182226303438465054[[#This Row],[O]]="o",Horodateur11233538192231343743464952555861646985222634384650585462667074788290989410210611411811012212613013413814214615015415816216617017417818218619019419820220621021441014182226303438465054[[#This Row],[Durée (100)]],".")</f>
        <v>2</v>
      </c>
      <c r="N25" s="187"/>
      <c r="O25" s="71"/>
      <c r="P25" s="71"/>
      <c r="Q25" s="71"/>
      <c r="R25" s="71"/>
      <c r="S25" s="71"/>
      <c r="T25" s="71"/>
      <c r="U25" s="71"/>
      <c r="V25" s="71"/>
      <c r="W25" s="71"/>
      <c r="X25" s="71"/>
      <c r="Y25" s="71"/>
      <c r="Z25" s="71"/>
      <c r="AA25" s="71"/>
      <c r="AB25" s="71"/>
      <c r="AC25" s="71"/>
      <c r="AD25" s="71"/>
      <c r="AE25" s="71"/>
      <c r="AF25" s="71"/>
      <c r="AG25" s="71"/>
    </row>
    <row r="26" customFormat="false" ht="15" hidden="true" customHeight="false" outlineLevel="0" collapsed="false">
      <c r="A26" s="256" t="n">
        <f aca="false">IF(Horodateur11233538192231343743464952555861646985222634384650585462667074788290989410210611411811012212613013413814214615015415816216617017417818218619019419820220621021441014182226303438465054[[#This Row],[Jour]]="1- Lundi",$B$1+1, IF(Horodateur11233538192231343743464952555861646985222634384650585462667074788290989410210611411811012212613013413814214615015415816216617017417818218619019419820220621021441014182226303438465054[[#This Row],[Jour]]="2- Mardi",$B$1+2, IF(Horodateur11233538192231343743464952555861646985222634384650585462667074788290989410210611411811012212613013413814214615015415816216617017417818218619019419820220621021441014182226303438465054[[#This Row],[Jour]]="3- Mercredi",$B$1+3, IF(Horodateur11233538192231343743464952555861646985222634384650585462667074788290989410210611411811012212613013413814214615015415816216617017417818218619019419820220621021441014182226303438465054[[#This Row],[Jour]]="4- Jeudi",$B$1+4, IF(Horodateur11233538192231343743464952555861646985222634384650585462667074788290989410210611411811012212613013413814214615015415816216617017417818218619019419820220621021441014182226303438465054[[#This Row],[Jour]]="5- Vendredi",$B$1+5, IF(Horodateur11233538192231343743464952555861646985222634384650585462667074788290989410210611411811012212613013413814214615015415816216617017417818218619019419820220621021441014182226303438465054[[#This Row],[Jour]]="6- Samedi",$B$1+6, IF(Horodateur11233538192231343743464952555861646985222634384650585462667074788290989410210611411811012212613013413814214615015415816216617017417818218619019419820220621021441014182226303438465054[[#This Row],[Jour]]="7- Dimanche",$B$1, )))))))</f>
        <v>44294</v>
      </c>
      <c r="B26" s="257" t="s">
        <v>324</v>
      </c>
      <c r="C26" s="258" t="n">
        <v>0.395833333333333</v>
      </c>
      <c r="D26" s="258" t="n">
        <v>0.4375</v>
      </c>
      <c r="E26" s="71" t="s">
        <v>71</v>
      </c>
      <c r="F26" s="71" t="s">
        <v>399</v>
      </c>
      <c r="G26" s="259" t="s">
        <v>453</v>
      </c>
      <c r="H26" s="258" t="n">
        <f aca="false">IF($C26=0,"",$D26-$C26)</f>
        <v>0.0416666666666667</v>
      </c>
      <c r="I26" s="260" t="n">
        <f aca="false">IF($C26=0,"",($H26-INT($H26))*24)</f>
        <v>1</v>
      </c>
      <c r="J26" s="303" t="n">
        <f aca="false">SUMIF(Horodateur11233538192231343743464952555861646985222634384650585462667074788290989410210611411811012212613013413814214615015415816216617017417818218619019419820220621021441014182226303438465054[Jour],$B26,Horodateur11233538192231343743464952555861646985222634384650585462667074788290989410210611411811012212613013413814214615015415816216617017417818218619019419820220621021441014182226303438465054[Durée (100)])</f>
        <v>9.5</v>
      </c>
      <c r="K26" s="335"/>
      <c r="L26" s="188" t="s">
        <v>31</v>
      </c>
      <c r="M26" s="272" t="n">
        <f aca="false">IF(Horodateur11233538192231343743464952555861646985222634384650585462667074788290989410210611411811012212613013413814214615015415816216617017417818218619019419820220621021441014182226303438465054[[#This Row],[O]]="o",Horodateur11233538192231343743464952555861646985222634384650585462667074788290989410210611411811012212613013413814214615015415816216617017417818218619019419820220621021441014182226303438465054[[#This Row],[Durée (100)]],".")</f>
        <v>1</v>
      </c>
      <c r="N26" s="187"/>
      <c r="O26" s="71"/>
      <c r="P26" s="71"/>
      <c r="Q26" s="71"/>
      <c r="R26" s="71"/>
      <c r="S26" s="71"/>
      <c r="T26" s="71"/>
      <c r="U26" s="71"/>
      <c r="V26" s="71"/>
      <c r="W26" s="71"/>
      <c r="X26" s="71"/>
      <c r="Y26" s="71"/>
      <c r="Z26" s="71"/>
      <c r="AA26" s="71"/>
      <c r="AB26" s="71"/>
      <c r="AC26" s="71"/>
      <c r="AD26" s="71"/>
      <c r="AE26" s="71"/>
      <c r="AF26" s="71"/>
      <c r="AG26" s="71"/>
    </row>
    <row r="27" customFormat="false" ht="15" hidden="true" customHeight="false" outlineLevel="0" collapsed="false">
      <c r="A27" s="256" t="n">
        <f aca="false">IF(Horodateur11233538192231343743464952555861646985222634384650585462667074788290989410210611411811012212613013413814214615015415816216617017417818218619019419820220621021441014182226303438465054[[#This Row],[Jour]]="1- Lundi",$B$1+1, IF(Horodateur11233538192231343743464952555861646985222634384650585462667074788290989410210611411811012212613013413814214615015415816216617017417818218619019419820220621021441014182226303438465054[[#This Row],[Jour]]="2- Mardi",$B$1+2, IF(Horodateur11233538192231343743464952555861646985222634384650585462667074788290989410210611411811012212613013413814214615015415816216617017417818218619019419820220621021441014182226303438465054[[#This Row],[Jour]]="3- Mercredi",$B$1+3, IF(Horodateur11233538192231343743464952555861646985222634384650585462667074788290989410210611411811012212613013413814214615015415816216617017417818218619019419820220621021441014182226303438465054[[#This Row],[Jour]]="4- Jeudi",$B$1+4, IF(Horodateur11233538192231343743464952555861646985222634384650585462667074788290989410210611411811012212613013413814214615015415816216617017417818218619019419820220621021441014182226303438465054[[#This Row],[Jour]]="5- Vendredi",$B$1+5, IF(Horodateur11233538192231343743464952555861646985222634384650585462667074788290989410210611411811012212613013413814214615015415816216617017417818218619019419820220621021441014182226303438465054[[#This Row],[Jour]]="6- Samedi",$B$1+6, IF(Horodateur11233538192231343743464952555861646985222634384650585462667074788290989410210611411811012212613013413814214615015415816216617017417818218619019419820220621021441014182226303438465054[[#This Row],[Jour]]="7- Dimanche",$B$1, )))))))</f>
        <v>44294</v>
      </c>
      <c r="B27" s="257" t="s">
        <v>324</v>
      </c>
      <c r="C27" s="258" t="n">
        <v>0.46875</v>
      </c>
      <c r="D27" s="258" t="n">
        <v>0.489583333333333</v>
      </c>
      <c r="E27" s="71" t="s">
        <v>63</v>
      </c>
      <c r="F27" s="71" t="s">
        <v>378</v>
      </c>
      <c r="G27" s="259" t="s">
        <v>454</v>
      </c>
      <c r="H27" s="258" t="n">
        <f aca="false">IF($C27=0,"",$D27-$C27)</f>
        <v>0.0208333333333333</v>
      </c>
      <c r="I27" s="260" t="n">
        <f aca="false">IF($C27=0,"",($H27-INT($H27))*24)</f>
        <v>0.5</v>
      </c>
      <c r="J27" s="303" t="n">
        <f aca="false">SUMIF(Horodateur11233538192231343743464952555861646985222634384650585462667074788290989410210611411811012212613013413814214615015415816216617017417818218619019419820220621021441014182226303438465054[Jour],$B27,Horodateur11233538192231343743464952555861646985222634384650585462667074788290989410210611411811012212613013413814214615015415816216617017417818218619019419820220621021441014182226303438465054[Durée (100)])</f>
        <v>9.5</v>
      </c>
      <c r="K27" s="335"/>
      <c r="L27" s="188" t="s">
        <v>31</v>
      </c>
      <c r="M27" s="272" t="n">
        <f aca="false">IF(Horodateur11233538192231343743464952555861646985222634384650585462667074788290989410210611411811012212613013413814214615015415816216617017417818218619019419820220621021441014182226303438465054[[#This Row],[O]]="o",Horodateur11233538192231343743464952555861646985222634384650585462667074788290989410210611411811012212613013413814214615015415816216617017417818218619019419820220621021441014182226303438465054[[#This Row],[Durée (100)]],".")</f>
        <v>0.5</v>
      </c>
      <c r="N27" s="187"/>
      <c r="O27" s="71"/>
      <c r="P27" s="71"/>
      <c r="Q27" s="71"/>
      <c r="R27" s="71"/>
      <c r="S27" s="71"/>
      <c r="T27" s="71"/>
      <c r="U27" s="71"/>
      <c r="V27" s="71"/>
      <c r="W27" s="71"/>
      <c r="X27" s="71"/>
      <c r="Y27" s="71"/>
      <c r="Z27" s="71"/>
      <c r="AA27" s="71"/>
      <c r="AB27" s="71"/>
      <c r="AC27" s="71"/>
      <c r="AD27" s="71"/>
      <c r="AE27" s="71"/>
      <c r="AF27" s="71"/>
      <c r="AG27" s="71"/>
    </row>
    <row r="28" customFormat="false" ht="15" hidden="true" customHeight="false" outlineLevel="0" collapsed="false">
      <c r="A28" s="256" t="n">
        <f aca="false">IF(Horodateur11233538192231343743464952555861646985222634384650585462667074788290989410210611411811012212613013413814214615015415816216617017417818218619019419820220621021441014182226303438465054[[#This Row],[Jour]]="1- Lundi",$B$1+1, IF(Horodateur11233538192231343743464952555861646985222634384650585462667074788290989410210611411811012212613013413814214615015415816216617017417818218619019419820220621021441014182226303438465054[[#This Row],[Jour]]="2- Mardi",$B$1+2, IF(Horodateur11233538192231343743464952555861646985222634384650585462667074788290989410210611411811012212613013413814214615015415816216617017417818218619019419820220621021441014182226303438465054[[#This Row],[Jour]]="3- Mercredi",$B$1+3, IF(Horodateur11233538192231343743464952555861646985222634384650585462667074788290989410210611411811012212613013413814214615015415816216617017417818218619019419820220621021441014182226303438465054[[#This Row],[Jour]]="4- Jeudi",$B$1+4, IF(Horodateur11233538192231343743464952555861646985222634384650585462667074788290989410210611411811012212613013413814214615015415816216617017417818218619019419820220621021441014182226303438465054[[#This Row],[Jour]]="5- Vendredi",$B$1+5, IF(Horodateur11233538192231343743464952555861646985222634384650585462667074788290989410210611411811012212613013413814214615015415816216617017417818218619019419820220621021441014182226303438465054[[#This Row],[Jour]]="6- Samedi",$B$1+6, IF(Horodateur11233538192231343743464952555861646985222634384650585462667074788290989410210611411811012212613013413814214615015415816216617017417818218619019419820220621021441014182226303438465054[[#This Row],[Jour]]="7- Dimanche",$B$1, )))))))</f>
        <v>44294</v>
      </c>
      <c r="B28" s="257" t="s">
        <v>324</v>
      </c>
      <c r="C28" s="258" t="n">
        <v>0.489583333333333</v>
      </c>
      <c r="D28" s="258" t="n">
        <v>0.510416666666667</v>
      </c>
      <c r="E28" s="71" t="s">
        <v>71</v>
      </c>
      <c r="F28" s="71" t="s">
        <v>399</v>
      </c>
      <c r="G28" s="259" t="s">
        <v>455</v>
      </c>
      <c r="H28" s="258" t="n">
        <f aca="false">IF($C28=0,"",$D28-$C28)</f>
        <v>0.0208333333333333</v>
      </c>
      <c r="I28" s="260" t="n">
        <f aca="false">IF($C28=0,"",($H28-INT($H28))*24)</f>
        <v>0.5</v>
      </c>
      <c r="J28" s="303" t="n">
        <f aca="false">SUMIF(Horodateur11233538192231343743464952555861646985222634384650585462667074788290989410210611411811012212613013413814214615015415816216617017417818218619019419820220621021441014182226303438465054[Jour],$B28,Horodateur11233538192231343743464952555861646985222634384650585462667074788290989410210611411811012212613013413814214615015415816216617017417818218619019419820220621021441014182226303438465054[Durée (100)])</f>
        <v>9.5</v>
      </c>
      <c r="K28" s="335"/>
      <c r="L28" s="188" t="s">
        <v>31</v>
      </c>
      <c r="M28" s="272" t="n">
        <f aca="false">IF(Horodateur11233538192231343743464952555861646985222634384650585462667074788290989410210611411811012212613013413814214615015415816216617017417818218619019419820220621021441014182226303438465054[[#This Row],[O]]="o",Horodateur11233538192231343743464952555861646985222634384650585462667074788290989410210611411811012212613013413814214615015415816216617017417818218619019419820220621021441014182226303438465054[[#This Row],[Durée (100)]],".")</f>
        <v>0.5</v>
      </c>
      <c r="N28" s="187"/>
      <c r="O28" s="71"/>
      <c r="P28" s="71"/>
      <c r="Q28" s="71"/>
      <c r="R28" s="71"/>
      <c r="S28" s="71"/>
      <c r="T28" s="71"/>
      <c r="U28" s="71"/>
      <c r="V28" s="71"/>
      <c r="W28" s="71"/>
      <c r="X28" s="71"/>
      <c r="Y28" s="71"/>
      <c r="Z28" s="71"/>
      <c r="AA28" s="71"/>
      <c r="AB28" s="71"/>
      <c r="AC28" s="71"/>
      <c r="AD28" s="71"/>
      <c r="AE28" s="71"/>
      <c r="AF28" s="71"/>
      <c r="AG28" s="71"/>
    </row>
    <row r="29" customFormat="false" ht="15" hidden="true" customHeight="false" outlineLevel="0" collapsed="false">
      <c r="A29" s="256" t="n">
        <f aca="false">IF(Horodateur11233538192231343743464952555861646985222634384650585462667074788290989410210611411811012212613013413814214615015415816216617017417818218619019419820220621021441014182226303438465054[[#This Row],[Jour]]="1- Lundi",$B$1+1, IF(Horodateur11233538192231343743464952555861646985222634384650585462667074788290989410210611411811012212613013413814214615015415816216617017417818218619019419820220621021441014182226303438465054[[#This Row],[Jour]]="2- Mardi",$B$1+2, IF(Horodateur11233538192231343743464952555861646985222634384650585462667074788290989410210611411811012212613013413814214615015415816216617017417818218619019419820220621021441014182226303438465054[[#This Row],[Jour]]="3- Mercredi",$B$1+3, IF(Horodateur11233538192231343743464952555861646985222634384650585462667074788290989410210611411811012212613013413814214615015415816216617017417818218619019419820220621021441014182226303438465054[[#This Row],[Jour]]="4- Jeudi",$B$1+4, IF(Horodateur11233538192231343743464952555861646985222634384650585462667074788290989410210611411811012212613013413814214615015415816216617017417818218619019419820220621021441014182226303438465054[[#This Row],[Jour]]="5- Vendredi",$B$1+5, IF(Horodateur11233538192231343743464952555861646985222634384650585462667074788290989410210611411811012212613013413814214615015415816216617017417818218619019419820220621021441014182226303438465054[[#This Row],[Jour]]="6- Samedi",$B$1+6, IF(Horodateur11233538192231343743464952555861646985222634384650585462667074788290989410210611411811012212613013413814214615015415816216617017417818218619019419820220621021441014182226303438465054[[#This Row],[Jour]]="7- Dimanche",$B$1, )))))))</f>
        <v>44294</v>
      </c>
      <c r="B29" s="257" t="s">
        <v>324</v>
      </c>
      <c r="C29" s="258" t="n">
        <v>0.5625</v>
      </c>
      <c r="D29" s="258" t="n">
        <v>0.572916666666667</v>
      </c>
      <c r="E29" s="71" t="s">
        <v>37</v>
      </c>
      <c r="F29" s="71" t="s">
        <v>378</v>
      </c>
      <c r="G29" s="259" t="s">
        <v>456</v>
      </c>
      <c r="H29" s="258" t="n">
        <f aca="false">IF($C29=0,"",$D29-$C29)</f>
        <v>0.0104166666666666</v>
      </c>
      <c r="I29" s="260" t="n">
        <f aca="false">IF($C29=0,"",($H29-INT($H29))*24)</f>
        <v>0.249999999999999</v>
      </c>
      <c r="J29" s="303" t="n">
        <f aca="false">SUMIF(Horodateur11233538192231343743464952555861646985222634384650585462667074788290989410210611411811012212613013413814214615015415816216617017417818218619019419820220621021441014182226303438465054[Jour],$B29,Horodateur11233538192231343743464952555861646985222634384650585462667074788290989410210611411811012212613013413814214615015415816216617017417818218619019419820220621021441014182226303438465054[Durée (100)])</f>
        <v>9.5</v>
      </c>
      <c r="K29" s="335"/>
      <c r="L29" s="188" t="s">
        <v>31</v>
      </c>
      <c r="M29" s="272" t="n">
        <f aca="false">IF(Horodateur11233538192231343743464952555861646985222634384650585462667074788290989410210611411811012212613013413814214615015415816216617017417818218619019419820220621021441014182226303438465054[[#This Row],[O]]="o",Horodateur11233538192231343743464952555861646985222634384650585462667074788290989410210611411811012212613013413814214615015415816216617017417818218619019419820220621021441014182226303438465054[[#This Row],[Durée (100)]],".")</f>
        <v>0.249999999999999</v>
      </c>
      <c r="N29" s="187"/>
      <c r="O29" s="71"/>
      <c r="P29" s="71"/>
      <c r="Q29" s="71"/>
      <c r="R29" s="71"/>
      <c r="S29" s="71"/>
      <c r="T29" s="71"/>
      <c r="U29" s="71"/>
      <c r="V29" s="71"/>
      <c r="W29" s="71"/>
      <c r="X29" s="71"/>
      <c r="Y29" s="71"/>
      <c r="Z29" s="71"/>
      <c r="AA29" s="71"/>
      <c r="AB29" s="71"/>
      <c r="AC29" s="71"/>
      <c r="AD29" s="71"/>
      <c r="AE29" s="71"/>
      <c r="AF29" s="71"/>
      <c r="AG29" s="71"/>
    </row>
    <row r="30" customFormat="false" ht="15" hidden="true" customHeight="false" outlineLevel="0" collapsed="false">
      <c r="A30" s="256" t="n">
        <f aca="false">IF(Horodateur11233538192231343743464952555861646985222634384650585462667074788290989410210611411811012212613013413814214615015415816216617017417818218619019419820220621021441014182226303438465054[[#This Row],[Jour]]="1- Lundi",$B$1+1, IF(Horodateur11233538192231343743464952555861646985222634384650585462667074788290989410210611411811012212613013413814214615015415816216617017417818218619019419820220621021441014182226303438465054[[#This Row],[Jour]]="2- Mardi",$B$1+2, IF(Horodateur11233538192231343743464952555861646985222634384650585462667074788290989410210611411811012212613013413814214615015415816216617017417818218619019419820220621021441014182226303438465054[[#This Row],[Jour]]="3- Mercredi",$B$1+3, IF(Horodateur11233538192231343743464952555861646985222634384650585462667074788290989410210611411811012212613013413814214615015415816216617017417818218619019419820220621021441014182226303438465054[[#This Row],[Jour]]="4- Jeudi",$B$1+4, IF(Horodateur11233538192231343743464952555861646985222634384650585462667074788290989410210611411811012212613013413814214615015415816216617017417818218619019419820220621021441014182226303438465054[[#This Row],[Jour]]="5- Vendredi",$B$1+5, IF(Horodateur11233538192231343743464952555861646985222634384650585462667074788290989410210611411811012212613013413814214615015415816216617017417818218619019419820220621021441014182226303438465054[[#This Row],[Jour]]="6- Samedi",$B$1+6, IF(Horodateur11233538192231343743464952555861646985222634384650585462667074788290989410210611411811012212613013413814214615015415816216617017417818218619019419820220621021441014182226303438465054[[#This Row],[Jour]]="7- Dimanche",$B$1, )))))))</f>
        <v>44294</v>
      </c>
      <c r="B30" s="257" t="s">
        <v>324</v>
      </c>
      <c r="C30" s="258" t="n">
        <v>0.59375</v>
      </c>
      <c r="D30" s="258" t="n">
        <v>0.625</v>
      </c>
      <c r="E30" s="71" t="s">
        <v>63</v>
      </c>
      <c r="F30" s="71" t="s">
        <v>378</v>
      </c>
      <c r="G30" s="259" t="s">
        <v>451</v>
      </c>
      <c r="H30" s="258" t="n">
        <f aca="false">IF($C30=0,"",$D30-$C30)</f>
        <v>0.03125</v>
      </c>
      <c r="I30" s="260" t="n">
        <f aca="false">IF($C30=0,"",($H30-INT($H30))*24)</f>
        <v>0.75</v>
      </c>
      <c r="J30" s="303" t="n">
        <f aca="false">SUMIF(Horodateur11233538192231343743464952555861646985222634384650585462667074788290989410210611411811012212613013413814214615015415816216617017417818218619019419820220621021441014182226303438465054[Jour],$B30,Horodateur11233538192231343743464952555861646985222634384650585462667074788290989410210611411811012212613013413814214615015415816216617017417818218619019419820220621021441014182226303438465054[Durée (100)])</f>
        <v>9.5</v>
      </c>
      <c r="K30" s="335"/>
      <c r="L30" s="188" t="s">
        <v>31</v>
      </c>
      <c r="M30" s="272" t="n">
        <f aca="false">IF(Horodateur11233538192231343743464952555861646985222634384650585462667074788290989410210611411811012212613013413814214615015415816216617017417818218619019419820220621021441014182226303438465054[[#This Row],[O]]="o",Horodateur11233538192231343743464952555861646985222634384650585462667074788290989410210611411811012212613013413814214615015415816216617017417818218619019419820220621021441014182226303438465054[[#This Row],[Durée (100)]],".")</f>
        <v>0.75</v>
      </c>
      <c r="N30" s="187"/>
      <c r="O30" s="71"/>
      <c r="P30" s="71"/>
      <c r="Q30" s="71"/>
      <c r="R30" s="71"/>
      <c r="S30" s="71"/>
      <c r="T30" s="71"/>
      <c r="U30" s="71"/>
      <c r="V30" s="71"/>
      <c r="W30" s="71"/>
      <c r="X30" s="71"/>
      <c r="Y30" s="71"/>
      <c r="Z30" s="71"/>
      <c r="AA30" s="71"/>
      <c r="AB30" s="71"/>
      <c r="AC30" s="71"/>
      <c r="AD30" s="71"/>
      <c r="AE30" s="71"/>
      <c r="AF30" s="71"/>
      <c r="AG30" s="71"/>
    </row>
    <row r="31" customFormat="false" ht="15" hidden="true" customHeight="false" outlineLevel="0" collapsed="false">
      <c r="A31" s="256" t="n">
        <f aca="false">IF(Horodateur11233538192231343743464952555861646985222634384650585462667074788290989410210611411811012212613013413814214615015415816216617017417818218619019419820220621021441014182226303438465054[[#This Row],[Jour]]="1- Lundi",$B$1+1, IF(Horodateur11233538192231343743464952555861646985222634384650585462667074788290989410210611411811012212613013413814214615015415816216617017417818218619019419820220621021441014182226303438465054[[#This Row],[Jour]]="2- Mardi",$B$1+2, IF(Horodateur11233538192231343743464952555861646985222634384650585462667074788290989410210611411811012212613013413814214615015415816216617017417818218619019419820220621021441014182226303438465054[[#This Row],[Jour]]="3- Mercredi",$B$1+3, IF(Horodateur11233538192231343743464952555861646985222634384650585462667074788290989410210611411811012212613013413814214615015415816216617017417818218619019419820220621021441014182226303438465054[[#This Row],[Jour]]="4- Jeudi",$B$1+4, IF(Horodateur11233538192231343743464952555861646985222634384650585462667074788290989410210611411811012212613013413814214615015415816216617017417818218619019419820220621021441014182226303438465054[[#This Row],[Jour]]="5- Vendredi",$B$1+5, IF(Horodateur11233538192231343743464952555861646985222634384650585462667074788290989410210611411811012212613013413814214615015415816216617017417818218619019419820220621021441014182226303438465054[[#This Row],[Jour]]="6- Samedi",$B$1+6, IF(Horodateur11233538192231343743464952555861646985222634384650585462667074788290989410210611411811012212613013413814214615015415816216617017417818218619019419820220621021441014182226303438465054[[#This Row],[Jour]]="7- Dimanche",$B$1, )))))))</f>
        <v>44294</v>
      </c>
      <c r="B31" s="257" t="s">
        <v>324</v>
      </c>
      <c r="C31" s="258" t="n">
        <v>0.625</v>
      </c>
      <c r="D31" s="258" t="n">
        <v>0.645833333333333</v>
      </c>
      <c r="E31" s="71" t="s">
        <v>61</v>
      </c>
      <c r="F31" s="71" t="s">
        <v>380</v>
      </c>
      <c r="G31" s="259" t="s">
        <v>457</v>
      </c>
      <c r="H31" s="258" t="n">
        <f aca="false">IF($C31=0,"",$D31-$C31)</f>
        <v>0.0208333333333334</v>
      </c>
      <c r="I31" s="260" t="n">
        <f aca="false">IF($C31=0,"",($H31-INT($H31))*24)</f>
        <v>0.500000000000001</v>
      </c>
      <c r="J31" s="303" t="n">
        <f aca="false">SUMIF(Horodateur11233538192231343743464952555861646985222634384650585462667074788290989410210611411811012212613013413814214615015415816216617017417818218619019419820220621021441014182226303438465054[Jour],$B31,Horodateur11233538192231343743464952555861646985222634384650585462667074788290989410210611411811012212613013413814214615015415816216617017417818218619019419820220621021441014182226303438465054[Durée (100)])</f>
        <v>9.5</v>
      </c>
      <c r="K31" s="335"/>
      <c r="L31" s="188" t="s">
        <v>31</v>
      </c>
      <c r="M31" s="272" t="n">
        <f aca="false">IF(Horodateur11233538192231343743464952555861646985222634384650585462667074788290989410210611411811012212613013413814214615015415816216617017417818218619019419820220621021441014182226303438465054[[#This Row],[O]]="o",Horodateur11233538192231343743464952555861646985222634384650585462667074788290989410210611411811012212613013413814214615015415816216617017417818218619019419820220621021441014182226303438465054[[#This Row],[Durée (100)]],".")</f>
        <v>0.500000000000001</v>
      </c>
      <c r="N31" s="187"/>
      <c r="O31" s="71"/>
      <c r="P31" s="71"/>
      <c r="Q31" s="71"/>
      <c r="R31" s="71"/>
      <c r="S31" s="71"/>
      <c r="T31" s="71"/>
      <c r="U31" s="71"/>
      <c r="V31" s="71"/>
      <c r="W31" s="71"/>
      <c r="X31" s="71"/>
      <c r="Y31" s="71"/>
      <c r="Z31" s="71"/>
      <c r="AA31" s="71"/>
      <c r="AB31" s="71"/>
      <c r="AC31" s="71"/>
      <c r="AD31" s="71"/>
      <c r="AE31" s="71"/>
      <c r="AF31" s="71"/>
      <c r="AG31" s="71"/>
    </row>
    <row r="32" customFormat="false" ht="15" hidden="true" customHeight="false" outlineLevel="0" collapsed="false">
      <c r="A32" s="256" t="n">
        <f aca="false">IF(Horodateur11233538192231343743464952555861646985222634384650585462667074788290989410210611411811012212613013413814214615015415816216617017417818218619019419820220621021441014182226303438465054[[#This Row],[Jour]]="1- Lundi",$B$1+1, IF(Horodateur11233538192231343743464952555861646985222634384650585462667074788290989410210611411811012212613013413814214615015415816216617017417818218619019419820220621021441014182226303438465054[[#This Row],[Jour]]="2- Mardi",$B$1+2, IF(Horodateur11233538192231343743464952555861646985222634384650585462667074788290989410210611411811012212613013413814214615015415816216617017417818218619019419820220621021441014182226303438465054[[#This Row],[Jour]]="3- Mercredi",$B$1+3, IF(Horodateur11233538192231343743464952555861646985222634384650585462667074788290989410210611411811012212613013413814214615015415816216617017417818218619019419820220621021441014182226303438465054[[#This Row],[Jour]]="4- Jeudi",$B$1+4, IF(Horodateur11233538192231343743464952555861646985222634384650585462667074788290989410210611411811012212613013413814214615015415816216617017417818218619019419820220621021441014182226303438465054[[#This Row],[Jour]]="5- Vendredi",$B$1+5, IF(Horodateur11233538192231343743464952555861646985222634384650585462667074788290989410210611411811012212613013413814214615015415816216617017417818218619019419820220621021441014182226303438465054[[#This Row],[Jour]]="6- Samedi",$B$1+6, IF(Horodateur11233538192231343743464952555861646985222634384650585462667074788290989410210611411811012212613013413814214615015415816216617017417818218619019419820220621021441014182226303438465054[[#This Row],[Jour]]="7- Dimanche",$B$1, )))))))</f>
        <v>44294</v>
      </c>
      <c r="B32" s="257" t="s">
        <v>324</v>
      </c>
      <c r="C32" s="258" t="n">
        <v>0.645833333333333</v>
      </c>
      <c r="D32" s="258" t="n">
        <v>0.729166666666667</v>
      </c>
      <c r="E32" s="71" t="s">
        <v>63</v>
      </c>
      <c r="F32" s="71" t="s">
        <v>378</v>
      </c>
      <c r="G32" s="259" t="s">
        <v>451</v>
      </c>
      <c r="H32" s="258" t="n">
        <f aca="false">IF($C32=0,"",$D32-$C32)</f>
        <v>0.0833333333333333</v>
      </c>
      <c r="I32" s="260" t="n">
        <f aca="false">IF($C32=0,"",($H32-INT($H32))*24)</f>
        <v>2</v>
      </c>
      <c r="J32" s="303" t="n">
        <f aca="false">SUMIF(Horodateur11233538192231343743464952555861646985222634384650585462667074788290989410210611411811012212613013413814214615015415816216617017417818218619019419820220621021441014182226303438465054[Jour],$B32,Horodateur11233538192231343743464952555861646985222634384650585462667074788290989410210611411811012212613013413814214615015415816216617017417818218619019419820220621021441014182226303438465054[Durée (100)])</f>
        <v>9.5</v>
      </c>
      <c r="K32" s="335"/>
      <c r="L32" s="188" t="s">
        <v>31</v>
      </c>
      <c r="M32" s="272" t="n">
        <f aca="false">IF(Horodateur11233538192231343743464952555861646985222634384650585462667074788290989410210611411811012212613013413814214615015415816216617017417818218619019419820220621021441014182226303438465054[[#This Row],[O]]="o",Horodateur11233538192231343743464952555861646985222634384650585462667074788290989410210611411811012212613013413814214615015415816216617017417818218619019419820220621021441014182226303438465054[[#This Row],[Durée (100)]],".")</f>
        <v>2</v>
      </c>
      <c r="N32" s="187"/>
      <c r="O32" s="71"/>
      <c r="P32" s="71"/>
      <c r="Q32" s="71"/>
      <c r="R32" s="71"/>
      <c r="S32" s="71"/>
      <c r="T32" s="71"/>
      <c r="U32" s="71"/>
      <c r="V32" s="71"/>
      <c r="W32" s="71"/>
      <c r="X32" s="71"/>
      <c r="Y32" s="71"/>
      <c r="Z32" s="71"/>
      <c r="AA32" s="71"/>
      <c r="AB32" s="71"/>
      <c r="AC32" s="71"/>
      <c r="AD32" s="71"/>
      <c r="AE32" s="71"/>
      <c r="AF32" s="71"/>
      <c r="AG32" s="71"/>
    </row>
    <row r="33" customFormat="false" ht="15" hidden="true" customHeight="false" outlineLevel="0" collapsed="false">
      <c r="A33" s="256" t="n">
        <f aca="false">IF(Horodateur11233538192231343743464952555861646985222634384650585462667074788290989410210611411811012212613013413814214615015415816216617017417818218619019419820220621021441014182226303438465054[[#This Row],[Jour]]="1- Lundi",$B$1+1, IF(Horodateur11233538192231343743464952555861646985222634384650585462667074788290989410210611411811012212613013413814214615015415816216617017417818218619019419820220621021441014182226303438465054[[#This Row],[Jour]]="2- Mardi",$B$1+2, IF(Horodateur11233538192231343743464952555861646985222634384650585462667074788290989410210611411811012212613013413814214615015415816216617017417818218619019419820220621021441014182226303438465054[[#This Row],[Jour]]="3- Mercredi",$B$1+3, IF(Horodateur11233538192231343743464952555861646985222634384650585462667074788290989410210611411811012212613013413814214615015415816216617017417818218619019419820220621021441014182226303438465054[[#This Row],[Jour]]="4- Jeudi",$B$1+4, IF(Horodateur11233538192231343743464952555861646985222634384650585462667074788290989410210611411811012212613013413814214615015415816216617017417818218619019419820220621021441014182226303438465054[[#This Row],[Jour]]="5- Vendredi",$B$1+5, IF(Horodateur11233538192231343743464952555861646985222634384650585462667074788290989410210611411811012212613013413814214615015415816216617017417818218619019419820220621021441014182226303438465054[[#This Row],[Jour]]="6- Samedi",$B$1+6, IF(Horodateur11233538192231343743464952555861646985222634384650585462667074788290989410210611411811012212613013413814214615015415816216617017417818218619019419820220621021441014182226303438465054[[#This Row],[Jour]]="7- Dimanche",$B$1, )))))))</f>
        <v>44294</v>
      </c>
      <c r="B33" s="257" t="s">
        <v>324</v>
      </c>
      <c r="C33" s="258" t="n">
        <v>0.729166666666667</v>
      </c>
      <c r="D33" s="258" t="n">
        <v>0.75</v>
      </c>
      <c r="E33" s="71" t="s">
        <v>363</v>
      </c>
      <c r="F33" s="71" t="s">
        <v>378</v>
      </c>
      <c r="G33" s="259" t="s">
        <v>458</v>
      </c>
      <c r="H33" s="258" t="n">
        <f aca="false">IF($C33=0,"",$D33-$C33)</f>
        <v>0.0208333333333333</v>
      </c>
      <c r="I33" s="260" t="n">
        <f aca="false">IF($C33=0,"",($H33-INT($H33))*24)</f>
        <v>0.5</v>
      </c>
      <c r="J33" s="303" t="n">
        <f aca="false">SUMIF(Horodateur11233538192231343743464952555861646985222634384650585462667074788290989410210611411811012212613013413814214615015415816216617017417818218619019419820220621021441014182226303438465054[Jour],$B33,Horodateur11233538192231343743464952555861646985222634384650585462667074788290989410210611411811012212613013413814214615015415816216617017417818218619019419820220621021441014182226303438465054[Durée (100)])</f>
        <v>9.5</v>
      </c>
      <c r="K33" s="335"/>
      <c r="L33" s="188" t="s">
        <v>31</v>
      </c>
      <c r="M33" s="272" t="n">
        <f aca="false">IF(Horodateur11233538192231343743464952555861646985222634384650585462667074788290989410210611411811012212613013413814214615015415816216617017417818218619019419820220621021441014182226303438465054[[#This Row],[O]]="o",Horodateur11233538192231343743464952555861646985222634384650585462667074788290989410210611411811012212613013413814214615015415816216617017417818218619019419820220621021441014182226303438465054[[#This Row],[Durée (100)]],".")</f>
        <v>0.500000000000001</v>
      </c>
      <c r="N33" s="187"/>
      <c r="O33" s="71"/>
      <c r="P33" s="71"/>
      <c r="Q33" s="71"/>
      <c r="R33" s="71"/>
      <c r="S33" s="71"/>
      <c r="T33" s="71"/>
      <c r="U33" s="71"/>
      <c r="V33" s="71"/>
      <c r="W33" s="71"/>
      <c r="X33" s="71"/>
      <c r="Y33" s="71"/>
      <c r="Z33" s="71"/>
      <c r="AA33" s="71"/>
      <c r="AB33" s="71"/>
      <c r="AC33" s="71"/>
      <c r="AD33" s="71"/>
      <c r="AE33" s="71"/>
      <c r="AF33" s="71"/>
      <c r="AG33" s="71"/>
    </row>
    <row r="34" customFormat="false" ht="15" hidden="true" customHeight="false" outlineLevel="0" collapsed="false">
      <c r="A34" s="256" t="n">
        <f aca="false">IF(Horodateur11233538192231343743464952555861646985222634384650585462667074788290989410210611411811012212613013413814214615015415816216617017417818218619019419820220621021441014182226303438465054[[#This Row],[Jour]]="1- Lundi",$B$1+1, IF(Horodateur11233538192231343743464952555861646985222634384650585462667074788290989410210611411811012212613013413814214615015415816216617017417818218619019419820220621021441014182226303438465054[[#This Row],[Jour]]="2- Mardi",$B$1+2, IF(Horodateur11233538192231343743464952555861646985222634384650585462667074788290989410210611411811012212613013413814214615015415816216617017417818218619019419820220621021441014182226303438465054[[#This Row],[Jour]]="3- Mercredi",$B$1+3, IF(Horodateur11233538192231343743464952555861646985222634384650585462667074788290989410210611411811012212613013413814214615015415816216617017417818218619019419820220621021441014182226303438465054[[#This Row],[Jour]]="4- Jeudi",$B$1+4, IF(Horodateur11233538192231343743464952555861646985222634384650585462667074788290989410210611411811012212613013413814214615015415816216617017417818218619019419820220621021441014182226303438465054[[#This Row],[Jour]]="5- Vendredi",$B$1+5, IF(Horodateur11233538192231343743464952555861646985222634384650585462667074788290989410210611411811012212613013413814214615015415816216617017417818218619019419820220621021441014182226303438465054[[#This Row],[Jour]]="6- Samedi",$B$1+6, IF(Horodateur11233538192231343743464952555861646985222634384650585462667074788290989410210611411811012212613013413814214615015415816216617017417818218619019419820220621021441014182226303438465054[[#This Row],[Jour]]="7- Dimanche",$B$1, )))))))</f>
        <v>44295</v>
      </c>
      <c r="B34" s="257" t="s">
        <v>332</v>
      </c>
      <c r="C34" s="258" t="n">
        <v>0.333333333333333</v>
      </c>
      <c r="D34" s="258" t="n">
        <v>0.385416666666667</v>
      </c>
      <c r="E34" s="71" t="s">
        <v>63</v>
      </c>
      <c r="F34" s="71" t="s">
        <v>378</v>
      </c>
      <c r="G34" s="259" t="s">
        <v>451</v>
      </c>
      <c r="H34" s="258" t="n">
        <f aca="false">IF($C34=0,"",$D34-$C34)</f>
        <v>0.0520833333333333</v>
      </c>
      <c r="I34" s="260" t="n">
        <f aca="false">IF($C34=0,"",($H34-INT($H34))*24)</f>
        <v>1.25</v>
      </c>
      <c r="J34" s="303" t="n">
        <f aca="false">SUMIF(Horodateur11233538192231343743464952555861646985222634384650585462667074788290989410210611411811012212613013413814214615015415816216617017417818218619019419820220621021441014182226303438465054[Jour],$B34,Horodateur11233538192231343743464952555861646985222634384650585462667074788290989410210611411811012212613013413814214615015415816216617017417818218619019419820220621021441014182226303438465054[Durée (100)])</f>
        <v>10.25</v>
      </c>
      <c r="K34" s="335"/>
      <c r="L34" s="188" t="s">
        <v>31</v>
      </c>
      <c r="M34" s="272" t="n">
        <f aca="false">IF(Horodateur11233538192231343743464952555861646985222634384650585462667074788290989410210611411811012212613013413814214615015415816216617017417818218619019419820220621021441014182226303438465054[[#This Row],[O]]="o",Horodateur11233538192231343743464952555861646985222634384650585462667074788290989410210611411811012212613013413814214615015415816216617017417818218619019419820220621021441014182226303438465054[[#This Row],[Durée (100)]],".")</f>
        <v>1.25</v>
      </c>
      <c r="N34" s="187"/>
      <c r="O34" s="71"/>
      <c r="P34" s="71"/>
      <c r="Q34" s="71"/>
      <c r="R34" s="71"/>
      <c r="S34" s="71"/>
      <c r="T34" s="71"/>
      <c r="U34" s="71"/>
      <c r="V34" s="71"/>
      <c r="W34" s="71"/>
      <c r="X34" s="71"/>
      <c r="Y34" s="71"/>
      <c r="Z34" s="71"/>
      <c r="AA34" s="71"/>
      <c r="AB34" s="71"/>
      <c r="AC34" s="71"/>
      <c r="AD34" s="71"/>
      <c r="AE34" s="71"/>
      <c r="AF34" s="71"/>
      <c r="AG34" s="71"/>
    </row>
    <row r="35" customFormat="false" ht="15" hidden="true" customHeight="false" outlineLevel="0" collapsed="false">
      <c r="A35" s="256" t="n">
        <f aca="false">IF(Horodateur11233538192231343743464952555861646985222634384650585462667074788290989410210611411811012212613013413814214615015415816216617017417818218619019419820220621021441014182226303438465054[[#This Row],[Jour]]="1- Lundi",$B$1+1, IF(Horodateur11233538192231343743464952555861646985222634384650585462667074788290989410210611411811012212613013413814214615015415816216617017417818218619019419820220621021441014182226303438465054[[#This Row],[Jour]]="2- Mardi",$B$1+2, IF(Horodateur11233538192231343743464952555861646985222634384650585462667074788290989410210611411811012212613013413814214615015415816216617017417818218619019419820220621021441014182226303438465054[[#This Row],[Jour]]="3- Mercredi",$B$1+3, IF(Horodateur11233538192231343743464952555861646985222634384650585462667074788290989410210611411811012212613013413814214615015415816216617017417818218619019419820220621021441014182226303438465054[[#This Row],[Jour]]="4- Jeudi",$B$1+4, IF(Horodateur11233538192231343743464952555861646985222634384650585462667074788290989410210611411811012212613013413814214615015415816216617017417818218619019419820220621021441014182226303438465054[[#This Row],[Jour]]="5- Vendredi",$B$1+5, IF(Horodateur11233538192231343743464952555861646985222634384650585462667074788290989410210611411811012212613013413814214615015415816216617017417818218619019419820220621021441014182226303438465054[[#This Row],[Jour]]="6- Samedi",$B$1+6, IF(Horodateur11233538192231343743464952555861646985222634384650585462667074788290989410210611411811012212613013413814214615015415816216617017417818218619019419820220621021441014182226303438465054[[#This Row],[Jour]]="7- Dimanche",$B$1, )))))))</f>
        <v>44295</v>
      </c>
      <c r="B35" s="257" t="s">
        <v>332</v>
      </c>
      <c r="C35" s="258" t="n">
        <v>0.395833333333333</v>
      </c>
      <c r="D35" s="258" t="n">
        <v>0.416666666666667</v>
      </c>
      <c r="E35" s="71" t="s">
        <v>32</v>
      </c>
      <c r="F35" s="71" t="s">
        <v>21</v>
      </c>
      <c r="G35" s="259"/>
      <c r="H35" s="258" t="n">
        <f aca="false">IF($C35=0,"",$D35-$C35)</f>
        <v>0.0208333333333333</v>
      </c>
      <c r="I35" s="260" t="n">
        <f aca="false">IF($C35=0,"",($H35-INT($H35))*24)</f>
        <v>0.5</v>
      </c>
      <c r="J35" s="303" t="n">
        <f aca="false">SUMIF(Horodateur11233538192231343743464952555861646985222634384650585462667074788290989410210611411811012212613013413814214615015415816216617017417818218619019419820220621021441014182226303438465054[Jour],$B35,Horodateur11233538192231343743464952555861646985222634384650585462667074788290989410210611411811012212613013413814214615015415816216617017417818218619019419820220621021441014182226303438465054[Durée (100)])</f>
        <v>10.25</v>
      </c>
      <c r="K35" s="335"/>
      <c r="L35" s="188" t="s">
        <v>33</v>
      </c>
      <c r="M35" s="272" t="str">
        <f aca="false">IF(Horodateur11233538192231343743464952555861646985222634384650585462667074788290989410210611411811012212613013413814214615015415816216617017417818218619019419820220621021441014182226303438465054[[#This Row],[O]]="o",Horodateur11233538192231343743464952555861646985222634384650585462667074788290989410210611411811012212613013413814214615015415816216617017417818218619019419820220621021441014182226303438465054[[#This Row],[Durée (100)]],".")</f>
        <v>.</v>
      </c>
      <c r="N35" s="187"/>
      <c r="O35" s="71"/>
      <c r="P35" s="71"/>
      <c r="Q35" s="71"/>
      <c r="R35" s="71"/>
      <c r="S35" s="71"/>
      <c r="T35" s="71"/>
      <c r="U35" s="71"/>
      <c r="V35" s="71"/>
      <c r="W35" s="71"/>
      <c r="X35" s="71"/>
      <c r="Y35" s="71"/>
      <c r="Z35" s="71"/>
      <c r="AA35" s="71"/>
      <c r="AB35" s="71"/>
      <c r="AC35" s="71"/>
      <c r="AD35" s="71"/>
      <c r="AE35" s="71"/>
      <c r="AF35" s="71"/>
      <c r="AG35" s="71"/>
    </row>
    <row r="36" customFormat="false" ht="15" hidden="true" customHeight="false" outlineLevel="0" collapsed="false">
      <c r="A36" s="256" t="n">
        <f aca="false">IF(Horodateur11233538192231343743464952555861646985222634384650585462667074788290989410210611411811012212613013413814214615015415816216617017417818218619019419820220621021441014182226303438465054[[#This Row],[Jour]]="1- Lundi",$B$1+1, IF(Horodateur11233538192231343743464952555861646985222634384650585462667074788290989410210611411811012212613013413814214615015415816216617017417818218619019419820220621021441014182226303438465054[[#This Row],[Jour]]="2- Mardi",$B$1+2, IF(Horodateur11233538192231343743464952555861646985222634384650585462667074788290989410210611411811012212613013413814214615015415816216617017417818218619019419820220621021441014182226303438465054[[#This Row],[Jour]]="3- Mercredi",$B$1+3, IF(Horodateur11233538192231343743464952555861646985222634384650585462667074788290989410210611411811012212613013413814214615015415816216617017417818218619019419820220621021441014182226303438465054[[#This Row],[Jour]]="4- Jeudi",$B$1+4, IF(Horodateur11233538192231343743464952555861646985222634384650585462667074788290989410210611411811012212613013413814214615015415816216617017417818218619019419820220621021441014182226303438465054[[#This Row],[Jour]]="5- Vendredi",$B$1+5, IF(Horodateur11233538192231343743464952555861646985222634384650585462667074788290989410210611411811012212613013413814214615015415816216617017417818218619019419820220621021441014182226303438465054[[#This Row],[Jour]]="6- Samedi",$B$1+6, IF(Horodateur11233538192231343743464952555861646985222634384650585462667074788290989410210611411811012212613013413814214615015415816216617017417818218619019419820220621021441014182226303438465054[[#This Row],[Jour]]="7- Dimanche",$B$1, )))))))</f>
        <v>44295</v>
      </c>
      <c r="B36" s="257" t="s">
        <v>332</v>
      </c>
      <c r="C36" s="258" t="n">
        <v>0.416666666666667</v>
      </c>
      <c r="D36" s="258" t="n">
        <v>0.520833333333333</v>
      </c>
      <c r="E36" s="71" t="s">
        <v>37</v>
      </c>
      <c r="F36" s="71" t="s">
        <v>378</v>
      </c>
      <c r="G36" s="259" t="s">
        <v>459</v>
      </c>
      <c r="H36" s="258" t="n">
        <f aca="false">IF($C36=0,"",$D36-$C36)</f>
        <v>0.104166666666667</v>
      </c>
      <c r="I36" s="260" t="n">
        <f aca="false">IF($C36=0,"",($H36-INT($H36))*24)</f>
        <v>2.5</v>
      </c>
      <c r="J36" s="303" t="n">
        <f aca="false">SUMIF(Horodateur11233538192231343743464952555861646985222634384650585462667074788290989410210611411811012212613013413814214615015415816216617017417818218619019419820220621021441014182226303438465054[Jour],$B36,Horodateur11233538192231343743464952555861646985222634384650585462667074788290989410210611411811012212613013413814214615015415816216617017417818218619019419820220621021441014182226303438465054[Durée (100)])</f>
        <v>10.25</v>
      </c>
      <c r="K36" s="335"/>
      <c r="L36" s="188" t="s">
        <v>31</v>
      </c>
      <c r="M36" s="272" t="n">
        <f aca="false">IF(Horodateur11233538192231343743464952555861646985222634384650585462667074788290989410210611411811012212613013413814214615015415816216617017417818218619019419820220621021441014182226303438465054[[#This Row],[O]]="o",Horodateur11233538192231343743464952555861646985222634384650585462667074788290989410210611411811012212613013413814214615015415816216617017417818218619019419820220621021441014182226303438465054[[#This Row],[Durée (100)]],".")</f>
        <v>2.5</v>
      </c>
      <c r="N36" s="187"/>
      <c r="O36" s="71"/>
      <c r="P36" s="71"/>
      <c r="Q36" s="71"/>
      <c r="R36" s="71"/>
      <c r="S36" s="71"/>
      <c r="T36" s="71"/>
      <c r="U36" s="71"/>
      <c r="V36" s="71"/>
      <c r="W36" s="71"/>
      <c r="X36" s="71"/>
      <c r="Y36" s="71"/>
      <c r="Z36" s="71"/>
      <c r="AA36" s="71"/>
      <c r="AB36" s="71"/>
      <c r="AC36" s="71"/>
      <c r="AD36" s="71"/>
      <c r="AE36" s="71"/>
      <c r="AF36" s="71"/>
      <c r="AG36" s="71"/>
    </row>
    <row r="37" customFormat="false" ht="15" hidden="true" customHeight="false" outlineLevel="0" collapsed="false">
      <c r="A37" s="256" t="n">
        <f aca="false">IF(Horodateur11233538192231343743464952555861646985222634384650585462667074788290989410210611411811012212613013413814214615015415816216617017417818218619019419820220621021441014182226303438465054[[#This Row],[Jour]]="1- Lundi",$B$1+1, IF(Horodateur11233538192231343743464952555861646985222634384650585462667074788290989410210611411811012212613013413814214615015415816216617017417818218619019419820220621021441014182226303438465054[[#This Row],[Jour]]="2- Mardi",$B$1+2, IF(Horodateur11233538192231343743464952555861646985222634384650585462667074788290989410210611411811012212613013413814214615015415816216617017417818218619019419820220621021441014182226303438465054[[#This Row],[Jour]]="3- Mercredi",$B$1+3, IF(Horodateur11233538192231343743464952555861646985222634384650585462667074788290989410210611411811012212613013413814214615015415816216617017417818218619019419820220621021441014182226303438465054[[#This Row],[Jour]]="4- Jeudi",$B$1+4, IF(Horodateur11233538192231343743464952555861646985222634384650585462667074788290989410210611411811012212613013413814214615015415816216617017417818218619019419820220621021441014182226303438465054[[#This Row],[Jour]]="5- Vendredi",$B$1+5, IF(Horodateur11233538192231343743464952555861646985222634384650585462667074788290989410210611411811012212613013413814214615015415816216617017417818218619019419820220621021441014182226303438465054[[#This Row],[Jour]]="6- Samedi",$B$1+6, IF(Horodateur11233538192231343743464952555861646985222634384650585462667074788290989410210611411811012212613013413814214615015415816216617017417818218619019419820220621021441014182226303438465054[[#This Row],[Jour]]="7- Dimanche",$B$1, )))))))</f>
        <v>44295</v>
      </c>
      <c r="B37" s="257" t="s">
        <v>332</v>
      </c>
      <c r="C37" s="258" t="n">
        <v>0.458333333333333</v>
      </c>
      <c r="D37" s="258" t="n">
        <v>0.520833333333333</v>
      </c>
      <c r="E37" s="71" t="s">
        <v>363</v>
      </c>
      <c r="F37" s="71" t="s">
        <v>408</v>
      </c>
      <c r="G37" s="259" t="s">
        <v>411</v>
      </c>
      <c r="H37" s="258" t="n">
        <f aca="false">IF($C37=0,"",$D37-$C37)</f>
        <v>0.0625</v>
      </c>
      <c r="I37" s="260" t="n">
        <f aca="false">IF($C37=0,"",($H37-INT($H37))*24)</f>
        <v>1.5</v>
      </c>
      <c r="J37" s="303" t="n">
        <f aca="false">SUMIF(Horodateur11233538192231343743464952555861646985222634384650585462667074788290989410210611411811012212613013413814214615015415816216617017417818218619019419820220621021441014182226303438465054[Jour],$B37,Horodateur11233538192231343743464952555861646985222634384650585462667074788290989410210611411811012212613013413814214615015415816216617017417818218619019419820220621021441014182226303438465054[Durée (100)])</f>
        <v>10.25</v>
      </c>
      <c r="K37" s="335"/>
      <c r="L37" s="188" t="s">
        <v>31</v>
      </c>
      <c r="M37" s="272" t="n">
        <f aca="false">IF(Horodateur11233538192231343743464952555861646985222634384650585462667074788290989410210611411811012212613013413814214615015415816216617017417818218619019419820220621021441014182226303438465054[[#This Row],[O]]="o",Horodateur11233538192231343743464952555861646985222634384650585462667074788290989410210611411811012212613013413814214615015415816216617017417818218619019419820220621021441014182226303438465054[[#This Row],[Durée (100)]],".")</f>
        <v>1.5</v>
      </c>
      <c r="N37" s="187"/>
      <c r="O37" s="71"/>
      <c r="P37" s="71"/>
      <c r="Q37" s="71"/>
      <c r="R37" s="71"/>
      <c r="S37" s="71"/>
      <c r="T37" s="71"/>
      <c r="U37" s="71"/>
      <c r="V37" s="71"/>
      <c r="W37" s="71"/>
      <c r="X37" s="71"/>
      <c r="Y37" s="71"/>
      <c r="Z37" s="71"/>
      <c r="AA37" s="71"/>
      <c r="AB37" s="71"/>
      <c r="AC37" s="71"/>
      <c r="AD37" s="71"/>
      <c r="AE37" s="71"/>
      <c r="AF37" s="71"/>
      <c r="AG37" s="71"/>
    </row>
    <row r="38" customFormat="false" ht="15" hidden="true" customHeight="false" outlineLevel="0" collapsed="false">
      <c r="A38" s="256" t="n">
        <f aca="false">IF(Horodateur11233538192231343743464952555861646985222634384650585462667074788290989410210611411811012212613013413814214615015415816216617017417818218619019419820220621021441014182226303438465054[[#This Row],[Jour]]="1- Lundi",$B$1+1, IF(Horodateur11233538192231343743464952555861646985222634384650585462667074788290989410210611411811012212613013413814214615015415816216617017417818218619019419820220621021441014182226303438465054[[#This Row],[Jour]]="2- Mardi",$B$1+2, IF(Horodateur11233538192231343743464952555861646985222634384650585462667074788290989410210611411811012212613013413814214615015415816216617017417818218619019419820220621021441014182226303438465054[[#This Row],[Jour]]="3- Mercredi",$B$1+3, IF(Horodateur11233538192231343743464952555861646985222634384650585462667074788290989410210611411811012212613013413814214615015415816216617017417818218619019419820220621021441014182226303438465054[[#This Row],[Jour]]="4- Jeudi",$B$1+4, IF(Horodateur11233538192231343743464952555861646985222634384650585462667074788290989410210611411811012212613013413814214615015415816216617017417818218619019419820220621021441014182226303438465054[[#This Row],[Jour]]="5- Vendredi",$B$1+5, IF(Horodateur11233538192231343743464952555861646985222634384650585462667074788290989410210611411811012212613013413814214615015415816216617017417818218619019419820220621021441014182226303438465054[[#This Row],[Jour]]="6- Samedi",$B$1+6, IF(Horodateur11233538192231343743464952555861646985222634384650585462667074788290989410210611411811012212613013413814214615015415816216617017417818218619019419820220621021441014182226303438465054[[#This Row],[Jour]]="7- Dimanche",$B$1, )))))))</f>
        <v>44295</v>
      </c>
      <c r="B38" s="257" t="s">
        <v>332</v>
      </c>
      <c r="C38" s="258" t="n">
        <v>0.5625</v>
      </c>
      <c r="D38" s="258" t="n">
        <v>0.604166666666667</v>
      </c>
      <c r="E38" s="71" t="s">
        <v>37</v>
      </c>
      <c r="F38" s="71" t="s">
        <v>22</v>
      </c>
      <c r="G38" s="259" t="s">
        <v>460</v>
      </c>
      <c r="H38" s="258" t="n">
        <f aca="false">IF($C38=0,"",$D38-$C38)</f>
        <v>0.0416666666666667</v>
      </c>
      <c r="I38" s="260" t="n">
        <f aca="false">IF($C38=0,"",($H38-INT($H38))*24)</f>
        <v>1</v>
      </c>
      <c r="J38" s="303" t="n">
        <f aca="false">SUMIF(Horodateur11233538192231343743464952555861646985222634384650585462667074788290989410210611411811012212613013413814214615015415816216617017417818218619019419820220621021441014182226303438465054[Jour],$B38,Horodateur11233538192231343743464952555861646985222634384650585462667074788290989410210611411811012212613013413814214615015415816216617017417818218619019419820220621021441014182226303438465054[Durée (100)])</f>
        <v>10.25</v>
      </c>
      <c r="K38" s="335"/>
      <c r="L38" s="188" t="s">
        <v>31</v>
      </c>
      <c r="M38" s="272" t="n">
        <f aca="false">IF(Horodateur11233538192231343743464952555861646985222634384650585462667074788290989410210611411811012212613013413814214615015415816216617017417818218619019419820220621021441014182226303438465054[[#This Row],[O]]="o",Horodateur11233538192231343743464952555861646985222634384650585462667074788290989410210611411811012212613013413814214615015415816216617017417818218619019419820220621021441014182226303438465054[[#This Row],[Durée (100)]],".")</f>
        <v>0.999999999999999</v>
      </c>
      <c r="N38" s="187"/>
      <c r="O38" s="71"/>
      <c r="P38" s="71"/>
      <c r="Q38" s="71"/>
      <c r="R38" s="71"/>
      <c r="S38" s="71"/>
      <c r="T38" s="71"/>
      <c r="U38" s="71"/>
      <c r="V38" s="71"/>
      <c r="W38" s="71"/>
      <c r="X38" s="71"/>
      <c r="Y38" s="71"/>
      <c r="Z38" s="71"/>
      <c r="AA38" s="71"/>
      <c r="AB38" s="71"/>
      <c r="AC38" s="71"/>
      <c r="AD38" s="71"/>
      <c r="AE38" s="71"/>
      <c r="AF38" s="71"/>
      <c r="AG38" s="71"/>
    </row>
    <row r="39" customFormat="false" ht="15" hidden="true" customHeight="false" outlineLevel="0" collapsed="false">
      <c r="A39" s="256" t="n">
        <f aca="false">IF(Horodateur11233538192231343743464952555861646985222634384650585462667074788290989410210611411811012212613013413814214615015415816216617017417818218619019419820220621021441014182226303438465054[[#This Row],[Jour]]="1- Lundi",$B$1+1, IF(Horodateur11233538192231343743464952555861646985222634384650585462667074788290989410210611411811012212613013413814214615015415816216617017417818218619019419820220621021441014182226303438465054[[#This Row],[Jour]]="2- Mardi",$B$1+2, IF(Horodateur11233538192231343743464952555861646985222634384650585462667074788290989410210611411811012212613013413814214615015415816216617017417818218619019419820220621021441014182226303438465054[[#This Row],[Jour]]="3- Mercredi",$B$1+3, IF(Horodateur11233538192231343743464952555861646985222634384650585462667074788290989410210611411811012212613013413814214615015415816216617017417818218619019419820220621021441014182226303438465054[[#This Row],[Jour]]="4- Jeudi",$B$1+4, IF(Horodateur11233538192231343743464952555861646985222634384650585462667074788290989410210611411811012212613013413814214615015415816216617017417818218619019419820220621021441014182226303438465054[[#This Row],[Jour]]="5- Vendredi",$B$1+5, IF(Horodateur11233538192231343743464952555861646985222634384650585462667074788290989410210611411811012212613013413814214615015415816216617017417818218619019419820220621021441014182226303438465054[[#This Row],[Jour]]="6- Samedi",$B$1+6, IF(Horodateur11233538192231343743464952555861646985222634384650585462667074788290989410210611411811012212613013413814214615015415816216617017417818218619019419820220621021441014182226303438465054[[#This Row],[Jour]]="7- Dimanche",$B$1, )))))))</f>
        <v>44295</v>
      </c>
      <c r="B39" s="257" t="s">
        <v>332</v>
      </c>
      <c r="C39" s="258" t="n">
        <v>0.604166666666667</v>
      </c>
      <c r="D39" s="258" t="n">
        <v>0.625</v>
      </c>
      <c r="E39" s="71" t="s">
        <v>32</v>
      </c>
      <c r="F39" s="71" t="s">
        <v>20</v>
      </c>
      <c r="G39" s="259" t="s">
        <v>461</v>
      </c>
      <c r="H39" s="258" t="n">
        <f aca="false">IF($C39=0,"",$D39-$C39)</f>
        <v>0.0208333333333333</v>
      </c>
      <c r="I39" s="260" t="n">
        <f aca="false">IF($C39=0,"",($H39-INT($H39))*24)</f>
        <v>0.5</v>
      </c>
      <c r="J39" s="303" t="n">
        <f aca="false">SUMIF(Horodateur11233538192231343743464952555861646985222634384650585462667074788290989410210611411811012212613013413814214615015415816216617017417818218619019419820220621021441014182226303438465054[Jour],$B39,Horodateur11233538192231343743464952555861646985222634384650585462667074788290989410210611411811012212613013413814214615015415816216617017417818218619019419820220621021441014182226303438465054[Durée (100)])</f>
        <v>10.25</v>
      </c>
      <c r="K39" s="335"/>
      <c r="L39" s="188" t="s">
        <v>31</v>
      </c>
      <c r="M39" s="272" t="n">
        <f aca="false">IF(Horodateur11233538192231343743464952555861646985222634384650585462667074788290989410210611411811012212613013413814214615015415816216617017417818218619019419820220621021441014182226303438465054[[#This Row],[O]]="o",Horodateur11233538192231343743464952555861646985222634384650585462667074788290989410210611411811012212613013413814214615015415816216617017417818218619019419820220621021441014182226303438465054[[#This Row],[Durée (100)]],".")</f>
        <v>0.500000000000001</v>
      </c>
      <c r="N39" s="187"/>
      <c r="O39" s="71"/>
      <c r="P39" s="71"/>
      <c r="Q39" s="71"/>
      <c r="R39" s="71"/>
      <c r="S39" s="71"/>
      <c r="T39" s="71"/>
      <c r="U39" s="71"/>
      <c r="V39" s="71"/>
      <c r="W39" s="71"/>
      <c r="X39" s="71"/>
      <c r="Y39" s="71"/>
      <c r="Z39" s="71"/>
      <c r="AA39" s="71"/>
      <c r="AB39" s="71"/>
      <c r="AC39" s="71"/>
      <c r="AD39" s="71"/>
      <c r="AE39" s="71"/>
      <c r="AF39" s="71"/>
      <c r="AG39" s="71"/>
    </row>
    <row r="40" customFormat="false" ht="15" hidden="true" customHeight="false" outlineLevel="0" collapsed="false">
      <c r="A40" s="256" t="n">
        <f aca="false">IF(Horodateur11233538192231343743464952555861646985222634384650585462667074788290989410210611411811012212613013413814214615015415816216617017417818218619019419820220621021441014182226303438465054[[#This Row],[Jour]]="1- Lundi",$B$1+1, IF(Horodateur11233538192231343743464952555861646985222634384650585462667074788290989410210611411811012212613013413814214615015415816216617017417818218619019419820220621021441014182226303438465054[[#This Row],[Jour]]="2- Mardi",$B$1+2, IF(Horodateur11233538192231343743464952555861646985222634384650585462667074788290989410210611411811012212613013413814214615015415816216617017417818218619019419820220621021441014182226303438465054[[#This Row],[Jour]]="3- Mercredi",$B$1+3, IF(Horodateur11233538192231343743464952555861646985222634384650585462667074788290989410210611411811012212613013413814214615015415816216617017417818218619019419820220621021441014182226303438465054[[#This Row],[Jour]]="4- Jeudi",$B$1+4, IF(Horodateur11233538192231343743464952555861646985222634384650585462667074788290989410210611411811012212613013413814214615015415816216617017417818218619019419820220621021441014182226303438465054[[#This Row],[Jour]]="5- Vendredi",$B$1+5, IF(Horodateur11233538192231343743464952555861646985222634384650585462667074788290989410210611411811012212613013413814214615015415816216617017417818218619019419820220621021441014182226303438465054[[#This Row],[Jour]]="6- Samedi",$B$1+6, IF(Horodateur11233538192231343743464952555861646985222634384650585462667074788290989410210611411811012212613013413814214615015415816216617017417818218619019419820220621021441014182226303438465054[[#This Row],[Jour]]="7- Dimanche",$B$1, )))))))</f>
        <v>44295</v>
      </c>
      <c r="B40" s="257" t="s">
        <v>332</v>
      </c>
      <c r="C40" s="258" t="n">
        <v>0.625</v>
      </c>
      <c r="D40" s="258" t="n">
        <v>0.708333333333333</v>
      </c>
      <c r="E40" s="71" t="s">
        <v>32</v>
      </c>
      <c r="F40" s="71" t="s">
        <v>23</v>
      </c>
      <c r="G40" s="259" t="s">
        <v>462</v>
      </c>
      <c r="H40" s="258" t="n">
        <f aca="false">IF($C40=0,"",$D40-$C40)</f>
        <v>0.0833333333333333</v>
      </c>
      <c r="I40" s="260" t="n">
        <f aca="false">IF($C40=0,"",($H40-INT($H40))*24)</f>
        <v>2</v>
      </c>
      <c r="J40" s="303" t="n">
        <f aca="false">SUMIF(Horodateur11233538192231343743464952555861646985222634384650585462667074788290989410210611411811012212613013413814214615015415816216617017417818218619019419820220621021441014182226303438465054[Jour],$B40,Horodateur11233538192231343743464952555861646985222634384650585462667074788290989410210611411811012212613013413814214615015415816216617017417818218619019419820220621021441014182226303438465054[Durée (100)])</f>
        <v>10.25</v>
      </c>
      <c r="K40" s="335"/>
      <c r="L40" s="188" t="s">
        <v>31</v>
      </c>
      <c r="M40" s="272" t="n">
        <f aca="false">IF(Horodateur11233538192231343743464952555861646985222634384650585462667074788290989410210611411811012212613013413814214615015415816216617017417818218619019419820220621021441014182226303438465054[[#This Row],[O]]="o",Horodateur11233538192231343743464952555861646985222634384650585462667074788290989410210611411811012212613013413814214615015415816216617017417818218619019419820220621021441014182226303438465054[[#This Row],[Durée (100)]],".")</f>
        <v>2</v>
      </c>
      <c r="N40" s="187"/>
      <c r="O40" s="71"/>
      <c r="P40" s="71"/>
      <c r="Q40" s="71"/>
      <c r="R40" s="71"/>
      <c r="S40" s="71"/>
      <c r="T40" s="71"/>
      <c r="U40" s="71"/>
      <c r="V40" s="71"/>
      <c r="W40" s="71"/>
      <c r="X40" s="71"/>
      <c r="Y40" s="71"/>
      <c r="Z40" s="71"/>
      <c r="AA40" s="71"/>
      <c r="AB40" s="71"/>
      <c r="AC40" s="71"/>
      <c r="AD40" s="71"/>
      <c r="AE40" s="71"/>
      <c r="AF40" s="71"/>
      <c r="AG40" s="71"/>
    </row>
    <row r="41" customFormat="false" ht="15" hidden="true" customHeight="false" outlineLevel="0" collapsed="false">
      <c r="A41" s="256" t="n">
        <f aca="false">IF(Horodateur11233538192231343743464952555861646985222634384650585462667074788290989410210611411811012212613013413814214615015415816216617017417818218619019419820220621021441014182226303438465054[[#This Row],[Jour]]="1- Lundi",$B$1+1, IF(Horodateur11233538192231343743464952555861646985222634384650585462667074788290989410210611411811012212613013413814214615015415816216617017417818218619019419820220621021441014182226303438465054[[#This Row],[Jour]]="2- Mardi",$B$1+2, IF(Horodateur11233538192231343743464952555861646985222634384650585462667074788290989410210611411811012212613013413814214615015415816216617017417818218619019419820220621021441014182226303438465054[[#This Row],[Jour]]="3- Mercredi",$B$1+3, IF(Horodateur11233538192231343743464952555861646985222634384650585462667074788290989410210611411811012212613013413814214615015415816216617017417818218619019419820220621021441014182226303438465054[[#This Row],[Jour]]="4- Jeudi",$B$1+4, IF(Horodateur11233538192231343743464952555861646985222634384650585462667074788290989410210611411811012212613013413814214615015415816216617017417818218619019419820220621021441014182226303438465054[[#This Row],[Jour]]="5- Vendredi",$B$1+5, IF(Horodateur11233538192231343743464952555861646985222634384650585462667074788290989410210611411811012212613013413814214615015415816216617017417818218619019419820220621021441014182226303438465054[[#This Row],[Jour]]="6- Samedi",$B$1+6, IF(Horodateur11233538192231343743464952555861646985222634384650585462667074788290989410210611411811012212613013413814214615015415816216617017417818218619019419820220621021441014182226303438465054[[#This Row],[Jour]]="7- Dimanche",$B$1, )))))))</f>
        <v>44295</v>
      </c>
      <c r="B41" s="257" t="s">
        <v>332</v>
      </c>
      <c r="C41" s="258" t="n">
        <v>0.708333333333333</v>
      </c>
      <c r="D41" s="258" t="n">
        <v>0.75</v>
      </c>
      <c r="E41" s="71" t="s">
        <v>37</v>
      </c>
      <c r="F41" s="71" t="s">
        <v>378</v>
      </c>
      <c r="G41" s="259" t="s">
        <v>463</v>
      </c>
      <c r="H41" s="258" t="n">
        <f aca="false">IF($C41=0,"",$D41-$C41)</f>
        <v>0.0416666666666666</v>
      </c>
      <c r="I41" s="260" t="n">
        <f aca="false">IF($C41=0,"",($H41-INT($H41))*24)</f>
        <v>0.999999999999999</v>
      </c>
      <c r="J41" s="303" t="n">
        <f aca="false">SUMIF(Horodateur11233538192231343743464952555861646985222634384650585462667074788290989410210611411811012212613013413814214615015415816216617017417818218619019419820220621021441014182226303438465054[Jour],$B41,Horodateur11233538192231343743464952555861646985222634384650585462667074788290989410210611411811012212613013413814214615015415816216617017417818218619019419820220621021441014182226303438465054[Durée (100)])</f>
        <v>10.25</v>
      </c>
      <c r="K41" s="335"/>
      <c r="L41" s="188" t="s">
        <v>31</v>
      </c>
      <c r="M41" s="272" t="n">
        <f aca="false">IF(Horodateur11233538192231343743464952555861646985222634384650585462667074788290989410210611411811012212613013413814214615015415816216617017417818218619019419820220621021441014182226303438465054[[#This Row],[O]]="o",Horodateur11233538192231343743464952555861646985222634384650585462667074788290989410210611411811012212613013413814214615015415816216617017417818218619019419820220621021441014182226303438465054[[#This Row],[Durée (100)]],".")</f>
        <v>0.999999999999999</v>
      </c>
      <c r="N41" s="187"/>
      <c r="O41" s="71"/>
      <c r="P41" s="71"/>
      <c r="Q41" s="71"/>
      <c r="R41" s="71"/>
      <c r="S41" s="71"/>
      <c r="T41" s="71"/>
      <c r="U41" s="71"/>
      <c r="V41" s="71"/>
      <c r="W41" s="71"/>
      <c r="X41" s="71"/>
      <c r="Y41" s="71"/>
      <c r="Z41" s="71"/>
      <c r="AA41" s="71"/>
      <c r="AB41" s="71"/>
      <c r="AC41" s="71"/>
      <c r="AD41" s="71"/>
      <c r="AE41" s="71"/>
      <c r="AF41" s="71"/>
      <c r="AG41" s="71"/>
    </row>
    <row r="42" customFormat="false" ht="15" hidden="true" customHeight="false" outlineLevel="0" collapsed="false">
      <c r="A42" s="256" t="n">
        <f aca="false">IF(Horodateur11233538192231343743464952555861646985222634384650585462667074788290989410210611411811012212613013413814214615015415816216617017417818218619019419820220621021441014182226303438465054[[#This Row],[Jour]]="1- Lundi",$B$1+1, IF(Horodateur11233538192231343743464952555861646985222634384650585462667074788290989410210611411811012212613013413814214615015415816216617017417818218619019419820220621021441014182226303438465054[[#This Row],[Jour]]="2- Mardi",$B$1+2, IF(Horodateur11233538192231343743464952555861646985222634384650585462667074788290989410210611411811012212613013413814214615015415816216617017417818218619019419820220621021441014182226303438465054[[#This Row],[Jour]]="3- Mercredi",$B$1+3, IF(Horodateur11233538192231343743464952555861646985222634384650585462667074788290989410210611411811012212613013413814214615015415816216617017417818218619019419820220621021441014182226303438465054[[#This Row],[Jour]]="4- Jeudi",$B$1+4, IF(Horodateur11233538192231343743464952555861646985222634384650585462667074788290989410210611411811012212613013413814214615015415816216617017417818218619019419820220621021441014182226303438465054[[#This Row],[Jour]]="5- Vendredi",$B$1+5, IF(Horodateur11233538192231343743464952555861646985222634384650585462667074788290989410210611411811012212613013413814214615015415816216617017417818218619019419820220621021441014182226303438465054[[#This Row],[Jour]]="6- Samedi",$B$1+6, IF(Horodateur11233538192231343743464952555861646985222634384650585462667074788290989410210611411811012212613013413814214615015415816216617017417818218619019419820220621021441014182226303438465054[[#This Row],[Jour]]="7- Dimanche",$B$1, )))))))</f>
        <v>44296</v>
      </c>
      <c r="B42" s="257" t="s">
        <v>335</v>
      </c>
      <c r="C42" s="258" t="n">
        <v>0.3125</v>
      </c>
      <c r="D42" s="258" t="n">
        <v>0.333333333333333</v>
      </c>
      <c r="E42" s="71" t="s">
        <v>32</v>
      </c>
      <c r="F42" s="71" t="s">
        <v>21</v>
      </c>
      <c r="G42" s="259"/>
      <c r="H42" s="258" t="n">
        <f aca="false">IF($C42=0,"",$D42-$C42)</f>
        <v>0.0208333333333333</v>
      </c>
      <c r="I42" s="260" t="n">
        <f aca="false">IF($C42=0,"",($H42-INT($H42))*24)</f>
        <v>0.5</v>
      </c>
      <c r="J42" s="303" t="n">
        <f aca="false">SUMIF(Horodateur11233538192231343743464952555861646985222634384650585462667074788290989410210611411811012212613013413814214615015415816216617017417818218619019419820220621021441014182226303438465054[Jour],$B42,Horodateur11233538192231343743464952555861646985222634384650585462667074788290989410210611411811012212613013413814214615015415816216617017417818218619019419820220621021441014182226303438465054[Durée (100)])</f>
        <v>3.5</v>
      </c>
      <c r="K42" s="335"/>
      <c r="L42" s="188" t="s">
        <v>33</v>
      </c>
      <c r="M42" s="272" t="str">
        <f aca="false">IF(Horodateur11233538192231343743464952555861646985222634384650585462667074788290989410210611411811012212613013413814214615015415816216617017417818218619019419820220621021441014182226303438465054[[#This Row],[O]]="o",Horodateur11233538192231343743464952555861646985222634384650585462667074788290989410210611411811012212613013413814214615015415816216617017417818218619019419820220621021441014182226303438465054[[#This Row],[Durée (100)]],".")</f>
        <v>.</v>
      </c>
      <c r="N42" s="187"/>
      <c r="O42" s="71"/>
      <c r="P42" s="71"/>
      <c r="Q42" s="71"/>
      <c r="R42" s="71"/>
      <c r="S42" s="71"/>
      <c r="T42" s="71"/>
      <c r="U42" s="71"/>
      <c r="V42" s="71"/>
      <c r="W42" s="71"/>
      <c r="X42" s="71"/>
      <c r="Y42" s="71"/>
      <c r="Z42" s="71"/>
      <c r="AA42" s="71"/>
      <c r="AB42" s="71"/>
      <c r="AC42" s="71"/>
      <c r="AD42" s="71"/>
      <c r="AE42" s="71"/>
      <c r="AF42" s="71"/>
      <c r="AG42" s="71"/>
    </row>
    <row r="43" customFormat="false" ht="15" hidden="true" customHeight="false" outlineLevel="0" collapsed="false">
      <c r="A43" s="256" t="n">
        <f aca="false">IF(Horodateur11233538192231343743464952555861646985222634384650585462667074788290989410210611411811012212613013413814214615015415816216617017417818218619019419820220621021441014182226303438465054[[#This Row],[Jour]]="1- Lundi",$B$1+1, IF(Horodateur11233538192231343743464952555861646985222634384650585462667074788290989410210611411811012212613013413814214615015415816216617017417818218619019419820220621021441014182226303438465054[[#This Row],[Jour]]="2- Mardi",$B$1+2, IF(Horodateur11233538192231343743464952555861646985222634384650585462667074788290989410210611411811012212613013413814214615015415816216617017417818218619019419820220621021441014182226303438465054[[#This Row],[Jour]]="3- Mercredi",$B$1+3, IF(Horodateur11233538192231343743464952555861646985222634384650585462667074788290989410210611411811012212613013413814214615015415816216617017417818218619019419820220621021441014182226303438465054[[#This Row],[Jour]]="4- Jeudi",$B$1+4, IF(Horodateur11233538192231343743464952555861646985222634384650585462667074788290989410210611411811012212613013413814214615015415816216617017417818218619019419820220621021441014182226303438465054[[#This Row],[Jour]]="5- Vendredi",$B$1+5, IF(Horodateur11233538192231343743464952555861646985222634384650585462667074788290989410210611411811012212613013413814214615015415816216617017417818218619019419820220621021441014182226303438465054[[#This Row],[Jour]]="6- Samedi",$B$1+6, IF(Horodateur11233538192231343743464952555861646985222634384650585462667074788290989410210611411811012212613013413814214615015415816216617017417818218619019419820220621021441014182226303438465054[[#This Row],[Jour]]="7- Dimanche",$B$1, )))))))</f>
        <v>44296</v>
      </c>
      <c r="B43" s="257" t="s">
        <v>335</v>
      </c>
      <c r="C43" s="258" t="n">
        <v>0.333333333333333</v>
      </c>
      <c r="D43" s="258" t="n">
        <v>0.375</v>
      </c>
      <c r="E43" s="71" t="s">
        <v>37</v>
      </c>
      <c r="F43" s="71" t="s">
        <v>378</v>
      </c>
      <c r="G43" s="259" t="s">
        <v>463</v>
      </c>
      <c r="H43" s="258" t="n">
        <f aca="false">IF($C43=0,"",$D43-$C43)</f>
        <v>0.0416666666666667</v>
      </c>
      <c r="I43" s="260" t="n">
        <f aca="false">IF($C43=0,"",($H43-INT($H43))*24)</f>
        <v>1</v>
      </c>
      <c r="J43" s="303" t="n">
        <f aca="false">SUMIF(Horodateur11233538192231343743464952555861646985222634384650585462667074788290989410210611411811012212613013413814214615015415816216617017417818218619019419820220621021441014182226303438465054[Jour],$B43,Horodateur11233538192231343743464952555861646985222634384650585462667074788290989410210611411811012212613013413814214615015415816216617017417818218619019419820220621021441014182226303438465054[Durée (100)])</f>
        <v>3.5</v>
      </c>
      <c r="K43" s="335"/>
      <c r="L43" s="188" t="s">
        <v>31</v>
      </c>
      <c r="M43" s="272" t="n">
        <f aca="false">IF(Horodateur11233538192231343743464952555861646985222634384650585462667074788290989410210611411811012212613013413814214615015415816216617017417818218619019419820220621021441014182226303438465054[[#This Row],[O]]="o",Horodateur11233538192231343743464952555861646985222634384650585462667074788290989410210611411811012212613013413814214615015415816216617017417818218619019419820220621021441014182226303438465054[[#This Row],[Durée (100)]],".")</f>
        <v>1</v>
      </c>
      <c r="N43" s="187"/>
      <c r="O43" s="71"/>
      <c r="P43" s="71"/>
      <c r="Q43" s="71"/>
      <c r="R43" s="71"/>
      <c r="S43" s="71"/>
      <c r="T43" s="71"/>
      <c r="U43" s="71"/>
      <c r="V43" s="71"/>
      <c r="W43" s="71"/>
      <c r="X43" s="71"/>
      <c r="Y43" s="71"/>
      <c r="Z43" s="71"/>
      <c r="AA43" s="71"/>
      <c r="AB43" s="71"/>
      <c r="AC43" s="71"/>
      <c r="AD43" s="71"/>
      <c r="AE43" s="71"/>
      <c r="AF43" s="71"/>
      <c r="AG43" s="71"/>
    </row>
    <row r="44" customFormat="false" ht="15" hidden="true" customHeight="false" outlineLevel="0" collapsed="false">
      <c r="A44" s="256" t="n">
        <f aca="false">IF(Horodateur11233538192231343743464952555861646985222634384650585462667074788290989410210611411811012212613013413814214615015415816216617017417818218619019419820220621021441014182226303438465054[[#This Row],[Jour]]="1- Lundi",$B$1+1, IF(Horodateur11233538192231343743464952555861646985222634384650585462667074788290989410210611411811012212613013413814214615015415816216617017417818218619019419820220621021441014182226303438465054[[#This Row],[Jour]]="2- Mardi",$B$1+2, IF(Horodateur11233538192231343743464952555861646985222634384650585462667074788290989410210611411811012212613013413814214615015415816216617017417818218619019419820220621021441014182226303438465054[[#This Row],[Jour]]="3- Mercredi",$B$1+3, IF(Horodateur11233538192231343743464952555861646985222634384650585462667074788290989410210611411811012212613013413814214615015415816216617017417818218619019419820220621021441014182226303438465054[[#This Row],[Jour]]="4- Jeudi",$B$1+4, IF(Horodateur11233538192231343743464952555861646985222634384650585462667074788290989410210611411811012212613013413814214615015415816216617017417818218619019419820220621021441014182226303438465054[[#This Row],[Jour]]="5- Vendredi",$B$1+5, IF(Horodateur11233538192231343743464952555861646985222634384650585462667074788290989410210611411811012212613013413814214615015415816216617017417818218619019419820220621021441014182226303438465054[[#This Row],[Jour]]="6- Samedi",$B$1+6, IF(Horodateur11233538192231343743464952555861646985222634384650585462667074788290989410210611411811012212613013413814214615015415816216617017417818218619019419820220621021441014182226303438465054[[#This Row],[Jour]]="7- Dimanche",$B$1, )))))))</f>
        <v>44296</v>
      </c>
      <c r="B44" s="257" t="s">
        <v>335</v>
      </c>
      <c r="C44" s="258" t="n">
        <v>0.375</v>
      </c>
      <c r="D44" s="258" t="n">
        <v>0.395833333333333</v>
      </c>
      <c r="E44" s="71" t="s">
        <v>59</v>
      </c>
      <c r="F44" s="71" t="s">
        <v>379</v>
      </c>
      <c r="G44" s="259" t="s">
        <v>55</v>
      </c>
      <c r="H44" s="258" t="n">
        <f aca="false">IF($C44=0,"",$D44-$C44)</f>
        <v>0.0208333333333333</v>
      </c>
      <c r="I44" s="260" t="n">
        <f aca="false">IF($C44=0,"",($H44-INT($H44))*24)</f>
        <v>0.5</v>
      </c>
      <c r="J44" s="303" t="n">
        <f aca="false">SUMIF(Horodateur11233538192231343743464952555861646985222634384650585462667074788290989410210611411811012212613013413814214615015415816216617017417818218619019419820220621021441014182226303438465054[Jour],$B44,Horodateur11233538192231343743464952555861646985222634384650585462667074788290989410210611411811012212613013413814214615015415816216617017417818218619019419820220621021441014182226303438465054[Durée (100)])</f>
        <v>3.5</v>
      </c>
      <c r="K44" s="335"/>
      <c r="L44" s="188" t="s">
        <v>31</v>
      </c>
      <c r="M44" s="272" t="n">
        <f aca="false">IF(Horodateur11233538192231343743464952555861646985222634384650585462667074788290989410210611411811012212613013413814214615015415816216617017417818218619019419820220621021441014182226303438465054[[#This Row],[O]]="o",Horodateur11233538192231343743464952555861646985222634384650585462667074788290989410210611411811012212613013413814214615015415816216617017417818218619019419820220621021441014182226303438465054[[#This Row],[Durée (100)]],".")</f>
        <v>0.5</v>
      </c>
      <c r="N44" s="187"/>
      <c r="O44" s="71"/>
      <c r="P44" s="71"/>
      <c r="Q44" s="71"/>
      <c r="R44" s="71"/>
      <c r="S44" s="71"/>
      <c r="T44" s="71"/>
      <c r="U44" s="71"/>
      <c r="V44" s="71"/>
      <c r="W44" s="71"/>
      <c r="X44" s="71"/>
      <c r="Y44" s="71"/>
      <c r="Z44" s="71"/>
      <c r="AA44" s="71"/>
      <c r="AB44" s="71"/>
      <c r="AC44" s="71"/>
      <c r="AD44" s="71"/>
      <c r="AE44" s="71"/>
      <c r="AF44" s="71"/>
      <c r="AG44" s="71"/>
    </row>
    <row r="45" customFormat="false" ht="15" hidden="true" customHeight="false" outlineLevel="0" collapsed="false">
      <c r="A45" s="256" t="n">
        <f aca="false">IF(Horodateur11233538192231343743464952555861646985222634384650585462667074788290989410210611411811012212613013413814214615015415816216617017417818218619019419820220621021441014182226303438465054[[#This Row],[Jour]]="1- Lundi",$B$1+1, IF(Horodateur11233538192231343743464952555861646985222634384650585462667074788290989410210611411811012212613013413814214615015415816216617017417818218619019419820220621021441014182226303438465054[[#This Row],[Jour]]="2- Mardi",$B$1+2, IF(Horodateur11233538192231343743464952555861646985222634384650585462667074788290989410210611411811012212613013413814214615015415816216617017417818218619019419820220621021441014182226303438465054[[#This Row],[Jour]]="3- Mercredi",$B$1+3, IF(Horodateur11233538192231343743464952555861646985222634384650585462667074788290989410210611411811012212613013413814214615015415816216617017417818218619019419820220621021441014182226303438465054[[#This Row],[Jour]]="4- Jeudi",$B$1+4, IF(Horodateur11233538192231343743464952555861646985222634384650585462667074788290989410210611411811012212613013413814214615015415816216617017417818218619019419820220621021441014182226303438465054[[#This Row],[Jour]]="5- Vendredi",$B$1+5, IF(Horodateur11233538192231343743464952555861646985222634384650585462667074788290989410210611411811012212613013413814214615015415816216617017417818218619019419820220621021441014182226303438465054[[#This Row],[Jour]]="6- Samedi",$B$1+6, IF(Horodateur11233538192231343743464952555861646985222634384650585462667074788290989410210611411811012212613013413814214615015415816216617017417818218619019419820220621021441014182226303438465054[[#This Row],[Jour]]="7- Dimanche",$B$1, )))))))</f>
        <v>44296</v>
      </c>
      <c r="B45" s="257" t="s">
        <v>335</v>
      </c>
      <c r="C45" s="258" t="n">
        <v>0.416666666666667</v>
      </c>
      <c r="D45" s="258" t="n">
        <v>0.4375</v>
      </c>
      <c r="E45" s="71" t="s">
        <v>363</v>
      </c>
      <c r="F45" s="71" t="s">
        <v>379</v>
      </c>
      <c r="G45" s="259" t="s">
        <v>55</v>
      </c>
      <c r="H45" s="258" t="n">
        <f aca="false">IF($C45=0,"",$D45-$C45)</f>
        <v>0.0208333333333333</v>
      </c>
      <c r="I45" s="260" t="n">
        <f aca="false">IF($C45=0,"",($H45-INT($H45))*24)</f>
        <v>0.5</v>
      </c>
      <c r="J45" s="303" t="n">
        <f aca="false">SUMIF(Horodateur11233538192231343743464952555861646985222634384650585462667074788290989410210611411811012212613013413814214615015415816216617017417818218619019419820220621021441014182226303438465054[Jour],$B45,Horodateur11233538192231343743464952555861646985222634384650585462667074788290989410210611411811012212613013413814214615015415816216617017417818218619019419820220621021441014182226303438465054[Durée (100)])</f>
        <v>3.5</v>
      </c>
      <c r="K45" s="335"/>
      <c r="L45" s="188" t="s">
        <v>31</v>
      </c>
      <c r="M45" s="272" t="n">
        <f aca="false">IF(Horodateur11233538192231343743464952555861646985222634384650585462667074788290989410210611411811012212613013413814214615015415816216617017417818218619019419820220621021441014182226303438465054[[#This Row],[O]]="o",Horodateur11233538192231343743464952555861646985222634384650585462667074788290989410210611411811012212613013413814214615015415816216617017417818218619019419820220621021441014182226303438465054[[#This Row],[Durée (100)]],".")</f>
        <v>0.5</v>
      </c>
      <c r="N45" s="187"/>
      <c r="O45" s="71"/>
      <c r="P45" s="71"/>
      <c r="Q45" s="71"/>
      <c r="R45" s="71"/>
      <c r="S45" s="71"/>
      <c r="T45" s="71"/>
      <c r="U45" s="71"/>
      <c r="V45" s="71"/>
      <c r="W45" s="71"/>
      <c r="X45" s="71"/>
      <c r="Y45" s="71"/>
      <c r="Z45" s="71"/>
      <c r="AA45" s="71"/>
      <c r="AB45" s="71"/>
      <c r="AC45" s="71"/>
      <c r="AD45" s="71"/>
      <c r="AE45" s="71"/>
      <c r="AF45" s="71"/>
      <c r="AG45" s="71"/>
    </row>
    <row r="46" customFormat="false" ht="15" hidden="true" customHeight="false" outlineLevel="0" collapsed="false">
      <c r="A46" s="256" t="n">
        <f aca="false">IF(Horodateur11233538192231343743464952555861646985222634384650585462667074788290989410210611411811012212613013413814214615015415816216617017417818218619019419820220621021441014182226303438465054[[#This Row],[Jour]]="1- Lundi",$B$1+1, IF(Horodateur11233538192231343743464952555861646985222634384650585462667074788290989410210611411811012212613013413814214615015415816216617017417818218619019419820220621021441014182226303438465054[[#This Row],[Jour]]="2- Mardi",$B$1+2, IF(Horodateur11233538192231343743464952555861646985222634384650585462667074788290989410210611411811012212613013413814214615015415816216617017417818218619019419820220621021441014182226303438465054[[#This Row],[Jour]]="3- Mercredi",$B$1+3, IF(Horodateur11233538192231343743464952555861646985222634384650585462667074788290989410210611411811012212613013413814214615015415816216617017417818218619019419820220621021441014182226303438465054[[#This Row],[Jour]]="4- Jeudi",$B$1+4, IF(Horodateur11233538192231343743464952555861646985222634384650585462667074788290989410210611411811012212613013413814214615015415816216617017417818218619019419820220621021441014182226303438465054[[#This Row],[Jour]]="5- Vendredi",$B$1+5, IF(Horodateur11233538192231343743464952555861646985222634384650585462667074788290989410210611411811012212613013413814214615015415816216617017417818218619019419820220621021441014182226303438465054[[#This Row],[Jour]]="6- Samedi",$B$1+6, IF(Horodateur11233538192231343743464952555861646985222634384650585462667074788290989410210611411811012212613013413814214615015415816216617017417818218619019419820220621021441014182226303438465054[[#This Row],[Jour]]="7- Dimanche",$B$1, )))))))</f>
        <v>44296</v>
      </c>
      <c r="B46" s="257" t="s">
        <v>335</v>
      </c>
      <c r="C46" s="258" t="n">
        <v>0.552083333333333</v>
      </c>
      <c r="D46" s="258" t="n">
        <v>0.59375</v>
      </c>
      <c r="E46" s="71" t="s">
        <v>32</v>
      </c>
      <c r="F46" s="71" t="s">
        <v>22</v>
      </c>
      <c r="G46" s="259" t="s">
        <v>464</v>
      </c>
      <c r="H46" s="258" t="n">
        <f aca="false">IF($C46=0,"",$D46-$C46)</f>
        <v>0.0416666666666667</v>
      </c>
      <c r="I46" s="260" t="n">
        <f aca="false">IF($C46=0,"",($H46-INT($H46))*24)</f>
        <v>1</v>
      </c>
      <c r="J46" s="303" t="n">
        <f aca="false">SUMIF(Horodateur11233538192231343743464952555861646985222634384650585462667074788290989410210611411811012212613013413814214615015415816216617017417818218619019419820220621021441014182226303438465054[Jour],$B46,Horodateur11233538192231343743464952555861646985222634384650585462667074788290989410210611411811012212613013413814214615015415816216617017417818218619019419820220621021441014182226303438465054[Durée (100)])</f>
        <v>3.5</v>
      </c>
      <c r="K46" s="335"/>
      <c r="L46" s="188" t="s">
        <v>31</v>
      </c>
      <c r="M46" s="272" t="n">
        <f aca="false">IF(Horodateur11233538192231343743464952555861646985222634384650585462667074788290989410210611411811012212613013413814214615015415816216617017417818218619019419820220621021441014182226303438465054[[#This Row],[O]]="o",Horodateur11233538192231343743464952555861646985222634384650585462667074788290989410210611411811012212613013413814214615015415816216617017417818218619019419820220621021441014182226303438465054[[#This Row],[Durée (100)]],".")</f>
        <v>0.999999999999999</v>
      </c>
      <c r="N46" s="187"/>
      <c r="O46" s="71"/>
      <c r="P46" s="71"/>
      <c r="Q46" s="71"/>
      <c r="R46" s="71"/>
      <c r="S46" s="71"/>
      <c r="T46" s="71"/>
      <c r="U46" s="71"/>
      <c r="V46" s="71"/>
      <c r="W46" s="71"/>
      <c r="X46" s="71"/>
      <c r="Y46" s="71"/>
      <c r="Z46" s="71"/>
      <c r="AA46" s="71"/>
      <c r="AB46" s="71"/>
      <c r="AC46" s="71"/>
      <c r="AD46" s="71"/>
      <c r="AE46" s="71"/>
      <c r="AF46" s="71"/>
      <c r="AG46" s="71"/>
    </row>
    <row r="47" customFormat="false" ht="15" hidden="true" customHeight="false" outlineLevel="0" collapsed="false">
      <c r="A47" s="256" t="n">
        <f aca="false">IF(Horodateur11233538192231343743464952555861646985222634384650585462667074788290989410210611411811012212613013413814214615015415816216617017417818218619019419820220621021441014182226303438465054[[#This Row],[Jour]]="1- Lundi",$B$1+1, IF(Horodateur11233538192231343743464952555861646985222634384650585462667074788290989410210611411811012212613013413814214615015415816216617017417818218619019419820220621021441014182226303438465054[[#This Row],[Jour]]="2- Mardi",$B$1+2, IF(Horodateur11233538192231343743464952555861646985222634384650585462667074788290989410210611411811012212613013413814214615015415816216617017417818218619019419820220621021441014182226303438465054[[#This Row],[Jour]]="3- Mercredi",$B$1+3, IF(Horodateur11233538192231343743464952555861646985222634384650585462667074788290989410210611411811012212613013413814214615015415816216617017417818218619019419820220621021441014182226303438465054[[#This Row],[Jour]]="4- Jeudi",$B$1+4, IF(Horodateur11233538192231343743464952555861646985222634384650585462667074788290989410210611411811012212613013413814214615015415816216617017417818218619019419820220621021441014182226303438465054[[#This Row],[Jour]]="5- Vendredi",$B$1+5, IF(Horodateur11233538192231343743464952555861646985222634384650585462667074788290989410210611411811012212613013413814214615015415816216617017417818218619019419820220621021441014182226303438465054[[#This Row],[Jour]]="6- Samedi",$B$1+6, IF(Horodateur11233538192231343743464952555861646985222634384650585462667074788290989410210611411811012212613013413814214615015415816216617017417818218619019419820220621021441014182226303438465054[[#This Row],[Jour]]="7- Dimanche",$B$1, )))))))</f>
        <v>44297</v>
      </c>
      <c r="B47" s="257" t="s">
        <v>341</v>
      </c>
      <c r="C47" s="258" t="n">
        <v>0.333333333333333</v>
      </c>
      <c r="D47" s="258" t="n">
        <v>0.458333333333333</v>
      </c>
      <c r="E47" s="71" t="s">
        <v>59</v>
      </c>
      <c r="F47" s="71" t="s">
        <v>378</v>
      </c>
      <c r="G47" s="259" t="s">
        <v>465</v>
      </c>
      <c r="H47" s="258" t="n">
        <f aca="false">IF($C47=0,"",$D47-$C47)</f>
        <v>0.125</v>
      </c>
      <c r="I47" s="260" t="n">
        <f aca="false">IF($C47=0,"",($H47-INT($H47))*24)</f>
        <v>3</v>
      </c>
      <c r="J47" s="303" t="n">
        <f aca="false">SUMIF(Horodateur11233538192231343743464952555861646985222634384650585462667074788290989410210611411811012212613013413814214615015415816216617017417818218619019419820220621021441014182226303438465054[Jour],$B47,Horodateur11233538192231343743464952555861646985222634384650585462667074788290989410210611411811012212613013413814214615015415816216617017417818218619019419820220621021441014182226303438465054[Durée (100)])</f>
        <v>3</v>
      </c>
      <c r="K47" s="335"/>
      <c r="L47" s="188" t="s">
        <v>31</v>
      </c>
      <c r="M47" s="272" t="n">
        <f aca="false">IF(Horodateur11233538192231343743464952555861646985222634384650585462667074788290989410210611411811012212613013413814214615015415816216617017417818218619019419820220621021441014182226303438465054[[#This Row],[O]]="o",Horodateur11233538192231343743464952555861646985222634384650585462667074788290989410210611411811012212613013413814214615015415816216617017417818218619019419820220621021441014182226303438465054[[#This Row],[Durée (100)]],".")</f>
        <v>3</v>
      </c>
      <c r="N47" s="187"/>
      <c r="O47" s="71"/>
      <c r="P47" s="71"/>
      <c r="Q47" s="71"/>
      <c r="R47" s="71"/>
      <c r="S47" s="71"/>
      <c r="T47" s="71"/>
      <c r="U47" s="71"/>
      <c r="V47" s="71"/>
      <c r="W47" s="71"/>
      <c r="X47" s="71"/>
      <c r="Y47" s="71"/>
      <c r="Z47" s="71"/>
      <c r="AA47" s="71"/>
      <c r="AB47" s="71"/>
      <c r="AC47" s="71"/>
      <c r="AD47" s="71"/>
      <c r="AE47" s="71"/>
      <c r="AF47" s="71"/>
      <c r="AG47" s="71"/>
    </row>
    <row r="48" customFormat="false" ht="15" hidden="false" customHeight="false" outlineLevel="0" collapsed="false">
      <c r="A48" s="137"/>
      <c r="B48" s="187"/>
      <c r="C48" s="71"/>
      <c r="D48" s="1"/>
      <c r="E48" s="1"/>
      <c r="F48" s="71"/>
      <c r="G48" s="1"/>
      <c r="H48" s="1"/>
      <c r="I48" s="119"/>
      <c r="J48" s="271"/>
      <c r="K48" s="1"/>
      <c r="L48" s="188"/>
      <c r="M48" s="272"/>
      <c r="N48" s="187"/>
      <c r="O48" s="71"/>
      <c r="P48" s="71"/>
      <c r="Q48" s="71"/>
      <c r="R48" s="71"/>
      <c r="S48" s="71"/>
      <c r="T48" s="71"/>
      <c r="U48" s="71"/>
      <c r="V48" s="71"/>
      <c r="W48" s="71"/>
      <c r="X48" s="71"/>
      <c r="Y48" s="71"/>
      <c r="Z48" s="71"/>
      <c r="AA48" s="71"/>
      <c r="AB48" s="71"/>
      <c r="AC48" s="71"/>
      <c r="AD48" s="71"/>
      <c r="AE48" s="71"/>
      <c r="AF48" s="71"/>
      <c r="AG48" s="71"/>
    </row>
    <row r="49" customFormat="false" ht="15" hidden="false" customHeight="false" outlineLevel="0" collapsed="false">
      <c r="A49" s="137"/>
      <c r="B49" s="187"/>
      <c r="C49" s="71"/>
      <c r="D49" s="1"/>
      <c r="E49" s="1"/>
      <c r="F49" s="71"/>
      <c r="G49" s="1"/>
      <c r="H49" s="1"/>
      <c r="I49" s="119"/>
      <c r="J49" s="271"/>
      <c r="K49" s="1"/>
      <c r="L49" s="188"/>
      <c r="M49" s="272"/>
      <c r="N49" s="187"/>
      <c r="O49" s="71"/>
      <c r="P49" s="71"/>
      <c r="Q49" s="71"/>
      <c r="R49" s="71"/>
      <c r="S49" s="71"/>
      <c r="T49" s="71"/>
      <c r="U49" s="71"/>
      <c r="V49" s="71"/>
      <c r="W49" s="71"/>
      <c r="X49" s="71"/>
      <c r="Y49" s="71"/>
      <c r="Z49" s="71"/>
      <c r="AA49" s="71"/>
      <c r="AB49" s="71"/>
      <c r="AC49" s="71"/>
      <c r="AD49" s="71"/>
      <c r="AE49" s="71"/>
      <c r="AF49" s="71"/>
      <c r="AG49" s="71"/>
    </row>
    <row r="50" customFormat="false" ht="15" hidden="false" customHeight="false" outlineLevel="0" collapsed="false">
      <c r="A50" s="137"/>
      <c r="B50" s="187"/>
      <c r="C50" s="71"/>
      <c r="D50" s="1"/>
      <c r="E50" s="1"/>
      <c r="F50" s="71"/>
      <c r="G50" s="1"/>
      <c r="H50" s="1"/>
      <c r="I50" s="119"/>
      <c r="J50" s="271"/>
      <c r="K50" s="1"/>
      <c r="L50" s="188"/>
      <c r="N50" s="187"/>
      <c r="O50" s="71"/>
      <c r="P50" s="71"/>
      <c r="Q50" s="71"/>
      <c r="R50" s="71"/>
      <c r="S50" s="71"/>
      <c r="T50" s="71"/>
      <c r="U50" s="71"/>
      <c r="V50" s="71"/>
      <c r="W50" s="71"/>
      <c r="X50" s="71"/>
      <c r="Y50" s="71"/>
      <c r="Z50" s="71"/>
      <c r="AA50" s="71"/>
      <c r="AB50" s="71"/>
      <c r="AC50" s="71"/>
      <c r="AD50" s="71"/>
      <c r="AE50" s="71"/>
      <c r="AF50" s="71"/>
      <c r="AG50" s="71"/>
    </row>
    <row r="51" customFormat="false" ht="15" hidden="false" customHeight="false" outlineLevel="0" collapsed="false">
      <c r="A51" s="274" t="s">
        <v>377</v>
      </c>
      <c r="B51" s="275" t="str">
        <f aca="false">SUM($A$97:$A$527) &amp; " heures"</f>
        <v>26.75 heures</v>
      </c>
      <c r="C51" s="276" t="str">
        <f aca="false">SUM($A$97:$A$518) / 8 &amp; " Jours"</f>
        <v>3.34375 Jours</v>
      </c>
      <c r="D51" s="277"/>
      <c r="E51" s="277" t="n">
        <v>33.25</v>
      </c>
      <c r="F51" s="278" t="n">
        <f aca="false">E51/8</f>
        <v>4.15625</v>
      </c>
      <c r="G51" s="277"/>
      <c r="H51" s="277"/>
      <c r="I51" s="279"/>
      <c r="J51" s="280"/>
      <c r="K51" s="277"/>
      <c r="L51" s="281"/>
      <c r="M51" s="282"/>
      <c r="N51" s="283"/>
      <c r="O51" s="277"/>
      <c r="P51" s="277"/>
      <c r="Q51" s="277"/>
      <c r="R51" s="277"/>
      <c r="S51" s="277"/>
      <c r="T51" s="277"/>
      <c r="U51" s="278"/>
      <c r="V51" s="278"/>
      <c r="W51" s="278"/>
      <c r="X51" s="278"/>
      <c r="Y51" s="278"/>
      <c r="Z51" s="278"/>
      <c r="AA51" s="278"/>
      <c r="AB51" s="278"/>
      <c r="AC51" s="278"/>
      <c r="AD51" s="278"/>
      <c r="AE51" s="278"/>
      <c r="AF51" s="278"/>
      <c r="AG51" s="278"/>
    </row>
    <row r="52" customFormat="false" ht="15" hidden="false" customHeight="false" outlineLevel="0" collapsed="false">
      <c r="A52" s="137"/>
      <c r="B52" s="187"/>
      <c r="C52" s="71"/>
      <c r="D52" s="1"/>
      <c r="E52" s="1"/>
      <c r="F52" s="71"/>
      <c r="G52" s="1"/>
      <c r="H52" s="1"/>
      <c r="I52" s="119"/>
      <c r="J52" s="271"/>
      <c r="K52" s="1"/>
      <c r="L52" s="188"/>
      <c r="M52" s="272"/>
      <c r="N52" s="187"/>
      <c r="O52" s="1"/>
      <c r="P52" s="1"/>
      <c r="Q52" s="1"/>
      <c r="R52" s="1"/>
      <c r="S52" s="1"/>
      <c r="T52" s="1"/>
      <c r="U52" s="71"/>
      <c r="V52" s="71"/>
      <c r="W52" s="71"/>
      <c r="X52" s="71"/>
      <c r="Y52" s="71"/>
      <c r="Z52" s="71"/>
      <c r="AA52" s="71"/>
      <c r="AB52" s="71"/>
      <c r="AC52" s="71"/>
      <c r="AD52" s="71"/>
      <c r="AE52" s="71"/>
      <c r="AF52" s="71"/>
      <c r="AG52" s="71"/>
    </row>
    <row r="53" customFormat="false" ht="15" hidden="true" customHeight="false" outlineLevel="1" collapsed="false">
      <c r="A53" s="137"/>
      <c r="B53" s="137"/>
      <c r="C53" s="137"/>
      <c r="D53" s="137"/>
      <c r="E53" s="1"/>
      <c r="F53" s="71"/>
      <c r="G53" s="1"/>
      <c r="H53" s="1"/>
      <c r="I53" s="119"/>
      <c r="J53" s="271"/>
      <c r="K53" s="1"/>
      <c r="L53" s="188"/>
      <c r="M53" s="272"/>
      <c r="N53" s="187"/>
      <c r="O53" s="1"/>
      <c r="P53" s="1"/>
      <c r="Q53" s="1"/>
      <c r="R53" s="1"/>
      <c r="S53" s="1"/>
      <c r="T53" s="1"/>
      <c r="U53" s="71"/>
      <c r="V53" s="71"/>
      <c r="W53" s="71"/>
      <c r="X53" s="71"/>
      <c r="Y53" s="71"/>
      <c r="Z53" s="71"/>
      <c r="AA53" s="71"/>
      <c r="AB53" s="71"/>
      <c r="AC53" s="71"/>
      <c r="AD53" s="71"/>
      <c r="AE53" s="71"/>
      <c r="AF53" s="71"/>
      <c r="AG53" s="71"/>
    </row>
    <row r="54" customFormat="false" ht="15" hidden="true" customHeight="false" outlineLevel="1" collapsed="false">
      <c r="A54" s="284" t="s">
        <v>84</v>
      </c>
      <c r="B54" s="285" t="s">
        <v>21</v>
      </c>
      <c r="C54" s="285" t="s">
        <v>20</v>
      </c>
      <c r="D54" s="285" t="s">
        <v>23</v>
      </c>
      <c r="E54" s="285" t="s">
        <v>25</v>
      </c>
      <c r="F54" s="285" t="s">
        <v>26</v>
      </c>
      <c r="G54" s="285" t="s">
        <v>378</v>
      </c>
      <c r="H54" s="285" t="s">
        <v>379</v>
      </c>
      <c r="I54" s="285" t="s">
        <v>380</v>
      </c>
      <c r="J54" s="286" t="s">
        <v>58</v>
      </c>
      <c r="K54" s="287"/>
      <c r="L54" s="288"/>
      <c r="M54" s="289"/>
      <c r="N54" s="187"/>
      <c r="O54" s="1"/>
      <c r="P54" s="1"/>
      <c r="Q54" s="1"/>
      <c r="R54" s="1"/>
      <c r="S54" s="1"/>
      <c r="T54" s="71"/>
      <c r="U54" s="71"/>
      <c r="V54" s="71"/>
      <c r="W54" s="71"/>
      <c r="X54" s="71"/>
      <c r="Y54" s="71"/>
      <c r="Z54" s="71"/>
      <c r="AA54" s="71"/>
      <c r="AB54" s="71"/>
      <c r="AC54" s="71"/>
      <c r="AD54" s="71"/>
      <c r="AE54" s="71"/>
      <c r="AF54" s="71"/>
    </row>
    <row r="55" customFormat="false" ht="15" hidden="true" customHeight="false" outlineLevel="1" collapsed="false">
      <c r="A55" s="187" t="s">
        <v>312</v>
      </c>
      <c r="B55" s="71" t="n">
        <f aca="false">SUMIFS(Horodateur11233538192231343743464952555861646985222634384650585462667074788290989410210611411811012212613013413814214615015415816216617017417818218619019419820220621021441014182226303438465054[Durée (100)],Horodateur11233538192231343743464952555861646985222634384650585462667074788290989410210611411811012212613013413814214615015415816216617017417818218619019419820220621021441014182226303438465054[Tâche],Taches_Jours1224363917202932354144475053565962678320243236444856526064687276808896921001041121161081201241281321361401441481521561601641681721761801841881921962002042082122612162024283236444852[[#Headers],[GB]],Horodateur11233538192231343743464952555861646985222634384650585462667074788290989410210611411811012212613013413814214615015415816216617017417818218619019419820220621021441014182226303438465054[Jour],Taches_Jours1224363917202932354144475053565962678320243236444856526064687276808896921001041121161081201241281321361401441481521561601641681721761801841881921962002042082122612162024283236444852[[#This Row],[Jours]])</f>
        <v>1</v>
      </c>
      <c r="C55" s="71" t="n">
        <f aca="false">SUMIFS(Horodateur11233538192231343743464952555861646985222634384650585462667074788290989410210611411811012212613013413814214615015415816216617017417818218619019419820220621021441014182226303438465054[Durée (100)],Horodateur11233538192231343743464952555861646985222634384650585462667074788290989410210611411811012212613013413814214615015415816216617017417818218619019419820220621021441014182226303438465054[Tâche],Taches_Jours1224363917202932354144475053565962678320243236444856526064687276808896921001041121161081201241281321361401441481521561601641681721761801841881921962002042082122612162024283236444852[[#Headers],[RI]],Horodateur11233538192231343743464952555861646985222634384650585462667074788290989410210611411811012212613013413814214615015415816216617017417818218619019419820220621021441014182226303438465054[Jour],Taches_Jours1224363917202932354144475053565962678320243236444856526064687276808896921001041121161081201241281321361401441481521561601641681721761801841881921962002042082122612162024283236444852[[#This Row],[Jours]])</f>
        <v>0.500000000000001</v>
      </c>
      <c r="D55" s="71" t="n">
        <f aca="false">SUMIFS(Horodateur11233538192231343743464952555861646985222634384650585462667074788290989410210611411811012212613013413814214615015415816216617017417818218619019419820220621021441014182226303438465054[Durée (100)],Horodateur11233538192231343743464952555861646985222634384650585462667074788290989410210611411811012212613013413814214615015415816216617017417818218619019419820220621021441014182226303438465054[Tâche],Taches_Jours1224363917202932354144475053565962678320243236444856526064687276808896921001041121161081201241281321361401441481521561601641681721761801841881921962002042082122612162024283236444852[[#Headers],[FG]],Horodateur11233538192231343743464952555861646985222634384650585462667074788290989410210611411811012212613013413814214615015415816216617017417818218619019419820220621021441014182226303438465054[Jour],Taches_Jours1224363917202932354144475053565962678320243236444856526064687276808896921001041121161081201241281321361401441481521561601641681721761801841881921962002042082122612162024283236444852[[#This Row],[Jours]])</f>
        <v>0.500000000000001</v>
      </c>
      <c r="E55" s="71" t="n">
        <f aca="false">SUMIFS(Horodateur11233538192231343743464952555861646985222634384650585462667074788290989410210611411811012212613013413814214615015415816216617017417818218619019419820220621021441014182226303438465054[Durée (100)],Horodateur11233538192231343743464952555861646985222634384650585462667074788290989410210611411811012212613013413814214615015415816216617017417818218619019419820220621021441014182226303438465054[Tâche],Taches_Jours1224363917202932354144475053565962678320243236444856526064687276808896921001041121161081201241281321361401441481521561601641681721761801841881921962002042082122612162024283236444852[[#Headers],[PS]],Horodateur11233538192231343743464952555861646985222634384650585462667074788290989410210611411811012212613013413814214615015415816216617017417818218619019419820220621021441014182226303438465054[Jour],Taches_Jours1224363917202932354144475053565962678320243236444856526064687276808896921001041121161081201241281321361401441481521561601641681721761801841881921962002042082122612162024283236444852[[#This Row],[Jours]])</f>
        <v>0</v>
      </c>
      <c r="F55" s="71" t="n">
        <f aca="false">SUMIFS(Horodateur11233538192231343743464952555861646985222634384650585462667074788290989410210611411811012212613013413814214615015415816216617017417818218619019419820220621021441014182226303438465054[Durée (100)],Horodateur11233538192231343743464952555861646985222634384650585462667074788290989410210611411811012212613013413814214615015415816216617017417818218619019419820220621021441014182226303438465054[Tâche],Taches_Jours1224363917202932354144475053565962678320243236444856526064687276808896921001041121161081201241281321361401441481521561601641681721761801841881921962002042082122612162024283236444852[[#Headers],[TD]],Horodateur11233538192231343743464952555861646985222634384650585462667074788290989410210611411811012212613013413814214615015415816216617017417818218619019419820220621021441014182226303438465054[Jour],Taches_Jours1224363917202932354144475053565962678320243236444856526064687276808896921001041121161081201241281321361401441481521561601641681721761801841881921962002042082122612162024283236444852[[#This Row],[Jours]])</f>
        <v>0</v>
      </c>
      <c r="G55" s="71" t="n">
        <f aca="false">SUMIFS(Horodateur11233538192231343743464952555861646985222634384650585462667074788290989410210611411811012212613013413814214615015415816216617017417818218619019419820220621021441014182226303438465054[Durée (100)],Horodateur11233538192231343743464952555861646985222634384650585462667074788290989410210611411811012212613013413814214615015415816216617017417818218619019419820220621021441014182226303438465054[Tâche],Taches_Jours1224363917202932354144475053565962678320243236444856526064687276808896921001041121161081201241281321361401441481521561601641681721761801841881921962002042082122612162024283236444852[[#Headers],[GP]],Horodateur11233538192231343743464952555861646985222634384650585462667074788290989410210611411811012212613013413814214615015415816216617017417818218619019419820220621021441014182226303438465054[Jour],Taches_Jours1224363917202932354144475053565962678320243236444856526064687276808896921001041121161081201241281321361401441481521561601641681721761801841881921962002042082122612162024283236444852[[#This Row],[Jours]])</f>
        <v>5.25</v>
      </c>
      <c r="H55" s="71" t="n">
        <f aca="false">SUMIFS(Horodateur11233538192231343743464952555861646985222634384650585462667074788290989410210611411811012212613013413814214615015415816216617017417818218619019419820220621021441014182226303438465054[Durée (100)],Horodateur11233538192231343743464952555861646985222634384650585462667074788290989410210611411811012212613013413814214615015415816216617017417818218619019419820220621021441014182226303438465054[Tâche],Taches_Jours1224363917202932354144475053565962678320243236444856526064687276808896921001041121161081201241281321361401441481521561601641681721761801841881921962002042082122612162024283236444852[[#Headers],[GP / SP]],Horodateur11233538192231343743464952555861646985222634384650585462667074788290989410210611411811012212613013413814214615015415816216617017417818218619019419820220621021441014182226303438465054[Jour],Taches_Jours1224363917202932354144475053565962678320243236444856526064687276808896921001041121161081201241281321361401441481521561601641681721761801841881921962002042082122612162024283236444852[[#This Row],[Jours]])</f>
        <v>1.25</v>
      </c>
      <c r="I55" s="71" t="n">
        <f aca="false">SUMIFS(Horodateur11233538192231343743464952555861646985222634384650585462667074788290989410210611411811012212613013413814214615015415816216617017417818218619019419820220621021441014182226303438465054[Durée (100)],Horodateur11233538192231343743464952555861646985222634384650585462667074788290989410210611411811012212613013413814214615015415816216617017417818218619019419820220621021441014182226303438465054[Tâche],Taches_Jours1224363917202932354144475053565962678320243236444856526064687276808896921001041121161081201241281321361401441481521561601641681721761801841881921962002042082122612162024283236444852[[#Headers],[GP / SP]],Horodateur11233538192231343743464952555861646985222634384650585462667074788290989410210611411811012212613013413814214615015415816216617017417818218619019419820220621021441014182226303438465054[Jour],Taches_Jours1224363917202932354144475053565962678320243236444856526064687276808896921001041121161081201241281321361401441481521561601641681721761801841881921962002042082122612162024283236444852[[#This Row],[Jours]])</f>
        <v>1.25</v>
      </c>
      <c r="J55" s="290" t="n">
        <f aca="false">SUM(Taches_Jours1224363917202932354144475053565962678320243236444856526064687276808896921001041121161081201241281321361401441481521561601641681721761801841881921962002042082122612162024283236444852[[#This Row],[GB]:[GP / SP]])</f>
        <v>8.5</v>
      </c>
      <c r="K55" s="188"/>
      <c r="L55" s="288"/>
      <c r="M55" s="289"/>
      <c r="N55" s="187"/>
      <c r="O55" s="1"/>
      <c r="P55" s="1"/>
      <c r="Q55" s="1"/>
      <c r="R55" s="1"/>
      <c r="S55" s="1"/>
      <c r="T55" s="71"/>
      <c r="U55" s="71"/>
      <c r="V55" s="71"/>
      <c r="W55" s="71"/>
      <c r="X55" s="71"/>
      <c r="Y55" s="71"/>
      <c r="Z55" s="71"/>
      <c r="AA55" s="71"/>
      <c r="AB55" s="71"/>
      <c r="AC55" s="71"/>
      <c r="AD55" s="71"/>
      <c r="AE55" s="71"/>
      <c r="AF55" s="71"/>
    </row>
    <row r="56" customFormat="false" ht="15" hidden="true" customHeight="false" outlineLevel="1" collapsed="false">
      <c r="A56" s="187" t="s">
        <v>319</v>
      </c>
      <c r="B56" s="71" t="n">
        <f aca="false">SUMIFS(Horodateur11233538192231343743464952555861646985222634384650585462667074788290989410210611411811012212613013413814214615015415816216617017417818218619019419820220621021441014182226303438465054[Durée (100)],Horodateur11233538192231343743464952555861646985222634384650585462667074788290989410210611411811012212613013413814214615015415816216617017417818218619019419820220621021441014182226303438465054[Tâche],Taches_Jours1224363917202932354144475053565962678320243236444856526064687276808896921001041121161081201241281321361401441481521561601641681721761801841881921962002042082122612162024283236444852[[#Headers],[GB]],Horodateur11233538192231343743464952555861646985222634384650585462667074788290989410210611411811012212613013413814214615015415816216617017417818218619019419820220621021441014182226303438465054[Jour],Taches_Jours1224363917202932354144475053565962678320243236444856526064687276808896921001041121161081201241281321361401441481521561601641681721761801841881921962002042082122612162024283236444852[[#This Row],[Jours]])</f>
        <v>0</v>
      </c>
      <c r="C56" s="71" t="n">
        <f aca="false">SUMIFS(Horodateur11233538192231343743464952555861646985222634384650585462667074788290989410210611411811012212613013413814214615015415816216617017417818218619019419820220621021441014182226303438465054[Durée (100)],Horodateur11233538192231343743464952555861646985222634384650585462667074788290989410210611411811012212613013413814214615015415816216617017417818218619019419820220621021441014182226303438465054[Tâche],Taches_Jours1224363917202932354144475053565962678320243236444856526064687276808896921001041121161081201241281321361401441481521561601641681721761801841881921962002042082122612162024283236444852[[#Headers],[RI]],Horodateur11233538192231343743464952555861646985222634384650585462667074788290989410210611411811012212613013413814214615015415816216617017417818218619019419820220621021441014182226303438465054[Jour],Taches_Jours1224363917202932354144475053565962678320243236444856526064687276808896921001041121161081201241281321361401441481521561601641681721761801841881921962002042082122612162024283236444852[[#This Row],[Jours]])</f>
        <v>0</v>
      </c>
      <c r="D56" s="71" t="n">
        <f aca="false">SUMIFS(Horodateur11233538192231343743464952555861646985222634384650585462667074788290989410210611411811012212613013413814214615015415816216617017417818218619019419820220621021441014182226303438465054[Durée (100)],Horodateur11233538192231343743464952555861646985222634384650585462667074788290989410210611411811012212613013413814214615015415816216617017417818218619019419820220621021441014182226303438465054[Tâche],Taches_Jours1224363917202932354144475053565962678320243236444856526064687276808896921001041121161081201241281321361401441481521561601641681721761801841881921962002042082122612162024283236444852[[#Headers],[FG]],Horodateur11233538192231343743464952555861646985222634384650585462667074788290989410210611411811012212613013413814214615015415816216617017417818218619019419820220621021441014182226303438465054[Jour],Taches_Jours1224363917202932354144475053565962678320243236444856526064687276808896921001041121161081201241281321361401441481521561601641681721761801841881921962002042082122612162024283236444852[[#This Row],[Jours]])</f>
        <v>0.249999999999999</v>
      </c>
      <c r="E56" s="71" t="n">
        <f aca="false">SUMIFS(Horodateur11233538192231343743464952555861646985222634384650585462667074788290989410210611411811012212613013413814214615015415816216617017417818218619019419820220621021441014182226303438465054[Durée (100)],Horodateur11233538192231343743464952555861646985222634384650585462667074788290989410210611411811012212613013413814214615015415816216617017417818218619019419820220621021441014182226303438465054[Tâche],Taches_Jours1224363917202932354144475053565962678320243236444856526064687276808896921001041121161081201241281321361401441481521561601641681721761801841881921962002042082122612162024283236444852[[#Headers],[PS]],Horodateur11233538192231343743464952555861646985222634384650585462667074788290989410210611411811012212613013413814214615015415816216617017417818218619019419820220621021441014182226303438465054[Jour],Taches_Jours1224363917202932354144475053565962678320243236444856526064687276808896921001041121161081201241281321361401441481521561601641681721761801841881921962002042082122612162024283236444852[[#This Row],[Jours]])</f>
        <v>0</v>
      </c>
      <c r="F56" s="71" t="n">
        <f aca="false">SUMIFS(Horodateur11233538192231343743464952555861646985222634384650585462667074788290989410210611411811012212613013413814214615015415816216617017417818218619019419820220621021441014182226303438465054[Durée (100)],Horodateur11233538192231343743464952555861646985222634384650585462667074788290989410210611411811012212613013413814214615015415816216617017417818218619019419820220621021441014182226303438465054[Tâche],Taches_Jours1224363917202932354144475053565962678320243236444856526064687276808896921001041121161081201241281321361401441481521561601641681721761801841881921962002042082122612162024283236444852[[#Headers],[TD]],Horodateur11233538192231343743464952555861646985222634384650585462667074788290989410210611411811012212613013413814214615015415816216617017417818218619019419820220621021441014182226303438465054[Jour],Taches_Jours1224363917202932354144475053565962678320243236444856526064687276808896921001041121161081201241281321361401441481521561601641681721761801841881921962002042082122612162024283236444852[[#This Row],[Jours]])</f>
        <v>0</v>
      </c>
      <c r="G56" s="71" t="n">
        <f aca="false">SUMIFS(Horodateur11233538192231343743464952555861646985222634384650585462667074788290989410210611411811012212613013413814214615015415816216617017417818218619019419820220621021441014182226303438465054[Durée (100)],Horodateur11233538192231343743464952555861646985222634384650585462667074788290989410210611411811012212613013413814214615015415816216617017417818218619019419820220621021441014182226303438465054[Tâche],Taches_Jours1224363917202932354144475053565962678320243236444856526064687276808896921001041121161081201241281321361401441481521561601641681721761801841881921962002042082122612162024283236444852[[#Headers],[GP]],Horodateur11233538192231343743464952555861646985222634384650585462667074788290989410210611411811012212613013413814214615015415816216617017417818218619019419820220621021441014182226303438465054[Jour],Taches_Jours1224363917202932354144475053565962678320243236444856526064687276808896921001041121161081201241281321361401441481521561601641681721761801841881921962002042082122612162024283236444852[[#This Row],[Jours]])</f>
        <v>6</v>
      </c>
      <c r="H56" s="71" t="n">
        <f aca="false">SUMIFS(Horodateur11233538192231343743464952555861646985222634384650585462667074788290989410210611411811012212613013413814214615015415816216617017417818218619019419820220621021441014182226303438465054[Durée (100)],Horodateur11233538192231343743464952555861646985222634384650585462667074788290989410210611411811012212613013413814214615015415816216617017417818218619019419820220621021441014182226303438465054[Tâche],Taches_Jours1224363917202932354144475053565962678320243236444856526064687276808896921001041121161081201241281321361401441481521561601641681721761801841881921962002042082122612162024283236444852[[#Headers],[GP / SP]],Horodateur11233538192231343743464952555861646985222634384650585462667074788290989410210611411811012212613013413814214615015415816216617017417818218619019419820220621021441014182226303438465054[Jour],Taches_Jours1224363917202932354144475053565962678320243236444856526064687276808896921001041121161081201241281321361401441481521561601641681721761801841881921962002042082122612162024283236444852[[#This Row],[Jours]])</f>
        <v>0</v>
      </c>
      <c r="I56" s="71" t="n">
        <f aca="false">SUMIFS(Horodateur11233538192231343743464952555861646985222634384650585462667074788290989410210611411811012212613013413814214615015415816216617017417818218619019419820220621021441014182226303438465054[Durée (100)],Horodateur11233538192231343743464952555861646985222634384650585462667074788290989410210611411811012212613013413814214615015415816216617017417818218619019419820220621021441014182226303438465054[Tâche],Taches_Jours1224363917202932354144475053565962678320243236444856526064687276808896921001041121161081201241281321361401441481521561601641681721761801841881921962002042082122612162024283236444852[[#Headers],[GP / SP]],Horodateur11233538192231343743464952555861646985222634384650585462667074788290989410210611411811012212613013413814214615015415816216617017417818218619019419820220621021441014182226303438465054[Jour],Taches_Jours1224363917202932354144475053565962678320243236444856526064687276808896921001041121161081201241281321361401441481521561601641681721761801841881921962002042082122612162024283236444852[[#This Row],[Jours]])</f>
        <v>0</v>
      </c>
      <c r="J56" s="290" t="n">
        <f aca="false">SUM(Taches_Jours1224363917202932354144475053565962678320243236444856526064687276808896921001041121161081201241281321361401441481521561601641681721761801841881921962002042082122612162024283236444852[[#This Row],[GB]:[GP / SP]])</f>
        <v>6.25</v>
      </c>
      <c r="K56" s="188"/>
      <c r="L56" s="288"/>
      <c r="M56" s="289"/>
      <c r="N56" s="187"/>
      <c r="O56" s="1"/>
      <c r="P56" s="1"/>
      <c r="Q56" s="1"/>
      <c r="R56" s="1"/>
      <c r="S56" s="1"/>
      <c r="T56" s="71"/>
      <c r="U56" s="71"/>
      <c r="V56" s="71"/>
      <c r="W56" s="71"/>
      <c r="X56" s="71"/>
      <c r="Y56" s="71"/>
      <c r="Z56" s="71"/>
      <c r="AA56" s="71"/>
      <c r="AB56" s="71"/>
      <c r="AC56" s="71"/>
      <c r="AD56" s="71"/>
      <c r="AE56" s="71"/>
      <c r="AF56" s="71"/>
    </row>
    <row r="57" customFormat="false" ht="15" hidden="true" customHeight="false" outlineLevel="1" collapsed="false">
      <c r="A57" s="187" t="s">
        <v>324</v>
      </c>
      <c r="B57" s="71" t="n">
        <f aca="false">SUMIFS(Horodateur11233538192231343743464952555861646985222634384650585462667074788290989410210611411811012212613013413814214615015415816216617017417818218619019419820220621021441014182226303438465054[Durée (100)],Horodateur11233538192231343743464952555861646985222634384650585462667074788290989410210611411811012212613013413814214615015415816216617017417818218619019419820220621021441014182226303438465054[Tâche],Taches_Jours1224363917202932354144475053565962678320243236444856526064687276808896921001041121161081201241281321361401441481521561601641681721761801841881921962002042082122612162024283236444852[[#Headers],[GB]],Horodateur11233538192231343743464952555861646985222634384650585462667074788290989410210611411811012212613013413814214615015415816216617017417818218619019419820220621021441014182226303438465054[Jour],Taches_Jours1224363917202932354144475053565962678320243236444856526064687276808896921001041121161081201241281321361401441481521561601641681721761801841881921962002042082122612162024283236444852[[#This Row],[Jours]])</f>
        <v>0</v>
      </c>
      <c r="C57" s="71" t="n">
        <f aca="false">SUMIFS(Horodateur11233538192231343743464952555861646985222634384650585462667074788290989410210611411811012212613013413814214615015415816216617017417818218619019419820220621021441014182226303438465054[Durée (100)],Horodateur11233538192231343743464952555861646985222634384650585462667074788290989410210611411811012212613013413814214615015415816216617017417818218619019419820220621021441014182226303438465054[Tâche],Taches_Jours1224363917202932354144475053565962678320243236444856526064687276808896921001041121161081201241281321361401441481521561601641681721761801841881921962002042082122612162024283236444852[[#Headers],[RI]],Horodateur11233538192231343743464952555861646985222634384650585462667074788290989410210611411811012212613013413814214615015415816216617017417818218619019419820220621021441014182226303438465054[Jour],Taches_Jours1224363917202932354144475053565962678320243236444856526064687276808896921001041121161081201241281321361401441481521561601641681721761801841881921962002042082122612162024283236444852[[#This Row],[Jours]])</f>
        <v>0</v>
      </c>
      <c r="D57" s="71" t="n">
        <f aca="false">SUMIFS(Horodateur11233538192231343743464952555861646985222634384650585462667074788290989410210611411811012212613013413814214615015415816216617017417818218619019419820220621021441014182226303438465054[Durée (100)],Horodateur11233538192231343743464952555861646985222634384650585462667074788290989410210611411811012212613013413814214615015415816216617017417818218619019419820220621021441014182226303438465054[Tâche],Taches_Jours1224363917202932354144475053565962678320243236444856526064687276808896921001041121161081201241281321361401441481521561601641681721761801841881921962002042082122612162024283236444852[[#Headers],[FG]],Horodateur11233538192231343743464952555861646985222634384650585462667074788290989410210611411811012212613013413814214615015415816216617017417818218619019419820220621021441014182226303438465054[Jour],Taches_Jours1224363917202932354144475053565962678320243236444856526064687276808896921001041121161081201241281321361401441481521561601641681721761801841881921962002042082122612162024283236444852[[#This Row],[Jours]])</f>
        <v>1</v>
      </c>
      <c r="E57" s="71" t="n">
        <f aca="false">SUMIFS(Horodateur11233538192231343743464952555861646985222634384650585462667074788290989410210611411811012212613013413814214615015415816216617017417818218619019419820220621021441014182226303438465054[Durée (100)],Horodateur11233538192231343743464952555861646985222634384650585462667074788290989410210611411811012212613013413814214615015415816216617017417818218619019419820220621021441014182226303438465054[Tâche],Taches_Jours1224363917202932354144475053565962678320243236444856526064687276808896921001041121161081201241281321361401441481521561601641681721761801841881921962002042082122612162024283236444852[[#Headers],[PS]],Horodateur11233538192231343743464952555861646985222634384650585462667074788290989410210611411811012212613013413814214615015415816216617017417818218619019419820220621021441014182226303438465054[Jour],Taches_Jours1224363917202932354144475053565962678320243236444856526064687276808896921001041121161081201241281321361401441481521561601641681721761801841881921962002042082122612162024283236444852[[#This Row],[Jours]])</f>
        <v>0</v>
      </c>
      <c r="F57" s="71" t="n">
        <f aca="false">SUMIFS(Horodateur11233538192231343743464952555861646985222634384650585462667074788290989410210611411811012212613013413814214615015415816216617017417818218619019419820220621021441014182226303438465054[Durée (100)],Horodateur11233538192231343743464952555861646985222634384650585462667074788290989410210611411811012212613013413814214615015415816216617017417818218619019419820220621021441014182226303438465054[Tâche],Taches_Jours1224363917202932354144475053565962678320243236444856526064687276808896921001041121161081201241281321361401441481521561601641681721761801841881921962002042082122612162024283236444852[[#Headers],[TD]],Horodateur11233538192231343743464952555861646985222634384650585462667074788290989410210611411811012212613013413814214615015415816216617017417818218619019419820220621021441014182226303438465054[Jour],Taches_Jours1224363917202932354144475053565962678320243236444856526064687276808896921001041121161081201241281321361401441481521561601641681721761801841881921962002042082122612162024283236444852[[#This Row],[Jours]])</f>
        <v>0</v>
      </c>
      <c r="G57" s="71" t="n">
        <f aca="false">SUMIFS(Horodateur11233538192231343743464952555861646985222634384650585462667074788290989410210611411811012212613013413814214615015415816216617017417818218619019419820220621021441014182226303438465054[Durée (100)],Horodateur11233538192231343743464952555861646985222634384650585462667074788290989410210611411811012212613013413814214615015415816216617017417818218619019419820220621021441014182226303438465054[Tâche],Taches_Jours1224363917202932354144475053565962678320243236444856526064687276808896921001041121161081201241281321361401441481521561601641681721761801841881921962002042082122612162024283236444852[[#Headers],[GP]],Horodateur11233538192231343743464952555861646985222634384650585462667074788290989410210611411811012212613013413814214615015415816216617017417818218619019419820220621021441014182226303438465054[Jour],Taches_Jours1224363917202932354144475053565962678320243236444856526064687276808896921001041121161081201241281321361401441481521561601641681721761801841881921962002042082122612162024283236444852[[#This Row],[Jours]])</f>
        <v>4.5</v>
      </c>
      <c r="H57" s="71" t="n">
        <f aca="false">SUMIFS(Horodateur11233538192231343743464952555861646985222634384650585462667074788290989410210611411811012212613013413814214615015415816216617017417818218619019419820220621021441014182226303438465054[Durée (100)],Horodateur11233538192231343743464952555861646985222634384650585462667074788290989410210611411811012212613013413814214615015415816216617017417818218619019419820220621021441014182226303438465054[Tâche],Taches_Jours1224363917202932354144475053565962678320243236444856526064687276808896921001041121161081201241281321361401441481521561601641681721761801841881921962002042082122612162024283236444852[[#Headers],[GP / SP]],Horodateur11233538192231343743464952555861646985222634384650585462667074788290989410210611411811012212613013413814214615015415816216617017417818218619019419820220621021441014182226303438465054[Jour],Taches_Jours1224363917202932354144475053565962678320243236444856526064687276808896921001041121161081201241281321361401441481521561601641681721761801841881921962002042082122612162024283236444852[[#This Row],[Jours]])</f>
        <v>0</v>
      </c>
      <c r="I57" s="71" t="n">
        <f aca="false">SUMIFS(Horodateur11233538192231343743464952555861646985222634384650585462667074788290989410210611411811012212613013413814214615015415816216617017417818218619019419820220621021441014182226303438465054[Durée (100)],Horodateur11233538192231343743464952555861646985222634384650585462667074788290989410210611411811012212613013413814214615015415816216617017417818218619019419820220621021441014182226303438465054[Tâche],Taches_Jours1224363917202932354144475053565962678320243236444856526064687276808896921001041121161081201241281321361401441481521561601641681721761801841881921962002042082122612162024283236444852[[#Headers],[GP / SP]],Horodateur11233538192231343743464952555861646985222634384650585462667074788290989410210611411811012212613013413814214615015415816216617017417818218619019419820220621021441014182226303438465054[Jour],Taches_Jours1224363917202932354144475053565962678320243236444856526064687276808896921001041121161081201241281321361401441481521561601641681721761801841881921962002042082122612162024283236444852[[#This Row],[Jours]])</f>
        <v>0</v>
      </c>
      <c r="J57" s="290" t="n">
        <f aca="false">SUM(Taches_Jours1224363917202932354144475053565962678320243236444856526064687276808896921001041121161081201241281321361401441481521561601641681721761801841881921962002042082122612162024283236444852[[#This Row],[GB]:[GP / SP]])</f>
        <v>5.5</v>
      </c>
      <c r="K57" s="188"/>
      <c r="L57" s="288"/>
      <c r="M57" s="289"/>
      <c r="N57" s="187"/>
      <c r="O57" s="1"/>
      <c r="P57" s="1"/>
      <c r="Q57" s="1"/>
      <c r="R57" s="1"/>
      <c r="S57" s="1"/>
      <c r="T57" s="71"/>
      <c r="U57" s="71"/>
      <c r="V57" s="71"/>
      <c r="W57" s="71"/>
      <c r="X57" s="71"/>
      <c r="Y57" s="71"/>
      <c r="Z57" s="71"/>
      <c r="AA57" s="71"/>
      <c r="AB57" s="71"/>
      <c r="AC57" s="71"/>
      <c r="AD57" s="71"/>
      <c r="AE57" s="71"/>
      <c r="AF57" s="71"/>
    </row>
    <row r="58" customFormat="false" ht="15" hidden="true" customHeight="false" outlineLevel="1" collapsed="false">
      <c r="A58" s="187" t="s">
        <v>332</v>
      </c>
      <c r="B58" s="71" t="n">
        <f aca="false">SUMIFS(Horodateur11233538192231343743464952555861646985222634384650585462667074788290989410210611411811012212613013413814214615015415816216617017417818218619019419820220621021441014182226303438465054[Durée (100)],Horodateur11233538192231343743464952555861646985222634384650585462667074788290989410210611411811012212613013413814214615015415816216617017417818218619019419820220621021441014182226303438465054[Tâche],Taches_Jours1224363917202932354144475053565962678320243236444856526064687276808896921001041121161081201241281321361401441481521561601641681721761801841881921962002042082122612162024283236444852[[#Headers],[GB]],Horodateur11233538192231343743464952555861646985222634384650585462667074788290989410210611411811012212613013413814214615015415816216617017417818218619019419820220621021441014182226303438465054[Jour],Taches_Jours1224363917202932354144475053565962678320243236444856526064687276808896921001041121161081201241281321361401441481521561601641681721761801841881921962002042082122612162024283236444852[[#This Row],[Jours]])</f>
        <v>0.500000000000001</v>
      </c>
      <c r="C58" s="71" t="n">
        <f aca="false">SUMIFS(Horodateur11233538192231343743464952555861646985222634384650585462667074788290989410210611411811012212613013413814214615015415816216617017417818218619019419820220621021441014182226303438465054[Durée (100)],Horodateur11233538192231343743464952555861646985222634384650585462667074788290989410210611411811012212613013413814214615015415816216617017417818218619019419820220621021441014182226303438465054[Tâche],Taches_Jours1224363917202932354144475053565962678320243236444856526064687276808896921001041121161081201241281321361401441481521561601641681721761801841881921962002042082122612162024283236444852[[#Headers],[RI]],Horodateur11233538192231343743464952555861646985222634384650585462667074788290989410210611411811012212613013413814214615015415816216617017417818218619019419820220621021441014182226303438465054[Jour],Taches_Jours1224363917202932354144475053565962678320243236444856526064687276808896921001041121161081201241281321361401441481521561601641681721761801841881921962002042082122612162024283236444852[[#This Row],[Jours]])</f>
        <v>0.500000000000001</v>
      </c>
      <c r="D58" s="71" t="n">
        <f aca="false">SUMIFS(Horodateur11233538192231343743464952555861646985222634384650585462667074788290989410210611411811012212613013413814214615015415816216617017417818218619019419820220621021441014182226303438465054[Durée (100)],Horodateur11233538192231343743464952555861646985222634384650585462667074788290989410210611411811012212613013413814214615015415816216617017417818218619019419820220621021441014182226303438465054[Tâche],Taches_Jours1224363917202932354144475053565962678320243236444856526064687276808896921001041121161081201241281321361401441481521561601641681721761801841881921962002042082122612162024283236444852[[#Headers],[FG]],Horodateur11233538192231343743464952555861646985222634384650585462667074788290989410210611411811012212613013413814214615015415816216617017417818218619019419820220621021441014182226303438465054[Jour],Taches_Jours1224363917202932354144475053565962678320243236444856526064687276808896921001041121161081201241281321361401441481521561601641681721761801841881921962002042082122612162024283236444852[[#This Row],[Jours]])</f>
        <v>2</v>
      </c>
      <c r="E58" s="71" t="n">
        <f aca="false">SUMIFS(Horodateur11233538192231343743464952555861646985222634384650585462667074788290989410210611411811012212613013413814214615015415816216617017417818218619019419820220621021441014182226303438465054[Durée (100)],Horodateur11233538192231343743464952555861646985222634384650585462667074788290989410210611411811012212613013413814214615015415816216617017417818218619019419820220621021441014182226303438465054[Tâche],Taches_Jours1224363917202932354144475053565962678320243236444856526064687276808896921001041121161081201241281321361401441481521561601641681721761801841881921962002042082122612162024283236444852[[#Headers],[PS]],Horodateur11233538192231343743464952555861646985222634384650585462667074788290989410210611411811012212613013413814214615015415816216617017417818218619019419820220621021441014182226303438465054[Jour],Taches_Jours1224363917202932354144475053565962678320243236444856526064687276808896921001041121161081201241281321361401441481521561601641681721761801841881921962002042082122612162024283236444852[[#This Row],[Jours]])</f>
        <v>0</v>
      </c>
      <c r="F58" s="71" t="n">
        <f aca="false">SUMIFS(Horodateur11233538192231343743464952555861646985222634384650585462667074788290989410210611411811012212613013413814214615015415816216617017417818218619019419820220621021441014182226303438465054[Durée (100)],Horodateur11233538192231343743464952555861646985222634384650585462667074788290989410210611411811012212613013413814214615015415816216617017417818218619019419820220621021441014182226303438465054[Tâche],Taches_Jours1224363917202932354144475053565962678320243236444856526064687276808896921001041121161081201241281321361401441481521561601641681721761801841881921962002042082122612162024283236444852[[#Headers],[TD]],Horodateur11233538192231343743464952555861646985222634384650585462667074788290989410210611411811012212613013413814214615015415816216617017417818218619019419820220621021441014182226303438465054[Jour],Taches_Jours1224363917202932354144475053565962678320243236444856526064687276808896921001041121161081201241281321361401441481521561601641681721761801841881921962002042082122612162024283236444852[[#This Row],[Jours]])</f>
        <v>0</v>
      </c>
      <c r="G58" s="71" t="n">
        <f aca="false">SUMIFS(Horodateur11233538192231343743464952555861646985222634384650585462667074788290989410210611411811012212613013413814214615015415816216617017417818218619019419820220621021441014182226303438465054[Durée (100)],Horodateur11233538192231343743464952555861646985222634384650585462667074788290989410210611411811012212613013413814214615015415816216617017417818218619019419820220621021441014182226303438465054[Tâche],Taches_Jours1224363917202932354144475053565962678320243236444856526064687276808896921001041121161081201241281321361401441481521561601641681721761801841881921962002042082122612162024283236444852[[#Headers],[GP]],Horodateur11233538192231343743464952555861646985222634384650585462667074788290989410210611411811012212613013413814214615015415816216617017417818218619019419820220621021441014182226303438465054[Jour],Taches_Jours1224363917202932354144475053565962678320243236444856526064687276808896921001041121161081201241281321361401441481521561601641681721761801841881921962002042082122612162024283236444852[[#This Row],[Jours]])</f>
        <v>4.75</v>
      </c>
      <c r="H58" s="71" t="n">
        <f aca="false">SUMIFS(Horodateur11233538192231343743464952555861646985222634384650585462667074788290989410210611411811012212613013413814214615015415816216617017417818218619019419820220621021441014182226303438465054[Durée (100)],Horodateur11233538192231343743464952555861646985222634384650585462667074788290989410210611411811012212613013413814214615015415816216617017417818218619019419820220621021441014182226303438465054[Tâche],Taches_Jours1224363917202932354144475053565962678320243236444856526064687276808896921001041121161081201241281321361401441481521561601641681721761801841881921962002042082122612162024283236444852[[#Headers],[GP / SP]],Horodateur11233538192231343743464952555861646985222634384650585462667074788290989410210611411811012212613013413814214615015415816216617017417818218619019419820220621021441014182226303438465054[Jour],Taches_Jours1224363917202932354144475053565962678320243236444856526064687276808896921001041121161081201241281321361401441481521561601641681721761801841881921962002042082122612162024283236444852[[#This Row],[Jours]])</f>
        <v>0</v>
      </c>
      <c r="I58" s="71" t="n">
        <f aca="false">SUMIFS(Horodateur11233538192231343743464952555861646985222634384650585462667074788290989410210611411811012212613013413814214615015415816216617017417818218619019419820220621021441014182226303438465054[Durée (100)],Horodateur11233538192231343743464952555861646985222634384650585462667074788290989410210611411811012212613013413814214615015415816216617017417818218619019419820220621021441014182226303438465054[Tâche],Taches_Jours1224363917202932354144475053565962678320243236444856526064687276808896921001041121161081201241281321361401441481521561601641681721761801841881921962002042082122612162024283236444852[[#Headers],[GP / SP]],Horodateur11233538192231343743464952555861646985222634384650585462667074788290989410210611411811012212613013413814214615015415816216617017417818218619019419820220621021441014182226303438465054[Jour],Taches_Jours1224363917202932354144475053565962678320243236444856526064687276808896921001041121161081201241281321361401441481521561601641681721761801841881921962002042082122612162024283236444852[[#This Row],[Jours]])</f>
        <v>0</v>
      </c>
      <c r="J58" s="290" t="n">
        <f aca="false">SUM(Taches_Jours1224363917202932354144475053565962678320243236444856526064687276808896921001041121161081201241281321361401441481521561601641681721761801841881921962002042082122612162024283236444852[[#This Row],[GB]:[GP / SP]])</f>
        <v>7.75</v>
      </c>
      <c r="K58" s="188"/>
      <c r="L58" s="288"/>
      <c r="M58" s="289"/>
      <c r="N58" s="187"/>
      <c r="O58" s="71"/>
      <c r="P58" s="71"/>
      <c r="Q58" s="71"/>
      <c r="R58" s="71"/>
      <c r="S58" s="71"/>
      <c r="T58" s="71"/>
      <c r="U58" s="71"/>
      <c r="V58" s="71"/>
      <c r="W58" s="71"/>
      <c r="X58" s="71"/>
      <c r="Y58" s="71"/>
      <c r="Z58" s="71"/>
      <c r="AA58" s="71"/>
      <c r="AB58" s="71"/>
      <c r="AC58" s="71"/>
      <c r="AD58" s="71"/>
      <c r="AE58" s="71"/>
      <c r="AF58" s="71"/>
    </row>
    <row r="59" customFormat="false" ht="15" hidden="true" customHeight="false" outlineLevel="1" collapsed="false">
      <c r="A59" s="187" t="s">
        <v>335</v>
      </c>
      <c r="B59" s="71" t="n">
        <f aca="false">SUMIFS(Horodateur11233538192231343743464952555861646985222634384650585462667074788290989410210611411811012212613013413814214615015415816216617017417818218619019419820220621021441014182226303438465054[Durée (100)],Horodateur11233538192231343743464952555861646985222634384650585462667074788290989410210611411811012212613013413814214615015415816216617017417818218619019419820220621021441014182226303438465054[Tâche],Taches_Jours1224363917202932354144475053565962678320243236444856526064687276808896921001041121161081201241281321361401441481521561601641681721761801841881921962002042082122612162024283236444852[[#Headers],[GB]],Horodateur11233538192231343743464952555861646985222634384650585462667074788290989410210611411811012212613013413814214615015415816216617017417818218619019419820220621021441014182226303438465054[Jour],Taches_Jours1224363917202932354144475053565962678320243236444856526064687276808896921001041121161081201241281321361401441481521561601641681721761801841881921962002042082122612162024283236444852[[#This Row],[Jours]])</f>
        <v>0.5</v>
      </c>
      <c r="C59" s="71" t="n">
        <f aca="false">SUMIFS(Horodateur11233538192231343743464952555861646985222634384650585462667074788290989410210611411811012212613013413814214615015415816216617017417818218619019419820220621021441014182226303438465054[Durée (100)],Horodateur11233538192231343743464952555861646985222634384650585462667074788290989410210611411811012212613013413814214615015415816216617017417818218619019419820220621021441014182226303438465054[Tâche],Taches_Jours1224363917202932354144475053565962678320243236444856526064687276808896921001041121161081201241281321361401441481521561601641681721761801841881921962002042082122612162024283236444852[[#Headers],[RI]],Horodateur11233538192231343743464952555861646985222634384650585462667074788290989410210611411811012212613013413814214615015415816216617017417818218619019419820220621021441014182226303438465054[Jour],Taches_Jours1224363917202932354144475053565962678320243236444856526064687276808896921001041121161081201241281321361401441481521561601641681721761801841881921962002042082122612162024283236444852[[#This Row],[Jours]])</f>
        <v>0</v>
      </c>
      <c r="D59" s="71" t="n">
        <f aca="false">SUMIFS(Horodateur11233538192231343743464952555861646985222634384650585462667074788290989410210611411811012212613013413814214615015415816216617017417818218619019419820220621021441014182226303438465054[Durée (100)],Horodateur11233538192231343743464952555861646985222634384650585462667074788290989410210611411811012212613013413814214615015415816216617017417818218619019419820220621021441014182226303438465054[Tâche],Taches_Jours1224363917202932354144475053565962678320243236444856526064687276808896921001041121161081201241281321361401441481521561601641681721761801841881921962002042082122612162024283236444852[[#Headers],[FG]],Horodateur11233538192231343743464952555861646985222634384650585462667074788290989410210611411811012212613013413814214615015415816216617017417818218619019419820220621021441014182226303438465054[Jour],Taches_Jours1224363917202932354144475053565962678320243236444856526064687276808896921001041121161081201241281321361401441481521561601641681721761801841881921962002042082122612162024283236444852[[#This Row],[Jours]])</f>
        <v>0</v>
      </c>
      <c r="E59" s="71" t="n">
        <f aca="false">SUMIFS(Horodateur11233538192231343743464952555861646985222634384650585462667074788290989410210611411811012212613013413814214615015415816216617017417818218619019419820220621021441014182226303438465054[Durée (100)],Horodateur11233538192231343743464952555861646985222634384650585462667074788290989410210611411811012212613013413814214615015415816216617017417818218619019419820220621021441014182226303438465054[Tâche],Taches_Jours1224363917202932354144475053565962678320243236444856526064687276808896921001041121161081201241281321361401441481521561601641681721761801841881921962002042082122612162024283236444852[[#Headers],[PS]],Horodateur11233538192231343743464952555861646985222634384650585462667074788290989410210611411811012212613013413814214615015415816216617017417818218619019419820220621021441014182226303438465054[Jour],Taches_Jours1224363917202932354144475053565962678320243236444856526064687276808896921001041121161081201241281321361401441481521561601641681721761801841881921962002042082122612162024283236444852[[#This Row],[Jours]])</f>
        <v>0</v>
      </c>
      <c r="F59" s="71" t="n">
        <f aca="false">SUMIFS(Horodateur11233538192231343743464952555861646985222634384650585462667074788290989410210611411811012212613013413814214615015415816216617017417818218619019419820220621021441014182226303438465054[Durée (100)],Horodateur11233538192231343743464952555861646985222634384650585462667074788290989410210611411811012212613013413814214615015415816216617017417818218619019419820220621021441014182226303438465054[Tâche],Taches_Jours1224363917202932354144475053565962678320243236444856526064687276808896921001041121161081201241281321361401441481521561601641681721761801841881921962002042082122612162024283236444852[[#Headers],[TD]],Horodateur11233538192231343743464952555861646985222634384650585462667074788290989410210611411811012212613013413814214615015415816216617017417818218619019419820220621021441014182226303438465054[Jour],Taches_Jours1224363917202932354144475053565962678320243236444856526064687276808896921001041121161081201241281321361401441481521561601641681721761801841881921962002042082122612162024283236444852[[#This Row],[Jours]])</f>
        <v>0</v>
      </c>
      <c r="G59" s="71" t="n">
        <f aca="false">SUMIFS(Horodateur11233538192231343743464952555861646985222634384650585462667074788290989410210611411811012212613013413814214615015415816216617017417818218619019419820220621021441014182226303438465054[Durée (100)],Horodateur11233538192231343743464952555861646985222634384650585462667074788290989410210611411811012212613013413814214615015415816216617017417818218619019419820220621021441014182226303438465054[Tâche],Taches_Jours1224363917202932354144475053565962678320243236444856526064687276808896921001041121161081201241281321361401441481521561601641681721761801841881921962002042082122612162024283236444852[[#Headers],[GP]],Horodateur11233538192231343743464952555861646985222634384650585462667074788290989410210611411811012212613013413814214615015415816216617017417818218619019419820220621021441014182226303438465054[Jour],Taches_Jours1224363917202932354144475053565962678320243236444856526064687276808896921001041121161081201241281321361401441481521561601641681721761801841881921962002042082122612162024283236444852[[#This Row],[Jours]])</f>
        <v>1</v>
      </c>
      <c r="H59" s="71" t="n">
        <f aca="false">SUMIFS(Horodateur11233538192231343743464952555861646985222634384650585462667074788290989410210611411811012212613013413814214615015415816216617017417818218619019419820220621021441014182226303438465054[Durée (100)],Horodateur11233538192231343743464952555861646985222634384650585462667074788290989410210611411811012212613013413814214615015415816216617017417818218619019419820220621021441014182226303438465054[Tâche],Taches_Jours1224363917202932354144475053565962678320243236444856526064687276808896921001041121161081201241281321361401441481521561601641681721761801841881921962002042082122612162024283236444852[[#Headers],[GP / SP]],Horodateur11233538192231343743464952555861646985222634384650585462667074788290989410210611411811012212613013413814214615015415816216617017417818218619019419820220621021441014182226303438465054[Jour],Taches_Jours1224363917202932354144475053565962678320243236444856526064687276808896921001041121161081201241281321361401441481521561601641681721761801841881921962002042082122612162024283236444852[[#This Row],[Jours]])</f>
        <v>0.999999999999999</v>
      </c>
      <c r="I59" s="71" t="n">
        <f aca="false">SUMIFS(Horodateur11233538192231343743464952555861646985222634384650585462667074788290989410210611411811012212613013413814214615015415816216617017417818218619019419820220621021441014182226303438465054[Durée (100)],Horodateur11233538192231343743464952555861646985222634384650585462667074788290989410210611411811012212613013413814214615015415816216617017417818218619019419820220621021441014182226303438465054[Tâche],Taches_Jours1224363917202932354144475053565962678320243236444856526064687276808896921001041121161081201241281321361401441481521561601641681721761801841881921962002042082122612162024283236444852[[#Headers],[GP / SP]],Horodateur11233538192231343743464952555861646985222634384650585462667074788290989410210611411811012212613013413814214615015415816216617017417818218619019419820220621021441014182226303438465054[Jour],Taches_Jours1224363917202932354144475053565962678320243236444856526064687276808896921001041121161081201241281321361401441481521561601641681721761801841881921962002042082122612162024283236444852[[#This Row],[Jours]])</f>
        <v>0.999999999999999</v>
      </c>
      <c r="J59" s="290" t="n">
        <f aca="false">SUM(Taches_Jours1224363917202932354144475053565962678320243236444856526064687276808896921001041121161081201241281321361401441481521561601641681721761801841881921962002042082122612162024283236444852[[#This Row],[GB]:[GP / SP]])</f>
        <v>2.5</v>
      </c>
      <c r="K59" s="188"/>
      <c r="L59" s="288"/>
      <c r="M59" s="289"/>
      <c r="N59" s="187"/>
      <c r="O59" s="1"/>
      <c r="P59" s="1"/>
      <c r="Q59" s="1"/>
      <c r="R59" s="1"/>
      <c r="S59" s="1"/>
      <c r="T59" s="71"/>
      <c r="U59" s="71"/>
      <c r="V59" s="71"/>
      <c r="W59" s="71"/>
      <c r="X59" s="71"/>
      <c r="Y59" s="71"/>
      <c r="Z59" s="71"/>
      <c r="AA59" s="71"/>
      <c r="AB59" s="71"/>
      <c r="AC59" s="71"/>
      <c r="AD59" s="71"/>
      <c r="AE59" s="71"/>
      <c r="AF59" s="71"/>
    </row>
    <row r="60" customFormat="false" ht="15" hidden="true" customHeight="false" outlineLevel="1" collapsed="false">
      <c r="A60" s="187" t="s">
        <v>341</v>
      </c>
      <c r="B60" s="71" t="n">
        <f aca="false">SUMIFS(Horodateur11233538192231343743464952555861646985222634384650585462667074788290989410210611411811012212613013413814214615015415816216617017417818218619019419820220621021441014182226303438465054[Durée (100)],Horodateur11233538192231343743464952555861646985222634384650585462667074788290989410210611411811012212613013413814214615015415816216617017417818218619019419820220621021441014182226303438465054[Tâche],Taches_Jours1224363917202932354144475053565962678320243236444856526064687276808896921001041121161081201241281321361401441481521561601641681721761801841881921962002042082122612162024283236444852[[#Headers],[GB]],Horodateur11233538192231343743464952555861646985222634384650585462667074788290989410210611411811012212613013413814214615015415816216617017417818218619019419820220621021441014182226303438465054[Jour],Taches_Jours1224363917202932354144475053565962678320243236444856526064687276808896921001041121161081201241281321361401441481521561601641681721761801841881921962002042082122612162024283236444852[[#This Row],[Jours]])</f>
        <v>0</v>
      </c>
      <c r="C60" s="71" t="n">
        <f aca="false">SUMIFS(Horodateur11233538192231343743464952555861646985222634384650585462667074788290989410210611411811012212613013413814214615015415816216617017417818218619019419820220621021441014182226303438465054[Durée (100)],Horodateur11233538192231343743464952555861646985222634384650585462667074788290989410210611411811012212613013413814214615015415816216617017417818218619019419820220621021441014182226303438465054[Tâche],Taches_Jours1224363917202932354144475053565962678320243236444856526064687276808896921001041121161081201241281321361401441481521561601641681721761801841881921962002042082122612162024283236444852[[#Headers],[RI]],Horodateur11233538192231343743464952555861646985222634384650585462667074788290989410210611411811012212613013413814214615015415816216617017417818218619019419820220621021441014182226303438465054[Jour],Taches_Jours1224363917202932354144475053565962678320243236444856526064687276808896921001041121161081201241281321361401441481521561601641681721761801841881921962002042082122612162024283236444852[[#This Row],[Jours]])</f>
        <v>0</v>
      </c>
      <c r="D60" s="71" t="n">
        <f aca="false">SUMIFS(Horodateur11233538192231343743464952555861646985222634384650585462667074788290989410210611411811012212613013413814214615015415816216617017417818218619019419820220621021441014182226303438465054[Durée (100)],Horodateur11233538192231343743464952555861646985222634384650585462667074788290989410210611411811012212613013413814214615015415816216617017417818218619019419820220621021441014182226303438465054[Tâche],Taches_Jours1224363917202932354144475053565962678320243236444856526064687276808896921001041121161081201241281321361401441481521561601641681721761801841881921962002042082122612162024283236444852[[#Headers],[FG]],Horodateur11233538192231343743464952555861646985222634384650585462667074788290989410210611411811012212613013413814214615015415816216617017417818218619019419820220621021441014182226303438465054[Jour],Taches_Jours1224363917202932354144475053565962678320243236444856526064687276808896921001041121161081201241281321361401441481521561601641681721761801841881921962002042082122612162024283236444852[[#This Row],[Jours]])</f>
        <v>0</v>
      </c>
      <c r="E60" s="71" t="n">
        <f aca="false">SUMIFS(Horodateur11233538192231343743464952555861646985222634384650585462667074788290989410210611411811012212613013413814214615015415816216617017417818218619019419820220621021441014182226303438465054[Durée (100)],Horodateur11233538192231343743464952555861646985222634384650585462667074788290989410210611411811012212613013413814214615015415816216617017417818218619019419820220621021441014182226303438465054[Tâche],Taches_Jours1224363917202932354144475053565962678320243236444856526064687276808896921001041121161081201241281321361401441481521561601641681721761801841881921962002042082122612162024283236444852[[#Headers],[PS]],Horodateur11233538192231343743464952555861646985222634384650585462667074788290989410210611411811012212613013413814214615015415816216617017417818218619019419820220621021441014182226303438465054[Jour],Taches_Jours1224363917202932354144475053565962678320243236444856526064687276808896921001041121161081201241281321361401441481521561601641681721761801841881921962002042082122612162024283236444852[[#This Row],[Jours]])</f>
        <v>0</v>
      </c>
      <c r="F60" s="71" t="n">
        <f aca="false">SUMIFS(Horodateur11233538192231343743464952555861646985222634384650585462667074788290989410210611411811012212613013413814214615015415816216617017417818218619019419820220621021441014182226303438465054[Durée (100)],Horodateur11233538192231343743464952555861646985222634384650585462667074788290989410210611411811012212613013413814214615015415816216617017417818218619019419820220621021441014182226303438465054[Tâche],Taches_Jours1224363917202932354144475053565962678320243236444856526064687276808896921001041121161081201241281321361401441481521561601641681721761801841881921962002042082122612162024283236444852[[#Headers],[TD]],Horodateur11233538192231343743464952555861646985222634384650585462667074788290989410210611411811012212613013413814214615015415816216617017417818218619019419820220621021441014182226303438465054[Jour],Taches_Jours1224363917202932354144475053565962678320243236444856526064687276808896921001041121161081201241281321361401441481521561601641681721761801841881921962002042082122612162024283236444852[[#This Row],[Jours]])</f>
        <v>0</v>
      </c>
      <c r="G60" s="71" t="n">
        <f aca="false">SUMIFS(Horodateur11233538192231343743464952555861646985222634384650585462667074788290989410210611411811012212613013413814214615015415816216617017417818218619019419820220621021441014182226303438465054[Durée (100)],Horodateur11233538192231343743464952555861646985222634384650585462667074788290989410210611411811012212613013413814214615015415816216617017417818218619019419820220621021441014182226303438465054[Tâche],Taches_Jours1224363917202932354144475053565962678320243236444856526064687276808896921001041121161081201241281321361401441481521561601641681721761801841881921962002042082122612162024283236444852[[#Headers],[GP]],Horodateur11233538192231343743464952555861646985222634384650585462667074788290989410210611411811012212613013413814214615015415816216617017417818218619019419820220621021441014182226303438465054[Jour],Taches_Jours1224363917202932354144475053565962678320243236444856526064687276808896921001041121161081201241281321361401441481521561601641681721761801841881921962002042082122612162024283236444852[[#This Row],[Jours]])</f>
        <v>3</v>
      </c>
      <c r="H60" s="71" t="n">
        <f aca="false">SUMIFS(Horodateur11233538192231343743464952555861646985222634384650585462667074788290989410210611411811012212613013413814214615015415816216617017417818218619019419820220621021441014182226303438465054[Durée (100)],Horodateur11233538192231343743464952555861646985222634384650585462667074788290989410210611411811012212613013413814214615015415816216617017417818218619019419820220621021441014182226303438465054[Tâche],Taches_Jours1224363917202932354144475053565962678320243236444856526064687276808896921001041121161081201241281321361401441481521561601641681721761801841881921962002042082122612162024283236444852[[#Headers],[GP / SP]],Horodateur11233538192231343743464952555861646985222634384650585462667074788290989410210611411811012212613013413814214615015415816216617017417818218619019419820220621021441014182226303438465054[Jour],Taches_Jours1224363917202932354144475053565962678320243236444856526064687276808896921001041121161081201241281321361401441481521561601641681721761801841881921962002042082122612162024283236444852[[#This Row],[Jours]])</f>
        <v>0</v>
      </c>
      <c r="I60" s="290" t="n">
        <f aca="false">SUMIFS(Horodateur11233538192231343743464952555861646985222634384650585462667074788290989410210611411811012212613013413814214615015415816216617017417818218619019419820220621021441014182226303438465054[Durée (100)],Horodateur11233538192231343743464952555861646985222634384650585462667074788290989410210611411811012212613013413814214615015415816216617017417818218619019419820220621021441014182226303438465054[Tâche],Taches_Jours1224363917202932354144475053565962678320243236444856526064687276808896921001041121161081201241281321361401441481521561601641681721761801841881921962002042082122612162024283236444852[[#Headers],[GP / SP]],Horodateur11233538192231343743464952555861646985222634384650585462667074788290989410210611411811012212613013413814214615015415816216617017417818218619019419820220621021441014182226303438465054[Jour],Taches_Jours1224363917202932354144475053565962678320243236444856526064687276808896921001041121161081201241281321361401441481521561601641681721761801841881921962002042082122612162024283236444852[[#This Row],[Jours]])</f>
        <v>0</v>
      </c>
      <c r="J60" s="71" t="n">
        <f aca="false">SUM(Taches_Jours1224363917202932354144475053565962678320243236444856526064687276808896921001041121161081201241281321361401441481521561601641681721761801841881921962002042082122612162024283236444852[[#This Row],[GB]:[GP / SP]])</f>
        <v>3</v>
      </c>
      <c r="K60" s="188"/>
      <c r="L60" s="288"/>
      <c r="M60" s="289"/>
      <c r="N60" s="187"/>
      <c r="O60" s="1"/>
      <c r="P60" s="1"/>
      <c r="Q60" s="1"/>
      <c r="R60" s="1"/>
      <c r="S60" s="1"/>
      <c r="T60" s="71"/>
      <c r="U60" s="71"/>
      <c r="V60" s="71"/>
      <c r="W60" s="71"/>
      <c r="X60" s="71"/>
      <c r="Y60" s="71"/>
      <c r="Z60" s="71"/>
      <c r="AA60" s="71"/>
      <c r="AB60" s="71"/>
      <c r="AC60" s="71"/>
      <c r="AD60" s="71"/>
      <c r="AE60" s="71"/>
      <c r="AF60" s="71"/>
    </row>
    <row r="61" customFormat="false" ht="15" hidden="true" customHeight="false" outlineLevel="1" collapsed="false">
      <c r="A61" s="187" t="s">
        <v>381</v>
      </c>
      <c r="B61" s="71" t="n">
        <f aca="false">SUMIFS(Horodateur11233538192231343743464952555861646985222634384650585462667074788290989410210611411811012212613013413814214615015415816216617017417818218619019419820220621021441014182226303438465054[Durée (100)],Horodateur11233538192231343743464952555861646985222634384650585462667074788290989410210611411811012212613013413814214615015415816216617017417818218619019419820220621021441014182226303438465054[Tâche],Taches_Jours1224363917202932354144475053565962678320243236444856526064687276808896921001041121161081201241281321361401441481521561601641681721761801841881921962002042082122612162024283236444852[[#Headers],[GB]],Horodateur11233538192231343743464952555861646985222634384650585462667074788290989410210611411811012212613013413814214615015415816216617017417818218619019419820220621021441014182226303438465054[Jour],Taches_Jours1224363917202932354144475053565962678320243236444856526064687276808896921001041121161081201241281321361401441481521561601641681721761801841881921962002042082122612162024283236444852[[#This Row],[Jours]])</f>
        <v>0</v>
      </c>
      <c r="C61" s="71" t="n">
        <f aca="false">SUMIFS(Horodateur11233538192231343743464952555861646985222634384650585462667074788290989410210611411811012212613013413814214615015415816216617017417818218619019419820220621021441014182226303438465054[Durée (100)],Horodateur11233538192231343743464952555861646985222634384650585462667074788290989410210611411811012212613013413814214615015415816216617017417818218619019419820220621021441014182226303438465054[Tâche],Taches_Jours1224363917202932354144475053565962678320243236444856526064687276808896921001041121161081201241281321361401441481521561601641681721761801841881921962002042082122612162024283236444852[[#Headers],[RI]],Horodateur11233538192231343743464952555861646985222634384650585462667074788290989410210611411811012212613013413814214615015415816216617017417818218619019419820220621021441014182226303438465054[Jour],Taches_Jours1224363917202932354144475053565962678320243236444856526064687276808896921001041121161081201241281321361401441481521561601641681721761801841881921962002042082122612162024283236444852[[#This Row],[Jours]])</f>
        <v>0</v>
      </c>
      <c r="D61" s="71" t="n">
        <f aca="false">SUMIFS(Horodateur11233538192231343743464952555861646985222634384650585462667074788290989410210611411811012212613013413814214615015415816216617017417818218619019419820220621021441014182226303438465054[Durée (100)],Horodateur11233538192231343743464952555861646985222634384650585462667074788290989410210611411811012212613013413814214615015415816216617017417818218619019419820220621021441014182226303438465054[Tâche],Taches_Jours1224363917202932354144475053565962678320243236444856526064687276808896921001041121161081201241281321361401441481521561601641681721761801841881921962002042082122612162024283236444852[[#Headers],[FG]],Horodateur11233538192231343743464952555861646985222634384650585462667074788290989410210611411811012212613013413814214615015415816216617017417818218619019419820220621021441014182226303438465054[Jour],Taches_Jours1224363917202932354144475053565962678320243236444856526064687276808896921001041121161081201241281321361401441481521561601641681721761801841881921962002042082122612162024283236444852[[#This Row],[Jours]])</f>
        <v>0</v>
      </c>
      <c r="E61" s="71" t="n">
        <f aca="false">SUMIFS(Horodateur11233538192231343743464952555861646985222634384650585462667074788290989410210611411811012212613013413814214615015415816216617017417818218619019419820220621021441014182226303438465054[Durée (100)],Horodateur11233538192231343743464952555861646985222634384650585462667074788290989410210611411811012212613013413814214615015415816216617017417818218619019419820220621021441014182226303438465054[Tâche],Taches_Jours1224363917202932354144475053565962678320243236444856526064687276808896921001041121161081201241281321361401441481521561601641681721761801841881921962002042082122612162024283236444852[[#Headers],[PS]],Horodateur11233538192231343743464952555861646985222634384650585462667074788290989410210611411811012212613013413814214615015415816216617017417818218619019419820220621021441014182226303438465054[Jour],Taches_Jours1224363917202932354144475053565962678320243236444856526064687276808896921001041121161081201241281321361401441481521561601641681721761801841881921962002042082122612162024283236444852[[#This Row],[Jours]])</f>
        <v>0</v>
      </c>
      <c r="F61" s="71" t="n">
        <f aca="false">SUMIFS(Horodateur11233538192231343743464952555861646985222634384650585462667074788290989410210611411811012212613013413814214615015415816216617017417818218619019419820220621021441014182226303438465054[Durée (100)],Horodateur11233538192231343743464952555861646985222634384650585462667074788290989410210611411811012212613013413814214615015415816216617017417818218619019419820220621021441014182226303438465054[Tâche],Taches_Jours1224363917202932354144475053565962678320243236444856526064687276808896921001041121161081201241281321361401441481521561601641681721761801841881921962002042082122612162024283236444852[[#Headers],[TD]],Horodateur11233538192231343743464952555861646985222634384650585462667074788290989410210611411811012212613013413814214615015415816216617017417818218619019419820220621021441014182226303438465054[Jour],Taches_Jours1224363917202932354144475053565962678320243236444856526064687276808896921001041121161081201241281321361401441481521561601641681721761801841881921962002042082122612162024283236444852[[#This Row],[Jours]])</f>
        <v>0</v>
      </c>
      <c r="G61" s="71" t="n">
        <f aca="false">SUMIFS(Horodateur11233538192231343743464952555861646985222634384650585462667074788290989410210611411811012212613013413814214615015415816216617017417818218619019419820220621021441014182226303438465054[Durée (100)],Horodateur11233538192231343743464952555861646985222634384650585462667074788290989410210611411811012212613013413814214615015415816216617017417818218619019419820220621021441014182226303438465054[Tâche],Taches_Jours1224363917202932354144475053565962678320243236444856526064687276808896921001041121161081201241281321361401441481521561601641681721761801841881921962002042082122612162024283236444852[[#Headers],[GP]],Horodateur11233538192231343743464952555861646985222634384650585462667074788290989410210611411811012212613013413814214615015415816216617017417818218619019419820220621021441014182226303438465054[Jour],Taches_Jours1224363917202932354144475053565962678320243236444856526064687276808896921001041121161081201241281321361401441481521561601641681721761801841881921962002042082122612162024283236444852[[#This Row],[Jours]])</f>
        <v>0</v>
      </c>
      <c r="H61" s="71" t="n">
        <f aca="false">SUMIFS(Horodateur11233538192231343743464952555861646985222634384650585462667074788290989410210611411811012212613013413814214615015415816216617017417818218619019419820220621021441014182226303438465054[Durée (100)],Horodateur11233538192231343743464952555861646985222634384650585462667074788290989410210611411811012212613013413814214615015415816216617017417818218619019419820220621021441014182226303438465054[Tâche],Taches_Jours1224363917202932354144475053565962678320243236444856526064687276808896921001041121161081201241281321361401441481521561601641681721761801841881921962002042082122612162024283236444852[[#Headers],[GP / SP]],Horodateur11233538192231343743464952555861646985222634384650585462667074788290989410210611411811012212613013413814214615015415816216617017417818218619019419820220621021441014182226303438465054[Jour],Taches_Jours1224363917202932354144475053565962678320243236444856526064687276808896921001041121161081201241281321361401441481521561601641681721761801841881921962002042082122612162024283236444852[[#This Row],[Jours]])</f>
        <v>0</v>
      </c>
      <c r="I61" s="290" t="n">
        <f aca="false">SUMIFS(Horodateur11233538192231343743464952555861646985222634384650585462667074788290989410210611411811012212613013413814214615015415816216617017417818218619019419820220621021441014182226303438465054[Durée (100)],Horodateur11233538192231343743464952555861646985222634384650585462667074788290989410210611411811012212613013413814214615015415816216617017417818218619019419820220621021441014182226303438465054[Tâche],Taches_Jours1224363917202932354144475053565962678320243236444856526064687276808896921001041121161081201241281321361401441481521561601641681721761801841881921962002042082122612162024283236444852[[#Headers],[GP / SP]],Horodateur11233538192231343743464952555861646985222634384650585462667074788290989410210611411811012212613013413814214615015415816216617017417818218619019419820220621021441014182226303438465054[Jour],Taches_Jours1224363917202932354144475053565962678320243236444856526064687276808896921001041121161081201241281321361401441481521561601641681721761801841881921962002042082122612162024283236444852[[#This Row],[Jours]])</f>
        <v>0</v>
      </c>
      <c r="J61" s="71" t="n">
        <f aca="false">SUM(Taches_Jours1224363917202932354144475053565962678320243236444856526064687276808896921001041121161081201241281321361401441481521561601641681721761801841881921962002042082122612162024283236444852[[#This Row],[GB]:[GP / SP]])</f>
        <v>0</v>
      </c>
      <c r="K61" s="188"/>
      <c r="L61" s="288"/>
      <c r="M61" s="289"/>
      <c r="N61" s="187"/>
      <c r="O61" s="1"/>
      <c r="P61" s="1"/>
      <c r="Q61" s="1"/>
      <c r="R61" s="1"/>
      <c r="S61" s="1"/>
      <c r="T61" s="71"/>
      <c r="U61" s="71"/>
      <c r="V61" s="71"/>
      <c r="W61" s="71"/>
      <c r="X61" s="71"/>
      <c r="Y61" s="71"/>
      <c r="Z61" s="71"/>
      <c r="AA61" s="71"/>
      <c r="AB61" s="71"/>
      <c r="AC61" s="71"/>
      <c r="AD61" s="71"/>
      <c r="AE61" s="71"/>
      <c r="AF61" s="71"/>
    </row>
    <row r="62" customFormat="false" ht="15" hidden="true" customHeight="false" outlineLevel="1" collapsed="false">
      <c r="A62" s="137"/>
      <c r="B62" s="187"/>
      <c r="C62" s="71"/>
      <c r="D62" s="1"/>
      <c r="E62" s="1"/>
      <c r="F62" s="71"/>
      <c r="G62" s="1"/>
      <c r="H62" s="1"/>
      <c r="I62" s="119"/>
      <c r="J62" s="271"/>
      <c r="K62" s="1"/>
      <c r="L62" s="188"/>
      <c r="M62" s="272"/>
      <c r="N62" s="187"/>
      <c r="O62" s="1"/>
      <c r="P62" s="1"/>
      <c r="Q62" s="1"/>
      <c r="R62" s="1"/>
      <c r="S62" s="1"/>
      <c r="T62" s="1"/>
      <c r="U62" s="71"/>
      <c r="V62" s="71"/>
      <c r="W62" s="71"/>
      <c r="X62" s="71"/>
      <c r="Y62" s="71"/>
      <c r="Z62" s="71"/>
      <c r="AA62" s="71"/>
      <c r="AB62" s="71"/>
      <c r="AC62" s="71"/>
      <c r="AD62" s="71"/>
      <c r="AE62" s="71"/>
      <c r="AF62" s="71"/>
      <c r="AG62" s="71"/>
    </row>
    <row r="63" customFormat="false" ht="15" hidden="true" customHeight="false" outlineLevel="1" collapsed="false">
      <c r="A63" s="291" t="s">
        <v>85</v>
      </c>
      <c r="B63" s="292" t="s">
        <v>312</v>
      </c>
      <c r="C63" s="292" t="s">
        <v>319</v>
      </c>
      <c r="D63" s="292" t="s">
        <v>324</v>
      </c>
      <c r="E63" s="292" t="s">
        <v>332</v>
      </c>
      <c r="F63" s="293" t="s">
        <v>335</v>
      </c>
      <c r="G63" s="292" t="s">
        <v>341</v>
      </c>
      <c r="H63" s="292" t="s">
        <v>381</v>
      </c>
      <c r="I63" s="294" t="s">
        <v>58</v>
      </c>
      <c r="J63" s="271"/>
      <c r="K63" s="1"/>
      <c r="L63" s="188"/>
      <c r="M63" s="272"/>
      <c r="N63" s="187"/>
      <c r="O63" s="1"/>
      <c r="P63" s="1"/>
      <c r="Q63" s="1"/>
      <c r="R63" s="1"/>
      <c r="S63" s="1"/>
      <c r="T63" s="1"/>
      <c r="U63" s="71"/>
      <c r="V63" s="71"/>
      <c r="W63" s="71"/>
      <c r="X63" s="71"/>
      <c r="Y63" s="71"/>
      <c r="Z63" s="71"/>
      <c r="AA63" s="71"/>
      <c r="AB63" s="71"/>
      <c r="AC63" s="71"/>
      <c r="AD63" s="71"/>
      <c r="AE63" s="71"/>
      <c r="AF63" s="71"/>
      <c r="AG63" s="71"/>
    </row>
    <row r="64" customFormat="false" ht="15" hidden="true" customHeight="false" outlineLevel="1" collapsed="false">
      <c r="A64" s="137" t="s">
        <v>21</v>
      </c>
      <c r="B64" s="187" t="n">
        <f aca="false">SUMIFS(Horodateur11233538192231343743464952555861646985222634384650585462667074788290989410210611411811012212613013413814214615015415816216617017417818218619019419820220621021441014182226303438465054[Durée (100)],Horodateur11233538192231343743464952555861646985222634384650585462667074788290989410210611411811012212613013413814214615015415816216617017417818218619019419820220621021441014182226303438465054[Jour],$B$63,Horodateur11233538192231343743464952555861646985222634384650585462667074788290989410210611411811012212613013413814214615015415816216617017417818218619019419820220621021441014182226303438465054[Tâche],$A64)</f>
        <v>1</v>
      </c>
      <c r="C64" s="187" t="n">
        <f aca="false">SUMIFS(Horodateur11233538192231343743464952555861646985222634384650585462667074788290989410210611411811012212613013413814214615015415816216617017417818218619019419820220621021441014182226303438465054[Durée (100)],Horodateur11233538192231343743464952555861646985222634384650585462667074788290989410210611411811012212613013413814214615015415816216617017417818218619019419820220621021441014182226303438465054[Jour],$C$63,Horodateur11233538192231343743464952555861646985222634384650585462667074788290989410210611411811012212613013413814214615015415816216617017417818218619019419820220621021441014182226303438465054[Tâche],$A64)</f>
        <v>0</v>
      </c>
      <c r="D64" s="187" t="n">
        <f aca="false">SUMIFS(Horodateur11233538192231343743464952555861646985222634384650585462667074788290989410210611411811012212613013413814214615015415816216617017417818218619019419820220621021441014182226303438465054[Durée (100)],Horodateur11233538192231343743464952555861646985222634384650585462667074788290989410210611411811012212613013413814214615015415816216617017417818218619019419820220621021441014182226303438465054[Jour],$D$63,Horodateur11233538192231343743464952555861646985222634384650585462667074788290989410210611411811012212613013413814214615015415816216617017417818218619019419820220621021441014182226303438465054[Tâche],$A64)</f>
        <v>0</v>
      </c>
      <c r="E64" s="187" t="n">
        <f aca="false">SUMIFS(Horodateur11233538192231343743464952555861646985222634384650585462667074788290989410210611411811012212613013413814214615015415816216617017417818218619019419820220621021441014182226303438465054[Durée (100)],Horodateur11233538192231343743464952555861646985222634384650585462667074788290989410210611411811012212613013413814214615015415816216617017417818218619019419820220621021441014182226303438465054[Jour],$E$63,Horodateur11233538192231343743464952555861646985222634384650585462667074788290989410210611411811012212613013413814214615015415816216617017417818218619019419820220621021441014182226303438465054[Tâche],$A64)</f>
        <v>0.500000000000001</v>
      </c>
      <c r="F64" s="71" t="n">
        <f aca="false">SUMIFS(Horodateur11233538192231343743464952555861646985222634384650585462667074788290989410210611411811012212613013413814214615015415816216617017417818218619019419820220621021441014182226303438465054[Durée (100)],Horodateur11233538192231343743464952555861646985222634384650585462667074788290989410210611411811012212613013413814214615015415816216617017417818218619019419820220621021441014182226303438465054[Jour],$F$63,Horodateur11233538192231343743464952555861646985222634384650585462667074788290989410210611411811012212613013413814214615015415816216617017417818218619019419820220621021441014182226303438465054[Tâche],$A64)</f>
        <v>0.5</v>
      </c>
      <c r="G64" s="187" t="n">
        <f aca="false">SUMIFS(Horodateur11233538192231343743464952555861646985222634384650585462667074788290989410210611411811012212613013413814214615015415816216617017417818218619019419820220621021441014182226303438465054[Durée (100)],Horodateur11233538192231343743464952555861646985222634384650585462667074788290989410210611411811012212613013413814214615015415816216617017417818218619019419820220621021441014182226303438465054[Jour],$G$63,Horodateur11233538192231343743464952555861646985222634384650585462667074788290989410210611411811012212613013413814214615015415816216617017417818218619019419820220621021441014182226303438465054[Tâche],$A64)</f>
        <v>0</v>
      </c>
      <c r="H64" s="187" t="n">
        <f aca="false">SUMIFS(Horodateur11233538192231343743464952555861646985222634384650585462667074788290989410210611411811012212613013413814214615015415816216617017417818218619019419820220621021441014182226303438465054[Durée (100)],Horodateur11233538192231343743464952555861646985222634384650585462667074788290989410210611411811012212613013413814214615015415816216617017417818218619019419820220621021441014182226303438465054[Jour],$H$63,Horodateur11233538192231343743464952555861646985222634384650585462667074788290989410210611411811012212613013413814214615015415816216617017417818218619019419820220621021441014182226303438465054[Tâche],$A64)</f>
        <v>0</v>
      </c>
      <c r="I64" s="295" t="n">
        <f aca="false">SUM(Taches_Jour21325374018213033364245485154576063688421253337454957536165697377818997931011051131171091211251291331371411451491531571611651691731771811851891931972012052092133913172125293337454953[[#This Row],[1- Lundi]:[7- Dimanche]])</f>
        <v>2</v>
      </c>
      <c r="J64" s="271"/>
      <c r="K64" s="1"/>
      <c r="L64" s="188"/>
      <c r="M64" s="272"/>
      <c r="N64" s="187"/>
      <c r="O64" s="1"/>
      <c r="P64" s="1"/>
      <c r="Q64" s="1"/>
      <c r="R64" s="1"/>
      <c r="S64" s="1"/>
      <c r="T64" s="1"/>
      <c r="U64" s="71"/>
      <c r="V64" s="71"/>
      <c r="W64" s="71"/>
      <c r="X64" s="71"/>
      <c r="Y64" s="71"/>
      <c r="Z64" s="71"/>
      <c r="AA64" s="71"/>
      <c r="AB64" s="71"/>
      <c r="AC64" s="71"/>
      <c r="AD64" s="71"/>
      <c r="AE64" s="71"/>
      <c r="AF64" s="71"/>
      <c r="AG64" s="71"/>
    </row>
    <row r="65" customFormat="false" ht="15" hidden="true" customHeight="false" outlineLevel="1" collapsed="false">
      <c r="A65" s="137" t="s">
        <v>20</v>
      </c>
      <c r="B65" s="187" t="n">
        <f aca="false">SUMIFS(Horodateur11233538192231343743464952555861646985222634384650585462667074788290989410210611411811012212613013413814214615015415816216617017417818218619019419820220621021441014182226303438465054[Durée (100)],Horodateur11233538192231343743464952555861646985222634384650585462667074788290989410210611411811012212613013413814214615015415816216617017417818218619019419820220621021441014182226303438465054[Jour],$B$63,Horodateur11233538192231343743464952555861646985222634384650585462667074788290989410210611411811012212613013413814214615015415816216617017417818218619019419820220621021441014182226303438465054[Tâche],$A65)</f>
        <v>0.500000000000001</v>
      </c>
      <c r="C65" s="187" t="n">
        <f aca="false">SUMIFS(Horodateur11233538192231343743464952555861646985222634384650585462667074788290989410210611411811012212613013413814214615015415816216617017417818218619019419820220621021441014182226303438465054[Durée (100)],Horodateur11233538192231343743464952555861646985222634384650585462667074788290989410210611411811012212613013413814214615015415816216617017417818218619019419820220621021441014182226303438465054[Jour],$C$63,Horodateur11233538192231343743464952555861646985222634384650585462667074788290989410210611411811012212613013413814214615015415816216617017417818218619019419820220621021441014182226303438465054[Tâche],$A65)</f>
        <v>0</v>
      </c>
      <c r="D65" s="187" t="n">
        <f aca="false">SUMIFS(Horodateur11233538192231343743464952555861646985222634384650585462667074788290989410210611411811012212613013413814214615015415816216617017417818218619019419820220621021441014182226303438465054[Durée (100)],Horodateur11233538192231343743464952555861646985222634384650585462667074788290989410210611411811012212613013413814214615015415816216617017417818218619019419820220621021441014182226303438465054[Jour],$D$63,Horodateur11233538192231343743464952555861646985222634384650585462667074788290989410210611411811012212613013413814214615015415816216617017417818218619019419820220621021441014182226303438465054[Tâche],$A65)</f>
        <v>0</v>
      </c>
      <c r="E65" s="187" t="n">
        <f aca="false">SUMIFS(Horodateur11233538192231343743464952555861646985222634384650585462667074788290989410210611411811012212613013413814214615015415816216617017417818218619019419820220621021441014182226303438465054[Durée (100)],Horodateur11233538192231343743464952555861646985222634384650585462667074788290989410210611411811012212613013413814214615015415816216617017417818218619019419820220621021441014182226303438465054[Jour],$E$63,Horodateur11233538192231343743464952555861646985222634384650585462667074788290989410210611411811012212613013413814214615015415816216617017417818218619019419820220621021441014182226303438465054[Tâche],$A65)</f>
        <v>0.500000000000001</v>
      </c>
      <c r="F65" s="71" t="n">
        <f aca="false">SUMIFS(Horodateur11233538192231343743464952555861646985222634384650585462667074788290989410210611411811012212613013413814214615015415816216617017417818218619019419820220621021441014182226303438465054[Durée (100)],Horodateur11233538192231343743464952555861646985222634384650585462667074788290989410210611411811012212613013413814214615015415816216617017417818218619019419820220621021441014182226303438465054[Jour],$F$63,Horodateur11233538192231343743464952555861646985222634384650585462667074788290989410210611411811012212613013413814214615015415816216617017417818218619019419820220621021441014182226303438465054[Tâche],$A65)</f>
        <v>0</v>
      </c>
      <c r="G65" s="187" t="n">
        <f aca="false">SUMIFS(Horodateur11233538192231343743464952555861646985222634384650585462667074788290989410210611411811012212613013413814214615015415816216617017417818218619019419820220621021441014182226303438465054[Durée (100)],Horodateur11233538192231343743464952555861646985222634384650585462667074788290989410210611411811012212613013413814214615015415816216617017417818218619019419820220621021441014182226303438465054[Jour],$G$63,Horodateur11233538192231343743464952555861646985222634384650585462667074788290989410210611411811012212613013413814214615015415816216617017417818218619019419820220621021441014182226303438465054[Tâche],$A65)</f>
        <v>0</v>
      </c>
      <c r="H65" s="187" t="n">
        <f aca="false">SUMIFS(Horodateur11233538192231343743464952555861646985222634384650585462667074788290989410210611411811012212613013413814214615015415816216617017417818218619019419820220621021441014182226303438465054[Durée (100)],Horodateur11233538192231343743464952555861646985222634384650585462667074788290989410210611411811012212613013413814214615015415816216617017417818218619019419820220621021441014182226303438465054[Jour],$H$63,Horodateur11233538192231343743464952555861646985222634384650585462667074788290989410210611411811012212613013413814214615015415816216617017417818218619019419820220621021441014182226303438465054[Tâche],$A65)</f>
        <v>0</v>
      </c>
      <c r="I65" s="295" t="n">
        <f aca="false">SUM(Taches_Jour21325374018213033364245485154576063688421253337454957536165697377818997931011051131171091211251291331371411451491531571611651691731771811851891931972012052092133913172125293337454953[[#This Row],[1- Lundi]:[7- Dimanche]])</f>
        <v>1</v>
      </c>
      <c r="J65" s="271"/>
      <c r="K65" s="1"/>
      <c r="L65" s="188"/>
      <c r="M65" s="272"/>
      <c r="N65" s="187"/>
      <c r="O65" s="1"/>
      <c r="P65" s="1"/>
      <c r="Q65" s="1"/>
      <c r="R65" s="1"/>
      <c r="S65" s="1"/>
      <c r="T65" s="1"/>
      <c r="U65" s="71"/>
      <c r="V65" s="71"/>
      <c r="W65" s="71"/>
      <c r="X65" s="71"/>
      <c r="Y65" s="71"/>
      <c r="Z65" s="71"/>
      <c r="AA65" s="71"/>
      <c r="AB65" s="71"/>
      <c r="AC65" s="71"/>
      <c r="AD65" s="71"/>
      <c r="AE65" s="71"/>
      <c r="AF65" s="71"/>
      <c r="AG65" s="71"/>
    </row>
    <row r="66" customFormat="false" ht="15" hidden="true" customHeight="false" outlineLevel="1" collapsed="false">
      <c r="A66" s="137" t="s">
        <v>23</v>
      </c>
      <c r="B66" s="187" t="n">
        <f aca="false">SUMIFS(Horodateur11233538192231343743464952555861646985222634384650585462667074788290989410210611411811012212613013413814214615015415816216617017417818218619019419820220621021441014182226303438465054[Durée (100)],Horodateur11233538192231343743464952555861646985222634384650585462667074788290989410210611411811012212613013413814214615015415816216617017417818218619019419820220621021441014182226303438465054[Jour],$B$63,Horodateur11233538192231343743464952555861646985222634384650585462667074788290989410210611411811012212613013413814214615015415816216617017417818218619019419820220621021441014182226303438465054[Tâche],$A66)</f>
        <v>0.500000000000001</v>
      </c>
      <c r="C66" s="187" t="n">
        <f aca="false">SUMIFS(Horodateur11233538192231343743464952555861646985222634384650585462667074788290989410210611411811012212613013413814214615015415816216617017417818218619019419820220621021441014182226303438465054[Durée (100)],Horodateur11233538192231343743464952555861646985222634384650585462667074788290989410210611411811012212613013413814214615015415816216617017417818218619019419820220621021441014182226303438465054[Jour],$C$63,Horodateur11233538192231343743464952555861646985222634384650585462667074788290989410210611411811012212613013413814214615015415816216617017417818218619019419820220621021441014182226303438465054[Tâche],$A66)</f>
        <v>0.249999999999999</v>
      </c>
      <c r="D66" s="187" t="n">
        <f aca="false">SUMIFS(Horodateur11233538192231343743464952555861646985222634384650585462667074788290989410210611411811012212613013413814214615015415816216617017417818218619019419820220621021441014182226303438465054[Durée (100)],Horodateur11233538192231343743464952555861646985222634384650585462667074788290989410210611411811012212613013413814214615015415816216617017417818218619019419820220621021441014182226303438465054[Jour],$D$63,Horodateur11233538192231343743464952555861646985222634384650585462667074788290989410210611411811012212613013413814214615015415816216617017417818218619019419820220621021441014182226303438465054[Tâche],$A66)</f>
        <v>1</v>
      </c>
      <c r="E66" s="187" t="n">
        <f aca="false">SUMIFS(Horodateur11233538192231343743464952555861646985222634384650585462667074788290989410210611411811012212613013413814214615015415816216617017417818218619019419820220621021441014182226303438465054[Durée (100)],Horodateur11233538192231343743464952555861646985222634384650585462667074788290989410210611411811012212613013413814214615015415816216617017417818218619019419820220621021441014182226303438465054[Jour],$E$63,Horodateur11233538192231343743464952555861646985222634384650585462667074788290989410210611411811012212613013413814214615015415816216617017417818218619019419820220621021441014182226303438465054[Tâche],$A66)</f>
        <v>2</v>
      </c>
      <c r="F66" s="71" t="n">
        <f aca="false">SUMIFS(Horodateur11233538192231343743464952555861646985222634384650585462667074788290989410210611411811012212613013413814214615015415816216617017417818218619019419820220621021441014182226303438465054[Durée (100)],Horodateur11233538192231343743464952555861646985222634384650585462667074788290989410210611411811012212613013413814214615015415816216617017417818218619019419820220621021441014182226303438465054[Jour],$F$63,Horodateur11233538192231343743464952555861646985222634384650585462667074788290989410210611411811012212613013413814214615015415816216617017417818218619019419820220621021441014182226303438465054[Tâche],$A66)</f>
        <v>0</v>
      </c>
      <c r="G66" s="187" t="n">
        <f aca="false">SUMIFS(Horodateur11233538192231343743464952555861646985222634384650585462667074788290989410210611411811012212613013413814214615015415816216617017417818218619019419820220621021441014182226303438465054[Durée (100)],Horodateur11233538192231343743464952555861646985222634384650585462667074788290989410210611411811012212613013413814214615015415816216617017417818218619019419820220621021441014182226303438465054[Jour],$G$63,Horodateur11233538192231343743464952555861646985222634384650585462667074788290989410210611411811012212613013413814214615015415816216617017417818218619019419820220621021441014182226303438465054[Tâche],$A66)</f>
        <v>0</v>
      </c>
      <c r="H66" s="187" t="n">
        <f aca="false">SUMIFS(Horodateur11233538192231343743464952555861646985222634384650585462667074788290989410210611411811012212613013413814214615015415816216617017417818218619019419820220621021441014182226303438465054[Durée (100)],Horodateur11233538192231343743464952555861646985222634384650585462667074788290989410210611411811012212613013413814214615015415816216617017417818218619019419820220621021441014182226303438465054[Jour],$H$63,Horodateur11233538192231343743464952555861646985222634384650585462667074788290989410210611411811012212613013413814214615015415816216617017417818218619019419820220621021441014182226303438465054[Tâche],$A66)</f>
        <v>0</v>
      </c>
      <c r="I66" s="295" t="n">
        <f aca="false">SUM(Taches_Jour21325374018213033364245485154576063688421253337454957536165697377818997931011051131171091211251291331371411451491531571611651691731771811851891931972012052092133913172125293337454953[[#This Row],[1- Lundi]:[7- Dimanche]])</f>
        <v>3.75</v>
      </c>
      <c r="J66" s="271"/>
      <c r="K66" s="1"/>
      <c r="L66" s="188"/>
      <c r="M66" s="272"/>
      <c r="N66" s="187"/>
      <c r="O66" s="1"/>
      <c r="P66" s="1"/>
      <c r="Q66" s="1"/>
      <c r="R66" s="1"/>
      <c r="S66" s="1"/>
      <c r="T66" s="1"/>
      <c r="U66" s="71"/>
      <c r="V66" s="71"/>
      <c r="W66" s="71"/>
      <c r="X66" s="71"/>
      <c r="Y66" s="71"/>
      <c r="Z66" s="71"/>
      <c r="AA66" s="71"/>
      <c r="AB66" s="71"/>
      <c r="AC66" s="71"/>
      <c r="AD66" s="71"/>
      <c r="AE66" s="71"/>
      <c r="AF66" s="71"/>
      <c r="AG66" s="71"/>
    </row>
    <row r="67" customFormat="false" ht="15" hidden="true" customHeight="false" outlineLevel="1" collapsed="false">
      <c r="A67" s="137" t="s">
        <v>25</v>
      </c>
      <c r="B67" s="187" t="n">
        <f aca="false">SUMIFS(Horodateur11233538192231343743464952555861646985222634384650585462667074788290989410210611411811012212613013413814214615015415816216617017417818218619019419820220621021441014182226303438465054[Durée (100)],Horodateur11233538192231343743464952555861646985222634384650585462667074788290989410210611411811012212613013413814214615015415816216617017417818218619019419820220621021441014182226303438465054[Jour],$B$63,Horodateur11233538192231343743464952555861646985222634384650585462667074788290989410210611411811012212613013413814214615015415816216617017417818218619019419820220621021441014182226303438465054[Tâche],$A67)</f>
        <v>0</v>
      </c>
      <c r="C67" s="187" t="n">
        <f aca="false">SUMIFS(Horodateur11233538192231343743464952555861646985222634384650585462667074788290989410210611411811012212613013413814214615015415816216617017417818218619019419820220621021441014182226303438465054[Durée (100)],Horodateur11233538192231343743464952555861646985222634384650585462667074788290989410210611411811012212613013413814214615015415816216617017417818218619019419820220621021441014182226303438465054[Jour],$C$63,Horodateur11233538192231343743464952555861646985222634384650585462667074788290989410210611411811012212613013413814214615015415816216617017417818218619019419820220621021441014182226303438465054[Tâche],$A67)</f>
        <v>0</v>
      </c>
      <c r="D67" s="187" t="n">
        <f aca="false">SUMIFS(Horodateur11233538192231343743464952555861646985222634384650585462667074788290989410210611411811012212613013413814214615015415816216617017417818218619019419820220621021441014182226303438465054[Durée (100)],Horodateur11233538192231343743464952555861646985222634384650585462667074788290989410210611411811012212613013413814214615015415816216617017417818218619019419820220621021441014182226303438465054[Jour],$D$63,Horodateur11233538192231343743464952555861646985222634384650585462667074788290989410210611411811012212613013413814214615015415816216617017417818218619019419820220621021441014182226303438465054[Tâche],$A67)</f>
        <v>0</v>
      </c>
      <c r="E67" s="187" t="n">
        <f aca="false">SUMIFS(Horodateur11233538192231343743464952555861646985222634384650585462667074788290989410210611411811012212613013413814214615015415816216617017417818218619019419820220621021441014182226303438465054[Durée (100)],Horodateur11233538192231343743464952555861646985222634384650585462667074788290989410210611411811012212613013413814214615015415816216617017417818218619019419820220621021441014182226303438465054[Jour],$E$63,Horodateur11233538192231343743464952555861646985222634384650585462667074788290989410210611411811012212613013413814214615015415816216617017417818218619019419820220621021441014182226303438465054[Tâche],$A67)</f>
        <v>0</v>
      </c>
      <c r="F67" s="71" t="n">
        <f aca="false">SUMIFS(Horodateur11233538192231343743464952555861646985222634384650585462667074788290989410210611411811012212613013413814214615015415816216617017417818218619019419820220621021441014182226303438465054[Durée (100)],Horodateur11233538192231343743464952555861646985222634384650585462667074788290989410210611411811012212613013413814214615015415816216617017417818218619019419820220621021441014182226303438465054[Jour],$F$63,Horodateur11233538192231343743464952555861646985222634384650585462667074788290989410210611411811012212613013413814214615015415816216617017417818218619019419820220621021441014182226303438465054[Tâche],$A67)</f>
        <v>0</v>
      </c>
      <c r="G67" s="187" t="n">
        <f aca="false">SUMIFS(Horodateur11233538192231343743464952555861646985222634384650585462667074788290989410210611411811012212613013413814214615015415816216617017417818218619019419820220621021441014182226303438465054[Durée (100)],Horodateur11233538192231343743464952555861646985222634384650585462667074788290989410210611411811012212613013413814214615015415816216617017417818218619019419820220621021441014182226303438465054[Jour],$G$63,Horodateur11233538192231343743464952555861646985222634384650585462667074788290989410210611411811012212613013413814214615015415816216617017417818218619019419820220621021441014182226303438465054[Tâche],$A67)</f>
        <v>0</v>
      </c>
      <c r="H67" s="187" t="n">
        <f aca="false">SUMIFS(Horodateur11233538192231343743464952555861646985222634384650585462667074788290989410210611411811012212613013413814214615015415816216617017417818218619019419820220621021441014182226303438465054[Durée (100)],Horodateur11233538192231343743464952555861646985222634384650585462667074788290989410210611411811012212613013413814214615015415816216617017417818218619019419820220621021441014182226303438465054[Jour],$H$63,Horodateur11233538192231343743464952555861646985222634384650585462667074788290989410210611411811012212613013413814214615015415816216617017417818218619019419820220621021441014182226303438465054[Tâche],$A67)</f>
        <v>0</v>
      </c>
      <c r="I67" s="295" t="n">
        <f aca="false">SUM(Taches_Jour21325374018213033364245485154576063688421253337454957536165697377818997931011051131171091211251291331371411451491531571611651691731771811851891931972012052092133913172125293337454953[[#This Row],[1- Lundi]:[7- Dimanche]])</f>
        <v>0</v>
      </c>
      <c r="J67" s="271"/>
      <c r="K67" s="1"/>
      <c r="L67" s="188"/>
      <c r="M67" s="272"/>
      <c r="N67" s="187"/>
      <c r="O67" s="1"/>
      <c r="P67" s="1"/>
      <c r="Q67" s="1"/>
      <c r="R67" s="1"/>
      <c r="S67" s="1"/>
      <c r="T67" s="1"/>
      <c r="U67" s="71"/>
      <c r="V67" s="71"/>
      <c r="W67" s="71"/>
      <c r="X67" s="71"/>
      <c r="Y67" s="71"/>
      <c r="Z67" s="71"/>
      <c r="AA67" s="71"/>
      <c r="AB67" s="71"/>
      <c r="AC67" s="71"/>
      <c r="AD67" s="71"/>
      <c r="AE67" s="71"/>
      <c r="AF67" s="71"/>
      <c r="AG67" s="71"/>
    </row>
    <row r="68" customFormat="false" ht="15" hidden="true" customHeight="false" outlineLevel="1" collapsed="false">
      <c r="A68" s="137" t="s">
        <v>26</v>
      </c>
      <c r="B68" s="187" t="n">
        <f aca="false">SUMIFS(Horodateur11233538192231343743464952555861646985222634384650585462667074788290989410210611411811012212613013413814214615015415816216617017417818218619019419820220621021441014182226303438465054[Durée (100)],Horodateur11233538192231343743464952555861646985222634384650585462667074788290989410210611411811012212613013413814214615015415816216617017417818218619019419820220621021441014182226303438465054[Jour],$B$63,Horodateur11233538192231343743464952555861646985222634384650585462667074788290989410210611411811012212613013413814214615015415816216617017417818218619019419820220621021441014182226303438465054[Tâche],$A68)</f>
        <v>0</v>
      </c>
      <c r="C68" s="187" t="n">
        <f aca="false">SUMIFS(Horodateur11233538192231343743464952555861646985222634384650585462667074788290989410210611411811012212613013413814214615015415816216617017417818218619019419820220621021441014182226303438465054[Durée (100)],Horodateur11233538192231343743464952555861646985222634384650585462667074788290989410210611411811012212613013413814214615015415816216617017417818218619019419820220621021441014182226303438465054[Jour],$C$63,Horodateur11233538192231343743464952555861646985222634384650585462667074788290989410210611411811012212613013413814214615015415816216617017417818218619019419820220621021441014182226303438465054[Tâche],$A68)</f>
        <v>0</v>
      </c>
      <c r="D68" s="187" t="n">
        <f aca="false">SUMIFS(Horodateur11233538192231343743464952555861646985222634384650585462667074788290989410210611411811012212613013413814214615015415816216617017417818218619019419820220621021441014182226303438465054[Durée (100)],Horodateur11233538192231343743464952555861646985222634384650585462667074788290989410210611411811012212613013413814214615015415816216617017417818218619019419820220621021441014182226303438465054[Jour],$D$63,Horodateur11233538192231343743464952555861646985222634384650585462667074788290989410210611411811012212613013413814214615015415816216617017417818218619019419820220621021441014182226303438465054[Tâche],$A68)</f>
        <v>0</v>
      </c>
      <c r="E68" s="187" t="n">
        <f aca="false">SUMIFS(Horodateur11233538192231343743464952555861646985222634384650585462667074788290989410210611411811012212613013413814214615015415816216617017417818218619019419820220621021441014182226303438465054[Durée (100)],Horodateur11233538192231343743464952555861646985222634384650585462667074788290989410210611411811012212613013413814214615015415816216617017417818218619019419820220621021441014182226303438465054[Jour],$E$63,Horodateur11233538192231343743464952555861646985222634384650585462667074788290989410210611411811012212613013413814214615015415816216617017417818218619019419820220621021441014182226303438465054[Tâche],$A68)</f>
        <v>0</v>
      </c>
      <c r="F68" s="71" t="n">
        <f aca="false">SUMIFS(Horodateur11233538192231343743464952555861646985222634384650585462667074788290989410210611411811012212613013413814214615015415816216617017417818218619019419820220621021441014182226303438465054[Durée (100)],Horodateur11233538192231343743464952555861646985222634384650585462667074788290989410210611411811012212613013413814214615015415816216617017417818218619019419820220621021441014182226303438465054[Jour],$F$63,Horodateur11233538192231343743464952555861646985222634384650585462667074788290989410210611411811012212613013413814214615015415816216617017417818218619019419820220621021441014182226303438465054[Tâche],$A68)</f>
        <v>0</v>
      </c>
      <c r="G68" s="187" t="n">
        <f aca="false">SUMIFS(Horodateur11233538192231343743464952555861646985222634384650585462667074788290989410210611411811012212613013413814214615015415816216617017417818218619019419820220621021441014182226303438465054[Durée (100)],Horodateur11233538192231343743464952555861646985222634384650585462667074788290989410210611411811012212613013413814214615015415816216617017417818218619019419820220621021441014182226303438465054[Jour],$G$63,Horodateur11233538192231343743464952555861646985222634384650585462667074788290989410210611411811012212613013413814214615015415816216617017417818218619019419820220621021441014182226303438465054[Tâche],$A68)</f>
        <v>0</v>
      </c>
      <c r="H68" s="187" t="n">
        <f aca="false">SUMIFS(Horodateur11233538192231343743464952555861646985222634384650585462667074788290989410210611411811012212613013413814214615015415816216617017417818218619019419820220621021441014182226303438465054[Durée (100)],Horodateur11233538192231343743464952555861646985222634384650585462667074788290989410210611411811012212613013413814214615015415816216617017417818218619019419820220621021441014182226303438465054[Jour],$H$63,Horodateur11233538192231343743464952555861646985222634384650585462667074788290989410210611411811012212613013413814214615015415816216617017417818218619019419820220621021441014182226303438465054[Tâche],$A68)</f>
        <v>0</v>
      </c>
      <c r="I68" s="295" t="n">
        <f aca="false">SUM(Taches_Jour21325374018213033364245485154576063688421253337454957536165697377818997931011051131171091211251291331371411451491531571611651691731771811851891931972012052092133913172125293337454953[[#This Row],[1- Lundi]:[7- Dimanche]])</f>
        <v>0</v>
      </c>
      <c r="J68" s="271"/>
      <c r="K68" s="1"/>
      <c r="L68" s="188"/>
      <c r="M68" s="272"/>
      <c r="N68" s="187"/>
      <c r="O68" s="1"/>
      <c r="P68" s="1"/>
      <c r="Q68" s="1"/>
      <c r="R68" s="1"/>
      <c r="S68" s="1"/>
      <c r="T68" s="1"/>
      <c r="U68" s="71"/>
      <c r="V68" s="71"/>
      <c r="W68" s="71"/>
      <c r="X68" s="71"/>
      <c r="Y68" s="71"/>
      <c r="Z68" s="71"/>
      <c r="AA68" s="71"/>
      <c r="AB68" s="71"/>
      <c r="AC68" s="71"/>
      <c r="AD68" s="71"/>
      <c r="AE68" s="71"/>
      <c r="AF68" s="71"/>
      <c r="AG68" s="71"/>
    </row>
    <row r="69" customFormat="false" ht="15" hidden="true" customHeight="false" outlineLevel="1" collapsed="false">
      <c r="A69" s="137" t="s">
        <v>378</v>
      </c>
      <c r="B69" s="187" t="n">
        <f aca="false">SUMIFS(Horodateur11233538192231343743464952555861646985222634384650585462667074788290989410210611411811012212613013413814214615015415816216617017417818218619019419820220621021441014182226303438465054[Durée (100)],Horodateur11233538192231343743464952555861646985222634384650585462667074788290989410210611411811012212613013413814214615015415816216617017417818218619019419820220621021441014182226303438465054[Jour],$B$63,Horodateur11233538192231343743464952555861646985222634384650585462667074788290989410210611411811012212613013413814214615015415816216617017417818218619019419820220621021441014182226303438465054[Tâche],$A69)</f>
        <v>5.25</v>
      </c>
      <c r="C69" s="187" t="n">
        <f aca="false">SUMIFS(Horodateur11233538192231343743464952555861646985222634384650585462667074788290989410210611411811012212613013413814214615015415816216617017417818218619019419820220621021441014182226303438465054[Durée (100)],Horodateur11233538192231343743464952555861646985222634384650585462667074788290989410210611411811012212613013413814214615015415816216617017417818218619019419820220621021441014182226303438465054[Jour],$C$63,Horodateur11233538192231343743464952555861646985222634384650585462667074788290989410210611411811012212613013413814214615015415816216617017417818218619019419820220621021441014182226303438465054[Tâche],$A69)</f>
        <v>6</v>
      </c>
      <c r="D69" s="187" t="n">
        <f aca="false">SUMIFS(Horodateur11233538192231343743464952555861646985222634384650585462667074788290989410210611411811012212613013413814214615015415816216617017417818218619019419820220621021441014182226303438465054[Durée (100)],Horodateur11233538192231343743464952555861646985222634384650585462667074788290989410210611411811012212613013413814214615015415816216617017417818218619019419820220621021441014182226303438465054[Jour],$D$63,Horodateur11233538192231343743464952555861646985222634384650585462667074788290989410210611411811012212613013413814214615015415816216617017417818218619019419820220621021441014182226303438465054[Tâche],$A69)</f>
        <v>4.5</v>
      </c>
      <c r="E69" s="187" t="n">
        <f aca="false">SUMIFS(Horodateur11233538192231343743464952555861646985222634384650585462667074788290989410210611411811012212613013413814214615015415816216617017417818218619019419820220621021441014182226303438465054[Durée (100)],Horodateur11233538192231343743464952555861646985222634384650585462667074788290989410210611411811012212613013413814214615015415816216617017417818218619019419820220621021441014182226303438465054[Jour],$E$63,Horodateur11233538192231343743464952555861646985222634384650585462667074788290989410210611411811012212613013413814214615015415816216617017417818218619019419820220621021441014182226303438465054[Tâche],$A69)</f>
        <v>4.75</v>
      </c>
      <c r="F69" s="71" t="n">
        <f aca="false">SUMIFS(Horodateur11233538192231343743464952555861646985222634384650585462667074788290989410210611411811012212613013413814214615015415816216617017417818218619019419820220621021441014182226303438465054[Durée (100)],Horodateur11233538192231343743464952555861646985222634384650585462667074788290989410210611411811012212613013413814214615015415816216617017417818218619019419820220621021441014182226303438465054[Jour],$F$63,Horodateur11233538192231343743464952555861646985222634384650585462667074788290989410210611411811012212613013413814214615015415816216617017417818218619019419820220621021441014182226303438465054[Tâche],$A69)</f>
        <v>1</v>
      </c>
      <c r="G69" s="187" t="n">
        <f aca="false">SUMIFS(Horodateur11233538192231343743464952555861646985222634384650585462667074788290989410210611411811012212613013413814214615015415816216617017417818218619019419820220621021441014182226303438465054[Durée (100)],Horodateur11233538192231343743464952555861646985222634384650585462667074788290989410210611411811012212613013413814214615015415816216617017417818218619019419820220621021441014182226303438465054[Jour],$G$63,Horodateur11233538192231343743464952555861646985222634384650585462667074788290989410210611411811012212613013413814214615015415816216617017417818218619019419820220621021441014182226303438465054[Tâche],$A69)</f>
        <v>3</v>
      </c>
      <c r="H69" s="187" t="n">
        <f aca="false">SUMIFS(Horodateur11233538192231343743464952555861646985222634384650585462667074788290989410210611411811012212613013413814214615015415816216617017417818218619019419820220621021441014182226303438465054[Durée (100)],Horodateur11233538192231343743464952555861646985222634384650585462667074788290989410210611411811012212613013413814214615015415816216617017417818218619019419820220621021441014182226303438465054[Jour],$H$63,Horodateur11233538192231343743464952555861646985222634384650585462667074788290989410210611411811012212613013413814214615015415816216617017417818218619019419820220621021441014182226303438465054[Tâche],$A69)</f>
        <v>0</v>
      </c>
      <c r="I69" s="295" t="n">
        <f aca="false">SUM(Taches_Jour21325374018213033364245485154576063688421253337454957536165697377818997931011051131171091211251291331371411451491531571611651691731771811851891931972012052092133913172125293337454953[[#This Row],[1- Lundi]:[7- Dimanche]])</f>
        <v>24.5</v>
      </c>
      <c r="J69" s="271"/>
      <c r="K69" s="1"/>
      <c r="L69" s="188"/>
      <c r="M69" s="272"/>
      <c r="N69" s="187"/>
      <c r="O69" s="1"/>
      <c r="P69" s="1"/>
      <c r="Q69" s="1"/>
      <c r="R69" s="1"/>
      <c r="S69" s="1"/>
      <c r="T69" s="1"/>
      <c r="U69" s="71"/>
      <c r="V69" s="71"/>
      <c r="W69" s="71"/>
      <c r="X69" s="71"/>
      <c r="Y69" s="71"/>
      <c r="Z69" s="71"/>
      <c r="AA69" s="71"/>
      <c r="AB69" s="71"/>
      <c r="AC69" s="71"/>
      <c r="AD69" s="71"/>
      <c r="AE69" s="71"/>
      <c r="AF69" s="71"/>
      <c r="AG69" s="71"/>
    </row>
    <row r="70" customFormat="false" ht="15" hidden="true" customHeight="false" outlineLevel="1" collapsed="false">
      <c r="A70" s="137" t="s">
        <v>382</v>
      </c>
      <c r="B70" s="187" t="n">
        <f aca="false">SUMIFS(Horodateur11233538192231343743464952555861646985222634384650585462667074788290989410210611411811012212613013413814214615015415816216617017417818218619019419820220621021441014182226303438465054[Durée (100)],Horodateur11233538192231343743464952555861646985222634384650585462667074788290989410210611411811012212613013413814214615015415816216617017417818218619019419820220621021441014182226303438465054[Jour],$B$63,Horodateur11233538192231343743464952555861646985222634384650585462667074788290989410210611411811012212613013413814214615015415816216617017417818218619019419820220621021441014182226303438465054[Tâche],$A70)</f>
        <v>0</v>
      </c>
      <c r="C70" s="187" t="n">
        <f aca="false">SUMIFS(Horodateur11233538192231343743464952555861646985222634384650585462667074788290989410210611411811012212613013413814214615015415816216617017417818218619019419820220621021441014182226303438465054[Durée (100)],Horodateur11233538192231343743464952555861646985222634384650585462667074788290989410210611411811012212613013413814214615015415816216617017417818218619019419820220621021441014182226303438465054[Jour],$C$63,Horodateur11233538192231343743464952555861646985222634384650585462667074788290989410210611411811012212613013413814214615015415816216617017417818218619019419820220621021441014182226303438465054[Tâche],$A70)</f>
        <v>0</v>
      </c>
      <c r="D70" s="187" t="n">
        <f aca="false">SUMIFS(Horodateur11233538192231343743464952555861646985222634384650585462667074788290989410210611411811012212613013413814214615015415816216617017417818218619019419820220621021441014182226303438465054[Durée (100)],Horodateur11233538192231343743464952555861646985222634384650585462667074788290989410210611411811012212613013413814214615015415816216617017417818218619019419820220621021441014182226303438465054[Jour],$D$63,Horodateur11233538192231343743464952555861646985222634384650585462667074788290989410210611411811012212613013413814214615015415816216617017417818218619019419820220621021441014182226303438465054[Tâche],$A70)</f>
        <v>0</v>
      </c>
      <c r="E70" s="187" t="n">
        <f aca="false">SUMIFS(Horodateur11233538192231343743464952555861646985222634384650585462667074788290989410210611411811012212613013413814214615015415816216617017417818218619019419820220621021441014182226303438465054[Durée (100)],Horodateur11233538192231343743464952555861646985222634384650585462667074788290989410210611411811012212613013413814214615015415816216617017417818218619019419820220621021441014182226303438465054[Jour],$E$63,Horodateur11233538192231343743464952555861646985222634384650585462667074788290989410210611411811012212613013413814214615015415816216617017417818218619019419820220621021441014182226303438465054[Tâche],$A70)</f>
        <v>0</v>
      </c>
      <c r="F70" s="71" t="n">
        <f aca="false">SUMIFS(Horodateur11233538192231343743464952555861646985222634384650585462667074788290989410210611411811012212613013413814214615015415816216617017417818218619019419820220621021441014182226303438465054[Durée (100)],Horodateur11233538192231343743464952555861646985222634384650585462667074788290989410210611411811012212613013413814214615015415816216617017417818218619019419820220621021441014182226303438465054[Jour],$F$63,Horodateur11233538192231343743464952555861646985222634384650585462667074788290989410210611411811012212613013413814214615015415816216617017417818218619019419820220621021441014182226303438465054[Tâche],$A70)</f>
        <v>0</v>
      </c>
      <c r="G70" s="187" t="n">
        <f aca="false">SUMIFS(Horodateur11233538192231343743464952555861646985222634384650585462667074788290989410210611411811012212613013413814214615015415816216617017417818218619019419820220621021441014182226303438465054[Durée (100)],Horodateur11233538192231343743464952555861646985222634384650585462667074788290989410210611411811012212613013413814214615015415816216617017417818218619019419820220621021441014182226303438465054[Jour],$G$63,Horodateur11233538192231343743464952555861646985222634384650585462667074788290989410210611411811012212613013413814214615015415816216617017417818218619019419820220621021441014182226303438465054[Tâche],$A70)</f>
        <v>0</v>
      </c>
      <c r="H70" s="187" t="n">
        <f aca="false">SUMIFS(Horodateur11233538192231343743464952555861646985222634384650585462667074788290989410210611411811012212613013413814214615015415816216617017417818218619019419820220621021441014182226303438465054[Durée (100)],Horodateur11233538192231343743464952555861646985222634384650585462667074788290989410210611411811012212613013413814214615015415816216617017417818218619019419820220621021441014182226303438465054[Jour],$H$63,Horodateur11233538192231343743464952555861646985222634384650585462667074788290989410210611411811012212613013413814214615015415816216617017417818218619019419820220621021441014182226303438465054[Tâche],$A70)</f>
        <v>0</v>
      </c>
      <c r="I70" s="295" t="n">
        <f aca="false">SUM(Taches_Jour21325374018213033364245485154576063688421253337454957536165697377818997931011051131171091211251291331371411451491531571611651691731771811851891931972012052092133913172125293337454953[[#This Row],[1- Lundi]:[7- Dimanche]])</f>
        <v>0</v>
      </c>
      <c r="J70" s="271"/>
      <c r="K70" s="1"/>
      <c r="L70" s="188"/>
      <c r="M70" s="272"/>
      <c r="N70" s="187"/>
      <c r="O70" s="1"/>
      <c r="P70" s="1"/>
      <c r="Q70" s="1"/>
      <c r="R70" s="1"/>
      <c r="S70" s="1"/>
      <c r="T70" s="1"/>
      <c r="U70" s="71"/>
      <c r="V70" s="71"/>
      <c r="W70" s="71"/>
      <c r="X70" s="71"/>
      <c r="Y70" s="71"/>
      <c r="Z70" s="71"/>
      <c r="AA70" s="71"/>
      <c r="AB70" s="71"/>
      <c r="AC70" s="71"/>
      <c r="AD70" s="71"/>
      <c r="AE70" s="71"/>
      <c r="AF70" s="71"/>
      <c r="AG70" s="71"/>
    </row>
    <row r="71" customFormat="false" ht="15" hidden="true" customHeight="false" outlineLevel="1" collapsed="false">
      <c r="A71" s="137" t="s">
        <v>380</v>
      </c>
      <c r="B71" s="187" t="n">
        <f aca="false">SUMIFS(Horodateur11233538192231343743464952555861646985222634384650585462667074788290989410210611411811012212613013413814214615015415816216617017417818218619019419820220621021441014182226303438465054[Durée (100)],Horodateur11233538192231343743464952555861646985222634384650585462667074788290989410210611411811012212613013413814214615015415816216617017417818218619019419820220621021441014182226303438465054[Jour],$B$63,Horodateur11233538192231343743464952555861646985222634384650585462667074788290989410210611411811012212613013413814214615015415816216617017417818218619019419820220621021441014182226303438465054[Tâche],$A71)</f>
        <v>0</v>
      </c>
      <c r="C71" s="187" t="n">
        <f aca="false">SUMIFS(Horodateur11233538192231343743464952555861646985222634384650585462667074788290989410210611411811012212613013413814214615015415816216617017417818218619019419820220621021441014182226303438465054[Durée (100)],Horodateur11233538192231343743464952555861646985222634384650585462667074788290989410210611411811012212613013413814214615015415816216617017417818218619019419820220621021441014182226303438465054[Jour],$C$63,Horodateur11233538192231343743464952555861646985222634384650585462667074788290989410210611411811012212613013413814214615015415816216617017417818218619019419820220621021441014182226303438465054[Tâche],$A71)</f>
        <v>0</v>
      </c>
      <c r="D71" s="187" t="n">
        <f aca="false">SUMIFS(Horodateur11233538192231343743464952555861646985222634384650585462667074788290989410210611411811012212613013413814214615015415816216617017417818218619019419820220621021441014182226303438465054[Durée (100)],Horodateur11233538192231343743464952555861646985222634384650585462667074788290989410210611411811012212613013413814214615015415816216617017417818218619019419820220621021441014182226303438465054[Jour],$D$63,Horodateur11233538192231343743464952555861646985222634384650585462667074788290989410210611411811012212613013413814214615015415816216617017417818218619019419820220621021441014182226303438465054[Tâche],$A71)</f>
        <v>0.500000000000001</v>
      </c>
      <c r="E71" s="187" t="n">
        <f aca="false">SUMIFS(Horodateur11233538192231343743464952555861646985222634384650585462667074788290989410210611411811012212613013413814214615015415816216617017417818218619019419820220621021441014182226303438465054[Durée (100)],Horodateur11233538192231343743464952555861646985222634384650585462667074788290989410210611411811012212613013413814214615015415816216617017417818218619019419820220621021441014182226303438465054[Jour],$E$63,Horodateur11233538192231343743464952555861646985222634384650585462667074788290989410210611411811012212613013413814214615015415816216617017417818218619019419820220621021441014182226303438465054[Tâche],$A71)</f>
        <v>0</v>
      </c>
      <c r="F71" s="71" t="n">
        <f aca="false">SUMIFS(Horodateur11233538192231343743464952555861646985222634384650585462667074788290989410210611411811012212613013413814214615015415816216617017417818218619019419820220621021441014182226303438465054[Durée (100)],Horodateur11233538192231343743464952555861646985222634384650585462667074788290989410210611411811012212613013413814214615015415816216617017417818218619019419820220621021441014182226303438465054[Jour],$F$63,Horodateur11233538192231343743464952555861646985222634384650585462667074788290989410210611411811012212613013413814214615015415816216617017417818218619019419820220621021441014182226303438465054[Tâche],$A71)</f>
        <v>0</v>
      </c>
      <c r="G71" s="187" t="n">
        <f aca="false">SUMIFS(Horodateur11233538192231343743464952555861646985222634384650585462667074788290989410210611411811012212613013413814214615015415816216617017417818218619019419820220621021441014182226303438465054[Durée (100)],Horodateur11233538192231343743464952555861646985222634384650585462667074788290989410210611411811012212613013413814214615015415816216617017417818218619019419820220621021441014182226303438465054[Jour],$G$63,Horodateur11233538192231343743464952555861646985222634384650585462667074788290989410210611411811012212613013413814214615015415816216617017417818218619019419820220621021441014182226303438465054[Tâche],$A71)</f>
        <v>0</v>
      </c>
      <c r="H71" s="187" t="n">
        <f aca="false">SUMIFS(Horodateur11233538192231343743464952555861646985222634384650585462667074788290989410210611411811012212613013413814214615015415816216617017417818218619019419820220621021441014182226303438465054[Durée (100)],Horodateur11233538192231343743464952555861646985222634384650585462667074788290989410210611411811012212613013413814214615015415816216617017417818218619019419820220621021441014182226303438465054[Jour],$H$63,Horodateur11233538192231343743464952555861646985222634384650585462667074788290989410210611411811012212613013413814214615015415816216617017417818218619019419820220621021441014182226303438465054[Tâche],$A71)</f>
        <v>0</v>
      </c>
      <c r="I71" s="295" t="n">
        <f aca="false">SUM(Taches_Jour21325374018213033364245485154576063688421253337454957536165697377818997931011051131171091211251291331371411451491531571611651691731771811851891931972012052092133913172125293337454953[[#This Row],[1- Lundi]:[7- Dimanche]])</f>
        <v>0.500000000000001</v>
      </c>
      <c r="J71" s="271"/>
      <c r="K71" s="1"/>
      <c r="L71" s="188"/>
      <c r="M71" s="272"/>
      <c r="N71" s="76"/>
    </row>
    <row r="72" customFormat="false" ht="15" hidden="true" customHeight="false" outlineLevel="1" collapsed="false">
      <c r="N72" s="76"/>
    </row>
    <row r="73" customFormat="false" ht="15" hidden="true" customHeight="false" outlineLevel="1" collapsed="false">
      <c r="G73" s="0" t="s">
        <v>383</v>
      </c>
      <c r="N73" s="76"/>
    </row>
    <row r="74" customFormat="false" ht="15" hidden="false" customHeight="false" outlineLevel="0" collapsed="false">
      <c r="N74" s="76"/>
    </row>
    <row r="75" customFormat="false" ht="15" hidden="false" customHeight="false" outlineLevel="0" collapsed="false">
      <c r="G75" s="76"/>
      <c r="N75" s="76"/>
    </row>
    <row r="76" customFormat="false" ht="15" hidden="false" customHeight="false" outlineLevel="0" collapsed="false">
      <c r="N76" s="76"/>
    </row>
    <row r="77" customFormat="false" ht="15" hidden="false" customHeight="false" outlineLevel="0" collapsed="false">
      <c r="N77" s="76"/>
    </row>
    <row r="78" customFormat="false" ht="15" hidden="false" customHeight="false" outlineLevel="0" collapsed="false">
      <c r="N78" s="76"/>
    </row>
    <row r="79" customFormat="false" ht="15" hidden="false" customHeight="false" outlineLevel="0" collapsed="false">
      <c r="N79" s="76"/>
    </row>
    <row r="80" customFormat="false" ht="15" hidden="false" customHeight="false" outlineLevel="0" collapsed="false">
      <c r="N80" s="76"/>
    </row>
    <row r="81" customFormat="false" ht="15" hidden="false" customHeight="false" outlineLevel="0" collapsed="false">
      <c r="N81" s="76"/>
    </row>
    <row r="82" customFormat="false" ht="15" hidden="false" customHeight="false" outlineLevel="0" collapsed="false">
      <c r="N82" s="76"/>
    </row>
    <row r="83" customFormat="false" ht="15" hidden="false" customHeight="false" outlineLevel="0" collapsed="false">
      <c r="N83" s="76"/>
    </row>
    <row r="84" customFormat="false" ht="15" hidden="false" customHeight="false" outlineLevel="0" collapsed="false">
      <c r="N84" s="76"/>
    </row>
    <row r="85" customFormat="false" ht="15" hidden="false" customHeight="false" outlineLevel="0" collapsed="false">
      <c r="N85" s="76"/>
    </row>
    <row r="86" customFormat="false" ht="15" hidden="false" customHeight="false" outlineLevel="0" collapsed="false">
      <c r="N86" s="76"/>
    </row>
    <row r="87" customFormat="false" ht="15" hidden="false" customHeight="false" outlineLevel="0" collapsed="false">
      <c r="N87" s="76"/>
    </row>
    <row r="88" customFormat="false" ht="15" hidden="false" customHeight="false" outlineLevel="0" collapsed="false">
      <c r="N88" s="76"/>
    </row>
    <row r="89" customFormat="false" ht="15" hidden="false" customHeight="false" outlineLevel="0" collapsed="false">
      <c r="N89" s="76"/>
    </row>
    <row r="90" customFormat="false" ht="15" hidden="false" customHeight="false" outlineLevel="0" collapsed="false">
      <c r="N90" s="76"/>
    </row>
    <row r="91" customFormat="false" ht="15" hidden="false" customHeight="false" outlineLevel="0" collapsed="false">
      <c r="N91" s="76"/>
    </row>
    <row r="92" customFormat="false" ht="15" hidden="false" customHeight="false" outlineLevel="0" collapsed="false">
      <c r="N92" s="76"/>
    </row>
    <row r="93" customFormat="false" ht="15" hidden="false" customHeight="false" outlineLevel="0" collapsed="false">
      <c r="N93" s="76"/>
    </row>
    <row r="94" customFormat="false" ht="15" hidden="false" customHeight="false" outlineLevel="0" collapsed="false">
      <c r="N94" s="76"/>
    </row>
    <row r="95" customFormat="false" ht="15" hidden="false" customHeight="false" outlineLevel="0" collapsed="false">
      <c r="A95" s="296" t="s">
        <v>384</v>
      </c>
      <c r="B95" s="296"/>
      <c r="N95" s="76"/>
    </row>
    <row r="96" customFormat="false" ht="15" hidden="false" customHeight="false" outlineLevel="0" collapsed="false">
      <c r="A96" s="297" t="s">
        <v>385</v>
      </c>
      <c r="B96" s="297" t="s">
        <v>8</v>
      </c>
      <c r="N96" s="76"/>
    </row>
    <row r="97" customFormat="false" ht="15" hidden="false" customHeight="false" outlineLevel="0" collapsed="false">
      <c r="A97" s="298" t="n">
        <v>0</v>
      </c>
      <c r="B97" s="299" t="s">
        <v>386</v>
      </c>
      <c r="N97" s="76"/>
    </row>
    <row r="98" customFormat="false" ht="15" hidden="false" customHeight="false" outlineLevel="0" collapsed="false">
      <c r="A98" s="298" t="n">
        <v>-2</v>
      </c>
      <c r="B98" s="299" t="s">
        <v>387</v>
      </c>
      <c r="N98" s="76"/>
    </row>
    <row r="99" customFormat="false" ht="15" hidden="false" customHeight="false" outlineLevel="0" collapsed="false">
      <c r="A99" s="298" t="n">
        <v>8.5</v>
      </c>
      <c r="B99" s="299" t="s">
        <v>388</v>
      </c>
      <c r="N99" s="76"/>
    </row>
    <row r="100" customFormat="false" ht="15" hidden="false" customHeight="false" outlineLevel="0" collapsed="false">
      <c r="A100" s="298" t="n">
        <v>14.5</v>
      </c>
      <c r="B100" s="299" t="s">
        <v>389</v>
      </c>
      <c r="N100" s="76"/>
    </row>
    <row r="101" customFormat="false" ht="15" hidden="false" customHeight="false" outlineLevel="0" collapsed="false">
      <c r="A101" s="298" t="n">
        <v>8.5</v>
      </c>
      <c r="B101" s="299" t="s">
        <v>390</v>
      </c>
      <c r="N101" s="76"/>
    </row>
    <row r="102" customFormat="false" ht="15" hidden="false" customHeight="false" outlineLevel="0" collapsed="false">
      <c r="A102" s="298" t="n">
        <v>10</v>
      </c>
      <c r="B102" s="299" t="s">
        <v>391</v>
      </c>
      <c r="N102" s="76"/>
    </row>
    <row r="103" customFormat="false" ht="15" hidden="false" customHeight="false" outlineLevel="0" collapsed="false">
      <c r="A103" s="298" t="n">
        <v>-7.5</v>
      </c>
      <c r="B103" s="299" t="s">
        <v>392</v>
      </c>
      <c r="N103" s="76"/>
    </row>
    <row r="104" customFormat="false" ht="15" hidden="false" customHeight="false" outlineLevel="0" collapsed="false">
      <c r="A104" s="298" t="n">
        <v>2</v>
      </c>
      <c r="B104" s="299" t="s">
        <v>393</v>
      </c>
      <c r="N104" s="76"/>
    </row>
    <row r="105" customFormat="false" ht="15" hidden="false" customHeight="false" outlineLevel="0" collapsed="false">
      <c r="A105" s="300" t="n">
        <v>2</v>
      </c>
      <c r="B105" s="301" t="s">
        <v>394</v>
      </c>
      <c r="N105" s="76"/>
    </row>
    <row r="106" customFormat="false" ht="15" hidden="false" customHeight="false" outlineLevel="0" collapsed="false">
      <c r="A106" s="300" t="n">
        <v>2.25</v>
      </c>
      <c r="B106" s="301" t="s">
        <v>395</v>
      </c>
    </row>
    <row r="107" customFormat="false" ht="15" hidden="false" customHeight="false" outlineLevel="0" collapsed="false">
      <c r="A107" s="300" t="n">
        <v>-4</v>
      </c>
      <c r="B107" s="302" t="s">
        <v>396</v>
      </c>
    </row>
    <row r="108" customFormat="false" ht="15" hidden="false" customHeight="false" outlineLevel="0" collapsed="false">
      <c r="A108" s="300" t="n">
        <v>-7.5</v>
      </c>
      <c r="B108" s="301" t="s">
        <v>397</v>
      </c>
    </row>
  </sheetData>
  <mergeCells count="1">
    <mergeCell ref="A95:B95"/>
  </mergeCells>
  <conditionalFormatting sqref="G4:G47">
    <cfRule type="expression" priority="2" aboveAverage="0" equalAverage="0" bottom="0" percent="0" rank="0" text="" dxfId="768">
      <formula>L4="O"</formula>
    </cfRule>
    <cfRule type="expression" priority="3" aboveAverage="0" equalAverage="0" bottom="0" percent="0" rank="0" text="" dxfId="769">
      <formula>H4=0</formula>
    </cfRule>
  </conditionalFormatting>
  <conditionalFormatting sqref="F4:F47">
    <cfRule type="expression" priority="4" aboveAverage="0" equalAverage="0" bottom="0" percent="0" rank="0" text="" dxfId="770">
      <formula>L4="O"</formula>
    </cfRule>
  </conditionalFormatting>
  <conditionalFormatting sqref="E4:E47">
    <cfRule type="expression" priority="5" aboveAverage="0" equalAverage="0" bottom="0" percent="0" rank="0" text="" dxfId="771">
      <formula>L4="O"</formula>
    </cfRule>
  </conditionalFormatting>
  <conditionalFormatting sqref="C4:I47 K4:K47">
    <cfRule type="containsText" priority="6" operator="containsText" aboveAverage="0" equalAverage="0" bottom="0" percent="0" rank="0" text="Lundi" dxfId="693">
      <formula>NOT(ISERROR(SEARCH("Lundi",C4)))</formula>
    </cfRule>
  </conditionalFormatting>
  <conditionalFormatting sqref="D4:D47">
    <cfRule type="expression" priority="7" aboveAverage="0" equalAverage="0" bottom="0" percent="0" rank="0" text="" dxfId="772">
      <formula>L4="O"</formula>
    </cfRule>
  </conditionalFormatting>
  <conditionalFormatting sqref="C4:C47">
    <cfRule type="expression" priority="8" aboveAverage="0" equalAverage="0" bottom="0" percent="0" rank="0" text="" dxfId="773">
      <formula>L4="O"</formula>
    </cfRule>
  </conditionalFormatting>
  <conditionalFormatting sqref="K4:K47">
    <cfRule type="expression" priority="9" aboveAverage="0" equalAverage="0" bottom="0" percent="0" rank="0" text="" dxfId="774">
      <formula>L4="O"</formula>
    </cfRule>
  </conditionalFormatting>
  <conditionalFormatting sqref="I4:I47">
    <cfRule type="expression" priority="10" aboveAverage="0" equalAverage="0" bottom="0" percent="0" rank="0" text="" dxfId="775">
      <formula>L4="O"</formula>
    </cfRule>
  </conditionalFormatting>
  <conditionalFormatting sqref="H4:H47">
    <cfRule type="expression" priority="11" aboveAverage="0" equalAverage="0" bottom="0" percent="0" rank="0" text="" dxfId="776">
      <formula>L4="O"</formula>
    </cfRule>
  </conditionalFormatting>
  <conditionalFormatting sqref="F2:J2">
    <cfRule type="iconSet" priority="12">
      <iconSet iconSet="3TrafficLights1">
        <cfvo type="percent" val="0"/>
        <cfvo type="percent" val="33"/>
        <cfvo type="percent" val="67"/>
      </iconSet>
    </cfRule>
  </conditionalFormatting>
  <conditionalFormatting sqref="B4:B47">
    <cfRule type="containsText" priority="13" operator="containsText" aboveAverage="0" equalAverage="0" bottom="0" percent="0" rank="0" text="5" dxfId="777">
      <formula>NOT(ISERROR(SEARCH("5",B4)))</formula>
    </cfRule>
    <cfRule type="containsText" priority="14" operator="containsText" aboveAverage="0" equalAverage="0" bottom="0" percent="0" rank="0" text="4" dxfId="778">
      <formula>NOT(ISERROR(SEARCH("4",B4)))</formula>
    </cfRule>
    <cfRule type="containsText" priority="15" operator="containsText" aboveAverage="0" equalAverage="0" bottom="0" percent="0" rank="0" text="3" dxfId="779">
      <formula>NOT(ISERROR(SEARCH("3",B4)))</formula>
    </cfRule>
    <cfRule type="containsText" priority="16" operator="containsText" aboveAverage="0" equalAverage="0" bottom="0" percent="0" rank="0" text="2" dxfId="780">
      <formula>NOT(ISERROR(SEARCH("2",B4)))</formula>
    </cfRule>
    <cfRule type="containsText" priority="17" operator="containsText" aboveAverage="0" equalAverage="0" bottom="0" percent="0" rank="0" text="1" dxfId="781">
      <formula>NOT(ISERROR(SEARCH("1",B4)))</formula>
    </cfRule>
  </conditionalFormatting>
  <conditionalFormatting sqref="I64:I71">
    <cfRule type="dataBar" priority="18">
      <dataBar showValue="1" minLength="10" maxLength="90">
        <cfvo type="min" val="0"/>
        <cfvo type="max" val="0"/>
        <color rgb="FFFFB628"/>
      </dataBar>
      <extLst>
        <ext xmlns:x14="http://schemas.microsoft.com/office/spreadsheetml/2009/9/main" uri="{B025F937-C7B1-47D3-B67F-A62EFF666E3E}">
          <x14:id>{7E724E3E-2EB4-4FF0-AD61-357B144DFCB5}</x14:id>
        </ext>
      </extLst>
    </cfRule>
  </conditionalFormatting>
  <conditionalFormatting sqref="I60:I61 J55:J59">
    <cfRule type="dataBar" priority="19">
      <dataBar showValue="1" minLength="10" maxLength="90">
        <cfvo type="min" val="0"/>
        <cfvo type="max" val="0"/>
        <color rgb="FFFFB628"/>
      </dataBar>
      <extLst>
        <ext xmlns:x14="http://schemas.microsoft.com/office/spreadsheetml/2009/9/main" uri="{B025F937-C7B1-47D3-B67F-A62EFF666E3E}">
          <x14:id>{A24DAF87-63C5-4CAD-83AB-C02D7B5FB319}</x14:id>
        </ext>
      </extLst>
    </cfRule>
  </conditionalFormatting>
  <conditionalFormatting sqref="U2:AG2">
    <cfRule type="dataBar" priority="20">
      <dataBar showValue="1" minLength="10" maxLength="90">
        <cfvo type="min" val="0"/>
        <cfvo type="max" val="0"/>
        <color rgb="FF63C384"/>
      </dataBar>
      <extLst>
        <ext xmlns:x14="http://schemas.microsoft.com/office/spreadsheetml/2009/9/main" uri="{B025F937-C7B1-47D3-B67F-A62EFF666E3E}">
          <x14:id>{DFB6BA5B-E31D-4553-A821-7FB7F3DCCE30}</x14:id>
        </ext>
      </extLst>
    </cfRule>
  </conditionalFormatting>
  <conditionalFormatting sqref="N2:T2">
    <cfRule type="dataBar" priority="21">
      <dataBar showValue="1" minLength="10" maxLength="90">
        <cfvo type="min" val="0"/>
        <cfvo type="max" val="0"/>
        <color rgb="FFFFB628"/>
      </dataBar>
      <extLst>
        <ext xmlns:x14="http://schemas.microsoft.com/office/spreadsheetml/2009/9/main" uri="{B025F937-C7B1-47D3-B67F-A62EFF666E3E}">
          <x14:id>{8D998525-FABD-4C95-9655-A69B12438694}</x14:id>
        </ext>
      </extLst>
    </cfRule>
  </conditionalFormatting>
  <conditionalFormatting sqref="N2:AG2">
    <cfRule type="dataBar" priority="22">
      <dataBar showValue="1" minLength="10" maxLength="90">
        <cfvo type="min" val="0"/>
        <cfvo type="max" val="0"/>
        <color rgb="FFFFB628"/>
      </dataBar>
      <extLst>
        <ext xmlns:x14="http://schemas.microsoft.com/office/spreadsheetml/2009/9/main" uri="{B025F937-C7B1-47D3-B67F-A62EFF666E3E}">
          <x14:id>{515ED03E-2512-4ECD-B230-7BF2495EF270}</x14:id>
        </ext>
      </extLst>
    </cfRule>
  </conditionalFormatting>
  <conditionalFormatting sqref="N2:S2">
    <cfRule type="dataBar" priority="23">
      <dataBar showValue="1" minLength="10" maxLength="90">
        <cfvo type="min" val="0"/>
        <cfvo type="max" val="0"/>
        <color rgb="FF638EC6"/>
      </dataBar>
      <extLst>
        <ext xmlns:x14="http://schemas.microsoft.com/office/spreadsheetml/2009/9/main" uri="{B025F937-C7B1-47D3-B67F-A62EFF666E3E}">
          <x14:id>{80DA9CAA-B4BC-40C2-B46F-DD70ADD5C7D5}</x14:id>
        </ext>
      </extLst>
    </cfRule>
  </conditionalFormatting>
  <conditionalFormatting sqref="T2">
    <cfRule type="dataBar" priority="24">
      <dataBar showValue="1" minLength="10" maxLength="90">
        <cfvo type="min" val="0"/>
        <cfvo type="max" val="0"/>
        <color rgb="FF63C384"/>
      </dataBar>
      <extLst>
        <ext xmlns:x14="http://schemas.microsoft.com/office/spreadsheetml/2009/9/main" uri="{B025F937-C7B1-47D3-B67F-A62EFF666E3E}">
          <x14:id>{D3F770A1-A088-4337-99F7-2024F6B0AF11}</x14:id>
        </ext>
      </extLst>
    </cfRule>
  </conditionalFormatting>
  <conditionalFormatting sqref="A4:A47">
    <cfRule type="colorScale" priority="25">
      <colorScale>
        <cfvo type="min" val="0"/>
        <cfvo type="percentile" val="50"/>
        <cfvo type="max" val="0"/>
        <color rgb="FFFFCC99"/>
        <color rgb="FFFFD966"/>
        <color rgb="FFFFF2CC"/>
      </colorScale>
    </cfRule>
  </conditionalFormatting>
  <conditionalFormatting sqref="J4:J47">
    <cfRule type="iconSet" priority="26">
      <iconSet iconSet="3TrafficLights1">
        <cfvo type="percent" val="0"/>
        <cfvo type="percent" val="33"/>
        <cfvo type="percent" val="67"/>
      </iconSet>
    </cfRule>
  </conditionalFormatting>
  <dataValidations count="4">
    <dataValidation allowBlank="true" errorStyle="stop" operator="between" showDropDown="false" showErrorMessage="true" showInputMessage="true" sqref="B1" type="list">
      <formula1>Data!$A$2:$A$106</formula1>
      <formula2>0</formula2>
    </dataValidation>
    <dataValidation allowBlank="true" errorStyle="stop" operator="between" showDropDown="false" showErrorMessage="true" showInputMessage="true" sqref="B4:B47" type="list">
      <formula1>Data!$C$2:$C$8</formula1>
      <formula2>0</formula2>
    </dataValidation>
    <dataValidation allowBlank="false" errorStyle="stop" operator="between" showDropDown="false" showErrorMessage="true" showInputMessage="true" sqref="E4:E47" type="list">
      <formula1>Data!$E$2:$E$30</formula1>
      <formula2>0</formula2>
    </dataValidation>
    <dataValidation allowBlank="true" errorStyle="information" errorTitle="OK ?" operator="between" showDropDown="false" showErrorMessage="true" showInputMessage="true" sqref="F4:F47" type="list">
      <formula1>Data!$D$2:$D$16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  <tableParts>
    <tablePart r:id="rId4"/>
    <tablePart r:id="rId5"/>
    <tablePart r:id="rId6"/>
    <tablePart r:id="rId7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7E724E3E-2EB4-4FF0-AD61-357B144DFCB5}">
            <x14:dataBar minLength="10" maxLength="90" axisPosition="automatic" gradient="true">
              <x14:cfvo type="autoMin"/>
              <x14:cfvo type="autoMax"/>
              <x14:negativeFillColor rgb="FFFF0000"/>
              <x14:axisColor rgb="FF000000"/>
            </x14:dataBar>
          </x14:cfRule>
          <xm:sqref>I64:I71</xm:sqref>
        </x14:conditionalFormatting>
        <x14:conditionalFormatting xmlns:xm="http://schemas.microsoft.com/office/excel/2006/main">
          <x14:cfRule type="dataBar" id="{A24DAF87-63C5-4CAD-83AB-C02D7B5FB319}">
            <x14:dataBar minLength="10" maxLength="90" axisPosition="automatic" gradient="true">
              <x14:cfvo type="autoMin"/>
              <x14:cfvo type="autoMax"/>
              <x14:negativeFillColor rgb="FFFF0000"/>
              <x14:axisColor rgb="FF000000"/>
            </x14:dataBar>
          </x14:cfRule>
          <xm:sqref>I60:I61 J55:J59</xm:sqref>
        </x14:conditionalFormatting>
        <x14:conditionalFormatting xmlns:xm="http://schemas.microsoft.com/office/excel/2006/main">
          <x14:cfRule type="dataBar" id="{DFB6BA5B-E31D-4553-A821-7FB7F3DCCE30}">
            <x14:dataBar minLength="10" maxLength="90" axisPosition="automatic" gradient="true">
              <x14:cfvo type="autoMin"/>
              <x14:cfvo type="autoMax"/>
              <x14:negativeFillColor rgb="FFFF0000"/>
              <x14:axisColor rgb="FF000000"/>
            </x14:dataBar>
          </x14:cfRule>
          <xm:sqref>U2:AG2</xm:sqref>
        </x14:conditionalFormatting>
        <x14:conditionalFormatting xmlns:xm="http://schemas.microsoft.com/office/excel/2006/main">
          <x14:cfRule type="dataBar" id="{8D998525-FABD-4C95-9655-A69B12438694}">
            <x14:dataBar minLength="10" maxLength="90" axisPosition="automatic" gradient="true">
              <x14:cfvo type="autoMin"/>
              <x14:cfvo type="autoMax"/>
              <x14:negativeFillColor rgb="FFFF0000"/>
              <x14:axisColor rgb="FF000000"/>
            </x14:dataBar>
          </x14:cfRule>
          <xm:sqref>N2:T2</xm:sqref>
        </x14:conditionalFormatting>
        <x14:conditionalFormatting xmlns:xm="http://schemas.microsoft.com/office/excel/2006/main">
          <x14:cfRule type="dataBar" id="{515ED03E-2512-4ECD-B230-7BF2495EF270}">
            <x14:dataBar minLength="10" maxLength="90" axisPosition="automatic" gradient="false">
              <x14:cfvo type="autoMin"/>
              <x14:cfvo type="autoMax"/>
              <x14:negativeFillColor rgb="FFFF0000"/>
              <x14:axisColor rgb="FF000000"/>
            </x14:dataBar>
          </x14:cfRule>
          <xm:sqref>N2:AG2</xm:sqref>
        </x14:conditionalFormatting>
        <x14:conditionalFormatting xmlns:xm="http://schemas.microsoft.com/office/excel/2006/main">
          <x14:cfRule type="dataBar" id="{80DA9CAA-B4BC-40C2-B46F-DD70ADD5C7D5}">
            <x14:dataBar minLength="10" maxLength="90" axisPosition="automatic" gradient="false">
              <x14:cfvo type="autoMin"/>
              <x14:cfvo type="autoMax"/>
              <x14:negativeFillColor rgb="FFFF0000"/>
              <x14:axisColor rgb="FF000000"/>
            </x14:dataBar>
          </x14:cfRule>
          <xm:sqref>N2:S2</xm:sqref>
        </x14:conditionalFormatting>
        <x14:conditionalFormatting xmlns:xm="http://schemas.microsoft.com/office/excel/2006/main">
          <x14:cfRule type="dataBar" id="{D3F770A1-A088-4337-99F7-2024F6B0AF11}">
            <x14:dataBar minLength="10" maxLength="90" axisPosition="automatic" gradient="false">
              <x14:cfvo type="autoMin"/>
              <x14:cfvo type="autoMax"/>
              <x14:negativeFillColor rgb="FFFF0000"/>
              <x14:axisColor rgb="FF000000"/>
            </x14:dataBar>
          </x14:cfRule>
          <xm:sqref>T2</xm:sqref>
        </x14:conditionalFormatting>
      </x14:conditionalFormatting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9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J16" activeCellId="0" sqref="J16"/>
    </sheetView>
  </sheetViews>
  <sheetFormatPr defaultColWidth="8.6796875" defaultRowHeight="15" zeroHeight="false" outlineLevelRow="1" outlineLevelCol="1"/>
  <cols>
    <col collapsed="false" customWidth="true" hidden="false" outlineLevel="0" max="1" min="1" style="0" width="16.57"/>
    <col collapsed="false" customWidth="true" hidden="false" outlineLevel="0" max="2" min="2" style="0" width="17.71"/>
    <col collapsed="false" customWidth="true" hidden="false" outlineLevel="0" max="3" min="3" style="0" width="14.14"/>
    <col collapsed="false" customWidth="true" hidden="false" outlineLevel="0" max="4" min="4" style="0" width="10.57"/>
    <col collapsed="false" customWidth="true" hidden="false" outlineLevel="0" max="5" min="5" style="0" width="24.42"/>
    <col collapsed="false" customWidth="true" hidden="false" outlineLevel="0" max="6" min="6" style="0" width="19.71"/>
    <col collapsed="false" customWidth="true" hidden="false" outlineLevel="0" max="7" min="7" style="0" width="29.71"/>
    <col collapsed="false" customWidth="true" hidden="false" outlineLevel="0" max="8" min="8" style="0" width="13.29"/>
    <col collapsed="false" customWidth="true" hidden="false" outlineLevel="0" max="9" min="9" style="0" width="15"/>
    <col collapsed="false" customWidth="true" hidden="false" outlineLevel="0" max="11" min="10" style="0" width="16.14"/>
    <col collapsed="false" customWidth="true" hidden="false" outlineLevel="0" max="12" min="12" style="0" width="7.71"/>
    <col collapsed="false" customWidth="true" hidden="false" outlineLevel="0" max="13" min="13" style="224" width="9.86"/>
    <col collapsed="false" customWidth="true" hidden="false" outlineLevel="1" max="14" min="14" style="0" width="10.29"/>
    <col collapsed="false" customWidth="true" hidden="false" outlineLevel="1" max="15" min="15" style="0" width="9.57"/>
    <col collapsed="false" customWidth="true" hidden="false" outlineLevel="1" max="16" min="16" style="0" width="8.57"/>
    <col collapsed="false" customWidth="true" hidden="false" outlineLevel="1" max="18" min="17" style="0" width="7.29"/>
    <col collapsed="false" customWidth="true" hidden="false" outlineLevel="1" max="19" min="19" style="0" width="8.57"/>
    <col collapsed="false" customWidth="true" hidden="false" outlineLevel="1" max="20" min="20" style="0" width="7.71"/>
    <col collapsed="false" customWidth="true" hidden="false" outlineLevel="1" max="21" min="21" style="0" width="12"/>
    <col collapsed="false" customWidth="true" hidden="false" outlineLevel="1" max="22" min="22" style="0" width="10.14"/>
    <col collapsed="false" customWidth="true" hidden="false" outlineLevel="1" max="23" min="23" style="0" width="11.71"/>
    <col collapsed="false" customWidth="true" hidden="false" outlineLevel="1" max="24" min="24" style="0" width="12.71"/>
    <col collapsed="false" customWidth="true" hidden="false" outlineLevel="1" max="25" min="25" style="0" width="8.57"/>
    <col collapsed="false" customWidth="true" hidden="false" outlineLevel="1" max="26" min="26" style="0" width="7.29"/>
    <col collapsed="false" customWidth="true" hidden="false" outlineLevel="1" max="27" min="27" style="0" width="9.71"/>
    <col collapsed="false" customWidth="true" hidden="false" outlineLevel="1" max="28" min="28" style="0" width="11.43"/>
    <col collapsed="false" customWidth="true" hidden="false" outlineLevel="1" max="29" min="29" style="0" width="10"/>
    <col collapsed="false" customWidth="true" hidden="false" outlineLevel="1" max="30" min="30" style="0" width="9.86"/>
    <col collapsed="false" customWidth="true" hidden="false" outlineLevel="1" max="31" min="31" style="0" width="7.86"/>
    <col collapsed="false" customWidth="true" hidden="false" outlineLevel="1" max="32" min="32" style="0" width="18.71"/>
    <col collapsed="false" customWidth="true" hidden="false" outlineLevel="1" max="33" min="33" style="0" width="27.15"/>
    <col collapsed="false" customWidth="true" hidden="false" outlineLevel="1" max="34" min="34" style="0" width="5.42"/>
  </cols>
  <sheetData>
    <row r="1" customFormat="false" ht="22.05" hidden="false" customHeight="false" outlineLevel="0" collapsed="false">
      <c r="A1" s="225" t="str">
        <f aca="false">"Semaine du " &amp; Data!D41</f>
        <v>Semaine du </v>
      </c>
      <c r="B1" s="226" t="n">
        <v>44284</v>
      </c>
      <c r="C1" s="227"/>
      <c r="D1" s="321" t="s">
        <v>361</v>
      </c>
      <c r="E1" s="322" t="n">
        <f aca="false">AVERAGE(F2:J2)</f>
        <v>6.8</v>
      </c>
      <c r="F1" s="323" t="s">
        <v>0</v>
      </c>
      <c r="G1" s="324" t="s">
        <v>1</v>
      </c>
      <c r="H1" s="324" t="s">
        <v>2</v>
      </c>
      <c r="I1" s="324" t="s">
        <v>3</v>
      </c>
      <c r="J1" s="324" t="s">
        <v>4</v>
      </c>
      <c r="K1" s="325" t="s">
        <v>401</v>
      </c>
      <c r="L1" s="234" t="n">
        <f aca="false">COUNTIF(#REF!,"o")+ COUNTIF(#REF!,".")</f>
        <v>26</v>
      </c>
      <c r="M1" s="128" t="n">
        <f aca="false">B2</f>
        <v>38</v>
      </c>
      <c r="N1" s="131" t="s">
        <v>21</v>
      </c>
      <c r="O1" s="130" t="s">
        <v>20</v>
      </c>
      <c r="P1" s="130" t="s">
        <v>23</v>
      </c>
      <c r="Q1" s="130" t="s">
        <v>25</v>
      </c>
      <c r="R1" s="130" t="s">
        <v>26</v>
      </c>
      <c r="S1" s="130" t="s">
        <v>378</v>
      </c>
      <c r="T1" s="130" t="s">
        <v>380</v>
      </c>
      <c r="U1" s="136" t="s">
        <v>32</v>
      </c>
      <c r="V1" s="136" t="s">
        <v>69</v>
      </c>
      <c r="W1" s="136" t="s">
        <v>66</v>
      </c>
      <c r="X1" s="136" t="s">
        <v>47</v>
      </c>
      <c r="Y1" s="136" t="s">
        <v>68</v>
      </c>
      <c r="Z1" s="136" t="s">
        <v>41</v>
      </c>
      <c r="AA1" s="136" t="s">
        <v>61</v>
      </c>
      <c r="AB1" s="136" t="s">
        <v>74</v>
      </c>
      <c r="AC1" s="136" t="s">
        <v>37</v>
      </c>
      <c r="AD1" s="136" t="s">
        <v>77</v>
      </c>
      <c r="AE1" s="136" t="s">
        <v>45</v>
      </c>
      <c r="AF1" s="136" t="s">
        <v>78</v>
      </c>
      <c r="AG1" s="136" t="s">
        <v>79</v>
      </c>
      <c r="AH1" s="87" t="str">
        <f aca="false">SUM(M4:M29) &amp; " / " &amp; B2-SUM(M4:M29)</f>
        <v>38 / 0</v>
      </c>
    </row>
    <row r="2" customFormat="false" ht="22.05" hidden="false" customHeight="false" outlineLevel="0" collapsed="false">
      <c r="A2" s="327" t="n">
        <f aca="false">SUM(#REF!)</f>
        <v>1.58333333333333</v>
      </c>
      <c r="B2" s="328" t="n">
        <f aca="false">SUM(#REF!)</f>
        <v>38</v>
      </c>
      <c r="C2" s="339" t="str">
        <f aca="false">M2</f>
        <v>38 / 0</v>
      </c>
      <c r="D2" s="238"/>
      <c r="E2" s="239"/>
      <c r="F2" s="329" t="n">
        <f aca="false">SUMIF(#REF!,"1- Lundi",#REF!)</f>
        <v>3.5</v>
      </c>
      <c r="G2" s="330" t="n">
        <f aca="false">SUMIF(#REF!,"2- Mardi",#REF!)</f>
        <v>9.5</v>
      </c>
      <c r="H2" s="330" t="n">
        <f aca="false">SUMIF(#REF!,"3- Mercredi",#REF!)</f>
        <v>8.5</v>
      </c>
      <c r="I2" s="330" t="n">
        <f aca="false">SUMIF(#REF!,"4- Jeudi",#REF!)</f>
        <v>8</v>
      </c>
      <c r="J2" s="330" t="n">
        <f aca="false">SUMIF(#REF!,"5- Vendredi",#REF!)</f>
        <v>4.5</v>
      </c>
      <c r="K2" s="331" t="str">
        <f aca="false">ROUND(SUMIF(#REF!,"6- Samedi",#REF!),2) &amp;  "   /    " &amp;  ROUND(SUMIF(#REF!,"7- Dimanche",#REF!),2)</f>
        <v>4   /    0</v>
      </c>
      <c r="L2" s="244" t="str">
        <f aca="false">COUNTIF(#REF!,"o")&amp;" / " &amp;  COUNTIF(#REF!,".")</f>
        <v>26 / 0</v>
      </c>
      <c r="M2" s="143" t="str">
        <f aca="false">SUM(M4:M29) &amp; " / " &amp; B2-SUM(M4:M29)</f>
        <v>38 / 0</v>
      </c>
      <c r="N2" s="248" t="n">
        <f aca="false">SUMIF(#REF!,N$1,#REF!)</f>
        <v>2.75</v>
      </c>
      <c r="O2" s="247" t="n">
        <f aca="false">SUMIF(#REF!,O$1,#REF!)</f>
        <v>0</v>
      </c>
      <c r="P2" s="247" t="n">
        <f aca="false">SUMIF(#REF!,P$1,#REF!)</f>
        <v>1</v>
      </c>
      <c r="Q2" s="247" t="n">
        <f aca="false">SUMIF(#REF!,Q$1,#REF!)</f>
        <v>0</v>
      </c>
      <c r="R2" s="247" t="n">
        <f aca="false">SUMIF(#REF!,R$1,#REF!)</f>
        <v>0</v>
      </c>
      <c r="S2" s="247" t="n">
        <f aca="false">SUMIF(#REF!,S$1,#REF!)</f>
        <v>25.75</v>
      </c>
      <c r="T2" s="247" t="n">
        <f aca="false">SUMIF(#REF!,T$1,#REF!)</f>
        <v>0</v>
      </c>
      <c r="U2" s="151" t="n">
        <f aca="false">SUMIF(#REF!,U$1,#REF!)</f>
        <v>2.75</v>
      </c>
      <c r="V2" s="151" t="n">
        <f aca="false">SUMIF(#REF!,V$1,#REF!)</f>
        <v>0</v>
      </c>
      <c r="W2" s="151" t="n">
        <f aca="false">SUMIF(#REF!,W$1,#REF!)</f>
        <v>0</v>
      </c>
      <c r="X2" s="151" t="n">
        <f aca="false">SUMIF(#REF!,X$1,#REF!)</f>
        <v>0</v>
      </c>
      <c r="Y2" s="151" t="n">
        <f aca="false">SUMIF(#REF!,Y$1,#REF!)</f>
        <v>0</v>
      </c>
      <c r="Z2" s="151" t="n">
        <f aca="false">SUMIF(#REF!,Z$1,#REF!)</f>
        <v>0</v>
      </c>
      <c r="AA2" s="151" t="n">
        <f aca="false">SUMIF(#REF!,AA$1,#REF!)</f>
        <v>0</v>
      </c>
      <c r="AB2" s="151" t="n">
        <f aca="false">SUMIF(#REF!,AB$1,#REF!)</f>
        <v>0</v>
      </c>
      <c r="AC2" s="151" t="n">
        <f aca="false">SUMIF(#REF!,AC$1,#REF!)</f>
        <v>0</v>
      </c>
      <c r="AD2" s="151" t="n">
        <f aca="false">SUMIF(#REF!,AD$1,#REF!)</f>
        <v>0</v>
      </c>
      <c r="AE2" s="151" t="n">
        <f aca="false">SUMIF(#REF!,AE$1,#REF!)</f>
        <v>0</v>
      </c>
      <c r="AF2" s="151" t="n">
        <f aca="false">SUMIF(#REF!,AF$1,#REF!)</f>
        <v>0</v>
      </c>
      <c r="AG2" s="151" t="n">
        <f aca="false">SUMIF(#REF!,AG$1,#REF!)</f>
        <v>0</v>
      </c>
    </row>
    <row r="3" s="137" customFormat="true" ht="15" hidden="false" customHeight="false" outlineLevel="0" collapsed="false">
      <c r="A3" s="249" t="s">
        <v>8</v>
      </c>
      <c r="B3" s="249" t="s">
        <v>9</v>
      </c>
      <c r="C3" s="193" t="s">
        <v>10</v>
      </c>
      <c r="D3" s="193" t="s">
        <v>11</v>
      </c>
      <c r="E3" s="250" t="s">
        <v>12</v>
      </c>
      <c r="F3" s="250" t="s">
        <v>13</v>
      </c>
      <c r="G3" s="250" t="s">
        <v>14</v>
      </c>
      <c r="H3" s="193" t="s">
        <v>302</v>
      </c>
      <c r="I3" s="252" t="s">
        <v>364</v>
      </c>
      <c r="J3" s="253" t="s">
        <v>365</v>
      </c>
      <c r="K3" s="250" t="s">
        <v>402</v>
      </c>
      <c r="L3" s="255" t="s">
        <v>7</v>
      </c>
      <c r="M3" s="254" t="s">
        <v>29</v>
      </c>
      <c r="N3" s="153" t="n">
        <f aca="false">N2/$B$2</f>
        <v>0.0723684210526315</v>
      </c>
      <c r="O3" s="153" t="n">
        <f aca="false">O2/$B$2</f>
        <v>0</v>
      </c>
      <c r="P3" s="153" t="n">
        <f aca="false">P2/$B$2</f>
        <v>0.0263157894736842</v>
      </c>
      <c r="Q3" s="153" t="n">
        <f aca="false">Q2/$B$2</f>
        <v>0</v>
      </c>
      <c r="R3" s="153" t="n">
        <f aca="false">R2/$B$2</f>
        <v>0</v>
      </c>
      <c r="S3" s="153" t="n">
        <f aca="false">S2/$B$2</f>
        <v>0.677631578947369</v>
      </c>
      <c r="T3" s="153" t="n">
        <f aca="false">T2/$B$2</f>
        <v>0</v>
      </c>
      <c r="U3" s="153" t="n">
        <f aca="false">U2/$B$2</f>
        <v>0.0723684210526315</v>
      </c>
      <c r="V3" s="153" t="n">
        <f aca="false">V2/$B$2</f>
        <v>0</v>
      </c>
      <c r="W3" s="153" t="n">
        <f aca="false">W2/$B$2</f>
        <v>0</v>
      </c>
      <c r="X3" s="153" t="n">
        <f aca="false">X2/$B$2</f>
        <v>0</v>
      </c>
      <c r="Y3" s="153" t="n">
        <f aca="false">Y2/$B$2</f>
        <v>0</v>
      </c>
      <c r="Z3" s="153" t="n">
        <f aca="false">Z2/$B$2</f>
        <v>0</v>
      </c>
      <c r="AA3" s="153" t="n">
        <f aca="false">AA2/$B$2</f>
        <v>0</v>
      </c>
      <c r="AB3" s="153" t="n">
        <f aca="false">AB2/$B$2</f>
        <v>0</v>
      </c>
      <c r="AC3" s="153" t="n">
        <f aca="false">AC2/$B$2</f>
        <v>0</v>
      </c>
      <c r="AD3" s="153" t="n">
        <f aca="false">AD2/$B$2</f>
        <v>0</v>
      </c>
      <c r="AE3" s="153" t="n">
        <f aca="false">AE2/$B$2</f>
        <v>0</v>
      </c>
      <c r="AF3" s="153" t="n">
        <f aca="false">AF2/$B$2</f>
        <v>0</v>
      </c>
      <c r="AG3" s="153" t="n">
        <f aca="false">AG2/$B$2</f>
        <v>0</v>
      </c>
    </row>
    <row r="4" customFormat="false" ht="15" hidden="false" customHeight="false" outlineLevel="0" collapsed="false">
      <c r="A4" s="256" t="n">
        <f aca="false">IF(#REF!="1- Lundi",$B$1+1, IF(#REF!="2- Mardi",$B$1+2, IF(#REF!="3- Mercredi",$B$1+3, IF(#REF!="4- Jeudi",$B$1+4, IF(#REF!="5- Vendredi",$B$1+5, IF(#REF!="6- Samedi",$B$1+6, IF(#REF!="7- Dimanche",$B$1, )))))))</f>
        <v>44285</v>
      </c>
      <c r="B4" s="257" t="s">
        <v>312</v>
      </c>
      <c r="C4" s="258" t="n">
        <v>0.5625</v>
      </c>
      <c r="D4" s="258" t="n">
        <v>0.59375</v>
      </c>
      <c r="E4" s="71" t="s">
        <v>63</v>
      </c>
      <c r="F4" s="71" t="s">
        <v>379</v>
      </c>
      <c r="G4" s="259" t="s">
        <v>55</v>
      </c>
      <c r="H4" s="258" t="n">
        <f aca="false">IF($C4=0,"",$D4-$C4)</f>
        <v>0.03125</v>
      </c>
      <c r="I4" s="260" t="n">
        <f aca="false">IF($C4=0,"",($H4-INT($H4))*24)</f>
        <v>0.75</v>
      </c>
      <c r="J4" s="303" t="n">
        <f aca="false">SUMIF(#REF!,$B4,#REF!)</f>
        <v>3.5</v>
      </c>
      <c r="K4" s="335"/>
      <c r="L4" s="188" t="s">
        <v>31</v>
      </c>
      <c r="M4" s="272" t="n">
        <f aca="false">IF(#REF!="o",#REF!,".")</f>
        <v>0.75</v>
      </c>
      <c r="N4" s="187"/>
      <c r="O4" s="71"/>
      <c r="P4" s="71"/>
      <c r="Q4" s="71"/>
      <c r="R4" s="71"/>
      <c r="S4" s="71"/>
      <c r="T4" s="71"/>
      <c r="U4" s="71"/>
      <c r="V4" s="71"/>
      <c r="W4" s="71"/>
      <c r="X4" s="71"/>
      <c r="Y4" s="71"/>
      <c r="Z4" s="71"/>
      <c r="AA4" s="71"/>
      <c r="AB4" s="71"/>
      <c r="AC4" s="71"/>
      <c r="AD4" s="71"/>
      <c r="AE4" s="71"/>
      <c r="AF4" s="71"/>
      <c r="AG4" s="71"/>
    </row>
    <row r="5" customFormat="false" ht="15" hidden="false" customHeight="false" outlineLevel="0" collapsed="false">
      <c r="A5" s="256" t="n">
        <f aca="false">IF(#REF!="1- Lundi",$B$1+1, IF(#REF!="2- Mardi",$B$1+2, IF(#REF!="3- Mercredi",$B$1+3, IF(#REF!="4- Jeudi",$B$1+4, IF(#REF!="5- Vendredi",$B$1+5, IF(#REF!="6- Samedi",$B$1+6, IF(#REF!="7- Dimanche",$B$1, )))))))</f>
        <v>44285</v>
      </c>
      <c r="B5" s="257" t="s">
        <v>312</v>
      </c>
      <c r="C5" s="258" t="n">
        <v>0.635416666666667</v>
      </c>
      <c r="D5" s="258" t="n">
        <v>0.708333333333333</v>
      </c>
      <c r="E5" s="71" t="s">
        <v>63</v>
      </c>
      <c r="F5" s="71" t="s">
        <v>378</v>
      </c>
      <c r="G5" s="259" t="s">
        <v>466</v>
      </c>
      <c r="H5" s="258" t="n">
        <f aca="false">IF($C5=0,"",$D5-$C5)</f>
        <v>0.0729166666666667</v>
      </c>
      <c r="I5" s="260" t="n">
        <f aca="false">IF($C5=0,"",($H5-INT($H5))*24)</f>
        <v>1.75</v>
      </c>
      <c r="J5" s="303" t="n">
        <f aca="false">SUMIF(#REF!,$B5,#REF!)</f>
        <v>3.5</v>
      </c>
      <c r="K5" s="335"/>
      <c r="L5" s="188" t="s">
        <v>31</v>
      </c>
      <c r="M5" s="272" t="n">
        <f aca="false">IF(#REF!="o",#REF!,".")</f>
        <v>1.75</v>
      </c>
      <c r="N5" s="187"/>
      <c r="O5" s="71"/>
      <c r="P5" s="71"/>
      <c r="Q5" s="71"/>
      <c r="R5" s="71"/>
      <c r="S5" s="71"/>
      <c r="T5" s="71"/>
      <c r="U5" s="71"/>
      <c r="V5" s="71"/>
      <c r="W5" s="71"/>
      <c r="X5" s="71"/>
      <c r="Y5" s="71"/>
      <c r="Z5" s="71"/>
      <c r="AA5" s="71"/>
      <c r="AB5" s="71"/>
      <c r="AC5" s="71"/>
      <c r="AD5" s="71"/>
      <c r="AE5" s="71"/>
      <c r="AF5" s="71"/>
      <c r="AG5" s="71"/>
    </row>
    <row r="6" customFormat="false" ht="15" hidden="false" customHeight="false" outlineLevel="0" collapsed="false">
      <c r="A6" s="256" t="n">
        <f aca="false">IF(#REF!="1- Lundi",$B$1+1, IF(#REF!="2- Mardi",$B$1+2, IF(#REF!="3- Mercredi",$B$1+3, IF(#REF!="4- Jeudi",$B$1+4, IF(#REF!="5- Vendredi",$B$1+5, IF(#REF!="6- Samedi",$B$1+6, IF(#REF!="7- Dimanche",$B$1, )))))))</f>
        <v>44285</v>
      </c>
      <c r="B6" s="257" t="s">
        <v>312</v>
      </c>
      <c r="C6" s="258" t="n">
        <v>0.708333333333333</v>
      </c>
      <c r="D6" s="258" t="n">
        <v>0.75</v>
      </c>
      <c r="E6" s="71" t="s">
        <v>32</v>
      </c>
      <c r="F6" s="71" t="s">
        <v>21</v>
      </c>
      <c r="G6" s="259"/>
      <c r="H6" s="258" t="n">
        <f aca="false">IF($C6=0,"",$D6-$C6)</f>
        <v>0.0416666666666667</v>
      </c>
      <c r="I6" s="260" t="n">
        <f aca="false">IF($C6=0,"",($H6-INT($H6))*24)</f>
        <v>1</v>
      </c>
      <c r="J6" s="303" t="n">
        <f aca="false">SUMIF(#REF!,$B6,#REF!)</f>
        <v>3.5</v>
      </c>
      <c r="K6" s="335"/>
      <c r="L6" s="188" t="s">
        <v>31</v>
      </c>
      <c r="M6" s="272" t="n">
        <f aca="false">IF(#REF!="o",#REF!,".")</f>
        <v>0.999999999999999</v>
      </c>
      <c r="N6" s="187"/>
      <c r="O6" s="71"/>
      <c r="P6" s="71"/>
      <c r="Q6" s="71"/>
      <c r="R6" s="71"/>
      <c r="S6" s="71"/>
      <c r="T6" s="71"/>
      <c r="U6" s="71"/>
      <c r="V6" s="71"/>
      <c r="W6" s="71"/>
      <c r="X6" s="71"/>
      <c r="Y6" s="71"/>
      <c r="Z6" s="71"/>
      <c r="AA6" s="71"/>
      <c r="AB6" s="71"/>
      <c r="AC6" s="71"/>
      <c r="AD6" s="71"/>
      <c r="AE6" s="71"/>
      <c r="AF6" s="71"/>
      <c r="AG6" s="71"/>
    </row>
    <row r="7" customFormat="false" ht="15" hidden="false" customHeight="false" outlineLevel="0" collapsed="false">
      <c r="A7" s="256" t="n">
        <f aca="false">IF(#REF!="1- Lundi",$B$1+1, IF(#REF!="2- Mardi",$B$1+2, IF(#REF!="3- Mercredi",$B$1+3, IF(#REF!="4- Jeudi",$B$1+4, IF(#REF!="5- Vendredi",$B$1+5, IF(#REF!="6- Samedi",$B$1+6, IF(#REF!="7- Dimanche",$B$1, )))))))</f>
        <v>44286</v>
      </c>
      <c r="B7" s="257" t="s">
        <v>319</v>
      </c>
      <c r="C7" s="258" t="n">
        <v>0.333333333333333</v>
      </c>
      <c r="D7" s="258" t="n">
        <v>0.416666666666667</v>
      </c>
      <c r="E7" s="71" t="s">
        <v>63</v>
      </c>
      <c r="F7" s="71" t="s">
        <v>378</v>
      </c>
      <c r="G7" s="259" t="s">
        <v>466</v>
      </c>
      <c r="H7" s="258" t="n">
        <f aca="false">IF($C7=0,"",$D7-$C7)</f>
        <v>0.0833333333333333</v>
      </c>
      <c r="I7" s="260" t="n">
        <f aca="false">IF($C7=0,"",($H7-INT($H7))*24)</f>
        <v>2</v>
      </c>
      <c r="J7" s="303" t="n">
        <f aca="false">SUMIF(#REF!,$B7,#REF!)</f>
        <v>9.5</v>
      </c>
      <c r="K7" s="335"/>
      <c r="L7" s="188" t="s">
        <v>31</v>
      </c>
      <c r="M7" s="272" t="n">
        <f aca="false">IF(#REF!="o",#REF!,".")</f>
        <v>2</v>
      </c>
      <c r="N7" s="187"/>
      <c r="O7" s="71"/>
      <c r="P7" s="71"/>
      <c r="Q7" s="71"/>
      <c r="R7" s="71"/>
      <c r="S7" s="71"/>
      <c r="T7" s="71"/>
      <c r="U7" s="71"/>
      <c r="V7" s="71"/>
      <c r="W7" s="71"/>
      <c r="X7" s="71"/>
      <c r="Y7" s="71"/>
      <c r="Z7" s="71"/>
      <c r="AA7" s="71"/>
      <c r="AB7" s="71"/>
      <c r="AC7" s="71"/>
      <c r="AD7" s="71"/>
      <c r="AE7" s="71"/>
      <c r="AF7" s="71"/>
      <c r="AG7" s="71"/>
    </row>
    <row r="8" customFormat="false" ht="15" hidden="false" customHeight="false" outlineLevel="0" collapsed="false">
      <c r="A8" s="256" t="n">
        <f aca="false">IF(#REF!="1- Lundi",$B$1+1, IF(#REF!="2- Mardi",$B$1+2, IF(#REF!="3- Mercredi",$B$1+3, IF(#REF!="4- Jeudi",$B$1+4, IF(#REF!="5- Vendredi",$B$1+5, IF(#REF!="6- Samedi",$B$1+6, IF(#REF!="7- Dimanche",$B$1, )))))))</f>
        <v>44286</v>
      </c>
      <c r="B8" s="257" t="s">
        <v>319</v>
      </c>
      <c r="C8" s="258" t="n">
        <v>0.416666666666667</v>
      </c>
      <c r="D8" s="258" t="n">
        <v>0.458333333333333</v>
      </c>
      <c r="E8" s="71" t="s">
        <v>63</v>
      </c>
      <c r="F8" s="71" t="s">
        <v>378</v>
      </c>
      <c r="G8" s="259" t="s">
        <v>467</v>
      </c>
      <c r="H8" s="258" t="n">
        <f aca="false">IF($C8=0,"",$D8-$C8)</f>
        <v>0.0416666666666667</v>
      </c>
      <c r="I8" s="260" t="n">
        <f aca="false">IF($C8=0,"",($H8-INT($H8))*24)</f>
        <v>1</v>
      </c>
      <c r="J8" s="303" t="n">
        <f aca="false">SUMIF(#REF!,$B8,#REF!)</f>
        <v>9.5</v>
      </c>
      <c r="K8" s="335"/>
      <c r="L8" s="188" t="s">
        <v>31</v>
      </c>
      <c r="M8" s="272" t="n">
        <f aca="false">IF(#REF!="o",#REF!,".")</f>
        <v>0.999999999999999</v>
      </c>
      <c r="N8" s="187"/>
      <c r="O8" s="71"/>
      <c r="P8" s="71"/>
      <c r="Q8" s="71"/>
      <c r="R8" s="71"/>
      <c r="S8" s="71"/>
      <c r="T8" s="71"/>
      <c r="U8" s="71"/>
      <c r="V8" s="71"/>
      <c r="W8" s="71"/>
      <c r="X8" s="71"/>
      <c r="Y8" s="71"/>
      <c r="Z8" s="71"/>
      <c r="AA8" s="71"/>
      <c r="AB8" s="71"/>
      <c r="AC8" s="71"/>
      <c r="AD8" s="71"/>
      <c r="AE8" s="71"/>
      <c r="AF8" s="71"/>
      <c r="AG8" s="71"/>
    </row>
    <row r="9" customFormat="false" ht="15" hidden="false" customHeight="false" outlineLevel="0" collapsed="false">
      <c r="A9" s="256" t="n">
        <f aca="false">IF(#REF!="1- Lundi",$B$1+1, IF(#REF!="2- Mardi",$B$1+2, IF(#REF!="3- Mercredi",$B$1+3, IF(#REF!="4- Jeudi",$B$1+4, IF(#REF!="5- Vendredi",$B$1+5, IF(#REF!="6- Samedi",$B$1+6, IF(#REF!="7- Dimanche",$B$1, )))))))</f>
        <v>44286</v>
      </c>
      <c r="B9" s="257" t="s">
        <v>319</v>
      </c>
      <c r="C9" s="258" t="n">
        <v>0.458333333333333</v>
      </c>
      <c r="D9" s="258" t="n">
        <v>0.5</v>
      </c>
      <c r="E9" s="71" t="s">
        <v>63</v>
      </c>
      <c r="F9" s="71" t="s">
        <v>23</v>
      </c>
      <c r="G9" s="259"/>
      <c r="H9" s="258" t="n">
        <f aca="false">IF($C9=0,"",$D9-$C9)</f>
        <v>0.0416666666666667</v>
      </c>
      <c r="I9" s="260" t="n">
        <f aca="false">IF($C9=0,"",($H9-INT($H9))*24)</f>
        <v>1</v>
      </c>
      <c r="J9" s="303" t="n">
        <f aca="false">SUMIF(#REF!,$B9,#REF!)</f>
        <v>9.5</v>
      </c>
      <c r="K9" s="335"/>
      <c r="L9" s="188" t="s">
        <v>31</v>
      </c>
      <c r="M9" s="272" t="n">
        <f aca="false">IF(#REF!="o",#REF!,".")</f>
        <v>1</v>
      </c>
      <c r="N9" s="187"/>
      <c r="O9" s="71"/>
      <c r="P9" s="71"/>
      <c r="Q9" s="71"/>
      <c r="R9" s="71"/>
      <c r="S9" s="71"/>
      <c r="T9" s="71"/>
      <c r="U9" s="71"/>
      <c r="V9" s="71"/>
      <c r="W9" s="71"/>
      <c r="X9" s="71"/>
      <c r="Y9" s="71"/>
      <c r="Z9" s="71"/>
      <c r="AA9" s="71"/>
      <c r="AB9" s="71"/>
      <c r="AC9" s="71"/>
      <c r="AD9" s="71"/>
      <c r="AE9" s="71"/>
      <c r="AF9" s="71"/>
      <c r="AG9" s="71"/>
    </row>
    <row r="10" customFormat="false" ht="15" hidden="false" customHeight="false" outlineLevel="0" collapsed="false">
      <c r="A10" s="256" t="n">
        <f aca="false">IF(#REF!="1- Lundi",$B$1+1, IF(#REF!="2- Mardi",$B$1+2, IF(#REF!="3- Mercredi",$B$1+3, IF(#REF!="4- Jeudi",$B$1+4, IF(#REF!="5- Vendredi",$B$1+5, IF(#REF!="6- Samedi",$B$1+6, IF(#REF!="7- Dimanche",$B$1, )))))))</f>
        <v>44286</v>
      </c>
      <c r="B10" s="257" t="s">
        <v>319</v>
      </c>
      <c r="C10" s="258" t="n">
        <v>0.5625</v>
      </c>
      <c r="D10" s="258" t="n">
        <v>0.645833333333333</v>
      </c>
      <c r="E10" s="71" t="s">
        <v>63</v>
      </c>
      <c r="F10" s="71" t="s">
        <v>378</v>
      </c>
      <c r="G10" s="259" t="s">
        <v>468</v>
      </c>
      <c r="H10" s="258" t="n">
        <f aca="false">IF($C10=0,"",$D10-$C10)</f>
        <v>0.0833333333333333</v>
      </c>
      <c r="I10" s="260" t="n">
        <f aca="false">IF($C10=0,"",($H10-INT($H10))*24)</f>
        <v>2</v>
      </c>
      <c r="J10" s="303" t="n">
        <f aca="false">SUMIF(#REF!,$B10,#REF!)</f>
        <v>9.5</v>
      </c>
      <c r="K10" s="335"/>
      <c r="L10" s="188" t="s">
        <v>31</v>
      </c>
      <c r="M10" s="272" t="n">
        <f aca="false">IF(#REF!="o",#REF!,".")</f>
        <v>2</v>
      </c>
      <c r="N10" s="187"/>
      <c r="O10" s="71"/>
      <c r="P10" s="71"/>
      <c r="Q10" s="71"/>
      <c r="R10" s="71"/>
      <c r="S10" s="71"/>
      <c r="T10" s="71"/>
      <c r="U10" s="71"/>
      <c r="V10" s="71"/>
      <c r="W10" s="71"/>
      <c r="X10" s="71"/>
      <c r="Y10" s="71"/>
      <c r="Z10" s="71"/>
      <c r="AA10" s="71"/>
      <c r="AB10" s="71"/>
      <c r="AC10" s="71"/>
      <c r="AD10" s="71"/>
      <c r="AE10" s="71"/>
      <c r="AF10" s="71"/>
      <c r="AG10" s="71"/>
    </row>
    <row r="11" customFormat="false" ht="15" hidden="false" customHeight="false" outlineLevel="0" collapsed="false">
      <c r="A11" s="256" t="n">
        <f aca="false">IF(#REF!="1- Lundi",$B$1+1, IF(#REF!="2- Mardi",$B$1+2, IF(#REF!="3- Mercredi",$B$1+3, IF(#REF!="4- Jeudi",$B$1+4, IF(#REF!="5- Vendredi",$B$1+5, IF(#REF!="6- Samedi",$B$1+6, IF(#REF!="7- Dimanche",$B$1, )))))))</f>
        <v>44286</v>
      </c>
      <c r="B11" s="257" t="s">
        <v>319</v>
      </c>
      <c r="C11" s="258" t="n">
        <v>0.645833333333333</v>
      </c>
      <c r="D11" s="258" t="n">
        <v>0.791666666666667</v>
      </c>
      <c r="E11" s="71" t="s">
        <v>63</v>
      </c>
      <c r="F11" s="71" t="s">
        <v>22</v>
      </c>
      <c r="G11" s="259" t="s">
        <v>469</v>
      </c>
      <c r="H11" s="258" t="n">
        <f aca="false">IF($C11=0,"",$D11-$C11)</f>
        <v>0.145833333333333</v>
      </c>
      <c r="I11" s="260" t="n">
        <f aca="false">IF($C11=0,"",($H11-INT($H11))*24)</f>
        <v>3.5</v>
      </c>
      <c r="J11" s="303" t="n">
        <f aca="false">SUMIF(#REF!,$B11,#REF!)</f>
        <v>9.5</v>
      </c>
      <c r="K11" s="335" t="s">
        <v>470</v>
      </c>
      <c r="L11" s="188" t="s">
        <v>31</v>
      </c>
      <c r="M11" s="272" t="n">
        <f aca="false">IF(#REF!="o",#REF!,".")</f>
        <v>3.5</v>
      </c>
      <c r="N11" s="187"/>
      <c r="O11" s="71"/>
      <c r="P11" s="71"/>
      <c r="Q11" s="71"/>
      <c r="R11" s="71"/>
      <c r="S11" s="71"/>
      <c r="T11" s="71"/>
      <c r="U11" s="71"/>
      <c r="V11" s="71"/>
      <c r="W11" s="71"/>
      <c r="X11" s="71"/>
      <c r="Y11" s="71"/>
      <c r="Z11" s="71"/>
      <c r="AA11" s="71"/>
      <c r="AB11" s="71"/>
      <c r="AC11" s="71"/>
      <c r="AD11" s="71"/>
      <c r="AE11" s="71"/>
      <c r="AF11" s="71"/>
      <c r="AG11" s="71"/>
    </row>
    <row r="12" customFormat="false" ht="15" hidden="false" customHeight="false" outlineLevel="0" collapsed="false">
      <c r="A12" s="256" t="n">
        <f aca="false">IF(#REF!="1- Lundi",$B$1+1, IF(#REF!="2- Mardi",$B$1+2, IF(#REF!="3- Mercredi",$B$1+3, IF(#REF!="4- Jeudi",$B$1+4, IF(#REF!="5- Vendredi",$B$1+5, IF(#REF!="6- Samedi",$B$1+6, IF(#REF!="7- Dimanche",$B$1, )))))))</f>
        <v>44287</v>
      </c>
      <c r="B12" s="257" t="s">
        <v>324</v>
      </c>
      <c r="C12" s="258" t="n">
        <v>0.333333333333333</v>
      </c>
      <c r="D12" s="258" t="n">
        <v>0.354166666666667</v>
      </c>
      <c r="E12" s="71" t="s">
        <v>32</v>
      </c>
      <c r="F12" s="71" t="s">
        <v>21</v>
      </c>
      <c r="G12" s="259"/>
      <c r="H12" s="258" t="n">
        <f aca="false">IF($C12=0,"",$D12-$C12)</f>
        <v>0.0208333333333333</v>
      </c>
      <c r="I12" s="260" t="n">
        <f aca="false">IF($C12=0,"",($H12-INT($H12))*24)</f>
        <v>0.5</v>
      </c>
      <c r="J12" s="303" t="n">
        <f aca="false">SUMIF(#REF!,$B12,#REF!)</f>
        <v>8.5</v>
      </c>
      <c r="K12" s="335"/>
      <c r="L12" s="188" t="s">
        <v>31</v>
      </c>
      <c r="M12" s="272" t="n">
        <f aca="false">IF(#REF!="o",#REF!,".")</f>
        <v>0.500000000000001</v>
      </c>
      <c r="N12" s="187"/>
      <c r="O12" s="71"/>
      <c r="P12" s="71"/>
      <c r="Q12" s="71"/>
      <c r="R12" s="71"/>
      <c r="S12" s="71"/>
      <c r="T12" s="71"/>
      <c r="U12" s="71"/>
      <c r="V12" s="71"/>
      <c r="W12" s="71"/>
      <c r="X12" s="71"/>
      <c r="Y12" s="71"/>
      <c r="Z12" s="71"/>
      <c r="AA12" s="71"/>
      <c r="AB12" s="71"/>
      <c r="AC12" s="71"/>
      <c r="AD12" s="71"/>
      <c r="AE12" s="71"/>
      <c r="AF12" s="71"/>
      <c r="AG12" s="71"/>
    </row>
    <row r="13" customFormat="false" ht="15" hidden="false" customHeight="false" outlineLevel="0" collapsed="false">
      <c r="A13" s="256" t="n">
        <f aca="false">IF(#REF!="1- Lundi",$B$1+1, IF(#REF!="2- Mardi",$B$1+2, IF(#REF!="3- Mercredi",$B$1+3, IF(#REF!="4- Jeudi",$B$1+4, IF(#REF!="5- Vendredi",$B$1+5, IF(#REF!="6- Samedi",$B$1+6, IF(#REF!="7- Dimanche",$B$1, )))))))</f>
        <v>44287</v>
      </c>
      <c r="B13" s="257" t="s">
        <v>324</v>
      </c>
      <c r="C13" s="258" t="n">
        <v>0.354166666666667</v>
      </c>
      <c r="D13" s="258" t="n">
        <v>0.375</v>
      </c>
      <c r="E13" s="71" t="s">
        <v>63</v>
      </c>
      <c r="F13" s="71" t="s">
        <v>378</v>
      </c>
      <c r="G13" s="259" t="s">
        <v>471</v>
      </c>
      <c r="H13" s="258" t="n">
        <f aca="false">IF($C13=0,"",$D13-$C13)</f>
        <v>0.0208333333333333</v>
      </c>
      <c r="I13" s="260" t="n">
        <f aca="false">IF($C13=0,"",($H13-INT($H13))*24)</f>
        <v>0.5</v>
      </c>
      <c r="J13" s="303" t="n">
        <f aca="false">SUMIF(#REF!,$B13,#REF!)</f>
        <v>8.5</v>
      </c>
      <c r="K13" s="335"/>
      <c r="L13" s="188" t="s">
        <v>31</v>
      </c>
      <c r="M13" s="272" t="n">
        <f aca="false">IF(#REF!="o",#REF!,".")</f>
        <v>0.5</v>
      </c>
      <c r="N13" s="187"/>
      <c r="O13" s="71"/>
      <c r="P13" s="71"/>
      <c r="Q13" s="71"/>
      <c r="R13" s="71"/>
      <c r="S13" s="71"/>
      <c r="T13" s="71"/>
      <c r="U13" s="71"/>
      <c r="V13" s="71"/>
      <c r="W13" s="71"/>
      <c r="X13" s="71"/>
      <c r="Y13" s="71"/>
      <c r="Z13" s="71"/>
      <c r="AA13" s="71"/>
      <c r="AB13" s="71"/>
      <c r="AC13" s="71"/>
      <c r="AD13" s="71"/>
      <c r="AE13" s="71"/>
      <c r="AF13" s="71"/>
      <c r="AG13" s="71"/>
    </row>
    <row r="14" customFormat="false" ht="15" hidden="false" customHeight="false" outlineLevel="0" collapsed="false">
      <c r="A14" s="256" t="n">
        <f aca="false">IF(#REF!="1- Lundi",$B$1+1, IF(#REF!="2- Mardi",$B$1+2, IF(#REF!="3- Mercredi",$B$1+3, IF(#REF!="4- Jeudi",$B$1+4, IF(#REF!="5- Vendredi",$B$1+5, IF(#REF!="6- Samedi",$B$1+6, IF(#REF!="7- Dimanche",$B$1, )))))))</f>
        <v>44287</v>
      </c>
      <c r="B14" s="257" t="s">
        <v>324</v>
      </c>
      <c r="C14" s="258" t="n">
        <v>0.375</v>
      </c>
      <c r="D14" s="258" t="n">
        <v>0.458333333333333</v>
      </c>
      <c r="E14" s="71" t="s">
        <v>63</v>
      </c>
      <c r="F14" s="71" t="s">
        <v>408</v>
      </c>
      <c r="G14" s="259" t="s">
        <v>472</v>
      </c>
      <c r="H14" s="258" t="n">
        <f aca="false">IF($C14=0,"",$D14-$C14)</f>
        <v>0.0833333333333333</v>
      </c>
      <c r="I14" s="260" t="n">
        <f aca="false">IF($C14=0,"",($H14-INT($H14))*24)</f>
        <v>2</v>
      </c>
      <c r="J14" s="303" t="n">
        <f aca="false">SUMIF(#REF!,$B14,#REF!)</f>
        <v>8.5</v>
      </c>
      <c r="K14" s="335"/>
      <c r="L14" s="188" t="s">
        <v>31</v>
      </c>
      <c r="M14" s="272" t="n">
        <f aca="false">IF(#REF!="o",#REF!,".")</f>
        <v>2</v>
      </c>
      <c r="N14" s="187"/>
      <c r="O14" s="71"/>
      <c r="P14" s="71"/>
      <c r="Q14" s="71"/>
      <c r="R14" s="71"/>
      <c r="S14" s="71"/>
      <c r="T14" s="71"/>
      <c r="U14" s="71"/>
      <c r="V14" s="71"/>
      <c r="W14" s="71"/>
      <c r="X14" s="71"/>
      <c r="Y14" s="71"/>
      <c r="Z14" s="71"/>
      <c r="AA14" s="71"/>
      <c r="AB14" s="71"/>
      <c r="AC14" s="71"/>
      <c r="AD14" s="71"/>
      <c r="AE14" s="71"/>
      <c r="AF14" s="71"/>
      <c r="AG14" s="71"/>
    </row>
    <row r="15" customFormat="false" ht="15" hidden="false" customHeight="false" outlineLevel="0" collapsed="false">
      <c r="A15" s="256" t="n">
        <f aca="false">IF(#REF!="1- Lundi",$B$1+1, IF(#REF!="2- Mardi",$B$1+2, IF(#REF!="3- Mercredi",$B$1+3, IF(#REF!="4- Jeudi",$B$1+4, IF(#REF!="5- Vendredi",$B$1+5, IF(#REF!="6- Samedi",$B$1+6, IF(#REF!="7- Dimanche",$B$1, )))))))</f>
        <v>44287</v>
      </c>
      <c r="B15" s="257" t="s">
        <v>324</v>
      </c>
      <c r="C15" s="258" t="n">
        <v>0.458333333333333</v>
      </c>
      <c r="D15" s="258" t="n">
        <v>0.5</v>
      </c>
      <c r="E15" s="71" t="s">
        <v>63</v>
      </c>
      <c r="F15" s="71" t="s">
        <v>378</v>
      </c>
      <c r="G15" s="259" t="s">
        <v>473</v>
      </c>
      <c r="H15" s="258" t="n">
        <f aca="false">IF($C15=0,"",$D15-$C15)</f>
        <v>0.0416666666666667</v>
      </c>
      <c r="I15" s="260" t="n">
        <f aca="false">IF($C15=0,"",($H15-INT($H15))*24)</f>
        <v>1</v>
      </c>
      <c r="J15" s="303" t="n">
        <f aca="false">SUMIF(#REF!,$B15,#REF!)</f>
        <v>8.5</v>
      </c>
      <c r="K15" s="335"/>
      <c r="L15" s="188" t="s">
        <v>31</v>
      </c>
      <c r="M15" s="272" t="n">
        <f aca="false">IF(#REF!="o",#REF!,".")</f>
        <v>1</v>
      </c>
      <c r="N15" s="187"/>
      <c r="O15" s="71"/>
      <c r="P15" s="71"/>
      <c r="Q15" s="71"/>
      <c r="R15" s="71"/>
      <c r="S15" s="71"/>
      <c r="T15" s="71"/>
      <c r="U15" s="71"/>
      <c r="V15" s="71"/>
      <c r="W15" s="71"/>
      <c r="X15" s="71"/>
      <c r="Y15" s="71"/>
      <c r="Z15" s="71"/>
      <c r="AA15" s="71"/>
      <c r="AB15" s="71"/>
      <c r="AC15" s="71"/>
      <c r="AD15" s="71"/>
      <c r="AE15" s="71"/>
      <c r="AF15" s="71"/>
      <c r="AG15" s="71"/>
    </row>
    <row r="16" customFormat="false" ht="15" hidden="false" customHeight="false" outlineLevel="0" collapsed="false">
      <c r="A16" s="256" t="n">
        <f aca="false">IF(#REF!="1- Lundi",$B$1+1, IF(#REF!="2- Mardi",$B$1+2, IF(#REF!="3- Mercredi",$B$1+3, IF(#REF!="4- Jeudi",$B$1+4, IF(#REF!="5- Vendredi",$B$1+5, IF(#REF!="6- Samedi",$B$1+6, IF(#REF!="7- Dimanche",$B$1, )))))))</f>
        <v>44287</v>
      </c>
      <c r="B16" s="257" t="s">
        <v>324</v>
      </c>
      <c r="C16" s="258" t="n">
        <v>0.5625</v>
      </c>
      <c r="D16" s="258" t="n">
        <v>0.583333333333333</v>
      </c>
      <c r="E16" s="71" t="s">
        <v>63</v>
      </c>
      <c r="F16" s="71" t="s">
        <v>378</v>
      </c>
      <c r="G16" s="259" t="s">
        <v>474</v>
      </c>
      <c r="H16" s="258" t="n">
        <f aca="false">IF($C16=0,"",$D16-$C16)</f>
        <v>0.0208333333333333</v>
      </c>
      <c r="I16" s="260" t="n">
        <f aca="false">IF($C16=0,"",($H16-INT($H16))*24)</f>
        <v>0.5</v>
      </c>
      <c r="J16" s="303" t="n">
        <f aca="false">SUMIF(#REF!,$B16,#REF!)</f>
        <v>8.5</v>
      </c>
      <c r="K16" s="335"/>
      <c r="L16" s="188" t="s">
        <v>31</v>
      </c>
      <c r="M16" s="272" t="n">
        <f aca="false">IF(#REF!="o",#REF!,".")</f>
        <v>0.500000000000001</v>
      </c>
      <c r="N16" s="187"/>
      <c r="O16" s="71"/>
      <c r="P16" s="71"/>
      <c r="Q16" s="71"/>
      <c r="R16" s="71"/>
      <c r="S16" s="71"/>
      <c r="T16" s="71"/>
      <c r="U16" s="71"/>
      <c r="V16" s="71"/>
      <c r="W16" s="71"/>
      <c r="X16" s="71"/>
      <c r="Y16" s="71"/>
      <c r="Z16" s="71"/>
      <c r="AA16" s="71"/>
      <c r="AB16" s="71"/>
      <c r="AC16" s="71"/>
      <c r="AD16" s="71"/>
      <c r="AE16" s="71"/>
      <c r="AF16" s="71"/>
      <c r="AG16" s="71"/>
    </row>
    <row r="17" customFormat="false" ht="15" hidden="false" customHeight="false" outlineLevel="0" collapsed="false">
      <c r="A17" s="256" t="n">
        <f aca="false">IF(#REF!="1- Lundi",$B$1+1, IF(#REF!="2- Mardi",$B$1+2, IF(#REF!="3- Mercredi",$B$1+3, IF(#REF!="4- Jeudi",$B$1+4, IF(#REF!="5- Vendredi",$B$1+5, IF(#REF!="6- Samedi",$B$1+6, IF(#REF!="7- Dimanche",$B$1, )))))))</f>
        <v>44287</v>
      </c>
      <c r="B17" s="257" t="s">
        <v>324</v>
      </c>
      <c r="C17" s="258" t="n">
        <v>0.583333333333333</v>
      </c>
      <c r="D17" s="258" t="n">
        <v>0.666666666666667</v>
      </c>
      <c r="E17" s="71" t="s">
        <v>63</v>
      </c>
      <c r="F17" s="71" t="s">
        <v>22</v>
      </c>
      <c r="G17" s="259" t="s">
        <v>475</v>
      </c>
      <c r="H17" s="258" t="n">
        <f aca="false">IF($C17=0,"",$D17-$C17)</f>
        <v>0.0833333333333333</v>
      </c>
      <c r="I17" s="260" t="n">
        <f aca="false">IF($C17=0,"",($H17-INT($H17))*24)</f>
        <v>2</v>
      </c>
      <c r="J17" s="303" t="n">
        <f aca="false">SUMIF(#REF!,$B17,#REF!)</f>
        <v>8.5</v>
      </c>
      <c r="K17" s="335"/>
      <c r="L17" s="188" t="s">
        <v>31</v>
      </c>
      <c r="M17" s="272" t="n">
        <f aca="false">IF(#REF!="o",#REF!,".")</f>
        <v>2</v>
      </c>
      <c r="N17" s="187"/>
      <c r="O17" s="71"/>
      <c r="P17" s="71"/>
      <c r="Q17" s="71"/>
      <c r="R17" s="71"/>
      <c r="S17" s="71"/>
      <c r="T17" s="71"/>
      <c r="U17" s="71"/>
      <c r="V17" s="71"/>
      <c r="W17" s="71"/>
      <c r="X17" s="71"/>
      <c r="Y17" s="71"/>
      <c r="Z17" s="71"/>
      <c r="AA17" s="71"/>
      <c r="AB17" s="71"/>
      <c r="AC17" s="71"/>
      <c r="AD17" s="71"/>
      <c r="AE17" s="71"/>
      <c r="AF17" s="71"/>
      <c r="AG17" s="71"/>
    </row>
    <row r="18" customFormat="false" ht="15" hidden="false" customHeight="false" outlineLevel="0" collapsed="false">
      <c r="A18" s="256" t="n">
        <f aca="false">IF(#REF!="1- Lundi",$B$1+1, IF(#REF!="2- Mardi",$B$1+2, IF(#REF!="3- Mercredi",$B$1+3, IF(#REF!="4- Jeudi",$B$1+4, IF(#REF!="5- Vendredi",$B$1+5, IF(#REF!="6- Samedi",$B$1+6, IF(#REF!="7- Dimanche",$B$1, )))))))</f>
        <v>44287</v>
      </c>
      <c r="B18" s="257" t="s">
        <v>324</v>
      </c>
      <c r="C18" s="258" t="n">
        <v>0.666666666666667</v>
      </c>
      <c r="D18" s="258" t="n">
        <v>0.75</v>
      </c>
      <c r="E18" s="71" t="s">
        <v>63</v>
      </c>
      <c r="F18" s="71" t="s">
        <v>378</v>
      </c>
      <c r="G18" s="259" t="s">
        <v>476</v>
      </c>
      <c r="H18" s="258" t="n">
        <f aca="false">IF($C18=0,"",$D18-$C18)</f>
        <v>0.0833333333333334</v>
      </c>
      <c r="I18" s="260" t="n">
        <f aca="false">IF($C18=0,"",($H18-INT($H18))*24)</f>
        <v>2</v>
      </c>
      <c r="J18" s="303" t="n">
        <f aca="false">SUMIF(#REF!,$B18,#REF!)</f>
        <v>8.5</v>
      </c>
      <c r="K18" s="335"/>
      <c r="L18" s="188" t="s">
        <v>31</v>
      </c>
      <c r="M18" s="272" t="n">
        <f aca="false">IF(#REF!="o",#REF!,".")</f>
        <v>2</v>
      </c>
      <c r="N18" s="187"/>
      <c r="O18" s="71"/>
      <c r="P18" s="71"/>
      <c r="Q18" s="71"/>
      <c r="R18" s="71"/>
      <c r="S18" s="71"/>
      <c r="T18" s="71"/>
      <c r="U18" s="71"/>
      <c r="V18" s="71"/>
      <c r="W18" s="71"/>
      <c r="X18" s="71"/>
      <c r="Y18" s="71"/>
      <c r="Z18" s="71"/>
      <c r="AA18" s="71"/>
      <c r="AB18" s="71"/>
      <c r="AC18" s="71"/>
      <c r="AD18" s="71"/>
      <c r="AE18" s="71"/>
      <c r="AF18" s="71"/>
      <c r="AG18" s="71"/>
    </row>
    <row r="19" customFormat="false" ht="15" hidden="false" customHeight="false" outlineLevel="0" collapsed="false">
      <c r="A19" s="256" t="n">
        <f aca="false">IF(#REF!="1- Lundi",$B$1+1, IF(#REF!="2- Mardi",$B$1+2, IF(#REF!="3- Mercredi",$B$1+3, IF(#REF!="4- Jeudi",$B$1+4, IF(#REF!="5- Vendredi",$B$1+5, IF(#REF!="6- Samedi",$B$1+6, IF(#REF!="7- Dimanche",$B$1, )))))))</f>
        <v>44288</v>
      </c>
      <c r="B19" s="257" t="s">
        <v>332</v>
      </c>
      <c r="C19" s="258" t="n">
        <v>0.322916666666667</v>
      </c>
      <c r="D19" s="258" t="n">
        <v>0.333333333333333</v>
      </c>
      <c r="E19" s="71" t="s">
        <v>32</v>
      </c>
      <c r="F19" s="71" t="s">
        <v>21</v>
      </c>
      <c r="G19" s="259"/>
      <c r="H19" s="258" t="n">
        <f aca="false">IF($C19=0,"",$D19-$C19)</f>
        <v>0.0104166666666666</v>
      </c>
      <c r="I19" s="260" t="n">
        <f aca="false">IF($C19=0,"",($H19-INT($H19))*24)</f>
        <v>0.249999999999999</v>
      </c>
      <c r="J19" s="303" t="n">
        <f aca="false">SUMIF(#REF!,$B19,#REF!)</f>
        <v>8</v>
      </c>
      <c r="K19" s="335"/>
      <c r="L19" s="188" t="s">
        <v>31</v>
      </c>
      <c r="M19" s="272" t="n">
        <f aca="false">IF(#REF!="o",#REF!,".")</f>
        <v>0.249999999999999</v>
      </c>
      <c r="N19" s="187"/>
      <c r="O19" s="71"/>
      <c r="P19" s="71"/>
      <c r="Q19" s="71"/>
      <c r="R19" s="71"/>
      <c r="S19" s="71"/>
      <c r="T19" s="71"/>
      <c r="U19" s="71"/>
      <c r="V19" s="71"/>
      <c r="W19" s="71"/>
      <c r="X19" s="71"/>
      <c r="Y19" s="71"/>
      <c r="Z19" s="71"/>
      <c r="AA19" s="71"/>
      <c r="AB19" s="71"/>
      <c r="AC19" s="71"/>
      <c r="AD19" s="71"/>
      <c r="AE19" s="71"/>
      <c r="AF19" s="71"/>
      <c r="AG19" s="71"/>
    </row>
    <row r="20" customFormat="false" ht="15" hidden="false" customHeight="false" outlineLevel="0" collapsed="false">
      <c r="A20" s="256" t="n">
        <f aca="false">IF(#REF!="1- Lundi",$B$1+1, IF(#REF!="2- Mardi",$B$1+2, IF(#REF!="3- Mercredi",$B$1+3, IF(#REF!="4- Jeudi",$B$1+4, IF(#REF!="5- Vendredi",$B$1+5, IF(#REF!="6- Samedi",$B$1+6, IF(#REF!="7- Dimanche",$B$1, )))))))</f>
        <v>44288</v>
      </c>
      <c r="B20" s="257" t="s">
        <v>332</v>
      </c>
      <c r="C20" s="258" t="n">
        <v>0.333333333333333</v>
      </c>
      <c r="D20" s="258" t="n">
        <v>0.5</v>
      </c>
      <c r="E20" s="71" t="s">
        <v>63</v>
      </c>
      <c r="F20" s="71" t="s">
        <v>378</v>
      </c>
      <c r="G20" s="259" t="s">
        <v>476</v>
      </c>
      <c r="H20" s="258" t="n">
        <f aca="false">IF($C20=0,"",$D20-$C20)</f>
        <v>0.166666666666667</v>
      </c>
      <c r="I20" s="260" t="n">
        <f aca="false">IF($C20=0,"",($H20-INT($H20))*24)</f>
        <v>4</v>
      </c>
      <c r="J20" s="303" t="n">
        <f aca="false">SUMIF(#REF!,$B20,#REF!)</f>
        <v>8</v>
      </c>
      <c r="K20" s="335"/>
      <c r="L20" s="188" t="s">
        <v>31</v>
      </c>
      <c r="M20" s="272" t="n">
        <f aca="false">IF(#REF!="o",#REF!,".")</f>
        <v>4</v>
      </c>
      <c r="N20" s="187"/>
      <c r="O20" s="71"/>
      <c r="P20" s="71"/>
      <c r="Q20" s="71"/>
      <c r="R20" s="71"/>
      <c r="S20" s="71"/>
      <c r="T20" s="71"/>
      <c r="U20" s="71"/>
      <c r="V20" s="71"/>
      <c r="W20" s="71"/>
      <c r="X20" s="71"/>
      <c r="Y20" s="71"/>
      <c r="Z20" s="71"/>
      <c r="AA20" s="71"/>
      <c r="AB20" s="71"/>
      <c r="AC20" s="71"/>
      <c r="AD20" s="71"/>
      <c r="AE20" s="71"/>
      <c r="AF20" s="71"/>
      <c r="AG20" s="71"/>
    </row>
    <row r="21" customFormat="false" ht="15" hidden="false" customHeight="false" outlineLevel="0" collapsed="false">
      <c r="A21" s="256" t="n">
        <f aca="false">IF(#REF!="1- Lundi",$B$1+1, IF(#REF!="2- Mardi",$B$1+2, IF(#REF!="3- Mercredi",$B$1+3, IF(#REF!="4- Jeudi",$B$1+4, IF(#REF!="5- Vendredi",$B$1+5, IF(#REF!="6- Samedi",$B$1+6, IF(#REF!="7- Dimanche",$B$1, )))))))</f>
        <v>44288</v>
      </c>
      <c r="B21" s="257" t="s">
        <v>332</v>
      </c>
      <c r="C21" s="258" t="n">
        <v>0.572916666666667</v>
      </c>
      <c r="D21" s="258" t="n">
        <v>0.729166666666667</v>
      </c>
      <c r="E21" s="71" t="s">
        <v>63</v>
      </c>
      <c r="F21" s="71" t="s">
        <v>378</v>
      </c>
      <c r="G21" s="259" t="s">
        <v>476</v>
      </c>
      <c r="H21" s="258" t="n">
        <f aca="false">IF($C21=0,"",$D21-$C21)</f>
        <v>0.15625</v>
      </c>
      <c r="I21" s="260" t="n">
        <f aca="false">IF($C21=0,"",($H21-INT($H21))*24)</f>
        <v>3.75</v>
      </c>
      <c r="J21" s="303" t="n">
        <f aca="false">SUMIF(#REF!,$B21,#REF!)</f>
        <v>8</v>
      </c>
      <c r="K21" s="335"/>
      <c r="L21" s="188" t="s">
        <v>31</v>
      </c>
      <c r="M21" s="272" t="n">
        <f aca="false">IF(#REF!="o",#REF!,".")</f>
        <v>3.75</v>
      </c>
      <c r="N21" s="187"/>
      <c r="O21" s="71"/>
      <c r="P21" s="71"/>
      <c r="Q21" s="71"/>
      <c r="R21" s="71"/>
      <c r="S21" s="71"/>
      <c r="T21" s="71"/>
      <c r="U21" s="71"/>
      <c r="V21" s="71"/>
      <c r="W21" s="71"/>
      <c r="X21" s="71"/>
      <c r="Y21" s="71"/>
      <c r="Z21" s="71"/>
      <c r="AA21" s="71"/>
      <c r="AB21" s="71"/>
      <c r="AC21" s="71"/>
      <c r="AD21" s="71"/>
      <c r="AE21" s="71"/>
      <c r="AF21" s="71"/>
      <c r="AG21" s="71"/>
    </row>
    <row r="22" customFormat="false" ht="15" hidden="false" customHeight="false" outlineLevel="0" collapsed="false">
      <c r="A22" s="256" t="n">
        <f aca="false">IF(#REF!="1- Lundi",$B$1+1, IF(#REF!="2- Mardi",$B$1+2, IF(#REF!="3- Mercredi",$B$1+3, IF(#REF!="4- Jeudi",$B$1+4, IF(#REF!="5- Vendredi",$B$1+5, IF(#REF!="6- Samedi",$B$1+6, IF(#REF!="7- Dimanche",$B$1, )))))))</f>
        <v>44289</v>
      </c>
      <c r="B22" s="257" t="s">
        <v>335</v>
      </c>
      <c r="C22" s="258" t="n">
        <v>0.416666666666667</v>
      </c>
      <c r="D22" s="258" t="n">
        <v>0.427083333333333</v>
      </c>
      <c r="E22" s="71" t="s">
        <v>363</v>
      </c>
      <c r="F22" s="71" t="s">
        <v>379</v>
      </c>
      <c r="G22" s="259" t="s">
        <v>55</v>
      </c>
      <c r="H22" s="258" t="n">
        <f aca="false">IF($C22=0,"",$D22-$C22)</f>
        <v>0.0104166666666667</v>
      </c>
      <c r="I22" s="260" t="n">
        <f aca="false">IF($C22=0,"",($H22-INT($H22))*24)</f>
        <v>0.25</v>
      </c>
      <c r="J22" s="303" t="n">
        <f aca="false">SUMIF(#REF!,$B22,#REF!)</f>
        <v>4.5</v>
      </c>
      <c r="K22" s="335"/>
      <c r="L22" s="188" t="s">
        <v>31</v>
      </c>
      <c r="M22" s="272" t="n">
        <f aca="false">IF(#REF!="o",#REF!,".")</f>
        <v>0.249999999999999</v>
      </c>
      <c r="N22" s="187"/>
      <c r="O22" s="71"/>
      <c r="P22" s="71"/>
      <c r="Q22" s="71"/>
      <c r="R22" s="71"/>
      <c r="S22" s="71"/>
      <c r="T22" s="71"/>
      <c r="U22" s="71"/>
      <c r="V22" s="71"/>
      <c r="W22" s="71"/>
      <c r="X22" s="71"/>
      <c r="Y22" s="71"/>
      <c r="Z22" s="71"/>
      <c r="AA22" s="71"/>
      <c r="AB22" s="71"/>
      <c r="AC22" s="71"/>
      <c r="AD22" s="71"/>
      <c r="AE22" s="71"/>
      <c r="AF22" s="71"/>
      <c r="AG22" s="71"/>
    </row>
    <row r="23" customFormat="false" ht="15" hidden="false" customHeight="false" outlineLevel="0" collapsed="false">
      <c r="A23" s="256" t="n">
        <f aca="false">IF(#REF!="1- Lundi",$B$1+1, IF(#REF!="2- Mardi",$B$1+2, IF(#REF!="3- Mercredi",$B$1+3, IF(#REF!="4- Jeudi",$B$1+4, IF(#REF!="5- Vendredi",$B$1+5, IF(#REF!="6- Samedi",$B$1+6, IF(#REF!="7- Dimanche",$B$1, )))))))</f>
        <v>44289</v>
      </c>
      <c r="B23" s="257" t="s">
        <v>335</v>
      </c>
      <c r="C23" s="258" t="n">
        <v>0.4375</v>
      </c>
      <c r="D23" s="258" t="n">
        <v>0.447916666666667</v>
      </c>
      <c r="E23" s="71" t="s">
        <v>363</v>
      </c>
      <c r="F23" s="71" t="s">
        <v>378</v>
      </c>
      <c r="G23" s="259" t="s">
        <v>477</v>
      </c>
      <c r="H23" s="258" t="n">
        <f aca="false">IF($C23=0,"",$D23-$C23)</f>
        <v>0.0104166666666667</v>
      </c>
      <c r="I23" s="260" t="n">
        <f aca="false">IF($C23=0,"",($H23-INT($H23))*24)</f>
        <v>0.25</v>
      </c>
      <c r="J23" s="303" t="n">
        <f aca="false">SUMIF(#REF!,$B23,#REF!)</f>
        <v>4.5</v>
      </c>
      <c r="K23" s="335"/>
      <c r="L23" s="188" t="s">
        <v>31</v>
      </c>
      <c r="M23" s="272" t="n">
        <f aca="false">IF(#REF!="o",#REF!,".")</f>
        <v>0.25</v>
      </c>
      <c r="N23" s="187"/>
      <c r="O23" s="71"/>
      <c r="P23" s="71"/>
      <c r="Q23" s="71"/>
      <c r="R23" s="71"/>
      <c r="S23" s="71"/>
      <c r="T23" s="71"/>
      <c r="U23" s="71"/>
      <c r="V23" s="71"/>
      <c r="W23" s="71"/>
      <c r="X23" s="71"/>
      <c r="Y23" s="71"/>
      <c r="Z23" s="71"/>
      <c r="AA23" s="71"/>
      <c r="AB23" s="71"/>
      <c r="AC23" s="71"/>
      <c r="AD23" s="71"/>
      <c r="AE23" s="71"/>
      <c r="AF23" s="71"/>
      <c r="AG23" s="71"/>
    </row>
    <row r="24" customFormat="false" ht="15" hidden="false" customHeight="false" outlineLevel="0" collapsed="false">
      <c r="A24" s="256" t="n">
        <f aca="false">IF(#REF!="1- Lundi",$B$1+1, IF(#REF!="2- Mardi",$B$1+2, IF(#REF!="3- Mercredi",$B$1+3, IF(#REF!="4- Jeudi",$B$1+4, IF(#REF!="5- Vendredi",$B$1+5, IF(#REF!="6- Samedi",$B$1+6, IF(#REF!="7- Dimanche",$B$1, )))))))</f>
        <v>44289</v>
      </c>
      <c r="B24" s="257" t="s">
        <v>335</v>
      </c>
      <c r="C24" s="258" t="n">
        <v>0.447916666666667</v>
      </c>
      <c r="D24" s="258" t="n">
        <v>0.5</v>
      </c>
      <c r="E24" s="71" t="s">
        <v>363</v>
      </c>
      <c r="F24" s="71" t="s">
        <v>378</v>
      </c>
      <c r="G24" s="259" t="s">
        <v>478</v>
      </c>
      <c r="H24" s="258" t="n">
        <f aca="false">IF($C24=0,"",$D24-$C24)</f>
        <v>0.0520833333333333</v>
      </c>
      <c r="I24" s="260" t="n">
        <f aca="false">IF($C24=0,"",($H24-INT($H24))*24)</f>
        <v>1.25</v>
      </c>
      <c r="J24" s="303" t="n">
        <f aca="false">SUMIF(#REF!,$B24,#REF!)</f>
        <v>4.5</v>
      </c>
      <c r="K24" s="335"/>
      <c r="L24" s="188" t="s">
        <v>31</v>
      </c>
      <c r="M24" s="272" t="n">
        <f aca="false">IF(#REF!="o",#REF!,".")</f>
        <v>1.25</v>
      </c>
      <c r="N24" s="187"/>
      <c r="O24" s="71"/>
      <c r="P24" s="71"/>
      <c r="Q24" s="71"/>
      <c r="R24" s="71"/>
      <c r="S24" s="71"/>
      <c r="T24" s="71"/>
      <c r="U24" s="71"/>
      <c r="V24" s="71"/>
      <c r="W24" s="71"/>
      <c r="X24" s="71"/>
      <c r="Y24" s="71"/>
      <c r="Z24" s="71"/>
      <c r="AA24" s="71"/>
      <c r="AB24" s="71"/>
      <c r="AC24" s="71"/>
      <c r="AD24" s="71"/>
      <c r="AE24" s="71"/>
      <c r="AF24" s="71"/>
      <c r="AG24" s="71"/>
    </row>
    <row r="25" customFormat="false" ht="15" hidden="false" customHeight="false" outlineLevel="0" collapsed="false">
      <c r="A25" s="256" t="n">
        <f aca="false">IF(#REF!="1- Lundi",$B$1+1, IF(#REF!="2- Mardi",$B$1+2, IF(#REF!="3- Mercredi",$B$1+3, IF(#REF!="4- Jeudi",$B$1+4, IF(#REF!="5- Vendredi",$B$1+5, IF(#REF!="6- Samedi",$B$1+6, IF(#REF!="7- Dimanche",$B$1, )))))))</f>
        <v>44289</v>
      </c>
      <c r="B25" s="257" t="s">
        <v>335</v>
      </c>
      <c r="C25" s="258" t="n">
        <v>0.604166666666667</v>
      </c>
      <c r="D25" s="258" t="n">
        <v>0.677083333333333</v>
      </c>
      <c r="E25" s="71" t="s">
        <v>363</v>
      </c>
      <c r="F25" s="71" t="s">
        <v>378</v>
      </c>
      <c r="G25" s="259" t="s">
        <v>479</v>
      </c>
      <c r="H25" s="258" t="n">
        <f aca="false">IF($C25=0,"",$D25-$C25)</f>
        <v>0.0729166666666667</v>
      </c>
      <c r="I25" s="260" t="n">
        <f aca="false">IF($C25=0,"",($H25-INT($H25))*24)</f>
        <v>1.75</v>
      </c>
      <c r="J25" s="303" t="n">
        <f aca="false">SUMIF(#REF!,$B25,#REF!)</f>
        <v>4.5</v>
      </c>
      <c r="K25" s="335"/>
      <c r="L25" s="188" t="s">
        <v>31</v>
      </c>
      <c r="M25" s="272" t="n">
        <f aca="false">IF(#REF!="o",#REF!,".")</f>
        <v>1.75</v>
      </c>
      <c r="N25" s="187"/>
      <c r="O25" s="71"/>
      <c r="P25" s="71"/>
      <c r="Q25" s="71"/>
      <c r="R25" s="71"/>
      <c r="S25" s="71"/>
      <c r="T25" s="71"/>
      <c r="U25" s="71"/>
      <c r="V25" s="71"/>
      <c r="W25" s="71"/>
      <c r="X25" s="71"/>
      <c r="Y25" s="71"/>
      <c r="Z25" s="71"/>
      <c r="AA25" s="71"/>
      <c r="AB25" s="71"/>
      <c r="AC25" s="71"/>
      <c r="AD25" s="71"/>
      <c r="AE25" s="71"/>
      <c r="AF25" s="71"/>
      <c r="AG25" s="71"/>
    </row>
    <row r="26" customFormat="false" ht="15" hidden="false" customHeight="false" outlineLevel="0" collapsed="false">
      <c r="A26" s="256" t="n">
        <f aca="false">IF(#REF!="1- Lundi",$B$1+1, IF(#REF!="2- Mardi",$B$1+2, IF(#REF!="3- Mercredi",$B$1+3, IF(#REF!="4- Jeudi",$B$1+4, IF(#REF!="5- Vendredi",$B$1+5, IF(#REF!="6- Samedi",$B$1+6, IF(#REF!="7- Dimanche",$B$1, )))))))</f>
        <v>44289</v>
      </c>
      <c r="B26" s="257" t="s">
        <v>335</v>
      </c>
      <c r="C26" s="258" t="n">
        <v>0.677083333333333</v>
      </c>
      <c r="D26" s="258" t="n">
        <v>0.71875</v>
      </c>
      <c r="E26" s="71" t="s">
        <v>32</v>
      </c>
      <c r="F26" s="71" t="s">
        <v>21</v>
      </c>
      <c r="G26" s="259"/>
      <c r="H26" s="258" t="n">
        <f aca="false">IF($C26=0,"",$D26-$C26)</f>
        <v>0.0416666666666667</v>
      </c>
      <c r="I26" s="260" t="n">
        <f aca="false">IF($C26=0,"",($H26-INT($H26))*24)</f>
        <v>1</v>
      </c>
      <c r="J26" s="303" t="n">
        <f aca="false">SUMIF(#REF!,$B26,#REF!)</f>
        <v>4.5</v>
      </c>
      <c r="K26" s="335"/>
      <c r="L26" s="188" t="s">
        <v>31</v>
      </c>
      <c r="M26" s="272" t="n">
        <f aca="false">IF(#REF!="o",#REF!,".")</f>
        <v>0.999999999999999</v>
      </c>
      <c r="N26" s="187"/>
      <c r="O26" s="71"/>
      <c r="P26" s="71"/>
      <c r="Q26" s="71"/>
      <c r="R26" s="71"/>
      <c r="S26" s="71"/>
      <c r="T26" s="71"/>
      <c r="U26" s="71"/>
      <c r="V26" s="71"/>
      <c r="W26" s="71"/>
      <c r="X26" s="71"/>
      <c r="Y26" s="71"/>
      <c r="Z26" s="71"/>
      <c r="AA26" s="71"/>
      <c r="AB26" s="71"/>
      <c r="AC26" s="71"/>
      <c r="AD26" s="71"/>
      <c r="AE26" s="71"/>
      <c r="AF26" s="71"/>
      <c r="AG26" s="71"/>
    </row>
    <row r="27" customFormat="false" ht="15" hidden="false" customHeight="false" outlineLevel="0" collapsed="false">
      <c r="A27" s="256" t="n">
        <f aca="false">IF(#REF!="1- Lundi",$B$1+1, IF(#REF!="2- Mardi",$B$1+2, IF(#REF!="3- Mercredi",$B$1+3, IF(#REF!="4- Jeudi",$B$1+4, IF(#REF!="5- Vendredi",$B$1+5, IF(#REF!="6- Samedi",$B$1+6, IF(#REF!="7- Dimanche",$B$1, )))))))</f>
        <v>44290</v>
      </c>
      <c r="B27" s="257" t="s">
        <v>341</v>
      </c>
      <c r="C27" s="258" t="n">
        <v>0.375</v>
      </c>
      <c r="D27" s="258" t="n">
        <v>0.416666666666667</v>
      </c>
      <c r="E27" s="71" t="s">
        <v>363</v>
      </c>
      <c r="F27" s="71" t="s">
        <v>378</v>
      </c>
      <c r="G27" s="259" t="s">
        <v>480</v>
      </c>
      <c r="H27" s="258" t="n">
        <f aca="false">IF($C27=0,"",$D27-$C27)</f>
        <v>0.0416666666666667</v>
      </c>
      <c r="I27" s="260" t="n">
        <f aca="false">IF($C27=0,"",($H27-INT($H27))*24)</f>
        <v>1</v>
      </c>
      <c r="J27" s="303" t="n">
        <f aca="false">SUMIF(#REF!,$B27,#REF!)</f>
        <v>4</v>
      </c>
      <c r="K27" s="335"/>
      <c r="L27" s="188" t="s">
        <v>31</v>
      </c>
      <c r="M27" s="272" t="n">
        <f aca="false">IF(#REF!="o",#REF!,".")</f>
        <v>1</v>
      </c>
      <c r="N27" s="187"/>
      <c r="O27" s="71"/>
      <c r="P27" s="71"/>
      <c r="Q27" s="71"/>
      <c r="R27" s="71"/>
      <c r="S27" s="71"/>
      <c r="T27" s="71"/>
      <c r="U27" s="71"/>
      <c r="V27" s="71"/>
      <c r="W27" s="71"/>
      <c r="X27" s="71"/>
      <c r="Y27" s="71"/>
      <c r="Z27" s="71"/>
      <c r="AA27" s="71"/>
      <c r="AB27" s="71"/>
      <c r="AC27" s="71"/>
      <c r="AD27" s="71"/>
      <c r="AE27" s="71"/>
      <c r="AF27" s="71"/>
      <c r="AG27" s="71"/>
    </row>
    <row r="28" customFormat="false" ht="15" hidden="false" customHeight="false" outlineLevel="0" collapsed="false">
      <c r="A28" s="256" t="n">
        <f aca="false">IF(#REF!="1- Lundi",$B$1+1, IF(#REF!="2- Mardi",$B$1+2, IF(#REF!="3- Mercredi",$B$1+3, IF(#REF!="4- Jeudi",$B$1+4, IF(#REF!="5- Vendredi",$B$1+5, IF(#REF!="6- Samedi",$B$1+6, IF(#REF!="7- Dimanche",$B$1, )))))))</f>
        <v>44290</v>
      </c>
      <c r="B28" s="257" t="s">
        <v>341</v>
      </c>
      <c r="C28" s="258" t="n">
        <v>0.416666666666667</v>
      </c>
      <c r="D28" s="258" t="n">
        <v>0.5</v>
      </c>
      <c r="E28" s="71" t="s">
        <v>363</v>
      </c>
      <c r="F28" s="71" t="s">
        <v>378</v>
      </c>
      <c r="G28" s="259" t="s">
        <v>443</v>
      </c>
      <c r="H28" s="258" t="n">
        <f aca="false">IF($C28=0,"",$D28-$C28)</f>
        <v>0.0833333333333333</v>
      </c>
      <c r="I28" s="260" t="n">
        <f aca="false">IF($C28=0,"",($H28-INT($H28))*24)</f>
        <v>2</v>
      </c>
      <c r="J28" s="303" t="n">
        <f aca="false">SUMIF(#REF!,$B28,#REF!)</f>
        <v>4</v>
      </c>
      <c r="K28" s="335"/>
      <c r="L28" s="188" t="s">
        <v>31</v>
      </c>
      <c r="M28" s="272" t="n">
        <f aca="false">IF(#REF!="o",#REF!,".")</f>
        <v>2</v>
      </c>
      <c r="N28" s="187"/>
      <c r="O28" s="71"/>
      <c r="P28" s="71"/>
      <c r="Q28" s="71"/>
      <c r="R28" s="71"/>
      <c r="S28" s="71"/>
      <c r="T28" s="71"/>
      <c r="U28" s="71"/>
      <c r="V28" s="71"/>
      <c r="W28" s="71"/>
      <c r="X28" s="71"/>
      <c r="Y28" s="71"/>
      <c r="Z28" s="71"/>
      <c r="AA28" s="71"/>
      <c r="AB28" s="71"/>
      <c r="AC28" s="71"/>
      <c r="AD28" s="71"/>
      <c r="AE28" s="71"/>
      <c r="AF28" s="71"/>
      <c r="AG28" s="71"/>
    </row>
    <row r="29" customFormat="false" ht="15" hidden="false" customHeight="false" outlineLevel="0" collapsed="false">
      <c r="A29" s="256" t="n">
        <f aca="false">IF(#REF!="1- Lundi",$B$1+1, IF(#REF!="2- Mardi",$B$1+2, IF(#REF!="3- Mercredi",$B$1+3, IF(#REF!="4- Jeudi",$B$1+4, IF(#REF!="5- Vendredi",$B$1+5, IF(#REF!="6- Samedi",$B$1+6, IF(#REF!="7- Dimanche",$B$1, )))))))</f>
        <v>44290</v>
      </c>
      <c r="B29" s="257" t="s">
        <v>341</v>
      </c>
      <c r="C29" s="258" t="n">
        <v>0.625</v>
      </c>
      <c r="D29" s="258" t="n">
        <v>0.666666666666667</v>
      </c>
      <c r="E29" s="71" t="s">
        <v>59</v>
      </c>
      <c r="F29" s="71" t="s">
        <v>378</v>
      </c>
      <c r="G29" s="259" t="s">
        <v>481</v>
      </c>
      <c r="H29" s="258" t="n">
        <f aca="false">IF($C29=0,"",$D29-$C29)</f>
        <v>0.0416666666666667</v>
      </c>
      <c r="I29" s="260" t="n">
        <f aca="false">IF($C29=0,"",($H29-INT($H29))*24)</f>
        <v>1</v>
      </c>
      <c r="J29" s="303" t="n">
        <f aca="false">SUMIF(#REF!,$B29,#REF!)</f>
        <v>4</v>
      </c>
      <c r="K29" s="335"/>
      <c r="L29" s="188" t="s">
        <v>31</v>
      </c>
      <c r="M29" s="272" t="n">
        <f aca="false">IF(#REF!="o",#REF!,".")</f>
        <v>0.999999999999999</v>
      </c>
      <c r="N29" s="187"/>
      <c r="O29" s="71"/>
      <c r="P29" s="71"/>
      <c r="Q29" s="71"/>
      <c r="R29" s="71"/>
      <c r="S29" s="71"/>
      <c r="T29" s="71"/>
      <c r="U29" s="71"/>
      <c r="V29" s="71"/>
      <c r="W29" s="71"/>
      <c r="X29" s="71"/>
      <c r="Y29" s="71"/>
      <c r="Z29" s="71"/>
      <c r="AA29" s="71"/>
      <c r="AB29" s="71"/>
      <c r="AC29" s="71"/>
      <c r="AD29" s="71"/>
      <c r="AE29" s="71"/>
      <c r="AF29" s="71"/>
      <c r="AG29" s="71"/>
    </row>
    <row r="30" customFormat="false" ht="15" hidden="false" customHeight="false" outlineLevel="0" collapsed="false">
      <c r="A30" s="137"/>
      <c r="B30" s="187"/>
      <c r="C30" s="71"/>
      <c r="D30" s="1"/>
      <c r="E30" s="1"/>
      <c r="F30" s="71"/>
      <c r="G30" s="1"/>
      <c r="H30" s="1"/>
      <c r="I30" s="119"/>
      <c r="J30" s="271"/>
      <c r="K30" s="1"/>
      <c r="L30" s="188"/>
      <c r="M30" s="272"/>
      <c r="N30" s="187"/>
      <c r="O30" s="71"/>
      <c r="P30" s="71"/>
      <c r="Q30" s="71"/>
      <c r="R30" s="71"/>
      <c r="S30" s="71"/>
      <c r="T30" s="71"/>
      <c r="U30" s="71"/>
      <c r="V30" s="71"/>
      <c r="W30" s="71"/>
      <c r="X30" s="71"/>
      <c r="Y30" s="71"/>
      <c r="Z30" s="71"/>
      <c r="AA30" s="71"/>
      <c r="AB30" s="71"/>
      <c r="AC30" s="71"/>
      <c r="AD30" s="71"/>
      <c r="AE30" s="71"/>
      <c r="AF30" s="71"/>
      <c r="AG30" s="71"/>
    </row>
    <row r="31" customFormat="false" ht="15" hidden="false" customHeight="false" outlineLevel="0" collapsed="false">
      <c r="A31" s="137"/>
      <c r="B31" s="187"/>
      <c r="C31" s="71"/>
      <c r="D31" s="1"/>
      <c r="E31" s="1"/>
      <c r="F31" s="71"/>
      <c r="G31" s="1"/>
      <c r="H31" s="1"/>
      <c r="I31" s="119"/>
      <c r="J31" s="271"/>
      <c r="K31" s="1"/>
      <c r="L31" s="188"/>
      <c r="M31" s="272"/>
      <c r="N31" s="187"/>
      <c r="O31" s="71"/>
      <c r="P31" s="71"/>
      <c r="Q31" s="71"/>
      <c r="R31" s="71"/>
      <c r="S31" s="71"/>
      <c r="T31" s="71"/>
      <c r="U31" s="71"/>
      <c r="V31" s="71"/>
      <c r="W31" s="71"/>
      <c r="X31" s="71"/>
      <c r="Y31" s="71"/>
      <c r="Z31" s="71"/>
      <c r="AA31" s="71"/>
      <c r="AB31" s="71"/>
      <c r="AC31" s="71"/>
      <c r="AD31" s="71"/>
      <c r="AE31" s="71"/>
      <c r="AF31" s="71"/>
      <c r="AG31" s="71"/>
    </row>
    <row r="32" customFormat="false" ht="15" hidden="false" customHeight="false" outlineLevel="0" collapsed="false">
      <c r="A32" s="137"/>
      <c r="B32" s="187"/>
      <c r="C32" s="71"/>
      <c r="D32" s="1"/>
      <c r="E32" s="1"/>
      <c r="F32" s="71"/>
      <c r="G32" s="1"/>
      <c r="H32" s="1"/>
      <c r="I32" s="119"/>
      <c r="J32" s="271"/>
      <c r="K32" s="1"/>
      <c r="L32" s="188"/>
      <c r="N32" s="187"/>
      <c r="O32" s="71"/>
      <c r="P32" s="71"/>
      <c r="Q32" s="71"/>
      <c r="R32" s="71"/>
      <c r="S32" s="71"/>
      <c r="T32" s="71"/>
      <c r="U32" s="71"/>
      <c r="V32" s="71"/>
      <c r="W32" s="71"/>
      <c r="X32" s="71"/>
      <c r="Y32" s="71"/>
      <c r="Z32" s="71"/>
      <c r="AA32" s="71"/>
      <c r="AB32" s="71"/>
      <c r="AC32" s="71"/>
      <c r="AD32" s="71"/>
      <c r="AE32" s="71"/>
      <c r="AF32" s="71"/>
      <c r="AG32" s="71"/>
    </row>
    <row r="33" customFormat="false" ht="15" hidden="false" customHeight="false" outlineLevel="0" collapsed="false">
      <c r="A33" s="274" t="s">
        <v>377</v>
      </c>
      <c r="B33" s="275" t="str">
        <f aca="false">SUM($A$79:$A$509) &amp; " heures"</f>
        <v>26.75 heures</v>
      </c>
      <c r="C33" s="276" t="str">
        <f aca="false">SUM($A$79:$A$500) / 8 &amp; " Jours"</f>
        <v>3.34375 Jours</v>
      </c>
      <c r="D33" s="277"/>
      <c r="E33" s="277" t="n">
        <v>33.25</v>
      </c>
      <c r="F33" s="278" t="n">
        <f aca="false">E33/8</f>
        <v>4.15625</v>
      </c>
      <c r="G33" s="277"/>
      <c r="H33" s="277"/>
      <c r="I33" s="279"/>
      <c r="J33" s="280"/>
      <c r="K33" s="277"/>
      <c r="L33" s="281"/>
      <c r="M33" s="282"/>
      <c r="N33" s="283"/>
      <c r="O33" s="277"/>
      <c r="P33" s="277"/>
      <c r="Q33" s="277"/>
      <c r="R33" s="277"/>
      <c r="S33" s="277"/>
      <c r="T33" s="277"/>
      <c r="U33" s="278"/>
      <c r="V33" s="278"/>
      <c r="W33" s="278"/>
      <c r="X33" s="278"/>
      <c r="Y33" s="278"/>
      <c r="Z33" s="278"/>
      <c r="AA33" s="278"/>
      <c r="AB33" s="278"/>
      <c r="AC33" s="278"/>
      <c r="AD33" s="278"/>
      <c r="AE33" s="278"/>
      <c r="AF33" s="278"/>
      <c r="AG33" s="278"/>
    </row>
    <row r="34" customFormat="false" ht="15" hidden="false" customHeight="false" outlineLevel="0" collapsed="false">
      <c r="A34" s="137"/>
      <c r="B34" s="187"/>
      <c r="C34" s="71"/>
      <c r="D34" s="1"/>
      <c r="E34" s="1"/>
      <c r="F34" s="71"/>
      <c r="G34" s="1"/>
      <c r="H34" s="1"/>
      <c r="I34" s="119"/>
      <c r="J34" s="271"/>
      <c r="K34" s="1"/>
      <c r="L34" s="188"/>
      <c r="M34" s="272"/>
      <c r="N34" s="187"/>
      <c r="O34" s="1"/>
      <c r="P34" s="1"/>
      <c r="Q34" s="1"/>
      <c r="R34" s="1"/>
      <c r="S34" s="1"/>
      <c r="T34" s="1"/>
      <c r="U34" s="71"/>
      <c r="V34" s="71"/>
      <c r="W34" s="71"/>
      <c r="X34" s="71"/>
      <c r="Y34" s="71"/>
      <c r="Z34" s="71"/>
      <c r="AA34" s="71"/>
      <c r="AB34" s="71"/>
      <c r="AC34" s="71"/>
      <c r="AD34" s="71"/>
      <c r="AE34" s="71"/>
      <c r="AF34" s="71"/>
      <c r="AG34" s="71"/>
    </row>
    <row r="35" customFormat="false" ht="15" hidden="true" customHeight="false" outlineLevel="1" collapsed="false">
      <c r="A35" s="137"/>
      <c r="B35" s="137"/>
      <c r="C35" s="137"/>
      <c r="D35" s="137"/>
      <c r="E35" s="1"/>
      <c r="F35" s="71"/>
      <c r="G35" s="1"/>
      <c r="H35" s="1"/>
      <c r="I35" s="119"/>
      <c r="J35" s="271"/>
      <c r="K35" s="1"/>
      <c r="L35" s="188"/>
      <c r="M35" s="272"/>
      <c r="N35" s="187"/>
      <c r="O35" s="1"/>
      <c r="P35" s="1"/>
      <c r="Q35" s="1"/>
      <c r="R35" s="1"/>
      <c r="S35" s="1"/>
      <c r="T35" s="1"/>
      <c r="U35" s="71"/>
      <c r="V35" s="71"/>
      <c r="W35" s="71"/>
      <c r="X35" s="71"/>
      <c r="Y35" s="71"/>
      <c r="Z35" s="71"/>
      <c r="AA35" s="71"/>
      <c r="AB35" s="71"/>
      <c r="AC35" s="71"/>
      <c r="AD35" s="71"/>
      <c r="AE35" s="71"/>
      <c r="AF35" s="71"/>
      <c r="AG35" s="71"/>
    </row>
    <row r="36" customFormat="false" ht="15" hidden="true" customHeight="false" outlineLevel="1" collapsed="false">
      <c r="A36" s="284" t="s">
        <v>84</v>
      </c>
      <c r="B36" s="285" t="s">
        <v>21</v>
      </c>
      <c r="C36" s="285" t="s">
        <v>20</v>
      </c>
      <c r="D36" s="285" t="s">
        <v>23</v>
      </c>
      <c r="E36" s="285" t="s">
        <v>25</v>
      </c>
      <c r="F36" s="285" t="s">
        <v>26</v>
      </c>
      <c r="G36" s="285" t="s">
        <v>378</v>
      </c>
      <c r="H36" s="285" t="s">
        <v>379</v>
      </c>
      <c r="I36" s="285" t="s">
        <v>380</v>
      </c>
      <c r="J36" s="286" t="s">
        <v>58</v>
      </c>
      <c r="K36" s="287"/>
      <c r="L36" s="288"/>
      <c r="M36" s="289"/>
      <c r="N36" s="187"/>
      <c r="O36" s="1"/>
      <c r="P36" s="1"/>
      <c r="Q36" s="1"/>
      <c r="R36" s="1"/>
      <c r="S36" s="1"/>
      <c r="T36" s="71"/>
      <c r="U36" s="71"/>
      <c r="V36" s="71"/>
      <c r="W36" s="71"/>
      <c r="X36" s="71"/>
      <c r="Y36" s="71"/>
      <c r="Z36" s="71"/>
      <c r="AA36" s="71"/>
      <c r="AB36" s="71"/>
      <c r="AC36" s="71"/>
      <c r="AD36" s="71"/>
      <c r="AE36" s="71"/>
      <c r="AF36" s="71"/>
    </row>
    <row r="37" customFormat="false" ht="15" hidden="true" customHeight="false" outlineLevel="1" collapsed="false">
      <c r="A37" s="187" t="s">
        <v>312</v>
      </c>
      <c r="B37" s="71" t="n">
        <f aca="false">SUMIFS(#REF!,#REF!,Taches_Jours12243639172029323541444750535659626783202432364448565260646872768088969210010411211610812012412813213614014414815215616016416817217618018418819219620020420821226121620242832364448[[#Headers],[GB]],#REF!,Taches_Jours12243639172029323541444750535659626783202432364448565260646872768088969210010411211610812012412813213614014414815215616016416817217618018418819219620020420821226121620242832364448[[#This Row],[Jours]])</f>
        <v>0.999999999999999</v>
      </c>
      <c r="C37" s="71" t="n">
        <f aca="false">SUMIFS(#REF!,#REF!,Taches_Jours12243639172029323541444750535659626783202432364448565260646872768088969210010411211610812012412813213614014414815215616016416817217618018418819219620020420821226121620242832364448[[#Headers],[RI]],#REF!,Taches_Jours12243639172029323541444750535659626783202432364448565260646872768088969210010411211610812012412813213614014414815215616016416817217618018418819219620020420821226121620242832364448[[#This Row],[Jours]])</f>
        <v>0</v>
      </c>
      <c r="D37" s="71" t="n">
        <f aca="false">SUMIFS(#REF!,#REF!,Taches_Jours12243639172029323541444750535659626783202432364448565260646872768088969210010411211610812012412813213614014414815215616016416817217618018418819219620020420821226121620242832364448[[#Headers],[FG]],#REF!,Taches_Jours12243639172029323541444750535659626783202432364448565260646872768088969210010411211610812012412813213614014414815215616016416817217618018418819219620020420821226121620242832364448[[#This Row],[Jours]])</f>
        <v>0</v>
      </c>
      <c r="E37" s="71" t="n">
        <f aca="false">SUMIFS(#REF!,#REF!,Taches_Jours12243639172029323541444750535659626783202432364448565260646872768088969210010411211610812012412813213614014414815215616016416817217618018418819219620020420821226121620242832364448[[#Headers],[PS]],#REF!,Taches_Jours12243639172029323541444750535659626783202432364448565260646872768088969210010411211610812012412813213614014414815215616016416817217618018418819219620020420821226121620242832364448[[#This Row],[Jours]])</f>
        <v>0</v>
      </c>
      <c r="F37" s="71" t="n">
        <f aca="false">SUMIFS(#REF!,#REF!,Taches_Jours12243639172029323541444750535659626783202432364448565260646872768088969210010411211610812012412813213614014414815215616016416817217618018418819219620020420821226121620242832364448[[#Headers],[TD]],#REF!,Taches_Jours12243639172029323541444750535659626783202432364448565260646872768088969210010411211610812012412813213614014414815215616016416817217618018418819219620020420821226121620242832364448[[#This Row],[Jours]])</f>
        <v>0</v>
      </c>
      <c r="G37" s="71" t="n">
        <f aca="false">SUMIFS(#REF!,#REF!,Taches_Jours12243639172029323541444750535659626783202432364448565260646872768088969210010411211610812012412813213614014414815215616016416817217618018418819219620020420821226121620242832364448[[#Headers],[GP]],#REF!,Taches_Jours12243639172029323541444750535659626783202432364448565260646872768088969210010411211610812012412813213614014414815215616016416817217618018418819219620020420821226121620242832364448[[#This Row],[Jours]])</f>
        <v>1.75</v>
      </c>
      <c r="H37" s="71" t="n">
        <f aca="false">SUMIFS(#REF!,#REF!,Taches_Jours12243639172029323541444750535659626783202432364448565260646872768088969210010411211610812012412813213614014414815215616016416817217618018418819219620020420821226121620242832364448[[#Headers],[GP / SP]],#REF!,Taches_Jours12243639172029323541444750535659626783202432364448565260646872768088969210010411211610812012412813213614014414815215616016416817217618018418819219620020420821226121620242832364448[[#This Row],[Jours]])</f>
        <v>0.75</v>
      </c>
      <c r="I37" s="71" t="n">
        <f aca="false">SUMIFS(#REF!,#REF!,Taches_Jours12243639172029323541444750535659626783202432364448565260646872768088969210010411211610812012412813213614014414815215616016416817217618018418819219620020420821226121620242832364448[[#Headers],[GP / SP]],#REF!,Taches_Jours12243639172029323541444750535659626783202432364448565260646872768088969210010411211610812012412813213614014414815215616016416817217618018418819219620020420821226121620242832364448[[#This Row],[Jours]])</f>
        <v>0.75</v>
      </c>
      <c r="J37" s="290" t="n">
        <f aca="false">SUM(Taches_Jours12243639172029323541444750535659626783202432364448565260646872768088969210010411211610812012412813213614014414815215616016416817217618018418819219620020420821226121620242832364448[[#This Row],[GB]:[GP / SP]])</f>
        <v>3.5</v>
      </c>
      <c r="K37" s="188"/>
      <c r="L37" s="288"/>
      <c r="M37" s="289"/>
      <c r="N37" s="187"/>
      <c r="O37" s="1"/>
      <c r="P37" s="1"/>
      <c r="Q37" s="1"/>
      <c r="R37" s="1"/>
      <c r="S37" s="1"/>
      <c r="T37" s="71"/>
      <c r="U37" s="71"/>
      <c r="V37" s="71"/>
      <c r="W37" s="71"/>
      <c r="X37" s="71"/>
      <c r="Y37" s="71"/>
      <c r="Z37" s="71"/>
      <c r="AA37" s="71"/>
      <c r="AB37" s="71"/>
      <c r="AC37" s="71"/>
      <c r="AD37" s="71"/>
      <c r="AE37" s="71"/>
      <c r="AF37" s="71"/>
    </row>
    <row r="38" customFormat="false" ht="15" hidden="true" customHeight="false" outlineLevel="1" collapsed="false">
      <c r="A38" s="187" t="s">
        <v>319</v>
      </c>
      <c r="B38" s="71" t="n">
        <f aca="false">SUMIFS(#REF!,#REF!,Taches_Jours12243639172029323541444750535659626783202432364448565260646872768088969210010411211610812012412813213614014414815215616016416817217618018418819219620020420821226121620242832364448[[#Headers],[GB]],#REF!,Taches_Jours12243639172029323541444750535659626783202432364448565260646872768088969210010411211610812012412813213614014414815215616016416817217618018418819219620020420821226121620242832364448[[#This Row],[Jours]])</f>
        <v>0</v>
      </c>
      <c r="C38" s="71" t="n">
        <f aca="false">SUMIFS(#REF!,#REF!,Taches_Jours12243639172029323541444750535659626783202432364448565260646872768088969210010411211610812012412813213614014414815215616016416817217618018418819219620020420821226121620242832364448[[#Headers],[RI]],#REF!,Taches_Jours12243639172029323541444750535659626783202432364448565260646872768088969210010411211610812012412813213614014414815215616016416817217618018418819219620020420821226121620242832364448[[#This Row],[Jours]])</f>
        <v>0</v>
      </c>
      <c r="D38" s="71" t="n">
        <f aca="false">SUMIFS(#REF!,#REF!,Taches_Jours12243639172029323541444750535659626783202432364448565260646872768088969210010411211610812012412813213614014414815215616016416817217618018418819219620020420821226121620242832364448[[#Headers],[FG]],#REF!,Taches_Jours12243639172029323541444750535659626783202432364448565260646872768088969210010411211610812012412813213614014414815215616016416817217618018418819219620020420821226121620242832364448[[#This Row],[Jours]])</f>
        <v>1</v>
      </c>
      <c r="E38" s="71" t="n">
        <f aca="false">SUMIFS(#REF!,#REF!,Taches_Jours12243639172029323541444750535659626783202432364448565260646872768088969210010411211610812012412813213614014414815215616016416817217618018418819219620020420821226121620242832364448[[#Headers],[PS]],#REF!,Taches_Jours12243639172029323541444750535659626783202432364448565260646872768088969210010411211610812012412813213614014414815215616016416817217618018418819219620020420821226121620242832364448[[#This Row],[Jours]])</f>
        <v>0</v>
      </c>
      <c r="F38" s="71" t="n">
        <f aca="false">SUMIFS(#REF!,#REF!,Taches_Jours12243639172029323541444750535659626783202432364448565260646872768088969210010411211610812012412813213614014414815215616016416817217618018418819219620020420821226121620242832364448[[#Headers],[TD]],#REF!,Taches_Jours12243639172029323541444750535659626783202432364448565260646872768088969210010411211610812012412813213614014414815215616016416817217618018418819219620020420821226121620242832364448[[#This Row],[Jours]])</f>
        <v>0</v>
      </c>
      <c r="G38" s="71" t="n">
        <f aca="false">SUMIFS(#REF!,#REF!,Taches_Jours12243639172029323541444750535659626783202432364448565260646872768088969210010411211610812012412813213614014414815215616016416817217618018418819219620020420821226121620242832364448[[#Headers],[GP]],#REF!,Taches_Jours12243639172029323541444750535659626783202432364448565260646872768088969210010411211610812012412813213614014414815215616016416817217618018418819219620020420821226121620242832364448[[#This Row],[Jours]])</f>
        <v>5</v>
      </c>
      <c r="H38" s="71" t="n">
        <f aca="false">SUMIFS(#REF!,#REF!,Taches_Jours12243639172029323541444750535659626783202432364448565260646872768088969210010411211610812012412813213614014414815215616016416817217618018418819219620020420821226121620242832364448[[#Headers],[GP / SP]],#REF!,Taches_Jours12243639172029323541444750535659626783202432364448565260646872768088969210010411211610812012412813213614014414815215616016416817217618018418819219620020420821226121620242832364448[[#This Row],[Jours]])</f>
        <v>0</v>
      </c>
      <c r="I38" s="71" t="n">
        <f aca="false">SUMIFS(#REF!,#REF!,Taches_Jours12243639172029323541444750535659626783202432364448565260646872768088969210010411211610812012412813213614014414815215616016416817217618018418819219620020420821226121620242832364448[[#Headers],[GP / SP]],#REF!,Taches_Jours12243639172029323541444750535659626783202432364448565260646872768088969210010411211610812012412813213614014414815215616016416817217618018418819219620020420821226121620242832364448[[#This Row],[Jours]])</f>
        <v>0</v>
      </c>
      <c r="J38" s="290" t="n">
        <f aca="false">SUM(Taches_Jours12243639172029323541444750535659626783202432364448565260646872768088969210010411211610812012412813213614014414815215616016416817217618018418819219620020420821226121620242832364448[[#This Row],[GB]:[GP / SP]])</f>
        <v>6</v>
      </c>
      <c r="K38" s="188"/>
      <c r="L38" s="288"/>
      <c r="M38" s="289"/>
      <c r="N38" s="187"/>
      <c r="O38" s="1"/>
      <c r="P38" s="1"/>
      <c r="Q38" s="1"/>
      <c r="R38" s="1"/>
      <c r="S38" s="1"/>
      <c r="T38" s="71"/>
      <c r="U38" s="71"/>
      <c r="V38" s="71"/>
      <c r="W38" s="71"/>
      <c r="X38" s="71"/>
      <c r="Y38" s="71"/>
      <c r="Z38" s="71"/>
      <c r="AA38" s="71"/>
      <c r="AB38" s="71"/>
      <c r="AC38" s="71"/>
      <c r="AD38" s="71"/>
      <c r="AE38" s="71"/>
      <c r="AF38" s="71"/>
    </row>
    <row r="39" customFormat="false" ht="15" hidden="true" customHeight="false" outlineLevel="1" collapsed="false">
      <c r="A39" s="187" t="s">
        <v>324</v>
      </c>
      <c r="B39" s="71" t="n">
        <f aca="false">SUMIFS(#REF!,#REF!,Taches_Jours12243639172029323541444750535659626783202432364448565260646872768088969210010411211610812012412813213614014414815215616016416817217618018418819219620020420821226121620242832364448[[#Headers],[GB]],#REF!,Taches_Jours12243639172029323541444750535659626783202432364448565260646872768088969210010411211610812012412813213614014414815215616016416817217618018418819219620020420821226121620242832364448[[#This Row],[Jours]])</f>
        <v>0.500000000000001</v>
      </c>
      <c r="C39" s="71" t="n">
        <f aca="false">SUMIFS(#REF!,#REF!,Taches_Jours12243639172029323541444750535659626783202432364448565260646872768088969210010411211610812012412813213614014414815215616016416817217618018418819219620020420821226121620242832364448[[#Headers],[RI]],#REF!,Taches_Jours12243639172029323541444750535659626783202432364448565260646872768088969210010411211610812012412813213614014414815215616016416817217618018418819219620020420821226121620242832364448[[#This Row],[Jours]])</f>
        <v>0</v>
      </c>
      <c r="D39" s="71" t="n">
        <f aca="false">SUMIFS(#REF!,#REF!,Taches_Jours12243639172029323541444750535659626783202432364448565260646872768088969210010411211610812012412813213614014414815215616016416817217618018418819219620020420821226121620242832364448[[#Headers],[FG]],#REF!,Taches_Jours12243639172029323541444750535659626783202432364448565260646872768088969210010411211610812012412813213614014414815215616016416817217618018418819219620020420821226121620242832364448[[#This Row],[Jours]])</f>
        <v>0</v>
      </c>
      <c r="E39" s="71" t="n">
        <f aca="false">SUMIFS(#REF!,#REF!,Taches_Jours12243639172029323541444750535659626783202432364448565260646872768088969210010411211610812012412813213614014414815215616016416817217618018418819219620020420821226121620242832364448[[#Headers],[PS]],#REF!,Taches_Jours12243639172029323541444750535659626783202432364448565260646872768088969210010411211610812012412813213614014414815215616016416817217618018418819219620020420821226121620242832364448[[#This Row],[Jours]])</f>
        <v>0</v>
      </c>
      <c r="F39" s="71" t="n">
        <f aca="false">SUMIFS(#REF!,#REF!,Taches_Jours12243639172029323541444750535659626783202432364448565260646872768088969210010411211610812012412813213614014414815215616016416817217618018418819219620020420821226121620242832364448[[#Headers],[TD]],#REF!,Taches_Jours12243639172029323541444750535659626783202432364448565260646872768088969210010411211610812012412813213614014414815215616016416817217618018418819219620020420821226121620242832364448[[#This Row],[Jours]])</f>
        <v>0</v>
      </c>
      <c r="G39" s="71" t="n">
        <f aca="false">SUMIFS(#REF!,#REF!,Taches_Jours12243639172029323541444750535659626783202432364448565260646872768088969210010411211610812012412813213614014414815215616016416817217618018418819219620020420821226121620242832364448[[#Headers],[GP]],#REF!,Taches_Jours12243639172029323541444750535659626783202432364448565260646872768088969210010411211610812012412813213614014414815215616016416817217618018418819219620020420821226121620242832364448[[#This Row],[Jours]])</f>
        <v>4</v>
      </c>
      <c r="H39" s="71" t="n">
        <f aca="false">SUMIFS(#REF!,#REF!,Taches_Jours12243639172029323541444750535659626783202432364448565260646872768088969210010411211610812012412813213614014414815215616016416817217618018418819219620020420821226121620242832364448[[#Headers],[GP / SP]],#REF!,Taches_Jours12243639172029323541444750535659626783202432364448565260646872768088969210010411211610812012412813213614014414815215616016416817217618018418819219620020420821226121620242832364448[[#This Row],[Jours]])</f>
        <v>0</v>
      </c>
      <c r="I39" s="71" t="n">
        <f aca="false">SUMIFS(#REF!,#REF!,Taches_Jours12243639172029323541444750535659626783202432364448565260646872768088969210010411211610812012412813213614014414815215616016416817217618018418819219620020420821226121620242832364448[[#Headers],[GP / SP]],#REF!,Taches_Jours12243639172029323541444750535659626783202432364448565260646872768088969210010411211610812012412813213614014414815215616016416817217618018418819219620020420821226121620242832364448[[#This Row],[Jours]])</f>
        <v>0</v>
      </c>
      <c r="J39" s="290" t="n">
        <f aca="false">SUM(Taches_Jours12243639172029323541444750535659626783202432364448565260646872768088969210010411211610812012412813213614014414815215616016416817217618018418819219620020420821226121620242832364448[[#This Row],[GB]:[GP / SP]])</f>
        <v>4.5</v>
      </c>
      <c r="K39" s="188"/>
      <c r="L39" s="288"/>
      <c r="M39" s="289"/>
      <c r="N39" s="187"/>
      <c r="O39" s="1"/>
      <c r="P39" s="1"/>
      <c r="Q39" s="1"/>
      <c r="R39" s="1"/>
      <c r="S39" s="1"/>
      <c r="T39" s="71"/>
      <c r="U39" s="71"/>
      <c r="V39" s="71"/>
      <c r="W39" s="71"/>
      <c r="X39" s="71"/>
      <c r="Y39" s="71"/>
      <c r="Z39" s="71"/>
      <c r="AA39" s="71"/>
      <c r="AB39" s="71"/>
      <c r="AC39" s="71"/>
      <c r="AD39" s="71"/>
      <c r="AE39" s="71"/>
      <c r="AF39" s="71"/>
    </row>
    <row r="40" customFormat="false" ht="15" hidden="true" customHeight="false" outlineLevel="1" collapsed="false">
      <c r="A40" s="187" t="s">
        <v>332</v>
      </c>
      <c r="B40" s="71" t="n">
        <f aca="false">SUMIFS(#REF!,#REF!,Taches_Jours12243639172029323541444750535659626783202432364448565260646872768088969210010411211610812012412813213614014414815215616016416817217618018418819219620020420821226121620242832364448[[#Headers],[GB]],#REF!,Taches_Jours12243639172029323541444750535659626783202432364448565260646872768088969210010411211610812012412813213614014414815215616016416817217618018418819219620020420821226121620242832364448[[#This Row],[Jours]])</f>
        <v>0.249999999999999</v>
      </c>
      <c r="C40" s="71" t="n">
        <f aca="false">SUMIFS(#REF!,#REF!,Taches_Jours12243639172029323541444750535659626783202432364448565260646872768088969210010411211610812012412813213614014414815215616016416817217618018418819219620020420821226121620242832364448[[#Headers],[RI]],#REF!,Taches_Jours12243639172029323541444750535659626783202432364448565260646872768088969210010411211610812012412813213614014414815215616016416817217618018418819219620020420821226121620242832364448[[#This Row],[Jours]])</f>
        <v>0</v>
      </c>
      <c r="D40" s="71" t="n">
        <f aca="false">SUMIFS(#REF!,#REF!,Taches_Jours12243639172029323541444750535659626783202432364448565260646872768088969210010411211610812012412813213614014414815215616016416817217618018418819219620020420821226121620242832364448[[#Headers],[FG]],#REF!,Taches_Jours12243639172029323541444750535659626783202432364448565260646872768088969210010411211610812012412813213614014414815215616016416817217618018418819219620020420821226121620242832364448[[#This Row],[Jours]])</f>
        <v>0</v>
      </c>
      <c r="E40" s="71" t="n">
        <f aca="false">SUMIFS(#REF!,#REF!,Taches_Jours12243639172029323541444750535659626783202432364448565260646872768088969210010411211610812012412813213614014414815215616016416817217618018418819219620020420821226121620242832364448[[#Headers],[PS]],#REF!,Taches_Jours12243639172029323541444750535659626783202432364448565260646872768088969210010411211610812012412813213614014414815215616016416817217618018418819219620020420821226121620242832364448[[#This Row],[Jours]])</f>
        <v>0</v>
      </c>
      <c r="F40" s="71" t="n">
        <f aca="false">SUMIFS(#REF!,#REF!,Taches_Jours12243639172029323541444750535659626783202432364448565260646872768088969210010411211610812012412813213614014414815215616016416817217618018418819219620020420821226121620242832364448[[#Headers],[TD]],#REF!,Taches_Jours12243639172029323541444750535659626783202432364448565260646872768088969210010411211610812012412813213614014414815215616016416817217618018418819219620020420821226121620242832364448[[#This Row],[Jours]])</f>
        <v>0</v>
      </c>
      <c r="G40" s="71" t="n">
        <f aca="false">SUMIFS(#REF!,#REF!,Taches_Jours12243639172029323541444750535659626783202432364448565260646872768088969210010411211610812012412813213614014414815215616016416817217618018418819219620020420821226121620242832364448[[#Headers],[GP]],#REF!,Taches_Jours12243639172029323541444750535659626783202432364448565260646872768088969210010411211610812012412813213614014414815215616016416817217618018418819219620020420821226121620242832364448[[#This Row],[Jours]])</f>
        <v>7.75</v>
      </c>
      <c r="H40" s="71" t="n">
        <f aca="false">SUMIFS(#REF!,#REF!,Taches_Jours12243639172029323541444750535659626783202432364448565260646872768088969210010411211610812012412813213614014414815215616016416817217618018418819219620020420821226121620242832364448[[#Headers],[GP / SP]],#REF!,Taches_Jours12243639172029323541444750535659626783202432364448565260646872768088969210010411211610812012412813213614014414815215616016416817217618018418819219620020420821226121620242832364448[[#This Row],[Jours]])</f>
        <v>0</v>
      </c>
      <c r="I40" s="71" t="n">
        <f aca="false">SUMIFS(#REF!,#REF!,Taches_Jours12243639172029323541444750535659626783202432364448565260646872768088969210010411211610812012412813213614014414815215616016416817217618018418819219620020420821226121620242832364448[[#Headers],[GP / SP]],#REF!,Taches_Jours12243639172029323541444750535659626783202432364448565260646872768088969210010411211610812012412813213614014414815215616016416817217618018418819219620020420821226121620242832364448[[#This Row],[Jours]])</f>
        <v>0</v>
      </c>
      <c r="J40" s="290" t="n">
        <f aca="false">SUM(Taches_Jours12243639172029323541444750535659626783202432364448565260646872768088969210010411211610812012412813213614014414815215616016416817217618018418819219620020420821226121620242832364448[[#This Row],[GB]:[GP / SP]])</f>
        <v>8</v>
      </c>
      <c r="K40" s="188"/>
      <c r="L40" s="288"/>
      <c r="M40" s="289"/>
      <c r="N40" s="187"/>
      <c r="O40" s="71"/>
      <c r="P40" s="71"/>
      <c r="Q40" s="71"/>
      <c r="R40" s="71"/>
      <c r="S40" s="71"/>
      <c r="T40" s="71"/>
      <c r="U40" s="71"/>
      <c r="V40" s="71"/>
      <c r="W40" s="71"/>
      <c r="X40" s="71"/>
      <c r="Y40" s="71"/>
      <c r="Z40" s="71"/>
      <c r="AA40" s="71"/>
      <c r="AB40" s="71"/>
      <c r="AC40" s="71"/>
      <c r="AD40" s="71"/>
      <c r="AE40" s="71"/>
      <c r="AF40" s="71"/>
    </row>
    <row r="41" customFormat="false" ht="15" hidden="true" customHeight="false" outlineLevel="1" collapsed="false">
      <c r="A41" s="187" t="s">
        <v>335</v>
      </c>
      <c r="B41" s="71" t="n">
        <f aca="false">SUMIFS(#REF!,#REF!,Taches_Jours12243639172029323541444750535659626783202432364448565260646872768088969210010411211610812012412813213614014414815215616016416817217618018418819219620020420821226121620242832364448[[#Headers],[GB]],#REF!,Taches_Jours12243639172029323541444750535659626783202432364448565260646872768088969210010411211610812012412813213614014414815215616016416817217618018418819219620020420821226121620242832364448[[#This Row],[Jours]])</f>
        <v>0.999999999999999</v>
      </c>
      <c r="C41" s="71" t="n">
        <f aca="false">SUMIFS(#REF!,#REF!,Taches_Jours12243639172029323541444750535659626783202432364448565260646872768088969210010411211610812012412813213614014414815215616016416817217618018418819219620020420821226121620242832364448[[#Headers],[RI]],#REF!,Taches_Jours12243639172029323541444750535659626783202432364448565260646872768088969210010411211610812012412813213614014414815215616016416817217618018418819219620020420821226121620242832364448[[#This Row],[Jours]])</f>
        <v>0</v>
      </c>
      <c r="D41" s="71" t="n">
        <f aca="false">SUMIFS(#REF!,#REF!,Taches_Jours12243639172029323541444750535659626783202432364448565260646872768088969210010411211610812012412813213614014414815215616016416817217618018418819219620020420821226121620242832364448[[#Headers],[FG]],#REF!,Taches_Jours12243639172029323541444750535659626783202432364448565260646872768088969210010411211610812012412813213614014414815215616016416817217618018418819219620020420821226121620242832364448[[#This Row],[Jours]])</f>
        <v>0</v>
      </c>
      <c r="E41" s="71" t="n">
        <f aca="false">SUMIFS(#REF!,#REF!,Taches_Jours12243639172029323541444750535659626783202432364448565260646872768088969210010411211610812012412813213614014414815215616016416817217618018418819219620020420821226121620242832364448[[#Headers],[PS]],#REF!,Taches_Jours12243639172029323541444750535659626783202432364448565260646872768088969210010411211610812012412813213614014414815215616016416817217618018418819219620020420821226121620242832364448[[#This Row],[Jours]])</f>
        <v>0</v>
      </c>
      <c r="F41" s="71" t="n">
        <f aca="false">SUMIFS(#REF!,#REF!,Taches_Jours12243639172029323541444750535659626783202432364448565260646872768088969210010411211610812012412813213614014414815215616016416817217618018418819219620020420821226121620242832364448[[#Headers],[TD]],#REF!,Taches_Jours12243639172029323541444750535659626783202432364448565260646872768088969210010411211610812012412813213614014414815215616016416817217618018418819219620020420821226121620242832364448[[#This Row],[Jours]])</f>
        <v>0</v>
      </c>
      <c r="G41" s="71" t="n">
        <f aca="false">SUMIFS(#REF!,#REF!,Taches_Jours12243639172029323541444750535659626783202432364448565260646872768088969210010411211610812012412813213614014414815215616016416817217618018418819219620020420821226121620242832364448[[#Headers],[GP]],#REF!,Taches_Jours12243639172029323541444750535659626783202432364448565260646872768088969210010411211610812012412813213614014414815215616016416817217618018418819219620020420821226121620242832364448[[#This Row],[Jours]])</f>
        <v>3.25</v>
      </c>
      <c r="H41" s="71" t="n">
        <f aca="false">SUMIFS(#REF!,#REF!,Taches_Jours12243639172029323541444750535659626783202432364448565260646872768088969210010411211610812012412813213614014414815215616016416817217618018418819219620020420821226121620242832364448[[#Headers],[GP / SP]],#REF!,Taches_Jours12243639172029323541444750535659626783202432364448565260646872768088969210010411211610812012412813213614014414815215616016416817217618018418819219620020420821226121620242832364448[[#This Row],[Jours]])</f>
        <v>0.249999999999999</v>
      </c>
      <c r="I41" s="71" t="n">
        <f aca="false">SUMIFS(#REF!,#REF!,Taches_Jours12243639172029323541444750535659626783202432364448565260646872768088969210010411211610812012412813213614014414815215616016416817217618018418819219620020420821226121620242832364448[[#Headers],[GP / SP]],#REF!,Taches_Jours12243639172029323541444750535659626783202432364448565260646872768088969210010411211610812012412813213614014414815215616016416817217618018418819219620020420821226121620242832364448[[#This Row],[Jours]])</f>
        <v>0.249999999999999</v>
      </c>
      <c r="J41" s="290" t="n">
        <f aca="false">SUM(Taches_Jours12243639172029323541444750535659626783202432364448565260646872768088969210010411211610812012412813213614014414815215616016416817217618018418819219620020420821226121620242832364448[[#This Row],[GB]:[GP / SP]])</f>
        <v>4.5</v>
      </c>
      <c r="K41" s="188"/>
      <c r="L41" s="288"/>
      <c r="M41" s="289"/>
      <c r="N41" s="187"/>
      <c r="O41" s="1"/>
      <c r="P41" s="1"/>
      <c r="Q41" s="1"/>
      <c r="R41" s="1"/>
      <c r="S41" s="1"/>
      <c r="T41" s="71"/>
      <c r="U41" s="71"/>
      <c r="V41" s="71"/>
      <c r="W41" s="71"/>
      <c r="X41" s="71"/>
      <c r="Y41" s="71"/>
      <c r="Z41" s="71"/>
      <c r="AA41" s="71"/>
      <c r="AB41" s="71"/>
      <c r="AC41" s="71"/>
      <c r="AD41" s="71"/>
      <c r="AE41" s="71"/>
      <c r="AF41" s="71"/>
    </row>
    <row r="42" customFormat="false" ht="15" hidden="true" customHeight="false" outlineLevel="1" collapsed="false">
      <c r="A42" s="187" t="s">
        <v>341</v>
      </c>
      <c r="B42" s="71" t="n">
        <f aca="false">SUMIFS(#REF!,#REF!,Taches_Jours12243639172029323541444750535659626783202432364448565260646872768088969210010411211610812012412813213614014414815215616016416817217618018418819219620020420821226121620242832364448[[#Headers],[GB]],#REF!,Taches_Jours12243639172029323541444750535659626783202432364448565260646872768088969210010411211610812012412813213614014414815215616016416817217618018418819219620020420821226121620242832364448[[#This Row],[Jours]])</f>
        <v>0</v>
      </c>
      <c r="C42" s="71" t="n">
        <f aca="false">SUMIFS(#REF!,#REF!,Taches_Jours12243639172029323541444750535659626783202432364448565260646872768088969210010411211610812012412813213614014414815215616016416817217618018418819219620020420821226121620242832364448[[#Headers],[RI]],#REF!,Taches_Jours12243639172029323541444750535659626783202432364448565260646872768088969210010411211610812012412813213614014414815215616016416817217618018418819219620020420821226121620242832364448[[#This Row],[Jours]])</f>
        <v>0</v>
      </c>
      <c r="D42" s="71" t="n">
        <f aca="false">SUMIFS(#REF!,#REF!,Taches_Jours12243639172029323541444750535659626783202432364448565260646872768088969210010411211610812012412813213614014414815215616016416817217618018418819219620020420821226121620242832364448[[#Headers],[FG]],#REF!,Taches_Jours12243639172029323541444750535659626783202432364448565260646872768088969210010411211610812012412813213614014414815215616016416817217618018418819219620020420821226121620242832364448[[#This Row],[Jours]])</f>
        <v>0</v>
      </c>
      <c r="E42" s="71" t="n">
        <f aca="false">SUMIFS(#REF!,#REF!,Taches_Jours12243639172029323541444750535659626783202432364448565260646872768088969210010411211610812012412813213614014414815215616016416817217618018418819219620020420821226121620242832364448[[#Headers],[PS]],#REF!,Taches_Jours12243639172029323541444750535659626783202432364448565260646872768088969210010411211610812012412813213614014414815215616016416817217618018418819219620020420821226121620242832364448[[#This Row],[Jours]])</f>
        <v>0</v>
      </c>
      <c r="F42" s="71" t="n">
        <f aca="false">SUMIFS(#REF!,#REF!,Taches_Jours12243639172029323541444750535659626783202432364448565260646872768088969210010411211610812012412813213614014414815215616016416817217618018418819219620020420821226121620242832364448[[#Headers],[TD]],#REF!,Taches_Jours12243639172029323541444750535659626783202432364448565260646872768088969210010411211610812012412813213614014414815215616016416817217618018418819219620020420821226121620242832364448[[#This Row],[Jours]])</f>
        <v>0</v>
      </c>
      <c r="G42" s="71" t="n">
        <f aca="false">SUMIFS(#REF!,#REF!,Taches_Jours12243639172029323541444750535659626783202432364448565260646872768088969210010411211610812012412813213614014414815215616016416817217618018418819219620020420821226121620242832364448[[#Headers],[GP]],#REF!,Taches_Jours12243639172029323541444750535659626783202432364448565260646872768088969210010411211610812012412813213614014414815215616016416817217618018418819219620020420821226121620242832364448[[#This Row],[Jours]])</f>
        <v>4</v>
      </c>
      <c r="H42" s="71" t="n">
        <f aca="false">SUMIFS(#REF!,#REF!,Taches_Jours12243639172029323541444750535659626783202432364448565260646872768088969210010411211610812012412813213614014414815215616016416817217618018418819219620020420821226121620242832364448[[#Headers],[GP / SP]],#REF!,Taches_Jours12243639172029323541444750535659626783202432364448565260646872768088969210010411211610812012412813213614014414815215616016416817217618018418819219620020420821226121620242832364448[[#This Row],[Jours]])</f>
        <v>0</v>
      </c>
      <c r="I42" s="290" t="n">
        <f aca="false">SUMIFS(#REF!,#REF!,Taches_Jours12243639172029323541444750535659626783202432364448565260646872768088969210010411211610812012412813213614014414815215616016416817217618018418819219620020420821226121620242832364448[[#Headers],[GP / SP]],#REF!,Taches_Jours12243639172029323541444750535659626783202432364448565260646872768088969210010411211610812012412813213614014414815215616016416817217618018418819219620020420821226121620242832364448[[#This Row],[Jours]])</f>
        <v>0</v>
      </c>
      <c r="J42" s="71" t="n">
        <f aca="false">SUM(Taches_Jours12243639172029323541444750535659626783202432364448565260646872768088969210010411211610812012412813213614014414815215616016416817217618018418819219620020420821226121620242832364448[[#This Row],[GB]:[GP / SP]])</f>
        <v>4</v>
      </c>
      <c r="K42" s="188"/>
      <c r="L42" s="288"/>
      <c r="M42" s="289"/>
      <c r="N42" s="187"/>
      <c r="O42" s="1"/>
      <c r="P42" s="1"/>
      <c r="Q42" s="1"/>
      <c r="R42" s="1"/>
      <c r="S42" s="1"/>
      <c r="T42" s="71"/>
      <c r="U42" s="71"/>
      <c r="V42" s="71"/>
      <c r="W42" s="71"/>
      <c r="X42" s="71"/>
      <c r="Y42" s="71"/>
      <c r="Z42" s="71"/>
      <c r="AA42" s="71"/>
      <c r="AB42" s="71"/>
      <c r="AC42" s="71"/>
      <c r="AD42" s="71"/>
      <c r="AE42" s="71"/>
      <c r="AF42" s="71"/>
    </row>
    <row r="43" customFormat="false" ht="15" hidden="true" customHeight="false" outlineLevel="1" collapsed="false">
      <c r="A43" s="187" t="s">
        <v>381</v>
      </c>
      <c r="B43" s="71" t="n">
        <f aca="false">SUMIFS(#REF!,#REF!,Taches_Jours12243639172029323541444750535659626783202432364448565260646872768088969210010411211610812012412813213614014414815215616016416817217618018418819219620020420821226121620242832364448[[#Headers],[GB]],#REF!,Taches_Jours12243639172029323541444750535659626783202432364448565260646872768088969210010411211610812012412813213614014414815215616016416817217618018418819219620020420821226121620242832364448[[#This Row],[Jours]])</f>
        <v>0</v>
      </c>
      <c r="C43" s="71" t="n">
        <f aca="false">SUMIFS(#REF!,#REF!,Taches_Jours12243639172029323541444750535659626783202432364448565260646872768088969210010411211610812012412813213614014414815215616016416817217618018418819219620020420821226121620242832364448[[#Headers],[RI]],#REF!,Taches_Jours12243639172029323541444750535659626783202432364448565260646872768088969210010411211610812012412813213614014414815215616016416817217618018418819219620020420821226121620242832364448[[#This Row],[Jours]])</f>
        <v>0</v>
      </c>
      <c r="D43" s="71" t="n">
        <f aca="false">SUMIFS(#REF!,#REF!,Taches_Jours12243639172029323541444750535659626783202432364448565260646872768088969210010411211610812012412813213614014414815215616016416817217618018418819219620020420821226121620242832364448[[#Headers],[FG]],#REF!,Taches_Jours12243639172029323541444750535659626783202432364448565260646872768088969210010411211610812012412813213614014414815215616016416817217618018418819219620020420821226121620242832364448[[#This Row],[Jours]])</f>
        <v>0</v>
      </c>
      <c r="E43" s="71" t="n">
        <f aca="false">SUMIFS(#REF!,#REF!,Taches_Jours12243639172029323541444750535659626783202432364448565260646872768088969210010411211610812012412813213614014414815215616016416817217618018418819219620020420821226121620242832364448[[#Headers],[PS]],#REF!,Taches_Jours12243639172029323541444750535659626783202432364448565260646872768088969210010411211610812012412813213614014414815215616016416817217618018418819219620020420821226121620242832364448[[#This Row],[Jours]])</f>
        <v>0</v>
      </c>
      <c r="F43" s="71" t="n">
        <f aca="false">SUMIFS(#REF!,#REF!,Taches_Jours12243639172029323541444750535659626783202432364448565260646872768088969210010411211610812012412813213614014414815215616016416817217618018418819219620020420821226121620242832364448[[#Headers],[TD]],#REF!,Taches_Jours12243639172029323541444750535659626783202432364448565260646872768088969210010411211610812012412813213614014414815215616016416817217618018418819219620020420821226121620242832364448[[#This Row],[Jours]])</f>
        <v>0</v>
      </c>
      <c r="G43" s="71" t="n">
        <f aca="false">SUMIFS(#REF!,#REF!,Taches_Jours12243639172029323541444750535659626783202432364448565260646872768088969210010411211610812012412813213614014414815215616016416817217618018418819219620020420821226121620242832364448[[#Headers],[GP]],#REF!,Taches_Jours12243639172029323541444750535659626783202432364448565260646872768088969210010411211610812012412813213614014414815215616016416817217618018418819219620020420821226121620242832364448[[#This Row],[Jours]])</f>
        <v>0</v>
      </c>
      <c r="H43" s="71" t="n">
        <f aca="false">SUMIFS(#REF!,#REF!,Taches_Jours12243639172029323541444750535659626783202432364448565260646872768088969210010411211610812012412813213614014414815215616016416817217618018418819219620020420821226121620242832364448[[#Headers],[GP / SP]],#REF!,Taches_Jours12243639172029323541444750535659626783202432364448565260646872768088969210010411211610812012412813213614014414815215616016416817217618018418819219620020420821226121620242832364448[[#This Row],[Jours]])</f>
        <v>0</v>
      </c>
      <c r="I43" s="290" t="n">
        <f aca="false">SUMIFS(#REF!,#REF!,Taches_Jours12243639172029323541444750535659626783202432364448565260646872768088969210010411211610812012412813213614014414815215616016416817217618018418819219620020420821226121620242832364448[[#Headers],[GP / SP]],#REF!,Taches_Jours12243639172029323541444750535659626783202432364448565260646872768088969210010411211610812012412813213614014414815215616016416817217618018418819219620020420821226121620242832364448[[#This Row],[Jours]])</f>
        <v>0</v>
      </c>
      <c r="J43" s="71" t="n">
        <f aca="false">SUM(Taches_Jours12243639172029323541444750535659626783202432364448565260646872768088969210010411211610812012412813213614014414815215616016416817217618018418819219620020420821226121620242832364448[[#This Row],[GB]:[GP / SP]])</f>
        <v>0</v>
      </c>
      <c r="K43" s="188"/>
      <c r="L43" s="288"/>
      <c r="M43" s="289"/>
      <c r="N43" s="187"/>
      <c r="O43" s="1"/>
      <c r="P43" s="1"/>
      <c r="Q43" s="1"/>
      <c r="R43" s="1"/>
      <c r="S43" s="1"/>
      <c r="T43" s="71"/>
      <c r="U43" s="71"/>
      <c r="V43" s="71"/>
      <c r="W43" s="71"/>
      <c r="X43" s="71"/>
      <c r="Y43" s="71"/>
      <c r="Z43" s="71"/>
      <c r="AA43" s="71"/>
      <c r="AB43" s="71"/>
      <c r="AC43" s="71"/>
      <c r="AD43" s="71"/>
      <c r="AE43" s="71"/>
      <c r="AF43" s="71"/>
    </row>
    <row r="44" customFormat="false" ht="15" hidden="true" customHeight="false" outlineLevel="1" collapsed="false">
      <c r="A44" s="137"/>
      <c r="B44" s="187"/>
      <c r="C44" s="71"/>
      <c r="D44" s="1"/>
      <c r="E44" s="1"/>
      <c r="F44" s="71"/>
      <c r="G44" s="1"/>
      <c r="H44" s="1"/>
      <c r="I44" s="119"/>
      <c r="J44" s="271"/>
      <c r="K44" s="1"/>
      <c r="L44" s="188"/>
      <c r="M44" s="272"/>
      <c r="N44" s="187"/>
      <c r="O44" s="1"/>
      <c r="P44" s="1"/>
      <c r="Q44" s="1"/>
      <c r="R44" s="1"/>
      <c r="S44" s="1"/>
      <c r="T44" s="1"/>
      <c r="U44" s="71"/>
      <c r="V44" s="71"/>
      <c r="W44" s="71"/>
      <c r="X44" s="71"/>
      <c r="Y44" s="71"/>
      <c r="Z44" s="71"/>
      <c r="AA44" s="71"/>
      <c r="AB44" s="71"/>
      <c r="AC44" s="71"/>
      <c r="AD44" s="71"/>
      <c r="AE44" s="71"/>
      <c r="AF44" s="71"/>
      <c r="AG44" s="71"/>
    </row>
    <row r="45" customFormat="false" ht="15" hidden="true" customHeight="false" outlineLevel="1" collapsed="false">
      <c r="A45" s="291" t="s">
        <v>85</v>
      </c>
      <c r="B45" s="292" t="s">
        <v>312</v>
      </c>
      <c r="C45" s="292" t="s">
        <v>319</v>
      </c>
      <c r="D45" s="292" t="s">
        <v>324</v>
      </c>
      <c r="E45" s="292" t="s">
        <v>332</v>
      </c>
      <c r="F45" s="293" t="s">
        <v>335</v>
      </c>
      <c r="G45" s="292" t="s">
        <v>341</v>
      </c>
      <c r="H45" s="292" t="s">
        <v>381</v>
      </c>
      <c r="I45" s="294" t="s">
        <v>58</v>
      </c>
      <c r="J45" s="271"/>
      <c r="K45" s="1"/>
      <c r="L45" s="188"/>
      <c r="M45" s="272"/>
      <c r="N45" s="187"/>
      <c r="O45" s="1"/>
      <c r="P45" s="1"/>
      <c r="Q45" s="1"/>
      <c r="R45" s="1"/>
      <c r="S45" s="1"/>
      <c r="T45" s="1"/>
      <c r="U45" s="71"/>
      <c r="V45" s="71"/>
      <c r="W45" s="71"/>
      <c r="X45" s="71"/>
      <c r="Y45" s="71"/>
      <c r="Z45" s="71"/>
      <c r="AA45" s="71"/>
      <c r="AB45" s="71"/>
      <c r="AC45" s="71"/>
      <c r="AD45" s="71"/>
      <c r="AE45" s="71"/>
      <c r="AF45" s="71"/>
      <c r="AG45" s="71"/>
    </row>
    <row r="46" customFormat="false" ht="15" hidden="true" customHeight="false" outlineLevel="1" collapsed="false">
      <c r="A46" s="137" t="s">
        <v>21</v>
      </c>
      <c r="B46" s="187" t="n">
        <f aca="false">SUMIFS(#REF!,#REF!,$B$45,#REF!,$A46)</f>
        <v>0.999999999999999</v>
      </c>
      <c r="C46" s="187" t="n">
        <f aca="false">SUMIFS(#REF!,#REF!,$C$45,#REF!,$A46)</f>
        <v>0</v>
      </c>
      <c r="D46" s="187" t="n">
        <f aca="false">SUMIFS(#REF!,#REF!,$D$45,#REF!,$A46)</f>
        <v>0.500000000000001</v>
      </c>
      <c r="E46" s="187" t="n">
        <f aca="false">SUMIFS(#REF!,#REF!,$E$45,#REF!,$A46)</f>
        <v>0.249999999999999</v>
      </c>
      <c r="F46" s="71" t="n">
        <f aca="false">SUMIFS(#REF!,#REF!,$F$45,#REF!,$A46)</f>
        <v>0.999999999999999</v>
      </c>
      <c r="G46" s="187" t="n">
        <f aca="false">SUMIFS(#REF!,#REF!,$G$45,#REF!,$A46)</f>
        <v>0</v>
      </c>
      <c r="H46" s="187" t="n">
        <f aca="false">SUMIFS(#REF!,#REF!,$H$45,#REF!,$A46)</f>
        <v>0</v>
      </c>
      <c r="I46" s="295" t="n">
        <f aca="false">SUM(Taches_Jour213253740182130333642454851545760636884212533374549575361656973778189979310110511311710912112512913313714114514915315716116516917317718118518919319720120520921339131721252933374549[[#This Row],[1- Lundi]:[7- Dimanche]])</f>
        <v>2.75</v>
      </c>
      <c r="J46" s="271"/>
      <c r="K46" s="1"/>
      <c r="L46" s="188"/>
      <c r="M46" s="272"/>
      <c r="N46" s="187"/>
      <c r="O46" s="1"/>
      <c r="P46" s="1"/>
      <c r="Q46" s="1"/>
      <c r="R46" s="1"/>
      <c r="S46" s="1"/>
      <c r="T46" s="1"/>
      <c r="U46" s="71"/>
      <c r="V46" s="71"/>
      <c r="W46" s="71"/>
      <c r="X46" s="71"/>
      <c r="Y46" s="71"/>
      <c r="Z46" s="71"/>
      <c r="AA46" s="71"/>
      <c r="AB46" s="71"/>
      <c r="AC46" s="71"/>
      <c r="AD46" s="71"/>
      <c r="AE46" s="71"/>
      <c r="AF46" s="71"/>
      <c r="AG46" s="71"/>
    </row>
    <row r="47" customFormat="false" ht="15" hidden="true" customHeight="false" outlineLevel="1" collapsed="false">
      <c r="A47" s="137" t="s">
        <v>20</v>
      </c>
      <c r="B47" s="187" t="n">
        <f aca="false">SUMIFS(#REF!,#REF!,$B$45,#REF!,$A47)</f>
        <v>0</v>
      </c>
      <c r="C47" s="187" t="n">
        <f aca="false">SUMIFS(#REF!,#REF!,$C$45,#REF!,$A47)</f>
        <v>0</v>
      </c>
      <c r="D47" s="187" t="n">
        <f aca="false">SUMIFS(#REF!,#REF!,$D$45,#REF!,$A47)</f>
        <v>0</v>
      </c>
      <c r="E47" s="187" t="n">
        <f aca="false">SUMIFS(#REF!,#REF!,$E$45,#REF!,$A47)</f>
        <v>0</v>
      </c>
      <c r="F47" s="71" t="n">
        <f aca="false">SUMIFS(#REF!,#REF!,$F$45,#REF!,$A47)</f>
        <v>0</v>
      </c>
      <c r="G47" s="187" t="n">
        <f aca="false">SUMIFS(#REF!,#REF!,$G$45,#REF!,$A47)</f>
        <v>0</v>
      </c>
      <c r="H47" s="187" t="n">
        <f aca="false">SUMIFS(#REF!,#REF!,$H$45,#REF!,$A47)</f>
        <v>0</v>
      </c>
      <c r="I47" s="295" t="n">
        <f aca="false">SUM(Taches_Jour213253740182130333642454851545760636884212533374549575361656973778189979310110511311710912112512913313714114514915315716116516917317718118518919319720120520921339131721252933374549[[#This Row],[1- Lundi]:[7- Dimanche]])</f>
        <v>0</v>
      </c>
      <c r="J47" s="271"/>
      <c r="K47" s="1"/>
      <c r="L47" s="188"/>
      <c r="M47" s="272"/>
      <c r="N47" s="187"/>
      <c r="O47" s="1"/>
      <c r="P47" s="1"/>
      <c r="Q47" s="1"/>
      <c r="R47" s="1"/>
      <c r="S47" s="1"/>
      <c r="T47" s="1"/>
      <c r="U47" s="71"/>
      <c r="V47" s="71"/>
      <c r="W47" s="71"/>
      <c r="X47" s="71"/>
      <c r="Y47" s="71"/>
      <c r="Z47" s="71"/>
      <c r="AA47" s="71"/>
      <c r="AB47" s="71"/>
      <c r="AC47" s="71"/>
      <c r="AD47" s="71"/>
      <c r="AE47" s="71"/>
      <c r="AF47" s="71"/>
      <c r="AG47" s="71"/>
    </row>
    <row r="48" customFormat="false" ht="15" hidden="true" customHeight="false" outlineLevel="1" collapsed="false">
      <c r="A48" s="137" t="s">
        <v>23</v>
      </c>
      <c r="B48" s="187" t="n">
        <f aca="false">SUMIFS(#REF!,#REF!,$B$45,#REF!,$A48)</f>
        <v>0</v>
      </c>
      <c r="C48" s="187" t="n">
        <f aca="false">SUMIFS(#REF!,#REF!,$C$45,#REF!,$A48)</f>
        <v>1</v>
      </c>
      <c r="D48" s="187" t="n">
        <f aca="false">SUMIFS(#REF!,#REF!,$D$45,#REF!,$A48)</f>
        <v>0</v>
      </c>
      <c r="E48" s="187" t="n">
        <f aca="false">SUMIFS(#REF!,#REF!,$E$45,#REF!,$A48)</f>
        <v>0</v>
      </c>
      <c r="F48" s="71" t="n">
        <f aca="false">SUMIFS(#REF!,#REF!,$F$45,#REF!,$A48)</f>
        <v>0</v>
      </c>
      <c r="G48" s="187" t="n">
        <f aca="false">SUMIFS(#REF!,#REF!,$G$45,#REF!,$A48)</f>
        <v>0</v>
      </c>
      <c r="H48" s="187" t="n">
        <f aca="false">SUMIFS(#REF!,#REF!,$H$45,#REF!,$A48)</f>
        <v>0</v>
      </c>
      <c r="I48" s="295" t="n">
        <f aca="false">SUM(Taches_Jour213253740182130333642454851545760636884212533374549575361656973778189979310110511311710912112512913313714114514915315716116516917317718118518919319720120520921339131721252933374549[[#This Row],[1- Lundi]:[7- Dimanche]])</f>
        <v>1</v>
      </c>
      <c r="J48" s="271"/>
      <c r="K48" s="1"/>
      <c r="L48" s="188"/>
      <c r="M48" s="272"/>
      <c r="N48" s="187"/>
      <c r="O48" s="1"/>
      <c r="P48" s="1"/>
      <c r="Q48" s="1"/>
      <c r="R48" s="1"/>
      <c r="S48" s="1"/>
      <c r="T48" s="1"/>
      <c r="U48" s="71"/>
      <c r="V48" s="71"/>
      <c r="W48" s="71"/>
      <c r="X48" s="71"/>
      <c r="Y48" s="71"/>
      <c r="Z48" s="71"/>
      <c r="AA48" s="71"/>
      <c r="AB48" s="71"/>
      <c r="AC48" s="71"/>
      <c r="AD48" s="71"/>
      <c r="AE48" s="71"/>
      <c r="AF48" s="71"/>
      <c r="AG48" s="71"/>
    </row>
    <row r="49" customFormat="false" ht="15" hidden="true" customHeight="false" outlineLevel="1" collapsed="false">
      <c r="A49" s="137" t="s">
        <v>25</v>
      </c>
      <c r="B49" s="187" t="n">
        <f aca="false">SUMIFS(#REF!,#REF!,$B$45,#REF!,$A49)</f>
        <v>0</v>
      </c>
      <c r="C49" s="187" t="n">
        <f aca="false">SUMIFS(#REF!,#REF!,$C$45,#REF!,$A49)</f>
        <v>0</v>
      </c>
      <c r="D49" s="187" t="n">
        <f aca="false">SUMIFS(#REF!,#REF!,$D$45,#REF!,$A49)</f>
        <v>0</v>
      </c>
      <c r="E49" s="187" t="n">
        <f aca="false">SUMIFS(#REF!,#REF!,$E$45,#REF!,$A49)</f>
        <v>0</v>
      </c>
      <c r="F49" s="71" t="n">
        <f aca="false">SUMIFS(#REF!,#REF!,$F$45,#REF!,$A49)</f>
        <v>0</v>
      </c>
      <c r="G49" s="187" t="n">
        <f aca="false">SUMIFS(#REF!,#REF!,$G$45,#REF!,$A49)</f>
        <v>0</v>
      </c>
      <c r="H49" s="187" t="n">
        <f aca="false">SUMIFS(#REF!,#REF!,$H$45,#REF!,$A49)</f>
        <v>0</v>
      </c>
      <c r="I49" s="295" t="n">
        <f aca="false">SUM(Taches_Jour213253740182130333642454851545760636884212533374549575361656973778189979310110511311710912112512913313714114514915315716116516917317718118518919319720120520921339131721252933374549[[#This Row],[1- Lundi]:[7- Dimanche]])</f>
        <v>0</v>
      </c>
      <c r="J49" s="271"/>
      <c r="K49" s="1"/>
      <c r="L49" s="188"/>
      <c r="M49" s="272"/>
      <c r="N49" s="187"/>
      <c r="O49" s="1"/>
      <c r="P49" s="1"/>
      <c r="Q49" s="1"/>
      <c r="R49" s="1"/>
      <c r="S49" s="1"/>
      <c r="T49" s="1"/>
      <c r="U49" s="71"/>
      <c r="V49" s="71"/>
      <c r="W49" s="71"/>
      <c r="X49" s="71"/>
      <c r="Y49" s="71"/>
      <c r="Z49" s="71"/>
      <c r="AA49" s="71"/>
      <c r="AB49" s="71"/>
      <c r="AC49" s="71"/>
      <c r="AD49" s="71"/>
      <c r="AE49" s="71"/>
      <c r="AF49" s="71"/>
      <c r="AG49" s="71"/>
    </row>
    <row r="50" customFormat="false" ht="15" hidden="true" customHeight="false" outlineLevel="1" collapsed="false">
      <c r="A50" s="137" t="s">
        <v>26</v>
      </c>
      <c r="B50" s="187" t="n">
        <f aca="false">SUMIFS(#REF!,#REF!,$B$45,#REF!,$A50)</f>
        <v>0</v>
      </c>
      <c r="C50" s="187" t="n">
        <f aca="false">SUMIFS(#REF!,#REF!,$C$45,#REF!,$A50)</f>
        <v>0</v>
      </c>
      <c r="D50" s="187" t="n">
        <f aca="false">SUMIFS(#REF!,#REF!,$D$45,#REF!,$A50)</f>
        <v>0</v>
      </c>
      <c r="E50" s="187" t="n">
        <f aca="false">SUMIFS(#REF!,#REF!,$E$45,#REF!,$A50)</f>
        <v>0</v>
      </c>
      <c r="F50" s="71" t="n">
        <f aca="false">SUMIFS(#REF!,#REF!,$F$45,#REF!,$A50)</f>
        <v>0</v>
      </c>
      <c r="G50" s="187" t="n">
        <f aca="false">SUMIFS(#REF!,#REF!,$G$45,#REF!,$A50)</f>
        <v>0</v>
      </c>
      <c r="H50" s="187" t="n">
        <f aca="false">SUMIFS(#REF!,#REF!,$H$45,#REF!,$A50)</f>
        <v>0</v>
      </c>
      <c r="I50" s="295" t="n">
        <f aca="false">SUM(Taches_Jour213253740182130333642454851545760636884212533374549575361656973778189979310110511311710912112512913313714114514915315716116516917317718118518919319720120520921339131721252933374549[[#This Row],[1- Lundi]:[7- Dimanche]])</f>
        <v>0</v>
      </c>
      <c r="J50" s="271"/>
      <c r="K50" s="1"/>
      <c r="L50" s="188"/>
      <c r="M50" s="272"/>
      <c r="N50" s="187"/>
      <c r="O50" s="1"/>
      <c r="P50" s="1"/>
      <c r="Q50" s="1"/>
      <c r="R50" s="1"/>
      <c r="S50" s="1"/>
      <c r="T50" s="1"/>
      <c r="U50" s="71"/>
      <c r="V50" s="71"/>
      <c r="W50" s="71"/>
      <c r="X50" s="71"/>
      <c r="Y50" s="71"/>
      <c r="Z50" s="71"/>
      <c r="AA50" s="71"/>
      <c r="AB50" s="71"/>
      <c r="AC50" s="71"/>
      <c r="AD50" s="71"/>
      <c r="AE50" s="71"/>
      <c r="AF50" s="71"/>
      <c r="AG50" s="71"/>
    </row>
    <row r="51" customFormat="false" ht="15" hidden="true" customHeight="false" outlineLevel="1" collapsed="false">
      <c r="A51" s="137" t="s">
        <v>378</v>
      </c>
      <c r="B51" s="187" t="n">
        <f aca="false">SUMIFS(#REF!,#REF!,$B$45,#REF!,$A51)</f>
        <v>1.75</v>
      </c>
      <c r="C51" s="187" t="n">
        <f aca="false">SUMIFS(#REF!,#REF!,$C$45,#REF!,$A51)</f>
        <v>5</v>
      </c>
      <c r="D51" s="187" t="n">
        <f aca="false">SUMIFS(#REF!,#REF!,$D$45,#REF!,$A51)</f>
        <v>4</v>
      </c>
      <c r="E51" s="187" t="n">
        <f aca="false">SUMIFS(#REF!,#REF!,$E$45,#REF!,$A51)</f>
        <v>7.75</v>
      </c>
      <c r="F51" s="71" t="n">
        <f aca="false">SUMIFS(#REF!,#REF!,$F$45,#REF!,$A51)</f>
        <v>3.25</v>
      </c>
      <c r="G51" s="187" t="n">
        <f aca="false">SUMIFS(#REF!,#REF!,$G$45,#REF!,$A51)</f>
        <v>4</v>
      </c>
      <c r="H51" s="187" t="n">
        <f aca="false">SUMIFS(#REF!,#REF!,$H$45,#REF!,$A51)</f>
        <v>0</v>
      </c>
      <c r="I51" s="295" t="n">
        <f aca="false">SUM(Taches_Jour213253740182130333642454851545760636884212533374549575361656973778189979310110511311710912112512913313714114514915315716116516917317718118518919319720120520921339131721252933374549[[#This Row],[1- Lundi]:[7- Dimanche]])</f>
        <v>25.75</v>
      </c>
      <c r="J51" s="271"/>
      <c r="K51" s="1"/>
      <c r="L51" s="188"/>
      <c r="M51" s="272"/>
      <c r="N51" s="187"/>
      <c r="O51" s="1"/>
      <c r="P51" s="1"/>
      <c r="Q51" s="1"/>
      <c r="R51" s="1"/>
      <c r="S51" s="1"/>
      <c r="T51" s="1"/>
      <c r="U51" s="71"/>
      <c r="V51" s="71"/>
      <c r="W51" s="71"/>
      <c r="X51" s="71"/>
      <c r="Y51" s="71"/>
      <c r="Z51" s="71"/>
      <c r="AA51" s="71"/>
      <c r="AB51" s="71"/>
      <c r="AC51" s="71"/>
      <c r="AD51" s="71"/>
      <c r="AE51" s="71"/>
      <c r="AF51" s="71"/>
      <c r="AG51" s="71"/>
    </row>
    <row r="52" customFormat="false" ht="15" hidden="true" customHeight="false" outlineLevel="1" collapsed="false">
      <c r="A52" s="137" t="s">
        <v>382</v>
      </c>
      <c r="B52" s="187" t="n">
        <f aca="false">SUMIFS(#REF!,#REF!,$B$45,#REF!,$A52)</f>
        <v>0</v>
      </c>
      <c r="C52" s="187" t="n">
        <f aca="false">SUMIFS(#REF!,#REF!,$C$45,#REF!,$A52)</f>
        <v>0</v>
      </c>
      <c r="D52" s="187" t="n">
        <f aca="false">SUMIFS(#REF!,#REF!,$D$45,#REF!,$A52)</f>
        <v>0</v>
      </c>
      <c r="E52" s="187" t="n">
        <f aca="false">SUMIFS(#REF!,#REF!,$E$45,#REF!,$A52)</f>
        <v>0</v>
      </c>
      <c r="F52" s="71" t="n">
        <f aca="false">SUMIFS(#REF!,#REF!,$F$45,#REF!,$A52)</f>
        <v>0</v>
      </c>
      <c r="G52" s="187" t="n">
        <f aca="false">SUMIFS(#REF!,#REF!,$G$45,#REF!,$A52)</f>
        <v>0</v>
      </c>
      <c r="H52" s="187" t="n">
        <f aca="false">SUMIFS(#REF!,#REF!,$H$45,#REF!,$A52)</f>
        <v>0</v>
      </c>
      <c r="I52" s="295" t="n">
        <f aca="false">SUM(Taches_Jour213253740182130333642454851545760636884212533374549575361656973778189979310110511311710912112512913313714114514915315716116516917317718118518919319720120520921339131721252933374549[[#This Row],[1- Lundi]:[7- Dimanche]])</f>
        <v>0</v>
      </c>
      <c r="J52" s="271"/>
      <c r="K52" s="1"/>
      <c r="L52" s="188"/>
      <c r="M52" s="272"/>
      <c r="N52" s="187"/>
      <c r="O52" s="1"/>
      <c r="P52" s="1"/>
      <c r="Q52" s="1"/>
      <c r="R52" s="1"/>
      <c r="S52" s="1"/>
      <c r="T52" s="1"/>
      <c r="U52" s="71"/>
      <c r="V52" s="71"/>
      <c r="W52" s="71"/>
      <c r="X52" s="71"/>
      <c r="Y52" s="71"/>
      <c r="Z52" s="71"/>
      <c r="AA52" s="71"/>
      <c r="AB52" s="71"/>
      <c r="AC52" s="71"/>
      <c r="AD52" s="71"/>
      <c r="AE52" s="71"/>
      <c r="AF52" s="71"/>
      <c r="AG52" s="71"/>
    </row>
    <row r="53" customFormat="false" ht="15" hidden="true" customHeight="false" outlineLevel="1" collapsed="false">
      <c r="A53" s="137" t="s">
        <v>380</v>
      </c>
      <c r="B53" s="187" t="n">
        <f aca="false">SUMIFS(#REF!,#REF!,$B$45,#REF!,$A53)</f>
        <v>0</v>
      </c>
      <c r="C53" s="187" t="n">
        <f aca="false">SUMIFS(#REF!,#REF!,$C$45,#REF!,$A53)</f>
        <v>0</v>
      </c>
      <c r="D53" s="187" t="n">
        <f aca="false">SUMIFS(#REF!,#REF!,$D$45,#REF!,$A53)</f>
        <v>0</v>
      </c>
      <c r="E53" s="187" t="n">
        <f aca="false">SUMIFS(#REF!,#REF!,$E$45,#REF!,$A53)</f>
        <v>0</v>
      </c>
      <c r="F53" s="71" t="n">
        <f aca="false">SUMIFS(#REF!,#REF!,$F$45,#REF!,$A53)</f>
        <v>0</v>
      </c>
      <c r="G53" s="187" t="n">
        <f aca="false">SUMIFS(#REF!,#REF!,$G$45,#REF!,$A53)</f>
        <v>0</v>
      </c>
      <c r="H53" s="187" t="n">
        <f aca="false">SUMIFS(#REF!,#REF!,$H$45,#REF!,$A53)</f>
        <v>0</v>
      </c>
      <c r="I53" s="295" t="n">
        <f aca="false">SUM(Taches_Jour213253740182130333642454851545760636884212533374549575361656973778189979310110511311710912112512913313714114514915315716116516917317718118518919319720120520921339131721252933374549[[#This Row],[1- Lundi]:[7- Dimanche]])</f>
        <v>0</v>
      </c>
      <c r="J53" s="271"/>
      <c r="K53" s="1"/>
      <c r="L53" s="188"/>
      <c r="M53" s="272"/>
      <c r="N53" s="76"/>
    </row>
    <row r="54" customFormat="false" ht="15" hidden="true" customHeight="false" outlineLevel="1" collapsed="false">
      <c r="N54" s="76"/>
    </row>
    <row r="55" customFormat="false" ht="15" hidden="false" customHeight="false" outlineLevel="1" collapsed="false">
      <c r="G55" s="0" t="s">
        <v>383</v>
      </c>
      <c r="H55" s="0" t="s">
        <v>482</v>
      </c>
      <c r="N55" s="76"/>
    </row>
    <row r="56" customFormat="false" ht="15" hidden="false" customHeight="false" outlineLevel="0" collapsed="false">
      <c r="N56" s="76"/>
    </row>
    <row r="57" customFormat="false" ht="15" hidden="false" customHeight="false" outlineLevel="0" collapsed="false">
      <c r="G57" s="76"/>
      <c r="N57" s="76"/>
    </row>
    <row r="58" customFormat="false" ht="15" hidden="false" customHeight="false" outlineLevel="0" collapsed="false">
      <c r="N58" s="76"/>
    </row>
    <row r="59" customFormat="false" ht="15" hidden="false" customHeight="false" outlineLevel="0" collapsed="false">
      <c r="N59" s="76"/>
    </row>
    <row r="60" customFormat="false" ht="15" hidden="false" customHeight="false" outlineLevel="0" collapsed="false">
      <c r="N60" s="76"/>
    </row>
    <row r="61" customFormat="false" ht="15" hidden="false" customHeight="false" outlineLevel="0" collapsed="false">
      <c r="N61" s="76"/>
    </row>
    <row r="62" customFormat="false" ht="15" hidden="false" customHeight="false" outlineLevel="0" collapsed="false">
      <c r="N62" s="76"/>
    </row>
    <row r="63" customFormat="false" ht="15" hidden="false" customHeight="false" outlineLevel="0" collapsed="false">
      <c r="N63" s="76"/>
    </row>
    <row r="64" customFormat="false" ht="15" hidden="false" customHeight="false" outlineLevel="0" collapsed="false">
      <c r="N64" s="76"/>
    </row>
    <row r="65" customFormat="false" ht="15" hidden="false" customHeight="false" outlineLevel="0" collapsed="false">
      <c r="N65" s="76"/>
    </row>
    <row r="66" customFormat="false" ht="15" hidden="false" customHeight="false" outlineLevel="0" collapsed="false">
      <c r="N66" s="76"/>
    </row>
    <row r="67" customFormat="false" ht="15" hidden="false" customHeight="false" outlineLevel="0" collapsed="false">
      <c r="N67" s="76"/>
    </row>
    <row r="68" customFormat="false" ht="15" hidden="false" customHeight="false" outlineLevel="0" collapsed="false">
      <c r="N68" s="76"/>
    </row>
    <row r="69" customFormat="false" ht="15" hidden="false" customHeight="false" outlineLevel="0" collapsed="false">
      <c r="N69" s="76"/>
    </row>
    <row r="70" customFormat="false" ht="15" hidden="false" customHeight="false" outlineLevel="0" collapsed="false">
      <c r="N70" s="76"/>
    </row>
    <row r="71" customFormat="false" ht="15" hidden="false" customHeight="false" outlineLevel="0" collapsed="false">
      <c r="N71" s="76"/>
    </row>
    <row r="72" customFormat="false" ht="15" hidden="false" customHeight="false" outlineLevel="0" collapsed="false">
      <c r="N72" s="76"/>
    </row>
    <row r="73" customFormat="false" ht="15" hidden="false" customHeight="false" outlineLevel="0" collapsed="false">
      <c r="N73" s="76"/>
    </row>
    <row r="74" customFormat="false" ht="15" hidden="false" customHeight="false" outlineLevel="0" collapsed="false">
      <c r="N74" s="76"/>
    </row>
    <row r="75" customFormat="false" ht="15" hidden="false" customHeight="false" outlineLevel="0" collapsed="false">
      <c r="N75" s="76"/>
    </row>
    <row r="76" customFormat="false" ht="15" hidden="false" customHeight="false" outlineLevel="0" collapsed="false">
      <c r="N76" s="76"/>
    </row>
    <row r="77" customFormat="false" ht="15" hidden="false" customHeight="false" outlineLevel="0" collapsed="false">
      <c r="A77" s="296" t="s">
        <v>384</v>
      </c>
      <c r="B77" s="296"/>
      <c r="N77" s="76"/>
    </row>
    <row r="78" customFormat="false" ht="15" hidden="false" customHeight="false" outlineLevel="0" collapsed="false">
      <c r="A78" s="297" t="s">
        <v>385</v>
      </c>
      <c r="B78" s="297" t="s">
        <v>8</v>
      </c>
      <c r="N78" s="76"/>
    </row>
    <row r="79" customFormat="false" ht="15" hidden="false" customHeight="false" outlineLevel="0" collapsed="false">
      <c r="A79" s="298" t="n">
        <v>0</v>
      </c>
      <c r="B79" s="299" t="s">
        <v>386</v>
      </c>
      <c r="N79" s="76"/>
    </row>
    <row r="80" customFormat="false" ht="15" hidden="false" customHeight="false" outlineLevel="0" collapsed="false">
      <c r="A80" s="298" t="n">
        <v>-2</v>
      </c>
      <c r="B80" s="299" t="s">
        <v>387</v>
      </c>
      <c r="N80" s="76"/>
    </row>
    <row r="81" customFormat="false" ht="15" hidden="false" customHeight="false" outlineLevel="0" collapsed="false">
      <c r="A81" s="298" t="n">
        <v>8.5</v>
      </c>
      <c r="B81" s="299" t="s">
        <v>388</v>
      </c>
      <c r="N81" s="76"/>
    </row>
    <row r="82" customFormat="false" ht="15" hidden="false" customHeight="false" outlineLevel="0" collapsed="false">
      <c r="A82" s="298" t="n">
        <v>14.5</v>
      </c>
      <c r="B82" s="299" t="s">
        <v>389</v>
      </c>
      <c r="N82" s="76"/>
    </row>
    <row r="83" customFormat="false" ht="15" hidden="false" customHeight="false" outlineLevel="0" collapsed="false">
      <c r="A83" s="298" t="n">
        <v>8.5</v>
      </c>
      <c r="B83" s="299" t="s">
        <v>390</v>
      </c>
      <c r="N83" s="76"/>
    </row>
    <row r="84" customFormat="false" ht="15" hidden="false" customHeight="false" outlineLevel="0" collapsed="false">
      <c r="A84" s="298" t="n">
        <v>10</v>
      </c>
      <c r="B84" s="299" t="s">
        <v>391</v>
      </c>
      <c r="N84" s="76"/>
    </row>
    <row r="85" customFormat="false" ht="15" hidden="false" customHeight="false" outlineLevel="0" collapsed="false">
      <c r="A85" s="298" t="n">
        <v>-7.5</v>
      </c>
      <c r="B85" s="299" t="s">
        <v>392</v>
      </c>
      <c r="N85" s="76"/>
    </row>
    <row r="86" customFormat="false" ht="15" hidden="false" customHeight="false" outlineLevel="0" collapsed="false">
      <c r="A86" s="298" t="n">
        <v>2</v>
      </c>
      <c r="B86" s="299" t="s">
        <v>393</v>
      </c>
      <c r="N86" s="76"/>
    </row>
    <row r="87" customFormat="false" ht="15" hidden="false" customHeight="false" outlineLevel="0" collapsed="false">
      <c r="A87" s="300" t="n">
        <v>2</v>
      </c>
      <c r="B87" s="301" t="s">
        <v>394</v>
      </c>
      <c r="N87" s="76"/>
    </row>
    <row r="88" customFormat="false" ht="15" hidden="false" customHeight="false" outlineLevel="0" collapsed="false">
      <c r="A88" s="300" t="n">
        <v>2.25</v>
      </c>
      <c r="B88" s="301" t="s">
        <v>395</v>
      </c>
    </row>
    <row r="89" customFormat="false" ht="15" hidden="false" customHeight="false" outlineLevel="0" collapsed="false">
      <c r="A89" s="300" t="n">
        <v>-4</v>
      </c>
      <c r="B89" s="302" t="s">
        <v>396</v>
      </c>
    </row>
    <row r="90" customFormat="false" ht="15" hidden="false" customHeight="false" outlineLevel="0" collapsed="false">
      <c r="A90" s="300" t="n">
        <v>-7.5</v>
      </c>
      <c r="B90" s="301" t="s">
        <v>397</v>
      </c>
    </row>
  </sheetData>
  <mergeCells count="1">
    <mergeCell ref="A77:B77"/>
  </mergeCells>
  <conditionalFormatting sqref="G4:G29">
    <cfRule type="expression" priority="2" aboveAverage="0" equalAverage="0" bottom="0" percent="0" rank="0" text="" dxfId="782">
      <formula>L4="O"</formula>
    </cfRule>
    <cfRule type="expression" priority="3" aboveAverage="0" equalAverage="0" bottom="0" percent="0" rank="0" text="" dxfId="783">
      <formula>H4=0</formula>
    </cfRule>
  </conditionalFormatting>
  <conditionalFormatting sqref="F4:F29">
    <cfRule type="expression" priority="4" aboveAverage="0" equalAverage="0" bottom="0" percent="0" rank="0" text="" dxfId="784">
      <formula>L4="O"</formula>
    </cfRule>
  </conditionalFormatting>
  <conditionalFormatting sqref="E4:E29">
    <cfRule type="expression" priority="5" aboveAverage="0" equalAverage="0" bottom="0" percent="0" rank="0" text="" dxfId="785">
      <formula>L4="O"</formula>
    </cfRule>
  </conditionalFormatting>
  <conditionalFormatting sqref="C4:I29 K4:K29">
    <cfRule type="containsText" priority="6" operator="containsText" aboveAverage="0" equalAverage="0" bottom="0" percent="0" rank="0" text="Lundi" dxfId="693">
      <formula>NOT(ISERROR(SEARCH("Lundi",C4)))</formula>
    </cfRule>
  </conditionalFormatting>
  <conditionalFormatting sqref="D4:D29">
    <cfRule type="expression" priority="7" aboveAverage="0" equalAverage="0" bottom="0" percent="0" rank="0" text="" dxfId="786">
      <formula>L4="O"</formula>
    </cfRule>
  </conditionalFormatting>
  <conditionalFormatting sqref="C4:C29">
    <cfRule type="expression" priority="8" aboveAverage="0" equalAverage="0" bottom="0" percent="0" rank="0" text="" dxfId="787">
      <formula>L4="O"</formula>
    </cfRule>
  </conditionalFormatting>
  <conditionalFormatting sqref="K4:K29">
    <cfRule type="expression" priority="9" aboveAverage="0" equalAverage="0" bottom="0" percent="0" rank="0" text="" dxfId="788">
      <formula>L4="O"</formula>
    </cfRule>
  </conditionalFormatting>
  <conditionalFormatting sqref="I4:I29">
    <cfRule type="expression" priority="10" aboveAverage="0" equalAverage="0" bottom="0" percent="0" rank="0" text="" dxfId="789">
      <formula>L4="O"</formula>
    </cfRule>
  </conditionalFormatting>
  <conditionalFormatting sqref="H4:H29">
    <cfRule type="expression" priority="11" aboveAverage="0" equalAverage="0" bottom="0" percent="0" rank="0" text="" dxfId="790">
      <formula>L4="O"</formula>
    </cfRule>
  </conditionalFormatting>
  <conditionalFormatting sqref="F2:J2">
    <cfRule type="iconSet" priority="12">
      <iconSet iconSet="3TrafficLights1">
        <cfvo type="percent" val="0"/>
        <cfvo type="percent" val="33"/>
        <cfvo type="percent" val="67"/>
      </iconSet>
    </cfRule>
  </conditionalFormatting>
  <conditionalFormatting sqref="B4:B29">
    <cfRule type="containsText" priority="13" operator="containsText" aboveAverage="0" equalAverage="0" bottom="0" percent="0" rank="0" text="5" dxfId="791">
      <formula>NOT(ISERROR(SEARCH("5",B4)))</formula>
    </cfRule>
    <cfRule type="containsText" priority="14" operator="containsText" aboveAverage="0" equalAverage="0" bottom="0" percent="0" rank="0" text="4" dxfId="792">
      <formula>NOT(ISERROR(SEARCH("4",B4)))</formula>
    </cfRule>
    <cfRule type="containsText" priority="15" operator="containsText" aboveAverage="0" equalAverage="0" bottom="0" percent="0" rank="0" text="3" dxfId="793">
      <formula>NOT(ISERROR(SEARCH("3",B4)))</formula>
    </cfRule>
    <cfRule type="containsText" priority="16" operator="containsText" aboveAverage="0" equalAverage="0" bottom="0" percent="0" rank="0" text="2" dxfId="794">
      <formula>NOT(ISERROR(SEARCH("2",B4)))</formula>
    </cfRule>
    <cfRule type="containsText" priority="17" operator="containsText" aboveAverage="0" equalAverage="0" bottom="0" percent="0" rank="0" text="1" dxfId="795">
      <formula>NOT(ISERROR(SEARCH("1",B4)))</formula>
    </cfRule>
  </conditionalFormatting>
  <conditionalFormatting sqref="I46:I53">
    <cfRule type="dataBar" priority="18">
      <dataBar showValue="1" minLength="10" maxLength="90">
        <cfvo type="min" val="0"/>
        <cfvo type="max" val="0"/>
        <color rgb="FFFFB628"/>
      </dataBar>
      <extLst>
        <ext xmlns:x14="http://schemas.microsoft.com/office/spreadsheetml/2009/9/main" uri="{B025F937-C7B1-47D3-B67F-A62EFF666E3E}">
          <x14:id>{1E55B069-F71B-46E8-85E9-59E61C22631D}</x14:id>
        </ext>
      </extLst>
    </cfRule>
  </conditionalFormatting>
  <conditionalFormatting sqref="I42:I43 J37:J41">
    <cfRule type="dataBar" priority="19">
      <dataBar showValue="1" minLength="10" maxLength="90">
        <cfvo type="min" val="0"/>
        <cfvo type="max" val="0"/>
        <color rgb="FFFFB628"/>
      </dataBar>
      <extLst>
        <ext xmlns:x14="http://schemas.microsoft.com/office/spreadsheetml/2009/9/main" uri="{B025F937-C7B1-47D3-B67F-A62EFF666E3E}">
          <x14:id>{9BE17ED3-3881-4CF3-9240-4350E29C9B7E}</x14:id>
        </ext>
      </extLst>
    </cfRule>
  </conditionalFormatting>
  <conditionalFormatting sqref="U2:AG2">
    <cfRule type="dataBar" priority="20">
      <dataBar showValue="1" minLength="10" maxLength="90">
        <cfvo type="min" val="0"/>
        <cfvo type="max" val="0"/>
        <color rgb="FF63C384"/>
      </dataBar>
      <extLst>
        <ext xmlns:x14="http://schemas.microsoft.com/office/spreadsheetml/2009/9/main" uri="{B025F937-C7B1-47D3-B67F-A62EFF666E3E}">
          <x14:id>{514960E6-A5EF-4EA5-81C6-70C4997D5D69}</x14:id>
        </ext>
      </extLst>
    </cfRule>
  </conditionalFormatting>
  <conditionalFormatting sqref="N2:T2">
    <cfRule type="dataBar" priority="21">
      <dataBar showValue="1" minLength="10" maxLength="90">
        <cfvo type="min" val="0"/>
        <cfvo type="max" val="0"/>
        <color rgb="FFFFB628"/>
      </dataBar>
      <extLst>
        <ext xmlns:x14="http://schemas.microsoft.com/office/spreadsheetml/2009/9/main" uri="{B025F937-C7B1-47D3-B67F-A62EFF666E3E}">
          <x14:id>{38B644F5-2E40-4A7A-BA88-9EA164B310D9}</x14:id>
        </ext>
      </extLst>
    </cfRule>
  </conditionalFormatting>
  <conditionalFormatting sqref="N2:AG2">
    <cfRule type="dataBar" priority="22">
      <dataBar showValue="1" minLength="10" maxLength="90">
        <cfvo type="min" val="0"/>
        <cfvo type="max" val="0"/>
        <color rgb="FFFFB628"/>
      </dataBar>
      <extLst>
        <ext xmlns:x14="http://schemas.microsoft.com/office/spreadsheetml/2009/9/main" uri="{B025F937-C7B1-47D3-B67F-A62EFF666E3E}">
          <x14:id>{A6F7AA45-7F3A-43CE-A047-FCAA5A6AE76C}</x14:id>
        </ext>
      </extLst>
    </cfRule>
  </conditionalFormatting>
  <conditionalFormatting sqref="N2:S2">
    <cfRule type="dataBar" priority="23">
      <dataBar showValue="1" minLength="10" maxLength="90">
        <cfvo type="min" val="0"/>
        <cfvo type="max" val="0"/>
        <color rgb="FF638EC6"/>
      </dataBar>
      <extLst>
        <ext xmlns:x14="http://schemas.microsoft.com/office/spreadsheetml/2009/9/main" uri="{B025F937-C7B1-47D3-B67F-A62EFF666E3E}">
          <x14:id>{98945DE6-A445-4FF2-984E-88FD17F2D3D0}</x14:id>
        </ext>
      </extLst>
    </cfRule>
  </conditionalFormatting>
  <conditionalFormatting sqref="T2">
    <cfRule type="dataBar" priority="24">
      <dataBar showValue="1" minLength="10" maxLength="90">
        <cfvo type="min" val="0"/>
        <cfvo type="max" val="0"/>
        <color rgb="FF63C384"/>
      </dataBar>
      <extLst>
        <ext xmlns:x14="http://schemas.microsoft.com/office/spreadsheetml/2009/9/main" uri="{B025F937-C7B1-47D3-B67F-A62EFF666E3E}">
          <x14:id>{1B96AAD2-E0C0-4D38-84E0-D46F42EB792E}</x14:id>
        </ext>
      </extLst>
    </cfRule>
  </conditionalFormatting>
  <conditionalFormatting sqref="A4:A29">
    <cfRule type="colorScale" priority="25">
      <colorScale>
        <cfvo type="min" val="0"/>
        <cfvo type="percentile" val="50"/>
        <cfvo type="max" val="0"/>
        <color rgb="FFFFCC99"/>
        <color rgb="FFFFD966"/>
        <color rgb="FFFFF2CC"/>
      </colorScale>
    </cfRule>
  </conditionalFormatting>
  <conditionalFormatting sqref="J4:J29">
    <cfRule type="iconSet" priority="26">
      <iconSet iconSet="3TrafficLights1">
        <cfvo type="percent" val="0"/>
        <cfvo type="percent" val="33"/>
        <cfvo type="percent" val="67"/>
      </iconSet>
    </cfRule>
  </conditionalFormatting>
  <dataValidations count="4">
    <dataValidation allowBlank="true" errorStyle="stop" operator="between" showDropDown="false" showErrorMessage="true" showInputMessage="true" sqref="B1" type="list">
      <formula1>Data!$A$2:$A$106</formula1>
      <formula2>0</formula2>
    </dataValidation>
    <dataValidation allowBlank="true" errorStyle="information" errorTitle="OK ?" operator="between" showDropDown="false" showErrorMessage="true" showInputMessage="true" sqref="F4:F29" type="list">
      <formula1>Data!$D$2:$D$16</formula1>
      <formula2>0</formula2>
    </dataValidation>
    <dataValidation allowBlank="false" errorStyle="stop" operator="between" showDropDown="false" showErrorMessage="true" showInputMessage="true" sqref="E4:E29" type="list">
      <formula1>Data!$E$2:$E$30</formula1>
      <formula2>0</formula2>
    </dataValidation>
    <dataValidation allowBlank="true" errorStyle="stop" operator="between" showDropDown="false" showErrorMessage="true" showInputMessage="true" sqref="B4:B29" type="list">
      <formula1>Data!$C$2:$C$8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  <tablePart r:id="rId2"/>
    <tablePart r:id="rId3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E55B069-F71B-46E8-85E9-59E61C22631D}">
            <x14:dataBar minLength="10" maxLength="90" axisPosition="automatic" gradient="true">
              <x14:cfvo type="autoMin"/>
              <x14:cfvo type="autoMax"/>
              <x14:negativeFillColor rgb="FFFF0000"/>
              <x14:axisColor rgb="FF000000"/>
            </x14:dataBar>
          </x14:cfRule>
          <xm:sqref>I46:I53</xm:sqref>
        </x14:conditionalFormatting>
        <x14:conditionalFormatting xmlns:xm="http://schemas.microsoft.com/office/excel/2006/main">
          <x14:cfRule type="dataBar" id="{9BE17ED3-3881-4CF3-9240-4350E29C9B7E}">
            <x14:dataBar minLength="10" maxLength="90" axisPosition="automatic" gradient="true">
              <x14:cfvo type="autoMin"/>
              <x14:cfvo type="autoMax"/>
              <x14:negativeFillColor rgb="FFFF0000"/>
              <x14:axisColor rgb="FF000000"/>
            </x14:dataBar>
          </x14:cfRule>
          <xm:sqref>I42:I43 J37:J41</xm:sqref>
        </x14:conditionalFormatting>
        <x14:conditionalFormatting xmlns:xm="http://schemas.microsoft.com/office/excel/2006/main">
          <x14:cfRule type="dataBar" id="{514960E6-A5EF-4EA5-81C6-70C4997D5D69}">
            <x14:dataBar minLength="10" maxLength="90" axisPosition="automatic" gradient="true">
              <x14:cfvo type="autoMin"/>
              <x14:cfvo type="autoMax"/>
              <x14:negativeFillColor rgb="FFFF0000"/>
              <x14:axisColor rgb="FF000000"/>
            </x14:dataBar>
          </x14:cfRule>
          <xm:sqref>U2:AG2</xm:sqref>
        </x14:conditionalFormatting>
        <x14:conditionalFormatting xmlns:xm="http://schemas.microsoft.com/office/excel/2006/main">
          <x14:cfRule type="dataBar" id="{38B644F5-2E40-4A7A-BA88-9EA164B310D9}">
            <x14:dataBar minLength="10" maxLength="90" axisPosition="automatic" gradient="true">
              <x14:cfvo type="autoMin"/>
              <x14:cfvo type="autoMax"/>
              <x14:negativeFillColor rgb="FFFF0000"/>
              <x14:axisColor rgb="FF000000"/>
            </x14:dataBar>
          </x14:cfRule>
          <xm:sqref>N2:T2</xm:sqref>
        </x14:conditionalFormatting>
        <x14:conditionalFormatting xmlns:xm="http://schemas.microsoft.com/office/excel/2006/main">
          <x14:cfRule type="dataBar" id="{A6F7AA45-7F3A-43CE-A047-FCAA5A6AE76C}">
            <x14:dataBar minLength="10" maxLength="90" axisPosition="automatic" gradient="false">
              <x14:cfvo type="autoMin"/>
              <x14:cfvo type="autoMax"/>
              <x14:negativeFillColor rgb="FFFF0000"/>
              <x14:axisColor rgb="FF000000"/>
            </x14:dataBar>
          </x14:cfRule>
          <xm:sqref>N2:AG2</xm:sqref>
        </x14:conditionalFormatting>
        <x14:conditionalFormatting xmlns:xm="http://schemas.microsoft.com/office/excel/2006/main">
          <x14:cfRule type="dataBar" id="{98945DE6-A445-4FF2-984E-88FD17F2D3D0}">
            <x14:dataBar minLength="10" maxLength="90" axisPosition="automatic" gradient="false">
              <x14:cfvo type="autoMin"/>
              <x14:cfvo type="autoMax"/>
              <x14:negativeFillColor rgb="FFFF0000"/>
              <x14:axisColor rgb="FF000000"/>
            </x14:dataBar>
          </x14:cfRule>
          <xm:sqref>N2:S2</xm:sqref>
        </x14:conditionalFormatting>
        <x14:conditionalFormatting xmlns:xm="http://schemas.microsoft.com/office/excel/2006/main">
          <x14:cfRule type="dataBar" id="{1B96AAD2-E0C0-4D38-84E0-D46F42EB792E}">
            <x14:dataBar minLength="10" maxLength="90" axisPosition="automatic" gradient="false">
              <x14:cfvo type="autoMin"/>
              <x14:cfvo type="autoMax"/>
              <x14:negativeFillColor rgb="FFFF0000"/>
              <x14:axisColor rgb="FF000000"/>
            </x14:dataBar>
          </x14:cfRule>
          <xm:sqref>T2</xm:sqref>
        </x14:conditionalFormatting>
      </x14:conditionalFormatting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10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1" outlineLevelCol="1"/>
  <cols>
    <col collapsed="false" customWidth="true" hidden="false" outlineLevel="0" max="1" min="1" style="0" width="16.57"/>
    <col collapsed="false" customWidth="true" hidden="false" outlineLevel="0" max="2" min="2" style="0" width="17.71"/>
    <col collapsed="false" customWidth="true" hidden="false" outlineLevel="0" max="3" min="3" style="0" width="14.14"/>
    <col collapsed="false" customWidth="true" hidden="false" outlineLevel="0" max="4" min="4" style="0" width="10.57"/>
    <col collapsed="false" customWidth="true" hidden="false" outlineLevel="0" max="5" min="5" style="0" width="24.42"/>
    <col collapsed="false" customWidth="true" hidden="false" outlineLevel="0" max="6" min="6" style="0" width="19.71"/>
    <col collapsed="false" customWidth="true" hidden="false" outlineLevel="0" max="7" min="7" style="0" width="29.71"/>
    <col collapsed="false" customWidth="true" hidden="false" outlineLevel="0" max="8" min="8" style="0" width="13.29"/>
    <col collapsed="false" customWidth="true" hidden="false" outlineLevel="0" max="9" min="9" style="0" width="15"/>
    <col collapsed="false" customWidth="true" hidden="false" outlineLevel="0" max="11" min="10" style="0" width="16.14"/>
    <col collapsed="false" customWidth="true" hidden="false" outlineLevel="0" max="12" min="12" style="0" width="7.71"/>
    <col collapsed="false" customWidth="true" hidden="false" outlineLevel="0" max="13" min="13" style="224" width="9.86"/>
    <col collapsed="false" customWidth="true" hidden="false" outlineLevel="1" max="14" min="14" style="0" width="10.29"/>
    <col collapsed="false" customWidth="true" hidden="false" outlineLevel="1" max="15" min="15" style="0" width="9.57"/>
    <col collapsed="false" customWidth="true" hidden="false" outlineLevel="1" max="16" min="16" style="0" width="8.57"/>
    <col collapsed="false" customWidth="true" hidden="false" outlineLevel="1" max="18" min="17" style="0" width="7.29"/>
    <col collapsed="false" customWidth="true" hidden="false" outlineLevel="1" max="19" min="19" style="0" width="8.57"/>
    <col collapsed="false" customWidth="true" hidden="false" outlineLevel="1" max="20" min="20" style="0" width="7.71"/>
    <col collapsed="false" customWidth="true" hidden="false" outlineLevel="1" max="21" min="21" style="0" width="12"/>
    <col collapsed="false" customWidth="true" hidden="false" outlineLevel="1" max="22" min="22" style="0" width="10.14"/>
    <col collapsed="false" customWidth="true" hidden="false" outlineLevel="1" max="23" min="23" style="0" width="11.71"/>
    <col collapsed="false" customWidth="true" hidden="false" outlineLevel="1" max="24" min="24" style="0" width="12.71"/>
    <col collapsed="false" customWidth="true" hidden="false" outlineLevel="1" max="25" min="25" style="0" width="8.57"/>
    <col collapsed="false" customWidth="true" hidden="false" outlineLevel="1" max="26" min="26" style="0" width="7.29"/>
    <col collapsed="false" customWidth="true" hidden="false" outlineLevel="1" max="27" min="27" style="0" width="9.71"/>
    <col collapsed="false" customWidth="true" hidden="false" outlineLevel="1" max="28" min="28" style="0" width="11.43"/>
    <col collapsed="false" customWidth="true" hidden="false" outlineLevel="1" max="29" min="29" style="0" width="10"/>
    <col collapsed="false" customWidth="true" hidden="false" outlineLevel="1" max="30" min="30" style="0" width="9.86"/>
    <col collapsed="false" customWidth="true" hidden="false" outlineLevel="1" max="31" min="31" style="0" width="7.86"/>
    <col collapsed="false" customWidth="true" hidden="false" outlineLevel="1" max="32" min="32" style="0" width="18.71"/>
    <col collapsed="false" customWidth="true" hidden="false" outlineLevel="1" max="33" min="33" style="0" width="27.15"/>
    <col collapsed="false" customWidth="true" hidden="false" outlineLevel="1" max="34" min="34" style="0" width="5.42"/>
  </cols>
  <sheetData>
    <row r="1" customFormat="false" ht="22.05" hidden="false" customHeight="false" outlineLevel="0" collapsed="false">
      <c r="A1" s="225" t="str">
        <f aca="false">"Semaine du " &amp; Data!D41</f>
        <v>Semaine du </v>
      </c>
      <c r="B1" s="226" t="n">
        <v>44277</v>
      </c>
      <c r="C1" s="227"/>
      <c r="D1" s="321" t="s">
        <v>361</v>
      </c>
      <c r="E1" s="322" t="n">
        <f aca="false">AVERAGE(F2:J2)</f>
        <v>8</v>
      </c>
      <c r="F1" s="323" t="s">
        <v>0</v>
      </c>
      <c r="G1" s="324" t="s">
        <v>1</v>
      </c>
      <c r="H1" s="324" t="s">
        <v>2</v>
      </c>
      <c r="I1" s="324" t="s">
        <v>3</v>
      </c>
      <c r="J1" s="324" t="s">
        <v>4</v>
      </c>
      <c r="K1" s="325" t="s">
        <v>401</v>
      </c>
      <c r="L1" s="234" t="n">
        <f aca="false">COUNTIF(Horodateur1123353819223134374346495255586164698522263438465058546266707478829098941021061141181101221261301341381421461501541581621661701741781821861901941982022062102144101418222630343846[O],"o")+ COUNTIF(Horodateur1123353819223134374346495255586164698522263438465058546266707478829098941021061141181101221261301341381421461501541581621661701741781821861901941982022062102144101418222630343846[O],".")</f>
        <v>45</v>
      </c>
      <c r="M1" s="128" t="n">
        <f aca="false">B2</f>
        <v>40</v>
      </c>
      <c r="N1" s="131" t="s">
        <v>21</v>
      </c>
      <c r="O1" s="130" t="s">
        <v>20</v>
      </c>
      <c r="P1" s="130" t="s">
        <v>23</v>
      </c>
      <c r="Q1" s="130" t="s">
        <v>25</v>
      </c>
      <c r="R1" s="130" t="s">
        <v>26</v>
      </c>
      <c r="S1" s="130" t="s">
        <v>378</v>
      </c>
      <c r="T1" s="130" t="s">
        <v>380</v>
      </c>
      <c r="U1" s="136" t="s">
        <v>32</v>
      </c>
      <c r="V1" s="136" t="s">
        <v>69</v>
      </c>
      <c r="W1" s="136" t="s">
        <v>66</v>
      </c>
      <c r="X1" s="136" t="s">
        <v>47</v>
      </c>
      <c r="Y1" s="136" t="s">
        <v>68</v>
      </c>
      <c r="Z1" s="136" t="s">
        <v>41</v>
      </c>
      <c r="AA1" s="136" t="s">
        <v>61</v>
      </c>
      <c r="AB1" s="136" t="s">
        <v>74</v>
      </c>
      <c r="AC1" s="136" t="s">
        <v>37</v>
      </c>
      <c r="AD1" s="136" t="s">
        <v>77</v>
      </c>
      <c r="AE1" s="136" t="s">
        <v>45</v>
      </c>
      <c r="AF1" s="136" t="s">
        <v>78</v>
      </c>
      <c r="AG1" s="136" t="s">
        <v>79</v>
      </c>
      <c r="AH1" s="87" t="str">
        <f aca="false">SUM(M4:M48) &amp; " / " &amp; B2-SUM(M4:M48)</f>
        <v>40 / 0</v>
      </c>
    </row>
    <row r="2" customFormat="false" ht="22.05" hidden="false" customHeight="false" outlineLevel="0" collapsed="false">
      <c r="A2" s="327" t="n">
        <f aca="false">SUM(Horodateur1123353819223134374346495255586164698522263438465058546266707478829098941021061141181101221261301341381421461501541581621661701741781821861901941982022062102144101418222630343846[Durée (60)])</f>
        <v>1.66666666666667</v>
      </c>
      <c r="B2" s="328" t="n">
        <f aca="false">SUM(Horodateur1123353819223134374346495255586164698522263438465058546266707478829098941021061141181101221261301341381421461501541581621661701741781821861901941982022062102144101418222630343846[Durée (100)])</f>
        <v>40</v>
      </c>
      <c r="C2" s="339" t="str">
        <f aca="false">M2</f>
        <v>40 / 0</v>
      </c>
      <c r="D2" s="238"/>
      <c r="E2" s="239"/>
      <c r="F2" s="329" t="n">
        <f aca="false">SUMIF(Horodateur1123353819223134374346495255586164698522263438465058546266707478829098941021061141181101221261301341381421461501541581621661701741781821861901941982022062102144101418222630343846[Jour],"1- Lundi",Horodateur1123353819223134374346495255586164698522263438465058546266707478829098941021061141181101221261301341381421461501541581621661701741781821861901941982022062102144101418222630343846[Durée (100)])</f>
        <v>8.5</v>
      </c>
      <c r="G2" s="330" t="n">
        <f aca="false">SUMIF(Horodateur1123353819223134374346495255586164698522263438465058546266707478829098941021061141181101221261301341381421461501541581621661701741781821861901941982022062102144101418222630343846[Jour],"2- Mardi",Horodateur1123353819223134374346495255586164698522263438465058546266707478829098941021061141181101221261301341381421461501541581621661701741781821861901941982022062102144101418222630343846[Durée (100)])</f>
        <v>8.25</v>
      </c>
      <c r="H2" s="330" t="n">
        <f aca="false">SUMIF(Horodateur1123353819223134374346495255586164698522263438465058546266707478829098941021061141181101221261301341381421461501541581621661701741781821861901941982022062102144101418222630343846[Jour],"3- Mercredi",Horodateur1123353819223134374346495255586164698522263438465058546266707478829098941021061141181101221261301341381421461501541581621661701741781821861901941982022062102144101418222630343846[Durée (100)])</f>
        <v>8.5</v>
      </c>
      <c r="I2" s="330" t="n">
        <f aca="false">SUMIF(Horodateur1123353819223134374346495255586164698522263438465058546266707478829098941021061141181101221261301341381421461501541581621661701741781821861901941982022062102144101418222630343846[Jour],"4- Jeudi",Horodateur1123353819223134374346495255586164698522263438465058546266707478829098941021061141181101221261301341381421461501541581621661701741781821861901941982022062102144101418222630343846[Durée (100)])</f>
        <v>8.25</v>
      </c>
      <c r="J2" s="330" t="n">
        <f aca="false">SUMIF(Horodateur1123353819223134374346495255586164698522263438465058546266707478829098941021061141181101221261301341381421461501541581621661701741781821861901941982022062102144101418222630343846[Jour],"5- Vendredi",Horodateur1123353819223134374346495255586164698522263438465058546266707478829098941021061141181101221261301341381421461501541581621661701741781821861901941982022062102144101418222630343846[Durée (100)])</f>
        <v>6.5</v>
      </c>
      <c r="K2" s="331" t="str">
        <f aca="false">ROUND(SUMIF(Horodateur1123353819223134374346495255586164698522263438465058546266707478829098941021061141181101221261301341381421461501541581621661701741781821861901941982022062102144101418222630343846[Jour],"6- Samedi",Horodateur1123353819223134374346495255586164698522263438465058546266707478829098941021061141181101221261301341381421461501541581621661701741781821861901941982022062102144101418222630343846[Durée (100)]),2) &amp;  "   /    " &amp;  ROUND(SUMIF(Horodateur1123353819223134374346495255586164698522263438465058546266707478829098941021061141181101221261301341381421461501541581621661701741781821861901941982022062102144101418222630343846[Jour],"7- Dimanche",Horodateur1123353819223134374346495255586164698522263438465058546266707478829098941021061141181101221261301341381421461501541581621661701741781821861901941982022062102144101418222630343846[Durée (100)]),2)</f>
        <v>0   /    0</v>
      </c>
      <c r="L2" s="244" t="str">
        <f aca="false">COUNTIF(Horodateur1123353819223134374346495255586164698522263438465058546266707478829098941021061141181101221261301341381421461501541581621661701741781821861901941982022062102144101418222630343846[O],"o")&amp;" / " &amp;  COUNTIF(Horodateur1123353819223134374346495255586164698522263438465058546266707478829098941021061141181101221261301341381421461501541581621661701741781821861901941982022062102144101418222630343846[O],".")</f>
        <v>45 / 0</v>
      </c>
      <c r="M2" s="143" t="str">
        <f aca="false">SUM(M4:M48) &amp; " / " &amp; B2-SUM(M4:M48)</f>
        <v>40 / 0</v>
      </c>
      <c r="N2" s="248" t="n">
        <f aca="false">SUMIF(Horodateur1123353819223134374346495255586164698522263438465058546266707478829098941021061141181101221261301341381421461501541581621661701741781821861901941982022062102144101418222630343846[Tâche],N$1,Horodateur1123353819223134374346495255586164698522263438465058546266707478829098941021061141181101221261301341381421461501541581621661701741781821861901941982022062102144101418222630343846[Durée (100)])</f>
        <v>2.75</v>
      </c>
      <c r="O2" s="247" t="n">
        <f aca="false">SUMIF(Horodateur1123353819223134374346495255586164698522263438465058546266707478829098941021061141181101221261301341381421461501541581621661701741781821861901941982022062102144101418222630343846[Tâche],O$1,Horodateur1123353819223134374346495255586164698522263438465058546266707478829098941021061141181101221261301341381421461501541581621661701741781821861901941982022062102144101418222630343846[Durée (100)])</f>
        <v>0.500000000000001</v>
      </c>
      <c r="P2" s="247" t="n">
        <f aca="false">SUMIF(Horodateur1123353819223134374346495255586164698522263438465058546266707478829098941021061141181101221261301341381421461501541581621661701741781821861901941982022062102144101418222630343846[Tâche],P$1,Horodateur1123353819223134374346495255586164698522263438465058546266707478829098941021061141181101221261301341381421461501541581621661701741781821861901941982022062102144101418222630343846[Durée (100)])</f>
        <v>2</v>
      </c>
      <c r="Q2" s="247" t="n">
        <f aca="false">SUMIF(Horodateur1123353819223134374346495255586164698522263438465058546266707478829098941021061141181101221261301341381421461501541581621661701741781821861901941982022062102144101418222630343846[Tâche],Q$1,Horodateur1123353819223134374346495255586164698522263438465058546266707478829098941021061141181101221261301341381421461501541581621661701741781821861901941982022062102144101418222630343846[Durée (100)])</f>
        <v>0</v>
      </c>
      <c r="R2" s="247" t="n">
        <f aca="false">SUMIF(Horodateur1123353819223134374346495255586164698522263438465058546266707478829098941021061141181101221261301341381421461501541581621661701741781821861901941982022062102144101418222630343846[Tâche],R$1,Horodateur1123353819223134374346495255586164698522263438465058546266707478829098941021061141181101221261301341381421461501541581621661701741781821861901941982022062102144101418222630343846[Durée (100)])</f>
        <v>0</v>
      </c>
      <c r="S2" s="247" t="n">
        <f aca="false">SUMIF(Horodateur1123353819223134374346495255586164698522263438465058546266707478829098941021061141181101221261301341381421461501541581621661701741781821861901941982022062102144101418222630343846[Tâche],S$1,Horodateur1123353819223134374346495255586164698522263438465058546266707478829098941021061141181101221261301341381421461501541581621661701741781821861901941982022062102144101418222630343846[Durée (100)])</f>
        <v>23.25</v>
      </c>
      <c r="T2" s="247" t="n">
        <f aca="false">SUMIF(Horodateur1123353819223134374346495255586164698522263438465058546266707478829098941021061141181101221261301341381421461501541581621661701741781821861901941982022062102144101418222630343846[Tâche],T$1,Horodateur1123353819223134374346495255586164698522263438465058546266707478829098941021061141181101221261301341381421461501541581621661701741781821861901941982022062102144101418222630343846[Durée (100)])</f>
        <v>0.500000000000001</v>
      </c>
      <c r="U2" s="151" t="n">
        <f aca="false">SUMIF(Horodateur1123353819223134374346495255586164698522263438465058546266707478829098941021061141181101221261301341381421461501541581621661701741781821861901941982022062102144101418222630343846[Client],U$1,Horodateur1123353819223134374346495255586164698522263438465058546266707478829098941021061141181101221261301341381421461501541581621661701741781821861901941982022062102144101418222630343846[Durée (100)])</f>
        <v>9.25</v>
      </c>
      <c r="V2" s="151" t="n">
        <f aca="false">SUMIF(Horodateur1123353819223134374346495255586164698522263438465058546266707478829098941021061141181101221261301341381421461501541581621661701741781821861901941982022062102144101418222630343846[Client],V$1,Horodateur1123353819223134374346495255586164698522263438465058546266707478829098941021061141181101221261301341381421461501541581621661701741781821861901941982022062102144101418222630343846[Durée (100)])</f>
        <v>0</v>
      </c>
      <c r="W2" s="151" t="n">
        <f aca="false">SUMIF(Horodateur1123353819223134374346495255586164698522263438465058546266707478829098941021061141181101221261301341381421461501541581621661701741781821861901941982022062102144101418222630343846[Client],W$1,Horodateur1123353819223134374346495255586164698522263438465058546266707478829098941021061141181101221261301341381421461501541581621661701741781821861901941982022062102144101418222630343846[Durée (100)])</f>
        <v>0</v>
      </c>
      <c r="X2" s="151" t="n">
        <f aca="false">SUMIF(Horodateur1123353819223134374346495255586164698522263438465058546266707478829098941021061141181101221261301341381421461501541581621661701741781821861901941982022062102144101418222630343846[Client],X$1,Horodateur1123353819223134374346495255586164698522263438465058546266707478829098941021061141181101221261301341381421461501541581621661701741781821861901941982022062102144101418222630343846[Durée (100)])</f>
        <v>0</v>
      </c>
      <c r="Y2" s="151" t="n">
        <f aca="false">SUMIF(Horodateur1123353819223134374346495255586164698522263438465058546266707478829098941021061141181101221261301341381421461501541581621661701741781821861901941982022062102144101418222630343846[Client],Y$1,Horodateur1123353819223134374346495255586164698522263438465058546266707478829098941021061141181101221261301341381421461501541581621661701741781821861901941982022062102144101418222630343846[Durée (100)])</f>
        <v>0</v>
      </c>
      <c r="Z2" s="151" t="n">
        <f aca="false">SUMIF(Horodateur1123353819223134374346495255586164698522263438465058546266707478829098941021061141181101221261301341381421461501541581621661701741781821861901941982022062102144101418222630343846[Client],Z$1,Horodateur1123353819223134374346495255586164698522263438465058546266707478829098941021061141181101221261301341381421461501541581621661701741781821861901941982022062102144101418222630343846[Durée (100)])</f>
        <v>0</v>
      </c>
      <c r="AA2" s="151" t="n">
        <f aca="false">SUMIF(Horodateur1123353819223134374346495255586164698522263438465058546266707478829098941021061141181101221261301341381421461501541581621661701741781821861901941982022062102144101418222630343846[Client],AA$1,Horodateur1123353819223134374346495255586164698522263438465058546266707478829098941021061141181101221261301341381421461501541581621661701741781821861901941982022062102144101418222630343846[Durée (100)])</f>
        <v>0.500000000000001</v>
      </c>
      <c r="AB2" s="151" t="n">
        <f aca="false">SUMIF(Horodateur1123353819223134374346495255586164698522263438465058546266707478829098941021061141181101221261301341381421461501541581621661701741781821861901941982022062102144101418222630343846[Client],AB$1,Horodateur1123353819223134374346495255586164698522263438465058546266707478829098941021061141181101221261301341381421461501541581621661701741781821861901941982022062102144101418222630343846[Durée (100)])</f>
        <v>0</v>
      </c>
      <c r="AC2" s="151" t="n">
        <f aca="false">SUMIF(Horodateur1123353819223134374346495255586164698522263438465058546266707478829098941021061141181101221261301341381421461501541581621661701741781821861901941982022062102144101418222630343846[Client],AC$1,Horodateur1123353819223134374346495255586164698522263438465058546266707478829098941021061141181101221261301341381421461501541581621661701741781821861901941982022062102144101418222630343846[Durée (100)])</f>
        <v>3.75</v>
      </c>
      <c r="AD2" s="151" t="n">
        <f aca="false">SUMIF(Horodateur1123353819223134374346495255586164698522263438465058546266707478829098941021061141181101221261301341381421461501541581621661701741781821861901941982022062102144101418222630343846[Client],AD$1,Horodateur1123353819223134374346495255586164698522263438465058546266707478829098941021061141181101221261301341381421461501541581621661701741781821861901941982022062102144101418222630343846[Durée (100)])</f>
        <v>0</v>
      </c>
      <c r="AE2" s="151" t="n">
        <f aca="false">SUMIF(Horodateur1123353819223134374346495255586164698522263438465058546266707478829098941021061141181101221261301341381421461501541581621661701741781821861901941982022062102144101418222630343846[Client],AE$1,Horodateur1123353819223134374346495255586164698522263438465058546266707478829098941021061141181101221261301341381421461501541581621661701741781821861901941982022062102144101418222630343846[Durée (100)])</f>
        <v>0</v>
      </c>
      <c r="AF2" s="151" t="n">
        <f aca="false">SUMIF(Horodateur1123353819223134374346495255586164698522263438465058546266707478829098941021061141181101221261301341381421461501541581621661701741781821861901941982022062102144101418222630343846[Client],AF$1,Horodateur1123353819223134374346495255586164698522263438465058546266707478829098941021061141181101221261301341381421461501541581621661701741781821861901941982022062102144101418222630343846[Durée (100)])</f>
        <v>0</v>
      </c>
      <c r="AG2" s="151" t="n">
        <f aca="false">SUMIF(Horodateur1123353819223134374346495255586164698522263438465058546266707478829098941021061141181101221261301341381421461501541581621661701741781821861901941982022062102144101418222630343846[Client],AG$1,Horodateur1123353819223134374346495255586164698522263438465058546266707478829098941021061141181101221261301341381421461501541581621661701741781821861901941982022062102144101418222630343846[Durée (100)])</f>
        <v>0</v>
      </c>
    </row>
    <row r="3" s="137" customFormat="true" ht="15" hidden="false" customHeight="false" outlineLevel="0" collapsed="false">
      <c r="A3" s="249" t="s">
        <v>8</v>
      </c>
      <c r="B3" s="249" t="s">
        <v>9</v>
      </c>
      <c r="C3" s="193" t="s">
        <v>10</v>
      </c>
      <c r="D3" s="193" t="s">
        <v>11</v>
      </c>
      <c r="E3" s="250" t="s">
        <v>12</v>
      </c>
      <c r="F3" s="250" t="s">
        <v>13</v>
      </c>
      <c r="G3" s="250" t="s">
        <v>14</v>
      </c>
      <c r="H3" s="193" t="s">
        <v>302</v>
      </c>
      <c r="I3" s="252" t="s">
        <v>364</v>
      </c>
      <c r="J3" s="253" t="s">
        <v>365</v>
      </c>
      <c r="K3" s="250" t="s">
        <v>402</v>
      </c>
      <c r="L3" s="255" t="s">
        <v>7</v>
      </c>
      <c r="M3" s="254" t="s">
        <v>29</v>
      </c>
      <c r="N3" s="153" t="n">
        <f aca="false">N2/$B$2</f>
        <v>0.06875</v>
      </c>
      <c r="O3" s="153" t="n">
        <f aca="false">O2/$B$2</f>
        <v>0.0125</v>
      </c>
      <c r="P3" s="153" t="n">
        <f aca="false">P2/$B$2</f>
        <v>0.05</v>
      </c>
      <c r="Q3" s="153" t="n">
        <f aca="false">Q2/$B$2</f>
        <v>0</v>
      </c>
      <c r="R3" s="153" t="n">
        <f aca="false">R2/$B$2</f>
        <v>0</v>
      </c>
      <c r="S3" s="153" t="n">
        <f aca="false">S2/$B$2</f>
        <v>0.58125</v>
      </c>
      <c r="T3" s="153" t="n">
        <f aca="false">T2/$B$2</f>
        <v>0.0125</v>
      </c>
      <c r="U3" s="153" t="n">
        <f aca="false">U2/$B$2</f>
        <v>0.23125</v>
      </c>
      <c r="V3" s="153" t="n">
        <f aca="false">V2/$B$2</f>
        <v>0</v>
      </c>
      <c r="W3" s="153" t="n">
        <f aca="false">W2/$B$2</f>
        <v>0</v>
      </c>
      <c r="X3" s="153" t="n">
        <f aca="false">X2/$B$2</f>
        <v>0</v>
      </c>
      <c r="Y3" s="153" t="n">
        <f aca="false">Y2/$B$2</f>
        <v>0</v>
      </c>
      <c r="Z3" s="153" t="n">
        <f aca="false">Z2/$B$2</f>
        <v>0</v>
      </c>
      <c r="AA3" s="153" t="n">
        <f aca="false">AA2/$B$2</f>
        <v>0.0125</v>
      </c>
      <c r="AB3" s="153" t="n">
        <f aca="false">AB2/$B$2</f>
        <v>0</v>
      </c>
      <c r="AC3" s="153" t="n">
        <f aca="false">AC2/$B$2</f>
        <v>0.09375</v>
      </c>
      <c r="AD3" s="153" t="n">
        <f aca="false">AD2/$B$2</f>
        <v>0</v>
      </c>
      <c r="AE3" s="153" t="n">
        <f aca="false">AE2/$B$2</f>
        <v>0</v>
      </c>
      <c r="AF3" s="153" t="n">
        <f aca="false">AF2/$B$2</f>
        <v>0</v>
      </c>
      <c r="AG3" s="153" t="n">
        <f aca="false">AG2/$B$2</f>
        <v>0</v>
      </c>
    </row>
    <row r="4" customFormat="false" ht="15" hidden="false" customHeight="false" outlineLevel="0" collapsed="false">
      <c r="A4" s="256" t="n">
        <f aca="false">IF(Horodateur1123353819223134374346495255586164698522263438465058546266707478829098941021061141181101221261301341381421461501541581621661701741781821861901941982022062102144101418222630343846[[#This Row],[Jour]]="1- Lundi",$B$1+1, IF(Horodateur1123353819223134374346495255586164698522263438465058546266707478829098941021061141181101221261301341381421461501541581621661701741781821861901941982022062102144101418222630343846[[#This Row],[Jour]]="2- Mardi",$B$1+2, IF(Horodateur1123353819223134374346495255586164698522263438465058546266707478829098941021061141181101221261301341381421461501541581621661701741781821861901941982022062102144101418222630343846[[#This Row],[Jour]]="3- Mercredi",$B$1+3, IF(Horodateur1123353819223134374346495255586164698522263438465058546266707478829098941021061141181101221261301341381421461501541581621661701741781821861901941982022062102144101418222630343846[[#This Row],[Jour]]="4- Jeudi",$B$1+4, IF(Horodateur1123353819223134374346495255586164698522263438465058546266707478829098941021061141181101221261301341381421461501541581621661701741781821861901941982022062102144101418222630343846[[#This Row],[Jour]]="5- Vendredi",$B$1+5, IF(Horodateur1123353819223134374346495255586164698522263438465058546266707478829098941021061141181101221261301341381421461501541581621661701741781821861901941982022062102144101418222630343846[[#This Row],[Jour]]="6- Samedi",$B$1+6, IF(Horodateur1123353819223134374346495255586164698522263438465058546266707478829098941021061141181101221261301341381421461501541581621661701741781821861901941982022062102144101418222630343846[[#This Row],[Jour]]="7- Dimanche",$B$1, )))))))</f>
        <v>44278</v>
      </c>
      <c r="B4" s="257" t="s">
        <v>312</v>
      </c>
      <c r="C4" s="258" t="n">
        <v>0.322916666666667</v>
      </c>
      <c r="D4" s="258" t="n">
        <v>0.364583333333333</v>
      </c>
      <c r="E4" s="71" t="s">
        <v>32</v>
      </c>
      <c r="F4" s="71" t="s">
        <v>21</v>
      </c>
      <c r="G4" s="259" t="s">
        <v>153</v>
      </c>
      <c r="H4" s="258" t="n">
        <f aca="false">IF($C4=0,"",$D4-$C4)</f>
        <v>0.0416666666666667</v>
      </c>
      <c r="I4" s="260" t="n">
        <f aca="false">IF($C4=0,"",($H4-INT($H4))*24)</f>
        <v>1</v>
      </c>
      <c r="J4" s="303" t="n">
        <f aca="false">SUMIF(Horodateur1123353819223134374346495255586164698522263438465058546266707478829098941021061141181101221261301341381421461501541581621661701741781821861901941982022062102144101418222630343846[Jour],$B4,Horodateur1123353819223134374346495255586164698522263438465058546266707478829098941021061141181101221261301341381421461501541581621661701741781821861901941982022062102144101418222630343846[Durée (100)])</f>
        <v>8.5</v>
      </c>
      <c r="K4" s="335"/>
      <c r="L4" s="188" t="s">
        <v>31</v>
      </c>
      <c r="M4" s="272" t="n">
        <f aca="false">IF(Horodateur1123353819223134374346495255586164698522263438465058546266707478829098941021061141181101221261301341381421461501541581621661701741781821861901941982022062102144101418222630343846[[#This Row],[O]]="o",Horodateur1123353819223134374346495255586164698522263438465058546266707478829098941021061141181101221261301341381421461501541581621661701741781821861901941982022062102144101418222630343846[[#This Row],[Durée (100)]],".")</f>
        <v>0.999999999999999</v>
      </c>
      <c r="N4" s="187"/>
      <c r="O4" s="71"/>
      <c r="P4" s="71"/>
      <c r="Q4" s="71"/>
      <c r="R4" s="71"/>
      <c r="S4" s="71"/>
      <c r="T4" s="71"/>
      <c r="U4" s="71"/>
      <c r="V4" s="71"/>
      <c r="W4" s="71"/>
      <c r="X4" s="71"/>
      <c r="Y4" s="71"/>
      <c r="Z4" s="71"/>
      <c r="AA4" s="71"/>
      <c r="AB4" s="71"/>
      <c r="AC4" s="71"/>
      <c r="AD4" s="71"/>
      <c r="AE4" s="71"/>
      <c r="AF4" s="71"/>
      <c r="AG4" s="71"/>
    </row>
    <row r="5" customFormat="false" ht="15" hidden="false" customHeight="false" outlineLevel="0" collapsed="false">
      <c r="A5" s="256" t="n">
        <f aca="false">IF(Horodateur1123353819223134374346495255586164698522263438465058546266707478829098941021061141181101221261301341381421461501541581621661701741781821861901941982022062102144101418222630343846[[#This Row],[Jour]]="1- Lundi",$B$1+1, IF(Horodateur1123353819223134374346495255586164698522263438465058546266707478829098941021061141181101221261301341381421461501541581621661701741781821861901941982022062102144101418222630343846[[#This Row],[Jour]]="2- Mardi",$B$1+2, IF(Horodateur1123353819223134374346495255586164698522263438465058546266707478829098941021061141181101221261301341381421461501541581621661701741781821861901941982022062102144101418222630343846[[#This Row],[Jour]]="3- Mercredi",$B$1+3, IF(Horodateur1123353819223134374346495255586164698522263438465058546266707478829098941021061141181101221261301341381421461501541581621661701741781821861901941982022062102144101418222630343846[[#This Row],[Jour]]="4- Jeudi",$B$1+4, IF(Horodateur1123353819223134374346495255586164698522263438465058546266707478829098941021061141181101221261301341381421461501541581621661701741781821861901941982022062102144101418222630343846[[#This Row],[Jour]]="5- Vendredi",$B$1+5, IF(Horodateur1123353819223134374346495255586164698522263438465058546266707478829098941021061141181101221261301341381421461501541581621661701741781821861901941982022062102144101418222630343846[[#This Row],[Jour]]="6- Samedi",$B$1+6, IF(Horodateur1123353819223134374346495255586164698522263438465058546266707478829098941021061141181101221261301341381421461501541581621661701741781821861901941982022062102144101418222630343846[[#This Row],[Jour]]="7- Dimanche",$B$1, )))))))</f>
        <v>44278</v>
      </c>
      <c r="B5" s="257" t="s">
        <v>312</v>
      </c>
      <c r="C5" s="258" t="n">
        <v>0.364583333333333</v>
      </c>
      <c r="D5" s="258" t="n">
        <v>0.385416666666667</v>
      </c>
      <c r="E5" s="71" t="s">
        <v>32</v>
      </c>
      <c r="F5" s="71" t="s">
        <v>20</v>
      </c>
      <c r="G5" s="259" t="s">
        <v>121</v>
      </c>
      <c r="H5" s="258" t="n">
        <f aca="false">IF($C5=0,"",$D5-$C5)</f>
        <v>0.0208333333333333</v>
      </c>
      <c r="I5" s="260" t="n">
        <f aca="false">IF($C5=0,"",($H5-INT($H5))*24)</f>
        <v>0.5</v>
      </c>
      <c r="J5" s="303" t="n">
        <f aca="false">SUMIF(Horodateur1123353819223134374346495255586164698522263438465058546266707478829098941021061141181101221261301341381421461501541581621661701741781821861901941982022062102144101418222630343846[Jour],$B5,Horodateur1123353819223134374346495255586164698522263438465058546266707478829098941021061141181101221261301341381421461501541581621661701741781821861901941982022062102144101418222630343846[Durée (100)])</f>
        <v>8.5</v>
      </c>
      <c r="K5" s="335"/>
      <c r="L5" s="188" t="s">
        <v>31</v>
      </c>
      <c r="M5" s="272" t="n">
        <f aca="false">IF(Horodateur1123353819223134374346495255586164698522263438465058546266707478829098941021061141181101221261301341381421461501541581621661701741781821861901941982022062102144101418222630343846[[#This Row],[O]]="o",Horodateur1123353819223134374346495255586164698522263438465058546266707478829098941021061141181101221261301341381421461501541581621661701741781821861901941982022062102144101418222630343846[[#This Row],[Durée (100)]],".")</f>
        <v>0.500000000000001</v>
      </c>
      <c r="N5" s="187"/>
      <c r="O5" s="71"/>
      <c r="P5" s="71"/>
      <c r="Q5" s="71"/>
      <c r="R5" s="71"/>
      <c r="S5" s="71"/>
      <c r="T5" s="71"/>
      <c r="U5" s="71"/>
      <c r="V5" s="71"/>
      <c r="W5" s="71"/>
      <c r="X5" s="71"/>
      <c r="Y5" s="71"/>
      <c r="Z5" s="71"/>
      <c r="AA5" s="71"/>
      <c r="AB5" s="71"/>
      <c r="AC5" s="71"/>
      <c r="AD5" s="71"/>
      <c r="AE5" s="71"/>
      <c r="AF5" s="71"/>
      <c r="AG5" s="71"/>
    </row>
    <row r="6" customFormat="false" ht="15" hidden="false" customHeight="false" outlineLevel="0" collapsed="false">
      <c r="A6" s="256" t="n">
        <f aca="false">IF(Horodateur1123353819223134374346495255586164698522263438465058546266707478829098941021061141181101221261301341381421461501541581621661701741781821861901941982022062102144101418222630343846[[#This Row],[Jour]]="1- Lundi",$B$1+1, IF(Horodateur1123353819223134374346495255586164698522263438465058546266707478829098941021061141181101221261301341381421461501541581621661701741781821861901941982022062102144101418222630343846[[#This Row],[Jour]]="2- Mardi",$B$1+2, IF(Horodateur1123353819223134374346495255586164698522263438465058546266707478829098941021061141181101221261301341381421461501541581621661701741781821861901941982022062102144101418222630343846[[#This Row],[Jour]]="3- Mercredi",$B$1+3, IF(Horodateur1123353819223134374346495255586164698522263438465058546266707478829098941021061141181101221261301341381421461501541581621661701741781821861901941982022062102144101418222630343846[[#This Row],[Jour]]="4- Jeudi",$B$1+4, IF(Horodateur1123353819223134374346495255586164698522263438465058546266707478829098941021061141181101221261301341381421461501541581621661701741781821861901941982022062102144101418222630343846[[#This Row],[Jour]]="5- Vendredi",$B$1+5, IF(Horodateur1123353819223134374346495255586164698522263438465058546266707478829098941021061141181101221261301341381421461501541581621661701741781821861901941982022062102144101418222630343846[[#This Row],[Jour]]="6- Samedi",$B$1+6, IF(Horodateur1123353819223134374346495255586164698522263438465058546266707478829098941021061141181101221261301341381421461501541581621661701741781821861901941982022062102144101418222630343846[[#This Row],[Jour]]="7- Dimanche",$B$1, )))))))</f>
        <v>44278</v>
      </c>
      <c r="B6" s="257" t="s">
        <v>312</v>
      </c>
      <c r="C6" s="258" t="n">
        <v>0.395833333333333</v>
      </c>
      <c r="D6" s="258" t="n">
        <v>0.40625</v>
      </c>
      <c r="E6" s="71" t="s">
        <v>37</v>
      </c>
      <c r="F6" s="71" t="s">
        <v>379</v>
      </c>
      <c r="G6" s="259" t="s">
        <v>55</v>
      </c>
      <c r="H6" s="258" t="n">
        <f aca="false">IF($C6=0,"",$D6-$C6)</f>
        <v>0.0104166666666667</v>
      </c>
      <c r="I6" s="260" t="n">
        <f aca="false">IF($C6=0,"",($H6-INT($H6))*24)</f>
        <v>0.25</v>
      </c>
      <c r="J6" s="303" t="n">
        <f aca="false">SUMIF(Horodateur1123353819223134374346495255586164698522263438465058546266707478829098941021061141181101221261301341381421461501541581621661701741781821861901941982022062102144101418222630343846[Jour],$B6,Horodateur1123353819223134374346495255586164698522263438465058546266707478829098941021061141181101221261301341381421461501541581621661701741781821861901941982022062102144101418222630343846[Durée (100)])</f>
        <v>8.5</v>
      </c>
      <c r="K6" s="335"/>
      <c r="L6" s="188" t="s">
        <v>31</v>
      </c>
      <c r="M6" s="272" t="n">
        <f aca="false">IF(Horodateur1123353819223134374346495255586164698522263438465058546266707478829098941021061141181101221261301341381421461501541581621661701741781821861901941982022062102144101418222630343846[[#This Row],[O]]="o",Horodateur1123353819223134374346495255586164698522263438465058546266707478829098941021061141181101221261301341381421461501541581621661701741781821861901941982022062102144101418222630343846[[#This Row],[Durée (100)]],".")</f>
        <v>0.25</v>
      </c>
      <c r="N6" s="187"/>
      <c r="O6" s="71"/>
      <c r="P6" s="71"/>
      <c r="Q6" s="71"/>
      <c r="R6" s="71"/>
      <c r="S6" s="71"/>
      <c r="T6" s="71"/>
      <c r="U6" s="71"/>
      <c r="V6" s="71"/>
      <c r="W6" s="71"/>
      <c r="X6" s="71"/>
      <c r="Y6" s="71"/>
      <c r="Z6" s="71"/>
      <c r="AA6" s="71"/>
      <c r="AB6" s="71"/>
      <c r="AC6" s="71"/>
      <c r="AD6" s="71"/>
      <c r="AE6" s="71"/>
      <c r="AF6" s="71"/>
      <c r="AG6" s="71"/>
    </row>
    <row r="7" customFormat="false" ht="15" hidden="false" customHeight="false" outlineLevel="0" collapsed="false">
      <c r="A7" s="256" t="n">
        <f aca="false">IF(Horodateur1123353819223134374346495255586164698522263438465058546266707478829098941021061141181101221261301341381421461501541581621661701741781821861901941982022062102144101418222630343846[[#This Row],[Jour]]="1- Lundi",$B$1+1, IF(Horodateur1123353819223134374346495255586164698522263438465058546266707478829098941021061141181101221261301341381421461501541581621661701741781821861901941982022062102144101418222630343846[[#This Row],[Jour]]="2- Mardi",$B$1+2, IF(Horodateur1123353819223134374346495255586164698522263438465058546266707478829098941021061141181101221261301341381421461501541581621661701741781821861901941982022062102144101418222630343846[[#This Row],[Jour]]="3- Mercredi",$B$1+3, IF(Horodateur1123353819223134374346495255586164698522263438465058546266707478829098941021061141181101221261301341381421461501541581621661701741781821861901941982022062102144101418222630343846[[#This Row],[Jour]]="4- Jeudi",$B$1+4, IF(Horodateur1123353819223134374346495255586164698522263438465058546266707478829098941021061141181101221261301341381421461501541581621661701741781821861901941982022062102144101418222630343846[[#This Row],[Jour]]="5- Vendredi",$B$1+5, IF(Horodateur1123353819223134374346495255586164698522263438465058546266707478829098941021061141181101221261301341381421461501541581621661701741781821861901941982022062102144101418222630343846[[#This Row],[Jour]]="6- Samedi",$B$1+6, IF(Horodateur1123353819223134374346495255586164698522263438465058546266707478829098941021061141181101221261301341381421461501541581621661701741781821861901941982022062102144101418222630343846[[#This Row],[Jour]]="7- Dimanche",$B$1, )))))))</f>
        <v>44278</v>
      </c>
      <c r="B7" s="257" t="s">
        <v>312</v>
      </c>
      <c r="C7" s="258" t="n">
        <v>0.416666666666667</v>
      </c>
      <c r="D7" s="258" t="n">
        <v>0.520833333333333</v>
      </c>
      <c r="E7" s="71" t="s">
        <v>363</v>
      </c>
      <c r="F7" s="71" t="s">
        <v>378</v>
      </c>
      <c r="G7" s="259" t="s">
        <v>483</v>
      </c>
      <c r="H7" s="258" t="n">
        <f aca="false">IF($C7=0,"",$D7-$C7)</f>
        <v>0.104166666666667</v>
      </c>
      <c r="I7" s="260" t="n">
        <f aca="false">IF($C7=0,"",($H7-INT($H7))*24)</f>
        <v>2.5</v>
      </c>
      <c r="J7" s="303" t="n">
        <f aca="false">SUMIF(Horodateur1123353819223134374346495255586164698522263438465058546266707478829098941021061141181101221261301341381421461501541581621661701741781821861901941982022062102144101418222630343846[Jour],$B7,Horodateur1123353819223134374346495255586164698522263438465058546266707478829098941021061141181101221261301341381421461501541581621661701741781821861901941982022062102144101418222630343846[Durée (100)])</f>
        <v>8.5</v>
      </c>
      <c r="K7" s="335"/>
      <c r="L7" s="188" t="s">
        <v>31</v>
      </c>
      <c r="M7" s="272" t="n">
        <f aca="false">IF(Horodateur1123353819223134374346495255586164698522263438465058546266707478829098941021061141181101221261301341381421461501541581621661701741781821861901941982022062102144101418222630343846[[#This Row],[O]]="o",Horodateur1123353819223134374346495255586164698522263438465058546266707478829098941021061141181101221261301341381421461501541581621661701741781821861901941982022062102144101418222630343846[[#This Row],[Durée (100)]],".")</f>
        <v>2.5</v>
      </c>
      <c r="N7" s="187"/>
      <c r="O7" s="71"/>
      <c r="P7" s="71"/>
      <c r="Q7" s="71"/>
      <c r="R7" s="71"/>
      <c r="S7" s="71"/>
      <c r="T7" s="71"/>
      <c r="U7" s="71"/>
      <c r="V7" s="71"/>
      <c r="W7" s="71"/>
      <c r="X7" s="71"/>
      <c r="Y7" s="71"/>
      <c r="Z7" s="71"/>
      <c r="AA7" s="71"/>
      <c r="AB7" s="71"/>
      <c r="AC7" s="71"/>
      <c r="AD7" s="71"/>
      <c r="AE7" s="71"/>
      <c r="AF7" s="71"/>
      <c r="AG7" s="71"/>
    </row>
    <row r="8" customFormat="false" ht="15" hidden="false" customHeight="false" outlineLevel="0" collapsed="false">
      <c r="A8" s="256" t="n">
        <f aca="false">IF(Horodateur1123353819223134374346495255586164698522263438465058546266707478829098941021061141181101221261301341381421461501541581621661701741781821861901941982022062102144101418222630343846[[#This Row],[Jour]]="1- Lundi",$B$1+1, IF(Horodateur1123353819223134374346495255586164698522263438465058546266707478829098941021061141181101221261301341381421461501541581621661701741781821861901941982022062102144101418222630343846[[#This Row],[Jour]]="2- Mardi",$B$1+2, IF(Horodateur1123353819223134374346495255586164698522263438465058546266707478829098941021061141181101221261301341381421461501541581621661701741781821861901941982022062102144101418222630343846[[#This Row],[Jour]]="3- Mercredi",$B$1+3, IF(Horodateur1123353819223134374346495255586164698522263438465058546266707478829098941021061141181101221261301341381421461501541581621661701741781821861901941982022062102144101418222630343846[[#This Row],[Jour]]="4- Jeudi",$B$1+4, IF(Horodateur1123353819223134374346495255586164698522263438465058546266707478829098941021061141181101221261301341381421461501541581621661701741781821861901941982022062102144101418222630343846[[#This Row],[Jour]]="5- Vendredi",$B$1+5, IF(Horodateur1123353819223134374346495255586164698522263438465058546266707478829098941021061141181101221261301341381421461501541581621661701741781821861901941982022062102144101418222630343846[[#This Row],[Jour]]="6- Samedi",$B$1+6, IF(Horodateur1123353819223134374346495255586164698522263438465058546266707478829098941021061141181101221261301341381421461501541581621661701741781821861901941982022062102144101418222630343846[[#This Row],[Jour]]="7- Dimanche",$B$1, )))))))</f>
        <v>44278</v>
      </c>
      <c r="B8" s="257" t="s">
        <v>312</v>
      </c>
      <c r="C8" s="258" t="n">
        <v>0.5625</v>
      </c>
      <c r="D8" s="258" t="n">
        <v>0.59375</v>
      </c>
      <c r="E8" s="71" t="s">
        <v>63</v>
      </c>
      <c r="F8" s="71" t="s">
        <v>379</v>
      </c>
      <c r="G8" s="259" t="s">
        <v>55</v>
      </c>
      <c r="H8" s="258" t="n">
        <f aca="false">IF($C8=0,"",$D8-$C8)</f>
        <v>0.03125</v>
      </c>
      <c r="I8" s="260" t="n">
        <f aca="false">IF($C8=0,"",($H8-INT($H8))*24)</f>
        <v>0.75</v>
      </c>
      <c r="J8" s="303" t="n">
        <f aca="false">SUMIF(Horodateur1123353819223134374346495255586164698522263438465058546266707478829098941021061141181101221261301341381421461501541581621661701741781821861901941982022062102144101418222630343846[Jour],$B8,Horodateur1123353819223134374346495255586164698522263438465058546266707478829098941021061141181101221261301341381421461501541581621661701741781821861901941982022062102144101418222630343846[Durée (100)])</f>
        <v>8.5</v>
      </c>
      <c r="K8" s="335"/>
      <c r="L8" s="188" t="s">
        <v>31</v>
      </c>
      <c r="M8" s="272" t="n">
        <f aca="false">IF(Horodateur1123353819223134374346495255586164698522263438465058546266707478829098941021061141181101221261301341381421461501541581621661701741781821861901941982022062102144101418222630343846[[#This Row],[O]]="o",Horodateur1123353819223134374346495255586164698522263438465058546266707478829098941021061141181101221261301341381421461501541581621661701741781821861901941982022062102144101418222630343846[[#This Row],[Durée (100)]],".")</f>
        <v>0.75</v>
      </c>
      <c r="N8" s="187"/>
      <c r="O8" s="71"/>
      <c r="P8" s="71"/>
      <c r="Q8" s="71"/>
      <c r="R8" s="71"/>
      <c r="S8" s="71"/>
      <c r="T8" s="71"/>
      <c r="U8" s="71"/>
      <c r="V8" s="71"/>
      <c r="W8" s="71"/>
      <c r="X8" s="71"/>
      <c r="Y8" s="71"/>
      <c r="Z8" s="71"/>
      <c r="AA8" s="71"/>
      <c r="AB8" s="71"/>
      <c r="AC8" s="71"/>
      <c r="AD8" s="71"/>
      <c r="AE8" s="71"/>
      <c r="AF8" s="71"/>
      <c r="AG8" s="71"/>
    </row>
    <row r="9" customFormat="false" ht="15" hidden="false" customHeight="false" outlineLevel="0" collapsed="false">
      <c r="A9" s="256" t="n">
        <f aca="false">IF(Horodateur1123353819223134374346495255586164698522263438465058546266707478829098941021061141181101221261301341381421461501541581621661701741781821861901941982022062102144101418222630343846[[#This Row],[Jour]]="1- Lundi",$B$1+1, IF(Horodateur1123353819223134374346495255586164698522263438465058546266707478829098941021061141181101221261301341381421461501541581621661701741781821861901941982022062102144101418222630343846[[#This Row],[Jour]]="2- Mardi",$B$1+2, IF(Horodateur1123353819223134374346495255586164698522263438465058546266707478829098941021061141181101221261301341381421461501541581621661701741781821861901941982022062102144101418222630343846[[#This Row],[Jour]]="3- Mercredi",$B$1+3, IF(Horodateur1123353819223134374346495255586164698522263438465058546266707478829098941021061141181101221261301341381421461501541581621661701741781821861901941982022062102144101418222630343846[[#This Row],[Jour]]="4- Jeudi",$B$1+4, IF(Horodateur1123353819223134374346495255586164698522263438465058546266707478829098941021061141181101221261301341381421461501541581621661701741781821861901941982022062102144101418222630343846[[#This Row],[Jour]]="5- Vendredi",$B$1+5, IF(Horodateur1123353819223134374346495255586164698522263438465058546266707478829098941021061141181101221261301341381421461501541581621661701741781821861901941982022062102144101418222630343846[[#This Row],[Jour]]="6- Samedi",$B$1+6, IF(Horodateur1123353819223134374346495255586164698522263438465058546266707478829098941021061141181101221261301341381421461501541581621661701741781821861901941982022062102144101418222630343846[[#This Row],[Jour]]="7- Dimanche",$B$1, )))))))</f>
        <v>44278</v>
      </c>
      <c r="B9" s="257" t="s">
        <v>312</v>
      </c>
      <c r="C9" s="258" t="n">
        <v>0.604166666666667</v>
      </c>
      <c r="D9" s="258" t="n">
        <v>0.75</v>
      </c>
      <c r="E9" s="71" t="s">
        <v>363</v>
      </c>
      <c r="F9" s="71" t="s">
        <v>378</v>
      </c>
      <c r="G9" s="259" t="s">
        <v>483</v>
      </c>
      <c r="H9" s="258" t="n">
        <f aca="false">IF($C9=0,"",$D9-$C9)</f>
        <v>0.145833333333333</v>
      </c>
      <c r="I9" s="260" t="n">
        <f aca="false">IF($C9=0,"",($H9-INT($H9))*24)</f>
        <v>3.5</v>
      </c>
      <c r="J9" s="303" t="n">
        <f aca="false">SUMIF(Horodateur1123353819223134374346495255586164698522263438465058546266707478829098941021061141181101221261301341381421461501541581621661701741781821861901941982022062102144101418222630343846[Jour],$B9,Horodateur1123353819223134374346495255586164698522263438465058546266707478829098941021061141181101221261301341381421461501541581621661701741781821861901941982022062102144101418222630343846[Durée (100)])</f>
        <v>8.5</v>
      </c>
      <c r="K9" s="335"/>
      <c r="L9" s="188" t="s">
        <v>31</v>
      </c>
      <c r="M9" s="272" t="n">
        <f aca="false">IF(Horodateur1123353819223134374346495255586164698522263438465058546266707478829098941021061141181101221261301341381421461501541581621661701741781821861901941982022062102144101418222630343846[[#This Row],[O]]="o",Horodateur1123353819223134374346495255586164698522263438465058546266707478829098941021061141181101221261301341381421461501541581621661701741781821861901941982022062102144101418222630343846[[#This Row],[Durée (100)]],".")</f>
        <v>3.5</v>
      </c>
      <c r="N9" s="187"/>
      <c r="O9" s="71"/>
      <c r="P9" s="71"/>
      <c r="Q9" s="71"/>
      <c r="R9" s="71"/>
      <c r="S9" s="71"/>
      <c r="T9" s="71"/>
      <c r="U9" s="71"/>
      <c r="V9" s="71"/>
      <c r="W9" s="71"/>
      <c r="X9" s="71"/>
      <c r="Y9" s="71"/>
      <c r="Z9" s="71"/>
      <c r="AA9" s="71"/>
      <c r="AB9" s="71"/>
      <c r="AC9" s="71"/>
      <c r="AD9" s="71"/>
      <c r="AE9" s="71"/>
      <c r="AF9" s="71"/>
      <c r="AG9" s="71"/>
    </row>
    <row r="10" customFormat="false" ht="15" hidden="false" customHeight="false" outlineLevel="0" collapsed="false">
      <c r="A10" s="256" t="n">
        <f aca="false">IF(Horodateur1123353819223134374346495255586164698522263438465058546266707478829098941021061141181101221261301341381421461501541581621661701741781821861901941982022062102144101418222630343846[[#This Row],[Jour]]="1- Lundi",$B$1+1, IF(Horodateur1123353819223134374346495255586164698522263438465058546266707478829098941021061141181101221261301341381421461501541581621661701741781821861901941982022062102144101418222630343846[[#This Row],[Jour]]="2- Mardi",$B$1+2, IF(Horodateur1123353819223134374346495255586164698522263438465058546266707478829098941021061141181101221261301341381421461501541581621661701741781821861901941982022062102144101418222630343846[[#This Row],[Jour]]="3- Mercredi",$B$1+3, IF(Horodateur1123353819223134374346495255586164698522263438465058546266707478829098941021061141181101221261301341381421461501541581621661701741781821861901941982022062102144101418222630343846[[#This Row],[Jour]]="4- Jeudi",$B$1+4, IF(Horodateur1123353819223134374346495255586164698522263438465058546266707478829098941021061141181101221261301341381421461501541581621661701741781821861901941982022062102144101418222630343846[[#This Row],[Jour]]="5- Vendredi",$B$1+5, IF(Horodateur1123353819223134374346495255586164698522263438465058546266707478829098941021061141181101221261301341381421461501541581621661701741781821861901941982022062102144101418222630343846[[#This Row],[Jour]]="6- Samedi",$B$1+6, IF(Horodateur1123353819223134374346495255586164698522263438465058546266707478829098941021061141181101221261301341381421461501541581621661701741781821861901941982022062102144101418222630343846[[#This Row],[Jour]]="7- Dimanche",$B$1, )))))))</f>
        <v>44279</v>
      </c>
      <c r="B10" s="257" t="s">
        <v>319</v>
      </c>
      <c r="C10" s="258" t="n">
        <v>0.354166666666667</v>
      </c>
      <c r="D10" s="258" t="n">
        <v>0.375</v>
      </c>
      <c r="E10" s="71" t="s">
        <v>37</v>
      </c>
      <c r="F10" s="71" t="s">
        <v>378</v>
      </c>
      <c r="G10" s="259" t="s">
        <v>484</v>
      </c>
      <c r="H10" s="258" t="n">
        <f aca="false">IF($C10=0,"",$D10-$C10)</f>
        <v>0.0208333333333333</v>
      </c>
      <c r="I10" s="260" t="n">
        <f aca="false">IF($C10=0,"",($H10-INT($H10))*24)</f>
        <v>0.5</v>
      </c>
      <c r="J10" s="303" t="n">
        <f aca="false">SUMIF(Horodateur1123353819223134374346495255586164698522263438465058546266707478829098941021061141181101221261301341381421461501541581621661701741781821861901941982022062102144101418222630343846[Jour],$B10,Horodateur1123353819223134374346495255586164698522263438465058546266707478829098941021061141181101221261301341381421461501541581621661701741781821861901941982022062102144101418222630343846[Durée (100)])</f>
        <v>8.25</v>
      </c>
      <c r="K10" s="335"/>
      <c r="L10" s="188" t="s">
        <v>31</v>
      </c>
      <c r="M10" s="272" t="n">
        <f aca="false">IF(Horodateur1123353819223134374346495255586164698522263438465058546266707478829098941021061141181101221261301341381421461501541581621661701741781821861901941982022062102144101418222630343846[[#This Row],[O]]="o",Horodateur1123353819223134374346495255586164698522263438465058546266707478829098941021061141181101221261301341381421461501541581621661701741781821861901941982022062102144101418222630343846[[#This Row],[Durée (100)]],".")</f>
        <v>0.5</v>
      </c>
      <c r="N10" s="187"/>
      <c r="O10" s="71"/>
      <c r="P10" s="71"/>
      <c r="Q10" s="71"/>
      <c r="R10" s="71"/>
      <c r="S10" s="71"/>
      <c r="T10" s="71"/>
      <c r="U10" s="71"/>
      <c r="V10" s="71"/>
      <c r="W10" s="71"/>
      <c r="X10" s="71"/>
      <c r="Y10" s="71"/>
      <c r="Z10" s="71"/>
      <c r="AA10" s="71"/>
      <c r="AB10" s="71"/>
      <c r="AC10" s="71"/>
      <c r="AD10" s="71"/>
      <c r="AE10" s="71"/>
      <c r="AF10" s="71"/>
      <c r="AG10" s="71"/>
    </row>
    <row r="11" customFormat="false" ht="15" hidden="false" customHeight="false" outlineLevel="0" collapsed="false">
      <c r="A11" s="256" t="n">
        <f aca="false">IF(Horodateur1123353819223134374346495255586164698522263438465058546266707478829098941021061141181101221261301341381421461501541581621661701741781821861901941982022062102144101418222630343846[[#This Row],[Jour]]="1- Lundi",$B$1+1, IF(Horodateur1123353819223134374346495255586164698522263438465058546266707478829098941021061141181101221261301341381421461501541581621661701741781821861901941982022062102144101418222630343846[[#This Row],[Jour]]="2- Mardi",$B$1+2, IF(Horodateur1123353819223134374346495255586164698522263438465058546266707478829098941021061141181101221261301341381421461501541581621661701741781821861901941982022062102144101418222630343846[[#This Row],[Jour]]="3- Mercredi",$B$1+3, IF(Horodateur1123353819223134374346495255586164698522263438465058546266707478829098941021061141181101221261301341381421461501541581621661701741781821861901941982022062102144101418222630343846[[#This Row],[Jour]]="4- Jeudi",$B$1+4, IF(Horodateur1123353819223134374346495255586164698522263438465058546266707478829098941021061141181101221261301341381421461501541581621661701741781821861901941982022062102144101418222630343846[[#This Row],[Jour]]="5- Vendredi",$B$1+5, IF(Horodateur1123353819223134374346495255586164698522263438465058546266707478829098941021061141181101221261301341381421461501541581621661701741781821861901941982022062102144101418222630343846[[#This Row],[Jour]]="6- Samedi",$B$1+6, IF(Horodateur1123353819223134374346495255586164698522263438465058546266707478829098941021061141181101221261301341381421461501541581621661701741781821861901941982022062102144101418222630343846[[#This Row],[Jour]]="7- Dimanche",$B$1, )))))))</f>
        <v>44279</v>
      </c>
      <c r="B11" s="257" t="s">
        <v>319</v>
      </c>
      <c r="C11" s="258" t="n">
        <v>0.375</v>
      </c>
      <c r="D11" s="258" t="n">
        <v>0.416666666666667</v>
      </c>
      <c r="E11" s="71" t="s">
        <v>363</v>
      </c>
      <c r="F11" s="71" t="s">
        <v>378</v>
      </c>
      <c r="G11" s="259" t="s">
        <v>485</v>
      </c>
      <c r="H11" s="258" t="n">
        <f aca="false">IF($C11=0,"",$D11-$C11)</f>
        <v>0.0416666666666667</v>
      </c>
      <c r="I11" s="260" t="n">
        <f aca="false">IF($C11=0,"",($H11-INT($H11))*24)</f>
        <v>1</v>
      </c>
      <c r="J11" s="303" t="n">
        <f aca="false">SUMIF(Horodateur1123353819223134374346495255586164698522263438465058546266707478829098941021061141181101221261301341381421461501541581621661701741781821861901941982022062102144101418222630343846[Jour],$B11,Horodateur1123353819223134374346495255586164698522263438465058546266707478829098941021061141181101221261301341381421461501541581621661701741781821861901941982022062102144101418222630343846[Durée (100)])</f>
        <v>8.25</v>
      </c>
      <c r="K11" s="335"/>
      <c r="L11" s="188" t="s">
        <v>31</v>
      </c>
      <c r="M11" s="272" t="n">
        <f aca="false">IF(Horodateur1123353819223134374346495255586164698522263438465058546266707478829098941021061141181101221261301341381421461501541581621661701741781821861901941982022062102144101418222630343846[[#This Row],[O]]="o",Horodateur1123353819223134374346495255586164698522263438465058546266707478829098941021061141181101221261301341381421461501541581621661701741781821861901941982022062102144101418222630343846[[#This Row],[Durée (100)]],".")</f>
        <v>1</v>
      </c>
      <c r="N11" s="187"/>
      <c r="O11" s="71"/>
      <c r="P11" s="71"/>
      <c r="Q11" s="71"/>
      <c r="R11" s="71"/>
      <c r="S11" s="71"/>
      <c r="T11" s="71"/>
      <c r="U11" s="71"/>
      <c r="V11" s="71"/>
      <c r="W11" s="71"/>
      <c r="X11" s="71"/>
      <c r="Y11" s="71"/>
      <c r="Z11" s="71"/>
      <c r="AA11" s="71"/>
      <c r="AB11" s="71"/>
      <c r="AC11" s="71"/>
      <c r="AD11" s="71"/>
      <c r="AE11" s="71"/>
      <c r="AF11" s="71"/>
      <c r="AG11" s="71"/>
    </row>
    <row r="12" customFormat="false" ht="15" hidden="false" customHeight="false" outlineLevel="0" collapsed="false">
      <c r="A12" s="256" t="n">
        <f aca="false">IF(Horodateur1123353819223134374346495255586164698522263438465058546266707478829098941021061141181101221261301341381421461501541581621661701741781821861901941982022062102144101418222630343846[[#This Row],[Jour]]="1- Lundi",$B$1+1, IF(Horodateur1123353819223134374346495255586164698522263438465058546266707478829098941021061141181101221261301341381421461501541581621661701741781821861901941982022062102144101418222630343846[[#This Row],[Jour]]="2- Mardi",$B$1+2, IF(Horodateur1123353819223134374346495255586164698522263438465058546266707478829098941021061141181101221261301341381421461501541581621661701741781821861901941982022062102144101418222630343846[[#This Row],[Jour]]="3- Mercredi",$B$1+3, IF(Horodateur1123353819223134374346495255586164698522263438465058546266707478829098941021061141181101221261301341381421461501541581621661701741781821861901941982022062102144101418222630343846[[#This Row],[Jour]]="4- Jeudi",$B$1+4, IF(Horodateur1123353819223134374346495255586164698522263438465058546266707478829098941021061141181101221261301341381421461501541581621661701741781821861901941982022062102144101418222630343846[[#This Row],[Jour]]="5- Vendredi",$B$1+5, IF(Horodateur1123353819223134374346495255586164698522263438465058546266707478829098941021061141181101221261301341381421461501541581621661701741781821861901941982022062102144101418222630343846[[#This Row],[Jour]]="6- Samedi",$B$1+6, IF(Horodateur1123353819223134374346495255586164698522263438465058546266707478829098941021061141181101221261301341381421461501541581621661701741781821861901941982022062102144101418222630343846[[#This Row],[Jour]]="7- Dimanche",$B$1, )))))))</f>
        <v>44279</v>
      </c>
      <c r="B12" s="257" t="s">
        <v>319</v>
      </c>
      <c r="C12" s="258" t="n">
        <v>0.416666666666667</v>
      </c>
      <c r="D12" s="258" t="n">
        <v>0.520833333333333</v>
      </c>
      <c r="E12" s="71" t="s">
        <v>363</v>
      </c>
      <c r="F12" s="71" t="s">
        <v>408</v>
      </c>
      <c r="G12" s="259" t="s">
        <v>486</v>
      </c>
      <c r="H12" s="258" t="n">
        <f aca="false">IF($C12=0,"",$D12-$C12)</f>
        <v>0.104166666666667</v>
      </c>
      <c r="I12" s="260" t="n">
        <f aca="false">IF($C12=0,"",($H12-INT($H12))*24)</f>
        <v>2.5</v>
      </c>
      <c r="J12" s="303" t="n">
        <f aca="false">SUMIF(Horodateur1123353819223134374346495255586164698522263438465058546266707478829098941021061141181101221261301341381421461501541581621661701741781821861901941982022062102144101418222630343846[Jour],$B12,Horodateur1123353819223134374346495255586164698522263438465058546266707478829098941021061141181101221261301341381421461501541581621661701741781821861901941982022062102144101418222630343846[Durée (100)])</f>
        <v>8.25</v>
      </c>
      <c r="K12" s="335"/>
      <c r="L12" s="188" t="s">
        <v>31</v>
      </c>
      <c r="M12" s="272" t="n">
        <f aca="false">IF(Horodateur1123353819223134374346495255586164698522263438465058546266707478829098941021061141181101221261301341381421461501541581621661701741781821861901941982022062102144101418222630343846[[#This Row],[O]]="o",Horodateur1123353819223134374346495255586164698522263438465058546266707478829098941021061141181101221261301341381421461501541581621661701741781821861901941982022062102144101418222630343846[[#This Row],[Durée (100)]],".")</f>
        <v>2.5</v>
      </c>
      <c r="N12" s="187"/>
      <c r="O12" s="71"/>
      <c r="P12" s="71"/>
      <c r="Q12" s="71"/>
      <c r="R12" s="71"/>
      <c r="S12" s="71"/>
      <c r="T12" s="71"/>
      <c r="U12" s="71"/>
      <c r="V12" s="71"/>
      <c r="W12" s="71"/>
      <c r="X12" s="71"/>
      <c r="Y12" s="71"/>
      <c r="Z12" s="71"/>
      <c r="AA12" s="71"/>
      <c r="AB12" s="71"/>
      <c r="AC12" s="71"/>
      <c r="AD12" s="71"/>
      <c r="AE12" s="71"/>
      <c r="AF12" s="71"/>
      <c r="AG12" s="71"/>
    </row>
    <row r="13" customFormat="false" ht="15" hidden="false" customHeight="false" outlineLevel="0" collapsed="false">
      <c r="A13" s="256" t="n">
        <f aca="false">IF(Horodateur1123353819223134374346495255586164698522263438465058546266707478829098941021061141181101221261301341381421461501541581621661701741781821861901941982022062102144101418222630343846[[#This Row],[Jour]]="1- Lundi",$B$1+1, IF(Horodateur1123353819223134374346495255586164698522263438465058546266707478829098941021061141181101221261301341381421461501541581621661701741781821861901941982022062102144101418222630343846[[#This Row],[Jour]]="2- Mardi",$B$1+2, IF(Horodateur1123353819223134374346495255586164698522263438465058546266707478829098941021061141181101221261301341381421461501541581621661701741781821861901941982022062102144101418222630343846[[#This Row],[Jour]]="3- Mercredi",$B$1+3, IF(Horodateur1123353819223134374346495255586164698522263438465058546266707478829098941021061141181101221261301341381421461501541581621661701741781821861901941982022062102144101418222630343846[[#This Row],[Jour]]="4- Jeudi",$B$1+4, IF(Horodateur1123353819223134374346495255586164698522263438465058546266707478829098941021061141181101221261301341381421461501541581621661701741781821861901941982022062102144101418222630343846[[#This Row],[Jour]]="5- Vendredi",$B$1+5, IF(Horodateur1123353819223134374346495255586164698522263438465058546266707478829098941021061141181101221261301341381421461501541581621661701741781821861901941982022062102144101418222630343846[[#This Row],[Jour]]="6- Samedi",$B$1+6, IF(Horodateur1123353819223134374346495255586164698522263438465058546266707478829098941021061141181101221261301341381421461501541581621661701741781821861901941982022062102144101418222630343846[[#This Row],[Jour]]="7- Dimanche",$B$1, )))))))</f>
        <v>44279</v>
      </c>
      <c r="B13" s="257" t="s">
        <v>319</v>
      </c>
      <c r="C13" s="258" t="n">
        <v>0.59375</v>
      </c>
      <c r="D13" s="258" t="n">
        <v>0.666666666666667</v>
      </c>
      <c r="E13" s="71" t="s">
        <v>363</v>
      </c>
      <c r="F13" s="71" t="s">
        <v>378</v>
      </c>
      <c r="G13" s="259" t="s">
        <v>487</v>
      </c>
      <c r="H13" s="258" t="n">
        <f aca="false">IF($C13=0,"",$D13-$C13)</f>
        <v>0.0729166666666666</v>
      </c>
      <c r="I13" s="260" t="n">
        <f aca="false">IF($C13=0,"",($H13-INT($H13))*24)</f>
        <v>1.75</v>
      </c>
      <c r="J13" s="303" t="n">
        <f aca="false">SUMIF(Horodateur1123353819223134374346495255586164698522263438465058546266707478829098941021061141181101221261301341381421461501541581621661701741781821861901941982022062102144101418222630343846[Jour],$B13,Horodateur1123353819223134374346495255586164698522263438465058546266707478829098941021061141181101221261301341381421461501541581621661701741781821861901941982022062102144101418222630343846[Durée (100)])</f>
        <v>8.25</v>
      </c>
      <c r="K13" s="335"/>
      <c r="L13" s="188" t="s">
        <v>31</v>
      </c>
      <c r="M13" s="272" t="n">
        <f aca="false">IF(Horodateur1123353819223134374346495255586164698522263438465058546266707478829098941021061141181101221261301341381421461501541581621661701741781821861901941982022062102144101418222630343846[[#This Row],[O]]="o",Horodateur1123353819223134374346495255586164698522263438465058546266707478829098941021061141181101221261301341381421461501541581621661701741781821861901941982022062102144101418222630343846[[#This Row],[Durée (100)]],".")</f>
        <v>1.75</v>
      </c>
      <c r="N13" s="187"/>
      <c r="O13" s="71"/>
      <c r="P13" s="71"/>
      <c r="Q13" s="71"/>
      <c r="R13" s="71"/>
      <c r="S13" s="71"/>
      <c r="T13" s="71"/>
      <c r="U13" s="71"/>
      <c r="V13" s="71"/>
      <c r="W13" s="71"/>
      <c r="X13" s="71"/>
      <c r="Y13" s="71"/>
      <c r="Z13" s="71"/>
      <c r="AA13" s="71"/>
      <c r="AB13" s="71"/>
      <c r="AC13" s="71"/>
      <c r="AD13" s="71"/>
      <c r="AE13" s="71"/>
      <c r="AF13" s="71"/>
      <c r="AG13" s="71"/>
    </row>
    <row r="14" customFormat="false" ht="15" hidden="false" customHeight="false" outlineLevel="0" collapsed="false">
      <c r="A14" s="256" t="n">
        <f aca="false">IF(Horodateur1123353819223134374346495255586164698522263438465058546266707478829098941021061141181101221261301341381421461501541581621661701741781821861901941982022062102144101418222630343846[[#This Row],[Jour]]="1- Lundi",$B$1+1, IF(Horodateur1123353819223134374346495255586164698522263438465058546266707478829098941021061141181101221261301341381421461501541581621661701741781821861901941982022062102144101418222630343846[[#This Row],[Jour]]="2- Mardi",$B$1+2, IF(Horodateur1123353819223134374346495255586164698522263438465058546266707478829098941021061141181101221261301341381421461501541581621661701741781821861901941982022062102144101418222630343846[[#This Row],[Jour]]="3- Mercredi",$B$1+3, IF(Horodateur1123353819223134374346495255586164698522263438465058546266707478829098941021061141181101221261301341381421461501541581621661701741781821861901941982022062102144101418222630343846[[#This Row],[Jour]]="4- Jeudi",$B$1+4, IF(Horodateur1123353819223134374346495255586164698522263438465058546266707478829098941021061141181101221261301341381421461501541581621661701741781821861901941982022062102144101418222630343846[[#This Row],[Jour]]="5- Vendredi",$B$1+5, IF(Horodateur1123353819223134374346495255586164698522263438465058546266707478829098941021061141181101221261301341381421461501541581621661701741781821861901941982022062102144101418222630343846[[#This Row],[Jour]]="6- Samedi",$B$1+6, IF(Horodateur1123353819223134374346495255586164698522263438465058546266707478829098941021061141181101221261301341381421461501541581621661701741781821861901941982022062102144101418222630343846[[#This Row],[Jour]]="7- Dimanche",$B$1, )))))))</f>
        <v>44279</v>
      </c>
      <c r="B14" s="257" t="s">
        <v>319</v>
      </c>
      <c r="C14" s="258" t="n">
        <v>0.666666666666667</v>
      </c>
      <c r="D14" s="258" t="n">
        <v>0.677083333333333</v>
      </c>
      <c r="E14" s="71" t="s">
        <v>363</v>
      </c>
      <c r="F14" s="71" t="s">
        <v>378</v>
      </c>
      <c r="G14" s="259" t="s">
        <v>488</v>
      </c>
      <c r="H14" s="258" t="n">
        <f aca="false">IF($C14=0,"",$D14-$C14)</f>
        <v>0.0104166666666667</v>
      </c>
      <c r="I14" s="260" t="n">
        <f aca="false">IF($C14=0,"",($H14-INT($H14))*24)</f>
        <v>0.25</v>
      </c>
      <c r="J14" s="303" t="n">
        <f aca="false">SUMIF(Horodateur1123353819223134374346495255586164698522263438465058546266707478829098941021061141181101221261301341381421461501541581621661701741781821861901941982022062102144101418222630343846[Jour],$B14,Horodateur1123353819223134374346495255586164698522263438465058546266707478829098941021061141181101221261301341381421461501541581621661701741781821861901941982022062102144101418222630343846[Durée (100)])</f>
        <v>8.25</v>
      </c>
      <c r="K14" s="87" t="s">
        <v>489</v>
      </c>
      <c r="L14" s="188" t="s">
        <v>31</v>
      </c>
      <c r="M14" s="272" t="n">
        <f aca="false">IF(Horodateur1123353819223134374346495255586164698522263438465058546266707478829098941021061141181101221261301341381421461501541581621661701741781821861901941982022062102144101418222630343846[[#This Row],[O]]="o",Horodateur1123353819223134374346495255586164698522263438465058546266707478829098941021061141181101221261301341381421461501541581621661701741781821861901941982022062102144101418222630343846[[#This Row],[Durée (100)]],".")</f>
        <v>0.250000000000002</v>
      </c>
      <c r="N14" s="187"/>
      <c r="O14" s="71"/>
      <c r="P14" s="71"/>
      <c r="Q14" s="71"/>
      <c r="R14" s="71"/>
      <c r="S14" s="71"/>
      <c r="T14" s="71"/>
      <c r="U14" s="71"/>
      <c r="V14" s="71"/>
      <c r="W14" s="71"/>
      <c r="X14" s="71"/>
      <c r="Y14" s="71"/>
      <c r="Z14" s="71"/>
      <c r="AA14" s="71"/>
      <c r="AB14" s="71"/>
      <c r="AC14" s="71"/>
      <c r="AD14" s="71"/>
      <c r="AE14" s="71"/>
      <c r="AF14" s="71"/>
      <c r="AG14" s="71"/>
    </row>
    <row r="15" customFormat="false" ht="15" hidden="false" customHeight="false" outlineLevel="0" collapsed="false">
      <c r="A15" s="256" t="n">
        <f aca="false">IF(Horodateur1123353819223134374346495255586164698522263438465058546266707478829098941021061141181101221261301341381421461501541581621661701741781821861901941982022062102144101418222630343846[[#This Row],[Jour]]="1- Lundi",$B$1+1, IF(Horodateur1123353819223134374346495255586164698522263438465058546266707478829098941021061141181101221261301341381421461501541581621661701741781821861901941982022062102144101418222630343846[[#This Row],[Jour]]="2- Mardi",$B$1+2, IF(Horodateur1123353819223134374346495255586164698522263438465058546266707478829098941021061141181101221261301341381421461501541581621661701741781821861901941982022062102144101418222630343846[[#This Row],[Jour]]="3- Mercredi",$B$1+3, IF(Horodateur1123353819223134374346495255586164698522263438465058546266707478829098941021061141181101221261301341381421461501541581621661701741781821861901941982022062102144101418222630343846[[#This Row],[Jour]]="4- Jeudi",$B$1+4, IF(Horodateur1123353819223134374346495255586164698522263438465058546266707478829098941021061141181101221261301341381421461501541581621661701741781821861901941982022062102144101418222630343846[[#This Row],[Jour]]="5- Vendredi",$B$1+5, IF(Horodateur1123353819223134374346495255586164698522263438465058546266707478829098941021061141181101221261301341381421461501541581621661701741781821861901941982022062102144101418222630343846[[#This Row],[Jour]]="6- Samedi",$B$1+6, IF(Horodateur1123353819223134374346495255586164698522263438465058546266707478829098941021061141181101221261301341381421461501541581621661701741781821861901941982022062102144101418222630343846[[#This Row],[Jour]]="7- Dimanche",$B$1, )))))))</f>
        <v>44279</v>
      </c>
      <c r="B15" s="257" t="s">
        <v>319</v>
      </c>
      <c r="C15" s="258" t="n">
        <v>0.6875</v>
      </c>
      <c r="D15" s="258" t="n">
        <v>0.708333333333333</v>
      </c>
      <c r="E15" s="71" t="s">
        <v>63</v>
      </c>
      <c r="F15" s="71" t="s">
        <v>378</v>
      </c>
      <c r="G15" s="259" t="s">
        <v>458</v>
      </c>
      <c r="H15" s="258" t="n">
        <f aca="false">IF($C15=0,"",$D15-$C15)</f>
        <v>0.0208333333333334</v>
      </c>
      <c r="I15" s="260" t="n">
        <f aca="false">IF($C15=0,"",($H15-INT($H15))*24)</f>
        <v>0.500000000000001</v>
      </c>
      <c r="J15" s="303" t="n">
        <f aca="false">SUMIF(Horodateur1123353819223134374346495255586164698522263438465058546266707478829098941021061141181101221261301341381421461501541581621661701741781821861901941982022062102144101418222630343846[Jour],$B15,Horodateur1123353819223134374346495255586164698522263438465058546266707478829098941021061141181101221261301341381421461501541581621661701741781821861901941982022062102144101418222630343846[Durée (100)])</f>
        <v>8.25</v>
      </c>
      <c r="K15" s="335"/>
      <c r="L15" s="188" t="s">
        <v>31</v>
      </c>
      <c r="M15" s="272" t="n">
        <f aca="false">IF(Horodateur1123353819223134374346495255586164698522263438465058546266707478829098941021061141181101221261301341381421461501541581621661701741781821861901941982022062102144101418222630343846[[#This Row],[O]]="o",Horodateur1123353819223134374346495255586164698522263438465058546266707478829098941021061141181101221261301341381421461501541581621661701741781821861901941982022062102144101418222630343846[[#This Row],[Durée (100)]],".")</f>
        <v>0.500000000000001</v>
      </c>
      <c r="N15" s="187"/>
      <c r="O15" s="71"/>
      <c r="P15" s="71"/>
      <c r="Q15" s="71"/>
      <c r="R15" s="71"/>
      <c r="S15" s="71"/>
      <c r="T15" s="71"/>
      <c r="U15" s="71"/>
      <c r="V15" s="71"/>
      <c r="W15" s="71"/>
      <c r="X15" s="71"/>
      <c r="Y15" s="71"/>
      <c r="Z15" s="71"/>
      <c r="AA15" s="71"/>
      <c r="AB15" s="71"/>
      <c r="AC15" s="71"/>
      <c r="AD15" s="71"/>
      <c r="AE15" s="71"/>
      <c r="AF15" s="71"/>
      <c r="AG15" s="71"/>
    </row>
    <row r="16" customFormat="false" ht="15" hidden="false" customHeight="false" outlineLevel="0" collapsed="false">
      <c r="A16" s="256" t="n">
        <f aca="false">IF(Horodateur1123353819223134374346495255586164698522263438465058546266707478829098941021061141181101221261301341381421461501541581621661701741781821861901941982022062102144101418222630343846[[#This Row],[Jour]]="1- Lundi",$B$1+1, IF(Horodateur1123353819223134374346495255586164698522263438465058546266707478829098941021061141181101221261301341381421461501541581621661701741781821861901941982022062102144101418222630343846[[#This Row],[Jour]]="2- Mardi",$B$1+2, IF(Horodateur1123353819223134374346495255586164698522263438465058546266707478829098941021061141181101221261301341381421461501541581621661701741781821861901941982022062102144101418222630343846[[#This Row],[Jour]]="3- Mercredi",$B$1+3, IF(Horodateur1123353819223134374346495255586164698522263438465058546266707478829098941021061141181101221261301341381421461501541581621661701741781821861901941982022062102144101418222630343846[[#This Row],[Jour]]="4- Jeudi",$B$1+4, IF(Horodateur1123353819223134374346495255586164698522263438465058546266707478829098941021061141181101221261301341381421461501541581621661701741781821861901941982022062102144101418222630343846[[#This Row],[Jour]]="5- Vendredi",$B$1+5, IF(Horodateur1123353819223134374346495255586164698522263438465058546266707478829098941021061141181101221261301341381421461501541581621661701741781821861901941982022062102144101418222630343846[[#This Row],[Jour]]="6- Samedi",$B$1+6, IF(Horodateur1123353819223134374346495255586164698522263438465058546266707478829098941021061141181101221261301341381421461501541581621661701741781821861901941982022062102144101418222630343846[[#This Row],[Jour]]="7- Dimanche",$B$1, )))))))</f>
        <v>44279</v>
      </c>
      <c r="B16" s="257" t="s">
        <v>319</v>
      </c>
      <c r="C16" s="258" t="n">
        <v>0.708333333333333</v>
      </c>
      <c r="D16" s="258" t="n">
        <v>0.729166666666667</v>
      </c>
      <c r="E16" s="71" t="s">
        <v>32</v>
      </c>
      <c r="F16" s="71" t="s">
        <v>23</v>
      </c>
      <c r="G16" s="259"/>
      <c r="H16" s="258" t="n">
        <f aca="false">IF($C16=0,"",$D16-$C16)</f>
        <v>0.0208333333333333</v>
      </c>
      <c r="I16" s="260" t="n">
        <f aca="false">IF($C16=0,"",($H16-INT($H16))*24)</f>
        <v>0.499999999999998</v>
      </c>
      <c r="J16" s="303" t="n">
        <f aca="false">SUMIF(Horodateur1123353819223134374346495255586164698522263438465058546266707478829098941021061141181101221261301341381421461501541581621661701741781821861901941982022062102144101418222630343846[Jour],$B16,Horodateur1123353819223134374346495255586164698522263438465058546266707478829098941021061141181101221261301341381421461501541581621661701741781821861901941982022062102144101418222630343846[Durée (100)])</f>
        <v>8.25</v>
      </c>
      <c r="K16" s="335"/>
      <c r="L16" s="188" t="s">
        <v>31</v>
      </c>
      <c r="M16" s="272" t="n">
        <f aca="false">IF(Horodateur1123353819223134374346495255586164698522263438465058546266707478829098941021061141181101221261301341381421461501541581621661701741781821861901941982022062102144101418222630343846[[#This Row],[O]]="o",Horodateur1123353819223134374346495255586164698522263438465058546266707478829098941021061141181101221261301341381421461501541581621661701741781821861901941982022062102144101418222630343846[[#This Row],[Durée (100)]],".")</f>
        <v>0.499999999999998</v>
      </c>
      <c r="N16" s="187"/>
      <c r="O16" s="71"/>
      <c r="P16" s="71"/>
      <c r="Q16" s="71"/>
      <c r="R16" s="71"/>
      <c r="S16" s="71"/>
      <c r="T16" s="71"/>
      <c r="U16" s="71"/>
      <c r="V16" s="71"/>
      <c r="W16" s="71"/>
      <c r="X16" s="71"/>
      <c r="Y16" s="71"/>
      <c r="Z16" s="71"/>
      <c r="AA16" s="71"/>
      <c r="AB16" s="71"/>
      <c r="AC16" s="71"/>
      <c r="AD16" s="71"/>
      <c r="AE16" s="71"/>
      <c r="AF16" s="71"/>
      <c r="AG16" s="71"/>
    </row>
    <row r="17" customFormat="false" ht="15" hidden="false" customHeight="false" outlineLevel="0" collapsed="false">
      <c r="A17" s="256" t="n">
        <f aca="false">IF(Horodateur1123353819223134374346495255586164698522263438465058546266707478829098941021061141181101221261301341381421461501541581621661701741781821861901941982022062102144101418222630343846[[#This Row],[Jour]]="1- Lundi",$B$1+1, IF(Horodateur1123353819223134374346495255586164698522263438465058546266707478829098941021061141181101221261301341381421461501541581621661701741781821861901941982022062102144101418222630343846[[#This Row],[Jour]]="2- Mardi",$B$1+2, IF(Horodateur1123353819223134374346495255586164698522263438465058546266707478829098941021061141181101221261301341381421461501541581621661701741781821861901941982022062102144101418222630343846[[#This Row],[Jour]]="3- Mercredi",$B$1+3, IF(Horodateur1123353819223134374346495255586164698522263438465058546266707478829098941021061141181101221261301341381421461501541581621661701741781821861901941982022062102144101418222630343846[[#This Row],[Jour]]="4- Jeudi",$B$1+4, IF(Horodateur1123353819223134374346495255586164698522263438465058546266707478829098941021061141181101221261301341381421461501541581621661701741781821861901941982022062102144101418222630343846[[#This Row],[Jour]]="5- Vendredi",$B$1+5, IF(Horodateur1123353819223134374346495255586164698522263438465058546266707478829098941021061141181101221261301341381421461501541581621661701741781821861901941982022062102144101418222630343846[[#This Row],[Jour]]="6- Samedi",$B$1+6, IF(Horodateur1123353819223134374346495255586164698522263438465058546266707478829098941021061141181101221261301341381421461501541581621661701741781821861901941982022062102144101418222630343846[[#This Row],[Jour]]="7- Dimanche",$B$1, )))))))</f>
        <v>44279</v>
      </c>
      <c r="B17" s="257" t="s">
        <v>319</v>
      </c>
      <c r="C17" s="258" t="n">
        <v>0.729166666666667</v>
      </c>
      <c r="D17" s="258" t="n">
        <v>0.78125</v>
      </c>
      <c r="E17" s="71" t="s">
        <v>63</v>
      </c>
      <c r="F17" s="71" t="s">
        <v>378</v>
      </c>
      <c r="G17" s="259" t="s">
        <v>490</v>
      </c>
      <c r="H17" s="258" t="n">
        <f aca="false">IF($C17=0,"",$D17-$C17)</f>
        <v>0.0520833333333334</v>
      </c>
      <c r="I17" s="260" t="n">
        <f aca="false">IF($C17=0,"",($H17-INT($H17))*24)</f>
        <v>1.25</v>
      </c>
      <c r="J17" s="303" t="n">
        <f aca="false">SUMIF(Horodateur1123353819223134374346495255586164698522263438465058546266707478829098941021061141181101221261301341381421461501541581621661701741781821861901941982022062102144101418222630343846[Jour],$B17,Horodateur1123353819223134374346495255586164698522263438465058546266707478829098941021061141181101221261301341381421461501541581621661701741781821861901941982022062102144101418222630343846[Durée (100)])</f>
        <v>8.25</v>
      </c>
      <c r="K17" s="335"/>
      <c r="L17" s="188" t="s">
        <v>31</v>
      </c>
      <c r="M17" s="272" t="n">
        <f aca="false">IF(Horodateur1123353819223134374346495255586164698522263438465058546266707478829098941021061141181101221261301341381421461501541581621661701741781821861901941982022062102144101418222630343846[[#This Row],[O]]="o",Horodateur1123353819223134374346495255586164698522263438465058546266707478829098941021061141181101221261301341381421461501541581621661701741781821861901941982022062102144101418222630343846[[#This Row],[Durée (100)]],".")</f>
        <v>1.25</v>
      </c>
      <c r="N17" s="187"/>
      <c r="O17" s="71"/>
      <c r="P17" s="71"/>
      <c r="Q17" s="71"/>
      <c r="R17" s="71"/>
      <c r="S17" s="71"/>
      <c r="T17" s="71"/>
      <c r="U17" s="71"/>
      <c r="V17" s="71"/>
      <c r="W17" s="71"/>
      <c r="X17" s="71"/>
      <c r="Y17" s="71"/>
      <c r="Z17" s="71"/>
      <c r="AA17" s="71"/>
      <c r="AB17" s="71"/>
      <c r="AC17" s="71"/>
      <c r="AD17" s="71"/>
      <c r="AE17" s="71"/>
      <c r="AF17" s="71"/>
      <c r="AG17" s="71"/>
    </row>
    <row r="18" customFormat="false" ht="15" hidden="false" customHeight="false" outlineLevel="0" collapsed="false">
      <c r="A18" s="256" t="n">
        <f aca="false">IF(Horodateur1123353819223134374346495255586164698522263438465058546266707478829098941021061141181101221261301341381421461501541581621661701741781821861901941982022062102144101418222630343846[[#This Row],[Jour]]="1- Lundi",$B$1+1, IF(Horodateur1123353819223134374346495255586164698522263438465058546266707478829098941021061141181101221261301341381421461501541581621661701741781821861901941982022062102144101418222630343846[[#This Row],[Jour]]="2- Mardi",$B$1+2, IF(Horodateur1123353819223134374346495255586164698522263438465058546266707478829098941021061141181101221261301341381421461501541581621661701741781821861901941982022062102144101418222630343846[[#This Row],[Jour]]="3- Mercredi",$B$1+3, IF(Horodateur1123353819223134374346495255586164698522263438465058546266707478829098941021061141181101221261301341381421461501541581621661701741781821861901941982022062102144101418222630343846[[#This Row],[Jour]]="4- Jeudi",$B$1+4, IF(Horodateur1123353819223134374346495255586164698522263438465058546266707478829098941021061141181101221261301341381421461501541581621661701741781821861901941982022062102144101418222630343846[[#This Row],[Jour]]="5- Vendredi",$B$1+5, IF(Horodateur1123353819223134374346495255586164698522263438465058546266707478829098941021061141181101221261301341381421461501541581621661701741781821861901941982022062102144101418222630343846[[#This Row],[Jour]]="6- Samedi",$B$1+6, IF(Horodateur1123353819223134374346495255586164698522263438465058546266707478829098941021061141181101221261301341381421461501541581621661701741781821861901941982022062102144101418222630343846[[#This Row],[Jour]]="7- Dimanche",$B$1, )))))))</f>
        <v>44280</v>
      </c>
      <c r="B18" s="257" t="s">
        <v>324</v>
      </c>
      <c r="C18" s="258" t="n">
        <v>0.333333333333333</v>
      </c>
      <c r="D18" s="258" t="n">
        <v>0.354166666666667</v>
      </c>
      <c r="E18" s="71" t="s">
        <v>32</v>
      </c>
      <c r="F18" s="71" t="s">
        <v>23</v>
      </c>
      <c r="G18" s="259" t="s">
        <v>491</v>
      </c>
      <c r="H18" s="258" t="n">
        <f aca="false">IF($C18=0,"",$D18-$C18)</f>
        <v>0.0208333333333333</v>
      </c>
      <c r="I18" s="260" t="n">
        <f aca="false">IF($C18=0,"",($H18-INT($H18))*24)</f>
        <v>0.5</v>
      </c>
      <c r="J18" s="303" t="n">
        <f aca="false">SUMIF(Horodateur1123353819223134374346495255586164698522263438465058546266707478829098941021061141181101221261301341381421461501541581621661701741781821861901941982022062102144101418222630343846[Jour],$B18,Horodateur1123353819223134374346495255586164698522263438465058546266707478829098941021061141181101221261301341381421461501541581621661701741781821861901941982022062102144101418222630343846[Durée (100)])</f>
        <v>8.5</v>
      </c>
      <c r="K18" s="335"/>
      <c r="L18" s="188" t="s">
        <v>31</v>
      </c>
      <c r="M18" s="272" t="n">
        <f aca="false">IF(Horodateur1123353819223134374346495255586164698522263438465058546266707478829098941021061141181101221261301341381421461501541581621661701741781821861901941982022062102144101418222630343846[[#This Row],[O]]="o",Horodateur1123353819223134374346495255586164698522263438465058546266707478829098941021061141181101221261301341381421461501541581621661701741781821861901941982022062102144101418222630343846[[#This Row],[Durée (100)]],".")</f>
        <v>0.500000000000001</v>
      </c>
      <c r="N18" s="187"/>
      <c r="O18" s="71"/>
      <c r="P18" s="71"/>
      <c r="Q18" s="71"/>
      <c r="R18" s="71"/>
      <c r="S18" s="71"/>
      <c r="T18" s="71"/>
      <c r="U18" s="71"/>
      <c r="V18" s="71"/>
      <c r="W18" s="71"/>
      <c r="X18" s="71"/>
      <c r="Y18" s="71"/>
      <c r="Z18" s="71"/>
      <c r="AA18" s="71"/>
      <c r="AB18" s="71"/>
      <c r="AC18" s="71"/>
      <c r="AD18" s="71"/>
      <c r="AE18" s="71"/>
      <c r="AF18" s="71"/>
      <c r="AG18" s="71"/>
    </row>
    <row r="19" customFormat="false" ht="15" hidden="false" customHeight="false" outlineLevel="0" collapsed="false">
      <c r="A19" s="256" t="n">
        <f aca="false">IF(Horodateur1123353819223134374346495255586164698522263438465058546266707478829098941021061141181101221261301341381421461501541581621661701741781821861901941982022062102144101418222630343846[[#This Row],[Jour]]="1- Lundi",$B$1+1, IF(Horodateur1123353819223134374346495255586164698522263438465058546266707478829098941021061141181101221261301341381421461501541581621661701741781821861901941982022062102144101418222630343846[[#This Row],[Jour]]="2- Mardi",$B$1+2, IF(Horodateur1123353819223134374346495255586164698522263438465058546266707478829098941021061141181101221261301341381421461501541581621661701741781821861901941982022062102144101418222630343846[[#This Row],[Jour]]="3- Mercredi",$B$1+3, IF(Horodateur1123353819223134374346495255586164698522263438465058546266707478829098941021061141181101221261301341381421461501541581621661701741781821861901941982022062102144101418222630343846[[#This Row],[Jour]]="4- Jeudi",$B$1+4, IF(Horodateur1123353819223134374346495255586164698522263438465058546266707478829098941021061141181101221261301341381421461501541581621661701741781821861901941982022062102144101418222630343846[[#This Row],[Jour]]="5- Vendredi",$B$1+5, IF(Horodateur1123353819223134374346495255586164698522263438465058546266707478829098941021061141181101221261301341381421461501541581621661701741781821861901941982022062102144101418222630343846[[#This Row],[Jour]]="6- Samedi",$B$1+6, IF(Horodateur1123353819223134374346495255586164698522263438465058546266707478829098941021061141181101221261301341381421461501541581621661701741781821861901941982022062102144101418222630343846[[#This Row],[Jour]]="7- Dimanche",$B$1, )))))))</f>
        <v>44280</v>
      </c>
      <c r="B19" s="257" t="s">
        <v>324</v>
      </c>
      <c r="C19" s="258" t="n">
        <v>0.354166666666667</v>
      </c>
      <c r="D19" s="258" t="n">
        <v>0.385416666666667</v>
      </c>
      <c r="E19" s="71" t="s">
        <v>32</v>
      </c>
      <c r="F19" s="71" t="s">
        <v>21</v>
      </c>
      <c r="G19" s="259" t="s">
        <v>492</v>
      </c>
      <c r="H19" s="258" t="n">
        <f aca="false">IF($C19=0,"",$D19-$C19)</f>
        <v>0.03125</v>
      </c>
      <c r="I19" s="260" t="n">
        <f aca="false">IF($C19=0,"",($H19-INT($H19))*24)</f>
        <v>0.75</v>
      </c>
      <c r="J19" s="303" t="n">
        <f aca="false">SUMIF(Horodateur1123353819223134374346495255586164698522263438465058546266707478829098941021061141181101221261301341381421461501541581621661701741781821861901941982022062102144101418222630343846[Jour],$B19,Horodateur1123353819223134374346495255586164698522263438465058546266707478829098941021061141181101221261301341381421461501541581621661701741781821861901941982022062102144101418222630343846[Durée (100)])</f>
        <v>8.5</v>
      </c>
      <c r="K19" s="335"/>
      <c r="L19" s="188" t="s">
        <v>31</v>
      </c>
      <c r="M19" s="272" t="n">
        <f aca="false">IF(Horodateur1123353819223134374346495255586164698522263438465058546266707478829098941021061141181101221261301341381421461501541581621661701741781821861901941982022062102144101418222630343846[[#This Row],[O]]="o",Horodateur1123353819223134374346495255586164698522263438465058546266707478829098941021061141181101221261301341381421461501541581621661701741781821861901941982022062102144101418222630343846[[#This Row],[Durée (100)]],".")</f>
        <v>0.75</v>
      </c>
      <c r="N19" s="187"/>
      <c r="O19" s="71"/>
      <c r="P19" s="71"/>
      <c r="Q19" s="71"/>
      <c r="R19" s="71"/>
      <c r="S19" s="71"/>
      <c r="T19" s="71"/>
      <c r="U19" s="71"/>
      <c r="V19" s="71"/>
      <c r="W19" s="71"/>
      <c r="X19" s="71"/>
      <c r="Y19" s="71"/>
      <c r="Z19" s="71"/>
      <c r="AA19" s="71"/>
      <c r="AB19" s="71"/>
      <c r="AC19" s="71"/>
      <c r="AD19" s="71"/>
      <c r="AE19" s="71"/>
      <c r="AF19" s="71"/>
      <c r="AG19" s="71"/>
    </row>
    <row r="20" customFormat="false" ht="15" hidden="false" customHeight="false" outlineLevel="0" collapsed="false">
      <c r="A20" s="256" t="n">
        <f aca="false">IF(Horodateur1123353819223134374346495255586164698522263438465058546266707478829098941021061141181101221261301341381421461501541581621661701741781821861901941982022062102144101418222630343846[[#This Row],[Jour]]="1- Lundi",$B$1+1, IF(Horodateur1123353819223134374346495255586164698522263438465058546266707478829098941021061141181101221261301341381421461501541581621661701741781821861901941982022062102144101418222630343846[[#This Row],[Jour]]="2- Mardi",$B$1+2, IF(Horodateur1123353819223134374346495255586164698522263438465058546266707478829098941021061141181101221261301341381421461501541581621661701741781821861901941982022062102144101418222630343846[[#This Row],[Jour]]="3- Mercredi",$B$1+3, IF(Horodateur1123353819223134374346495255586164698522263438465058546266707478829098941021061141181101221261301341381421461501541581621661701741781821861901941982022062102144101418222630343846[[#This Row],[Jour]]="4- Jeudi",$B$1+4, IF(Horodateur1123353819223134374346495255586164698522263438465058546266707478829098941021061141181101221261301341381421461501541581621661701741781821861901941982022062102144101418222630343846[[#This Row],[Jour]]="5- Vendredi",$B$1+5, IF(Horodateur1123353819223134374346495255586164698522263438465058546266707478829098941021061141181101221261301341381421461501541581621661701741781821861901941982022062102144101418222630343846[[#This Row],[Jour]]="6- Samedi",$B$1+6, IF(Horodateur1123353819223134374346495255586164698522263438465058546266707478829098941021061141181101221261301341381421461501541581621661701741781821861901941982022062102144101418222630343846[[#This Row],[Jour]]="7- Dimanche",$B$1, )))))))</f>
        <v>44280</v>
      </c>
      <c r="B20" s="257" t="s">
        <v>324</v>
      </c>
      <c r="C20" s="258" t="n">
        <v>0.375</v>
      </c>
      <c r="D20" s="258" t="n">
        <v>0.458333333333333</v>
      </c>
      <c r="E20" s="71" t="s">
        <v>63</v>
      </c>
      <c r="F20" s="71" t="s">
        <v>408</v>
      </c>
      <c r="G20" s="259" t="s">
        <v>493</v>
      </c>
      <c r="H20" s="258" t="n">
        <f aca="false">IF($C20=0,"",$D20-$C20)</f>
        <v>0.0833333333333333</v>
      </c>
      <c r="I20" s="260" t="n">
        <f aca="false">IF($C20=0,"",($H20-INT($H20))*24)</f>
        <v>2</v>
      </c>
      <c r="J20" s="303" t="n">
        <f aca="false">SUMIF(Horodateur1123353819223134374346495255586164698522263438465058546266707478829098941021061141181101221261301341381421461501541581621661701741781821861901941982022062102144101418222630343846[Jour],$B20,Horodateur1123353819223134374346495255586164698522263438465058546266707478829098941021061141181101221261301341381421461501541581621661701741781821861901941982022062102144101418222630343846[Durée (100)])</f>
        <v>8.5</v>
      </c>
      <c r="K20" s="335"/>
      <c r="L20" s="188" t="s">
        <v>31</v>
      </c>
      <c r="M20" s="272" t="n">
        <f aca="false">IF(Horodateur1123353819223134374346495255586164698522263438465058546266707478829098941021061141181101221261301341381421461501541581621661701741781821861901941982022062102144101418222630343846[[#This Row],[O]]="o",Horodateur1123353819223134374346495255586164698522263438465058546266707478829098941021061141181101221261301341381421461501541581621661701741781821861901941982022062102144101418222630343846[[#This Row],[Durée (100)]],".")</f>
        <v>2</v>
      </c>
      <c r="N20" s="187"/>
      <c r="O20" s="71"/>
      <c r="P20" s="71"/>
      <c r="Q20" s="71"/>
      <c r="R20" s="71"/>
      <c r="S20" s="71"/>
      <c r="T20" s="71"/>
      <c r="U20" s="71"/>
      <c r="V20" s="71"/>
      <c r="W20" s="71"/>
      <c r="X20" s="71"/>
      <c r="Y20" s="71"/>
      <c r="Z20" s="71"/>
      <c r="AA20" s="71"/>
      <c r="AB20" s="71"/>
      <c r="AC20" s="71"/>
      <c r="AD20" s="71"/>
      <c r="AE20" s="71"/>
      <c r="AF20" s="71"/>
      <c r="AG20" s="71"/>
    </row>
    <row r="21" customFormat="false" ht="15" hidden="false" customHeight="false" outlineLevel="0" collapsed="false">
      <c r="A21" s="256" t="n">
        <f aca="false">IF(Horodateur1123353819223134374346495255586164698522263438465058546266707478829098941021061141181101221261301341381421461501541581621661701741781821861901941982022062102144101418222630343846[[#This Row],[Jour]]="1- Lundi",$B$1+1, IF(Horodateur1123353819223134374346495255586164698522263438465058546266707478829098941021061141181101221261301341381421461501541581621661701741781821861901941982022062102144101418222630343846[[#This Row],[Jour]]="2- Mardi",$B$1+2, IF(Horodateur1123353819223134374346495255586164698522263438465058546266707478829098941021061141181101221261301341381421461501541581621661701741781821861901941982022062102144101418222630343846[[#This Row],[Jour]]="3- Mercredi",$B$1+3, IF(Horodateur1123353819223134374346495255586164698522263438465058546266707478829098941021061141181101221261301341381421461501541581621661701741781821861901941982022062102144101418222630343846[[#This Row],[Jour]]="4- Jeudi",$B$1+4, IF(Horodateur1123353819223134374346495255586164698522263438465058546266707478829098941021061141181101221261301341381421461501541581621661701741781821861901941982022062102144101418222630343846[[#This Row],[Jour]]="5- Vendredi",$B$1+5, IF(Horodateur1123353819223134374346495255586164698522263438465058546266707478829098941021061141181101221261301341381421461501541581621661701741781821861901941982022062102144101418222630343846[[#This Row],[Jour]]="6- Samedi",$B$1+6, IF(Horodateur1123353819223134374346495255586164698522263438465058546266707478829098941021061141181101221261301341381421461501541581621661701741781821861901941982022062102144101418222630343846[[#This Row],[Jour]]="7- Dimanche",$B$1, )))))))</f>
        <v>44280</v>
      </c>
      <c r="B21" s="257" t="s">
        <v>324</v>
      </c>
      <c r="C21" s="258" t="n">
        <v>0.458333333333333</v>
      </c>
      <c r="D21" s="258" t="n">
        <v>0.479166666666667</v>
      </c>
      <c r="E21" s="71" t="s">
        <v>32</v>
      </c>
      <c r="F21" s="71" t="s">
        <v>23</v>
      </c>
      <c r="G21" s="259" t="s">
        <v>53</v>
      </c>
      <c r="H21" s="258" t="n">
        <f aca="false">IF($C21=0,"",$D21-$C21)</f>
        <v>0.0208333333333333</v>
      </c>
      <c r="I21" s="260" t="n">
        <f aca="false">IF($C21=0,"",($H21-INT($H21))*24)</f>
        <v>0.5</v>
      </c>
      <c r="J21" s="303" t="n">
        <f aca="false">SUMIF(Horodateur1123353819223134374346495255586164698522263438465058546266707478829098941021061141181101221261301341381421461501541581621661701741781821861901941982022062102144101418222630343846[Jour],$B21,Horodateur1123353819223134374346495255586164698522263438465058546266707478829098941021061141181101221261301341381421461501541581621661701741781821861901941982022062102144101418222630343846[Durée (100)])</f>
        <v>8.5</v>
      </c>
      <c r="K21" s="335"/>
      <c r="L21" s="188" t="s">
        <v>31</v>
      </c>
      <c r="M21" s="272" t="n">
        <f aca="false">IF(Horodateur1123353819223134374346495255586164698522263438465058546266707478829098941021061141181101221261301341381421461501541581621661701741781821861901941982022062102144101418222630343846[[#This Row],[O]]="o",Horodateur1123353819223134374346495255586164698522263438465058546266707478829098941021061141181101221261301341381421461501541581621661701741781821861901941982022062102144101418222630343846[[#This Row],[Durée (100)]],".")</f>
        <v>0.500000000000001</v>
      </c>
      <c r="N21" s="187"/>
      <c r="O21" s="71"/>
      <c r="P21" s="71"/>
      <c r="Q21" s="71"/>
      <c r="R21" s="71"/>
      <c r="S21" s="71"/>
      <c r="T21" s="71"/>
      <c r="U21" s="71"/>
      <c r="V21" s="71"/>
      <c r="W21" s="71"/>
      <c r="X21" s="71"/>
      <c r="Y21" s="71"/>
      <c r="Z21" s="71"/>
      <c r="AA21" s="71"/>
      <c r="AB21" s="71"/>
      <c r="AC21" s="71"/>
      <c r="AD21" s="71"/>
      <c r="AE21" s="71"/>
      <c r="AF21" s="71"/>
      <c r="AG21" s="71"/>
    </row>
    <row r="22" customFormat="false" ht="15" hidden="false" customHeight="false" outlineLevel="0" collapsed="false">
      <c r="A22" s="256" t="n">
        <f aca="false">IF(Horodateur1123353819223134374346495255586164698522263438465058546266707478829098941021061141181101221261301341381421461501541581621661701741781821861901941982022062102144101418222630343846[[#This Row],[Jour]]="1- Lundi",$B$1+1, IF(Horodateur1123353819223134374346495255586164698522263438465058546266707478829098941021061141181101221261301341381421461501541581621661701741781821861901941982022062102144101418222630343846[[#This Row],[Jour]]="2- Mardi",$B$1+2, IF(Horodateur1123353819223134374346495255586164698522263438465058546266707478829098941021061141181101221261301341381421461501541581621661701741781821861901941982022062102144101418222630343846[[#This Row],[Jour]]="3- Mercredi",$B$1+3, IF(Horodateur1123353819223134374346495255586164698522263438465058546266707478829098941021061141181101221261301341381421461501541581621661701741781821861901941982022062102144101418222630343846[[#This Row],[Jour]]="4- Jeudi",$B$1+4, IF(Horodateur1123353819223134374346495255586164698522263438465058546266707478829098941021061141181101221261301341381421461501541581621661701741781821861901941982022062102144101418222630343846[[#This Row],[Jour]]="5- Vendredi",$B$1+5, IF(Horodateur1123353819223134374346495255586164698522263438465058546266707478829098941021061141181101221261301341381421461501541581621661701741781821861901941982022062102144101418222630343846[[#This Row],[Jour]]="6- Samedi",$B$1+6, IF(Horodateur1123353819223134374346495255586164698522263438465058546266707478829098941021061141181101221261301341381421461501541581621661701741781821861901941982022062102144101418222630343846[[#This Row],[Jour]]="7- Dimanche",$B$1, )))))))</f>
        <v>44280</v>
      </c>
      <c r="B22" s="257" t="s">
        <v>324</v>
      </c>
      <c r="C22" s="258" t="n">
        <v>0.479166666666667</v>
      </c>
      <c r="D22" s="258" t="n">
        <v>0.5</v>
      </c>
      <c r="E22" s="71" t="s">
        <v>37</v>
      </c>
      <c r="F22" s="71" t="s">
        <v>378</v>
      </c>
      <c r="G22" s="259" t="s">
        <v>494</v>
      </c>
      <c r="H22" s="258" t="n">
        <f aca="false">IF($C22=0,"",$D22-$C22)</f>
        <v>0.0208333333333333</v>
      </c>
      <c r="I22" s="260" t="n">
        <f aca="false">IF($C22=0,"",($H22-INT($H22))*24)</f>
        <v>0.5</v>
      </c>
      <c r="J22" s="303" t="n">
        <f aca="false">SUMIF(Horodateur1123353819223134374346495255586164698522263438465058546266707478829098941021061141181101221261301341381421461501541581621661701741781821861901941982022062102144101418222630343846[Jour],$B22,Horodateur1123353819223134374346495255586164698522263438465058546266707478829098941021061141181101221261301341381421461501541581621661701741781821861901941982022062102144101418222630343846[Durée (100)])</f>
        <v>8.5</v>
      </c>
      <c r="K22" s="335"/>
      <c r="L22" s="188" t="s">
        <v>31</v>
      </c>
      <c r="M22" s="272" t="n">
        <f aca="false">IF(Horodateur1123353819223134374346495255586164698522263438465058546266707478829098941021061141181101221261301341381421461501541581621661701741781821861901941982022062102144101418222630343846[[#This Row],[O]]="o",Horodateur1123353819223134374346495255586164698522263438465058546266707478829098941021061141181101221261301341381421461501541581621661701741781821861901941982022062102144101418222630343846[[#This Row],[Durée (100)]],".")</f>
        <v>0.5</v>
      </c>
      <c r="N22" s="187"/>
      <c r="O22" s="71"/>
      <c r="P22" s="71"/>
      <c r="Q22" s="71"/>
      <c r="R22" s="71"/>
      <c r="S22" s="71"/>
      <c r="T22" s="71"/>
      <c r="U22" s="71"/>
      <c r="V22" s="71"/>
      <c r="W22" s="71"/>
      <c r="X22" s="71"/>
      <c r="Y22" s="71"/>
      <c r="Z22" s="71"/>
      <c r="AA22" s="71"/>
      <c r="AB22" s="71"/>
      <c r="AC22" s="71"/>
      <c r="AD22" s="71"/>
      <c r="AE22" s="71"/>
      <c r="AF22" s="71"/>
      <c r="AG22" s="71"/>
    </row>
    <row r="23" customFormat="false" ht="15" hidden="false" customHeight="false" outlineLevel="0" collapsed="false">
      <c r="A23" s="256" t="n">
        <f aca="false">IF(Horodateur1123353819223134374346495255586164698522263438465058546266707478829098941021061141181101221261301341381421461501541581621661701741781821861901941982022062102144101418222630343846[[#This Row],[Jour]]="1- Lundi",$B$1+1, IF(Horodateur1123353819223134374346495255586164698522263438465058546266707478829098941021061141181101221261301341381421461501541581621661701741781821861901941982022062102144101418222630343846[[#This Row],[Jour]]="2- Mardi",$B$1+2, IF(Horodateur1123353819223134374346495255586164698522263438465058546266707478829098941021061141181101221261301341381421461501541581621661701741781821861901941982022062102144101418222630343846[[#This Row],[Jour]]="3- Mercredi",$B$1+3, IF(Horodateur1123353819223134374346495255586164698522263438465058546266707478829098941021061141181101221261301341381421461501541581621661701741781821861901941982022062102144101418222630343846[[#This Row],[Jour]]="4- Jeudi",$B$1+4, IF(Horodateur1123353819223134374346495255586164698522263438465058546266707478829098941021061141181101221261301341381421461501541581621661701741781821861901941982022062102144101418222630343846[[#This Row],[Jour]]="5- Vendredi",$B$1+5, IF(Horodateur1123353819223134374346495255586164698522263438465058546266707478829098941021061141181101221261301341381421461501541581621661701741781821861901941982022062102144101418222630343846[[#This Row],[Jour]]="6- Samedi",$B$1+6, IF(Horodateur1123353819223134374346495255586164698522263438465058546266707478829098941021061141181101221261301341381421461501541581621661701741781821861901941982022062102144101418222630343846[[#This Row],[Jour]]="7- Dimanche",$B$1, )))))))</f>
        <v>44280</v>
      </c>
      <c r="B23" s="257" t="s">
        <v>324</v>
      </c>
      <c r="C23" s="258" t="n">
        <v>0.5625</v>
      </c>
      <c r="D23" s="258" t="n">
        <v>0.583333333333333</v>
      </c>
      <c r="E23" s="71" t="s">
        <v>32</v>
      </c>
      <c r="F23" s="71" t="s">
        <v>23</v>
      </c>
      <c r="G23" s="259" t="s">
        <v>495</v>
      </c>
      <c r="H23" s="258" t="n">
        <f aca="false">IF($C23=0,"",$D23-$C23)</f>
        <v>0.0208333333333333</v>
      </c>
      <c r="I23" s="260" t="n">
        <f aca="false">IF($C23=0,"",($H23-INT($H23))*24)</f>
        <v>0.500000000000001</v>
      </c>
      <c r="J23" s="303" t="n">
        <f aca="false">SUMIF(Horodateur1123353819223134374346495255586164698522263438465058546266707478829098941021061141181101221261301341381421461501541581621661701741781821861901941982022062102144101418222630343846[Jour],$B23,Horodateur1123353819223134374346495255586164698522263438465058546266707478829098941021061141181101221261301341381421461501541581621661701741781821861901941982022062102144101418222630343846[Durée (100)])</f>
        <v>8.5</v>
      </c>
      <c r="K23" s="335"/>
      <c r="L23" s="188" t="s">
        <v>31</v>
      </c>
      <c r="M23" s="272" t="n">
        <f aca="false">IF(Horodateur1123353819223134374346495255586164698522263438465058546266707478829098941021061141181101221261301341381421461501541581621661701741781821861901941982022062102144101418222630343846[[#This Row],[O]]="o",Horodateur1123353819223134374346495255586164698522263438465058546266707478829098941021061141181101221261301341381421461501541581621661701741781821861901941982022062102144101418222630343846[[#This Row],[Durée (100)]],".")</f>
        <v>0.500000000000001</v>
      </c>
      <c r="N23" s="187"/>
      <c r="O23" s="71"/>
      <c r="P23" s="71"/>
      <c r="Q23" s="71"/>
      <c r="R23" s="71"/>
      <c r="S23" s="71"/>
      <c r="T23" s="71"/>
      <c r="U23" s="71"/>
      <c r="V23" s="71"/>
      <c r="W23" s="71"/>
      <c r="X23" s="71"/>
      <c r="Y23" s="71"/>
      <c r="Z23" s="71"/>
      <c r="AA23" s="71"/>
      <c r="AB23" s="71"/>
      <c r="AC23" s="71"/>
      <c r="AD23" s="71"/>
      <c r="AE23" s="71"/>
      <c r="AF23" s="71"/>
      <c r="AG23" s="71"/>
    </row>
    <row r="24" customFormat="false" ht="15" hidden="false" customHeight="false" outlineLevel="0" collapsed="false">
      <c r="A24" s="256" t="n">
        <f aca="false">IF(Horodateur1123353819223134374346495255586164698522263438465058546266707478829098941021061141181101221261301341381421461501541581621661701741781821861901941982022062102144101418222630343846[[#This Row],[Jour]]="1- Lundi",$B$1+1, IF(Horodateur1123353819223134374346495255586164698522263438465058546266707478829098941021061141181101221261301341381421461501541581621661701741781821861901941982022062102144101418222630343846[[#This Row],[Jour]]="2- Mardi",$B$1+2, IF(Horodateur1123353819223134374346495255586164698522263438465058546266707478829098941021061141181101221261301341381421461501541581621661701741781821861901941982022062102144101418222630343846[[#This Row],[Jour]]="3- Mercredi",$B$1+3, IF(Horodateur1123353819223134374346495255586164698522263438465058546266707478829098941021061141181101221261301341381421461501541581621661701741781821861901941982022062102144101418222630343846[[#This Row],[Jour]]="4- Jeudi",$B$1+4, IF(Horodateur1123353819223134374346495255586164698522263438465058546266707478829098941021061141181101221261301341381421461501541581621661701741781821861901941982022062102144101418222630343846[[#This Row],[Jour]]="5- Vendredi",$B$1+5, IF(Horodateur1123353819223134374346495255586164698522263438465058546266707478829098941021061141181101221261301341381421461501541581621661701741781821861901941982022062102144101418222630343846[[#This Row],[Jour]]="6- Samedi",$B$1+6, IF(Horodateur1123353819223134374346495255586164698522263438465058546266707478829098941021061141181101221261301341381421461501541581621661701741781821861901941982022062102144101418222630343846[[#This Row],[Jour]]="7- Dimanche",$B$1, )))))))</f>
        <v>44280</v>
      </c>
      <c r="B24" s="257" t="s">
        <v>324</v>
      </c>
      <c r="C24" s="258" t="n">
        <v>0.583333333333333</v>
      </c>
      <c r="D24" s="258" t="n">
        <v>0.604166666666667</v>
      </c>
      <c r="E24" s="71" t="s">
        <v>363</v>
      </c>
      <c r="F24" s="71" t="s">
        <v>378</v>
      </c>
      <c r="G24" s="259" t="s">
        <v>496</v>
      </c>
      <c r="H24" s="258" t="n">
        <f aca="false">IF($C24=0,"",$D24-$C24)</f>
        <v>0.0208333333333333</v>
      </c>
      <c r="I24" s="260" t="n">
        <f aca="false">IF($C24=0,"",($H24-INT($H24))*24)</f>
        <v>0.499999999999998</v>
      </c>
      <c r="J24" s="303" t="n">
        <f aca="false">SUMIF(Horodateur1123353819223134374346495255586164698522263438465058546266707478829098941021061141181101221261301341381421461501541581621661701741781821861901941982022062102144101418222630343846[Jour],$B24,Horodateur1123353819223134374346495255586164698522263438465058546266707478829098941021061141181101221261301341381421461501541581621661701741781821861901941982022062102144101418222630343846[Durée (100)])</f>
        <v>8.5</v>
      </c>
      <c r="K24" s="335"/>
      <c r="L24" s="188" t="s">
        <v>31</v>
      </c>
      <c r="M24" s="272" t="n">
        <f aca="false">IF(Horodateur1123353819223134374346495255586164698522263438465058546266707478829098941021061141181101221261301341381421461501541581621661701741781821861901941982022062102144101418222630343846[[#This Row],[O]]="o",Horodateur1123353819223134374346495255586164698522263438465058546266707478829098941021061141181101221261301341381421461501541581621661701741781821861901941982022062102144101418222630343846[[#This Row],[Durée (100)]],".")</f>
        <v>0.499999999999998</v>
      </c>
      <c r="N24" s="187"/>
      <c r="O24" s="71"/>
      <c r="P24" s="71"/>
      <c r="Q24" s="71"/>
      <c r="R24" s="71"/>
      <c r="S24" s="71"/>
      <c r="T24" s="71"/>
      <c r="U24" s="71"/>
      <c r="V24" s="71"/>
      <c r="W24" s="71"/>
      <c r="X24" s="71"/>
      <c r="Y24" s="71"/>
      <c r="Z24" s="71"/>
      <c r="AA24" s="71"/>
      <c r="AB24" s="71"/>
      <c r="AC24" s="71"/>
      <c r="AD24" s="71"/>
      <c r="AE24" s="71"/>
      <c r="AF24" s="71"/>
      <c r="AG24" s="71"/>
    </row>
    <row r="25" customFormat="false" ht="15" hidden="false" customHeight="false" outlineLevel="0" collapsed="false">
      <c r="A25" s="256" t="n">
        <f aca="false">IF(Horodateur1123353819223134374346495255586164698522263438465058546266707478829098941021061141181101221261301341381421461501541581621661701741781821861901941982022062102144101418222630343846[[#This Row],[Jour]]="1- Lundi",$B$1+1, IF(Horodateur1123353819223134374346495255586164698522263438465058546266707478829098941021061141181101221261301341381421461501541581621661701741781821861901941982022062102144101418222630343846[[#This Row],[Jour]]="2- Mardi",$B$1+2, IF(Horodateur1123353819223134374346495255586164698522263438465058546266707478829098941021061141181101221261301341381421461501541581621661701741781821861901941982022062102144101418222630343846[[#This Row],[Jour]]="3- Mercredi",$B$1+3, IF(Horodateur1123353819223134374346495255586164698522263438465058546266707478829098941021061141181101221261301341381421461501541581621661701741781821861901941982022062102144101418222630343846[[#This Row],[Jour]]="4- Jeudi",$B$1+4, IF(Horodateur1123353819223134374346495255586164698522263438465058546266707478829098941021061141181101221261301341381421461501541581621661701741781821861901941982022062102144101418222630343846[[#This Row],[Jour]]="5- Vendredi",$B$1+5, IF(Horodateur1123353819223134374346495255586164698522263438465058546266707478829098941021061141181101221261301341381421461501541581621661701741781821861901941982022062102144101418222630343846[[#This Row],[Jour]]="6- Samedi",$B$1+6, IF(Horodateur1123353819223134374346495255586164698522263438465058546266707478829098941021061141181101221261301341381421461501541581621661701741781821861901941982022062102144101418222630343846[[#This Row],[Jour]]="7- Dimanche",$B$1, )))))))</f>
        <v>44280</v>
      </c>
      <c r="B25" s="257" t="s">
        <v>324</v>
      </c>
      <c r="C25" s="258" t="n">
        <v>0.604166666666667</v>
      </c>
      <c r="D25" s="258" t="n">
        <v>0.614583333333333</v>
      </c>
      <c r="E25" s="71" t="s">
        <v>363</v>
      </c>
      <c r="F25" s="71" t="s">
        <v>378</v>
      </c>
      <c r="G25" s="259" t="s">
        <v>497</v>
      </c>
      <c r="H25" s="258" t="n">
        <f aca="false">IF($C25=0,"",$D25-$C25)</f>
        <v>0.0104166666666667</v>
      </c>
      <c r="I25" s="260" t="n">
        <f aca="false">IF($C25=0,"",($H25-INT($H25))*24)</f>
        <v>0.25</v>
      </c>
      <c r="J25" s="303" t="n">
        <f aca="false">SUMIF(Horodateur1123353819223134374346495255586164698522263438465058546266707478829098941021061141181101221261301341381421461501541581621661701741781821861901941982022062102144101418222630343846[Jour],$B25,Horodateur1123353819223134374346495255586164698522263438465058546266707478829098941021061141181101221261301341381421461501541581621661701741781821861901941982022062102144101418222630343846[Durée (100)])</f>
        <v>8.5</v>
      </c>
      <c r="K25" s="335"/>
      <c r="L25" s="188" t="s">
        <v>31</v>
      </c>
      <c r="M25" s="272" t="n">
        <f aca="false">IF(Horodateur1123353819223134374346495255586164698522263438465058546266707478829098941021061141181101221261301341381421461501541581621661701741781821861901941982022062102144101418222630343846[[#This Row],[O]]="o",Horodateur1123353819223134374346495255586164698522263438465058546266707478829098941021061141181101221261301341381421461501541581621661701741781821861901941982022062102144101418222630343846[[#This Row],[Durée (100)]],".")</f>
        <v>0.250000000000002</v>
      </c>
      <c r="N25" s="187"/>
      <c r="O25" s="71"/>
      <c r="P25" s="71"/>
      <c r="Q25" s="71"/>
      <c r="R25" s="71"/>
      <c r="S25" s="71"/>
      <c r="T25" s="71"/>
      <c r="U25" s="71"/>
      <c r="V25" s="71"/>
      <c r="W25" s="71"/>
      <c r="X25" s="71"/>
      <c r="Y25" s="71"/>
      <c r="Z25" s="71"/>
      <c r="AA25" s="71"/>
      <c r="AB25" s="71"/>
      <c r="AC25" s="71"/>
      <c r="AD25" s="71"/>
      <c r="AE25" s="71"/>
      <c r="AF25" s="71"/>
      <c r="AG25" s="71"/>
    </row>
    <row r="26" customFormat="false" ht="15" hidden="false" customHeight="false" outlineLevel="0" collapsed="false">
      <c r="A26" s="256" t="n">
        <f aca="false">IF(Horodateur1123353819223134374346495255586164698522263438465058546266707478829098941021061141181101221261301341381421461501541581621661701741781821861901941982022062102144101418222630343846[[#This Row],[Jour]]="1- Lundi",$B$1+1, IF(Horodateur1123353819223134374346495255586164698522263438465058546266707478829098941021061141181101221261301341381421461501541581621661701741781821861901941982022062102144101418222630343846[[#This Row],[Jour]]="2- Mardi",$B$1+2, IF(Horodateur1123353819223134374346495255586164698522263438465058546266707478829098941021061141181101221261301341381421461501541581621661701741781821861901941982022062102144101418222630343846[[#This Row],[Jour]]="3- Mercredi",$B$1+3, IF(Horodateur1123353819223134374346495255586164698522263438465058546266707478829098941021061141181101221261301341381421461501541581621661701741781821861901941982022062102144101418222630343846[[#This Row],[Jour]]="4- Jeudi",$B$1+4, IF(Horodateur1123353819223134374346495255586164698522263438465058546266707478829098941021061141181101221261301341381421461501541581621661701741781821861901941982022062102144101418222630343846[[#This Row],[Jour]]="5- Vendredi",$B$1+5, IF(Horodateur1123353819223134374346495255586164698522263438465058546266707478829098941021061141181101221261301341381421461501541581621661701741781821861901941982022062102144101418222630343846[[#This Row],[Jour]]="6- Samedi",$B$1+6, IF(Horodateur1123353819223134374346495255586164698522263438465058546266707478829098941021061141181101221261301341381421461501541581621661701741781821861901941982022062102144101418222630343846[[#This Row],[Jour]]="7- Dimanche",$B$1, )))))))</f>
        <v>44280</v>
      </c>
      <c r="B26" s="257" t="s">
        <v>324</v>
      </c>
      <c r="C26" s="258" t="n">
        <v>0.614583333333333</v>
      </c>
      <c r="D26" s="258" t="n">
        <v>0.645833333333333</v>
      </c>
      <c r="E26" s="71" t="s">
        <v>63</v>
      </c>
      <c r="F26" s="71" t="s">
        <v>378</v>
      </c>
      <c r="G26" s="259" t="s">
        <v>498</v>
      </c>
      <c r="H26" s="258" t="n">
        <f aca="false">IF($C26=0,"",$D26-$C26)</f>
        <v>0.03125</v>
      </c>
      <c r="I26" s="260" t="n">
        <f aca="false">IF($C26=0,"",($H26-INT($H26))*24)</f>
        <v>0.75</v>
      </c>
      <c r="J26" s="303" t="n">
        <f aca="false">SUMIF(Horodateur1123353819223134374346495255586164698522263438465058546266707478829098941021061141181101221261301341381421461501541581621661701741781821861901941982022062102144101418222630343846[Jour],$B26,Horodateur1123353819223134374346495255586164698522263438465058546266707478829098941021061141181101221261301341381421461501541581621661701741781821861901941982022062102144101418222630343846[Durée (100)])</f>
        <v>8.5</v>
      </c>
      <c r="K26" s="335"/>
      <c r="L26" s="188" t="s">
        <v>31</v>
      </c>
      <c r="M26" s="272" t="n">
        <f aca="false">IF(Horodateur1123353819223134374346495255586164698522263438465058546266707478829098941021061141181101221261301341381421461501541581621661701741781821861901941982022062102144101418222630343846[[#This Row],[O]]="o",Horodateur1123353819223134374346495255586164698522263438465058546266707478829098941021061141181101221261301341381421461501541581621661701741781821861901941982022062102144101418222630343846[[#This Row],[Durée (100)]],".")</f>
        <v>0.75</v>
      </c>
      <c r="N26" s="187"/>
      <c r="O26" s="71"/>
      <c r="P26" s="71"/>
      <c r="Q26" s="71"/>
      <c r="R26" s="71"/>
      <c r="S26" s="71"/>
      <c r="T26" s="71"/>
      <c r="U26" s="71"/>
      <c r="V26" s="71"/>
      <c r="W26" s="71"/>
      <c r="X26" s="71"/>
      <c r="Y26" s="71"/>
      <c r="Z26" s="71"/>
      <c r="AA26" s="71"/>
      <c r="AB26" s="71"/>
      <c r="AC26" s="71"/>
      <c r="AD26" s="71"/>
      <c r="AE26" s="71"/>
      <c r="AF26" s="71"/>
      <c r="AG26" s="71"/>
    </row>
    <row r="27" customFormat="false" ht="15" hidden="false" customHeight="false" outlineLevel="0" collapsed="false">
      <c r="A27" s="256" t="n">
        <f aca="false">IF(Horodateur1123353819223134374346495255586164698522263438465058546266707478829098941021061141181101221261301341381421461501541581621661701741781821861901941982022062102144101418222630343846[[#This Row],[Jour]]="1- Lundi",$B$1+1, IF(Horodateur1123353819223134374346495255586164698522263438465058546266707478829098941021061141181101221261301341381421461501541581621661701741781821861901941982022062102144101418222630343846[[#This Row],[Jour]]="2- Mardi",$B$1+2, IF(Horodateur1123353819223134374346495255586164698522263438465058546266707478829098941021061141181101221261301341381421461501541581621661701741781821861901941982022062102144101418222630343846[[#This Row],[Jour]]="3- Mercredi",$B$1+3, IF(Horodateur1123353819223134374346495255586164698522263438465058546266707478829098941021061141181101221261301341381421461501541581621661701741781821861901941982022062102144101418222630343846[[#This Row],[Jour]]="4- Jeudi",$B$1+4, IF(Horodateur1123353819223134374346495255586164698522263438465058546266707478829098941021061141181101221261301341381421461501541581621661701741781821861901941982022062102144101418222630343846[[#This Row],[Jour]]="5- Vendredi",$B$1+5, IF(Horodateur1123353819223134374346495255586164698522263438465058546266707478829098941021061141181101221261301341381421461501541581621661701741781821861901941982022062102144101418222630343846[[#This Row],[Jour]]="6- Samedi",$B$1+6, IF(Horodateur1123353819223134374346495255586164698522263438465058546266707478829098941021061141181101221261301341381421461501541581621661701741781821861901941982022062102144101418222630343846[[#This Row],[Jour]]="7- Dimanche",$B$1, )))))))</f>
        <v>44280</v>
      </c>
      <c r="B27" s="257" t="s">
        <v>324</v>
      </c>
      <c r="C27" s="258" t="n">
        <v>0.645833333333333</v>
      </c>
      <c r="D27" s="258" t="n">
        <v>0.666666666666667</v>
      </c>
      <c r="E27" s="71" t="s">
        <v>32</v>
      </c>
      <c r="F27" s="71" t="s">
        <v>22</v>
      </c>
      <c r="G27" s="259" t="s">
        <v>118</v>
      </c>
      <c r="H27" s="258" t="n">
        <f aca="false">IF($C27=0,"",$D27-$C27)</f>
        <v>0.0208333333333333</v>
      </c>
      <c r="I27" s="260" t="n">
        <f aca="false">IF($C27=0,"",($H27-INT($H27))*24)</f>
        <v>0.499999999999998</v>
      </c>
      <c r="J27" s="303" t="n">
        <f aca="false">SUMIF(Horodateur1123353819223134374346495255586164698522263438465058546266707478829098941021061141181101221261301341381421461501541581621661701741781821861901941982022062102144101418222630343846[Jour],$B27,Horodateur1123353819223134374346495255586164698522263438465058546266707478829098941021061141181101221261301341381421461501541581621661701741781821861901941982022062102144101418222630343846[Durée (100)])</f>
        <v>8.5</v>
      </c>
      <c r="K27" s="335"/>
      <c r="L27" s="188" t="s">
        <v>31</v>
      </c>
      <c r="M27" s="272" t="n">
        <f aca="false">IF(Horodateur1123353819223134374346495255586164698522263438465058546266707478829098941021061141181101221261301341381421461501541581621661701741781821861901941982022062102144101418222630343846[[#This Row],[O]]="o",Horodateur1123353819223134374346495255586164698522263438465058546266707478829098941021061141181101221261301341381421461501541581621661701741781821861901941982022062102144101418222630343846[[#This Row],[Durée (100)]],".")</f>
        <v>0.499999999999998</v>
      </c>
      <c r="N27" s="187"/>
      <c r="O27" s="71"/>
      <c r="P27" s="71"/>
      <c r="Q27" s="71"/>
      <c r="R27" s="71"/>
      <c r="S27" s="71"/>
      <c r="T27" s="71"/>
      <c r="U27" s="71"/>
      <c r="V27" s="71"/>
      <c r="W27" s="71"/>
      <c r="X27" s="71"/>
      <c r="Y27" s="71"/>
      <c r="Z27" s="71"/>
      <c r="AA27" s="71"/>
      <c r="AB27" s="71"/>
      <c r="AC27" s="71"/>
      <c r="AD27" s="71"/>
      <c r="AE27" s="71"/>
      <c r="AF27" s="71"/>
      <c r="AG27" s="71"/>
    </row>
    <row r="28" customFormat="false" ht="15" hidden="false" customHeight="false" outlineLevel="0" collapsed="false">
      <c r="A28" s="256" t="n">
        <f aca="false">IF(Horodateur1123353819223134374346495255586164698522263438465058546266707478829098941021061141181101221261301341381421461501541581621661701741781821861901941982022062102144101418222630343846[[#This Row],[Jour]]="1- Lundi",$B$1+1, IF(Horodateur1123353819223134374346495255586164698522263438465058546266707478829098941021061141181101221261301341381421461501541581621661701741781821861901941982022062102144101418222630343846[[#This Row],[Jour]]="2- Mardi",$B$1+2, IF(Horodateur1123353819223134374346495255586164698522263438465058546266707478829098941021061141181101221261301341381421461501541581621661701741781821861901941982022062102144101418222630343846[[#This Row],[Jour]]="3- Mercredi",$B$1+3, IF(Horodateur1123353819223134374346495255586164698522263438465058546266707478829098941021061141181101221261301341381421461501541581621661701741781821861901941982022062102144101418222630343846[[#This Row],[Jour]]="4- Jeudi",$B$1+4, IF(Horodateur1123353819223134374346495255586164698522263438465058546266707478829098941021061141181101221261301341381421461501541581621661701741781821861901941982022062102144101418222630343846[[#This Row],[Jour]]="5- Vendredi",$B$1+5, IF(Horodateur1123353819223134374346495255586164698522263438465058546266707478829098941021061141181101221261301341381421461501541581621661701741781821861901941982022062102144101418222630343846[[#This Row],[Jour]]="6- Samedi",$B$1+6, IF(Horodateur1123353819223134374346495255586164698522263438465058546266707478829098941021061141181101221261301341381421461501541581621661701741781821861901941982022062102144101418222630343846[[#This Row],[Jour]]="7- Dimanche",$B$1, )))))))</f>
        <v>44280</v>
      </c>
      <c r="B28" s="257" t="s">
        <v>324</v>
      </c>
      <c r="C28" s="258" t="n">
        <v>0.666666666666667</v>
      </c>
      <c r="D28" s="258" t="n">
        <v>0.6875</v>
      </c>
      <c r="E28" s="71" t="s">
        <v>61</v>
      </c>
      <c r="F28" s="71" t="s">
        <v>380</v>
      </c>
      <c r="G28" s="259" t="s">
        <v>499</v>
      </c>
      <c r="H28" s="258" t="n">
        <f aca="false">IF($C28=0,"",$D28-$C28)</f>
        <v>0.0208333333333333</v>
      </c>
      <c r="I28" s="260" t="n">
        <f aca="false">IF($C28=0,"",($H28-INT($H28))*24)</f>
        <v>0.500000000000001</v>
      </c>
      <c r="J28" s="303" t="n">
        <f aca="false">SUMIF(Horodateur1123353819223134374346495255586164698522263438465058546266707478829098941021061141181101221261301341381421461501541581621661701741781821861901941982022062102144101418222630343846[Jour],$B28,Horodateur1123353819223134374346495255586164698522263438465058546266707478829098941021061141181101221261301341381421461501541581621661701741781821861901941982022062102144101418222630343846[Durée (100)])</f>
        <v>8.5</v>
      </c>
      <c r="K28" s="335"/>
      <c r="L28" s="188" t="s">
        <v>31</v>
      </c>
      <c r="M28" s="272" t="n">
        <f aca="false">IF(Horodateur1123353819223134374346495255586164698522263438465058546266707478829098941021061141181101221261301341381421461501541581621661701741781821861901941982022062102144101418222630343846[[#This Row],[O]]="o",Horodateur1123353819223134374346495255586164698522263438465058546266707478829098941021061141181101221261301341381421461501541581621661701741781821861901941982022062102144101418222630343846[[#This Row],[Durée (100)]],".")</f>
        <v>0.500000000000001</v>
      </c>
      <c r="N28" s="187"/>
      <c r="O28" s="71"/>
      <c r="P28" s="71"/>
      <c r="Q28" s="71"/>
      <c r="R28" s="71"/>
      <c r="S28" s="71"/>
      <c r="T28" s="71"/>
      <c r="U28" s="71"/>
      <c r="V28" s="71"/>
      <c r="W28" s="71"/>
      <c r="X28" s="71"/>
      <c r="Y28" s="71"/>
      <c r="Z28" s="71"/>
      <c r="AA28" s="71"/>
      <c r="AB28" s="71"/>
      <c r="AC28" s="71"/>
      <c r="AD28" s="71"/>
      <c r="AE28" s="71"/>
      <c r="AF28" s="71"/>
      <c r="AG28" s="71"/>
    </row>
    <row r="29" customFormat="false" ht="15" hidden="false" customHeight="false" outlineLevel="0" collapsed="false">
      <c r="A29" s="256" t="n">
        <f aca="false">IF(Horodateur1123353819223134374346495255586164698522263438465058546266707478829098941021061141181101221261301341381421461501541581621661701741781821861901941982022062102144101418222630343846[[#This Row],[Jour]]="1- Lundi",$B$1+1, IF(Horodateur1123353819223134374346495255586164698522263438465058546266707478829098941021061141181101221261301341381421461501541581621661701741781821861901941982022062102144101418222630343846[[#This Row],[Jour]]="2- Mardi",$B$1+2, IF(Horodateur1123353819223134374346495255586164698522263438465058546266707478829098941021061141181101221261301341381421461501541581621661701741781821861901941982022062102144101418222630343846[[#This Row],[Jour]]="3- Mercredi",$B$1+3, IF(Horodateur1123353819223134374346495255586164698522263438465058546266707478829098941021061141181101221261301341381421461501541581621661701741781821861901941982022062102144101418222630343846[[#This Row],[Jour]]="4- Jeudi",$B$1+4, IF(Horodateur1123353819223134374346495255586164698522263438465058546266707478829098941021061141181101221261301341381421461501541581621661701741781821861901941982022062102144101418222630343846[[#This Row],[Jour]]="5- Vendredi",$B$1+5, IF(Horodateur1123353819223134374346495255586164698522263438465058546266707478829098941021061141181101221261301341381421461501541581621661701741781821861901941982022062102144101418222630343846[[#This Row],[Jour]]="6- Samedi",$B$1+6, IF(Horodateur1123353819223134374346495255586164698522263438465058546266707478829098941021061141181101221261301341381421461501541581621661701741781821861901941982022062102144101418222630343846[[#This Row],[Jour]]="7- Dimanche",$B$1, )))))))</f>
        <v>44280</v>
      </c>
      <c r="B29" s="257" t="s">
        <v>324</v>
      </c>
      <c r="C29" s="258" t="n">
        <v>0.6875</v>
      </c>
      <c r="D29" s="258" t="n">
        <v>0.739583333333333</v>
      </c>
      <c r="E29" s="71" t="s">
        <v>63</v>
      </c>
      <c r="F29" s="71" t="s">
        <v>378</v>
      </c>
      <c r="G29" s="259" t="s">
        <v>500</v>
      </c>
      <c r="H29" s="258" t="n">
        <f aca="false">IF($C29=0,"",$D29-$C29)</f>
        <v>0.0520833333333333</v>
      </c>
      <c r="I29" s="260" t="n">
        <f aca="false">IF($C29=0,"",($H29-INT($H29))*24)</f>
        <v>1.25</v>
      </c>
      <c r="J29" s="303" t="n">
        <f aca="false">SUMIF(Horodateur1123353819223134374346495255586164698522263438465058546266707478829098941021061141181101221261301341381421461501541581621661701741781821861901941982022062102144101418222630343846[Jour],$B29,Horodateur1123353819223134374346495255586164698522263438465058546266707478829098941021061141181101221261301341381421461501541581621661701741781821861901941982022062102144101418222630343846[Durée (100)])</f>
        <v>8.5</v>
      </c>
      <c r="K29" s="335"/>
      <c r="L29" s="188" t="s">
        <v>31</v>
      </c>
      <c r="M29" s="272" t="n">
        <f aca="false">IF(Horodateur1123353819223134374346495255586164698522263438465058546266707478829098941021061141181101221261301341381421461501541581621661701741781821861901941982022062102144101418222630343846[[#This Row],[O]]="o",Horodateur1123353819223134374346495255586164698522263438465058546266707478829098941021061141181101221261301341381421461501541581621661701741781821861901941982022062102144101418222630343846[[#This Row],[Durée (100)]],".")</f>
        <v>1.25</v>
      </c>
      <c r="N29" s="187"/>
      <c r="O29" s="71"/>
      <c r="P29" s="71"/>
      <c r="Q29" s="71"/>
      <c r="R29" s="71"/>
      <c r="S29" s="71"/>
      <c r="T29" s="71"/>
      <c r="U29" s="71"/>
      <c r="V29" s="71"/>
      <c r="W29" s="71"/>
      <c r="X29" s="71"/>
      <c r="Y29" s="71"/>
      <c r="Z29" s="71"/>
      <c r="AA29" s="71"/>
      <c r="AB29" s="71"/>
      <c r="AC29" s="71"/>
      <c r="AD29" s="71"/>
      <c r="AE29" s="71"/>
      <c r="AF29" s="71"/>
      <c r="AG29" s="71"/>
    </row>
    <row r="30" customFormat="false" ht="15" hidden="false" customHeight="false" outlineLevel="0" collapsed="false">
      <c r="A30" s="256" t="n">
        <f aca="false">IF(Horodateur1123353819223134374346495255586164698522263438465058546266707478829098941021061141181101221261301341381421461501541581621661701741781821861901941982022062102144101418222630343846[[#This Row],[Jour]]="1- Lundi",$B$1+1, IF(Horodateur1123353819223134374346495255586164698522263438465058546266707478829098941021061141181101221261301341381421461501541581621661701741781821861901941982022062102144101418222630343846[[#This Row],[Jour]]="2- Mardi",$B$1+2, IF(Horodateur1123353819223134374346495255586164698522263438465058546266707478829098941021061141181101221261301341381421461501541581621661701741781821861901941982022062102144101418222630343846[[#This Row],[Jour]]="3- Mercredi",$B$1+3, IF(Horodateur1123353819223134374346495255586164698522263438465058546266707478829098941021061141181101221261301341381421461501541581621661701741781821861901941982022062102144101418222630343846[[#This Row],[Jour]]="4- Jeudi",$B$1+4, IF(Horodateur1123353819223134374346495255586164698522263438465058546266707478829098941021061141181101221261301341381421461501541581621661701741781821861901941982022062102144101418222630343846[[#This Row],[Jour]]="5- Vendredi",$B$1+5, IF(Horodateur1123353819223134374346495255586164698522263438465058546266707478829098941021061141181101221261301341381421461501541581621661701741781821861901941982022062102144101418222630343846[[#This Row],[Jour]]="6- Samedi",$B$1+6, IF(Horodateur1123353819223134374346495255586164698522263438465058546266707478829098941021061141181101221261301341381421461501541581621661701741781821861901941982022062102144101418222630343846[[#This Row],[Jour]]="7- Dimanche",$B$1, )))))))</f>
        <v>44281</v>
      </c>
      <c r="B30" s="257" t="s">
        <v>332</v>
      </c>
      <c r="C30" s="258" t="n">
        <v>0.3125</v>
      </c>
      <c r="D30" s="258" t="n">
        <v>0.322916666666667</v>
      </c>
      <c r="E30" s="71" t="s">
        <v>32</v>
      </c>
      <c r="F30" s="71" t="s">
        <v>22</v>
      </c>
      <c r="G30" s="259" t="s">
        <v>118</v>
      </c>
      <c r="H30" s="258" t="n">
        <f aca="false">IF($C30=0,"",$D30-$C30)</f>
        <v>0.0104166666666667</v>
      </c>
      <c r="I30" s="260" t="n">
        <f aca="false">IF($C30=0,"",($H30-INT($H30))*24)</f>
        <v>0.25</v>
      </c>
      <c r="J30" s="303" t="n">
        <f aca="false">SUMIF(Horodateur1123353819223134374346495255586164698522263438465058546266707478829098941021061141181101221261301341381421461501541581621661701741781821861901941982022062102144101418222630343846[Jour],$B30,Horodateur1123353819223134374346495255586164698522263438465058546266707478829098941021061141181101221261301341381421461501541581621661701741781821861901941982022062102144101418222630343846[Durée (100)])</f>
        <v>8.25</v>
      </c>
      <c r="K30" s="335"/>
      <c r="L30" s="188" t="s">
        <v>31</v>
      </c>
      <c r="M30" s="272" t="n">
        <f aca="false">IF(Horodateur1123353819223134374346495255586164698522263438465058546266707478829098941021061141181101221261301341381421461501541581621661701741781821861901941982022062102144101418222630343846[[#This Row],[O]]="o",Horodateur1123353819223134374346495255586164698522263438465058546266707478829098941021061141181101221261301341381421461501541581621661701741781821861901941982022062102144101418222630343846[[#This Row],[Durée (100)]],".")</f>
        <v>0.25</v>
      </c>
      <c r="N30" s="187"/>
      <c r="O30" s="71"/>
      <c r="P30" s="71"/>
      <c r="Q30" s="71"/>
      <c r="R30" s="71"/>
      <c r="S30" s="71"/>
      <c r="T30" s="71"/>
      <c r="U30" s="71"/>
      <c r="V30" s="71"/>
      <c r="W30" s="71"/>
      <c r="X30" s="71"/>
      <c r="Y30" s="71"/>
      <c r="Z30" s="71"/>
      <c r="AA30" s="71"/>
      <c r="AB30" s="71"/>
      <c r="AC30" s="71"/>
      <c r="AD30" s="71"/>
      <c r="AE30" s="71"/>
      <c r="AF30" s="71"/>
      <c r="AG30" s="71"/>
    </row>
    <row r="31" customFormat="false" ht="15" hidden="false" customHeight="false" outlineLevel="0" collapsed="false">
      <c r="A31" s="256" t="n">
        <f aca="false">IF(Horodateur1123353819223134374346495255586164698522263438465058546266707478829098941021061141181101221261301341381421461501541581621661701741781821861901941982022062102144101418222630343846[[#This Row],[Jour]]="1- Lundi",$B$1+1, IF(Horodateur1123353819223134374346495255586164698522263438465058546266707478829098941021061141181101221261301341381421461501541581621661701741781821861901941982022062102144101418222630343846[[#This Row],[Jour]]="2- Mardi",$B$1+2, IF(Horodateur1123353819223134374346495255586164698522263438465058546266707478829098941021061141181101221261301341381421461501541581621661701741781821861901941982022062102144101418222630343846[[#This Row],[Jour]]="3- Mercredi",$B$1+3, IF(Horodateur1123353819223134374346495255586164698522263438465058546266707478829098941021061141181101221261301341381421461501541581621661701741781821861901941982022062102144101418222630343846[[#This Row],[Jour]]="4- Jeudi",$B$1+4, IF(Horodateur1123353819223134374346495255586164698522263438465058546266707478829098941021061141181101221261301341381421461501541581621661701741781821861901941982022062102144101418222630343846[[#This Row],[Jour]]="5- Vendredi",$B$1+5, IF(Horodateur1123353819223134374346495255586164698522263438465058546266707478829098941021061141181101221261301341381421461501541581621661701741781821861901941982022062102144101418222630343846[[#This Row],[Jour]]="6- Samedi",$B$1+6, IF(Horodateur1123353819223134374346495255586164698522263438465058546266707478829098941021061141181101221261301341381421461501541581621661701741781821861901941982022062102144101418222630343846[[#This Row],[Jour]]="7- Dimanche",$B$1, )))))))</f>
        <v>44281</v>
      </c>
      <c r="B31" s="257" t="s">
        <v>332</v>
      </c>
      <c r="C31" s="258" t="n">
        <v>0.322916666666667</v>
      </c>
      <c r="D31" s="258" t="n">
        <v>0.333333333333333</v>
      </c>
      <c r="E31" s="71" t="s">
        <v>63</v>
      </c>
      <c r="F31" s="71" t="s">
        <v>378</v>
      </c>
      <c r="G31" s="259" t="s">
        <v>501</v>
      </c>
      <c r="H31" s="258" t="n">
        <f aca="false">IF($C31=0,"",$D31-$C31)</f>
        <v>0.0104166666666667</v>
      </c>
      <c r="I31" s="260" t="n">
        <f aca="false">IF($C31=0,"",($H31-INT($H31))*24)</f>
        <v>0.25</v>
      </c>
      <c r="J31" s="303" t="n">
        <f aca="false">SUMIF(Horodateur1123353819223134374346495255586164698522263438465058546266707478829098941021061141181101221261301341381421461501541581621661701741781821861901941982022062102144101418222630343846[Jour],$B31,Horodateur1123353819223134374346495255586164698522263438465058546266707478829098941021061141181101221261301341381421461501541581621661701741781821861901941982022062102144101418222630343846[Durée (100)])</f>
        <v>8.25</v>
      </c>
      <c r="K31" s="335"/>
      <c r="L31" s="188" t="s">
        <v>31</v>
      </c>
      <c r="M31" s="272" t="n">
        <f aca="false">IF(Horodateur1123353819223134374346495255586164698522263438465058546266707478829098941021061141181101221261301341381421461501541581621661701741781821861901941982022062102144101418222630343846[[#This Row],[O]]="o",Horodateur1123353819223134374346495255586164698522263438465058546266707478829098941021061141181101221261301341381421461501541581621661701741781821861901941982022062102144101418222630343846[[#This Row],[Durée (100)]],".")</f>
        <v>0.249999999999999</v>
      </c>
      <c r="N31" s="187"/>
      <c r="O31" s="71"/>
      <c r="P31" s="71"/>
      <c r="Q31" s="71"/>
      <c r="R31" s="71"/>
      <c r="S31" s="71"/>
      <c r="T31" s="71"/>
      <c r="U31" s="71"/>
      <c r="V31" s="71"/>
      <c r="W31" s="71"/>
      <c r="X31" s="71"/>
      <c r="Y31" s="71"/>
      <c r="Z31" s="71"/>
      <c r="AA31" s="71"/>
      <c r="AB31" s="71"/>
      <c r="AC31" s="71"/>
      <c r="AD31" s="71"/>
      <c r="AE31" s="71"/>
      <c r="AF31" s="71"/>
      <c r="AG31" s="71"/>
    </row>
    <row r="32" customFormat="false" ht="15" hidden="false" customHeight="false" outlineLevel="0" collapsed="false">
      <c r="A32" s="256" t="n">
        <f aca="false">IF(Horodateur1123353819223134374346495255586164698522263438465058546266707478829098941021061141181101221261301341381421461501541581621661701741781821861901941982022062102144101418222630343846[[#This Row],[Jour]]="1- Lundi",$B$1+1, IF(Horodateur1123353819223134374346495255586164698522263438465058546266707478829098941021061141181101221261301341381421461501541581621661701741781821861901941982022062102144101418222630343846[[#This Row],[Jour]]="2- Mardi",$B$1+2, IF(Horodateur1123353819223134374346495255586164698522263438465058546266707478829098941021061141181101221261301341381421461501541581621661701741781821861901941982022062102144101418222630343846[[#This Row],[Jour]]="3- Mercredi",$B$1+3, IF(Horodateur1123353819223134374346495255586164698522263438465058546266707478829098941021061141181101221261301341381421461501541581621661701741781821861901941982022062102144101418222630343846[[#This Row],[Jour]]="4- Jeudi",$B$1+4, IF(Horodateur1123353819223134374346495255586164698522263438465058546266707478829098941021061141181101221261301341381421461501541581621661701741781821861901941982022062102144101418222630343846[[#This Row],[Jour]]="5- Vendredi",$B$1+5, IF(Horodateur1123353819223134374346495255586164698522263438465058546266707478829098941021061141181101221261301341381421461501541581621661701741781821861901941982022062102144101418222630343846[[#This Row],[Jour]]="6- Samedi",$B$1+6, IF(Horodateur1123353819223134374346495255586164698522263438465058546266707478829098941021061141181101221261301341381421461501541581621661701741781821861901941982022062102144101418222630343846[[#This Row],[Jour]]="7- Dimanche",$B$1, )))))))</f>
        <v>44281</v>
      </c>
      <c r="B32" s="257" t="s">
        <v>332</v>
      </c>
      <c r="C32" s="258" t="n">
        <v>0.354166666666667</v>
      </c>
      <c r="D32" s="258" t="n">
        <v>0.375</v>
      </c>
      <c r="E32" s="71" t="s">
        <v>37</v>
      </c>
      <c r="F32" s="71" t="s">
        <v>378</v>
      </c>
      <c r="G32" s="259" t="s">
        <v>502</v>
      </c>
      <c r="H32" s="258" t="n">
        <f aca="false">IF($C32=0,"",$D32-$C32)</f>
        <v>0.0208333333333333</v>
      </c>
      <c r="I32" s="260" t="n">
        <f aca="false">IF($C32=0,"",($H32-INT($H32))*24)</f>
        <v>0.5</v>
      </c>
      <c r="J32" s="303" t="n">
        <f aca="false">SUMIF(Horodateur1123353819223134374346495255586164698522263438465058546266707478829098941021061141181101221261301341381421461501541581621661701741781821861901941982022062102144101418222630343846[Jour],$B32,Horodateur1123353819223134374346495255586164698522263438465058546266707478829098941021061141181101221261301341381421461501541581621661701741781821861901941982022062102144101418222630343846[Durée (100)])</f>
        <v>8.25</v>
      </c>
      <c r="K32" s="335"/>
      <c r="L32" s="188" t="s">
        <v>31</v>
      </c>
      <c r="M32" s="272" t="n">
        <f aca="false">IF(Horodateur1123353819223134374346495255586164698522263438465058546266707478829098941021061141181101221261301341381421461501541581621661701741781821861901941982022062102144101418222630343846[[#This Row],[O]]="o",Horodateur1123353819223134374346495255586164698522263438465058546266707478829098941021061141181101221261301341381421461501541581621661701741781821861901941982022062102144101418222630343846[[#This Row],[Durée (100)]],".")</f>
        <v>0.5</v>
      </c>
      <c r="N32" s="187"/>
      <c r="O32" s="71"/>
      <c r="P32" s="71"/>
      <c r="Q32" s="71"/>
      <c r="R32" s="71"/>
      <c r="S32" s="71"/>
      <c r="T32" s="71"/>
      <c r="U32" s="71"/>
      <c r="V32" s="71"/>
      <c r="W32" s="71"/>
      <c r="X32" s="71"/>
      <c r="Y32" s="71"/>
      <c r="Z32" s="71"/>
      <c r="AA32" s="71"/>
      <c r="AB32" s="71"/>
      <c r="AC32" s="71"/>
      <c r="AD32" s="71"/>
      <c r="AE32" s="71"/>
      <c r="AF32" s="71"/>
      <c r="AG32" s="71"/>
    </row>
    <row r="33" customFormat="false" ht="15" hidden="false" customHeight="false" outlineLevel="0" collapsed="false">
      <c r="A33" s="256" t="n">
        <f aca="false">IF(Horodateur1123353819223134374346495255586164698522263438465058546266707478829098941021061141181101221261301341381421461501541581621661701741781821861901941982022062102144101418222630343846[[#This Row],[Jour]]="1- Lundi",$B$1+1, IF(Horodateur1123353819223134374346495255586164698522263438465058546266707478829098941021061141181101221261301341381421461501541581621661701741781821861901941982022062102144101418222630343846[[#This Row],[Jour]]="2- Mardi",$B$1+2, IF(Horodateur1123353819223134374346495255586164698522263438465058546266707478829098941021061141181101221261301341381421461501541581621661701741781821861901941982022062102144101418222630343846[[#This Row],[Jour]]="3- Mercredi",$B$1+3, IF(Horodateur1123353819223134374346495255586164698522263438465058546266707478829098941021061141181101221261301341381421461501541581621661701741781821861901941982022062102144101418222630343846[[#This Row],[Jour]]="4- Jeudi",$B$1+4, IF(Horodateur1123353819223134374346495255586164698522263438465058546266707478829098941021061141181101221261301341381421461501541581621661701741781821861901941982022062102144101418222630343846[[#This Row],[Jour]]="5- Vendredi",$B$1+5, IF(Horodateur1123353819223134374346495255586164698522263438465058546266707478829098941021061141181101221261301341381421461501541581621661701741781821861901941982022062102144101418222630343846[[#This Row],[Jour]]="6- Samedi",$B$1+6, IF(Horodateur1123353819223134374346495255586164698522263438465058546266707478829098941021061141181101221261301341381421461501541581621661701741781821861901941982022062102144101418222630343846[[#This Row],[Jour]]="7- Dimanche",$B$1, )))))))</f>
        <v>44281</v>
      </c>
      <c r="B33" s="257" t="s">
        <v>332</v>
      </c>
      <c r="C33" s="258" t="n">
        <v>0.416666666666667</v>
      </c>
      <c r="D33" s="258" t="n">
        <v>0.5</v>
      </c>
      <c r="E33" s="71" t="s">
        <v>37</v>
      </c>
      <c r="F33" s="71" t="s">
        <v>378</v>
      </c>
      <c r="G33" s="259" t="s">
        <v>502</v>
      </c>
      <c r="H33" s="258" t="n">
        <f aca="false">IF($C33=0,"",$D33-$C33)</f>
        <v>0.0833333333333333</v>
      </c>
      <c r="I33" s="260" t="n">
        <f aca="false">IF($C33=0,"",($H33-INT($H33))*24)</f>
        <v>2</v>
      </c>
      <c r="J33" s="303" t="n">
        <f aca="false">SUMIF(Horodateur1123353819223134374346495255586164698522263438465058546266707478829098941021061141181101221261301341381421461501541581621661701741781821861901941982022062102144101418222630343846[Jour],$B33,Horodateur1123353819223134374346495255586164698522263438465058546266707478829098941021061141181101221261301341381421461501541581621661701741781821861901941982022062102144101418222630343846[Durée (100)])</f>
        <v>8.25</v>
      </c>
      <c r="K33" s="335"/>
      <c r="L33" s="188" t="s">
        <v>31</v>
      </c>
      <c r="M33" s="272" t="n">
        <f aca="false">IF(Horodateur1123353819223134374346495255586164698522263438465058546266707478829098941021061141181101221261301341381421461501541581621661701741781821861901941982022062102144101418222630343846[[#This Row],[O]]="o",Horodateur1123353819223134374346495255586164698522263438465058546266707478829098941021061141181101221261301341381421461501541581621661701741781821861901941982022062102144101418222630343846[[#This Row],[Durée (100)]],".")</f>
        <v>2</v>
      </c>
      <c r="N33" s="187"/>
      <c r="O33" s="71"/>
      <c r="P33" s="71"/>
      <c r="Q33" s="71"/>
      <c r="R33" s="71"/>
      <c r="S33" s="71"/>
      <c r="T33" s="71"/>
      <c r="U33" s="71"/>
      <c r="V33" s="71"/>
      <c r="W33" s="71"/>
      <c r="X33" s="71"/>
      <c r="Y33" s="71"/>
      <c r="Z33" s="71"/>
      <c r="AA33" s="71"/>
      <c r="AB33" s="71"/>
      <c r="AC33" s="71"/>
      <c r="AD33" s="71"/>
      <c r="AE33" s="71"/>
      <c r="AF33" s="71"/>
      <c r="AG33" s="71"/>
    </row>
    <row r="34" customFormat="false" ht="15" hidden="false" customHeight="false" outlineLevel="0" collapsed="false">
      <c r="A34" s="256" t="n">
        <f aca="false">IF(Horodateur1123353819223134374346495255586164698522263438465058546266707478829098941021061141181101221261301341381421461501541581621661701741781821861901941982022062102144101418222630343846[[#This Row],[Jour]]="1- Lundi",$B$1+1, IF(Horodateur1123353819223134374346495255586164698522263438465058546266707478829098941021061141181101221261301341381421461501541581621661701741781821861901941982022062102144101418222630343846[[#This Row],[Jour]]="2- Mardi",$B$1+2, IF(Horodateur1123353819223134374346495255586164698522263438465058546266707478829098941021061141181101221261301341381421461501541581621661701741781821861901941982022062102144101418222630343846[[#This Row],[Jour]]="3- Mercredi",$B$1+3, IF(Horodateur1123353819223134374346495255586164698522263438465058546266707478829098941021061141181101221261301341381421461501541581621661701741781821861901941982022062102144101418222630343846[[#This Row],[Jour]]="4- Jeudi",$B$1+4, IF(Horodateur1123353819223134374346495255586164698522263438465058546266707478829098941021061141181101221261301341381421461501541581621661701741781821861901941982022062102144101418222630343846[[#This Row],[Jour]]="5- Vendredi",$B$1+5, IF(Horodateur1123353819223134374346495255586164698522263438465058546266707478829098941021061141181101221261301341381421461501541581621661701741781821861901941982022062102144101418222630343846[[#This Row],[Jour]]="6- Samedi",$B$1+6, IF(Horodateur1123353819223134374346495255586164698522263438465058546266707478829098941021061141181101221261301341381421461501541581621661701741781821861901941982022062102144101418222630343846[[#This Row],[Jour]]="7- Dimanche",$B$1, )))))))</f>
        <v>44281</v>
      </c>
      <c r="B34" s="257" t="s">
        <v>332</v>
      </c>
      <c r="C34" s="258" t="n">
        <v>0.5625</v>
      </c>
      <c r="D34" s="258" t="n">
        <v>0.572916666666667</v>
      </c>
      <c r="E34" s="71" t="s">
        <v>32</v>
      </c>
      <c r="F34" s="71" t="s">
        <v>22</v>
      </c>
      <c r="G34" s="259" t="s">
        <v>118</v>
      </c>
      <c r="H34" s="258" t="n">
        <f aca="false">IF($C34=0,"",$D34-$C34)</f>
        <v>0.0104166666666666</v>
      </c>
      <c r="I34" s="260" t="n">
        <f aca="false">IF($C34=0,"",($H34-INT($H34))*24)</f>
        <v>0.249999999999999</v>
      </c>
      <c r="J34" s="303" t="n">
        <f aca="false">SUMIF(Horodateur1123353819223134374346495255586164698522263438465058546266707478829098941021061141181101221261301341381421461501541581621661701741781821861901941982022062102144101418222630343846[Jour],$B34,Horodateur1123353819223134374346495255586164698522263438465058546266707478829098941021061141181101221261301341381421461501541581621661701741781821861901941982022062102144101418222630343846[Durée (100)])</f>
        <v>8.25</v>
      </c>
      <c r="K34" s="335"/>
      <c r="L34" s="188" t="s">
        <v>31</v>
      </c>
      <c r="M34" s="272" t="n">
        <f aca="false">IF(Horodateur1123353819223134374346495255586164698522263438465058546266707478829098941021061141181101221261301341381421461501541581621661701741781821861901941982022062102144101418222630343846[[#This Row],[O]]="o",Horodateur1123353819223134374346495255586164698522263438465058546266707478829098941021061141181101221261301341381421461501541581621661701741781821861901941982022062102144101418222630343846[[#This Row],[Durée (100)]],".")</f>
        <v>0.249999999999999</v>
      </c>
      <c r="N34" s="187"/>
      <c r="O34" s="71"/>
      <c r="P34" s="71"/>
      <c r="Q34" s="71"/>
      <c r="R34" s="71"/>
      <c r="S34" s="71"/>
      <c r="T34" s="71"/>
      <c r="U34" s="71"/>
      <c r="V34" s="71"/>
      <c r="W34" s="71"/>
      <c r="X34" s="71"/>
      <c r="Y34" s="71"/>
      <c r="Z34" s="71"/>
      <c r="AA34" s="71"/>
      <c r="AB34" s="71"/>
      <c r="AC34" s="71"/>
      <c r="AD34" s="71"/>
      <c r="AE34" s="71"/>
      <c r="AF34" s="71"/>
      <c r="AG34" s="71"/>
    </row>
    <row r="35" customFormat="false" ht="15" hidden="false" customHeight="false" outlineLevel="0" collapsed="false">
      <c r="A35" s="256" t="n">
        <f aca="false">IF(Horodateur1123353819223134374346495255586164698522263438465058546266707478829098941021061141181101221261301341381421461501541581621661701741781821861901941982022062102144101418222630343846[[#This Row],[Jour]]="1- Lundi",$B$1+1, IF(Horodateur1123353819223134374346495255586164698522263438465058546266707478829098941021061141181101221261301341381421461501541581621661701741781821861901941982022062102144101418222630343846[[#This Row],[Jour]]="2- Mardi",$B$1+2, IF(Horodateur1123353819223134374346495255586164698522263438465058546266707478829098941021061141181101221261301341381421461501541581621661701741781821861901941982022062102144101418222630343846[[#This Row],[Jour]]="3- Mercredi",$B$1+3, IF(Horodateur1123353819223134374346495255586164698522263438465058546266707478829098941021061141181101221261301341381421461501541581621661701741781821861901941982022062102144101418222630343846[[#This Row],[Jour]]="4- Jeudi",$B$1+4, IF(Horodateur1123353819223134374346495255586164698522263438465058546266707478829098941021061141181101221261301341381421461501541581621661701741781821861901941982022062102144101418222630343846[[#This Row],[Jour]]="5- Vendredi",$B$1+5, IF(Horodateur1123353819223134374346495255586164698522263438465058546266707478829098941021061141181101221261301341381421461501541581621661701741781821861901941982022062102144101418222630343846[[#This Row],[Jour]]="6- Samedi",$B$1+6, IF(Horodateur1123353819223134374346495255586164698522263438465058546266707478829098941021061141181101221261301341381421461501541581621661701741781821861901941982022062102144101418222630343846[[#This Row],[Jour]]="7- Dimanche",$B$1, )))))))</f>
        <v>44281</v>
      </c>
      <c r="B35" s="257" t="s">
        <v>332</v>
      </c>
      <c r="C35" s="258" t="n">
        <v>0.572916666666667</v>
      </c>
      <c r="D35" s="258" t="n">
        <v>0.59375</v>
      </c>
      <c r="E35" s="71" t="s">
        <v>32</v>
      </c>
      <c r="F35" s="71" t="s">
        <v>22</v>
      </c>
      <c r="G35" s="259" t="s">
        <v>118</v>
      </c>
      <c r="H35" s="258" t="n">
        <f aca="false">IF($C35=0,"",$D35-$C35)</f>
        <v>0.0208333333333334</v>
      </c>
      <c r="I35" s="260" t="n">
        <f aca="false">IF($C35=0,"",($H35-INT($H35))*24)</f>
        <v>0.500000000000001</v>
      </c>
      <c r="J35" s="303" t="n">
        <f aca="false">SUMIF(Horodateur1123353819223134374346495255586164698522263438465058546266707478829098941021061141181101221261301341381421461501541581621661701741781821861901941982022062102144101418222630343846[Jour],$B35,Horodateur1123353819223134374346495255586164698522263438465058546266707478829098941021061141181101221261301341381421461501541581621661701741781821861901941982022062102144101418222630343846[Durée (100)])</f>
        <v>8.25</v>
      </c>
      <c r="K35" s="335"/>
      <c r="L35" s="188" t="s">
        <v>31</v>
      </c>
      <c r="M35" s="272" t="n">
        <f aca="false">IF(Horodateur1123353819223134374346495255586164698522263438465058546266707478829098941021061141181101221261301341381421461501541581621661701741781821861901941982022062102144101418222630343846[[#This Row],[O]]="o",Horodateur1123353819223134374346495255586164698522263438465058546266707478829098941021061141181101221261301341381421461501541581621661701741781821861901941982022062102144101418222630343846[[#This Row],[Durée (100)]],".")</f>
        <v>0.500000000000001</v>
      </c>
      <c r="N35" s="187"/>
      <c r="O35" s="71"/>
      <c r="P35" s="71"/>
      <c r="Q35" s="71"/>
      <c r="R35" s="71"/>
      <c r="S35" s="71"/>
      <c r="T35" s="71"/>
      <c r="U35" s="71"/>
      <c r="V35" s="71"/>
      <c r="W35" s="71"/>
      <c r="X35" s="71"/>
      <c r="Y35" s="71"/>
      <c r="Z35" s="71"/>
      <c r="AA35" s="71"/>
      <c r="AB35" s="71"/>
      <c r="AC35" s="71"/>
      <c r="AD35" s="71"/>
      <c r="AE35" s="71"/>
      <c r="AF35" s="71"/>
      <c r="AG35" s="71"/>
    </row>
    <row r="36" customFormat="false" ht="15" hidden="false" customHeight="false" outlineLevel="0" collapsed="false">
      <c r="A36" s="256" t="n">
        <f aca="false">IF(Horodateur1123353819223134374346495255586164698522263438465058546266707478829098941021061141181101221261301341381421461501541581621661701741781821861901941982022062102144101418222630343846[[#This Row],[Jour]]="1- Lundi",$B$1+1, IF(Horodateur1123353819223134374346495255586164698522263438465058546266707478829098941021061141181101221261301341381421461501541581621661701741781821861901941982022062102144101418222630343846[[#This Row],[Jour]]="2- Mardi",$B$1+2, IF(Horodateur1123353819223134374346495255586164698522263438465058546266707478829098941021061141181101221261301341381421461501541581621661701741781821861901941982022062102144101418222630343846[[#This Row],[Jour]]="3- Mercredi",$B$1+3, IF(Horodateur1123353819223134374346495255586164698522263438465058546266707478829098941021061141181101221261301341381421461501541581621661701741781821861901941982022062102144101418222630343846[[#This Row],[Jour]]="4- Jeudi",$B$1+4, IF(Horodateur1123353819223134374346495255586164698522263438465058546266707478829098941021061141181101221261301341381421461501541581621661701741781821861901941982022062102144101418222630343846[[#This Row],[Jour]]="5- Vendredi",$B$1+5, IF(Horodateur1123353819223134374346495255586164698522263438465058546266707478829098941021061141181101221261301341381421461501541581621661701741781821861901941982022062102144101418222630343846[[#This Row],[Jour]]="6- Samedi",$B$1+6, IF(Horodateur1123353819223134374346495255586164698522263438465058546266707478829098941021061141181101221261301341381421461501541581621661701741781821861901941982022062102144101418222630343846[[#This Row],[Jour]]="7- Dimanche",$B$1, )))))))</f>
        <v>44281</v>
      </c>
      <c r="B36" s="257" t="s">
        <v>332</v>
      </c>
      <c r="C36" s="258" t="n">
        <v>0.604166666666667</v>
      </c>
      <c r="D36" s="258" t="n">
        <v>0.708333333333333</v>
      </c>
      <c r="E36" s="71" t="s">
        <v>363</v>
      </c>
      <c r="F36" s="71" t="s">
        <v>378</v>
      </c>
      <c r="G36" s="259" t="s">
        <v>503</v>
      </c>
      <c r="H36" s="258" t="n">
        <f aca="false">IF($C36=0,"",$D36-$C36)</f>
        <v>0.104166666666667</v>
      </c>
      <c r="I36" s="260" t="n">
        <f aca="false">IF($C36=0,"",($H36-INT($H36))*24)</f>
        <v>2.5</v>
      </c>
      <c r="J36" s="303" t="n">
        <f aca="false">SUMIF(Horodateur1123353819223134374346495255586164698522263438465058546266707478829098941021061141181101221261301341381421461501541581621661701741781821861901941982022062102144101418222630343846[Jour],$B36,Horodateur1123353819223134374346495255586164698522263438465058546266707478829098941021061141181101221261301341381421461501541581621661701741781821861901941982022062102144101418222630343846[Durée (100)])</f>
        <v>8.25</v>
      </c>
      <c r="K36" s="335"/>
      <c r="L36" s="188" t="s">
        <v>31</v>
      </c>
      <c r="M36" s="272" t="n">
        <f aca="false">IF(Horodateur1123353819223134374346495255586164698522263438465058546266707478829098941021061141181101221261301341381421461501541581621661701741781821861901941982022062102144101418222630343846[[#This Row],[O]]="o",Horodateur1123353819223134374346495255586164698522263438465058546266707478829098941021061141181101221261301341381421461501541581621661701741781821861901941982022062102144101418222630343846[[#This Row],[Durée (100)]],".")</f>
        <v>2.5</v>
      </c>
      <c r="N36" s="187"/>
      <c r="O36" s="71"/>
      <c r="P36" s="71"/>
      <c r="Q36" s="71"/>
      <c r="R36" s="71"/>
      <c r="S36" s="71"/>
      <c r="T36" s="71"/>
      <c r="U36" s="71"/>
      <c r="V36" s="71"/>
      <c r="W36" s="71"/>
      <c r="X36" s="71"/>
      <c r="Y36" s="71"/>
      <c r="Z36" s="71"/>
      <c r="AA36" s="71"/>
      <c r="AB36" s="71"/>
      <c r="AC36" s="71"/>
      <c r="AD36" s="71"/>
      <c r="AE36" s="71"/>
      <c r="AF36" s="71"/>
      <c r="AG36" s="71"/>
    </row>
    <row r="37" customFormat="false" ht="15" hidden="false" customHeight="false" outlineLevel="0" collapsed="false">
      <c r="A37" s="256" t="n">
        <f aca="false">IF(Horodateur1123353819223134374346495255586164698522263438465058546266707478829098941021061141181101221261301341381421461501541581621661701741781821861901941982022062102144101418222630343846[[#This Row],[Jour]]="1- Lundi",$B$1+1, IF(Horodateur1123353819223134374346495255586164698522263438465058546266707478829098941021061141181101221261301341381421461501541581621661701741781821861901941982022062102144101418222630343846[[#This Row],[Jour]]="2- Mardi",$B$1+2, IF(Horodateur1123353819223134374346495255586164698522263438465058546266707478829098941021061141181101221261301341381421461501541581621661701741781821861901941982022062102144101418222630343846[[#This Row],[Jour]]="3- Mercredi",$B$1+3, IF(Horodateur1123353819223134374346495255586164698522263438465058546266707478829098941021061141181101221261301341381421461501541581621661701741781821861901941982022062102144101418222630343846[[#This Row],[Jour]]="4- Jeudi",$B$1+4, IF(Horodateur1123353819223134374346495255586164698522263438465058546266707478829098941021061141181101221261301341381421461501541581621661701741781821861901941982022062102144101418222630343846[[#This Row],[Jour]]="5- Vendredi",$B$1+5, IF(Horodateur1123353819223134374346495255586164698522263438465058546266707478829098941021061141181101221261301341381421461501541581621661701741781821861901941982022062102144101418222630343846[[#This Row],[Jour]]="6- Samedi",$B$1+6, IF(Horodateur1123353819223134374346495255586164698522263438465058546266707478829098941021061141181101221261301341381421461501541581621661701741781821861901941982022062102144101418222630343846[[#This Row],[Jour]]="7- Dimanche",$B$1, )))))))</f>
        <v>44281</v>
      </c>
      <c r="B37" s="257" t="s">
        <v>332</v>
      </c>
      <c r="C37" s="258" t="n">
        <v>0.708333333333333</v>
      </c>
      <c r="D37" s="258" t="n">
        <v>0.791666666666667</v>
      </c>
      <c r="E37" s="71" t="s">
        <v>363</v>
      </c>
      <c r="F37" s="71" t="s">
        <v>378</v>
      </c>
      <c r="G37" s="259" t="s">
        <v>504</v>
      </c>
      <c r="H37" s="258" t="n">
        <f aca="false">IF($C37=0,"",$D37-$C37)</f>
        <v>0.0833333333333333</v>
      </c>
      <c r="I37" s="260" t="n">
        <f aca="false">IF($C37=0,"",($H37-INT($H37))*24)</f>
        <v>2</v>
      </c>
      <c r="J37" s="303" t="n">
        <f aca="false">SUMIF(Horodateur1123353819223134374346495255586164698522263438465058546266707478829098941021061141181101221261301341381421461501541581621661701741781821861901941982022062102144101418222630343846[Jour],$B37,Horodateur1123353819223134374346495255586164698522263438465058546266707478829098941021061141181101221261301341381421461501541581621661701741781821861901941982022062102144101418222630343846[Durée (100)])</f>
        <v>8.25</v>
      </c>
      <c r="K37" s="335"/>
      <c r="L37" s="188" t="s">
        <v>31</v>
      </c>
      <c r="M37" s="272" t="n">
        <f aca="false">IF(Horodateur1123353819223134374346495255586164698522263438465058546266707478829098941021061141181101221261301341381421461501541581621661701741781821861901941982022062102144101418222630343846[[#This Row],[O]]="o",Horodateur1123353819223134374346495255586164698522263438465058546266707478829098941021061141181101221261301341381421461501541581621661701741781821861901941982022062102144101418222630343846[[#This Row],[Durée (100)]],".")</f>
        <v>2</v>
      </c>
      <c r="N37" s="187"/>
      <c r="O37" s="71"/>
      <c r="P37" s="71"/>
      <c r="Q37" s="71"/>
      <c r="R37" s="71"/>
      <c r="S37" s="71"/>
      <c r="T37" s="71"/>
      <c r="U37" s="71"/>
      <c r="V37" s="71"/>
      <c r="W37" s="71"/>
      <c r="X37" s="71"/>
      <c r="Y37" s="71"/>
      <c r="Z37" s="71"/>
      <c r="AA37" s="71"/>
      <c r="AB37" s="71"/>
      <c r="AC37" s="71"/>
      <c r="AD37" s="71"/>
      <c r="AE37" s="71"/>
      <c r="AF37" s="71"/>
      <c r="AG37" s="71"/>
    </row>
    <row r="38" customFormat="false" ht="15" hidden="false" customHeight="false" outlineLevel="0" collapsed="false">
      <c r="A38" s="256" t="n">
        <f aca="false">IF(Horodateur1123353819223134374346495255586164698522263438465058546266707478829098941021061141181101221261301341381421461501541581621661701741781821861901941982022062102144101418222630343846[[#This Row],[Jour]]="1- Lundi",$B$1+1, IF(Horodateur1123353819223134374346495255586164698522263438465058546266707478829098941021061141181101221261301341381421461501541581621661701741781821861901941982022062102144101418222630343846[[#This Row],[Jour]]="2- Mardi",$B$1+2, IF(Horodateur1123353819223134374346495255586164698522263438465058546266707478829098941021061141181101221261301341381421461501541581621661701741781821861901941982022062102144101418222630343846[[#This Row],[Jour]]="3- Mercredi",$B$1+3, IF(Horodateur1123353819223134374346495255586164698522263438465058546266707478829098941021061141181101221261301341381421461501541581621661701741781821861901941982022062102144101418222630343846[[#This Row],[Jour]]="4- Jeudi",$B$1+4, IF(Horodateur1123353819223134374346495255586164698522263438465058546266707478829098941021061141181101221261301341381421461501541581621661701741781821861901941982022062102144101418222630343846[[#This Row],[Jour]]="5- Vendredi",$B$1+5, IF(Horodateur1123353819223134374346495255586164698522263438465058546266707478829098941021061141181101221261301341381421461501541581621661701741781821861901941982022062102144101418222630343846[[#This Row],[Jour]]="6- Samedi",$B$1+6, IF(Horodateur1123353819223134374346495255586164698522263438465058546266707478829098941021061141181101221261301341381421461501541581621661701741781821861901941982022062102144101418222630343846[[#This Row],[Jour]]="7- Dimanche",$B$1, )))))))</f>
        <v>44282</v>
      </c>
      <c r="B38" s="257" t="s">
        <v>335</v>
      </c>
      <c r="C38" s="258" t="n">
        <v>0.3125</v>
      </c>
      <c r="D38" s="258" t="n">
        <v>0.354166666666667</v>
      </c>
      <c r="E38" s="71" t="s">
        <v>32</v>
      </c>
      <c r="F38" s="71" t="s">
        <v>22</v>
      </c>
      <c r="G38" s="259"/>
      <c r="H38" s="258" t="n">
        <f aca="false">IF($C38=0,"",$D38-$C38)</f>
        <v>0.0416666666666667</v>
      </c>
      <c r="I38" s="260" t="n">
        <f aca="false">IF($C38=0,"",($H38-INT($H38))*24)</f>
        <v>1</v>
      </c>
      <c r="J38" s="303" t="n">
        <f aca="false">SUMIF(Horodateur1123353819223134374346495255586164698522263438465058546266707478829098941021061141181101221261301341381421461501541581621661701741781821861901941982022062102144101418222630343846[Jour],$B38,Horodateur1123353819223134374346495255586164698522263438465058546266707478829098941021061141181101221261301341381421461501541581621661701741781821861901941982022062102144101418222630343846[Durée (100)])</f>
        <v>6.5</v>
      </c>
      <c r="K38" s="335"/>
      <c r="L38" s="188" t="s">
        <v>31</v>
      </c>
      <c r="M38" s="272" t="n">
        <f aca="false">IF(Horodateur1123353819223134374346495255586164698522263438465058546266707478829098941021061141181101221261301341381421461501541581621661701741781821861901941982022062102144101418222630343846[[#This Row],[O]]="o",Horodateur1123353819223134374346495255586164698522263438465058546266707478829098941021061141181101221261301341381421461501541581621661701741781821861901941982022062102144101418222630343846[[#This Row],[Durée (100)]],".")</f>
        <v>1</v>
      </c>
      <c r="N38" s="187"/>
      <c r="O38" s="71"/>
      <c r="P38" s="71"/>
      <c r="Q38" s="71"/>
      <c r="R38" s="71"/>
      <c r="S38" s="71"/>
      <c r="T38" s="71"/>
      <c r="U38" s="71"/>
      <c r="V38" s="71"/>
      <c r="W38" s="71"/>
      <c r="X38" s="71"/>
      <c r="Y38" s="71"/>
      <c r="Z38" s="71"/>
      <c r="AA38" s="71"/>
      <c r="AB38" s="71"/>
      <c r="AC38" s="71"/>
      <c r="AD38" s="71"/>
      <c r="AE38" s="71"/>
      <c r="AF38" s="71"/>
      <c r="AG38" s="71"/>
    </row>
    <row r="39" customFormat="false" ht="15" hidden="false" customHeight="false" outlineLevel="0" collapsed="false">
      <c r="A39" s="256" t="n">
        <f aca="false">IF(Horodateur1123353819223134374346495255586164698522263438465058546266707478829098941021061141181101221261301341381421461501541581621661701741781821861901941982022062102144101418222630343846[[#This Row],[Jour]]="1- Lundi",$B$1+1, IF(Horodateur1123353819223134374346495255586164698522263438465058546266707478829098941021061141181101221261301341381421461501541581621661701741781821861901941982022062102144101418222630343846[[#This Row],[Jour]]="2- Mardi",$B$1+2, IF(Horodateur1123353819223134374346495255586164698522263438465058546266707478829098941021061141181101221261301341381421461501541581621661701741781821861901941982022062102144101418222630343846[[#This Row],[Jour]]="3- Mercredi",$B$1+3, IF(Horodateur1123353819223134374346495255586164698522263438465058546266707478829098941021061141181101221261301341381421461501541581621661701741781821861901941982022062102144101418222630343846[[#This Row],[Jour]]="4- Jeudi",$B$1+4, IF(Horodateur1123353819223134374346495255586164698522263438465058546266707478829098941021061141181101221261301341381421461501541581621661701741781821861901941982022062102144101418222630343846[[#This Row],[Jour]]="5- Vendredi",$B$1+5, IF(Horodateur1123353819223134374346495255586164698522263438465058546266707478829098941021061141181101221261301341381421461501541581621661701741781821861901941982022062102144101418222630343846[[#This Row],[Jour]]="6- Samedi",$B$1+6, IF(Horodateur1123353819223134374346495255586164698522263438465058546266707478829098941021061141181101221261301341381421461501541581621661701741781821861901941982022062102144101418222630343846[[#This Row],[Jour]]="7- Dimanche",$B$1, )))))))</f>
        <v>44282</v>
      </c>
      <c r="B39" s="257" t="s">
        <v>335</v>
      </c>
      <c r="C39" s="258" t="n">
        <v>0.354166666666667</v>
      </c>
      <c r="D39" s="258" t="n">
        <v>0.375</v>
      </c>
      <c r="E39" s="71" t="s">
        <v>32</v>
      </c>
      <c r="F39" s="71" t="s">
        <v>22</v>
      </c>
      <c r="G39" s="259" t="s">
        <v>505</v>
      </c>
      <c r="H39" s="258" t="n">
        <f aca="false">IF($C39=0,"",$D39-$C39)</f>
        <v>0.0208333333333333</v>
      </c>
      <c r="I39" s="260" t="n">
        <f aca="false">IF($C39=0,"",($H39-INT($H39))*24)</f>
        <v>0.5</v>
      </c>
      <c r="J39" s="303" t="n">
        <f aca="false">SUMIF(Horodateur1123353819223134374346495255586164698522263438465058546266707478829098941021061141181101221261301341381421461501541581621661701741781821861901941982022062102144101418222630343846[Jour],$B39,Horodateur1123353819223134374346495255586164698522263438465058546266707478829098941021061141181101221261301341381421461501541581621661701741781821861901941982022062102144101418222630343846[Durée (100)])</f>
        <v>6.5</v>
      </c>
      <c r="K39" s="335"/>
      <c r="L39" s="188" t="s">
        <v>31</v>
      </c>
      <c r="M39" s="272" t="n">
        <f aca="false">IF(Horodateur1123353819223134374346495255586164698522263438465058546266707478829098941021061141181101221261301341381421461501541581621661701741781821861901941982022062102144101418222630343846[[#This Row],[O]]="o",Horodateur1123353819223134374346495255586164698522263438465058546266707478829098941021061141181101221261301341381421461501541581621661701741781821861901941982022062102144101418222630343846[[#This Row],[Durée (100)]],".")</f>
        <v>0.5</v>
      </c>
      <c r="N39" s="187"/>
      <c r="O39" s="71"/>
      <c r="P39" s="71"/>
      <c r="Q39" s="71"/>
      <c r="R39" s="71"/>
      <c r="S39" s="71"/>
      <c r="T39" s="71"/>
      <c r="U39" s="71"/>
      <c r="V39" s="71"/>
      <c r="W39" s="71"/>
      <c r="X39" s="71"/>
      <c r="Y39" s="71"/>
      <c r="Z39" s="71"/>
      <c r="AA39" s="71"/>
      <c r="AB39" s="71"/>
      <c r="AC39" s="71"/>
      <c r="AD39" s="71"/>
      <c r="AE39" s="71"/>
      <c r="AF39" s="71"/>
      <c r="AG39" s="71"/>
    </row>
    <row r="40" customFormat="false" ht="15" hidden="false" customHeight="false" outlineLevel="0" collapsed="false">
      <c r="A40" s="256" t="n">
        <f aca="false">IF(Horodateur1123353819223134374346495255586164698522263438465058546266707478829098941021061141181101221261301341381421461501541581621661701741781821861901941982022062102144101418222630343846[[#This Row],[Jour]]="1- Lundi",$B$1+1, IF(Horodateur1123353819223134374346495255586164698522263438465058546266707478829098941021061141181101221261301341381421461501541581621661701741781821861901941982022062102144101418222630343846[[#This Row],[Jour]]="2- Mardi",$B$1+2, IF(Horodateur1123353819223134374346495255586164698522263438465058546266707478829098941021061141181101221261301341381421461501541581621661701741781821861901941982022062102144101418222630343846[[#This Row],[Jour]]="3- Mercredi",$B$1+3, IF(Horodateur1123353819223134374346495255586164698522263438465058546266707478829098941021061141181101221261301341381421461501541581621661701741781821861901941982022062102144101418222630343846[[#This Row],[Jour]]="4- Jeudi",$B$1+4, IF(Horodateur1123353819223134374346495255586164698522263438465058546266707478829098941021061141181101221261301341381421461501541581621661701741781821861901941982022062102144101418222630343846[[#This Row],[Jour]]="5- Vendredi",$B$1+5, IF(Horodateur1123353819223134374346495255586164698522263438465058546266707478829098941021061141181101221261301341381421461501541581621661701741781821861901941982022062102144101418222630343846[[#This Row],[Jour]]="6- Samedi",$B$1+6, IF(Horodateur1123353819223134374346495255586164698522263438465058546266707478829098941021061141181101221261301341381421461501541581621661701741781821861901941982022062102144101418222630343846[[#This Row],[Jour]]="7- Dimanche",$B$1, )))))))</f>
        <v>44282</v>
      </c>
      <c r="B40" s="257" t="s">
        <v>335</v>
      </c>
      <c r="C40" s="258" t="n">
        <v>0.375</v>
      </c>
      <c r="D40" s="258" t="n">
        <v>0.416666666666667</v>
      </c>
      <c r="E40" s="71" t="s">
        <v>32</v>
      </c>
      <c r="F40" s="71" t="s">
        <v>22</v>
      </c>
      <c r="G40" s="259" t="s">
        <v>118</v>
      </c>
      <c r="H40" s="258" t="n">
        <f aca="false">IF($C40=0,"",$D40-$C40)</f>
        <v>0.0416666666666667</v>
      </c>
      <c r="I40" s="260" t="n">
        <f aca="false">IF($C40=0,"",($H40-INT($H40))*24)</f>
        <v>1</v>
      </c>
      <c r="J40" s="303" t="n">
        <f aca="false">SUMIF(Horodateur1123353819223134374346495255586164698522263438465058546266707478829098941021061141181101221261301341381421461501541581621661701741781821861901941982022062102144101418222630343846[Jour],$B40,Horodateur1123353819223134374346495255586164698522263438465058546266707478829098941021061141181101221261301341381421461501541581621661701741781821861901941982022062102144101418222630343846[Durée (100)])</f>
        <v>6.5</v>
      </c>
      <c r="K40" s="335"/>
      <c r="L40" s="188" t="s">
        <v>31</v>
      </c>
      <c r="M40" s="272" t="n">
        <f aca="false">IF(Horodateur1123353819223134374346495255586164698522263438465058546266707478829098941021061141181101221261301341381421461501541581621661701741781821861901941982022062102144101418222630343846[[#This Row],[O]]="o",Horodateur1123353819223134374346495255586164698522263438465058546266707478829098941021061141181101221261301341381421461501541581621661701741781821861901941982022062102144101418222630343846[[#This Row],[Durée (100)]],".")</f>
        <v>1</v>
      </c>
      <c r="N40" s="187"/>
      <c r="O40" s="71"/>
      <c r="P40" s="71"/>
      <c r="Q40" s="71"/>
      <c r="R40" s="71"/>
      <c r="S40" s="71"/>
      <c r="T40" s="71"/>
      <c r="U40" s="71"/>
      <c r="V40" s="71"/>
      <c r="W40" s="71"/>
      <c r="X40" s="71"/>
      <c r="Y40" s="71"/>
      <c r="Z40" s="71"/>
      <c r="AA40" s="71"/>
      <c r="AB40" s="71"/>
      <c r="AC40" s="71"/>
      <c r="AD40" s="71"/>
      <c r="AE40" s="71"/>
      <c r="AF40" s="71"/>
      <c r="AG40" s="71"/>
    </row>
    <row r="41" customFormat="false" ht="15" hidden="false" customHeight="false" outlineLevel="0" collapsed="false">
      <c r="A41" s="256" t="n">
        <f aca="false">IF(Horodateur1123353819223134374346495255586164698522263438465058546266707478829098941021061141181101221261301341381421461501541581621661701741781821861901941982022062102144101418222630343846[[#This Row],[Jour]]="1- Lundi",$B$1+1, IF(Horodateur1123353819223134374346495255586164698522263438465058546266707478829098941021061141181101221261301341381421461501541581621661701741781821861901941982022062102144101418222630343846[[#This Row],[Jour]]="2- Mardi",$B$1+2, IF(Horodateur1123353819223134374346495255586164698522263438465058546266707478829098941021061141181101221261301341381421461501541581621661701741781821861901941982022062102144101418222630343846[[#This Row],[Jour]]="3- Mercredi",$B$1+3, IF(Horodateur1123353819223134374346495255586164698522263438465058546266707478829098941021061141181101221261301341381421461501541581621661701741781821861901941982022062102144101418222630343846[[#This Row],[Jour]]="4- Jeudi",$B$1+4, IF(Horodateur1123353819223134374346495255586164698522263438465058546266707478829098941021061141181101221261301341381421461501541581621661701741781821861901941982022062102144101418222630343846[[#This Row],[Jour]]="5- Vendredi",$B$1+5, IF(Horodateur1123353819223134374346495255586164698522263438465058546266707478829098941021061141181101221261301341381421461501541581621661701741781821861901941982022062102144101418222630343846[[#This Row],[Jour]]="6- Samedi",$B$1+6, IF(Horodateur1123353819223134374346495255586164698522263438465058546266707478829098941021061141181101221261301341381421461501541581621661701741781821861901941982022062102144101418222630343846[[#This Row],[Jour]]="7- Dimanche",$B$1, )))))))</f>
        <v>44282</v>
      </c>
      <c r="B41" s="257" t="s">
        <v>335</v>
      </c>
      <c r="C41" s="258" t="n">
        <v>0.395833333333333</v>
      </c>
      <c r="D41" s="258" t="n">
        <v>0.416666666666667</v>
      </c>
      <c r="E41" s="71" t="s">
        <v>59</v>
      </c>
      <c r="F41" s="71" t="s">
        <v>379</v>
      </c>
      <c r="G41" s="259" t="s">
        <v>506</v>
      </c>
      <c r="H41" s="258" t="n">
        <f aca="false">IF($C41=0,"",$D41-$C41)</f>
        <v>0.0208333333333333</v>
      </c>
      <c r="I41" s="260" t="n">
        <f aca="false">IF($C41=0,"",($H41-INT($H41))*24)</f>
        <v>0.5</v>
      </c>
      <c r="J41" s="303" t="n">
        <f aca="false">SUMIF(Horodateur1123353819223134374346495255586164698522263438465058546266707478829098941021061141181101221261301341381421461501541581621661701741781821861901941982022062102144101418222630343846[Jour],$B41,Horodateur1123353819223134374346495255586164698522263438465058546266707478829098941021061141181101221261301341381421461501541581621661701741781821861901941982022062102144101418222630343846[Durée (100)])</f>
        <v>6.5</v>
      </c>
      <c r="K41" s="335"/>
      <c r="L41" s="188" t="s">
        <v>31</v>
      </c>
      <c r="M41" s="272" t="n">
        <f aca="false">IF(Horodateur1123353819223134374346495255586164698522263438465058546266707478829098941021061141181101221261301341381421461501541581621661701741781821861901941982022062102144101418222630343846[[#This Row],[O]]="o",Horodateur1123353819223134374346495255586164698522263438465058546266707478829098941021061141181101221261301341381421461501541581621661701741781821861901941982022062102144101418222630343846[[#This Row],[Durée (100)]],".")</f>
        <v>0.500000000000001</v>
      </c>
      <c r="N41" s="187"/>
      <c r="O41" s="71"/>
      <c r="P41" s="71"/>
      <c r="Q41" s="71"/>
      <c r="R41" s="71"/>
      <c r="S41" s="71"/>
      <c r="T41" s="71"/>
      <c r="U41" s="71"/>
      <c r="V41" s="71"/>
      <c r="W41" s="71"/>
      <c r="X41" s="71"/>
      <c r="Y41" s="71"/>
      <c r="Z41" s="71"/>
      <c r="AA41" s="71"/>
      <c r="AB41" s="71"/>
      <c r="AC41" s="71"/>
      <c r="AD41" s="71"/>
      <c r="AE41" s="71"/>
      <c r="AF41" s="71"/>
      <c r="AG41" s="71"/>
    </row>
    <row r="42" customFormat="false" ht="15" hidden="false" customHeight="false" outlineLevel="0" collapsed="false">
      <c r="A42" s="256" t="n">
        <f aca="false">IF(Horodateur1123353819223134374346495255586164698522263438465058546266707478829098941021061141181101221261301341381421461501541581621661701741781821861901941982022062102144101418222630343846[[#This Row],[Jour]]="1- Lundi",$B$1+1, IF(Horodateur1123353819223134374346495255586164698522263438465058546266707478829098941021061141181101221261301341381421461501541581621661701741781821861901941982022062102144101418222630343846[[#This Row],[Jour]]="2- Mardi",$B$1+2, IF(Horodateur1123353819223134374346495255586164698522263438465058546266707478829098941021061141181101221261301341381421461501541581621661701741781821861901941982022062102144101418222630343846[[#This Row],[Jour]]="3- Mercredi",$B$1+3, IF(Horodateur1123353819223134374346495255586164698522263438465058546266707478829098941021061141181101221261301341381421461501541581621661701741781821861901941982022062102144101418222630343846[[#This Row],[Jour]]="4- Jeudi",$B$1+4, IF(Horodateur1123353819223134374346495255586164698522263438465058546266707478829098941021061141181101221261301341381421461501541581621661701741781821861901941982022062102144101418222630343846[[#This Row],[Jour]]="5- Vendredi",$B$1+5, IF(Horodateur1123353819223134374346495255586164698522263438465058546266707478829098941021061141181101221261301341381421461501541581621661701741781821861901941982022062102144101418222630343846[[#This Row],[Jour]]="6- Samedi",$B$1+6, IF(Horodateur1123353819223134374346495255586164698522263438465058546266707478829098941021061141181101221261301341381421461501541581621661701741781821861901941982022062102144101418222630343846[[#This Row],[Jour]]="7- Dimanche",$B$1, )))))))</f>
        <v>44282</v>
      </c>
      <c r="B42" s="257" t="s">
        <v>335</v>
      </c>
      <c r="C42" s="258" t="n">
        <v>0.416666666666667</v>
      </c>
      <c r="D42" s="258" t="n">
        <v>0.4375</v>
      </c>
      <c r="E42" s="71" t="s">
        <v>363</v>
      </c>
      <c r="F42" s="71" t="s">
        <v>379</v>
      </c>
      <c r="G42" s="259" t="s">
        <v>55</v>
      </c>
      <c r="H42" s="258" t="n">
        <f aca="false">IF($C42=0,"",$D42-$C42)</f>
        <v>0.0208333333333333</v>
      </c>
      <c r="I42" s="260" t="n">
        <f aca="false">IF($C42=0,"",($H42-INT($H42))*24)</f>
        <v>0.5</v>
      </c>
      <c r="J42" s="303" t="n">
        <f aca="false">SUMIF(Horodateur1123353819223134374346495255586164698522263438465058546266707478829098941021061141181101221261301341381421461501541581621661701741781821861901941982022062102144101418222630343846[Jour],$B42,Horodateur1123353819223134374346495255586164698522263438465058546266707478829098941021061141181101221261301341381421461501541581621661701741781821861901941982022062102144101418222630343846[Durée (100)])</f>
        <v>6.5</v>
      </c>
      <c r="K42" s="335"/>
      <c r="L42" s="188" t="s">
        <v>31</v>
      </c>
      <c r="M42" s="272" t="n">
        <f aca="false">IF(Horodateur1123353819223134374346495255586164698522263438465058546266707478829098941021061141181101221261301341381421461501541581621661701741781821861901941982022062102144101418222630343846[[#This Row],[O]]="o",Horodateur1123353819223134374346495255586164698522263438465058546266707478829098941021061141181101221261301341381421461501541581621661701741781821861901941982022062102144101418222630343846[[#This Row],[Durée (100)]],".")</f>
        <v>0.5</v>
      </c>
      <c r="N42" s="187"/>
      <c r="O42" s="71"/>
      <c r="P42" s="71"/>
      <c r="Q42" s="71"/>
      <c r="R42" s="71"/>
      <c r="S42" s="71"/>
      <c r="T42" s="71"/>
      <c r="U42" s="71"/>
      <c r="V42" s="71"/>
      <c r="W42" s="71"/>
      <c r="X42" s="71"/>
      <c r="Y42" s="71"/>
      <c r="Z42" s="71"/>
      <c r="AA42" s="71"/>
      <c r="AB42" s="71"/>
      <c r="AC42" s="71"/>
      <c r="AD42" s="71"/>
      <c r="AE42" s="71"/>
      <c r="AF42" s="71"/>
      <c r="AG42" s="71"/>
    </row>
    <row r="43" customFormat="false" ht="15" hidden="false" customHeight="false" outlineLevel="0" collapsed="false">
      <c r="A43" s="256" t="n">
        <f aca="false">IF(Horodateur1123353819223134374346495255586164698522263438465058546266707478829098941021061141181101221261301341381421461501541581621661701741781821861901941982022062102144101418222630343846[[#This Row],[Jour]]="1- Lundi",$B$1+1, IF(Horodateur1123353819223134374346495255586164698522263438465058546266707478829098941021061141181101221261301341381421461501541581621661701741781821861901941982022062102144101418222630343846[[#This Row],[Jour]]="2- Mardi",$B$1+2, IF(Horodateur1123353819223134374346495255586164698522263438465058546266707478829098941021061141181101221261301341381421461501541581621661701741781821861901941982022062102144101418222630343846[[#This Row],[Jour]]="3- Mercredi",$B$1+3, IF(Horodateur1123353819223134374346495255586164698522263438465058546266707478829098941021061141181101221261301341381421461501541581621661701741781821861901941982022062102144101418222630343846[[#This Row],[Jour]]="4- Jeudi",$B$1+4, IF(Horodateur1123353819223134374346495255586164698522263438465058546266707478829098941021061141181101221261301341381421461501541581621661701741781821861901941982022062102144101418222630343846[[#This Row],[Jour]]="5- Vendredi",$B$1+5, IF(Horodateur1123353819223134374346495255586164698522263438465058546266707478829098941021061141181101221261301341381421461501541581621661701741781821861901941982022062102144101418222630343846[[#This Row],[Jour]]="6- Samedi",$B$1+6, IF(Horodateur1123353819223134374346495255586164698522263438465058546266707478829098941021061141181101221261301341381421461501541581621661701741781821861901941982022062102144101418222630343846[[#This Row],[Jour]]="7- Dimanche",$B$1, )))))))</f>
        <v>44282</v>
      </c>
      <c r="B43" s="257" t="s">
        <v>335</v>
      </c>
      <c r="C43" s="258" t="n">
        <v>0.4375</v>
      </c>
      <c r="D43" s="258" t="n">
        <v>0.458333333333333</v>
      </c>
      <c r="E43" s="71" t="s">
        <v>32</v>
      </c>
      <c r="F43" s="71" t="s">
        <v>21</v>
      </c>
      <c r="G43" s="259"/>
      <c r="H43" s="258" t="n">
        <f aca="false">IF($C43=0,"",$D43-$C43)</f>
        <v>0.0208333333333333</v>
      </c>
      <c r="I43" s="260" t="n">
        <f aca="false">IF($C43=0,"",($H43-INT($H43))*24)</f>
        <v>0.5</v>
      </c>
      <c r="J43" s="303" t="n">
        <f aca="false">SUMIF(Horodateur1123353819223134374346495255586164698522263438465058546266707478829098941021061141181101221261301341381421461501541581621661701741781821861901941982022062102144101418222630343846[Jour],$B43,Horodateur1123353819223134374346495255586164698522263438465058546266707478829098941021061141181101221261301341381421461501541581621661701741781821861901941982022062102144101418222630343846[Durée (100)])</f>
        <v>6.5</v>
      </c>
      <c r="K43" s="335"/>
      <c r="L43" s="188" t="s">
        <v>31</v>
      </c>
      <c r="M43" s="272" t="n">
        <f aca="false">IF(Horodateur1123353819223134374346495255586164698522263438465058546266707478829098941021061141181101221261301341381421461501541581621661701741781821861901941982022062102144101418222630343846[[#This Row],[O]]="o",Horodateur1123353819223134374346495255586164698522263438465058546266707478829098941021061141181101221261301341381421461501541581621661701741781821861901941982022062102144101418222630343846[[#This Row],[Durée (100)]],".")</f>
        <v>0.5</v>
      </c>
      <c r="N43" s="187"/>
      <c r="O43" s="71"/>
      <c r="P43" s="71"/>
      <c r="Q43" s="71"/>
      <c r="R43" s="71"/>
      <c r="S43" s="71"/>
      <c r="T43" s="71"/>
      <c r="U43" s="71"/>
      <c r="V43" s="71"/>
      <c r="W43" s="71"/>
      <c r="X43" s="71"/>
      <c r="Y43" s="71"/>
      <c r="Z43" s="71"/>
      <c r="AA43" s="71"/>
      <c r="AB43" s="71"/>
      <c r="AC43" s="71"/>
      <c r="AD43" s="71"/>
      <c r="AE43" s="71"/>
      <c r="AF43" s="71"/>
      <c r="AG43" s="71"/>
    </row>
    <row r="44" customFormat="false" ht="15" hidden="false" customHeight="false" outlineLevel="0" collapsed="false">
      <c r="A44" s="256" t="n">
        <f aca="false">IF(Horodateur1123353819223134374346495255586164698522263438465058546266707478829098941021061141181101221261301341381421461501541581621661701741781821861901941982022062102144101418222630343846[[#This Row],[Jour]]="1- Lundi",$B$1+1, IF(Horodateur1123353819223134374346495255586164698522263438465058546266707478829098941021061141181101221261301341381421461501541581621661701741781821861901941982022062102144101418222630343846[[#This Row],[Jour]]="2- Mardi",$B$1+2, IF(Horodateur1123353819223134374346495255586164698522263438465058546266707478829098941021061141181101221261301341381421461501541581621661701741781821861901941982022062102144101418222630343846[[#This Row],[Jour]]="3- Mercredi",$B$1+3, IF(Horodateur1123353819223134374346495255586164698522263438465058546266707478829098941021061141181101221261301341381421461501541581621661701741781821861901941982022062102144101418222630343846[[#This Row],[Jour]]="4- Jeudi",$B$1+4, IF(Horodateur1123353819223134374346495255586164698522263438465058546266707478829098941021061141181101221261301341381421461501541581621661701741781821861901941982022062102144101418222630343846[[#This Row],[Jour]]="5- Vendredi",$B$1+5, IF(Horodateur1123353819223134374346495255586164698522263438465058546266707478829098941021061141181101221261301341381421461501541581621661701741781821861901941982022062102144101418222630343846[[#This Row],[Jour]]="6- Samedi",$B$1+6, IF(Horodateur1123353819223134374346495255586164698522263438465058546266707478829098941021061141181101221261301341381421461501541581621661701741781821861901941982022062102144101418222630343846[[#This Row],[Jour]]="7- Dimanche",$B$1, )))))))</f>
        <v>44282</v>
      </c>
      <c r="B44" s="257" t="s">
        <v>335</v>
      </c>
      <c r="C44" s="258" t="n">
        <v>0.458333333333333</v>
      </c>
      <c r="D44" s="258" t="n">
        <v>0.479166666666667</v>
      </c>
      <c r="E44" s="71" t="s">
        <v>81</v>
      </c>
      <c r="F44" s="71" t="s">
        <v>379</v>
      </c>
      <c r="G44" s="259" t="s">
        <v>507</v>
      </c>
      <c r="H44" s="258" t="n">
        <f aca="false">IF($C44=0,"",$D44-$C44)</f>
        <v>0.0208333333333333</v>
      </c>
      <c r="I44" s="260" t="n">
        <f aca="false">IF($C44=0,"",($H44-INT($H44))*24)</f>
        <v>0.5</v>
      </c>
      <c r="J44" s="303" t="n">
        <f aca="false">SUMIF(Horodateur1123353819223134374346495255586164698522263438465058546266707478829098941021061141181101221261301341381421461501541581621661701741781821861901941982022062102144101418222630343846[Jour],$B44,Horodateur1123353819223134374346495255586164698522263438465058546266707478829098941021061141181101221261301341381421461501541581621661701741781821861901941982022062102144101418222630343846[Durée (100)])</f>
        <v>6.5</v>
      </c>
      <c r="K44" s="335"/>
      <c r="L44" s="188" t="s">
        <v>31</v>
      </c>
      <c r="M44" s="272" t="n">
        <f aca="false">IF(Horodateur1123353819223134374346495255586164698522263438465058546266707478829098941021061141181101221261301341381421461501541581621661701741781821861901941982022062102144101418222630343846[[#This Row],[O]]="o",Horodateur1123353819223134374346495255586164698522263438465058546266707478829098941021061141181101221261301341381421461501541581621661701741781821861901941982022062102144101418222630343846[[#This Row],[Durée (100)]],".")</f>
        <v>0.500000000000001</v>
      </c>
      <c r="N44" s="187"/>
      <c r="O44" s="71"/>
      <c r="P44" s="71"/>
      <c r="Q44" s="71"/>
      <c r="R44" s="71"/>
      <c r="S44" s="71"/>
      <c r="T44" s="71"/>
      <c r="U44" s="71"/>
      <c r="V44" s="71"/>
      <c r="W44" s="71"/>
      <c r="X44" s="71"/>
      <c r="Y44" s="71"/>
      <c r="Z44" s="71"/>
      <c r="AA44" s="71"/>
      <c r="AB44" s="71"/>
      <c r="AC44" s="71"/>
      <c r="AD44" s="71"/>
      <c r="AE44" s="71"/>
      <c r="AF44" s="71"/>
      <c r="AG44" s="71"/>
    </row>
    <row r="45" customFormat="false" ht="15" hidden="false" customHeight="false" outlineLevel="0" collapsed="false">
      <c r="A45" s="256" t="n">
        <f aca="false">IF(Horodateur1123353819223134374346495255586164698522263438465058546266707478829098941021061141181101221261301341381421461501541581621661701741781821861901941982022062102144101418222630343846[[#This Row],[Jour]]="1- Lundi",$B$1+1, IF(Horodateur1123353819223134374346495255586164698522263438465058546266707478829098941021061141181101221261301341381421461501541581621661701741781821861901941982022062102144101418222630343846[[#This Row],[Jour]]="2- Mardi",$B$1+2, IF(Horodateur1123353819223134374346495255586164698522263438465058546266707478829098941021061141181101221261301341381421461501541581621661701741781821861901941982022062102144101418222630343846[[#This Row],[Jour]]="3- Mercredi",$B$1+3, IF(Horodateur1123353819223134374346495255586164698522263438465058546266707478829098941021061141181101221261301341381421461501541581621661701741781821861901941982022062102144101418222630343846[[#This Row],[Jour]]="4- Jeudi",$B$1+4, IF(Horodateur1123353819223134374346495255586164698522263438465058546266707478829098941021061141181101221261301341381421461501541581621661701741781821861901941982022062102144101418222630343846[[#This Row],[Jour]]="5- Vendredi",$B$1+5, IF(Horodateur1123353819223134374346495255586164698522263438465058546266707478829098941021061141181101221261301341381421461501541581621661701741781821861901941982022062102144101418222630343846[[#This Row],[Jour]]="6- Samedi",$B$1+6, IF(Horodateur1123353819223134374346495255586164698522263438465058546266707478829098941021061141181101221261301341381421461501541581621661701741781821861901941982022062102144101418222630343846[[#This Row],[Jour]]="7- Dimanche",$B$1, )))))))</f>
        <v>44282</v>
      </c>
      <c r="B45" s="257" t="s">
        <v>335</v>
      </c>
      <c r="C45" s="258" t="n">
        <v>0.479166666666667</v>
      </c>
      <c r="D45" s="258" t="n">
        <v>0.5</v>
      </c>
      <c r="E45" s="71" t="s">
        <v>32</v>
      </c>
      <c r="F45" s="71" t="s">
        <v>21</v>
      </c>
      <c r="G45" s="259"/>
      <c r="H45" s="258" t="n">
        <f aca="false">IF($C45=0,"",$D45-$C45)</f>
        <v>0.0208333333333333</v>
      </c>
      <c r="I45" s="260" t="n">
        <f aca="false">IF($C45=0,"",($H45-INT($H45))*24)</f>
        <v>0.5</v>
      </c>
      <c r="J45" s="303" t="n">
        <f aca="false">SUMIF(Horodateur1123353819223134374346495255586164698522263438465058546266707478829098941021061141181101221261301341381421461501541581621661701741781821861901941982022062102144101418222630343846[Jour],$B45,Horodateur1123353819223134374346495255586164698522263438465058546266707478829098941021061141181101221261301341381421461501541581621661701741781821861901941982022062102144101418222630343846[Durée (100)])</f>
        <v>6.5</v>
      </c>
      <c r="K45" s="335"/>
      <c r="L45" s="188" t="s">
        <v>31</v>
      </c>
      <c r="M45" s="272" t="n">
        <f aca="false">IF(Horodateur1123353819223134374346495255586164698522263438465058546266707478829098941021061141181101221261301341381421461501541581621661701741781821861901941982022062102144101418222630343846[[#This Row],[O]]="o",Horodateur1123353819223134374346495255586164698522263438465058546266707478829098941021061141181101221261301341381421461501541581621661701741781821861901941982022062102144101418222630343846[[#This Row],[Durée (100)]],".")</f>
        <v>0.5</v>
      </c>
      <c r="N45" s="187"/>
      <c r="O45" s="71"/>
      <c r="P45" s="71"/>
      <c r="Q45" s="71"/>
      <c r="R45" s="71"/>
      <c r="S45" s="71"/>
      <c r="T45" s="71"/>
      <c r="U45" s="71"/>
      <c r="V45" s="71"/>
      <c r="W45" s="71"/>
      <c r="X45" s="71"/>
      <c r="Y45" s="71"/>
      <c r="Z45" s="71"/>
      <c r="AA45" s="71"/>
      <c r="AB45" s="71"/>
      <c r="AC45" s="71"/>
      <c r="AD45" s="71"/>
      <c r="AE45" s="71"/>
      <c r="AF45" s="71"/>
      <c r="AG45" s="71"/>
    </row>
    <row r="46" customFormat="false" ht="15" hidden="false" customHeight="false" outlineLevel="0" collapsed="false">
      <c r="A46" s="256" t="n">
        <f aca="false">IF(Horodateur1123353819223134374346495255586164698522263438465058546266707478829098941021061141181101221261301341381421461501541581621661701741781821861901941982022062102144101418222630343846[[#This Row],[Jour]]="1- Lundi",$B$1+1, IF(Horodateur1123353819223134374346495255586164698522263438465058546266707478829098941021061141181101221261301341381421461501541581621661701741781821861901941982022062102144101418222630343846[[#This Row],[Jour]]="2- Mardi",$B$1+2, IF(Horodateur1123353819223134374346495255586164698522263438465058546266707478829098941021061141181101221261301341381421461501541581621661701741781821861901941982022062102144101418222630343846[[#This Row],[Jour]]="3- Mercredi",$B$1+3, IF(Horodateur1123353819223134374346495255586164698522263438465058546266707478829098941021061141181101221261301341381421461501541581621661701741781821861901941982022062102144101418222630343846[[#This Row],[Jour]]="4- Jeudi",$B$1+4, IF(Horodateur1123353819223134374346495255586164698522263438465058546266707478829098941021061141181101221261301341381421461501541581621661701741781821861901941982022062102144101418222630343846[[#This Row],[Jour]]="5- Vendredi",$B$1+5, IF(Horodateur1123353819223134374346495255586164698522263438465058546266707478829098941021061141181101221261301341381421461501541581621661701741781821861901941982022062102144101418222630343846[[#This Row],[Jour]]="6- Samedi",$B$1+6, IF(Horodateur1123353819223134374346495255586164698522263438465058546266707478829098941021061141181101221261301341381421461501541581621661701741781821861901941982022062102144101418222630343846[[#This Row],[Jour]]="7- Dimanche",$B$1, )))))))</f>
        <v>44282</v>
      </c>
      <c r="B46" s="257" t="s">
        <v>335</v>
      </c>
      <c r="C46" s="258" t="n">
        <v>0.5625</v>
      </c>
      <c r="D46" s="258" t="n">
        <v>0.583333333333333</v>
      </c>
      <c r="E46" s="71" t="s">
        <v>63</v>
      </c>
      <c r="F46" s="71" t="s">
        <v>378</v>
      </c>
      <c r="G46" s="259" t="s">
        <v>508</v>
      </c>
      <c r="H46" s="258" t="n">
        <f aca="false">IF($C46=0,"",$D46-$C46)</f>
        <v>0.0208333333333333</v>
      </c>
      <c r="I46" s="260" t="n">
        <f aca="false">IF($C46=0,"",($H46-INT($H46))*24)</f>
        <v>0.5</v>
      </c>
      <c r="J46" s="303" t="n">
        <f aca="false">SUMIF(Horodateur1123353819223134374346495255586164698522263438465058546266707478829098941021061141181101221261301341381421461501541581621661701741781821861901941982022062102144101418222630343846[Jour],$B46,Horodateur1123353819223134374346495255586164698522263438465058546266707478829098941021061141181101221261301341381421461501541581621661701741781821861901941982022062102144101418222630343846[Durée (100)])</f>
        <v>6.5</v>
      </c>
      <c r="K46" s="335"/>
      <c r="L46" s="188" t="s">
        <v>31</v>
      </c>
      <c r="M46" s="272" t="n">
        <f aca="false">IF(Horodateur1123353819223134374346495255586164698522263438465058546266707478829098941021061141181101221261301341381421461501541581621661701741781821861901941982022062102144101418222630343846[[#This Row],[O]]="o",Horodateur1123353819223134374346495255586164698522263438465058546266707478829098941021061141181101221261301341381421461501541581621661701741781821861901941982022062102144101418222630343846[[#This Row],[Durée (100)]],".")</f>
        <v>0.500000000000001</v>
      </c>
      <c r="N46" s="187"/>
      <c r="O46" s="71"/>
      <c r="P46" s="71"/>
      <c r="Q46" s="71"/>
      <c r="R46" s="71"/>
      <c r="S46" s="71"/>
      <c r="T46" s="71"/>
      <c r="U46" s="71"/>
      <c r="V46" s="71"/>
      <c r="W46" s="71"/>
      <c r="X46" s="71"/>
      <c r="Y46" s="71"/>
      <c r="Z46" s="71"/>
      <c r="AA46" s="71"/>
      <c r="AB46" s="71"/>
      <c r="AC46" s="71"/>
      <c r="AD46" s="71"/>
      <c r="AE46" s="71"/>
      <c r="AF46" s="71"/>
      <c r="AG46" s="71"/>
    </row>
    <row r="47" customFormat="false" ht="15" hidden="false" customHeight="false" outlineLevel="0" collapsed="false">
      <c r="A47" s="256" t="n">
        <f aca="false">IF(Horodateur1123353819223134374346495255586164698522263438465058546266707478829098941021061141181101221261301341381421461501541581621661701741781821861901941982022062102144101418222630343846[[#This Row],[Jour]]="1- Lundi",$B$1+1, IF(Horodateur1123353819223134374346495255586164698522263438465058546266707478829098941021061141181101221261301341381421461501541581621661701741781821861901941982022062102144101418222630343846[[#This Row],[Jour]]="2- Mardi",$B$1+2, IF(Horodateur1123353819223134374346495255586164698522263438465058546266707478829098941021061141181101221261301341381421461501541581621661701741781821861901941982022062102144101418222630343846[[#This Row],[Jour]]="3- Mercredi",$B$1+3, IF(Horodateur1123353819223134374346495255586164698522263438465058546266707478829098941021061141181101221261301341381421461501541581621661701741781821861901941982022062102144101418222630343846[[#This Row],[Jour]]="4- Jeudi",$B$1+4, IF(Horodateur1123353819223134374346495255586164698522263438465058546266707478829098941021061141181101221261301341381421461501541581621661701741781821861901941982022062102144101418222630343846[[#This Row],[Jour]]="5- Vendredi",$B$1+5, IF(Horodateur1123353819223134374346495255586164698522263438465058546266707478829098941021061141181101221261301341381421461501541581621661701741781821861901941982022062102144101418222630343846[[#This Row],[Jour]]="6- Samedi",$B$1+6, IF(Horodateur1123353819223134374346495255586164698522263438465058546266707478829098941021061141181101221261301341381421461501541581621661701741781821861901941982022062102144101418222630343846[[#This Row],[Jour]]="7- Dimanche",$B$1, )))))))</f>
        <v>44282</v>
      </c>
      <c r="B47" s="257" t="s">
        <v>335</v>
      </c>
      <c r="C47" s="258" t="n">
        <v>0.583333333333333</v>
      </c>
      <c r="D47" s="258" t="n">
        <v>0.604166666666667</v>
      </c>
      <c r="E47" s="71" t="s">
        <v>63</v>
      </c>
      <c r="F47" s="71" t="s">
        <v>378</v>
      </c>
      <c r="G47" s="259" t="s">
        <v>509</v>
      </c>
      <c r="H47" s="258" t="n">
        <f aca="false">IF($C47=0,"",$D47-$C47)</f>
        <v>0.0208333333333333</v>
      </c>
      <c r="I47" s="260" t="n">
        <f aca="false">IF($C47=0,"",($H47-INT($H47))*24)</f>
        <v>0.5</v>
      </c>
      <c r="J47" s="303" t="n">
        <f aca="false">SUMIF(Horodateur1123353819223134374346495255586164698522263438465058546266707478829098941021061141181101221261301341381421461501541581621661701741781821861901941982022062102144101418222630343846[Jour],$B47,Horodateur1123353819223134374346495255586164698522263438465058546266707478829098941021061141181101221261301341381421461501541581621661701741781821861901941982022062102144101418222630343846[Durée (100)])</f>
        <v>6.5</v>
      </c>
      <c r="K47" s="335"/>
      <c r="L47" s="188" t="s">
        <v>31</v>
      </c>
      <c r="M47" s="272" t="n">
        <f aca="false">IF(Horodateur1123353819223134374346495255586164698522263438465058546266707478829098941021061141181101221261301341381421461501541581621661701741781821861901941982022062102144101418222630343846[[#This Row],[O]]="o",Horodateur1123353819223134374346495255586164698522263438465058546266707478829098941021061141181101221261301341381421461501541581621661701741781821861901941982022062102144101418222630343846[[#This Row],[Durée (100)]],".")</f>
        <v>0.499999999999998</v>
      </c>
      <c r="N47" s="187"/>
      <c r="O47" s="71"/>
      <c r="P47" s="71"/>
      <c r="Q47" s="71"/>
      <c r="R47" s="71"/>
      <c r="S47" s="71"/>
      <c r="T47" s="71"/>
      <c r="U47" s="71"/>
      <c r="V47" s="71"/>
      <c r="W47" s="71"/>
      <c r="X47" s="71"/>
      <c r="Y47" s="71"/>
      <c r="Z47" s="71"/>
      <c r="AA47" s="71"/>
      <c r="AB47" s="71"/>
      <c r="AC47" s="71"/>
      <c r="AD47" s="71"/>
      <c r="AE47" s="71"/>
      <c r="AF47" s="71"/>
      <c r="AG47" s="71"/>
    </row>
    <row r="48" customFormat="false" ht="15" hidden="false" customHeight="false" outlineLevel="0" collapsed="false">
      <c r="A48" s="256" t="n">
        <f aca="false">IF(Horodateur1123353819223134374346495255586164698522263438465058546266707478829098941021061141181101221261301341381421461501541581621661701741781821861901941982022062102144101418222630343846[[#This Row],[Jour]]="1- Lundi",$B$1+1, IF(Horodateur1123353819223134374346495255586164698522263438465058546266707478829098941021061141181101221261301341381421461501541581621661701741781821861901941982022062102144101418222630343846[[#This Row],[Jour]]="2- Mardi",$B$1+2, IF(Horodateur1123353819223134374346495255586164698522263438465058546266707478829098941021061141181101221261301341381421461501541581621661701741781821861901941982022062102144101418222630343846[[#This Row],[Jour]]="3- Mercredi",$B$1+3, IF(Horodateur1123353819223134374346495255586164698522263438465058546266707478829098941021061141181101221261301341381421461501541581621661701741781821861901941982022062102144101418222630343846[[#This Row],[Jour]]="4- Jeudi",$B$1+4, IF(Horodateur1123353819223134374346495255586164698522263438465058546266707478829098941021061141181101221261301341381421461501541581621661701741781821861901941982022062102144101418222630343846[[#This Row],[Jour]]="5- Vendredi",$B$1+5, IF(Horodateur1123353819223134374346495255586164698522263438465058546266707478829098941021061141181101221261301341381421461501541581621661701741781821861901941982022062102144101418222630343846[[#This Row],[Jour]]="6- Samedi",$B$1+6, IF(Horodateur1123353819223134374346495255586164698522263438465058546266707478829098941021061141181101221261301341381421461501541581621661701741781821861901941982022062102144101418222630343846[[#This Row],[Jour]]="7- Dimanche",$B$1, )))))))</f>
        <v>44282</v>
      </c>
      <c r="B48" s="257" t="s">
        <v>335</v>
      </c>
      <c r="C48" s="258" t="n">
        <v>0.666666666666667</v>
      </c>
      <c r="D48" s="258" t="n">
        <v>0.6875</v>
      </c>
      <c r="E48" s="71" t="s">
        <v>363</v>
      </c>
      <c r="F48" s="71" t="s">
        <v>378</v>
      </c>
      <c r="G48" s="259" t="s">
        <v>504</v>
      </c>
      <c r="H48" s="258" t="n">
        <f aca="false">IF($C48=0,"",$D48-$C48)</f>
        <v>0.0208333333333333</v>
      </c>
      <c r="I48" s="260" t="n">
        <f aca="false">IF($C48=0,"",($H48-INT($H48))*24)</f>
        <v>0.5</v>
      </c>
      <c r="J48" s="303" t="n">
        <f aca="false">SUMIF(Horodateur1123353819223134374346495255586164698522263438465058546266707478829098941021061141181101221261301341381421461501541581621661701741781821861901941982022062102144101418222630343846[Jour],$B48,Horodateur1123353819223134374346495255586164698522263438465058546266707478829098941021061141181101221261301341381421461501541581621661701741781821861901941982022062102144101418222630343846[Durée (100)])</f>
        <v>6.5</v>
      </c>
      <c r="K48" s="335"/>
      <c r="L48" s="188" t="s">
        <v>31</v>
      </c>
      <c r="M48" s="272" t="n">
        <f aca="false">IF(Horodateur1123353819223134374346495255586164698522263438465058546266707478829098941021061141181101221261301341381421461501541581621661701741781821861901941982022062102144101418222630343846[[#This Row],[O]]="o",Horodateur1123353819223134374346495255586164698522263438465058546266707478829098941021061141181101221261301341381421461501541581621661701741781821861901941982022062102144101418222630343846[[#This Row],[Durée (100)]],".")</f>
        <v>0.500000000000001</v>
      </c>
      <c r="N48" s="187"/>
      <c r="O48" s="71"/>
      <c r="P48" s="71"/>
      <c r="Q48" s="71"/>
      <c r="R48" s="71"/>
      <c r="S48" s="71"/>
      <c r="T48" s="71"/>
      <c r="U48" s="71"/>
      <c r="V48" s="71"/>
      <c r="W48" s="71"/>
      <c r="X48" s="71"/>
      <c r="Y48" s="71"/>
      <c r="Z48" s="71"/>
      <c r="AA48" s="71"/>
      <c r="AB48" s="71"/>
      <c r="AC48" s="71"/>
      <c r="AD48" s="71"/>
      <c r="AE48" s="71"/>
      <c r="AF48" s="71"/>
      <c r="AG48" s="71"/>
    </row>
    <row r="49" customFormat="false" ht="15" hidden="false" customHeight="false" outlineLevel="0" collapsed="false">
      <c r="A49" s="137"/>
      <c r="B49" s="187"/>
      <c r="C49" s="71"/>
      <c r="D49" s="1"/>
      <c r="E49" s="1"/>
      <c r="F49" s="71"/>
      <c r="G49" s="1"/>
      <c r="H49" s="1"/>
      <c r="I49" s="119"/>
      <c r="J49" s="271"/>
      <c r="K49" s="1"/>
      <c r="L49" s="188"/>
      <c r="M49" s="272"/>
      <c r="N49" s="187"/>
      <c r="O49" s="71"/>
      <c r="P49" s="71"/>
      <c r="Q49" s="71"/>
      <c r="R49" s="71"/>
      <c r="S49" s="71"/>
      <c r="T49" s="71"/>
      <c r="U49" s="71"/>
      <c r="V49" s="71"/>
      <c r="W49" s="71"/>
      <c r="X49" s="71"/>
      <c r="Y49" s="71"/>
      <c r="Z49" s="71"/>
      <c r="AA49" s="71"/>
      <c r="AB49" s="71"/>
      <c r="AC49" s="71"/>
      <c r="AD49" s="71"/>
      <c r="AE49" s="71"/>
      <c r="AF49" s="71"/>
      <c r="AG49" s="71"/>
    </row>
    <row r="50" customFormat="false" ht="15" hidden="false" customHeight="false" outlineLevel="0" collapsed="false">
      <c r="A50" s="137"/>
      <c r="B50" s="187"/>
      <c r="C50" s="71"/>
      <c r="D50" s="1"/>
      <c r="E50" s="1"/>
      <c r="F50" s="71"/>
      <c r="G50" s="1"/>
      <c r="H50" s="1"/>
      <c r="I50" s="119"/>
      <c r="J50" s="271"/>
      <c r="K50" s="1"/>
      <c r="L50" s="188"/>
      <c r="M50" s="272"/>
      <c r="N50" s="187"/>
      <c r="O50" s="71"/>
      <c r="P50" s="71"/>
      <c r="Q50" s="71"/>
      <c r="R50" s="71"/>
      <c r="S50" s="71"/>
      <c r="T50" s="71"/>
      <c r="U50" s="71"/>
      <c r="V50" s="71"/>
      <c r="W50" s="71"/>
      <c r="X50" s="71"/>
      <c r="Y50" s="71"/>
      <c r="Z50" s="71"/>
      <c r="AA50" s="71"/>
      <c r="AB50" s="71"/>
      <c r="AC50" s="71"/>
      <c r="AD50" s="71"/>
      <c r="AE50" s="71"/>
      <c r="AF50" s="71"/>
      <c r="AG50" s="71"/>
    </row>
    <row r="51" customFormat="false" ht="15" hidden="false" customHeight="false" outlineLevel="0" collapsed="false">
      <c r="A51" s="137"/>
      <c r="B51" s="187"/>
      <c r="C51" s="71"/>
      <c r="D51" s="1"/>
      <c r="E51" s="1"/>
      <c r="F51" s="71"/>
      <c r="G51" s="1"/>
      <c r="H51" s="1"/>
      <c r="I51" s="119"/>
      <c r="J51" s="271"/>
      <c r="K51" s="1"/>
      <c r="L51" s="188"/>
      <c r="N51" s="187"/>
      <c r="O51" s="71"/>
      <c r="P51" s="71"/>
      <c r="Q51" s="71"/>
      <c r="R51" s="71"/>
      <c r="S51" s="71"/>
      <c r="T51" s="71"/>
      <c r="U51" s="71"/>
      <c r="V51" s="71"/>
      <c r="W51" s="71"/>
      <c r="X51" s="71"/>
      <c r="Y51" s="71"/>
      <c r="Z51" s="71"/>
      <c r="AA51" s="71"/>
      <c r="AB51" s="71"/>
      <c r="AC51" s="71"/>
      <c r="AD51" s="71"/>
      <c r="AE51" s="71"/>
      <c r="AF51" s="71"/>
      <c r="AG51" s="71"/>
    </row>
    <row r="52" customFormat="false" ht="15" hidden="false" customHeight="false" outlineLevel="0" collapsed="false">
      <c r="A52" s="274" t="s">
        <v>377</v>
      </c>
      <c r="B52" s="275" t="str">
        <f aca="false">SUM($A$98:$A$528) &amp; " heures"</f>
        <v>26.75 heures</v>
      </c>
      <c r="C52" s="276" t="str">
        <f aca="false">SUM($A$98:$A$519) / 8 &amp; " Jours"</f>
        <v>3.34375 Jours</v>
      </c>
      <c r="D52" s="277"/>
      <c r="E52" s="277" t="n">
        <v>33.25</v>
      </c>
      <c r="F52" s="278" t="n">
        <f aca="false">E52/8</f>
        <v>4.15625</v>
      </c>
      <c r="G52" s="277"/>
      <c r="H52" s="277"/>
      <c r="I52" s="279"/>
      <c r="J52" s="280"/>
      <c r="K52" s="277"/>
      <c r="L52" s="281"/>
      <c r="M52" s="282"/>
      <c r="N52" s="283"/>
      <c r="O52" s="277"/>
      <c r="P52" s="277"/>
      <c r="Q52" s="277"/>
      <c r="R52" s="277"/>
      <c r="S52" s="277"/>
      <c r="T52" s="277"/>
      <c r="U52" s="278"/>
      <c r="V52" s="278"/>
      <c r="W52" s="278"/>
      <c r="X52" s="278"/>
      <c r="Y52" s="278"/>
      <c r="Z52" s="278"/>
      <c r="AA52" s="278"/>
      <c r="AB52" s="278"/>
      <c r="AC52" s="278"/>
      <c r="AD52" s="278"/>
      <c r="AE52" s="278"/>
      <c r="AF52" s="278"/>
      <c r="AG52" s="278"/>
    </row>
    <row r="53" customFormat="false" ht="15" hidden="false" customHeight="false" outlineLevel="0" collapsed="false">
      <c r="A53" s="137"/>
      <c r="B53" s="187"/>
      <c r="C53" s="71"/>
      <c r="D53" s="1"/>
      <c r="E53" s="1"/>
      <c r="F53" s="71"/>
      <c r="G53" s="1"/>
      <c r="H53" s="1"/>
      <c r="I53" s="119"/>
      <c r="J53" s="271"/>
      <c r="K53" s="1"/>
      <c r="L53" s="188"/>
      <c r="M53" s="272"/>
      <c r="N53" s="187"/>
      <c r="O53" s="1"/>
      <c r="P53" s="1"/>
      <c r="Q53" s="1"/>
      <c r="R53" s="1"/>
      <c r="S53" s="1"/>
      <c r="T53" s="1"/>
      <c r="U53" s="71"/>
      <c r="V53" s="71"/>
      <c r="W53" s="71"/>
      <c r="X53" s="71"/>
      <c r="Y53" s="71"/>
      <c r="Z53" s="71"/>
      <c r="AA53" s="71"/>
      <c r="AB53" s="71"/>
      <c r="AC53" s="71"/>
      <c r="AD53" s="71"/>
      <c r="AE53" s="71"/>
      <c r="AF53" s="71"/>
      <c r="AG53" s="71"/>
    </row>
    <row r="54" customFormat="false" ht="15" hidden="true" customHeight="false" outlineLevel="1" collapsed="false">
      <c r="A54" s="137"/>
      <c r="B54" s="137"/>
      <c r="C54" s="137"/>
      <c r="D54" s="137"/>
      <c r="E54" s="1"/>
      <c r="F54" s="71"/>
      <c r="G54" s="1"/>
      <c r="H54" s="1"/>
      <c r="I54" s="119"/>
      <c r="J54" s="271"/>
      <c r="K54" s="1"/>
      <c r="L54" s="188"/>
      <c r="M54" s="272"/>
      <c r="N54" s="187"/>
      <c r="O54" s="1"/>
      <c r="P54" s="1"/>
      <c r="Q54" s="1"/>
      <c r="R54" s="1"/>
      <c r="S54" s="1"/>
      <c r="T54" s="1"/>
      <c r="U54" s="71"/>
      <c r="V54" s="71"/>
      <c r="W54" s="71"/>
      <c r="X54" s="71"/>
      <c r="Y54" s="71"/>
      <c r="Z54" s="71"/>
      <c r="AA54" s="71"/>
      <c r="AB54" s="71"/>
      <c r="AC54" s="71"/>
      <c r="AD54" s="71"/>
      <c r="AE54" s="71"/>
      <c r="AF54" s="71"/>
      <c r="AG54" s="71"/>
    </row>
    <row r="55" customFormat="false" ht="15" hidden="true" customHeight="false" outlineLevel="1" collapsed="false">
      <c r="A55" s="284" t="s">
        <v>84</v>
      </c>
      <c r="B55" s="285" t="s">
        <v>21</v>
      </c>
      <c r="C55" s="285" t="s">
        <v>20</v>
      </c>
      <c r="D55" s="285" t="s">
        <v>23</v>
      </c>
      <c r="E55" s="285" t="s">
        <v>25</v>
      </c>
      <c r="F55" s="285" t="s">
        <v>26</v>
      </c>
      <c r="G55" s="285" t="s">
        <v>378</v>
      </c>
      <c r="H55" s="285" t="s">
        <v>379</v>
      </c>
      <c r="I55" s="285" t="s">
        <v>380</v>
      </c>
      <c r="J55" s="286" t="s">
        <v>58</v>
      </c>
      <c r="K55" s="287"/>
      <c r="L55" s="288"/>
      <c r="M55" s="289"/>
      <c r="N55" s="187"/>
      <c r="O55" s="1"/>
      <c r="P55" s="1"/>
      <c r="Q55" s="1"/>
      <c r="R55" s="1"/>
      <c r="S55" s="1"/>
      <c r="T55" s="71"/>
      <c r="U55" s="71"/>
      <c r="V55" s="71"/>
      <c r="W55" s="71"/>
      <c r="X55" s="71"/>
      <c r="Y55" s="71"/>
      <c r="Z55" s="71"/>
      <c r="AA55" s="71"/>
      <c r="AB55" s="71"/>
      <c r="AC55" s="71"/>
      <c r="AD55" s="71"/>
      <c r="AE55" s="71"/>
      <c r="AF55" s="71"/>
    </row>
    <row r="56" customFormat="false" ht="15" hidden="true" customHeight="false" outlineLevel="1" collapsed="false">
      <c r="A56" s="187" t="s">
        <v>312</v>
      </c>
      <c r="B56" s="71" t="n">
        <f aca="false">SUMIFS(Horodateur1123353819223134374346495255586164698522263438465058546266707478829098941021061141181101221261301341381421461501541581621661701741781821861901941982022062102144101418222630343846[Durée (100)],Horodateur1123353819223134374346495255586164698522263438465058546266707478829098941021061141181101221261301341381421461501541581621661701741781821861901941982022062102144101418222630343846[Tâche],Taches_Jours122436391720293235414447505356596267832024323644485652606468727680889692100104112116108120124128132136140144148152156160164168172176180184188192196200204208212261216202428323644[[#Headers],[GB]],Horodateur1123353819223134374346495255586164698522263438465058546266707478829098941021061141181101221261301341381421461501541581621661701741781821861901941982022062102144101418222630343846[Jour],Taches_Jours122436391720293235414447505356596267832024323644485652606468727680889692100104112116108120124128132136140144148152156160164168172176180184188192196200204208212261216202428323644[[#This Row],[Jours]])</f>
        <v>0.999999999999999</v>
      </c>
      <c r="C56" s="71" t="n">
        <f aca="false">SUMIFS(Horodateur1123353819223134374346495255586164698522263438465058546266707478829098941021061141181101221261301341381421461501541581621661701741781821861901941982022062102144101418222630343846[Durée (100)],Horodateur1123353819223134374346495255586164698522263438465058546266707478829098941021061141181101221261301341381421461501541581621661701741781821861901941982022062102144101418222630343846[Tâche],Taches_Jours122436391720293235414447505356596267832024323644485652606468727680889692100104112116108120124128132136140144148152156160164168172176180184188192196200204208212261216202428323644[[#Headers],[RI]],Horodateur1123353819223134374346495255586164698522263438465058546266707478829098941021061141181101221261301341381421461501541581621661701741781821861901941982022062102144101418222630343846[Jour],Taches_Jours122436391720293235414447505356596267832024323644485652606468727680889692100104112116108120124128132136140144148152156160164168172176180184188192196200204208212261216202428323644[[#This Row],[Jours]])</f>
        <v>0.500000000000001</v>
      </c>
      <c r="D56" s="71" t="n">
        <f aca="false">SUMIFS(Horodateur1123353819223134374346495255586164698522263438465058546266707478829098941021061141181101221261301341381421461501541581621661701741781821861901941982022062102144101418222630343846[Durée (100)],Horodateur1123353819223134374346495255586164698522263438465058546266707478829098941021061141181101221261301341381421461501541581621661701741781821861901941982022062102144101418222630343846[Tâche],Taches_Jours122436391720293235414447505356596267832024323644485652606468727680889692100104112116108120124128132136140144148152156160164168172176180184188192196200204208212261216202428323644[[#Headers],[FG]],Horodateur1123353819223134374346495255586164698522263438465058546266707478829098941021061141181101221261301341381421461501541581621661701741781821861901941982022062102144101418222630343846[Jour],Taches_Jours122436391720293235414447505356596267832024323644485652606468727680889692100104112116108120124128132136140144148152156160164168172176180184188192196200204208212261216202428323644[[#This Row],[Jours]])</f>
        <v>0</v>
      </c>
      <c r="E56" s="71" t="n">
        <f aca="false">SUMIFS(Horodateur1123353819223134374346495255586164698522263438465058546266707478829098941021061141181101221261301341381421461501541581621661701741781821861901941982022062102144101418222630343846[Durée (100)],Horodateur1123353819223134374346495255586164698522263438465058546266707478829098941021061141181101221261301341381421461501541581621661701741781821861901941982022062102144101418222630343846[Tâche],Taches_Jours122436391720293235414447505356596267832024323644485652606468727680889692100104112116108120124128132136140144148152156160164168172176180184188192196200204208212261216202428323644[[#Headers],[PS]],Horodateur1123353819223134374346495255586164698522263438465058546266707478829098941021061141181101221261301341381421461501541581621661701741781821861901941982022062102144101418222630343846[Jour],Taches_Jours122436391720293235414447505356596267832024323644485652606468727680889692100104112116108120124128132136140144148152156160164168172176180184188192196200204208212261216202428323644[[#This Row],[Jours]])</f>
        <v>0</v>
      </c>
      <c r="F56" s="71" t="n">
        <f aca="false">SUMIFS(Horodateur1123353819223134374346495255586164698522263438465058546266707478829098941021061141181101221261301341381421461501541581621661701741781821861901941982022062102144101418222630343846[Durée (100)],Horodateur1123353819223134374346495255586164698522263438465058546266707478829098941021061141181101221261301341381421461501541581621661701741781821861901941982022062102144101418222630343846[Tâche],Taches_Jours122436391720293235414447505356596267832024323644485652606468727680889692100104112116108120124128132136140144148152156160164168172176180184188192196200204208212261216202428323644[[#Headers],[TD]],Horodateur1123353819223134374346495255586164698522263438465058546266707478829098941021061141181101221261301341381421461501541581621661701741781821861901941982022062102144101418222630343846[Jour],Taches_Jours122436391720293235414447505356596267832024323644485652606468727680889692100104112116108120124128132136140144148152156160164168172176180184188192196200204208212261216202428323644[[#This Row],[Jours]])</f>
        <v>0</v>
      </c>
      <c r="G56" s="71" t="n">
        <f aca="false">SUMIFS(Horodateur1123353819223134374346495255586164698522263438465058546266707478829098941021061141181101221261301341381421461501541581621661701741781821861901941982022062102144101418222630343846[Durée (100)],Horodateur1123353819223134374346495255586164698522263438465058546266707478829098941021061141181101221261301341381421461501541581621661701741781821861901941982022062102144101418222630343846[Tâche],Taches_Jours122436391720293235414447505356596267832024323644485652606468727680889692100104112116108120124128132136140144148152156160164168172176180184188192196200204208212261216202428323644[[#Headers],[GP]],Horodateur1123353819223134374346495255586164698522263438465058546266707478829098941021061141181101221261301341381421461501541581621661701741781821861901941982022062102144101418222630343846[Jour],Taches_Jours122436391720293235414447505356596267832024323644485652606468727680889692100104112116108120124128132136140144148152156160164168172176180184188192196200204208212261216202428323644[[#This Row],[Jours]])</f>
        <v>6</v>
      </c>
      <c r="H56" s="71" t="n">
        <f aca="false">SUMIFS(Horodateur1123353819223134374346495255586164698522263438465058546266707478829098941021061141181101221261301341381421461501541581621661701741781821861901941982022062102144101418222630343846[Durée (100)],Horodateur1123353819223134374346495255586164698522263438465058546266707478829098941021061141181101221261301341381421461501541581621661701741781821861901941982022062102144101418222630343846[Tâche],Taches_Jours122436391720293235414447505356596267832024323644485652606468727680889692100104112116108120124128132136140144148152156160164168172176180184188192196200204208212261216202428323644[[#Headers],[GP / SP]],Horodateur1123353819223134374346495255586164698522263438465058546266707478829098941021061141181101221261301341381421461501541581621661701741781821861901941982022062102144101418222630343846[Jour],Taches_Jours122436391720293235414447505356596267832024323644485652606468727680889692100104112116108120124128132136140144148152156160164168172176180184188192196200204208212261216202428323644[[#This Row],[Jours]])</f>
        <v>1</v>
      </c>
      <c r="I56" s="71" t="n">
        <f aca="false">SUMIFS(Horodateur1123353819223134374346495255586164698522263438465058546266707478829098941021061141181101221261301341381421461501541581621661701741781821861901941982022062102144101418222630343846[Durée (100)],Horodateur1123353819223134374346495255586164698522263438465058546266707478829098941021061141181101221261301341381421461501541581621661701741781821861901941982022062102144101418222630343846[Tâche],Taches_Jours122436391720293235414447505356596267832024323644485652606468727680889692100104112116108120124128132136140144148152156160164168172176180184188192196200204208212261216202428323644[[#Headers],[GP / SP]],Horodateur1123353819223134374346495255586164698522263438465058546266707478829098941021061141181101221261301341381421461501541581621661701741781821861901941982022062102144101418222630343846[Jour],Taches_Jours122436391720293235414447505356596267832024323644485652606468727680889692100104112116108120124128132136140144148152156160164168172176180184188192196200204208212261216202428323644[[#This Row],[Jours]])</f>
        <v>1</v>
      </c>
      <c r="J56" s="290" t="n">
        <f aca="false">SUM(Taches_Jours122436391720293235414447505356596267832024323644485652606468727680889692100104112116108120124128132136140144148152156160164168172176180184188192196200204208212261216202428323644[[#This Row],[GB]:[GP / SP]])</f>
        <v>8.5</v>
      </c>
      <c r="K56" s="188"/>
      <c r="L56" s="288"/>
      <c r="M56" s="289"/>
      <c r="N56" s="187"/>
      <c r="O56" s="1"/>
      <c r="P56" s="1"/>
      <c r="Q56" s="1"/>
      <c r="R56" s="1"/>
      <c r="S56" s="1"/>
      <c r="T56" s="71"/>
      <c r="U56" s="71"/>
      <c r="V56" s="71"/>
      <c r="W56" s="71"/>
      <c r="X56" s="71"/>
      <c r="Y56" s="71"/>
      <c r="Z56" s="71"/>
      <c r="AA56" s="71"/>
      <c r="AB56" s="71"/>
      <c r="AC56" s="71"/>
      <c r="AD56" s="71"/>
      <c r="AE56" s="71"/>
      <c r="AF56" s="71"/>
    </row>
    <row r="57" customFormat="false" ht="15" hidden="true" customHeight="false" outlineLevel="1" collapsed="false">
      <c r="A57" s="187" t="s">
        <v>319</v>
      </c>
      <c r="B57" s="71" t="n">
        <f aca="false">SUMIFS(Horodateur1123353819223134374346495255586164698522263438465058546266707478829098941021061141181101221261301341381421461501541581621661701741781821861901941982022062102144101418222630343846[Durée (100)],Horodateur1123353819223134374346495255586164698522263438465058546266707478829098941021061141181101221261301341381421461501541581621661701741781821861901941982022062102144101418222630343846[Tâche],Taches_Jours122436391720293235414447505356596267832024323644485652606468727680889692100104112116108120124128132136140144148152156160164168172176180184188192196200204208212261216202428323644[[#Headers],[GB]],Horodateur1123353819223134374346495255586164698522263438465058546266707478829098941021061141181101221261301341381421461501541581621661701741781821861901941982022062102144101418222630343846[Jour],Taches_Jours122436391720293235414447505356596267832024323644485652606468727680889692100104112116108120124128132136140144148152156160164168172176180184188192196200204208212261216202428323644[[#This Row],[Jours]])</f>
        <v>0</v>
      </c>
      <c r="C57" s="71" t="n">
        <f aca="false">SUMIFS(Horodateur1123353819223134374346495255586164698522263438465058546266707478829098941021061141181101221261301341381421461501541581621661701741781821861901941982022062102144101418222630343846[Durée (100)],Horodateur1123353819223134374346495255586164698522263438465058546266707478829098941021061141181101221261301341381421461501541581621661701741781821861901941982022062102144101418222630343846[Tâche],Taches_Jours122436391720293235414447505356596267832024323644485652606468727680889692100104112116108120124128132136140144148152156160164168172176180184188192196200204208212261216202428323644[[#Headers],[RI]],Horodateur1123353819223134374346495255586164698522263438465058546266707478829098941021061141181101221261301341381421461501541581621661701741781821861901941982022062102144101418222630343846[Jour],Taches_Jours122436391720293235414447505356596267832024323644485652606468727680889692100104112116108120124128132136140144148152156160164168172176180184188192196200204208212261216202428323644[[#This Row],[Jours]])</f>
        <v>0</v>
      </c>
      <c r="D57" s="71" t="n">
        <f aca="false">SUMIFS(Horodateur1123353819223134374346495255586164698522263438465058546266707478829098941021061141181101221261301341381421461501541581621661701741781821861901941982022062102144101418222630343846[Durée (100)],Horodateur1123353819223134374346495255586164698522263438465058546266707478829098941021061141181101221261301341381421461501541581621661701741781821861901941982022062102144101418222630343846[Tâche],Taches_Jours122436391720293235414447505356596267832024323644485652606468727680889692100104112116108120124128132136140144148152156160164168172176180184188192196200204208212261216202428323644[[#Headers],[FG]],Horodateur1123353819223134374346495255586164698522263438465058546266707478829098941021061141181101221261301341381421461501541581621661701741781821861901941982022062102144101418222630343846[Jour],Taches_Jours122436391720293235414447505356596267832024323644485652606468727680889692100104112116108120124128132136140144148152156160164168172176180184188192196200204208212261216202428323644[[#This Row],[Jours]])</f>
        <v>0.499999999999998</v>
      </c>
      <c r="E57" s="71" t="n">
        <f aca="false">SUMIFS(Horodateur1123353819223134374346495255586164698522263438465058546266707478829098941021061141181101221261301341381421461501541581621661701741781821861901941982022062102144101418222630343846[Durée (100)],Horodateur1123353819223134374346495255586164698522263438465058546266707478829098941021061141181101221261301341381421461501541581621661701741781821861901941982022062102144101418222630343846[Tâche],Taches_Jours122436391720293235414447505356596267832024323644485652606468727680889692100104112116108120124128132136140144148152156160164168172176180184188192196200204208212261216202428323644[[#Headers],[PS]],Horodateur1123353819223134374346495255586164698522263438465058546266707478829098941021061141181101221261301341381421461501541581621661701741781821861901941982022062102144101418222630343846[Jour],Taches_Jours122436391720293235414447505356596267832024323644485652606468727680889692100104112116108120124128132136140144148152156160164168172176180184188192196200204208212261216202428323644[[#This Row],[Jours]])</f>
        <v>0</v>
      </c>
      <c r="F57" s="71" t="n">
        <f aca="false">SUMIFS(Horodateur1123353819223134374346495255586164698522263438465058546266707478829098941021061141181101221261301341381421461501541581621661701741781821861901941982022062102144101418222630343846[Durée (100)],Horodateur1123353819223134374346495255586164698522263438465058546266707478829098941021061141181101221261301341381421461501541581621661701741781821861901941982022062102144101418222630343846[Tâche],Taches_Jours122436391720293235414447505356596267832024323644485652606468727680889692100104112116108120124128132136140144148152156160164168172176180184188192196200204208212261216202428323644[[#Headers],[TD]],Horodateur1123353819223134374346495255586164698522263438465058546266707478829098941021061141181101221261301341381421461501541581621661701741781821861901941982022062102144101418222630343846[Jour],Taches_Jours122436391720293235414447505356596267832024323644485652606468727680889692100104112116108120124128132136140144148152156160164168172176180184188192196200204208212261216202428323644[[#This Row],[Jours]])</f>
        <v>0</v>
      </c>
      <c r="G57" s="71" t="n">
        <f aca="false">SUMIFS(Horodateur1123353819223134374346495255586164698522263438465058546266707478829098941021061141181101221261301341381421461501541581621661701741781821861901941982022062102144101418222630343846[Durée (100)],Horodateur1123353819223134374346495255586164698522263438465058546266707478829098941021061141181101221261301341381421461501541581621661701741781821861901941982022062102144101418222630343846[Tâche],Taches_Jours122436391720293235414447505356596267832024323644485652606468727680889692100104112116108120124128132136140144148152156160164168172176180184188192196200204208212261216202428323644[[#Headers],[GP]],Horodateur1123353819223134374346495255586164698522263438465058546266707478829098941021061141181101221261301341381421461501541581621661701741781821861901941982022062102144101418222630343846[Jour],Taches_Jours122436391720293235414447505356596267832024323644485652606468727680889692100104112116108120124128132136140144148152156160164168172176180184188192196200204208212261216202428323644[[#This Row],[Jours]])</f>
        <v>5.25</v>
      </c>
      <c r="H57" s="71" t="n">
        <f aca="false">SUMIFS(Horodateur1123353819223134374346495255586164698522263438465058546266707478829098941021061141181101221261301341381421461501541581621661701741781821861901941982022062102144101418222630343846[Durée (100)],Horodateur1123353819223134374346495255586164698522263438465058546266707478829098941021061141181101221261301341381421461501541581621661701741781821861901941982022062102144101418222630343846[Tâche],Taches_Jours122436391720293235414447505356596267832024323644485652606468727680889692100104112116108120124128132136140144148152156160164168172176180184188192196200204208212261216202428323644[[#Headers],[GP / SP]],Horodateur1123353819223134374346495255586164698522263438465058546266707478829098941021061141181101221261301341381421461501541581621661701741781821861901941982022062102144101418222630343846[Jour],Taches_Jours122436391720293235414447505356596267832024323644485652606468727680889692100104112116108120124128132136140144148152156160164168172176180184188192196200204208212261216202428323644[[#This Row],[Jours]])</f>
        <v>0</v>
      </c>
      <c r="I57" s="71" t="n">
        <f aca="false">SUMIFS(Horodateur1123353819223134374346495255586164698522263438465058546266707478829098941021061141181101221261301341381421461501541581621661701741781821861901941982022062102144101418222630343846[Durée (100)],Horodateur1123353819223134374346495255586164698522263438465058546266707478829098941021061141181101221261301341381421461501541581621661701741781821861901941982022062102144101418222630343846[Tâche],Taches_Jours122436391720293235414447505356596267832024323644485652606468727680889692100104112116108120124128132136140144148152156160164168172176180184188192196200204208212261216202428323644[[#Headers],[GP / SP]],Horodateur1123353819223134374346495255586164698522263438465058546266707478829098941021061141181101221261301341381421461501541581621661701741781821861901941982022062102144101418222630343846[Jour],Taches_Jours122436391720293235414447505356596267832024323644485652606468727680889692100104112116108120124128132136140144148152156160164168172176180184188192196200204208212261216202428323644[[#This Row],[Jours]])</f>
        <v>0</v>
      </c>
      <c r="J57" s="290" t="n">
        <f aca="false">SUM(Taches_Jours122436391720293235414447505356596267832024323644485652606468727680889692100104112116108120124128132136140144148152156160164168172176180184188192196200204208212261216202428323644[[#This Row],[GB]:[GP / SP]])</f>
        <v>5.75</v>
      </c>
      <c r="K57" s="188"/>
      <c r="L57" s="288"/>
      <c r="M57" s="289"/>
      <c r="N57" s="187"/>
      <c r="O57" s="1"/>
      <c r="P57" s="1"/>
      <c r="Q57" s="1"/>
      <c r="R57" s="1"/>
      <c r="S57" s="1"/>
      <c r="T57" s="71"/>
      <c r="U57" s="71"/>
      <c r="V57" s="71"/>
      <c r="W57" s="71"/>
      <c r="X57" s="71"/>
      <c r="Y57" s="71"/>
      <c r="Z57" s="71"/>
      <c r="AA57" s="71"/>
      <c r="AB57" s="71"/>
      <c r="AC57" s="71"/>
      <c r="AD57" s="71"/>
      <c r="AE57" s="71"/>
      <c r="AF57" s="71"/>
    </row>
    <row r="58" customFormat="false" ht="15" hidden="true" customHeight="false" outlineLevel="1" collapsed="false">
      <c r="A58" s="187" t="s">
        <v>324</v>
      </c>
      <c r="B58" s="71" t="n">
        <f aca="false">SUMIFS(Horodateur1123353819223134374346495255586164698522263438465058546266707478829098941021061141181101221261301341381421461501541581621661701741781821861901941982022062102144101418222630343846[Durée (100)],Horodateur1123353819223134374346495255586164698522263438465058546266707478829098941021061141181101221261301341381421461501541581621661701741781821861901941982022062102144101418222630343846[Tâche],Taches_Jours122436391720293235414447505356596267832024323644485652606468727680889692100104112116108120124128132136140144148152156160164168172176180184188192196200204208212261216202428323644[[#Headers],[GB]],Horodateur1123353819223134374346495255586164698522263438465058546266707478829098941021061141181101221261301341381421461501541581621661701741781821861901941982022062102144101418222630343846[Jour],Taches_Jours122436391720293235414447505356596267832024323644485652606468727680889692100104112116108120124128132136140144148152156160164168172176180184188192196200204208212261216202428323644[[#This Row],[Jours]])</f>
        <v>0.75</v>
      </c>
      <c r="C58" s="71" t="n">
        <f aca="false">SUMIFS(Horodateur1123353819223134374346495255586164698522263438465058546266707478829098941021061141181101221261301341381421461501541581621661701741781821861901941982022062102144101418222630343846[Durée (100)],Horodateur1123353819223134374346495255586164698522263438465058546266707478829098941021061141181101221261301341381421461501541581621661701741781821861901941982022062102144101418222630343846[Tâche],Taches_Jours122436391720293235414447505356596267832024323644485652606468727680889692100104112116108120124128132136140144148152156160164168172176180184188192196200204208212261216202428323644[[#Headers],[RI]],Horodateur1123353819223134374346495255586164698522263438465058546266707478829098941021061141181101221261301341381421461501541581621661701741781821861901941982022062102144101418222630343846[Jour],Taches_Jours122436391720293235414447505356596267832024323644485652606468727680889692100104112116108120124128132136140144148152156160164168172176180184188192196200204208212261216202428323644[[#This Row],[Jours]])</f>
        <v>0</v>
      </c>
      <c r="D58" s="71" t="n">
        <f aca="false">SUMIFS(Horodateur1123353819223134374346495255586164698522263438465058546266707478829098941021061141181101221261301341381421461501541581621661701741781821861901941982022062102144101418222630343846[Durée (100)],Horodateur1123353819223134374346495255586164698522263438465058546266707478829098941021061141181101221261301341381421461501541581621661701741781821861901941982022062102144101418222630343846[Tâche],Taches_Jours122436391720293235414447505356596267832024323644485652606468727680889692100104112116108120124128132136140144148152156160164168172176180184188192196200204208212261216202428323644[[#Headers],[FG]],Horodateur1123353819223134374346495255586164698522263438465058546266707478829098941021061141181101221261301341381421461501541581621661701741781821861901941982022062102144101418222630343846[Jour],Taches_Jours122436391720293235414447505356596267832024323644485652606468727680889692100104112116108120124128132136140144148152156160164168172176180184188192196200204208212261216202428323644[[#This Row],[Jours]])</f>
        <v>1.5</v>
      </c>
      <c r="E58" s="71" t="n">
        <f aca="false">SUMIFS(Horodateur1123353819223134374346495255586164698522263438465058546266707478829098941021061141181101221261301341381421461501541581621661701741781821861901941982022062102144101418222630343846[Durée (100)],Horodateur1123353819223134374346495255586164698522263438465058546266707478829098941021061141181101221261301341381421461501541581621661701741781821861901941982022062102144101418222630343846[Tâche],Taches_Jours122436391720293235414447505356596267832024323644485652606468727680889692100104112116108120124128132136140144148152156160164168172176180184188192196200204208212261216202428323644[[#Headers],[PS]],Horodateur1123353819223134374346495255586164698522263438465058546266707478829098941021061141181101221261301341381421461501541581621661701741781821861901941982022062102144101418222630343846[Jour],Taches_Jours122436391720293235414447505356596267832024323644485652606468727680889692100104112116108120124128132136140144148152156160164168172176180184188192196200204208212261216202428323644[[#This Row],[Jours]])</f>
        <v>0</v>
      </c>
      <c r="F58" s="71" t="n">
        <f aca="false">SUMIFS(Horodateur1123353819223134374346495255586164698522263438465058546266707478829098941021061141181101221261301341381421461501541581621661701741781821861901941982022062102144101418222630343846[Durée (100)],Horodateur1123353819223134374346495255586164698522263438465058546266707478829098941021061141181101221261301341381421461501541581621661701741781821861901941982022062102144101418222630343846[Tâche],Taches_Jours122436391720293235414447505356596267832024323644485652606468727680889692100104112116108120124128132136140144148152156160164168172176180184188192196200204208212261216202428323644[[#Headers],[TD]],Horodateur1123353819223134374346495255586164698522263438465058546266707478829098941021061141181101221261301341381421461501541581621661701741781821861901941982022062102144101418222630343846[Jour],Taches_Jours122436391720293235414447505356596267832024323644485652606468727680889692100104112116108120124128132136140144148152156160164168172176180184188192196200204208212261216202428323644[[#This Row],[Jours]])</f>
        <v>0</v>
      </c>
      <c r="G58" s="71" t="n">
        <f aca="false">SUMIFS(Horodateur1123353819223134374346495255586164698522263438465058546266707478829098941021061141181101221261301341381421461501541581621661701741781821861901941982022062102144101418222630343846[Durée (100)],Horodateur1123353819223134374346495255586164698522263438465058546266707478829098941021061141181101221261301341381421461501541581621661701741781821861901941982022062102144101418222630343846[Tâche],Taches_Jours122436391720293235414447505356596267832024323644485652606468727680889692100104112116108120124128132136140144148152156160164168172176180184188192196200204208212261216202428323644[[#Headers],[GP]],Horodateur1123353819223134374346495255586164698522263438465058546266707478829098941021061141181101221261301341381421461501541581621661701741781821861901941982022062102144101418222630343846[Jour],Taches_Jours122436391720293235414447505356596267832024323644485652606468727680889692100104112116108120124128132136140144148152156160164168172176180184188192196200204208212261216202428323644[[#This Row],[Jours]])</f>
        <v>3.25</v>
      </c>
      <c r="H58" s="71" t="n">
        <f aca="false">SUMIFS(Horodateur1123353819223134374346495255586164698522263438465058546266707478829098941021061141181101221261301341381421461501541581621661701741781821861901941982022062102144101418222630343846[Durée (100)],Horodateur1123353819223134374346495255586164698522263438465058546266707478829098941021061141181101221261301341381421461501541581621661701741781821861901941982022062102144101418222630343846[Tâche],Taches_Jours122436391720293235414447505356596267832024323644485652606468727680889692100104112116108120124128132136140144148152156160164168172176180184188192196200204208212261216202428323644[[#Headers],[GP / SP]],Horodateur1123353819223134374346495255586164698522263438465058546266707478829098941021061141181101221261301341381421461501541581621661701741781821861901941982022062102144101418222630343846[Jour],Taches_Jours122436391720293235414447505356596267832024323644485652606468727680889692100104112116108120124128132136140144148152156160164168172176180184188192196200204208212261216202428323644[[#This Row],[Jours]])</f>
        <v>0</v>
      </c>
      <c r="I58" s="71" t="n">
        <f aca="false">SUMIFS(Horodateur1123353819223134374346495255586164698522263438465058546266707478829098941021061141181101221261301341381421461501541581621661701741781821861901941982022062102144101418222630343846[Durée (100)],Horodateur1123353819223134374346495255586164698522263438465058546266707478829098941021061141181101221261301341381421461501541581621661701741781821861901941982022062102144101418222630343846[Tâche],Taches_Jours122436391720293235414447505356596267832024323644485652606468727680889692100104112116108120124128132136140144148152156160164168172176180184188192196200204208212261216202428323644[[#Headers],[GP / SP]],Horodateur1123353819223134374346495255586164698522263438465058546266707478829098941021061141181101221261301341381421461501541581621661701741781821861901941982022062102144101418222630343846[Jour],Taches_Jours122436391720293235414447505356596267832024323644485652606468727680889692100104112116108120124128132136140144148152156160164168172176180184188192196200204208212261216202428323644[[#This Row],[Jours]])</f>
        <v>0</v>
      </c>
      <c r="J58" s="290" t="n">
        <f aca="false">SUM(Taches_Jours122436391720293235414447505356596267832024323644485652606468727680889692100104112116108120124128132136140144148152156160164168172176180184188192196200204208212261216202428323644[[#This Row],[GB]:[GP / SP]])</f>
        <v>5.5</v>
      </c>
      <c r="K58" s="188"/>
      <c r="L58" s="288"/>
      <c r="M58" s="289"/>
      <c r="N58" s="187"/>
      <c r="O58" s="1"/>
      <c r="P58" s="1"/>
      <c r="Q58" s="1"/>
      <c r="R58" s="1"/>
      <c r="S58" s="1"/>
      <c r="T58" s="71"/>
      <c r="U58" s="71"/>
      <c r="V58" s="71"/>
      <c r="W58" s="71"/>
      <c r="X58" s="71"/>
      <c r="Y58" s="71"/>
      <c r="Z58" s="71"/>
      <c r="AA58" s="71"/>
      <c r="AB58" s="71"/>
      <c r="AC58" s="71"/>
      <c r="AD58" s="71"/>
      <c r="AE58" s="71"/>
      <c r="AF58" s="71"/>
    </row>
    <row r="59" customFormat="false" ht="15" hidden="true" customHeight="false" outlineLevel="1" collapsed="false">
      <c r="A59" s="187" t="s">
        <v>332</v>
      </c>
      <c r="B59" s="71" t="n">
        <f aca="false">SUMIFS(Horodateur1123353819223134374346495255586164698522263438465058546266707478829098941021061141181101221261301341381421461501541581621661701741781821861901941982022062102144101418222630343846[Durée (100)],Horodateur1123353819223134374346495255586164698522263438465058546266707478829098941021061141181101221261301341381421461501541581621661701741781821861901941982022062102144101418222630343846[Tâche],Taches_Jours122436391720293235414447505356596267832024323644485652606468727680889692100104112116108120124128132136140144148152156160164168172176180184188192196200204208212261216202428323644[[#Headers],[GB]],Horodateur1123353819223134374346495255586164698522263438465058546266707478829098941021061141181101221261301341381421461501541581621661701741781821861901941982022062102144101418222630343846[Jour],Taches_Jours122436391720293235414447505356596267832024323644485652606468727680889692100104112116108120124128132136140144148152156160164168172176180184188192196200204208212261216202428323644[[#This Row],[Jours]])</f>
        <v>0</v>
      </c>
      <c r="C59" s="71" t="n">
        <f aca="false">SUMIFS(Horodateur1123353819223134374346495255586164698522263438465058546266707478829098941021061141181101221261301341381421461501541581621661701741781821861901941982022062102144101418222630343846[Durée (100)],Horodateur1123353819223134374346495255586164698522263438465058546266707478829098941021061141181101221261301341381421461501541581621661701741781821861901941982022062102144101418222630343846[Tâche],Taches_Jours122436391720293235414447505356596267832024323644485652606468727680889692100104112116108120124128132136140144148152156160164168172176180184188192196200204208212261216202428323644[[#Headers],[RI]],Horodateur1123353819223134374346495255586164698522263438465058546266707478829098941021061141181101221261301341381421461501541581621661701741781821861901941982022062102144101418222630343846[Jour],Taches_Jours122436391720293235414447505356596267832024323644485652606468727680889692100104112116108120124128132136140144148152156160164168172176180184188192196200204208212261216202428323644[[#This Row],[Jours]])</f>
        <v>0</v>
      </c>
      <c r="D59" s="71" t="n">
        <f aca="false">SUMIFS(Horodateur1123353819223134374346495255586164698522263438465058546266707478829098941021061141181101221261301341381421461501541581621661701741781821861901941982022062102144101418222630343846[Durée (100)],Horodateur1123353819223134374346495255586164698522263438465058546266707478829098941021061141181101221261301341381421461501541581621661701741781821861901941982022062102144101418222630343846[Tâche],Taches_Jours122436391720293235414447505356596267832024323644485652606468727680889692100104112116108120124128132136140144148152156160164168172176180184188192196200204208212261216202428323644[[#Headers],[FG]],Horodateur1123353819223134374346495255586164698522263438465058546266707478829098941021061141181101221261301341381421461501541581621661701741781821861901941982022062102144101418222630343846[Jour],Taches_Jours122436391720293235414447505356596267832024323644485652606468727680889692100104112116108120124128132136140144148152156160164168172176180184188192196200204208212261216202428323644[[#This Row],[Jours]])</f>
        <v>0</v>
      </c>
      <c r="E59" s="71" t="n">
        <f aca="false">SUMIFS(Horodateur1123353819223134374346495255586164698522263438465058546266707478829098941021061141181101221261301341381421461501541581621661701741781821861901941982022062102144101418222630343846[Durée (100)],Horodateur1123353819223134374346495255586164698522263438465058546266707478829098941021061141181101221261301341381421461501541581621661701741781821861901941982022062102144101418222630343846[Tâche],Taches_Jours122436391720293235414447505356596267832024323644485652606468727680889692100104112116108120124128132136140144148152156160164168172176180184188192196200204208212261216202428323644[[#Headers],[PS]],Horodateur1123353819223134374346495255586164698522263438465058546266707478829098941021061141181101221261301341381421461501541581621661701741781821861901941982022062102144101418222630343846[Jour],Taches_Jours122436391720293235414447505356596267832024323644485652606468727680889692100104112116108120124128132136140144148152156160164168172176180184188192196200204208212261216202428323644[[#This Row],[Jours]])</f>
        <v>0</v>
      </c>
      <c r="F59" s="71" t="n">
        <f aca="false">SUMIFS(Horodateur1123353819223134374346495255586164698522263438465058546266707478829098941021061141181101221261301341381421461501541581621661701741781821861901941982022062102144101418222630343846[Durée (100)],Horodateur1123353819223134374346495255586164698522263438465058546266707478829098941021061141181101221261301341381421461501541581621661701741781821861901941982022062102144101418222630343846[Tâche],Taches_Jours122436391720293235414447505356596267832024323644485652606468727680889692100104112116108120124128132136140144148152156160164168172176180184188192196200204208212261216202428323644[[#Headers],[TD]],Horodateur1123353819223134374346495255586164698522263438465058546266707478829098941021061141181101221261301341381421461501541581621661701741781821861901941982022062102144101418222630343846[Jour],Taches_Jours122436391720293235414447505356596267832024323644485652606468727680889692100104112116108120124128132136140144148152156160164168172176180184188192196200204208212261216202428323644[[#This Row],[Jours]])</f>
        <v>0</v>
      </c>
      <c r="G59" s="71" t="n">
        <f aca="false">SUMIFS(Horodateur1123353819223134374346495255586164698522263438465058546266707478829098941021061141181101221261301341381421461501541581621661701741781821861901941982022062102144101418222630343846[Durée (100)],Horodateur1123353819223134374346495255586164698522263438465058546266707478829098941021061141181101221261301341381421461501541581621661701741781821861901941982022062102144101418222630343846[Tâche],Taches_Jours122436391720293235414447505356596267832024323644485652606468727680889692100104112116108120124128132136140144148152156160164168172176180184188192196200204208212261216202428323644[[#Headers],[GP]],Horodateur1123353819223134374346495255586164698522263438465058546266707478829098941021061141181101221261301341381421461501541581621661701741781821861901941982022062102144101418222630343846[Jour],Taches_Jours122436391720293235414447505356596267832024323644485652606468727680889692100104112116108120124128132136140144148152156160164168172176180184188192196200204208212261216202428323644[[#This Row],[Jours]])</f>
        <v>7.25</v>
      </c>
      <c r="H59" s="71" t="n">
        <f aca="false">SUMIFS(Horodateur1123353819223134374346495255586164698522263438465058546266707478829098941021061141181101221261301341381421461501541581621661701741781821861901941982022062102144101418222630343846[Durée (100)],Horodateur1123353819223134374346495255586164698522263438465058546266707478829098941021061141181101221261301341381421461501541581621661701741781821861901941982022062102144101418222630343846[Tâche],Taches_Jours122436391720293235414447505356596267832024323644485652606468727680889692100104112116108120124128132136140144148152156160164168172176180184188192196200204208212261216202428323644[[#Headers],[GP / SP]],Horodateur1123353819223134374346495255586164698522263438465058546266707478829098941021061141181101221261301341381421461501541581621661701741781821861901941982022062102144101418222630343846[Jour],Taches_Jours122436391720293235414447505356596267832024323644485652606468727680889692100104112116108120124128132136140144148152156160164168172176180184188192196200204208212261216202428323644[[#This Row],[Jours]])</f>
        <v>0</v>
      </c>
      <c r="I59" s="71" t="n">
        <f aca="false">SUMIFS(Horodateur1123353819223134374346495255586164698522263438465058546266707478829098941021061141181101221261301341381421461501541581621661701741781821861901941982022062102144101418222630343846[Durée (100)],Horodateur1123353819223134374346495255586164698522263438465058546266707478829098941021061141181101221261301341381421461501541581621661701741781821861901941982022062102144101418222630343846[Tâche],Taches_Jours122436391720293235414447505356596267832024323644485652606468727680889692100104112116108120124128132136140144148152156160164168172176180184188192196200204208212261216202428323644[[#Headers],[GP / SP]],Horodateur1123353819223134374346495255586164698522263438465058546266707478829098941021061141181101221261301341381421461501541581621661701741781821861901941982022062102144101418222630343846[Jour],Taches_Jours122436391720293235414447505356596267832024323644485652606468727680889692100104112116108120124128132136140144148152156160164168172176180184188192196200204208212261216202428323644[[#This Row],[Jours]])</f>
        <v>0</v>
      </c>
      <c r="J59" s="290" t="n">
        <f aca="false">SUM(Taches_Jours122436391720293235414447505356596267832024323644485652606468727680889692100104112116108120124128132136140144148152156160164168172176180184188192196200204208212261216202428323644[[#This Row],[GB]:[GP / SP]])</f>
        <v>7.25</v>
      </c>
      <c r="K59" s="188"/>
      <c r="L59" s="288"/>
      <c r="M59" s="289"/>
      <c r="N59" s="187"/>
      <c r="O59" s="71"/>
      <c r="P59" s="71"/>
      <c r="Q59" s="71"/>
      <c r="R59" s="71"/>
      <c r="S59" s="71"/>
      <c r="T59" s="71"/>
      <c r="U59" s="71"/>
      <c r="V59" s="71"/>
      <c r="W59" s="71"/>
      <c r="X59" s="71"/>
      <c r="Y59" s="71"/>
      <c r="Z59" s="71"/>
      <c r="AA59" s="71"/>
      <c r="AB59" s="71"/>
      <c r="AC59" s="71"/>
      <c r="AD59" s="71"/>
      <c r="AE59" s="71"/>
      <c r="AF59" s="71"/>
    </row>
    <row r="60" customFormat="false" ht="15" hidden="true" customHeight="false" outlineLevel="1" collapsed="false">
      <c r="A60" s="187" t="s">
        <v>335</v>
      </c>
      <c r="B60" s="71" t="n">
        <f aca="false">SUMIFS(Horodateur1123353819223134374346495255586164698522263438465058546266707478829098941021061141181101221261301341381421461501541581621661701741781821861901941982022062102144101418222630343846[Durée (100)],Horodateur1123353819223134374346495255586164698522263438465058546266707478829098941021061141181101221261301341381421461501541581621661701741781821861901941982022062102144101418222630343846[Tâche],Taches_Jours122436391720293235414447505356596267832024323644485652606468727680889692100104112116108120124128132136140144148152156160164168172176180184188192196200204208212261216202428323644[[#Headers],[GB]],Horodateur1123353819223134374346495255586164698522263438465058546266707478829098941021061141181101221261301341381421461501541581621661701741781821861901941982022062102144101418222630343846[Jour],Taches_Jours122436391720293235414447505356596267832024323644485652606468727680889692100104112116108120124128132136140144148152156160164168172176180184188192196200204208212261216202428323644[[#This Row],[Jours]])</f>
        <v>0.999999999999999</v>
      </c>
      <c r="C60" s="71" t="n">
        <f aca="false">SUMIFS(Horodateur1123353819223134374346495255586164698522263438465058546266707478829098941021061141181101221261301341381421461501541581621661701741781821861901941982022062102144101418222630343846[Durée (100)],Horodateur1123353819223134374346495255586164698522263438465058546266707478829098941021061141181101221261301341381421461501541581621661701741781821861901941982022062102144101418222630343846[Tâche],Taches_Jours122436391720293235414447505356596267832024323644485652606468727680889692100104112116108120124128132136140144148152156160164168172176180184188192196200204208212261216202428323644[[#Headers],[RI]],Horodateur1123353819223134374346495255586164698522263438465058546266707478829098941021061141181101221261301341381421461501541581621661701741781821861901941982022062102144101418222630343846[Jour],Taches_Jours122436391720293235414447505356596267832024323644485652606468727680889692100104112116108120124128132136140144148152156160164168172176180184188192196200204208212261216202428323644[[#This Row],[Jours]])</f>
        <v>0</v>
      </c>
      <c r="D60" s="71" t="n">
        <f aca="false">SUMIFS(Horodateur1123353819223134374346495255586164698522263438465058546266707478829098941021061141181101221261301341381421461501541581621661701741781821861901941982022062102144101418222630343846[Durée (100)],Horodateur1123353819223134374346495255586164698522263438465058546266707478829098941021061141181101221261301341381421461501541581621661701741781821861901941982022062102144101418222630343846[Tâche],Taches_Jours122436391720293235414447505356596267832024323644485652606468727680889692100104112116108120124128132136140144148152156160164168172176180184188192196200204208212261216202428323644[[#Headers],[FG]],Horodateur1123353819223134374346495255586164698522263438465058546266707478829098941021061141181101221261301341381421461501541581621661701741781821861901941982022062102144101418222630343846[Jour],Taches_Jours122436391720293235414447505356596267832024323644485652606468727680889692100104112116108120124128132136140144148152156160164168172176180184188192196200204208212261216202428323644[[#This Row],[Jours]])</f>
        <v>0</v>
      </c>
      <c r="E60" s="71" t="n">
        <f aca="false">SUMIFS(Horodateur1123353819223134374346495255586164698522263438465058546266707478829098941021061141181101221261301341381421461501541581621661701741781821861901941982022062102144101418222630343846[Durée (100)],Horodateur1123353819223134374346495255586164698522263438465058546266707478829098941021061141181101221261301341381421461501541581621661701741781821861901941982022062102144101418222630343846[Tâche],Taches_Jours122436391720293235414447505356596267832024323644485652606468727680889692100104112116108120124128132136140144148152156160164168172176180184188192196200204208212261216202428323644[[#Headers],[PS]],Horodateur1123353819223134374346495255586164698522263438465058546266707478829098941021061141181101221261301341381421461501541581621661701741781821861901941982022062102144101418222630343846[Jour],Taches_Jours122436391720293235414447505356596267832024323644485652606468727680889692100104112116108120124128132136140144148152156160164168172176180184188192196200204208212261216202428323644[[#This Row],[Jours]])</f>
        <v>0</v>
      </c>
      <c r="F60" s="71" t="n">
        <f aca="false">SUMIFS(Horodateur1123353819223134374346495255586164698522263438465058546266707478829098941021061141181101221261301341381421461501541581621661701741781821861901941982022062102144101418222630343846[Durée (100)],Horodateur1123353819223134374346495255586164698522263438465058546266707478829098941021061141181101221261301341381421461501541581621661701741781821861901941982022062102144101418222630343846[Tâche],Taches_Jours122436391720293235414447505356596267832024323644485652606468727680889692100104112116108120124128132136140144148152156160164168172176180184188192196200204208212261216202428323644[[#Headers],[TD]],Horodateur1123353819223134374346495255586164698522263438465058546266707478829098941021061141181101221261301341381421461501541581621661701741781821861901941982022062102144101418222630343846[Jour],Taches_Jours122436391720293235414447505356596267832024323644485652606468727680889692100104112116108120124128132136140144148152156160164168172176180184188192196200204208212261216202428323644[[#This Row],[Jours]])</f>
        <v>0</v>
      </c>
      <c r="G60" s="71" t="n">
        <f aca="false">SUMIFS(Horodateur1123353819223134374346495255586164698522263438465058546266707478829098941021061141181101221261301341381421461501541581621661701741781821861901941982022062102144101418222630343846[Durée (100)],Horodateur1123353819223134374346495255586164698522263438465058546266707478829098941021061141181101221261301341381421461501541581621661701741781821861901941982022062102144101418222630343846[Tâche],Taches_Jours122436391720293235414447505356596267832024323644485652606468727680889692100104112116108120124128132136140144148152156160164168172176180184188192196200204208212261216202428323644[[#Headers],[GP]],Horodateur1123353819223134374346495255586164698522263438465058546266707478829098941021061141181101221261301341381421461501541581621661701741781821861901941982022062102144101418222630343846[Jour],Taches_Jours122436391720293235414447505356596267832024323644485652606468727680889692100104112116108120124128132136140144148152156160164168172176180184188192196200204208212261216202428323644[[#This Row],[Jours]])</f>
        <v>1.5</v>
      </c>
      <c r="H60" s="71" t="n">
        <f aca="false">SUMIFS(Horodateur1123353819223134374346495255586164698522263438465058546266707478829098941021061141181101221261301341381421461501541581621661701741781821861901941982022062102144101418222630343846[Durée (100)],Horodateur1123353819223134374346495255586164698522263438465058546266707478829098941021061141181101221261301341381421461501541581621661701741781821861901941982022062102144101418222630343846[Tâche],Taches_Jours122436391720293235414447505356596267832024323644485652606468727680889692100104112116108120124128132136140144148152156160164168172176180184188192196200204208212261216202428323644[[#Headers],[GP / SP]],Horodateur1123353819223134374346495255586164698522263438465058546266707478829098941021061141181101221261301341381421461501541581621661701741781821861901941982022062102144101418222630343846[Jour],Taches_Jours122436391720293235414447505356596267832024323644485652606468727680889692100104112116108120124128132136140144148152156160164168172176180184188192196200204208212261216202428323644[[#This Row],[Jours]])</f>
        <v>1.5</v>
      </c>
      <c r="I60" s="71" t="n">
        <f aca="false">SUMIFS(Horodateur1123353819223134374346495255586164698522263438465058546266707478829098941021061141181101221261301341381421461501541581621661701741781821861901941982022062102144101418222630343846[Durée (100)],Horodateur1123353819223134374346495255586164698522263438465058546266707478829098941021061141181101221261301341381421461501541581621661701741781821861901941982022062102144101418222630343846[Tâche],Taches_Jours122436391720293235414447505356596267832024323644485652606468727680889692100104112116108120124128132136140144148152156160164168172176180184188192196200204208212261216202428323644[[#Headers],[GP / SP]],Horodateur1123353819223134374346495255586164698522263438465058546266707478829098941021061141181101221261301341381421461501541581621661701741781821861901941982022062102144101418222630343846[Jour],Taches_Jours122436391720293235414447505356596267832024323644485652606468727680889692100104112116108120124128132136140144148152156160164168172176180184188192196200204208212261216202428323644[[#This Row],[Jours]])</f>
        <v>1.5</v>
      </c>
      <c r="J60" s="290" t="n">
        <f aca="false">SUM(Taches_Jours122436391720293235414447505356596267832024323644485652606468727680889692100104112116108120124128132136140144148152156160164168172176180184188192196200204208212261216202428323644[[#This Row],[GB]:[GP / SP]])</f>
        <v>4</v>
      </c>
      <c r="K60" s="188"/>
      <c r="L60" s="288"/>
      <c r="M60" s="289"/>
      <c r="N60" s="187"/>
      <c r="O60" s="1"/>
      <c r="P60" s="1"/>
      <c r="Q60" s="1"/>
      <c r="R60" s="1"/>
      <c r="S60" s="1"/>
      <c r="T60" s="71"/>
      <c r="U60" s="71"/>
      <c r="V60" s="71"/>
      <c r="W60" s="71"/>
      <c r="X60" s="71"/>
      <c r="Y60" s="71"/>
      <c r="Z60" s="71"/>
      <c r="AA60" s="71"/>
      <c r="AB60" s="71"/>
      <c r="AC60" s="71"/>
      <c r="AD60" s="71"/>
      <c r="AE60" s="71"/>
      <c r="AF60" s="71"/>
    </row>
    <row r="61" customFormat="false" ht="15" hidden="true" customHeight="false" outlineLevel="1" collapsed="false">
      <c r="A61" s="187" t="s">
        <v>341</v>
      </c>
      <c r="B61" s="71" t="n">
        <f aca="false">SUMIFS(Horodateur1123353819223134374346495255586164698522263438465058546266707478829098941021061141181101221261301341381421461501541581621661701741781821861901941982022062102144101418222630343846[Durée (100)],Horodateur1123353819223134374346495255586164698522263438465058546266707478829098941021061141181101221261301341381421461501541581621661701741781821861901941982022062102144101418222630343846[Tâche],Taches_Jours122436391720293235414447505356596267832024323644485652606468727680889692100104112116108120124128132136140144148152156160164168172176180184188192196200204208212261216202428323644[[#Headers],[GB]],Horodateur1123353819223134374346495255586164698522263438465058546266707478829098941021061141181101221261301341381421461501541581621661701741781821861901941982022062102144101418222630343846[Jour],Taches_Jours122436391720293235414447505356596267832024323644485652606468727680889692100104112116108120124128132136140144148152156160164168172176180184188192196200204208212261216202428323644[[#This Row],[Jours]])</f>
        <v>0</v>
      </c>
      <c r="C61" s="71" t="n">
        <f aca="false">SUMIFS(Horodateur1123353819223134374346495255586164698522263438465058546266707478829098941021061141181101221261301341381421461501541581621661701741781821861901941982022062102144101418222630343846[Durée (100)],Horodateur1123353819223134374346495255586164698522263438465058546266707478829098941021061141181101221261301341381421461501541581621661701741781821861901941982022062102144101418222630343846[Tâche],Taches_Jours122436391720293235414447505356596267832024323644485652606468727680889692100104112116108120124128132136140144148152156160164168172176180184188192196200204208212261216202428323644[[#Headers],[RI]],Horodateur1123353819223134374346495255586164698522263438465058546266707478829098941021061141181101221261301341381421461501541581621661701741781821861901941982022062102144101418222630343846[Jour],Taches_Jours122436391720293235414447505356596267832024323644485652606468727680889692100104112116108120124128132136140144148152156160164168172176180184188192196200204208212261216202428323644[[#This Row],[Jours]])</f>
        <v>0</v>
      </c>
      <c r="D61" s="71" t="n">
        <f aca="false">SUMIFS(Horodateur1123353819223134374346495255586164698522263438465058546266707478829098941021061141181101221261301341381421461501541581621661701741781821861901941982022062102144101418222630343846[Durée (100)],Horodateur1123353819223134374346495255586164698522263438465058546266707478829098941021061141181101221261301341381421461501541581621661701741781821861901941982022062102144101418222630343846[Tâche],Taches_Jours122436391720293235414447505356596267832024323644485652606468727680889692100104112116108120124128132136140144148152156160164168172176180184188192196200204208212261216202428323644[[#Headers],[FG]],Horodateur1123353819223134374346495255586164698522263438465058546266707478829098941021061141181101221261301341381421461501541581621661701741781821861901941982022062102144101418222630343846[Jour],Taches_Jours122436391720293235414447505356596267832024323644485652606468727680889692100104112116108120124128132136140144148152156160164168172176180184188192196200204208212261216202428323644[[#This Row],[Jours]])</f>
        <v>0</v>
      </c>
      <c r="E61" s="71" t="n">
        <f aca="false">SUMIFS(Horodateur1123353819223134374346495255586164698522263438465058546266707478829098941021061141181101221261301341381421461501541581621661701741781821861901941982022062102144101418222630343846[Durée (100)],Horodateur1123353819223134374346495255586164698522263438465058546266707478829098941021061141181101221261301341381421461501541581621661701741781821861901941982022062102144101418222630343846[Tâche],Taches_Jours122436391720293235414447505356596267832024323644485652606468727680889692100104112116108120124128132136140144148152156160164168172176180184188192196200204208212261216202428323644[[#Headers],[PS]],Horodateur1123353819223134374346495255586164698522263438465058546266707478829098941021061141181101221261301341381421461501541581621661701741781821861901941982022062102144101418222630343846[Jour],Taches_Jours122436391720293235414447505356596267832024323644485652606468727680889692100104112116108120124128132136140144148152156160164168172176180184188192196200204208212261216202428323644[[#This Row],[Jours]])</f>
        <v>0</v>
      </c>
      <c r="F61" s="71" t="n">
        <f aca="false">SUMIFS(Horodateur1123353819223134374346495255586164698522263438465058546266707478829098941021061141181101221261301341381421461501541581621661701741781821861901941982022062102144101418222630343846[Durée (100)],Horodateur1123353819223134374346495255586164698522263438465058546266707478829098941021061141181101221261301341381421461501541581621661701741781821861901941982022062102144101418222630343846[Tâche],Taches_Jours122436391720293235414447505356596267832024323644485652606468727680889692100104112116108120124128132136140144148152156160164168172176180184188192196200204208212261216202428323644[[#Headers],[TD]],Horodateur1123353819223134374346495255586164698522263438465058546266707478829098941021061141181101221261301341381421461501541581621661701741781821861901941982022062102144101418222630343846[Jour],Taches_Jours122436391720293235414447505356596267832024323644485652606468727680889692100104112116108120124128132136140144148152156160164168172176180184188192196200204208212261216202428323644[[#This Row],[Jours]])</f>
        <v>0</v>
      </c>
      <c r="G61" s="71" t="n">
        <f aca="false">SUMIFS(Horodateur1123353819223134374346495255586164698522263438465058546266707478829098941021061141181101221261301341381421461501541581621661701741781821861901941982022062102144101418222630343846[Durée (100)],Horodateur1123353819223134374346495255586164698522263438465058546266707478829098941021061141181101221261301341381421461501541581621661701741781821861901941982022062102144101418222630343846[Tâche],Taches_Jours122436391720293235414447505356596267832024323644485652606468727680889692100104112116108120124128132136140144148152156160164168172176180184188192196200204208212261216202428323644[[#Headers],[GP]],Horodateur1123353819223134374346495255586164698522263438465058546266707478829098941021061141181101221261301341381421461501541581621661701741781821861901941982022062102144101418222630343846[Jour],Taches_Jours122436391720293235414447505356596267832024323644485652606468727680889692100104112116108120124128132136140144148152156160164168172176180184188192196200204208212261216202428323644[[#This Row],[Jours]])</f>
        <v>0</v>
      </c>
      <c r="H61" s="71" t="n">
        <f aca="false">SUMIFS(Horodateur1123353819223134374346495255586164698522263438465058546266707478829098941021061141181101221261301341381421461501541581621661701741781821861901941982022062102144101418222630343846[Durée (100)],Horodateur1123353819223134374346495255586164698522263438465058546266707478829098941021061141181101221261301341381421461501541581621661701741781821861901941982022062102144101418222630343846[Tâche],Taches_Jours122436391720293235414447505356596267832024323644485652606468727680889692100104112116108120124128132136140144148152156160164168172176180184188192196200204208212261216202428323644[[#Headers],[GP / SP]],Horodateur1123353819223134374346495255586164698522263438465058546266707478829098941021061141181101221261301341381421461501541581621661701741781821861901941982022062102144101418222630343846[Jour],Taches_Jours122436391720293235414447505356596267832024323644485652606468727680889692100104112116108120124128132136140144148152156160164168172176180184188192196200204208212261216202428323644[[#This Row],[Jours]])</f>
        <v>0</v>
      </c>
      <c r="I61" s="290" t="n">
        <f aca="false">SUMIFS(Horodateur1123353819223134374346495255586164698522263438465058546266707478829098941021061141181101221261301341381421461501541581621661701741781821861901941982022062102144101418222630343846[Durée (100)],Horodateur1123353819223134374346495255586164698522263438465058546266707478829098941021061141181101221261301341381421461501541581621661701741781821861901941982022062102144101418222630343846[Tâche],Taches_Jours122436391720293235414447505356596267832024323644485652606468727680889692100104112116108120124128132136140144148152156160164168172176180184188192196200204208212261216202428323644[[#Headers],[GP / SP]],Horodateur1123353819223134374346495255586164698522263438465058546266707478829098941021061141181101221261301341381421461501541581621661701741781821861901941982022062102144101418222630343846[Jour],Taches_Jours122436391720293235414447505356596267832024323644485652606468727680889692100104112116108120124128132136140144148152156160164168172176180184188192196200204208212261216202428323644[[#This Row],[Jours]])</f>
        <v>0</v>
      </c>
      <c r="J61" s="71" t="n">
        <f aca="false">SUM(Taches_Jours122436391720293235414447505356596267832024323644485652606468727680889692100104112116108120124128132136140144148152156160164168172176180184188192196200204208212261216202428323644[[#This Row],[GB]:[GP / SP]])</f>
        <v>0</v>
      </c>
      <c r="K61" s="188"/>
      <c r="L61" s="288"/>
      <c r="M61" s="289"/>
      <c r="N61" s="187"/>
      <c r="O61" s="1"/>
      <c r="P61" s="1"/>
      <c r="Q61" s="1"/>
      <c r="R61" s="1"/>
      <c r="S61" s="1"/>
      <c r="T61" s="71"/>
      <c r="U61" s="71"/>
      <c r="V61" s="71"/>
      <c r="W61" s="71"/>
      <c r="X61" s="71"/>
      <c r="Y61" s="71"/>
      <c r="Z61" s="71"/>
      <c r="AA61" s="71"/>
      <c r="AB61" s="71"/>
      <c r="AC61" s="71"/>
      <c r="AD61" s="71"/>
      <c r="AE61" s="71"/>
      <c r="AF61" s="71"/>
    </row>
    <row r="62" customFormat="false" ht="15" hidden="true" customHeight="false" outlineLevel="1" collapsed="false">
      <c r="A62" s="187" t="s">
        <v>381</v>
      </c>
      <c r="B62" s="71" t="n">
        <f aca="false">SUMIFS(Horodateur1123353819223134374346495255586164698522263438465058546266707478829098941021061141181101221261301341381421461501541581621661701741781821861901941982022062102144101418222630343846[Durée (100)],Horodateur1123353819223134374346495255586164698522263438465058546266707478829098941021061141181101221261301341381421461501541581621661701741781821861901941982022062102144101418222630343846[Tâche],Taches_Jours122436391720293235414447505356596267832024323644485652606468727680889692100104112116108120124128132136140144148152156160164168172176180184188192196200204208212261216202428323644[[#Headers],[GB]],Horodateur1123353819223134374346495255586164698522263438465058546266707478829098941021061141181101221261301341381421461501541581621661701741781821861901941982022062102144101418222630343846[Jour],Taches_Jours122436391720293235414447505356596267832024323644485652606468727680889692100104112116108120124128132136140144148152156160164168172176180184188192196200204208212261216202428323644[[#This Row],[Jours]])</f>
        <v>0</v>
      </c>
      <c r="C62" s="71" t="n">
        <f aca="false">SUMIFS(Horodateur1123353819223134374346495255586164698522263438465058546266707478829098941021061141181101221261301341381421461501541581621661701741781821861901941982022062102144101418222630343846[Durée (100)],Horodateur1123353819223134374346495255586164698522263438465058546266707478829098941021061141181101221261301341381421461501541581621661701741781821861901941982022062102144101418222630343846[Tâche],Taches_Jours122436391720293235414447505356596267832024323644485652606468727680889692100104112116108120124128132136140144148152156160164168172176180184188192196200204208212261216202428323644[[#Headers],[RI]],Horodateur1123353819223134374346495255586164698522263438465058546266707478829098941021061141181101221261301341381421461501541581621661701741781821861901941982022062102144101418222630343846[Jour],Taches_Jours122436391720293235414447505356596267832024323644485652606468727680889692100104112116108120124128132136140144148152156160164168172176180184188192196200204208212261216202428323644[[#This Row],[Jours]])</f>
        <v>0</v>
      </c>
      <c r="D62" s="71" t="n">
        <f aca="false">SUMIFS(Horodateur1123353819223134374346495255586164698522263438465058546266707478829098941021061141181101221261301341381421461501541581621661701741781821861901941982022062102144101418222630343846[Durée (100)],Horodateur1123353819223134374346495255586164698522263438465058546266707478829098941021061141181101221261301341381421461501541581621661701741781821861901941982022062102144101418222630343846[Tâche],Taches_Jours122436391720293235414447505356596267832024323644485652606468727680889692100104112116108120124128132136140144148152156160164168172176180184188192196200204208212261216202428323644[[#Headers],[FG]],Horodateur1123353819223134374346495255586164698522263438465058546266707478829098941021061141181101221261301341381421461501541581621661701741781821861901941982022062102144101418222630343846[Jour],Taches_Jours122436391720293235414447505356596267832024323644485652606468727680889692100104112116108120124128132136140144148152156160164168172176180184188192196200204208212261216202428323644[[#This Row],[Jours]])</f>
        <v>0</v>
      </c>
      <c r="E62" s="71" t="n">
        <f aca="false">SUMIFS(Horodateur1123353819223134374346495255586164698522263438465058546266707478829098941021061141181101221261301341381421461501541581621661701741781821861901941982022062102144101418222630343846[Durée (100)],Horodateur1123353819223134374346495255586164698522263438465058546266707478829098941021061141181101221261301341381421461501541581621661701741781821861901941982022062102144101418222630343846[Tâche],Taches_Jours122436391720293235414447505356596267832024323644485652606468727680889692100104112116108120124128132136140144148152156160164168172176180184188192196200204208212261216202428323644[[#Headers],[PS]],Horodateur1123353819223134374346495255586164698522263438465058546266707478829098941021061141181101221261301341381421461501541581621661701741781821861901941982022062102144101418222630343846[Jour],Taches_Jours122436391720293235414447505356596267832024323644485652606468727680889692100104112116108120124128132136140144148152156160164168172176180184188192196200204208212261216202428323644[[#This Row],[Jours]])</f>
        <v>0</v>
      </c>
      <c r="F62" s="71" t="n">
        <f aca="false">SUMIFS(Horodateur1123353819223134374346495255586164698522263438465058546266707478829098941021061141181101221261301341381421461501541581621661701741781821861901941982022062102144101418222630343846[Durée (100)],Horodateur1123353819223134374346495255586164698522263438465058546266707478829098941021061141181101221261301341381421461501541581621661701741781821861901941982022062102144101418222630343846[Tâche],Taches_Jours122436391720293235414447505356596267832024323644485652606468727680889692100104112116108120124128132136140144148152156160164168172176180184188192196200204208212261216202428323644[[#Headers],[TD]],Horodateur1123353819223134374346495255586164698522263438465058546266707478829098941021061141181101221261301341381421461501541581621661701741781821861901941982022062102144101418222630343846[Jour],Taches_Jours122436391720293235414447505356596267832024323644485652606468727680889692100104112116108120124128132136140144148152156160164168172176180184188192196200204208212261216202428323644[[#This Row],[Jours]])</f>
        <v>0</v>
      </c>
      <c r="G62" s="71" t="n">
        <f aca="false">SUMIFS(Horodateur1123353819223134374346495255586164698522263438465058546266707478829098941021061141181101221261301341381421461501541581621661701741781821861901941982022062102144101418222630343846[Durée (100)],Horodateur1123353819223134374346495255586164698522263438465058546266707478829098941021061141181101221261301341381421461501541581621661701741781821861901941982022062102144101418222630343846[Tâche],Taches_Jours122436391720293235414447505356596267832024323644485652606468727680889692100104112116108120124128132136140144148152156160164168172176180184188192196200204208212261216202428323644[[#Headers],[GP]],Horodateur1123353819223134374346495255586164698522263438465058546266707478829098941021061141181101221261301341381421461501541581621661701741781821861901941982022062102144101418222630343846[Jour],Taches_Jours122436391720293235414447505356596267832024323644485652606468727680889692100104112116108120124128132136140144148152156160164168172176180184188192196200204208212261216202428323644[[#This Row],[Jours]])</f>
        <v>0</v>
      </c>
      <c r="H62" s="71" t="n">
        <f aca="false">SUMIFS(Horodateur1123353819223134374346495255586164698522263438465058546266707478829098941021061141181101221261301341381421461501541581621661701741781821861901941982022062102144101418222630343846[Durée (100)],Horodateur1123353819223134374346495255586164698522263438465058546266707478829098941021061141181101221261301341381421461501541581621661701741781821861901941982022062102144101418222630343846[Tâche],Taches_Jours122436391720293235414447505356596267832024323644485652606468727680889692100104112116108120124128132136140144148152156160164168172176180184188192196200204208212261216202428323644[[#Headers],[GP / SP]],Horodateur1123353819223134374346495255586164698522263438465058546266707478829098941021061141181101221261301341381421461501541581621661701741781821861901941982022062102144101418222630343846[Jour],Taches_Jours122436391720293235414447505356596267832024323644485652606468727680889692100104112116108120124128132136140144148152156160164168172176180184188192196200204208212261216202428323644[[#This Row],[Jours]])</f>
        <v>0</v>
      </c>
      <c r="I62" s="290" t="n">
        <f aca="false">SUMIFS(Horodateur1123353819223134374346495255586164698522263438465058546266707478829098941021061141181101221261301341381421461501541581621661701741781821861901941982022062102144101418222630343846[Durée (100)],Horodateur1123353819223134374346495255586164698522263438465058546266707478829098941021061141181101221261301341381421461501541581621661701741781821861901941982022062102144101418222630343846[Tâche],Taches_Jours122436391720293235414447505356596267832024323644485652606468727680889692100104112116108120124128132136140144148152156160164168172176180184188192196200204208212261216202428323644[[#Headers],[GP / SP]],Horodateur1123353819223134374346495255586164698522263438465058546266707478829098941021061141181101221261301341381421461501541581621661701741781821861901941982022062102144101418222630343846[Jour],Taches_Jours122436391720293235414447505356596267832024323644485652606468727680889692100104112116108120124128132136140144148152156160164168172176180184188192196200204208212261216202428323644[[#This Row],[Jours]])</f>
        <v>0</v>
      </c>
      <c r="J62" s="71" t="n">
        <f aca="false">SUM(Taches_Jours122436391720293235414447505356596267832024323644485652606468727680889692100104112116108120124128132136140144148152156160164168172176180184188192196200204208212261216202428323644[[#This Row],[GB]:[GP / SP]])</f>
        <v>0</v>
      </c>
      <c r="K62" s="188"/>
      <c r="L62" s="288"/>
      <c r="M62" s="289"/>
      <c r="N62" s="187"/>
      <c r="O62" s="1"/>
      <c r="P62" s="1"/>
      <c r="Q62" s="1"/>
      <c r="R62" s="1"/>
      <c r="S62" s="1"/>
      <c r="T62" s="71"/>
      <c r="U62" s="71"/>
      <c r="V62" s="71"/>
      <c r="W62" s="71"/>
      <c r="X62" s="71"/>
      <c r="Y62" s="71"/>
      <c r="Z62" s="71"/>
      <c r="AA62" s="71"/>
      <c r="AB62" s="71"/>
      <c r="AC62" s="71"/>
      <c r="AD62" s="71"/>
      <c r="AE62" s="71"/>
      <c r="AF62" s="71"/>
    </row>
    <row r="63" customFormat="false" ht="15" hidden="true" customHeight="false" outlineLevel="1" collapsed="false">
      <c r="A63" s="137"/>
      <c r="B63" s="187"/>
      <c r="C63" s="71"/>
      <c r="D63" s="1"/>
      <c r="E63" s="1"/>
      <c r="F63" s="71"/>
      <c r="G63" s="1"/>
      <c r="H63" s="1"/>
      <c r="I63" s="119"/>
      <c r="J63" s="271"/>
      <c r="K63" s="1"/>
      <c r="L63" s="188"/>
      <c r="M63" s="272"/>
      <c r="N63" s="187"/>
      <c r="O63" s="1"/>
      <c r="P63" s="1"/>
      <c r="Q63" s="1"/>
      <c r="R63" s="1"/>
      <c r="S63" s="1"/>
      <c r="T63" s="1"/>
      <c r="U63" s="71"/>
      <c r="V63" s="71"/>
      <c r="W63" s="71"/>
      <c r="X63" s="71"/>
      <c r="Y63" s="71"/>
      <c r="Z63" s="71"/>
      <c r="AA63" s="71"/>
      <c r="AB63" s="71"/>
      <c r="AC63" s="71"/>
      <c r="AD63" s="71"/>
      <c r="AE63" s="71"/>
      <c r="AF63" s="71"/>
      <c r="AG63" s="71"/>
    </row>
    <row r="64" customFormat="false" ht="15" hidden="true" customHeight="false" outlineLevel="1" collapsed="false">
      <c r="A64" s="291" t="s">
        <v>85</v>
      </c>
      <c r="B64" s="292" t="s">
        <v>312</v>
      </c>
      <c r="C64" s="292" t="s">
        <v>319</v>
      </c>
      <c r="D64" s="292" t="s">
        <v>324</v>
      </c>
      <c r="E64" s="292" t="s">
        <v>332</v>
      </c>
      <c r="F64" s="293" t="s">
        <v>335</v>
      </c>
      <c r="G64" s="292" t="s">
        <v>341</v>
      </c>
      <c r="H64" s="292" t="s">
        <v>381</v>
      </c>
      <c r="I64" s="294" t="s">
        <v>58</v>
      </c>
      <c r="J64" s="271"/>
      <c r="K64" s="1"/>
      <c r="L64" s="188"/>
      <c r="M64" s="272"/>
      <c r="N64" s="187"/>
      <c r="O64" s="1"/>
      <c r="P64" s="1"/>
      <c r="Q64" s="1"/>
      <c r="R64" s="1"/>
      <c r="S64" s="1"/>
      <c r="T64" s="1"/>
      <c r="U64" s="71"/>
      <c r="V64" s="71"/>
      <c r="W64" s="71"/>
      <c r="X64" s="71"/>
      <c r="Y64" s="71"/>
      <c r="Z64" s="71"/>
      <c r="AA64" s="71"/>
      <c r="AB64" s="71"/>
      <c r="AC64" s="71"/>
      <c r="AD64" s="71"/>
      <c r="AE64" s="71"/>
      <c r="AF64" s="71"/>
      <c r="AG64" s="71"/>
    </row>
    <row r="65" customFormat="false" ht="15" hidden="true" customHeight="false" outlineLevel="1" collapsed="false">
      <c r="A65" s="137" t="s">
        <v>21</v>
      </c>
      <c r="B65" s="187" t="n">
        <f aca="false">SUMIFS(Horodateur1123353819223134374346495255586164698522263438465058546266707478829098941021061141181101221261301341381421461501541581621661701741781821861901941982022062102144101418222630343846[Durée (100)],Horodateur1123353819223134374346495255586164698522263438465058546266707478829098941021061141181101221261301341381421461501541581621661701741781821861901941982022062102144101418222630343846[Jour],$B$64,Horodateur1123353819223134374346495255586164698522263438465058546266707478829098941021061141181101221261301341381421461501541581621661701741781821861901941982022062102144101418222630343846[Tâche],$A65)</f>
        <v>0.999999999999999</v>
      </c>
      <c r="C65" s="187" t="n">
        <f aca="false">SUMIFS(Horodateur1123353819223134374346495255586164698522263438465058546266707478829098941021061141181101221261301341381421461501541581621661701741781821861901941982022062102144101418222630343846[Durée (100)],Horodateur1123353819223134374346495255586164698522263438465058546266707478829098941021061141181101221261301341381421461501541581621661701741781821861901941982022062102144101418222630343846[Jour],$C$64,Horodateur1123353819223134374346495255586164698522263438465058546266707478829098941021061141181101221261301341381421461501541581621661701741781821861901941982022062102144101418222630343846[Tâche],$A65)</f>
        <v>0</v>
      </c>
      <c r="D65" s="187" t="n">
        <f aca="false">SUMIFS(Horodateur1123353819223134374346495255586164698522263438465058546266707478829098941021061141181101221261301341381421461501541581621661701741781821861901941982022062102144101418222630343846[Durée (100)],Horodateur1123353819223134374346495255586164698522263438465058546266707478829098941021061141181101221261301341381421461501541581621661701741781821861901941982022062102144101418222630343846[Jour],$D$64,Horodateur1123353819223134374346495255586164698522263438465058546266707478829098941021061141181101221261301341381421461501541581621661701741781821861901941982022062102144101418222630343846[Tâche],$A65)</f>
        <v>0.75</v>
      </c>
      <c r="E65" s="187" t="n">
        <f aca="false">SUMIFS(Horodateur1123353819223134374346495255586164698522263438465058546266707478829098941021061141181101221261301341381421461501541581621661701741781821861901941982022062102144101418222630343846[Durée (100)],Horodateur1123353819223134374346495255586164698522263438465058546266707478829098941021061141181101221261301341381421461501541581621661701741781821861901941982022062102144101418222630343846[Jour],$E$64,Horodateur1123353819223134374346495255586164698522263438465058546266707478829098941021061141181101221261301341381421461501541581621661701741781821861901941982022062102144101418222630343846[Tâche],$A65)</f>
        <v>0</v>
      </c>
      <c r="F65" s="71" t="n">
        <f aca="false">SUMIFS(Horodateur1123353819223134374346495255586164698522263438465058546266707478829098941021061141181101221261301341381421461501541581621661701741781821861901941982022062102144101418222630343846[Durée (100)],Horodateur1123353819223134374346495255586164698522263438465058546266707478829098941021061141181101221261301341381421461501541581621661701741781821861901941982022062102144101418222630343846[Jour],$F$64,Horodateur1123353819223134374346495255586164698522263438465058546266707478829098941021061141181101221261301341381421461501541581621661701741781821861901941982022062102144101418222630343846[Tâche],$A65)</f>
        <v>0.999999999999999</v>
      </c>
      <c r="G65" s="187" t="n">
        <f aca="false">SUMIFS(Horodateur1123353819223134374346495255586164698522263438465058546266707478829098941021061141181101221261301341381421461501541581621661701741781821861901941982022062102144101418222630343846[Durée (100)],Horodateur1123353819223134374346495255586164698522263438465058546266707478829098941021061141181101221261301341381421461501541581621661701741781821861901941982022062102144101418222630343846[Jour],$G$64,Horodateur1123353819223134374346495255586164698522263438465058546266707478829098941021061141181101221261301341381421461501541581621661701741781821861901941982022062102144101418222630343846[Tâche],$A65)</f>
        <v>0</v>
      </c>
      <c r="H65" s="187" t="n">
        <f aca="false">SUMIFS(Horodateur1123353819223134374346495255586164698522263438465058546266707478829098941021061141181101221261301341381421461501541581621661701741781821861901941982022062102144101418222630343846[Durée (100)],Horodateur1123353819223134374346495255586164698522263438465058546266707478829098941021061141181101221261301341381421461501541581621661701741781821861901941982022062102144101418222630343846[Jour],$H$64,Horodateur1123353819223134374346495255586164698522263438465058546266707478829098941021061141181101221261301341381421461501541581621661701741781821861901941982022062102144101418222630343846[Tâche],$A65)</f>
        <v>0</v>
      </c>
      <c r="I65" s="295" t="n">
        <f aca="false">SUM(Taches_Jour2132537401821303336424548515457606368842125333745495753616569737781899793101105113117109121125129133137141145149153157161165169173177181185189193197201205209213391317212529333745[[#This Row],[1- Lundi]:[7- Dimanche]])</f>
        <v>2.75</v>
      </c>
      <c r="J65" s="271"/>
      <c r="K65" s="1"/>
      <c r="L65" s="188"/>
      <c r="M65" s="272"/>
      <c r="N65" s="187"/>
      <c r="O65" s="1"/>
      <c r="P65" s="1"/>
      <c r="Q65" s="1"/>
      <c r="R65" s="1"/>
      <c r="S65" s="1"/>
      <c r="T65" s="1"/>
      <c r="U65" s="71"/>
      <c r="V65" s="71"/>
      <c r="W65" s="71"/>
      <c r="X65" s="71"/>
      <c r="Y65" s="71"/>
      <c r="Z65" s="71"/>
      <c r="AA65" s="71"/>
      <c r="AB65" s="71"/>
      <c r="AC65" s="71"/>
      <c r="AD65" s="71"/>
      <c r="AE65" s="71"/>
      <c r="AF65" s="71"/>
      <c r="AG65" s="71"/>
    </row>
    <row r="66" customFormat="false" ht="15" hidden="true" customHeight="false" outlineLevel="1" collapsed="false">
      <c r="A66" s="137" t="s">
        <v>20</v>
      </c>
      <c r="B66" s="187" t="n">
        <f aca="false">SUMIFS(Horodateur1123353819223134374346495255586164698522263438465058546266707478829098941021061141181101221261301341381421461501541581621661701741781821861901941982022062102144101418222630343846[Durée (100)],Horodateur1123353819223134374346495255586164698522263438465058546266707478829098941021061141181101221261301341381421461501541581621661701741781821861901941982022062102144101418222630343846[Jour],$B$64,Horodateur1123353819223134374346495255586164698522263438465058546266707478829098941021061141181101221261301341381421461501541581621661701741781821861901941982022062102144101418222630343846[Tâche],$A66)</f>
        <v>0.500000000000001</v>
      </c>
      <c r="C66" s="187" t="n">
        <f aca="false">SUMIFS(Horodateur1123353819223134374346495255586164698522263438465058546266707478829098941021061141181101221261301341381421461501541581621661701741781821861901941982022062102144101418222630343846[Durée (100)],Horodateur1123353819223134374346495255586164698522263438465058546266707478829098941021061141181101221261301341381421461501541581621661701741781821861901941982022062102144101418222630343846[Jour],$C$64,Horodateur1123353819223134374346495255586164698522263438465058546266707478829098941021061141181101221261301341381421461501541581621661701741781821861901941982022062102144101418222630343846[Tâche],$A66)</f>
        <v>0</v>
      </c>
      <c r="D66" s="187" t="n">
        <f aca="false">SUMIFS(Horodateur1123353819223134374346495255586164698522263438465058546266707478829098941021061141181101221261301341381421461501541581621661701741781821861901941982022062102144101418222630343846[Durée (100)],Horodateur1123353819223134374346495255586164698522263438465058546266707478829098941021061141181101221261301341381421461501541581621661701741781821861901941982022062102144101418222630343846[Jour],$D$64,Horodateur1123353819223134374346495255586164698522263438465058546266707478829098941021061141181101221261301341381421461501541581621661701741781821861901941982022062102144101418222630343846[Tâche],$A66)</f>
        <v>0</v>
      </c>
      <c r="E66" s="187" t="n">
        <f aca="false">SUMIFS(Horodateur1123353819223134374346495255586164698522263438465058546266707478829098941021061141181101221261301341381421461501541581621661701741781821861901941982022062102144101418222630343846[Durée (100)],Horodateur1123353819223134374346495255586164698522263438465058546266707478829098941021061141181101221261301341381421461501541581621661701741781821861901941982022062102144101418222630343846[Jour],$E$64,Horodateur1123353819223134374346495255586164698522263438465058546266707478829098941021061141181101221261301341381421461501541581621661701741781821861901941982022062102144101418222630343846[Tâche],$A66)</f>
        <v>0</v>
      </c>
      <c r="F66" s="71" t="n">
        <f aca="false">SUMIFS(Horodateur1123353819223134374346495255586164698522263438465058546266707478829098941021061141181101221261301341381421461501541581621661701741781821861901941982022062102144101418222630343846[Durée (100)],Horodateur1123353819223134374346495255586164698522263438465058546266707478829098941021061141181101221261301341381421461501541581621661701741781821861901941982022062102144101418222630343846[Jour],$F$64,Horodateur1123353819223134374346495255586164698522263438465058546266707478829098941021061141181101221261301341381421461501541581621661701741781821861901941982022062102144101418222630343846[Tâche],$A66)</f>
        <v>0</v>
      </c>
      <c r="G66" s="187" t="n">
        <f aca="false">SUMIFS(Horodateur1123353819223134374346495255586164698522263438465058546266707478829098941021061141181101221261301341381421461501541581621661701741781821861901941982022062102144101418222630343846[Durée (100)],Horodateur1123353819223134374346495255586164698522263438465058546266707478829098941021061141181101221261301341381421461501541581621661701741781821861901941982022062102144101418222630343846[Jour],$G$64,Horodateur1123353819223134374346495255586164698522263438465058546266707478829098941021061141181101221261301341381421461501541581621661701741781821861901941982022062102144101418222630343846[Tâche],$A66)</f>
        <v>0</v>
      </c>
      <c r="H66" s="187" t="n">
        <f aca="false">SUMIFS(Horodateur1123353819223134374346495255586164698522263438465058546266707478829098941021061141181101221261301341381421461501541581621661701741781821861901941982022062102144101418222630343846[Durée (100)],Horodateur1123353819223134374346495255586164698522263438465058546266707478829098941021061141181101221261301341381421461501541581621661701741781821861901941982022062102144101418222630343846[Jour],$H$64,Horodateur1123353819223134374346495255586164698522263438465058546266707478829098941021061141181101221261301341381421461501541581621661701741781821861901941982022062102144101418222630343846[Tâche],$A66)</f>
        <v>0</v>
      </c>
      <c r="I66" s="295" t="n">
        <f aca="false">SUM(Taches_Jour2132537401821303336424548515457606368842125333745495753616569737781899793101105113117109121125129133137141145149153157161165169173177181185189193197201205209213391317212529333745[[#This Row],[1- Lundi]:[7- Dimanche]])</f>
        <v>0.500000000000001</v>
      </c>
      <c r="J66" s="271"/>
      <c r="K66" s="1"/>
      <c r="L66" s="188"/>
      <c r="M66" s="272"/>
      <c r="N66" s="187"/>
      <c r="O66" s="1"/>
      <c r="P66" s="1"/>
      <c r="Q66" s="1"/>
      <c r="R66" s="1"/>
      <c r="S66" s="1"/>
      <c r="T66" s="1"/>
      <c r="U66" s="71"/>
      <c r="V66" s="71"/>
      <c r="W66" s="71"/>
      <c r="X66" s="71"/>
      <c r="Y66" s="71"/>
      <c r="Z66" s="71"/>
      <c r="AA66" s="71"/>
      <c r="AB66" s="71"/>
      <c r="AC66" s="71"/>
      <c r="AD66" s="71"/>
      <c r="AE66" s="71"/>
      <c r="AF66" s="71"/>
      <c r="AG66" s="71"/>
    </row>
    <row r="67" customFormat="false" ht="15" hidden="true" customHeight="false" outlineLevel="1" collapsed="false">
      <c r="A67" s="137" t="s">
        <v>23</v>
      </c>
      <c r="B67" s="187" t="n">
        <f aca="false">SUMIFS(Horodateur1123353819223134374346495255586164698522263438465058546266707478829098941021061141181101221261301341381421461501541581621661701741781821861901941982022062102144101418222630343846[Durée (100)],Horodateur1123353819223134374346495255586164698522263438465058546266707478829098941021061141181101221261301341381421461501541581621661701741781821861901941982022062102144101418222630343846[Jour],$B$64,Horodateur1123353819223134374346495255586164698522263438465058546266707478829098941021061141181101221261301341381421461501541581621661701741781821861901941982022062102144101418222630343846[Tâche],$A67)</f>
        <v>0</v>
      </c>
      <c r="C67" s="187" t="n">
        <f aca="false">SUMIFS(Horodateur1123353819223134374346495255586164698522263438465058546266707478829098941021061141181101221261301341381421461501541581621661701741781821861901941982022062102144101418222630343846[Durée (100)],Horodateur1123353819223134374346495255586164698522263438465058546266707478829098941021061141181101221261301341381421461501541581621661701741781821861901941982022062102144101418222630343846[Jour],$C$64,Horodateur1123353819223134374346495255586164698522263438465058546266707478829098941021061141181101221261301341381421461501541581621661701741781821861901941982022062102144101418222630343846[Tâche],$A67)</f>
        <v>0.499999999999998</v>
      </c>
      <c r="D67" s="187" t="n">
        <f aca="false">SUMIFS(Horodateur1123353819223134374346495255586164698522263438465058546266707478829098941021061141181101221261301341381421461501541581621661701741781821861901941982022062102144101418222630343846[Durée (100)],Horodateur1123353819223134374346495255586164698522263438465058546266707478829098941021061141181101221261301341381421461501541581621661701741781821861901941982022062102144101418222630343846[Jour],$D$64,Horodateur1123353819223134374346495255586164698522263438465058546266707478829098941021061141181101221261301341381421461501541581621661701741781821861901941982022062102144101418222630343846[Tâche],$A67)</f>
        <v>1.5</v>
      </c>
      <c r="E67" s="187" t="n">
        <f aca="false">SUMIFS(Horodateur1123353819223134374346495255586164698522263438465058546266707478829098941021061141181101221261301341381421461501541581621661701741781821861901941982022062102144101418222630343846[Durée (100)],Horodateur1123353819223134374346495255586164698522263438465058546266707478829098941021061141181101221261301341381421461501541581621661701741781821861901941982022062102144101418222630343846[Jour],$E$64,Horodateur1123353819223134374346495255586164698522263438465058546266707478829098941021061141181101221261301341381421461501541581621661701741781821861901941982022062102144101418222630343846[Tâche],$A67)</f>
        <v>0</v>
      </c>
      <c r="F67" s="71" t="n">
        <f aca="false">SUMIFS(Horodateur1123353819223134374346495255586164698522263438465058546266707478829098941021061141181101221261301341381421461501541581621661701741781821861901941982022062102144101418222630343846[Durée (100)],Horodateur1123353819223134374346495255586164698522263438465058546266707478829098941021061141181101221261301341381421461501541581621661701741781821861901941982022062102144101418222630343846[Jour],$F$64,Horodateur1123353819223134374346495255586164698522263438465058546266707478829098941021061141181101221261301341381421461501541581621661701741781821861901941982022062102144101418222630343846[Tâche],$A67)</f>
        <v>0</v>
      </c>
      <c r="G67" s="187" t="n">
        <f aca="false">SUMIFS(Horodateur1123353819223134374346495255586164698522263438465058546266707478829098941021061141181101221261301341381421461501541581621661701741781821861901941982022062102144101418222630343846[Durée (100)],Horodateur1123353819223134374346495255586164698522263438465058546266707478829098941021061141181101221261301341381421461501541581621661701741781821861901941982022062102144101418222630343846[Jour],$G$64,Horodateur1123353819223134374346495255586164698522263438465058546266707478829098941021061141181101221261301341381421461501541581621661701741781821861901941982022062102144101418222630343846[Tâche],$A67)</f>
        <v>0</v>
      </c>
      <c r="H67" s="187" t="n">
        <f aca="false">SUMIFS(Horodateur1123353819223134374346495255586164698522263438465058546266707478829098941021061141181101221261301341381421461501541581621661701741781821861901941982022062102144101418222630343846[Durée (100)],Horodateur1123353819223134374346495255586164698522263438465058546266707478829098941021061141181101221261301341381421461501541581621661701741781821861901941982022062102144101418222630343846[Jour],$H$64,Horodateur1123353819223134374346495255586164698522263438465058546266707478829098941021061141181101221261301341381421461501541581621661701741781821861901941982022062102144101418222630343846[Tâche],$A67)</f>
        <v>0</v>
      </c>
      <c r="I67" s="295" t="n">
        <f aca="false">SUM(Taches_Jour2132537401821303336424548515457606368842125333745495753616569737781899793101105113117109121125129133137141145149153157161165169173177181185189193197201205209213391317212529333745[[#This Row],[1- Lundi]:[7- Dimanche]])</f>
        <v>2</v>
      </c>
      <c r="J67" s="271"/>
      <c r="K67" s="1"/>
      <c r="L67" s="188"/>
      <c r="M67" s="272"/>
      <c r="N67" s="187"/>
      <c r="O67" s="1"/>
      <c r="P67" s="1"/>
      <c r="Q67" s="1"/>
      <c r="R67" s="1"/>
      <c r="S67" s="1"/>
      <c r="T67" s="1"/>
      <c r="U67" s="71"/>
      <c r="V67" s="71"/>
      <c r="W67" s="71"/>
      <c r="X67" s="71"/>
      <c r="Y67" s="71"/>
      <c r="Z67" s="71"/>
      <c r="AA67" s="71"/>
      <c r="AB67" s="71"/>
      <c r="AC67" s="71"/>
      <c r="AD67" s="71"/>
      <c r="AE67" s="71"/>
      <c r="AF67" s="71"/>
      <c r="AG67" s="71"/>
    </row>
    <row r="68" customFormat="false" ht="15" hidden="true" customHeight="false" outlineLevel="1" collapsed="false">
      <c r="A68" s="137" t="s">
        <v>25</v>
      </c>
      <c r="B68" s="187" t="n">
        <f aca="false">SUMIFS(Horodateur1123353819223134374346495255586164698522263438465058546266707478829098941021061141181101221261301341381421461501541581621661701741781821861901941982022062102144101418222630343846[Durée (100)],Horodateur1123353819223134374346495255586164698522263438465058546266707478829098941021061141181101221261301341381421461501541581621661701741781821861901941982022062102144101418222630343846[Jour],$B$64,Horodateur1123353819223134374346495255586164698522263438465058546266707478829098941021061141181101221261301341381421461501541581621661701741781821861901941982022062102144101418222630343846[Tâche],$A68)</f>
        <v>0</v>
      </c>
      <c r="C68" s="187" t="n">
        <f aca="false">SUMIFS(Horodateur1123353819223134374346495255586164698522263438465058546266707478829098941021061141181101221261301341381421461501541581621661701741781821861901941982022062102144101418222630343846[Durée (100)],Horodateur1123353819223134374346495255586164698522263438465058546266707478829098941021061141181101221261301341381421461501541581621661701741781821861901941982022062102144101418222630343846[Jour],$C$64,Horodateur1123353819223134374346495255586164698522263438465058546266707478829098941021061141181101221261301341381421461501541581621661701741781821861901941982022062102144101418222630343846[Tâche],$A68)</f>
        <v>0</v>
      </c>
      <c r="D68" s="187" t="n">
        <f aca="false">SUMIFS(Horodateur1123353819223134374346495255586164698522263438465058546266707478829098941021061141181101221261301341381421461501541581621661701741781821861901941982022062102144101418222630343846[Durée (100)],Horodateur1123353819223134374346495255586164698522263438465058546266707478829098941021061141181101221261301341381421461501541581621661701741781821861901941982022062102144101418222630343846[Jour],$D$64,Horodateur1123353819223134374346495255586164698522263438465058546266707478829098941021061141181101221261301341381421461501541581621661701741781821861901941982022062102144101418222630343846[Tâche],$A68)</f>
        <v>0</v>
      </c>
      <c r="E68" s="187" t="n">
        <f aca="false">SUMIFS(Horodateur1123353819223134374346495255586164698522263438465058546266707478829098941021061141181101221261301341381421461501541581621661701741781821861901941982022062102144101418222630343846[Durée (100)],Horodateur1123353819223134374346495255586164698522263438465058546266707478829098941021061141181101221261301341381421461501541581621661701741781821861901941982022062102144101418222630343846[Jour],$E$64,Horodateur1123353819223134374346495255586164698522263438465058546266707478829098941021061141181101221261301341381421461501541581621661701741781821861901941982022062102144101418222630343846[Tâche],$A68)</f>
        <v>0</v>
      </c>
      <c r="F68" s="71" t="n">
        <f aca="false">SUMIFS(Horodateur1123353819223134374346495255586164698522263438465058546266707478829098941021061141181101221261301341381421461501541581621661701741781821861901941982022062102144101418222630343846[Durée (100)],Horodateur1123353819223134374346495255586164698522263438465058546266707478829098941021061141181101221261301341381421461501541581621661701741781821861901941982022062102144101418222630343846[Jour],$F$64,Horodateur1123353819223134374346495255586164698522263438465058546266707478829098941021061141181101221261301341381421461501541581621661701741781821861901941982022062102144101418222630343846[Tâche],$A68)</f>
        <v>0</v>
      </c>
      <c r="G68" s="187" t="n">
        <f aca="false">SUMIFS(Horodateur1123353819223134374346495255586164698522263438465058546266707478829098941021061141181101221261301341381421461501541581621661701741781821861901941982022062102144101418222630343846[Durée (100)],Horodateur1123353819223134374346495255586164698522263438465058546266707478829098941021061141181101221261301341381421461501541581621661701741781821861901941982022062102144101418222630343846[Jour],$G$64,Horodateur1123353819223134374346495255586164698522263438465058546266707478829098941021061141181101221261301341381421461501541581621661701741781821861901941982022062102144101418222630343846[Tâche],$A68)</f>
        <v>0</v>
      </c>
      <c r="H68" s="187" t="n">
        <f aca="false">SUMIFS(Horodateur1123353819223134374346495255586164698522263438465058546266707478829098941021061141181101221261301341381421461501541581621661701741781821861901941982022062102144101418222630343846[Durée (100)],Horodateur1123353819223134374346495255586164698522263438465058546266707478829098941021061141181101221261301341381421461501541581621661701741781821861901941982022062102144101418222630343846[Jour],$H$64,Horodateur1123353819223134374346495255586164698522263438465058546266707478829098941021061141181101221261301341381421461501541581621661701741781821861901941982022062102144101418222630343846[Tâche],$A68)</f>
        <v>0</v>
      </c>
      <c r="I68" s="295" t="n">
        <f aca="false">SUM(Taches_Jour2132537401821303336424548515457606368842125333745495753616569737781899793101105113117109121125129133137141145149153157161165169173177181185189193197201205209213391317212529333745[[#This Row],[1- Lundi]:[7- Dimanche]])</f>
        <v>0</v>
      </c>
      <c r="J68" s="271"/>
      <c r="K68" s="1"/>
      <c r="L68" s="188"/>
      <c r="M68" s="272"/>
      <c r="N68" s="187"/>
      <c r="O68" s="1"/>
      <c r="P68" s="1"/>
      <c r="Q68" s="1"/>
      <c r="R68" s="1"/>
      <c r="S68" s="1"/>
      <c r="T68" s="1"/>
      <c r="U68" s="71"/>
      <c r="V68" s="71"/>
      <c r="W68" s="71"/>
      <c r="X68" s="71"/>
      <c r="Y68" s="71"/>
      <c r="Z68" s="71"/>
      <c r="AA68" s="71"/>
      <c r="AB68" s="71"/>
      <c r="AC68" s="71"/>
      <c r="AD68" s="71"/>
      <c r="AE68" s="71"/>
      <c r="AF68" s="71"/>
      <c r="AG68" s="71"/>
    </row>
    <row r="69" customFormat="false" ht="15" hidden="true" customHeight="false" outlineLevel="1" collapsed="false">
      <c r="A69" s="137" t="s">
        <v>26</v>
      </c>
      <c r="B69" s="187" t="n">
        <f aca="false">SUMIFS(Horodateur1123353819223134374346495255586164698522263438465058546266707478829098941021061141181101221261301341381421461501541581621661701741781821861901941982022062102144101418222630343846[Durée (100)],Horodateur1123353819223134374346495255586164698522263438465058546266707478829098941021061141181101221261301341381421461501541581621661701741781821861901941982022062102144101418222630343846[Jour],$B$64,Horodateur1123353819223134374346495255586164698522263438465058546266707478829098941021061141181101221261301341381421461501541581621661701741781821861901941982022062102144101418222630343846[Tâche],$A69)</f>
        <v>0</v>
      </c>
      <c r="C69" s="187" t="n">
        <f aca="false">SUMIFS(Horodateur1123353819223134374346495255586164698522263438465058546266707478829098941021061141181101221261301341381421461501541581621661701741781821861901941982022062102144101418222630343846[Durée (100)],Horodateur1123353819223134374346495255586164698522263438465058546266707478829098941021061141181101221261301341381421461501541581621661701741781821861901941982022062102144101418222630343846[Jour],$C$64,Horodateur1123353819223134374346495255586164698522263438465058546266707478829098941021061141181101221261301341381421461501541581621661701741781821861901941982022062102144101418222630343846[Tâche],$A69)</f>
        <v>0</v>
      </c>
      <c r="D69" s="187" t="n">
        <f aca="false">SUMIFS(Horodateur1123353819223134374346495255586164698522263438465058546266707478829098941021061141181101221261301341381421461501541581621661701741781821861901941982022062102144101418222630343846[Durée (100)],Horodateur1123353819223134374346495255586164698522263438465058546266707478829098941021061141181101221261301341381421461501541581621661701741781821861901941982022062102144101418222630343846[Jour],$D$64,Horodateur1123353819223134374346495255586164698522263438465058546266707478829098941021061141181101221261301341381421461501541581621661701741781821861901941982022062102144101418222630343846[Tâche],$A69)</f>
        <v>0</v>
      </c>
      <c r="E69" s="187" t="n">
        <f aca="false">SUMIFS(Horodateur1123353819223134374346495255586164698522263438465058546266707478829098941021061141181101221261301341381421461501541581621661701741781821861901941982022062102144101418222630343846[Durée (100)],Horodateur1123353819223134374346495255586164698522263438465058546266707478829098941021061141181101221261301341381421461501541581621661701741781821861901941982022062102144101418222630343846[Jour],$E$64,Horodateur1123353819223134374346495255586164698522263438465058546266707478829098941021061141181101221261301341381421461501541581621661701741781821861901941982022062102144101418222630343846[Tâche],$A69)</f>
        <v>0</v>
      </c>
      <c r="F69" s="71" t="n">
        <f aca="false">SUMIFS(Horodateur1123353819223134374346495255586164698522263438465058546266707478829098941021061141181101221261301341381421461501541581621661701741781821861901941982022062102144101418222630343846[Durée (100)],Horodateur1123353819223134374346495255586164698522263438465058546266707478829098941021061141181101221261301341381421461501541581621661701741781821861901941982022062102144101418222630343846[Jour],$F$64,Horodateur1123353819223134374346495255586164698522263438465058546266707478829098941021061141181101221261301341381421461501541581621661701741781821861901941982022062102144101418222630343846[Tâche],$A69)</f>
        <v>0</v>
      </c>
      <c r="G69" s="187" t="n">
        <f aca="false">SUMIFS(Horodateur1123353819223134374346495255586164698522263438465058546266707478829098941021061141181101221261301341381421461501541581621661701741781821861901941982022062102144101418222630343846[Durée (100)],Horodateur1123353819223134374346495255586164698522263438465058546266707478829098941021061141181101221261301341381421461501541581621661701741781821861901941982022062102144101418222630343846[Jour],$G$64,Horodateur1123353819223134374346495255586164698522263438465058546266707478829098941021061141181101221261301341381421461501541581621661701741781821861901941982022062102144101418222630343846[Tâche],$A69)</f>
        <v>0</v>
      </c>
      <c r="H69" s="187" t="n">
        <f aca="false">SUMIFS(Horodateur1123353819223134374346495255586164698522263438465058546266707478829098941021061141181101221261301341381421461501541581621661701741781821861901941982022062102144101418222630343846[Durée (100)],Horodateur1123353819223134374346495255586164698522263438465058546266707478829098941021061141181101221261301341381421461501541581621661701741781821861901941982022062102144101418222630343846[Jour],$H$64,Horodateur1123353819223134374346495255586164698522263438465058546266707478829098941021061141181101221261301341381421461501541581621661701741781821861901941982022062102144101418222630343846[Tâche],$A69)</f>
        <v>0</v>
      </c>
      <c r="I69" s="295" t="n">
        <f aca="false">SUM(Taches_Jour2132537401821303336424548515457606368842125333745495753616569737781899793101105113117109121125129133137141145149153157161165169173177181185189193197201205209213391317212529333745[[#This Row],[1- Lundi]:[7- Dimanche]])</f>
        <v>0</v>
      </c>
      <c r="J69" s="271"/>
      <c r="K69" s="1"/>
      <c r="L69" s="188"/>
      <c r="M69" s="272"/>
      <c r="N69" s="187"/>
      <c r="O69" s="1"/>
      <c r="P69" s="1"/>
      <c r="Q69" s="1"/>
      <c r="R69" s="1"/>
      <c r="S69" s="1"/>
      <c r="T69" s="1"/>
      <c r="U69" s="71"/>
      <c r="V69" s="71"/>
      <c r="W69" s="71"/>
      <c r="X69" s="71"/>
      <c r="Y69" s="71"/>
      <c r="Z69" s="71"/>
      <c r="AA69" s="71"/>
      <c r="AB69" s="71"/>
      <c r="AC69" s="71"/>
      <c r="AD69" s="71"/>
      <c r="AE69" s="71"/>
      <c r="AF69" s="71"/>
      <c r="AG69" s="71"/>
    </row>
    <row r="70" customFormat="false" ht="15" hidden="true" customHeight="false" outlineLevel="1" collapsed="false">
      <c r="A70" s="137" t="s">
        <v>378</v>
      </c>
      <c r="B70" s="187" t="n">
        <f aca="false">SUMIFS(Horodateur1123353819223134374346495255586164698522263438465058546266707478829098941021061141181101221261301341381421461501541581621661701741781821861901941982022062102144101418222630343846[Durée (100)],Horodateur1123353819223134374346495255586164698522263438465058546266707478829098941021061141181101221261301341381421461501541581621661701741781821861901941982022062102144101418222630343846[Jour],$B$64,Horodateur1123353819223134374346495255586164698522263438465058546266707478829098941021061141181101221261301341381421461501541581621661701741781821861901941982022062102144101418222630343846[Tâche],$A70)</f>
        <v>6</v>
      </c>
      <c r="C70" s="187" t="n">
        <f aca="false">SUMIFS(Horodateur1123353819223134374346495255586164698522263438465058546266707478829098941021061141181101221261301341381421461501541581621661701741781821861901941982022062102144101418222630343846[Durée (100)],Horodateur1123353819223134374346495255586164698522263438465058546266707478829098941021061141181101221261301341381421461501541581621661701741781821861901941982022062102144101418222630343846[Jour],$C$64,Horodateur1123353819223134374346495255586164698522263438465058546266707478829098941021061141181101221261301341381421461501541581621661701741781821861901941982022062102144101418222630343846[Tâche],$A70)</f>
        <v>5.25</v>
      </c>
      <c r="D70" s="187" t="n">
        <f aca="false">SUMIFS(Horodateur1123353819223134374346495255586164698522263438465058546266707478829098941021061141181101221261301341381421461501541581621661701741781821861901941982022062102144101418222630343846[Durée (100)],Horodateur1123353819223134374346495255586164698522263438465058546266707478829098941021061141181101221261301341381421461501541581621661701741781821861901941982022062102144101418222630343846[Jour],$D$64,Horodateur1123353819223134374346495255586164698522263438465058546266707478829098941021061141181101221261301341381421461501541581621661701741781821861901941982022062102144101418222630343846[Tâche],$A70)</f>
        <v>3.25</v>
      </c>
      <c r="E70" s="187" t="n">
        <f aca="false">SUMIFS(Horodateur1123353819223134374346495255586164698522263438465058546266707478829098941021061141181101221261301341381421461501541581621661701741781821861901941982022062102144101418222630343846[Durée (100)],Horodateur1123353819223134374346495255586164698522263438465058546266707478829098941021061141181101221261301341381421461501541581621661701741781821861901941982022062102144101418222630343846[Jour],$E$64,Horodateur1123353819223134374346495255586164698522263438465058546266707478829098941021061141181101221261301341381421461501541581621661701741781821861901941982022062102144101418222630343846[Tâche],$A70)</f>
        <v>7.25</v>
      </c>
      <c r="F70" s="71" t="n">
        <f aca="false">SUMIFS(Horodateur1123353819223134374346495255586164698522263438465058546266707478829098941021061141181101221261301341381421461501541581621661701741781821861901941982022062102144101418222630343846[Durée (100)],Horodateur1123353819223134374346495255586164698522263438465058546266707478829098941021061141181101221261301341381421461501541581621661701741781821861901941982022062102144101418222630343846[Jour],$F$64,Horodateur1123353819223134374346495255586164698522263438465058546266707478829098941021061141181101221261301341381421461501541581621661701741781821861901941982022062102144101418222630343846[Tâche],$A70)</f>
        <v>1.5</v>
      </c>
      <c r="G70" s="187" t="n">
        <f aca="false">SUMIFS(Horodateur1123353819223134374346495255586164698522263438465058546266707478829098941021061141181101221261301341381421461501541581621661701741781821861901941982022062102144101418222630343846[Durée (100)],Horodateur1123353819223134374346495255586164698522263438465058546266707478829098941021061141181101221261301341381421461501541581621661701741781821861901941982022062102144101418222630343846[Jour],$G$64,Horodateur1123353819223134374346495255586164698522263438465058546266707478829098941021061141181101221261301341381421461501541581621661701741781821861901941982022062102144101418222630343846[Tâche],$A70)</f>
        <v>0</v>
      </c>
      <c r="H70" s="187" t="n">
        <f aca="false">SUMIFS(Horodateur1123353819223134374346495255586164698522263438465058546266707478829098941021061141181101221261301341381421461501541581621661701741781821861901941982022062102144101418222630343846[Durée (100)],Horodateur1123353819223134374346495255586164698522263438465058546266707478829098941021061141181101221261301341381421461501541581621661701741781821861901941982022062102144101418222630343846[Jour],$H$64,Horodateur1123353819223134374346495255586164698522263438465058546266707478829098941021061141181101221261301341381421461501541581621661701741781821861901941982022062102144101418222630343846[Tâche],$A70)</f>
        <v>0</v>
      </c>
      <c r="I70" s="295" t="n">
        <f aca="false">SUM(Taches_Jour2132537401821303336424548515457606368842125333745495753616569737781899793101105113117109121125129133137141145149153157161165169173177181185189193197201205209213391317212529333745[[#This Row],[1- Lundi]:[7- Dimanche]])</f>
        <v>23.25</v>
      </c>
      <c r="J70" s="271"/>
      <c r="K70" s="1"/>
      <c r="L70" s="188"/>
      <c r="M70" s="272"/>
      <c r="N70" s="187"/>
      <c r="O70" s="1"/>
      <c r="P70" s="1"/>
      <c r="Q70" s="1"/>
      <c r="R70" s="1"/>
      <c r="S70" s="1"/>
      <c r="T70" s="1"/>
      <c r="U70" s="71"/>
      <c r="V70" s="71"/>
      <c r="W70" s="71"/>
      <c r="X70" s="71"/>
      <c r="Y70" s="71"/>
      <c r="Z70" s="71"/>
      <c r="AA70" s="71"/>
      <c r="AB70" s="71"/>
      <c r="AC70" s="71"/>
      <c r="AD70" s="71"/>
      <c r="AE70" s="71"/>
      <c r="AF70" s="71"/>
      <c r="AG70" s="71"/>
    </row>
    <row r="71" customFormat="false" ht="15" hidden="true" customHeight="false" outlineLevel="1" collapsed="false">
      <c r="A71" s="137" t="s">
        <v>382</v>
      </c>
      <c r="B71" s="187" t="n">
        <f aca="false">SUMIFS(Horodateur1123353819223134374346495255586164698522263438465058546266707478829098941021061141181101221261301341381421461501541581621661701741781821861901941982022062102144101418222630343846[Durée (100)],Horodateur1123353819223134374346495255586164698522263438465058546266707478829098941021061141181101221261301341381421461501541581621661701741781821861901941982022062102144101418222630343846[Jour],$B$64,Horodateur1123353819223134374346495255586164698522263438465058546266707478829098941021061141181101221261301341381421461501541581621661701741781821861901941982022062102144101418222630343846[Tâche],$A71)</f>
        <v>0</v>
      </c>
      <c r="C71" s="187" t="n">
        <f aca="false">SUMIFS(Horodateur1123353819223134374346495255586164698522263438465058546266707478829098941021061141181101221261301341381421461501541581621661701741781821861901941982022062102144101418222630343846[Durée (100)],Horodateur1123353819223134374346495255586164698522263438465058546266707478829098941021061141181101221261301341381421461501541581621661701741781821861901941982022062102144101418222630343846[Jour],$C$64,Horodateur1123353819223134374346495255586164698522263438465058546266707478829098941021061141181101221261301341381421461501541581621661701741781821861901941982022062102144101418222630343846[Tâche],$A71)</f>
        <v>0</v>
      </c>
      <c r="D71" s="187" t="n">
        <f aca="false">SUMIFS(Horodateur1123353819223134374346495255586164698522263438465058546266707478829098941021061141181101221261301341381421461501541581621661701741781821861901941982022062102144101418222630343846[Durée (100)],Horodateur1123353819223134374346495255586164698522263438465058546266707478829098941021061141181101221261301341381421461501541581621661701741781821861901941982022062102144101418222630343846[Jour],$D$64,Horodateur1123353819223134374346495255586164698522263438465058546266707478829098941021061141181101221261301341381421461501541581621661701741781821861901941982022062102144101418222630343846[Tâche],$A71)</f>
        <v>0</v>
      </c>
      <c r="E71" s="187" t="n">
        <f aca="false">SUMIFS(Horodateur1123353819223134374346495255586164698522263438465058546266707478829098941021061141181101221261301341381421461501541581621661701741781821861901941982022062102144101418222630343846[Durée (100)],Horodateur1123353819223134374346495255586164698522263438465058546266707478829098941021061141181101221261301341381421461501541581621661701741781821861901941982022062102144101418222630343846[Jour],$E$64,Horodateur1123353819223134374346495255586164698522263438465058546266707478829098941021061141181101221261301341381421461501541581621661701741781821861901941982022062102144101418222630343846[Tâche],$A71)</f>
        <v>0</v>
      </c>
      <c r="F71" s="71" t="n">
        <f aca="false">SUMIFS(Horodateur1123353819223134374346495255586164698522263438465058546266707478829098941021061141181101221261301341381421461501541581621661701741781821861901941982022062102144101418222630343846[Durée (100)],Horodateur1123353819223134374346495255586164698522263438465058546266707478829098941021061141181101221261301341381421461501541581621661701741781821861901941982022062102144101418222630343846[Jour],$F$64,Horodateur1123353819223134374346495255586164698522263438465058546266707478829098941021061141181101221261301341381421461501541581621661701741781821861901941982022062102144101418222630343846[Tâche],$A71)</f>
        <v>0</v>
      </c>
      <c r="G71" s="187" t="n">
        <f aca="false">SUMIFS(Horodateur1123353819223134374346495255586164698522263438465058546266707478829098941021061141181101221261301341381421461501541581621661701741781821861901941982022062102144101418222630343846[Durée (100)],Horodateur1123353819223134374346495255586164698522263438465058546266707478829098941021061141181101221261301341381421461501541581621661701741781821861901941982022062102144101418222630343846[Jour],$G$64,Horodateur1123353819223134374346495255586164698522263438465058546266707478829098941021061141181101221261301341381421461501541581621661701741781821861901941982022062102144101418222630343846[Tâche],$A71)</f>
        <v>0</v>
      </c>
      <c r="H71" s="187" t="n">
        <f aca="false">SUMIFS(Horodateur1123353819223134374346495255586164698522263438465058546266707478829098941021061141181101221261301341381421461501541581621661701741781821861901941982022062102144101418222630343846[Durée (100)],Horodateur1123353819223134374346495255586164698522263438465058546266707478829098941021061141181101221261301341381421461501541581621661701741781821861901941982022062102144101418222630343846[Jour],$H$64,Horodateur1123353819223134374346495255586164698522263438465058546266707478829098941021061141181101221261301341381421461501541581621661701741781821861901941982022062102144101418222630343846[Tâche],$A71)</f>
        <v>0</v>
      </c>
      <c r="I71" s="295" t="n">
        <f aca="false">SUM(Taches_Jour2132537401821303336424548515457606368842125333745495753616569737781899793101105113117109121125129133137141145149153157161165169173177181185189193197201205209213391317212529333745[[#This Row],[1- Lundi]:[7- Dimanche]])</f>
        <v>0</v>
      </c>
      <c r="J71" s="271"/>
      <c r="K71" s="1"/>
      <c r="L71" s="188"/>
      <c r="M71" s="272"/>
      <c r="N71" s="187"/>
      <c r="O71" s="1"/>
      <c r="P71" s="1"/>
      <c r="Q71" s="1"/>
      <c r="R71" s="1"/>
      <c r="S71" s="1"/>
      <c r="T71" s="1"/>
      <c r="U71" s="71"/>
      <c r="V71" s="71"/>
      <c r="W71" s="71"/>
      <c r="X71" s="71"/>
      <c r="Y71" s="71"/>
      <c r="Z71" s="71"/>
      <c r="AA71" s="71"/>
      <c r="AB71" s="71"/>
      <c r="AC71" s="71"/>
      <c r="AD71" s="71"/>
      <c r="AE71" s="71"/>
      <c r="AF71" s="71"/>
      <c r="AG71" s="71"/>
    </row>
    <row r="72" customFormat="false" ht="15" hidden="true" customHeight="false" outlineLevel="1" collapsed="false">
      <c r="A72" s="137" t="s">
        <v>380</v>
      </c>
      <c r="B72" s="187" t="n">
        <f aca="false">SUMIFS(Horodateur1123353819223134374346495255586164698522263438465058546266707478829098941021061141181101221261301341381421461501541581621661701741781821861901941982022062102144101418222630343846[Durée (100)],Horodateur1123353819223134374346495255586164698522263438465058546266707478829098941021061141181101221261301341381421461501541581621661701741781821861901941982022062102144101418222630343846[Jour],$B$64,Horodateur1123353819223134374346495255586164698522263438465058546266707478829098941021061141181101221261301341381421461501541581621661701741781821861901941982022062102144101418222630343846[Tâche],$A72)</f>
        <v>0</v>
      </c>
      <c r="C72" s="187" t="n">
        <f aca="false">SUMIFS(Horodateur1123353819223134374346495255586164698522263438465058546266707478829098941021061141181101221261301341381421461501541581621661701741781821861901941982022062102144101418222630343846[Durée (100)],Horodateur1123353819223134374346495255586164698522263438465058546266707478829098941021061141181101221261301341381421461501541581621661701741781821861901941982022062102144101418222630343846[Jour],$C$64,Horodateur1123353819223134374346495255586164698522263438465058546266707478829098941021061141181101221261301341381421461501541581621661701741781821861901941982022062102144101418222630343846[Tâche],$A72)</f>
        <v>0</v>
      </c>
      <c r="D72" s="187" t="n">
        <f aca="false">SUMIFS(Horodateur1123353819223134374346495255586164698522263438465058546266707478829098941021061141181101221261301341381421461501541581621661701741781821861901941982022062102144101418222630343846[Durée (100)],Horodateur1123353819223134374346495255586164698522263438465058546266707478829098941021061141181101221261301341381421461501541581621661701741781821861901941982022062102144101418222630343846[Jour],$D$64,Horodateur1123353819223134374346495255586164698522263438465058546266707478829098941021061141181101221261301341381421461501541581621661701741781821861901941982022062102144101418222630343846[Tâche],$A72)</f>
        <v>0.500000000000001</v>
      </c>
      <c r="E72" s="187" t="n">
        <f aca="false">SUMIFS(Horodateur1123353819223134374346495255586164698522263438465058546266707478829098941021061141181101221261301341381421461501541581621661701741781821861901941982022062102144101418222630343846[Durée (100)],Horodateur1123353819223134374346495255586164698522263438465058546266707478829098941021061141181101221261301341381421461501541581621661701741781821861901941982022062102144101418222630343846[Jour],$E$64,Horodateur1123353819223134374346495255586164698522263438465058546266707478829098941021061141181101221261301341381421461501541581621661701741781821861901941982022062102144101418222630343846[Tâche],$A72)</f>
        <v>0</v>
      </c>
      <c r="F72" s="71" t="n">
        <f aca="false">SUMIFS(Horodateur1123353819223134374346495255586164698522263438465058546266707478829098941021061141181101221261301341381421461501541581621661701741781821861901941982022062102144101418222630343846[Durée (100)],Horodateur1123353819223134374346495255586164698522263438465058546266707478829098941021061141181101221261301341381421461501541581621661701741781821861901941982022062102144101418222630343846[Jour],$F$64,Horodateur1123353819223134374346495255586164698522263438465058546266707478829098941021061141181101221261301341381421461501541581621661701741781821861901941982022062102144101418222630343846[Tâche],$A72)</f>
        <v>0</v>
      </c>
      <c r="G72" s="187" t="n">
        <f aca="false">SUMIFS(Horodateur1123353819223134374346495255586164698522263438465058546266707478829098941021061141181101221261301341381421461501541581621661701741781821861901941982022062102144101418222630343846[Durée (100)],Horodateur1123353819223134374346495255586164698522263438465058546266707478829098941021061141181101221261301341381421461501541581621661701741781821861901941982022062102144101418222630343846[Jour],$G$64,Horodateur1123353819223134374346495255586164698522263438465058546266707478829098941021061141181101221261301341381421461501541581621661701741781821861901941982022062102144101418222630343846[Tâche],$A72)</f>
        <v>0</v>
      </c>
      <c r="H72" s="187" t="n">
        <f aca="false">SUMIFS(Horodateur1123353819223134374346495255586164698522263438465058546266707478829098941021061141181101221261301341381421461501541581621661701741781821861901941982022062102144101418222630343846[Durée (100)],Horodateur1123353819223134374346495255586164698522263438465058546266707478829098941021061141181101221261301341381421461501541581621661701741781821861901941982022062102144101418222630343846[Jour],$H$64,Horodateur1123353819223134374346495255586164698522263438465058546266707478829098941021061141181101221261301341381421461501541581621661701741781821861901941982022062102144101418222630343846[Tâche],$A72)</f>
        <v>0</v>
      </c>
      <c r="I72" s="295" t="n">
        <f aca="false">SUM(Taches_Jour2132537401821303336424548515457606368842125333745495753616569737781899793101105113117109121125129133137141145149153157161165169173177181185189193197201205209213391317212529333745[[#This Row],[1- Lundi]:[7- Dimanche]])</f>
        <v>0.500000000000001</v>
      </c>
      <c r="J72" s="271"/>
      <c r="K72" s="1"/>
      <c r="L72" s="188"/>
      <c r="M72" s="272"/>
      <c r="N72" s="76"/>
    </row>
    <row r="73" customFormat="false" ht="15" hidden="true" customHeight="false" outlineLevel="1" collapsed="false">
      <c r="N73" s="76"/>
    </row>
    <row r="74" customFormat="false" ht="15" hidden="false" customHeight="false" outlineLevel="1" collapsed="false">
      <c r="G74" s="0" t="s">
        <v>383</v>
      </c>
      <c r="N74" s="76"/>
    </row>
    <row r="75" customFormat="false" ht="15" hidden="false" customHeight="false" outlineLevel="0" collapsed="false">
      <c r="N75" s="76"/>
    </row>
    <row r="76" customFormat="false" ht="15" hidden="false" customHeight="false" outlineLevel="0" collapsed="false">
      <c r="G76" s="76"/>
      <c r="N76" s="76"/>
    </row>
    <row r="77" customFormat="false" ht="15" hidden="false" customHeight="false" outlineLevel="0" collapsed="false">
      <c r="N77" s="76"/>
    </row>
    <row r="78" customFormat="false" ht="15" hidden="false" customHeight="false" outlineLevel="0" collapsed="false">
      <c r="N78" s="76"/>
    </row>
    <row r="79" customFormat="false" ht="15" hidden="false" customHeight="false" outlineLevel="0" collapsed="false">
      <c r="N79" s="76"/>
    </row>
    <row r="80" customFormat="false" ht="15" hidden="false" customHeight="false" outlineLevel="0" collapsed="false">
      <c r="N80" s="76"/>
    </row>
    <row r="81" customFormat="false" ht="15" hidden="false" customHeight="false" outlineLevel="0" collapsed="false">
      <c r="N81" s="76"/>
    </row>
    <row r="82" customFormat="false" ht="15" hidden="false" customHeight="false" outlineLevel="0" collapsed="false">
      <c r="N82" s="76"/>
    </row>
    <row r="83" customFormat="false" ht="15" hidden="false" customHeight="false" outlineLevel="0" collapsed="false">
      <c r="N83" s="76"/>
    </row>
    <row r="84" customFormat="false" ht="15" hidden="false" customHeight="false" outlineLevel="0" collapsed="false">
      <c r="N84" s="76"/>
    </row>
    <row r="85" customFormat="false" ht="15" hidden="false" customHeight="false" outlineLevel="0" collapsed="false">
      <c r="N85" s="76"/>
    </row>
    <row r="86" customFormat="false" ht="15" hidden="false" customHeight="false" outlineLevel="0" collapsed="false">
      <c r="N86" s="76"/>
    </row>
    <row r="87" customFormat="false" ht="15" hidden="false" customHeight="false" outlineLevel="0" collapsed="false">
      <c r="N87" s="76"/>
    </row>
    <row r="88" customFormat="false" ht="15" hidden="false" customHeight="false" outlineLevel="0" collapsed="false">
      <c r="N88" s="76"/>
    </row>
    <row r="89" customFormat="false" ht="15" hidden="false" customHeight="false" outlineLevel="0" collapsed="false">
      <c r="N89" s="76"/>
    </row>
    <row r="90" customFormat="false" ht="15" hidden="false" customHeight="false" outlineLevel="0" collapsed="false">
      <c r="N90" s="76"/>
    </row>
    <row r="91" customFormat="false" ht="15" hidden="false" customHeight="false" outlineLevel="0" collapsed="false">
      <c r="N91" s="76"/>
    </row>
    <row r="92" customFormat="false" ht="15" hidden="false" customHeight="false" outlineLevel="0" collapsed="false">
      <c r="N92" s="76"/>
    </row>
    <row r="93" customFormat="false" ht="15" hidden="false" customHeight="false" outlineLevel="0" collapsed="false">
      <c r="N93" s="76"/>
    </row>
    <row r="94" customFormat="false" ht="15" hidden="false" customHeight="false" outlineLevel="0" collapsed="false">
      <c r="N94" s="76"/>
    </row>
    <row r="95" customFormat="false" ht="15" hidden="false" customHeight="false" outlineLevel="0" collapsed="false">
      <c r="N95" s="76"/>
    </row>
    <row r="96" customFormat="false" ht="15" hidden="false" customHeight="false" outlineLevel="0" collapsed="false">
      <c r="A96" s="296" t="s">
        <v>384</v>
      </c>
      <c r="B96" s="296"/>
      <c r="N96" s="76"/>
    </row>
    <row r="97" customFormat="false" ht="15" hidden="false" customHeight="false" outlineLevel="0" collapsed="false">
      <c r="A97" s="297" t="s">
        <v>385</v>
      </c>
      <c r="B97" s="297" t="s">
        <v>8</v>
      </c>
      <c r="N97" s="76"/>
    </row>
    <row r="98" customFormat="false" ht="15" hidden="false" customHeight="false" outlineLevel="0" collapsed="false">
      <c r="A98" s="298" t="n">
        <v>0</v>
      </c>
      <c r="B98" s="299" t="s">
        <v>386</v>
      </c>
      <c r="N98" s="76"/>
    </row>
    <row r="99" customFormat="false" ht="15" hidden="false" customHeight="false" outlineLevel="0" collapsed="false">
      <c r="A99" s="298" t="n">
        <v>-2</v>
      </c>
      <c r="B99" s="299" t="s">
        <v>387</v>
      </c>
      <c r="N99" s="76"/>
    </row>
    <row r="100" customFormat="false" ht="15" hidden="false" customHeight="false" outlineLevel="0" collapsed="false">
      <c r="A100" s="298" t="n">
        <v>8.5</v>
      </c>
      <c r="B100" s="299" t="s">
        <v>388</v>
      </c>
      <c r="N100" s="76"/>
    </row>
    <row r="101" customFormat="false" ht="15" hidden="false" customHeight="false" outlineLevel="0" collapsed="false">
      <c r="A101" s="298" t="n">
        <v>14.5</v>
      </c>
      <c r="B101" s="299" t="s">
        <v>389</v>
      </c>
      <c r="N101" s="76"/>
    </row>
    <row r="102" customFormat="false" ht="15" hidden="false" customHeight="false" outlineLevel="0" collapsed="false">
      <c r="A102" s="298" t="n">
        <v>8.5</v>
      </c>
      <c r="B102" s="299" t="s">
        <v>390</v>
      </c>
      <c r="N102" s="76"/>
    </row>
    <row r="103" customFormat="false" ht="15" hidden="false" customHeight="false" outlineLevel="0" collapsed="false">
      <c r="A103" s="298" t="n">
        <v>10</v>
      </c>
      <c r="B103" s="299" t="s">
        <v>391</v>
      </c>
      <c r="N103" s="76"/>
    </row>
    <row r="104" customFormat="false" ht="15" hidden="false" customHeight="false" outlineLevel="0" collapsed="false">
      <c r="A104" s="298" t="n">
        <v>-7.5</v>
      </c>
      <c r="B104" s="299" t="s">
        <v>392</v>
      </c>
      <c r="N104" s="76"/>
    </row>
    <row r="105" customFormat="false" ht="15" hidden="false" customHeight="false" outlineLevel="0" collapsed="false">
      <c r="A105" s="298" t="n">
        <v>2</v>
      </c>
      <c r="B105" s="299" t="s">
        <v>393</v>
      </c>
      <c r="N105" s="76"/>
    </row>
    <row r="106" customFormat="false" ht="15" hidden="false" customHeight="false" outlineLevel="0" collapsed="false">
      <c r="A106" s="300" t="n">
        <v>2</v>
      </c>
      <c r="B106" s="301" t="s">
        <v>394</v>
      </c>
      <c r="N106" s="76"/>
    </row>
    <row r="107" customFormat="false" ht="15" hidden="false" customHeight="false" outlineLevel="0" collapsed="false">
      <c r="A107" s="300" t="n">
        <v>2.25</v>
      </c>
      <c r="B107" s="301" t="s">
        <v>395</v>
      </c>
    </row>
    <row r="108" customFormat="false" ht="15" hidden="false" customHeight="false" outlineLevel="0" collapsed="false">
      <c r="A108" s="300" t="n">
        <v>-4</v>
      </c>
      <c r="B108" s="302" t="s">
        <v>396</v>
      </c>
    </row>
    <row r="109" customFormat="false" ht="15" hidden="false" customHeight="false" outlineLevel="0" collapsed="false">
      <c r="A109" s="300" t="n">
        <v>-7.5</v>
      </c>
      <c r="B109" s="301" t="s">
        <v>397</v>
      </c>
    </row>
  </sheetData>
  <mergeCells count="1">
    <mergeCell ref="A96:B96"/>
  </mergeCells>
  <conditionalFormatting sqref="G4:G48">
    <cfRule type="expression" priority="2" aboveAverage="0" equalAverage="0" bottom="0" percent="0" rank="0" text="" dxfId="796">
      <formula>L4="O"</formula>
    </cfRule>
    <cfRule type="expression" priority="3" aboveAverage="0" equalAverage="0" bottom="0" percent="0" rank="0" text="" dxfId="797">
      <formula>H4=0</formula>
    </cfRule>
  </conditionalFormatting>
  <conditionalFormatting sqref="F4:F48">
    <cfRule type="expression" priority="4" aboveAverage="0" equalAverage="0" bottom="0" percent="0" rank="0" text="" dxfId="798">
      <formula>L4="O"</formula>
    </cfRule>
  </conditionalFormatting>
  <conditionalFormatting sqref="E4:E48">
    <cfRule type="expression" priority="5" aboveAverage="0" equalAverage="0" bottom="0" percent="0" rank="0" text="" dxfId="799">
      <formula>L4="O"</formula>
    </cfRule>
  </conditionalFormatting>
  <conditionalFormatting sqref="K4:K13 C4:I48 K15:K48">
    <cfRule type="containsText" priority="6" operator="containsText" aboveAverage="0" equalAverage="0" bottom="0" percent="0" rank="0" text="Lundi" dxfId="693">
      <formula>NOT(ISERROR(SEARCH("Lundi",C4)))</formula>
    </cfRule>
  </conditionalFormatting>
  <conditionalFormatting sqref="D4:D48">
    <cfRule type="expression" priority="7" aboveAverage="0" equalAverage="0" bottom="0" percent="0" rank="0" text="" dxfId="800">
      <formula>L4="O"</formula>
    </cfRule>
  </conditionalFormatting>
  <conditionalFormatting sqref="C4:C48">
    <cfRule type="expression" priority="8" aboveAverage="0" equalAverage="0" bottom="0" percent="0" rank="0" text="" dxfId="801">
      <formula>L4="O"</formula>
    </cfRule>
  </conditionalFormatting>
  <conditionalFormatting sqref="K4:K13 K15:K48">
    <cfRule type="expression" priority="9" aboveAverage="0" equalAverage="0" bottom="0" percent="0" rank="0" text="" dxfId="802">
      <formula>L4="O"</formula>
    </cfRule>
  </conditionalFormatting>
  <conditionalFormatting sqref="I4:I48">
    <cfRule type="expression" priority="10" aboveAverage="0" equalAverage="0" bottom="0" percent="0" rank="0" text="" dxfId="803">
      <formula>L4="O"</formula>
    </cfRule>
  </conditionalFormatting>
  <conditionalFormatting sqref="H4:H48">
    <cfRule type="expression" priority="11" aboveAverage="0" equalAverage="0" bottom="0" percent="0" rank="0" text="" dxfId="804">
      <formula>L4="O"</formula>
    </cfRule>
  </conditionalFormatting>
  <conditionalFormatting sqref="F2:J2">
    <cfRule type="iconSet" priority="12">
      <iconSet iconSet="3TrafficLights1">
        <cfvo type="percent" val="0"/>
        <cfvo type="percent" val="33"/>
        <cfvo type="percent" val="67"/>
      </iconSet>
    </cfRule>
  </conditionalFormatting>
  <conditionalFormatting sqref="B4:B48">
    <cfRule type="containsText" priority="13" operator="containsText" aboveAverage="0" equalAverage="0" bottom="0" percent="0" rank="0" text="5" dxfId="805">
      <formula>NOT(ISERROR(SEARCH("5",B4)))</formula>
    </cfRule>
    <cfRule type="containsText" priority="14" operator="containsText" aboveAverage="0" equalAverage="0" bottom="0" percent="0" rank="0" text="4" dxfId="806">
      <formula>NOT(ISERROR(SEARCH("4",B4)))</formula>
    </cfRule>
    <cfRule type="containsText" priority="15" operator="containsText" aboveAverage="0" equalAverage="0" bottom="0" percent="0" rank="0" text="3" dxfId="807">
      <formula>NOT(ISERROR(SEARCH("3",B4)))</formula>
    </cfRule>
    <cfRule type="containsText" priority="16" operator="containsText" aboveAverage="0" equalAverage="0" bottom="0" percent="0" rank="0" text="2" dxfId="808">
      <formula>NOT(ISERROR(SEARCH("2",B4)))</formula>
    </cfRule>
    <cfRule type="containsText" priority="17" operator="containsText" aboveAverage="0" equalAverage="0" bottom="0" percent="0" rank="0" text="1" dxfId="809">
      <formula>NOT(ISERROR(SEARCH("1",B4)))</formula>
    </cfRule>
  </conditionalFormatting>
  <conditionalFormatting sqref="I65:I72">
    <cfRule type="dataBar" priority="18">
      <dataBar showValue="1" minLength="10" maxLength="90">
        <cfvo type="min" val="0"/>
        <cfvo type="max" val="0"/>
        <color rgb="FFFFB628"/>
      </dataBar>
      <extLst>
        <ext xmlns:x14="http://schemas.microsoft.com/office/spreadsheetml/2009/9/main" uri="{B025F937-C7B1-47D3-B67F-A62EFF666E3E}">
          <x14:id>{C97BCB3A-741A-4256-BF32-9442D34C8030}</x14:id>
        </ext>
      </extLst>
    </cfRule>
  </conditionalFormatting>
  <conditionalFormatting sqref="I61:I62 J56:J60">
    <cfRule type="dataBar" priority="19">
      <dataBar showValue="1" minLength="10" maxLength="90">
        <cfvo type="min" val="0"/>
        <cfvo type="max" val="0"/>
        <color rgb="FFFFB628"/>
      </dataBar>
      <extLst>
        <ext xmlns:x14="http://schemas.microsoft.com/office/spreadsheetml/2009/9/main" uri="{B025F937-C7B1-47D3-B67F-A62EFF666E3E}">
          <x14:id>{B228FD18-40BD-4779-8990-3C9990C2E927}</x14:id>
        </ext>
      </extLst>
    </cfRule>
  </conditionalFormatting>
  <conditionalFormatting sqref="U2:AG2">
    <cfRule type="dataBar" priority="20">
      <dataBar showValue="1" minLength="10" maxLength="90">
        <cfvo type="min" val="0"/>
        <cfvo type="max" val="0"/>
        <color rgb="FF63C384"/>
      </dataBar>
      <extLst>
        <ext xmlns:x14="http://schemas.microsoft.com/office/spreadsheetml/2009/9/main" uri="{B025F937-C7B1-47D3-B67F-A62EFF666E3E}">
          <x14:id>{F0D78D1D-ED73-45A8-9D81-2074ACC1B66D}</x14:id>
        </ext>
      </extLst>
    </cfRule>
  </conditionalFormatting>
  <conditionalFormatting sqref="N2:T2">
    <cfRule type="dataBar" priority="21">
      <dataBar showValue="1" minLength="10" maxLength="90">
        <cfvo type="min" val="0"/>
        <cfvo type="max" val="0"/>
        <color rgb="FFFFB628"/>
      </dataBar>
      <extLst>
        <ext xmlns:x14="http://schemas.microsoft.com/office/spreadsheetml/2009/9/main" uri="{B025F937-C7B1-47D3-B67F-A62EFF666E3E}">
          <x14:id>{E87654FC-FC50-472E-A052-E3E81A96E9CD}</x14:id>
        </ext>
      </extLst>
    </cfRule>
  </conditionalFormatting>
  <conditionalFormatting sqref="N2:AG2">
    <cfRule type="dataBar" priority="22">
      <dataBar showValue="1" minLength="10" maxLength="90">
        <cfvo type="min" val="0"/>
        <cfvo type="max" val="0"/>
        <color rgb="FFFFB628"/>
      </dataBar>
      <extLst>
        <ext xmlns:x14="http://schemas.microsoft.com/office/spreadsheetml/2009/9/main" uri="{B025F937-C7B1-47D3-B67F-A62EFF666E3E}">
          <x14:id>{7778BF3C-EBB1-4450-9B86-55397FF07A56}</x14:id>
        </ext>
      </extLst>
    </cfRule>
  </conditionalFormatting>
  <conditionalFormatting sqref="N2:S2">
    <cfRule type="dataBar" priority="23">
      <dataBar showValue="1" minLength="10" maxLength="90">
        <cfvo type="min" val="0"/>
        <cfvo type="max" val="0"/>
        <color rgb="FF638EC6"/>
      </dataBar>
      <extLst>
        <ext xmlns:x14="http://schemas.microsoft.com/office/spreadsheetml/2009/9/main" uri="{B025F937-C7B1-47D3-B67F-A62EFF666E3E}">
          <x14:id>{1D5470BE-B1F8-4E3A-A0E5-6AAF4F2FE828}</x14:id>
        </ext>
      </extLst>
    </cfRule>
  </conditionalFormatting>
  <conditionalFormatting sqref="T2">
    <cfRule type="dataBar" priority="24">
      <dataBar showValue="1" minLength="10" maxLength="90">
        <cfvo type="min" val="0"/>
        <cfvo type="max" val="0"/>
        <color rgb="FF63C384"/>
      </dataBar>
      <extLst>
        <ext xmlns:x14="http://schemas.microsoft.com/office/spreadsheetml/2009/9/main" uri="{B025F937-C7B1-47D3-B67F-A62EFF666E3E}">
          <x14:id>{A1CC1830-A022-4225-A5C7-564F97BFDD90}</x14:id>
        </ext>
      </extLst>
    </cfRule>
  </conditionalFormatting>
  <conditionalFormatting sqref="A4:A48">
    <cfRule type="colorScale" priority="25">
      <colorScale>
        <cfvo type="min" val="0"/>
        <cfvo type="percentile" val="50"/>
        <cfvo type="max" val="0"/>
        <color rgb="FFFFCC99"/>
        <color rgb="FFFFD966"/>
        <color rgb="FFFFF2CC"/>
      </colorScale>
    </cfRule>
  </conditionalFormatting>
  <conditionalFormatting sqref="J4:J48">
    <cfRule type="iconSet" priority="26">
      <iconSet iconSet="3TrafficLights1">
        <cfvo type="percent" val="0"/>
        <cfvo type="percent" val="33"/>
        <cfvo type="percent" val="67"/>
      </iconSet>
    </cfRule>
  </conditionalFormatting>
  <dataValidations count="4">
    <dataValidation allowBlank="true" errorStyle="stop" operator="between" showDropDown="false" showErrorMessage="true" showInputMessage="true" sqref="B1" type="list">
      <formula1>Data!$A$2:$A$106</formula1>
      <formula2>0</formula2>
    </dataValidation>
    <dataValidation allowBlank="true" errorStyle="information" errorTitle="OK ?" operator="between" showDropDown="false" showErrorMessage="true" showInputMessage="true" sqref="F4:F48" type="list">
      <formula1>Data!$D$2:$D$16</formula1>
      <formula2>0</formula2>
    </dataValidation>
    <dataValidation allowBlank="false" errorStyle="stop" operator="between" showDropDown="false" showErrorMessage="true" showInputMessage="true" sqref="E4:E48" type="list">
      <formula1>Data!$E$2:$E$30</formula1>
      <formula2>0</formula2>
    </dataValidation>
    <dataValidation allowBlank="true" errorStyle="stop" operator="between" showDropDown="false" showErrorMessage="true" showInputMessage="true" sqref="B4:B48" type="list">
      <formula1>Data!$C$2:$C$8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  <tableParts>
    <tablePart r:id="rId4"/>
    <tablePart r:id="rId5"/>
    <tablePart r:id="rId6"/>
    <tablePart r:id="rId7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C97BCB3A-741A-4256-BF32-9442D34C8030}">
            <x14:dataBar minLength="10" maxLength="90" axisPosition="automatic" gradient="true">
              <x14:cfvo type="autoMin"/>
              <x14:cfvo type="autoMax"/>
              <x14:negativeFillColor rgb="FFFF0000"/>
              <x14:axisColor rgb="FF000000"/>
            </x14:dataBar>
          </x14:cfRule>
          <xm:sqref>I65:I72</xm:sqref>
        </x14:conditionalFormatting>
        <x14:conditionalFormatting xmlns:xm="http://schemas.microsoft.com/office/excel/2006/main">
          <x14:cfRule type="dataBar" id="{B228FD18-40BD-4779-8990-3C9990C2E927}">
            <x14:dataBar minLength="10" maxLength="90" axisPosition="automatic" gradient="true">
              <x14:cfvo type="autoMin"/>
              <x14:cfvo type="autoMax"/>
              <x14:negativeFillColor rgb="FFFF0000"/>
              <x14:axisColor rgb="FF000000"/>
            </x14:dataBar>
          </x14:cfRule>
          <xm:sqref>I61:I62 J56:J60</xm:sqref>
        </x14:conditionalFormatting>
        <x14:conditionalFormatting xmlns:xm="http://schemas.microsoft.com/office/excel/2006/main">
          <x14:cfRule type="dataBar" id="{F0D78D1D-ED73-45A8-9D81-2074ACC1B66D}">
            <x14:dataBar minLength="10" maxLength="90" axisPosition="automatic" gradient="true">
              <x14:cfvo type="autoMin"/>
              <x14:cfvo type="autoMax"/>
              <x14:negativeFillColor rgb="FFFF0000"/>
              <x14:axisColor rgb="FF000000"/>
            </x14:dataBar>
          </x14:cfRule>
          <xm:sqref>U2:AG2</xm:sqref>
        </x14:conditionalFormatting>
        <x14:conditionalFormatting xmlns:xm="http://schemas.microsoft.com/office/excel/2006/main">
          <x14:cfRule type="dataBar" id="{E87654FC-FC50-472E-A052-E3E81A96E9CD}">
            <x14:dataBar minLength="10" maxLength="90" axisPosition="automatic" gradient="true">
              <x14:cfvo type="autoMin"/>
              <x14:cfvo type="autoMax"/>
              <x14:negativeFillColor rgb="FFFF0000"/>
              <x14:axisColor rgb="FF000000"/>
            </x14:dataBar>
          </x14:cfRule>
          <xm:sqref>N2:T2</xm:sqref>
        </x14:conditionalFormatting>
        <x14:conditionalFormatting xmlns:xm="http://schemas.microsoft.com/office/excel/2006/main">
          <x14:cfRule type="dataBar" id="{7778BF3C-EBB1-4450-9B86-55397FF07A56}">
            <x14:dataBar minLength="10" maxLength="90" axisPosition="automatic" gradient="false">
              <x14:cfvo type="autoMin"/>
              <x14:cfvo type="autoMax"/>
              <x14:negativeFillColor rgb="FFFF0000"/>
              <x14:axisColor rgb="FF000000"/>
            </x14:dataBar>
          </x14:cfRule>
          <xm:sqref>N2:AG2</xm:sqref>
        </x14:conditionalFormatting>
        <x14:conditionalFormatting xmlns:xm="http://schemas.microsoft.com/office/excel/2006/main">
          <x14:cfRule type="dataBar" id="{1D5470BE-B1F8-4E3A-A0E5-6AAF4F2FE828}">
            <x14:dataBar minLength="10" maxLength="90" axisPosition="automatic" gradient="false">
              <x14:cfvo type="autoMin"/>
              <x14:cfvo type="autoMax"/>
              <x14:negativeFillColor rgb="FFFF0000"/>
              <x14:axisColor rgb="FF000000"/>
            </x14:dataBar>
          </x14:cfRule>
          <xm:sqref>N2:S2</xm:sqref>
        </x14:conditionalFormatting>
        <x14:conditionalFormatting xmlns:xm="http://schemas.microsoft.com/office/excel/2006/main">
          <x14:cfRule type="dataBar" id="{A1CC1830-A022-4225-A5C7-564F97BFDD90}">
            <x14:dataBar minLength="10" maxLength="90" axisPosition="automatic" gradient="false">
              <x14:cfvo type="autoMin"/>
              <x14:cfvo type="autoMax"/>
              <x14:negativeFillColor rgb="FFFF0000"/>
              <x14:axisColor rgb="FF000000"/>
            </x14:dataBar>
          </x14:cfRule>
          <xm:sqref>T2</xm:sqref>
        </x14:conditionalFormatting>
      </x14:conditionalFormatting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10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4" activePane="bottomLeft" state="frozen"/>
      <selection pane="topLeft" activeCell="A1" activeCellId="0" sqref="A1"/>
      <selection pane="bottomLeft" activeCell="G24" activeCellId="0" sqref="G24"/>
    </sheetView>
  </sheetViews>
  <sheetFormatPr defaultColWidth="8.6796875" defaultRowHeight="15" zeroHeight="false" outlineLevelRow="1" outlineLevelCol="1"/>
  <cols>
    <col collapsed="false" customWidth="true" hidden="false" outlineLevel="0" max="1" min="1" style="0" width="16.57"/>
    <col collapsed="false" customWidth="true" hidden="false" outlineLevel="0" max="2" min="2" style="0" width="17.71"/>
    <col collapsed="false" customWidth="true" hidden="false" outlineLevel="0" max="3" min="3" style="0" width="14.14"/>
    <col collapsed="false" customWidth="true" hidden="false" outlineLevel="0" max="4" min="4" style="0" width="10.57"/>
    <col collapsed="false" customWidth="true" hidden="false" outlineLevel="0" max="5" min="5" style="0" width="24.42"/>
    <col collapsed="false" customWidth="true" hidden="false" outlineLevel="0" max="6" min="6" style="0" width="15"/>
    <col collapsed="false" customWidth="true" hidden="false" outlineLevel="0" max="7" min="7" style="0" width="45.85"/>
    <col collapsed="false" customWidth="true" hidden="false" outlineLevel="0" max="8" min="8" style="0" width="13.29"/>
    <col collapsed="false" customWidth="true" hidden="false" outlineLevel="0" max="9" min="9" style="0" width="13.71"/>
    <col collapsed="false" customWidth="true" hidden="false" outlineLevel="0" max="10" min="10" style="0" width="12.29"/>
    <col collapsed="false" customWidth="true" hidden="false" outlineLevel="0" max="11" min="11" style="0" width="16.14"/>
    <col collapsed="false" customWidth="true" hidden="false" outlineLevel="0" max="12" min="12" style="0" width="7.71"/>
    <col collapsed="false" customWidth="true" hidden="false" outlineLevel="0" max="13" min="13" style="224" width="9.86"/>
    <col collapsed="false" customWidth="true" hidden="false" outlineLevel="1" max="14" min="14" style="0" width="10.29"/>
    <col collapsed="false" customWidth="true" hidden="false" outlineLevel="1" max="15" min="15" style="0" width="9.57"/>
    <col collapsed="false" customWidth="true" hidden="false" outlineLevel="1" max="16" min="16" style="0" width="8.57"/>
    <col collapsed="false" customWidth="true" hidden="false" outlineLevel="1" max="18" min="17" style="0" width="7.29"/>
    <col collapsed="false" customWidth="true" hidden="false" outlineLevel="1" max="19" min="19" style="0" width="8.57"/>
    <col collapsed="false" customWidth="true" hidden="false" outlineLevel="1" max="20" min="20" style="0" width="7.71"/>
    <col collapsed="false" customWidth="true" hidden="false" outlineLevel="1" max="21" min="21" style="0" width="12"/>
    <col collapsed="false" customWidth="true" hidden="false" outlineLevel="1" max="22" min="22" style="0" width="10.14"/>
    <col collapsed="false" customWidth="true" hidden="false" outlineLevel="1" max="23" min="23" style="0" width="11.71"/>
    <col collapsed="false" customWidth="true" hidden="false" outlineLevel="1" max="24" min="24" style="0" width="12.71"/>
    <col collapsed="false" customWidth="true" hidden="false" outlineLevel="1" max="25" min="25" style="0" width="8.57"/>
    <col collapsed="false" customWidth="true" hidden="false" outlineLevel="1" max="26" min="26" style="0" width="7.29"/>
    <col collapsed="false" customWidth="true" hidden="false" outlineLevel="1" max="27" min="27" style="0" width="9.71"/>
    <col collapsed="false" customWidth="true" hidden="false" outlineLevel="1" max="28" min="28" style="0" width="11.43"/>
    <col collapsed="false" customWidth="true" hidden="false" outlineLevel="1" max="29" min="29" style="0" width="10"/>
    <col collapsed="false" customWidth="true" hidden="false" outlineLevel="1" max="30" min="30" style="0" width="9.86"/>
    <col collapsed="false" customWidth="true" hidden="false" outlineLevel="1" max="31" min="31" style="0" width="7.86"/>
    <col collapsed="false" customWidth="true" hidden="false" outlineLevel="1" max="32" min="32" style="0" width="18.71"/>
    <col collapsed="false" customWidth="true" hidden="false" outlineLevel="1" max="33" min="33" style="0" width="27.15"/>
    <col collapsed="false" customWidth="true" hidden="false" outlineLevel="1" max="34" min="34" style="0" width="5.42"/>
  </cols>
  <sheetData>
    <row r="1" customFormat="false" ht="22.05" hidden="false" customHeight="false" outlineLevel="0" collapsed="false">
      <c r="A1" s="225" t="str">
        <f aca="false">"Semaine du " &amp; Data!D41</f>
        <v>Semaine du </v>
      </c>
      <c r="B1" s="226" t="n">
        <v>44270</v>
      </c>
      <c r="C1" s="227"/>
      <c r="D1" s="321" t="s">
        <v>361</v>
      </c>
      <c r="E1" s="322" t="n">
        <f aca="false">AVERAGE(F2:J2)</f>
        <v>7.85</v>
      </c>
      <c r="F1" s="323" t="s">
        <v>0</v>
      </c>
      <c r="G1" s="324" t="s">
        <v>1</v>
      </c>
      <c r="H1" s="324" t="s">
        <v>2</v>
      </c>
      <c r="I1" s="324" t="s">
        <v>3</v>
      </c>
      <c r="J1" s="324" t="s">
        <v>4</v>
      </c>
      <c r="K1" s="325" t="s">
        <v>401</v>
      </c>
      <c r="L1" s="234" t="n">
        <f aca="false">COUNTIF(Horodateur1123353819223134374346495255586164698522263438465058546266707478829098941021061141181101221261301341381421461501541581621661701741781821861901941982022062102144101418222630343842[O],"o")+ COUNTIF(Horodateur1123353819223134374346495255586164698522263438465058546266707478829098941021061141181101221261301341381421461501541581621661701741781821861901941982022062102144101418222630343842[O],".")</f>
        <v>43</v>
      </c>
      <c r="M1" s="128" t="n">
        <f aca="false">B2</f>
        <v>39.25</v>
      </c>
      <c r="N1" s="131" t="s">
        <v>21</v>
      </c>
      <c r="O1" s="130" t="s">
        <v>20</v>
      </c>
      <c r="P1" s="130" t="s">
        <v>23</v>
      </c>
      <c r="Q1" s="130" t="s">
        <v>25</v>
      </c>
      <c r="R1" s="130" t="s">
        <v>26</v>
      </c>
      <c r="S1" s="130" t="s">
        <v>378</v>
      </c>
      <c r="T1" s="130" t="s">
        <v>380</v>
      </c>
      <c r="U1" s="136" t="s">
        <v>32</v>
      </c>
      <c r="V1" s="136" t="s">
        <v>69</v>
      </c>
      <c r="W1" s="136" t="s">
        <v>66</v>
      </c>
      <c r="X1" s="136" t="s">
        <v>47</v>
      </c>
      <c r="Y1" s="136" t="s">
        <v>68</v>
      </c>
      <c r="Z1" s="136" t="s">
        <v>41</v>
      </c>
      <c r="AA1" s="136" t="s">
        <v>61</v>
      </c>
      <c r="AB1" s="136" t="s">
        <v>74</v>
      </c>
      <c r="AC1" s="136" t="s">
        <v>37</v>
      </c>
      <c r="AD1" s="136" t="s">
        <v>77</v>
      </c>
      <c r="AE1" s="136" t="s">
        <v>45</v>
      </c>
      <c r="AF1" s="136" t="s">
        <v>78</v>
      </c>
      <c r="AG1" s="136" t="s">
        <v>79</v>
      </c>
      <c r="AH1" s="87" t="str">
        <f aca="false">SUM(M4:M46) &amp; " / " &amp; B2-SUM(M4:M46)</f>
        <v>36.75 / 2.5</v>
      </c>
    </row>
    <row r="2" customFormat="false" ht="22.05" hidden="false" customHeight="false" outlineLevel="0" collapsed="false">
      <c r="A2" s="327" t="n">
        <f aca="false">SUM(Horodateur1123353819223134374346495255586164698522263438465058546266707478829098941021061141181101221261301341381421461501541581621661701741781821861901941982022062102144101418222630343842[Durée (60)])</f>
        <v>1.63541666666667</v>
      </c>
      <c r="B2" s="328" t="n">
        <f aca="false">SUM(Horodateur1123353819223134374346495255586164698522263438465058546266707478829098941021061141181101221261301341381421461501541581621661701741781821861901941982022062102144101418222630343842[Durée (100)])</f>
        <v>39.25</v>
      </c>
      <c r="C2" s="339" t="str">
        <f aca="false">M2</f>
        <v>36.75 / 2.5</v>
      </c>
      <c r="D2" s="238"/>
      <c r="E2" s="239"/>
      <c r="F2" s="329" t="n">
        <f aca="false">SUMIF(Horodateur1123353819223134374346495255586164698522263438465058546266707478829098941021061141181101221261301341381421461501541581621661701741781821861901941982022062102144101418222630343842[Jour],"1- Lundi",Horodateur1123353819223134374346495255586164698522263438465058546266707478829098941021061141181101221261301341381421461501541581621661701741781821861901941982022062102144101418222630343842[Durée (100)])</f>
        <v>8</v>
      </c>
      <c r="G2" s="330" t="n">
        <f aca="false">SUMIF(Horodateur1123353819223134374346495255586164698522263438465058546266707478829098941021061141181101221261301341381421461501541581621661701741781821861901941982022062102144101418222630343842[Jour],"2- Mardi",Horodateur1123353819223134374346495255586164698522263438465058546266707478829098941021061141181101221261301341381421461501541581621661701741781821861901941982022062102144101418222630343842[Durée (100)])</f>
        <v>9.25</v>
      </c>
      <c r="H2" s="330" t="n">
        <f aca="false">SUMIF(Horodateur1123353819223134374346495255586164698522263438465058546266707478829098941021061141181101221261301341381421461501541581621661701741781821861901941982022062102144101418222630343842[Jour],"3- Mercredi",Horodateur1123353819223134374346495255586164698522263438465058546266707478829098941021061141181101221261301341381421461501541581621661701741781821861901941982022062102144101418222630343842[Durée (100)])</f>
        <v>8.75</v>
      </c>
      <c r="I2" s="330" t="n">
        <f aca="false">SUMIF(Horodateur1123353819223134374346495255586164698522263438465058546266707478829098941021061141181101221261301341381421461501541581621661701741781821861901941982022062102144101418222630343842[Jour],"4- Jeudi",Horodateur1123353819223134374346495255586164698522263438465058546266707478829098941021061141181101221261301341381421461501541581621661701741781821861901941982022062102144101418222630343842[Durée (100)])</f>
        <v>7.25</v>
      </c>
      <c r="J2" s="330" t="n">
        <f aca="false">SUMIF(Horodateur1123353819223134374346495255586164698522263438465058546266707478829098941021061141181101221261301341381421461501541581621661701741781821861901941982022062102144101418222630343842[Jour],"5- Vendredi",Horodateur1123353819223134374346495255586164698522263438465058546266707478829098941021061141181101221261301341381421461501541581621661701741781821861901941982022062102144101418222630343842[Durée (100)])</f>
        <v>6</v>
      </c>
      <c r="K2" s="331" t="str">
        <f aca="false">ROUND(SUMIF(Horodateur1123353819223134374346495255586164698522263438465058546266707478829098941021061141181101221261301341381421461501541581621661701741781821861901941982022062102144101418222630343842[Jour],"6- Samedi",Horodateur1123353819223134374346495255586164698522263438465058546266707478829098941021061141181101221261301341381421461501541581621661701741781821861901941982022062102144101418222630343842[Durée (100)]),2) &amp;  "   /    " &amp;  ROUND(SUMIF(Horodateur1123353819223134374346495255586164698522263438465058546266707478829098941021061141181101221261301341381421461501541581621661701741781821861901941982022062102144101418222630343842[Jour],"7- Dimanche",Horodateur1123353819223134374346495255586164698522263438465058546266707478829098941021061141181101221261301341381421461501541581621661701741781821861901941982022062102144101418222630343842[Durée (100)]),2)</f>
        <v>0   /    0</v>
      </c>
      <c r="L2" s="244" t="str">
        <f aca="false">COUNTIF(Horodateur1123353819223134374346495255586164698522263438465058546266707478829098941021061141181101221261301341381421461501541581621661701741781821861901941982022062102144101418222630343842[O],"o")&amp;" / " &amp;  COUNTIF(Horodateur1123353819223134374346495255586164698522263438465058546266707478829098941021061141181101221261301341381421461501541581621661701741781821861901941982022062102144101418222630343842[O],".")</f>
        <v>40 / 3</v>
      </c>
      <c r="M2" s="143" t="str">
        <f aca="false">SUM(M4:M46) &amp; " / " &amp; B2-SUM(M4:M46)</f>
        <v>36.75 / 2.5</v>
      </c>
      <c r="N2" s="248" t="n">
        <f aca="false">SUMIF(Horodateur1123353819223134374346495255586164698522263438465058546266707478829098941021061141181101221261301341381421461501541581621661701741781821861901941982022062102144101418222630343842[Tâche],N$1,Horodateur1123353819223134374346495255586164698522263438465058546266707478829098941021061141181101221261301341381421461501541581621661701741781821861901941982022062102144101418222630343842[Durée (100)])</f>
        <v>3.5</v>
      </c>
      <c r="O2" s="247" t="n">
        <f aca="false">SUMIF(Horodateur1123353819223134374346495255586164698522263438465058546266707478829098941021061141181101221261301341381421461501541581621661701741781821861901941982022062102144101418222630343842[Tâche],O$1,Horodateur1123353819223134374346495255586164698522263438465058546266707478829098941021061141181101221261301341381421461501541581621661701741781821861901941982022062102144101418222630343842[Durée (100)])</f>
        <v>0.500000000000001</v>
      </c>
      <c r="P2" s="247" t="n">
        <f aca="false">SUMIF(Horodateur1123353819223134374346495255586164698522263438465058546266707478829098941021061141181101221261301341381421461501541581621661701741781821861901941982022062102144101418222630343842[Tâche],P$1,Horodateur1123353819223134374346495255586164698522263438465058546266707478829098941021061141181101221261301341381421461501541581621661701741781821861901941982022062102144101418222630343842[Durée (100)])</f>
        <v>4.25</v>
      </c>
      <c r="Q2" s="247" t="n">
        <f aca="false">SUMIF(Horodateur1123353819223134374346495255586164698522263438465058546266707478829098941021061141181101221261301341381421461501541581621661701741781821861901941982022062102144101418222630343842[Tâche],Q$1,Horodateur1123353819223134374346495255586164698522263438465058546266707478829098941021061141181101221261301341381421461501541581621661701741781821861901941982022062102144101418222630343842[Durée (100)])</f>
        <v>0</v>
      </c>
      <c r="R2" s="247" t="n">
        <f aca="false">SUMIF(Horodateur1123353819223134374346495255586164698522263438465058546266707478829098941021061141181101221261301341381421461501541581621661701741781821861901941982022062102144101418222630343842[Tâche],R$1,Horodateur1123353819223134374346495255586164698522263438465058546266707478829098941021061141181101221261301341381421461501541581621661701741781821861901941982022062102144101418222630343842[Durée (100)])</f>
        <v>0</v>
      </c>
      <c r="S2" s="247" t="n">
        <f aca="false">SUMIF(Horodateur1123353819223134374346495255586164698522263438465058546266707478829098941021061141181101221261301341381421461501541581621661701741781821861901941982022062102144101418222630343842[Tâche],S$1,Horodateur1123353819223134374346495255586164698522263438465058546266707478829098941021061141181101221261301341381421461501541581621661701741781821861901941982022062102144101418222630343842[Durée (100)])</f>
        <v>23</v>
      </c>
      <c r="T2" s="247" t="n">
        <f aca="false">SUMIF(Horodateur1123353819223134374346495255586164698522263438465058546266707478829098941021061141181101221261301341381421461501541581621661701741781821861901941982022062102144101418222630343842[Tâche],T$1,Horodateur1123353819223134374346495255586164698522263438465058546266707478829098941021061141181101221261301341381421461501541581621661701741781821861901941982022062102144101418222630343842[Durée (100)])</f>
        <v>0.5</v>
      </c>
      <c r="U2" s="151" t="n">
        <f aca="false">SUMIF(Horodateur1123353819223134374346495255586164698522263438465058546266707478829098941021061141181101221261301341381421461501541581621661701741781821861901941982022062102144101418222630343842[Client],U$1,Horodateur1123353819223134374346495255586164698522263438465058546266707478829098941021061141181101221261301341381421461501541581621661701741781821861901941982022062102144101418222630343842[Durée (100)])</f>
        <v>9.25</v>
      </c>
      <c r="V2" s="151" t="n">
        <f aca="false">SUMIF(Horodateur1123353819223134374346495255586164698522263438465058546266707478829098941021061141181101221261301341381421461501541581621661701741781821861901941982022062102144101418222630343842[Client],V$1,Horodateur1123353819223134374346495255586164698522263438465058546266707478829098941021061141181101221261301341381421461501541581621661701741781821861901941982022062102144101418222630343842[Durée (100)])</f>
        <v>0</v>
      </c>
      <c r="W2" s="151" t="n">
        <f aca="false">SUMIF(Horodateur1123353819223134374346495255586164698522263438465058546266707478829098941021061141181101221261301341381421461501541581621661701741781821861901941982022062102144101418222630343842[Client],W$1,Horodateur1123353819223134374346495255586164698522263438465058546266707478829098941021061141181101221261301341381421461501541581621661701741781821861901941982022062102144101418222630343842[Durée (100)])</f>
        <v>0</v>
      </c>
      <c r="X2" s="151" t="n">
        <f aca="false">SUMIF(Horodateur1123353819223134374346495255586164698522263438465058546266707478829098941021061141181101221261301341381421461501541581621661701741781821861901941982022062102144101418222630343842[Client],X$1,Horodateur1123353819223134374346495255586164698522263438465058546266707478829098941021061141181101221261301341381421461501541581621661701741781821861901941982022062102144101418222630343842[Durée (100)])</f>
        <v>0</v>
      </c>
      <c r="Y2" s="151" t="n">
        <f aca="false">SUMIF(Horodateur1123353819223134374346495255586164698522263438465058546266707478829098941021061141181101221261301341381421461501541581621661701741781821861901941982022062102144101418222630343842[Client],Y$1,Horodateur1123353819223134374346495255586164698522263438465058546266707478829098941021061141181101221261301341381421461501541581621661701741781821861901941982022062102144101418222630343842[Durée (100)])</f>
        <v>0</v>
      </c>
      <c r="Z2" s="151" t="n">
        <f aca="false">SUMIF(Horodateur1123353819223134374346495255586164698522263438465058546266707478829098941021061141181101221261301341381421461501541581621661701741781821861901941982022062102144101418222630343842[Client],Z$1,Horodateur1123353819223134374346495255586164698522263438465058546266707478829098941021061141181101221261301341381421461501541581621661701741781821861901941982022062102144101418222630343842[Durée (100)])</f>
        <v>0</v>
      </c>
      <c r="AA2" s="151" t="n">
        <f aca="false">SUMIF(Horodateur1123353819223134374346495255586164698522263438465058546266707478829098941021061141181101221261301341381421461501541581621661701741781821861901941982022062102144101418222630343842[Client],AA$1,Horodateur1123353819223134374346495255586164698522263438465058546266707478829098941021061141181101221261301341381421461501541581621661701741781821861901941982022062102144101418222630343842[Durée (100)])</f>
        <v>0.749999999999999</v>
      </c>
      <c r="AB2" s="151" t="n">
        <f aca="false">SUMIF(Horodateur1123353819223134374346495255586164698522263438465058546266707478829098941021061141181101221261301341381421461501541581621661701741781821861901941982022062102144101418222630343842[Client],AB$1,Horodateur1123353819223134374346495255586164698522263438465058546266707478829098941021061141181101221261301341381421461501541581621661701741781821861901941982022062102144101418222630343842[Durée (100)])</f>
        <v>0</v>
      </c>
      <c r="AC2" s="151" t="n">
        <f aca="false">SUMIF(Horodateur1123353819223134374346495255586164698522263438465058546266707478829098941021061141181101221261301341381421461501541581621661701741781821861901941982022062102144101418222630343842[Client],AC$1,Horodateur1123353819223134374346495255586164698522263438465058546266707478829098941021061141181101221261301341381421461501541581621661701741781821861901941982022062102144101418222630343842[Durée (100)])</f>
        <v>6</v>
      </c>
      <c r="AD2" s="151" t="n">
        <f aca="false">SUMIF(Horodateur1123353819223134374346495255586164698522263438465058546266707478829098941021061141181101221261301341381421461501541581621661701741781821861901941982022062102144101418222630343842[Client],AD$1,Horodateur1123353819223134374346495255586164698522263438465058546266707478829098941021061141181101221261301341381421461501541581621661701741781821861901941982022062102144101418222630343842[Durée (100)])</f>
        <v>0</v>
      </c>
      <c r="AE2" s="151" t="n">
        <f aca="false">SUMIF(Horodateur1123353819223134374346495255586164698522263438465058546266707478829098941021061141181101221261301341381421461501541581621661701741781821861901941982022062102144101418222630343842[Client],AE$1,Horodateur1123353819223134374346495255586164698522263438465058546266707478829098941021061141181101221261301341381421461501541581621661701741781821861901941982022062102144101418222630343842[Durée (100)])</f>
        <v>0</v>
      </c>
      <c r="AF2" s="151" t="n">
        <f aca="false">SUMIF(Horodateur1123353819223134374346495255586164698522263438465058546266707478829098941021061141181101221261301341381421461501541581621661701741781821861901941982022062102144101418222630343842[Client],AF$1,Horodateur1123353819223134374346495255586164698522263438465058546266707478829098941021061141181101221261301341381421461501541581621661701741781821861901941982022062102144101418222630343842[Durée (100)])</f>
        <v>0.499999999999998</v>
      </c>
      <c r="AG2" s="151" t="n">
        <f aca="false">SUMIF(Horodateur1123353819223134374346495255586164698522263438465058546266707478829098941021061141181101221261301341381421461501541581621661701741781821861901941982022062102144101418222630343842[Client],AG$1,Horodateur1123353819223134374346495255586164698522263438465058546266707478829098941021061141181101221261301341381421461501541581621661701741781821861901941982022062102144101418222630343842[Durée (100)])</f>
        <v>0</v>
      </c>
    </row>
    <row r="3" s="137" customFormat="true" ht="15" hidden="false" customHeight="false" outlineLevel="0" collapsed="false">
      <c r="A3" s="249" t="s">
        <v>8</v>
      </c>
      <c r="B3" s="249" t="s">
        <v>9</v>
      </c>
      <c r="C3" s="193" t="s">
        <v>10</v>
      </c>
      <c r="D3" s="193" t="s">
        <v>11</v>
      </c>
      <c r="E3" s="250" t="s">
        <v>12</v>
      </c>
      <c r="F3" s="250" t="s">
        <v>13</v>
      </c>
      <c r="G3" s="250" t="s">
        <v>14</v>
      </c>
      <c r="H3" s="193" t="s">
        <v>302</v>
      </c>
      <c r="I3" s="252" t="s">
        <v>364</v>
      </c>
      <c r="J3" s="253" t="s">
        <v>365</v>
      </c>
      <c r="K3" s="250" t="s">
        <v>402</v>
      </c>
      <c r="L3" s="255" t="s">
        <v>7</v>
      </c>
      <c r="M3" s="254" t="s">
        <v>29</v>
      </c>
      <c r="N3" s="153" t="n">
        <f aca="false">N2/$B$2</f>
        <v>0.0891719745222931</v>
      </c>
      <c r="O3" s="153" t="n">
        <f aca="false">O2/$B$2</f>
        <v>0.0127388535031847</v>
      </c>
      <c r="P3" s="153" t="n">
        <f aca="false">P2/$B$2</f>
        <v>0.10828025477707</v>
      </c>
      <c r="Q3" s="153" t="n">
        <f aca="false">Q2/$B$2</f>
        <v>0</v>
      </c>
      <c r="R3" s="153" t="n">
        <f aca="false">R2/$B$2</f>
        <v>0</v>
      </c>
      <c r="S3" s="153" t="n">
        <f aca="false">S2/$B$2</f>
        <v>0.585987261146497</v>
      </c>
      <c r="T3" s="153" t="n">
        <f aca="false">T2/$B$2</f>
        <v>0.0127388535031847</v>
      </c>
      <c r="U3" s="153" t="n">
        <f aca="false">U2/$B$2</f>
        <v>0.235668789808917</v>
      </c>
      <c r="V3" s="153" t="n">
        <f aca="false">V2/$B$2</f>
        <v>0</v>
      </c>
      <c r="W3" s="153" t="n">
        <f aca="false">W2/$B$2</f>
        <v>0</v>
      </c>
      <c r="X3" s="153" t="n">
        <f aca="false">X2/$B$2</f>
        <v>0</v>
      </c>
      <c r="Y3" s="153" t="n">
        <f aca="false">Y2/$B$2</f>
        <v>0</v>
      </c>
      <c r="Z3" s="153" t="n">
        <f aca="false">Z2/$B$2</f>
        <v>0</v>
      </c>
      <c r="AA3" s="153" t="n">
        <f aca="false">AA2/$B$2</f>
        <v>0.019108280254777</v>
      </c>
      <c r="AB3" s="153" t="n">
        <f aca="false">AB2/$B$2</f>
        <v>0</v>
      </c>
      <c r="AC3" s="153" t="n">
        <f aca="false">AC2/$B$2</f>
        <v>0.152866242038217</v>
      </c>
      <c r="AD3" s="153" t="n">
        <f aca="false">AD2/$B$2</f>
        <v>0</v>
      </c>
      <c r="AE3" s="153" t="n">
        <f aca="false">AE2/$B$2</f>
        <v>0</v>
      </c>
      <c r="AF3" s="153" t="n">
        <f aca="false">AF2/$B$2</f>
        <v>0.0127388535031847</v>
      </c>
      <c r="AG3" s="153" t="n">
        <f aca="false">AG2/$B$2</f>
        <v>0</v>
      </c>
    </row>
    <row r="4" customFormat="false" ht="15" hidden="false" customHeight="false" outlineLevel="0" collapsed="false">
      <c r="A4" s="256" t="n">
        <f aca="false">IF(Horodateur1123353819223134374346495255586164698522263438465058546266707478829098941021061141181101221261301341381421461501541581621661701741781821861901941982022062102144101418222630343842[[#This Row],[Jour]]="1- Lundi",$B$1+1, IF(Horodateur1123353819223134374346495255586164698522263438465058546266707478829098941021061141181101221261301341381421461501541581621661701741781821861901941982022062102144101418222630343842[[#This Row],[Jour]]="2- Mardi",$B$1+2, IF(Horodateur1123353819223134374346495255586164698522263438465058546266707478829098941021061141181101221261301341381421461501541581621661701741781821861901941982022062102144101418222630343842[[#This Row],[Jour]]="3- Mercredi",$B$1+3, IF(Horodateur1123353819223134374346495255586164698522263438465058546266707478829098941021061141181101221261301341381421461501541581621661701741781821861901941982022062102144101418222630343842[[#This Row],[Jour]]="4- Jeudi",$B$1+4, IF(Horodateur1123353819223134374346495255586164698522263438465058546266707478829098941021061141181101221261301341381421461501541581621661701741781821861901941982022062102144101418222630343842[[#This Row],[Jour]]="5- Vendredi",$B$1+5, IF(Horodateur1123353819223134374346495255586164698522263438465058546266707478829098941021061141181101221261301341381421461501541581621661701741781821861901941982022062102144101418222630343842[[#This Row],[Jour]]="6- Samedi",$B$1+6, IF(Horodateur1123353819223134374346495255586164698522263438465058546266707478829098941021061141181101221261301341381421461501541581621661701741781821861901941982022062102144101418222630343842[[#This Row],[Jour]]="7- Dimanche",$B$1, )))))))</f>
        <v>44271</v>
      </c>
      <c r="B4" s="257" t="s">
        <v>312</v>
      </c>
      <c r="C4" s="258" t="n">
        <v>0.302083333333333</v>
      </c>
      <c r="D4" s="258" t="n">
        <v>0.364583333333333</v>
      </c>
      <c r="E4" s="71" t="s">
        <v>32</v>
      </c>
      <c r="F4" s="71" t="s">
        <v>21</v>
      </c>
      <c r="G4" s="259" t="s">
        <v>153</v>
      </c>
      <c r="H4" s="258" t="n">
        <f aca="false">IF($C4=0,"",$D4-$C4)</f>
        <v>0.0625</v>
      </c>
      <c r="I4" s="260" t="n">
        <f aca="false">IF($C4=0,"",($H4-INT($H4))*24)</f>
        <v>1.5</v>
      </c>
      <c r="J4" s="303" t="n">
        <f aca="false">SUMIF(Horodateur1123353819223134374346495255586164698522263438465058546266707478829098941021061141181101221261301341381421461501541581621661701741781821861901941982022062102144101418222630343842[Jour],$B4,Horodateur1123353819223134374346495255586164698522263438465058546266707478829098941021061141181101221261301341381421461501541581621661701741781821861901941982022062102144101418222630343842[Durée (100)])</f>
        <v>8</v>
      </c>
      <c r="K4" s="335"/>
      <c r="L4" s="188" t="s">
        <v>31</v>
      </c>
      <c r="M4" s="272" t="n">
        <f aca="false">IF(Horodateur1123353819223134374346495255586164698522263438465058546266707478829098941021061141181101221261301341381421461501541581621661701741781821861901941982022062102144101418222630343842[[#This Row],[O]]="o",Horodateur1123353819223134374346495255586164698522263438465058546266707478829098941021061141181101221261301341381421461501541581621661701741781821861901941982022062102144101418222630343842[[#This Row],[Durée (100)]],".")</f>
        <v>1.5</v>
      </c>
      <c r="N4" s="187"/>
      <c r="O4" s="71"/>
      <c r="P4" s="71"/>
      <c r="Q4" s="71"/>
      <c r="R4" s="71"/>
      <c r="S4" s="71"/>
      <c r="T4" s="71"/>
      <c r="U4" s="71"/>
      <c r="V4" s="71"/>
      <c r="W4" s="71"/>
      <c r="X4" s="71"/>
      <c r="Y4" s="71"/>
      <c r="Z4" s="71"/>
      <c r="AA4" s="71"/>
      <c r="AB4" s="71"/>
      <c r="AC4" s="71"/>
      <c r="AD4" s="71"/>
      <c r="AE4" s="71"/>
      <c r="AF4" s="71"/>
      <c r="AG4" s="71"/>
    </row>
    <row r="5" customFormat="false" ht="15" hidden="false" customHeight="false" outlineLevel="0" collapsed="false">
      <c r="A5" s="256" t="n">
        <f aca="false">IF(Horodateur1123353819223134374346495255586164698522263438465058546266707478829098941021061141181101221261301341381421461501541581621661701741781821861901941982022062102144101418222630343842[[#This Row],[Jour]]="1- Lundi",$B$1+1, IF(Horodateur1123353819223134374346495255586164698522263438465058546266707478829098941021061141181101221261301341381421461501541581621661701741781821861901941982022062102144101418222630343842[[#This Row],[Jour]]="2- Mardi",$B$1+2, IF(Horodateur1123353819223134374346495255586164698522263438465058546266707478829098941021061141181101221261301341381421461501541581621661701741781821861901941982022062102144101418222630343842[[#This Row],[Jour]]="3- Mercredi",$B$1+3, IF(Horodateur1123353819223134374346495255586164698522263438465058546266707478829098941021061141181101221261301341381421461501541581621661701741781821861901941982022062102144101418222630343842[[#This Row],[Jour]]="4- Jeudi",$B$1+4, IF(Horodateur1123353819223134374346495255586164698522263438465058546266707478829098941021061141181101221261301341381421461501541581621661701741781821861901941982022062102144101418222630343842[[#This Row],[Jour]]="5- Vendredi",$B$1+5, IF(Horodateur1123353819223134374346495255586164698522263438465058546266707478829098941021061141181101221261301341381421461501541581621661701741781821861901941982022062102144101418222630343842[[#This Row],[Jour]]="6- Samedi",$B$1+6, IF(Horodateur1123353819223134374346495255586164698522263438465058546266707478829098941021061141181101221261301341381421461501541581621661701741781821861901941982022062102144101418222630343842[[#This Row],[Jour]]="7- Dimanche",$B$1, )))))))</f>
        <v>44271</v>
      </c>
      <c r="B5" s="257" t="s">
        <v>312</v>
      </c>
      <c r="C5" s="258" t="n">
        <v>0.364583333333333</v>
      </c>
      <c r="D5" s="258" t="n">
        <v>0.385416666666667</v>
      </c>
      <c r="E5" s="71" t="s">
        <v>32</v>
      </c>
      <c r="F5" s="71" t="s">
        <v>20</v>
      </c>
      <c r="G5" s="259" t="s">
        <v>121</v>
      </c>
      <c r="H5" s="258" t="n">
        <f aca="false">IF($C5=0,"",$D5-$C5)</f>
        <v>0.0208333333333333</v>
      </c>
      <c r="I5" s="260" t="n">
        <f aca="false">IF($C5=0,"",($H5-INT($H5))*24)</f>
        <v>0.5</v>
      </c>
      <c r="J5" s="303" t="n">
        <f aca="false">SUMIF(Horodateur1123353819223134374346495255586164698522263438465058546266707478829098941021061141181101221261301341381421461501541581621661701741781821861901941982022062102144101418222630343842[Jour],$B5,Horodateur1123353819223134374346495255586164698522263438465058546266707478829098941021061141181101221261301341381421461501541581621661701741781821861901941982022062102144101418222630343842[Durée (100)])</f>
        <v>8</v>
      </c>
      <c r="K5" s="335"/>
      <c r="L5" s="188" t="s">
        <v>31</v>
      </c>
      <c r="M5" s="272" t="n">
        <f aca="false">IF(Horodateur1123353819223134374346495255586164698522263438465058546266707478829098941021061141181101221261301341381421461501541581621661701741781821861901941982022062102144101418222630343842[[#This Row],[O]]="o",Horodateur1123353819223134374346495255586164698522263438465058546266707478829098941021061141181101221261301341381421461501541581621661701741781821861901941982022062102144101418222630343842[[#This Row],[Durée (100)]],".")</f>
        <v>0.500000000000001</v>
      </c>
      <c r="N5" s="187"/>
      <c r="O5" s="71"/>
      <c r="P5" s="71"/>
      <c r="Q5" s="71"/>
      <c r="R5" s="71"/>
      <c r="S5" s="71"/>
      <c r="T5" s="71"/>
      <c r="U5" s="71"/>
      <c r="V5" s="71"/>
      <c r="W5" s="71"/>
      <c r="X5" s="71"/>
      <c r="Y5" s="71"/>
      <c r="Z5" s="71"/>
      <c r="AA5" s="71"/>
      <c r="AB5" s="71"/>
      <c r="AC5" s="71"/>
      <c r="AD5" s="71"/>
      <c r="AE5" s="71"/>
      <c r="AF5" s="71"/>
      <c r="AG5" s="71"/>
    </row>
    <row r="6" customFormat="false" ht="15" hidden="false" customHeight="false" outlineLevel="0" collapsed="false">
      <c r="A6" s="256" t="n">
        <f aca="false">IF(Horodateur1123353819223134374346495255586164698522263438465058546266707478829098941021061141181101221261301341381421461501541581621661701741781821861901941982022062102144101418222630343842[[#This Row],[Jour]]="1- Lundi",$B$1+1, IF(Horodateur1123353819223134374346495255586164698522263438465058546266707478829098941021061141181101221261301341381421461501541581621661701741781821861901941982022062102144101418222630343842[[#This Row],[Jour]]="2- Mardi",$B$1+2, IF(Horodateur1123353819223134374346495255586164698522263438465058546266707478829098941021061141181101221261301341381421461501541581621661701741781821861901941982022062102144101418222630343842[[#This Row],[Jour]]="3- Mercredi",$B$1+3, IF(Horodateur1123353819223134374346495255586164698522263438465058546266707478829098941021061141181101221261301341381421461501541581621661701741781821861901941982022062102144101418222630343842[[#This Row],[Jour]]="4- Jeudi",$B$1+4, IF(Horodateur1123353819223134374346495255586164698522263438465058546266707478829098941021061141181101221261301341381421461501541581621661701741781821861901941982022062102144101418222630343842[[#This Row],[Jour]]="5- Vendredi",$B$1+5, IF(Horodateur1123353819223134374346495255586164698522263438465058546266707478829098941021061141181101221261301341381421461501541581621661701741781821861901941982022062102144101418222630343842[[#This Row],[Jour]]="6- Samedi",$B$1+6, IF(Horodateur1123353819223134374346495255586164698522263438465058546266707478829098941021061141181101221261301341381421461501541581621661701741781821861901941982022062102144101418222630343842[[#This Row],[Jour]]="7- Dimanche",$B$1, )))))))</f>
        <v>44271</v>
      </c>
      <c r="B6" s="257" t="s">
        <v>312</v>
      </c>
      <c r="C6" s="258" t="n">
        <v>0.395833333333333</v>
      </c>
      <c r="D6" s="258" t="n">
        <v>0.416666666666667</v>
      </c>
      <c r="E6" s="71" t="s">
        <v>37</v>
      </c>
      <c r="F6" s="71" t="s">
        <v>379</v>
      </c>
      <c r="G6" s="259" t="s">
        <v>55</v>
      </c>
      <c r="H6" s="258" t="n">
        <f aca="false">IF($C6=0,"",$D6-$C6)</f>
        <v>0.0208333333333333</v>
      </c>
      <c r="I6" s="260" t="n">
        <f aca="false">IF($C6=0,"",($H6-INT($H6))*24)</f>
        <v>0.5</v>
      </c>
      <c r="J6" s="303" t="n">
        <f aca="false">SUMIF(Horodateur1123353819223134374346495255586164698522263438465058546266707478829098941021061141181101221261301341381421461501541581621661701741781821861901941982022062102144101418222630343842[Jour],$B6,Horodateur1123353819223134374346495255586164698522263438465058546266707478829098941021061141181101221261301341381421461501541581621661701741781821861901941982022062102144101418222630343842[Durée (100)])</f>
        <v>8</v>
      </c>
      <c r="K6" s="335"/>
      <c r="L6" s="188" t="s">
        <v>31</v>
      </c>
      <c r="M6" s="272" t="n">
        <f aca="false">IF(Horodateur1123353819223134374346495255586164698522263438465058546266707478829098941021061141181101221261301341381421461501541581621661701741781821861901941982022062102144101418222630343842[[#This Row],[O]]="o",Horodateur1123353819223134374346495255586164698522263438465058546266707478829098941021061141181101221261301341381421461501541581621661701741781821861901941982022062102144101418222630343842[[#This Row],[Durée (100)]],".")</f>
        <v>0.500000000000001</v>
      </c>
      <c r="N6" s="187"/>
      <c r="O6" s="71"/>
      <c r="P6" s="71"/>
      <c r="Q6" s="71"/>
      <c r="R6" s="71"/>
      <c r="S6" s="71"/>
      <c r="T6" s="71"/>
      <c r="U6" s="71"/>
      <c r="V6" s="71"/>
      <c r="W6" s="71"/>
      <c r="X6" s="71"/>
      <c r="Y6" s="71"/>
      <c r="Z6" s="71"/>
      <c r="AA6" s="71"/>
      <c r="AB6" s="71"/>
      <c r="AC6" s="71"/>
      <c r="AD6" s="71"/>
      <c r="AE6" s="71"/>
      <c r="AF6" s="71"/>
      <c r="AG6" s="71"/>
    </row>
    <row r="7" customFormat="false" ht="15" hidden="false" customHeight="false" outlineLevel="0" collapsed="false">
      <c r="A7" s="256" t="n">
        <f aca="false">IF(Horodateur1123353819223134374346495255586164698522263438465058546266707478829098941021061141181101221261301341381421461501541581621661701741781821861901941982022062102144101418222630343842[[#This Row],[Jour]]="1- Lundi",$B$1+1, IF(Horodateur1123353819223134374346495255586164698522263438465058546266707478829098941021061141181101221261301341381421461501541581621661701741781821861901941982022062102144101418222630343842[[#This Row],[Jour]]="2- Mardi",$B$1+2, IF(Horodateur1123353819223134374346495255586164698522263438465058546266707478829098941021061141181101221261301341381421461501541581621661701741781821861901941982022062102144101418222630343842[[#This Row],[Jour]]="3- Mercredi",$B$1+3, IF(Horodateur1123353819223134374346495255586164698522263438465058546266707478829098941021061141181101221261301341381421461501541581621661701741781821861901941982022062102144101418222630343842[[#This Row],[Jour]]="4- Jeudi",$B$1+4, IF(Horodateur1123353819223134374346495255586164698522263438465058546266707478829098941021061141181101221261301341381421461501541581621661701741781821861901941982022062102144101418222630343842[[#This Row],[Jour]]="5- Vendredi",$B$1+5, IF(Horodateur1123353819223134374346495255586164698522263438465058546266707478829098941021061141181101221261301341381421461501541581621661701741781821861901941982022062102144101418222630343842[[#This Row],[Jour]]="6- Samedi",$B$1+6, IF(Horodateur1123353819223134374346495255586164698522263438465058546266707478829098941021061141181101221261301341381421461501541581621661701741781821861901941982022062102144101418222630343842[[#This Row],[Jour]]="7- Dimanche",$B$1, )))))))</f>
        <v>44271</v>
      </c>
      <c r="B7" s="257" t="s">
        <v>312</v>
      </c>
      <c r="C7" s="258" t="n">
        <v>0.416666666666667</v>
      </c>
      <c r="D7" s="258" t="n">
        <v>0.4375</v>
      </c>
      <c r="E7" s="71" t="s">
        <v>32</v>
      </c>
      <c r="F7" s="71" t="s">
        <v>22</v>
      </c>
      <c r="G7" s="259"/>
      <c r="H7" s="258" t="n">
        <f aca="false">IF($C7=0,"",$D7-$C7)</f>
        <v>0.0208333333333333</v>
      </c>
      <c r="I7" s="260" t="n">
        <f aca="false">IF($C7=0,"",($H7-INT($H7))*24)</f>
        <v>0.5</v>
      </c>
      <c r="J7" s="303" t="n">
        <f aca="false">SUMIF(Horodateur1123353819223134374346495255586164698522263438465058546266707478829098941021061141181101221261301341381421461501541581621661701741781821861901941982022062102144101418222630343842[Jour],$B7,Horodateur1123353819223134374346495255586164698522263438465058546266707478829098941021061141181101221261301341381421461501541581621661701741781821861901941982022062102144101418222630343842[Durée (100)])</f>
        <v>8</v>
      </c>
      <c r="K7" s="335"/>
      <c r="L7" s="188" t="s">
        <v>31</v>
      </c>
      <c r="M7" s="272" t="n">
        <f aca="false">IF(Horodateur1123353819223134374346495255586164698522263438465058546266707478829098941021061141181101221261301341381421461501541581621661701741781821861901941982022062102144101418222630343842[[#This Row],[O]]="o",Horodateur1123353819223134374346495255586164698522263438465058546266707478829098941021061141181101221261301341381421461501541581621661701741781821861901941982022062102144101418222630343842[[#This Row],[Durée (100)]],".")</f>
        <v>0.5</v>
      </c>
      <c r="N7" s="187"/>
      <c r="O7" s="71"/>
      <c r="P7" s="71"/>
      <c r="Q7" s="71"/>
      <c r="R7" s="71"/>
      <c r="S7" s="71"/>
      <c r="T7" s="71"/>
      <c r="U7" s="71"/>
      <c r="V7" s="71"/>
      <c r="W7" s="71"/>
      <c r="X7" s="71"/>
      <c r="Y7" s="71"/>
      <c r="Z7" s="71"/>
      <c r="AA7" s="71"/>
      <c r="AB7" s="71"/>
      <c r="AC7" s="71"/>
      <c r="AD7" s="71"/>
      <c r="AE7" s="71"/>
      <c r="AF7" s="71"/>
      <c r="AG7" s="71"/>
    </row>
    <row r="8" customFormat="false" ht="15" hidden="false" customHeight="false" outlineLevel="0" collapsed="false">
      <c r="A8" s="256" t="n">
        <f aca="false">IF(Horodateur1123353819223134374346495255586164698522263438465058546266707478829098941021061141181101221261301341381421461501541581621661701741781821861901941982022062102144101418222630343842[[#This Row],[Jour]]="1- Lundi",$B$1+1, IF(Horodateur1123353819223134374346495255586164698522263438465058546266707478829098941021061141181101221261301341381421461501541581621661701741781821861901941982022062102144101418222630343842[[#This Row],[Jour]]="2- Mardi",$B$1+2, IF(Horodateur1123353819223134374346495255586164698522263438465058546266707478829098941021061141181101221261301341381421461501541581621661701741781821861901941982022062102144101418222630343842[[#This Row],[Jour]]="3- Mercredi",$B$1+3, IF(Horodateur1123353819223134374346495255586164698522263438465058546266707478829098941021061141181101221261301341381421461501541581621661701741781821861901941982022062102144101418222630343842[[#This Row],[Jour]]="4- Jeudi",$B$1+4, IF(Horodateur1123353819223134374346495255586164698522263438465058546266707478829098941021061141181101221261301341381421461501541581621661701741781821861901941982022062102144101418222630343842[[#This Row],[Jour]]="5- Vendredi",$B$1+5, IF(Horodateur1123353819223134374346495255586164698522263438465058546266707478829098941021061141181101221261301341381421461501541581621661701741781821861901941982022062102144101418222630343842[[#This Row],[Jour]]="6- Samedi",$B$1+6, IF(Horodateur1123353819223134374346495255586164698522263438465058546266707478829098941021061141181101221261301341381421461501541581621661701741781821861901941982022062102144101418222630343842[[#This Row],[Jour]]="7- Dimanche",$B$1, )))))))</f>
        <v>44271</v>
      </c>
      <c r="B8" s="257" t="s">
        <v>312</v>
      </c>
      <c r="C8" s="258" t="n">
        <v>0.4375</v>
      </c>
      <c r="D8" s="258" t="n">
        <v>0.479166666666667</v>
      </c>
      <c r="E8" s="71" t="s">
        <v>363</v>
      </c>
      <c r="F8" s="71" t="s">
        <v>378</v>
      </c>
      <c r="G8" s="259" t="s">
        <v>510</v>
      </c>
      <c r="H8" s="258" t="n">
        <f aca="false">IF($C8=0,"",$D8-$C8)</f>
        <v>0.0416666666666667</v>
      </c>
      <c r="I8" s="260" t="n">
        <f aca="false">IF($C8=0,"",($H8-INT($H8))*24)</f>
        <v>1</v>
      </c>
      <c r="J8" s="303" t="n">
        <f aca="false">SUMIF(Horodateur1123353819223134374346495255586164698522263438465058546266707478829098941021061141181101221261301341381421461501541581621661701741781821861901941982022062102144101418222630343842[Jour],$B8,Horodateur1123353819223134374346495255586164698522263438465058546266707478829098941021061141181101221261301341381421461501541581621661701741781821861901941982022062102144101418222630343842[Durée (100)])</f>
        <v>8</v>
      </c>
      <c r="K8" s="335"/>
      <c r="L8" s="188" t="s">
        <v>31</v>
      </c>
      <c r="M8" s="272" t="n">
        <f aca="false">IF(Horodateur1123353819223134374346495255586164698522263438465058546266707478829098941021061141181101221261301341381421461501541581621661701741781821861901941982022062102144101418222630343842[[#This Row],[O]]="o",Horodateur1123353819223134374346495255586164698522263438465058546266707478829098941021061141181101221261301341381421461501541581621661701741781821861901941982022062102144101418222630343842[[#This Row],[Durée (100)]],".")</f>
        <v>1</v>
      </c>
      <c r="N8" s="187"/>
      <c r="O8" s="71"/>
      <c r="P8" s="71"/>
      <c r="Q8" s="71"/>
      <c r="R8" s="71"/>
      <c r="S8" s="71"/>
      <c r="T8" s="71"/>
      <c r="U8" s="71"/>
      <c r="V8" s="71"/>
      <c r="W8" s="71"/>
      <c r="X8" s="71"/>
      <c r="Y8" s="71"/>
      <c r="Z8" s="71"/>
      <c r="AA8" s="71"/>
      <c r="AB8" s="71"/>
      <c r="AC8" s="71"/>
      <c r="AD8" s="71"/>
      <c r="AE8" s="71"/>
      <c r="AF8" s="71"/>
      <c r="AG8" s="71"/>
    </row>
    <row r="9" customFormat="false" ht="15" hidden="false" customHeight="false" outlineLevel="0" collapsed="false">
      <c r="A9" s="256" t="n">
        <f aca="false">IF(Horodateur1123353819223134374346495255586164698522263438465058546266707478829098941021061141181101221261301341381421461501541581621661701741781821861901941982022062102144101418222630343842[[#This Row],[Jour]]="1- Lundi",$B$1+1, IF(Horodateur1123353819223134374346495255586164698522263438465058546266707478829098941021061141181101221261301341381421461501541581621661701741781821861901941982022062102144101418222630343842[[#This Row],[Jour]]="2- Mardi",$B$1+2, IF(Horodateur1123353819223134374346495255586164698522263438465058546266707478829098941021061141181101221261301341381421461501541581621661701741781821861901941982022062102144101418222630343842[[#This Row],[Jour]]="3- Mercredi",$B$1+3, IF(Horodateur1123353819223134374346495255586164698522263438465058546266707478829098941021061141181101221261301341381421461501541581621661701741781821861901941982022062102144101418222630343842[[#This Row],[Jour]]="4- Jeudi",$B$1+4, IF(Horodateur1123353819223134374346495255586164698522263438465058546266707478829098941021061141181101221261301341381421461501541581621661701741781821861901941982022062102144101418222630343842[[#This Row],[Jour]]="5- Vendredi",$B$1+5, IF(Horodateur1123353819223134374346495255586164698522263438465058546266707478829098941021061141181101221261301341381421461501541581621661701741781821861901941982022062102144101418222630343842[[#This Row],[Jour]]="6- Samedi",$B$1+6, IF(Horodateur1123353819223134374346495255586164698522263438465058546266707478829098941021061141181101221261301341381421461501541581621661701741781821861901941982022062102144101418222630343842[[#This Row],[Jour]]="7- Dimanche",$B$1, )))))))</f>
        <v>44271</v>
      </c>
      <c r="B9" s="257" t="s">
        <v>312</v>
      </c>
      <c r="C9" s="258" t="n">
        <v>0.479166666666667</v>
      </c>
      <c r="D9" s="258" t="n">
        <v>0.5</v>
      </c>
      <c r="E9" s="71" t="s">
        <v>363</v>
      </c>
      <c r="F9" s="71" t="s">
        <v>378</v>
      </c>
      <c r="G9" s="259" t="s">
        <v>511</v>
      </c>
      <c r="H9" s="258" t="n">
        <f aca="false">IF($C9=0,"",$D9-$C9)</f>
        <v>0.0208333333333333</v>
      </c>
      <c r="I9" s="260" t="n">
        <f aca="false">IF($C9=0,"",($H9-INT($H9))*24)</f>
        <v>0.5</v>
      </c>
      <c r="J9" s="303" t="n">
        <f aca="false">SUMIF(Horodateur1123353819223134374346495255586164698522263438465058546266707478829098941021061141181101221261301341381421461501541581621661701741781821861901941982022062102144101418222630343842[Jour],$B9,Horodateur1123353819223134374346495255586164698522263438465058546266707478829098941021061141181101221261301341381421461501541581621661701741781821861901941982022062102144101418222630343842[Durée (100)])</f>
        <v>8</v>
      </c>
      <c r="K9" s="335"/>
      <c r="L9" s="188" t="s">
        <v>31</v>
      </c>
      <c r="M9" s="272" t="n">
        <f aca="false">IF(Horodateur1123353819223134374346495255586164698522263438465058546266707478829098941021061141181101221261301341381421461501541581621661701741781821861901941982022062102144101418222630343842[[#This Row],[O]]="o",Horodateur1123353819223134374346495255586164698522263438465058546266707478829098941021061141181101221261301341381421461501541581621661701741781821861901941982022062102144101418222630343842[[#This Row],[Durée (100)]],".")</f>
        <v>0.5</v>
      </c>
      <c r="N9" s="187"/>
      <c r="O9" s="71"/>
      <c r="P9" s="71"/>
      <c r="Q9" s="71"/>
      <c r="R9" s="71"/>
      <c r="S9" s="71"/>
      <c r="T9" s="71"/>
      <c r="U9" s="71"/>
      <c r="V9" s="71"/>
      <c r="W9" s="71"/>
      <c r="X9" s="71"/>
      <c r="Y9" s="71"/>
      <c r="Z9" s="71"/>
      <c r="AA9" s="71"/>
      <c r="AB9" s="71"/>
      <c r="AC9" s="71"/>
      <c r="AD9" s="71"/>
      <c r="AE9" s="71"/>
      <c r="AF9" s="71"/>
      <c r="AG9" s="71"/>
    </row>
    <row r="10" customFormat="false" ht="15" hidden="false" customHeight="false" outlineLevel="0" collapsed="false">
      <c r="A10" s="256" t="n">
        <f aca="false">IF(Horodateur1123353819223134374346495255586164698522263438465058546266707478829098941021061141181101221261301341381421461501541581621661701741781821861901941982022062102144101418222630343842[[#This Row],[Jour]]="1- Lundi",$B$1+1, IF(Horodateur1123353819223134374346495255586164698522263438465058546266707478829098941021061141181101221261301341381421461501541581621661701741781821861901941982022062102144101418222630343842[[#This Row],[Jour]]="2- Mardi",$B$1+2, IF(Horodateur1123353819223134374346495255586164698522263438465058546266707478829098941021061141181101221261301341381421461501541581621661701741781821861901941982022062102144101418222630343842[[#This Row],[Jour]]="3- Mercredi",$B$1+3, IF(Horodateur1123353819223134374346495255586164698522263438465058546266707478829098941021061141181101221261301341381421461501541581621661701741781821861901941982022062102144101418222630343842[[#This Row],[Jour]]="4- Jeudi",$B$1+4, IF(Horodateur1123353819223134374346495255586164698522263438465058546266707478829098941021061141181101221261301341381421461501541581621661701741781821861901941982022062102144101418222630343842[[#This Row],[Jour]]="5- Vendredi",$B$1+5, IF(Horodateur1123353819223134374346495255586164698522263438465058546266707478829098941021061141181101221261301341381421461501541581621661701741781821861901941982022062102144101418222630343842[[#This Row],[Jour]]="6- Samedi",$B$1+6, IF(Horodateur1123353819223134374346495255586164698522263438465058546266707478829098941021061141181101221261301341381421461501541581621661701741781821861901941982022062102144101418222630343842[[#This Row],[Jour]]="7- Dimanche",$B$1, )))))))</f>
        <v>44271</v>
      </c>
      <c r="B10" s="257" t="s">
        <v>312</v>
      </c>
      <c r="C10" s="258" t="n">
        <v>0.5625</v>
      </c>
      <c r="D10" s="258" t="n">
        <v>0.583333333333333</v>
      </c>
      <c r="E10" s="71" t="s">
        <v>63</v>
      </c>
      <c r="F10" s="71" t="s">
        <v>379</v>
      </c>
      <c r="G10" s="259" t="s">
        <v>55</v>
      </c>
      <c r="H10" s="258" t="n">
        <f aca="false">IF($C10=0,"",$D10-$C10)</f>
        <v>0.0208333333333333</v>
      </c>
      <c r="I10" s="260" t="n">
        <f aca="false">IF($C10=0,"",($H10-INT($H10))*24)</f>
        <v>0.5</v>
      </c>
      <c r="J10" s="303" t="n">
        <f aca="false">SUMIF(Horodateur1123353819223134374346495255586164698522263438465058546266707478829098941021061141181101221261301341381421461501541581621661701741781821861901941982022062102144101418222630343842[Jour],$B10,Horodateur1123353819223134374346495255586164698522263438465058546266707478829098941021061141181101221261301341381421461501541581621661701741781821861901941982022062102144101418222630343842[Durée (100)])</f>
        <v>8</v>
      </c>
      <c r="K10" s="335"/>
      <c r="L10" s="188" t="s">
        <v>31</v>
      </c>
      <c r="M10" s="272" t="n">
        <f aca="false">IF(Horodateur1123353819223134374346495255586164698522263438465058546266707478829098941021061141181101221261301341381421461501541581621661701741781821861901941982022062102144101418222630343842[[#This Row],[O]]="o",Horodateur1123353819223134374346495255586164698522263438465058546266707478829098941021061141181101221261301341381421461501541581621661701741781821861901941982022062102144101418222630343842[[#This Row],[Durée (100)]],".")</f>
        <v>0.500000000000001</v>
      </c>
      <c r="N10" s="187"/>
      <c r="O10" s="71"/>
      <c r="P10" s="71"/>
      <c r="Q10" s="71"/>
      <c r="R10" s="71"/>
      <c r="S10" s="71"/>
      <c r="T10" s="71"/>
      <c r="U10" s="71"/>
      <c r="V10" s="71"/>
      <c r="W10" s="71"/>
      <c r="X10" s="71"/>
      <c r="Y10" s="71"/>
      <c r="Z10" s="71"/>
      <c r="AA10" s="71"/>
      <c r="AB10" s="71"/>
      <c r="AC10" s="71"/>
      <c r="AD10" s="71"/>
      <c r="AE10" s="71"/>
      <c r="AF10" s="71"/>
      <c r="AG10" s="71"/>
    </row>
    <row r="11" customFormat="false" ht="15" hidden="false" customHeight="false" outlineLevel="0" collapsed="false">
      <c r="A11" s="256" t="n">
        <f aca="false">IF(Horodateur1123353819223134374346495255586164698522263438465058546266707478829098941021061141181101221261301341381421461501541581621661701741781821861901941982022062102144101418222630343842[[#This Row],[Jour]]="1- Lundi",$B$1+1, IF(Horodateur1123353819223134374346495255586164698522263438465058546266707478829098941021061141181101221261301341381421461501541581621661701741781821861901941982022062102144101418222630343842[[#This Row],[Jour]]="2- Mardi",$B$1+2, IF(Horodateur1123353819223134374346495255586164698522263438465058546266707478829098941021061141181101221261301341381421461501541581621661701741781821861901941982022062102144101418222630343842[[#This Row],[Jour]]="3- Mercredi",$B$1+3, IF(Horodateur1123353819223134374346495255586164698522263438465058546266707478829098941021061141181101221261301341381421461501541581621661701741781821861901941982022062102144101418222630343842[[#This Row],[Jour]]="4- Jeudi",$B$1+4, IF(Horodateur1123353819223134374346495255586164698522263438465058546266707478829098941021061141181101221261301341381421461501541581621661701741781821861901941982022062102144101418222630343842[[#This Row],[Jour]]="5- Vendredi",$B$1+5, IF(Horodateur1123353819223134374346495255586164698522263438465058546266707478829098941021061141181101221261301341381421461501541581621661701741781821861901941982022062102144101418222630343842[[#This Row],[Jour]]="6- Samedi",$B$1+6, IF(Horodateur1123353819223134374346495255586164698522263438465058546266707478829098941021061141181101221261301341381421461501541581621661701741781821861901941982022062102144101418222630343842[[#This Row],[Jour]]="7- Dimanche",$B$1, )))))))</f>
        <v>44271</v>
      </c>
      <c r="B11" s="257" t="s">
        <v>312</v>
      </c>
      <c r="C11" s="258" t="n">
        <v>0.583333333333333</v>
      </c>
      <c r="D11" s="258" t="n">
        <v>0.604166666666667</v>
      </c>
      <c r="E11" s="71" t="s">
        <v>363</v>
      </c>
      <c r="F11" s="71" t="s">
        <v>378</v>
      </c>
      <c r="G11" s="259" t="s">
        <v>511</v>
      </c>
      <c r="H11" s="258" t="n">
        <f aca="false">IF($C11=0,"",$D11-$C11)</f>
        <v>0.0208333333333333</v>
      </c>
      <c r="I11" s="260" t="n">
        <f aca="false">IF($C11=0,"",($H11-INT($H11))*24)</f>
        <v>0.5</v>
      </c>
      <c r="J11" s="303" t="n">
        <f aca="false">SUMIF(Horodateur1123353819223134374346495255586164698522263438465058546266707478829098941021061141181101221261301341381421461501541581621661701741781821861901941982022062102144101418222630343842[Jour],$B11,Horodateur1123353819223134374346495255586164698522263438465058546266707478829098941021061141181101221261301341381421461501541581621661701741781821861901941982022062102144101418222630343842[Durée (100)])</f>
        <v>8</v>
      </c>
      <c r="K11" s="335"/>
      <c r="L11" s="188" t="s">
        <v>31</v>
      </c>
      <c r="M11" s="272" t="n">
        <f aca="false">IF(Horodateur1123353819223134374346495255586164698522263438465058546266707478829098941021061141181101221261301341381421461501541581621661701741781821861901941982022062102144101418222630343842[[#This Row],[O]]="o",Horodateur1123353819223134374346495255586164698522263438465058546266707478829098941021061141181101221261301341381421461501541581621661701741781821861901941982022062102144101418222630343842[[#This Row],[Durée (100)]],".")</f>
        <v>0.499999999999998</v>
      </c>
      <c r="N11" s="187"/>
      <c r="O11" s="71"/>
      <c r="P11" s="71"/>
      <c r="Q11" s="71"/>
      <c r="R11" s="71"/>
      <c r="S11" s="71"/>
      <c r="T11" s="71"/>
      <c r="U11" s="71"/>
      <c r="V11" s="71"/>
      <c r="W11" s="71"/>
      <c r="X11" s="71"/>
      <c r="Y11" s="71"/>
      <c r="Z11" s="71"/>
      <c r="AA11" s="71"/>
      <c r="AB11" s="71"/>
      <c r="AC11" s="71"/>
      <c r="AD11" s="71"/>
      <c r="AE11" s="71"/>
      <c r="AF11" s="71"/>
      <c r="AG11" s="71"/>
    </row>
    <row r="12" customFormat="false" ht="15" hidden="false" customHeight="false" outlineLevel="0" collapsed="false">
      <c r="A12" s="256" t="n">
        <f aca="false">IF(Horodateur1123353819223134374346495255586164698522263438465058546266707478829098941021061141181101221261301341381421461501541581621661701741781821861901941982022062102144101418222630343842[[#This Row],[Jour]]="1- Lundi",$B$1+1, IF(Horodateur1123353819223134374346495255586164698522263438465058546266707478829098941021061141181101221261301341381421461501541581621661701741781821861901941982022062102144101418222630343842[[#This Row],[Jour]]="2- Mardi",$B$1+2, IF(Horodateur1123353819223134374346495255586164698522263438465058546266707478829098941021061141181101221261301341381421461501541581621661701741781821861901941982022062102144101418222630343842[[#This Row],[Jour]]="3- Mercredi",$B$1+3, IF(Horodateur1123353819223134374346495255586164698522263438465058546266707478829098941021061141181101221261301341381421461501541581621661701741781821861901941982022062102144101418222630343842[[#This Row],[Jour]]="4- Jeudi",$B$1+4, IF(Horodateur1123353819223134374346495255586164698522263438465058546266707478829098941021061141181101221261301341381421461501541581621661701741781821861901941982022062102144101418222630343842[[#This Row],[Jour]]="5- Vendredi",$B$1+5, IF(Horodateur1123353819223134374346495255586164698522263438465058546266707478829098941021061141181101221261301341381421461501541581621661701741781821861901941982022062102144101418222630343842[[#This Row],[Jour]]="6- Samedi",$B$1+6, IF(Horodateur1123353819223134374346495255586164698522263438465058546266707478829098941021061141181101221261301341381421461501541581621661701741781821861901941982022062102144101418222630343842[[#This Row],[Jour]]="7- Dimanche",$B$1, )))))))</f>
        <v>44271</v>
      </c>
      <c r="B12" s="257" t="s">
        <v>312</v>
      </c>
      <c r="C12" s="258" t="n">
        <v>0.604166666666667</v>
      </c>
      <c r="D12" s="258" t="n">
        <v>0.625</v>
      </c>
      <c r="E12" s="71" t="s">
        <v>363</v>
      </c>
      <c r="F12" s="71" t="s">
        <v>378</v>
      </c>
      <c r="G12" s="259" t="s">
        <v>512</v>
      </c>
      <c r="H12" s="258" t="n">
        <f aca="false">IF($C12=0,"",$D12-$C12)</f>
        <v>0.0208333333333334</v>
      </c>
      <c r="I12" s="260" t="n">
        <f aca="false">IF($C12=0,"",($H12-INT($H12))*24)</f>
        <v>0.500000000000001</v>
      </c>
      <c r="J12" s="303" t="n">
        <f aca="false">SUMIF(Horodateur1123353819223134374346495255586164698522263438465058546266707478829098941021061141181101221261301341381421461501541581621661701741781821861901941982022062102144101418222630343842[Jour],$B12,Horodateur1123353819223134374346495255586164698522263438465058546266707478829098941021061141181101221261301341381421461501541581621661701741781821861901941982022062102144101418222630343842[Durée (100)])</f>
        <v>8</v>
      </c>
      <c r="K12" s="335"/>
      <c r="L12" s="188" t="s">
        <v>31</v>
      </c>
      <c r="M12" s="272" t="n">
        <f aca="false">IF(Horodateur1123353819223134374346495255586164698522263438465058546266707478829098941021061141181101221261301341381421461501541581621661701741781821861901941982022062102144101418222630343842[[#This Row],[O]]="o",Horodateur1123353819223134374346495255586164698522263438465058546266707478829098941021061141181101221261301341381421461501541581621661701741781821861901941982022062102144101418222630343842[[#This Row],[Durée (100)]],".")</f>
        <v>0.500000000000001</v>
      </c>
      <c r="N12" s="187"/>
      <c r="O12" s="71"/>
      <c r="P12" s="71"/>
      <c r="Q12" s="71"/>
      <c r="R12" s="71"/>
      <c r="S12" s="71"/>
      <c r="T12" s="71"/>
      <c r="U12" s="71"/>
      <c r="V12" s="71"/>
      <c r="W12" s="71"/>
      <c r="X12" s="71"/>
      <c r="Y12" s="71"/>
      <c r="Z12" s="71"/>
      <c r="AA12" s="71"/>
      <c r="AB12" s="71"/>
      <c r="AC12" s="71"/>
      <c r="AD12" s="71"/>
      <c r="AE12" s="71"/>
      <c r="AF12" s="71"/>
      <c r="AG12" s="71"/>
    </row>
    <row r="13" customFormat="false" ht="15" hidden="false" customHeight="false" outlineLevel="0" collapsed="false">
      <c r="A13" s="256" t="n">
        <f aca="false">IF(Horodateur1123353819223134374346495255586164698522263438465058546266707478829098941021061141181101221261301341381421461501541581621661701741781821861901941982022062102144101418222630343842[[#This Row],[Jour]]="1- Lundi",$B$1+1, IF(Horodateur1123353819223134374346495255586164698522263438465058546266707478829098941021061141181101221261301341381421461501541581621661701741781821861901941982022062102144101418222630343842[[#This Row],[Jour]]="2- Mardi",$B$1+2, IF(Horodateur1123353819223134374346495255586164698522263438465058546266707478829098941021061141181101221261301341381421461501541581621661701741781821861901941982022062102144101418222630343842[[#This Row],[Jour]]="3- Mercredi",$B$1+3, IF(Horodateur1123353819223134374346495255586164698522263438465058546266707478829098941021061141181101221261301341381421461501541581621661701741781821861901941982022062102144101418222630343842[[#This Row],[Jour]]="4- Jeudi",$B$1+4, IF(Horodateur1123353819223134374346495255586164698522263438465058546266707478829098941021061141181101221261301341381421461501541581621661701741781821861901941982022062102144101418222630343842[[#This Row],[Jour]]="5- Vendredi",$B$1+5, IF(Horodateur1123353819223134374346495255586164698522263438465058546266707478829098941021061141181101221261301341381421461501541581621661701741781821861901941982022062102144101418222630343842[[#This Row],[Jour]]="6- Samedi",$B$1+6, IF(Horodateur1123353819223134374346495255586164698522263438465058546266707478829098941021061141181101221261301341381421461501541581621661701741781821861901941982022062102144101418222630343842[[#This Row],[Jour]]="7- Dimanche",$B$1, )))))))</f>
        <v>44271</v>
      </c>
      <c r="B13" s="257" t="s">
        <v>312</v>
      </c>
      <c r="C13" s="258" t="n">
        <v>0.625</v>
      </c>
      <c r="D13" s="258" t="n">
        <v>0.666666666666667</v>
      </c>
      <c r="E13" s="71" t="s">
        <v>363</v>
      </c>
      <c r="F13" s="71" t="s">
        <v>378</v>
      </c>
      <c r="G13" s="259" t="s">
        <v>513</v>
      </c>
      <c r="H13" s="258" t="n">
        <f aca="false">IF($C13=0,"",$D13-$C13)</f>
        <v>0.0416666666666666</v>
      </c>
      <c r="I13" s="260" t="n">
        <f aca="false">IF($C13=0,"",($H13-INT($H13))*24)</f>
        <v>0.999999999999999</v>
      </c>
      <c r="J13" s="303" t="n">
        <f aca="false">SUMIF(Horodateur1123353819223134374346495255586164698522263438465058546266707478829098941021061141181101221261301341381421461501541581621661701741781821861901941982022062102144101418222630343842[Jour],$B13,Horodateur1123353819223134374346495255586164698522263438465058546266707478829098941021061141181101221261301341381421461501541581621661701741781821861901941982022062102144101418222630343842[Durée (100)])</f>
        <v>8</v>
      </c>
      <c r="K13" s="335"/>
      <c r="L13" s="188" t="s">
        <v>31</v>
      </c>
      <c r="M13" s="272" t="n">
        <f aca="false">IF(Horodateur1123353819223134374346495255586164698522263438465058546266707478829098941021061141181101221261301341381421461501541581621661701741781821861901941982022062102144101418222630343842[[#This Row],[O]]="o",Horodateur1123353819223134374346495255586164698522263438465058546266707478829098941021061141181101221261301341381421461501541581621661701741781821861901941982022062102144101418222630343842[[#This Row],[Durée (100)]],".")</f>
        <v>0.999999999999999</v>
      </c>
      <c r="N13" s="187"/>
      <c r="O13" s="71"/>
      <c r="P13" s="71"/>
      <c r="Q13" s="71"/>
      <c r="R13" s="71"/>
      <c r="S13" s="71"/>
      <c r="T13" s="71"/>
      <c r="U13" s="71"/>
      <c r="V13" s="71"/>
      <c r="W13" s="71"/>
      <c r="X13" s="71"/>
      <c r="Y13" s="71"/>
      <c r="Z13" s="71"/>
      <c r="AA13" s="71"/>
      <c r="AB13" s="71"/>
      <c r="AC13" s="71"/>
      <c r="AD13" s="71"/>
      <c r="AE13" s="71"/>
      <c r="AF13" s="71"/>
      <c r="AG13" s="71"/>
    </row>
    <row r="14" customFormat="false" ht="15" hidden="false" customHeight="false" outlineLevel="0" collapsed="false">
      <c r="A14" s="256" t="n">
        <f aca="false">IF(Horodateur1123353819223134374346495255586164698522263438465058546266707478829098941021061141181101221261301341381421461501541581621661701741781821861901941982022062102144101418222630343842[[#This Row],[Jour]]="1- Lundi",$B$1+1, IF(Horodateur1123353819223134374346495255586164698522263438465058546266707478829098941021061141181101221261301341381421461501541581621661701741781821861901941982022062102144101418222630343842[[#This Row],[Jour]]="2- Mardi",$B$1+2, IF(Horodateur1123353819223134374346495255586164698522263438465058546266707478829098941021061141181101221261301341381421461501541581621661701741781821861901941982022062102144101418222630343842[[#This Row],[Jour]]="3- Mercredi",$B$1+3, IF(Horodateur1123353819223134374346495255586164698522263438465058546266707478829098941021061141181101221261301341381421461501541581621661701741781821861901941982022062102144101418222630343842[[#This Row],[Jour]]="4- Jeudi",$B$1+4, IF(Horodateur1123353819223134374346495255586164698522263438465058546266707478829098941021061141181101221261301341381421461501541581621661701741781821861901941982022062102144101418222630343842[[#This Row],[Jour]]="5- Vendredi",$B$1+5, IF(Horodateur1123353819223134374346495255586164698522263438465058546266707478829098941021061141181101221261301341381421461501541581621661701741781821861901941982022062102144101418222630343842[[#This Row],[Jour]]="6- Samedi",$B$1+6, IF(Horodateur1123353819223134374346495255586164698522263438465058546266707478829098941021061141181101221261301341381421461501541581621661701741781821861901941982022062102144101418222630343842[[#This Row],[Jour]]="7- Dimanche",$B$1, )))))))</f>
        <v>44271</v>
      </c>
      <c r="B14" s="257" t="s">
        <v>312</v>
      </c>
      <c r="C14" s="258" t="n">
        <v>0.6875</v>
      </c>
      <c r="D14" s="258" t="n">
        <v>0.708333333333333</v>
      </c>
      <c r="E14" s="71" t="s">
        <v>363</v>
      </c>
      <c r="F14" s="71" t="s">
        <v>378</v>
      </c>
      <c r="G14" s="259" t="s">
        <v>514</v>
      </c>
      <c r="H14" s="258" t="n">
        <f aca="false">IF($C14=0,"",$D14-$C14)</f>
        <v>0.0208333333333333</v>
      </c>
      <c r="I14" s="260" t="n">
        <f aca="false">IF($C14=0,"",($H14-INT($H14))*24)</f>
        <v>0.5</v>
      </c>
      <c r="J14" s="303" t="n">
        <f aca="false">SUMIF(Horodateur1123353819223134374346495255586164698522263438465058546266707478829098941021061141181101221261301341381421461501541581621661701741781821861901941982022062102144101418222630343842[Jour],$B14,Horodateur1123353819223134374346495255586164698522263438465058546266707478829098941021061141181101221261301341381421461501541581621661701741781821861901941982022062102144101418222630343842[Durée (100)])</f>
        <v>8</v>
      </c>
      <c r="K14" s="335"/>
      <c r="L14" s="188" t="s">
        <v>31</v>
      </c>
      <c r="M14" s="272" t="n">
        <f aca="false">IF(Horodateur1123353819223134374346495255586164698522263438465058546266707478829098941021061141181101221261301341381421461501541581621661701741781821861901941982022062102144101418222630343842[[#This Row],[O]]="o",Horodateur1123353819223134374346495255586164698522263438465058546266707478829098941021061141181101221261301341381421461501541581621661701741781821861901941982022062102144101418222630343842[[#This Row],[Durée (100)]],".")</f>
        <v>0.500000000000001</v>
      </c>
      <c r="N14" s="187"/>
      <c r="O14" s="71"/>
      <c r="P14" s="71"/>
      <c r="Q14" s="71"/>
      <c r="R14" s="71"/>
      <c r="S14" s="71"/>
      <c r="T14" s="71"/>
      <c r="U14" s="71"/>
      <c r="V14" s="71"/>
      <c r="W14" s="71"/>
      <c r="X14" s="71"/>
      <c r="Y14" s="71"/>
      <c r="Z14" s="71"/>
      <c r="AA14" s="71"/>
      <c r="AB14" s="71"/>
      <c r="AC14" s="71"/>
      <c r="AD14" s="71"/>
      <c r="AE14" s="71"/>
      <c r="AF14" s="71"/>
      <c r="AG14" s="71"/>
    </row>
    <row r="15" customFormat="false" ht="15" hidden="false" customHeight="false" outlineLevel="0" collapsed="false">
      <c r="A15" s="256" t="n">
        <f aca="false">IF(Horodateur1123353819223134374346495255586164698522263438465058546266707478829098941021061141181101221261301341381421461501541581621661701741781821861901941982022062102144101418222630343842[[#This Row],[Jour]]="1- Lundi",$B$1+1, IF(Horodateur1123353819223134374346495255586164698522263438465058546266707478829098941021061141181101221261301341381421461501541581621661701741781821861901941982022062102144101418222630343842[[#This Row],[Jour]]="2- Mardi",$B$1+2, IF(Horodateur1123353819223134374346495255586164698522263438465058546266707478829098941021061141181101221261301341381421461501541581621661701741781821861901941982022062102144101418222630343842[[#This Row],[Jour]]="3- Mercredi",$B$1+3, IF(Horodateur1123353819223134374346495255586164698522263438465058546266707478829098941021061141181101221261301341381421461501541581621661701741781821861901941982022062102144101418222630343842[[#This Row],[Jour]]="4- Jeudi",$B$1+4, IF(Horodateur1123353819223134374346495255586164698522263438465058546266707478829098941021061141181101221261301341381421461501541581621661701741781821861901941982022062102144101418222630343842[[#This Row],[Jour]]="5- Vendredi",$B$1+5, IF(Horodateur1123353819223134374346495255586164698522263438465058546266707478829098941021061141181101221261301341381421461501541581621661701741781821861901941982022062102144101418222630343842[[#This Row],[Jour]]="6- Samedi",$B$1+6, IF(Horodateur1123353819223134374346495255586164698522263438465058546266707478829098941021061141181101221261301341381421461501541581621661701741781821861901941982022062102144101418222630343842[[#This Row],[Jour]]="7- Dimanche",$B$1, )))))))</f>
        <v>44271</v>
      </c>
      <c r="B15" s="257" t="s">
        <v>312</v>
      </c>
      <c r="C15" s="258" t="n">
        <v>0.708333333333333</v>
      </c>
      <c r="D15" s="258" t="n">
        <v>0.729166666666667</v>
      </c>
      <c r="E15" s="71" t="s">
        <v>32</v>
      </c>
      <c r="F15" s="71" t="s">
        <v>22</v>
      </c>
      <c r="G15" s="259"/>
      <c r="H15" s="258" t="n">
        <f aca="false">IF($C15=0,"",$D15-$C15)</f>
        <v>0.0208333333333333</v>
      </c>
      <c r="I15" s="260" t="n">
        <f aca="false">IF($C15=0,"",($H15-INT($H15))*24)</f>
        <v>0.499999999999998</v>
      </c>
      <c r="J15" s="303" t="n">
        <f aca="false">SUMIF(Horodateur1123353819223134374346495255586164698522263438465058546266707478829098941021061141181101221261301341381421461501541581621661701741781821861901941982022062102144101418222630343842[Jour],$B15,Horodateur1123353819223134374346495255586164698522263438465058546266707478829098941021061141181101221261301341381421461501541581621661701741781821861901941982022062102144101418222630343842[Durée (100)])</f>
        <v>8</v>
      </c>
      <c r="K15" s="335"/>
      <c r="L15" s="188" t="s">
        <v>31</v>
      </c>
      <c r="M15" s="272" t="n">
        <f aca="false">IF(Horodateur1123353819223134374346495255586164698522263438465058546266707478829098941021061141181101221261301341381421461501541581621661701741781821861901941982022062102144101418222630343842[[#This Row],[O]]="o",Horodateur1123353819223134374346495255586164698522263438465058546266707478829098941021061141181101221261301341381421461501541581621661701741781821861901941982022062102144101418222630343842[[#This Row],[Durée (100)]],".")</f>
        <v>0.499999999999998</v>
      </c>
      <c r="N15" s="187"/>
      <c r="O15" s="71"/>
      <c r="P15" s="71"/>
      <c r="Q15" s="71"/>
      <c r="R15" s="71"/>
      <c r="S15" s="71"/>
      <c r="T15" s="71"/>
      <c r="U15" s="71"/>
      <c r="V15" s="71"/>
      <c r="W15" s="71"/>
      <c r="X15" s="71"/>
      <c r="Y15" s="71"/>
      <c r="Z15" s="71"/>
      <c r="AA15" s="71"/>
      <c r="AB15" s="71"/>
      <c r="AC15" s="71"/>
      <c r="AD15" s="71"/>
      <c r="AE15" s="71"/>
      <c r="AF15" s="71"/>
      <c r="AG15" s="71"/>
    </row>
    <row r="16" customFormat="false" ht="15" hidden="false" customHeight="false" outlineLevel="0" collapsed="false">
      <c r="A16" s="256" t="n">
        <f aca="false">IF(Horodateur1123353819223134374346495255586164698522263438465058546266707478829098941021061141181101221261301341381421461501541581621661701741781821861901941982022062102144101418222630343842[[#This Row],[Jour]]="1- Lundi",$B$1+1, IF(Horodateur1123353819223134374346495255586164698522263438465058546266707478829098941021061141181101221261301341381421461501541581621661701741781821861901941982022062102144101418222630343842[[#This Row],[Jour]]="2- Mardi",$B$1+2, IF(Horodateur1123353819223134374346495255586164698522263438465058546266707478829098941021061141181101221261301341381421461501541581621661701741781821861901941982022062102144101418222630343842[[#This Row],[Jour]]="3- Mercredi",$B$1+3, IF(Horodateur1123353819223134374346495255586164698522263438465058546266707478829098941021061141181101221261301341381421461501541581621661701741781821861901941982022062102144101418222630343842[[#This Row],[Jour]]="4- Jeudi",$B$1+4, IF(Horodateur1123353819223134374346495255586164698522263438465058546266707478829098941021061141181101221261301341381421461501541581621661701741781821861901941982022062102144101418222630343842[[#This Row],[Jour]]="5- Vendredi",$B$1+5, IF(Horodateur1123353819223134374346495255586164698522263438465058546266707478829098941021061141181101221261301341381421461501541581621661701741781821861901941982022062102144101418222630343842[[#This Row],[Jour]]="6- Samedi",$B$1+6, IF(Horodateur1123353819223134374346495255586164698522263438465058546266707478829098941021061141181101221261301341381421461501541581621661701741781821861901941982022062102144101418222630343842[[#This Row],[Jour]]="7- Dimanche",$B$1, )))))))</f>
        <v>44272</v>
      </c>
      <c r="B16" s="257" t="s">
        <v>319</v>
      </c>
      <c r="C16" s="258" t="n">
        <v>0.333333333333333</v>
      </c>
      <c r="D16" s="258" t="n">
        <v>0.354166666666667</v>
      </c>
      <c r="E16" s="71" t="s">
        <v>32</v>
      </c>
      <c r="F16" s="71" t="s">
        <v>21</v>
      </c>
      <c r="G16" s="259"/>
      <c r="H16" s="258" t="n">
        <f aca="false">IF($C16=0,"",$D16-$C16)</f>
        <v>0.0208333333333333</v>
      </c>
      <c r="I16" s="260" t="n">
        <f aca="false">IF($C16=0,"",($H16-INT($H16))*24)</f>
        <v>0.5</v>
      </c>
      <c r="J16" s="303" t="n">
        <f aca="false">SUMIF(Horodateur1123353819223134374346495255586164698522263438465058546266707478829098941021061141181101221261301341381421461501541581621661701741781821861901941982022062102144101418222630343842[Jour],$B16,Horodateur1123353819223134374346495255586164698522263438465058546266707478829098941021061141181101221261301341381421461501541581621661701741781821861901941982022062102144101418222630343842[Durée (100)])</f>
        <v>9.25</v>
      </c>
      <c r="K16" s="335"/>
      <c r="L16" s="188" t="s">
        <v>31</v>
      </c>
      <c r="M16" s="272" t="n">
        <f aca="false">IF(Horodateur1123353819223134374346495255586164698522263438465058546266707478829098941021061141181101221261301341381421461501541581621661701741781821861901941982022062102144101418222630343842[[#This Row],[O]]="o",Horodateur1123353819223134374346495255586164698522263438465058546266707478829098941021061141181101221261301341381421461501541581621661701741781821861901941982022062102144101418222630343842[[#This Row],[Durée (100)]],".")</f>
        <v>0.500000000000001</v>
      </c>
      <c r="N16" s="187"/>
      <c r="O16" s="71"/>
      <c r="P16" s="71"/>
      <c r="Q16" s="71"/>
      <c r="R16" s="71"/>
      <c r="S16" s="71"/>
      <c r="T16" s="71"/>
      <c r="U16" s="71"/>
      <c r="V16" s="71"/>
      <c r="W16" s="71"/>
      <c r="X16" s="71"/>
      <c r="Y16" s="71"/>
      <c r="Z16" s="71"/>
      <c r="AA16" s="71"/>
      <c r="AB16" s="71"/>
      <c r="AC16" s="71"/>
      <c r="AD16" s="71"/>
      <c r="AE16" s="71"/>
      <c r="AF16" s="71"/>
      <c r="AG16" s="71"/>
    </row>
    <row r="17" customFormat="false" ht="15" hidden="false" customHeight="false" outlineLevel="0" collapsed="false">
      <c r="A17" s="256" t="n">
        <f aca="false">IF(Horodateur1123353819223134374346495255586164698522263438465058546266707478829098941021061141181101221261301341381421461501541581621661701741781821861901941982022062102144101418222630343842[[#This Row],[Jour]]="1- Lundi",$B$1+1, IF(Horodateur1123353819223134374346495255586164698522263438465058546266707478829098941021061141181101221261301341381421461501541581621661701741781821861901941982022062102144101418222630343842[[#This Row],[Jour]]="2- Mardi",$B$1+2, IF(Horodateur1123353819223134374346495255586164698522263438465058546266707478829098941021061141181101221261301341381421461501541581621661701741781821861901941982022062102144101418222630343842[[#This Row],[Jour]]="3- Mercredi",$B$1+3, IF(Horodateur1123353819223134374346495255586164698522263438465058546266707478829098941021061141181101221261301341381421461501541581621661701741781821861901941982022062102144101418222630343842[[#This Row],[Jour]]="4- Jeudi",$B$1+4, IF(Horodateur1123353819223134374346495255586164698522263438465058546266707478829098941021061141181101221261301341381421461501541581621661701741781821861901941982022062102144101418222630343842[[#This Row],[Jour]]="5- Vendredi",$B$1+5, IF(Horodateur1123353819223134374346495255586164698522263438465058546266707478829098941021061141181101221261301341381421461501541581621661701741781821861901941982022062102144101418222630343842[[#This Row],[Jour]]="6- Samedi",$B$1+6, IF(Horodateur1123353819223134374346495255586164698522263438465058546266707478829098941021061141181101221261301341381421461501541581621661701741781821861901941982022062102144101418222630343842[[#This Row],[Jour]]="7- Dimanche",$B$1, )))))))</f>
        <v>44272</v>
      </c>
      <c r="B17" s="257" t="s">
        <v>319</v>
      </c>
      <c r="C17" s="258" t="n">
        <v>0.354166666666667</v>
      </c>
      <c r="D17" s="258" t="n">
        <v>0.5</v>
      </c>
      <c r="E17" s="71" t="s">
        <v>37</v>
      </c>
      <c r="F17" s="71" t="s">
        <v>378</v>
      </c>
      <c r="G17" s="259" t="s">
        <v>515</v>
      </c>
      <c r="H17" s="258" t="n">
        <f aca="false">IF($C17=0,"",$D17-$C17)</f>
        <v>0.145833333333333</v>
      </c>
      <c r="I17" s="260" t="n">
        <f aca="false">IF($C17=0,"",($H17-INT($H17))*24)</f>
        <v>3.5</v>
      </c>
      <c r="J17" s="303" t="n">
        <f aca="false">SUMIF(Horodateur1123353819223134374346495255586164698522263438465058546266707478829098941021061141181101221261301341381421461501541581621661701741781821861901941982022062102144101418222630343842[Jour],$B17,Horodateur1123353819223134374346495255586164698522263438465058546266707478829098941021061141181101221261301341381421461501541581621661701741781821861901941982022062102144101418222630343842[Durée (100)])</f>
        <v>9.25</v>
      </c>
      <c r="K17" s="335"/>
      <c r="L17" s="188" t="s">
        <v>31</v>
      </c>
      <c r="M17" s="272" t="n">
        <f aca="false">IF(Horodateur1123353819223134374346495255586164698522263438465058546266707478829098941021061141181101221261301341381421461501541581621661701741781821861901941982022062102144101418222630343842[[#This Row],[O]]="o",Horodateur1123353819223134374346495255586164698522263438465058546266707478829098941021061141181101221261301341381421461501541581621661701741781821861901941982022062102144101418222630343842[[#This Row],[Durée (100)]],".")</f>
        <v>3.5</v>
      </c>
      <c r="N17" s="187"/>
      <c r="O17" s="71"/>
      <c r="P17" s="71"/>
      <c r="Q17" s="71"/>
      <c r="R17" s="71"/>
      <c r="S17" s="71"/>
      <c r="T17" s="71"/>
      <c r="U17" s="71"/>
      <c r="V17" s="71"/>
      <c r="W17" s="71"/>
      <c r="X17" s="71"/>
      <c r="Y17" s="71"/>
      <c r="Z17" s="71"/>
      <c r="AA17" s="71"/>
      <c r="AB17" s="71"/>
      <c r="AC17" s="71"/>
      <c r="AD17" s="71"/>
      <c r="AE17" s="71"/>
      <c r="AF17" s="71"/>
      <c r="AG17" s="71"/>
    </row>
    <row r="18" customFormat="false" ht="15" hidden="false" customHeight="false" outlineLevel="0" collapsed="false">
      <c r="A18" s="256" t="n">
        <f aca="false">IF(Horodateur1123353819223134374346495255586164698522263438465058546266707478829098941021061141181101221261301341381421461501541581621661701741781821861901941982022062102144101418222630343842[[#This Row],[Jour]]="1- Lundi",$B$1+1, IF(Horodateur1123353819223134374346495255586164698522263438465058546266707478829098941021061141181101221261301341381421461501541581621661701741781821861901941982022062102144101418222630343842[[#This Row],[Jour]]="2- Mardi",$B$1+2, IF(Horodateur1123353819223134374346495255586164698522263438465058546266707478829098941021061141181101221261301341381421461501541581621661701741781821861901941982022062102144101418222630343842[[#This Row],[Jour]]="3- Mercredi",$B$1+3, IF(Horodateur1123353819223134374346495255586164698522263438465058546266707478829098941021061141181101221261301341381421461501541581621661701741781821861901941982022062102144101418222630343842[[#This Row],[Jour]]="4- Jeudi",$B$1+4, IF(Horodateur1123353819223134374346495255586164698522263438465058546266707478829098941021061141181101221261301341381421461501541581621661701741781821861901941982022062102144101418222630343842[[#This Row],[Jour]]="5- Vendredi",$B$1+5, IF(Horodateur1123353819223134374346495255586164698522263438465058546266707478829098941021061141181101221261301341381421461501541581621661701741781821861901941982022062102144101418222630343842[[#This Row],[Jour]]="6- Samedi",$B$1+6, IF(Horodateur1123353819223134374346495255586164698522263438465058546266707478829098941021061141181101221261301341381421461501541581621661701741781821861901941982022062102144101418222630343842[[#This Row],[Jour]]="7- Dimanche",$B$1, )))))))</f>
        <v>44272</v>
      </c>
      <c r="B18" s="257" t="s">
        <v>319</v>
      </c>
      <c r="C18" s="258" t="n">
        <v>0.5625</v>
      </c>
      <c r="D18" s="258" t="n">
        <v>0.572916666666667</v>
      </c>
      <c r="E18" s="71" t="s">
        <v>61</v>
      </c>
      <c r="F18" s="71" t="s">
        <v>378</v>
      </c>
      <c r="G18" s="259" t="s">
        <v>516</v>
      </c>
      <c r="H18" s="258" t="n">
        <f aca="false">IF($C18=0,"",$D18-$C18)</f>
        <v>0.0104166666666666</v>
      </c>
      <c r="I18" s="260" t="n">
        <f aca="false">IF($C18=0,"",($H18-INT($H18))*24)</f>
        <v>0.249999999999999</v>
      </c>
      <c r="J18" s="303" t="n">
        <f aca="false">SUMIF(Horodateur1123353819223134374346495255586164698522263438465058546266707478829098941021061141181101221261301341381421461501541581621661701741781821861901941982022062102144101418222630343842[Jour],$B18,Horodateur1123353819223134374346495255586164698522263438465058546266707478829098941021061141181101221261301341381421461501541581621661701741781821861901941982022062102144101418222630343842[Durée (100)])</f>
        <v>9.25</v>
      </c>
      <c r="K18" s="335"/>
      <c r="L18" s="188" t="s">
        <v>33</v>
      </c>
      <c r="M18" s="272" t="str">
        <f aca="false">IF(Horodateur1123353819223134374346495255586164698522263438465058546266707478829098941021061141181101221261301341381421461501541581621661701741781821861901941982022062102144101418222630343842[[#This Row],[O]]="o",Horodateur1123353819223134374346495255586164698522263438465058546266707478829098941021061141181101221261301341381421461501541581621661701741781821861901941982022062102144101418222630343842[[#This Row],[Durée (100)]],".")</f>
        <v>.</v>
      </c>
      <c r="N18" s="187"/>
      <c r="O18" s="71"/>
      <c r="P18" s="71"/>
      <c r="Q18" s="71"/>
      <c r="R18" s="71"/>
      <c r="S18" s="71"/>
      <c r="T18" s="71"/>
      <c r="U18" s="71"/>
      <c r="V18" s="71"/>
      <c r="W18" s="71"/>
      <c r="X18" s="71"/>
      <c r="Y18" s="71"/>
      <c r="Z18" s="71"/>
      <c r="AA18" s="71"/>
      <c r="AB18" s="71"/>
      <c r="AC18" s="71"/>
      <c r="AD18" s="71"/>
      <c r="AE18" s="71"/>
      <c r="AF18" s="71"/>
      <c r="AG18" s="71"/>
    </row>
    <row r="19" customFormat="false" ht="15" hidden="false" customHeight="false" outlineLevel="0" collapsed="false">
      <c r="A19" s="256" t="n">
        <f aca="false">IF(Horodateur1123353819223134374346495255586164698522263438465058546266707478829098941021061141181101221261301341381421461501541581621661701741781821861901941982022062102144101418222630343842[[#This Row],[Jour]]="1- Lundi",$B$1+1, IF(Horodateur1123353819223134374346495255586164698522263438465058546266707478829098941021061141181101221261301341381421461501541581621661701741781821861901941982022062102144101418222630343842[[#This Row],[Jour]]="2- Mardi",$B$1+2, IF(Horodateur1123353819223134374346495255586164698522263438465058546266707478829098941021061141181101221261301341381421461501541581621661701741781821861901941982022062102144101418222630343842[[#This Row],[Jour]]="3- Mercredi",$B$1+3, IF(Horodateur1123353819223134374346495255586164698522263438465058546266707478829098941021061141181101221261301341381421461501541581621661701741781821861901941982022062102144101418222630343842[[#This Row],[Jour]]="4- Jeudi",$B$1+4, IF(Horodateur1123353819223134374346495255586164698522263438465058546266707478829098941021061141181101221261301341381421461501541581621661701741781821861901941982022062102144101418222630343842[[#This Row],[Jour]]="5- Vendredi",$B$1+5, IF(Horodateur1123353819223134374346495255586164698522263438465058546266707478829098941021061141181101221261301341381421461501541581621661701741781821861901941982022062102144101418222630343842[[#This Row],[Jour]]="6- Samedi",$B$1+6, IF(Horodateur1123353819223134374346495255586164698522263438465058546266707478829098941021061141181101221261301341381421461501541581621661701741781821861901941982022062102144101418222630343842[[#This Row],[Jour]]="7- Dimanche",$B$1, )))))))</f>
        <v>44272</v>
      </c>
      <c r="B19" s="257" t="s">
        <v>319</v>
      </c>
      <c r="C19" s="258" t="n">
        <v>0.572916666666667</v>
      </c>
      <c r="D19" s="258" t="n">
        <v>0.65625</v>
      </c>
      <c r="E19" s="71" t="s">
        <v>37</v>
      </c>
      <c r="F19" s="71" t="s">
        <v>23</v>
      </c>
      <c r="G19" s="259" t="s">
        <v>517</v>
      </c>
      <c r="H19" s="258" t="n">
        <f aca="false">IF($C19=0,"",$D19-$C19)</f>
        <v>0.0833333333333334</v>
      </c>
      <c r="I19" s="260" t="n">
        <f aca="false">IF($C19=0,"",($H19-INT($H19))*24)</f>
        <v>2</v>
      </c>
      <c r="J19" s="303" t="n">
        <f aca="false">SUMIF(Horodateur1123353819223134374346495255586164698522263438465058546266707478829098941021061141181101221261301341381421461501541581621661701741781821861901941982022062102144101418222630343842[Jour],$B19,Horodateur1123353819223134374346495255586164698522263438465058546266707478829098941021061141181101221261301341381421461501541581621661701741781821861901941982022062102144101418222630343842[Durée (100)])</f>
        <v>9.25</v>
      </c>
      <c r="K19" s="335"/>
      <c r="L19" s="188" t="s">
        <v>33</v>
      </c>
      <c r="M19" s="272" t="str">
        <f aca="false">IF(Horodateur1123353819223134374346495255586164698522263438465058546266707478829098941021061141181101221261301341381421461501541581621661701741781821861901941982022062102144101418222630343842[[#This Row],[O]]="o",Horodateur1123353819223134374346495255586164698522263438465058546266707478829098941021061141181101221261301341381421461501541581621661701741781821861901941982022062102144101418222630343842[[#This Row],[Durée (100)]],".")</f>
        <v>.</v>
      </c>
      <c r="N19" s="187"/>
      <c r="O19" s="71"/>
      <c r="P19" s="71"/>
      <c r="Q19" s="71"/>
      <c r="R19" s="71"/>
      <c r="S19" s="71"/>
      <c r="T19" s="71"/>
      <c r="U19" s="71"/>
      <c r="V19" s="71"/>
      <c r="W19" s="71"/>
      <c r="X19" s="71"/>
      <c r="Y19" s="71"/>
      <c r="Z19" s="71"/>
      <c r="AA19" s="71"/>
      <c r="AB19" s="71"/>
      <c r="AC19" s="71"/>
      <c r="AD19" s="71"/>
      <c r="AE19" s="71"/>
      <c r="AF19" s="71"/>
      <c r="AG19" s="71"/>
    </row>
    <row r="20" customFormat="false" ht="15" hidden="false" customHeight="false" outlineLevel="0" collapsed="false">
      <c r="A20" s="256" t="n">
        <f aca="false">IF(Horodateur1123353819223134374346495255586164698522263438465058546266707478829098941021061141181101221261301341381421461501541581621661701741781821861901941982022062102144101418222630343842[[#This Row],[Jour]]="1- Lundi",$B$1+1, IF(Horodateur1123353819223134374346495255586164698522263438465058546266707478829098941021061141181101221261301341381421461501541581621661701741781821861901941982022062102144101418222630343842[[#This Row],[Jour]]="2- Mardi",$B$1+2, IF(Horodateur1123353819223134374346495255586164698522263438465058546266707478829098941021061141181101221261301341381421461501541581621661701741781821861901941982022062102144101418222630343842[[#This Row],[Jour]]="3- Mercredi",$B$1+3, IF(Horodateur1123353819223134374346495255586164698522263438465058546266707478829098941021061141181101221261301341381421461501541581621661701741781821861901941982022062102144101418222630343842[[#This Row],[Jour]]="4- Jeudi",$B$1+4, IF(Horodateur1123353819223134374346495255586164698522263438465058546266707478829098941021061141181101221261301341381421461501541581621661701741781821861901941982022062102144101418222630343842[[#This Row],[Jour]]="5- Vendredi",$B$1+5, IF(Horodateur1123353819223134374346495255586164698522263438465058546266707478829098941021061141181101221261301341381421461501541581621661701741781821861901941982022062102144101418222630343842[[#This Row],[Jour]]="6- Samedi",$B$1+6, IF(Horodateur1123353819223134374346495255586164698522263438465058546266707478829098941021061141181101221261301341381421461501541581621661701741781821861901941982022062102144101418222630343842[[#This Row],[Jour]]="7- Dimanche",$B$1, )))))))</f>
        <v>44272</v>
      </c>
      <c r="B20" s="257" t="s">
        <v>319</v>
      </c>
      <c r="C20" s="258" t="n">
        <v>0.645833333333333</v>
      </c>
      <c r="D20" s="258" t="n">
        <v>0.666666666666667</v>
      </c>
      <c r="E20" s="71" t="s">
        <v>78</v>
      </c>
      <c r="F20" s="71" t="s">
        <v>379</v>
      </c>
      <c r="G20" s="259" t="s">
        <v>518</v>
      </c>
      <c r="H20" s="258" t="n">
        <f aca="false">IF($C20=0,"",$D20-$C20)</f>
        <v>0.0208333333333333</v>
      </c>
      <c r="I20" s="260" t="n">
        <f aca="false">IF($C20=0,"",($H20-INT($H20))*24)</f>
        <v>0.5</v>
      </c>
      <c r="J20" s="303" t="n">
        <f aca="false">SUMIF(Horodateur1123353819223134374346495255586164698522263438465058546266707478829098941021061141181101221261301341381421461501541581621661701741781821861901941982022062102144101418222630343842[Jour],$B20,Horodateur1123353819223134374346495255586164698522263438465058546266707478829098941021061141181101221261301341381421461501541581621661701741781821861901941982022062102144101418222630343842[Durée (100)])</f>
        <v>9.25</v>
      </c>
      <c r="K20" s="335"/>
      <c r="L20" s="188" t="s">
        <v>31</v>
      </c>
      <c r="M20" s="272" t="n">
        <f aca="false">IF(Horodateur1123353819223134374346495255586164698522263438465058546266707478829098941021061141181101221261301341381421461501541581621661701741781821861901941982022062102144101418222630343842[[#This Row],[O]]="o",Horodateur1123353819223134374346495255586164698522263438465058546266707478829098941021061141181101221261301341381421461501541581621661701741781821861901941982022062102144101418222630343842[[#This Row],[Durée (100)]],".")</f>
        <v>0.499999999999998</v>
      </c>
      <c r="N20" s="187"/>
      <c r="O20" s="71"/>
      <c r="P20" s="71"/>
      <c r="Q20" s="71"/>
      <c r="R20" s="71"/>
      <c r="S20" s="71"/>
      <c r="T20" s="71"/>
      <c r="U20" s="71"/>
      <c r="V20" s="71"/>
      <c r="W20" s="71"/>
      <c r="X20" s="71"/>
      <c r="Y20" s="71"/>
      <c r="Z20" s="71"/>
      <c r="AA20" s="71"/>
      <c r="AB20" s="71"/>
      <c r="AC20" s="71"/>
      <c r="AD20" s="71"/>
      <c r="AE20" s="71"/>
      <c r="AF20" s="71"/>
      <c r="AG20" s="71"/>
    </row>
    <row r="21" customFormat="false" ht="15" hidden="false" customHeight="false" outlineLevel="0" collapsed="false">
      <c r="A21" s="256" t="n">
        <f aca="false">IF(Horodateur1123353819223134374346495255586164698522263438465058546266707478829098941021061141181101221261301341381421461501541581621661701741781821861901941982022062102144101418222630343842[[#This Row],[Jour]]="1- Lundi",$B$1+1, IF(Horodateur1123353819223134374346495255586164698522263438465058546266707478829098941021061141181101221261301341381421461501541581621661701741781821861901941982022062102144101418222630343842[[#This Row],[Jour]]="2- Mardi",$B$1+2, IF(Horodateur1123353819223134374346495255586164698522263438465058546266707478829098941021061141181101221261301341381421461501541581621661701741781821861901941982022062102144101418222630343842[[#This Row],[Jour]]="3- Mercredi",$B$1+3, IF(Horodateur1123353819223134374346495255586164698522263438465058546266707478829098941021061141181101221261301341381421461501541581621661701741781821861901941982022062102144101418222630343842[[#This Row],[Jour]]="4- Jeudi",$B$1+4, IF(Horodateur1123353819223134374346495255586164698522263438465058546266707478829098941021061141181101221261301341381421461501541581621661701741781821861901941982022062102144101418222630343842[[#This Row],[Jour]]="5- Vendredi",$B$1+5, IF(Horodateur1123353819223134374346495255586164698522263438465058546266707478829098941021061141181101221261301341381421461501541581621661701741781821861901941982022062102144101418222630343842[[#This Row],[Jour]]="6- Samedi",$B$1+6, IF(Horodateur1123353819223134374346495255586164698522263438465058546266707478829098941021061141181101221261301341381421461501541581621661701741781821861901941982022062102144101418222630343842[[#This Row],[Jour]]="7- Dimanche",$B$1, )))))))</f>
        <v>44272</v>
      </c>
      <c r="B21" s="257" t="s">
        <v>319</v>
      </c>
      <c r="C21" s="258" t="n">
        <v>0.666666666666667</v>
      </c>
      <c r="D21" s="258" t="n">
        <v>0.677083333333333</v>
      </c>
      <c r="E21" s="71" t="s">
        <v>363</v>
      </c>
      <c r="F21" s="71" t="s">
        <v>378</v>
      </c>
      <c r="G21" s="259" t="s">
        <v>519</v>
      </c>
      <c r="H21" s="258" t="n">
        <f aca="false">IF($C21=0,"",$D21-$C21)</f>
        <v>0.0104166666666667</v>
      </c>
      <c r="I21" s="260" t="n">
        <f aca="false">IF($C21=0,"",($H21-INT($H21))*24)</f>
        <v>0.250000000000002</v>
      </c>
      <c r="J21" s="303" t="n">
        <f aca="false">SUMIF(Horodateur1123353819223134374346495255586164698522263438465058546266707478829098941021061141181101221261301341381421461501541581621661701741781821861901941982022062102144101418222630343842[Jour],$B21,Horodateur1123353819223134374346495255586164698522263438465058546266707478829098941021061141181101221261301341381421461501541581621661701741781821861901941982022062102144101418222630343842[Durée (100)])</f>
        <v>9.25</v>
      </c>
      <c r="K21" s="335"/>
      <c r="L21" s="188" t="s">
        <v>31</v>
      </c>
      <c r="M21" s="272" t="n">
        <f aca="false">IF(Horodateur1123353819223134374346495255586164698522263438465058546266707478829098941021061141181101221261301341381421461501541581621661701741781821861901941982022062102144101418222630343842[[#This Row],[O]]="o",Horodateur1123353819223134374346495255586164698522263438465058546266707478829098941021061141181101221261301341381421461501541581621661701741781821861901941982022062102144101418222630343842[[#This Row],[Durée (100)]],".")</f>
        <v>0.250000000000002</v>
      </c>
      <c r="N21" s="187"/>
      <c r="O21" s="71"/>
      <c r="P21" s="71"/>
      <c r="Q21" s="71"/>
      <c r="R21" s="71"/>
      <c r="S21" s="71"/>
      <c r="T21" s="71"/>
      <c r="U21" s="71"/>
      <c r="V21" s="71"/>
      <c r="W21" s="71"/>
      <c r="X21" s="71"/>
      <c r="Y21" s="71"/>
      <c r="Z21" s="71"/>
      <c r="AA21" s="71"/>
      <c r="AB21" s="71"/>
      <c r="AC21" s="71"/>
      <c r="AD21" s="71"/>
      <c r="AE21" s="71"/>
      <c r="AF21" s="71"/>
      <c r="AG21" s="71"/>
    </row>
    <row r="22" customFormat="false" ht="15" hidden="false" customHeight="false" outlineLevel="0" collapsed="false">
      <c r="A22" s="256" t="n">
        <f aca="false">IF(Horodateur1123353819223134374346495255586164698522263438465058546266707478829098941021061141181101221261301341381421461501541581621661701741781821861901941982022062102144101418222630343842[[#This Row],[Jour]]="1- Lundi",$B$1+1, IF(Horodateur1123353819223134374346495255586164698522263438465058546266707478829098941021061141181101221261301341381421461501541581621661701741781821861901941982022062102144101418222630343842[[#This Row],[Jour]]="2- Mardi",$B$1+2, IF(Horodateur1123353819223134374346495255586164698522263438465058546266707478829098941021061141181101221261301341381421461501541581621661701741781821861901941982022062102144101418222630343842[[#This Row],[Jour]]="3- Mercredi",$B$1+3, IF(Horodateur1123353819223134374346495255586164698522263438465058546266707478829098941021061141181101221261301341381421461501541581621661701741781821861901941982022062102144101418222630343842[[#This Row],[Jour]]="4- Jeudi",$B$1+4, IF(Horodateur1123353819223134374346495255586164698522263438465058546266707478829098941021061141181101221261301341381421461501541581621661701741781821861901941982022062102144101418222630343842[[#This Row],[Jour]]="5- Vendredi",$B$1+5, IF(Horodateur1123353819223134374346495255586164698522263438465058546266707478829098941021061141181101221261301341381421461501541581621661701741781821861901941982022062102144101418222630343842[[#This Row],[Jour]]="6- Samedi",$B$1+6, IF(Horodateur1123353819223134374346495255586164698522263438465058546266707478829098941021061141181101221261301341381421461501541581621661701741781821861901941982022062102144101418222630343842[[#This Row],[Jour]]="7- Dimanche",$B$1, )))))))</f>
        <v>44272</v>
      </c>
      <c r="B22" s="257" t="s">
        <v>319</v>
      </c>
      <c r="C22" s="258" t="n">
        <v>0.677083333333333</v>
      </c>
      <c r="D22" s="258" t="n">
        <v>0.770833333333333</v>
      </c>
      <c r="E22" s="71" t="s">
        <v>363</v>
      </c>
      <c r="F22" s="71" t="s">
        <v>378</v>
      </c>
      <c r="G22" s="259" t="s">
        <v>520</v>
      </c>
      <c r="H22" s="258" t="n">
        <f aca="false">IF($C22=0,"",$D22-$C22)</f>
        <v>0.09375</v>
      </c>
      <c r="I22" s="260" t="n">
        <f aca="false">IF($C22=0,"",($H22-INT($H22))*24)</f>
        <v>2.25</v>
      </c>
      <c r="J22" s="303" t="n">
        <f aca="false">SUMIF(Horodateur1123353819223134374346495255586164698522263438465058546266707478829098941021061141181101221261301341381421461501541581621661701741781821861901941982022062102144101418222630343842[Jour],$B22,Horodateur1123353819223134374346495255586164698522263438465058546266707478829098941021061141181101221261301341381421461501541581621661701741781821861901941982022062102144101418222630343842[Durée (100)])</f>
        <v>9.25</v>
      </c>
      <c r="K22" s="335"/>
      <c r="L22" s="188" t="s">
        <v>31</v>
      </c>
      <c r="M22" s="272" t="n">
        <f aca="false">IF(Horodateur1123353819223134374346495255586164698522263438465058546266707478829098941021061141181101221261301341381421461501541581621661701741781821861901941982022062102144101418222630343842[[#This Row],[O]]="o",Horodateur1123353819223134374346495255586164698522263438465058546266707478829098941021061141181101221261301341381421461501541581621661701741781821861901941982022062102144101418222630343842[[#This Row],[Durée (100)]],".")</f>
        <v>2.25</v>
      </c>
      <c r="N22" s="187"/>
      <c r="O22" s="71"/>
      <c r="P22" s="71"/>
      <c r="Q22" s="71"/>
      <c r="R22" s="71"/>
      <c r="S22" s="71"/>
      <c r="T22" s="71"/>
      <c r="U22" s="71"/>
      <c r="V22" s="71"/>
      <c r="W22" s="71"/>
      <c r="X22" s="71"/>
      <c r="Y22" s="71"/>
      <c r="Z22" s="71"/>
      <c r="AA22" s="71"/>
      <c r="AB22" s="71"/>
      <c r="AC22" s="71"/>
      <c r="AD22" s="71"/>
      <c r="AE22" s="71"/>
      <c r="AF22" s="71"/>
      <c r="AG22" s="71"/>
    </row>
    <row r="23" customFormat="false" ht="15" hidden="false" customHeight="false" outlineLevel="0" collapsed="false">
      <c r="A23" s="256" t="n">
        <f aca="false">IF(Horodateur1123353819223134374346495255586164698522263438465058546266707478829098941021061141181101221261301341381421461501541581621661701741781821861901941982022062102144101418222630343842[[#This Row],[Jour]]="1- Lundi",$B$1+1, IF(Horodateur1123353819223134374346495255586164698522263438465058546266707478829098941021061141181101221261301341381421461501541581621661701741781821861901941982022062102144101418222630343842[[#This Row],[Jour]]="2- Mardi",$B$1+2, IF(Horodateur1123353819223134374346495255586164698522263438465058546266707478829098941021061141181101221261301341381421461501541581621661701741781821861901941982022062102144101418222630343842[[#This Row],[Jour]]="3- Mercredi",$B$1+3, IF(Horodateur1123353819223134374346495255586164698522263438465058546266707478829098941021061141181101221261301341381421461501541581621661701741781821861901941982022062102144101418222630343842[[#This Row],[Jour]]="4- Jeudi",$B$1+4, IF(Horodateur1123353819223134374346495255586164698522263438465058546266707478829098941021061141181101221261301341381421461501541581621661701741781821861901941982022062102144101418222630343842[[#This Row],[Jour]]="5- Vendredi",$B$1+5, IF(Horodateur1123353819223134374346495255586164698522263438465058546266707478829098941021061141181101221261301341381421461501541581621661701741781821861901941982022062102144101418222630343842[[#This Row],[Jour]]="6- Samedi",$B$1+6, IF(Horodateur1123353819223134374346495255586164698522263438465058546266707478829098941021061141181101221261301341381421461501541581621661701741781821861901941982022062102144101418222630343842[[#This Row],[Jour]]="7- Dimanche",$B$1, )))))))</f>
        <v>44273</v>
      </c>
      <c r="B23" s="257" t="s">
        <v>324</v>
      </c>
      <c r="C23" s="258" t="n">
        <v>0.322916666666667</v>
      </c>
      <c r="D23" s="258" t="n">
        <v>0.333333333333333</v>
      </c>
      <c r="E23" s="71" t="s">
        <v>32</v>
      </c>
      <c r="F23" s="71" t="s">
        <v>23</v>
      </c>
      <c r="G23" s="259"/>
      <c r="H23" s="258" t="n">
        <f aca="false">IF($C23=0,"",$D23-$C23)</f>
        <v>0.0104166666666667</v>
      </c>
      <c r="I23" s="260" t="n">
        <f aca="false">IF($C23=0,"",($H23-INT($H23))*24)</f>
        <v>0.25</v>
      </c>
      <c r="J23" s="303" t="n">
        <f aca="false">SUMIF(Horodateur1123353819223134374346495255586164698522263438465058546266707478829098941021061141181101221261301341381421461501541581621661701741781821861901941982022062102144101418222630343842[Jour],$B23,Horodateur1123353819223134374346495255586164698522263438465058546266707478829098941021061141181101221261301341381421461501541581621661701741781821861901941982022062102144101418222630343842[Durée (100)])</f>
        <v>8.75</v>
      </c>
      <c r="K23" s="335"/>
      <c r="L23" s="188" t="s">
        <v>31</v>
      </c>
      <c r="M23" s="272" t="n">
        <f aca="false">IF(Horodateur1123353819223134374346495255586164698522263438465058546266707478829098941021061141181101221261301341381421461501541581621661701741781821861901941982022062102144101418222630343842[[#This Row],[O]]="o",Horodateur1123353819223134374346495255586164698522263438465058546266707478829098941021061141181101221261301341381421461501541581621661701741781821861901941982022062102144101418222630343842[[#This Row],[Durée (100)]],".")</f>
        <v>0.249999999999999</v>
      </c>
      <c r="N23" s="187"/>
      <c r="O23" s="71"/>
      <c r="P23" s="71"/>
      <c r="Q23" s="71"/>
      <c r="R23" s="71"/>
      <c r="S23" s="71"/>
      <c r="T23" s="71"/>
      <c r="U23" s="71"/>
      <c r="V23" s="71"/>
      <c r="W23" s="71"/>
      <c r="X23" s="71"/>
      <c r="Y23" s="71"/>
      <c r="Z23" s="71"/>
      <c r="AA23" s="71"/>
      <c r="AB23" s="71"/>
      <c r="AC23" s="71"/>
      <c r="AD23" s="71"/>
      <c r="AE23" s="71"/>
      <c r="AF23" s="71"/>
      <c r="AG23" s="71"/>
    </row>
    <row r="24" customFormat="false" ht="15" hidden="false" customHeight="false" outlineLevel="0" collapsed="false">
      <c r="A24" s="256" t="n">
        <f aca="false">IF(Horodateur1123353819223134374346495255586164698522263438465058546266707478829098941021061141181101221261301341381421461501541581621661701741781821861901941982022062102144101418222630343842[[#This Row],[Jour]]="1- Lundi",$B$1+1, IF(Horodateur1123353819223134374346495255586164698522263438465058546266707478829098941021061141181101221261301341381421461501541581621661701741781821861901941982022062102144101418222630343842[[#This Row],[Jour]]="2- Mardi",$B$1+2, IF(Horodateur1123353819223134374346495255586164698522263438465058546266707478829098941021061141181101221261301341381421461501541581621661701741781821861901941982022062102144101418222630343842[[#This Row],[Jour]]="3- Mercredi",$B$1+3, IF(Horodateur1123353819223134374346495255586164698522263438465058546266707478829098941021061141181101221261301341381421461501541581621661701741781821861901941982022062102144101418222630343842[[#This Row],[Jour]]="4- Jeudi",$B$1+4, IF(Horodateur1123353819223134374346495255586164698522263438465058546266707478829098941021061141181101221261301341381421461501541581621661701741781821861901941982022062102144101418222630343842[[#This Row],[Jour]]="5- Vendredi",$B$1+5, IF(Horodateur1123353819223134374346495255586164698522263438465058546266707478829098941021061141181101221261301341381421461501541581621661701741781821861901941982022062102144101418222630343842[[#This Row],[Jour]]="6- Samedi",$B$1+6, IF(Horodateur1123353819223134374346495255586164698522263438465058546266707478829098941021061141181101221261301341381421461501541581621661701741781821861901941982022062102144101418222630343842[[#This Row],[Jour]]="7- Dimanche",$B$1, )))))))</f>
        <v>44273</v>
      </c>
      <c r="B24" s="257" t="s">
        <v>324</v>
      </c>
      <c r="C24" s="258" t="n">
        <v>0.333333333333333</v>
      </c>
      <c r="D24" s="258" t="n">
        <v>0.354166666666667</v>
      </c>
      <c r="E24" s="71" t="s">
        <v>63</v>
      </c>
      <c r="F24" s="71" t="s">
        <v>378</v>
      </c>
      <c r="G24" s="259" t="s">
        <v>521</v>
      </c>
      <c r="H24" s="258" t="n">
        <f aca="false">IF($C24=0,"",$D24-$C24)</f>
        <v>0.0208333333333334</v>
      </c>
      <c r="I24" s="260" t="n">
        <f aca="false">IF($C24=0,"",($H24-INT($H24))*24)</f>
        <v>0.500000000000001</v>
      </c>
      <c r="J24" s="303" t="n">
        <f aca="false">SUMIF(Horodateur1123353819223134374346495255586164698522263438465058546266707478829098941021061141181101221261301341381421461501541581621661701741781821861901941982022062102144101418222630343842[Jour],$B24,Horodateur1123353819223134374346495255586164698522263438465058546266707478829098941021061141181101221261301341381421461501541581621661701741781821861901941982022062102144101418222630343842[Durée (100)])</f>
        <v>8.75</v>
      </c>
      <c r="K24" s="335"/>
      <c r="L24" s="188" t="s">
        <v>31</v>
      </c>
      <c r="M24" s="272" t="n">
        <f aca="false">IF(Horodateur1123353819223134374346495255586164698522263438465058546266707478829098941021061141181101221261301341381421461501541581621661701741781821861901941982022062102144101418222630343842[[#This Row],[O]]="o",Horodateur1123353819223134374346495255586164698522263438465058546266707478829098941021061141181101221261301341381421461501541581621661701741781821861901941982022062102144101418222630343842[[#This Row],[Durée (100)]],".")</f>
        <v>0.500000000000001</v>
      </c>
      <c r="N24" s="187"/>
      <c r="O24" s="71"/>
      <c r="P24" s="71"/>
      <c r="Q24" s="71"/>
      <c r="R24" s="71"/>
      <c r="S24" s="71"/>
      <c r="T24" s="71"/>
      <c r="U24" s="71"/>
      <c r="V24" s="71"/>
      <c r="W24" s="71"/>
      <c r="X24" s="71"/>
      <c r="Y24" s="71"/>
      <c r="Z24" s="71"/>
      <c r="AA24" s="71"/>
      <c r="AB24" s="71"/>
      <c r="AC24" s="71"/>
      <c r="AD24" s="71"/>
      <c r="AE24" s="71"/>
      <c r="AF24" s="71"/>
      <c r="AG24" s="71"/>
    </row>
    <row r="25" customFormat="false" ht="15" hidden="false" customHeight="false" outlineLevel="0" collapsed="false">
      <c r="A25" s="256" t="n">
        <f aca="false">IF(Horodateur1123353819223134374346495255586164698522263438465058546266707478829098941021061141181101221261301341381421461501541581621661701741781821861901941982022062102144101418222630343842[[#This Row],[Jour]]="1- Lundi",$B$1+1, IF(Horodateur1123353819223134374346495255586164698522263438465058546266707478829098941021061141181101221261301341381421461501541581621661701741781821861901941982022062102144101418222630343842[[#This Row],[Jour]]="2- Mardi",$B$1+2, IF(Horodateur1123353819223134374346495255586164698522263438465058546266707478829098941021061141181101221261301341381421461501541581621661701741781821861901941982022062102144101418222630343842[[#This Row],[Jour]]="3- Mercredi",$B$1+3, IF(Horodateur1123353819223134374346495255586164698522263438465058546266707478829098941021061141181101221261301341381421461501541581621661701741781821861901941982022062102144101418222630343842[[#This Row],[Jour]]="4- Jeudi",$B$1+4, IF(Horodateur1123353819223134374346495255586164698522263438465058546266707478829098941021061141181101221261301341381421461501541581621661701741781821861901941982022062102144101418222630343842[[#This Row],[Jour]]="5- Vendredi",$B$1+5, IF(Horodateur1123353819223134374346495255586164698522263438465058546266707478829098941021061141181101221261301341381421461501541581621661701741781821861901941982022062102144101418222630343842[[#This Row],[Jour]]="6- Samedi",$B$1+6, IF(Horodateur1123353819223134374346495255586164698522263438465058546266707478829098941021061141181101221261301341381421461501541581621661701741781821861901941982022062102144101418222630343842[[#This Row],[Jour]]="7- Dimanche",$B$1, )))))))</f>
        <v>44273</v>
      </c>
      <c r="B25" s="257" t="s">
        <v>324</v>
      </c>
      <c r="C25" s="258" t="n">
        <v>0.354166666666667</v>
      </c>
      <c r="D25" s="258" t="n">
        <v>0.375</v>
      </c>
      <c r="E25" s="71" t="s">
        <v>32</v>
      </c>
      <c r="F25" s="71" t="s">
        <v>23</v>
      </c>
      <c r="G25" s="259" t="s">
        <v>522</v>
      </c>
      <c r="H25" s="258" t="n">
        <f aca="false">IF($C25=0,"",$D25-$C25)</f>
        <v>0.0208333333333333</v>
      </c>
      <c r="I25" s="260" t="n">
        <f aca="false">IF($C25=0,"",($H25-INT($H25))*24)</f>
        <v>0.5</v>
      </c>
      <c r="J25" s="303" t="n">
        <f aca="false">SUMIF(Horodateur1123353819223134374346495255586164698522263438465058546266707478829098941021061141181101221261301341381421461501541581621661701741781821861901941982022062102144101418222630343842[Jour],$B25,Horodateur1123353819223134374346495255586164698522263438465058546266707478829098941021061141181101221261301341381421461501541581621661701741781821861901941982022062102144101418222630343842[Durée (100)])</f>
        <v>8.75</v>
      </c>
      <c r="K25" s="335"/>
      <c r="L25" s="188" t="s">
        <v>31</v>
      </c>
      <c r="M25" s="272" t="n">
        <f aca="false">IF(Horodateur1123353819223134374346495255586164698522263438465058546266707478829098941021061141181101221261301341381421461501541581621661701741781821861901941982022062102144101418222630343842[[#This Row],[O]]="o",Horodateur1123353819223134374346495255586164698522263438465058546266707478829098941021061141181101221261301341381421461501541581621661701741781821861901941982022062102144101418222630343842[[#This Row],[Durée (100)]],".")</f>
        <v>0.5</v>
      </c>
      <c r="N25" s="187"/>
      <c r="O25" s="71"/>
      <c r="P25" s="71"/>
      <c r="Q25" s="71"/>
      <c r="R25" s="71"/>
      <c r="S25" s="71"/>
      <c r="T25" s="71"/>
      <c r="U25" s="71"/>
      <c r="V25" s="71"/>
      <c r="W25" s="71"/>
      <c r="X25" s="71"/>
      <c r="Y25" s="71"/>
      <c r="Z25" s="71"/>
      <c r="AA25" s="71"/>
      <c r="AB25" s="71"/>
      <c r="AC25" s="71"/>
      <c r="AD25" s="71"/>
      <c r="AE25" s="71"/>
      <c r="AF25" s="71"/>
      <c r="AG25" s="71"/>
    </row>
    <row r="26" customFormat="false" ht="15" hidden="false" customHeight="false" outlineLevel="0" collapsed="false">
      <c r="A26" s="256" t="n">
        <f aca="false">IF(Horodateur1123353819223134374346495255586164698522263438465058546266707478829098941021061141181101221261301341381421461501541581621661701741781821861901941982022062102144101418222630343842[[#This Row],[Jour]]="1- Lundi",$B$1+1, IF(Horodateur1123353819223134374346495255586164698522263438465058546266707478829098941021061141181101221261301341381421461501541581621661701741781821861901941982022062102144101418222630343842[[#This Row],[Jour]]="2- Mardi",$B$1+2, IF(Horodateur1123353819223134374346495255586164698522263438465058546266707478829098941021061141181101221261301341381421461501541581621661701741781821861901941982022062102144101418222630343842[[#This Row],[Jour]]="3- Mercredi",$B$1+3, IF(Horodateur1123353819223134374346495255586164698522263438465058546266707478829098941021061141181101221261301341381421461501541581621661701741781821861901941982022062102144101418222630343842[[#This Row],[Jour]]="4- Jeudi",$B$1+4, IF(Horodateur1123353819223134374346495255586164698522263438465058546266707478829098941021061141181101221261301341381421461501541581621661701741781821861901941982022062102144101418222630343842[[#This Row],[Jour]]="5- Vendredi",$B$1+5, IF(Horodateur1123353819223134374346495255586164698522263438465058546266707478829098941021061141181101221261301341381421461501541581621661701741781821861901941982022062102144101418222630343842[[#This Row],[Jour]]="6- Samedi",$B$1+6, IF(Horodateur1123353819223134374346495255586164698522263438465058546266707478829098941021061141181101221261301341381421461501541581621661701741781821861901941982022062102144101418222630343842[[#This Row],[Jour]]="7- Dimanche",$B$1, )))))))</f>
        <v>44273</v>
      </c>
      <c r="B26" s="257" t="s">
        <v>324</v>
      </c>
      <c r="C26" s="258" t="n">
        <v>0.375</v>
      </c>
      <c r="D26" s="258" t="n">
        <v>0.479166666666667</v>
      </c>
      <c r="E26" s="71" t="s">
        <v>63</v>
      </c>
      <c r="F26" s="71" t="s">
        <v>408</v>
      </c>
      <c r="G26" s="259" t="s">
        <v>523</v>
      </c>
      <c r="H26" s="258" t="n">
        <f aca="false">IF($C26=0,"",$D26-$C26)</f>
        <v>0.104166666666667</v>
      </c>
      <c r="I26" s="260" t="n">
        <f aca="false">IF($C26=0,"",($H26-INT($H26))*24)</f>
        <v>2.5</v>
      </c>
      <c r="J26" s="303" t="n">
        <f aca="false">SUMIF(Horodateur1123353819223134374346495255586164698522263438465058546266707478829098941021061141181101221261301341381421461501541581621661701741781821861901941982022062102144101418222630343842[Jour],$B26,Horodateur1123353819223134374346495255586164698522263438465058546266707478829098941021061141181101221261301341381421461501541581621661701741781821861901941982022062102144101418222630343842[Durée (100)])</f>
        <v>8.75</v>
      </c>
      <c r="K26" s="335"/>
      <c r="L26" s="188" t="s">
        <v>31</v>
      </c>
      <c r="M26" s="272" t="n">
        <f aca="false">IF(Horodateur1123353819223134374346495255586164698522263438465058546266707478829098941021061141181101221261301341381421461501541581621661701741781821861901941982022062102144101418222630343842[[#This Row],[O]]="o",Horodateur1123353819223134374346495255586164698522263438465058546266707478829098941021061141181101221261301341381421461501541581621661701741781821861901941982022062102144101418222630343842[[#This Row],[Durée (100)]],".")</f>
        <v>2.5</v>
      </c>
      <c r="N26" s="187"/>
      <c r="O26" s="71"/>
      <c r="P26" s="71"/>
      <c r="Q26" s="71"/>
      <c r="R26" s="71"/>
      <c r="S26" s="71"/>
      <c r="T26" s="71"/>
      <c r="U26" s="71"/>
      <c r="V26" s="71"/>
      <c r="W26" s="71"/>
      <c r="X26" s="71"/>
      <c r="Y26" s="71"/>
      <c r="Z26" s="71"/>
      <c r="AA26" s="71"/>
      <c r="AB26" s="71"/>
      <c r="AC26" s="71"/>
      <c r="AD26" s="71"/>
      <c r="AE26" s="71"/>
      <c r="AF26" s="71"/>
      <c r="AG26" s="71"/>
    </row>
    <row r="27" customFormat="false" ht="15" hidden="false" customHeight="false" outlineLevel="0" collapsed="false">
      <c r="A27" s="256" t="n">
        <f aca="false">IF(Horodateur1123353819223134374346495255586164698522263438465058546266707478829098941021061141181101221261301341381421461501541581621661701741781821861901941982022062102144101418222630343842[[#This Row],[Jour]]="1- Lundi",$B$1+1, IF(Horodateur1123353819223134374346495255586164698522263438465058546266707478829098941021061141181101221261301341381421461501541581621661701741781821861901941982022062102144101418222630343842[[#This Row],[Jour]]="2- Mardi",$B$1+2, IF(Horodateur1123353819223134374346495255586164698522263438465058546266707478829098941021061141181101221261301341381421461501541581621661701741781821861901941982022062102144101418222630343842[[#This Row],[Jour]]="3- Mercredi",$B$1+3, IF(Horodateur1123353819223134374346495255586164698522263438465058546266707478829098941021061141181101221261301341381421461501541581621661701741781821861901941982022062102144101418222630343842[[#This Row],[Jour]]="4- Jeudi",$B$1+4, IF(Horodateur1123353819223134374346495255586164698522263438465058546266707478829098941021061141181101221261301341381421461501541581621661701741781821861901941982022062102144101418222630343842[[#This Row],[Jour]]="5- Vendredi",$B$1+5, IF(Horodateur1123353819223134374346495255586164698522263438465058546266707478829098941021061141181101221261301341381421461501541581621661701741781821861901941982022062102144101418222630343842[[#This Row],[Jour]]="6- Samedi",$B$1+6, IF(Horodateur1123353819223134374346495255586164698522263438465058546266707478829098941021061141181101221261301341381421461501541581621661701741781821861901941982022062102144101418222630343842[[#This Row],[Jour]]="7- Dimanche",$B$1, )))))))</f>
        <v>44273</v>
      </c>
      <c r="B27" s="257" t="s">
        <v>324</v>
      </c>
      <c r="C27" s="258" t="n">
        <v>0.479166666666667</v>
      </c>
      <c r="D27" s="258" t="n">
        <v>0.5</v>
      </c>
      <c r="E27" s="71" t="s">
        <v>363</v>
      </c>
      <c r="F27" s="71" t="s">
        <v>378</v>
      </c>
      <c r="G27" s="259" t="s">
        <v>520</v>
      </c>
      <c r="H27" s="258" t="n">
        <f aca="false">IF($C27=0,"",$D27-$C27)</f>
        <v>0.0208333333333333</v>
      </c>
      <c r="I27" s="260" t="n">
        <f aca="false">IF($C27=0,"",($H27-INT($H27))*24)</f>
        <v>0.5</v>
      </c>
      <c r="J27" s="303" t="n">
        <f aca="false">SUMIF(Horodateur1123353819223134374346495255586164698522263438465058546266707478829098941021061141181101221261301341381421461501541581621661701741781821861901941982022062102144101418222630343842[Jour],$B27,Horodateur1123353819223134374346495255586164698522263438465058546266707478829098941021061141181101221261301341381421461501541581621661701741781821861901941982022062102144101418222630343842[Durée (100)])</f>
        <v>8.75</v>
      </c>
      <c r="K27" s="335"/>
      <c r="L27" s="188" t="s">
        <v>31</v>
      </c>
      <c r="M27" s="272" t="n">
        <f aca="false">IF(Horodateur1123353819223134374346495255586164698522263438465058546266707478829098941021061141181101221261301341381421461501541581621661701741781821861901941982022062102144101418222630343842[[#This Row],[O]]="o",Horodateur1123353819223134374346495255586164698522263438465058546266707478829098941021061141181101221261301341381421461501541581621661701741781821861901941982022062102144101418222630343842[[#This Row],[Durée (100)]],".")</f>
        <v>0.5</v>
      </c>
      <c r="N27" s="187"/>
      <c r="O27" s="71"/>
      <c r="P27" s="71"/>
      <c r="Q27" s="71"/>
      <c r="R27" s="71"/>
      <c r="S27" s="71"/>
      <c r="T27" s="71"/>
      <c r="U27" s="71"/>
      <c r="V27" s="71"/>
      <c r="W27" s="71"/>
      <c r="X27" s="71"/>
      <c r="Y27" s="71"/>
      <c r="Z27" s="71"/>
      <c r="AA27" s="71"/>
      <c r="AB27" s="71"/>
      <c r="AC27" s="71"/>
      <c r="AD27" s="71"/>
      <c r="AE27" s="71"/>
      <c r="AF27" s="71"/>
      <c r="AG27" s="71"/>
    </row>
    <row r="28" customFormat="false" ht="15" hidden="false" customHeight="false" outlineLevel="0" collapsed="false">
      <c r="A28" s="256" t="n">
        <f aca="false">IF(Horodateur1123353819223134374346495255586164698522263438465058546266707478829098941021061141181101221261301341381421461501541581621661701741781821861901941982022062102144101418222630343842[[#This Row],[Jour]]="1- Lundi",$B$1+1, IF(Horodateur1123353819223134374346495255586164698522263438465058546266707478829098941021061141181101221261301341381421461501541581621661701741781821861901941982022062102144101418222630343842[[#This Row],[Jour]]="2- Mardi",$B$1+2, IF(Horodateur1123353819223134374346495255586164698522263438465058546266707478829098941021061141181101221261301341381421461501541581621661701741781821861901941982022062102144101418222630343842[[#This Row],[Jour]]="3- Mercredi",$B$1+3, IF(Horodateur1123353819223134374346495255586164698522263438465058546266707478829098941021061141181101221261301341381421461501541581621661701741781821861901941982022062102144101418222630343842[[#This Row],[Jour]]="4- Jeudi",$B$1+4, IF(Horodateur1123353819223134374346495255586164698522263438465058546266707478829098941021061141181101221261301341381421461501541581621661701741781821861901941982022062102144101418222630343842[[#This Row],[Jour]]="5- Vendredi",$B$1+5, IF(Horodateur1123353819223134374346495255586164698522263438465058546266707478829098941021061141181101221261301341381421461501541581621661701741781821861901941982022062102144101418222630343842[[#This Row],[Jour]]="6- Samedi",$B$1+6, IF(Horodateur1123353819223134374346495255586164698522263438465058546266707478829098941021061141181101221261301341381421461501541581621661701741781821861901941982022062102144101418222630343842[[#This Row],[Jour]]="7- Dimanche",$B$1, )))))))</f>
        <v>44273</v>
      </c>
      <c r="B28" s="257" t="s">
        <v>324</v>
      </c>
      <c r="C28" s="258" t="n">
        <v>0.5625</v>
      </c>
      <c r="D28" s="258" t="n">
        <v>0.625</v>
      </c>
      <c r="E28" s="71" t="s">
        <v>363</v>
      </c>
      <c r="F28" s="71" t="s">
        <v>378</v>
      </c>
      <c r="G28" s="259" t="s">
        <v>520</v>
      </c>
      <c r="H28" s="258" t="n">
        <f aca="false">IF($C28=0,"",$D28-$C28)</f>
        <v>0.0625</v>
      </c>
      <c r="I28" s="260" t="n">
        <f aca="false">IF($C28=0,"",($H28-INT($H28))*24)</f>
        <v>1.5</v>
      </c>
      <c r="J28" s="303" t="n">
        <f aca="false">SUMIF(Horodateur1123353819223134374346495255586164698522263438465058546266707478829098941021061141181101221261301341381421461501541581621661701741781821861901941982022062102144101418222630343842[Jour],$B28,Horodateur1123353819223134374346495255586164698522263438465058546266707478829098941021061141181101221261301341381421461501541581621661701741781821861901941982022062102144101418222630343842[Durée (100)])</f>
        <v>8.75</v>
      </c>
      <c r="K28" s="335"/>
      <c r="L28" s="188" t="s">
        <v>31</v>
      </c>
      <c r="M28" s="272" t="n">
        <f aca="false">IF(Horodateur1123353819223134374346495255586164698522263438465058546266707478829098941021061141181101221261301341381421461501541581621661701741781821861901941982022062102144101418222630343842[[#This Row],[O]]="o",Horodateur1123353819223134374346495255586164698522263438465058546266707478829098941021061141181101221261301341381421461501541581621661701741781821861901941982022062102144101418222630343842[[#This Row],[Durée (100)]],".")</f>
        <v>1.5</v>
      </c>
      <c r="N28" s="187"/>
      <c r="O28" s="71"/>
      <c r="P28" s="71"/>
      <c r="Q28" s="71"/>
      <c r="R28" s="71"/>
      <c r="S28" s="71"/>
      <c r="T28" s="71"/>
      <c r="U28" s="71"/>
      <c r="V28" s="71"/>
      <c r="W28" s="71"/>
      <c r="X28" s="71"/>
      <c r="Y28" s="71"/>
      <c r="Z28" s="71"/>
      <c r="AA28" s="71"/>
      <c r="AB28" s="71"/>
      <c r="AC28" s="71"/>
      <c r="AD28" s="71"/>
      <c r="AE28" s="71"/>
      <c r="AF28" s="71"/>
      <c r="AG28" s="71"/>
    </row>
    <row r="29" customFormat="false" ht="15" hidden="false" customHeight="false" outlineLevel="0" collapsed="false">
      <c r="A29" s="256" t="n">
        <f aca="false">IF(Horodateur1123353819223134374346495255586164698522263438465058546266707478829098941021061141181101221261301341381421461501541581621661701741781821861901941982022062102144101418222630343842[[#This Row],[Jour]]="1- Lundi",$B$1+1, IF(Horodateur1123353819223134374346495255586164698522263438465058546266707478829098941021061141181101221261301341381421461501541581621661701741781821861901941982022062102144101418222630343842[[#This Row],[Jour]]="2- Mardi",$B$1+2, IF(Horodateur1123353819223134374346495255586164698522263438465058546266707478829098941021061141181101221261301341381421461501541581621661701741781821861901941982022062102144101418222630343842[[#This Row],[Jour]]="3- Mercredi",$B$1+3, IF(Horodateur1123353819223134374346495255586164698522263438465058546266707478829098941021061141181101221261301341381421461501541581621661701741781821861901941982022062102144101418222630343842[[#This Row],[Jour]]="4- Jeudi",$B$1+4, IF(Horodateur1123353819223134374346495255586164698522263438465058546266707478829098941021061141181101221261301341381421461501541581621661701741781821861901941982022062102144101418222630343842[[#This Row],[Jour]]="5- Vendredi",$B$1+5, IF(Horodateur1123353819223134374346495255586164698522263438465058546266707478829098941021061141181101221261301341381421461501541581621661701741781821861901941982022062102144101418222630343842[[#This Row],[Jour]]="6- Samedi",$B$1+6, IF(Horodateur1123353819223134374346495255586164698522263438465058546266707478829098941021061141181101221261301341381421461501541581621661701741781821861901941982022062102144101418222630343842[[#This Row],[Jour]]="7- Dimanche",$B$1, )))))))</f>
        <v>44273</v>
      </c>
      <c r="B29" s="257" t="s">
        <v>324</v>
      </c>
      <c r="C29" s="258" t="n">
        <v>0.625</v>
      </c>
      <c r="D29" s="258" t="n">
        <v>0.75</v>
      </c>
      <c r="E29" s="71" t="s">
        <v>63</v>
      </c>
      <c r="F29" s="71" t="s">
        <v>378</v>
      </c>
      <c r="G29" s="259"/>
      <c r="H29" s="258" t="n">
        <f aca="false">IF($C29=0,"",$D29-$C29)</f>
        <v>0.125</v>
      </c>
      <c r="I29" s="260" t="n">
        <f aca="false">IF($C29=0,"",($H29-INT($H29))*24)</f>
        <v>3</v>
      </c>
      <c r="J29" s="303" t="n">
        <f aca="false">SUMIF(Horodateur1123353819223134374346495255586164698522263438465058546266707478829098941021061141181101221261301341381421461501541581621661701741781821861901941982022062102144101418222630343842[Jour],$B29,Horodateur1123353819223134374346495255586164698522263438465058546266707478829098941021061141181101221261301341381421461501541581621661701741781821861901941982022062102144101418222630343842[Durée (100)])</f>
        <v>8.75</v>
      </c>
      <c r="K29" s="335"/>
      <c r="L29" s="188" t="s">
        <v>31</v>
      </c>
      <c r="M29" s="272" t="n">
        <f aca="false">IF(Horodateur1123353819223134374346495255586164698522263438465058546266707478829098941021061141181101221261301341381421461501541581621661701741781821861901941982022062102144101418222630343842[[#This Row],[O]]="o",Horodateur1123353819223134374346495255586164698522263438465058546266707478829098941021061141181101221261301341381421461501541581621661701741781821861901941982022062102144101418222630343842[[#This Row],[Durée (100)]],".")</f>
        <v>3</v>
      </c>
      <c r="N29" s="187"/>
      <c r="O29" s="71"/>
      <c r="P29" s="71"/>
      <c r="Q29" s="71"/>
      <c r="R29" s="71"/>
      <c r="S29" s="71"/>
      <c r="T29" s="71"/>
      <c r="U29" s="71"/>
      <c r="V29" s="71"/>
      <c r="W29" s="71"/>
      <c r="X29" s="71"/>
      <c r="Y29" s="71"/>
      <c r="Z29" s="71"/>
      <c r="AA29" s="71"/>
      <c r="AB29" s="71"/>
      <c r="AC29" s="71"/>
      <c r="AD29" s="71"/>
      <c r="AE29" s="71"/>
      <c r="AF29" s="71"/>
      <c r="AG29" s="71"/>
    </row>
    <row r="30" customFormat="false" ht="15" hidden="false" customHeight="false" outlineLevel="0" collapsed="false">
      <c r="A30" s="256" t="n">
        <f aca="false">IF(Horodateur1123353819223134374346495255586164698522263438465058546266707478829098941021061141181101221261301341381421461501541581621661701741781821861901941982022062102144101418222630343842[[#This Row],[Jour]]="1- Lundi",$B$1+1, IF(Horodateur1123353819223134374346495255586164698522263438465058546266707478829098941021061141181101221261301341381421461501541581621661701741781821861901941982022062102144101418222630343842[[#This Row],[Jour]]="2- Mardi",$B$1+2, IF(Horodateur1123353819223134374346495255586164698522263438465058546266707478829098941021061141181101221261301341381421461501541581621661701741781821861901941982022062102144101418222630343842[[#This Row],[Jour]]="3- Mercredi",$B$1+3, IF(Horodateur1123353819223134374346495255586164698522263438465058546266707478829098941021061141181101221261301341381421461501541581621661701741781821861901941982022062102144101418222630343842[[#This Row],[Jour]]="4- Jeudi",$B$1+4, IF(Horodateur1123353819223134374346495255586164698522263438465058546266707478829098941021061141181101221261301341381421461501541581621661701741781821861901941982022062102144101418222630343842[[#This Row],[Jour]]="5- Vendredi",$B$1+5, IF(Horodateur1123353819223134374346495255586164698522263438465058546266707478829098941021061141181101221261301341381421461501541581621661701741781821861901941982022062102144101418222630343842[[#This Row],[Jour]]="6- Samedi",$B$1+6, IF(Horodateur1123353819223134374346495255586164698522263438465058546266707478829098941021061141181101221261301341381421461501541581621661701741781821861901941982022062102144101418222630343842[[#This Row],[Jour]]="7- Dimanche",$B$1, )))))))</f>
        <v>44274</v>
      </c>
      <c r="B30" s="257" t="s">
        <v>332</v>
      </c>
      <c r="C30" s="258" t="n">
        <v>0.34375</v>
      </c>
      <c r="D30" s="258" t="n">
        <v>0.354166666666667</v>
      </c>
      <c r="E30" s="71" t="s">
        <v>32</v>
      </c>
      <c r="F30" s="71" t="s">
        <v>21</v>
      </c>
      <c r="G30" s="259"/>
      <c r="H30" s="258" t="n">
        <f aca="false">IF($C30=0,"",$D30-$C30)</f>
        <v>0.0104166666666667</v>
      </c>
      <c r="I30" s="260" t="n">
        <f aca="false">IF($C30=0,"",($H30-INT($H30))*24)</f>
        <v>0.25</v>
      </c>
      <c r="J30" s="303" t="n">
        <f aca="false">SUMIF(Horodateur1123353819223134374346495255586164698522263438465058546266707478829098941021061141181101221261301341381421461501541581621661701741781821861901941982022062102144101418222630343842[Jour],$B30,Horodateur1123353819223134374346495255586164698522263438465058546266707478829098941021061141181101221261301341381421461501541581621661701741781821861901941982022062102144101418222630343842[Durée (100)])</f>
        <v>7.25</v>
      </c>
      <c r="K30" s="335"/>
      <c r="L30" s="188" t="s">
        <v>31</v>
      </c>
      <c r="M30" s="272" t="n">
        <f aca="false">IF(Horodateur1123353819223134374346495255586164698522263438465058546266707478829098941021061141181101221261301341381421461501541581621661701741781821861901941982022062102144101418222630343842[[#This Row],[O]]="o",Horodateur1123353819223134374346495255586164698522263438465058546266707478829098941021061141181101221261301341381421461501541581621661701741781821861901941982022062102144101418222630343842[[#This Row],[Durée (100)]],".")</f>
        <v>0.25</v>
      </c>
      <c r="N30" s="187"/>
      <c r="O30" s="71"/>
      <c r="P30" s="71"/>
      <c r="Q30" s="71"/>
      <c r="R30" s="71"/>
      <c r="S30" s="71"/>
      <c r="T30" s="71"/>
      <c r="U30" s="71"/>
      <c r="V30" s="71"/>
      <c r="W30" s="71"/>
      <c r="X30" s="71"/>
      <c r="Y30" s="71"/>
      <c r="Z30" s="71"/>
      <c r="AA30" s="71"/>
      <c r="AB30" s="71"/>
      <c r="AC30" s="71"/>
      <c r="AD30" s="71"/>
      <c r="AE30" s="71"/>
      <c r="AF30" s="71"/>
      <c r="AG30" s="71"/>
    </row>
    <row r="31" customFormat="false" ht="15" hidden="false" customHeight="false" outlineLevel="0" collapsed="false">
      <c r="A31" s="256" t="n">
        <f aca="false">IF(Horodateur1123353819223134374346495255586164698522263438465058546266707478829098941021061141181101221261301341381421461501541581621661701741781821861901941982022062102144101418222630343842[[#This Row],[Jour]]="1- Lundi",$B$1+1, IF(Horodateur1123353819223134374346495255586164698522263438465058546266707478829098941021061141181101221261301341381421461501541581621661701741781821861901941982022062102144101418222630343842[[#This Row],[Jour]]="2- Mardi",$B$1+2, IF(Horodateur1123353819223134374346495255586164698522263438465058546266707478829098941021061141181101221261301341381421461501541581621661701741781821861901941982022062102144101418222630343842[[#This Row],[Jour]]="3- Mercredi",$B$1+3, IF(Horodateur1123353819223134374346495255586164698522263438465058546266707478829098941021061141181101221261301341381421461501541581621661701741781821861901941982022062102144101418222630343842[[#This Row],[Jour]]="4- Jeudi",$B$1+4, IF(Horodateur1123353819223134374346495255586164698522263438465058546266707478829098941021061141181101221261301341381421461501541581621661701741781821861901941982022062102144101418222630343842[[#This Row],[Jour]]="5- Vendredi",$B$1+5, IF(Horodateur1123353819223134374346495255586164698522263438465058546266707478829098941021061141181101221261301341381421461501541581621661701741781821861901941982022062102144101418222630343842[[#This Row],[Jour]]="6- Samedi",$B$1+6, IF(Horodateur1123353819223134374346495255586164698522263438465058546266707478829098941021061141181101221261301341381421461501541581621661701741781821861901941982022062102144101418222630343842[[#This Row],[Jour]]="7- Dimanche",$B$1, )))))))</f>
        <v>44274</v>
      </c>
      <c r="B31" s="257" t="s">
        <v>332</v>
      </c>
      <c r="C31" s="258" t="n">
        <v>0.354166666666667</v>
      </c>
      <c r="D31" s="258" t="n">
        <v>0.395833333333333</v>
      </c>
      <c r="E31" s="71" t="s">
        <v>363</v>
      </c>
      <c r="F31" s="71" t="s">
        <v>378</v>
      </c>
      <c r="G31" s="259" t="s">
        <v>524</v>
      </c>
      <c r="H31" s="258" t="n">
        <f aca="false">IF($C31=0,"",$D31-$C31)</f>
        <v>0.0416666666666667</v>
      </c>
      <c r="I31" s="260" t="n">
        <f aca="false">IF($C31=0,"",($H31-INT($H31))*24)</f>
        <v>1</v>
      </c>
      <c r="J31" s="303" t="n">
        <f aca="false">SUMIF(Horodateur1123353819223134374346495255586164698522263438465058546266707478829098941021061141181101221261301341381421461501541581621661701741781821861901941982022062102144101418222630343842[Jour],$B31,Horodateur1123353819223134374346495255586164698522263438465058546266707478829098941021061141181101221261301341381421461501541581621661701741781821861901941982022062102144101418222630343842[Durée (100)])</f>
        <v>7.25</v>
      </c>
      <c r="K31" s="335"/>
      <c r="L31" s="188" t="s">
        <v>31</v>
      </c>
      <c r="M31" s="272" t="n">
        <f aca="false">IF(Horodateur1123353819223134374346495255586164698522263438465058546266707478829098941021061141181101221261301341381421461501541581621661701741781821861901941982022062102144101418222630343842[[#This Row],[O]]="o",Horodateur1123353819223134374346495255586164698522263438465058546266707478829098941021061141181101221261301341381421461501541581621661701741781821861901941982022062102144101418222630343842[[#This Row],[Durée (100)]],".")</f>
        <v>0.999999999999999</v>
      </c>
      <c r="N31" s="187"/>
      <c r="O31" s="71"/>
      <c r="P31" s="71"/>
      <c r="Q31" s="71"/>
      <c r="R31" s="71"/>
      <c r="S31" s="71"/>
      <c r="T31" s="71"/>
      <c r="U31" s="71"/>
      <c r="V31" s="71"/>
      <c r="W31" s="71"/>
      <c r="X31" s="71"/>
      <c r="Y31" s="71"/>
      <c r="Z31" s="71"/>
      <c r="AA31" s="71"/>
      <c r="AB31" s="71"/>
      <c r="AC31" s="71"/>
      <c r="AD31" s="71"/>
      <c r="AE31" s="71"/>
      <c r="AF31" s="71"/>
      <c r="AG31" s="71"/>
    </row>
    <row r="32" customFormat="false" ht="15" hidden="false" customHeight="false" outlineLevel="0" collapsed="false">
      <c r="A32" s="256" t="n">
        <f aca="false">IF(Horodateur1123353819223134374346495255586164698522263438465058546266707478829098941021061141181101221261301341381421461501541581621661701741781821861901941982022062102144101418222630343842[[#This Row],[Jour]]="1- Lundi",$B$1+1, IF(Horodateur1123353819223134374346495255586164698522263438465058546266707478829098941021061141181101221261301341381421461501541581621661701741781821861901941982022062102144101418222630343842[[#This Row],[Jour]]="2- Mardi",$B$1+2, IF(Horodateur1123353819223134374346495255586164698522263438465058546266707478829098941021061141181101221261301341381421461501541581621661701741781821861901941982022062102144101418222630343842[[#This Row],[Jour]]="3- Mercredi",$B$1+3, IF(Horodateur1123353819223134374346495255586164698522263438465058546266707478829098941021061141181101221261301341381421461501541581621661701741781821861901941982022062102144101418222630343842[[#This Row],[Jour]]="4- Jeudi",$B$1+4, IF(Horodateur1123353819223134374346495255586164698522263438465058546266707478829098941021061141181101221261301341381421461501541581621661701741781821861901941982022062102144101418222630343842[[#This Row],[Jour]]="5- Vendredi",$B$1+5, IF(Horodateur1123353819223134374346495255586164698522263438465058546266707478829098941021061141181101221261301341381421461501541581621661701741781821861901941982022062102144101418222630343842[[#This Row],[Jour]]="6- Samedi",$B$1+6, IF(Horodateur1123353819223134374346495255586164698522263438465058546266707478829098941021061141181101221261301341381421461501541581621661701741781821861901941982022062102144101418222630343842[[#This Row],[Jour]]="7- Dimanche",$B$1, )))))))</f>
        <v>44274</v>
      </c>
      <c r="B32" s="257" t="s">
        <v>332</v>
      </c>
      <c r="C32" s="258" t="n">
        <v>0.395833333333333</v>
      </c>
      <c r="D32" s="258" t="n">
        <v>0.40625</v>
      </c>
      <c r="E32" s="71" t="s">
        <v>32</v>
      </c>
      <c r="F32" s="71" t="s">
        <v>21</v>
      </c>
      <c r="G32" s="259"/>
      <c r="H32" s="258" t="n">
        <f aca="false">IF($C32=0,"",$D32-$C32)</f>
        <v>0.0104166666666667</v>
      </c>
      <c r="I32" s="260" t="n">
        <f aca="false">IF($C32=0,"",($H32-INT($H32))*24)</f>
        <v>0.25</v>
      </c>
      <c r="J32" s="303" t="n">
        <f aca="false">SUMIF(Horodateur1123353819223134374346495255586164698522263438465058546266707478829098941021061141181101221261301341381421461501541581621661701741781821861901941982022062102144101418222630343842[Jour],$B32,Horodateur1123353819223134374346495255586164698522263438465058546266707478829098941021061141181101221261301341381421461501541581621661701741781821861901941982022062102144101418222630343842[Durée (100)])</f>
        <v>7.25</v>
      </c>
      <c r="K32" s="335"/>
      <c r="L32" s="188" t="s">
        <v>31</v>
      </c>
      <c r="M32" s="272" t="n">
        <f aca="false">IF(Horodateur1123353819223134374346495255586164698522263438465058546266707478829098941021061141181101221261301341381421461501541581621661701741781821861901941982022062102144101418222630343842[[#This Row],[O]]="o",Horodateur1123353819223134374346495255586164698522263438465058546266707478829098941021061141181101221261301341381421461501541581621661701741781821861901941982022062102144101418222630343842[[#This Row],[Durée (100)]],".")</f>
        <v>0.25</v>
      </c>
      <c r="N32" s="187"/>
      <c r="O32" s="71"/>
      <c r="P32" s="71"/>
      <c r="Q32" s="71"/>
      <c r="R32" s="71"/>
      <c r="S32" s="71"/>
      <c r="T32" s="71"/>
      <c r="U32" s="71"/>
      <c r="V32" s="71"/>
      <c r="W32" s="71"/>
      <c r="X32" s="71"/>
      <c r="Y32" s="71"/>
      <c r="Z32" s="71"/>
      <c r="AA32" s="71"/>
      <c r="AB32" s="71"/>
      <c r="AC32" s="71"/>
      <c r="AD32" s="71"/>
      <c r="AE32" s="71"/>
      <c r="AF32" s="71"/>
      <c r="AG32" s="71"/>
    </row>
    <row r="33" customFormat="false" ht="15" hidden="false" customHeight="false" outlineLevel="0" collapsed="false">
      <c r="A33" s="256" t="n">
        <f aca="false">IF(Horodateur1123353819223134374346495255586164698522263438465058546266707478829098941021061141181101221261301341381421461501541581621661701741781821861901941982022062102144101418222630343842[[#This Row],[Jour]]="1- Lundi",$B$1+1, IF(Horodateur1123353819223134374346495255586164698522263438465058546266707478829098941021061141181101221261301341381421461501541581621661701741781821861901941982022062102144101418222630343842[[#This Row],[Jour]]="2- Mardi",$B$1+2, IF(Horodateur1123353819223134374346495255586164698522263438465058546266707478829098941021061141181101221261301341381421461501541581621661701741781821861901941982022062102144101418222630343842[[#This Row],[Jour]]="3- Mercredi",$B$1+3, IF(Horodateur1123353819223134374346495255586164698522263438465058546266707478829098941021061141181101221261301341381421461501541581621661701741781821861901941982022062102144101418222630343842[[#This Row],[Jour]]="4- Jeudi",$B$1+4, IF(Horodateur1123353819223134374346495255586164698522263438465058546266707478829098941021061141181101221261301341381421461501541581621661701741781821861901941982022062102144101418222630343842[[#This Row],[Jour]]="5- Vendredi",$B$1+5, IF(Horodateur1123353819223134374346495255586164698522263438465058546266707478829098941021061141181101221261301341381421461501541581621661701741781821861901941982022062102144101418222630343842[[#This Row],[Jour]]="6- Samedi",$B$1+6, IF(Horodateur1123353819223134374346495255586164698522263438465058546266707478829098941021061141181101221261301341381421461501541581621661701741781821861901941982022062102144101418222630343842[[#This Row],[Jour]]="7- Dimanche",$B$1, )))))))</f>
        <v>44274</v>
      </c>
      <c r="B33" s="257" t="s">
        <v>332</v>
      </c>
      <c r="C33" s="258" t="n">
        <v>0.40625</v>
      </c>
      <c r="D33" s="258" t="n">
        <v>0.479166666666667</v>
      </c>
      <c r="E33" s="71" t="s">
        <v>63</v>
      </c>
      <c r="F33" s="71" t="s">
        <v>378</v>
      </c>
      <c r="G33" s="259" t="s">
        <v>525</v>
      </c>
      <c r="H33" s="258" t="n">
        <f aca="false">IF($C33=0,"",$D33-$C33)</f>
        <v>0.0729166666666667</v>
      </c>
      <c r="I33" s="260" t="n">
        <f aca="false">IF($C33=0,"",($H33-INT($H33))*24)</f>
        <v>1.75</v>
      </c>
      <c r="J33" s="303" t="n">
        <f aca="false">SUMIF(Horodateur1123353819223134374346495255586164698522263438465058546266707478829098941021061141181101221261301341381421461501541581621661701741781821861901941982022062102144101418222630343842[Jour],$B33,Horodateur1123353819223134374346495255586164698522263438465058546266707478829098941021061141181101221261301341381421461501541581621661701741781821861901941982022062102144101418222630343842[Durée (100)])</f>
        <v>7.25</v>
      </c>
      <c r="K33" s="335"/>
      <c r="L33" s="188" t="s">
        <v>31</v>
      </c>
      <c r="M33" s="272" t="n">
        <f aca="false">IF(Horodateur1123353819223134374346495255586164698522263438465058546266707478829098941021061141181101221261301341381421461501541581621661701741781821861901941982022062102144101418222630343842[[#This Row],[O]]="o",Horodateur1123353819223134374346495255586164698522263438465058546266707478829098941021061141181101221261301341381421461501541581621661701741781821861901941982022062102144101418222630343842[[#This Row],[Durée (100)]],".")</f>
        <v>1.75</v>
      </c>
      <c r="N33" s="187"/>
      <c r="O33" s="71"/>
      <c r="P33" s="71"/>
      <c r="Q33" s="71"/>
      <c r="R33" s="71"/>
      <c r="S33" s="71"/>
      <c r="T33" s="71"/>
      <c r="U33" s="71"/>
      <c r="V33" s="71"/>
      <c r="W33" s="71"/>
      <c r="X33" s="71"/>
      <c r="Y33" s="71"/>
      <c r="Z33" s="71"/>
      <c r="AA33" s="71"/>
      <c r="AB33" s="71"/>
      <c r="AC33" s="71"/>
      <c r="AD33" s="71"/>
      <c r="AE33" s="71"/>
      <c r="AF33" s="71"/>
      <c r="AG33" s="71"/>
    </row>
    <row r="34" customFormat="false" ht="15" hidden="false" customHeight="false" outlineLevel="0" collapsed="false">
      <c r="A34" s="256" t="n">
        <f aca="false">IF(Horodateur1123353819223134374346495255586164698522263438465058546266707478829098941021061141181101221261301341381421461501541581621661701741781821861901941982022062102144101418222630343842[[#This Row],[Jour]]="1- Lundi",$B$1+1, IF(Horodateur1123353819223134374346495255586164698522263438465058546266707478829098941021061141181101221261301341381421461501541581621661701741781821861901941982022062102144101418222630343842[[#This Row],[Jour]]="2- Mardi",$B$1+2, IF(Horodateur1123353819223134374346495255586164698522263438465058546266707478829098941021061141181101221261301341381421461501541581621661701741781821861901941982022062102144101418222630343842[[#This Row],[Jour]]="3- Mercredi",$B$1+3, IF(Horodateur1123353819223134374346495255586164698522263438465058546266707478829098941021061141181101221261301341381421461501541581621661701741781821861901941982022062102144101418222630343842[[#This Row],[Jour]]="4- Jeudi",$B$1+4, IF(Horodateur1123353819223134374346495255586164698522263438465058546266707478829098941021061141181101221261301341381421461501541581621661701741781821861901941982022062102144101418222630343842[[#This Row],[Jour]]="5- Vendredi",$B$1+5, IF(Horodateur1123353819223134374346495255586164698522263438465058546266707478829098941021061141181101221261301341381421461501541581621661701741781821861901941982022062102144101418222630343842[[#This Row],[Jour]]="6- Samedi",$B$1+6, IF(Horodateur1123353819223134374346495255586164698522263438465058546266707478829098941021061141181101221261301341381421461501541581621661701741781821861901941982022062102144101418222630343842[[#This Row],[Jour]]="7- Dimanche",$B$1, )))))))</f>
        <v>44274</v>
      </c>
      <c r="B34" s="257" t="s">
        <v>332</v>
      </c>
      <c r="C34" s="258" t="n">
        <v>0.479166666666667</v>
      </c>
      <c r="D34" s="258" t="n">
        <v>0.5</v>
      </c>
      <c r="E34" s="71" t="s">
        <v>61</v>
      </c>
      <c r="F34" s="71" t="s">
        <v>380</v>
      </c>
      <c r="G34" s="259" t="s">
        <v>526</v>
      </c>
      <c r="H34" s="258" t="n">
        <f aca="false">IF($C34=0,"",$D34-$C34)</f>
        <v>0.0208333333333333</v>
      </c>
      <c r="I34" s="260" t="n">
        <f aca="false">IF($C34=0,"",($H34-INT($H34))*24)</f>
        <v>0.5</v>
      </c>
      <c r="J34" s="303" t="n">
        <f aca="false">SUMIF(Horodateur1123353819223134374346495255586164698522263438465058546266707478829098941021061141181101221261301341381421461501541581621661701741781821861901941982022062102144101418222630343842[Jour],$B34,Horodateur1123353819223134374346495255586164698522263438465058546266707478829098941021061141181101221261301341381421461501541581621661701741781821861901941982022062102144101418222630343842[Durée (100)])</f>
        <v>7.25</v>
      </c>
      <c r="K34" s="335"/>
      <c r="L34" s="188" t="s">
        <v>31</v>
      </c>
      <c r="M34" s="272" t="n">
        <f aca="false">IF(Horodateur1123353819223134374346495255586164698522263438465058546266707478829098941021061141181101221261301341381421461501541581621661701741781821861901941982022062102144101418222630343842[[#This Row],[O]]="o",Horodateur1123353819223134374346495255586164698522263438465058546266707478829098941021061141181101221261301341381421461501541581621661701741781821861901941982022062102144101418222630343842[[#This Row],[Durée (100)]],".")</f>
        <v>0.5</v>
      </c>
      <c r="N34" s="187"/>
      <c r="O34" s="71"/>
      <c r="P34" s="71"/>
      <c r="Q34" s="71"/>
      <c r="R34" s="71"/>
      <c r="S34" s="71"/>
      <c r="T34" s="71"/>
      <c r="U34" s="71"/>
      <c r="V34" s="71"/>
      <c r="W34" s="71"/>
      <c r="X34" s="71"/>
      <c r="Y34" s="71"/>
      <c r="Z34" s="71"/>
      <c r="AA34" s="71"/>
      <c r="AB34" s="71"/>
      <c r="AC34" s="71"/>
      <c r="AD34" s="71"/>
      <c r="AE34" s="71"/>
      <c r="AF34" s="71"/>
      <c r="AG34" s="71"/>
    </row>
    <row r="35" customFormat="false" ht="15" hidden="false" customHeight="false" outlineLevel="0" collapsed="false">
      <c r="A35" s="256" t="n">
        <f aca="false">IF(Horodateur1123353819223134374346495255586164698522263438465058546266707478829098941021061141181101221261301341381421461501541581621661701741781821861901941982022062102144101418222630343842[[#This Row],[Jour]]="1- Lundi",$B$1+1, IF(Horodateur1123353819223134374346495255586164698522263438465058546266707478829098941021061141181101221261301341381421461501541581621661701741781821861901941982022062102144101418222630343842[[#This Row],[Jour]]="2- Mardi",$B$1+2, IF(Horodateur1123353819223134374346495255586164698522263438465058546266707478829098941021061141181101221261301341381421461501541581621661701741781821861901941982022062102144101418222630343842[[#This Row],[Jour]]="3- Mercredi",$B$1+3, IF(Horodateur1123353819223134374346495255586164698522263438465058546266707478829098941021061141181101221261301341381421461501541581621661701741781821861901941982022062102144101418222630343842[[#This Row],[Jour]]="4- Jeudi",$B$1+4, IF(Horodateur1123353819223134374346495255586164698522263438465058546266707478829098941021061141181101221261301341381421461501541581621661701741781821861901941982022062102144101418222630343842[[#This Row],[Jour]]="5- Vendredi",$B$1+5, IF(Horodateur1123353819223134374346495255586164698522263438465058546266707478829098941021061141181101221261301341381421461501541581621661701741781821861901941982022062102144101418222630343842[[#This Row],[Jour]]="6- Samedi",$B$1+6, IF(Horodateur1123353819223134374346495255586164698522263438465058546266707478829098941021061141181101221261301341381421461501541581621661701741781821861901941982022062102144101418222630343842[[#This Row],[Jour]]="7- Dimanche",$B$1, )))))))</f>
        <v>44274</v>
      </c>
      <c r="B35" s="257" t="s">
        <v>332</v>
      </c>
      <c r="C35" s="258" t="n">
        <v>0.583333333333333</v>
      </c>
      <c r="D35" s="258" t="n">
        <v>0.604166666666667</v>
      </c>
      <c r="E35" s="71" t="s">
        <v>32</v>
      </c>
      <c r="F35" s="71" t="s">
        <v>22</v>
      </c>
      <c r="G35" s="259"/>
      <c r="H35" s="258" t="n">
        <f aca="false">IF($C35=0,"",$D35-$C35)</f>
        <v>0.0208333333333333</v>
      </c>
      <c r="I35" s="260" t="n">
        <f aca="false">IF($C35=0,"",($H35-INT($H35))*24)</f>
        <v>0.499999999999998</v>
      </c>
      <c r="J35" s="303" t="n">
        <f aca="false">SUMIF(Horodateur1123353819223134374346495255586164698522263438465058546266707478829098941021061141181101221261301341381421461501541581621661701741781821861901941982022062102144101418222630343842[Jour],$B35,Horodateur1123353819223134374346495255586164698522263438465058546266707478829098941021061141181101221261301341381421461501541581621661701741781821861901941982022062102144101418222630343842[Durée (100)])</f>
        <v>7.25</v>
      </c>
      <c r="K35" s="335"/>
      <c r="L35" s="188" t="s">
        <v>31</v>
      </c>
      <c r="M35" s="272" t="n">
        <f aca="false">IF(Horodateur1123353819223134374346495255586164698522263438465058546266707478829098941021061141181101221261301341381421461501541581621661701741781821861901941982022062102144101418222630343842[[#This Row],[O]]="o",Horodateur1123353819223134374346495255586164698522263438465058546266707478829098941021061141181101221261301341381421461501541581621661701741781821861901941982022062102144101418222630343842[[#This Row],[Durée (100)]],".")</f>
        <v>0.499999999999998</v>
      </c>
      <c r="N35" s="187"/>
      <c r="O35" s="71"/>
      <c r="P35" s="71"/>
      <c r="Q35" s="71"/>
      <c r="R35" s="71"/>
      <c r="S35" s="71"/>
      <c r="T35" s="71"/>
      <c r="U35" s="71"/>
      <c r="V35" s="71"/>
      <c r="W35" s="71"/>
      <c r="X35" s="71"/>
      <c r="Y35" s="71"/>
      <c r="Z35" s="71"/>
      <c r="AA35" s="71"/>
      <c r="AB35" s="71"/>
      <c r="AC35" s="71"/>
      <c r="AD35" s="71"/>
      <c r="AE35" s="71"/>
      <c r="AF35" s="71"/>
      <c r="AG35" s="71"/>
    </row>
    <row r="36" customFormat="false" ht="15" hidden="false" customHeight="false" outlineLevel="0" collapsed="false">
      <c r="A36" s="256" t="n">
        <f aca="false">IF(Horodateur1123353819223134374346495255586164698522263438465058546266707478829098941021061141181101221261301341381421461501541581621661701741781821861901941982022062102144101418222630343842[[#This Row],[Jour]]="1- Lundi",$B$1+1, IF(Horodateur1123353819223134374346495255586164698522263438465058546266707478829098941021061141181101221261301341381421461501541581621661701741781821861901941982022062102144101418222630343842[[#This Row],[Jour]]="2- Mardi",$B$1+2, IF(Horodateur1123353819223134374346495255586164698522263438465058546266707478829098941021061141181101221261301341381421461501541581621661701741781821861901941982022062102144101418222630343842[[#This Row],[Jour]]="3- Mercredi",$B$1+3, IF(Horodateur1123353819223134374346495255586164698522263438465058546266707478829098941021061141181101221261301341381421461501541581621661701741781821861901941982022062102144101418222630343842[[#This Row],[Jour]]="4- Jeudi",$B$1+4, IF(Horodateur1123353819223134374346495255586164698522263438465058546266707478829098941021061141181101221261301341381421461501541581621661701741781821861901941982022062102144101418222630343842[[#This Row],[Jour]]="5- Vendredi",$B$1+5, IF(Horodateur1123353819223134374346495255586164698522263438465058546266707478829098941021061141181101221261301341381421461501541581621661701741781821861901941982022062102144101418222630343842[[#This Row],[Jour]]="6- Samedi",$B$1+6, IF(Horodateur1123353819223134374346495255586164698522263438465058546266707478829098941021061141181101221261301341381421461501541581621661701741781821861901941982022062102144101418222630343842[[#This Row],[Jour]]="7- Dimanche",$B$1, )))))))</f>
        <v>44274</v>
      </c>
      <c r="B36" s="257" t="s">
        <v>332</v>
      </c>
      <c r="C36" s="258" t="n">
        <v>0.604166666666667</v>
      </c>
      <c r="D36" s="258" t="n">
        <v>0.614583333333333</v>
      </c>
      <c r="E36" s="71" t="s">
        <v>59</v>
      </c>
      <c r="F36" s="71" t="s">
        <v>378</v>
      </c>
      <c r="G36" s="259" t="s">
        <v>527</v>
      </c>
      <c r="H36" s="258" t="n">
        <f aca="false">IF($C36=0,"",$D36-$C36)</f>
        <v>0.0104166666666667</v>
      </c>
      <c r="I36" s="260" t="n">
        <f aca="false">IF($C36=0,"",($H36-INT($H36))*24)</f>
        <v>0.250000000000002</v>
      </c>
      <c r="J36" s="303" t="n">
        <f aca="false">SUMIF(Horodateur1123353819223134374346495255586164698522263438465058546266707478829098941021061141181101221261301341381421461501541581621661701741781821861901941982022062102144101418222630343842[Jour],$B36,Horodateur1123353819223134374346495255586164698522263438465058546266707478829098941021061141181101221261301341381421461501541581621661701741781821861901941982022062102144101418222630343842[Durée (100)])</f>
        <v>7.25</v>
      </c>
      <c r="K36" s="335"/>
      <c r="L36" s="188" t="s">
        <v>33</v>
      </c>
      <c r="M36" s="272" t="str">
        <f aca="false">IF(Horodateur1123353819223134374346495255586164698522263438465058546266707478829098941021061141181101221261301341381421461501541581621661701741781821861901941982022062102144101418222630343842[[#This Row],[O]]="o",Horodateur1123353819223134374346495255586164698522263438465058546266707478829098941021061141181101221261301341381421461501541581621661701741781821861901941982022062102144101418222630343842[[#This Row],[Durée (100)]],".")</f>
        <v>.</v>
      </c>
      <c r="N36" s="187"/>
      <c r="O36" s="71"/>
      <c r="P36" s="71"/>
      <c r="Q36" s="71"/>
      <c r="R36" s="71"/>
      <c r="S36" s="71"/>
      <c r="T36" s="71"/>
      <c r="U36" s="71"/>
      <c r="V36" s="71"/>
      <c r="W36" s="71"/>
      <c r="X36" s="71"/>
      <c r="Y36" s="71"/>
      <c r="Z36" s="71"/>
      <c r="AA36" s="71"/>
      <c r="AB36" s="71"/>
      <c r="AC36" s="71"/>
      <c r="AD36" s="71"/>
      <c r="AE36" s="71"/>
      <c r="AF36" s="71"/>
      <c r="AG36" s="71"/>
    </row>
    <row r="37" customFormat="false" ht="15" hidden="false" customHeight="false" outlineLevel="0" collapsed="false">
      <c r="A37" s="256" t="n">
        <f aca="false">IF(Horodateur1123353819223134374346495255586164698522263438465058546266707478829098941021061141181101221261301341381421461501541581621661701741781821861901941982022062102144101418222630343842[[#This Row],[Jour]]="1- Lundi",$B$1+1, IF(Horodateur1123353819223134374346495255586164698522263438465058546266707478829098941021061141181101221261301341381421461501541581621661701741781821861901941982022062102144101418222630343842[[#This Row],[Jour]]="2- Mardi",$B$1+2, IF(Horodateur1123353819223134374346495255586164698522263438465058546266707478829098941021061141181101221261301341381421461501541581621661701741781821861901941982022062102144101418222630343842[[#This Row],[Jour]]="3- Mercredi",$B$1+3, IF(Horodateur1123353819223134374346495255586164698522263438465058546266707478829098941021061141181101221261301341381421461501541581621661701741781821861901941982022062102144101418222630343842[[#This Row],[Jour]]="4- Jeudi",$B$1+4, IF(Horodateur1123353819223134374346495255586164698522263438465058546266707478829098941021061141181101221261301341381421461501541581621661701741781821861901941982022062102144101418222630343842[[#This Row],[Jour]]="5- Vendredi",$B$1+5, IF(Horodateur1123353819223134374346495255586164698522263438465058546266707478829098941021061141181101221261301341381421461501541581621661701741781821861901941982022062102144101418222630343842[[#This Row],[Jour]]="6- Samedi",$B$1+6, IF(Horodateur1123353819223134374346495255586164698522263438465058546266707478829098941021061141181101221261301341381421461501541581621661701741781821861901941982022062102144101418222630343842[[#This Row],[Jour]]="7- Dimanche",$B$1, )))))))</f>
        <v>44274</v>
      </c>
      <c r="B37" s="257" t="s">
        <v>332</v>
      </c>
      <c r="C37" s="258" t="n">
        <v>0.625</v>
      </c>
      <c r="D37" s="258" t="n">
        <v>0.666666666666667</v>
      </c>
      <c r="E37" s="71" t="s">
        <v>32</v>
      </c>
      <c r="F37" s="71" t="s">
        <v>22</v>
      </c>
      <c r="G37" s="259"/>
      <c r="H37" s="258" t="n">
        <f aca="false">IF($C37=0,"",$D37-$C37)</f>
        <v>0.0416666666666666</v>
      </c>
      <c r="I37" s="260" t="n">
        <f aca="false">IF($C37=0,"",($H37-INT($H37))*24)</f>
        <v>0.999999999999999</v>
      </c>
      <c r="J37" s="303" t="n">
        <f aca="false">SUMIF(Horodateur1123353819223134374346495255586164698522263438465058546266707478829098941021061141181101221261301341381421461501541581621661701741781821861901941982022062102144101418222630343842[Jour],$B37,Horodateur1123353819223134374346495255586164698522263438465058546266707478829098941021061141181101221261301341381421461501541581621661701741781821861901941982022062102144101418222630343842[Durée (100)])</f>
        <v>7.25</v>
      </c>
      <c r="K37" s="335"/>
      <c r="L37" s="188" t="s">
        <v>31</v>
      </c>
      <c r="M37" s="272" t="n">
        <f aca="false">IF(Horodateur1123353819223134374346495255586164698522263438465058546266707478829098941021061141181101221261301341381421461501541581621661701741781821861901941982022062102144101418222630343842[[#This Row],[O]]="o",Horodateur1123353819223134374346495255586164698522263438465058546266707478829098941021061141181101221261301341381421461501541581621661701741781821861901941982022062102144101418222630343842[[#This Row],[Durée (100)]],".")</f>
        <v>0.999999999999999</v>
      </c>
      <c r="N37" s="187"/>
      <c r="O37" s="71"/>
      <c r="P37" s="71"/>
      <c r="Q37" s="71"/>
      <c r="R37" s="71"/>
      <c r="S37" s="71"/>
      <c r="T37" s="71"/>
      <c r="U37" s="71"/>
      <c r="V37" s="71"/>
      <c r="W37" s="71"/>
      <c r="X37" s="71"/>
      <c r="Y37" s="71"/>
      <c r="Z37" s="71"/>
      <c r="AA37" s="71"/>
      <c r="AB37" s="71"/>
      <c r="AC37" s="71"/>
      <c r="AD37" s="71"/>
      <c r="AE37" s="71"/>
      <c r="AF37" s="71"/>
      <c r="AG37" s="71"/>
    </row>
    <row r="38" customFormat="false" ht="15" hidden="false" customHeight="false" outlineLevel="0" collapsed="false">
      <c r="A38" s="256" t="n">
        <f aca="false">IF(Horodateur1123353819223134374346495255586164698522263438465058546266707478829098941021061141181101221261301341381421461501541581621661701741781821861901941982022062102144101418222630343842[[#This Row],[Jour]]="1- Lundi",$B$1+1, IF(Horodateur1123353819223134374346495255586164698522263438465058546266707478829098941021061141181101221261301341381421461501541581621661701741781821861901941982022062102144101418222630343842[[#This Row],[Jour]]="2- Mardi",$B$1+2, IF(Horodateur1123353819223134374346495255586164698522263438465058546266707478829098941021061141181101221261301341381421461501541581621661701741781821861901941982022062102144101418222630343842[[#This Row],[Jour]]="3- Mercredi",$B$1+3, IF(Horodateur1123353819223134374346495255586164698522263438465058546266707478829098941021061141181101221261301341381421461501541581621661701741781821861901941982022062102144101418222630343842[[#This Row],[Jour]]="4- Jeudi",$B$1+4, IF(Horodateur1123353819223134374346495255586164698522263438465058546266707478829098941021061141181101221261301341381421461501541581621661701741781821861901941982022062102144101418222630343842[[#This Row],[Jour]]="5- Vendredi",$B$1+5, IF(Horodateur1123353819223134374346495255586164698522263438465058546266707478829098941021061141181101221261301341381421461501541581621661701741781821861901941982022062102144101418222630343842[[#This Row],[Jour]]="6- Samedi",$B$1+6, IF(Horodateur1123353819223134374346495255586164698522263438465058546266707478829098941021061141181101221261301341381421461501541581621661701741781821861901941982022062102144101418222630343842[[#This Row],[Jour]]="7- Dimanche",$B$1, )))))))</f>
        <v>44274</v>
      </c>
      <c r="B38" s="257" t="s">
        <v>332</v>
      </c>
      <c r="C38" s="258" t="n">
        <v>0.666666666666667</v>
      </c>
      <c r="D38" s="258" t="n">
        <v>0.71875</v>
      </c>
      <c r="E38" s="71" t="s">
        <v>63</v>
      </c>
      <c r="F38" s="71" t="s">
        <v>378</v>
      </c>
      <c r="G38" s="259"/>
      <c r="H38" s="258" t="n">
        <f aca="false">IF($C38=0,"",$D38-$C38)</f>
        <v>0.0520833333333334</v>
      </c>
      <c r="I38" s="260" t="n">
        <f aca="false">IF($C38=0,"",($H38-INT($H38))*24)</f>
        <v>1.25</v>
      </c>
      <c r="J38" s="303" t="n">
        <f aca="false">SUMIF(Horodateur1123353819223134374346495255586164698522263438465058546266707478829098941021061141181101221261301341381421461501541581621661701741781821861901941982022062102144101418222630343842[Jour],$B38,Horodateur1123353819223134374346495255586164698522263438465058546266707478829098941021061141181101221261301341381421461501541581621661701741781821861901941982022062102144101418222630343842[Durée (100)])</f>
        <v>7.25</v>
      </c>
      <c r="K38" s="335"/>
      <c r="L38" s="188" t="s">
        <v>31</v>
      </c>
      <c r="M38" s="272" t="n">
        <f aca="false">IF(Horodateur1123353819223134374346495255586164698522263438465058546266707478829098941021061141181101221261301341381421461501541581621661701741781821861901941982022062102144101418222630343842[[#This Row],[O]]="o",Horodateur1123353819223134374346495255586164698522263438465058546266707478829098941021061141181101221261301341381421461501541581621661701741781821861901941982022062102144101418222630343842[[#This Row],[Durée (100)]],".")</f>
        <v>1.25</v>
      </c>
      <c r="N38" s="187"/>
      <c r="O38" s="71"/>
      <c r="P38" s="71"/>
      <c r="Q38" s="71"/>
      <c r="R38" s="71"/>
      <c r="S38" s="71"/>
      <c r="T38" s="71"/>
      <c r="U38" s="71"/>
      <c r="V38" s="71"/>
      <c r="W38" s="71"/>
      <c r="X38" s="71"/>
      <c r="Y38" s="71"/>
      <c r="Z38" s="71"/>
      <c r="AA38" s="71"/>
      <c r="AB38" s="71"/>
      <c r="AC38" s="71"/>
      <c r="AD38" s="71"/>
      <c r="AE38" s="71"/>
      <c r="AF38" s="71"/>
      <c r="AG38" s="71"/>
    </row>
    <row r="39" customFormat="false" ht="15" hidden="false" customHeight="false" outlineLevel="0" collapsed="false">
      <c r="A39" s="256" t="n">
        <f aca="false">IF(Horodateur1123353819223134374346495255586164698522263438465058546266707478829098941021061141181101221261301341381421461501541581621661701741781821861901941982022062102144101418222630343842[[#This Row],[Jour]]="1- Lundi",$B$1+1, IF(Horodateur1123353819223134374346495255586164698522263438465058546266707478829098941021061141181101221261301341381421461501541581621661701741781821861901941982022062102144101418222630343842[[#This Row],[Jour]]="2- Mardi",$B$1+2, IF(Horodateur1123353819223134374346495255586164698522263438465058546266707478829098941021061141181101221261301341381421461501541581621661701741781821861901941982022062102144101418222630343842[[#This Row],[Jour]]="3- Mercredi",$B$1+3, IF(Horodateur1123353819223134374346495255586164698522263438465058546266707478829098941021061141181101221261301341381421461501541581621661701741781821861901941982022062102144101418222630343842[[#This Row],[Jour]]="4- Jeudi",$B$1+4, IF(Horodateur1123353819223134374346495255586164698522263438465058546266707478829098941021061141181101221261301341381421461501541581621661701741781821861901941982022062102144101418222630343842[[#This Row],[Jour]]="5- Vendredi",$B$1+5, IF(Horodateur1123353819223134374346495255586164698522263438465058546266707478829098941021061141181101221261301341381421461501541581621661701741781821861901941982022062102144101418222630343842[[#This Row],[Jour]]="6- Samedi",$B$1+6, IF(Horodateur1123353819223134374346495255586164698522263438465058546266707478829098941021061141181101221261301341381421461501541581621661701741781821861901941982022062102144101418222630343842[[#This Row],[Jour]]="7- Dimanche",$B$1, )))))))</f>
        <v>44274</v>
      </c>
      <c r="B39" s="257" t="s">
        <v>332</v>
      </c>
      <c r="C39" s="258" t="n">
        <v>0.71875</v>
      </c>
      <c r="D39" s="258" t="n">
        <v>0.739583333333333</v>
      </c>
      <c r="E39" s="71" t="s">
        <v>363</v>
      </c>
      <c r="F39" s="71" t="s">
        <v>378</v>
      </c>
      <c r="G39" s="259" t="s">
        <v>524</v>
      </c>
      <c r="H39" s="258" t="n">
        <f aca="false">IF($C39=0,"",$D39-$C39)</f>
        <v>0.0208333333333334</v>
      </c>
      <c r="I39" s="260" t="n">
        <f aca="false">IF($C39=0,"",($H39-INT($H39))*24)</f>
        <v>0.500000000000001</v>
      </c>
      <c r="J39" s="303" t="n">
        <f aca="false">SUMIF(Horodateur1123353819223134374346495255586164698522263438465058546266707478829098941021061141181101221261301341381421461501541581621661701741781821861901941982022062102144101418222630343842[Jour],$B39,Horodateur1123353819223134374346495255586164698522263438465058546266707478829098941021061141181101221261301341381421461501541581621661701741781821861901941982022062102144101418222630343842[Durée (100)])</f>
        <v>7.25</v>
      </c>
      <c r="K39" s="335"/>
      <c r="L39" s="188" t="s">
        <v>31</v>
      </c>
      <c r="M39" s="272" t="n">
        <f aca="false">IF(Horodateur1123353819223134374346495255586164698522263438465058546266707478829098941021061141181101221261301341381421461501541581621661701741781821861901941982022062102144101418222630343842[[#This Row],[O]]="o",Horodateur1123353819223134374346495255586164698522263438465058546266707478829098941021061141181101221261301341381421461501541581621661701741781821861901941982022062102144101418222630343842[[#This Row],[Durée (100)]],".")</f>
        <v>0.500000000000001</v>
      </c>
      <c r="N39" s="187"/>
      <c r="O39" s="71"/>
      <c r="P39" s="71"/>
      <c r="Q39" s="71"/>
      <c r="R39" s="71"/>
      <c r="S39" s="71"/>
      <c r="T39" s="71"/>
      <c r="U39" s="71"/>
      <c r="V39" s="71"/>
      <c r="W39" s="71"/>
      <c r="X39" s="71"/>
      <c r="Y39" s="71"/>
      <c r="Z39" s="71"/>
      <c r="AA39" s="71"/>
      <c r="AB39" s="71"/>
      <c r="AC39" s="71"/>
      <c r="AD39" s="71"/>
      <c r="AE39" s="71"/>
      <c r="AF39" s="71"/>
      <c r="AG39" s="71"/>
    </row>
    <row r="40" customFormat="false" ht="15" hidden="false" customHeight="false" outlineLevel="0" collapsed="false">
      <c r="A40" s="256" t="n">
        <f aca="false">IF(Horodateur1123353819223134374346495255586164698522263438465058546266707478829098941021061141181101221261301341381421461501541581621661701741781821861901941982022062102144101418222630343842[[#This Row],[Jour]]="1- Lundi",$B$1+1, IF(Horodateur1123353819223134374346495255586164698522263438465058546266707478829098941021061141181101221261301341381421461501541581621661701741781821861901941982022062102144101418222630343842[[#This Row],[Jour]]="2- Mardi",$B$1+2, IF(Horodateur1123353819223134374346495255586164698522263438465058546266707478829098941021061141181101221261301341381421461501541581621661701741781821861901941982022062102144101418222630343842[[#This Row],[Jour]]="3- Mercredi",$B$1+3, IF(Horodateur1123353819223134374346495255586164698522263438465058546266707478829098941021061141181101221261301341381421461501541581621661701741781821861901941982022062102144101418222630343842[[#This Row],[Jour]]="4- Jeudi",$B$1+4, IF(Horodateur1123353819223134374346495255586164698522263438465058546266707478829098941021061141181101221261301341381421461501541581621661701741781821861901941982022062102144101418222630343842[[#This Row],[Jour]]="5- Vendredi",$B$1+5, IF(Horodateur1123353819223134374346495255586164698522263438465058546266707478829098941021061141181101221261301341381421461501541581621661701741781821861901941982022062102144101418222630343842[[#This Row],[Jour]]="6- Samedi",$B$1+6, IF(Horodateur1123353819223134374346495255586164698522263438465058546266707478829098941021061141181101221261301341381421461501541581621661701741781821861901941982022062102144101418222630343842[[#This Row],[Jour]]="7- Dimanche",$B$1, )))))))</f>
        <v>44275</v>
      </c>
      <c r="B40" s="257" t="s">
        <v>335</v>
      </c>
      <c r="C40" s="258" t="n">
        <v>0.333333333333333</v>
      </c>
      <c r="D40" s="258" t="n">
        <v>0.354166666666667</v>
      </c>
      <c r="E40" s="71" t="s">
        <v>32</v>
      </c>
      <c r="F40" s="71" t="s">
        <v>22</v>
      </c>
      <c r="G40" s="259"/>
      <c r="H40" s="258" t="n">
        <f aca="false">IF($C40=0,"",$D40-$C40)</f>
        <v>0.0208333333333333</v>
      </c>
      <c r="I40" s="260" t="n">
        <f aca="false">IF($C40=0,"",($H40-INT($H40))*24)</f>
        <v>0.5</v>
      </c>
      <c r="J40" s="303" t="n">
        <f aca="false">SUMIF(Horodateur1123353819223134374346495255586164698522263438465058546266707478829098941021061141181101221261301341381421461501541581621661701741781821861901941982022062102144101418222630343842[Jour],$B40,Horodateur1123353819223134374346495255586164698522263438465058546266707478829098941021061141181101221261301341381421461501541581621661701741781821861901941982022062102144101418222630343842[Durée (100)])</f>
        <v>6</v>
      </c>
      <c r="K40" s="335"/>
      <c r="L40" s="188" t="s">
        <v>31</v>
      </c>
      <c r="M40" s="272" t="n">
        <f aca="false">IF(Horodateur1123353819223134374346495255586164698522263438465058546266707478829098941021061141181101221261301341381421461501541581621661701741781821861901941982022062102144101418222630343842[[#This Row],[O]]="o",Horodateur1123353819223134374346495255586164698522263438465058546266707478829098941021061141181101221261301341381421461501541581621661701741781821861901941982022062102144101418222630343842[[#This Row],[Durée (100)]],".")</f>
        <v>0.500000000000001</v>
      </c>
      <c r="N40" s="187"/>
      <c r="O40" s="71"/>
      <c r="P40" s="71"/>
      <c r="Q40" s="71"/>
      <c r="R40" s="71"/>
      <c r="S40" s="71"/>
      <c r="T40" s="71"/>
      <c r="U40" s="71"/>
      <c r="V40" s="71"/>
      <c r="W40" s="71"/>
      <c r="X40" s="71"/>
      <c r="Y40" s="71"/>
      <c r="Z40" s="71"/>
      <c r="AA40" s="71"/>
      <c r="AB40" s="71"/>
      <c r="AC40" s="71"/>
      <c r="AD40" s="71"/>
      <c r="AE40" s="71"/>
      <c r="AF40" s="71"/>
      <c r="AG40" s="71"/>
    </row>
    <row r="41" customFormat="false" ht="15" hidden="false" customHeight="false" outlineLevel="0" collapsed="false">
      <c r="A41" s="256" t="n">
        <f aca="false">IF(Horodateur1123353819223134374346495255586164698522263438465058546266707478829098941021061141181101221261301341381421461501541581621661701741781821861901941982022062102144101418222630343842[[#This Row],[Jour]]="1- Lundi",$B$1+1, IF(Horodateur1123353819223134374346495255586164698522263438465058546266707478829098941021061141181101221261301341381421461501541581621661701741781821861901941982022062102144101418222630343842[[#This Row],[Jour]]="2- Mardi",$B$1+2, IF(Horodateur1123353819223134374346495255586164698522263438465058546266707478829098941021061141181101221261301341381421461501541581621661701741781821861901941982022062102144101418222630343842[[#This Row],[Jour]]="3- Mercredi",$B$1+3, IF(Horodateur1123353819223134374346495255586164698522263438465058546266707478829098941021061141181101221261301341381421461501541581621661701741781821861901941982022062102144101418222630343842[[#This Row],[Jour]]="4- Jeudi",$B$1+4, IF(Horodateur1123353819223134374346495255586164698522263438465058546266707478829098941021061141181101221261301341381421461501541581621661701741781821861901941982022062102144101418222630343842[[#This Row],[Jour]]="5- Vendredi",$B$1+5, IF(Horodateur1123353819223134374346495255586164698522263438465058546266707478829098941021061141181101221261301341381421461501541581621661701741781821861901941982022062102144101418222630343842[[#This Row],[Jour]]="6- Samedi",$B$1+6, IF(Horodateur1123353819223134374346495255586164698522263438465058546266707478829098941021061141181101221261301341381421461501541581621661701741781821861901941982022062102144101418222630343842[[#This Row],[Jour]]="7- Dimanche",$B$1, )))))))</f>
        <v>44275</v>
      </c>
      <c r="B41" s="257" t="s">
        <v>335</v>
      </c>
      <c r="C41" s="258" t="n">
        <v>0.354166666666667</v>
      </c>
      <c r="D41" s="258" t="n">
        <v>0.395833333333333</v>
      </c>
      <c r="E41" s="71" t="s">
        <v>363</v>
      </c>
      <c r="F41" s="71" t="s">
        <v>378</v>
      </c>
      <c r="G41" s="259" t="s">
        <v>528</v>
      </c>
      <c r="H41" s="258" t="n">
        <f aca="false">IF($C41=0,"",$D41-$C41)</f>
        <v>0.0416666666666667</v>
      </c>
      <c r="I41" s="260" t="n">
        <f aca="false">IF($C41=0,"",($H41-INT($H41))*24)</f>
        <v>1</v>
      </c>
      <c r="J41" s="303" t="n">
        <f aca="false">SUMIF(Horodateur1123353819223134374346495255586164698522263438465058546266707478829098941021061141181101221261301341381421461501541581621661701741781821861901941982022062102144101418222630343842[Jour],$B41,Horodateur1123353819223134374346495255586164698522263438465058546266707478829098941021061141181101221261301341381421461501541581621661701741781821861901941982022062102144101418222630343842[Durée (100)])</f>
        <v>6</v>
      </c>
      <c r="K41" s="335"/>
      <c r="L41" s="188" t="s">
        <v>31</v>
      </c>
      <c r="M41" s="272" t="n">
        <f aca="false">IF(Horodateur1123353819223134374346495255586164698522263438465058546266707478829098941021061141181101221261301341381421461501541581621661701741781821861901941982022062102144101418222630343842[[#This Row],[O]]="o",Horodateur1123353819223134374346495255586164698522263438465058546266707478829098941021061141181101221261301341381421461501541581621661701741781821861901941982022062102144101418222630343842[[#This Row],[Durée (100)]],".")</f>
        <v>0.999999999999999</v>
      </c>
      <c r="N41" s="187"/>
      <c r="O41" s="71"/>
      <c r="P41" s="71"/>
      <c r="Q41" s="71"/>
      <c r="R41" s="71"/>
      <c r="S41" s="71"/>
      <c r="T41" s="71"/>
      <c r="U41" s="71"/>
      <c r="V41" s="71"/>
      <c r="W41" s="71"/>
      <c r="X41" s="71"/>
      <c r="Y41" s="71"/>
      <c r="Z41" s="71"/>
      <c r="AA41" s="71"/>
      <c r="AB41" s="71"/>
      <c r="AC41" s="71"/>
      <c r="AD41" s="71"/>
      <c r="AE41" s="71"/>
      <c r="AF41" s="71"/>
      <c r="AG41" s="71"/>
    </row>
    <row r="42" customFormat="false" ht="15" hidden="false" customHeight="false" outlineLevel="0" collapsed="false">
      <c r="A42" s="256" t="n">
        <f aca="false">IF(Horodateur1123353819223134374346495255586164698522263438465058546266707478829098941021061141181101221261301341381421461501541581621661701741781821861901941982022062102144101418222630343842[[#This Row],[Jour]]="1- Lundi",$B$1+1, IF(Horodateur1123353819223134374346495255586164698522263438465058546266707478829098941021061141181101221261301341381421461501541581621661701741781821861901941982022062102144101418222630343842[[#This Row],[Jour]]="2- Mardi",$B$1+2, IF(Horodateur1123353819223134374346495255586164698522263438465058546266707478829098941021061141181101221261301341381421461501541581621661701741781821861901941982022062102144101418222630343842[[#This Row],[Jour]]="3- Mercredi",$B$1+3, IF(Horodateur1123353819223134374346495255586164698522263438465058546266707478829098941021061141181101221261301341381421461501541581621661701741781821861901941982022062102144101418222630343842[[#This Row],[Jour]]="4- Jeudi",$B$1+4, IF(Horodateur1123353819223134374346495255586164698522263438465058546266707478829098941021061141181101221261301341381421461501541581621661701741781821861901941982022062102144101418222630343842[[#This Row],[Jour]]="5- Vendredi",$B$1+5, IF(Horodateur1123353819223134374346495255586164698522263438465058546266707478829098941021061141181101221261301341381421461501541581621661701741781821861901941982022062102144101418222630343842[[#This Row],[Jour]]="6- Samedi",$B$1+6, IF(Horodateur1123353819223134374346495255586164698522263438465058546266707478829098941021061141181101221261301341381421461501541581621661701741781821861901941982022062102144101418222630343842[[#This Row],[Jour]]="7- Dimanche",$B$1, )))))))</f>
        <v>44275</v>
      </c>
      <c r="B42" s="257" t="s">
        <v>335</v>
      </c>
      <c r="C42" s="258" t="n">
        <v>0.395833333333333</v>
      </c>
      <c r="D42" s="258" t="n">
        <v>0.416666666666667</v>
      </c>
      <c r="E42" s="71" t="s">
        <v>32</v>
      </c>
      <c r="F42" s="71" t="s">
        <v>23</v>
      </c>
      <c r="G42" s="259"/>
      <c r="H42" s="258" t="n">
        <f aca="false">IF($C42=0,"",$D42-$C42)</f>
        <v>0.0208333333333334</v>
      </c>
      <c r="I42" s="260" t="n">
        <f aca="false">IF($C42=0,"",($H42-INT($H42))*24)</f>
        <v>0.500000000000001</v>
      </c>
      <c r="J42" s="303" t="n">
        <f aca="false">SUMIF(Horodateur1123353819223134374346495255586164698522263438465058546266707478829098941021061141181101221261301341381421461501541581621661701741781821861901941982022062102144101418222630343842[Jour],$B42,Horodateur1123353819223134374346495255586164698522263438465058546266707478829098941021061141181101221261301341381421461501541581621661701741781821861901941982022062102144101418222630343842[Durée (100)])</f>
        <v>6</v>
      </c>
      <c r="K42" s="335"/>
      <c r="L42" s="188" t="s">
        <v>31</v>
      </c>
      <c r="M42" s="272" t="n">
        <f aca="false">IF(Horodateur1123353819223134374346495255586164698522263438465058546266707478829098941021061141181101221261301341381421461501541581621661701741781821861901941982022062102144101418222630343842[[#This Row],[O]]="o",Horodateur1123353819223134374346495255586164698522263438465058546266707478829098941021061141181101221261301341381421461501541581621661701741781821861901941982022062102144101418222630343842[[#This Row],[Durée (100)]],".")</f>
        <v>0.500000000000001</v>
      </c>
      <c r="N42" s="187"/>
      <c r="O42" s="71"/>
      <c r="P42" s="71"/>
      <c r="Q42" s="71"/>
      <c r="R42" s="71"/>
      <c r="S42" s="71"/>
      <c r="T42" s="71"/>
      <c r="U42" s="71"/>
      <c r="V42" s="71"/>
      <c r="W42" s="71"/>
      <c r="X42" s="71"/>
      <c r="Y42" s="71"/>
      <c r="Z42" s="71"/>
      <c r="AA42" s="71"/>
      <c r="AB42" s="71"/>
      <c r="AC42" s="71"/>
      <c r="AD42" s="71"/>
      <c r="AE42" s="71"/>
      <c r="AF42" s="71"/>
      <c r="AG42" s="71"/>
    </row>
    <row r="43" customFormat="false" ht="15" hidden="false" customHeight="false" outlineLevel="0" collapsed="false">
      <c r="A43" s="256" t="n">
        <f aca="false">IF(Horodateur1123353819223134374346495255586164698522263438465058546266707478829098941021061141181101221261301341381421461501541581621661701741781821861901941982022062102144101418222630343842[[#This Row],[Jour]]="1- Lundi",$B$1+1, IF(Horodateur1123353819223134374346495255586164698522263438465058546266707478829098941021061141181101221261301341381421461501541581621661701741781821861901941982022062102144101418222630343842[[#This Row],[Jour]]="2- Mardi",$B$1+2, IF(Horodateur1123353819223134374346495255586164698522263438465058546266707478829098941021061141181101221261301341381421461501541581621661701741781821861901941982022062102144101418222630343842[[#This Row],[Jour]]="3- Mercredi",$B$1+3, IF(Horodateur1123353819223134374346495255586164698522263438465058546266707478829098941021061141181101221261301341381421461501541581621661701741781821861901941982022062102144101418222630343842[[#This Row],[Jour]]="4- Jeudi",$B$1+4, IF(Horodateur1123353819223134374346495255586164698522263438465058546266707478829098941021061141181101221261301341381421461501541581621661701741781821861901941982022062102144101418222630343842[[#This Row],[Jour]]="5- Vendredi",$B$1+5, IF(Horodateur1123353819223134374346495255586164698522263438465058546266707478829098941021061141181101221261301341381421461501541581621661701741781821861901941982022062102144101418222630343842[[#This Row],[Jour]]="6- Samedi",$B$1+6, IF(Horodateur1123353819223134374346495255586164698522263438465058546266707478829098941021061141181101221261301341381421461501541581621661701741781821861901941982022062102144101418222630343842[[#This Row],[Jour]]="7- Dimanche",$B$1, )))))))</f>
        <v>44275</v>
      </c>
      <c r="B43" s="257" t="s">
        <v>335</v>
      </c>
      <c r="C43" s="258" t="n">
        <v>0.416666666666667</v>
      </c>
      <c r="D43" s="258" t="n">
        <v>0.4375</v>
      </c>
      <c r="E43" s="71" t="s">
        <v>363</v>
      </c>
      <c r="F43" s="71" t="s">
        <v>379</v>
      </c>
      <c r="G43" s="259" t="s">
        <v>55</v>
      </c>
      <c r="H43" s="258" t="n">
        <f aca="false">IF($C43=0,"",$D43-$C43)</f>
        <v>0.0208333333333333</v>
      </c>
      <c r="I43" s="260" t="n">
        <f aca="false">IF($C43=0,"",($H43-INT($H43))*24)</f>
        <v>0.5</v>
      </c>
      <c r="J43" s="303" t="n">
        <f aca="false">SUMIF(Horodateur1123353819223134374346495255586164698522263438465058546266707478829098941021061141181101221261301341381421461501541581621661701741781821861901941982022062102144101418222630343842[Jour],$B43,Horodateur1123353819223134374346495255586164698522263438465058546266707478829098941021061141181101221261301341381421461501541581621661701741781821861901941982022062102144101418222630343842[Durée (100)])</f>
        <v>6</v>
      </c>
      <c r="K43" s="335"/>
      <c r="L43" s="188" t="s">
        <v>31</v>
      </c>
      <c r="M43" s="272" t="n">
        <f aca="false">IF(Horodateur1123353819223134374346495255586164698522263438465058546266707478829098941021061141181101221261301341381421461501541581621661701741781821861901941982022062102144101418222630343842[[#This Row],[O]]="o",Horodateur1123353819223134374346495255586164698522263438465058546266707478829098941021061141181101221261301341381421461501541581621661701741781821861901941982022062102144101418222630343842[[#This Row],[Durée (100)]],".")</f>
        <v>0.5</v>
      </c>
      <c r="N43" s="187"/>
      <c r="O43" s="71"/>
      <c r="P43" s="71"/>
      <c r="Q43" s="71"/>
      <c r="R43" s="71"/>
      <c r="S43" s="71"/>
      <c r="T43" s="71"/>
      <c r="U43" s="71"/>
      <c r="V43" s="71"/>
      <c r="W43" s="71"/>
      <c r="X43" s="71"/>
      <c r="Y43" s="71"/>
      <c r="Z43" s="71"/>
      <c r="AA43" s="71"/>
      <c r="AB43" s="71"/>
      <c r="AC43" s="71"/>
      <c r="AD43" s="71"/>
      <c r="AE43" s="71"/>
      <c r="AF43" s="71"/>
      <c r="AG43" s="71"/>
    </row>
    <row r="44" customFormat="false" ht="15" hidden="false" customHeight="false" outlineLevel="0" collapsed="false">
      <c r="A44" s="256" t="n">
        <f aca="false">IF(Horodateur1123353819223134374346495255586164698522263438465058546266707478829098941021061141181101221261301341381421461501541581621661701741781821861901941982022062102144101418222630343842[[#This Row],[Jour]]="1- Lundi",$B$1+1, IF(Horodateur1123353819223134374346495255586164698522263438465058546266707478829098941021061141181101221261301341381421461501541581621661701741781821861901941982022062102144101418222630343842[[#This Row],[Jour]]="2- Mardi",$B$1+2, IF(Horodateur1123353819223134374346495255586164698522263438465058546266707478829098941021061141181101221261301341381421461501541581621661701741781821861901941982022062102144101418222630343842[[#This Row],[Jour]]="3- Mercredi",$B$1+3, IF(Horodateur1123353819223134374346495255586164698522263438465058546266707478829098941021061141181101221261301341381421461501541581621661701741781821861901941982022062102144101418222630343842[[#This Row],[Jour]]="4- Jeudi",$B$1+4, IF(Horodateur1123353819223134374346495255586164698522263438465058546266707478829098941021061141181101221261301341381421461501541581621661701741781821861901941982022062102144101418222630343842[[#This Row],[Jour]]="5- Vendredi",$B$1+5, IF(Horodateur1123353819223134374346495255586164698522263438465058546266707478829098941021061141181101221261301341381421461501541581621661701741781821861901941982022062102144101418222630343842[[#This Row],[Jour]]="6- Samedi",$B$1+6, IF(Horodateur1123353819223134374346495255586164698522263438465058546266707478829098941021061141181101221261301341381421461501541581621661701741781821861901941982022062102144101418222630343842[[#This Row],[Jour]]="7- Dimanche",$B$1, )))))))</f>
        <v>44275</v>
      </c>
      <c r="B44" s="257" t="s">
        <v>335</v>
      </c>
      <c r="C44" s="258" t="n">
        <v>0.4375</v>
      </c>
      <c r="D44" s="258" t="n">
        <v>0.5</v>
      </c>
      <c r="E44" s="71" t="s">
        <v>363</v>
      </c>
      <c r="F44" s="71" t="s">
        <v>378</v>
      </c>
      <c r="G44" s="259" t="s">
        <v>529</v>
      </c>
      <c r="H44" s="258" t="n">
        <f aca="false">IF($C44=0,"",$D44-$C44)</f>
        <v>0.0625</v>
      </c>
      <c r="I44" s="260" t="n">
        <f aca="false">IF($C44=0,"",($H44-INT($H44))*24)</f>
        <v>1.5</v>
      </c>
      <c r="J44" s="303" t="n">
        <f aca="false">SUMIF(Horodateur1123353819223134374346495255586164698522263438465058546266707478829098941021061141181101221261301341381421461501541581621661701741781821861901941982022062102144101418222630343842[Jour],$B44,Horodateur1123353819223134374346495255586164698522263438465058546266707478829098941021061141181101221261301341381421461501541581621661701741781821861901941982022062102144101418222630343842[Durée (100)])</f>
        <v>6</v>
      </c>
      <c r="K44" s="335"/>
      <c r="L44" s="188" t="s">
        <v>31</v>
      </c>
      <c r="M44" s="272" t="n">
        <f aca="false">IF(Horodateur1123353819223134374346495255586164698522263438465058546266707478829098941021061141181101221261301341381421461501541581621661701741781821861901941982022062102144101418222630343842[[#This Row],[O]]="o",Horodateur1123353819223134374346495255586164698522263438465058546266707478829098941021061141181101221261301341381421461501541581621661701741781821861901941982022062102144101418222630343842[[#This Row],[Durée (100)]],".")</f>
        <v>1.5</v>
      </c>
      <c r="N44" s="187"/>
      <c r="O44" s="71"/>
      <c r="P44" s="71"/>
      <c r="Q44" s="71"/>
      <c r="R44" s="71"/>
      <c r="S44" s="71"/>
      <c r="T44" s="71"/>
      <c r="U44" s="71"/>
      <c r="V44" s="71"/>
      <c r="W44" s="71"/>
      <c r="X44" s="71"/>
      <c r="Y44" s="71"/>
      <c r="Z44" s="71"/>
      <c r="AA44" s="71"/>
      <c r="AB44" s="71"/>
      <c r="AC44" s="71"/>
      <c r="AD44" s="71"/>
      <c r="AE44" s="71"/>
      <c r="AF44" s="71"/>
      <c r="AG44" s="71"/>
    </row>
    <row r="45" customFormat="false" ht="15" hidden="false" customHeight="false" outlineLevel="0" collapsed="false">
      <c r="A45" s="256" t="n">
        <f aca="false">IF(Horodateur1123353819223134374346495255586164698522263438465058546266707478829098941021061141181101221261301341381421461501541581621661701741781821861901941982022062102144101418222630343842[[#This Row],[Jour]]="1- Lundi",$B$1+1, IF(Horodateur1123353819223134374346495255586164698522263438465058546266707478829098941021061141181101221261301341381421461501541581621661701741781821861901941982022062102144101418222630343842[[#This Row],[Jour]]="2- Mardi",$B$1+2, IF(Horodateur1123353819223134374346495255586164698522263438465058546266707478829098941021061141181101221261301341381421461501541581621661701741781821861901941982022062102144101418222630343842[[#This Row],[Jour]]="3- Mercredi",$B$1+3, IF(Horodateur1123353819223134374346495255586164698522263438465058546266707478829098941021061141181101221261301341381421461501541581621661701741781821861901941982022062102144101418222630343842[[#This Row],[Jour]]="4- Jeudi",$B$1+4, IF(Horodateur1123353819223134374346495255586164698522263438465058546266707478829098941021061141181101221261301341381421461501541581621661701741781821861901941982022062102144101418222630343842[[#This Row],[Jour]]="5- Vendredi",$B$1+5, IF(Horodateur1123353819223134374346495255586164698522263438465058546266707478829098941021061141181101221261301341381421461501541581621661701741781821861901941982022062102144101418222630343842[[#This Row],[Jour]]="6- Samedi",$B$1+6, IF(Horodateur1123353819223134374346495255586164698522263438465058546266707478829098941021061141181101221261301341381421461501541581621661701741781821861901941982022062102144101418222630343842[[#This Row],[Jour]]="7- Dimanche",$B$1, )))))))</f>
        <v>44275</v>
      </c>
      <c r="B45" s="257" t="s">
        <v>335</v>
      </c>
      <c r="C45" s="258" t="n">
        <v>0.5625</v>
      </c>
      <c r="D45" s="258" t="n">
        <v>0.604166666666667</v>
      </c>
      <c r="E45" s="71" t="s">
        <v>32</v>
      </c>
      <c r="F45" s="71" t="s">
        <v>23</v>
      </c>
      <c r="G45" s="259" t="s">
        <v>530</v>
      </c>
      <c r="H45" s="258" t="n">
        <f aca="false">IF($C45=0,"",$D45-$C45)</f>
        <v>0.0416666666666666</v>
      </c>
      <c r="I45" s="260" t="n">
        <f aca="false">IF($C45=0,"",($H45-INT($H45))*24)</f>
        <v>0.999999999999999</v>
      </c>
      <c r="J45" s="303" t="n">
        <f aca="false">SUMIF(Horodateur1123353819223134374346495255586164698522263438465058546266707478829098941021061141181101221261301341381421461501541581621661701741781821861901941982022062102144101418222630343842[Jour],$B45,Horodateur1123353819223134374346495255586164698522263438465058546266707478829098941021061141181101221261301341381421461501541581621661701741781821861901941982022062102144101418222630343842[Durée (100)])</f>
        <v>6</v>
      </c>
      <c r="K45" s="335"/>
      <c r="L45" s="188" t="s">
        <v>31</v>
      </c>
      <c r="M45" s="272" t="n">
        <f aca="false">IF(Horodateur1123353819223134374346495255586164698522263438465058546266707478829098941021061141181101221261301341381421461501541581621661701741781821861901941982022062102144101418222630343842[[#This Row],[O]]="o",Horodateur1123353819223134374346495255586164698522263438465058546266707478829098941021061141181101221261301341381421461501541581621661701741781821861901941982022062102144101418222630343842[[#This Row],[Durée (100)]],".")</f>
        <v>0.999999999999999</v>
      </c>
      <c r="N45" s="187"/>
      <c r="O45" s="71"/>
      <c r="P45" s="71"/>
      <c r="Q45" s="71"/>
      <c r="R45" s="71"/>
      <c r="S45" s="71"/>
      <c r="T45" s="71"/>
      <c r="U45" s="71"/>
      <c r="V45" s="71"/>
      <c r="W45" s="71"/>
      <c r="X45" s="71"/>
      <c r="Y45" s="71"/>
      <c r="Z45" s="71"/>
      <c r="AA45" s="71"/>
      <c r="AB45" s="71"/>
      <c r="AC45" s="71"/>
      <c r="AD45" s="71"/>
      <c r="AE45" s="71"/>
      <c r="AF45" s="71"/>
      <c r="AG45" s="71"/>
    </row>
    <row r="46" customFormat="false" ht="15" hidden="false" customHeight="false" outlineLevel="0" collapsed="false">
      <c r="A46" s="256" t="n">
        <f aca="false">IF(Horodateur1123353819223134374346495255586164698522263438465058546266707478829098941021061141181101221261301341381421461501541581621661701741781821861901941982022062102144101418222630343842[[#This Row],[Jour]]="1- Lundi",$B$1+1, IF(Horodateur1123353819223134374346495255586164698522263438465058546266707478829098941021061141181101221261301341381421461501541581621661701741781821861901941982022062102144101418222630343842[[#This Row],[Jour]]="2- Mardi",$B$1+2, IF(Horodateur1123353819223134374346495255586164698522263438465058546266707478829098941021061141181101221261301341381421461501541581621661701741781821861901941982022062102144101418222630343842[[#This Row],[Jour]]="3- Mercredi",$B$1+3, IF(Horodateur1123353819223134374346495255586164698522263438465058546266707478829098941021061141181101221261301341381421461501541581621661701741781821861901941982022062102144101418222630343842[[#This Row],[Jour]]="4- Jeudi",$B$1+4, IF(Horodateur1123353819223134374346495255586164698522263438465058546266707478829098941021061141181101221261301341381421461501541581621661701741781821861901941982022062102144101418222630343842[[#This Row],[Jour]]="5- Vendredi",$B$1+5, IF(Horodateur1123353819223134374346495255586164698522263438465058546266707478829098941021061141181101221261301341381421461501541581621661701741781821861901941982022062102144101418222630343842[[#This Row],[Jour]]="6- Samedi",$B$1+6, IF(Horodateur1123353819223134374346495255586164698522263438465058546266707478829098941021061141181101221261301341381421461501541581621661701741781821861901941982022062102144101418222630343842[[#This Row],[Jour]]="7- Dimanche",$B$1, )))))))</f>
        <v>44275</v>
      </c>
      <c r="B46" s="257" t="s">
        <v>335</v>
      </c>
      <c r="C46" s="258" t="n">
        <v>0.604166666666667</v>
      </c>
      <c r="D46" s="258" t="n">
        <v>0.645833333333333</v>
      </c>
      <c r="E46" s="71" t="s">
        <v>32</v>
      </c>
      <c r="F46" s="71" t="s">
        <v>21</v>
      </c>
      <c r="G46" s="259"/>
      <c r="H46" s="258" t="n">
        <f aca="false">IF($C46=0,"",$D46-$C46)</f>
        <v>0.0416666666666667</v>
      </c>
      <c r="I46" s="260" t="n">
        <f aca="false">IF($C46=0,"",($H46-INT($H46))*24)</f>
        <v>1</v>
      </c>
      <c r="J46" s="303" t="n">
        <f aca="false">SUMIF(Horodateur1123353819223134374346495255586164698522263438465058546266707478829098941021061141181101221261301341381421461501541581621661701741781821861901941982022062102144101418222630343842[Jour],$B46,Horodateur1123353819223134374346495255586164698522263438465058546266707478829098941021061141181101221261301341381421461501541581621661701741781821861901941982022062102144101418222630343842[Durée (100)])</f>
        <v>6</v>
      </c>
      <c r="K46" s="335"/>
      <c r="L46" s="188" t="s">
        <v>31</v>
      </c>
      <c r="M46" s="272" t="n">
        <f aca="false">IF(Horodateur1123353819223134374346495255586164698522263438465058546266707478829098941021061141181101221261301341381421461501541581621661701741781821861901941982022062102144101418222630343842[[#This Row],[O]]="o",Horodateur1123353819223134374346495255586164698522263438465058546266707478829098941021061141181101221261301341381421461501541581621661701741781821861901941982022062102144101418222630343842[[#This Row],[Durée (100)]],".")</f>
        <v>1</v>
      </c>
      <c r="N46" s="187"/>
      <c r="O46" s="71"/>
      <c r="P46" s="71"/>
      <c r="Q46" s="71"/>
      <c r="R46" s="71"/>
      <c r="S46" s="71"/>
      <c r="T46" s="71"/>
      <c r="U46" s="71"/>
      <c r="V46" s="71"/>
      <c r="W46" s="71"/>
      <c r="X46" s="71"/>
      <c r="Y46" s="71"/>
      <c r="Z46" s="71"/>
      <c r="AA46" s="71"/>
      <c r="AB46" s="71"/>
      <c r="AC46" s="71"/>
      <c r="AD46" s="71"/>
      <c r="AE46" s="71"/>
      <c r="AF46" s="71"/>
      <c r="AG46" s="71"/>
    </row>
    <row r="47" customFormat="false" ht="15" hidden="false" customHeight="false" outlineLevel="0" collapsed="false">
      <c r="A47" s="137"/>
      <c r="B47" s="187"/>
      <c r="C47" s="71"/>
      <c r="D47" s="1"/>
      <c r="E47" s="1"/>
      <c r="F47" s="71"/>
      <c r="G47" s="1"/>
      <c r="H47" s="1"/>
      <c r="I47" s="119"/>
      <c r="J47" s="271"/>
      <c r="K47" s="1"/>
      <c r="L47" s="188"/>
      <c r="M47" s="272"/>
      <c r="N47" s="187"/>
      <c r="O47" s="71"/>
      <c r="P47" s="71"/>
      <c r="Q47" s="71"/>
      <c r="R47" s="71"/>
      <c r="S47" s="71"/>
      <c r="T47" s="71"/>
      <c r="U47" s="71"/>
      <c r="V47" s="71"/>
      <c r="W47" s="71"/>
      <c r="X47" s="71"/>
      <c r="Y47" s="71"/>
      <c r="Z47" s="71"/>
      <c r="AA47" s="71"/>
      <c r="AB47" s="71"/>
      <c r="AC47" s="71"/>
      <c r="AD47" s="71"/>
      <c r="AE47" s="71"/>
      <c r="AF47" s="71"/>
      <c r="AG47" s="71"/>
    </row>
    <row r="48" customFormat="false" ht="15" hidden="false" customHeight="false" outlineLevel="0" collapsed="false">
      <c r="A48" s="137"/>
      <c r="B48" s="187"/>
      <c r="C48" s="71"/>
      <c r="D48" s="1"/>
      <c r="E48" s="1"/>
      <c r="F48" s="71"/>
      <c r="G48" s="1"/>
      <c r="H48" s="1"/>
      <c r="I48" s="119"/>
      <c r="J48" s="271"/>
      <c r="K48" s="1"/>
      <c r="L48" s="188"/>
      <c r="M48" s="272"/>
      <c r="N48" s="187"/>
      <c r="O48" s="71"/>
      <c r="P48" s="71"/>
      <c r="Q48" s="71"/>
      <c r="R48" s="71"/>
      <c r="S48" s="71"/>
      <c r="T48" s="71"/>
      <c r="U48" s="71"/>
      <c r="V48" s="71"/>
      <c r="W48" s="71"/>
      <c r="X48" s="71"/>
      <c r="Y48" s="71"/>
      <c r="Z48" s="71"/>
      <c r="AA48" s="71"/>
      <c r="AB48" s="71"/>
      <c r="AC48" s="71"/>
      <c r="AD48" s="71"/>
      <c r="AE48" s="71"/>
      <c r="AF48" s="71"/>
      <c r="AG48" s="71"/>
    </row>
    <row r="49" customFormat="false" ht="15" hidden="false" customHeight="false" outlineLevel="0" collapsed="false">
      <c r="A49" s="137"/>
      <c r="B49" s="187"/>
      <c r="C49" s="71"/>
      <c r="D49" s="1"/>
      <c r="E49" s="1"/>
      <c r="F49" s="71"/>
      <c r="G49" s="1"/>
      <c r="H49" s="1"/>
      <c r="I49" s="119"/>
      <c r="J49" s="271"/>
      <c r="K49" s="1"/>
      <c r="L49" s="188"/>
      <c r="M49" s="272"/>
      <c r="N49" s="187"/>
      <c r="O49" s="71"/>
      <c r="P49" s="71"/>
      <c r="Q49" s="71"/>
      <c r="R49" s="71"/>
      <c r="S49" s="71"/>
      <c r="T49" s="71"/>
      <c r="U49" s="71"/>
      <c r="V49" s="71"/>
      <c r="W49" s="71"/>
      <c r="X49" s="71"/>
      <c r="Y49" s="71"/>
      <c r="Z49" s="71"/>
      <c r="AA49" s="71"/>
      <c r="AB49" s="71"/>
      <c r="AC49" s="71"/>
      <c r="AD49" s="71"/>
      <c r="AE49" s="71"/>
      <c r="AF49" s="71"/>
      <c r="AG49" s="71"/>
    </row>
    <row r="50" customFormat="false" ht="15" hidden="false" customHeight="false" outlineLevel="0" collapsed="false">
      <c r="A50" s="137"/>
      <c r="B50" s="187"/>
      <c r="C50" s="71"/>
      <c r="D50" s="1"/>
      <c r="E50" s="1"/>
      <c r="F50" s="71"/>
      <c r="G50" s="1"/>
      <c r="H50" s="1"/>
      <c r="I50" s="119"/>
      <c r="J50" s="271"/>
      <c r="K50" s="1"/>
      <c r="L50" s="188"/>
      <c r="N50" s="187"/>
      <c r="O50" s="71"/>
      <c r="P50" s="71"/>
      <c r="Q50" s="71"/>
      <c r="R50" s="71"/>
      <c r="S50" s="71"/>
      <c r="T50" s="71"/>
      <c r="U50" s="71"/>
      <c r="V50" s="71"/>
      <c r="W50" s="71"/>
      <c r="X50" s="71"/>
      <c r="Y50" s="71"/>
      <c r="Z50" s="71"/>
      <c r="AA50" s="71"/>
      <c r="AB50" s="71"/>
      <c r="AC50" s="71"/>
      <c r="AD50" s="71"/>
      <c r="AE50" s="71"/>
      <c r="AF50" s="71"/>
      <c r="AG50" s="71"/>
    </row>
    <row r="51" customFormat="false" ht="15" hidden="false" customHeight="false" outlineLevel="0" collapsed="false">
      <c r="A51" s="274" t="s">
        <v>377</v>
      </c>
      <c r="B51" s="275" t="str">
        <f aca="false">SUM($A$97:$A$527) &amp; " heures"</f>
        <v>26.75 heures</v>
      </c>
      <c r="C51" s="276" t="str">
        <f aca="false">SUM($A$97:$A$518) / 8 &amp; " Jours"</f>
        <v>3.34375 Jours</v>
      </c>
      <c r="D51" s="277"/>
      <c r="E51" s="277" t="n">
        <v>33.25</v>
      </c>
      <c r="F51" s="278" t="n">
        <f aca="false">E51/8</f>
        <v>4.15625</v>
      </c>
      <c r="G51" s="277"/>
      <c r="H51" s="277"/>
      <c r="I51" s="279"/>
      <c r="J51" s="280"/>
      <c r="K51" s="277"/>
      <c r="L51" s="281"/>
      <c r="M51" s="282"/>
      <c r="N51" s="283"/>
      <c r="O51" s="277"/>
      <c r="P51" s="277"/>
      <c r="Q51" s="277"/>
      <c r="R51" s="277"/>
      <c r="S51" s="277"/>
      <c r="T51" s="277"/>
      <c r="U51" s="278"/>
      <c r="V51" s="278"/>
      <c r="W51" s="278"/>
      <c r="X51" s="278"/>
      <c r="Y51" s="278"/>
      <c r="Z51" s="278"/>
      <c r="AA51" s="278"/>
      <c r="AB51" s="278"/>
      <c r="AC51" s="278"/>
      <c r="AD51" s="278"/>
      <c r="AE51" s="278"/>
      <c r="AF51" s="278"/>
      <c r="AG51" s="278"/>
    </row>
    <row r="52" customFormat="false" ht="15" hidden="false" customHeight="false" outlineLevel="0" collapsed="false">
      <c r="A52" s="137"/>
      <c r="B52" s="187"/>
      <c r="C52" s="71"/>
      <c r="D52" s="1"/>
      <c r="E52" s="1"/>
      <c r="F52" s="71"/>
      <c r="G52" s="1"/>
      <c r="H52" s="1"/>
      <c r="I52" s="119"/>
      <c r="J52" s="271"/>
      <c r="K52" s="1"/>
      <c r="L52" s="188"/>
      <c r="M52" s="272"/>
      <c r="N52" s="187"/>
      <c r="O52" s="1"/>
      <c r="P52" s="1"/>
      <c r="Q52" s="1"/>
      <c r="R52" s="1"/>
      <c r="S52" s="1"/>
      <c r="T52" s="1"/>
      <c r="U52" s="71"/>
      <c r="V52" s="71"/>
      <c r="W52" s="71"/>
      <c r="X52" s="71"/>
      <c r="Y52" s="71"/>
      <c r="Z52" s="71"/>
      <c r="AA52" s="71"/>
      <c r="AB52" s="71"/>
      <c r="AC52" s="71"/>
      <c r="AD52" s="71"/>
      <c r="AE52" s="71"/>
      <c r="AF52" s="71"/>
      <c r="AG52" s="71"/>
    </row>
    <row r="53" customFormat="false" ht="15" hidden="true" customHeight="false" outlineLevel="1" collapsed="false">
      <c r="A53" s="137"/>
      <c r="B53" s="137"/>
      <c r="C53" s="137"/>
      <c r="D53" s="137"/>
      <c r="E53" s="1"/>
      <c r="F53" s="71"/>
      <c r="G53" s="1"/>
      <c r="H53" s="1"/>
      <c r="I53" s="119"/>
      <c r="J53" s="271"/>
      <c r="K53" s="1"/>
      <c r="L53" s="188"/>
      <c r="M53" s="272"/>
      <c r="N53" s="187"/>
      <c r="O53" s="1"/>
      <c r="P53" s="1"/>
      <c r="Q53" s="1"/>
      <c r="R53" s="1"/>
      <c r="S53" s="1"/>
      <c r="T53" s="1"/>
      <c r="U53" s="71"/>
      <c r="V53" s="71"/>
      <c r="W53" s="71"/>
      <c r="X53" s="71"/>
      <c r="Y53" s="71"/>
      <c r="Z53" s="71"/>
      <c r="AA53" s="71"/>
      <c r="AB53" s="71"/>
      <c r="AC53" s="71"/>
      <c r="AD53" s="71"/>
      <c r="AE53" s="71"/>
      <c r="AF53" s="71"/>
      <c r="AG53" s="71"/>
    </row>
    <row r="54" customFormat="false" ht="15" hidden="true" customHeight="false" outlineLevel="1" collapsed="false">
      <c r="A54" s="284" t="s">
        <v>84</v>
      </c>
      <c r="B54" s="285" t="s">
        <v>21</v>
      </c>
      <c r="C54" s="285" t="s">
        <v>20</v>
      </c>
      <c r="D54" s="285" t="s">
        <v>23</v>
      </c>
      <c r="E54" s="285" t="s">
        <v>25</v>
      </c>
      <c r="F54" s="285" t="s">
        <v>26</v>
      </c>
      <c r="G54" s="285" t="s">
        <v>378</v>
      </c>
      <c r="H54" s="285" t="s">
        <v>379</v>
      </c>
      <c r="I54" s="285" t="s">
        <v>380</v>
      </c>
      <c r="J54" s="286" t="s">
        <v>58</v>
      </c>
      <c r="K54" s="287"/>
      <c r="L54" s="288"/>
      <c r="M54" s="289"/>
      <c r="N54" s="187"/>
      <c r="O54" s="1"/>
      <c r="P54" s="1"/>
      <c r="Q54" s="1"/>
      <c r="R54" s="1"/>
      <c r="S54" s="1"/>
      <c r="T54" s="71"/>
      <c r="U54" s="71"/>
      <c r="V54" s="71"/>
      <c r="W54" s="71"/>
      <c r="X54" s="71"/>
      <c r="Y54" s="71"/>
      <c r="Z54" s="71"/>
      <c r="AA54" s="71"/>
      <c r="AB54" s="71"/>
      <c r="AC54" s="71"/>
      <c r="AD54" s="71"/>
      <c r="AE54" s="71"/>
      <c r="AF54" s="71"/>
    </row>
    <row r="55" customFormat="false" ht="15" hidden="true" customHeight="false" outlineLevel="1" collapsed="false">
      <c r="A55" s="187" t="s">
        <v>312</v>
      </c>
      <c r="B55" s="71" t="n">
        <f aca="false">SUMIFS(Horodateur1123353819223134374346495255586164698522263438465058546266707478829098941021061141181101221261301341381421461501541581621661701741781821861901941982022062102144101418222630343842[Durée (100)],Horodateur1123353819223134374346495255586164698522263438465058546266707478829098941021061141181101221261301341381421461501541581621661701741781821861901941982022062102144101418222630343842[Tâche],Taches_Jours122436391720293235414447505356596267832024323644485652606468727680889692100104112116108120124128132136140144148152156160164168172176180184188192196200204208212261216202428323640[[#Headers],[GB]],Horodateur1123353819223134374346495255586164698522263438465058546266707478829098941021061141181101221261301341381421461501541581621661701741781821861901941982022062102144101418222630343842[Jour],Taches_Jours122436391720293235414447505356596267832024323644485652606468727680889692100104112116108120124128132136140144148152156160164168172176180184188192196200204208212261216202428323640[[#This Row],[Jours]])</f>
        <v>1.5</v>
      </c>
      <c r="C55" s="71" t="n">
        <f aca="false">SUMIFS(Horodateur1123353819223134374346495255586164698522263438465058546266707478829098941021061141181101221261301341381421461501541581621661701741781821861901941982022062102144101418222630343842[Durée (100)],Horodateur1123353819223134374346495255586164698522263438465058546266707478829098941021061141181101221261301341381421461501541581621661701741781821861901941982022062102144101418222630343842[Tâche],Taches_Jours122436391720293235414447505356596267832024323644485652606468727680889692100104112116108120124128132136140144148152156160164168172176180184188192196200204208212261216202428323640[[#Headers],[RI]],Horodateur1123353819223134374346495255586164698522263438465058546266707478829098941021061141181101221261301341381421461501541581621661701741781821861901941982022062102144101418222630343842[Jour],Taches_Jours122436391720293235414447505356596267832024323644485652606468727680889692100104112116108120124128132136140144148152156160164168172176180184188192196200204208212261216202428323640[[#This Row],[Jours]])</f>
        <v>0.500000000000001</v>
      </c>
      <c r="D55" s="71" t="n">
        <f aca="false">SUMIFS(Horodateur1123353819223134374346495255586164698522263438465058546266707478829098941021061141181101221261301341381421461501541581621661701741781821861901941982022062102144101418222630343842[Durée (100)],Horodateur1123353819223134374346495255586164698522263438465058546266707478829098941021061141181101221261301341381421461501541581621661701741781821861901941982022062102144101418222630343842[Tâche],Taches_Jours122436391720293235414447505356596267832024323644485652606468727680889692100104112116108120124128132136140144148152156160164168172176180184188192196200204208212261216202428323640[[#Headers],[FG]],Horodateur1123353819223134374346495255586164698522263438465058546266707478829098941021061141181101221261301341381421461501541581621661701741781821861901941982022062102144101418222630343842[Jour],Taches_Jours122436391720293235414447505356596267832024323644485652606468727680889692100104112116108120124128132136140144148152156160164168172176180184188192196200204208212261216202428323640[[#This Row],[Jours]])</f>
        <v>0</v>
      </c>
      <c r="E55" s="71" t="n">
        <f aca="false">SUMIFS(Horodateur1123353819223134374346495255586164698522263438465058546266707478829098941021061141181101221261301341381421461501541581621661701741781821861901941982022062102144101418222630343842[Durée (100)],Horodateur1123353819223134374346495255586164698522263438465058546266707478829098941021061141181101221261301341381421461501541581621661701741781821861901941982022062102144101418222630343842[Tâche],Taches_Jours122436391720293235414447505356596267832024323644485652606468727680889692100104112116108120124128132136140144148152156160164168172176180184188192196200204208212261216202428323640[[#Headers],[PS]],Horodateur1123353819223134374346495255586164698522263438465058546266707478829098941021061141181101221261301341381421461501541581621661701741781821861901941982022062102144101418222630343842[Jour],Taches_Jours122436391720293235414447505356596267832024323644485652606468727680889692100104112116108120124128132136140144148152156160164168172176180184188192196200204208212261216202428323640[[#This Row],[Jours]])</f>
        <v>0</v>
      </c>
      <c r="F55" s="71" t="n">
        <f aca="false">SUMIFS(Horodateur1123353819223134374346495255586164698522263438465058546266707478829098941021061141181101221261301341381421461501541581621661701741781821861901941982022062102144101418222630343842[Durée (100)],Horodateur1123353819223134374346495255586164698522263438465058546266707478829098941021061141181101221261301341381421461501541581621661701741781821861901941982022062102144101418222630343842[Tâche],Taches_Jours122436391720293235414447505356596267832024323644485652606468727680889692100104112116108120124128132136140144148152156160164168172176180184188192196200204208212261216202428323640[[#Headers],[TD]],Horodateur1123353819223134374346495255586164698522263438465058546266707478829098941021061141181101221261301341381421461501541581621661701741781821861901941982022062102144101418222630343842[Jour],Taches_Jours122436391720293235414447505356596267832024323644485652606468727680889692100104112116108120124128132136140144148152156160164168172176180184188192196200204208212261216202428323640[[#This Row],[Jours]])</f>
        <v>0</v>
      </c>
      <c r="G55" s="71" t="n">
        <f aca="false">SUMIFS(Horodateur1123353819223134374346495255586164698522263438465058546266707478829098941021061141181101221261301341381421461501541581621661701741781821861901941982022062102144101418222630343842[Durée (100)],Horodateur1123353819223134374346495255586164698522263438465058546266707478829098941021061141181101221261301341381421461501541581621661701741781821861901941982022062102144101418222630343842[Tâche],Taches_Jours122436391720293235414447505356596267832024323644485652606468727680889692100104112116108120124128132136140144148152156160164168172176180184188192196200204208212261216202428323640[[#Headers],[GP]],Horodateur1123353819223134374346495255586164698522263438465058546266707478829098941021061141181101221261301341381421461501541581621661701741781821861901941982022062102144101418222630343842[Jour],Taches_Jours122436391720293235414447505356596267832024323644485652606468727680889692100104112116108120124128132136140144148152156160164168172176180184188192196200204208212261216202428323640[[#This Row],[Jours]])</f>
        <v>4</v>
      </c>
      <c r="H55" s="71" t="n">
        <f aca="false">SUMIFS(Horodateur1123353819223134374346495255586164698522263438465058546266707478829098941021061141181101221261301341381421461501541581621661701741781821861901941982022062102144101418222630343842[Durée (100)],Horodateur1123353819223134374346495255586164698522263438465058546266707478829098941021061141181101221261301341381421461501541581621661701741781821861901941982022062102144101418222630343842[Tâche],Taches_Jours122436391720293235414447505356596267832024323644485652606468727680889692100104112116108120124128132136140144148152156160164168172176180184188192196200204208212261216202428323640[[#Headers],[GP / SP]],Horodateur1123353819223134374346495255586164698522263438465058546266707478829098941021061141181101221261301341381421461501541581621661701741781821861901941982022062102144101418222630343842[Jour],Taches_Jours122436391720293235414447505356596267832024323644485652606468727680889692100104112116108120124128132136140144148152156160164168172176180184188192196200204208212261216202428323640[[#This Row],[Jours]])</f>
        <v>1</v>
      </c>
      <c r="I55" s="71" t="n">
        <f aca="false">SUMIFS(Horodateur1123353819223134374346495255586164698522263438465058546266707478829098941021061141181101221261301341381421461501541581621661701741781821861901941982022062102144101418222630343842[Durée (100)],Horodateur1123353819223134374346495255586164698522263438465058546266707478829098941021061141181101221261301341381421461501541581621661701741781821861901941982022062102144101418222630343842[Tâche],Taches_Jours122436391720293235414447505356596267832024323644485652606468727680889692100104112116108120124128132136140144148152156160164168172176180184188192196200204208212261216202428323640[[#Headers],[GP / SP]],Horodateur1123353819223134374346495255586164698522263438465058546266707478829098941021061141181101221261301341381421461501541581621661701741781821861901941982022062102144101418222630343842[Jour],Taches_Jours122436391720293235414447505356596267832024323644485652606468727680889692100104112116108120124128132136140144148152156160164168172176180184188192196200204208212261216202428323640[[#This Row],[Jours]])</f>
        <v>1</v>
      </c>
      <c r="J55" s="290" t="n">
        <f aca="false">SUM(Taches_Jours122436391720293235414447505356596267832024323644485652606468727680889692100104112116108120124128132136140144148152156160164168172176180184188192196200204208212261216202428323640[[#This Row],[GB]:[GP / SP]])</f>
        <v>7</v>
      </c>
      <c r="K55" s="188"/>
      <c r="L55" s="288"/>
      <c r="M55" s="289"/>
      <c r="N55" s="187"/>
      <c r="O55" s="1"/>
      <c r="P55" s="1"/>
      <c r="Q55" s="1"/>
      <c r="R55" s="1"/>
      <c r="S55" s="1"/>
      <c r="T55" s="71"/>
      <c r="U55" s="71"/>
      <c r="V55" s="71"/>
      <c r="W55" s="71"/>
      <c r="X55" s="71"/>
      <c r="Y55" s="71"/>
      <c r="Z55" s="71"/>
      <c r="AA55" s="71"/>
      <c r="AB55" s="71"/>
      <c r="AC55" s="71"/>
      <c r="AD55" s="71"/>
      <c r="AE55" s="71"/>
      <c r="AF55" s="71"/>
    </row>
    <row r="56" customFormat="false" ht="15" hidden="true" customHeight="false" outlineLevel="1" collapsed="false">
      <c r="A56" s="187" t="s">
        <v>319</v>
      </c>
      <c r="B56" s="71" t="n">
        <f aca="false">SUMIFS(Horodateur1123353819223134374346495255586164698522263438465058546266707478829098941021061141181101221261301341381421461501541581621661701741781821861901941982022062102144101418222630343842[Durée (100)],Horodateur1123353819223134374346495255586164698522263438465058546266707478829098941021061141181101221261301341381421461501541581621661701741781821861901941982022062102144101418222630343842[Tâche],Taches_Jours122436391720293235414447505356596267832024323644485652606468727680889692100104112116108120124128132136140144148152156160164168172176180184188192196200204208212261216202428323640[[#Headers],[GB]],Horodateur1123353819223134374346495255586164698522263438465058546266707478829098941021061141181101221261301341381421461501541581621661701741781821861901941982022062102144101418222630343842[Jour],Taches_Jours122436391720293235414447505356596267832024323644485652606468727680889692100104112116108120124128132136140144148152156160164168172176180184188192196200204208212261216202428323640[[#This Row],[Jours]])</f>
        <v>0.500000000000001</v>
      </c>
      <c r="C56" s="71" t="n">
        <f aca="false">SUMIFS(Horodateur1123353819223134374346495255586164698522263438465058546266707478829098941021061141181101221261301341381421461501541581621661701741781821861901941982022062102144101418222630343842[Durée (100)],Horodateur1123353819223134374346495255586164698522263438465058546266707478829098941021061141181101221261301341381421461501541581621661701741781821861901941982022062102144101418222630343842[Tâche],Taches_Jours122436391720293235414447505356596267832024323644485652606468727680889692100104112116108120124128132136140144148152156160164168172176180184188192196200204208212261216202428323640[[#Headers],[RI]],Horodateur1123353819223134374346495255586164698522263438465058546266707478829098941021061141181101221261301341381421461501541581621661701741781821861901941982022062102144101418222630343842[Jour],Taches_Jours122436391720293235414447505356596267832024323644485652606468727680889692100104112116108120124128132136140144148152156160164168172176180184188192196200204208212261216202428323640[[#This Row],[Jours]])</f>
        <v>0</v>
      </c>
      <c r="D56" s="71" t="n">
        <f aca="false">SUMIFS(Horodateur1123353819223134374346495255586164698522263438465058546266707478829098941021061141181101221261301341381421461501541581621661701741781821861901941982022062102144101418222630343842[Durée (100)],Horodateur1123353819223134374346495255586164698522263438465058546266707478829098941021061141181101221261301341381421461501541581621661701741781821861901941982022062102144101418222630343842[Tâche],Taches_Jours122436391720293235414447505356596267832024323644485652606468727680889692100104112116108120124128132136140144148152156160164168172176180184188192196200204208212261216202428323640[[#Headers],[FG]],Horodateur1123353819223134374346495255586164698522263438465058546266707478829098941021061141181101221261301341381421461501541581621661701741781821861901941982022062102144101418222630343842[Jour],Taches_Jours122436391720293235414447505356596267832024323644485652606468727680889692100104112116108120124128132136140144148152156160164168172176180184188192196200204208212261216202428323640[[#This Row],[Jours]])</f>
        <v>2</v>
      </c>
      <c r="E56" s="71" t="n">
        <f aca="false">SUMIFS(Horodateur1123353819223134374346495255586164698522263438465058546266707478829098941021061141181101221261301341381421461501541581621661701741781821861901941982022062102144101418222630343842[Durée (100)],Horodateur1123353819223134374346495255586164698522263438465058546266707478829098941021061141181101221261301341381421461501541581621661701741781821861901941982022062102144101418222630343842[Tâche],Taches_Jours122436391720293235414447505356596267832024323644485652606468727680889692100104112116108120124128132136140144148152156160164168172176180184188192196200204208212261216202428323640[[#Headers],[PS]],Horodateur1123353819223134374346495255586164698522263438465058546266707478829098941021061141181101221261301341381421461501541581621661701741781821861901941982022062102144101418222630343842[Jour],Taches_Jours122436391720293235414447505356596267832024323644485652606468727680889692100104112116108120124128132136140144148152156160164168172176180184188192196200204208212261216202428323640[[#This Row],[Jours]])</f>
        <v>0</v>
      </c>
      <c r="F56" s="71" t="n">
        <f aca="false">SUMIFS(Horodateur1123353819223134374346495255586164698522263438465058546266707478829098941021061141181101221261301341381421461501541581621661701741781821861901941982022062102144101418222630343842[Durée (100)],Horodateur1123353819223134374346495255586164698522263438465058546266707478829098941021061141181101221261301341381421461501541581621661701741781821861901941982022062102144101418222630343842[Tâche],Taches_Jours122436391720293235414447505356596267832024323644485652606468727680889692100104112116108120124128132136140144148152156160164168172176180184188192196200204208212261216202428323640[[#Headers],[TD]],Horodateur1123353819223134374346495255586164698522263438465058546266707478829098941021061141181101221261301341381421461501541581621661701741781821861901941982022062102144101418222630343842[Jour],Taches_Jours122436391720293235414447505356596267832024323644485652606468727680889692100104112116108120124128132136140144148152156160164168172176180184188192196200204208212261216202428323640[[#This Row],[Jours]])</f>
        <v>0</v>
      </c>
      <c r="G56" s="71" t="n">
        <f aca="false">SUMIFS(Horodateur1123353819223134374346495255586164698522263438465058546266707478829098941021061141181101221261301341381421461501541581621661701741781821861901941982022062102144101418222630343842[Durée (100)],Horodateur1123353819223134374346495255586164698522263438465058546266707478829098941021061141181101221261301341381421461501541581621661701741781821861901941982022062102144101418222630343842[Tâche],Taches_Jours122436391720293235414447505356596267832024323644485652606468727680889692100104112116108120124128132136140144148152156160164168172176180184188192196200204208212261216202428323640[[#Headers],[GP]],Horodateur1123353819223134374346495255586164698522263438465058546266707478829098941021061141181101221261301341381421461501541581621661701741781821861901941982022062102144101418222630343842[Jour],Taches_Jours122436391720293235414447505356596267832024323644485652606468727680889692100104112116108120124128132136140144148152156160164168172176180184188192196200204208212261216202428323640[[#This Row],[Jours]])</f>
        <v>6.25</v>
      </c>
      <c r="H56" s="71" t="n">
        <f aca="false">SUMIFS(Horodateur1123353819223134374346495255586164698522263438465058546266707478829098941021061141181101221261301341381421461501541581621661701741781821861901941982022062102144101418222630343842[Durée (100)],Horodateur1123353819223134374346495255586164698522263438465058546266707478829098941021061141181101221261301341381421461501541581621661701741781821861901941982022062102144101418222630343842[Tâche],Taches_Jours122436391720293235414447505356596267832024323644485652606468727680889692100104112116108120124128132136140144148152156160164168172176180184188192196200204208212261216202428323640[[#Headers],[GP / SP]],Horodateur1123353819223134374346495255586164698522263438465058546266707478829098941021061141181101221261301341381421461501541581621661701741781821861901941982022062102144101418222630343842[Jour],Taches_Jours122436391720293235414447505356596267832024323644485652606468727680889692100104112116108120124128132136140144148152156160164168172176180184188192196200204208212261216202428323640[[#This Row],[Jours]])</f>
        <v>0.499999999999998</v>
      </c>
      <c r="I56" s="71" t="n">
        <f aca="false">SUMIFS(Horodateur1123353819223134374346495255586164698522263438465058546266707478829098941021061141181101221261301341381421461501541581621661701741781821861901941982022062102144101418222630343842[Durée (100)],Horodateur1123353819223134374346495255586164698522263438465058546266707478829098941021061141181101221261301341381421461501541581621661701741781821861901941982022062102144101418222630343842[Tâche],Taches_Jours122436391720293235414447505356596267832024323644485652606468727680889692100104112116108120124128132136140144148152156160164168172176180184188192196200204208212261216202428323640[[#Headers],[GP / SP]],Horodateur1123353819223134374346495255586164698522263438465058546266707478829098941021061141181101221261301341381421461501541581621661701741781821861901941982022062102144101418222630343842[Jour],Taches_Jours122436391720293235414447505356596267832024323644485652606468727680889692100104112116108120124128132136140144148152156160164168172176180184188192196200204208212261216202428323640[[#This Row],[Jours]])</f>
        <v>0.499999999999998</v>
      </c>
      <c r="J56" s="290" t="n">
        <f aca="false">SUM(Taches_Jours122436391720293235414447505356596267832024323644485652606468727680889692100104112116108120124128132136140144148152156160164168172176180184188192196200204208212261216202428323640[[#This Row],[GB]:[GP / SP]])</f>
        <v>9.25</v>
      </c>
      <c r="K56" s="188"/>
      <c r="L56" s="288"/>
      <c r="M56" s="289"/>
      <c r="N56" s="187"/>
      <c r="O56" s="1"/>
      <c r="P56" s="1"/>
      <c r="Q56" s="1"/>
      <c r="R56" s="1"/>
      <c r="S56" s="1"/>
      <c r="T56" s="71"/>
      <c r="U56" s="71"/>
      <c r="V56" s="71"/>
      <c r="W56" s="71"/>
      <c r="X56" s="71"/>
      <c r="Y56" s="71"/>
      <c r="Z56" s="71"/>
      <c r="AA56" s="71"/>
      <c r="AB56" s="71"/>
      <c r="AC56" s="71"/>
      <c r="AD56" s="71"/>
      <c r="AE56" s="71"/>
      <c r="AF56" s="71"/>
    </row>
    <row r="57" customFormat="false" ht="15" hidden="true" customHeight="false" outlineLevel="1" collapsed="false">
      <c r="A57" s="187" t="s">
        <v>324</v>
      </c>
      <c r="B57" s="71" t="n">
        <f aca="false">SUMIFS(Horodateur1123353819223134374346495255586164698522263438465058546266707478829098941021061141181101221261301341381421461501541581621661701741781821861901941982022062102144101418222630343842[Durée (100)],Horodateur1123353819223134374346495255586164698522263438465058546266707478829098941021061141181101221261301341381421461501541581621661701741781821861901941982022062102144101418222630343842[Tâche],Taches_Jours122436391720293235414447505356596267832024323644485652606468727680889692100104112116108120124128132136140144148152156160164168172176180184188192196200204208212261216202428323640[[#Headers],[GB]],Horodateur1123353819223134374346495255586164698522263438465058546266707478829098941021061141181101221261301341381421461501541581621661701741781821861901941982022062102144101418222630343842[Jour],Taches_Jours122436391720293235414447505356596267832024323644485652606468727680889692100104112116108120124128132136140144148152156160164168172176180184188192196200204208212261216202428323640[[#This Row],[Jours]])</f>
        <v>0</v>
      </c>
      <c r="C57" s="71" t="n">
        <f aca="false">SUMIFS(Horodateur1123353819223134374346495255586164698522263438465058546266707478829098941021061141181101221261301341381421461501541581621661701741781821861901941982022062102144101418222630343842[Durée (100)],Horodateur1123353819223134374346495255586164698522263438465058546266707478829098941021061141181101221261301341381421461501541581621661701741781821861901941982022062102144101418222630343842[Tâche],Taches_Jours122436391720293235414447505356596267832024323644485652606468727680889692100104112116108120124128132136140144148152156160164168172176180184188192196200204208212261216202428323640[[#Headers],[RI]],Horodateur1123353819223134374346495255586164698522263438465058546266707478829098941021061141181101221261301341381421461501541581621661701741781821861901941982022062102144101418222630343842[Jour],Taches_Jours122436391720293235414447505356596267832024323644485652606468727680889692100104112116108120124128132136140144148152156160164168172176180184188192196200204208212261216202428323640[[#This Row],[Jours]])</f>
        <v>0</v>
      </c>
      <c r="D57" s="71" t="n">
        <f aca="false">SUMIFS(Horodateur1123353819223134374346495255586164698522263438465058546266707478829098941021061141181101221261301341381421461501541581621661701741781821861901941982022062102144101418222630343842[Durée (100)],Horodateur1123353819223134374346495255586164698522263438465058546266707478829098941021061141181101221261301341381421461501541581621661701741781821861901941982022062102144101418222630343842[Tâche],Taches_Jours122436391720293235414447505356596267832024323644485652606468727680889692100104112116108120124128132136140144148152156160164168172176180184188192196200204208212261216202428323640[[#Headers],[FG]],Horodateur1123353819223134374346495255586164698522263438465058546266707478829098941021061141181101221261301341381421461501541581621661701741781821861901941982022062102144101418222630343842[Jour],Taches_Jours122436391720293235414447505356596267832024323644485652606468727680889692100104112116108120124128132136140144148152156160164168172176180184188192196200204208212261216202428323640[[#This Row],[Jours]])</f>
        <v>0.749999999999999</v>
      </c>
      <c r="E57" s="71" t="n">
        <f aca="false">SUMIFS(Horodateur1123353819223134374346495255586164698522263438465058546266707478829098941021061141181101221261301341381421461501541581621661701741781821861901941982022062102144101418222630343842[Durée (100)],Horodateur1123353819223134374346495255586164698522263438465058546266707478829098941021061141181101221261301341381421461501541581621661701741781821861901941982022062102144101418222630343842[Tâche],Taches_Jours122436391720293235414447505356596267832024323644485652606468727680889692100104112116108120124128132136140144148152156160164168172176180184188192196200204208212261216202428323640[[#Headers],[PS]],Horodateur1123353819223134374346495255586164698522263438465058546266707478829098941021061141181101221261301341381421461501541581621661701741781821861901941982022062102144101418222630343842[Jour],Taches_Jours122436391720293235414447505356596267832024323644485652606468727680889692100104112116108120124128132136140144148152156160164168172176180184188192196200204208212261216202428323640[[#This Row],[Jours]])</f>
        <v>0</v>
      </c>
      <c r="F57" s="71" t="n">
        <f aca="false">SUMIFS(Horodateur1123353819223134374346495255586164698522263438465058546266707478829098941021061141181101221261301341381421461501541581621661701741781821861901941982022062102144101418222630343842[Durée (100)],Horodateur1123353819223134374346495255586164698522263438465058546266707478829098941021061141181101221261301341381421461501541581621661701741781821861901941982022062102144101418222630343842[Tâche],Taches_Jours122436391720293235414447505356596267832024323644485652606468727680889692100104112116108120124128132136140144148152156160164168172176180184188192196200204208212261216202428323640[[#Headers],[TD]],Horodateur1123353819223134374346495255586164698522263438465058546266707478829098941021061141181101221261301341381421461501541581621661701741781821861901941982022062102144101418222630343842[Jour],Taches_Jours122436391720293235414447505356596267832024323644485652606468727680889692100104112116108120124128132136140144148152156160164168172176180184188192196200204208212261216202428323640[[#This Row],[Jours]])</f>
        <v>0</v>
      </c>
      <c r="G57" s="71" t="n">
        <f aca="false">SUMIFS(Horodateur1123353819223134374346495255586164698522263438465058546266707478829098941021061141181101221261301341381421461501541581621661701741781821861901941982022062102144101418222630343842[Durée (100)],Horodateur1123353819223134374346495255586164698522263438465058546266707478829098941021061141181101221261301341381421461501541581621661701741781821861901941982022062102144101418222630343842[Tâche],Taches_Jours122436391720293235414447505356596267832024323644485652606468727680889692100104112116108120124128132136140144148152156160164168172176180184188192196200204208212261216202428323640[[#Headers],[GP]],Horodateur1123353819223134374346495255586164698522263438465058546266707478829098941021061141181101221261301341381421461501541581621661701741781821861901941982022062102144101418222630343842[Jour],Taches_Jours122436391720293235414447505356596267832024323644485652606468727680889692100104112116108120124128132136140144148152156160164168172176180184188192196200204208212261216202428323640[[#This Row],[Jours]])</f>
        <v>5.5</v>
      </c>
      <c r="H57" s="71" t="n">
        <f aca="false">SUMIFS(Horodateur1123353819223134374346495255586164698522263438465058546266707478829098941021061141181101221261301341381421461501541581621661701741781821861901941982022062102144101418222630343842[Durée (100)],Horodateur1123353819223134374346495255586164698522263438465058546266707478829098941021061141181101221261301341381421461501541581621661701741781821861901941982022062102144101418222630343842[Tâche],Taches_Jours122436391720293235414447505356596267832024323644485652606468727680889692100104112116108120124128132136140144148152156160164168172176180184188192196200204208212261216202428323640[[#Headers],[GP / SP]],Horodateur1123353819223134374346495255586164698522263438465058546266707478829098941021061141181101221261301341381421461501541581621661701741781821861901941982022062102144101418222630343842[Jour],Taches_Jours122436391720293235414447505356596267832024323644485652606468727680889692100104112116108120124128132136140144148152156160164168172176180184188192196200204208212261216202428323640[[#This Row],[Jours]])</f>
        <v>0</v>
      </c>
      <c r="I57" s="71" t="n">
        <f aca="false">SUMIFS(Horodateur1123353819223134374346495255586164698522263438465058546266707478829098941021061141181101221261301341381421461501541581621661701741781821861901941982022062102144101418222630343842[Durée (100)],Horodateur1123353819223134374346495255586164698522263438465058546266707478829098941021061141181101221261301341381421461501541581621661701741781821861901941982022062102144101418222630343842[Tâche],Taches_Jours122436391720293235414447505356596267832024323644485652606468727680889692100104112116108120124128132136140144148152156160164168172176180184188192196200204208212261216202428323640[[#Headers],[GP / SP]],Horodateur1123353819223134374346495255586164698522263438465058546266707478829098941021061141181101221261301341381421461501541581621661701741781821861901941982022062102144101418222630343842[Jour],Taches_Jours122436391720293235414447505356596267832024323644485652606468727680889692100104112116108120124128132136140144148152156160164168172176180184188192196200204208212261216202428323640[[#This Row],[Jours]])</f>
        <v>0</v>
      </c>
      <c r="J57" s="290" t="n">
        <f aca="false">SUM(Taches_Jours122436391720293235414447505356596267832024323644485652606468727680889692100104112116108120124128132136140144148152156160164168172176180184188192196200204208212261216202428323640[[#This Row],[GB]:[GP / SP]])</f>
        <v>6.25</v>
      </c>
      <c r="K57" s="188"/>
      <c r="L57" s="288"/>
      <c r="M57" s="289"/>
      <c r="N57" s="187"/>
      <c r="O57" s="1"/>
      <c r="P57" s="1"/>
      <c r="Q57" s="1"/>
      <c r="R57" s="1"/>
      <c r="S57" s="1"/>
      <c r="T57" s="71"/>
      <c r="U57" s="71"/>
      <c r="V57" s="71"/>
      <c r="W57" s="71"/>
      <c r="X57" s="71"/>
      <c r="Y57" s="71"/>
      <c r="Z57" s="71"/>
      <c r="AA57" s="71"/>
      <c r="AB57" s="71"/>
      <c r="AC57" s="71"/>
      <c r="AD57" s="71"/>
      <c r="AE57" s="71"/>
      <c r="AF57" s="71"/>
    </row>
    <row r="58" customFormat="false" ht="15" hidden="true" customHeight="false" outlineLevel="1" collapsed="false">
      <c r="A58" s="187" t="s">
        <v>332</v>
      </c>
      <c r="B58" s="71" t="n">
        <f aca="false">SUMIFS(Horodateur1123353819223134374346495255586164698522263438465058546266707478829098941021061141181101221261301341381421461501541581621661701741781821861901941982022062102144101418222630343842[Durée (100)],Horodateur1123353819223134374346495255586164698522263438465058546266707478829098941021061141181101221261301341381421461501541581621661701741781821861901941982022062102144101418222630343842[Tâche],Taches_Jours122436391720293235414447505356596267832024323644485652606468727680889692100104112116108120124128132136140144148152156160164168172176180184188192196200204208212261216202428323640[[#Headers],[GB]],Horodateur1123353819223134374346495255586164698522263438465058546266707478829098941021061141181101221261301341381421461501541581621661701741781821861901941982022062102144101418222630343842[Jour],Taches_Jours122436391720293235414447505356596267832024323644485652606468727680889692100104112116108120124128132136140144148152156160164168172176180184188192196200204208212261216202428323640[[#This Row],[Jours]])</f>
        <v>0.500000000000001</v>
      </c>
      <c r="C58" s="71" t="n">
        <f aca="false">SUMIFS(Horodateur1123353819223134374346495255586164698522263438465058546266707478829098941021061141181101221261301341381421461501541581621661701741781821861901941982022062102144101418222630343842[Durée (100)],Horodateur1123353819223134374346495255586164698522263438465058546266707478829098941021061141181101221261301341381421461501541581621661701741781821861901941982022062102144101418222630343842[Tâche],Taches_Jours122436391720293235414447505356596267832024323644485652606468727680889692100104112116108120124128132136140144148152156160164168172176180184188192196200204208212261216202428323640[[#Headers],[RI]],Horodateur1123353819223134374346495255586164698522263438465058546266707478829098941021061141181101221261301341381421461501541581621661701741781821861901941982022062102144101418222630343842[Jour],Taches_Jours122436391720293235414447505356596267832024323644485652606468727680889692100104112116108120124128132136140144148152156160164168172176180184188192196200204208212261216202428323640[[#This Row],[Jours]])</f>
        <v>0</v>
      </c>
      <c r="D58" s="71" t="n">
        <f aca="false">SUMIFS(Horodateur1123353819223134374346495255586164698522263438465058546266707478829098941021061141181101221261301341381421461501541581621661701741781821861901941982022062102144101418222630343842[Durée (100)],Horodateur1123353819223134374346495255586164698522263438465058546266707478829098941021061141181101221261301341381421461501541581621661701741781821861901941982022062102144101418222630343842[Tâche],Taches_Jours122436391720293235414447505356596267832024323644485652606468727680889692100104112116108120124128132136140144148152156160164168172176180184188192196200204208212261216202428323640[[#Headers],[FG]],Horodateur1123353819223134374346495255586164698522263438465058546266707478829098941021061141181101221261301341381421461501541581621661701741781821861901941982022062102144101418222630343842[Jour],Taches_Jours122436391720293235414447505356596267832024323644485652606468727680889692100104112116108120124128132136140144148152156160164168172176180184188192196200204208212261216202428323640[[#This Row],[Jours]])</f>
        <v>0</v>
      </c>
      <c r="E58" s="71" t="n">
        <f aca="false">SUMIFS(Horodateur1123353819223134374346495255586164698522263438465058546266707478829098941021061141181101221261301341381421461501541581621661701741781821861901941982022062102144101418222630343842[Durée (100)],Horodateur1123353819223134374346495255586164698522263438465058546266707478829098941021061141181101221261301341381421461501541581621661701741781821861901941982022062102144101418222630343842[Tâche],Taches_Jours122436391720293235414447505356596267832024323644485652606468727680889692100104112116108120124128132136140144148152156160164168172176180184188192196200204208212261216202428323640[[#Headers],[PS]],Horodateur1123353819223134374346495255586164698522263438465058546266707478829098941021061141181101221261301341381421461501541581621661701741781821861901941982022062102144101418222630343842[Jour],Taches_Jours122436391720293235414447505356596267832024323644485652606468727680889692100104112116108120124128132136140144148152156160164168172176180184188192196200204208212261216202428323640[[#This Row],[Jours]])</f>
        <v>0</v>
      </c>
      <c r="F58" s="71" t="n">
        <f aca="false">SUMIFS(Horodateur1123353819223134374346495255586164698522263438465058546266707478829098941021061141181101221261301341381421461501541581621661701741781821861901941982022062102144101418222630343842[Durée (100)],Horodateur1123353819223134374346495255586164698522263438465058546266707478829098941021061141181101221261301341381421461501541581621661701741781821861901941982022062102144101418222630343842[Tâche],Taches_Jours122436391720293235414447505356596267832024323644485652606468727680889692100104112116108120124128132136140144148152156160164168172176180184188192196200204208212261216202428323640[[#Headers],[TD]],Horodateur1123353819223134374346495255586164698522263438465058546266707478829098941021061141181101221261301341381421461501541581621661701741781821861901941982022062102144101418222630343842[Jour],Taches_Jours122436391720293235414447505356596267832024323644485652606468727680889692100104112116108120124128132136140144148152156160164168172176180184188192196200204208212261216202428323640[[#This Row],[Jours]])</f>
        <v>0</v>
      </c>
      <c r="G58" s="71" t="n">
        <f aca="false">SUMIFS(Horodateur1123353819223134374346495255586164698522263438465058546266707478829098941021061141181101221261301341381421461501541581621661701741781821861901941982022062102144101418222630343842[Durée (100)],Horodateur1123353819223134374346495255586164698522263438465058546266707478829098941021061141181101221261301341381421461501541581621661701741781821861901941982022062102144101418222630343842[Tâche],Taches_Jours122436391720293235414447505356596267832024323644485652606468727680889692100104112116108120124128132136140144148152156160164168172176180184188192196200204208212261216202428323640[[#Headers],[GP]],Horodateur1123353819223134374346495255586164698522263438465058546266707478829098941021061141181101221261301341381421461501541581621661701741781821861901941982022062102144101418222630343842[Jour],Taches_Jours122436391720293235414447505356596267832024323644485652606468727680889692100104112116108120124128132136140144148152156160164168172176180184188192196200204208212261216202428323640[[#This Row],[Jours]])</f>
        <v>4.75</v>
      </c>
      <c r="H58" s="71" t="n">
        <f aca="false">SUMIFS(Horodateur1123353819223134374346495255586164698522263438465058546266707478829098941021061141181101221261301341381421461501541581621661701741781821861901941982022062102144101418222630343842[Durée (100)],Horodateur1123353819223134374346495255586164698522263438465058546266707478829098941021061141181101221261301341381421461501541581621661701741781821861901941982022062102144101418222630343842[Tâche],Taches_Jours122436391720293235414447505356596267832024323644485652606468727680889692100104112116108120124128132136140144148152156160164168172176180184188192196200204208212261216202428323640[[#Headers],[GP / SP]],Horodateur1123353819223134374346495255586164698522263438465058546266707478829098941021061141181101221261301341381421461501541581621661701741781821861901941982022062102144101418222630343842[Jour],Taches_Jours122436391720293235414447505356596267832024323644485652606468727680889692100104112116108120124128132136140144148152156160164168172176180184188192196200204208212261216202428323640[[#This Row],[Jours]])</f>
        <v>0</v>
      </c>
      <c r="I58" s="71" t="n">
        <f aca="false">SUMIFS(Horodateur1123353819223134374346495255586164698522263438465058546266707478829098941021061141181101221261301341381421461501541581621661701741781821861901941982022062102144101418222630343842[Durée (100)],Horodateur1123353819223134374346495255586164698522263438465058546266707478829098941021061141181101221261301341381421461501541581621661701741781821861901941982022062102144101418222630343842[Tâche],Taches_Jours122436391720293235414447505356596267832024323644485652606468727680889692100104112116108120124128132136140144148152156160164168172176180184188192196200204208212261216202428323640[[#Headers],[GP / SP]],Horodateur1123353819223134374346495255586164698522263438465058546266707478829098941021061141181101221261301341381421461501541581621661701741781821861901941982022062102144101418222630343842[Jour],Taches_Jours122436391720293235414447505356596267832024323644485652606468727680889692100104112116108120124128132136140144148152156160164168172176180184188192196200204208212261216202428323640[[#This Row],[Jours]])</f>
        <v>0</v>
      </c>
      <c r="J58" s="290" t="n">
        <f aca="false">SUM(Taches_Jours122436391720293235414447505356596267832024323644485652606468727680889692100104112116108120124128132136140144148152156160164168172176180184188192196200204208212261216202428323640[[#This Row],[GB]:[GP / SP]])</f>
        <v>5.25</v>
      </c>
      <c r="K58" s="188"/>
      <c r="L58" s="288"/>
      <c r="M58" s="289"/>
      <c r="N58" s="187"/>
      <c r="O58" s="71"/>
      <c r="P58" s="71"/>
      <c r="Q58" s="71"/>
      <c r="R58" s="71"/>
      <c r="S58" s="71"/>
      <c r="T58" s="71"/>
      <c r="U58" s="71"/>
      <c r="V58" s="71"/>
      <c r="W58" s="71"/>
      <c r="X58" s="71"/>
      <c r="Y58" s="71"/>
      <c r="Z58" s="71"/>
      <c r="AA58" s="71"/>
      <c r="AB58" s="71"/>
      <c r="AC58" s="71"/>
      <c r="AD58" s="71"/>
      <c r="AE58" s="71"/>
      <c r="AF58" s="71"/>
    </row>
    <row r="59" customFormat="false" ht="15" hidden="true" customHeight="false" outlineLevel="1" collapsed="false">
      <c r="A59" s="187" t="s">
        <v>335</v>
      </c>
      <c r="B59" s="71" t="n">
        <f aca="false">SUMIFS(Horodateur1123353819223134374346495255586164698522263438465058546266707478829098941021061141181101221261301341381421461501541581621661701741781821861901941982022062102144101418222630343842[Durée (100)],Horodateur1123353819223134374346495255586164698522263438465058546266707478829098941021061141181101221261301341381421461501541581621661701741781821861901941982022062102144101418222630343842[Tâche],Taches_Jours122436391720293235414447505356596267832024323644485652606468727680889692100104112116108120124128132136140144148152156160164168172176180184188192196200204208212261216202428323640[[#Headers],[GB]],Horodateur1123353819223134374346495255586164698522263438465058546266707478829098941021061141181101221261301341381421461501541581621661701741781821861901941982022062102144101418222630343842[Jour],Taches_Jours122436391720293235414447505356596267832024323644485652606468727680889692100104112116108120124128132136140144148152156160164168172176180184188192196200204208212261216202428323640[[#This Row],[Jours]])</f>
        <v>1</v>
      </c>
      <c r="C59" s="71" t="n">
        <f aca="false">SUMIFS(Horodateur1123353819223134374346495255586164698522263438465058546266707478829098941021061141181101221261301341381421461501541581621661701741781821861901941982022062102144101418222630343842[Durée (100)],Horodateur1123353819223134374346495255586164698522263438465058546266707478829098941021061141181101221261301341381421461501541581621661701741781821861901941982022062102144101418222630343842[Tâche],Taches_Jours122436391720293235414447505356596267832024323644485652606468727680889692100104112116108120124128132136140144148152156160164168172176180184188192196200204208212261216202428323640[[#Headers],[RI]],Horodateur1123353819223134374346495255586164698522263438465058546266707478829098941021061141181101221261301341381421461501541581621661701741781821861901941982022062102144101418222630343842[Jour],Taches_Jours122436391720293235414447505356596267832024323644485652606468727680889692100104112116108120124128132136140144148152156160164168172176180184188192196200204208212261216202428323640[[#This Row],[Jours]])</f>
        <v>0</v>
      </c>
      <c r="D59" s="71" t="n">
        <f aca="false">SUMIFS(Horodateur1123353819223134374346495255586164698522263438465058546266707478829098941021061141181101221261301341381421461501541581621661701741781821861901941982022062102144101418222630343842[Durée (100)],Horodateur1123353819223134374346495255586164698522263438465058546266707478829098941021061141181101221261301341381421461501541581621661701741781821861901941982022062102144101418222630343842[Tâche],Taches_Jours122436391720293235414447505356596267832024323644485652606468727680889692100104112116108120124128132136140144148152156160164168172176180184188192196200204208212261216202428323640[[#Headers],[FG]],Horodateur1123353819223134374346495255586164698522263438465058546266707478829098941021061141181101221261301341381421461501541581621661701741781821861901941982022062102144101418222630343842[Jour],Taches_Jours122436391720293235414447505356596267832024323644485652606468727680889692100104112116108120124128132136140144148152156160164168172176180184188192196200204208212261216202428323640[[#This Row],[Jours]])</f>
        <v>1.5</v>
      </c>
      <c r="E59" s="71" t="n">
        <f aca="false">SUMIFS(Horodateur1123353819223134374346495255586164698522263438465058546266707478829098941021061141181101221261301341381421461501541581621661701741781821861901941982022062102144101418222630343842[Durée (100)],Horodateur1123353819223134374346495255586164698522263438465058546266707478829098941021061141181101221261301341381421461501541581621661701741781821861901941982022062102144101418222630343842[Tâche],Taches_Jours122436391720293235414447505356596267832024323644485652606468727680889692100104112116108120124128132136140144148152156160164168172176180184188192196200204208212261216202428323640[[#Headers],[PS]],Horodateur1123353819223134374346495255586164698522263438465058546266707478829098941021061141181101221261301341381421461501541581621661701741781821861901941982022062102144101418222630343842[Jour],Taches_Jours122436391720293235414447505356596267832024323644485652606468727680889692100104112116108120124128132136140144148152156160164168172176180184188192196200204208212261216202428323640[[#This Row],[Jours]])</f>
        <v>0</v>
      </c>
      <c r="F59" s="71" t="n">
        <f aca="false">SUMIFS(Horodateur1123353819223134374346495255586164698522263438465058546266707478829098941021061141181101221261301341381421461501541581621661701741781821861901941982022062102144101418222630343842[Durée (100)],Horodateur1123353819223134374346495255586164698522263438465058546266707478829098941021061141181101221261301341381421461501541581621661701741781821861901941982022062102144101418222630343842[Tâche],Taches_Jours122436391720293235414447505356596267832024323644485652606468727680889692100104112116108120124128132136140144148152156160164168172176180184188192196200204208212261216202428323640[[#Headers],[TD]],Horodateur1123353819223134374346495255586164698522263438465058546266707478829098941021061141181101221261301341381421461501541581621661701741781821861901941982022062102144101418222630343842[Jour],Taches_Jours122436391720293235414447505356596267832024323644485652606468727680889692100104112116108120124128132136140144148152156160164168172176180184188192196200204208212261216202428323640[[#This Row],[Jours]])</f>
        <v>0</v>
      </c>
      <c r="G59" s="71" t="n">
        <f aca="false">SUMIFS(Horodateur1123353819223134374346495255586164698522263438465058546266707478829098941021061141181101221261301341381421461501541581621661701741781821861901941982022062102144101418222630343842[Durée (100)],Horodateur1123353819223134374346495255586164698522263438465058546266707478829098941021061141181101221261301341381421461501541581621661701741781821861901941982022062102144101418222630343842[Tâche],Taches_Jours122436391720293235414447505356596267832024323644485652606468727680889692100104112116108120124128132136140144148152156160164168172176180184188192196200204208212261216202428323640[[#Headers],[GP]],Horodateur1123353819223134374346495255586164698522263438465058546266707478829098941021061141181101221261301341381421461501541581621661701741781821861901941982022062102144101418222630343842[Jour],Taches_Jours122436391720293235414447505356596267832024323644485652606468727680889692100104112116108120124128132136140144148152156160164168172176180184188192196200204208212261216202428323640[[#This Row],[Jours]])</f>
        <v>2.5</v>
      </c>
      <c r="H59" s="71" t="n">
        <f aca="false">SUMIFS(Horodateur1123353819223134374346495255586164698522263438465058546266707478829098941021061141181101221261301341381421461501541581621661701741781821861901941982022062102144101418222630343842[Durée (100)],Horodateur1123353819223134374346495255586164698522263438465058546266707478829098941021061141181101221261301341381421461501541581621661701741781821861901941982022062102144101418222630343842[Tâche],Taches_Jours122436391720293235414447505356596267832024323644485652606468727680889692100104112116108120124128132136140144148152156160164168172176180184188192196200204208212261216202428323640[[#Headers],[GP / SP]],Horodateur1123353819223134374346495255586164698522263438465058546266707478829098941021061141181101221261301341381421461501541581621661701741781821861901941982022062102144101418222630343842[Jour],Taches_Jours122436391720293235414447505356596267832024323644485652606468727680889692100104112116108120124128132136140144148152156160164168172176180184188192196200204208212261216202428323640[[#This Row],[Jours]])</f>
        <v>0.5</v>
      </c>
      <c r="I59" s="71" t="n">
        <f aca="false">SUMIFS(Horodateur1123353819223134374346495255586164698522263438465058546266707478829098941021061141181101221261301341381421461501541581621661701741781821861901941982022062102144101418222630343842[Durée (100)],Horodateur1123353819223134374346495255586164698522263438465058546266707478829098941021061141181101221261301341381421461501541581621661701741781821861901941982022062102144101418222630343842[Tâche],Taches_Jours122436391720293235414447505356596267832024323644485652606468727680889692100104112116108120124128132136140144148152156160164168172176180184188192196200204208212261216202428323640[[#Headers],[GP / SP]],Horodateur1123353819223134374346495255586164698522263438465058546266707478829098941021061141181101221261301341381421461501541581621661701741781821861901941982022062102144101418222630343842[Jour],Taches_Jours122436391720293235414447505356596267832024323644485652606468727680889692100104112116108120124128132136140144148152156160164168172176180184188192196200204208212261216202428323640[[#This Row],[Jours]])</f>
        <v>0.5</v>
      </c>
      <c r="J59" s="290" t="n">
        <f aca="false">SUM(Taches_Jours122436391720293235414447505356596267832024323644485652606468727680889692100104112116108120124128132136140144148152156160164168172176180184188192196200204208212261216202428323640[[#This Row],[GB]:[GP / SP]])</f>
        <v>5.5</v>
      </c>
      <c r="K59" s="188"/>
      <c r="L59" s="288"/>
      <c r="M59" s="289"/>
      <c r="N59" s="187"/>
      <c r="O59" s="1"/>
      <c r="P59" s="1"/>
      <c r="Q59" s="1"/>
      <c r="R59" s="1"/>
      <c r="S59" s="1"/>
      <c r="T59" s="71"/>
      <c r="U59" s="71"/>
      <c r="V59" s="71"/>
      <c r="W59" s="71"/>
      <c r="X59" s="71"/>
      <c r="Y59" s="71"/>
      <c r="Z59" s="71"/>
      <c r="AA59" s="71"/>
      <c r="AB59" s="71"/>
      <c r="AC59" s="71"/>
      <c r="AD59" s="71"/>
      <c r="AE59" s="71"/>
      <c r="AF59" s="71"/>
    </row>
    <row r="60" customFormat="false" ht="15" hidden="true" customHeight="false" outlineLevel="1" collapsed="false">
      <c r="A60" s="187" t="s">
        <v>341</v>
      </c>
      <c r="B60" s="71" t="n">
        <f aca="false">SUMIFS(Horodateur1123353819223134374346495255586164698522263438465058546266707478829098941021061141181101221261301341381421461501541581621661701741781821861901941982022062102144101418222630343842[Durée (100)],Horodateur1123353819223134374346495255586164698522263438465058546266707478829098941021061141181101221261301341381421461501541581621661701741781821861901941982022062102144101418222630343842[Tâche],Taches_Jours122436391720293235414447505356596267832024323644485652606468727680889692100104112116108120124128132136140144148152156160164168172176180184188192196200204208212261216202428323640[[#Headers],[GB]],Horodateur1123353819223134374346495255586164698522263438465058546266707478829098941021061141181101221261301341381421461501541581621661701741781821861901941982022062102144101418222630343842[Jour],Taches_Jours122436391720293235414447505356596267832024323644485652606468727680889692100104112116108120124128132136140144148152156160164168172176180184188192196200204208212261216202428323640[[#This Row],[Jours]])</f>
        <v>0</v>
      </c>
      <c r="C60" s="71" t="n">
        <f aca="false">SUMIFS(Horodateur1123353819223134374346495255586164698522263438465058546266707478829098941021061141181101221261301341381421461501541581621661701741781821861901941982022062102144101418222630343842[Durée (100)],Horodateur1123353819223134374346495255586164698522263438465058546266707478829098941021061141181101221261301341381421461501541581621661701741781821861901941982022062102144101418222630343842[Tâche],Taches_Jours122436391720293235414447505356596267832024323644485652606468727680889692100104112116108120124128132136140144148152156160164168172176180184188192196200204208212261216202428323640[[#Headers],[RI]],Horodateur1123353819223134374346495255586164698522263438465058546266707478829098941021061141181101221261301341381421461501541581621661701741781821861901941982022062102144101418222630343842[Jour],Taches_Jours122436391720293235414447505356596267832024323644485652606468727680889692100104112116108120124128132136140144148152156160164168172176180184188192196200204208212261216202428323640[[#This Row],[Jours]])</f>
        <v>0</v>
      </c>
      <c r="D60" s="71" t="n">
        <f aca="false">SUMIFS(Horodateur1123353819223134374346495255586164698522263438465058546266707478829098941021061141181101221261301341381421461501541581621661701741781821861901941982022062102144101418222630343842[Durée (100)],Horodateur1123353819223134374346495255586164698522263438465058546266707478829098941021061141181101221261301341381421461501541581621661701741781821861901941982022062102144101418222630343842[Tâche],Taches_Jours122436391720293235414447505356596267832024323644485652606468727680889692100104112116108120124128132136140144148152156160164168172176180184188192196200204208212261216202428323640[[#Headers],[FG]],Horodateur1123353819223134374346495255586164698522263438465058546266707478829098941021061141181101221261301341381421461501541581621661701741781821861901941982022062102144101418222630343842[Jour],Taches_Jours122436391720293235414447505356596267832024323644485652606468727680889692100104112116108120124128132136140144148152156160164168172176180184188192196200204208212261216202428323640[[#This Row],[Jours]])</f>
        <v>0</v>
      </c>
      <c r="E60" s="71" t="n">
        <f aca="false">SUMIFS(Horodateur1123353819223134374346495255586164698522263438465058546266707478829098941021061141181101221261301341381421461501541581621661701741781821861901941982022062102144101418222630343842[Durée (100)],Horodateur1123353819223134374346495255586164698522263438465058546266707478829098941021061141181101221261301341381421461501541581621661701741781821861901941982022062102144101418222630343842[Tâche],Taches_Jours122436391720293235414447505356596267832024323644485652606468727680889692100104112116108120124128132136140144148152156160164168172176180184188192196200204208212261216202428323640[[#Headers],[PS]],Horodateur1123353819223134374346495255586164698522263438465058546266707478829098941021061141181101221261301341381421461501541581621661701741781821861901941982022062102144101418222630343842[Jour],Taches_Jours122436391720293235414447505356596267832024323644485652606468727680889692100104112116108120124128132136140144148152156160164168172176180184188192196200204208212261216202428323640[[#This Row],[Jours]])</f>
        <v>0</v>
      </c>
      <c r="F60" s="71" t="n">
        <f aca="false">SUMIFS(Horodateur1123353819223134374346495255586164698522263438465058546266707478829098941021061141181101221261301341381421461501541581621661701741781821861901941982022062102144101418222630343842[Durée (100)],Horodateur1123353819223134374346495255586164698522263438465058546266707478829098941021061141181101221261301341381421461501541581621661701741781821861901941982022062102144101418222630343842[Tâche],Taches_Jours122436391720293235414447505356596267832024323644485652606468727680889692100104112116108120124128132136140144148152156160164168172176180184188192196200204208212261216202428323640[[#Headers],[TD]],Horodateur1123353819223134374346495255586164698522263438465058546266707478829098941021061141181101221261301341381421461501541581621661701741781821861901941982022062102144101418222630343842[Jour],Taches_Jours122436391720293235414447505356596267832024323644485652606468727680889692100104112116108120124128132136140144148152156160164168172176180184188192196200204208212261216202428323640[[#This Row],[Jours]])</f>
        <v>0</v>
      </c>
      <c r="G60" s="71" t="n">
        <f aca="false">SUMIFS(Horodateur1123353819223134374346495255586164698522263438465058546266707478829098941021061141181101221261301341381421461501541581621661701741781821861901941982022062102144101418222630343842[Durée (100)],Horodateur1123353819223134374346495255586164698522263438465058546266707478829098941021061141181101221261301341381421461501541581621661701741781821861901941982022062102144101418222630343842[Tâche],Taches_Jours122436391720293235414447505356596267832024323644485652606468727680889692100104112116108120124128132136140144148152156160164168172176180184188192196200204208212261216202428323640[[#Headers],[GP]],Horodateur1123353819223134374346495255586164698522263438465058546266707478829098941021061141181101221261301341381421461501541581621661701741781821861901941982022062102144101418222630343842[Jour],Taches_Jours122436391720293235414447505356596267832024323644485652606468727680889692100104112116108120124128132136140144148152156160164168172176180184188192196200204208212261216202428323640[[#This Row],[Jours]])</f>
        <v>0</v>
      </c>
      <c r="H60" s="71" t="n">
        <f aca="false">SUMIFS(Horodateur1123353819223134374346495255586164698522263438465058546266707478829098941021061141181101221261301341381421461501541581621661701741781821861901941982022062102144101418222630343842[Durée (100)],Horodateur1123353819223134374346495255586164698522263438465058546266707478829098941021061141181101221261301341381421461501541581621661701741781821861901941982022062102144101418222630343842[Tâche],Taches_Jours122436391720293235414447505356596267832024323644485652606468727680889692100104112116108120124128132136140144148152156160164168172176180184188192196200204208212261216202428323640[[#Headers],[GP / SP]],Horodateur1123353819223134374346495255586164698522263438465058546266707478829098941021061141181101221261301341381421461501541581621661701741781821861901941982022062102144101418222630343842[Jour],Taches_Jours122436391720293235414447505356596267832024323644485652606468727680889692100104112116108120124128132136140144148152156160164168172176180184188192196200204208212261216202428323640[[#This Row],[Jours]])</f>
        <v>0</v>
      </c>
      <c r="I60" s="290" t="n">
        <f aca="false">SUMIFS(Horodateur1123353819223134374346495255586164698522263438465058546266707478829098941021061141181101221261301341381421461501541581621661701741781821861901941982022062102144101418222630343842[Durée (100)],Horodateur1123353819223134374346495255586164698522263438465058546266707478829098941021061141181101221261301341381421461501541581621661701741781821861901941982022062102144101418222630343842[Tâche],Taches_Jours122436391720293235414447505356596267832024323644485652606468727680889692100104112116108120124128132136140144148152156160164168172176180184188192196200204208212261216202428323640[[#Headers],[GP / SP]],Horodateur1123353819223134374346495255586164698522263438465058546266707478829098941021061141181101221261301341381421461501541581621661701741781821861901941982022062102144101418222630343842[Jour],Taches_Jours122436391720293235414447505356596267832024323644485652606468727680889692100104112116108120124128132136140144148152156160164168172176180184188192196200204208212261216202428323640[[#This Row],[Jours]])</f>
        <v>0</v>
      </c>
      <c r="J60" s="71" t="n">
        <f aca="false">SUM(Taches_Jours122436391720293235414447505356596267832024323644485652606468727680889692100104112116108120124128132136140144148152156160164168172176180184188192196200204208212261216202428323640[[#This Row],[GB]:[GP / SP]])</f>
        <v>0</v>
      </c>
      <c r="K60" s="188"/>
      <c r="L60" s="288"/>
      <c r="M60" s="289"/>
      <c r="N60" s="187"/>
      <c r="O60" s="1"/>
      <c r="P60" s="1"/>
      <c r="Q60" s="1"/>
      <c r="R60" s="1"/>
      <c r="S60" s="1"/>
      <c r="T60" s="71"/>
      <c r="U60" s="71"/>
      <c r="V60" s="71"/>
      <c r="W60" s="71"/>
      <c r="X60" s="71"/>
      <c r="Y60" s="71"/>
      <c r="Z60" s="71"/>
      <c r="AA60" s="71"/>
      <c r="AB60" s="71"/>
      <c r="AC60" s="71"/>
      <c r="AD60" s="71"/>
      <c r="AE60" s="71"/>
      <c r="AF60" s="71"/>
    </row>
    <row r="61" customFormat="false" ht="15" hidden="true" customHeight="false" outlineLevel="1" collapsed="false">
      <c r="A61" s="187" t="s">
        <v>381</v>
      </c>
      <c r="B61" s="71" t="n">
        <f aca="false">SUMIFS(Horodateur1123353819223134374346495255586164698522263438465058546266707478829098941021061141181101221261301341381421461501541581621661701741781821861901941982022062102144101418222630343842[Durée (100)],Horodateur1123353819223134374346495255586164698522263438465058546266707478829098941021061141181101221261301341381421461501541581621661701741781821861901941982022062102144101418222630343842[Tâche],Taches_Jours122436391720293235414447505356596267832024323644485652606468727680889692100104112116108120124128132136140144148152156160164168172176180184188192196200204208212261216202428323640[[#Headers],[GB]],Horodateur1123353819223134374346495255586164698522263438465058546266707478829098941021061141181101221261301341381421461501541581621661701741781821861901941982022062102144101418222630343842[Jour],Taches_Jours122436391720293235414447505356596267832024323644485652606468727680889692100104112116108120124128132136140144148152156160164168172176180184188192196200204208212261216202428323640[[#This Row],[Jours]])</f>
        <v>0</v>
      </c>
      <c r="C61" s="71" t="n">
        <f aca="false">SUMIFS(Horodateur1123353819223134374346495255586164698522263438465058546266707478829098941021061141181101221261301341381421461501541581621661701741781821861901941982022062102144101418222630343842[Durée (100)],Horodateur1123353819223134374346495255586164698522263438465058546266707478829098941021061141181101221261301341381421461501541581621661701741781821861901941982022062102144101418222630343842[Tâche],Taches_Jours122436391720293235414447505356596267832024323644485652606468727680889692100104112116108120124128132136140144148152156160164168172176180184188192196200204208212261216202428323640[[#Headers],[RI]],Horodateur1123353819223134374346495255586164698522263438465058546266707478829098941021061141181101221261301341381421461501541581621661701741781821861901941982022062102144101418222630343842[Jour],Taches_Jours122436391720293235414447505356596267832024323644485652606468727680889692100104112116108120124128132136140144148152156160164168172176180184188192196200204208212261216202428323640[[#This Row],[Jours]])</f>
        <v>0</v>
      </c>
      <c r="D61" s="71" t="n">
        <f aca="false">SUMIFS(Horodateur1123353819223134374346495255586164698522263438465058546266707478829098941021061141181101221261301341381421461501541581621661701741781821861901941982022062102144101418222630343842[Durée (100)],Horodateur1123353819223134374346495255586164698522263438465058546266707478829098941021061141181101221261301341381421461501541581621661701741781821861901941982022062102144101418222630343842[Tâche],Taches_Jours122436391720293235414447505356596267832024323644485652606468727680889692100104112116108120124128132136140144148152156160164168172176180184188192196200204208212261216202428323640[[#Headers],[FG]],Horodateur1123353819223134374346495255586164698522263438465058546266707478829098941021061141181101221261301341381421461501541581621661701741781821861901941982022062102144101418222630343842[Jour],Taches_Jours122436391720293235414447505356596267832024323644485652606468727680889692100104112116108120124128132136140144148152156160164168172176180184188192196200204208212261216202428323640[[#This Row],[Jours]])</f>
        <v>0</v>
      </c>
      <c r="E61" s="71" t="n">
        <f aca="false">SUMIFS(Horodateur1123353819223134374346495255586164698522263438465058546266707478829098941021061141181101221261301341381421461501541581621661701741781821861901941982022062102144101418222630343842[Durée (100)],Horodateur1123353819223134374346495255586164698522263438465058546266707478829098941021061141181101221261301341381421461501541581621661701741781821861901941982022062102144101418222630343842[Tâche],Taches_Jours122436391720293235414447505356596267832024323644485652606468727680889692100104112116108120124128132136140144148152156160164168172176180184188192196200204208212261216202428323640[[#Headers],[PS]],Horodateur1123353819223134374346495255586164698522263438465058546266707478829098941021061141181101221261301341381421461501541581621661701741781821861901941982022062102144101418222630343842[Jour],Taches_Jours122436391720293235414447505356596267832024323644485652606468727680889692100104112116108120124128132136140144148152156160164168172176180184188192196200204208212261216202428323640[[#This Row],[Jours]])</f>
        <v>0</v>
      </c>
      <c r="F61" s="71" t="n">
        <f aca="false">SUMIFS(Horodateur1123353819223134374346495255586164698522263438465058546266707478829098941021061141181101221261301341381421461501541581621661701741781821861901941982022062102144101418222630343842[Durée (100)],Horodateur1123353819223134374346495255586164698522263438465058546266707478829098941021061141181101221261301341381421461501541581621661701741781821861901941982022062102144101418222630343842[Tâche],Taches_Jours122436391720293235414447505356596267832024323644485652606468727680889692100104112116108120124128132136140144148152156160164168172176180184188192196200204208212261216202428323640[[#Headers],[TD]],Horodateur1123353819223134374346495255586164698522263438465058546266707478829098941021061141181101221261301341381421461501541581621661701741781821861901941982022062102144101418222630343842[Jour],Taches_Jours122436391720293235414447505356596267832024323644485652606468727680889692100104112116108120124128132136140144148152156160164168172176180184188192196200204208212261216202428323640[[#This Row],[Jours]])</f>
        <v>0</v>
      </c>
      <c r="G61" s="71" t="n">
        <f aca="false">SUMIFS(Horodateur1123353819223134374346495255586164698522263438465058546266707478829098941021061141181101221261301341381421461501541581621661701741781821861901941982022062102144101418222630343842[Durée (100)],Horodateur1123353819223134374346495255586164698522263438465058546266707478829098941021061141181101221261301341381421461501541581621661701741781821861901941982022062102144101418222630343842[Tâche],Taches_Jours122436391720293235414447505356596267832024323644485652606468727680889692100104112116108120124128132136140144148152156160164168172176180184188192196200204208212261216202428323640[[#Headers],[GP]],Horodateur1123353819223134374346495255586164698522263438465058546266707478829098941021061141181101221261301341381421461501541581621661701741781821861901941982022062102144101418222630343842[Jour],Taches_Jours122436391720293235414447505356596267832024323644485652606468727680889692100104112116108120124128132136140144148152156160164168172176180184188192196200204208212261216202428323640[[#This Row],[Jours]])</f>
        <v>0</v>
      </c>
      <c r="H61" s="71" t="n">
        <f aca="false">SUMIFS(Horodateur1123353819223134374346495255586164698522263438465058546266707478829098941021061141181101221261301341381421461501541581621661701741781821861901941982022062102144101418222630343842[Durée (100)],Horodateur1123353819223134374346495255586164698522263438465058546266707478829098941021061141181101221261301341381421461501541581621661701741781821861901941982022062102144101418222630343842[Tâche],Taches_Jours122436391720293235414447505356596267832024323644485652606468727680889692100104112116108120124128132136140144148152156160164168172176180184188192196200204208212261216202428323640[[#Headers],[GP / SP]],Horodateur1123353819223134374346495255586164698522263438465058546266707478829098941021061141181101221261301341381421461501541581621661701741781821861901941982022062102144101418222630343842[Jour],Taches_Jours122436391720293235414447505356596267832024323644485652606468727680889692100104112116108120124128132136140144148152156160164168172176180184188192196200204208212261216202428323640[[#This Row],[Jours]])</f>
        <v>0</v>
      </c>
      <c r="I61" s="290" t="n">
        <f aca="false">SUMIFS(Horodateur1123353819223134374346495255586164698522263438465058546266707478829098941021061141181101221261301341381421461501541581621661701741781821861901941982022062102144101418222630343842[Durée (100)],Horodateur1123353819223134374346495255586164698522263438465058546266707478829098941021061141181101221261301341381421461501541581621661701741781821861901941982022062102144101418222630343842[Tâche],Taches_Jours122436391720293235414447505356596267832024323644485652606468727680889692100104112116108120124128132136140144148152156160164168172176180184188192196200204208212261216202428323640[[#Headers],[GP / SP]],Horodateur1123353819223134374346495255586164698522263438465058546266707478829098941021061141181101221261301341381421461501541581621661701741781821861901941982022062102144101418222630343842[Jour],Taches_Jours122436391720293235414447505356596267832024323644485652606468727680889692100104112116108120124128132136140144148152156160164168172176180184188192196200204208212261216202428323640[[#This Row],[Jours]])</f>
        <v>0</v>
      </c>
      <c r="J61" s="71" t="n">
        <f aca="false">SUM(Taches_Jours122436391720293235414447505356596267832024323644485652606468727680889692100104112116108120124128132136140144148152156160164168172176180184188192196200204208212261216202428323640[[#This Row],[GB]:[GP / SP]])</f>
        <v>0</v>
      </c>
      <c r="K61" s="188"/>
      <c r="L61" s="288"/>
      <c r="M61" s="289"/>
      <c r="N61" s="187"/>
      <c r="O61" s="1"/>
      <c r="P61" s="1"/>
      <c r="Q61" s="1"/>
      <c r="R61" s="1"/>
      <c r="S61" s="1"/>
      <c r="T61" s="71"/>
      <c r="U61" s="71"/>
      <c r="V61" s="71"/>
      <c r="W61" s="71"/>
      <c r="X61" s="71"/>
      <c r="Y61" s="71"/>
      <c r="Z61" s="71"/>
      <c r="AA61" s="71"/>
      <c r="AB61" s="71"/>
      <c r="AC61" s="71"/>
      <c r="AD61" s="71"/>
      <c r="AE61" s="71"/>
      <c r="AF61" s="71"/>
    </row>
    <row r="62" customFormat="false" ht="15" hidden="true" customHeight="false" outlineLevel="1" collapsed="false">
      <c r="A62" s="137"/>
      <c r="B62" s="187"/>
      <c r="C62" s="71"/>
      <c r="D62" s="1"/>
      <c r="E62" s="1"/>
      <c r="F62" s="71"/>
      <c r="G62" s="1"/>
      <c r="H62" s="1"/>
      <c r="I62" s="119"/>
      <c r="J62" s="271"/>
      <c r="K62" s="1"/>
      <c r="L62" s="188"/>
      <c r="M62" s="272"/>
      <c r="N62" s="187"/>
      <c r="O62" s="1"/>
      <c r="P62" s="1"/>
      <c r="Q62" s="1"/>
      <c r="R62" s="1"/>
      <c r="S62" s="1"/>
      <c r="T62" s="1"/>
      <c r="U62" s="71"/>
      <c r="V62" s="71"/>
      <c r="W62" s="71"/>
      <c r="X62" s="71"/>
      <c r="Y62" s="71"/>
      <c r="Z62" s="71"/>
      <c r="AA62" s="71"/>
      <c r="AB62" s="71"/>
      <c r="AC62" s="71"/>
      <c r="AD62" s="71"/>
      <c r="AE62" s="71"/>
      <c r="AF62" s="71"/>
      <c r="AG62" s="71"/>
    </row>
    <row r="63" customFormat="false" ht="15" hidden="true" customHeight="false" outlineLevel="1" collapsed="false">
      <c r="A63" s="291" t="s">
        <v>85</v>
      </c>
      <c r="B63" s="292" t="s">
        <v>312</v>
      </c>
      <c r="C63" s="292" t="s">
        <v>319</v>
      </c>
      <c r="D63" s="292" t="s">
        <v>324</v>
      </c>
      <c r="E63" s="292" t="s">
        <v>332</v>
      </c>
      <c r="F63" s="293" t="s">
        <v>335</v>
      </c>
      <c r="G63" s="292" t="s">
        <v>341</v>
      </c>
      <c r="H63" s="292" t="s">
        <v>381</v>
      </c>
      <c r="I63" s="294" t="s">
        <v>58</v>
      </c>
      <c r="J63" s="271"/>
      <c r="K63" s="1"/>
      <c r="L63" s="188"/>
      <c r="M63" s="272"/>
      <c r="N63" s="187"/>
      <c r="O63" s="1"/>
      <c r="P63" s="1"/>
      <c r="Q63" s="1"/>
      <c r="R63" s="1"/>
      <c r="S63" s="1"/>
      <c r="T63" s="1"/>
      <c r="U63" s="71"/>
      <c r="V63" s="71"/>
      <c r="W63" s="71"/>
      <c r="X63" s="71"/>
      <c r="Y63" s="71"/>
      <c r="Z63" s="71"/>
      <c r="AA63" s="71"/>
      <c r="AB63" s="71"/>
      <c r="AC63" s="71"/>
      <c r="AD63" s="71"/>
      <c r="AE63" s="71"/>
      <c r="AF63" s="71"/>
      <c r="AG63" s="71"/>
    </row>
    <row r="64" customFormat="false" ht="15" hidden="true" customHeight="false" outlineLevel="1" collapsed="false">
      <c r="A64" s="137" t="s">
        <v>21</v>
      </c>
      <c r="B64" s="187" t="n">
        <f aca="false">SUMIFS(Horodateur1123353819223134374346495255586164698522263438465058546266707478829098941021061141181101221261301341381421461501541581621661701741781821861901941982022062102144101418222630343842[Durée (100)],Horodateur1123353819223134374346495255586164698522263438465058546266707478829098941021061141181101221261301341381421461501541581621661701741781821861901941982022062102144101418222630343842[Jour],$B$63,Horodateur1123353819223134374346495255586164698522263438465058546266707478829098941021061141181101221261301341381421461501541581621661701741781821861901941982022062102144101418222630343842[Tâche],$A64)</f>
        <v>1.5</v>
      </c>
      <c r="C64" s="187" t="n">
        <f aca="false">SUMIFS(Horodateur1123353819223134374346495255586164698522263438465058546266707478829098941021061141181101221261301341381421461501541581621661701741781821861901941982022062102144101418222630343842[Durée (100)],Horodateur1123353819223134374346495255586164698522263438465058546266707478829098941021061141181101221261301341381421461501541581621661701741781821861901941982022062102144101418222630343842[Jour],$C$63,Horodateur1123353819223134374346495255586164698522263438465058546266707478829098941021061141181101221261301341381421461501541581621661701741781821861901941982022062102144101418222630343842[Tâche],$A64)</f>
        <v>0.500000000000001</v>
      </c>
      <c r="D64" s="187" t="n">
        <f aca="false">SUMIFS(Horodateur1123353819223134374346495255586164698522263438465058546266707478829098941021061141181101221261301341381421461501541581621661701741781821861901941982022062102144101418222630343842[Durée (100)],Horodateur1123353819223134374346495255586164698522263438465058546266707478829098941021061141181101221261301341381421461501541581621661701741781821861901941982022062102144101418222630343842[Jour],$D$63,Horodateur1123353819223134374346495255586164698522263438465058546266707478829098941021061141181101221261301341381421461501541581621661701741781821861901941982022062102144101418222630343842[Tâche],$A64)</f>
        <v>0</v>
      </c>
      <c r="E64" s="187" t="n">
        <f aca="false">SUMIFS(Horodateur1123353819223134374346495255586164698522263438465058546266707478829098941021061141181101221261301341381421461501541581621661701741781821861901941982022062102144101418222630343842[Durée (100)],Horodateur1123353819223134374346495255586164698522263438465058546266707478829098941021061141181101221261301341381421461501541581621661701741781821861901941982022062102144101418222630343842[Jour],$E$63,Horodateur1123353819223134374346495255586164698522263438465058546266707478829098941021061141181101221261301341381421461501541581621661701741781821861901941982022062102144101418222630343842[Tâche],$A64)</f>
        <v>0.500000000000001</v>
      </c>
      <c r="F64" s="71" t="n">
        <f aca="false">SUMIFS(Horodateur1123353819223134374346495255586164698522263438465058546266707478829098941021061141181101221261301341381421461501541581621661701741781821861901941982022062102144101418222630343842[Durée (100)],Horodateur1123353819223134374346495255586164698522263438465058546266707478829098941021061141181101221261301341381421461501541581621661701741781821861901941982022062102144101418222630343842[Jour],$F$63,Horodateur1123353819223134374346495255586164698522263438465058546266707478829098941021061141181101221261301341381421461501541581621661701741781821861901941982022062102144101418222630343842[Tâche],$A64)</f>
        <v>1</v>
      </c>
      <c r="G64" s="187" t="n">
        <f aca="false">SUMIFS(Horodateur1123353819223134374346495255586164698522263438465058546266707478829098941021061141181101221261301341381421461501541581621661701741781821861901941982022062102144101418222630343842[Durée (100)],Horodateur1123353819223134374346495255586164698522263438465058546266707478829098941021061141181101221261301341381421461501541581621661701741781821861901941982022062102144101418222630343842[Jour],$G$63,Horodateur1123353819223134374346495255586164698522263438465058546266707478829098941021061141181101221261301341381421461501541581621661701741781821861901941982022062102144101418222630343842[Tâche],$A64)</f>
        <v>0</v>
      </c>
      <c r="H64" s="187" t="n">
        <f aca="false">SUMIFS(Horodateur1123353819223134374346495255586164698522263438465058546266707478829098941021061141181101221261301341381421461501541581621661701741781821861901941982022062102144101418222630343842[Durée (100)],Horodateur1123353819223134374346495255586164698522263438465058546266707478829098941021061141181101221261301341381421461501541581621661701741781821861901941982022062102144101418222630343842[Jour],$H$63,Horodateur1123353819223134374346495255586164698522263438465058546266707478829098941021061141181101221261301341381421461501541581621661701741781821861901941982022062102144101418222630343842[Tâche],$A64)</f>
        <v>0</v>
      </c>
      <c r="I64" s="295" t="n">
        <f aca="false">SUM(Taches_Jour2132537401821303336424548515457606368842125333745495753616569737781899793101105113117109121125129133137141145149153157161165169173177181185189193197201205209213391317212529333741[[#This Row],[1- Lundi]:[7- Dimanche]])</f>
        <v>3.5</v>
      </c>
      <c r="J64" s="271"/>
      <c r="K64" s="1"/>
      <c r="L64" s="188"/>
      <c r="M64" s="272"/>
      <c r="N64" s="187"/>
      <c r="O64" s="1"/>
      <c r="P64" s="1"/>
      <c r="Q64" s="1"/>
      <c r="R64" s="1"/>
      <c r="S64" s="1"/>
      <c r="T64" s="1"/>
      <c r="U64" s="71"/>
      <c r="V64" s="71"/>
      <c r="W64" s="71"/>
      <c r="X64" s="71"/>
      <c r="Y64" s="71"/>
      <c r="Z64" s="71"/>
      <c r="AA64" s="71"/>
      <c r="AB64" s="71"/>
      <c r="AC64" s="71"/>
      <c r="AD64" s="71"/>
      <c r="AE64" s="71"/>
      <c r="AF64" s="71"/>
      <c r="AG64" s="71"/>
    </row>
    <row r="65" customFormat="false" ht="15" hidden="true" customHeight="false" outlineLevel="1" collapsed="false">
      <c r="A65" s="137" t="s">
        <v>20</v>
      </c>
      <c r="B65" s="187" t="n">
        <f aca="false">SUMIFS(Horodateur1123353819223134374346495255586164698522263438465058546266707478829098941021061141181101221261301341381421461501541581621661701741781821861901941982022062102144101418222630343842[Durée (100)],Horodateur1123353819223134374346495255586164698522263438465058546266707478829098941021061141181101221261301341381421461501541581621661701741781821861901941982022062102144101418222630343842[Jour],$B$63,Horodateur1123353819223134374346495255586164698522263438465058546266707478829098941021061141181101221261301341381421461501541581621661701741781821861901941982022062102144101418222630343842[Tâche],$A65)</f>
        <v>0.500000000000001</v>
      </c>
      <c r="C65" s="187" t="n">
        <f aca="false">SUMIFS(Horodateur1123353819223134374346495255586164698522263438465058546266707478829098941021061141181101221261301341381421461501541581621661701741781821861901941982022062102144101418222630343842[Durée (100)],Horodateur1123353819223134374346495255586164698522263438465058546266707478829098941021061141181101221261301341381421461501541581621661701741781821861901941982022062102144101418222630343842[Jour],$C$63,Horodateur1123353819223134374346495255586164698522263438465058546266707478829098941021061141181101221261301341381421461501541581621661701741781821861901941982022062102144101418222630343842[Tâche],$A65)</f>
        <v>0</v>
      </c>
      <c r="D65" s="187" t="n">
        <f aca="false">SUMIFS(Horodateur1123353819223134374346495255586164698522263438465058546266707478829098941021061141181101221261301341381421461501541581621661701741781821861901941982022062102144101418222630343842[Durée (100)],Horodateur1123353819223134374346495255586164698522263438465058546266707478829098941021061141181101221261301341381421461501541581621661701741781821861901941982022062102144101418222630343842[Jour],$D$63,Horodateur1123353819223134374346495255586164698522263438465058546266707478829098941021061141181101221261301341381421461501541581621661701741781821861901941982022062102144101418222630343842[Tâche],$A65)</f>
        <v>0</v>
      </c>
      <c r="E65" s="187" t="n">
        <f aca="false">SUMIFS(Horodateur1123353819223134374346495255586164698522263438465058546266707478829098941021061141181101221261301341381421461501541581621661701741781821861901941982022062102144101418222630343842[Durée (100)],Horodateur1123353819223134374346495255586164698522263438465058546266707478829098941021061141181101221261301341381421461501541581621661701741781821861901941982022062102144101418222630343842[Jour],$E$63,Horodateur1123353819223134374346495255586164698522263438465058546266707478829098941021061141181101221261301341381421461501541581621661701741781821861901941982022062102144101418222630343842[Tâche],$A65)</f>
        <v>0</v>
      </c>
      <c r="F65" s="71" t="n">
        <f aca="false">SUMIFS(Horodateur1123353819223134374346495255586164698522263438465058546266707478829098941021061141181101221261301341381421461501541581621661701741781821861901941982022062102144101418222630343842[Durée (100)],Horodateur1123353819223134374346495255586164698522263438465058546266707478829098941021061141181101221261301341381421461501541581621661701741781821861901941982022062102144101418222630343842[Jour],$F$63,Horodateur1123353819223134374346495255586164698522263438465058546266707478829098941021061141181101221261301341381421461501541581621661701741781821861901941982022062102144101418222630343842[Tâche],$A65)</f>
        <v>0</v>
      </c>
      <c r="G65" s="187" t="n">
        <f aca="false">SUMIFS(Horodateur1123353819223134374346495255586164698522263438465058546266707478829098941021061141181101221261301341381421461501541581621661701741781821861901941982022062102144101418222630343842[Durée (100)],Horodateur1123353819223134374346495255586164698522263438465058546266707478829098941021061141181101221261301341381421461501541581621661701741781821861901941982022062102144101418222630343842[Jour],$G$63,Horodateur1123353819223134374346495255586164698522263438465058546266707478829098941021061141181101221261301341381421461501541581621661701741781821861901941982022062102144101418222630343842[Tâche],$A65)</f>
        <v>0</v>
      </c>
      <c r="H65" s="187" t="n">
        <f aca="false">SUMIFS(Horodateur1123353819223134374346495255586164698522263438465058546266707478829098941021061141181101221261301341381421461501541581621661701741781821861901941982022062102144101418222630343842[Durée (100)],Horodateur1123353819223134374346495255586164698522263438465058546266707478829098941021061141181101221261301341381421461501541581621661701741781821861901941982022062102144101418222630343842[Jour],$H$63,Horodateur1123353819223134374346495255586164698522263438465058546266707478829098941021061141181101221261301341381421461501541581621661701741781821861901941982022062102144101418222630343842[Tâche],$A65)</f>
        <v>0</v>
      </c>
      <c r="I65" s="295" t="n">
        <f aca="false">SUM(Taches_Jour2132537401821303336424548515457606368842125333745495753616569737781899793101105113117109121125129133137141145149153157161165169173177181185189193197201205209213391317212529333741[[#This Row],[1- Lundi]:[7- Dimanche]])</f>
        <v>0.500000000000001</v>
      </c>
      <c r="J65" s="271"/>
      <c r="K65" s="1"/>
      <c r="L65" s="188"/>
      <c r="M65" s="272"/>
      <c r="N65" s="187"/>
      <c r="O65" s="1"/>
      <c r="P65" s="1"/>
      <c r="Q65" s="1"/>
      <c r="R65" s="1"/>
      <c r="S65" s="1"/>
      <c r="T65" s="1"/>
      <c r="U65" s="71"/>
      <c r="V65" s="71"/>
      <c r="W65" s="71"/>
      <c r="X65" s="71"/>
      <c r="Y65" s="71"/>
      <c r="Z65" s="71"/>
      <c r="AA65" s="71"/>
      <c r="AB65" s="71"/>
      <c r="AC65" s="71"/>
      <c r="AD65" s="71"/>
      <c r="AE65" s="71"/>
      <c r="AF65" s="71"/>
      <c r="AG65" s="71"/>
    </row>
    <row r="66" customFormat="false" ht="15" hidden="true" customHeight="false" outlineLevel="1" collapsed="false">
      <c r="A66" s="137" t="s">
        <v>23</v>
      </c>
      <c r="B66" s="187" t="n">
        <f aca="false">SUMIFS(Horodateur1123353819223134374346495255586164698522263438465058546266707478829098941021061141181101221261301341381421461501541581621661701741781821861901941982022062102144101418222630343842[Durée (100)],Horodateur1123353819223134374346495255586164698522263438465058546266707478829098941021061141181101221261301341381421461501541581621661701741781821861901941982022062102144101418222630343842[Jour],$B$63,Horodateur1123353819223134374346495255586164698522263438465058546266707478829098941021061141181101221261301341381421461501541581621661701741781821861901941982022062102144101418222630343842[Tâche],$A66)</f>
        <v>0</v>
      </c>
      <c r="C66" s="187" t="n">
        <f aca="false">SUMIFS(Horodateur1123353819223134374346495255586164698522263438465058546266707478829098941021061141181101221261301341381421461501541581621661701741781821861901941982022062102144101418222630343842[Durée (100)],Horodateur1123353819223134374346495255586164698522263438465058546266707478829098941021061141181101221261301341381421461501541581621661701741781821861901941982022062102144101418222630343842[Jour],$C$63,Horodateur1123353819223134374346495255586164698522263438465058546266707478829098941021061141181101221261301341381421461501541581621661701741781821861901941982022062102144101418222630343842[Tâche],$A66)</f>
        <v>2</v>
      </c>
      <c r="D66" s="187" t="n">
        <f aca="false">SUMIFS(Horodateur1123353819223134374346495255586164698522263438465058546266707478829098941021061141181101221261301341381421461501541581621661701741781821861901941982022062102144101418222630343842[Durée (100)],Horodateur1123353819223134374346495255586164698522263438465058546266707478829098941021061141181101221261301341381421461501541581621661701741781821861901941982022062102144101418222630343842[Jour],$D$63,Horodateur1123353819223134374346495255586164698522263438465058546266707478829098941021061141181101221261301341381421461501541581621661701741781821861901941982022062102144101418222630343842[Tâche],$A66)</f>
        <v>0.749999999999999</v>
      </c>
      <c r="E66" s="187" t="n">
        <f aca="false">SUMIFS(Horodateur1123353819223134374346495255586164698522263438465058546266707478829098941021061141181101221261301341381421461501541581621661701741781821861901941982022062102144101418222630343842[Durée (100)],Horodateur1123353819223134374346495255586164698522263438465058546266707478829098941021061141181101221261301341381421461501541581621661701741781821861901941982022062102144101418222630343842[Jour],$E$63,Horodateur1123353819223134374346495255586164698522263438465058546266707478829098941021061141181101221261301341381421461501541581621661701741781821861901941982022062102144101418222630343842[Tâche],$A66)</f>
        <v>0</v>
      </c>
      <c r="F66" s="71" t="n">
        <f aca="false">SUMIFS(Horodateur1123353819223134374346495255586164698522263438465058546266707478829098941021061141181101221261301341381421461501541581621661701741781821861901941982022062102144101418222630343842[Durée (100)],Horodateur1123353819223134374346495255586164698522263438465058546266707478829098941021061141181101221261301341381421461501541581621661701741781821861901941982022062102144101418222630343842[Jour],$F$63,Horodateur1123353819223134374346495255586164698522263438465058546266707478829098941021061141181101221261301341381421461501541581621661701741781821861901941982022062102144101418222630343842[Tâche],$A66)</f>
        <v>1.5</v>
      </c>
      <c r="G66" s="187" t="n">
        <f aca="false">SUMIFS(Horodateur1123353819223134374346495255586164698522263438465058546266707478829098941021061141181101221261301341381421461501541581621661701741781821861901941982022062102144101418222630343842[Durée (100)],Horodateur1123353819223134374346495255586164698522263438465058546266707478829098941021061141181101221261301341381421461501541581621661701741781821861901941982022062102144101418222630343842[Jour],$G$63,Horodateur1123353819223134374346495255586164698522263438465058546266707478829098941021061141181101221261301341381421461501541581621661701741781821861901941982022062102144101418222630343842[Tâche],$A66)</f>
        <v>0</v>
      </c>
      <c r="H66" s="187" t="n">
        <f aca="false">SUMIFS(Horodateur1123353819223134374346495255586164698522263438465058546266707478829098941021061141181101221261301341381421461501541581621661701741781821861901941982022062102144101418222630343842[Durée (100)],Horodateur1123353819223134374346495255586164698522263438465058546266707478829098941021061141181101221261301341381421461501541581621661701741781821861901941982022062102144101418222630343842[Jour],$H$63,Horodateur1123353819223134374346495255586164698522263438465058546266707478829098941021061141181101221261301341381421461501541581621661701741781821861901941982022062102144101418222630343842[Tâche],$A66)</f>
        <v>0</v>
      </c>
      <c r="I66" s="295" t="n">
        <f aca="false">SUM(Taches_Jour2132537401821303336424548515457606368842125333745495753616569737781899793101105113117109121125129133137141145149153157161165169173177181185189193197201205209213391317212529333741[[#This Row],[1- Lundi]:[7- Dimanche]])</f>
        <v>4.25</v>
      </c>
      <c r="J66" s="271"/>
      <c r="K66" s="1"/>
      <c r="L66" s="188"/>
      <c r="M66" s="272"/>
      <c r="N66" s="187"/>
      <c r="O66" s="1"/>
      <c r="P66" s="1"/>
      <c r="Q66" s="1"/>
      <c r="R66" s="1"/>
      <c r="S66" s="1"/>
      <c r="T66" s="1"/>
      <c r="U66" s="71"/>
      <c r="V66" s="71"/>
      <c r="W66" s="71"/>
      <c r="X66" s="71"/>
      <c r="Y66" s="71"/>
      <c r="Z66" s="71"/>
      <c r="AA66" s="71"/>
      <c r="AB66" s="71"/>
      <c r="AC66" s="71"/>
      <c r="AD66" s="71"/>
      <c r="AE66" s="71"/>
      <c r="AF66" s="71"/>
      <c r="AG66" s="71"/>
    </row>
    <row r="67" customFormat="false" ht="15" hidden="true" customHeight="false" outlineLevel="1" collapsed="false">
      <c r="A67" s="137" t="s">
        <v>25</v>
      </c>
      <c r="B67" s="187" t="n">
        <f aca="false">SUMIFS(Horodateur1123353819223134374346495255586164698522263438465058546266707478829098941021061141181101221261301341381421461501541581621661701741781821861901941982022062102144101418222630343842[Durée (100)],Horodateur1123353819223134374346495255586164698522263438465058546266707478829098941021061141181101221261301341381421461501541581621661701741781821861901941982022062102144101418222630343842[Jour],$B$63,Horodateur1123353819223134374346495255586164698522263438465058546266707478829098941021061141181101221261301341381421461501541581621661701741781821861901941982022062102144101418222630343842[Tâche],$A67)</f>
        <v>0</v>
      </c>
      <c r="C67" s="187" t="n">
        <f aca="false">SUMIFS(Horodateur1123353819223134374346495255586164698522263438465058546266707478829098941021061141181101221261301341381421461501541581621661701741781821861901941982022062102144101418222630343842[Durée (100)],Horodateur1123353819223134374346495255586164698522263438465058546266707478829098941021061141181101221261301341381421461501541581621661701741781821861901941982022062102144101418222630343842[Jour],$C$63,Horodateur1123353819223134374346495255586164698522263438465058546266707478829098941021061141181101221261301341381421461501541581621661701741781821861901941982022062102144101418222630343842[Tâche],$A67)</f>
        <v>0</v>
      </c>
      <c r="D67" s="187" t="n">
        <f aca="false">SUMIFS(Horodateur1123353819223134374346495255586164698522263438465058546266707478829098941021061141181101221261301341381421461501541581621661701741781821861901941982022062102144101418222630343842[Durée (100)],Horodateur1123353819223134374346495255586164698522263438465058546266707478829098941021061141181101221261301341381421461501541581621661701741781821861901941982022062102144101418222630343842[Jour],$D$63,Horodateur1123353819223134374346495255586164698522263438465058546266707478829098941021061141181101221261301341381421461501541581621661701741781821861901941982022062102144101418222630343842[Tâche],$A67)</f>
        <v>0</v>
      </c>
      <c r="E67" s="187" t="n">
        <f aca="false">SUMIFS(Horodateur1123353819223134374346495255586164698522263438465058546266707478829098941021061141181101221261301341381421461501541581621661701741781821861901941982022062102144101418222630343842[Durée (100)],Horodateur1123353819223134374346495255586164698522263438465058546266707478829098941021061141181101221261301341381421461501541581621661701741781821861901941982022062102144101418222630343842[Jour],$E$63,Horodateur1123353819223134374346495255586164698522263438465058546266707478829098941021061141181101221261301341381421461501541581621661701741781821861901941982022062102144101418222630343842[Tâche],$A67)</f>
        <v>0</v>
      </c>
      <c r="F67" s="71" t="n">
        <f aca="false">SUMIFS(Horodateur1123353819223134374346495255586164698522263438465058546266707478829098941021061141181101221261301341381421461501541581621661701741781821861901941982022062102144101418222630343842[Durée (100)],Horodateur1123353819223134374346495255586164698522263438465058546266707478829098941021061141181101221261301341381421461501541581621661701741781821861901941982022062102144101418222630343842[Jour],$F$63,Horodateur1123353819223134374346495255586164698522263438465058546266707478829098941021061141181101221261301341381421461501541581621661701741781821861901941982022062102144101418222630343842[Tâche],$A67)</f>
        <v>0</v>
      </c>
      <c r="G67" s="187" t="n">
        <f aca="false">SUMIFS(Horodateur1123353819223134374346495255586164698522263438465058546266707478829098941021061141181101221261301341381421461501541581621661701741781821861901941982022062102144101418222630343842[Durée (100)],Horodateur1123353819223134374346495255586164698522263438465058546266707478829098941021061141181101221261301341381421461501541581621661701741781821861901941982022062102144101418222630343842[Jour],$G$63,Horodateur1123353819223134374346495255586164698522263438465058546266707478829098941021061141181101221261301341381421461501541581621661701741781821861901941982022062102144101418222630343842[Tâche],$A67)</f>
        <v>0</v>
      </c>
      <c r="H67" s="187" t="n">
        <f aca="false">SUMIFS(Horodateur1123353819223134374346495255586164698522263438465058546266707478829098941021061141181101221261301341381421461501541581621661701741781821861901941982022062102144101418222630343842[Durée (100)],Horodateur1123353819223134374346495255586164698522263438465058546266707478829098941021061141181101221261301341381421461501541581621661701741781821861901941982022062102144101418222630343842[Jour],$H$63,Horodateur1123353819223134374346495255586164698522263438465058546266707478829098941021061141181101221261301341381421461501541581621661701741781821861901941982022062102144101418222630343842[Tâche],$A67)</f>
        <v>0</v>
      </c>
      <c r="I67" s="295" t="n">
        <f aca="false">SUM(Taches_Jour2132537401821303336424548515457606368842125333745495753616569737781899793101105113117109121125129133137141145149153157161165169173177181185189193197201205209213391317212529333741[[#This Row],[1- Lundi]:[7- Dimanche]])</f>
        <v>0</v>
      </c>
      <c r="J67" s="271"/>
      <c r="K67" s="1"/>
      <c r="L67" s="188"/>
      <c r="M67" s="272"/>
      <c r="N67" s="187"/>
      <c r="O67" s="1"/>
      <c r="P67" s="1"/>
      <c r="Q67" s="1"/>
      <c r="R67" s="1"/>
      <c r="S67" s="1"/>
      <c r="T67" s="1"/>
      <c r="U67" s="71"/>
      <c r="V67" s="71"/>
      <c r="W67" s="71"/>
      <c r="X67" s="71"/>
      <c r="Y67" s="71"/>
      <c r="Z67" s="71"/>
      <c r="AA67" s="71"/>
      <c r="AB67" s="71"/>
      <c r="AC67" s="71"/>
      <c r="AD67" s="71"/>
      <c r="AE67" s="71"/>
      <c r="AF67" s="71"/>
      <c r="AG67" s="71"/>
    </row>
    <row r="68" customFormat="false" ht="15" hidden="true" customHeight="false" outlineLevel="1" collapsed="false">
      <c r="A68" s="137" t="s">
        <v>26</v>
      </c>
      <c r="B68" s="187" t="n">
        <f aca="false">SUMIFS(Horodateur1123353819223134374346495255586164698522263438465058546266707478829098941021061141181101221261301341381421461501541581621661701741781821861901941982022062102144101418222630343842[Durée (100)],Horodateur1123353819223134374346495255586164698522263438465058546266707478829098941021061141181101221261301341381421461501541581621661701741781821861901941982022062102144101418222630343842[Jour],$B$63,Horodateur1123353819223134374346495255586164698522263438465058546266707478829098941021061141181101221261301341381421461501541581621661701741781821861901941982022062102144101418222630343842[Tâche],$A68)</f>
        <v>0</v>
      </c>
      <c r="C68" s="187" t="n">
        <f aca="false">SUMIFS(Horodateur1123353819223134374346495255586164698522263438465058546266707478829098941021061141181101221261301341381421461501541581621661701741781821861901941982022062102144101418222630343842[Durée (100)],Horodateur1123353819223134374346495255586164698522263438465058546266707478829098941021061141181101221261301341381421461501541581621661701741781821861901941982022062102144101418222630343842[Jour],$C$63,Horodateur1123353819223134374346495255586164698522263438465058546266707478829098941021061141181101221261301341381421461501541581621661701741781821861901941982022062102144101418222630343842[Tâche],$A68)</f>
        <v>0</v>
      </c>
      <c r="D68" s="187" t="n">
        <f aca="false">SUMIFS(Horodateur1123353819223134374346495255586164698522263438465058546266707478829098941021061141181101221261301341381421461501541581621661701741781821861901941982022062102144101418222630343842[Durée (100)],Horodateur1123353819223134374346495255586164698522263438465058546266707478829098941021061141181101221261301341381421461501541581621661701741781821861901941982022062102144101418222630343842[Jour],$D$63,Horodateur1123353819223134374346495255586164698522263438465058546266707478829098941021061141181101221261301341381421461501541581621661701741781821861901941982022062102144101418222630343842[Tâche],$A68)</f>
        <v>0</v>
      </c>
      <c r="E68" s="187" t="n">
        <f aca="false">SUMIFS(Horodateur1123353819223134374346495255586164698522263438465058546266707478829098941021061141181101221261301341381421461501541581621661701741781821861901941982022062102144101418222630343842[Durée (100)],Horodateur1123353819223134374346495255586164698522263438465058546266707478829098941021061141181101221261301341381421461501541581621661701741781821861901941982022062102144101418222630343842[Jour],$E$63,Horodateur1123353819223134374346495255586164698522263438465058546266707478829098941021061141181101221261301341381421461501541581621661701741781821861901941982022062102144101418222630343842[Tâche],$A68)</f>
        <v>0</v>
      </c>
      <c r="F68" s="71" t="n">
        <f aca="false">SUMIFS(Horodateur1123353819223134374346495255586164698522263438465058546266707478829098941021061141181101221261301341381421461501541581621661701741781821861901941982022062102144101418222630343842[Durée (100)],Horodateur1123353819223134374346495255586164698522263438465058546266707478829098941021061141181101221261301341381421461501541581621661701741781821861901941982022062102144101418222630343842[Jour],$F$63,Horodateur1123353819223134374346495255586164698522263438465058546266707478829098941021061141181101221261301341381421461501541581621661701741781821861901941982022062102144101418222630343842[Tâche],$A68)</f>
        <v>0</v>
      </c>
      <c r="G68" s="187" t="n">
        <f aca="false">SUMIFS(Horodateur1123353819223134374346495255586164698522263438465058546266707478829098941021061141181101221261301341381421461501541581621661701741781821861901941982022062102144101418222630343842[Durée (100)],Horodateur1123353819223134374346495255586164698522263438465058546266707478829098941021061141181101221261301341381421461501541581621661701741781821861901941982022062102144101418222630343842[Jour],$G$63,Horodateur1123353819223134374346495255586164698522263438465058546266707478829098941021061141181101221261301341381421461501541581621661701741781821861901941982022062102144101418222630343842[Tâche],$A68)</f>
        <v>0</v>
      </c>
      <c r="H68" s="187" t="n">
        <f aca="false">SUMIFS(Horodateur1123353819223134374346495255586164698522263438465058546266707478829098941021061141181101221261301341381421461501541581621661701741781821861901941982022062102144101418222630343842[Durée (100)],Horodateur1123353819223134374346495255586164698522263438465058546266707478829098941021061141181101221261301341381421461501541581621661701741781821861901941982022062102144101418222630343842[Jour],$H$63,Horodateur1123353819223134374346495255586164698522263438465058546266707478829098941021061141181101221261301341381421461501541581621661701741781821861901941982022062102144101418222630343842[Tâche],$A68)</f>
        <v>0</v>
      </c>
      <c r="I68" s="295" t="n">
        <f aca="false">SUM(Taches_Jour2132537401821303336424548515457606368842125333745495753616569737781899793101105113117109121125129133137141145149153157161165169173177181185189193197201205209213391317212529333741[[#This Row],[1- Lundi]:[7- Dimanche]])</f>
        <v>0</v>
      </c>
      <c r="J68" s="271"/>
      <c r="K68" s="1"/>
      <c r="L68" s="188"/>
      <c r="M68" s="272"/>
      <c r="N68" s="187"/>
      <c r="O68" s="1"/>
      <c r="P68" s="1"/>
      <c r="Q68" s="1"/>
      <c r="R68" s="1"/>
      <c r="S68" s="1"/>
      <c r="T68" s="1"/>
      <c r="U68" s="71"/>
      <c r="V68" s="71"/>
      <c r="W68" s="71"/>
      <c r="X68" s="71"/>
      <c r="Y68" s="71"/>
      <c r="Z68" s="71"/>
      <c r="AA68" s="71"/>
      <c r="AB68" s="71"/>
      <c r="AC68" s="71"/>
      <c r="AD68" s="71"/>
      <c r="AE68" s="71"/>
      <c r="AF68" s="71"/>
      <c r="AG68" s="71"/>
    </row>
    <row r="69" customFormat="false" ht="15" hidden="true" customHeight="false" outlineLevel="1" collapsed="false">
      <c r="A69" s="137" t="s">
        <v>378</v>
      </c>
      <c r="B69" s="187" t="n">
        <f aca="false">SUMIFS(Horodateur1123353819223134374346495255586164698522263438465058546266707478829098941021061141181101221261301341381421461501541581621661701741781821861901941982022062102144101418222630343842[Durée (100)],Horodateur1123353819223134374346495255586164698522263438465058546266707478829098941021061141181101221261301341381421461501541581621661701741781821861901941982022062102144101418222630343842[Jour],$B$63,Horodateur1123353819223134374346495255586164698522263438465058546266707478829098941021061141181101221261301341381421461501541581621661701741781821861901941982022062102144101418222630343842[Tâche],$A69)</f>
        <v>4</v>
      </c>
      <c r="C69" s="187" t="n">
        <f aca="false">SUMIFS(Horodateur1123353819223134374346495255586164698522263438465058546266707478829098941021061141181101221261301341381421461501541581621661701741781821861901941982022062102144101418222630343842[Durée (100)],Horodateur1123353819223134374346495255586164698522263438465058546266707478829098941021061141181101221261301341381421461501541581621661701741781821861901941982022062102144101418222630343842[Jour],$C$63,Horodateur1123353819223134374346495255586164698522263438465058546266707478829098941021061141181101221261301341381421461501541581621661701741781821861901941982022062102144101418222630343842[Tâche],$A69)</f>
        <v>6.25</v>
      </c>
      <c r="D69" s="187" t="n">
        <f aca="false">SUMIFS(Horodateur1123353819223134374346495255586164698522263438465058546266707478829098941021061141181101221261301341381421461501541581621661701741781821861901941982022062102144101418222630343842[Durée (100)],Horodateur1123353819223134374346495255586164698522263438465058546266707478829098941021061141181101221261301341381421461501541581621661701741781821861901941982022062102144101418222630343842[Jour],$D$63,Horodateur1123353819223134374346495255586164698522263438465058546266707478829098941021061141181101221261301341381421461501541581621661701741781821861901941982022062102144101418222630343842[Tâche],$A69)</f>
        <v>5.5</v>
      </c>
      <c r="E69" s="187" t="n">
        <f aca="false">SUMIFS(Horodateur1123353819223134374346495255586164698522263438465058546266707478829098941021061141181101221261301341381421461501541581621661701741781821861901941982022062102144101418222630343842[Durée (100)],Horodateur1123353819223134374346495255586164698522263438465058546266707478829098941021061141181101221261301341381421461501541581621661701741781821861901941982022062102144101418222630343842[Jour],$E$63,Horodateur1123353819223134374346495255586164698522263438465058546266707478829098941021061141181101221261301341381421461501541581621661701741781821861901941982022062102144101418222630343842[Tâche],$A69)</f>
        <v>4.75</v>
      </c>
      <c r="F69" s="71" t="n">
        <f aca="false">SUMIFS(Horodateur1123353819223134374346495255586164698522263438465058546266707478829098941021061141181101221261301341381421461501541581621661701741781821861901941982022062102144101418222630343842[Durée (100)],Horodateur1123353819223134374346495255586164698522263438465058546266707478829098941021061141181101221261301341381421461501541581621661701741781821861901941982022062102144101418222630343842[Jour],$F$63,Horodateur1123353819223134374346495255586164698522263438465058546266707478829098941021061141181101221261301341381421461501541581621661701741781821861901941982022062102144101418222630343842[Tâche],$A69)</f>
        <v>2.5</v>
      </c>
      <c r="G69" s="187" t="n">
        <f aca="false">SUMIFS(Horodateur1123353819223134374346495255586164698522263438465058546266707478829098941021061141181101221261301341381421461501541581621661701741781821861901941982022062102144101418222630343842[Durée (100)],Horodateur1123353819223134374346495255586164698522263438465058546266707478829098941021061141181101221261301341381421461501541581621661701741781821861901941982022062102144101418222630343842[Jour],$G$63,Horodateur1123353819223134374346495255586164698522263438465058546266707478829098941021061141181101221261301341381421461501541581621661701741781821861901941982022062102144101418222630343842[Tâche],$A69)</f>
        <v>0</v>
      </c>
      <c r="H69" s="187" t="n">
        <f aca="false">SUMIFS(Horodateur1123353819223134374346495255586164698522263438465058546266707478829098941021061141181101221261301341381421461501541581621661701741781821861901941982022062102144101418222630343842[Durée (100)],Horodateur1123353819223134374346495255586164698522263438465058546266707478829098941021061141181101221261301341381421461501541581621661701741781821861901941982022062102144101418222630343842[Jour],$H$63,Horodateur1123353819223134374346495255586164698522263438465058546266707478829098941021061141181101221261301341381421461501541581621661701741781821861901941982022062102144101418222630343842[Tâche],$A69)</f>
        <v>0</v>
      </c>
      <c r="I69" s="295" t="n">
        <f aca="false">SUM(Taches_Jour2132537401821303336424548515457606368842125333745495753616569737781899793101105113117109121125129133137141145149153157161165169173177181185189193197201205209213391317212529333741[[#This Row],[1- Lundi]:[7- Dimanche]])</f>
        <v>23</v>
      </c>
      <c r="J69" s="271"/>
      <c r="K69" s="1"/>
      <c r="L69" s="188"/>
      <c r="M69" s="272"/>
      <c r="N69" s="187"/>
      <c r="O69" s="1"/>
      <c r="P69" s="1"/>
      <c r="Q69" s="1"/>
      <c r="R69" s="1"/>
      <c r="S69" s="1"/>
      <c r="T69" s="1"/>
      <c r="U69" s="71"/>
      <c r="V69" s="71"/>
      <c r="W69" s="71"/>
      <c r="X69" s="71"/>
      <c r="Y69" s="71"/>
      <c r="Z69" s="71"/>
      <c r="AA69" s="71"/>
      <c r="AB69" s="71"/>
      <c r="AC69" s="71"/>
      <c r="AD69" s="71"/>
      <c r="AE69" s="71"/>
      <c r="AF69" s="71"/>
      <c r="AG69" s="71"/>
    </row>
    <row r="70" customFormat="false" ht="15" hidden="true" customHeight="false" outlineLevel="1" collapsed="false">
      <c r="A70" s="137" t="s">
        <v>382</v>
      </c>
      <c r="B70" s="187" t="n">
        <f aca="false">SUMIFS(Horodateur1123353819223134374346495255586164698522263438465058546266707478829098941021061141181101221261301341381421461501541581621661701741781821861901941982022062102144101418222630343842[Durée (100)],Horodateur1123353819223134374346495255586164698522263438465058546266707478829098941021061141181101221261301341381421461501541581621661701741781821861901941982022062102144101418222630343842[Jour],$B$63,Horodateur1123353819223134374346495255586164698522263438465058546266707478829098941021061141181101221261301341381421461501541581621661701741781821861901941982022062102144101418222630343842[Tâche],$A70)</f>
        <v>0</v>
      </c>
      <c r="C70" s="187" t="n">
        <f aca="false">SUMIFS(Horodateur1123353819223134374346495255586164698522263438465058546266707478829098941021061141181101221261301341381421461501541581621661701741781821861901941982022062102144101418222630343842[Durée (100)],Horodateur1123353819223134374346495255586164698522263438465058546266707478829098941021061141181101221261301341381421461501541581621661701741781821861901941982022062102144101418222630343842[Jour],$C$63,Horodateur1123353819223134374346495255586164698522263438465058546266707478829098941021061141181101221261301341381421461501541581621661701741781821861901941982022062102144101418222630343842[Tâche],$A70)</f>
        <v>0</v>
      </c>
      <c r="D70" s="187" t="n">
        <f aca="false">SUMIFS(Horodateur1123353819223134374346495255586164698522263438465058546266707478829098941021061141181101221261301341381421461501541581621661701741781821861901941982022062102144101418222630343842[Durée (100)],Horodateur1123353819223134374346495255586164698522263438465058546266707478829098941021061141181101221261301341381421461501541581621661701741781821861901941982022062102144101418222630343842[Jour],$D$63,Horodateur1123353819223134374346495255586164698522263438465058546266707478829098941021061141181101221261301341381421461501541581621661701741781821861901941982022062102144101418222630343842[Tâche],$A70)</f>
        <v>0</v>
      </c>
      <c r="E70" s="187" t="n">
        <f aca="false">SUMIFS(Horodateur1123353819223134374346495255586164698522263438465058546266707478829098941021061141181101221261301341381421461501541581621661701741781821861901941982022062102144101418222630343842[Durée (100)],Horodateur1123353819223134374346495255586164698522263438465058546266707478829098941021061141181101221261301341381421461501541581621661701741781821861901941982022062102144101418222630343842[Jour],$E$63,Horodateur1123353819223134374346495255586164698522263438465058546266707478829098941021061141181101221261301341381421461501541581621661701741781821861901941982022062102144101418222630343842[Tâche],$A70)</f>
        <v>0</v>
      </c>
      <c r="F70" s="71" t="n">
        <f aca="false">SUMIFS(Horodateur1123353819223134374346495255586164698522263438465058546266707478829098941021061141181101221261301341381421461501541581621661701741781821861901941982022062102144101418222630343842[Durée (100)],Horodateur1123353819223134374346495255586164698522263438465058546266707478829098941021061141181101221261301341381421461501541581621661701741781821861901941982022062102144101418222630343842[Jour],$F$63,Horodateur1123353819223134374346495255586164698522263438465058546266707478829098941021061141181101221261301341381421461501541581621661701741781821861901941982022062102144101418222630343842[Tâche],$A70)</f>
        <v>0</v>
      </c>
      <c r="G70" s="187" t="n">
        <f aca="false">SUMIFS(Horodateur1123353819223134374346495255586164698522263438465058546266707478829098941021061141181101221261301341381421461501541581621661701741781821861901941982022062102144101418222630343842[Durée (100)],Horodateur1123353819223134374346495255586164698522263438465058546266707478829098941021061141181101221261301341381421461501541581621661701741781821861901941982022062102144101418222630343842[Jour],$G$63,Horodateur1123353819223134374346495255586164698522263438465058546266707478829098941021061141181101221261301341381421461501541581621661701741781821861901941982022062102144101418222630343842[Tâche],$A70)</f>
        <v>0</v>
      </c>
      <c r="H70" s="187" t="n">
        <f aca="false">SUMIFS(Horodateur1123353819223134374346495255586164698522263438465058546266707478829098941021061141181101221261301341381421461501541581621661701741781821861901941982022062102144101418222630343842[Durée (100)],Horodateur1123353819223134374346495255586164698522263438465058546266707478829098941021061141181101221261301341381421461501541581621661701741781821861901941982022062102144101418222630343842[Jour],$H$63,Horodateur1123353819223134374346495255586164698522263438465058546266707478829098941021061141181101221261301341381421461501541581621661701741781821861901941982022062102144101418222630343842[Tâche],$A70)</f>
        <v>0</v>
      </c>
      <c r="I70" s="295" t="n">
        <f aca="false">SUM(Taches_Jour2132537401821303336424548515457606368842125333745495753616569737781899793101105113117109121125129133137141145149153157161165169173177181185189193197201205209213391317212529333741[[#This Row],[1- Lundi]:[7- Dimanche]])</f>
        <v>0</v>
      </c>
      <c r="J70" s="271"/>
      <c r="K70" s="1"/>
      <c r="L70" s="188"/>
      <c r="M70" s="272"/>
      <c r="N70" s="187"/>
      <c r="O70" s="1"/>
      <c r="P70" s="1"/>
      <c r="Q70" s="1"/>
      <c r="R70" s="1"/>
      <c r="S70" s="1"/>
      <c r="T70" s="1"/>
      <c r="U70" s="71"/>
      <c r="V70" s="71"/>
      <c r="W70" s="71"/>
      <c r="X70" s="71"/>
      <c r="Y70" s="71"/>
      <c r="Z70" s="71"/>
      <c r="AA70" s="71"/>
      <c r="AB70" s="71"/>
      <c r="AC70" s="71"/>
      <c r="AD70" s="71"/>
      <c r="AE70" s="71"/>
      <c r="AF70" s="71"/>
      <c r="AG70" s="71"/>
    </row>
    <row r="71" customFormat="false" ht="15" hidden="true" customHeight="false" outlineLevel="1" collapsed="false">
      <c r="A71" s="137" t="s">
        <v>380</v>
      </c>
      <c r="B71" s="187" t="n">
        <f aca="false">SUMIFS(Horodateur1123353819223134374346495255586164698522263438465058546266707478829098941021061141181101221261301341381421461501541581621661701741781821861901941982022062102144101418222630343842[Durée (100)],Horodateur1123353819223134374346495255586164698522263438465058546266707478829098941021061141181101221261301341381421461501541581621661701741781821861901941982022062102144101418222630343842[Jour],$B$63,Horodateur1123353819223134374346495255586164698522263438465058546266707478829098941021061141181101221261301341381421461501541581621661701741781821861901941982022062102144101418222630343842[Tâche],$A71)</f>
        <v>0</v>
      </c>
      <c r="C71" s="187" t="n">
        <f aca="false">SUMIFS(Horodateur1123353819223134374346495255586164698522263438465058546266707478829098941021061141181101221261301341381421461501541581621661701741781821861901941982022062102144101418222630343842[Durée (100)],Horodateur1123353819223134374346495255586164698522263438465058546266707478829098941021061141181101221261301341381421461501541581621661701741781821861901941982022062102144101418222630343842[Jour],$C$63,Horodateur1123353819223134374346495255586164698522263438465058546266707478829098941021061141181101221261301341381421461501541581621661701741781821861901941982022062102144101418222630343842[Tâche],$A71)</f>
        <v>0</v>
      </c>
      <c r="D71" s="187" t="n">
        <f aca="false">SUMIFS(Horodateur1123353819223134374346495255586164698522263438465058546266707478829098941021061141181101221261301341381421461501541581621661701741781821861901941982022062102144101418222630343842[Durée (100)],Horodateur1123353819223134374346495255586164698522263438465058546266707478829098941021061141181101221261301341381421461501541581621661701741781821861901941982022062102144101418222630343842[Jour],$D$63,Horodateur1123353819223134374346495255586164698522263438465058546266707478829098941021061141181101221261301341381421461501541581621661701741781821861901941982022062102144101418222630343842[Tâche],$A71)</f>
        <v>0</v>
      </c>
      <c r="E71" s="187" t="n">
        <f aca="false">SUMIFS(Horodateur1123353819223134374346495255586164698522263438465058546266707478829098941021061141181101221261301341381421461501541581621661701741781821861901941982022062102144101418222630343842[Durée (100)],Horodateur1123353819223134374346495255586164698522263438465058546266707478829098941021061141181101221261301341381421461501541581621661701741781821861901941982022062102144101418222630343842[Jour],$E$63,Horodateur1123353819223134374346495255586164698522263438465058546266707478829098941021061141181101221261301341381421461501541581621661701741781821861901941982022062102144101418222630343842[Tâche],$A71)</f>
        <v>0.5</v>
      </c>
      <c r="F71" s="71" t="n">
        <f aca="false">SUMIFS(Horodateur1123353819223134374346495255586164698522263438465058546266707478829098941021061141181101221261301341381421461501541581621661701741781821861901941982022062102144101418222630343842[Durée (100)],Horodateur1123353819223134374346495255586164698522263438465058546266707478829098941021061141181101221261301341381421461501541581621661701741781821861901941982022062102144101418222630343842[Jour],$F$63,Horodateur1123353819223134374346495255586164698522263438465058546266707478829098941021061141181101221261301341381421461501541581621661701741781821861901941982022062102144101418222630343842[Tâche],$A71)</f>
        <v>0</v>
      </c>
      <c r="G71" s="187" t="n">
        <f aca="false">SUMIFS(Horodateur1123353819223134374346495255586164698522263438465058546266707478829098941021061141181101221261301341381421461501541581621661701741781821861901941982022062102144101418222630343842[Durée (100)],Horodateur1123353819223134374346495255586164698522263438465058546266707478829098941021061141181101221261301341381421461501541581621661701741781821861901941982022062102144101418222630343842[Jour],$G$63,Horodateur1123353819223134374346495255586164698522263438465058546266707478829098941021061141181101221261301341381421461501541581621661701741781821861901941982022062102144101418222630343842[Tâche],$A71)</f>
        <v>0</v>
      </c>
      <c r="H71" s="187" t="n">
        <f aca="false">SUMIFS(Horodateur1123353819223134374346495255586164698522263438465058546266707478829098941021061141181101221261301341381421461501541581621661701741781821861901941982022062102144101418222630343842[Durée (100)],Horodateur1123353819223134374346495255586164698522263438465058546266707478829098941021061141181101221261301341381421461501541581621661701741781821861901941982022062102144101418222630343842[Jour],$H$63,Horodateur1123353819223134374346495255586164698522263438465058546266707478829098941021061141181101221261301341381421461501541581621661701741781821861901941982022062102144101418222630343842[Tâche],$A71)</f>
        <v>0</v>
      </c>
      <c r="I71" s="295" t="n">
        <f aca="false">SUM(Taches_Jour2132537401821303336424548515457606368842125333745495753616569737781899793101105113117109121125129133137141145149153157161165169173177181185189193197201205209213391317212529333741[[#This Row],[1- Lundi]:[7- Dimanche]])</f>
        <v>0.5</v>
      </c>
      <c r="J71" s="271"/>
      <c r="K71" s="1"/>
      <c r="L71" s="188"/>
      <c r="M71" s="272"/>
      <c r="N71" s="76"/>
    </row>
    <row r="72" customFormat="false" ht="15" hidden="true" customHeight="false" outlineLevel="1" collapsed="false">
      <c r="N72" s="76"/>
    </row>
    <row r="73" customFormat="false" ht="15" hidden="false" customHeight="false" outlineLevel="1" collapsed="false">
      <c r="G73" s="0" t="s">
        <v>383</v>
      </c>
      <c r="N73" s="76"/>
    </row>
    <row r="74" customFormat="false" ht="15" hidden="false" customHeight="false" outlineLevel="0" collapsed="false">
      <c r="N74" s="76"/>
    </row>
    <row r="75" customFormat="false" ht="15" hidden="false" customHeight="false" outlineLevel="0" collapsed="false">
      <c r="G75" s="76"/>
      <c r="N75" s="76"/>
    </row>
    <row r="76" customFormat="false" ht="15" hidden="false" customHeight="false" outlineLevel="0" collapsed="false">
      <c r="N76" s="76"/>
    </row>
    <row r="77" customFormat="false" ht="15" hidden="false" customHeight="false" outlineLevel="0" collapsed="false">
      <c r="N77" s="76"/>
    </row>
    <row r="78" customFormat="false" ht="15" hidden="false" customHeight="false" outlineLevel="0" collapsed="false">
      <c r="N78" s="76"/>
    </row>
    <row r="79" customFormat="false" ht="15" hidden="false" customHeight="false" outlineLevel="0" collapsed="false">
      <c r="N79" s="76"/>
    </row>
    <row r="80" customFormat="false" ht="15" hidden="false" customHeight="false" outlineLevel="0" collapsed="false">
      <c r="N80" s="76"/>
    </row>
    <row r="81" customFormat="false" ht="15" hidden="false" customHeight="false" outlineLevel="0" collapsed="false">
      <c r="N81" s="76"/>
    </row>
    <row r="82" customFormat="false" ht="15" hidden="false" customHeight="false" outlineLevel="0" collapsed="false">
      <c r="N82" s="76"/>
    </row>
    <row r="83" customFormat="false" ht="15" hidden="false" customHeight="false" outlineLevel="0" collapsed="false">
      <c r="N83" s="76"/>
    </row>
    <row r="84" customFormat="false" ht="15" hidden="false" customHeight="false" outlineLevel="0" collapsed="false">
      <c r="N84" s="76"/>
    </row>
    <row r="85" customFormat="false" ht="15" hidden="false" customHeight="false" outlineLevel="0" collapsed="false">
      <c r="N85" s="76"/>
    </row>
    <row r="86" customFormat="false" ht="15" hidden="false" customHeight="false" outlineLevel="0" collapsed="false">
      <c r="N86" s="76"/>
    </row>
    <row r="87" customFormat="false" ht="15" hidden="false" customHeight="false" outlineLevel="0" collapsed="false">
      <c r="N87" s="76"/>
    </row>
    <row r="88" customFormat="false" ht="15" hidden="false" customHeight="false" outlineLevel="0" collapsed="false">
      <c r="N88" s="76"/>
    </row>
    <row r="89" customFormat="false" ht="15" hidden="false" customHeight="false" outlineLevel="0" collapsed="false">
      <c r="N89" s="76"/>
    </row>
    <row r="90" customFormat="false" ht="15" hidden="false" customHeight="false" outlineLevel="0" collapsed="false">
      <c r="N90" s="76"/>
    </row>
    <row r="91" customFormat="false" ht="15" hidden="false" customHeight="false" outlineLevel="0" collapsed="false">
      <c r="N91" s="76"/>
    </row>
    <row r="92" customFormat="false" ht="15" hidden="false" customHeight="false" outlineLevel="0" collapsed="false">
      <c r="N92" s="76"/>
    </row>
    <row r="93" customFormat="false" ht="15" hidden="false" customHeight="false" outlineLevel="0" collapsed="false">
      <c r="N93" s="76"/>
    </row>
    <row r="94" customFormat="false" ht="15" hidden="false" customHeight="false" outlineLevel="0" collapsed="false">
      <c r="N94" s="76"/>
    </row>
    <row r="95" customFormat="false" ht="15" hidden="false" customHeight="false" outlineLevel="0" collapsed="false">
      <c r="A95" s="296" t="s">
        <v>384</v>
      </c>
      <c r="B95" s="296"/>
      <c r="N95" s="76"/>
    </row>
    <row r="96" customFormat="false" ht="15" hidden="false" customHeight="false" outlineLevel="0" collapsed="false">
      <c r="A96" s="297" t="s">
        <v>385</v>
      </c>
      <c r="B96" s="297" t="s">
        <v>8</v>
      </c>
      <c r="N96" s="76"/>
    </row>
    <row r="97" customFormat="false" ht="15" hidden="false" customHeight="false" outlineLevel="0" collapsed="false">
      <c r="A97" s="298" t="n">
        <v>0</v>
      </c>
      <c r="B97" s="299" t="s">
        <v>386</v>
      </c>
      <c r="N97" s="76"/>
    </row>
    <row r="98" customFormat="false" ht="15" hidden="false" customHeight="false" outlineLevel="0" collapsed="false">
      <c r="A98" s="298" t="n">
        <v>-2</v>
      </c>
      <c r="B98" s="299" t="s">
        <v>387</v>
      </c>
      <c r="N98" s="76"/>
    </row>
    <row r="99" customFormat="false" ht="15" hidden="false" customHeight="false" outlineLevel="0" collapsed="false">
      <c r="A99" s="298" t="n">
        <v>8.5</v>
      </c>
      <c r="B99" s="299" t="s">
        <v>388</v>
      </c>
      <c r="N99" s="76"/>
    </row>
    <row r="100" customFormat="false" ht="15" hidden="false" customHeight="false" outlineLevel="0" collapsed="false">
      <c r="A100" s="298" t="n">
        <v>14.5</v>
      </c>
      <c r="B100" s="299" t="s">
        <v>389</v>
      </c>
      <c r="N100" s="76"/>
    </row>
    <row r="101" customFormat="false" ht="15" hidden="false" customHeight="false" outlineLevel="0" collapsed="false">
      <c r="A101" s="298" t="n">
        <v>8.5</v>
      </c>
      <c r="B101" s="299" t="s">
        <v>390</v>
      </c>
      <c r="N101" s="76"/>
    </row>
    <row r="102" customFormat="false" ht="15" hidden="false" customHeight="false" outlineLevel="0" collapsed="false">
      <c r="A102" s="298" t="n">
        <v>10</v>
      </c>
      <c r="B102" s="299" t="s">
        <v>391</v>
      </c>
      <c r="N102" s="76"/>
    </row>
    <row r="103" customFormat="false" ht="15" hidden="false" customHeight="false" outlineLevel="0" collapsed="false">
      <c r="A103" s="298" t="n">
        <v>-7.5</v>
      </c>
      <c r="B103" s="299" t="s">
        <v>392</v>
      </c>
      <c r="N103" s="76"/>
    </row>
    <row r="104" customFormat="false" ht="15" hidden="false" customHeight="false" outlineLevel="0" collapsed="false">
      <c r="A104" s="298" t="n">
        <v>2</v>
      </c>
      <c r="B104" s="299" t="s">
        <v>393</v>
      </c>
      <c r="N104" s="76"/>
    </row>
    <row r="105" customFormat="false" ht="15" hidden="false" customHeight="false" outlineLevel="0" collapsed="false">
      <c r="A105" s="300" t="n">
        <v>2</v>
      </c>
      <c r="B105" s="301" t="s">
        <v>394</v>
      </c>
      <c r="N105" s="76"/>
    </row>
    <row r="106" customFormat="false" ht="15" hidden="false" customHeight="false" outlineLevel="0" collapsed="false">
      <c r="A106" s="300" t="n">
        <v>2.25</v>
      </c>
      <c r="B106" s="301" t="s">
        <v>395</v>
      </c>
    </row>
    <row r="107" customFormat="false" ht="15" hidden="false" customHeight="false" outlineLevel="0" collapsed="false">
      <c r="A107" s="300" t="n">
        <v>-4</v>
      </c>
      <c r="B107" s="302" t="s">
        <v>396</v>
      </c>
    </row>
    <row r="108" customFormat="false" ht="15" hidden="false" customHeight="false" outlineLevel="0" collapsed="false">
      <c r="A108" s="300" t="n">
        <v>-7.5</v>
      </c>
      <c r="B108" s="301" t="s">
        <v>397</v>
      </c>
    </row>
  </sheetData>
  <mergeCells count="1">
    <mergeCell ref="A95:B95"/>
  </mergeCells>
  <conditionalFormatting sqref="G4:G46">
    <cfRule type="expression" priority="2" aboveAverage="0" equalAverage="0" bottom="0" percent="0" rank="0" text="" dxfId="810">
      <formula>L4="O"</formula>
    </cfRule>
    <cfRule type="expression" priority="3" aboveAverage="0" equalAverage="0" bottom="0" percent="0" rank="0" text="" dxfId="811">
      <formula>H4=0</formula>
    </cfRule>
  </conditionalFormatting>
  <conditionalFormatting sqref="F4:F46">
    <cfRule type="expression" priority="4" aboveAverage="0" equalAverage="0" bottom="0" percent="0" rank="0" text="" dxfId="812">
      <formula>L4="O"</formula>
    </cfRule>
  </conditionalFormatting>
  <conditionalFormatting sqref="E4:E46">
    <cfRule type="expression" priority="5" aboveAverage="0" equalAverage="0" bottom="0" percent="0" rank="0" text="" dxfId="813">
      <formula>L4="O"</formula>
    </cfRule>
  </conditionalFormatting>
  <conditionalFormatting sqref="C4:I46 K4:K46">
    <cfRule type="containsText" priority="6" operator="containsText" aboveAverage="0" equalAverage="0" bottom="0" percent="0" rank="0" text="Lundi" dxfId="693">
      <formula>NOT(ISERROR(SEARCH("Lundi",C4)))</formula>
    </cfRule>
  </conditionalFormatting>
  <conditionalFormatting sqref="D4:D46">
    <cfRule type="expression" priority="7" aboveAverage="0" equalAverage="0" bottom="0" percent="0" rank="0" text="" dxfId="814">
      <formula>L4="O"</formula>
    </cfRule>
  </conditionalFormatting>
  <conditionalFormatting sqref="C4:C46">
    <cfRule type="expression" priority="8" aboveAverage="0" equalAverage="0" bottom="0" percent="0" rank="0" text="" dxfId="815">
      <formula>L4="O"</formula>
    </cfRule>
  </conditionalFormatting>
  <conditionalFormatting sqref="K4:K46">
    <cfRule type="expression" priority="9" aboveAverage="0" equalAverage="0" bottom="0" percent="0" rank="0" text="" dxfId="816">
      <formula>L4="O"</formula>
    </cfRule>
  </conditionalFormatting>
  <conditionalFormatting sqref="I4:I46">
    <cfRule type="expression" priority="10" aboveAverage="0" equalAverage="0" bottom="0" percent="0" rank="0" text="" dxfId="817">
      <formula>L4="O"</formula>
    </cfRule>
  </conditionalFormatting>
  <conditionalFormatting sqref="H4:H46">
    <cfRule type="expression" priority="11" aboveAverage="0" equalAverage="0" bottom="0" percent="0" rank="0" text="" dxfId="818">
      <formula>L4="O"</formula>
    </cfRule>
  </conditionalFormatting>
  <conditionalFormatting sqref="F2:J2">
    <cfRule type="iconSet" priority="12">
      <iconSet iconSet="3TrafficLights1">
        <cfvo type="percent" val="0"/>
        <cfvo type="percent" val="33"/>
        <cfvo type="percent" val="67"/>
      </iconSet>
    </cfRule>
  </conditionalFormatting>
  <conditionalFormatting sqref="B4:B46">
    <cfRule type="containsText" priority="13" operator="containsText" aboveAverage="0" equalAverage="0" bottom="0" percent="0" rank="0" text="5" dxfId="819">
      <formula>NOT(ISERROR(SEARCH("5",B4)))</formula>
    </cfRule>
    <cfRule type="containsText" priority="14" operator="containsText" aboveAverage="0" equalAverage="0" bottom="0" percent="0" rank="0" text="4" dxfId="820">
      <formula>NOT(ISERROR(SEARCH("4",B4)))</formula>
    </cfRule>
    <cfRule type="containsText" priority="15" operator="containsText" aboveAverage="0" equalAverage="0" bottom="0" percent="0" rank="0" text="3" dxfId="821">
      <formula>NOT(ISERROR(SEARCH("3",B4)))</formula>
    </cfRule>
    <cfRule type="containsText" priority="16" operator="containsText" aboveAverage="0" equalAverage="0" bottom="0" percent="0" rank="0" text="2" dxfId="822">
      <formula>NOT(ISERROR(SEARCH("2",B4)))</formula>
    </cfRule>
    <cfRule type="containsText" priority="17" operator="containsText" aboveAverage="0" equalAverage="0" bottom="0" percent="0" rank="0" text="1" dxfId="823">
      <formula>NOT(ISERROR(SEARCH("1",B4)))</formula>
    </cfRule>
  </conditionalFormatting>
  <conditionalFormatting sqref="I64:I71">
    <cfRule type="dataBar" priority="18">
      <dataBar showValue="1" minLength="10" maxLength="90">
        <cfvo type="min" val="0"/>
        <cfvo type="max" val="0"/>
        <color rgb="FFFFB628"/>
      </dataBar>
      <extLst>
        <ext xmlns:x14="http://schemas.microsoft.com/office/spreadsheetml/2009/9/main" uri="{B025F937-C7B1-47D3-B67F-A62EFF666E3E}">
          <x14:id>{F8C96A72-E288-45D4-8930-3E866F00807A}</x14:id>
        </ext>
      </extLst>
    </cfRule>
  </conditionalFormatting>
  <conditionalFormatting sqref="I60:I61 J55:J59">
    <cfRule type="dataBar" priority="19">
      <dataBar showValue="1" minLength="10" maxLength="90">
        <cfvo type="min" val="0"/>
        <cfvo type="max" val="0"/>
        <color rgb="FFFFB628"/>
      </dataBar>
      <extLst>
        <ext xmlns:x14="http://schemas.microsoft.com/office/spreadsheetml/2009/9/main" uri="{B025F937-C7B1-47D3-B67F-A62EFF666E3E}">
          <x14:id>{8424FC9E-7B46-4A93-98FA-C685D3E2B796}</x14:id>
        </ext>
      </extLst>
    </cfRule>
  </conditionalFormatting>
  <conditionalFormatting sqref="U2:AG2">
    <cfRule type="dataBar" priority="20">
      <dataBar showValue="1" minLength="10" maxLength="90">
        <cfvo type="min" val="0"/>
        <cfvo type="max" val="0"/>
        <color rgb="FF63C384"/>
      </dataBar>
      <extLst>
        <ext xmlns:x14="http://schemas.microsoft.com/office/spreadsheetml/2009/9/main" uri="{B025F937-C7B1-47D3-B67F-A62EFF666E3E}">
          <x14:id>{4C9F47C4-ABAD-402F-B850-CEA4C1635F3B}</x14:id>
        </ext>
      </extLst>
    </cfRule>
  </conditionalFormatting>
  <conditionalFormatting sqref="N2:T2">
    <cfRule type="dataBar" priority="21">
      <dataBar showValue="1" minLength="10" maxLength="90">
        <cfvo type="min" val="0"/>
        <cfvo type="max" val="0"/>
        <color rgb="FFFFB628"/>
      </dataBar>
      <extLst>
        <ext xmlns:x14="http://schemas.microsoft.com/office/spreadsheetml/2009/9/main" uri="{B025F937-C7B1-47D3-B67F-A62EFF666E3E}">
          <x14:id>{E72CE158-B36E-4540-925E-3A1F41203F12}</x14:id>
        </ext>
      </extLst>
    </cfRule>
  </conditionalFormatting>
  <conditionalFormatting sqref="N2:AG2">
    <cfRule type="dataBar" priority="22">
      <dataBar showValue="1" minLength="10" maxLength="90">
        <cfvo type="min" val="0"/>
        <cfvo type="max" val="0"/>
        <color rgb="FFFFB628"/>
      </dataBar>
      <extLst>
        <ext xmlns:x14="http://schemas.microsoft.com/office/spreadsheetml/2009/9/main" uri="{B025F937-C7B1-47D3-B67F-A62EFF666E3E}">
          <x14:id>{117D6CE4-E04A-47C6-9B2F-CC642479FC9D}</x14:id>
        </ext>
      </extLst>
    </cfRule>
  </conditionalFormatting>
  <conditionalFormatting sqref="N2:S2">
    <cfRule type="dataBar" priority="23">
      <dataBar showValue="1" minLength="10" maxLength="90">
        <cfvo type="min" val="0"/>
        <cfvo type="max" val="0"/>
        <color rgb="FF638EC6"/>
      </dataBar>
      <extLst>
        <ext xmlns:x14="http://schemas.microsoft.com/office/spreadsheetml/2009/9/main" uri="{B025F937-C7B1-47D3-B67F-A62EFF666E3E}">
          <x14:id>{A3DAA929-ACF5-45E7-AAD1-A2F8DF80D05F}</x14:id>
        </ext>
      </extLst>
    </cfRule>
  </conditionalFormatting>
  <conditionalFormatting sqref="T2">
    <cfRule type="dataBar" priority="24">
      <dataBar showValue="1" minLength="10" maxLength="90">
        <cfvo type="min" val="0"/>
        <cfvo type="max" val="0"/>
        <color rgb="FF63C384"/>
      </dataBar>
      <extLst>
        <ext xmlns:x14="http://schemas.microsoft.com/office/spreadsheetml/2009/9/main" uri="{B025F937-C7B1-47D3-B67F-A62EFF666E3E}">
          <x14:id>{D35DE040-928F-4465-9E1D-F6A2A9BA6E99}</x14:id>
        </ext>
      </extLst>
    </cfRule>
  </conditionalFormatting>
  <conditionalFormatting sqref="A4:A46">
    <cfRule type="colorScale" priority="25">
      <colorScale>
        <cfvo type="min" val="0"/>
        <cfvo type="percentile" val="50"/>
        <cfvo type="max" val="0"/>
        <color rgb="FFFFCC99"/>
        <color rgb="FFFFD966"/>
        <color rgb="FFFFF2CC"/>
      </colorScale>
    </cfRule>
  </conditionalFormatting>
  <conditionalFormatting sqref="J4:J46">
    <cfRule type="iconSet" priority="26">
      <iconSet iconSet="3TrafficLights1">
        <cfvo type="percent" val="0"/>
        <cfvo type="percent" val="33"/>
        <cfvo type="percent" val="67"/>
      </iconSet>
    </cfRule>
  </conditionalFormatting>
  <dataValidations count="4">
    <dataValidation allowBlank="true" errorStyle="stop" operator="between" showDropDown="false" showErrorMessage="true" showInputMessage="true" sqref="B1" type="list">
      <formula1>Data!$A$2:$A$106</formula1>
      <formula2>0</formula2>
    </dataValidation>
    <dataValidation allowBlank="true" errorStyle="information" errorTitle="OK ?" operator="between" showDropDown="false" showErrorMessage="true" showInputMessage="true" sqref="F4:F46" type="list">
      <formula1>Data!$D$2:$D$16</formula1>
      <formula2>0</formula2>
    </dataValidation>
    <dataValidation allowBlank="false" errorStyle="stop" operator="between" showDropDown="false" showErrorMessage="true" showInputMessage="true" sqref="E4:E46" type="list">
      <formula1>Data!$E$2:$E$30</formula1>
      <formula2>0</formula2>
    </dataValidation>
    <dataValidation allowBlank="true" errorStyle="stop" operator="between" showDropDown="false" showErrorMessage="true" showInputMessage="true" sqref="B4:B46" type="list">
      <formula1>Data!$C$2:$C$8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  <tableParts>
    <tablePart r:id="rId4"/>
    <tablePart r:id="rId5"/>
    <tablePart r:id="rId6"/>
    <tablePart r:id="rId7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8C96A72-E288-45D4-8930-3E866F00807A}">
            <x14:dataBar minLength="10" maxLength="90" axisPosition="automatic" gradient="true">
              <x14:cfvo type="autoMin"/>
              <x14:cfvo type="autoMax"/>
              <x14:negativeFillColor rgb="FFFF0000"/>
              <x14:axisColor rgb="FF000000"/>
            </x14:dataBar>
          </x14:cfRule>
          <xm:sqref>I64:I71</xm:sqref>
        </x14:conditionalFormatting>
        <x14:conditionalFormatting xmlns:xm="http://schemas.microsoft.com/office/excel/2006/main">
          <x14:cfRule type="dataBar" id="{8424FC9E-7B46-4A93-98FA-C685D3E2B796}">
            <x14:dataBar minLength="10" maxLength="90" axisPosition="automatic" gradient="true">
              <x14:cfvo type="autoMin"/>
              <x14:cfvo type="autoMax"/>
              <x14:negativeFillColor rgb="FFFF0000"/>
              <x14:axisColor rgb="FF000000"/>
            </x14:dataBar>
          </x14:cfRule>
          <xm:sqref>I60:I61 J55:J59</xm:sqref>
        </x14:conditionalFormatting>
        <x14:conditionalFormatting xmlns:xm="http://schemas.microsoft.com/office/excel/2006/main">
          <x14:cfRule type="dataBar" id="{4C9F47C4-ABAD-402F-B850-CEA4C1635F3B}">
            <x14:dataBar minLength="10" maxLength="90" axisPosition="automatic" gradient="true">
              <x14:cfvo type="autoMin"/>
              <x14:cfvo type="autoMax"/>
              <x14:negativeFillColor rgb="FFFF0000"/>
              <x14:axisColor rgb="FF000000"/>
            </x14:dataBar>
          </x14:cfRule>
          <xm:sqref>U2:AG2</xm:sqref>
        </x14:conditionalFormatting>
        <x14:conditionalFormatting xmlns:xm="http://schemas.microsoft.com/office/excel/2006/main">
          <x14:cfRule type="dataBar" id="{E72CE158-B36E-4540-925E-3A1F41203F12}">
            <x14:dataBar minLength="10" maxLength="90" axisPosition="automatic" gradient="true">
              <x14:cfvo type="autoMin"/>
              <x14:cfvo type="autoMax"/>
              <x14:negativeFillColor rgb="FFFF0000"/>
              <x14:axisColor rgb="FF000000"/>
            </x14:dataBar>
          </x14:cfRule>
          <xm:sqref>N2:T2</xm:sqref>
        </x14:conditionalFormatting>
        <x14:conditionalFormatting xmlns:xm="http://schemas.microsoft.com/office/excel/2006/main">
          <x14:cfRule type="dataBar" id="{117D6CE4-E04A-47C6-9B2F-CC642479FC9D}">
            <x14:dataBar minLength="10" maxLength="90" axisPosition="automatic" gradient="false">
              <x14:cfvo type="autoMin"/>
              <x14:cfvo type="autoMax"/>
              <x14:negativeFillColor rgb="FFFF0000"/>
              <x14:axisColor rgb="FF000000"/>
            </x14:dataBar>
          </x14:cfRule>
          <xm:sqref>N2:AG2</xm:sqref>
        </x14:conditionalFormatting>
        <x14:conditionalFormatting xmlns:xm="http://schemas.microsoft.com/office/excel/2006/main">
          <x14:cfRule type="dataBar" id="{A3DAA929-ACF5-45E7-AAD1-A2F8DF80D05F}">
            <x14:dataBar minLength="10" maxLength="90" axisPosition="automatic" gradient="false">
              <x14:cfvo type="autoMin"/>
              <x14:cfvo type="autoMax"/>
              <x14:negativeFillColor rgb="FFFF0000"/>
              <x14:axisColor rgb="FF000000"/>
            </x14:dataBar>
          </x14:cfRule>
          <xm:sqref>N2:S2</xm:sqref>
        </x14:conditionalFormatting>
        <x14:conditionalFormatting xmlns:xm="http://schemas.microsoft.com/office/excel/2006/main">
          <x14:cfRule type="dataBar" id="{D35DE040-928F-4465-9E1D-F6A2A9BA6E99}">
            <x14:dataBar minLength="10" maxLength="90" axisPosition="automatic" gradient="false">
              <x14:cfvo type="autoMin"/>
              <x14:cfvo type="autoMax"/>
              <x14:negativeFillColor rgb="FFFF0000"/>
              <x14:axisColor rgb="FF000000"/>
            </x14:dataBar>
          </x14:cfRule>
          <xm:sqref>T2</xm:sqref>
        </x14:conditionalFormatting>
      </x14:conditionalFormatting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10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24" activePane="bottomLeft" state="frozen"/>
      <selection pane="topLeft" activeCell="A1" activeCellId="0" sqref="A1"/>
      <selection pane="bottomLeft" activeCell="G45" activeCellId="0" sqref="G45"/>
    </sheetView>
  </sheetViews>
  <sheetFormatPr defaultColWidth="8.6796875" defaultRowHeight="15" zeroHeight="false" outlineLevelRow="1" outlineLevelCol="1"/>
  <cols>
    <col collapsed="false" customWidth="true" hidden="false" outlineLevel="0" max="1" min="1" style="0" width="16.57"/>
    <col collapsed="false" customWidth="true" hidden="false" outlineLevel="0" max="2" min="2" style="0" width="17.71"/>
    <col collapsed="false" customWidth="true" hidden="false" outlineLevel="0" max="3" min="3" style="0" width="14.14"/>
    <col collapsed="false" customWidth="true" hidden="false" outlineLevel="0" max="4" min="4" style="0" width="10.57"/>
    <col collapsed="false" customWidth="true" hidden="false" outlineLevel="0" max="5" min="5" style="0" width="24.42"/>
    <col collapsed="false" customWidth="true" hidden="false" outlineLevel="0" max="6" min="6" style="0" width="19.71"/>
    <col collapsed="false" customWidth="true" hidden="false" outlineLevel="0" max="7" min="7" style="0" width="29.71"/>
    <col collapsed="false" customWidth="true" hidden="false" outlineLevel="0" max="8" min="8" style="0" width="13.29"/>
    <col collapsed="false" customWidth="true" hidden="false" outlineLevel="0" max="9" min="9" style="0" width="15"/>
    <col collapsed="false" customWidth="true" hidden="false" outlineLevel="0" max="11" min="10" style="0" width="16.14"/>
    <col collapsed="false" customWidth="true" hidden="false" outlineLevel="0" max="12" min="12" style="0" width="7.71"/>
    <col collapsed="false" customWidth="true" hidden="false" outlineLevel="0" max="13" min="13" style="224" width="9.86"/>
    <col collapsed="false" customWidth="true" hidden="false" outlineLevel="1" max="14" min="14" style="0" width="10.29"/>
    <col collapsed="false" customWidth="true" hidden="false" outlineLevel="1" max="15" min="15" style="0" width="9.57"/>
    <col collapsed="false" customWidth="true" hidden="false" outlineLevel="1" max="16" min="16" style="0" width="8.57"/>
    <col collapsed="false" customWidth="true" hidden="false" outlineLevel="1" max="18" min="17" style="0" width="7.29"/>
    <col collapsed="false" customWidth="true" hidden="false" outlineLevel="1" max="19" min="19" style="0" width="8.57"/>
    <col collapsed="false" customWidth="true" hidden="false" outlineLevel="1" max="20" min="20" style="0" width="7.71"/>
    <col collapsed="false" customWidth="true" hidden="false" outlineLevel="1" max="21" min="21" style="0" width="12"/>
    <col collapsed="false" customWidth="true" hidden="false" outlineLevel="1" max="22" min="22" style="0" width="10.14"/>
    <col collapsed="false" customWidth="true" hidden="false" outlineLevel="1" max="23" min="23" style="0" width="11.71"/>
    <col collapsed="false" customWidth="true" hidden="false" outlineLevel="1" max="24" min="24" style="0" width="12.71"/>
    <col collapsed="false" customWidth="true" hidden="false" outlineLevel="1" max="25" min="25" style="0" width="8.57"/>
    <col collapsed="false" customWidth="true" hidden="false" outlineLevel="1" max="26" min="26" style="0" width="7.29"/>
    <col collapsed="false" customWidth="true" hidden="false" outlineLevel="1" max="27" min="27" style="0" width="9.71"/>
    <col collapsed="false" customWidth="true" hidden="false" outlineLevel="1" max="28" min="28" style="0" width="11.43"/>
    <col collapsed="false" customWidth="true" hidden="false" outlineLevel="1" max="29" min="29" style="0" width="10"/>
    <col collapsed="false" customWidth="true" hidden="false" outlineLevel="1" max="30" min="30" style="0" width="9.86"/>
    <col collapsed="false" customWidth="true" hidden="false" outlineLevel="1" max="31" min="31" style="0" width="7.86"/>
    <col collapsed="false" customWidth="true" hidden="false" outlineLevel="1" max="32" min="32" style="0" width="18.71"/>
    <col collapsed="false" customWidth="true" hidden="false" outlineLevel="1" max="33" min="33" style="0" width="27.15"/>
    <col collapsed="false" customWidth="true" hidden="false" outlineLevel="1" max="34" min="34" style="0" width="5.42"/>
  </cols>
  <sheetData>
    <row r="1" customFormat="false" ht="22.05" hidden="false" customHeight="false" outlineLevel="0" collapsed="false">
      <c r="A1" s="225" t="str">
        <f aca="false">"Semaine du " &amp; Data!D41</f>
        <v>Semaine du </v>
      </c>
      <c r="B1" s="226" t="n">
        <v>44263</v>
      </c>
      <c r="C1" s="227"/>
      <c r="D1" s="321" t="s">
        <v>361</v>
      </c>
      <c r="E1" s="322" t="n">
        <f aca="false">AVERAGE(F2:J2)</f>
        <v>7.15</v>
      </c>
      <c r="F1" s="323" t="s">
        <v>0</v>
      </c>
      <c r="G1" s="324" t="s">
        <v>1</v>
      </c>
      <c r="H1" s="324" t="s">
        <v>2</v>
      </c>
      <c r="I1" s="324" t="s">
        <v>3</v>
      </c>
      <c r="J1" s="324" t="s">
        <v>4</v>
      </c>
      <c r="K1" s="325" t="s">
        <v>401</v>
      </c>
      <c r="L1" s="234" t="n">
        <f aca="false">COUNTIF(Horodateur11233538192231343743464952555861646985222634384650585462667074788290989410210611411811012212613013413814214615015415816216617017417818218619019419820220621021441014182226303438[O],"o")+ COUNTIF(Horodateur11233538192231343743464952555861646985222634384650585462667074788290989410210611411811012212613013413814214615015415816216617017417818218619019419820220621021441014182226303438[O],".")</f>
        <v>40</v>
      </c>
      <c r="M1" s="128" t="n">
        <f aca="false">B2</f>
        <v>39.75</v>
      </c>
      <c r="N1" s="131" t="s">
        <v>21</v>
      </c>
      <c r="O1" s="130" t="s">
        <v>20</v>
      </c>
      <c r="P1" s="130" t="s">
        <v>23</v>
      </c>
      <c r="Q1" s="130" t="s">
        <v>25</v>
      </c>
      <c r="R1" s="130" t="s">
        <v>26</v>
      </c>
      <c r="S1" s="130" t="s">
        <v>378</v>
      </c>
      <c r="T1" s="130" t="s">
        <v>380</v>
      </c>
      <c r="U1" s="136" t="s">
        <v>32</v>
      </c>
      <c r="V1" s="136" t="s">
        <v>69</v>
      </c>
      <c r="W1" s="136" t="s">
        <v>66</v>
      </c>
      <c r="X1" s="136" t="s">
        <v>47</v>
      </c>
      <c r="Y1" s="136" t="s">
        <v>68</v>
      </c>
      <c r="Z1" s="136" t="s">
        <v>41</v>
      </c>
      <c r="AA1" s="136" t="s">
        <v>61</v>
      </c>
      <c r="AB1" s="136" t="s">
        <v>74</v>
      </c>
      <c r="AC1" s="136" t="s">
        <v>37</v>
      </c>
      <c r="AD1" s="136" t="s">
        <v>77</v>
      </c>
      <c r="AE1" s="136" t="s">
        <v>45</v>
      </c>
      <c r="AF1" s="136" t="s">
        <v>78</v>
      </c>
      <c r="AG1" s="136" t="s">
        <v>79</v>
      </c>
      <c r="AH1" s="87" t="str">
        <f aca="false">SUM(M4:M43) &amp; " / " &amp; B2-SUM(M4:M43)</f>
        <v>39 / 0.75</v>
      </c>
    </row>
    <row r="2" customFormat="false" ht="22.05" hidden="false" customHeight="false" outlineLevel="0" collapsed="false">
      <c r="A2" s="327" t="n">
        <f aca="false">SUM(Horodateur11233538192231343743464952555861646985222634384650585462667074788290989410210611411811012212613013413814214615015415816216617017417818218619019419820220621021441014182226303438[Durée (60)])</f>
        <v>1.65625</v>
      </c>
      <c r="B2" s="328" t="n">
        <f aca="false">SUM(Horodateur11233538192231343743464952555861646985222634384650585462667074788290989410210611411811012212613013413814214615015415816216617017417818218619019419820220621021441014182226303438[Durée (100)])</f>
        <v>39.75</v>
      </c>
      <c r="C2" s="339" t="str">
        <f aca="false">M2</f>
        <v>39 / 0.75</v>
      </c>
      <c r="D2" s="238"/>
      <c r="E2" s="239"/>
      <c r="F2" s="329" t="n">
        <f aca="false">SUMIF(Horodateur11233538192231343743464952555861646985222634384650585462667074788290989410210611411811012212613013413814214615015415816216617017417818218619019419820220621021441014182226303438[Jour],"1- Lundi",Horodateur11233538192231343743464952555861646985222634384650585462667074788290989410210611411811012212613013413814214615015415816216617017417818218619019419820220621021441014182226303438[Durée (100)])</f>
        <v>8.5</v>
      </c>
      <c r="G2" s="330" t="n">
        <f aca="false">SUMIF(Horodateur11233538192231343743464952555861646985222634384650585462667074788290989410210611411811012212613013413814214615015415816216617017417818218619019419820220621021441014182226303438[Jour],"2- Mardi",Horodateur11233538192231343743464952555861646985222634384650585462667074788290989410210611411811012212613013413814214615015415816216617017417818218619019419820220621021441014182226303438[Durée (100)])</f>
        <v>9</v>
      </c>
      <c r="H2" s="330" t="n">
        <f aca="false">SUMIF(Horodateur11233538192231343743464952555861646985222634384650585462667074788290989410210611411811012212613013413814214615015415816216617017417818218619019419820220621021441014182226303438[Jour],"3- Mercredi",Horodateur11233538192231343743464952555861646985222634384650585462667074788290989410210611411811012212613013413814214615015415816216617017417818218619019419820220621021441014182226303438[Durée (100)])</f>
        <v>6.5</v>
      </c>
      <c r="I2" s="330" t="n">
        <f aca="false">SUMIF(Horodateur11233538192231343743464952555861646985222634384650585462667074788290989410210611411811012212613013413814214615015415816216617017417818218619019419820220621021441014182226303438[Jour],"4- Jeudi",Horodateur11233538192231343743464952555861646985222634384650585462667074788290989410210611411811012212613013413814214615015415816216617017417818218619019419820220621021441014182226303438[Durée (100)])</f>
        <v>8</v>
      </c>
      <c r="J2" s="330" t="n">
        <f aca="false">SUMIF(Horodateur11233538192231343743464952555861646985222634384650585462667074788290989410210611411811012212613013413814214615015415816216617017417818218619019419820220621021441014182226303438[Jour],"5- Vendredi",Horodateur11233538192231343743464952555861646985222634384650585462667074788290989410210611411811012212613013413814214615015415816216617017417818218619019419820220621021441014182226303438[Durée (100)])</f>
        <v>3.75</v>
      </c>
      <c r="K2" s="331" t="str">
        <f aca="false">ROUND(SUMIF(Horodateur11233538192231343743464952555861646985222634384650585462667074788290989410210611411811012212613013413814214615015415816216617017417818218619019419820220621021441014182226303438[Jour],"6- Samedi",Horodateur11233538192231343743464952555861646985222634384650585462667074788290989410210611411811012212613013413814214615015415816216617017417818218619019419820220621021441014182226303438[Durée (100)]),2) &amp;  "   /    " &amp;  ROUND(SUMIF(Horodateur11233538192231343743464952555861646985222634384650585462667074788290989410210611411811012212613013413814214615015415816216617017417818218619019419820220621021441014182226303438[Jour],"7- Dimanche",Horodateur11233538192231343743464952555861646985222634384650585462667074788290989410210611411811012212613013413814214615015415816216617017417818218619019419820220621021441014182226303438[Durée (100)]),2)</f>
        <v>4   /    0</v>
      </c>
      <c r="L2" s="244" t="str">
        <f aca="false">COUNTIF(Horodateur11233538192231343743464952555861646985222634384650585462667074788290989410210611411811012212613013413814214615015415816216617017417818218619019419820220621021441014182226303438[O],"o")&amp;" / " &amp;  COUNTIF(Horodateur11233538192231343743464952555861646985222634384650585462667074788290989410210611411811012212613013413814214615015415816216617017417818218619019419820220621021441014182226303438[O],".")</f>
        <v>38 / 2</v>
      </c>
      <c r="M2" s="143" t="str">
        <f aca="false">SUM(M4:M43) &amp; " / " &amp; B2-SUM(M4:M43)</f>
        <v>39 / 0.75</v>
      </c>
      <c r="N2" s="248" t="n">
        <f aca="false">SUMIF(Horodateur11233538192231343743464952555861646985222634384650585462667074788290989410210611411811012212613013413814214615015415816216617017417818218619019419820220621021441014182226303438[Tâche],N$1,Horodateur11233538192231343743464952555861646985222634384650585462667074788290989410210611411811012212613013413814214615015415816216617017417818218619019419820220621021441014182226303438[Durée (100)])</f>
        <v>2.25</v>
      </c>
      <c r="O2" s="247" t="n">
        <f aca="false">SUMIF(Horodateur11233538192231343743464952555861646985222634384650585462667074788290989410210611411811012212613013413814214615015415816216617017417818218619019419820220621021441014182226303438[Tâche],O$1,Horodateur11233538192231343743464952555861646985222634384650585462667074788290989410210611411811012212613013413814214615015415816216617017417818218619019419820220621021441014182226303438[Durée (100)])</f>
        <v>0.500000000000001</v>
      </c>
      <c r="P2" s="247" t="n">
        <f aca="false">SUMIF(Horodateur11233538192231343743464952555861646985222634384650585462667074788290989410210611411811012212613013413814214615015415816216617017417818218619019419820220621021441014182226303438[Tâche],P$1,Horodateur11233538192231343743464952555861646985222634384650585462667074788290989410210611411811012212613013413814214615015415816216617017417818218619019419820220621021441014182226303438[Durée (100)])</f>
        <v>0</v>
      </c>
      <c r="Q2" s="247" t="n">
        <f aca="false">SUMIF(Horodateur11233538192231343743464952555861646985222634384650585462667074788290989410210611411811012212613013413814214615015415816216617017417818218619019419820220621021441014182226303438[Tâche],Q$1,Horodateur11233538192231343743464952555861646985222634384650585462667074788290989410210611411811012212613013413814214615015415816216617017417818218619019419820220621021441014182226303438[Durée (100)])</f>
        <v>0</v>
      </c>
      <c r="R2" s="247" t="n">
        <f aca="false">SUMIF(Horodateur11233538192231343743464952555861646985222634384650585462667074788290989410210611411811012212613013413814214615015415816216617017417818218619019419820220621021441014182226303438[Tâche],R$1,Horodateur11233538192231343743464952555861646985222634384650585462667074788290989410210611411811012212613013413814214615015415816216617017417818218619019419820220621021441014182226303438[Durée (100)])</f>
        <v>0</v>
      </c>
      <c r="S2" s="247" t="n">
        <f aca="false">SUMIF(Horodateur11233538192231343743464952555861646985222634384650585462667074788290989410210611411811012212613013413814214615015415816216617017417818218619019419820220621021441014182226303438[Tâche],S$1,Horodateur11233538192231343743464952555861646985222634384650585462667074788290989410210611411811012212613013413814214615015415816216617017417818218619019419820220621021441014182226303438[Durée (100)])</f>
        <v>28.75</v>
      </c>
      <c r="T2" s="247" t="n">
        <f aca="false">SUMIF(Horodateur11233538192231343743464952555861646985222634384650585462667074788290989410210611411811012212613013413814214615015415816216617017417818218619019419820220621021441014182226303438[Tâche],T$1,Horodateur11233538192231343743464952555861646985222634384650585462667074788290989410210611411811012212613013413814214615015415816216617017417818218619019419820220621021441014182226303438[Durée (100)])</f>
        <v>0</v>
      </c>
      <c r="U2" s="151" t="n">
        <f aca="false">SUMIF(Horodateur11233538192231343743464952555861646985222634384650585462667074788290989410210611411811012212613013413814214615015415816216617017417818218619019419820220621021441014182226303438[Client],U$1,Horodateur11233538192231343743464952555861646985222634384650585462667074788290989410210611411811012212613013413814214615015415816216617017417818218619019419820220621021441014182226303438[Durée (100)])</f>
        <v>5.25</v>
      </c>
      <c r="V2" s="151" t="n">
        <f aca="false">SUMIF(Horodateur11233538192231343743464952555861646985222634384650585462667074788290989410210611411811012212613013413814214615015415816216617017417818218619019419820220621021441014182226303438[Client],V$1,Horodateur11233538192231343743464952555861646985222634384650585462667074788290989410210611411811012212613013413814214615015415816216617017417818218619019419820220621021441014182226303438[Durée (100)])</f>
        <v>0</v>
      </c>
      <c r="W2" s="151" t="n">
        <f aca="false">SUMIF(Horodateur11233538192231343743464952555861646985222634384650585462667074788290989410210611411811012212613013413814214615015415816216617017417818218619019419820220621021441014182226303438[Client],W$1,Horodateur11233538192231343743464952555861646985222634384650585462667074788290989410210611411811012212613013413814214615015415816216617017417818218619019419820220621021441014182226303438[Durée (100)])</f>
        <v>0</v>
      </c>
      <c r="X2" s="151" t="n">
        <f aca="false">SUMIF(Horodateur11233538192231343743464952555861646985222634384650585462667074788290989410210611411811012212613013413814214615015415816216617017417818218619019419820220621021441014182226303438[Client],X$1,Horodateur11233538192231343743464952555861646985222634384650585462667074788290989410210611411811012212613013413814214615015415816216617017417818218619019419820220621021441014182226303438[Durée (100)])</f>
        <v>0</v>
      </c>
      <c r="Y2" s="151" t="n">
        <f aca="false">SUMIF(Horodateur11233538192231343743464952555861646985222634384650585462667074788290989410210611411811012212613013413814214615015415816216617017417818218619019419820220621021441014182226303438[Client],Y$1,Horodateur11233538192231343743464952555861646985222634384650585462667074788290989410210611411811012212613013413814214615015415816216617017417818218619019419820220621021441014182226303438[Durée (100)])</f>
        <v>0</v>
      </c>
      <c r="Z2" s="151" t="n">
        <f aca="false">SUMIF(Horodateur11233538192231343743464952555861646985222634384650585462667074788290989410210611411811012212613013413814214615015415816216617017417818218619019419820220621021441014182226303438[Client],Z$1,Horodateur11233538192231343743464952555861646985222634384650585462667074788290989410210611411811012212613013413814214615015415816216617017417818218619019419820220621021441014182226303438[Durée (100)])</f>
        <v>0</v>
      </c>
      <c r="AA2" s="151" t="n">
        <f aca="false">SUMIF(Horodateur11233538192231343743464952555861646985222634384650585462667074788290989410210611411811012212613013413814214615015415816216617017417818218619019419820220621021441014182226303438[Client],AA$1,Horodateur11233538192231343743464952555861646985222634384650585462667074788290989410210611411811012212613013413814214615015415816216617017417818218619019419820220621021441014182226303438[Durée (100)])</f>
        <v>0.249999999999999</v>
      </c>
      <c r="AB2" s="151" t="n">
        <f aca="false">SUMIF(Horodateur11233538192231343743464952555861646985222634384650585462667074788290989410210611411811012212613013413814214615015415816216617017417818218619019419820220621021441014182226303438[Client],AB$1,Horodateur11233538192231343743464952555861646985222634384650585462667074788290989410210611411811012212613013413814214615015415816216617017417818218619019419820220621021441014182226303438[Durée (100)])</f>
        <v>0.499999999999998</v>
      </c>
      <c r="AC2" s="151" t="n">
        <f aca="false">SUMIF(Horodateur11233538192231343743464952555861646985222634384650585462667074788290989410210611411811012212613013413814214615015415816216617017417818218619019419820220621021441014182226303438[Client],AC$1,Horodateur11233538192231343743464952555861646985222634384650585462667074788290989410210611411811012212613013413814214615015415816216617017417818218619019419820220621021441014182226303438[Durée (100)])</f>
        <v>17.5</v>
      </c>
      <c r="AD2" s="151" t="n">
        <f aca="false">SUMIF(Horodateur11233538192231343743464952555861646985222634384650585462667074788290989410210611411811012212613013413814214615015415816216617017417818218619019419820220621021441014182226303438[Client],AD$1,Horodateur11233538192231343743464952555861646985222634384650585462667074788290989410210611411811012212613013413814214615015415816216617017417818218619019419820220621021441014182226303438[Durée (100)])</f>
        <v>0</v>
      </c>
      <c r="AE2" s="151" t="n">
        <f aca="false">SUMIF(Horodateur11233538192231343743464952555861646985222634384650585462667074788290989410210611411811012212613013413814214615015415816216617017417818218619019419820220621021441014182226303438[Client],AE$1,Horodateur11233538192231343743464952555861646985222634384650585462667074788290989410210611411811012212613013413814214615015415816216617017417818218619019419820220621021441014182226303438[Durée (100)])</f>
        <v>1.5</v>
      </c>
      <c r="AF2" s="151" t="n">
        <f aca="false">SUMIF(Horodateur11233538192231343743464952555861646985222634384650585462667074788290989410210611411811012212613013413814214615015415816216617017417818218619019419820220621021441014182226303438[Client],AF$1,Horodateur11233538192231343743464952555861646985222634384650585462667074788290989410210611411811012212613013413814214615015415816216617017417818218619019419820220621021441014182226303438[Durée (100)])</f>
        <v>0.249999999999999</v>
      </c>
      <c r="AG2" s="151" t="n">
        <f aca="false">SUMIF(Horodateur11233538192231343743464952555861646985222634384650585462667074788290989410210611411811012212613013413814214615015415816216617017417818218619019419820220621021441014182226303438[Client],AG$1,Horodateur11233538192231343743464952555861646985222634384650585462667074788290989410210611411811012212613013413814214615015415816216617017417818218619019419820220621021441014182226303438[Durée (100)])</f>
        <v>0</v>
      </c>
    </row>
    <row r="3" s="137" customFormat="true" ht="15" hidden="false" customHeight="false" outlineLevel="0" collapsed="false">
      <c r="A3" s="249" t="s">
        <v>8</v>
      </c>
      <c r="B3" s="249" t="s">
        <v>9</v>
      </c>
      <c r="C3" s="193" t="s">
        <v>10</v>
      </c>
      <c r="D3" s="193" t="s">
        <v>11</v>
      </c>
      <c r="E3" s="250" t="s">
        <v>12</v>
      </c>
      <c r="F3" s="250" t="s">
        <v>13</v>
      </c>
      <c r="G3" s="250" t="s">
        <v>14</v>
      </c>
      <c r="H3" s="193" t="s">
        <v>302</v>
      </c>
      <c r="I3" s="252" t="s">
        <v>364</v>
      </c>
      <c r="J3" s="253" t="s">
        <v>365</v>
      </c>
      <c r="K3" s="250" t="s">
        <v>402</v>
      </c>
      <c r="L3" s="255" t="s">
        <v>7</v>
      </c>
      <c r="M3" s="254" t="s">
        <v>29</v>
      </c>
      <c r="N3" s="153" t="n">
        <f aca="false">N2/$B$2</f>
        <v>0.0566037735849057</v>
      </c>
      <c r="O3" s="153" t="n">
        <f aca="false">O2/$B$2</f>
        <v>0.0125786163522013</v>
      </c>
      <c r="P3" s="153" t="n">
        <f aca="false">P2/$B$2</f>
        <v>0</v>
      </c>
      <c r="Q3" s="153" t="n">
        <f aca="false">Q2/$B$2</f>
        <v>0</v>
      </c>
      <c r="R3" s="153" t="n">
        <f aca="false">R2/$B$2</f>
        <v>0</v>
      </c>
      <c r="S3" s="153" t="n">
        <f aca="false">S2/$B$2</f>
        <v>0.723270440251572</v>
      </c>
      <c r="T3" s="153" t="n">
        <f aca="false">T2/$B$2</f>
        <v>0</v>
      </c>
      <c r="U3" s="153" t="n">
        <f aca="false">U2/$B$2</f>
        <v>0.132075471698113</v>
      </c>
      <c r="V3" s="153" t="n">
        <f aca="false">V2/$B$2</f>
        <v>0</v>
      </c>
      <c r="W3" s="153" t="n">
        <f aca="false">W2/$B$2</f>
        <v>0</v>
      </c>
      <c r="X3" s="153" t="n">
        <f aca="false">X2/$B$2</f>
        <v>0</v>
      </c>
      <c r="Y3" s="153" t="n">
        <f aca="false">Y2/$B$2</f>
        <v>0</v>
      </c>
      <c r="Z3" s="153" t="n">
        <f aca="false">Z2/$B$2</f>
        <v>0</v>
      </c>
      <c r="AA3" s="153" t="n">
        <f aca="false">AA2/$B$2</f>
        <v>0.00628930817610061</v>
      </c>
      <c r="AB3" s="153" t="n">
        <f aca="false">AB2/$B$2</f>
        <v>0.0125786163522012</v>
      </c>
      <c r="AC3" s="153" t="n">
        <f aca="false">AC2/$B$2</f>
        <v>0.440251572327044</v>
      </c>
      <c r="AD3" s="153" t="n">
        <f aca="false">AD2/$B$2</f>
        <v>0</v>
      </c>
      <c r="AE3" s="153" t="n">
        <f aca="false">AE2/$B$2</f>
        <v>0.0377358490566038</v>
      </c>
      <c r="AF3" s="153" t="n">
        <f aca="false">AF2/$B$2</f>
        <v>0.00628930817610061</v>
      </c>
      <c r="AG3" s="153" t="n">
        <f aca="false">AG2/$B$2</f>
        <v>0</v>
      </c>
    </row>
    <row r="4" customFormat="false" ht="15" hidden="false" customHeight="false" outlineLevel="0" collapsed="false">
      <c r="A4" s="256" t="n">
        <f aca="false">IF(Horodateur11233538192231343743464952555861646985222634384650585462667074788290989410210611411811012212613013413814214615015415816216617017417818218619019419820220621021441014182226303438[[#This Row],[Jour]]="1- Lundi",$B$1+1, IF(Horodateur11233538192231343743464952555861646985222634384650585462667074788290989410210611411811012212613013413814214615015415816216617017417818218619019419820220621021441014182226303438[[#This Row],[Jour]]="2- Mardi",$B$1+2, IF(Horodateur11233538192231343743464952555861646985222634384650585462667074788290989410210611411811012212613013413814214615015415816216617017417818218619019419820220621021441014182226303438[[#This Row],[Jour]]="3- Mercredi",$B$1+3, IF(Horodateur11233538192231343743464952555861646985222634384650585462667074788290989410210611411811012212613013413814214615015415816216617017417818218619019419820220621021441014182226303438[[#This Row],[Jour]]="4- Jeudi",$B$1+4, IF(Horodateur11233538192231343743464952555861646985222634384650585462667074788290989410210611411811012212613013413814214615015415816216617017417818218619019419820220621021441014182226303438[[#This Row],[Jour]]="5- Vendredi",$B$1+5, IF(Horodateur11233538192231343743464952555861646985222634384650585462667074788290989410210611411811012212613013413814214615015415816216617017417818218619019419820220621021441014182226303438[[#This Row],[Jour]]="6- Samedi",$B$1+6, IF(Horodateur11233538192231343743464952555861646985222634384650585462667074788290989410210611411811012212613013413814214615015415816216617017417818218619019419820220621021441014182226303438[[#This Row],[Jour]]="7- Dimanche",$B$1, )))))))</f>
        <v>44264</v>
      </c>
      <c r="B4" s="257" t="s">
        <v>312</v>
      </c>
      <c r="C4" s="258" t="n">
        <v>0.333333333333333</v>
      </c>
      <c r="D4" s="258" t="n">
        <v>0.364583333333333</v>
      </c>
      <c r="E4" s="71" t="s">
        <v>32</v>
      </c>
      <c r="F4" s="71" t="s">
        <v>21</v>
      </c>
      <c r="G4" s="259" t="s">
        <v>153</v>
      </c>
      <c r="H4" s="258" t="n">
        <f aca="false">IF($C4=0,"",$D4-$C4)</f>
        <v>0.03125</v>
      </c>
      <c r="I4" s="260" t="n">
        <f aca="false">IF($C4=0,"",($H4-INT($H4))*24)</f>
        <v>0.75</v>
      </c>
      <c r="J4" s="303" t="n">
        <f aca="false">SUMIF(Horodateur11233538192231343743464952555861646985222634384650585462667074788290989410210611411811012212613013413814214615015415816216617017417818218619019419820220621021441014182226303438[Jour],$B4,Horodateur11233538192231343743464952555861646985222634384650585462667074788290989410210611411811012212613013413814214615015415816216617017417818218619019419820220621021441014182226303438[Durée (100)])</f>
        <v>8.5</v>
      </c>
      <c r="K4" s="335"/>
      <c r="L4" s="188" t="s">
        <v>31</v>
      </c>
      <c r="M4" s="272" t="n">
        <f aca="false">IF(Horodateur11233538192231343743464952555861646985222634384650585462667074788290989410210611411811012212613013413814214615015415816216617017417818218619019419820220621021441014182226303438[[#This Row],[O]]="o",Horodateur11233538192231343743464952555861646985222634384650585462667074788290989410210611411811012212613013413814214615015415816216617017417818218619019419820220621021441014182226303438[[#This Row],[Durée (100)]],".")</f>
        <v>0.75</v>
      </c>
      <c r="N4" s="187"/>
      <c r="O4" s="71"/>
      <c r="P4" s="71"/>
      <c r="Q4" s="71"/>
      <c r="R4" s="71"/>
      <c r="S4" s="71"/>
      <c r="T4" s="71"/>
      <c r="U4" s="71"/>
      <c r="V4" s="71"/>
      <c r="W4" s="71"/>
      <c r="X4" s="71"/>
      <c r="Y4" s="71"/>
      <c r="Z4" s="71"/>
      <c r="AA4" s="71"/>
      <c r="AB4" s="71"/>
      <c r="AC4" s="71"/>
      <c r="AD4" s="71"/>
      <c r="AE4" s="71"/>
      <c r="AF4" s="71"/>
      <c r="AG4" s="71"/>
    </row>
    <row r="5" customFormat="false" ht="15" hidden="false" customHeight="false" outlineLevel="0" collapsed="false">
      <c r="A5" s="256" t="n">
        <f aca="false">IF(Horodateur11233538192231343743464952555861646985222634384650585462667074788290989410210611411811012212613013413814214615015415816216617017417818218619019419820220621021441014182226303438[[#This Row],[Jour]]="1- Lundi",$B$1+1, IF(Horodateur11233538192231343743464952555861646985222634384650585462667074788290989410210611411811012212613013413814214615015415816216617017417818218619019419820220621021441014182226303438[[#This Row],[Jour]]="2- Mardi",$B$1+2, IF(Horodateur11233538192231343743464952555861646985222634384650585462667074788290989410210611411811012212613013413814214615015415816216617017417818218619019419820220621021441014182226303438[[#This Row],[Jour]]="3- Mercredi",$B$1+3, IF(Horodateur11233538192231343743464952555861646985222634384650585462667074788290989410210611411811012212613013413814214615015415816216617017417818218619019419820220621021441014182226303438[[#This Row],[Jour]]="4- Jeudi",$B$1+4, IF(Horodateur11233538192231343743464952555861646985222634384650585462667074788290989410210611411811012212613013413814214615015415816216617017417818218619019419820220621021441014182226303438[[#This Row],[Jour]]="5- Vendredi",$B$1+5, IF(Horodateur11233538192231343743464952555861646985222634384650585462667074788290989410210611411811012212613013413814214615015415816216617017417818218619019419820220621021441014182226303438[[#This Row],[Jour]]="6- Samedi",$B$1+6, IF(Horodateur11233538192231343743464952555861646985222634384650585462667074788290989410210611411811012212613013413814214615015415816216617017417818218619019419820220621021441014182226303438[[#This Row],[Jour]]="7- Dimanche",$B$1, )))))))</f>
        <v>44264</v>
      </c>
      <c r="B5" s="257" t="s">
        <v>312</v>
      </c>
      <c r="C5" s="258" t="n">
        <v>0.364583333333333</v>
      </c>
      <c r="D5" s="258" t="n">
        <v>0.385416666666667</v>
      </c>
      <c r="E5" s="71" t="s">
        <v>32</v>
      </c>
      <c r="F5" s="71" t="s">
        <v>20</v>
      </c>
      <c r="G5" s="259" t="s">
        <v>121</v>
      </c>
      <c r="H5" s="258" t="n">
        <f aca="false">IF($C5=0,"",$D5-$C5)</f>
        <v>0.0208333333333333</v>
      </c>
      <c r="I5" s="260" t="n">
        <f aca="false">IF($C5=0,"",($H5-INT($H5))*24)</f>
        <v>0.5</v>
      </c>
      <c r="J5" s="303" t="n">
        <f aca="false">SUMIF(Horodateur11233538192231343743464952555861646985222634384650585462667074788290989410210611411811012212613013413814214615015415816216617017417818218619019419820220621021441014182226303438[Jour],$B5,Horodateur11233538192231343743464952555861646985222634384650585462667074788290989410210611411811012212613013413814214615015415816216617017417818218619019419820220621021441014182226303438[Durée (100)])</f>
        <v>8.5</v>
      </c>
      <c r="K5" s="335"/>
      <c r="L5" s="188" t="s">
        <v>31</v>
      </c>
      <c r="M5" s="272" t="n">
        <f aca="false">IF(Horodateur11233538192231343743464952555861646985222634384650585462667074788290989410210611411811012212613013413814214615015415816216617017417818218619019419820220621021441014182226303438[[#This Row],[O]]="o",Horodateur11233538192231343743464952555861646985222634384650585462667074788290989410210611411811012212613013413814214615015415816216617017417818218619019419820220621021441014182226303438[[#This Row],[Durée (100)]],".")</f>
        <v>0.500000000000001</v>
      </c>
      <c r="N5" s="187"/>
      <c r="O5" s="71"/>
      <c r="P5" s="71"/>
      <c r="Q5" s="71"/>
      <c r="R5" s="71"/>
      <c r="S5" s="71"/>
      <c r="T5" s="71"/>
      <c r="U5" s="71"/>
      <c r="V5" s="71"/>
      <c r="W5" s="71"/>
      <c r="X5" s="71"/>
      <c r="Y5" s="71"/>
      <c r="Z5" s="71"/>
      <c r="AA5" s="71"/>
      <c r="AB5" s="71"/>
      <c r="AC5" s="71"/>
      <c r="AD5" s="71"/>
      <c r="AE5" s="71"/>
      <c r="AF5" s="71"/>
      <c r="AG5" s="71"/>
    </row>
    <row r="6" customFormat="false" ht="15" hidden="false" customHeight="false" outlineLevel="0" collapsed="false">
      <c r="A6" s="256" t="n">
        <f aca="false">IF(Horodateur11233538192231343743464952555861646985222634384650585462667074788290989410210611411811012212613013413814214615015415816216617017417818218619019419820220621021441014182226303438[[#This Row],[Jour]]="1- Lundi",$B$1+1, IF(Horodateur11233538192231343743464952555861646985222634384650585462667074788290989410210611411811012212613013413814214615015415816216617017417818218619019419820220621021441014182226303438[[#This Row],[Jour]]="2- Mardi",$B$1+2, IF(Horodateur11233538192231343743464952555861646985222634384650585462667074788290989410210611411811012212613013413814214615015415816216617017417818218619019419820220621021441014182226303438[[#This Row],[Jour]]="3- Mercredi",$B$1+3, IF(Horodateur11233538192231343743464952555861646985222634384650585462667074788290989410210611411811012212613013413814214615015415816216617017417818218619019419820220621021441014182226303438[[#This Row],[Jour]]="4- Jeudi",$B$1+4, IF(Horodateur11233538192231343743464952555861646985222634384650585462667074788290989410210611411811012212613013413814214615015415816216617017417818218619019419820220621021441014182226303438[[#This Row],[Jour]]="5- Vendredi",$B$1+5, IF(Horodateur11233538192231343743464952555861646985222634384650585462667074788290989410210611411811012212613013413814214615015415816216617017417818218619019419820220621021441014182226303438[[#This Row],[Jour]]="6- Samedi",$B$1+6, IF(Horodateur11233538192231343743464952555861646985222634384650585462667074788290989410210611411811012212613013413814214615015415816216617017417818218619019419820220621021441014182226303438[[#This Row],[Jour]]="7- Dimanche",$B$1, )))))))</f>
        <v>44264</v>
      </c>
      <c r="B6" s="257" t="s">
        <v>312</v>
      </c>
      <c r="C6" s="258" t="n">
        <v>0.395833333333333</v>
      </c>
      <c r="D6" s="258" t="n">
        <v>0.40625</v>
      </c>
      <c r="E6" s="71" t="s">
        <v>37</v>
      </c>
      <c r="F6" s="71" t="s">
        <v>379</v>
      </c>
      <c r="G6" s="259" t="s">
        <v>55</v>
      </c>
      <c r="H6" s="258" t="n">
        <f aca="false">IF($C6=0,"",$D6-$C6)</f>
        <v>0.0104166666666667</v>
      </c>
      <c r="I6" s="260" t="n">
        <f aca="false">IF($C6=0,"",($H6-INT($H6))*24)</f>
        <v>0.25</v>
      </c>
      <c r="J6" s="303" t="n">
        <f aca="false">SUMIF(Horodateur11233538192231343743464952555861646985222634384650585462667074788290989410210611411811012212613013413814214615015415816216617017417818218619019419820220621021441014182226303438[Jour],$B6,Horodateur11233538192231343743464952555861646985222634384650585462667074788290989410210611411811012212613013413814214615015415816216617017417818218619019419820220621021441014182226303438[Durée (100)])</f>
        <v>8.5</v>
      </c>
      <c r="K6" s="335"/>
      <c r="L6" s="188" t="s">
        <v>31</v>
      </c>
      <c r="M6" s="272" t="n">
        <f aca="false">IF(Horodateur11233538192231343743464952555861646985222634384650585462667074788290989410210611411811012212613013413814214615015415816216617017417818218619019419820220621021441014182226303438[[#This Row],[O]]="o",Horodateur11233538192231343743464952555861646985222634384650585462667074788290989410210611411811012212613013413814214615015415816216617017417818218619019419820220621021441014182226303438[[#This Row],[Durée (100)]],".")</f>
        <v>0.25</v>
      </c>
      <c r="N6" s="187"/>
      <c r="O6" s="71"/>
      <c r="P6" s="71"/>
      <c r="Q6" s="71"/>
      <c r="R6" s="71"/>
      <c r="S6" s="71"/>
      <c r="T6" s="71"/>
      <c r="U6" s="71"/>
      <c r="V6" s="71"/>
      <c r="W6" s="71"/>
      <c r="X6" s="71"/>
      <c r="Y6" s="71"/>
      <c r="Z6" s="71"/>
      <c r="AA6" s="71"/>
      <c r="AB6" s="71"/>
      <c r="AC6" s="71"/>
      <c r="AD6" s="71"/>
      <c r="AE6" s="71"/>
      <c r="AF6" s="71"/>
      <c r="AG6" s="71"/>
    </row>
    <row r="7" customFormat="false" ht="15" hidden="false" customHeight="false" outlineLevel="0" collapsed="false">
      <c r="A7" s="256" t="n">
        <f aca="false">IF(Horodateur11233538192231343743464952555861646985222634384650585462667074788290989410210611411811012212613013413814214615015415816216617017417818218619019419820220621021441014182226303438[[#This Row],[Jour]]="1- Lundi",$B$1+1, IF(Horodateur11233538192231343743464952555861646985222634384650585462667074788290989410210611411811012212613013413814214615015415816216617017417818218619019419820220621021441014182226303438[[#This Row],[Jour]]="2- Mardi",$B$1+2, IF(Horodateur11233538192231343743464952555861646985222634384650585462667074788290989410210611411811012212613013413814214615015415816216617017417818218619019419820220621021441014182226303438[[#This Row],[Jour]]="3- Mercredi",$B$1+3, IF(Horodateur11233538192231343743464952555861646985222634384650585462667074788290989410210611411811012212613013413814214615015415816216617017417818218619019419820220621021441014182226303438[[#This Row],[Jour]]="4- Jeudi",$B$1+4, IF(Horodateur11233538192231343743464952555861646985222634384650585462667074788290989410210611411811012212613013413814214615015415816216617017417818218619019419820220621021441014182226303438[[#This Row],[Jour]]="5- Vendredi",$B$1+5, IF(Horodateur11233538192231343743464952555861646985222634384650585462667074788290989410210611411811012212613013413814214615015415816216617017417818218619019419820220621021441014182226303438[[#This Row],[Jour]]="6- Samedi",$B$1+6, IF(Horodateur11233538192231343743464952555861646985222634384650585462667074788290989410210611411811012212613013413814214615015415816216617017417818218619019419820220621021441014182226303438[[#This Row],[Jour]]="7- Dimanche",$B$1, )))))))</f>
        <v>44264</v>
      </c>
      <c r="B7" s="257" t="s">
        <v>312</v>
      </c>
      <c r="C7" s="258" t="n">
        <v>0.40625</v>
      </c>
      <c r="D7" s="258" t="n">
        <v>0.427083333333333</v>
      </c>
      <c r="E7" s="71" t="s">
        <v>37</v>
      </c>
      <c r="F7" s="71" t="s">
        <v>378</v>
      </c>
      <c r="G7" s="259" t="s">
        <v>531</v>
      </c>
      <c r="H7" s="258" t="n">
        <f aca="false">IF($C7=0,"",$D7-$C7)</f>
        <v>0.0208333333333333</v>
      </c>
      <c r="I7" s="260" t="n">
        <f aca="false">IF($C7=0,"",($H7-INT($H7))*24)</f>
        <v>0.5</v>
      </c>
      <c r="J7" s="303" t="n">
        <f aca="false">SUMIF(Horodateur11233538192231343743464952555861646985222634384650585462667074788290989410210611411811012212613013413814214615015415816216617017417818218619019419820220621021441014182226303438[Jour],$B7,Horodateur11233538192231343743464952555861646985222634384650585462667074788290989410210611411811012212613013413814214615015415816216617017417818218619019419820220621021441014182226303438[Durée (100)])</f>
        <v>8.5</v>
      </c>
      <c r="K7" s="335"/>
      <c r="L7" s="188" t="s">
        <v>31</v>
      </c>
      <c r="M7" s="272" t="n">
        <f aca="false">IF(Horodateur11233538192231343743464952555861646985222634384650585462667074788290989410210611411811012212613013413814214615015415816216617017417818218619019419820220621021441014182226303438[[#This Row],[O]]="o",Horodateur11233538192231343743464952555861646985222634384650585462667074788290989410210611411811012212613013413814214615015415816216617017417818218619019419820220621021441014182226303438[[#This Row],[Durée (100)]],".")</f>
        <v>0.5</v>
      </c>
      <c r="N7" s="187"/>
      <c r="O7" s="71"/>
      <c r="P7" s="71"/>
      <c r="Q7" s="71"/>
      <c r="R7" s="71"/>
      <c r="S7" s="71"/>
      <c r="T7" s="71"/>
      <c r="U7" s="71"/>
      <c r="V7" s="71"/>
      <c r="W7" s="71"/>
      <c r="X7" s="71"/>
      <c r="Y7" s="71"/>
      <c r="Z7" s="71"/>
      <c r="AA7" s="71"/>
      <c r="AB7" s="71"/>
      <c r="AC7" s="71"/>
      <c r="AD7" s="71"/>
      <c r="AE7" s="71"/>
      <c r="AF7" s="71"/>
      <c r="AG7" s="71"/>
    </row>
    <row r="8" customFormat="false" ht="15" hidden="false" customHeight="false" outlineLevel="0" collapsed="false">
      <c r="A8" s="256" t="n">
        <f aca="false">IF(Horodateur11233538192231343743464952555861646985222634384650585462667074788290989410210611411811012212613013413814214615015415816216617017417818218619019419820220621021441014182226303438[[#This Row],[Jour]]="1- Lundi",$B$1+1, IF(Horodateur11233538192231343743464952555861646985222634384650585462667074788290989410210611411811012212613013413814214615015415816216617017417818218619019419820220621021441014182226303438[[#This Row],[Jour]]="2- Mardi",$B$1+2, IF(Horodateur11233538192231343743464952555861646985222634384650585462667074788290989410210611411811012212613013413814214615015415816216617017417818218619019419820220621021441014182226303438[[#This Row],[Jour]]="3- Mercredi",$B$1+3, IF(Horodateur11233538192231343743464952555861646985222634384650585462667074788290989410210611411811012212613013413814214615015415816216617017417818218619019419820220621021441014182226303438[[#This Row],[Jour]]="4- Jeudi",$B$1+4, IF(Horodateur11233538192231343743464952555861646985222634384650585462667074788290989410210611411811012212613013413814214615015415816216617017417818218619019419820220621021441014182226303438[[#This Row],[Jour]]="5- Vendredi",$B$1+5, IF(Horodateur11233538192231343743464952555861646985222634384650585462667074788290989410210611411811012212613013413814214615015415816216617017417818218619019419820220621021441014182226303438[[#This Row],[Jour]]="6- Samedi",$B$1+6, IF(Horodateur11233538192231343743464952555861646985222634384650585462667074788290989410210611411811012212613013413814214615015415816216617017417818218619019419820220621021441014182226303438[[#This Row],[Jour]]="7- Dimanche",$B$1, )))))))</f>
        <v>44264</v>
      </c>
      <c r="B8" s="257" t="s">
        <v>312</v>
      </c>
      <c r="C8" s="258" t="n">
        <v>0.4375</v>
      </c>
      <c r="D8" s="258" t="n">
        <v>0.458333333333333</v>
      </c>
      <c r="E8" s="71" t="s">
        <v>32</v>
      </c>
      <c r="F8" s="71" t="s">
        <v>21</v>
      </c>
      <c r="G8" s="259"/>
      <c r="H8" s="258" t="n">
        <f aca="false">IF($C8=0,"",$D8-$C8)</f>
        <v>0.0208333333333333</v>
      </c>
      <c r="I8" s="260" t="n">
        <f aca="false">IF($C8=0,"",($H8-INT($H8))*24)</f>
        <v>0.5</v>
      </c>
      <c r="J8" s="303" t="n">
        <f aca="false">SUMIF(Horodateur11233538192231343743464952555861646985222634384650585462667074788290989410210611411811012212613013413814214615015415816216617017417818218619019419820220621021441014182226303438[Jour],$B8,Horodateur11233538192231343743464952555861646985222634384650585462667074788290989410210611411811012212613013413814214615015415816216617017417818218619019419820220621021441014182226303438[Durée (100)])</f>
        <v>8.5</v>
      </c>
      <c r="K8" s="335"/>
      <c r="L8" s="188" t="s">
        <v>31</v>
      </c>
      <c r="M8" s="272" t="n">
        <f aca="false">IF(Horodateur11233538192231343743464952555861646985222634384650585462667074788290989410210611411811012212613013413814214615015415816216617017417818218619019419820220621021441014182226303438[[#This Row],[O]]="o",Horodateur11233538192231343743464952555861646985222634384650585462667074788290989410210611411811012212613013413814214615015415816216617017417818218619019419820220621021441014182226303438[[#This Row],[Durée (100)]],".")</f>
        <v>0.5</v>
      </c>
      <c r="N8" s="187"/>
      <c r="O8" s="71"/>
      <c r="P8" s="71"/>
      <c r="Q8" s="71"/>
      <c r="R8" s="71"/>
      <c r="S8" s="71"/>
      <c r="T8" s="71"/>
      <c r="U8" s="71"/>
      <c r="V8" s="71"/>
      <c r="W8" s="71"/>
      <c r="X8" s="71"/>
      <c r="Y8" s="71"/>
      <c r="Z8" s="71"/>
      <c r="AA8" s="71"/>
      <c r="AB8" s="71"/>
      <c r="AC8" s="71"/>
      <c r="AD8" s="71"/>
      <c r="AE8" s="71"/>
      <c r="AF8" s="71"/>
      <c r="AG8" s="71"/>
    </row>
    <row r="9" customFormat="false" ht="15" hidden="false" customHeight="false" outlineLevel="0" collapsed="false">
      <c r="A9" s="256" t="n">
        <f aca="false">IF(Horodateur11233538192231343743464952555861646985222634384650585462667074788290989410210611411811012212613013413814214615015415816216617017417818218619019419820220621021441014182226303438[[#This Row],[Jour]]="1- Lundi",$B$1+1, IF(Horodateur11233538192231343743464952555861646985222634384650585462667074788290989410210611411811012212613013413814214615015415816216617017417818218619019419820220621021441014182226303438[[#This Row],[Jour]]="2- Mardi",$B$1+2, IF(Horodateur11233538192231343743464952555861646985222634384650585462667074788290989410210611411811012212613013413814214615015415816216617017417818218619019419820220621021441014182226303438[[#This Row],[Jour]]="3- Mercredi",$B$1+3, IF(Horodateur11233538192231343743464952555861646985222634384650585462667074788290989410210611411811012212613013413814214615015415816216617017417818218619019419820220621021441014182226303438[[#This Row],[Jour]]="4- Jeudi",$B$1+4, IF(Horodateur11233538192231343743464952555861646985222634384650585462667074788290989410210611411811012212613013413814214615015415816216617017417818218619019419820220621021441014182226303438[[#This Row],[Jour]]="5- Vendredi",$B$1+5, IF(Horodateur11233538192231343743464952555861646985222634384650585462667074788290989410210611411811012212613013413814214615015415816216617017417818218619019419820220621021441014182226303438[[#This Row],[Jour]]="6- Samedi",$B$1+6, IF(Horodateur11233538192231343743464952555861646985222634384650585462667074788290989410210611411811012212613013413814214615015415816216617017417818218619019419820220621021441014182226303438[[#This Row],[Jour]]="7- Dimanche",$B$1, )))))))</f>
        <v>44264</v>
      </c>
      <c r="B9" s="257" t="s">
        <v>312</v>
      </c>
      <c r="C9" s="258" t="n">
        <v>0.458333333333333</v>
      </c>
      <c r="D9" s="258" t="n">
        <v>0.5</v>
      </c>
      <c r="E9" s="71" t="s">
        <v>63</v>
      </c>
      <c r="F9" s="71" t="s">
        <v>378</v>
      </c>
      <c r="G9" s="259" t="s">
        <v>532</v>
      </c>
      <c r="H9" s="258" t="n">
        <f aca="false">IF($C9=0,"",$D9-$C9)</f>
        <v>0.0416666666666667</v>
      </c>
      <c r="I9" s="260" t="n">
        <f aca="false">IF($C9=0,"",($H9-INT($H9))*24)</f>
        <v>1</v>
      </c>
      <c r="J9" s="303" t="n">
        <f aca="false">SUMIF(Horodateur11233538192231343743464952555861646985222634384650585462667074788290989410210611411811012212613013413814214615015415816216617017417818218619019419820220621021441014182226303438[Jour],$B9,Horodateur11233538192231343743464952555861646985222634384650585462667074788290989410210611411811012212613013413814214615015415816216617017417818218619019419820220621021441014182226303438[Durée (100)])</f>
        <v>8.5</v>
      </c>
      <c r="K9" s="335"/>
      <c r="L9" s="188" t="s">
        <v>31</v>
      </c>
      <c r="M9" s="272" t="n">
        <f aca="false">IF(Horodateur11233538192231343743464952555861646985222634384650585462667074788290989410210611411811012212613013413814214615015415816216617017417818218619019419820220621021441014182226303438[[#This Row],[O]]="o",Horodateur11233538192231343743464952555861646985222634384650585462667074788290989410210611411811012212613013413814214615015415816216617017417818218619019419820220621021441014182226303438[[#This Row],[Durée (100)]],".")</f>
        <v>1</v>
      </c>
      <c r="N9" s="187"/>
      <c r="O9" s="71"/>
      <c r="P9" s="71"/>
      <c r="Q9" s="71"/>
      <c r="R9" s="71"/>
      <c r="S9" s="71"/>
      <c r="T9" s="71"/>
      <c r="U9" s="71"/>
      <c r="V9" s="71"/>
      <c r="W9" s="71"/>
      <c r="X9" s="71"/>
      <c r="Y9" s="71"/>
      <c r="Z9" s="71"/>
      <c r="AA9" s="71"/>
      <c r="AB9" s="71"/>
      <c r="AC9" s="71"/>
      <c r="AD9" s="71"/>
      <c r="AE9" s="71"/>
      <c r="AF9" s="71"/>
      <c r="AG9" s="71"/>
    </row>
    <row r="10" customFormat="false" ht="15" hidden="false" customHeight="false" outlineLevel="0" collapsed="false">
      <c r="A10" s="256" t="n">
        <f aca="false">IF(Horodateur11233538192231343743464952555861646985222634384650585462667074788290989410210611411811012212613013413814214615015415816216617017417818218619019419820220621021441014182226303438[[#This Row],[Jour]]="1- Lundi",$B$1+1, IF(Horodateur11233538192231343743464952555861646985222634384650585462667074788290989410210611411811012212613013413814214615015415816216617017417818218619019419820220621021441014182226303438[[#This Row],[Jour]]="2- Mardi",$B$1+2, IF(Horodateur11233538192231343743464952555861646985222634384650585462667074788290989410210611411811012212613013413814214615015415816216617017417818218619019419820220621021441014182226303438[[#This Row],[Jour]]="3- Mercredi",$B$1+3, IF(Horodateur11233538192231343743464952555861646985222634384650585462667074788290989410210611411811012212613013413814214615015415816216617017417818218619019419820220621021441014182226303438[[#This Row],[Jour]]="4- Jeudi",$B$1+4, IF(Horodateur11233538192231343743464952555861646985222634384650585462667074788290989410210611411811012212613013413814214615015415816216617017417818218619019419820220621021441014182226303438[[#This Row],[Jour]]="5- Vendredi",$B$1+5, IF(Horodateur11233538192231343743464952555861646985222634384650585462667074788290989410210611411811012212613013413814214615015415816216617017417818218619019419820220621021441014182226303438[[#This Row],[Jour]]="6- Samedi",$B$1+6, IF(Horodateur11233538192231343743464952555861646985222634384650585462667074788290989410210611411811012212613013413814214615015415816216617017417818218619019419820220621021441014182226303438[[#This Row],[Jour]]="7- Dimanche",$B$1, )))))))</f>
        <v>44264</v>
      </c>
      <c r="B10" s="257" t="s">
        <v>312</v>
      </c>
      <c r="C10" s="258" t="n">
        <v>0.5625</v>
      </c>
      <c r="D10" s="258" t="n">
        <v>0.583333333333333</v>
      </c>
      <c r="E10" s="71" t="s">
        <v>63</v>
      </c>
      <c r="F10" s="71" t="s">
        <v>379</v>
      </c>
      <c r="G10" s="259" t="s">
        <v>55</v>
      </c>
      <c r="H10" s="258" t="n">
        <f aca="false">IF($C10=0,"",$D10-$C10)</f>
        <v>0.0208333333333333</v>
      </c>
      <c r="I10" s="260" t="n">
        <f aca="false">IF($C10=0,"",($H10-INT($H10))*24)</f>
        <v>0.5</v>
      </c>
      <c r="J10" s="303" t="n">
        <f aca="false">SUMIF(Horodateur11233538192231343743464952555861646985222634384650585462667074788290989410210611411811012212613013413814214615015415816216617017417818218619019419820220621021441014182226303438[Jour],$B10,Horodateur11233538192231343743464952555861646985222634384650585462667074788290989410210611411811012212613013413814214615015415816216617017417818218619019419820220621021441014182226303438[Durée (100)])</f>
        <v>8.5</v>
      </c>
      <c r="K10" s="335"/>
      <c r="L10" s="188" t="s">
        <v>31</v>
      </c>
      <c r="M10" s="272" t="n">
        <f aca="false">IF(Horodateur11233538192231343743464952555861646985222634384650585462667074788290989410210611411811012212613013413814214615015415816216617017417818218619019419820220621021441014182226303438[[#This Row],[O]]="o",Horodateur11233538192231343743464952555861646985222634384650585462667074788290989410210611411811012212613013413814214615015415816216617017417818218619019419820220621021441014182226303438[[#This Row],[Durée (100)]],".")</f>
        <v>0.500000000000001</v>
      </c>
      <c r="N10" s="187"/>
      <c r="O10" s="71"/>
      <c r="P10" s="71"/>
      <c r="Q10" s="71"/>
      <c r="R10" s="71"/>
      <c r="S10" s="71"/>
      <c r="T10" s="71"/>
      <c r="U10" s="71"/>
      <c r="V10" s="71"/>
      <c r="W10" s="71"/>
      <c r="X10" s="71"/>
      <c r="Y10" s="71"/>
      <c r="Z10" s="71"/>
      <c r="AA10" s="71"/>
      <c r="AB10" s="71"/>
      <c r="AC10" s="71"/>
      <c r="AD10" s="71"/>
      <c r="AE10" s="71"/>
      <c r="AF10" s="71"/>
      <c r="AG10" s="71"/>
    </row>
    <row r="11" customFormat="false" ht="15" hidden="false" customHeight="false" outlineLevel="0" collapsed="false">
      <c r="A11" s="256" t="n">
        <f aca="false">IF(Horodateur11233538192231343743464952555861646985222634384650585462667074788290989410210611411811012212613013413814214615015415816216617017417818218619019419820220621021441014182226303438[[#This Row],[Jour]]="1- Lundi",$B$1+1, IF(Horodateur11233538192231343743464952555861646985222634384650585462667074788290989410210611411811012212613013413814214615015415816216617017417818218619019419820220621021441014182226303438[[#This Row],[Jour]]="2- Mardi",$B$1+2, IF(Horodateur11233538192231343743464952555861646985222634384650585462667074788290989410210611411811012212613013413814214615015415816216617017417818218619019419820220621021441014182226303438[[#This Row],[Jour]]="3- Mercredi",$B$1+3, IF(Horodateur11233538192231343743464952555861646985222634384650585462667074788290989410210611411811012212613013413814214615015415816216617017417818218619019419820220621021441014182226303438[[#This Row],[Jour]]="4- Jeudi",$B$1+4, IF(Horodateur11233538192231343743464952555861646985222634384650585462667074788290989410210611411811012212613013413814214615015415816216617017417818218619019419820220621021441014182226303438[[#This Row],[Jour]]="5- Vendredi",$B$1+5, IF(Horodateur11233538192231343743464952555861646985222634384650585462667074788290989410210611411811012212613013413814214615015415816216617017417818218619019419820220621021441014182226303438[[#This Row],[Jour]]="6- Samedi",$B$1+6, IF(Horodateur11233538192231343743464952555861646985222634384650585462667074788290989410210611411811012212613013413814214615015415816216617017417818218619019419820220621021441014182226303438[[#This Row],[Jour]]="7- Dimanche",$B$1, )))))))</f>
        <v>44264</v>
      </c>
      <c r="B11" s="257" t="s">
        <v>312</v>
      </c>
      <c r="C11" s="258" t="n">
        <v>0.583333333333333</v>
      </c>
      <c r="D11" s="258" t="n">
        <v>0.75</v>
      </c>
      <c r="E11" s="71" t="s">
        <v>63</v>
      </c>
      <c r="F11" s="71" t="s">
        <v>378</v>
      </c>
      <c r="G11" s="259" t="s">
        <v>533</v>
      </c>
      <c r="H11" s="258" t="n">
        <f aca="false">IF($C11=0,"",$D11-$C11)</f>
        <v>0.166666666666667</v>
      </c>
      <c r="I11" s="260" t="n">
        <f aca="false">IF($C11=0,"",($H11-INT($H11))*24)</f>
        <v>4</v>
      </c>
      <c r="J11" s="303" t="n">
        <f aca="false">SUMIF(Horodateur11233538192231343743464952555861646985222634384650585462667074788290989410210611411811012212613013413814214615015415816216617017417818218619019419820220621021441014182226303438[Jour],$B11,Horodateur11233538192231343743464952555861646985222634384650585462667074788290989410210611411811012212613013413814214615015415816216617017417818218619019419820220621021441014182226303438[Durée (100)])</f>
        <v>8.5</v>
      </c>
      <c r="K11" s="335"/>
      <c r="L11" s="188" t="s">
        <v>31</v>
      </c>
      <c r="M11" s="272" t="n">
        <f aca="false">IF(Horodateur11233538192231343743464952555861646985222634384650585462667074788290989410210611411811012212613013413814214615015415816216617017417818218619019419820220621021441014182226303438[[#This Row],[O]]="o",Horodateur11233538192231343743464952555861646985222634384650585462667074788290989410210611411811012212613013413814214615015415816216617017417818218619019419820220621021441014182226303438[[#This Row],[Durée (100)]],".")</f>
        <v>4</v>
      </c>
      <c r="N11" s="187"/>
      <c r="O11" s="71"/>
      <c r="P11" s="71"/>
      <c r="Q11" s="71"/>
      <c r="R11" s="71"/>
      <c r="S11" s="71"/>
      <c r="T11" s="71"/>
      <c r="U11" s="71"/>
      <c r="V11" s="71"/>
      <c r="W11" s="71"/>
      <c r="X11" s="71"/>
      <c r="Y11" s="71"/>
      <c r="Z11" s="71"/>
      <c r="AA11" s="71"/>
      <c r="AB11" s="71"/>
      <c r="AC11" s="71"/>
      <c r="AD11" s="71"/>
      <c r="AE11" s="71"/>
      <c r="AF11" s="71"/>
      <c r="AG11" s="71"/>
    </row>
    <row r="12" customFormat="false" ht="15" hidden="false" customHeight="false" outlineLevel="0" collapsed="false">
      <c r="A12" s="256" t="n">
        <f aca="false">IF(Horodateur11233538192231343743464952555861646985222634384650585462667074788290989410210611411811012212613013413814214615015415816216617017417818218619019419820220621021441014182226303438[[#This Row],[Jour]]="1- Lundi",$B$1+1, IF(Horodateur11233538192231343743464952555861646985222634384650585462667074788290989410210611411811012212613013413814214615015415816216617017417818218619019419820220621021441014182226303438[[#This Row],[Jour]]="2- Mardi",$B$1+2, IF(Horodateur11233538192231343743464952555861646985222634384650585462667074788290989410210611411811012212613013413814214615015415816216617017417818218619019419820220621021441014182226303438[[#This Row],[Jour]]="3- Mercredi",$B$1+3, IF(Horodateur11233538192231343743464952555861646985222634384650585462667074788290989410210611411811012212613013413814214615015415816216617017417818218619019419820220621021441014182226303438[[#This Row],[Jour]]="4- Jeudi",$B$1+4, IF(Horodateur11233538192231343743464952555861646985222634384650585462667074788290989410210611411811012212613013413814214615015415816216617017417818218619019419820220621021441014182226303438[[#This Row],[Jour]]="5- Vendredi",$B$1+5, IF(Horodateur11233538192231343743464952555861646985222634384650585462667074788290989410210611411811012212613013413814214615015415816216617017417818218619019419820220621021441014182226303438[[#This Row],[Jour]]="6- Samedi",$B$1+6, IF(Horodateur11233538192231343743464952555861646985222634384650585462667074788290989410210611411811012212613013413814214615015415816216617017417818218619019419820220621021441014182226303438[[#This Row],[Jour]]="7- Dimanche",$B$1, )))))))</f>
        <v>44264</v>
      </c>
      <c r="B12" s="257" t="s">
        <v>312</v>
      </c>
      <c r="C12" s="258" t="n">
        <v>0.645833333333333</v>
      </c>
      <c r="D12" s="258" t="n">
        <v>0.666666666666667</v>
      </c>
      <c r="E12" s="71" t="s">
        <v>74</v>
      </c>
      <c r="F12" s="71" t="s">
        <v>379</v>
      </c>
      <c r="G12" s="259" t="s">
        <v>507</v>
      </c>
      <c r="H12" s="258" t="n">
        <f aca="false">IF($C12=0,"",$D12-$C12)</f>
        <v>0.0208333333333333</v>
      </c>
      <c r="I12" s="260" t="n">
        <f aca="false">IF($C12=0,"",($H12-INT($H12))*24)</f>
        <v>0.5</v>
      </c>
      <c r="J12" s="303" t="n">
        <f aca="false">SUMIF(Horodateur11233538192231343743464952555861646985222634384650585462667074788290989410210611411811012212613013413814214615015415816216617017417818218619019419820220621021441014182226303438[Jour],$B12,Horodateur11233538192231343743464952555861646985222634384650585462667074788290989410210611411811012212613013413814214615015415816216617017417818218619019419820220621021441014182226303438[Durée (100)])</f>
        <v>8.5</v>
      </c>
      <c r="K12" s="335"/>
      <c r="L12" s="188" t="s">
        <v>31</v>
      </c>
      <c r="M12" s="272" t="n">
        <f aca="false">IF(Horodateur11233538192231343743464952555861646985222634384650585462667074788290989410210611411811012212613013413814214615015415816216617017417818218619019419820220621021441014182226303438[[#This Row],[O]]="o",Horodateur11233538192231343743464952555861646985222634384650585462667074788290989410210611411811012212613013413814214615015415816216617017417818218619019419820220621021441014182226303438[[#This Row],[Durée (100)]],".")</f>
        <v>0.499999999999998</v>
      </c>
      <c r="N12" s="187"/>
      <c r="O12" s="71"/>
      <c r="P12" s="71"/>
      <c r="Q12" s="71"/>
      <c r="R12" s="71"/>
      <c r="S12" s="71"/>
      <c r="T12" s="71"/>
      <c r="U12" s="71"/>
      <c r="V12" s="71"/>
      <c r="W12" s="71"/>
      <c r="X12" s="71"/>
      <c r="Y12" s="71"/>
      <c r="Z12" s="71"/>
      <c r="AA12" s="71"/>
      <c r="AB12" s="71"/>
      <c r="AC12" s="71"/>
      <c r="AD12" s="71"/>
      <c r="AE12" s="71"/>
      <c r="AF12" s="71"/>
      <c r="AG12" s="71"/>
    </row>
    <row r="13" customFormat="false" ht="15" hidden="false" customHeight="false" outlineLevel="0" collapsed="false">
      <c r="A13" s="256" t="n">
        <f aca="false">IF(Horodateur11233538192231343743464952555861646985222634384650585462667074788290989410210611411811012212613013413814214615015415816216617017417818218619019419820220621021441014182226303438[[#This Row],[Jour]]="1- Lundi",$B$1+1, IF(Horodateur11233538192231343743464952555861646985222634384650585462667074788290989410210611411811012212613013413814214615015415816216617017417818218619019419820220621021441014182226303438[[#This Row],[Jour]]="2- Mardi",$B$1+2, IF(Horodateur11233538192231343743464952555861646985222634384650585462667074788290989410210611411811012212613013413814214615015415816216617017417818218619019419820220621021441014182226303438[[#This Row],[Jour]]="3- Mercredi",$B$1+3, IF(Horodateur11233538192231343743464952555861646985222634384650585462667074788290989410210611411811012212613013413814214615015415816216617017417818218619019419820220621021441014182226303438[[#This Row],[Jour]]="4- Jeudi",$B$1+4, IF(Horodateur11233538192231343743464952555861646985222634384650585462667074788290989410210611411811012212613013413814214615015415816216617017417818218619019419820220621021441014182226303438[[#This Row],[Jour]]="5- Vendredi",$B$1+5, IF(Horodateur11233538192231343743464952555861646985222634384650585462667074788290989410210611411811012212613013413814214615015415816216617017417818218619019419820220621021441014182226303438[[#This Row],[Jour]]="6- Samedi",$B$1+6, IF(Horodateur11233538192231343743464952555861646985222634384650585462667074788290989410210611411811012212613013413814214615015415816216617017417818218619019419820220621021441014182226303438[[#This Row],[Jour]]="7- Dimanche",$B$1, )))))))</f>
        <v>44265</v>
      </c>
      <c r="B13" s="257" t="s">
        <v>319</v>
      </c>
      <c r="C13" s="258" t="n">
        <v>0.333333333333333</v>
      </c>
      <c r="D13" s="258" t="n">
        <v>0.34375</v>
      </c>
      <c r="E13" s="71" t="s">
        <v>32</v>
      </c>
      <c r="F13" s="71" t="s">
        <v>22</v>
      </c>
      <c r="G13" s="259"/>
      <c r="H13" s="258" t="n">
        <f aca="false">IF($C13=0,"",$D13-$C13)</f>
        <v>0.0104166666666667</v>
      </c>
      <c r="I13" s="260" t="n">
        <f aca="false">IF($C13=0,"",($H13-INT($H13))*24)</f>
        <v>0.25</v>
      </c>
      <c r="J13" s="303" t="n">
        <f aca="false">SUMIF(Horodateur11233538192231343743464952555861646985222634384650585462667074788290989410210611411811012212613013413814214615015415816216617017417818218619019419820220621021441014182226303438[Jour],$B13,Horodateur11233538192231343743464952555861646985222634384650585462667074788290989410210611411811012212613013413814214615015415816216617017417818218619019419820220621021441014182226303438[Durée (100)])</f>
        <v>9</v>
      </c>
      <c r="K13" s="335"/>
      <c r="L13" s="188" t="s">
        <v>31</v>
      </c>
      <c r="M13" s="272" t="n">
        <f aca="false">IF(Horodateur11233538192231343743464952555861646985222634384650585462667074788290989410210611411811012212613013413814214615015415816216617017417818218619019419820220621021441014182226303438[[#This Row],[O]]="o",Horodateur11233538192231343743464952555861646985222634384650585462667074788290989410210611411811012212613013413814214615015415816216617017417818218619019419820220621021441014182226303438[[#This Row],[Durée (100)]],".")</f>
        <v>0.25</v>
      </c>
      <c r="N13" s="187"/>
      <c r="O13" s="71"/>
      <c r="P13" s="71"/>
      <c r="Q13" s="71"/>
      <c r="R13" s="71"/>
      <c r="S13" s="71"/>
      <c r="T13" s="71"/>
      <c r="U13" s="71"/>
      <c r="V13" s="71"/>
      <c r="W13" s="71"/>
      <c r="X13" s="71"/>
      <c r="Y13" s="71"/>
      <c r="Z13" s="71"/>
      <c r="AA13" s="71"/>
      <c r="AB13" s="71"/>
      <c r="AC13" s="71"/>
      <c r="AD13" s="71"/>
      <c r="AE13" s="71"/>
      <c r="AF13" s="71"/>
      <c r="AG13" s="71"/>
    </row>
    <row r="14" customFormat="false" ht="15" hidden="false" customHeight="false" outlineLevel="0" collapsed="false">
      <c r="A14" s="256" t="n">
        <f aca="false">IF(Horodateur11233538192231343743464952555861646985222634384650585462667074788290989410210611411811012212613013413814214615015415816216617017417818218619019419820220621021441014182226303438[[#This Row],[Jour]]="1- Lundi",$B$1+1, IF(Horodateur11233538192231343743464952555861646985222634384650585462667074788290989410210611411811012212613013413814214615015415816216617017417818218619019419820220621021441014182226303438[[#This Row],[Jour]]="2- Mardi",$B$1+2, IF(Horodateur11233538192231343743464952555861646985222634384650585462667074788290989410210611411811012212613013413814214615015415816216617017417818218619019419820220621021441014182226303438[[#This Row],[Jour]]="3- Mercredi",$B$1+3, IF(Horodateur11233538192231343743464952555861646985222634384650585462667074788290989410210611411811012212613013413814214615015415816216617017417818218619019419820220621021441014182226303438[[#This Row],[Jour]]="4- Jeudi",$B$1+4, IF(Horodateur11233538192231343743464952555861646985222634384650585462667074788290989410210611411811012212613013413814214615015415816216617017417818218619019419820220621021441014182226303438[[#This Row],[Jour]]="5- Vendredi",$B$1+5, IF(Horodateur11233538192231343743464952555861646985222634384650585462667074788290989410210611411811012212613013413814214615015415816216617017417818218619019419820220621021441014182226303438[[#This Row],[Jour]]="6- Samedi",$B$1+6, IF(Horodateur11233538192231343743464952555861646985222634384650585462667074788290989410210611411811012212613013413814214615015415816216617017417818218619019419820220621021441014182226303438[[#This Row],[Jour]]="7- Dimanche",$B$1, )))))))</f>
        <v>44265</v>
      </c>
      <c r="B14" s="257" t="s">
        <v>319</v>
      </c>
      <c r="C14" s="258" t="n">
        <v>0.333333333333333</v>
      </c>
      <c r="D14" s="258" t="n">
        <v>0.375</v>
      </c>
      <c r="E14" s="71" t="s">
        <v>63</v>
      </c>
      <c r="F14" s="71" t="s">
        <v>408</v>
      </c>
      <c r="G14" s="259" t="s">
        <v>534</v>
      </c>
      <c r="H14" s="258" t="n">
        <f aca="false">IF($C14=0,"",$D14-$C14)</f>
        <v>0.0416666666666667</v>
      </c>
      <c r="I14" s="260" t="n">
        <f aca="false">IF($C14=0,"",($H14-INT($H14))*24)</f>
        <v>1</v>
      </c>
      <c r="J14" s="303" t="n">
        <f aca="false">SUMIF(Horodateur11233538192231343743464952555861646985222634384650585462667074788290989410210611411811012212613013413814214615015415816216617017417818218619019419820220621021441014182226303438[Jour],$B14,Horodateur11233538192231343743464952555861646985222634384650585462667074788290989410210611411811012212613013413814214615015415816216617017417818218619019419820220621021441014182226303438[Durée (100)])</f>
        <v>9</v>
      </c>
      <c r="K14" s="335"/>
      <c r="L14" s="188" t="s">
        <v>31</v>
      </c>
      <c r="M14" s="272" t="n">
        <f aca="false">IF(Horodateur11233538192231343743464952555861646985222634384650585462667074788290989410210611411811012212613013413814214615015415816216617017417818218619019419820220621021441014182226303438[[#This Row],[O]]="o",Horodateur11233538192231343743464952555861646985222634384650585462667074788290989410210611411811012212613013413814214615015415816216617017417818218619019419820220621021441014182226303438[[#This Row],[Durée (100)]],".")</f>
        <v>1</v>
      </c>
      <c r="N14" s="187"/>
      <c r="O14" s="71"/>
      <c r="P14" s="71"/>
      <c r="Q14" s="71"/>
      <c r="R14" s="71"/>
      <c r="S14" s="71"/>
      <c r="T14" s="71"/>
      <c r="U14" s="71"/>
      <c r="V14" s="71"/>
      <c r="W14" s="71"/>
      <c r="X14" s="71"/>
      <c r="Y14" s="71"/>
      <c r="Z14" s="71"/>
      <c r="AA14" s="71"/>
      <c r="AB14" s="71"/>
      <c r="AC14" s="71"/>
      <c r="AD14" s="71"/>
      <c r="AE14" s="71"/>
      <c r="AF14" s="71"/>
      <c r="AG14" s="71"/>
    </row>
    <row r="15" customFormat="false" ht="15" hidden="false" customHeight="false" outlineLevel="0" collapsed="false">
      <c r="A15" s="256" t="n">
        <f aca="false">IF(Horodateur11233538192231343743464952555861646985222634384650585462667074788290989410210611411811012212613013413814214615015415816216617017417818218619019419820220621021441014182226303438[[#This Row],[Jour]]="1- Lundi",$B$1+1, IF(Horodateur11233538192231343743464952555861646985222634384650585462667074788290989410210611411811012212613013413814214615015415816216617017417818218619019419820220621021441014182226303438[[#This Row],[Jour]]="2- Mardi",$B$1+2, IF(Horodateur11233538192231343743464952555861646985222634384650585462667074788290989410210611411811012212613013413814214615015415816216617017417818218619019419820220621021441014182226303438[[#This Row],[Jour]]="3- Mercredi",$B$1+3, IF(Horodateur11233538192231343743464952555861646985222634384650585462667074788290989410210611411811012212613013413814214615015415816216617017417818218619019419820220621021441014182226303438[[#This Row],[Jour]]="4- Jeudi",$B$1+4, IF(Horodateur11233538192231343743464952555861646985222634384650585462667074788290989410210611411811012212613013413814214615015415816216617017417818218619019419820220621021441014182226303438[[#This Row],[Jour]]="5- Vendredi",$B$1+5, IF(Horodateur11233538192231343743464952555861646985222634384650585462667074788290989410210611411811012212613013413814214615015415816216617017417818218619019419820220621021441014182226303438[[#This Row],[Jour]]="6- Samedi",$B$1+6, IF(Horodateur11233538192231343743464952555861646985222634384650585462667074788290989410210611411811012212613013413814214615015415816216617017417818218619019419820220621021441014182226303438[[#This Row],[Jour]]="7- Dimanche",$B$1, )))))))</f>
        <v>44265</v>
      </c>
      <c r="B15" s="257" t="s">
        <v>319</v>
      </c>
      <c r="C15" s="258" t="n">
        <v>0.333333333333333</v>
      </c>
      <c r="D15" s="258" t="n">
        <v>0.375</v>
      </c>
      <c r="E15" s="71" t="s">
        <v>32</v>
      </c>
      <c r="F15" s="71" t="s">
        <v>22</v>
      </c>
      <c r="G15" s="259" t="s">
        <v>37</v>
      </c>
      <c r="H15" s="258" t="n">
        <f aca="false">IF($C15=0,"",$D15-$C15)</f>
        <v>0.0416666666666667</v>
      </c>
      <c r="I15" s="260" t="n">
        <f aca="false">IF($C15=0,"",($H15-INT($H15))*24)</f>
        <v>1</v>
      </c>
      <c r="J15" s="303" t="n">
        <f aca="false">SUMIF(Horodateur11233538192231343743464952555861646985222634384650585462667074788290989410210611411811012212613013413814214615015415816216617017417818218619019419820220621021441014182226303438[Jour],$B15,Horodateur11233538192231343743464952555861646985222634384650585462667074788290989410210611411811012212613013413814214615015415816216617017417818218619019419820220621021441014182226303438[Durée (100)])</f>
        <v>9</v>
      </c>
      <c r="K15" s="335"/>
      <c r="L15" s="188" t="s">
        <v>31</v>
      </c>
      <c r="M15" s="272" t="n">
        <f aca="false">IF(Horodateur11233538192231343743464952555861646985222634384650585462667074788290989410210611411811012212613013413814214615015415816216617017417818218619019419820220621021441014182226303438[[#This Row],[O]]="o",Horodateur11233538192231343743464952555861646985222634384650585462667074788290989410210611411811012212613013413814214615015415816216617017417818218619019419820220621021441014182226303438[[#This Row],[Durée (100)]],".")</f>
        <v>1</v>
      </c>
      <c r="N15" s="187"/>
      <c r="O15" s="71"/>
      <c r="P15" s="71"/>
      <c r="Q15" s="71"/>
      <c r="R15" s="71"/>
      <c r="S15" s="71"/>
      <c r="T15" s="71"/>
      <c r="U15" s="71"/>
      <c r="V15" s="71"/>
      <c r="W15" s="71"/>
      <c r="X15" s="71"/>
      <c r="Y15" s="71"/>
      <c r="Z15" s="71"/>
      <c r="AA15" s="71"/>
      <c r="AB15" s="71"/>
      <c r="AC15" s="71"/>
      <c r="AD15" s="71"/>
      <c r="AE15" s="71"/>
      <c r="AF15" s="71"/>
      <c r="AG15" s="71"/>
    </row>
    <row r="16" customFormat="false" ht="15" hidden="false" customHeight="false" outlineLevel="0" collapsed="false">
      <c r="A16" s="256" t="n">
        <f aca="false">IF(Horodateur11233538192231343743464952555861646985222634384650585462667074788290989410210611411811012212613013413814214615015415816216617017417818218619019419820220621021441014182226303438[[#This Row],[Jour]]="1- Lundi",$B$1+1, IF(Horodateur11233538192231343743464952555861646985222634384650585462667074788290989410210611411811012212613013413814214615015415816216617017417818218619019419820220621021441014182226303438[[#This Row],[Jour]]="2- Mardi",$B$1+2, IF(Horodateur11233538192231343743464952555861646985222634384650585462667074788290989410210611411811012212613013413814214615015415816216617017417818218619019419820220621021441014182226303438[[#This Row],[Jour]]="3- Mercredi",$B$1+3, IF(Horodateur11233538192231343743464952555861646985222634384650585462667074788290989410210611411811012212613013413814214615015415816216617017417818218619019419820220621021441014182226303438[[#This Row],[Jour]]="4- Jeudi",$B$1+4, IF(Horodateur11233538192231343743464952555861646985222634384650585462667074788290989410210611411811012212613013413814214615015415816216617017417818218619019419820220621021441014182226303438[[#This Row],[Jour]]="5- Vendredi",$B$1+5, IF(Horodateur11233538192231343743464952555861646985222634384650585462667074788290989410210611411811012212613013413814214615015415816216617017417818218619019419820220621021441014182226303438[[#This Row],[Jour]]="6- Samedi",$B$1+6, IF(Horodateur11233538192231343743464952555861646985222634384650585462667074788290989410210611411811012212613013413814214615015415816216617017417818218619019419820220621021441014182226303438[[#This Row],[Jour]]="7- Dimanche",$B$1, )))))))</f>
        <v>44265</v>
      </c>
      <c r="B16" s="257" t="s">
        <v>319</v>
      </c>
      <c r="C16" s="258" t="n">
        <v>0.416666666666667</v>
      </c>
      <c r="D16" s="258" t="n">
        <v>0.4375</v>
      </c>
      <c r="E16" s="71" t="s">
        <v>37</v>
      </c>
      <c r="F16" s="71" t="s">
        <v>22</v>
      </c>
      <c r="G16" s="259" t="s">
        <v>535</v>
      </c>
      <c r="H16" s="258" t="n">
        <f aca="false">IF($C16=0,"",$D16-$C16)</f>
        <v>0.0208333333333333</v>
      </c>
      <c r="I16" s="260" t="n">
        <f aca="false">IF($C16=0,"",($H16-INT($H16))*24)</f>
        <v>0.5</v>
      </c>
      <c r="J16" s="303" t="n">
        <f aca="false">SUMIF(Horodateur11233538192231343743464952555861646985222634384650585462667074788290989410210611411811012212613013413814214615015415816216617017417818218619019419820220621021441014182226303438[Jour],$B16,Horodateur11233538192231343743464952555861646985222634384650585462667074788290989410210611411811012212613013413814214615015415816216617017417818218619019419820220621021441014182226303438[Durée (100)])</f>
        <v>9</v>
      </c>
      <c r="K16" s="335"/>
      <c r="L16" s="188" t="s">
        <v>31</v>
      </c>
      <c r="M16" s="272" t="n">
        <f aca="false">IF(Horodateur11233538192231343743464952555861646985222634384650585462667074788290989410210611411811012212613013413814214615015415816216617017417818218619019419820220621021441014182226303438[[#This Row],[O]]="o",Horodateur11233538192231343743464952555861646985222634384650585462667074788290989410210611411811012212613013413814214615015415816216617017417818218619019419820220621021441014182226303438[[#This Row],[Durée (100)]],".")</f>
        <v>0.5</v>
      </c>
      <c r="N16" s="187"/>
      <c r="O16" s="71"/>
      <c r="P16" s="71"/>
      <c r="Q16" s="71"/>
      <c r="R16" s="71"/>
      <c r="S16" s="71"/>
      <c r="T16" s="71"/>
      <c r="U16" s="71"/>
      <c r="V16" s="71"/>
      <c r="W16" s="71"/>
      <c r="X16" s="71"/>
      <c r="Y16" s="71"/>
      <c r="Z16" s="71"/>
      <c r="AA16" s="71"/>
      <c r="AB16" s="71"/>
      <c r="AC16" s="71"/>
      <c r="AD16" s="71"/>
      <c r="AE16" s="71"/>
      <c r="AF16" s="71"/>
      <c r="AG16" s="71"/>
    </row>
    <row r="17" customFormat="false" ht="15" hidden="false" customHeight="false" outlineLevel="0" collapsed="false">
      <c r="A17" s="256" t="n">
        <f aca="false">IF(Horodateur11233538192231343743464952555861646985222634384650585462667074788290989410210611411811012212613013413814214615015415816216617017417818218619019419820220621021441014182226303438[[#This Row],[Jour]]="1- Lundi",$B$1+1, IF(Horodateur11233538192231343743464952555861646985222634384650585462667074788290989410210611411811012212613013413814214615015415816216617017417818218619019419820220621021441014182226303438[[#This Row],[Jour]]="2- Mardi",$B$1+2, IF(Horodateur11233538192231343743464952555861646985222634384650585462667074788290989410210611411811012212613013413814214615015415816216617017417818218619019419820220621021441014182226303438[[#This Row],[Jour]]="3- Mercredi",$B$1+3, IF(Horodateur11233538192231343743464952555861646985222634384650585462667074788290989410210611411811012212613013413814214615015415816216617017417818218619019419820220621021441014182226303438[[#This Row],[Jour]]="4- Jeudi",$B$1+4, IF(Horodateur11233538192231343743464952555861646985222634384650585462667074788290989410210611411811012212613013413814214615015415816216617017417818218619019419820220621021441014182226303438[[#This Row],[Jour]]="5- Vendredi",$B$1+5, IF(Horodateur11233538192231343743464952555861646985222634384650585462667074788290989410210611411811012212613013413814214615015415816216617017417818218619019419820220621021441014182226303438[[#This Row],[Jour]]="6- Samedi",$B$1+6, IF(Horodateur11233538192231343743464952555861646985222634384650585462667074788290989410210611411811012212613013413814214615015415816216617017417818218619019419820220621021441014182226303438[[#This Row],[Jour]]="7- Dimanche",$B$1, )))))))</f>
        <v>44265</v>
      </c>
      <c r="B17" s="257" t="s">
        <v>319</v>
      </c>
      <c r="C17" s="258" t="n">
        <v>0.4375</v>
      </c>
      <c r="D17" s="258" t="n">
        <v>0.5</v>
      </c>
      <c r="E17" s="71" t="s">
        <v>63</v>
      </c>
      <c r="F17" s="71" t="s">
        <v>378</v>
      </c>
      <c r="G17" s="259" t="s">
        <v>536</v>
      </c>
      <c r="H17" s="258" t="n">
        <f aca="false">IF($C17=0,"",$D17-$C17)</f>
        <v>0.0625</v>
      </c>
      <c r="I17" s="260" t="n">
        <f aca="false">IF($C17=0,"",($H17-INT($H17))*24)</f>
        <v>1.5</v>
      </c>
      <c r="J17" s="303" t="n">
        <f aca="false">SUMIF(Horodateur11233538192231343743464952555861646985222634384650585462667074788290989410210611411811012212613013413814214615015415816216617017417818218619019419820220621021441014182226303438[Jour],$B17,Horodateur11233538192231343743464952555861646985222634384650585462667074788290989410210611411811012212613013413814214615015415816216617017417818218619019419820220621021441014182226303438[Durée (100)])</f>
        <v>9</v>
      </c>
      <c r="K17" s="335"/>
      <c r="L17" s="188" t="s">
        <v>31</v>
      </c>
      <c r="M17" s="272" t="n">
        <f aca="false">IF(Horodateur11233538192231343743464952555861646985222634384650585462667074788290989410210611411811012212613013413814214615015415816216617017417818218619019419820220621021441014182226303438[[#This Row],[O]]="o",Horodateur11233538192231343743464952555861646985222634384650585462667074788290989410210611411811012212613013413814214615015415816216617017417818218619019419820220621021441014182226303438[[#This Row],[Durée (100)]],".")</f>
        <v>1.5</v>
      </c>
      <c r="N17" s="187"/>
      <c r="O17" s="71"/>
      <c r="P17" s="71"/>
      <c r="Q17" s="71"/>
      <c r="R17" s="71"/>
      <c r="S17" s="71"/>
      <c r="T17" s="71"/>
      <c r="U17" s="71"/>
      <c r="V17" s="71"/>
      <c r="W17" s="71"/>
      <c r="X17" s="71"/>
      <c r="Y17" s="71"/>
      <c r="Z17" s="71"/>
      <c r="AA17" s="71"/>
      <c r="AB17" s="71"/>
      <c r="AC17" s="71"/>
      <c r="AD17" s="71"/>
      <c r="AE17" s="71"/>
      <c r="AF17" s="71"/>
      <c r="AG17" s="71"/>
    </row>
    <row r="18" customFormat="false" ht="15" hidden="false" customHeight="false" outlineLevel="0" collapsed="false">
      <c r="A18" s="256" t="n">
        <f aca="false">IF(Horodateur11233538192231343743464952555861646985222634384650585462667074788290989410210611411811012212613013413814214615015415816216617017417818218619019419820220621021441014182226303438[[#This Row],[Jour]]="1- Lundi",$B$1+1, IF(Horodateur11233538192231343743464952555861646985222634384650585462667074788290989410210611411811012212613013413814214615015415816216617017417818218619019419820220621021441014182226303438[[#This Row],[Jour]]="2- Mardi",$B$1+2, IF(Horodateur11233538192231343743464952555861646985222634384650585462667074788290989410210611411811012212613013413814214615015415816216617017417818218619019419820220621021441014182226303438[[#This Row],[Jour]]="3- Mercredi",$B$1+3, IF(Horodateur11233538192231343743464952555861646985222634384650585462667074788290989410210611411811012212613013413814214615015415816216617017417818218619019419820220621021441014182226303438[[#This Row],[Jour]]="4- Jeudi",$B$1+4, IF(Horodateur11233538192231343743464952555861646985222634384650585462667074788290989410210611411811012212613013413814214615015415816216617017417818218619019419820220621021441014182226303438[[#This Row],[Jour]]="5- Vendredi",$B$1+5, IF(Horodateur11233538192231343743464952555861646985222634384650585462667074788290989410210611411811012212613013413814214615015415816216617017417818218619019419820220621021441014182226303438[[#This Row],[Jour]]="6- Samedi",$B$1+6, IF(Horodateur11233538192231343743464952555861646985222634384650585462667074788290989410210611411811012212613013413814214615015415816216617017417818218619019419820220621021441014182226303438[[#This Row],[Jour]]="7- Dimanche",$B$1, )))))))</f>
        <v>44265</v>
      </c>
      <c r="B18" s="257" t="s">
        <v>319</v>
      </c>
      <c r="C18" s="258" t="n">
        <v>0.5625</v>
      </c>
      <c r="D18" s="258" t="n">
        <v>0.583333333333333</v>
      </c>
      <c r="E18" s="71" t="s">
        <v>32</v>
      </c>
      <c r="F18" s="71" t="s">
        <v>22</v>
      </c>
      <c r="G18" s="259"/>
      <c r="H18" s="258" t="n">
        <f aca="false">IF($C18=0,"",$D18-$C18)</f>
        <v>0.0208333333333334</v>
      </c>
      <c r="I18" s="260" t="n">
        <f aca="false">IF($C18=0,"",($H18-INT($H18))*24)</f>
        <v>0.500000000000001</v>
      </c>
      <c r="J18" s="303" t="n">
        <f aca="false">SUMIF(Horodateur11233538192231343743464952555861646985222634384650585462667074788290989410210611411811012212613013413814214615015415816216617017417818218619019419820220621021441014182226303438[Jour],$B18,Horodateur11233538192231343743464952555861646985222634384650585462667074788290989410210611411811012212613013413814214615015415816216617017417818218619019419820220621021441014182226303438[Durée (100)])</f>
        <v>9</v>
      </c>
      <c r="K18" s="335"/>
      <c r="L18" s="188" t="s">
        <v>31</v>
      </c>
      <c r="M18" s="272" t="n">
        <f aca="false">IF(Horodateur11233538192231343743464952555861646985222634384650585462667074788290989410210611411811012212613013413814214615015415816216617017417818218619019419820220621021441014182226303438[[#This Row],[O]]="o",Horodateur11233538192231343743464952555861646985222634384650585462667074788290989410210611411811012212613013413814214615015415816216617017417818218619019419820220621021441014182226303438[[#This Row],[Durée (100)]],".")</f>
        <v>0.500000000000001</v>
      </c>
      <c r="N18" s="187"/>
      <c r="O18" s="71"/>
      <c r="P18" s="71"/>
      <c r="Q18" s="71"/>
      <c r="R18" s="71"/>
      <c r="S18" s="71"/>
      <c r="T18" s="71"/>
      <c r="U18" s="71"/>
      <c r="V18" s="71"/>
      <c r="W18" s="71"/>
      <c r="X18" s="71"/>
      <c r="Y18" s="71"/>
      <c r="Z18" s="71"/>
      <c r="AA18" s="71"/>
      <c r="AB18" s="71"/>
      <c r="AC18" s="71"/>
      <c r="AD18" s="71"/>
      <c r="AE18" s="71"/>
      <c r="AF18" s="71"/>
      <c r="AG18" s="71"/>
    </row>
    <row r="19" customFormat="false" ht="15" hidden="false" customHeight="false" outlineLevel="0" collapsed="false">
      <c r="A19" s="256" t="n">
        <f aca="false">IF(Horodateur11233538192231343743464952555861646985222634384650585462667074788290989410210611411811012212613013413814214615015415816216617017417818218619019419820220621021441014182226303438[[#This Row],[Jour]]="1- Lundi",$B$1+1, IF(Horodateur11233538192231343743464952555861646985222634384650585462667074788290989410210611411811012212613013413814214615015415816216617017417818218619019419820220621021441014182226303438[[#This Row],[Jour]]="2- Mardi",$B$1+2, IF(Horodateur11233538192231343743464952555861646985222634384650585462667074788290989410210611411811012212613013413814214615015415816216617017417818218619019419820220621021441014182226303438[[#This Row],[Jour]]="3- Mercredi",$B$1+3, IF(Horodateur11233538192231343743464952555861646985222634384650585462667074788290989410210611411811012212613013413814214615015415816216617017417818218619019419820220621021441014182226303438[[#This Row],[Jour]]="4- Jeudi",$B$1+4, IF(Horodateur11233538192231343743464952555861646985222634384650585462667074788290989410210611411811012212613013413814214615015415816216617017417818218619019419820220621021441014182226303438[[#This Row],[Jour]]="5- Vendredi",$B$1+5, IF(Horodateur11233538192231343743464952555861646985222634384650585462667074788290989410210611411811012212613013413814214615015415816216617017417818218619019419820220621021441014182226303438[[#This Row],[Jour]]="6- Samedi",$B$1+6, IF(Horodateur11233538192231343743464952555861646985222634384650585462667074788290989410210611411811012212613013413814214615015415816216617017417818218619019419820220621021441014182226303438[[#This Row],[Jour]]="7- Dimanche",$B$1, )))))))</f>
        <v>44265</v>
      </c>
      <c r="B19" s="257" t="s">
        <v>319</v>
      </c>
      <c r="C19" s="258" t="n">
        <v>0.583333333333333</v>
      </c>
      <c r="D19" s="258" t="n">
        <v>0.760416666666667</v>
      </c>
      <c r="E19" s="71" t="s">
        <v>37</v>
      </c>
      <c r="F19" s="71" t="s">
        <v>378</v>
      </c>
      <c r="G19" s="259" t="s">
        <v>537</v>
      </c>
      <c r="H19" s="258" t="n">
        <f aca="false">IF($C19=0,"",$D19-$C19)</f>
        <v>0.177083333333333</v>
      </c>
      <c r="I19" s="260" t="n">
        <f aca="false">IF($C19=0,"",($H19-INT($H19))*24)</f>
        <v>4.25</v>
      </c>
      <c r="J19" s="303" t="n">
        <f aca="false">SUMIF(Horodateur11233538192231343743464952555861646985222634384650585462667074788290989410210611411811012212613013413814214615015415816216617017417818218619019419820220621021441014182226303438[Jour],$B19,Horodateur11233538192231343743464952555861646985222634384650585462667074788290989410210611411811012212613013413814214615015415816216617017417818218619019419820220621021441014182226303438[Durée (100)])</f>
        <v>9</v>
      </c>
      <c r="K19" s="335"/>
      <c r="L19" s="188" t="s">
        <v>31</v>
      </c>
      <c r="M19" s="272" t="n">
        <f aca="false">IF(Horodateur11233538192231343743464952555861646985222634384650585462667074788290989410210611411811012212613013413814214615015415816216617017417818218619019419820220621021441014182226303438[[#This Row],[O]]="o",Horodateur11233538192231343743464952555861646985222634384650585462667074788290989410210611411811012212613013413814214615015415816216617017417818218619019419820220621021441014182226303438[[#This Row],[Durée (100)]],".")</f>
        <v>4.25</v>
      </c>
      <c r="N19" s="187"/>
      <c r="O19" s="71"/>
      <c r="P19" s="71"/>
      <c r="Q19" s="71"/>
      <c r="R19" s="71"/>
      <c r="S19" s="71"/>
      <c r="T19" s="71"/>
      <c r="U19" s="71"/>
      <c r="V19" s="71"/>
      <c r="W19" s="71"/>
      <c r="X19" s="71"/>
      <c r="Y19" s="71"/>
      <c r="Z19" s="71"/>
      <c r="AA19" s="71"/>
      <c r="AB19" s="71"/>
      <c r="AC19" s="71"/>
      <c r="AD19" s="71"/>
      <c r="AE19" s="71"/>
      <c r="AF19" s="71"/>
      <c r="AG19" s="71"/>
    </row>
    <row r="20" customFormat="false" ht="15" hidden="false" customHeight="false" outlineLevel="0" collapsed="false">
      <c r="A20" s="256" t="n">
        <f aca="false">IF(Horodateur11233538192231343743464952555861646985222634384650585462667074788290989410210611411811012212613013413814214615015415816216617017417818218619019419820220621021441014182226303438[[#This Row],[Jour]]="1- Lundi",$B$1+1, IF(Horodateur11233538192231343743464952555861646985222634384650585462667074788290989410210611411811012212613013413814214615015415816216617017417818218619019419820220621021441014182226303438[[#This Row],[Jour]]="2- Mardi",$B$1+2, IF(Horodateur11233538192231343743464952555861646985222634384650585462667074788290989410210611411811012212613013413814214615015415816216617017417818218619019419820220621021441014182226303438[[#This Row],[Jour]]="3- Mercredi",$B$1+3, IF(Horodateur11233538192231343743464952555861646985222634384650585462667074788290989410210611411811012212613013413814214615015415816216617017417818218619019419820220621021441014182226303438[[#This Row],[Jour]]="4- Jeudi",$B$1+4, IF(Horodateur11233538192231343743464952555861646985222634384650585462667074788290989410210611411811012212613013413814214615015415816216617017417818218619019419820220621021441014182226303438[[#This Row],[Jour]]="5- Vendredi",$B$1+5, IF(Horodateur11233538192231343743464952555861646985222634384650585462667074788290989410210611411811012212613013413814214615015415816216617017417818218619019419820220621021441014182226303438[[#This Row],[Jour]]="6- Samedi",$B$1+6, IF(Horodateur11233538192231343743464952555861646985222634384650585462667074788290989410210611411811012212613013413814214615015415816216617017417818218619019419820220621021441014182226303438[[#This Row],[Jour]]="7- Dimanche",$B$1, )))))))</f>
        <v>44266</v>
      </c>
      <c r="B20" s="257" t="s">
        <v>324</v>
      </c>
      <c r="C20" s="258" t="n">
        <v>0.333333333333333</v>
      </c>
      <c r="D20" s="258" t="n">
        <v>0.354166666666667</v>
      </c>
      <c r="E20" s="71" t="s">
        <v>32</v>
      </c>
      <c r="F20" s="71" t="s">
        <v>21</v>
      </c>
      <c r="G20" s="259"/>
      <c r="H20" s="258" t="n">
        <f aca="false">IF($C20=0,"",$D20-$C20)</f>
        <v>0.0208333333333333</v>
      </c>
      <c r="I20" s="260" t="n">
        <f aca="false">IF($C20=0,"",($H20-INT($H20))*24)</f>
        <v>0.5</v>
      </c>
      <c r="J20" s="303" t="n">
        <f aca="false">SUMIF(Horodateur11233538192231343743464952555861646985222634384650585462667074788290989410210611411811012212613013413814214615015415816216617017417818218619019419820220621021441014182226303438[Jour],$B20,Horodateur11233538192231343743464952555861646985222634384650585462667074788290989410210611411811012212613013413814214615015415816216617017417818218619019419820220621021441014182226303438[Durée (100)])</f>
        <v>6.5</v>
      </c>
      <c r="K20" s="335"/>
      <c r="L20" s="188" t="s">
        <v>33</v>
      </c>
      <c r="M20" s="272" t="str">
        <f aca="false">IF(Horodateur11233538192231343743464952555861646985222634384650585462667074788290989410210611411811012212613013413814214615015415816216617017417818218619019419820220621021441014182226303438[[#This Row],[O]]="o",Horodateur11233538192231343743464952555861646985222634384650585462667074788290989410210611411811012212613013413814214615015415816216617017417818218619019419820220621021441014182226303438[[#This Row],[Durée (100)]],".")</f>
        <v>.</v>
      </c>
      <c r="N20" s="187"/>
      <c r="O20" s="71"/>
      <c r="P20" s="71"/>
      <c r="Q20" s="71"/>
      <c r="R20" s="71"/>
      <c r="S20" s="71"/>
      <c r="T20" s="71"/>
      <c r="U20" s="71"/>
      <c r="V20" s="71"/>
      <c r="W20" s="71"/>
      <c r="X20" s="71"/>
      <c r="Y20" s="71"/>
      <c r="Z20" s="71"/>
      <c r="AA20" s="71"/>
      <c r="AB20" s="71"/>
      <c r="AC20" s="71"/>
      <c r="AD20" s="71"/>
      <c r="AE20" s="71"/>
      <c r="AF20" s="71"/>
      <c r="AG20" s="71"/>
    </row>
    <row r="21" customFormat="false" ht="15" hidden="false" customHeight="false" outlineLevel="0" collapsed="false">
      <c r="A21" s="256" t="n">
        <f aca="false">IF(Horodateur11233538192231343743464952555861646985222634384650585462667074788290989410210611411811012212613013413814214615015415816216617017417818218619019419820220621021441014182226303438[[#This Row],[Jour]]="1- Lundi",$B$1+1, IF(Horodateur11233538192231343743464952555861646985222634384650585462667074788290989410210611411811012212613013413814214615015415816216617017417818218619019419820220621021441014182226303438[[#This Row],[Jour]]="2- Mardi",$B$1+2, IF(Horodateur11233538192231343743464952555861646985222634384650585462667074788290989410210611411811012212613013413814214615015415816216617017417818218619019419820220621021441014182226303438[[#This Row],[Jour]]="3- Mercredi",$B$1+3, IF(Horodateur11233538192231343743464952555861646985222634384650585462667074788290989410210611411811012212613013413814214615015415816216617017417818218619019419820220621021441014182226303438[[#This Row],[Jour]]="4- Jeudi",$B$1+4, IF(Horodateur11233538192231343743464952555861646985222634384650585462667074788290989410210611411811012212613013413814214615015415816216617017417818218619019419820220621021441014182226303438[[#This Row],[Jour]]="5- Vendredi",$B$1+5, IF(Horodateur11233538192231343743464952555861646985222634384650585462667074788290989410210611411811012212613013413814214615015415816216617017417818218619019419820220621021441014182226303438[[#This Row],[Jour]]="6- Samedi",$B$1+6, IF(Horodateur11233538192231343743464952555861646985222634384650585462667074788290989410210611411811012212613013413814214615015415816216617017417818218619019419820220621021441014182226303438[[#This Row],[Jour]]="7- Dimanche",$B$1, )))))))</f>
        <v>44266</v>
      </c>
      <c r="B21" s="257" t="s">
        <v>324</v>
      </c>
      <c r="C21" s="258" t="n">
        <v>0.354166666666667</v>
      </c>
      <c r="D21" s="258" t="n">
        <v>0.385416666666667</v>
      </c>
      <c r="E21" s="71" t="s">
        <v>37</v>
      </c>
      <c r="F21" s="71" t="s">
        <v>378</v>
      </c>
      <c r="G21" s="259" t="s">
        <v>538</v>
      </c>
      <c r="H21" s="258" t="n">
        <f aca="false">IF($C21=0,"",$D21-$C21)</f>
        <v>0.03125</v>
      </c>
      <c r="I21" s="260" t="n">
        <f aca="false">IF($C21=0,"",($H21-INT($H21))*24)</f>
        <v>0.75</v>
      </c>
      <c r="J21" s="303" t="n">
        <f aca="false">SUMIF(Horodateur11233538192231343743464952555861646985222634384650585462667074788290989410210611411811012212613013413814214615015415816216617017417818218619019419820220621021441014182226303438[Jour],$B21,Horodateur11233538192231343743464952555861646985222634384650585462667074788290989410210611411811012212613013413814214615015415816216617017417818218619019419820220621021441014182226303438[Durée (100)])</f>
        <v>6.5</v>
      </c>
      <c r="K21" s="335"/>
      <c r="L21" s="188" t="s">
        <v>31</v>
      </c>
      <c r="M21" s="272" t="n">
        <f aca="false">IF(Horodateur11233538192231343743464952555861646985222634384650585462667074788290989410210611411811012212613013413814214615015415816216617017417818218619019419820220621021441014182226303438[[#This Row],[O]]="o",Horodateur11233538192231343743464952555861646985222634384650585462667074788290989410210611411811012212613013413814214615015415816216617017417818218619019419820220621021441014182226303438[[#This Row],[Durée (100)]],".")</f>
        <v>0.75</v>
      </c>
      <c r="N21" s="187"/>
      <c r="O21" s="71"/>
      <c r="P21" s="71"/>
      <c r="Q21" s="71"/>
      <c r="R21" s="71"/>
      <c r="S21" s="71"/>
      <c r="T21" s="71"/>
      <c r="U21" s="71"/>
      <c r="V21" s="71"/>
      <c r="W21" s="71"/>
      <c r="X21" s="71"/>
      <c r="Y21" s="71"/>
      <c r="Z21" s="71"/>
      <c r="AA21" s="71"/>
      <c r="AB21" s="71"/>
      <c r="AC21" s="71"/>
      <c r="AD21" s="71"/>
      <c r="AE21" s="71"/>
      <c r="AF21" s="71"/>
      <c r="AG21" s="71"/>
    </row>
    <row r="22" customFormat="false" ht="15" hidden="false" customHeight="false" outlineLevel="0" collapsed="false">
      <c r="A22" s="256" t="n">
        <f aca="false">IF(Horodateur11233538192231343743464952555861646985222634384650585462667074788290989410210611411811012212613013413814214615015415816216617017417818218619019419820220621021441014182226303438[[#This Row],[Jour]]="1- Lundi",$B$1+1, IF(Horodateur11233538192231343743464952555861646985222634384650585462667074788290989410210611411811012212613013413814214615015415816216617017417818218619019419820220621021441014182226303438[[#This Row],[Jour]]="2- Mardi",$B$1+2, IF(Horodateur11233538192231343743464952555861646985222634384650585462667074788290989410210611411811012212613013413814214615015415816216617017417818218619019419820220621021441014182226303438[[#This Row],[Jour]]="3- Mercredi",$B$1+3, IF(Horodateur11233538192231343743464952555861646985222634384650585462667074788290989410210611411811012212613013413814214615015415816216617017417818218619019419820220621021441014182226303438[[#This Row],[Jour]]="4- Jeudi",$B$1+4, IF(Horodateur11233538192231343743464952555861646985222634384650585462667074788290989410210611411811012212613013413814214615015415816216617017417818218619019419820220621021441014182226303438[[#This Row],[Jour]]="5- Vendredi",$B$1+5, IF(Horodateur11233538192231343743464952555861646985222634384650585462667074788290989410210611411811012212613013413814214615015415816216617017417818218619019419820220621021441014182226303438[[#This Row],[Jour]]="6- Samedi",$B$1+6, IF(Horodateur11233538192231343743464952555861646985222634384650585462667074788290989410210611411811012212613013413814214615015415816216617017417818218619019419820220621021441014182226303438[[#This Row],[Jour]]="7- Dimanche",$B$1, )))))))</f>
        <v>44266</v>
      </c>
      <c r="B22" s="257" t="s">
        <v>324</v>
      </c>
      <c r="C22" s="258" t="n">
        <v>0.385416666666667</v>
      </c>
      <c r="D22" s="258" t="n">
        <v>0.395833333333333</v>
      </c>
      <c r="E22" s="71" t="s">
        <v>61</v>
      </c>
      <c r="F22" s="71" t="s">
        <v>399</v>
      </c>
      <c r="G22" s="259" t="s">
        <v>539</v>
      </c>
      <c r="H22" s="258" t="n">
        <f aca="false">IF($C22=0,"",$D22-$C22)</f>
        <v>0.0104166666666667</v>
      </c>
      <c r="I22" s="260" t="n">
        <f aca="false">IF($C22=0,"",($H22-INT($H22))*24)</f>
        <v>0.25</v>
      </c>
      <c r="J22" s="303" t="n">
        <f aca="false">SUMIF(Horodateur11233538192231343743464952555861646985222634384650585462667074788290989410210611411811012212613013413814214615015415816216617017417818218619019419820220621021441014182226303438[Jour],$B22,Horodateur11233538192231343743464952555861646985222634384650585462667074788290989410210611411811012212613013413814214615015415816216617017417818218619019419820220621021441014182226303438[Durée (100)])</f>
        <v>6.5</v>
      </c>
      <c r="K22" s="335"/>
      <c r="L22" s="188" t="s">
        <v>33</v>
      </c>
      <c r="M22" s="272" t="str">
        <f aca="false">IF(Horodateur11233538192231343743464952555861646985222634384650585462667074788290989410210611411811012212613013413814214615015415816216617017417818218619019419820220621021441014182226303438[[#This Row],[O]]="o",Horodateur11233538192231343743464952555861646985222634384650585462667074788290989410210611411811012212613013413814214615015415816216617017417818218619019419820220621021441014182226303438[[#This Row],[Durée (100)]],".")</f>
        <v>.</v>
      </c>
      <c r="N22" s="187"/>
      <c r="O22" s="71"/>
      <c r="P22" s="71"/>
      <c r="Q22" s="71"/>
      <c r="R22" s="71"/>
      <c r="S22" s="71"/>
      <c r="T22" s="71"/>
      <c r="U22" s="71"/>
      <c r="V22" s="71"/>
      <c r="W22" s="71"/>
      <c r="X22" s="71"/>
      <c r="Y22" s="71"/>
      <c r="Z22" s="71"/>
      <c r="AA22" s="71"/>
      <c r="AB22" s="71"/>
      <c r="AC22" s="71"/>
      <c r="AD22" s="71"/>
      <c r="AE22" s="71"/>
      <c r="AF22" s="71"/>
      <c r="AG22" s="71"/>
    </row>
    <row r="23" customFormat="false" ht="15" hidden="false" customHeight="false" outlineLevel="0" collapsed="false">
      <c r="A23" s="256" t="n">
        <f aca="false">IF(Horodateur11233538192231343743464952555861646985222634384650585462667074788290989410210611411811012212613013413814214615015415816216617017417818218619019419820220621021441014182226303438[[#This Row],[Jour]]="1- Lundi",$B$1+1, IF(Horodateur11233538192231343743464952555861646985222634384650585462667074788290989410210611411811012212613013413814214615015415816216617017417818218619019419820220621021441014182226303438[[#This Row],[Jour]]="2- Mardi",$B$1+2, IF(Horodateur11233538192231343743464952555861646985222634384650585462667074788290989410210611411811012212613013413814214615015415816216617017417818218619019419820220621021441014182226303438[[#This Row],[Jour]]="3- Mercredi",$B$1+3, IF(Horodateur11233538192231343743464952555861646985222634384650585462667074788290989410210611411811012212613013413814214615015415816216617017417818218619019419820220621021441014182226303438[[#This Row],[Jour]]="4- Jeudi",$B$1+4, IF(Horodateur11233538192231343743464952555861646985222634384650585462667074788290989410210611411811012212613013413814214615015415816216617017417818218619019419820220621021441014182226303438[[#This Row],[Jour]]="5- Vendredi",$B$1+5, IF(Horodateur11233538192231343743464952555861646985222634384650585462667074788290989410210611411811012212613013413814214615015415816216617017417818218619019419820220621021441014182226303438[[#This Row],[Jour]]="6- Samedi",$B$1+6, IF(Horodateur11233538192231343743464952555861646985222634384650585462667074788290989410210611411811012212613013413814214615015415816216617017417818218619019419820220621021441014182226303438[[#This Row],[Jour]]="7- Dimanche",$B$1, )))))))</f>
        <v>44266</v>
      </c>
      <c r="B23" s="257" t="s">
        <v>324</v>
      </c>
      <c r="C23" s="258" t="n">
        <v>0.395833333333333</v>
      </c>
      <c r="D23" s="258" t="n">
        <v>0.416666666666667</v>
      </c>
      <c r="E23" s="71" t="s">
        <v>37</v>
      </c>
      <c r="F23" s="71" t="s">
        <v>378</v>
      </c>
      <c r="G23" s="259" t="s">
        <v>538</v>
      </c>
      <c r="H23" s="258" t="n">
        <f aca="false">IF($C23=0,"",$D23-$C23)</f>
        <v>0.0208333333333334</v>
      </c>
      <c r="I23" s="260" t="n">
        <f aca="false">IF($C23=0,"",($H23-INT($H23))*24)</f>
        <v>0.500000000000001</v>
      </c>
      <c r="J23" s="303" t="n">
        <f aca="false">SUMIF(Horodateur11233538192231343743464952555861646985222634384650585462667074788290989410210611411811012212613013413814214615015415816216617017417818218619019419820220621021441014182226303438[Jour],$B23,Horodateur11233538192231343743464952555861646985222634384650585462667074788290989410210611411811012212613013413814214615015415816216617017417818218619019419820220621021441014182226303438[Durée (100)])</f>
        <v>6.5</v>
      </c>
      <c r="K23" s="335"/>
      <c r="L23" s="188" t="s">
        <v>31</v>
      </c>
      <c r="M23" s="272" t="n">
        <f aca="false">IF(Horodateur11233538192231343743464952555861646985222634384650585462667074788290989410210611411811012212613013413814214615015415816216617017417818218619019419820220621021441014182226303438[[#This Row],[O]]="o",Horodateur11233538192231343743464952555861646985222634384650585462667074788290989410210611411811012212613013413814214615015415816216617017417818218619019419820220621021441014182226303438[[#This Row],[Durée (100)]],".")</f>
        <v>0.500000000000001</v>
      </c>
      <c r="N23" s="187"/>
      <c r="O23" s="71"/>
      <c r="P23" s="71"/>
      <c r="Q23" s="71"/>
      <c r="R23" s="71"/>
      <c r="S23" s="71"/>
      <c r="T23" s="71"/>
      <c r="U23" s="71"/>
      <c r="V23" s="71"/>
      <c r="W23" s="71"/>
      <c r="X23" s="71"/>
      <c r="Y23" s="71"/>
      <c r="Z23" s="71"/>
      <c r="AA23" s="71"/>
      <c r="AB23" s="71"/>
      <c r="AC23" s="71"/>
      <c r="AD23" s="71"/>
      <c r="AE23" s="71"/>
      <c r="AF23" s="71"/>
      <c r="AG23" s="71"/>
    </row>
    <row r="24" customFormat="false" ht="15" hidden="false" customHeight="false" outlineLevel="0" collapsed="false">
      <c r="A24" s="256" t="n">
        <f aca="false">IF(Horodateur11233538192231343743464952555861646985222634384650585462667074788290989410210611411811012212613013413814214615015415816216617017417818218619019419820220621021441014182226303438[[#This Row],[Jour]]="1- Lundi",$B$1+1, IF(Horodateur11233538192231343743464952555861646985222634384650585462667074788290989410210611411811012212613013413814214615015415816216617017417818218619019419820220621021441014182226303438[[#This Row],[Jour]]="2- Mardi",$B$1+2, IF(Horodateur11233538192231343743464952555861646985222634384650585462667074788290989410210611411811012212613013413814214615015415816216617017417818218619019419820220621021441014182226303438[[#This Row],[Jour]]="3- Mercredi",$B$1+3, IF(Horodateur11233538192231343743464952555861646985222634384650585462667074788290989410210611411811012212613013413814214615015415816216617017417818218619019419820220621021441014182226303438[[#This Row],[Jour]]="4- Jeudi",$B$1+4, IF(Horodateur11233538192231343743464952555861646985222634384650585462667074788290989410210611411811012212613013413814214615015415816216617017417818218619019419820220621021441014182226303438[[#This Row],[Jour]]="5- Vendredi",$B$1+5, IF(Horodateur11233538192231343743464952555861646985222634384650585462667074788290989410210611411811012212613013413814214615015415816216617017417818218619019419820220621021441014182226303438[[#This Row],[Jour]]="6- Samedi",$B$1+6, IF(Horodateur11233538192231343743464952555861646985222634384650585462667074788290989410210611411811012212613013413814214615015415816216617017417818218619019419820220621021441014182226303438[[#This Row],[Jour]]="7- Dimanche",$B$1, )))))))</f>
        <v>44266</v>
      </c>
      <c r="B24" s="257" t="s">
        <v>324</v>
      </c>
      <c r="C24" s="258" t="n">
        <v>0.416666666666667</v>
      </c>
      <c r="D24" s="258" t="n">
        <v>0.427083333333333</v>
      </c>
      <c r="E24" s="71" t="s">
        <v>78</v>
      </c>
      <c r="F24" s="71" t="s">
        <v>379</v>
      </c>
      <c r="G24" s="259" t="s">
        <v>507</v>
      </c>
      <c r="H24" s="258" t="n">
        <f aca="false">IF($C24=0,"",$D24-$C24)</f>
        <v>0.0104166666666666</v>
      </c>
      <c r="I24" s="260" t="n">
        <f aca="false">IF($C24=0,"",($H24-INT($H24))*24)</f>
        <v>0.25</v>
      </c>
      <c r="J24" s="303" t="n">
        <f aca="false">SUMIF(Horodateur11233538192231343743464952555861646985222634384650585462667074788290989410210611411811012212613013413814214615015415816216617017417818218619019419820220621021441014182226303438[Jour],$B24,Horodateur11233538192231343743464952555861646985222634384650585462667074788290989410210611411811012212613013413814214615015415816216617017417818218619019419820220621021441014182226303438[Durée (100)])</f>
        <v>6.5</v>
      </c>
      <c r="K24" s="335"/>
      <c r="L24" s="188" t="s">
        <v>31</v>
      </c>
      <c r="M24" s="272" t="n">
        <f aca="false">IF(Horodateur11233538192231343743464952555861646985222634384650585462667074788290989410210611411811012212613013413814214615015415816216617017417818218619019419820220621021441014182226303438[[#This Row],[O]]="o",Horodateur11233538192231343743464952555861646985222634384650585462667074788290989410210611411811012212613013413814214615015415816216617017417818218619019419820220621021441014182226303438[[#This Row],[Durée (100)]],".")</f>
        <v>0.249999999999999</v>
      </c>
      <c r="N24" s="187"/>
      <c r="O24" s="71"/>
      <c r="P24" s="71"/>
      <c r="Q24" s="71"/>
      <c r="R24" s="71"/>
      <c r="S24" s="71"/>
      <c r="T24" s="71"/>
      <c r="U24" s="71"/>
      <c r="V24" s="71"/>
      <c r="W24" s="71"/>
      <c r="X24" s="71"/>
      <c r="Y24" s="71"/>
      <c r="Z24" s="71"/>
      <c r="AA24" s="71"/>
      <c r="AB24" s="71"/>
      <c r="AC24" s="71"/>
      <c r="AD24" s="71"/>
      <c r="AE24" s="71"/>
      <c r="AF24" s="71"/>
      <c r="AG24" s="71"/>
    </row>
    <row r="25" customFormat="false" ht="15" hidden="false" customHeight="false" outlineLevel="0" collapsed="false">
      <c r="A25" s="256" t="n">
        <f aca="false">IF(Horodateur11233538192231343743464952555861646985222634384650585462667074788290989410210611411811012212613013413814214615015415816216617017417818218619019419820220621021441014182226303438[[#This Row],[Jour]]="1- Lundi",$B$1+1, IF(Horodateur11233538192231343743464952555861646985222634384650585462667074788290989410210611411811012212613013413814214615015415816216617017417818218619019419820220621021441014182226303438[[#This Row],[Jour]]="2- Mardi",$B$1+2, IF(Horodateur11233538192231343743464952555861646985222634384650585462667074788290989410210611411811012212613013413814214615015415816216617017417818218619019419820220621021441014182226303438[[#This Row],[Jour]]="3- Mercredi",$B$1+3, IF(Horodateur11233538192231343743464952555861646985222634384650585462667074788290989410210611411811012212613013413814214615015415816216617017417818218619019419820220621021441014182226303438[[#This Row],[Jour]]="4- Jeudi",$B$1+4, IF(Horodateur11233538192231343743464952555861646985222634384650585462667074788290989410210611411811012212613013413814214615015415816216617017417818218619019419820220621021441014182226303438[[#This Row],[Jour]]="5- Vendredi",$B$1+5, IF(Horodateur11233538192231343743464952555861646985222634384650585462667074788290989410210611411811012212613013413814214615015415816216617017417818218619019419820220621021441014182226303438[[#This Row],[Jour]]="6- Samedi",$B$1+6, IF(Horodateur11233538192231343743464952555861646985222634384650585462667074788290989410210611411811012212613013413814214615015415816216617017417818218619019419820220621021441014182226303438[[#This Row],[Jour]]="7- Dimanche",$B$1, )))))))</f>
        <v>44266</v>
      </c>
      <c r="B25" s="257" t="s">
        <v>324</v>
      </c>
      <c r="C25" s="258" t="n">
        <v>0.427083333333333</v>
      </c>
      <c r="D25" s="258" t="n">
        <v>0.5</v>
      </c>
      <c r="E25" s="71" t="s">
        <v>37</v>
      </c>
      <c r="F25" s="71" t="s">
        <v>378</v>
      </c>
      <c r="G25" s="259" t="s">
        <v>540</v>
      </c>
      <c r="H25" s="258" t="n">
        <f aca="false">IF($C25=0,"",$D25-$C25)</f>
        <v>0.0729166666666667</v>
      </c>
      <c r="I25" s="260" t="n">
        <f aca="false">IF($C25=0,"",($H25-INT($H25))*24)</f>
        <v>1.75</v>
      </c>
      <c r="J25" s="303" t="n">
        <f aca="false">SUMIF(Horodateur11233538192231343743464952555861646985222634384650585462667074788290989410210611411811012212613013413814214615015415816216617017417818218619019419820220621021441014182226303438[Jour],$B25,Horodateur11233538192231343743464952555861646985222634384650585462667074788290989410210611411811012212613013413814214615015415816216617017417818218619019419820220621021441014182226303438[Durée (100)])</f>
        <v>6.5</v>
      </c>
      <c r="K25" s="335"/>
      <c r="L25" s="188" t="s">
        <v>31</v>
      </c>
      <c r="M25" s="272" t="n">
        <f aca="false">IF(Horodateur11233538192231343743464952555861646985222634384650585462667074788290989410210611411811012212613013413814214615015415816216617017417818218619019419820220621021441014182226303438[[#This Row],[O]]="o",Horodateur11233538192231343743464952555861646985222634384650585462667074788290989410210611411811012212613013413814214615015415816216617017417818218619019419820220621021441014182226303438[[#This Row],[Durée (100)]],".")</f>
        <v>1.75</v>
      </c>
      <c r="N25" s="187"/>
      <c r="O25" s="71"/>
      <c r="P25" s="71"/>
      <c r="Q25" s="71"/>
      <c r="R25" s="71"/>
      <c r="S25" s="71"/>
      <c r="T25" s="71"/>
      <c r="U25" s="71"/>
      <c r="V25" s="71"/>
      <c r="W25" s="71"/>
      <c r="X25" s="71"/>
      <c r="Y25" s="71"/>
      <c r="Z25" s="71"/>
      <c r="AA25" s="71"/>
      <c r="AB25" s="71"/>
      <c r="AC25" s="71"/>
      <c r="AD25" s="71"/>
      <c r="AE25" s="71"/>
      <c r="AF25" s="71"/>
      <c r="AG25" s="71"/>
    </row>
    <row r="26" customFormat="false" ht="15" hidden="false" customHeight="false" outlineLevel="0" collapsed="false">
      <c r="A26" s="256" t="n">
        <f aca="false">IF(Horodateur11233538192231343743464952555861646985222634384650585462667074788290989410210611411811012212613013413814214615015415816216617017417818218619019419820220621021441014182226303438[[#This Row],[Jour]]="1- Lundi",$B$1+1, IF(Horodateur11233538192231343743464952555861646985222634384650585462667074788290989410210611411811012212613013413814214615015415816216617017417818218619019419820220621021441014182226303438[[#This Row],[Jour]]="2- Mardi",$B$1+2, IF(Horodateur11233538192231343743464952555861646985222634384650585462667074788290989410210611411811012212613013413814214615015415816216617017417818218619019419820220621021441014182226303438[[#This Row],[Jour]]="3- Mercredi",$B$1+3, IF(Horodateur11233538192231343743464952555861646985222634384650585462667074788290989410210611411811012212613013413814214615015415816216617017417818218619019419820220621021441014182226303438[[#This Row],[Jour]]="4- Jeudi",$B$1+4, IF(Horodateur11233538192231343743464952555861646985222634384650585462667074788290989410210611411811012212613013413814214615015415816216617017417818218619019419820220621021441014182226303438[[#This Row],[Jour]]="5- Vendredi",$B$1+5, IF(Horodateur11233538192231343743464952555861646985222634384650585462667074788290989410210611411811012212613013413814214615015415816216617017417818218619019419820220621021441014182226303438[[#This Row],[Jour]]="6- Samedi",$B$1+6, IF(Horodateur11233538192231343743464952555861646985222634384650585462667074788290989410210611411811012212613013413814214615015415816216617017417818218619019419820220621021441014182226303438[[#This Row],[Jour]]="7- Dimanche",$B$1, )))))))</f>
        <v>44266</v>
      </c>
      <c r="B26" s="257" t="s">
        <v>324</v>
      </c>
      <c r="C26" s="258" t="n">
        <v>0.5625</v>
      </c>
      <c r="D26" s="258" t="n">
        <v>0.625</v>
      </c>
      <c r="E26" s="71" t="s">
        <v>37</v>
      </c>
      <c r="F26" s="71" t="s">
        <v>378</v>
      </c>
      <c r="G26" s="259" t="s">
        <v>541</v>
      </c>
      <c r="H26" s="258" t="n">
        <f aca="false">IF($C26=0,"",$D26-$C26)</f>
        <v>0.0625</v>
      </c>
      <c r="I26" s="260" t="n">
        <f aca="false">IF($C26=0,"",($H26-INT($H26))*24)</f>
        <v>1.5</v>
      </c>
      <c r="J26" s="303" t="n">
        <f aca="false">SUMIF(Horodateur11233538192231343743464952555861646985222634384650585462667074788290989410210611411811012212613013413814214615015415816216617017417818218619019419820220621021441014182226303438[Jour],$B26,Horodateur11233538192231343743464952555861646985222634384650585462667074788290989410210611411811012212613013413814214615015415816216617017417818218619019419820220621021441014182226303438[Durée (100)])</f>
        <v>6.5</v>
      </c>
      <c r="K26" s="335"/>
      <c r="L26" s="188" t="s">
        <v>31</v>
      </c>
      <c r="M26" s="272" t="n">
        <f aca="false">IF(Horodateur11233538192231343743464952555861646985222634384650585462667074788290989410210611411811012212613013413814214615015415816216617017417818218619019419820220621021441014182226303438[[#This Row],[O]]="o",Horodateur11233538192231343743464952555861646985222634384650585462667074788290989410210611411811012212613013413814214615015415816216617017417818218619019419820220621021441014182226303438[[#This Row],[Durée (100)]],".")</f>
        <v>1.5</v>
      </c>
      <c r="N26" s="187"/>
      <c r="O26" s="71"/>
      <c r="P26" s="71"/>
      <c r="Q26" s="71"/>
      <c r="R26" s="71"/>
      <c r="S26" s="71"/>
      <c r="T26" s="71"/>
      <c r="U26" s="71"/>
      <c r="V26" s="71"/>
      <c r="W26" s="71"/>
      <c r="X26" s="71"/>
      <c r="Y26" s="71"/>
      <c r="Z26" s="71"/>
      <c r="AA26" s="71"/>
      <c r="AB26" s="71"/>
      <c r="AC26" s="71"/>
      <c r="AD26" s="71"/>
      <c r="AE26" s="71"/>
      <c r="AF26" s="71"/>
      <c r="AG26" s="71"/>
    </row>
    <row r="27" customFormat="false" ht="15" hidden="false" customHeight="false" outlineLevel="0" collapsed="false">
      <c r="A27" s="256" t="n">
        <f aca="false">IF(Horodateur11233538192231343743464952555861646985222634384650585462667074788290989410210611411811012212613013413814214615015415816216617017417818218619019419820220621021441014182226303438[[#This Row],[Jour]]="1- Lundi",$B$1+1, IF(Horodateur11233538192231343743464952555861646985222634384650585462667074788290989410210611411811012212613013413814214615015415816216617017417818218619019419820220621021441014182226303438[[#This Row],[Jour]]="2- Mardi",$B$1+2, IF(Horodateur11233538192231343743464952555861646985222634384650585462667074788290989410210611411811012212613013413814214615015415816216617017417818218619019419820220621021441014182226303438[[#This Row],[Jour]]="3- Mercredi",$B$1+3, IF(Horodateur11233538192231343743464952555861646985222634384650585462667074788290989410210611411811012212613013413814214615015415816216617017417818218619019419820220621021441014182226303438[[#This Row],[Jour]]="4- Jeudi",$B$1+4, IF(Horodateur11233538192231343743464952555861646985222634384650585462667074788290989410210611411811012212613013413814214615015415816216617017417818218619019419820220621021441014182226303438[[#This Row],[Jour]]="5- Vendredi",$B$1+5, IF(Horodateur11233538192231343743464952555861646985222634384650585462667074788290989410210611411811012212613013413814214615015415816216617017417818218619019419820220621021441014182226303438[[#This Row],[Jour]]="6- Samedi",$B$1+6, IF(Horodateur11233538192231343743464952555861646985222634384650585462667074788290989410210611411811012212613013413814214615015415816216617017417818218619019419820220621021441014182226303438[[#This Row],[Jour]]="7- Dimanche",$B$1, )))))))</f>
        <v>44266</v>
      </c>
      <c r="B27" s="257" t="s">
        <v>324</v>
      </c>
      <c r="C27" s="258" t="n">
        <v>0.666666666666667</v>
      </c>
      <c r="D27" s="258" t="n">
        <v>0.708333333333333</v>
      </c>
      <c r="E27" s="71" t="s">
        <v>63</v>
      </c>
      <c r="F27" s="71" t="s">
        <v>378</v>
      </c>
      <c r="G27" s="259" t="s">
        <v>542</v>
      </c>
      <c r="H27" s="258" t="n">
        <f aca="false">IF($C27=0,"",$D27-$C27)</f>
        <v>0.0416666666666667</v>
      </c>
      <c r="I27" s="260" t="n">
        <f aca="false">IF($C27=0,"",($H27-INT($H27))*24)</f>
        <v>1</v>
      </c>
      <c r="J27" s="303" t="n">
        <f aca="false">SUMIF(Horodateur11233538192231343743464952555861646985222634384650585462667074788290989410210611411811012212613013413814214615015415816216617017417818218619019419820220621021441014182226303438[Jour],$B27,Horodateur11233538192231343743464952555861646985222634384650585462667074788290989410210611411811012212613013413814214615015415816216617017417818218619019419820220621021441014182226303438[Durée (100)])</f>
        <v>6.5</v>
      </c>
      <c r="K27" s="335"/>
      <c r="L27" s="188" t="s">
        <v>31</v>
      </c>
      <c r="M27" s="272" t="n">
        <f aca="false">IF(Horodateur11233538192231343743464952555861646985222634384650585462667074788290989410210611411811012212613013413814214615015415816216617017417818218619019419820220621021441014182226303438[[#This Row],[O]]="o",Horodateur11233538192231343743464952555861646985222634384650585462667074788290989410210611411811012212613013413814214615015415816216617017417818218619019419820220621021441014182226303438[[#This Row],[Durée (100)]],".")</f>
        <v>1</v>
      </c>
      <c r="N27" s="187"/>
      <c r="O27" s="71"/>
      <c r="P27" s="71"/>
      <c r="Q27" s="71"/>
      <c r="R27" s="71"/>
      <c r="S27" s="71"/>
      <c r="T27" s="71"/>
      <c r="U27" s="71"/>
      <c r="V27" s="71"/>
      <c r="W27" s="71"/>
      <c r="X27" s="71"/>
      <c r="Y27" s="71"/>
      <c r="Z27" s="71"/>
      <c r="AA27" s="71"/>
      <c r="AB27" s="71"/>
      <c r="AC27" s="71"/>
      <c r="AD27" s="71"/>
      <c r="AE27" s="71"/>
      <c r="AF27" s="71"/>
      <c r="AG27" s="71"/>
    </row>
    <row r="28" customFormat="false" ht="15" hidden="false" customHeight="false" outlineLevel="0" collapsed="false">
      <c r="A28" s="256" t="n">
        <f aca="false">IF(Horodateur11233538192231343743464952555861646985222634384650585462667074788290989410210611411811012212613013413814214615015415816216617017417818218619019419820220621021441014182226303438[[#This Row],[Jour]]="1- Lundi",$B$1+1, IF(Horodateur11233538192231343743464952555861646985222634384650585462667074788290989410210611411811012212613013413814214615015415816216617017417818218619019419820220621021441014182226303438[[#This Row],[Jour]]="2- Mardi",$B$1+2, IF(Horodateur11233538192231343743464952555861646985222634384650585462667074788290989410210611411811012212613013413814214615015415816216617017417818218619019419820220621021441014182226303438[[#This Row],[Jour]]="3- Mercredi",$B$1+3, IF(Horodateur11233538192231343743464952555861646985222634384650585462667074788290989410210611411811012212613013413814214615015415816216617017417818218619019419820220621021441014182226303438[[#This Row],[Jour]]="4- Jeudi",$B$1+4, IF(Horodateur11233538192231343743464952555861646985222634384650585462667074788290989410210611411811012212613013413814214615015415816216617017417818218619019419820220621021441014182226303438[[#This Row],[Jour]]="5- Vendredi",$B$1+5, IF(Horodateur11233538192231343743464952555861646985222634384650585462667074788290989410210611411811012212613013413814214615015415816216617017417818218619019419820220621021441014182226303438[[#This Row],[Jour]]="6- Samedi",$B$1+6, IF(Horodateur11233538192231343743464952555861646985222634384650585462667074788290989410210611411811012212613013413814214615015415816216617017417818218619019419820220621021441014182226303438[[#This Row],[Jour]]="7- Dimanche",$B$1, )))))))</f>
        <v>44267</v>
      </c>
      <c r="B28" s="257" t="s">
        <v>332</v>
      </c>
      <c r="C28" s="258" t="n">
        <v>0.322916666666667</v>
      </c>
      <c r="D28" s="258" t="n">
        <v>0.354166666666667</v>
      </c>
      <c r="E28" s="71" t="s">
        <v>32</v>
      </c>
      <c r="F28" s="71"/>
      <c r="G28" s="259"/>
      <c r="H28" s="258" t="n">
        <f aca="false">IF($C28=0,"",$D28-$C28)</f>
        <v>0.03125</v>
      </c>
      <c r="I28" s="260" t="n">
        <f aca="false">IF($C28=0,"",($H28-INT($H28))*24)</f>
        <v>0.75</v>
      </c>
      <c r="J28" s="303" t="n">
        <f aca="false">SUMIF(Horodateur11233538192231343743464952555861646985222634384650585462667074788290989410210611411811012212613013413814214615015415816216617017417818218619019419820220621021441014182226303438[Jour],$B28,Horodateur11233538192231343743464952555861646985222634384650585462667074788290989410210611411811012212613013413814214615015415816216617017417818218619019419820220621021441014182226303438[Durée (100)])</f>
        <v>8</v>
      </c>
      <c r="K28" s="335"/>
      <c r="L28" s="188" t="s">
        <v>31</v>
      </c>
      <c r="M28" s="272" t="n">
        <f aca="false">IF(Horodateur11233538192231343743464952555861646985222634384650585462667074788290989410210611411811012212613013413814214615015415816216617017417818218619019419820220621021441014182226303438[[#This Row],[O]]="o",Horodateur11233538192231343743464952555861646985222634384650585462667074788290989410210611411811012212613013413814214615015415816216617017417818218619019419820220621021441014182226303438[[#This Row],[Durée (100)]],".")</f>
        <v>0.75</v>
      </c>
      <c r="N28" s="187"/>
      <c r="O28" s="71"/>
      <c r="P28" s="71"/>
      <c r="Q28" s="71"/>
      <c r="R28" s="71"/>
      <c r="S28" s="71"/>
      <c r="T28" s="71"/>
      <c r="U28" s="71"/>
      <c r="V28" s="71"/>
      <c r="W28" s="71"/>
      <c r="X28" s="71"/>
      <c r="Y28" s="71"/>
      <c r="Z28" s="71"/>
      <c r="AA28" s="71"/>
      <c r="AB28" s="71"/>
      <c r="AC28" s="71"/>
      <c r="AD28" s="71"/>
      <c r="AE28" s="71"/>
      <c r="AF28" s="71"/>
      <c r="AG28" s="71"/>
    </row>
    <row r="29" customFormat="false" ht="15" hidden="false" customHeight="false" outlineLevel="0" collapsed="false">
      <c r="A29" s="256" t="n">
        <f aca="false">IF(Horodateur11233538192231343743464952555861646985222634384650585462667074788290989410210611411811012212613013413814214615015415816216617017417818218619019419820220621021441014182226303438[[#This Row],[Jour]]="1- Lundi",$B$1+1, IF(Horodateur11233538192231343743464952555861646985222634384650585462667074788290989410210611411811012212613013413814214615015415816216617017417818218619019419820220621021441014182226303438[[#This Row],[Jour]]="2- Mardi",$B$1+2, IF(Horodateur11233538192231343743464952555861646985222634384650585462667074788290989410210611411811012212613013413814214615015415816216617017417818218619019419820220621021441014182226303438[[#This Row],[Jour]]="3- Mercredi",$B$1+3, IF(Horodateur11233538192231343743464952555861646985222634384650585462667074788290989410210611411811012212613013413814214615015415816216617017417818218619019419820220621021441014182226303438[[#This Row],[Jour]]="4- Jeudi",$B$1+4, IF(Horodateur11233538192231343743464952555861646985222634384650585462667074788290989410210611411811012212613013413814214615015415816216617017417818218619019419820220621021441014182226303438[[#This Row],[Jour]]="5- Vendredi",$B$1+5, IF(Horodateur11233538192231343743464952555861646985222634384650585462667074788290989410210611411811012212613013413814214615015415816216617017417818218619019419820220621021441014182226303438[[#This Row],[Jour]]="6- Samedi",$B$1+6, IF(Horodateur11233538192231343743464952555861646985222634384650585462667074788290989410210611411811012212613013413814214615015415816216617017417818218619019419820220621021441014182226303438[[#This Row],[Jour]]="7- Dimanche",$B$1, )))))))</f>
        <v>44267</v>
      </c>
      <c r="B29" s="257" t="s">
        <v>332</v>
      </c>
      <c r="C29" s="258" t="n">
        <v>0.354166666666667</v>
      </c>
      <c r="D29" s="258" t="n">
        <v>0.395833333333333</v>
      </c>
      <c r="E29" s="71" t="s">
        <v>37</v>
      </c>
      <c r="F29" s="71" t="s">
        <v>378</v>
      </c>
      <c r="G29" s="259" t="s">
        <v>543</v>
      </c>
      <c r="H29" s="258" t="n">
        <f aca="false">IF($C29=0,"",$D29-$C29)</f>
        <v>0.0416666666666667</v>
      </c>
      <c r="I29" s="260" t="n">
        <f aca="false">IF($C29=0,"",($H29-INT($H29))*24)</f>
        <v>1</v>
      </c>
      <c r="J29" s="303" t="n">
        <f aca="false">SUMIF(Horodateur11233538192231343743464952555861646985222634384650585462667074788290989410210611411811012212613013413814214615015415816216617017417818218619019419820220621021441014182226303438[Jour],$B29,Horodateur11233538192231343743464952555861646985222634384650585462667074788290989410210611411811012212613013413814214615015415816216617017417818218619019419820220621021441014182226303438[Durée (100)])</f>
        <v>8</v>
      </c>
      <c r="K29" s="335"/>
      <c r="L29" s="188" t="s">
        <v>31</v>
      </c>
      <c r="M29" s="272" t="n">
        <f aca="false">IF(Horodateur11233538192231343743464952555861646985222634384650585462667074788290989410210611411811012212613013413814214615015415816216617017417818218619019419820220621021441014182226303438[[#This Row],[O]]="o",Horodateur11233538192231343743464952555861646985222634384650585462667074788290989410210611411811012212613013413814214615015415816216617017417818218619019419820220621021441014182226303438[[#This Row],[Durée (100)]],".")</f>
        <v>0.999999999999999</v>
      </c>
      <c r="N29" s="187"/>
      <c r="O29" s="71"/>
      <c r="P29" s="71"/>
      <c r="Q29" s="71"/>
      <c r="R29" s="71"/>
      <c r="S29" s="71"/>
      <c r="T29" s="71"/>
      <c r="U29" s="71"/>
      <c r="V29" s="71"/>
      <c r="W29" s="71"/>
      <c r="X29" s="71"/>
      <c r="Y29" s="71"/>
      <c r="Z29" s="71"/>
      <c r="AA29" s="71"/>
      <c r="AB29" s="71"/>
      <c r="AC29" s="71"/>
      <c r="AD29" s="71"/>
      <c r="AE29" s="71"/>
      <c r="AF29" s="71"/>
      <c r="AG29" s="71"/>
    </row>
    <row r="30" customFormat="false" ht="15" hidden="false" customHeight="false" outlineLevel="0" collapsed="false">
      <c r="A30" s="256" t="n">
        <f aca="false">IF(Horodateur11233538192231343743464952555861646985222634384650585462667074788290989410210611411811012212613013413814214615015415816216617017417818218619019419820220621021441014182226303438[[#This Row],[Jour]]="1- Lundi",$B$1+1, IF(Horodateur11233538192231343743464952555861646985222634384650585462667074788290989410210611411811012212613013413814214615015415816216617017417818218619019419820220621021441014182226303438[[#This Row],[Jour]]="2- Mardi",$B$1+2, IF(Horodateur11233538192231343743464952555861646985222634384650585462667074788290989410210611411811012212613013413814214615015415816216617017417818218619019419820220621021441014182226303438[[#This Row],[Jour]]="3- Mercredi",$B$1+3, IF(Horodateur11233538192231343743464952555861646985222634384650585462667074788290989410210611411811012212613013413814214615015415816216617017417818218619019419820220621021441014182226303438[[#This Row],[Jour]]="4- Jeudi",$B$1+4, IF(Horodateur11233538192231343743464952555861646985222634384650585462667074788290989410210611411811012212613013413814214615015415816216617017417818218619019419820220621021441014182226303438[[#This Row],[Jour]]="5- Vendredi",$B$1+5, IF(Horodateur11233538192231343743464952555861646985222634384650585462667074788290989410210611411811012212613013413814214615015415816216617017417818218619019419820220621021441014182226303438[[#This Row],[Jour]]="6- Samedi",$B$1+6, IF(Horodateur11233538192231343743464952555861646985222634384650585462667074788290989410210611411811012212613013413814214615015415816216617017417818218619019419820220621021441014182226303438[[#This Row],[Jour]]="7- Dimanche",$B$1, )))))))</f>
        <v>44267</v>
      </c>
      <c r="B30" s="257" t="s">
        <v>332</v>
      </c>
      <c r="C30" s="258" t="n">
        <v>0.395833333333333</v>
      </c>
      <c r="D30" s="258" t="n">
        <v>0.458333333333333</v>
      </c>
      <c r="E30" s="71" t="s">
        <v>59</v>
      </c>
      <c r="F30" s="71" t="s">
        <v>378</v>
      </c>
      <c r="G30" s="259" t="s">
        <v>544</v>
      </c>
      <c r="H30" s="258" t="n">
        <f aca="false">IF($C30=0,"",$D30-$C30)</f>
        <v>0.0625</v>
      </c>
      <c r="I30" s="260" t="n">
        <f aca="false">IF($C30=0,"",($H30-INT($H30))*24)</f>
        <v>1.5</v>
      </c>
      <c r="J30" s="303" t="n">
        <f aca="false">SUMIF(Horodateur11233538192231343743464952555861646985222634384650585462667074788290989410210611411811012212613013413814214615015415816216617017417818218619019419820220621021441014182226303438[Jour],$B30,Horodateur11233538192231343743464952555861646985222634384650585462667074788290989410210611411811012212613013413814214615015415816216617017417818218619019419820220621021441014182226303438[Durée (100)])</f>
        <v>8</v>
      </c>
      <c r="K30" s="335"/>
      <c r="L30" s="188" t="s">
        <v>31</v>
      </c>
      <c r="M30" s="272" t="n">
        <f aca="false">IF(Horodateur11233538192231343743464952555861646985222634384650585462667074788290989410210611411811012212613013413814214615015415816216617017417818218619019419820220621021441014182226303438[[#This Row],[O]]="o",Horodateur11233538192231343743464952555861646985222634384650585462667074788290989410210611411811012212613013413814214615015415816216617017417818218619019419820220621021441014182226303438[[#This Row],[Durée (100)]],".")</f>
        <v>1.5</v>
      </c>
      <c r="N30" s="187"/>
      <c r="O30" s="71"/>
      <c r="P30" s="71"/>
      <c r="Q30" s="71"/>
      <c r="R30" s="71"/>
      <c r="S30" s="71"/>
      <c r="T30" s="71"/>
      <c r="U30" s="71"/>
      <c r="V30" s="71"/>
      <c r="W30" s="71"/>
      <c r="X30" s="71"/>
      <c r="Y30" s="71"/>
      <c r="Z30" s="71"/>
      <c r="AA30" s="71"/>
      <c r="AB30" s="71"/>
      <c r="AC30" s="71"/>
      <c r="AD30" s="71"/>
      <c r="AE30" s="71"/>
      <c r="AF30" s="71"/>
      <c r="AG30" s="71"/>
    </row>
    <row r="31" customFormat="false" ht="15" hidden="false" customHeight="false" outlineLevel="0" collapsed="false">
      <c r="A31" s="256" t="n">
        <f aca="false">IF(Horodateur11233538192231343743464952555861646985222634384650585462667074788290989410210611411811012212613013413814214615015415816216617017417818218619019419820220621021441014182226303438[[#This Row],[Jour]]="1- Lundi",$B$1+1, IF(Horodateur11233538192231343743464952555861646985222634384650585462667074788290989410210611411811012212613013413814214615015415816216617017417818218619019419820220621021441014182226303438[[#This Row],[Jour]]="2- Mardi",$B$1+2, IF(Horodateur11233538192231343743464952555861646985222634384650585462667074788290989410210611411811012212613013413814214615015415816216617017417818218619019419820220621021441014182226303438[[#This Row],[Jour]]="3- Mercredi",$B$1+3, IF(Horodateur11233538192231343743464952555861646985222634384650585462667074788290989410210611411811012212613013413814214615015415816216617017417818218619019419820220621021441014182226303438[[#This Row],[Jour]]="4- Jeudi",$B$1+4, IF(Horodateur11233538192231343743464952555861646985222634384650585462667074788290989410210611411811012212613013413814214615015415816216617017417818218619019419820220621021441014182226303438[[#This Row],[Jour]]="5- Vendredi",$B$1+5, IF(Horodateur11233538192231343743464952555861646985222634384650585462667074788290989410210611411811012212613013413814214615015415816216617017417818218619019419820220621021441014182226303438[[#This Row],[Jour]]="6- Samedi",$B$1+6, IF(Horodateur11233538192231343743464952555861646985222634384650585462667074788290989410210611411811012212613013413814214615015415816216617017417818218619019419820220621021441014182226303438[[#This Row],[Jour]]="7- Dimanche",$B$1, )))))))</f>
        <v>44267</v>
      </c>
      <c r="B31" s="257" t="s">
        <v>332</v>
      </c>
      <c r="C31" s="258" t="n">
        <v>0.46875</v>
      </c>
      <c r="D31" s="258" t="n">
        <v>0.5</v>
      </c>
      <c r="E31" s="71" t="s">
        <v>59</v>
      </c>
      <c r="F31" s="71" t="s">
        <v>22</v>
      </c>
      <c r="G31" s="259" t="s">
        <v>545</v>
      </c>
      <c r="H31" s="258" t="n">
        <f aca="false">IF($C31=0,"",$D31-$C31)</f>
        <v>0.03125</v>
      </c>
      <c r="I31" s="260" t="n">
        <f aca="false">IF($C31=0,"",($H31-INT($H31))*24)</f>
        <v>0.75</v>
      </c>
      <c r="J31" s="303" t="n">
        <f aca="false">SUMIF(Horodateur11233538192231343743464952555861646985222634384650585462667074788290989410210611411811012212613013413814214615015415816216617017417818218619019419820220621021441014182226303438[Jour],$B31,Horodateur11233538192231343743464952555861646985222634384650585462667074788290989410210611411811012212613013413814214615015415816216617017417818218619019419820220621021441014182226303438[Durée (100)])</f>
        <v>8</v>
      </c>
      <c r="K31" s="335"/>
      <c r="L31" s="188" t="s">
        <v>31</v>
      </c>
      <c r="M31" s="272" t="n">
        <f aca="false">IF(Horodateur11233538192231343743464952555861646985222634384650585462667074788290989410210611411811012212613013413814214615015415816216617017417818218619019419820220621021441014182226303438[[#This Row],[O]]="o",Horodateur11233538192231343743464952555861646985222634384650585462667074788290989410210611411811012212613013413814214615015415816216617017417818218619019419820220621021441014182226303438[[#This Row],[Durée (100)]],".")</f>
        <v>0.75</v>
      </c>
      <c r="N31" s="187"/>
      <c r="O31" s="71"/>
      <c r="P31" s="71"/>
      <c r="Q31" s="71"/>
      <c r="R31" s="71"/>
      <c r="S31" s="71"/>
      <c r="T31" s="71"/>
      <c r="U31" s="71"/>
      <c r="V31" s="71"/>
      <c r="W31" s="71"/>
      <c r="X31" s="71"/>
      <c r="Y31" s="71"/>
      <c r="Z31" s="71"/>
      <c r="AA31" s="71"/>
      <c r="AB31" s="71"/>
      <c r="AC31" s="71"/>
      <c r="AD31" s="71"/>
      <c r="AE31" s="71"/>
      <c r="AF31" s="71"/>
      <c r="AG31" s="71"/>
    </row>
    <row r="32" customFormat="false" ht="15" hidden="false" customHeight="false" outlineLevel="0" collapsed="false">
      <c r="A32" s="256" t="n">
        <f aca="false">IF(Horodateur11233538192231343743464952555861646985222634384650585462667074788290989410210611411811012212613013413814214615015415816216617017417818218619019419820220621021441014182226303438[[#This Row],[Jour]]="1- Lundi",$B$1+1, IF(Horodateur11233538192231343743464952555861646985222634384650585462667074788290989410210611411811012212613013413814214615015415816216617017417818218619019419820220621021441014182226303438[[#This Row],[Jour]]="2- Mardi",$B$1+2, IF(Horodateur11233538192231343743464952555861646985222634384650585462667074788290989410210611411811012212613013413814214615015415816216617017417818218619019419820220621021441014182226303438[[#This Row],[Jour]]="3- Mercredi",$B$1+3, IF(Horodateur11233538192231343743464952555861646985222634384650585462667074788290989410210611411811012212613013413814214615015415816216617017417818218619019419820220621021441014182226303438[[#This Row],[Jour]]="4- Jeudi",$B$1+4, IF(Horodateur11233538192231343743464952555861646985222634384650585462667074788290989410210611411811012212613013413814214615015415816216617017417818218619019419820220621021441014182226303438[[#This Row],[Jour]]="5- Vendredi",$B$1+5, IF(Horodateur11233538192231343743464952555861646985222634384650585462667074788290989410210611411811012212613013413814214615015415816216617017417818218619019419820220621021441014182226303438[[#This Row],[Jour]]="6- Samedi",$B$1+6, IF(Horodateur11233538192231343743464952555861646985222634384650585462667074788290989410210611411811012212613013413814214615015415816216617017417818218619019419820220621021441014182226303438[[#This Row],[Jour]]="7- Dimanche",$B$1, )))))))</f>
        <v>44267</v>
      </c>
      <c r="B32" s="257" t="s">
        <v>332</v>
      </c>
      <c r="C32" s="258" t="n">
        <v>0.583333333333333</v>
      </c>
      <c r="D32" s="258" t="n">
        <v>0.729166666666667</v>
      </c>
      <c r="E32" s="71" t="s">
        <v>37</v>
      </c>
      <c r="F32" s="71" t="s">
        <v>378</v>
      </c>
      <c r="G32" s="259" t="s">
        <v>543</v>
      </c>
      <c r="H32" s="258" t="n">
        <f aca="false">IF($C32=0,"",$D32-$C32)</f>
        <v>0.145833333333333</v>
      </c>
      <c r="I32" s="260" t="n">
        <f aca="false">IF($C32=0,"",($H32-INT($H32))*24)</f>
        <v>3.5</v>
      </c>
      <c r="J32" s="303" t="n">
        <f aca="false">SUMIF(Horodateur11233538192231343743464952555861646985222634384650585462667074788290989410210611411811012212613013413814214615015415816216617017417818218619019419820220621021441014182226303438[Jour],$B32,Horodateur11233538192231343743464952555861646985222634384650585462667074788290989410210611411811012212613013413814214615015415816216617017417818218619019419820220621021441014182226303438[Durée (100)])</f>
        <v>8</v>
      </c>
      <c r="K32" s="335"/>
      <c r="L32" s="188" t="s">
        <v>31</v>
      </c>
      <c r="M32" s="272" t="n">
        <f aca="false">IF(Horodateur11233538192231343743464952555861646985222634384650585462667074788290989410210611411811012212613013413814214615015415816216617017417818218619019419820220621021441014182226303438[[#This Row],[O]]="o",Horodateur11233538192231343743464952555861646985222634384650585462667074788290989410210611411811012212613013413814214615015415816216617017417818218619019419820220621021441014182226303438[[#This Row],[Durée (100)]],".")</f>
        <v>3.5</v>
      </c>
      <c r="N32" s="187"/>
      <c r="O32" s="71"/>
      <c r="P32" s="71"/>
      <c r="Q32" s="71"/>
      <c r="R32" s="71"/>
      <c r="S32" s="71"/>
      <c r="T32" s="71"/>
      <c r="U32" s="71"/>
      <c r="V32" s="71"/>
      <c r="W32" s="71"/>
      <c r="X32" s="71"/>
      <c r="Y32" s="71"/>
      <c r="Z32" s="71"/>
      <c r="AA32" s="71"/>
      <c r="AB32" s="71"/>
      <c r="AC32" s="71"/>
      <c r="AD32" s="71"/>
      <c r="AE32" s="71"/>
      <c r="AF32" s="71"/>
      <c r="AG32" s="71"/>
    </row>
    <row r="33" customFormat="false" ht="15" hidden="false" customHeight="false" outlineLevel="0" collapsed="false">
      <c r="A33" s="256" t="n">
        <f aca="false">IF(Horodateur11233538192231343743464952555861646985222634384650585462667074788290989410210611411811012212613013413814214615015415816216617017417818218619019419820220621021441014182226303438[[#This Row],[Jour]]="1- Lundi",$B$1+1, IF(Horodateur11233538192231343743464952555861646985222634384650585462667074788290989410210611411811012212613013413814214615015415816216617017417818218619019419820220621021441014182226303438[[#This Row],[Jour]]="2- Mardi",$B$1+2, IF(Horodateur11233538192231343743464952555861646985222634384650585462667074788290989410210611411811012212613013413814214615015415816216617017417818218619019419820220621021441014182226303438[[#This Row],[Jour]]="3- Mercredi",$B$1+3, IF(Horodateur11233538192231343743464952555861646985222634384650585462667074788290989410210611411811012212613013413814214615015415816216617017417818218619019419820220621021441014182226303438[[#This Row],[Jour]]="4- Jeudi",$B$1+4, IF(Horodateur11233538192231343743464952555861646985222634384650585462667074788290989410210611411811012212613013413814214615015415816216617017417818218619019419820220621021441014182226303438[[#This Row],[Jour]]="5- Vendredi",$B$1+5, IF(Horodateur11233538192231343743464952555861646985222634384650585462667074788290989410210611411811012212613013413814214615015415816216617017417818218619019419820220621021441014182226303438[[#This Row],[Jour]]="6- Samedi",$B$1+6, IF(Horodateur11233538192231343743464952555861646985222634384650585462667074788290989410210611411811012212613013413814214615015415816216617017417818218619019419820220621021441014182226303438[[#This Row],[Jour]]="7- Dimanche",$B$1, )))))))</f>
        <v>44267</v>
      </c>
      <c r="B33" s="257" t="s">
        <v>332</v>
      </c>
      <c r="C33" s="258" t="n">
        <v>0.729166666666667</v>
      </c>
      <c r="D33" s="258" t="n">
        <v>0.75</v>
      </c>
      <c r="E33" s="71" t="s">
        <v>59</v>
      </c>
      <c r="F33" s="71" t="s">
        <v>378</v>
      </c>
      <c r="G33" s="259" t="s">
        <v>546</v>
      </c>
      <c r="H33" s="258" t="n">
        <f aca="false">IF($C33=0,"",$D33-$C33)</f>
        <v>0.0208333333333333</v>
      </c>
      <c r="I33" s="260" t="n">
        <f aca="false">IF($C33=0,"",($H33-INT($H33))*24)</f>
        <v>0.5</v>
      </c>
      <c r="J33" s="303" t="n">
        <f aca="false">SUMIF(Horodateur11233538192231343743464952555861646985222634384650585462667074788290989410210611411811012212613013413814214615015415816216617017417818218619019419820220621021441014182226303438[Jour],$B33,Horodateur11233538192231343743464952555861646985222634384650585462667074788290989410210611411811012212613013413814214615015415816216617017417818218619019419820220621021441014182226303438[Durée (100)])</f>
        <v>8</v>
      </c>
      <c r="K33" s="335"/>
      <c r="L33" s="188" t="s">
        <v>31</v>
      </c>
      <c r="M33" s="272" t="n">
        <f aca="false">IF(Horodateur11233538192231343743464952555861646985222634384650585462667074788290989410210611411811012212613013413814214615015415816216617017417818218619019419820220621021441014182226303438[[#This Row],[O]]="o",Horodateur11233538192231343743464952555861646985222634384650585462667074788290989410210611411811012212613013413814214615015415816216617017417818218619019419820220621021441014182226303438[[#This Row],[Durée (100)]],".")</f>
        <v>0.500000000000001</v>
      </c>
      <c r="N33" s="187"/>
      <c r="O33" s="71"/>
      <c r="P33" s="71"/>
      <c r="Q33" s="71"/>
      <c r="R33" s="71"/>
      <c r="S33" s="71"/>
      <c r="T33" s="71"/>
      <c r="U33" s="71"/>
      <c r="V33" s="71"/>
      <c r="W33" s="71"/>
      <c r="X33" s="71"/>
      <c r="Y33" s="71"/>
      <c r="Z33" s="71"/>
      <c r="AA33" s="71"/>
      <c r="AB33" s="71"/>
      <c r="AC33" s="71"/>
      <c r="AD33" s="71"/>
      <c r="AE33" s="71"/>
      <c r="AF33" s="71"/>
      <c r="AG33" s="71"/>
    </row>
    <row r="34" customFormat="false" ht="15" hidden="false" customHeight="false" outlineLevel="0" collapsed="false">
      <c r="A34" s="256" t="n">
        <f aca="false">IF(Horodateur11233538192231343743464952555861646985222634384650585462667074788290989410210611411811012212613013413814214615015415816216617017417818218619019419820220621021441014182226303438[[#This Row],[Jour]]="1- Lundi",$B$1+1, IF(Horodateur11233538192231343743464952555861646985222634384650585462667074788290989410210611411811012212613013413814214615015415816216617017417818218619019419820220621021441014182226303438[[#This Row],[Jour]]="2- Mardi",$B$1+2, IF(Horodateur11233538192231343743464952555861646985222634384650585462667074788290989410210611411811012212613013413814214615015415816216617017417818218619019419820220621021441014182226303438[[#This Row],[Jour]]="3- Mercredi",$B$1+3, IF(Horodateur11233538192231343743464952555861646985222634384650585462667074788290989410210611411811012212613013413814214615015415816216617017417818218619019419820220621021441014182226303438[[#This Row],[Jour]]="4- Jeudi",$B$1+4, IF(Horodateur11233538192231343743464952555861646985222634384650585462667074788290989410210611411811012212613013413814214615015415816216617017417818218619019419820220621021441014182226303438[[#This Row],[Jour]]="5- Vendredi",$B$1+5, IF(Horodateur11233538192231343743464952555861646985222634384650585462667074788290989410210611411811012212613013413814214615015415816216617017417818218619019419820220621021441014182226303438[[#This Row],[Jour]]="6- Samedi",$B$1+6, IF(Horodateur11233538192231343743464952555861646985222634384650585462667074788290989410210611411811012212613013413814214615015415816216617017417818218619019419820220621021441014182226303438[[#This Row],[Jour]]="7- Dimanche",$B$1, )))))))</f>
        <v>44268</v>
      </c>
      <c r="B34" s="257" t="s">
        <v>335</v>
      </c>
      <c r="C34" s="258" t="n">
        <v>0.333333333333333</v>
      </c>
      <c r="D34" s="258" t="n">
        <v>0.354166666666667</v>
      </c>
      <c r="E34" s="71" t="s">
        <v>32</v>
      </c>
      <c r="F34" s="71" t="s">
        <v>21</v>
      </c>
      <c r="G34" s="259"/>
      <c r="H34" s="258" t="n">
        <f aca="false">IF($C34=0,"",$D34-$C34)</f>
        <v>0.0208333333333333</v>
      </c>
      <c r="I34" s="260" t="n">
        <f aca="false">IF($C34=0,"",($H34-INT($H34))*24)</f>
        <v>0.5</v>
      </c>
      <c r="J34" s="303" t="n">
        <f aca="false">SUMIF(Horodateur11233538192231343743464952555861646985222634384650585462667074788290989410210611411811012212613013413814214615015415816216617017417818218619019419820220621021441014182226303438[Jour],$B34,Horodateur11233538192231343743464952555861646985222634384650585462667074788290989410210611411811012212613013413814214615015415816216617017417818218619019419820220621021441014182226303438[Durée (100)])</f>
        <v>3.75</v>
      </c>
      <c r="K34" s="335"/>
      <c r="L34" s="188" t="s">
        <v>31</v>
      </c>
      <c r="M34" s="272" t="n">
        <f aca="false">IF(Horodateur11233538192231343743464952555861646985222634384650585462667074788290989410210611411811012212613013413814214615015415816216617017417818218619019419820220621021441014182226303438[[#This Row],[O]]="o",Horodateur11233538192231343743464952555861646985222634384650585462667074788290989410210611411811012212613013413814214615015415816216617017417818218619019419820220621021441014182226303438[[#This Row],[Durée (100)]],".")</f>
        <v>0.500000000000001</v>
      </c>
      <c r="N34" s="187"/>
      <c r="O34" s="71"/>
      <c r="P34" s="71"/>
      <c r="Q34" s="71"/>
      <c r="R34" s="71"/>
      <c r="S34" s="71"/>
      <c r="T34" s="71"/>
      <c r="U34" s="71"/>
      <c r="V34" s="71"/>
      <c r="W34" s="71"/>
      <c r="X34" s="71"/>
      <c r="Y34" s="71"/>
      <c r="Z34" s="71"/>
      <c r="AA34" s="71"/>
      <c r="AB34" s="71"/>
      <c r="AC34" s="71"/>
      <c r="AD34" s="71"/>
      <c r="AE34" s="71"/>
      <c r="AF34" s="71"/>
      <c r="AG34" s="71"/>
    </row>
    <row r="35" customFormat="false" ht="15" hidden="false" customHeight="false" outlineLevel="0" collapsed="false">
      <c r="A35" s="256" t="n">
        <f aca="false">IF(Horodateur11233538192231343743464952555861646985222634384650585462667074788290989410210611411811012212613013413814214615015415816216617017417818218619019419820220621021441014182226303438[[#This Row],[Jour]]="1- Lundi",$B$1+1, IF(Horodateur11233538192231343743464952555861646985222634384650585462667074788290989410210611411811012212613013413814214615015415816216617017417818218619019419820220621021441014182226303438[[#This Row],[Jour]]="2- Mardi",$B$1+2, IF(Horodateur11233538192231343743464952555861646985222634384650585462667074788290989410210611411811012212613013413814214615015415816216617017417818218619019419820220621021441014182226303438[[#This Row],[Jour]]="3- Mercredi",$B$1+3, IF(Horodateur11233538192231343743464952555861646985222634384650585462667074788290989410210611411811012212613013413814214615015415816216617017417818218619019419820220621021441014182226303438[[#This Row],[Jour]]="4- Jeudi",$B$1+4, IF(Horodateur11233538192231343743464952555861646985222634384650585462667074788290989410210611411811012212613013413814214615015415816216617017417818218619019419820220621021441014182226303438[[#This Row],[Jour]]="5- Vendredi",$B$1+5, IF(Horodateur11233538192231343743464952555861646985222634384650585462667074788290989410210611411811012212613013413814214615015415816216617017417818218619019419820220621021441014182226303438[[#This Row],[Jour]]="6- Samedi",$B$1+6, IF(Horodateur11233538192231343743464952555861646985222634384650585462667074788290989410210611411811012212613013413814214615015415816216617017417818218619019419820220621021441014182226303438[[#This Row],[Jour]]="7- Dimanche",$B$1, )))))))</f>
        <v>44268</v>
      </c>
      <c r="B35" s="257" t="s">
        <v>335</v>
      </c>
      <c r="C35" s="258" t="n">
        <v>0.354166666666667</v>
      </c>
      <c r="D35" s="258" t="n">
        <v>0.375</v>
      </c>
      <c r="E35" s="71" t="s">
        <v>37</v>
      </c>
      <c r="F35" s="71" t="s">
        <v>378</v>
      </c>
      <c r="G35" s="259" t="s">
        <v>547</v>
      </c>
      <c r="H35" s="258" t="n">
        <f aca="false">IF($C35=0,"",$D35-$C35)</f>
        <v>0.0208333333333333</v>
      </c>
      <c r="I35" s="260" t="n">
        <f aca="false">IF($C35=0,"",($H35-INT($H35))*24)</f>
        <v>0.5</v>
      </c>
      <c r="J35" s="303" t="n">
        <f aca="false">SUMIF(Horodateur11233538192231343743464952555861646985222634384650585462667074788290989410210611411811012212613013413814214615015415816216617017417818218619019419820220621021441014182226303438[Jour],$B35,Horodateur11233538192231343743464952555861646985222634384650585462667074788290989410210611411811012212613013413814214615015415816216617017417818218619019419820220621021441014182226303438[Durée (100)])</f>
        <v>3.75</v>
      </c>
      <c r="K35" s="335"/>
      <c r="L35" s="188" t="s">
        <v>31</v>
      </c>
      <c r="M35" s="272" t="n">
        <f aca="false">IF(Horodateur11233538192231343743464952555861646985222634384650585462667074788290989410210611411811012212613013413814214615015415816216617017417818218619019419820220621021441014182226303438[[#This Row],[O]]="o",Horodateur11233538192231343743464952555861646985222634384650585462667074788290989410210611411811012212613013413814214615015415816216617017417818218619019419820220621021441014182226303438[[#This Row],[Durée (100)]],".")</f>
        <v>0.5</v>
      </c>
      <c r="N35" s="187"/>
      <c r="O35" s="71"/>
      <c r="P35" s="71"/>
      <c r="Q35" s="71"/>
      <c r="R35" s="71"/>
      <c r="S35" s="71"/>
      <c r="T35" s="71"/>
      <c r="U35" s="71"/>
      <c r="V35" s="71"/>
      <c r="W35" s="71"/>
      <c r="X35" s="71"/>
      <c r="Y35" s="71"/>
      <c r="Z35" s="71"/>
      <c r="AA35" s="71"/>
      <c r="AB35" s="71"/>
      <c r="AC35" s="71"/>
      <c r="AD35" s="71"/>
      <c r="AE35" s="71"/>
      <c r="AF35" s="71"/>
      <c r="AG35" s="71"/>
    </row>
    <row r="36" customFormat="false" ht="15" hidden="false" customHeight="false" outlineLevel="0" collapsed="false">
      <c r="A36" s="256" t="n">
        <f aca="false">IF(Horodateur11233538192231343743464952555861646985222634384650585462667074788290989410210611411811012212613013413814214615015415816216617017417818218619019419820220621021441014182226303438[[#This Row],[Jour]]="1- Lundi",$B$1+1, IF(Horodateur11233538192231343743464952555861646985222634384650585462667074788290989410210611411811012212613013413814214615015415816216617017417818218619019419820220621021441014182226303438[[#This Row],[Jour]]="2- Mardi",$B$1+2, IF(Horodateur11233538192231343743464952555861646985222634384650585462667074788290989410210611411811012212613013413814214615015415816216617017417818218619019419820220621021441014182226303438[[#This Row],[Jour]]="3- Mercredi",$B$1+3, IF(Horodateur11233538192231343743464952555861646985222634384650585462667074788290989410210611411811012212613013413814214615015415816216617017417818218619019419820220621021441014182226303438[[#This Row],[Jour]]="4- Jeudi",$B$1+4, IF(Horodateur11233538192231343743464952555861646985222634384650585462667074788290989410210611411811012212613013413814214615015415816216617017417818218619019419820220621021441014182226303438[[#This Row],[Jour]]="5- Vendredi",$B$1+5, IF(Horodateur11233538192231343743464952555861646985222634384650585462667074788290989410210611411811012212613013413814214615015415816216617017417818218619019419820220621021441014182226303438[[#This Row],[Jour]]="6- Samedi",$B$1+6, IF(Horodateur11233538192231343743464952555861646985222634384650585462667074788290989410210611411811012212613013413814214615015415816216617017417818218619019419820220621021441014182226303438[[#This Row],[Jour]]="7- Dimanche",$B$1, )))))))</f>
        <v>44268</v>
      </c>
      <c r="B36" s="257" t="s">
        <v>335</v>
      </c>
      <c r="C36" s="258" t="n">
        <v>0.375</v>
      </c>
      <c r="D36" s="258" t="n">
        <v>0.385416666666667</v>
      </c>
      <c r="E36" s="71" t="s">
        <v>59</v>
      </c>
      <c r="F36" s="71" t="s">
        <v>378</v>
      </c>
      <c r="G36" s="259" t="s">
        <v>548</v>
      </c>
      <c r="H36" s="258" t="n">
        <f aca="false">IF($C36=0,"",$D36-$C36)</f>
        <v>0.0104166666666667</v>
      </c>
      <c r="I36" s="260" t="n">
        <f aca="false">IF($C36=0,"",($H36-INT($H36))*24)</f>
        <v>0.25</v>
      </c>
      <c r="J36" s="303" t="n">
        <f aca="false">SUMIF(Horodateur11233538192231343743464952555861646985222634384650585462667074788290989410210611411811012212613013413814214615015415816216617017417818218619019419820220621021441014182226303438[Jour],$B36,Horodateur11233538192231343743464952555861646985222634384650585462667074788290989410210611411811012212613013413814214615015415816216617017417818218619019419820220621021441014182226303438[Durée (100)])</f>
        <v>3.75</v>
      </c>
      <c r="K36" s="335"/>
      <c r="L36" s="188" t="s">
        <v>31</v>
      </c>
      <c r="M36" s="272" t="n">
        <f aca="false">IF(Horodateur11233538192231343743464952555861646985222634384650585462667074788290989410210611411811012212613013413814214615015415816216617017417818218619019419820220621021441014182226303438[[#This Row],[O]]="o",Horodateur11233538192231343743464952555861646985222634384650585462667074788290989410210611411811012212613013413814214615015415816216617017417818218619019419820220621021441014182226303438[[#This Row],[Durée (100)]],".")</f>
        <v>0.25</v>
      </c>
      <c r="N36" s="187"/>
      <c r="O36" s="71"/>
      <c r="P36" s="71"/>
      <c r="Q36" s="71"/>
      <c r="R36" s="71"/>
      <c r="S36" s="71"/>
      <c r="T36" s="71"/>
      <c r="U36" s="71"/>
      <c r="V36" s="71"/>
      <c r="W36" s="71"/>
      <c r="X36" s="71"/>
      <c r="Y36" s="71"/>
      <c r="Z36" s="71"/>
      <c r="AA36" s="71"/>
      <c r="AB36" s="71"/>
      <c r="AC36" s="71"/>
      <c r="AD36" s="71"/>
      <c r="AE36" s="71"/>
      <c r="AF36" s="71"/>
      <c r="AG36" s="71"/>
    </row>
    <row r="37" customFormat="false" ht="15" hidden="false" customHeight="false" outlineLevel="0" collapsed="false">
      <c r="A37" s="256" t="n">
        <f aca="false">IF(Horodateur11233538192231343743464952555861646985222634384650585462667074788290989410210611411811012212613013413814214615015415816216617017417818218619019419820220621021441014182226303438[[#This Row],[Jour]]="1- Lundi",$B$1+1, IF(Horodateur11233538192231343743464952555861646985222634384650585462667074788290989410210611411811012212613013413814214615015415816216617017417818218619019419820220621021441014182226303438[[#This Row],[Jour]]="2- Mardi",$B$1+2, IF(Horodateur11233538192231343743464952555861646985222634384650585462667074788290989410210611411811012212613013413814214615015415816216617017417818218619019419820220621021441014182226303438[[#This Row],[Jour]]="3- Mercredi",$B$1+3, IF(Horodateur11233538192231343743464952555861646985222634384650585462667074788290989410210611411811012212613013413814214615015415816216617017417818218619019419820220621021441014182226303438[[#This Row],[Jour]]="4- Jeudi",$B$1+4, IF(Horodateur11233538192231343743464952555861646985222634384650585462667074788290989410210611411811012212613013413814214615015415816216617017417818218619019419820220621021441014182226303438[[#This Row],[Jour]]="5- Vendredi",$B$1+5, IF(Horodateur11233538192231343743464952555861646985222634384650585462667074788290989410210611411811012212613013413814214615015415816216617017417818218619019419820220621021441014182226303438[[#This Row],[Jour]]="6- Samedi",$B$1+6, IF(Horodateur11233538192231343743464952555861646985222634384650585462667074788290989410210611411811012212613013413814214615015415816216617017417818218619019419820220621021441014182226303438[[#This Row],[Jour]]="7- Dimanche",$B$1, )))))))</f>
        <v>44268</v>
      </c>
      <c r="B37" s="257" t="s">
        <v>335</v>
      </c>
      <c r="C37" s="258" t="n">
        <v>0.395833333333333</v>
      </c>
      <c r="D37" s="258" t="n">
        <v>0.416666666666667</v>
      </c>
      <c r="E37" s="71" t="s">
        <v>59</v>
      </c>
      <c r="F37" s="71" t="s">
        <v>379</v>
      </c>
      <c r="G37" s="259" t="s">
        <v>506</v>
      </c>
      <c r="H37" s="258" t="n">
        <f aca="false">IF($C37=0,"",$D37-$C37)</f>
        <v>0.0208333333333334</v>
      </c>
      <c r="I37" s="260" t="n">
        <f aca="false">IF($C37=0,"",($H37-INT($H37))*24)</f>
        <v>0.500000000000001</v>
      </c>
      <c r="J37" s="303" t="n">
        <f aca="false">SUMIF(Horodateur11233538192231343743464952555861646985222634384650585462667074788290989410210611411811012212613013413814214615015415816216617017417818218619019419820220621021441014182226303438[Jour],$B37,Horodateur11233538192231343743464952555861646985222634384650585462667074788290989410210611411811012212613013413814214615015415816216617017417818218619019419820220621021441014182226303438[Durée (100)])</f>
        <v>3.75</v>
      </c>
      <c r="K37" s="335"/>
      <c r="L37" s="188" t="s">
        <v>31</v>
      </c>
      <c r="M37" s="272" t="n">
        <f aca="false">IF(Horodateur11233538192231343743464952555861646985222634384650585462667074788290989410210611411811012212613013413814214615015415816216617017417818218619019419820220621021441014182226303438[[#This Row],[O]]="o",Horodateur11233538192231343743464952555861646985222634384650585462667074788290989410210611411811012212613013413814214615015415816216617017417818218619019419820220621021441014182226303438[[#This Row],[Durée (100)]],".")</f>
        <v>0.500000000000001</v>
      </c>
      <c r="N37" s="187"/>
      <c r="O37" s="71"/>
      <c r="P37" s="71"/>
      <c r="Q37" s="71"/>
      <c r="R37" s="71"/>
      <c r="S37" s="71"/>
      <c r="T37" s="71"/>
      <c r="U37" s="71"/>
      <c r="V37" s="71"/>
      <c r="W37" s="71"/>
      <c r="X37" s="71"/>
      <c r="Y37" s="71"/>
      <c r="Z37" s="71"/>
      <c r="AA37" s="71"/>
      <c r="AB37" s="71"/>
      <c r="AC37" s="71"/>
      <c r="AD37" s="71"/>
      <c r="AE37" s="71"/>
      <c r="AF37" s="71"/>
      <c r="AG37" s="71"/>
    </row>
    <row r="38" customFormat="false" ht="15" hidden="false" customHeight="false" outlineLevel="0" collapsed="false">
      <c r="A38" s="256" t="n">
        <f aca="false">IF(Horodateur11233538192231343743464952555861646985222634384650585462667074788290989410210611411811012212613013413814214615015415816216617017417818218619019419820220621021441014182226303438[[#This Row],[Jour]]="1- Lundi",$B$1+1, IF(Horodateur11233538192231343743464952555861646985222634384650585462667074788290989410210611411811012212613013413814214615015415816216617017417818218619019419820220621021441014182226303438[[#This Row],[Jour]]="2- Mardi",$B$1+2, IF(Horodateur11233538192231343743464952555861646985222634384650585462667074788290989410210611411811012212613013413814214615015415816216617017417818218619019419820220621021441014182226303438[[#This Row],[Jour]]="3- Mercredi",$B$1+3, IF(Horodateur11233538192231343743464952555861646985222634384650585462667074788290989410210611411811012212613013413814214615015415816216617017417818218619019419820220621021441014182226303438[[#This Row],[Jour]]="4- Jeudi",$B$1+4, IF(Horodateur11233538192231343743464952555861646985222634384650585462667074788290989410210611411811012212613013413814214615015415816216617017417818218619019419820220621021441014182226303438[[#This Row],[Jour]]="5- Vendredi",$B$1+5, IF(Horodateur11233538192231343743464952555861646985222634384650585462667074788290989410210611411811012212613013413814214615015415816216617017417818218619019419820220621021441014182226303438[[#This Row],[Jour]]="6- Samedi",$B$1+6, IF(Horodateur11233538192231343743464952555861646985222634384650585462667074788290989410210611411811012212613013413814214615015415816216617017417818218619019419820220621021441014182226303438[[#This Row],[Jour]]="7- Dimanche",$B$1, )))))))</f>
        <v>44268</v>
      </c>
      <c r="B38" s="257" t="s">
        <v>335</v>
      </c>
      <c r="C38" s="258" t="n">
        <v>0.416666666666667</v>
      </c>
      <c r="D38" s="258" t="n">
        <v>0.4375</v>
      </c>
      <c r="E38" s="71" t="s">
        <v>363</v>
      </c>
      <c r="F38" s="71" t="s">
        <v>379</v>
      </c>
      <c r="G38" s="259" t="s">
        <v>55</v>
      </c>
      <c r="H38" s="258" t="n">
        <f aca="false">IF($C38=0,"",$D38-$C38)</f>
        <v>0.0208333333333333</v>
      </c>
      <c r="I38" s="260" t="n">
        <f aca="false">IF($C38=0,"",($H38-INT($H38))*24)</f>
        <v>0.5</v>
      </c>
      <c r="J38" s="303" t="n">
        <f aca="false">SUMIF(Horodateur11233538192231343743464952555861646985222634384650585462667074788290989410210611411811012212613013413814214615015415816216617017417818218619019419820220621021441014182226303438[Jour],$B38,Horodateur11233538192231343743464952555861646985222634384650585462667074788290989410210611411811012212613013413814214615015415816216617017417818218619019419820220621021441014182226303438[Durée (100)])</f>
        <v>3.75</v>
      </c>
      <c r="K38" s="335"/>
      <c r="L38" s="188" t="s">
        <v>31</v>
      </c>
      <c r="M38" s="272" t="n">
        <f aca="false">IF(Horodateur11233538192231343743464952555861646985222634384650585462667074788290989410210611411811012212613013413814214615015415816216617017417818218619019419820220621021441014182226303438[[#This Row],[O]]="o",Horodateur11233538192231343743464952555861646985222634384650585462667074788290989410210611411811012212613013413814214615015415816216617017417818218619019419820220621021441014182226303438[[#This Row],[Durée (100)]],".")</f>
        <v>0.5</v>
      </c>
      <c r="N38" s="187"/>
      <c r="O38" s="71"/>
      <c r="P38" s="71"/>
      <c r="Q38" s="71"/>
      <c r="R38" s="71"/>
      <c r="S38" s="71"/>
      <c r="T38" s="71"/>
      <c r="U38" s="71"/>
      <c r="V38" s="71"/>
      <c r="W38" s="71"/>
      <c r="X38" s="71"/>
      <c r="Y38" s="71"/>
      <c r="Z38" s="71"/>
      <c r="AA38" s="71"/>
      <c r="AB38" s="71"/>
      <c r="AC38" s="71"/>
      <c r="AD38" s="71"/>
      <c r="AE38" s="71"/>
      <c r="AF38" s="71"/>
      <c r="AG38" s="71"/>
    </row>
    <row r="39" customFormat="false" ht="15" hidden="false" customHeight="false" outlineLevel="0" collapsed="false">
      <c r="A39" s="256" t="n">
        <f aca="false">IF(Horodateur11233538192231343743464952555861646985222634384650585462667074788290989410210611411811012212613013413814214615015415816216617017417818218619019419820220621021441014182226303438[[#This Row],[Jour]]="1- Lundi",$B$1+1, IF(Horodateur11233538192231343743464952555861646985222634384650585462667074788290989410210611411811012212613013413814214615015415816216617017417818218619019419820220621021441014182226303438[[#This Row],[Jour]]="2- Mardi",$B$1+2, IF(Horodateur11233538192231343743464952555861646985222634384650585462667074788290989410210611411811012212613013413814214615015415816216617017417818218619019419820220621021441014182226303438[[#This Row],[Jour]]="3- Mercredi",$B$1+3, IF(Horodateur11233538192231343743464952555861646985222634384650585462667074788290989410210611411811012212613013413814214615015415816216617017417818218619019419820220621021441014182226303438[[#This Row],[Jour]]="4- Jeudi",$B$1+4, IF(Horodateur11233538192231343743464952555861646985222634384650585462667074788290989410210611411811012212613013413814214615015415816216617017417818218619019419820220621021441014182226303438[[#This Row],[Jour]]="5- Vendredi",$B$1+5, IF(Horodateur11233538192231343743464952555861646985222634384650585462667074788290989410210611411811012212613013413814214615015415816216617017417818218619019419820220621021441014182226303438[[#This Row],[Jour]]="6- Samedi",$B$1+6, IF(Horodateur11233538192231343743464952555861646985222634384650585462667074788290989410210611411811012212613013413814214615015415816216617017417818218619019419820220621021441014182226303438[[#This Row],[Jour]]="7- Dimanche",$B$1, )))))))</f>
        <v>44268</v>
      </c>
      <c r="B39" s="257" t="s">
        <v>335</v>
      </c>
      <c r="C39" s="258" t="n">
        <v>0.4375</v>
      </c>
      <c r="D39" s="258" t="n">
        <v>0.458333333333333</v>
      </c>
      <c r="E39" s="71" t="s">
        <v>59</v>
      </c>
      <c r="F39" s="71" t="s">
        <v>378</v>
      </c>
      <c r="G39" s="259" t="s">
        <v>549</v>
      </c>
      <c r="H39" s="258" t="n">
        <f aca="false">IF($C39=0,"",$D39-$C39)</f>
        <v>0.0208333333333333</v>
      </c>
      <c r="I39" s="260" t="n">
        <f aca="false">IF($C39=0,"",($H39-INT($H39))*24)</f>
        <v>0.5</v>
      </c>
      <c r="J39" s="303" t="n">
        <f aca="false">SUMIF(Horodateur11233538192231343743464952555861646985222634384650585462667074788290989410210611411811012212613013413814214615015415816216617017417818218619019419820220621021441014182226303438[Jour],$B39,Horodateur11233538192231343743464952555861646985222634384650585462667074788290989410210611411811012212613013413814214615015415816216617017417818218619019419820220621021441014182226303438[Durée (100)])</f>
        <v>3.75</v>
      </c>
      <c r="K39" s="335"/>
      <c r="L39" s="188" t="s">
        <v>31</v>
      </c>
      <c r="M39" s="272" t="n">
        <f aca="false">IF(Horodateur11233538192231343743464952555861646985222634384650585462667074788290989410210611411811012212613013413814214615015415816216617017417818218619019419820220621021441014182226303438[[#This Row],[O]]="o",Horodateur11233538192231343743464952555861646985222634384650585462667074788290989410210611411811012212613013413814214615015415816216617017417818218619019419820220621021441014182226303438[[#This Row],[Durée (100)]],".")</f>
        <v>0.5</v>
      </c>
      <c r="N39" s="187"/>
      <c r="O39" s="71"/>
      <c r="P39" s="71"/>
      <c r="Q39" s="71"/>
      <c r="R39" s="71"/>
      <c r="S39" s="71"/>
      <c r="T39" s="71"/>
      <c r="U39" s="71"/>
      <c r="V39" s="71"/>
      <c r="W39" s="71"/>
      <c r="X39" s="71"/>
      <c r="Y39" s="71"/>
      <c r="Z39" s="71"/>
      <c r="AA39" s="71"/>
      <c r="AB39" s="71"/>
      <c r="AC39" s="71"/>
      <c r="AD39" s="71"/>
      <c r="AE39" s="71"/>
      <c r="AF39" s="71"/>
      <c r="AG39" s="71"/>
    </row>
    <row r="40" customFormat="false" ht="15" hidden="false" customHeight="false" outlineLevel="0" collapsed="false">
      <c r="A40" s="256" t="n">
        <f aca="false">IF(Horodateur11233538192231343743464952555861646985222634384650585462667074788290989410210611411811012212613013413814214615015415816216617017417818218619019419820220621021441014182226303438[[#This Row],[Jour]]="1- Lundi",$B$1+1, IF(Horodateur11233538192231343743464952555861646985222634384650585462667074788290989410210611411811012212613013413814214615015415816216617017417818218619019419820220621021441014182226303438[[#This Row],[Jour]]="2- Mardi",$B$1+2, IF(Horodateur11233538192231343743464952555861646985222634384650585462667074788290989410210611411811012212613013413814214615015415816216617017417818218619019419820220621021441014182226303438[[#This Row],[Jour]]="3- Mercredi",$B$1+3, IF(Horodateur11233538192231343743464952555861646985222634384650585462667074788290989410210611411811012212613013413814214615015415816216617017417818218619019419820220621021441014182226303438[[#This Row],[Jour]]="4- Jeudi",$B$1+4, IF(Horodateur11233538192231343743464952555861646985222634384650585462667074788290989410210611411811012212613013413814214615015415816216617017417818218619019419820220621021441014182226303438[[#This Row],[Jour]]="5- Vendredi",$B$1+5, IF(Horodateur11233538192231343743464952555861646985222634384650585462667074788290989410210611411811012212613013413814214615015415816216617017417818218619019419820220621021441014182226303438[[#This Row],[Jour]]="6- Samedi",$B$1+6, IF(Horodateur11233538192231343743464952555861646985222634384650585462667074788290989410210611411811012212613013413814214615015415816216617017417818218619019419820220621021441014182226303438[[#This Row],[Jour]]="7- Dimanche",$B$1, )))))))</f>
        <v>44268</v>
      </c>
      <c r="B40" s="257" t="s">
        <v>335</v>
      </c>
      <c r="C40" s="258" t="n">
        <v>0.458333333333333</v>
      </c>
      <c r="D40" s="258" t="n">
        <v>0.489583333333333</v>
      </c>
      <c r="E40" s="71" t="s">
        <v>81</v>
      </c>
      <c r="F40" s="71" t="s">
        <v>379</v>
      </c>
      <c r="G40" s="259" t="s">
        <v>507</v>
      </c>
      <c r="H40" s="258" t="n">
        <f aca="false">IF($C40=0,"",$D40-$C40)</f>
        <v>0.03125</v>
      </c>
      <c r="I40" s="260" t="n">
        <f aca="false">IF($C40=0,"",($H40-INT($H40))*24)</f>
        <v>0.75</v>
      </c>
      <c r="J40" s="303" t="n">
        <f aca="false">SUMIF(Horodateur11233538192231343743464952555861646985222634384650585462667074788290989410210611411811012212613013413814214615015415816216617017417818218619019419820220621021441014182226303438[Jour],$B40,Horodateur11233538192231343743464952555861646985222634384650585462667074788290989410210611411811012212613013413814214615015415816216617017417818218619019419820220621021441014182226303438[Durée (100)])</f>
        <v>3.75</v>
      </c>
      <c r="K40" s="335"/>
      <c r="L40" s="188" t="s">
        <v>31</v>
      </c>
      <c r="M40" s="272" t="n">
        <f aca="false">IF(Horodateur11233538192231343743464952555861646985222634384650585462667074788290989410210611411811012212613013413814214615015415816216617017417818218619019419820220621021441014182226303438[[#This Row],[O]]="o",Horodateur11233538192231343743464952555861646985222634384650585462667074788290989410210611411811012212613013413814214615015415816216617017417818218619019419820220621021441014182226303438[[#This Row],[Durée (100)]],".")</f>
        <v>0.75</v>
      </c>
      <c r="N40" s="187"/>
      <c r="O40" s="71"/>
      <c r="P40" s="71"/>
      <c r="Q40" s="71"/>
      <c r="R40" s="71"/>
      <c r="S40" s="71"/>
      <c r="T40" s="71"/>
      <c r="U40" s="71"/>
      <c r="V40" s="71"/>
      <c r="W40" s="71"/>
      <c r="X40" s="71"/>
      <c r="Y40" s="71"/>
      <c r="Z40" s="71"/>
      <c r="AA40" s="71"/>
      <c r="AB40" s="71"/>
      <c r="AC40" s="71"/>
      <c r="AD40" s="71"/>
      <c r="AE40" s="71"/>
      <c r="AF40" s="71"/>
      <c r="AG40" s="71"/>
    </row>
    <row r="41" customFormat="false" ht="15" hidden="false" customHeight="false" outlineLevel="0" collapsed="false">
      <c r="A41" s="256" t="n">
        <f aca="false">IF(Horodateur11233538192231343743464952555861646985222634384650585462667074788290989410210611411811012212613013413814214615015415816216617017417818218619019419820220621021441014182226303438[[#This Row],[Jour]]="1- Lundi",$B$1+1, IF(Horodateur11233538192231343743464952555861646985222634384650585462667074788290989410210611411811012212613013413814214615015415816216617017417818218619019419820220621021441014182226303438[[#This Row],[Jour]]="2- Mardi",$B$1+2, IF(Horodateur11233538192231343743464952555861646985222634384650585462667074788290989410210611411811012212613013413814214615015415816216617017417818218619019419820220621021441014182226303438[[#This Row],[Jour]]="3- Mercredi",$B$1+3, IF(Horodateur11233538192231343743464952555861646985222634384650585462667074788290989410210611411811012212613013413814214615015415816216617017417818218619019419820220621021441014182226303438[[#This Row],[Jour]]="4- Jeudi",$B$1+4, IF(Horodateur11233538192231343743464952555861646985222634384650585462667074788290989410210611411811012212613013413814214615015415816216617017417818218619019419820220621021441014182226303438[[#This Row],[Jour]]="5- Vendredi",$B$1+5, IF(Horodateur11233538192231343743464952555861646985222634384650585462667074788290989410210611411811012212613013413814214615015415816216617017417818218619019419820220621021441014182226303438[[#This Row],[Jour]]="6- Samedi",$B$1+6, IF(Horodateur11233538192231343743464952555861646985222634384650585462667074788290989410210611411811012212613013413814214615015415816216617017417818218619019419820220621021441014182226303438[[#This Row],[Jour]]="7- Dimanche",$B$1, )))))))</f>
        <v>44268</v>
      </c>
      <c r="B41" s="257" t="s">
        <v>335</v>
      </c>
      <c r="C41" s="258" t="n">
        <v>0.666666666666667</v>
      </c>
      <c r="D41" s="258" t="n">
        <v>0.677083333333333</v>
      </c>
      <c r="E41" s="71" t="s">
        <v>59</v>
      </c>
      <c r="F41" s="71" t="s">
        <v>378</v>
      </c>
      <c r="G41" s="259" t="s">
        <v>549</v>
      </c>
      <c r="H41" s="258" t="n">
        <f aca="false">IF($C41=0,"",$D41-$C41)</f>
        <v>0.0104166666666667</v>
      </c>
      <c r="I41" s="260" t="n">
        <f aca="false">IF($C41=0,"",($H41-INT($H41))*24)</f>
        <v>0.25</v>
      </c>
      <c r="J41" s="303" t="n">
        <f aca="false">SUMIF(Horodateur11233538192231343743464952555861646985222634384650585462667074788290989410210611411811012212613013413814214615015415816216617017417818218619019419820220621021441014182226303438[Jour],$B41,Horodateur11233538192231343743464952555861646985222634384650585462667074788290989410210611411811012212613013413814214615015415816216617017417818218619019419820220621021441014182226303438[Durée (100)])</f>
        <v>3.75</v>
      </c>
      <c r="K41" s="335"/>
      <c r="L41" s="188" t="s">
        <v>31</v>
      </c>
      <c r="M41" s="272" t="n">
        <f aca="false">IF(Horodateur11233538192231343743464952555861646985222634384650585462667074788290989410210611411811012212613013413814214615015415816216617017417818218619019419820220621021441014182226303438[[#This Row],[O]]="o",Horodateur11233538192231343743464952555861646985222634384650585462667074788290989410210611411811012212613013413814214615015415816216617017417818218619019419820220621021441014182226303438[[#This Row],[Durée (100)]],".")</f>
        <v>0.250000000000002</v>
      </c>
      <c r="N41" s="187"/>
      <c r="O41" s="71"/>
      <c r="P41" s="71"/>
      <c r="Q41" s="71"/>
      <c r="R41" s="71"/>
      <c r="S41" s="71"/>
      <c r="T41" s="71"/>
      <c r="U41" s="71"/>
      <c r="V41" s="71"/>
      <c r="W41" s="71"/>
      <c r="X41" s="71"/>
      <c r="Y41" s="71"/>
      <c r="Z41" s="71"/>
      <c r="AA41" s="71"/>
      <c r="AB41" s="71"/>
      <c r="AC41" s="71"/>
      <c r="AD41" s="71"/>
      <c r="AE41" s="71"/>
      <c r="AF41" s="71"/>
      <c r="AG41" s="71"/>
    </row>
    <row r="42" customFormat="false" ht="15" hidden="false" customHeight="false" outlineLevel="0" collapsed="false">
      <c r="A42" s="256" t="n">
        <f aca="false">IF(Horodateur11233538192231343743464952555861646985222634384650585462667074788290989410210611411811012212613013413814214615015415816216617017417818218619019419820220621021441014182226303438[[#This Row],[Jour]]="1- Lundi",$B$1+1, IF(Horodateur11233538192231343743464952555861646985222634384650585462667074788290989410210611411811012212613013413814214615015415816216617017417818218619019419820220621021441014182226303438[[#This Row],[Jour]]="2- Mardi",$B$1+2, IF(Horodateur11233538192231343743464952555861646985222634384650585462667074788290989410210611411811012212613013413814214615015415816216617017417818218619019419820220621021441014182226303438[[#This Row],[Jour]]="3- Mercredi",$B$1+3, IF(Horodateur11233538192231343743464952555861646985222634384650585462667074788290989410210611411811012212613013413814214615015415816216617017417818218619019419820220621021441014182226303438[[#This Row],[Jour]]="4- Jeudi",$B$1+4, IF(Horodateur11233538192231343743464952555861646985222634384650585462667074788290989410210611411811012212613013413814214615015415816216617017417818218619019419820220621021441014182226303438[[#This Row],[Jour]]="5- Vendredi",$B$1+5, IF(Horodateur11233538192231343743464952555861646985222634384650585462667074788290989410210611411811012212613013413814214615015415816216617017417818218619019419820220621021441014182226303438[[#This Row],[Jour]]="6- Samedi",$B$1+6, IF(Horodateur11233538192231343743464952555861646985222634384650585462667074788290989410210611411811012212613013413814214615015415816216617017417818218619019419820220621021441014182226303438[[#This Row],[Jour]]="7- Dimanche",$B$1, )))))))</f>
        <v>44269</v>
      </c>
      <c r="B42" s="257" t="s">
        <v>341</v>
      </c>
      <c r="C42" s="258" t="n">
        <v>0.333333333333333</v>
      </c>
      <c r="D42" s="258" t="n">
        <v>0.395833333333333</v>
      </c>
      <c r="E42" s="71" t="s">
        <v>45</v>
      </c>
      <c r="F42" s="71" t="s">
        <v>378</v>
      </c>
      <c r="G42" s="259" t="s">
        <v>550</v>
      </c>
      <c r="H42" s="258" t="n">
        <f aca="false">IF($C42=0,"",$D42-$C42)</f>
        <v>0.0625</v>
      </c>
      <c r="I42" s="260" t="n">
        <f aca="false">IF($C42=0,"",($H42-INT($H42))*24)</f>
        <v>1.5</v>
      </c>
      <c r="J42" s="303" t="n">
        <f aca="false">SUMIF(Horodateur11233538192231343743464952555861646985222634384650585462667074788290989410210611411811012212613013413814214615015415816216617017417818218619019419820220621021441014182226303438[Jour],$B42,Horodateur11233538192231343743464952555861646985222634384650585462667074788290989410210611411811012212613013413814214615015415816216617017417818218619019419820220621021441014182226303438[Durée (100)])</f>
        <v>4</v>
      </c>
      <c r="K42" s="335"/>
      <c r="L42" s="188" t="s">
        <v>31</v>
      </c>
      <c r="M42" s="272" t="n">
        <f aca="false">IF(Horodateur11233538192231343743464952555861646985222634384650585462667074788290989410210611411811012212613013413814214615015415816216617017417818218619019419820220621021441014182226303438[[#This Row],[O]]="o",Horodateur11233538192231343743464952555861646985222634384650585462667074788290989410210611411811012212613013413814214615015415816216617017417818218619019419820220621021441014182226303438[[#This Row],[Durée (100)]],".")</f>
        <v>1.5</v>
      </c>
      <c r="N42" s="187"/>
      <c r="O42" s="71"/>
      <c r="P42" s="71"/>
      <c r="Q42" s="71"/>
      <c r="R42" s="71"/>
      <c r="S42" s="71"/>
      <c r="T42" s="71"/>
      <c r="U42" s="71"/>
      <c r="V42" s="71"/>
      <c r="W42" s="71"/>
      <c r="X42" s="71"/>
      <c r="Y42" s="71"/>
      <c r="Z42" s="71"/>
      <c r="AA42" s="71"/>
      <c r="AB42" s="71"/>
      <c r="AC42" s="71"/>
      <c r="AD42" s="71"/>
      <c r="AE42" s="71"/>
      <c r="AF42" s="71"/>
      <c r="AG42" s="71"/>
    </row>
    <row r="43" customFormat="false" ht="15" hidden="false" customHeight="false" outlineLevel="0" collapsed="false">
      <c r="A43" s="256" t="n">
        <f aca="false">IF(Horodateur11233538192231343743464952555861646985222634384650585462667074788290989410210611411811012212613013413814214615015415816216617017417818218619019419820220621021441014182226303438[[#This Row],[Jour]]="1- Lundi",$B$1+1, IF(Horodateur11233538192231343743464952555861646985222634384650585462667074788290989410210611411811012212613013413814214615015415816216617017417818218619019419820220621021441014182226303438[[#This Row],[Jour]]="2- Mardi",$B$1+2, IF(Horodateur11233538192231343743464952555861646985222634384650585462667074788290989410210611411811012212613013413814214615015415816216617017417818218619019419820220621021441014182226303438[[#This Row],[Jour]]="3- Mercredi",$B$1+3, IF(Horodateur11233538192231343743464952555861646985222634384650585462667074788290989410210611411811012212613013413814214615015415816216617017417818218619019419820220621021441014182226303438[[#This Row],[Jour]]="4- Jeudi",$B$1+4, IF(Horodateur11233538192231343743464952555861646985222634384650585462667074788290989410210611411811012212613013413814214615015415816216617017417818218619019419820220621021441014182226303438[[#This Row],[Jour]]="5- Vendredi",$B$1+5, IF(Horodateur11233538192231343743464952555861646985222634384650585462667074788290989410210611411811012212613013413814214615015415816216617017417818218619019419820220621021441014182226303438[[#This Row],[Jour]]="6- Samedi",$B$1+6, IF(Horodateur11233538192231343743464952555861646985222634384650585462667074788290989410210611411811012212613013413814214615015415816216617017417818218619019419820220621021441014182226303438[[#This Row],[Jour]]="7- Dimanche",$B$1, )))))))</f>
        <v>44269</v>
      </c>
      <c r="B43" s="257" t="s">
        <v>341</v>
      </c>
      <c r="C43" s="258" t="n">
        <v>0.416666666666667</v>
      </c>
      <c r="D43" s="258" t="n">
        <v>0.520833333333333</v>
      </c>
      <c r="E43" s="71" t="s">
        <v>37</v>
      </c>
      <c r="F43" s="71" t="s">
        <v>378</v>
      </c>
      <c r="G43" s="259"/>
      <c r="H43" s="258" t="n">
        <f aca="false">IF($C43=0,"",$D43-$C43)</f>
        <v>0.104166666666667</v>
      </c>
      <c r="I43" s="260" t="n">
        <f aca="false">IF($C43=0,"",($H43-INT($H43))*24)</f>
        <v>2.5</v>
      </c>
      <c r="J43" s="303" t="n">
        <f aca="false">SUMIF(Horodateur11233538192231343743464952555861646985222634384650585462667074788290989410210611411811012212613013413814214615015415816216617017417818218619019419820220621021441014182226303438[Jour],$B43,Horodateur11233538192231343743464952555861646985222634384650585462667074788290989410210611411811012212613013413814214615015415816216617017417818218619019419820220621021441014182226303438[Durée (100)])</f>
        <v>4</v>
      </c>
      <c r="K43" s="335"/>
      <c r="L43" s="188" t="s">
        <v>31</v>
      </c>
      <c r="M43" s="272" t="n">
        <f aca="false">IF(Horodateur11233538192231343743464952555861646985222634384650585462667074788290989410210611411811012212613013413814214615015415816216617017417818218619019419820220621021441014182226303438[[#This Row],[O]]="o",Horodateur11233538192231343743464952555861646985222634384650585462667074788290989410210611411811012212613013413814214615015415816216617017417818218619019419820220621021441014182226303438[[#This Row],[Durée (100)]],".")</f>
        <v>2.5</v>
      </c>
      <c r="N43" s="187"/>
      <c r="O43" s="71"/>
      <c r="P43" s="71"/>
      <c r="Q43" s="71"/>
      <c r="R43" s="71"/>
      <c r="S43" s="71"/>
      <c r="T43" s="71"/>
      <c r="U43" s="71"/>
      <c r="V43" s="71"/>
      <c r="W43" s="71"/>
      <c r="X43" s="71"/>
      <c r="Y43" s="71"/>
      <c r="Z43" s="71"/>
      <c r="AA43" s="71"/>
      <c r="AB43" s="71"/>
      <c r="AC43" s="71"/>
      <c r="AD43" s="71"/>
      <c r="AE43" s="71"/>
      <c r="AF43" s="71"/>
      <c r="AG43" s="71"/>
    </row>
    <row r="44" customFormat="false" ht="15" hidden="false" customHeight="false" outlineLevel="0" collapsed="false">
      <c r="A44" s="137"/>
      <c r="B44" s="187"/>
      <c r="C44" s="71"/>
      <c r="D44" s="1"/>
      <c r="E44" s="1"/>
      <c r="F44" s="71"/>
      <c r="G44" s="1"/>
      <c r="H44" s="1"/>
      <c r="I44" s="119"/>
      <c r="J44" s="271"/>
      <c r="K44" s="1"/>
      <c r="L44" s="188"/>
      <c r="M44" s="272"/>
      <c r="N44" s="187"/>
      <c r="O44" s="71"/>
      <c r="P44" s="71"/>
      <c r="Q44" s="71"/>
      <c r="R44" s="71"/>
      <c r="S44" s="71"/>
      <c r="T44" s="71"/>
      <c r="U44" s="71"/>
      <c r="V44" s="71"/>
      <c r="W44" s="71"/>
      <c r="X44" s="71"/>
      <c r="Y44" s="71"/>
      <c r="Z44" s="71"/>
      <c r="AA44" s="71"/>
      <c r="AB44" s="71"/>
      <c r="AC44" s="71"/>
      <c r="AD44" s="71"/>
      <c r="AE44" s="71"/>
      <c r="AF44" s="71"/>
      <c r="AG44" s="71"/>
    </row>
    <row r="45" customFormat="false" ht="15" hidden="false" customHeight="false" outlineLevel="0" collapsed="false">
      <c r="A45" s="137"/>
      <c r="B45" s="187"/>
      <c r="C45" s="71"/>
      <c r="D45" s="1"/>
      <c r="E45" s="1"/>
      <c r="F45" s="71"/>
      <c r="G45" s="1"/>
      <c r="H45" s="1"/>
      <c r="I45" s="119"/>
      <c r="J45" s="271"/>
      <c r="K45" s="1"/>
      <c r="L45" s="188"/>
      <c r="M45" s="272"/>
      <c r="N45" s="187"/>
      <c r="O45" s="71"/>
      <c r="P45" s="71"/>
      <c r="Q45" s="71"/>
      <c r="R45" s="71"/>
      <c r="S45" s="71"/>
      <c r="T45" s="71"/>
      <c r="U45" s="71"/>
      <c r="V45" s="71"/>
      <c r="W45" s="71"/>
      <c r="X45" s="71"/>
      <c r="Y45" s="71"/>
      <c r="Z45" s="71"/>
      <c r="AA45" s="71"/>
      <c r="AB45" s="71"/>
      <c r="AC45" s="71"/>
      <c r="AD45" s="71"/>
      <c r="AE45" s="71"/>
      <c r="AF45" s="71"/>
      <c r="AG45" s="71"/>
    </row>
    <row r="46" customFormat="false" ht="15" hidden="false" customHeight="false" outlineLevel="0" collapsed="false">
      <c r="A46" s="137"/>
      <c r="B46" s="187"/>
      <c r="C46" s="71"/>
      <c r="D46" s="1"/>
      <c r="E46" s="1"/>
      <c r="F46" s="71"/>
      <c r="G46" s="1"/>
      <c r="H46" s="1"/>
      <c r="I46" s="119"/>
      <c r="J46" s="271"/>
      <c r="K46" s="1"/>
      <c r="L46" s="188"/>
      <c r="M46" s="272"/>
      <c r="N46" s="187"/>
      <c r="O46" s="71"/>
      <c r="P46" s="71"/>
      <c r="Q46" s="71"/>
      <c r="R46" s="71"/>
      <c r="S46" s="71"/>
      <c r="T46" s="71"/>
      <c r="U46" s="71"/>
      <c r="V46" s="71"/>
      <c r="W46" s="71"/>
      <c r="X46" s="71"/>
      <c r="Y46" s="71"/>
      <c r="Z46" s="71"/>
      <c r="AA46" s="71"/>
      <c r="AB46" s="71"/>
      <c r="AC46" s="71"/>
      <c r="AD46" s="71"/>
      <c r="AE46" s="71"/>
      <c r="AF46" s="71"/>
      <c r="AG46" s="71"/>
    </row>
    <row r="47" customFormat="false" ht="15" hidden="false" customHeight="false" outlineLevel="0" collapsed="false">
      <c r="A47" s="137"/>
      <c r="B47" s="187"/>
      <c r="C47" s="71"/>
      <c r="D47" s="1"/>
      <c r="E47" s="1"/>
      <c r="F47" s="71"/>
      <c r="G47" s="1"/>
      <c r="H47" s="1"/>
      <c r="I47" s="119"/>
      <c r="J47" s="271"/>
      <c r="K47" s="1"/>
      <c r="L47" s="188"/>
      <c r="N47" s="187"/>
      <c r="O47" s="71"/>
      <c r="P47" s="71"/>
      <c r="Q47" s="71"/>
      <c r="R47" s="71"/>
      <c r="S47" s="71"/>
      <c r="T47" s="71"/>
      <c r="U47" s="71"/>
      <c r="V47" s="71"/>
      <c r="W47" s="71"/>
      <c r="X47" s="71"/>
      <c r="Y47" s="71"/>
      <c r="Z47" s="71"/>
      <c r="AA47" s="71"/>
      <c r="AB47" s="71"/>
      <c r="AC47" s="71"/>
      <c r="AD47" s="71"/>
      <c r="AE47" s="71"/>
      <c r="AF47" s="71"/>
      <c r="AG47" s="71"/>
    </row>
    <row r="48" customFormat="false" ht="15" hidden="false" customHeight="false" outlineLevel="0" collapsed="false">
      <c r="A48" s="274" t="s">
        <v>377</v>
      </c>
      <c r="B48" s="275" t="str">
        <f aca="false">SUM($A$94:$A$524) &amp; " heures"</f>
        <v>26.75 heures</v>
      </c>
      <c r="C48" s="276" t="str">
        <f aca="false">SUM($A$94:$A$515) / 8 &amp; " Jours"</f>
        <v>3.34375 Jours</v>
      </c>
      <c r="D48" s="277"/>
      <c r="E48" s="277" t="n">
        <v>33.25</v>
      </c>
      <c r="F48" s="278" t="n">
        <f aca="false">E48/8</f>
        <v>4.15625</v>
      </c>
      <c r="G48" s="277"/>
      <c r="H48" s="277"/>
      <c r="I48" s="279"/>
      <c r="J48" s="280"/>
      <c r="K48" s="277"/>
      <c r="L48" s="281"/>
      <c r="M48" s="282"/>
      <c r="N48" s="283"/>
      <c r="O48" s="277"/>
      <c r="P48" s="277"/>
      <c r="Q48" s="277"/>
      <c r="R48" s="277"/>
      <c r="S48" s="277"/>
      <c r="T48" s="277"/>
      <c r="U48" s="278"/>
      <c r="V48" s="278"/>
      <c r="W48" s="278"/>
      <c r="X48" s="278"/>
      <c r="Y48" s="278"/>
      <c r="Z48" s="278"/>
      <c r="AA48" s="278"/>
      <c r="AB48" s="278"/>
      <c r="AC48" s="278"/>
      <c r="AD48" s="278"/>
      <c r="AE48" s="278"/>
      <c r="AF48" s="278"/>
      <c r="AG48" s="278"/>
    </row>
    <row r="49" customFormat="false" ht="15" hidden="false" customHeight="false" outlineLevel="0" collapsed="false">
      <c r="A49" s="137"/>
      <c r="B49" s="187"/>
      <c r="C49" s="71"/>
      <c r="D49" s="1"/>
      <c r="E49" s="1"/>
      <c r="F49" s="71"/>
      <c r="G49" s="1"/>
      <c r="H49" s="1"/>
      <c r="I49" s="119"/>
      <c r="J49" s="271"/>
      <c r="K49" s="1"/>
      <c r="L49" s="188"/>
      <c r="M49" s="272"/>
      <c r="N49" s="187"/>
      <c r="O49" s="1"/>
      <c r="P49" s="1"/>
      <c r="Q49" s="1"/>
      <c r="R49" s="1"/>
      <c r="S49" s="1"/>
      <c r="T49" s="1"/>
      <c r="U49" s="71"/>
      <c r="V49" s="71"/>
      <c r="W49" s="71"/>
      <c r="X49" s="71"/>
      <c r="Y49" s="71"/>
      <c r="Z49" s="71"/>
      <c r="AA49" s="71"/>
      <c r="AB49" s="71"/>
      <c r="AC49" s="71"/>
      <c r="AD49" s="71"/>
      <c r="AE49" s="71"/>
      <c r="AF49" s="71"/>
      <c r="AG49" s="71"/>
    </row>
    <row r="50" customFormat="false" ht="15" hidden="true" customHeight="false" outlineLevel="1" collapsed="false">
      <c r="A50" s="137"/>
      <c r="B50" s="137"/>
      <c r="C50" s="137"/>
      <c r="D50" s="137"/>
      <c r="E50" s="1"/>
      <c r="F50" s="71"/>
      <c r="G50" s="1"/>
      <c r="H50" s="1"/>
      <c r="I50" s="119"/>
      <c r="J50" s="271"/>
      <c r="K50" s="1"/>
      <c r="L50" s="188"/>
      <c r="M50" s="272"/>
      <c r="N50" s="187"/>
      <c r="O50" s="1"/>
      <c r="P50" s="1"/>
      <c r="Q50" s="1"/>
      <c r="R50" s="1"/>
      <c r="S50" s="1"/>
      <c r="T50" s="1"/>
      <c r="U50" s="71"/>
      <c r="V50" s="71"/>
      <c r="W50" s="71"/>
      <c r="X50" s="71"/>
      <c r="Y50" s="71"/>
      <c r="Z50" s="71"/>
      <c r="AA50" s="71"/>
      <c r="AB50" s="71"/>
      <c r="AC50" s="71"/>
      <c r="AD50" s="71"/>
      <c r="AE50" s="71"/>
      <c r="AF50" s="71"/>
      <c r="AG50" s="71"/>
    </row>
    <row r="51" customFormat="false" ht="15" hidden="true" customHeight="false" outlineLevel="1" collapsed="false">
      <c r="A51" s="284" t="s">
        <v>84</v>
      </c>
      <c r="B51" s="285" t="s">
        <v>21</v>
      </c>
      <c r="C51" s="285" t="s">
        <v>20</v>
      </c>
      <c r="D51" s="285" t="s">
        <v>23</v>
      </c>
      <c r="E51" s="285" t="s">
        <v>25</v>
      </c>
      <c r="F51" s="285" t="s">
        <v>26</v>
      </c>
      <c r="G51" s="285" t="s">
        <v>378</v>
      </c>
      <c r="H51" s="285" t="s">
        <v>379</v>
      </c>
      <c r="I51" s="285" t="s">
        <v>380</v>
      </c>
      <c r="J51" s="286" t="s">
        <v>58</v>
      </c>
      <c r="K51" s="287"/>
      <c r="L51" s="288"/>
      <c r="M51" s="289"/>
      <c r="N51" s="187"/>
      <c r="O51" s="1"/>
      <c r="P51" s="1"/>
      <c r="Q51" s="1"/>
      <c r="R51" s="1"/>
      <c r="S51" s="1"/>
      <c r="T51" s="71"/>
      <c r="U51" s="71"/>
      <c r="V51" s="71"/>
      <c r="W51" s="71"/>
      <c r="X51" s="71"/>
      <c r="Y51" s="71"/>
      <c r="Z51" s="71"/>
      <c r="AA51" s="71"/>
      <c r="AB51" s="71"/>
      <c r="AC51" s="71"/>
      <c r="AD51" s="71"/>
      <c r="AE51" s="71"/>
      <c r="AF51" s="71"/>
    </row>
    <row r="52" customFormat="false" ht="15" hidden="true" customHeight="false" outlineLevel="1" collapsed="false">
      <c r="A52" s="187" t="s">
        <v>312</v>
      </c>
      <c r="B52" s="71" t="n">
        <f aca="false">SUMIFS(Horodateur11233538192231343743464952555861646985222634384650585462667074788290989410210611411811012212613013413814214615015415816216617017417818218619019419820220621021441014182226303438[Durée (100)],Horodateur11233538192231343743464952555861646985222634384650585462667074788290989410210611411811012212613013413814214615015415816216617017417818218619019419820220621021441014182226303438[Tâche],Taches_Jours1224363917202932354144475053565962678320243236444856526064687276808896921001041121161081201241281321361401441481521561601641681721761801841881921962002042082122612162024283236[[#Headers],[GB]],Horodateur11233538192231343743464952555861646985222634384650585462667074788290989410210611411811012212613013413814214615015415816216617017417818218619019419820220621021441014182226303438[Jour],Taches_Jours1224363917202932354144475053565962678320243236444856526064687276808896921001041121161081201241281321361401441481521561601641681721761801841881921962002042082122612162024283236[[#This Row],[Jours]])</f>
        <v>1.25</v>
      </c>
      <c r="C52" s="71" t="n">
        <f aca="false">SUMIFS(Horodateur11233538192231343743464952555861646985222634384650585462667074788290989410210611411811012212613013413814214615015415816216617017417818218619019419820220621021441014182226303438[Durée (100)],Horodateur11233538192231343743464952555861646985222634384650585462667074788290989410210611411811012212613013413814214615015415816216617017417818218619019419820220621021441014182226303438[Tâche],Taches_Jours1224363917202932354144475053565962678320243236444856526064687276808896921001041121161081201241281321361401441481521561601641681721761801841881921962002042082122612162024283236[[#Headers],[RI]],Horodateur11233538192231343743464952555861646985222634384650585462667074788290989410210611411811012212613013413814214615015415816216617017417818218619019419820220621021441014182226303438[Jour],Taches_Jours1224363917202932354144475053565962678320243236444856526064687276808896921001041121161081201241281321361401441481521561601641681721761801841881921962002042082122612162024283236[[#This Row],[Jours]])</f>
        <v>0.500000000000001</v>
      </c>
      <c r="D52" s="71" t="n">
        <f aca="false">SUMIFS(Horodateur11233538192231343743464952555861646985222634384650585462667074788290989410210611411811012212613013413814214615015415816216617017417818218619019419820220621021441014182226303438[Durée (100)],Horodateur11233538192231343743464952555861646985222634384650585462667074788290989410210611411811012212613013413814214615015415816216617017417818218619019419820220621021441014182226303438[Tâche],Taches_Jours1224363917202932354144475053565962678320243236444856526064687276808896921001041121161081201241281321361401441481521561601641681721761801841881921962002042082122612162024283236[[#Headers],[FG]],Horodateur11233538192231343743464952555861646985222634384650585462667074788290989410210611411811012212613013413814214615015415816216617017417818218619019419820220621021441014182226303438[Jour],Taches_Jours1224363917202932354144475053565962678320243236444856526064687276808896921001041121161081201241281321361401441481521561601641681721761801841881921962002042082122612162024283236[[#This Row],[Jours]])</f>
        <v>0</v>
      </c>
      <c r="E52" s="71" t="n">
        <f aca="false">SUMIFS(Horodateur11233538192231343743464952555861646985222634384650585462667074788290989410210611411811012212613013413814214615015415816216617017417818218619019419820220621021441014182226303438[Durée (100)],Horodateur11233538192231343743464952555861646985222634384650585462667074788290989410210611411811012212613013413814214615015415816216617017417818218619019419820220621021441014182226303438[Tâche],Taches_Jours1224363917202932354144475053565962678320243236444856526064687276808896921001041121161081201241281321361401441481521561601641681721761801841881921962002042082122612162024283236[[#Headers],[PS]],Horodateur11233538192231343743464952555861646985222634384650585462667074788290989410210611411811012212613013413814214615015415816216617017417818218619019419820220621021441014182226303438[Jour],Taches_Jours1224363917202932354144475053565962678320243236444856526064687276808896921001041121161081201241281321361401441481521561601641681721761801841881921962002042082122612162024283236[[#This Row],[Jours]])</f>
        <v>0</v>
      </c>
      <c r="F52" s="71" t="n">
        <f aca="false">SUMIFS(Horodateur11233538192231343743464952555861646985222634384650585462667074788290989410210611411811012212613013413814214615015415816216617017417818218619019419820220621021441014182226303438[Durée (100)],Horodateur11233538192231343743464952555861646985222634384650585462667074788290989410210611411811012212613013413814214615015415816216617017417818218619019419820220621021441014182226303438[Tâche],Taches_Jours1224363917202932354144475053565962678320243236444856526064687276808896921001041121161081201241281321361401441481521561601641681721761801841881921962002042082122612162024283236[[#Headers],[TD]],Horodateur11233538192231343743464952555861646985222634384650585462667074788290989410210611411811012212613013413814214615015415816216617017417818218619019419820220621021441014182226303438[Jour],Taches_Jours1224363917202932354144475053565962678320243236444856526064687276808896921001041121161081201241281321361401441481521561601641681721761801841881921962002042082122612162024283236[[#This Row],[Jours]])</f>
        <v>0</v>
      </c>
      <c r="G52" s="71" t="n">
        <f aca="false">SUMIFS(Horodateur11233538192231343743464952555861646985222634384650585462667074788290989410210611411811012212613013413814214615015415816216617017417818218619019419820220621021441014182226303438[Durée (100)],Horodateur11233538192231343743464952555861646985222634384650585462667074788290989410210611411811012212613013413814214615015415816216617017417818218619019419820220621021441014182226303438[Tâche],Taches_Jours1224363917202932354144475053565962678320243236444856526064687276808896921001041121161081201241281321361401441481521561601641681721761801841881921962002042082122612162024283236[[#Headers],[GP]],Horodateur11233538192231343743464952555861646985222634384650585462667074788290989410210611411811012212613013413814214615015415816216617017417818218619019419820220621021441014182226303438[Jour],Taches_Jours1224363917202932354144475053565962678320243236444856526064687276808896921001041121161081201241281321361401441481521561601641681721761801841881921962002042082122612162024283236[[#This Row],[Jours]])</f>
        <v>5.5</v>
      </c>
      <c r="H52" s="71" t="n">
        <f aca="false">SUMIFS(Horodateur11233538192231343743464952555861646985222634384650585462667074788290989410210611411811012212613013413814214615015415816216617017417818218619019419820220621021441014182226303438[Durée (100)],Horodateur11233538192231343743464952555861646985222634384650585462667074788290989410210611411811012212613013413814214615015415816216617017417818218619019419820220621021441014182226303438[Tâche],Taches_Jours1224363917202932354144475053565962678320243236444856526064687276808896921001041121161081201241281321361401441481521561601641681721761801841881921962002042082122612162024283236[[#Headers],[GP / SP]],Horodateur11233538192231343743464952555861646985222634384650585462667074788290989410210611411811012212613013413814214615015415816216617017417818218619019419820220621021441014182226303438[Jour],Taches_Jours1224363917202932354144475053565962678320243236444856526064687276808896921001041121161081201241281321361401441481521561601641681721761801841881921962002042082122612162024283236[[#This Row],[Jours]])</f>
        <v>1.25</v>
      </c>
      <c r="I52" s="71" t="n">
        <f aca="false">SUMIFS(Horodateur11233538192231343743464952555861646985222634384650585462667074788290989410210611411811012212613013413814214615015415816216617017417818218619019419820220621021441014182226303438[Durée (100)],Horodateur11233538192231343743464952555861646985222634384650585462667074788290989410210611411811012212613013413814214615015415816216617017417818218619019419820220621021441014182226303438[Tâche],Taches_Jours1224363917202932354144475053565962678320243236444856526064687276808896921001041121161081201241281321361401441481521561601641681721761801841881921962002042082122612162024283236[[#Headers],[GP / SP]],Horodateur11233538192231343743464952555861646985222634384650585462667074788290989410210611411811012212613013413814214615015415816216617017417818218619019419820220621021441014182226303438[Jour],Taches_Jours1224363917202932354144475053565962678320243236444856526064687276808896921001041121161081201241281321361401441481521561601641681721761801841881921962002042082122612162024283236[[#This Row],[Jours]])</f>
        <v>1.25</v>
      </c>
      <c r="J52" s="290" t="n">
        <f aca="false">SUM(Taches_Jours1224363917202932354144475053565962678320243236444856526064687276808896921001041121161081201241281321361401441481521561601641681721761801841881921962002042082122612162024283236[[#This Row],[GB]:[GP / SP]])</f>
        <v>8.5</v>
      </c>
      <c r="K52" s="188"/>
      <c r="L52" s="288"/>
      <c r="M52" s="289"/>
      <c r="N52" s="187"/>
      <c r="O52" s="1"/>
      <c r="P52" s="1"/>
      <c r="Q52" s="1"/>
      <c r="R52" s="1"/>
      <c r="S52" s="1"/>
      <c r="T52" s="71"/>
      <c r="U52" s="71"/>
      <c r="V52" s="71"/>
      <c r="W52" s="71"/>
      <c r="X52" s="71"/>
      <c r="Y52" s="71"/>
      <c r="Z52" s="71"/>
      <c r="AA52" s="71"/>
      <c r="AB52" s="71"/>
      <c r="AC52" s="71"/>
      <c r="AD52" s="71"/>
      <c r="AE52" s="71"/>
      <c r="AF52" s="71"/>
    </row>
    <row r="53" customFormat="false" ht="15" hidden="true" customHeight="false" outlineLevel="1" collapsed="false">
      <c r="A53" s="187" t="s">
        <v>319</v>
      </c>
      <c r="B53" s="71" t="n">
        <f aca="false">SUMIFS(Horodateur11233538192231343743464952555861646985222634384650585462667074788290989410210611411811012212613013413814214615015415816216617017417818218619019419820220621021441014182226303438[Durée (100)],Horodateur11233538192231343743464952555861646985222634384650585462667074788290989410210611411811012212613013413814214615015415816216617017417818218619019419820220621021441014182226303438[Tâche],Taches_Jours1224363917202932354144475053565962678320243236444856526064687276808896921001041121161081201241281321361401441481521561601641681721761801841881921962002042082122612162024283236[[#Headers],[GB]],Horodateur11233538192231343743464952555861646985222634384650585462667074788290989410210611411811012212613013413814214615015415816216617017417818218619019419820220621021441014182226303438[Jour],Taches_Jours1224363917202932354144475053565962678320243236444856526064687276808896921001041121161081201241281321361401441481521561601641681721761801841881921962002042082122612162024283236[[#This Row],[Jours]])</f>
        <v>0</v>
      </c>
      <c r="C53" s="71" t="n">
        <f aca="false">SUMIFS(Horodateur11233538192231343743464952555861646985222634384650585462667074788290989410210611411811012212613013413814214615015415816216617017417818218619019419820220621021441014182226303438[Durée (100)],Horodateur11233538192231343743464952555861646985222634384650585462667074788290989410210611411811012212613013413814214615015415816216617017417818218619019419820220621021441014182226303438[Tâche],Taches_Jours1224363917202932354144475053565962678320243236444856526064687276808896921001041121161081201241281321361401441481521561601641681721761801841881921962002042082122612162024283236[[#Headers],[RI]],Horodateur11233538192231343743464952555861646985222634384650585462667074788290989410210611411811012212613013413814214615015415816216617017417818218619019419820220621021441014182226303438[Jour],Taches_Jours1224363917202932354144475053565962678320243236444856526064687276808896921001041121161081201241281321361401441481521561601641681721761801841881921962002042082122612162024283236[[#This Row],[Jours]])</f>
        <v>0</v>
      </c>
      <c r="D53" s="71" t="n">
        <f aca="false">SUMIFS(Horodateur11233538192231343743464952555861646985222634384650585462667074788290989410210611411811012212613013413814214615015415816216617017417818218619019419820220621021441014182226303438[Durée (100)],Horodateur11233538192231343743464952555861646985222634384650585462667074788290989410210611411811012212613013413814214615015415816216617017417818218619019419820220621021441014182226303438[Tâche],Taches_Jours1224363917202932354144475053565962678320243236444856526064687276808896921001041121161081201241281321361401441481521561601641681721761801841881921962002042082122612162024283236[[#Headers],[FG]],Horodateur11233538192231343743464952555861646985222634384650585462667074788290989410210611411811012212613013413814214615015415816216617017417818218619019419820220621021441014182226303438[Jour],Taches_Jours1224363917202932354144475053565962678320243236444856526064687276808896921001041121161081201241281321361401441481521561601641681721761801841881921962002042082122612162024283236[[#This Row],[Jours]])</f>
        <v>0</v>
      </c>
      <c r="E53" s="71" t="n">
        <f aca="false">SUMIFS(Horodateur11233538192231343743464952555861646985222634384650585462667074788290989410210611411811012212613013413814214615015415816216617017417818218619019419820220621021441014182226303438[Durée (100)],Horodateur11233538192231343743464952555861646985222634384650585462667074788290989410210611411811012212613013413814214615015415816216617017417818218619019419820220621021441014182226303438[Tâche],Taches_Jours1224363917202932354144475053565962678320243236444856526064687276808896921001041121161081201241281321361401441481521561601641681721761801841881921962002042082122612162024283236[[#Headers],[PS]],Horodateur11233538192231343743464952555861646985222634384650585462667074788290989410210611411811012212613013413814214615015415816216617017417818218619019419820220621021441014182226303438[Jour],Taches_Jours1224363917202932354144475053565962678320243236444856526064687276808896921001041121161081201241281321361401441481521561601641681721761801841881921962002042082122612162024283236[[#This Row],[Jours]])</f>
        <v>0</v>
      </c>
      <c r="F53" s="71" t="n">
        <f aca="false">SUMIFS(Horodateur11233538192231343743464952555861646985222634384650585462667074788290989410210611411811012212613013413814214615015415816216617017417818218619019419820220621021441014182226303438[Durée (100)],Horodateur11233538192231343743464952555861646985222634384650585462667074788290989410210611411811012212613013413814214615015415816216617017417818218619019419820220621021441014182226303438[Tâche],Taches_Jours1224363917202932354144475053565962678320243236444856526064687276808896921001041121161081201241281321361401441481521561601641681721761801841881921962002042082122612162024283236[[#Headers],[TD]],Horodateur11233538192231343743464952555861646985222634384650585462667074788290989410210611411811012212613013413814214615015415816216617017417818218619019419820220621021441014182226303438[Jour],Taches_Jours1224363917202932354144475053565962678320243236444856526064687276808896921001041121161081201241281321361401441481521561601641681721761801841881921962002042082122612162024283236[[#This Row],[Jours]])</f>
        <v>0</v>
      </c>
      <c r="G53" s="71" t="n">
        <f aca="false">SUMIFS(Horodateur11233538192231343743464952555861646985222634384650585462667074788290989410210611411811012212613013413814214615015415816216617017417818218619019419820220621021441014182226303438[Durée (100)],Horodateur11233538192231343743464952555861646985222634384650585462667074788290989410210611411811012212613013413814214615015415816216617017417818218619019419820220621021441014182226303438[Tâche],Taches_Jours1224363917202932354144475053565962678320243236444856526064687276808896921001041121161081201241281321361401441481521561601641681721761801841881921962002042082122612162024283236[[#Headers],[GP]],Horodateur11233538192231343743464952555861646985222634384650585462667074788290989410210611411811012212613013413814214615015415816216617017417818218619019419820220621021441014182226303438[Jour],Taches_Jours1224363917202932354144475053565962678320243236444856526064687276808896921001041121161081201241281321361401441481521561601641681721761801841881921962002042082122612162024283236[[#This Row],[Jours]])</f>
        <v>5.75</v>
      </c>
      <c r="H53" s="71" t="n">
        <f aca="false">SUMIFS(Horodateur11233538192231343743464952555861646985222634384650585462667074788290989410210611411811012212613013413814214615015415816216617017417818218619019419820220621021441014182226303438[Durée (100)],Horodateur11233538192231343743464952555861646985222634384650585462667074788290989410210611411811012212613013413814214615015415816216617017417818218619019419820220621021441014182226303438[Tâche],Taches_Jours1224363917202932354144475053565962678320243236444856526064687276808896921001041121161081201241281321361401441481521561601641681721761801841881921962002042082122612162024283236[[#Headers],[GP / SP]],Horodateur11233538192231343743464952555861646985222634384650585462667074788290989410210611411811012212613013413814214615015415816216617017417818218619019419820220621021441014182226303438[Jour],Taches_Jours1224363917202932354144475053565962678320243236444856526064687276808896921001041121161081201241281321361401441481521561601641681721761801841881921962002042082122612162024283236[[#This Row],[Jours]])</f>
        <v>0</v>
      </c>
      <c r="I53" s="71" t="n">
        <f aca="false">SUMIFS(Horodateur11233538192231343743464952555861646985222634384650585462667074788290989410210611411811012212613013413814214615015415816216617017417818218619019419820220621021441014182226303438[Durée (100)],Horodateur11233538192231343743464952555861646985222634384650585462667074788290989410210611411811012212613013413814214615015415816216617017417818218619019419820220621021441014182226303438[Tâche],Taches_Jours1224363917202932354144475053565962678320243236444856526064687276808896921001041121161081201241281321361401441481521561601641681721761801841881921962002042082122612162024283236[[#Headers],[GP / SP]],Horodateur11233538192231343743464952555861646985222634384650585462667074788290989410210611411811012212613013413814214615015415816216617017417818218619019419820220621021441014182226303438[Jour],Taches_Jours1224363917202932354144475053565962678320243236444856526064687276808896921001041121161081201241281321361401441481521561601641681721761801841881921962002042082122612162024283236[[#This Row],[Jours]])</f>
        <v>0</v>
      </c>
      <c r="J53" s="290" t="n">
        <f aca="false">SUM(Taches_Jours1224363917202932354144475053565962678320243236444856526064687276808896921001041121161081201241281321361401441481521561601641681721761801841881921962002042082122612162024283236[[#This Row],[GB]:[GP / SP]])</f>
        <v>5.75</v>
      </c>
      <c r="K53" s="188"/>
      <c r="L53" s="288"/>
      <c r="M53" s="289"/>
      <c r="N53" s="187"/>
      <c r="O53" s="1"/>
      <c r="P53" s="1"/>
      <c r="Q53" s="1"/>
      <c r="R53" s="1"/>
      <c r="S53" s="1"/>
      <c r="T53" s="71"/>
      <c r="U53" s="71"/>
      <c r="V53" s="71"/>
      <c r="W53" s="71"/>
      <c r="X53" s="71"/>
      <c r="Y53" s="71"/>
      <c r="Z53" s="71"/>
      <c r="AA53" s="71"/>
      <c r="AB53" s="71"/>
      <c r="AC53" s="71"/>
      <c r="AD53" s="71"/>
      <c r="AE53" s="71"/>
      <c r="AF53" s="71"/>
    </row>
    <row r="54" customFormat="false" ht="15" hidden="true" customHeight="false" outlineLevel="1" collapsed="false">
      <c r="A54" s="187" t="s">
        <v>324</v>
      </c>
      <c r="B54" s="71" t="n">
        <f aca="false">SUMIFS(Horodateur11233538192231343743464952555861646985222634384650585462667074788290989410210611411811012212613013413814214615015415816216617017417818218619019419820220621021441014182226303438[Durée (100)],Horodateur11233538192231343743464952555861646985222634384650585462667074788290989410210611411811012212613013413814214615015415816216617017417818218619019419820220621021441014182226303438[Tâche],Taches_Jours1224363917202932354144475053565962678320243236444856526064687276808896921001041121161081201241281321361401441481521561601641681721761801841881921962002042082122612162024283236[[#Headers],[GB]],Horodateur11233538192231343743464952555861646985222634384650585462667074788290989410210611411811012212613013413814214615015415816216617017417818218619019419820220621021441014182226303438[Jour],Taches_Jours1224363917202932354144475053565962678320243236444856526064687276808896921001041121161081201241281321361401441481521561601641681721761801841881921962002042082122612162024283236[[#This Row],[Jours]])</f>
        <v>0.500000000000001</v>
      </c>
      <c r="C54" s="71" t="n">
        <f aca="false">SUMIFS(Horodateur11233538192231343743464952555861646985222634384650585462667074788290989410210611411811012212613013413814214615015415816216617017417818218619019419820220621021441014182226303438[Durée (100)],Horodateur11233538192231343743464952555861646985222634384650585462667074788290989410210611411811012212613013413814214615015415816216617017417818218619019419820220621021441014182226303438[Tâche],Taches_Jours1224363917202932354144475053565962678320243236444856526064687276808896921001041121161081201241281321361401441481521561601641681721761801841881921962002042082122612162024283236[[#Headers],[RI]],Horodateur11233538192231343743464952555861646985222634384650585462667074788290989410210611411811012212613013413814214615015415816216617017417818218619019419820220621021441014182226303438[Jour],Taches_Jours1224363917202932354144475053565962678320243236444856526064687276808896921001041121161081201241281321361401441481521561601641681721761801841881921962002042082122612162024283236[[#This Row],[Jours]])</f>
        <v>0</v>
      </c>
      <c r="D54" s="71" t="n">
        <f aca="false">SUMIFS(Horodateur11233538192231343743464952555861646985222634384650585462667074788290989410210611411811012212613013413814214615015415816216617017417818218619019419820220621021441014182226303438[Durée (100)],Horodateur11233538192231343743464952555861646985222634384650585462667074788290989410210611411811012212613013413814214615015415816216617017417818218619019419820220621021441014182226303438[Tâche],Taches_Jours1224363917202932354144475053565962678320243236444856526064687276808896921001041121161081201241281321361401441481521561601641681721761801841881921962002042082122612162024283236[[#Headers],[FG]],Horodateur11233538192231343743464952555861646985222634384650585462667074788290989410210611411811012212613013413814214615015415816216617017417818218619019419820220621021441014182226303438[Jour],Taches_Jours1224363917202932354144475053565962678320243236444856526064687276808896921001041121161081201241281321361401441481521561601641681721761801841881921962002042082122612162024283236[[#This Row],[Jours]])</f>
        <v>0</v>
      </c>
      <c r="E54" s="71" t="n">
        <f aca="false">SUMIFS(Horodateur11233538192231343743464952555861646985222634384650585462667074788290989410210611411811012212613013413814214615015415816216617017417818218619019419820220621021441014182226303438[Durée (100)],Horodateur11233538192231343743464952555861646985222634384650585462667074788290989410210611411811012212613013413814214615015415816216617017417818218619019419820220621021441014182226303438[Tâche],Taches_Jours1224363917202932354144475053565962678320243236444856526064687276808896921001041121161081201241281321361401441481521561601641681721761801841881921962002042082122612162024283236[[#Headers],[PS]],Horodateur11233538192231343743464952555861646985222634384650585462667074788290989410210611411811012212613013413814214615015415816216617017417818218619019419820220621021441014182226303438[Jour],Taches_Jours1224363917202932354144475053565962678320243236444856526064687276808896921001041121161081201241281321361401441481521561601641681721761801841881921962002042082122612162024283236[[#This Row],[Jours]])</f>
        <v>0</v>
      </c>
      <c r="F54" s="71" t="n">
        <f aca="false">SUMIFS(Horodateur11233538192231343743464952555861646985222634384650585462667074788290989410210611411811012212613013413814214615015415816216617017417818218619019419820220621021441014182226303438[Durée (100)],Horodateur11233538192231343743464952555861646985222634384650585462667074788290989410210611411811012212613013413814214615015415816216617017417818218619019419820220621021441014182226303438[Tâche],Taches_Jours1224363917202932354144475053565962678320243236444856526064687276808896921001041121161081201241281321361401441481521561601641681721761801841881921962002042082122612162024283236[[#Headers],[TD]],Horodateur11233538192231343743464952555861646985222634384650585462667074788290989410210611411811012212613013413814214615015415816216617017417818218619019419820220621021441014182226303438[Jour],Taches_Jours1224363917202932354144475053565962678320243236444856526064687276808896921001041121161081201241281321361401441481521561601641681721761801841881921962002042082122612162024283236[[#This Row],[Jours]])</f>
        <v>0</v>
      </c>
      <c r="G54" s="71" t="n">
        <f aca="false">SUMIFS(Horodateur11233538192231343743464952555861646985222634384650585462667074788290989410210611411811012212613013413814214615015415816216617017417818218619019419820220621021441014182226303438[Durée (100)],Horodateur11233538192231343743464952555861646985222634384650585462667074788290989410210611411811012212613013413814214615015415816216617017417818218619019419820220621021441014182226303438[Tâche],Taches_Jours1224363917202932354144475053565962678320243236444856526064687276808896921001041121161081201241281321361401441481521561601641681721761801841881921962002042082122612162024283236[[#Headers],[GP]],Horodateur11233538192231343743464952555861646985222634384650585462667074788290989410210611411811012212613013413814214615015415816216617017417818218619019419820220621021441014182226303438[Jour],Taches_Jours1224363917202932354144475053565962678320243236444856526064687276808896921001041121161081201241281321361401441481521561601641681721761801841881921962002042082122612162024283236[[#This Row],[Jours]])</f>
        <v>5.5</v>
      </c>
      <c r="H54" s="71" t="n">
        <f aca="false">SUMIFS(Horodateur11233538192231343743464952555861646985222634384650585462667074788290989410210611411811012212613013413814214615015415816216617017417818218619019419820220621021441014182226303438[Durée (100)],Horodateur11233538192231343743464952555861646985222634384650585462667074788290989410210611411811012212613013413814214615015415816216617017417818218619019419820220621021441014182226303438[Tâche],Taches_Jours1224363917202932354144475053565962678320243236444856526064687276808896921001041121161081201241281321361401441481521561601641681721761801841881921962002042082122612162024283236[[#Headers],[GP / SP]],Horodateur11233538192231343743464952555861646985222634384650585462667074788290989410210611411811012212613013413814214615015415816216617017417818218619019419820220621021441014182226303438[Jour],Taches_Jours1224363917202932354144475053565962678320243236444856526064687276808896921001041121161081201241281321361401441481521561601641681721761801841881921962002042082122612162024283236[[#This Row],[Jours]])</f>
        <v>0.249999999999999</v>
      </c>
      <c r="I54" s="71" t="n">
        <f aca="false">SUMIFS(Horodateur11233538192231343743464952555861646985222634384650585462667074788290989410210611411811012212613013413814214615015415816216617017417818218619019419820220621021441014182226303438[Durée (100)],Horodateur11233538192231343743464952555861646985222634384650585462667074788290989410210611411811012212613013413814214615015415816216617017417818218619019419820220621021441014182226303438[Tâche],Taches_Jours1224363917202932354144475053565962678320243236444856526064687276808896921001041121161081201241281321361401441481521561601641681721761801841881921962002042082122612162024283236[[#Headers],[GP / SP]],Horodateur11233538192231343743464952555861646985222634384650585462667074788290989410210611411811012212613013413814214615015415816216617017417818218619019419820220621021441014182226303438[Jour],Taches_Jours1224363917202932354144475053565962678320243236444856526064687276808896921001041121161081201241281321361401441481521561601641681721761801841881921962002042082122612162024283236[[#This Row],[Jours]])</f>
        <v>0.249999999999999</v>
      </c>
      <c r="J54" s="290" t="n">
        <f aca="false">SUM(Taches_Jours1224363917202932354144475053565962678320243236444856526064687276808896921001041121161081201241281321361401441481521561601641681721761801841881921962002042082122612162024283236[[#This Row],[GB]:[GP / SP]])</f>
        <v>6.25</v>
      </c>
      <c r="K54" s="188"/>
      <c r="L54" s="288"/>
      <c r="M54" s="289"/>
      <c r="N54" s="187"/>
      <c r="O54" s="1"/>
      <c r="P54" s="1"/>
      <c r="Q54" s="1"/>
      <c r="R54" s="1"/>
      <c r="S54" s="1"/>
      <c r="T54" s="71"/>
      <c r="U54" s="71"/>
      <c r="V54" s="71"/>
      <c r="W54" s="71"/>
      <c r="X54" s="71"/>
      <c r="Y54" s="71"/>
      <c r="Z54" s="71"/>
      <c r="AA54" s="71"/>
      <c r="AB54" s="71"/>
      <c r="AC54" s="71"/>
      <c r="AD54" s="71"/>
      <c r="AE54" s="71"/>
      <c r="AF54" s="71"/>
    </row>
    <row r="55" customFormat="false" ht="15" hidden="true" customHeight="false" outlineLevel="1" collapsed="false">
      <c r="A55" s="187" t="s">
        <v>332</v>
      </c>
      <c r="B55" s="71" t="n">
        <f aca="false">SUMIFS(Horodateur11233538192231343743464952555861646985222634384650585462667074788290989410210611411811012212613013413814214615015415816216617017417818218619019419820220621021441014182226303438[Durée (100)],Horodateur11233538192231343743464952555861646985222634384650585462667074788290989410210611411811012212613013413814214615015415816216617017417818218619019419820220621021441014182226303438[Tâche],Taches_Jours1224363917202932354144475053565962678320243236444856526064687276808896921001041121161081201241281321361401441481521561601641681721761801841881921962002042082122612162024283236[[#Headers],[GB]],Horodateur11233538192231343743464952555861646985222634384650585462667074788290989410210611411811012212613013413814214615015415816216617017417818218619019419820220621021441014182226303438[Jour],Taches_Jours1224363917202932354144475053565962678320243236444856526064687276808896921001041121161081201241281321361401441481521561601641681721761801841881921962002042082122612162024283236[[#This Row],[Jours]])</f>
        <v>0</v>
      </c>
      <c r="C55" s="71" t="n">
        <f aca="false">SUMIFS(Horodateur11233538192231343743464952555861646985222634384650585462667074788290989410210611411811012212613013413814214615015415816216617017417818218619019419820220621021441014182226303438[Durée (100)],Horodateur11233538192231343743464952555861646985222634384650585462667074788290989410210611411811012212613013413814214615015415816216617017417818218619019419820220621021441014182226303438[Tâche],Taches_Jours1224363917202932354144475053565962678320243236444856526064687276808896921001041121161081201241281321361401441481521561601641681721761801841881921962002042082122612162024283236[[#Headers],[RI]],Horodateur11233538192231343743464952555861646985222634384650585462667074788290989410210611411811012212613013413814214615015415816216617017417818218619019419820220621021441014182226303438[Jour],Taches_Jours1224363917202932354144475053565962678320243236444856526064687276808896921001041121161081201241281321361401441481521561601641681721761801841881921962002042082122612162024283236[[#This Row],[Jours]])</f>
        <v>0</v>
      </c>
      <c r="D55" s="71" t="n">
        <f aca="false">SUMIFS(Horodateur11233538192231343743464952555861646985222634384650585462667074788290989410210611411811012212613013413814214615015415816216617017417818218619019419820220621021441014182226303438[Durée (100)],Horodateur11233538192231343743464952555861646985222634384650585462667074788290989410210611411811012212613013413814214615015415816216617017417818218619019419820220621021441014182226303438[Tâche],Taches_Jours1224363917202932354144475053565962678320243236444856526064687276808896921001041121161081201241281321361401441481521561601641681721761801841881921962002042082122612162024283236[[#Headers],[FG]],Horodateur11233538192231343743464952555861646985222634384650585462667074788290989410210611411811012212613013413814214615015415816216617017417818218619019419820220621021441014182226303438[Jour],Taches_Jours1224363917202932354144475053565962678320243236444856526064687276808896921001041121161081201241281321361401441481521561601641681721761801841881921962002042082122612162024283236[[#This Row],[Jours]])</f>
        <v>0</v>
      </c>
      <c r="E55" s="71" t="n">
        <f aca="false">SUMIFS(Horodateur11233538192231343743464952555861646985222634384650585462667074788290989410210611411811012212613013413814214615015415816216617017417818218619019419820220621021441014182226303438[Durée (100)],Horodateur11233538192231343743464952555861646985222634384650585462667074788290989410210611411811012212613013413814214615015415816216617017417818218619019419820220621021441014182226303438[Tâche],Taches_Jours1224363917202932354144475053565962678320243236444856526064687276808896921001041121161081201241281321361401441481521561601641681721761801841881921962002042082122612162024283236[[#Headers],[PS]],Horodateur11233538192231343743464952555861646985222634384650585462667074788290989410210611411811012212613013413814214615015415816216617017417818218619019419820220621021441014182226303438[Jour],Taches_Jours1224363917202932354144475053565962678320243236444856526064687276808896921001041121161081201241281321361401441481521561601641681721761801841881921962002042082122612162024283236[[#This Row],[Jours]])</f>
        <v>0</v>
      </c>
      <c r="F55" s="71" t="n">
        <f aca="false">SUMIFS(Horodateur11233538192231343743464952555861646985222634384650585462667074788290989410210611411811012212613013413814214615015415816216617017417818218619019419820220621021441014182226303438[Durée (100)],Horodateur11233538192231343743464952555861646985222634384650585462667074788290989410210611411811012212613013413814214615015415816216617017417818218619019419820220621021441014182226303438[Tâche],Taches_Jours1224363917202932354144475053565962678320243236444856526064687276808896921001041121161081201241281321361401441481521561601641681721761801841881921962002042082122612162024283236[[#Headers],[TD]],Horodateur11233538192231343743464952555861646985222634384650585462667074788290989410210611411811012212613013413814214615015415816216617017417818218619019419820220621021441014182226303438[Jour],Taches_Jours1224363917202932354144475053565962678320243236444856526064687276808896921001041121161081201241281321361401441481521561601641681721761801841881921962002042082122612162024283236[[#This Row],[Jours]])</f>
        <v>0</v>
      </c>
      <c r="G55" s="71" t="n">
        <f aca="false">SUMIFS(Horodateur11233538192231343743464952555861646985222634384650585462667074788290989410210611411811012212613013413814214615015415816216617017417818218619019419820220621021441014182226303438[Durée (100)],Horodateur11233538192231343743464952555861646985222634384650585462667074788290989410210611411811012212613013413814214615015415816216617017417818218619019419820220621021441014182226303438[Tâche],Taches_Jours1224363917202932354144475053565962678320243236444856526064687276808896921001041121161081201241281321361401441481521561601641681721761801841881921962002042082122612162024283236[[#Headers],[GP]],Horodateur11233538192231343743464952555861646985222634384650585462667074788290989410210611411811012212613013413814214615015415816216617017417818218619019419820220621021441014182226303438[Jour],Taches_Jours1224363917202932354144475053565962678320243236444856526064687276808896921001041121161081201241281321361401441481521561601641681721761801841881921962002042082122612162024283236[[#This Row],[Jours]])</f>
        <v>6.5</v>
      </c>
      <c r="H55" s="71" t="n">
        <f aca="false">SUMIFS(Horodateur11233538192231343743464952555861646985222634384650585462667074788290989410210611411811012212613013413814214615015415816216617017417818218619019419820220621021441014182226303438[Durée (100)],Horodateur11233538192231343743464952555861646985222634384650585462667074788290989410210611411811012212613013413814214615015415816216617017417818218619019419820220621021441014182226303438[Tâche],Taches_Jours1224363917202932354144475053565962678320243236444856526064687276808896921001041121161081201241281321361401441481521561601641681721761801841881921962002042082122612162024283236[[#Headers],[GP / SP]],Horodateur11233538192231343743464952555861646985222634384650585462667074788290989410210611411811012212613013413814214615015415816216617017417818218619019419820220621021441014182226303438[Jour],Taches_Jours1224363917202932354144475053565962678320243236444856526064687276808896921001041121161081201241281321361401441481521561601641681721761801841881921962002042082122612162024283236[[#This Row],[Jours]])</f>
        <v>0</v>
      </c>
      <c r="I55" s="71" t="n">
        <f aca="false">SUMIFS(Horodateur11233538192231343743464952555861646985222634384650585462667074788290989410210611411811012212613013413814214615015415816216617017417818218619019419820220621021441014182226303438[Durée (100)],Horodateur11233538192231343743464952555861646985222634384650585462667074788290989410210611411811012212613013413814214615015415816216617017417818218619019419820220621021441014182226303438[Tâche],Taches_Jours1224363917202932354144475053565962678320243236444856526064687276808896921001041121161081201241281321361401441481521561601641681721761801841881921962002042082122612162024283236[[#Headers],[GP / SP]],Horodateur11233538192231343743464952555861646985222634384650585462667074788290989410210611411811012212613013413814214615015415816216617017417818218619019419820220621021441014182226303438[Jour],Taches_Jours1224363917202932354144475053565962678320243236444856526064687276808896921001041121161081201241281321361401441481521561601641681721761801841881921962002042082122612162024283236[[#This Row],[Jours]])</f>
        <v>0</v>
      </c>
      <c r="J55" s="290" t="n">
        <f aca="false">SUM(Taches_Jours1224363917202932354144475053565962678320243236444856526064687276808896921001041121161081201241281321361401441481521561601641681721761801841881921962002042082122612162024283236[[#This Row],[GB]:[GP / SP]])</f>
        <v>6.5</v>
      </c>
      <c r="K55" s="188"/>
      <c r="L55" s="288"/>
      <c r="M55" s="289"/>
      <c r="N55" s="187"/>
      <c r="O55" s="71"/>
      <c r="P55" s="71"/>
      <c r="Q55" s="71"/>
      <c r="R55" s="71"/>
      <c r="S55" s="71"/>
      <c r="T55" s="71"/>
      <c r="U55" s="71"/>
      <c r="V55" s="71"/>
      <c r="W55" s="71"/>
      <c r="X55" s="71"/>
      <c r="Y55" s="71"/>
      <c r="Z55" s="71"/>
      <c r="AA55" s="71"/>
      <c r="AB55" s="71"/>
      <c r="AC55" s="71"/>
      <c r="AD55" s="71"/>
      <c r="AE55" s="71"/>
      <c r="AF55" s="71"/>
    </row>
    <row r="56" customFormat="false" ht="15" hidden="true" customHeight="false" outlineLevel="1" collapsed="false">
      <c r="A56" s="187" t="s">
        <v>335</v>
      </c>
      <c r="B56" s="71" t="n">
        <f aca="false">SUMIFS(Horodateur11233538192231343743464952555861646985222634384650585462667074788290989410210611411811012212613013413814214615015415816216617017417818218619019419820220621021441014182226303438[Durée (100)],Horodateur11233538192231343743464952555861646985222634384650585462667074788290989410210611411811012212613013413814214615015415816216617017417818218619019419820220621021441014182226303438[Tâche],Taches_Jours1224363917202932354144475053565962678320243236444856526064687276808896921001041121161081201241281321361401441481521561601641681721761801841881921962002042082122612162024283236[[#Headers],[GB]],Horodateur11233538192231343743464952555861646985222634384650585462667074788290989410210611411811012212613013413814214615015415816216617017417818218619019419820220621021441014182226303438[Jour],Taches_Jours1224363917202932354144475053565962678320243236444856526064687276808896921001041121161081201241281321361401441481521561601641681721761801841881921962002042082122612162024283236[[#This Row],[Jours]])</f>
        <v>0.500000000000001</v>
      </c>
      <c r="C56" s="71" t="n">
        <f aca="false">SUMIFS(Horodateur11233538192231343743464952555861646985222634384650585462667074788290989410210611411811012212613013413814214615015415816216617017417818218619019419820220621021441014182226303438[Durée (100)],Horodateur11233538192231343743464952555861646985222634384650585462667074788290989410210611411811012212613013413814214615015415816216617017417818218619019419820220621021441014182226303438[Tâche],Taches_Jours1224363917202932354144475053565962678320243236444856526064687276808896921001041121161081201241281321361401441481521561601641681721761801841881921962002042082122612162024283236[[#Headers],[RI]],Horodateur11233538192231343743464952555861646985222634384650585462667074788290989410210611411811012212613013413814214615015415816216617017417818218619019419820220621021441014182226303438[Jour],Taches_Jours1224363917202932354144475053565962678320243236444856526064687276808896921001041121161081201241281321361401441481521561601641681721761801841881921962002042082122612162024283236[[#This Row],[Jours]])</f>
        <v>0</v>
      </c>
      <c r="D56" s="71" t="n">
        <f aca="false">SUMIFS(Horodateur11233538192231343743464952555861646985222634384650585462667074788290989410210611411811012212613013413814214615015415816216617017417818218619019419820220621021441014182226303438[Durée (100)],Horodateur11233538192231343743464952555861646985222634384650585462667074788290989410210611411811012212613013413814214615015415816216617017417818218619019419820220621021441014182226303438[Tâche],Taches_Jours1224363917202932354144475053565962678320243236444856526064687276808896921001041121161081201241281321361401441481521561601641681721761801841881921962002042082122612162024283236[[#Headers],[FG]],Horodateur11233538192231343743464952555861646985222634384650585462667074788290989410210611411811012212613013413814214615015415816216617017417818218619019419820220621021441014182226303438[Jour],Taches_Jours1224363917202932354144475053565962678320243236444856526064687276808896921001041121161081201241281321361401441481521561601641681721761801841881921962002042082122612162024283236[[#This Row],[Jours]])</f>
        <v>0</v>
      </c>
      <c r="E56" s="71" t="n">
        <f aca="false">SUMIFS(Horodateur11233538192231343743464952555861646985222634384650585462667074788290989410210611411811012212613013413814214615015415816216617017417818218619019419820220621021441014182226303438[Durée (100)],Horodateur11233538192231343743464952555861646985222634384650585462667074788290989410210611411811012212613013413814214615015415816216617017417818218619019419820220621021441014182226303438[Tâche],Taches_Jours1224363917202932354144475053565962678320243236444856526064687276808896921001041121161081201241281321361401441481521561601641681721761801841881921962002042082122612162024283236[[#Headers],[PS]],Horodateur11233538192231343743464952555861646985222634384650585462667074788290989410210611411811012212613013413814214615015415816216617017417818218619019419820220621021441014182226303438[Jour],Taches_Jours1224363917202932354144475053565962678320243236444856526064687276808896921001041121161081201241281321361401441481521561601641681721761801841881921962002042082122612162024283236[[#This Row],[Jours]])</f>
        <v>0</v>
      </c>
      <c r="F56" s="71" t="n">
        <f aca="false">SUMIFS(Horodateur11233538192231343743464952555861646985222634384650585462667074788290989410210611411811012212613013413814214615015415816216617017417818218619019419820220621021441014182226303438[Durée (100)],Horodateur11233538192231343743464952555861646985222634384650585462667074788290989410210611411811012212613013413814214615015415816216617017417818218619019419820220621021441014182226303438[Tâche],Taches_Jours1224363917202932354144475053565962678320243236444856526064687276808896921001041121161081201241281321361401441481521561601641681721761801841881921962002042082122612162024283236[[#Headers],[TD]],Horodateur11233538192231343743464952555861646985222634384650585462667074788290989410210611411811012212613013413814214615015415816216617017417818218619019419820220621021441014182226303438[Jour],Taches_Jours1224363917202932354144475053565962678320243236444856526064687276808896921001041121161081201241281321361401441481521561601641681721761801841881921962002042082122612162024283236[[#This Row],[Jours]])</f>
        <v>0</v>
      </c>
      <c r="G56" s="71" t="n">
        <f aca="false">SUMIFS(Horodateur11233538192231343743464952555861646985222634384650585462667074788290989410210611411811012212613013413814214615015415816216617017417818218619019419820220621021441014182226303438[Durée (100)],Horodateur11233538192231343743464952555861646985222634384650585462667074788290989410210611411811012212613013413814214615015415816216617017417818218619019419820220621021441014182226303438[Tâche],Taches_Jours1224363917202932354144475053565962678320243236444856526064687276808896921001041121161081201241281321361401441481521561601641681721761801841881921962002042082122612162024283236[[#Headers],[GP]],Horodateur11233538192231343743464952555861646985222634384650585462667074788290989410210611411811012212613013413814214615015415816216617017417818218619019419820220621021441014182226303438[Jour],Taches_Jours1224363917202932354144475053565962678320243236444856526064687276808896921001041121161081201241281321361401441481521561601641681721761801841881921962002042082122612162024283236[[#This Row],[Jours]])</f>
        <v>1.5</v>
      </c>
      <c r="H56" s="71" t="n">
        <f aca="false">SUMIFS(Horodateur11233538192231343743464952555861646985222634384650585462667074788290989410210611411811012212613013413814214615015415816216617017417818218619019419820220621021441014182226303438[Durée (100)],Horodateur11233538192231343743464952555861646985222634384650585462667074788290989410210611411811012212613013413814214615015415816216617017417818218619019419820220621021441014182226303438[Tâche],Taches_Jours1224363917202932354144475053565962678320243236444856526064687276808896921001041121161081201241281321361401441481521561601641681721761801841881921962002042082122612162024283236[[#Headers],[GP / SP]],Horodateur11233538192231343743464952555861646985222634384650585462667074788290989410210611411811012212613013413814214615015415816216617017417818218619019419820220621021441014182226303438[Jour],Taches_Jours1224363917202932354144475053565962678320243236444856526064687276808896921001041121161081201241281321361401441481521561601641681721761801841881921962002042082122612162024283236[[#This Row],[Jours]])</f>
        <v>1.75</v>
      </c>
      <c r="I56" s="71" t="n">
        <f aca="false">SUMIFS(Horodateur11233538192231343743464952555861646985222634384650585462667074788290989410210611411811012212613013413814214615015415816216617017417818218619019419820220621021441014182226303438[Durée (100)],Horodateur11233538192231343743464952555861646985222634384650585462667074788290989410210611411811012212613013413814214615015415816216617017417818218619019419820220621021441014182226303438[Tâche],Taches_Jours1224363917202932354144475053565962678320243236444856526064687276808896921001041121161081201241281321361401441481521561601641681721761801841881921962002042082122612162024283236[[#Headers],[GP / SP]],Horodateur11233538192231343743464952555861646985222634384650585462667074788290989410210611411811012212613013413814214615015415816216617017417818218619019419820220621021441014182226303438[Jour],Taches_Jours1224363917202932354144475053565962678320243236444856526064687276808896921001041121161081201241281321361401441481521561601641681721761801841881921962002042082122612162024283236[[#This Row],[Jours]])</f>
        <v>1.75</v>
      </c>
      <c r="J56" s="290" t="n">
        <f aca="false">SUM(Taches_Jours1224363917202932354144475053565962678320243236444856526064687276808896921001041121161081201241281321361401441481521561601641681721761801841881921962002042082122612162024283236[[#This Row],[GB]:[GP / SP]])</f>
        <v>3.75</v>
      </c>
      <c r="K56" s="188"/>
      <c r="L56" s="288"/>
      <c r="M56" s="289"/>
      <c r="N56" s="187"/>
      <c r="O56" s="1"/>
      <c r="P56" s="1"/>
      <c r="Q56" s="1"/>
      <c r="R56" s="1"/>
      <c r="S56" s="1"/>
      <c r="T56" s="71"/>
      <c r="U56" s="71"/>
      <c r="V56" s="71"/>
      <c r="W56" s="71"/>
      <c r="X56" s="71"/>
      <c r="Y56" s="71"/>
      <c r="Z56" s="71"/>
      <c r="AA56" s="71"/>
      <c r="AB56" s="71"/>
      <c r="AC56" s="71"/>
      <c r="AD56" s="71"/>
      <c r="AE56" s="71"/>
      <c r="AF56" s="71"/>
    </row>
    <row r="57" customFormat="false" ht="15" hidden="true" customHeight="false" outlineLevel="1" collapsed="false">
      <c r="A57" s="187" t="s">
        <v>341</v>
      </c>
      <c r="B57" s="71" t="n">
        <f aca="false">SUMIFS(Horodateur11233538192231343743464952555861646985222634384650585462667074788290989410210611411811012212613013413814214615015415816216617017417818218619019419820220621021441014182226303438[Durée (100)],Horodateur11233538192231343743464952555861646985222634384650585462667074788290989410210611411811012212613013413814214615015415816216617017417818218619019419820220621021441014182226303438[Tâche],Taches_Jours1224363917202932354144475053565962678320243236444856526064687276808896921001041121161081201241281321361401441481521561601641681721761801841881921962002042082122612162024283236[[#Headers],[GB]],Horodateur11233538192231343743464952555861646985222634384650585462667074788290989410210611411811012212613013413814214615015415816216617017417818218619019419820220621021441014182226303438[Jour],Taches_Jours1224363917202932354144475053565962678320243236444856526064687276808896921001041121161081201241281321361401441481521561601641681721761801841881921962002042082122612162024283236[[#This Row],[Jours]])</f>
        <v>0</v>
      </c>
      <c r="C57" s="71" t="n">
        <f aca="false">SUMIFS(Horodateur11233538192231343743464952555861646985222634384650585462667074788290989410210611411811012212613013413814214615015415816216617017417818218619019419820220621021441014182226303438[Durée (100)],Horodateur11233538192231343743464952555861646985222634384650585462667074788290989410210611411811012212613013413814214615015415816216617017417818218619019419820220621021441014182226303438[Tâche],Taches_Jours1224363917202932354144475053565962678320243236444856526064687276808896921001041121161081201241281321361401441481521561601641681721761801841881921962002042082122612162024283236[[#Headers],[RI]],Horodateur11233538192231343743464952555861646985222634384650585462667074788290989410210611411811012212613013413814214615015415816216617017417818218619019419820220621021441014182226303438[Jour],Taches_Jours1224363917202932354144475053565962678320243236444856526064687276808896921001041121161081201241281321361401441481521561601641681721761801841881921962002042082122612162024283236[[#This Row],[Jours]])</f>
        <v>0</v>
      </c>
      <c r="D57" s="71" t="n">
        <f aca="false">SUMIFS(Horodateur11233538192231343743464952555861646985222634384650585462667074788290989410210611411811012212613013413814214615015415816216617017417818218619019419820220621021441014182226303438[Durée (100)],Horodateur11233538192231343743464952555861646985222634384650585462667074788290989410210611411811012212613013413814214615015415816216617017417818218619019419820220621021441014182226303438[Tâche],Taches_Jours1224363917202932354144475053565962678320243236444856526064687276808896921001041121161081201241281321361401441481521561601641681721761801841881921962002042082122612162024283236[[#Headers],[FG]],Horodateur11233538192231343743464952555861646985222634384650585462667074788290989410210611411811012212613013413814214615015415816216617017417818218619019419820220621021441014182226303438[Jour],Taches_Jours1224363917202932354144475053565962678320243236444856526064687276808896921001041121161081201241281321361401441481521561601641681721761801841881921962002042082122612162024283236[[#This Row],[Jours]])</f>
        <v>0</v>
      </c>
      <c r="E57" s="71" t="n">
        <f aca="false">SUMIFS(Horodateur11233538192231343743464952555861646985222634384650585462667074788290989410210611411811012212613013413814214615015415816216617017417818218619019419820220621021441014182226303438[Durée (100)],Horodateur11233538192231343743464952555861646985222634384650585462667074788290989410210611411811012212613013413814214615015415816216617017417818218619019419820220621021441014182226303438[Tâche],Taches_Jours1224363917202932354144475053565962678320243236444856526064687276808896921001041121161081201241281321361401441481521561601641681721761801841881921962002042082122612162024283236[[#Headers],[PS]],Horodateur11233538192231343743464952555861646985222634384650585462667074788290989410210611411811012212613013413814214615015415816216617017417818218619019419820220621021441014182226303438[Jour],Taches_Jours1224363917202932354144475053565962678320243236444856526064687276808896921001041121161081201241281321361401441481521561601641681721761801841881921962002042082122612162024283236[[#This Row],[Jours]])</f>
        <v>0</v>
      </c>
      <c r="F57" s="71" t="n">
        <f aca="false">SUMIFS(Horodateur11233538192231343743464952555861646985222634384650585462667074788290989410210611411811012212613013413814214615015415816216617017417818218619019419820220621021441014182226303438[Durée (100)],Horodateur11233538192231343743464952555861646985222634384650585462667074788290989410210611411811012212613013413814214615015415816216617017417818218619019419820220621021441014182226303438[Tâche],Taches_Jours1224363917202932354144475053565962678320243236444856526064687276808896921001041121161081201241281321361401441481521561601641681721761801841881921962002042082122612162024283236[[#Headers],[TD]],Horodateur11233538192231343743464952555861646985222634384650585462667074788290989410210611411811012212613013413814214615015415816216617017417818218619019419820220621021441014182226303438[Jour],Taches_Jours1224363917202932354144475053565962678320243236444856526064687276808896921001041121161081201241281321361401441481521561601641681721761801841881921962002042082122612162024283236[[#This Row],[Jours]])</f>
        <v>0</v>
      </c>
      <c r="G57" s="71" t="n">
        <f aca="false">SUMIFS(Horodateur11233538192231343743464952555861646985222634384650585462667074788290989410210611411811012212613013413814214615015415816216617017417818218619019419820220621021441014182226303438[Durée (100)],Horodateur11233538192231343743464952555861646985222634384650585462667074788290989410210611411811012212613013413814214615015415816216617017417818218619019419820220621021441014182226303438[Tâche],Taches_Jours1224363917202932354144475053565962678320243236444856526064687276808896921001041121161081201241281321361401441481521561601641681721761801841881921962002042082122612162024283236[[#Headers],[GP]],Horodateur11233538192231343743464952555861646985222634384650585462667074788290989410210611411811012212613013413814214615015415816216617017417818218619019419820220621021441014182226303438[Jour],Taches_Jours1224363917202932354144475053565962678320243236444856526064687276808896921001041121161081201241281321361401441481521561601641681721761801841881921962002042082122612162024283236[[#This Row],[Jours]])</f>
        <v>4</v>
      </c>
      <c r="H57" s="71" t="n">
        <f aca="false">SUMIFS(Horodateur11233538192231343743464952555861646985222634384650585462667074788290989410210611411811012212613013413814214615015415816216617017417818218619019419820220621021441014182226303438[Durée (100)],Horodateur11233538192231343743464952555861646985222634384650585462667074788290989410210611411811012212613013413814214615015415816216617017417818218619019419820220621021441014182226303438[Tâche],Taches_Jours1224363917202932354144475053565962678320243236444856526064687276808896921001041121161081201241281321361401441481521561601641681721761801841881921962002042082122612162024283236[[#Headers],[GP / SP]],Horodateur11233538192231343743464952555861646985222634384650585462667074788290989410210611411811012212613013413814214615015415816216617017417818218619019419820220621021441014182226303438[Jour],Taches_Jours1224363917202932354144475053565962678320243236444856526064687276808896921001041121161081201241281321361401441481521561601641681721761801841881921962002042082122612162024283236[[#This Row],[Jours]])</f>
        <v>0</v>
      </c>
      <c r="I57" s="290" t="n">
        <f aca="false">SUMIFS(Horodateur11233538192231343743464952555861646985222634384650585462667074788290989410210611411811012212613013413814214615015415816216617017417818218619019419820220621021441014182226303438[Durée (100)],Horodateur11233538192231343743464952555861646985222634384650585462667074788290989410210611411811012212613013413814214615015415816216617017417818218619019419820220621021441014182226303438[Tâche],Taches_Jours1224363917202932354144475053565962678320243236444856526064687276808896921001041121161081201241281321361401441481521561601641681721761801841881921962002042082122612162024283236[[#Headers],[GP / SP]],Horodateur11233538192231343743464952555861646985222634384650585462667074788290989410210611411811012212613013413814214615015415816216617017417818218619019419820220621021441014182226303438[Jour],Taches_Jours1224363917202932354144475053565962678320243236444856526064687276808896921001041121161081201241281321361401441481521561601641681721761801841881921962002042082122612162024283236[[#This Row],[Jours]])</f>
        <v>0</v>
      </c>
      <c r="J57" s="71" t="n">
        <f aca="false">SUM(Taches_Jours1224363917202932354144475053565962678320243236444856526064687276808896921001041121161081201241281321361401441481521561601641681721761801841881921962002042082122612162024283236[[#This Row],[GB]:[GP / SP]])</f>
        <v>4</v>
      </c>
      <c r="K57" s="188"/>
      <c r="L57" s="288"/>
      <c r="M57" s="289"/>
      <c r="N57" s="187"/>
      <c r="O57" s="1"/>
      <c r="P57" s="1"/>
      <c r="Q57" s="1"/>
      <c r="R57" s="1"/>
      <c r="S57" s="1"/>
      <c r="T57" s="71"/>
      <c r="U57" s="71"/>
      <c r="V57" s="71"/>
      <c r="W57" s="71"/>
      <c r="X57" s="71"/>
      <c r="Y57" s="71"/>
      <c r="Z57" s="71"/>
      <c r="AA57" s="71"/>
      <c r="AB57" s="71"/>
      <c r="AC57" s="71"/>
      <c r="AD57" s="71"/>
      <c r="AE57" s="71"/>
      <c r="AF57" s="71"/>
    </row>
    <row r="58" customFormat="false" ht="15" hidden="true" customHeight="false" outlineLevel="1" collapsed="false">
      <c r="A58" s="187" t="s">
        <v>381</v>
      </c>
      <c r="B58" s="71" t="n">
        <f aca="false">SUMIFS(Horodateur11233538192231343743464952555861646985222634384650585462667074788290989410210611411811012212613013413814214615015415816216617017417818218619019419820220621021441014182226303438[Durée (100)],Horodateur11233538192231343743464952555861646985222634384650585462667074788290989410210611411811012212613013413814214615015415816216617017417818218619019419820220621021441014182226303438[Tâche],Taches_Jours1224363917202932354144475053565962678320243236444856526064687276808896921001041121161081201241281321361401441481521561601641681721761801841881921962002042082122612162024283236[[#Headers],[GB]],Horodateur11233538192231343743464952555861646985222634384650585462667074788290989410210611411811012212613013413814214615015415816216617017417818218619019419820220621021441014182226303438[Jour],Taches_Jours1224363917202932354144475053565962678320243236444856526064687276808896921001041121161081201241281321361401441481521561601641681721761801841881921962002042082122612162024283236[[#This Row],[Jours]])</f>
        <v>0</v>
      </c>
      <c r="C58" s="71" t="n">
        <f aca="false">SUMIFS(Horodateur11233538192231343743464952555861646985222634384650585462667074788290989410210611411811012212613013413814214615015415816216617017417818218619019419820220621021441014182226303438[Durée (100)],Horodateur11233538192231343743464952555861646985222634384650585462667074788290989410210611411811012212613013413814214615015415816216617017417818218619019419820220621021441014182226303438[Tâche],Taches_Jours1224363917202932354144475053565962678320243236444856526064687276808896921001041121161081201241281321361401441481521561601641681721761801841881921962002042082122612162024283236[[#Headers],[RI]],Horodateur11233538192231343743464952555861646985222634384650585462667074788290989410210611411811012212613013413814214615015415816216617017417818218619019419820220621021441014182226303438[Jour],Taches_Jours1224363917202932354144475053565962678320243236444856526064687276808896921001041121161081201241281321361401441481521561601641681721761801841881921962002042082122612162024283236[[#This Row],[Jours]])</f>
        <v>0</v>
      </c>
      <c r="D58" s="71" t="n">
        <f aca="false">SUMIFS(Horodateur11233538192231343743464952555861646985222634384650585462667074788290989410210611411811012212613013413814214615015415816216617017417818218619019419820220621021441014182226303438[Durée (100)],Horodateur11233538192231343743464952555861646985222634384650585462667074788290989410210611411811012212613013413814214615015415816216617017417818218619019419820220621021441014182226303438[Tâche],Taches_Jours1224363917202932354144475053565962678320243236444856526064687276808896921001041121161081201241281321361401441481521561601641681721761801841881921962002042082122612162024283236[[#Headers],[FG]],Horodateur11233538192231343743464952555861646985222634384650585462667074788290989410210611411811012212613013413814214615015415816216617017417818218619019419820220621021441014182226303438[Jour],Taches_Jours1224363917202932354144475053565962678320243236444856526064687276808896921001041121161081201241281321361401441481521561601641681721761801841881921962002042082122612162024283236[[#This Row],[Jours]])</f>
        <v>0</v>
      </c>
      <c r="E58" s="71" t="n">
        <f aca="false">SUMIFS(Horodateur11233538192231343743464952555861646985222634384650585462667074788290989410210611411811012212613013413814214615015415816216617017417818218619019419820220621021441014182226303438[Durée (100)],Horodateur11233538192231343743464952555861646985222634384650585462667074788290989410210611411811012212613013413814214615015415816216617017417818218619019419820220621021441014182226303438[Tâche],Taches_Jours1224363917202932354144475053565962678320243236444856526064687276808896921001041121161081201241281321361401441481521561601641681721761801841881921962002042082122612162024283236[[#Headers],[PS]],Horodateur11233538192231343743464952555861646985222634384650585462667074788290989410210611411811012212613013413814214615015415816216617017417818218619019419820220621021441014182226303438[Jour],Taches_Jours1224363917202932354144475053565962678320243236444856526064687276808896921001041121161081201241281321361401441481521561601641681721761801841881921962002042082122612162024283236[[#This Row],[Jours]])</f>
        <v>0</v>
      </c>
      <c r="F58" s="71" t="n">
        <f aca="false">SUMIFS(Horodateur11233538192231343743464952555861646985222634384650585462667074788290989410210611411811012212613013413814214615015415816216617017417818218619019419820220621021441014182226303438[Durée (100)],Horodateur11233538192231343743464952555861646985222634384650585462667074788290989410210611411811012212613013413814214615015415816216617017417818218619019419820220621021441014182226303438[Tâche],Taches_Jours1224363917202932354144475053565962678320243236444856526064687276808896921001041121161081201241281321361401441481521561601641681721761801841881921962002042082122612162024283236[[#Headers],[TD]],Horodateur11233538192231343743464952555861646985222634384650585462667074788290989410210611411811012212613013413814214615015415816216617017417818218619019419820220621021441014182226303438[Jour],Taches_Jours1224363917202932354144475053565962678320243236444856526064687276808896921001041121161081201241281321361401441481521561601641681721761801841881921962002042082122612162024283236[[#This Row],[Jours]])</f>
        <v>0</v>
      </c>
      <c r="G58" s="71" t="n">
        <f aca="false">SUMIFS(Horodateur11233538192231343743464952555861646985222634384650585462667074788290989410210611411811012212613013413814214615015415816216617017417818218619019419820220621021441014182226303438[Durée (100)],Horodateur11233538192231343743464952555861646985222634384650585462667074788290989410210611411811012212613013413814214615015415816216617017417818218619019419820220621021441014182226303438[Tâche],Taches_Jours1224363917202932354144475053565962678320243236444856526064687276808896921001041121161081201241281321361401441481521561601641681721761801841881921962002042082122612162024283236[[#Headers],[GP]],Horodateur11233538192231343743464952555861646985222634384650585462667074788290989410210611411811012212613013413814214615015415816216617017417818218619019419820220621021441014182226303438[Jour],Taches_Jours1224363917202932354144475053565962678320243236444856526064687276808896921001041121161081201241281321361401441481521561601641681721761801841881921962002042082122612162024283236[[#This Row],[Jours]])</f>
        <v>0</v>
      </c>
      <c r="H58" s="71" t="n">
        <f aca="false">SUMIFS(Horodateur11233538192231343743464952555861646985222634384650585462667074788290989410210611411811012212613013413814214615015415816216617017417818218619019419820220621021441014182226303438[Durée (100)],Horodateur11233538192231343743464952555861646985222634384650585462667074788290989410210611411811012212613013413814214615015415816216617017417818218619019419820220621021441014182226303438[Tâche],Taches_Jours1224363917202932354144475053565962678320243236444856526064687276808896921001041121161081201241281321361401441481521561601641681721761801841881921962002042082122612162024283236[[#Headers],[GP / SP]],Horodateur11233538192231343743464952555861646985222634384650585462667074788290989410210611411811012212613013413814214615015415816216617017417818218619019419820220621021441014182226303438[Jour],Taches_Jours1224363917202932354144475053565962678320243236444856526064687276808896921001041121161081201241281321361401441481521561601641681721761801841881921962002042082122612162024283236[[#This Row],[Jours]])</f>
        <v>0</v>
      </c>
      <c r="I58" s="290" t="n">
        <f aca="false">SUMIFS(Horodateur11233538192231343743464952555861646985222634384650585462667074788290989410210611411811012212613013413814214615015415816216617017417818218619019419820220621021441014182226303438[Durée (100)],Horodateur11233538192231343743464952555861646985222634384650585462667074788290989410210611411811012212613013413814214615015415816216617017417818218619019419820220621021441014182226303438[Tâche],Taches_Jours1224363917202932354144475053565962678320243236444856526064687276808896921001041121161081201241281321361401441481521561601641681721761801841881921962002042082122612162024283236[[#Headers],[GP / SP]],Horodateur11233538192231343743464952555861646985222634384650585462667074788290989410210611411811012212613013413814214615015415816216617017417818218619019419820220621021441014182226303438[Jour],Taches_Jours1224363917202932354144475053565962678320243236444856526064687276808896921001041121161081201241281321361401441481521561601641681721761801841881921962002042082122612162024283236[[#This Row],[Jours]])</f>
        <v>0</v>
      </c>
      <c r="J58" s="71" t="n">
        <f aca="false">SUM(Taches_Jours1224363917202932354144475053565962678320243236444856526064687276808896921001041121161081201241281321361401441481521561601641681721761801841881921962002042082122612162024283236[[#This Row],[GB]:[GP / SP]])</f>
        <v>0</v>
      </c>
      <c r="K58" s="188"/>
      <c r="L58" s="288"/>
      <c r="M58" s="289"/>
      <c r="N58" s="187"/>
      <c r="O58" s="1"/>
      <c r="P58" s="1"/>
      <c r="Q58" s="1"/>
      <c r="R58" s="1"/>
      <c r="S58" s="1"/>
      <c r="T58" s="71"/>
      <c r="U58" s="71"/>
      <c r="V58" s="71"/>
      <c r="W58" s="71"/>
      <c r="X58" s="71"/>
      <c r="Y58" s="71"/>
      <c r="Z58" s="71"/>
      <c r="AA58" s="71"/>
      <c r="AB58" s="71"/>
      <c r="AC58" s="71"/>
      <c r="AD58" s="71"/>
      <c r="AE58" s="71"/>
      <c r="AF58" s="71"/>
    </row>
    <row r="59" customFormat="false" ht="15" hidden="true" customHeight="false" outlineLevel="1" collapsed="false">
      <c r="A59" s="137"/>
      <c r="B59" s="187"/>
      <c r="C59" s="71"/>
      <c r="D59" s="1"/>
      <c r="E59" s="1"/>
      <c r="F59" s="71"/>
      <c r="G59" s="1"/>
      <c r="H59" s="1"/>
      <c r="I59" s="119"/>
      <c r="J59" s="271"/>
      <c r="K59" s="1"/>
      <c r="L59" s="188"/>
      <c r="M59" s="272"/>
      <c r="N59" s="187"/>
      <c r="O59" s="1"/>
      <c r="P59" s="1"/>
      <c r="Q59" s="1"/>
      <c r="R59" s="1"/>
      <c r="S59" s="1"/>
      <c r="T59" s="1"/>
      <c r="U59" s="71"/>
      <c r="V59" s="71"/>
      <c r="W59" s="71"/>
      <c r="X59" s="71"/>
      <c r="Y59" s="71"/>
      <c r="Z59" s="71"/>
      <c r="AA59" s="71"/>
      <c r="AB59" s="71"/>
      <c r="AC59" s="71"/>
      <c r="AD59" s="71"/>
      <c r="AE59" s="71"/>
      <c r="AF59" s="71"/>
      <c r="AG59" s="71"/>
    </row>
    <row r="60" customFormat="false" ht="15" hidden="true" customHeight="false" outlineLevel="1" collapsed="false">
      <c r="A60" s="291" t="s">
        <v>85</v>
      </c>
      <c r="B60" s="292" t="s">
        <v>312</v>
      </c>
      <c r="C60" s="292" t="s">
        <v>319</v>
      </c>
      <c r="D60" s="292" t="s">
        <v>324</v>
      </c>
      <c r="E60" s="292" t="s">
        <v>332</v>
      </c>
      <c r="F60" s="293" t="s">
        <v>335</v>
      </c>
      <c r="G60" s="292" t="s">
        <v>341</v>
      </c>
      <c r="H60" s="292" t="s">
        <v>381</v>
      </c>
      <c r="I60" s="294" t="s">
        <v>58</v>
      </c>
      <c r="J60" s="271"/>
      <c r="K60" s="1"/>
      <c r="L60" s="188"/>
      <c r="M60" s="272"/>
      <c r="N60" s="187"/>
      <c r="O60" s="1"/>
      <c r="P60" s="1"/>
      <c r="Q60" s="1"/>
      <c r="R60" s="1"/>
      <c r="S60" s="1"/>
      <c r="T60" s="1"/>
      <c r="U60" s="71"/>
      <c r="V60" s="71"/>
      <c r="W60" s="71"/>
      <c r="X60" s="71"/>
      <c r="Y60" s="71"/>
      <c r="Z60" s="71"/>
      <c r="AA60" s="71"/>
      <c r="AB60" s="71"/>
      <c r="AC60" s="71"/>
      <c r="AD60" s="71"/>
      <c r="AE60" s="71"/>
      <c r="AF60" s="71"/>
      <c r="AG60" s="71"/>
    </row>
    <row r="61" customFormat="false" ht="15" hidden="true" customHeight="false" outlineLevel="1" collapsed="false">
      <c r="A61" s="137" t="s">
        <v>21</v>
      </c>
      <c r="B61" s="187" t="n">
        <f aca="false">SUMIFS(Horodateur11233538192231343743464952555861646985222634384650585462667074788290989410210611411811012212613013413814214615015415816216617017417818218619019419820220621021441014182226303438[Durée (100)],Horodateur11233538192231343743464952555861646985222634384650585462667074788290989410210611411811012212613013413814214615015415816216617017417818218619019419820220621021441014182226303438[Jour],$B$60,Horodateur11233538192231343743464952555861646985222634384650585462667074788290989410210611411811012212613013413814214615015415816216617017417818218619019419820220621021441014182226303438[Tâche],$A61)</f>
        <v>1.25</v>
      </c>
      <c r="C61" s="187" t="n">
        <f aca="false">SUMIFS(Horodateur11233538192231343743464952555861646985222634384650585462667074788290989410210611411811012212613013413814214615015415816216617017417818218619019419820220621021441014182226303438[Durée (100)],Horodateur11233538192231343743464952555861646985222634384650585462667074788290989410210611411811012212613013413814214615015415816216617017417818218619019419820220621021441014182226303438[Jour],$C$60,Horodateur11233538192231343743464952555861646985222634384650585462667074788290989410210611411811012212613013413814214615015415816216617017417818218619019419820220621021441014182226303438[Tâche],$A61)</f>
        <v>0</v>
      </c>
      <c r="D61" s="187" t="n">
        <f aca="false">SUMIFS(Horodateur11233538192231343743464952555861646985222634384650585462667074788290989410210611411811012212613013413814214615015415816216617017417818218619019419820220621021441014182226303438[Durée (100)],Horodateur11233538192231343743464952555861646985222634384650585462667074788290989410210611411811012212613013413814214615015415816216617017417818218619019419820220621021441014182226303438[Jour],$D$60,Horodateur11233538192231343743464952555861646985222634384650585462667074788290989410210611411811012212613013413814214615015415816216617017417818218619019419820220621021441014182226303438[Tâche],$A61)</f>
        <v>0.500000000000001</v>
      </c>
      <c r="E61" s="187" t="n">
        <f aca="false">SUMIFS(Horodateur11233538192231343743464952555861646985222634384650585462667074788290989410210611411811012212613013413814214615015415816216617017417818218619019419820220621021441014182226303438[Durée (100)],Horodateur11233538192231343743464952555861646985222634384650585462667074788290989410210611411811012212613013413814214615015415816216617017417818218619019419820220621021441014182226303438[Jour],$E$60,Horodateur11233538192231343743464952555861646985222634384650585462667074788290989410210611411811012212613013413814214615015415816216617017417818218619019419820220621021441014182226303438[Tâche],$A61)</f>
        <v>0</v>
      </c>
      <c r="F61" s="71" t="n">
        <f aca="false">SUMIFS(Horodateur11233538192231343743464952555861646985222634384650585462667074788290989410210611411811012212613013413814214615015415816216617017417818218619019419820220621021441014182226303438[Durée (100)],Horodateur11233538192231343743464952555861646985222634384650585462667074788290989410210611411811012212613013413814214615015415816216617017417818218619019419820220621021441014182226303438[Jour],$F$60,Horodateur11233538192231343743464952555861646985222634384650585462667074788290989410210611411811012212613013413814214615015415816216617017417818218619019419820220621021441014182226303438[Tâche],$A61)</f>
        <v>0.500000000000001</v>
      </c>
      <c r="G61" s="187" t="n">
        <f aca="false">SUMIFS(Horodateur11233538192231343743464952555861646985222634384650585462667074788290989410210611411811012212613013413814214615015415816216617017417818218619019419820220621021441014182226303438[Durée (100)],Horodateur11233538192231343743464952555861646985222634384650585462667074788290989410210611411811012212613013413814214615015415816216617017417818218619019419820220621021441014182226303438[Jour],$G$60,Horodateur11233538192231343743464952555861646985222634384650585462667074788290989410210611411811012212613013413814214615015415816216617017417818218619019419820220621021441014182226303438[Tâche],$A61)</f>
        <v>0</v>
      </c>
      <c r="H61" s="187" t="n">
        <f aca="false">SUMIFS(Horodateur11233538192231343743464952555861646985222634384650585462667074788290989410210611411811012212613013413814214615015415816216617017417818218619019419820220621021441014182226303438[Durée (100)],Horodateur11233538192231343743464952555861646985222634384650585462667074788290989410210611411811012212613013413814214615015415816216617017417818218619019419820220621021441014182226303438[Jour],$H$60,Horodateur11233538192231343743464952555861646985222634384650585462667074788290989410210611411811012212613013413814214615015415816216617017417818218619019419820220621021441014182226303438[Tâche],$A61)</f>
        <v>0</v>
      </c>
      <c r="I61" s="295" t="n">
        <f aca="false">SUM(Taches_Jour21325374018213033364245485154576063688421253337454957536165697377818997931011051131171091211251291331371411451491531571611651691731771811851891931972012052092133913172125293337[[#This Row],[1- Lundi]:[7- Dimanche]])</f>
        <v>2.25</v>
      </c>
      <c r="J61" s="271"/>
      <c r="K61" s="1"/>
      <c r="L61" s="188"/>
      <c r="M61" s="272"/>
      <c r="N61" s="187"/>
      <c r="O61" s="1"/>
      <c r="P61" s="1"/>
      <c r="Q61" s="1"/>
      <c r="R61" s="1"/>
      <c r="S61" s="1"/>
      <c r="T61" s="1"/>
      <c r="U61" s="71"/>
      <c r="V61" s="71"/>
      <c r="W61" s="71"/>
      <c r="X61" s="71"/>
      <c r="Y61" s="71"/>
      <c r="Z61" s="71"/>
      <c r="AA61" s="71"/>
      <c r="AB61" s="71"/>
      <c r="AC61" s="71"/>
      <c r="AD61" s="71"/>
      <c r="AE61" s="71"/>
      <c r="AF61" s="71"/>
      <c r="AG61" s="71"/>
    </row>
    <row r="62" customFormat="false" ht="15" hidden="true" customHeight="false" outlineLevel="1" collapsed="false">
      <c r="A62" s="137" t="s">
        <v>20</v>
      </c>
      <c r="B62" s="187" t="n">
        <f aca="false">SUMIFS(Horodateur11233538192231343743464952555861646985222634384650585462667074788290989410210611411811012212613013413814214615015415816216617017417818218619019419820220621021441014182226303438[Durée (100)],Horodateur11233538192231343743464952555861646985222634384650585462667074788290989410210611411811012212613013413814214615015415816216617017417818218619019419820220621021441014182226303438[Jour],$B$60,Horodateur11233538192231343743464952555861646985222634384650585462667074788290989410210611411811012212613013413814214615015415816216617017417818218619019419820220621021441014182226303438[Tâche],$A62)</f>
        <v>0.500000000000001</v>
      </c>
      <c r="C62" s="187" t="n">
        <f aca="false">SUMIFS(Horodateur11233538192231343743464952555861646985222634384650585462667074788290989410210611411811012212613013413814214615015415816216617017417818218619019419820220621021441014182226303438[Durée (100)],Horodateur11233538192231343743464952555861646985222634384650585462667074788290989410210611411811012212613013413814214615015415816216617017417818218619019419820220621021441014182226303438[Jour],$C$60,Horodateur11233538192231343743464952555861646985222634384650585462667074788290989410210611411811012212613013413814214615015415816216617017417818218619019419820220621021441014182226303438[Tâche],$A62)</f>
        <v>0</v>
      </c>
      <c r="D62" s="187" t="n">
        <f aca="false">SUMIFS(Horodateur11233538192231343743464952555861646985222634384650585462667074788290989410210611411811012212613013413814214615015415816216617017417818218619019419820220621021441014182226303438[Durée (100)],Horodateur11233538192231343743464952555861646985222634384650585462667074788290989410210611411811012212613013413814214615015415816216617017417818218619019419820220621021441014182226303438[Jour],$D$60,Horodateur11233538192231343743464952555861646985222634384650585462667074788290989410210611411811012212613013413814214615015415816216617017417818218619019419820220621021441014182226303438[Tâche],$A62)</f>
        <v>0</v>
      </c>
      <c r="E62" s="187" t="n">
        <f aca="false">SUMIFS(Horodateur11233538192231343743464952555861646985222634384650585462667074788290989410210611411811012212613013413814214615015415816216617017417818218619019419820220621021441014182226303438[Durée (100)],Horodateur11233538192231343743464952555861646985222634384650585462667074788290989410210611411811012212613013413814214615015415816216617017417818218619019419820220621021441014182226303438[Jour],$E$60,Horodateur11233538192231343743464952555861646985222634384650585462667074788290989410210611411811012212613013413814214615015415816216617017417818218619019419820220621021441014182226303438[Tâche],$A62)</f>
        <v>0</v>
      </c>
      <c r="F62" s="71" t="n">
        <f aca="false">SUMIFS(Horodateur11233538192231343743464952555861646985222634384650585462667074788290989410210611411811012212613013413814214615015415816216617017417818218619019419820220621021441014182226303438[Durée (100)],Horodateur11233538192231343743464952555861646985222634384650585462667074788290989410210611411811012212613013413814214615015415816216617017417818218619019419820220621021441014182226303438[Jour],$F$60,Horodateur11233538192231343743464952555861646985222634384650585462667074788290989410210611411811012212613013413814214615015415816216617017417818218619019419820220621021441014182226303438[Tâche],$A62)</f>
        <v>0</v>
      </c>
      <c r="G62" s="187" t="n">
        <f aca="false">SUMIFS(Horodateur11233538192231343743464952555861646985222634384650585462667074788290989410210611411811012212613013413814214615015415816216617017417818218619019419820220621021441014182226303438[Durée (100)],Horodateur11233538192231343743464952555861646985222634384650585462667074788290989410210611411811012212613013413814214615015415816216617017417818218619019419820220621021441014182226303438[Jour],$G$60,Horodateur11233538192231343743464952555861646985222634384650585462667074788290989410210611411811012212613013413814214615015415816216617017417818218619019419820220621021441014182226303438[Tâche],$A62)</f>
        <v>0</v>
      </c>
      <c r="H62" s="187" t="n">
        <f aca="false">SUMIFS(Horodateur11233538192231343743464952555861646985222634384650585462667074788290989410210611411811012212613013413814214615015415816216617017417818218619019419820220621021441014182226303438[Durée (100)],Horodateur11233538192231343743464952555861646985222634384650585462667074788290989410210611411811012212613013413814214615015415816216617017417818218619019419820220621021441014182226303438[Jour],$H$60,Horodateur11233538192231343743464952555861646985222634384650585462667074788290989410210611411811012212613013413814214615015415816216617017417818218619019419820220621021441014182226303438[Tâche],$A62)</f>
        <v>0</v>
      </c>
      <c r="I62" s="295" t="n">
        <f aca="false">SUM(Taches_Jour21325374018213033364245485154576063688421253337454957536165697377818997931011051131171091211251291331371411451491531571611651691731771811851891931972012052092133913172125293337[[#This Row],[1- Lundi]:[7- Dimanche]])</f>
        <v>0.500000000000001</v>
      </c>
      <c r="J62" s="271"/>
      <c r="K62" s="1"/>
      <c r="L62" s="188"/>
      <c r="M62" s="272"/>
      <c r="N62" s="187"/>
      <c r="O62" s="1"/>
      <c r="P62" s="1"/>
      <c r="Q62" s="1"/>
      <c r="R62" s="1"/>
      <c r="S62" s="1"/>
      <c r="T62" s="1"/>
      <c r="U62" s="71"/>
      <c r="V62" s="71"/>
      <c r="W62" s="71"/>
      <c r="X62" s="71"/>
      <c r="Y62" s="71"/>
      <c r="Z62" s="71"/>
      <c r="AA62" s="71"/>
      <c r="AB62" s="71"/>
      <c r="AC62" s="71"/>
      <c r="AD62" s="71"/>
      <c r="AE62" s="71"/>
      <c r="AF62" s="71"/>
      <c r="AG62" s="71"/>
    </row>
    <row r="63" customFormat="false" ht="15" hidden="true" customHeight="false" outlineLevel="1" collapsed="false">
      <c r="A63" s="137" t="s">
        <v>23</v>
      </c>
      <c r="B63" s="187" t="n">
        <f aca="false">SUMIFS(Horodateur11233538192231343743464952555861646985222634384650585462667074788290989410210611411811012212613013413814214615015415816216617017417818218619019419820220621021441014182226303438[Durée (100)],Horodateur11233538192231343743464952555861646985222634384650585462667074788290989410210611411811012212613013413814214615015415816216617017417818218619019419820220621021441014182226303438[Jour],$B$60,Horodateur11233538192231343743464952555861646985222634384650585462667074788290989410210611411811012212613013413814214615015415816216617017417818218619019419820220621021441014182226303438[Tâche],$A63)</f>
        <v>0</v>
      </c>
      <c r="C63" s="187" t="n">
        <f aca="false">SUMIFS(Horodateur11233538192231343743464952555861646985222634384650585462667074788290989410210611411811012212613013413814214615015415816216617017417818218619019419820220621021441014182226303438[Durée (100)],Horodateur11233538192231343743464952555861646985222634384650585462667074788290989410210611411811012212613013413814214615015415816216617017417818218619019419820220621021441014182226303438[Jour],$C$60,Horodateur11233538192231343743464952555861646985222634384650585462667074788290989410210611411811012212613013413814214615015415816216617017417818218619019419820220621021441014182226303438[Tâche],$A63)</f>
        <v>0</v>
      </c>
      <c r="D63" s="187" t="n">
        <f aca="false">SUMIFS(Horodateur11233538192231343743464952555861646985222634384650585462667074788290989410210611411811012212613013413814214615015415816216617017417818218619019419820220621021441014182226303438[Durée (100)],Horodateur11233538192231343743464952555861646985222634384650585462667074788290989410210611411811012212613013413814214615015415816216617017417818218619019419820220621021441014182226303438[Jour],$D$60,Horodateur11233538192231343743464952555861646985222634384650585462667074788290989410210611411811012212613013413814214615015415816216617017417818218619019419820220621021441014182226303438[Tâche],$A63)</f>
        <v>0</v>
      </c>
      <c r="E63" s="187" t="n">
        <f aca="false">SUMIFS(Horodateur11233538192231343743464952555861646985222634384650585462667074788290989410210611411811012212613013413814214615015415816216617017417818218619019419820220621021441014182226303438[Durée (100)],Horodateur11233538192231343743464952555861646985222634384650585462667074788290989410210611411811012212613013413814214615015415816216617017417818218619019419820220621021441014182226303438[Jour],$E$60,Horodateur11233538192231343743464952555861646985222634384650585462667074788290989410210611411811012212613013413814214615015415816216617017417818218619019419820220621021441014182226303438[Tâche],$A63)</f>
        <v>0</v>
      </c>
      <c r="F63" s="71" t="n">
        <f aca="false">SUMIFS(Horodateur11233538192231343743464952555861646985222634384650585462667074788290989410210611411811012212613013413814214615015415816216617017417818218619019419820220621021441014182226303438[Durée (100)],Horodateur11233538192231343743464952555861646985222634384650585462667074788290989410210611411811012212613013413814214615015415816216617017417818218619019419820220621021441014182226303438[Jour],$F$60,Horodateur11233538192231343743464952555861646985222634384650585462667074788290989410210611411811012212613013413814214615015415816216617017417818218619019419820220621021441014182226303438[Tâche],$A63)</f>
        <v>0</v>
      </c>
      <c r="G63" s="187" t="n">
        <f aca="false">SUMIFS(Horodateur11233538192231343743464952555861646985222634384650585462667074788290989410210611411811012212613013413814214615015415816216617017417818218619019419820220621021441014182226303438[Durée (100)],Horodateur11233538192231343743464952555861646985222634384650585462667074788290989410210611411811012212613013413814214615015415816216617017417818218619019419820220621021441014182226303438[Jour],$G$60,Horodateur11233538192231343743464952555861646985222634384650585462667074788290989410210611411811012212613013413814214615015415816216617017417818218619019419820220621021441014182226303438[Tâche],$A63)</f>
        <v>0</v>
      </c>
      <c r="H63" s="187" t="n">
        <f aca="false">SUMIFS(Horodateur11233538192231343743464952555861646985222634384650585462667074788290989410210611411811012212613013413814214615015415816216617017417818218619019419820220621021441014182226303438[Durée (100)],Horodateur11233538192231343743464952555861646985222634384650585462667074788290989410210611411811012212613013413814214615015415816216617017417818218619019419820220621021441014182226303438[Jour],$H$60,Horodateur11233538192231343743464952555861646985222634384650585462667074788290989410210611411811012212613013413814214615015415816216617017417818218619019419820220621021441014182226303438[Tâche],$A63)</f>
        <v>0</v>
      </c>
      <c r="I63" s="295" t="n">
        <f aca="false">SUM(Taches_Jour21325374018213033364245485154576063688421253337454957536165697377818997931011051131171091211251291331371411451491531571611651691731771811851891931972012052092133913172125293337[[#This Row],[1- Lundi]:[7- Dimanche]])</f>
        <v>0</v>
      </c>
      <c r="J63" s="271"/>
      <c r="K63" s="1"/>
      <c r="L63" s="188"/>
      <c r="M63" s="272"/>
      <c r="N63" s="187"/>
      <c r="O63" s="1"/>
      <c r="P63" s="1"/>
      <c r="Q63" s="1"/>
      <c r="R63" s="1"/>
      <c r="S63" s="1"/>
      <c r="T63" s="1"/>
      <c r="U63" s="71"/>
      <c r="V63" s="71"/>
      <c r="W63" s="71"/>
      <c r="X63" s="71"/>
      <c r="Y63" s="71"/>
      <c r="Z63" s="71"/>
      <c r="AA63" s="71"/>
      <c r="AB63" s="71"/>
      <c r="AC63" s="71"/>
      <c r="AD63" s="71"/>
      <c r="AE63" s="71"/>
      <c r="AF63" s="71"/>
      <c r="AG63" s="71"/>
    </row>
    <row r="64" customFormat="false" ht="15" hidden="true" customHeight="false" outlineLevel="1" collapsed="false">
      <c r="A64" s="137" t="s">
        <v>25</v>
      </c>
      <c r="B64" s="187" t="n">
        <f aca="false">SUMIFS(Horodateur11233538192231343743464952555861646985222634384650585462667074788290989410210611411811012212613013413814214615015415816216617017417818218619019419820220621021441014182226303438[Durée (100)],Horodateur11233538192231343743464952555861646985222634384650585462667074788290989410210611411811012212613013413814214615015415816216617017417818218619019419820220621021441014182226303438[Jour],$B$60,Horodateur11233538192231343743464952555861646985222634384650585462667074788290989410210611411811012212613013413814214615015415816216617017417818218619019419820220621021441014182226303438[Tâche],$A64)</f>
        <v>0</v>
      </c>
      <c r="C64" s="187" t="n">
        <f aca="false">SUMIFS(Horodateur11233538192231343743464952555861646985222634384650585462667074788290989410210611411811012212613013413814214615015415816216617017417818218619019419820220621021441014182226303438[Durée (100)],Horodateur11233538192231343743464952555861646985222634384650585462667074788290989410210611411811012212613013413814214615015415816216617017417818218619019419820220621021441014182226303438[Jour],$C$60,Horodateur11233538192231343743464952555861646985222634384650585462667074788290989410210611411811012212613013413814214615015415816216617017417818218619019419820220621021441014182226303438[Tâche],$A64)</f>
        <v>0</v>
      </c>
      <c r="D64" s="187" t="n">
        <f aca="false">SUMIFS(Horodateur11233538192231343743464952555861646985222634384650585462667074788290989410210611411811012212613013413814214615015415816216617017417818218619019419820220621021441014182226303438[Durée (100)],Horodateur11233538192231343743464952555861646985222634384650585462667074788290989410210611411811012212613013413814214615015415816216617017417818218619019419820220621021441014182226303438[Jour],$D$60,Horodateur11233538192231343743464952555861646985222634384650585462667074788290989410210611411811012212613013413814214615015415816216617017417818218619019419820220621021441014182226303438[Tâche],$A64)</f>
        <v>0</v>
      </c>
      <c r="E64" s="187" t="n">
        <f aca="false">SUMIFS(Horodateur11233538192231343743464952555861646985222634384650585462667074788290989410210611411811012212613013413814214615015415816216617017417818218619019419820220621021441014182226303438[Durée (100)],Horodateur11233538192231343743464952555861646985222634384650585462667074788290989410210611411811012212613013413814214615015415816216617017417818218619019419820220621021441014182226303438[Jour],$E$60,Horodateur11233538192231343743464952555861646985222634384650585462667074788290989410210611411811012212613013413814214615015415816216617017417818218619019419820220621021441014182226303438[Tâche],$A64)</f>
        <v>0</v>
      </c>
      <c r="F64" s="71" t="n">
        <f aca="false">SUMIFS(Horodateur11233538192231343743464952555861646985222634384650585462667074788290989410210611411811012212613013413814214615015415816216617017417818218619019419820220621021441014182226303438[Durée (100)],Horodateur11233538192231343743464952555861646985222634384650585462667074788290989410210611411811012212613013413814214615015415816216617017417818218619019419820220621021441014182226303438[Jour],$F$60,Horodateur11233538192231343743464952555861646985222634384650585462667074788290989410210611411811012212613013413814214615015415816216617017417818218619019419820220621021441014182226303438[Tâche],$A64)</f>
        <v>0</v>
      </c>
      <c r="G64" s="187" t="n">
        <f aca="false">SUMIFS(Horodateur11233538192231343743464952555861646985222634384650585462667074788290989410210611411811012212613013413814214615015415816216617017417818218619019419820220621021441014182226303438[Durée (100)],Horodateur11233538192231343743464952555861646985222634384650585462667074788290989410210611411811012212613013413814214615015415816216617017417818218619019419820220621021441014182226303438[Jour],$G$60,Horodateur11233538192231343743464952555861646985222634384650585462667074788290989410210611411811012212613013413814214615015415816216617017417818218619019419820220621021441014182226303438[Tâche],$A64)</f>
        <v>0</v>
      </c>
      <c r="H64" s="187" t="n">
        <f aca="false">SUMIFS(Horodateur11233538192231343743464952555861646985222634384650585462667074788290989410210611411811012212613013413814214615015415816216617017417818218619019419820220621021441014182226303438[Durée (100)],Horodateur11233538192231343743464952555861646985222634384650585462667074788290989410210611411811012212613013413814214615015415816216617017417818218619019419820220621021441014182226303438[Jour],$H$60,Horodateur11233538192231343743464952555861646985222634384650585462667074788290989410210611411811012212613013413814214615015415816216617017417818218619019419820220621021441014182226303438[Tâche],$A64)</f>
        <v>0</v>
      </c>
      <c r="I64" s="295" t="n">
        <f aca="false">SUM(Taches_Jour21325374018213033364245485154576063688421253337454957536165697377818997931011051131171091211251291331371411451491531571611651691731771811851891931972012052092133913172125293337[[#This Row],[1- Lundi]:[7- Dimanche]])</f>
        <v>0</v>
      </c>
      <c r="J64" s="271"/>
      <c r="K64" s="1"/>
      <c r="L64" s="188"/>
      <c r="M64" s="272"/>
      <c r="N64" s="187"/>
      <c r="O64" s="1"/>
      <c r="P64" s="1"/>
      <c r="Q64" s="1"/>
      <c r="R64" s="1"/>
      <c r="S64" s="1"/>
      <c r="T64" s="1"/>
      <c r="U64" s="71"/>
      <c r="V64" s="71"/>
      <c r="W64" s="71"/>
      <c r="X64" s="71"/>
      <c r="Y64" s="71"/>
      <c r="Z64" s="71"/>
      <c r="AA64" s="71"/>
      <c r="AB64" s="71"/>
      <c r="AC64" s="71"/>
      <c r="AD64" s="71"/>
      <c r="AE64" s="71"/>
      <c r="AF64" s="71"/>
      <c r="AG64" s="71"/>
    </row>
    <row r="65" customFormat="false" ht="15" hidden="true" customHeight="false" outlineLevel="1" collapsed="false">
      <c r="A65" s="137" t="s">
        <v>26</v>
      </c>
      <c r="B65" s="187" t="n">
        <f aca="false">SUMIFS(Horodateur11233538192231343743464952555861646985222634384650585462667074788290989410210611411811012212613013413814214615015415816216617017417818218619019419820220621021441014182226303438[Durée (100)],Horodateur11233538192231343743464952555861646985222634384650585462667074788290989410210611411811012212613013413814214615015415816216617017417818218619019419820220621021441014182226303438[Jour],$B$60,Horodateur11233538192231343743464952555861646985222634384650585462667074788290989410210611411811012212613013413814214615015415816216617017417818218619019419820220621021441014182226303438[Tâche],$A65)</f>
        <v>0</v>
      </c>
      <c r="C65" s="187" t="n">
        <f aca="false">SUMIFS(Horodateur11233538192231343743464952555861646985222634384650585462667074788290989410210611411811012212613013413814214615015415816216617017417818218619019419820220621021441014182226303438[Durée (100)],Horodateur11233538192231343743464952555861646985222634384650585462667074788290989410210611411811012212613013413814214615015415816216617017417818218619019419820220621021441014182226303438[Jour],$C$60,Horodateur11233538192231343743464952555861646985222634384650585462667074788290989410210611411811012212613013413814214615015415816216617017417818218619019419820220621021441014182226303438[Tâche],$A65)</f>
        <v>0</v>
      </c>
      <c r="D65" s="187" t="n">
        <f aca="false">SUMIFS(Horodateur11233538192231343743464952555861646985222634384650585462667074788290989410210611411811012212613013413814214615015415816216617017417818218619019419820220621021441014182226303438[Durée (100)],Horodateur11233538192231343743464952555861646985222634384650585462667074788290989410210611411811012212613013413814214615015415816216617017417818218619019419820220621021441014182226303438[Jour],$D$60,Horodateur11233538192231343743464952555861646985222634384650585462667074788290989410210611411811012212613013413814214615015415816216617017417818218619019419820220621021441014182226303438[Tâche],$A65)</f>
        <v>0</v>
      </c>
      <c r="E65" s="187" t="n">
        <f aca="false">SUMIFS(Horodateur11233538192231343743464952555861646985222634384650585462667074788290989410210611411811012212613013413814214615015415816216617017417818218619019419820220621021441014182226303438[Durée (100)],Horodateur11233538192231343743464952555861646985222634384650585462667074788290989410210611411811012212613013413814214615015415816216617017417818218619019419820220621021441014182226303438[Jour],$E$60,Horodateur11233538192231343743464952555861646985222634384650585462667074788290989410210611411811012212613013413814214615015415816216617017417818218619019419820220621021441014182226303438[Tâche],$A65)</f>
        <v>0</v>
      </c>
      <c r="F65" s="71" t="n">
        <f aca="false">SUMIFS(Horodateur11233538192231343743464952555861646985222634384650585462667074788290989410210611411811012212613013413814214615015415816216617017417818218619019419820220621021441014182226303438[Durée (100)],Horodateur11233538192231343743464952555861646985222634384650585462667074788290989410210611411811012212613013413814214615015415816216617017417818218619019419820220621021441014182226303438[Jour],$F$60,Horodateur11233538192231343743464952555861646985222634384650585462667074788290989410210611411811012212613013413814214615015415816216617017417818218619019419820220621021441014182226303438[Tâche],$A65)</f>
        <v>0</v>
      </c>
      <c r="G65" s="187" t="n">
        <f aca="false">SUMIFS(Horodateur11233538192231343743464952555861646985222634384650585462667074788290989410210611411811012212613013413814214615015415816216617017417818218619019419820220621021441014182226303438[Durée (100)],Horodateur11233538192231343743464952555861646985222634384650585462667074788290989410210611411811012212613013413814214615015415816216617017417818218619019419820220621021441014182226303438[Jour],$G$60,Horodateur11233538192231343743464952555861646985222634384650585462667074788290989410210611411811012212613013413814214615015415816216617017417818218619019419820220621021441014182226303438[Tâche],$A65)</f>
        <v>0</v>
      </c>
      <c r="H65" s="187" t="n">
        <f aca="false">SUMIFS(Horodateur11233538192231343743464952555861646985222634384650585462667074788290989410210611411811012212613013413814214615015415816216617017417818218619019419820220621021441014182226303438[Durée (100)],Horodateur11233538192231343743464952555861646985222634384650585462667074788290989410210611411811012212613013413814214615015415816216617017417818218619019419820220621021441014182226303438[Jour],$H$60,Horodateur11233538192231343743464952555861646985222634384650585462667074788290989410210611411811012212613013413814214615015415816216617017417818218619019419820220621021441014182226303438[Tâche],$A65)</f>
        <v>0</v>
      </c>
      <c r="I65" s="295" t="n">
        <f aca="false">SUM(Taches_Jour21325374018213033364245485154576063688421253337454957536165697377818997931011051131171091211251291331371411451491531571611651691731771811851891931972012052092133913172125293337[[#This Row],[1- Lundi]:[7- Dimanche]])</f>
        <v>0</v>
      </c>
      <c r="J65" s="271"/>
      <c r="K65" s="1"/>
      <c r="L65" s="188"/>
      <c r="M65" s="272"/>
      <c r="N65" s="187"/>
      <c r="O65" s="1"/>
      <c r="P65" s="1"/>
      <c r="Q65" s="1"/>
      <c r="R65" s="1"/>
      <c r="S65" s="1"/>
      <c r="T65" s="1"/>
      <c r="U65" s="71"/>
      <c r="V65" s="71"/>
      <c r="W65" s="71"/>
      <c r="X65" s="71"/>
      <c r="Y65" s="71"/>
      <c r="Z65" s="71"/>
      <c r="AA65" s="71"/>
      <c r="AB65" s="71"/>
      <c r="AC65" s="71"/>
      <c r="AD65" s="71"/>
      <c r="AE65" s="71"/>
      <c r="AF65" s="71"/>
      <c r="AG65" s="71"/>
    </row>
    <row r="66" customFormat="false" ht="15" hidden="true" customHeight="false" outlineLevel="1" collapsed="false">
      <c r="A66" s="137" t="s">
        <v>378</v>
      </c>
      <c r="B66" s="187" t="n">
        <f aca="false">SUMIFS(Horodateur11233538192231343743464952555861646985222634384650585462667074788290989410210611411811012212613013413814214615015415816216617017417818218619019419820220621021441014182226303438[Durée (100)],Horodateur11233538192231343743464952555861646985222634384650585462667074788290989410210611411811012212613013413814214615015415816216617017417818218619019419820220621021441014182226303438[Jour],$B$60,Horodateur11233538192231343743464952555861646985222634384650585462667074788290989410210611411811012212613013413814214615015415816216617017417818218619019419820220621021441014182226303438[Tâche],$A66)</f>
        <v>5.5</v>
      </c>
      <c r="C66" s="187" t="n">
        <f aca="false">SUMIFS(Horodateur11233538192231343743464952555861646985222634384650585462667074788290989410210611411811012212613013413814214615015415816216617017417818218619019419820220621021441014182226303438[Durée (100)],Horodateur11233538192231343743464952555861646985222634384650585462667074788290989410210611411811012212613013413814214615015415816216617017417818218619019419820220621021441014182226303438[Jour],$C$60,Horodateur11233538192231343743464952555861646985222634384650585462667074788290989410210611411811012212613013413814214615015415816216617017417818218619019419820220621021441014182226303438[Tâche],$A66)</f>
        <v>5.75</v>
      </c>
      <c r="D66" s="187" t="n">
        <f aca="false">SUMIFS(Horodateur11233538192231343743464952555861646985222634384650585462667074788290989410210611411811012212613013413814214615015415816216617017417818218619019419820220621021441014182226303438[Durée (100)],Horodateur11233538192231343743464952555861646985222634384650585462667074788290989410210611411811012212613013413814214615015415816216617017417818218619019419820220621021441014182226303438[Jour],$D$60,Horodateur11233538192231343743464952555861646985222634384650585462667074788290989410210611411811012212613013413814214615015415816216617017417818218619019419820220621021441014182226303438[Tâche],$A66)</f>
        <v>5.5</v>
      </c>
      <c r="E66" s="187" t="n">
        <f aca="false">SUMIFS(Horodateur11233538192231343743464952555861646985222634384650585462667074788290989410210611411811012212613013413814214615015415816216617017417818218619019419820220621021441014182226303438[Durée (100)],Horodateur11233538192231343743464952555861646985222634384650585462667074788290989410210611411811012212613013413814214615015415816216617017417818218619019419820220621021441014182226303438[Jour],$E$60,Horodateur11233538192231343743464952555861646985222634384650585462667074788290989410210611411811012212613013413814214615015415816216617017417818218619019419820220621021441014182226303438[Tâche],$A66)</f>
        <v>6.5</v>
      </c>
      <c r="F66" s="71" t="n">
        <f aca="false">SUMIFS(Horodateur11233538192231343743464952555861646985222634384650585462667074788290989410210611411811012212613013413814214615015415816216617017417818218619019419820220621021441014182226303438[Durée (100)],Horodateur11233538192231343743464952555861646985222634384650585462667074788290989410210611411811012212613013413814214615015415816216617017417818218619019419820220621021441014182226303438[Jour],$F$60,Horodateur11233538192231343743464952555861646985222634384650585462667074788290989410210611411811012212613013413814214615015415816216617017417818218619019419820220621021441014182226303438[Tâche],$A66)</f>
        <v>1.5</v>
      </c>
      <c r="G66" s="187" t="n">
        <f aca="false">SUMIFS(Horodateur11233538192231343743464952555861646985222634384650585462667074788290989410210611411811012212613013413814214615015415816216617017417818218619019419820220621021441014182226303438[Durée (100)],Horodateur11233538192231343743464952555861646985222634384650585462667074788290989410210611411811012212613013413814214615015415816216617017417818218619019419820220621021441014182226303438[Jour],$G$60,Horodateur11233538192231343743464952555861646985222634384650585462667074788290989410210611411811012212613013413814214615015415816216617017417818218619019419820220621021441014182226303438[Tâche],$A66)</f>
        <v>4</v>
      </c>
      <c r="H66" s="187" t="n">
        <f aca="false">SUMIFS(Horodateur11233538192231343743464952555861646985222634384650585462667074788290989410210611411811012212613013413814214615015415816216617017417818218619019419820220621021441014182226303438[Durée (100)],Horodateur11233538192231343743464952555861646985222634384650585462667074788290989410210611411811012212613013413814214615015415816216617017417818218619019419820220621021441014182226303438[Jour],$H$60,Horodateur11233538192231343743464952555861646985222634384650585462667074788290989410210611411811012212613013413814214615015415816216617017417818218619019419820220621021441014182226303438[Tâche],$A66)</f>
        <v>0</v>
      </c>
      <c r="I66" s="295" t="n">
        <f aca="false">SUM(Taches_Jour21325374018213033364245485154576063688421253337454957536165697377818997931011051131171091211251291331371411451491531571611651691731771811851891931972012052092133913172125293337[[#This Row],[1- Lundi]:[7- Dimanche]])</f>
        <v>28.75</v>
      </c>
      <c r="J66" s="271"/>
      <c r="K66" s="1"/>
      <c r="L66" s="188"/>
      <c r="M66" s="272"/>
      <c r="N66" s="187"/>
      <c r="O66" s="1"/>
      <c r="P66" s="1"/>
      <c r="Q66" s="1"/>
      <c r="R66" s="1"/>
      <c r="S66" s="1"/>
      <c r="T66" s="1"/>
      <c r="U66" s="71"/>
      <c r="V66" s="71"/>
      <c r="W66" s="71"/>
      <c r="X66" s="71"/>
      <c r="Y66" s="71"/>
      <c r="Z66" s="71"/>
      <c r="AA66" s="71"/>
      <c r="AB66" s="71"/>
      <c r="AC66" s="71"/>
      <c r="AD66" s="71"/>
      <c r="AE66" s="71"/>
      <c r="AF66" s="71"/>
      <c r="AG66" s="71"/>
    </row>
    <row r="67" customFormat="false" ht="15" hidden="true" customHeight="false" outlineLevel="1" collapsed="false">
      <c r="A67" s="137" t="s">
        <v>382</v>
      </c>
      <c r="B67" s="187" t="n">
        <f aca="false">SUMIFS(Horodateur11233538192231343743464952555861646985222634384650585462667074788290989410210611411811012212613013413814214615015415816216617017417818218619019419820220621021441014182226303438[Durée (100)],Horodateur11233538192231343743464952555861646985222634384650585462667074788290989410210611411811012212613013413814214615015415816216617017417818218619019419820220621021441014182226303438[Jour],$B$60,Horodateur11233538192231343743464952555861646985222634384650585462667074788290989410210611411811012212613013413814214615015415816216617017417818218619019419820220621021441014182226303438[Tâche],$A67)</f>
        <v>0</v>
      </c>
      <c r="C67" s="187" t="n">
        <f aca="false">SUMIFS(Horodateur11233538192231343743464952555861646985222634384650585462667074788290989410210611411811012212613013413814214615015415816216617017417818218619019419820220621021441014182226303438[Durée (100)],Horodateur11233538192231343743464952555861646985222634384650585462667074788290989410210611411811012212613013413814214615015415816216617017417818218619019419820220621021441014182226303438[Jour],$C$60,Horodateur11233538192231343743464952555861646985222634384650585462667074788290989410210611411811012212613013413814214615015415816216617017417818218619019419820220621021441014182226303438[Tâche],$A67)</f>
        <v>0</v>
      </c>
      <c r="D67" s="187" t="n">
        <f aca="false">SUMIFS(Horodateur11233538192231343743464952555861646985222634384650585462667074788290989410210611411811012212613013413814214615015415816216617017417818218619019419820220621021441014182226303438[Durée (100)],Horodateur11233538192231343743464952555861646985222634384650585462667074788290989410210611411811012212613013413814214615015415816216617017417818218619019419820220621021441014182226303438[Jour],$D$60,Horodateur11233538192231343743464952555861646985222634384650585462667074788290989410210611411811012212613013413814214615015415816216617017417818218619019419820220621021441014182226303438[Tâche],$A67)</f>
        <v>0</v>
      </c>
      <c r="E67" s="187" t="n">
        <f aca="false">SUMIFS(Horodateur11233538192231343743464952555861646985222634384650585462667074788290989410210611411811012212613013413814214615015415816216617017417818218619019419820220621021441014182226303438[Durée (100)],Horodateur11233538192231343743464952555861646985222634384650585462667074788290989410210611411811012212613013413814214615015415816216617017417818218619019419820220621021441014182226303438[Jour],$E$60,Horodateur11233538192231343743464952555861646985222634384650585462667074788290989410210611411811012212613013413814214615015415816216617017417818218619019419820220621021441014182226303438[Tâche],$A67)</f>
        <v>0</v>
      </c>
      <c r="F67" s="71" t="n">
        <f aca="false">SUMIFS(Horodateur11233538192231343743464952555861646985222634384650585462667074788290989410210611411811012212613013413814214615015415816216617017417818218619019419820220621021441014182226303438[Durée (100)],Horodateur11233538192231343743464952555861646985222634384650585462667074788290989410210611411811012212613013413814214615015415816216617017417818218619019419820220621021441014182226303438[Jour],$F$60,Horodateur11233538192231343743464952555861646985222634384650585462667074788290989410210611411811012212613013413814214615015415816216617017417818218619019419820220621021441014182226303438[Tâche],$A67)</f>
        <v>0</v>
      </c>
      <c r="G67" s="187" t="n">
        <f aca="false">SUMIFS(Horodateur11233538192231343743464952555861646985222634384650585462667074788290989410210611411811012212613013413814214615015415816216617017417818218619019419820220621021441014182226303438[Durée (100)],Horodateur11233538192231343743464952555861646985222634384650585462667074788290989410210611411811012212613013413814214615015415816216617017417818218619019419820220621021441014182226303438[Jour],$G$60,Horodateur11233538192231343743464952555861646985222634384650585462667074788290989410210611411811012212613013413814214615015415816216617017417818218619019419820220621021441014182226303438[Tâche],$A67)</f>
        <v>0</v>
      </c>
      <c r="H67" s="187" t="n">
        <f aca="false">SUMIFS(Horodateur11233538192231343743464952555861646985222634384650585462667074788290989410210611411811012212613013413814214615015415816216617017417818218619019419820220621021441014182226303438[Durée (100)],Horodateur11233538192231343743464952555861646985222634384650585462667074788290989410210611411811012212613013413814214615015415816216617017417818218619019419820220621021441014182226303438[Jour],$H$60,Horodateur11233538192231343743464952555861646985222634384650585462667074788290989410210611411811012212613013413814214615015415816216617017417818218619019419820220621021441014182226303438[Tâche],$A67)</f>
        <v>0</v>
      </c>
      <c r="I67" s="295" t="n">
        <f aca="false">SUM(Taches_Jour21325374018213033364245485154576063688421253337454957536165697377818997931011051131171091211251291331371411451491531571611651691731771811851891931972012052092133913172125293337[[#This Row],[1- Lundi]:[7- Dimanche]])</f>
        <v>0</v>
      </c>
      <c r="J67" s="271"/>
      <c r="K67" s="1"/>
      <c r="L67" s="188"/>
      <c r="M67" s="272"/>
      <c r="N67" s="187"/>
      <c r="O67" s="1"/>
      <c r="P67" s="1"/>
      <c r="Q67" s="1"/>
      <c r="R67" s="1"/>
      <c r="S67" s="1"/>
      <c r="T67" s="1"/>
      <c r="U67" s="71"/>
      <c r="V67" s="71"/>
      <c r="W67" s="71"/>
      <c r="X67" s="71"/>
      <c r="Y67" s="71"/>
      <c r="Z67" s="71"/>
      <c r="AA67" s="71"/>
      <c r="AB67" s="71"/>
      <c r="AC67" s="71"/>
      <c r="AD67" s="71"/>
      <c r="AE67" s="71"/>
      <c r="AF67" s="71"/>
      <c r="AG67" s="71"/>
    </row>
    <row r="68" customFormat="false" ht="15" hidden="true" customHeight="false" outlineLevel="1" collapsed="false">
      <c r="A68" s="137" t="s">
        <v>380</v>
      </c>
      <c r="B68" s="187" t="n">
        <f aca="false">SUMIFS(Horodateur11233538192231343743464952555861646985222634384650585462667074788290989410210611411811012212613013413814214615015415816216617017417818218619019419820220621021441014182226303438[Durée (100)],Horodateur11233538192231343743464952555861646985222634384650585462667074788290989410210611411811012212613013413814214615015415816216617017417818218619019419820220621021441014182226303438[Jour],$B$60,Horodateur11233538192231343743464952555861646985222634384650585462667074788290989410210611411811012212613013413814214615015415816216617017417818218619019419820220621021441014182226303438[Tâche],$A68)</f>
        <v>0</v>
      </c>
      <c r="C68" s="187" t="n">
        <f aca="false">SUMIFS(Horodateur11233538192231343743464952555861646985222634384650585462667074788290989410210611411811012212613013413814214615015415816216617017417818218619019419820220621021441014182226303438[Durée (100)],Horodateur11233538192231343743464952555861646985222634384650585462667074788290989410210611411811012212613013413814214615015415816216617017417818218619019419820220621021441014182226303438[Jour],$C$60,Horodateur11233538192231343743464952555861646985222634384650585462667074788290989410210611411811012212613013413814214615015415816216617017417818218619019419820220621021441014182226303438[Tâche],$A68)</f>
        <v>0</v>
      </c>
      <c r="D68" s="187" t="n">
        <f aca="false">SUMIFS(Horodateur11233538192231343743464952555861646985222634384650585462667074788290989410210611411811012212613013413814214615015415816216617017417818218619019419820220621021441014182226303438[Durée (100)],Horodateur11233538192231343743464952555861646985222634384650585462667074788290989410210611411811012212613013413814214615015415816216617017417818218619019419820220621021441014182226303438[Jour],$D$60,Horodateur11233538192231343743464952555861646985222634384650585462667074788290989410210611411811012212613013413814214615015415816216617017417818218619019419820220621021441014182226303438[Tâche],$A68)</f>
        <v>0</v>
      </c>
      <c r="E68" s="187" t="n">
        <f aca="false">SUMIFS(Horodateur11233538192231343743464952555861646985222634384650585462667074788290989410210611411811012212613013413814214615015415816216617017417818218619019419820220621021441014182226303438[Durée (100)],Horodateur11233538192231343743464952555861646985222634384650585462667074788290989410210611411811012212613013413814214615015415816216617017417818218619019419820220621021441014182226303438[Jour],$E$60,Horodateur11233538192231343743464952555861646985222634384650585462667074788290989410210611411811012212613013413814214615015415816216617017417818218619019419820220621021441014182226303438[Tâche],$A68)</f>
        <v>0</v>
      </c>
      <c r="F68" s="71" t="n">
        <f aca="false">SUMIFS(Horodateur11233538192231343743464952555861646985222634384650585462667074788290989410210611411811012212613013413814214615015415816216617017417818218619019419820220621021441014182226303438[Durée (100)],Horodateur11233538192231343743464952555861646985222634384650585462667074788290989410210611411811012212613013413814214615015415816216617017417818218619019419820220621021441014182226303438[Jour],$F$60,Horodateur11233538192231343743464952555861646985222634384650585462667074788290989410210611411811012212613013413814214615015415816216617017417818218619019419820220621021441014182226303438[Tâche],$A68)</f>
        <v>0</v>
      </c>
      <c r="G68" s="187" t="n">
        <f aca="false">SUMIFS(Horodateur11233538192231343743464952555861646985222634384650585462667074788290989410210611411811012212613013413814214615015415816216617017417818218619019419820220621021441014182226303438[Durée (100)],Horodateur11233538192231343743464952555861646985222634384650585462667074788290989410210611411811012212613013413814214615015415816216617017417818218619019419820220621021441014182226303438[Jour],$G$60,Horodateur11233538192231343743464952555861646985222634384650585462667074788290989410210611411811012212613013413814214615015415816216617017417818218619019419820220621021441014182226303438[Tâche],$A68)</f>
        <v>0</v>
      </c>
      <c r="H68" s="187" t="n">
        <f aca="false">SUMIFS(Horodateur11233538192231343743464952555861646985222634384650585462667074788290989410210611411811012212613013413814214615015415816216617017417818218619019419820220621021441014182226303438[Durée (100)],Horodateur11233538192231343743464952555861646985222634384650585462667074788290989410210611411811012212613013413814214615015415816216617017417818218619019419820220621021441014182226303438[Jour],$H$60,Horodateur11233538192231343743464952555861646985222634384650585462667074788290989410210611411811012212613013413814214615015415816216617017417818218619019419820220621021441014182226303438[Tâche],$A68)</f>
        <v>0</v>
      </c>
      <c r="I68" s="295" t="n">
        <f aca="false">SUM(Taches_Jour21325374018213033364245485154576063688421253337454957536165697377818997931011051131171091211251291331371411451491531571611651691731771811851891931972012052092133913172125293337[[#This Row],[1- Lundi]:[7- Dimanche]])</f>
        <v>0</v>
      </c>
      <c r="J68" s="271"/>
      <c r="K68" s="1"/>
      <c r="L68" s="188"/>
      <c r="M68" s="272"/>
      <c r="N68" s="76"/>
    </row>
    <row r="69" customFormat="false" ht="15" hidden="true" customHeight="false" outlineLevel="1" collapsed="false">
      <c r="N69" s="76"/>
    </row>
    <row r="70" customFormat="false" ht="15" hidden="false" customHeight="false" outlineLevel="1" collapsed="false">
      <c r="G70" s="0" t="s">
        <v>383</v>
      </c>
      <c r="N70" s="76"/>
    </row>
    <row r="71" customFormat="false" ht="15" hidden="false" customHeight="false" outlineLevel="0" collapsed="false">
      <c r="N71" s="76"/>
    </row>
    <row r="72" customFormat="false" ht="15" hidden="false" customHeight="false" outlineLevel="0" collapsed="false">
      <c r="G72" s="76"/>
      <c r="N72" s="76"/>
    </row>
    <row r="73" customFormat="false" ht="15" hidden="false" customHeight="false" outlineLevel="0" collapsed="false">
      <c r="N73" s="76"/>
    </row>
    <row r="74" customFormat="false" ht="15" hidden="false" customHeight="false" outlineLevel="0" collapsed="false">
      <c r="N74" s="76"/>
    </row>
    <row r="75" customFormat="false" ht="15" hidden="false" customHeight="false" outlineLevel="0" collapsed="false">
      <c r="N75" s="76"/>
    </row>
    <row r="76" customFormat="false" ht="15" hidden="false" customHeight="false" outlineLevel="0" collapsed="false">
      <c r="N76" s="76"/>
    </row>
    <row r="77" customFormat="false" ht="15" hidden="false" customHeight="false" outlineLevel="0" collapsed="false">
      <c r="N77" s="76"/>
    </row>
    <row r="78" customFormat="false" ht="15" hidden="false" customHeight="false" outlineLevel="0" collapsed="false">
      <c r="N78" s="76"/>
    </row>
    <row r="79" customFormat="false" ht="15" hidden="false" customHeight="false" outlineLevel="0" collapsed="false">
      <c r="N79" s="76"/>
    </row>
    <row r="80" customFormat="false" ht="15" hidden="false" customHeight="false" outlineLevel="0" collapsed="false">
      <c r="N80" s="76"/>
    </row>
    <row r="81" customFormat="false" ht="15" hidden="false" customHeight="false" outlineLevel="0" collapsed="false">
      <c r="N81" s="76"/>
    </row>
    <row r="82" customFormat="false" ht="15" hidden="false" customHeight="false" outlineLevel="0" collapsed="false">
      <c r="N82" s="76"/>
    </row>
    <row r="83" customFormat="false" ht="15" hidden="false" customHeight="false" outlineLevel="0" collapsed="false">
      <c r="N83" s="76"/>
    </row>
    <row r="84" customFormat="false" ht="15" hidden="false" customHeight="false" outlineLevel="0" collapsed="false">
      <c r="N84" s="76"/>
    </row>
    <row r="85" customFormat="false" ht="15" hidden="false" customHeight="false" outlineLevel="0" collapsed="false">
      <c r="N85" s="76"/>
    </row>
    <row r="86" customFormat="false" ht="15" hidden="false" customHeight="false" outlineLevel="0" collapsed="false">
      <c r="N86" s="76"/>
    </row>
    <row r="87" customFormat="false" ht="15" hidden="false" customHeight="false" outlineLevel="0" collapsed="false">
      <c r="N87" s="76"/>
    </row>
    <row r="88" customFormat="false" ht="15" hidden="false" customHeight="false" outlineLevel="0" collapsed="false">
      <c r="N88" s="76"/>
    </row>
    <row r="89" customFormat="false" ht="15" hidden="false" customHeight="false" outlineLevel="0" collapsed="false">
      <c r="N89" s="76"/>
    </row>
    <row r="90" customFormat="false" ht="15" hidden="false" customHeight="false" outlineLevel="0" collapsed="false">
      <c r="N90" s="76"/>
    </row>
    <row r="91" customFormat="false" ht="15" hidden="false" customHeight="false" outlineLevel="0" collapsed="false">
      <c r="N91" s="76"/>
    </row>
    <row r="92" customFormat="false" ht="15" hidden="false" customHeight="false" outlineLevel="0" collapsed="false">
      <c r="A92" s="296" t="s">
        <v>384</v>
      </c>
      <c r="B92" s="296"/>
      <c r="N92" s="76"/>
    </row>
    <row r="93" customFormat="false" ht="15" hidden="false" customHeight="false" outlineLevel="0" collapsed="false">
      <c r="A93" s="297" t="s">
        <v>385</v>
      </c>
      <c r="B93" s="297" t="s">
        <v>8</v>
      </c>
      <c r="N93" s="76"/>
    </row>
    <row r="94" customFormat="false" ht="15" hidden="false" customHeight="false" outlineLevel="0" collapsed="false">
      <c r="A94" s="298" t="n">
        <v>0</v>
      </c>
      <c r="B94" s="299" t="s">
        <v>386</v>
      </c>
      <c r="N94" s="76"/>
    </row>
    <row r="95" customFormat="false" ht="15" hidden="false" customHeight="false" outlineLevel="0" collapsed="false">
      <c r="A95" s="298" t="n">
        <v>-2</v>
      </c>
      <c r="B95" s="299" t="s">
        <v>387</v>
      </c>
      <c r="N95" s="76"/>
    </row>
    <row r="96" customFormat="false" ht="15" hidden="false" customHeight="false" outlineLevel="0" collapsed="false">
      <c r="A96" s="298" t="n">
        <v>8.5</v>
      </c>
      <c r="B96" s="299" t="s">
        <v>388</v>
      </c>
      <c r="N96" s="76"/>
    </row>
    <row r="97" customFormat="false" ht="15" hidden="false" customHeight="false" outlineLevel="0" collapsed="false">
      <c r="A97" s="298" t="n">
        <v>14.5</v>
      </c>
      <c r="B97" s="299" t="s">
        <v>389</v>
      </c>
      <c r="N97" s="76"/>
    </row>
    <row r="98" customFormat="false" ht="15" hidden="false" customHeight="false" outlineLevel="0" collapsed="false">
      <c r="A98" s="298" t="n">
        <v>8.5</v>
      </c>
      <c r="B98" s="299" t="s">
        <v>390</v>
      </c>
      <c r="N98" s="76"/>
    </row>
    <row r="99" customFormat="false" ht="15" hidden="false" customHeight="false" outlineLevel="0" collapsed="false">
      <c r="A99" s="298" t="n">
        <v>10</v>
      </c>
      <c r="B99" s="299" t="s">
        <v>391</v>
      </c>
      <c r="N99" s="76"/>
    </row>
    <row r="100" customFormat="false" ht="15" hidden="false" customHeight="false" outlineLevel="0" collapsed="false">
      <c r="A100" s="298" t="n">
        <v>-7.5</v>
      </c>
      <c r="B100" s="299" t="s">
        <v>392</v>
      </c>
      <c r="N100" s="76"/>
    </row>
    <row r="101" customFormat="false" ht="15" hidden="false" customHeight="false" outlineLevel="0" collapsed="false">
      <c r="A101" s="298" t="n">
        <v>2</v>
      </c>
      <c r="B101" s="299" t="s">
        <v>393</v>
      </c>
      <c r="N101" s="76"/>
    </row>
    <row r="102" customFormat="false" ht="15" hidden="false" customHeight="false" outlineLevel="0" collapsed="false">
      <c r="A102" s="300" t="n">
        <v>2</v>
      </c>
      <c r="B102" s="301" t="s">
        <v>394</v>
      </c>
      <c r="N102" s="76"/>
    </row>
    <row r="103" customFormat="false" ht="15" hidden="false" customHeight="false" outlineLevel="0" collapsed="false">
      <c r="A103" s="300" t="n">
        <v>2.25</v>
      </c>
      <c r="B103" s="301" t="s">
        <v>395</v>
      </c>
    </row>
    <row r="104" customFormat="false" ht="15" hidden="false" customHeight="false" outlineLevel="0" collapsed="false">
      <c r="A104" s="300" t="n">
        <v>-4</v>
      </c>
      <c r="B104" s="302" t="s">
        <v>396</v>
      </c>
    </row>
    <row r="105" customFormat="false" ht="15" hidden="false" customHeight="false" outlineLevel="0" collapsed="false">
      <c r="A105" s="300" t="n">
        <v>-7.5</v>
      </c>
      <c r="B105" s="301" t="s">
        <v>397</v>
      </c>
    </row>
  </sheetData>
  <mergeCells count="1">
    <mergeCell ref="A92:B92"/>
  </mergeCells>
  <conditionalFormatting sqref="G4:G43">
    <cfRule type="expression" priority="2" aboveAverage="0" equalAverage="0" bottom="0" percent="0" rank="0" text="" dxfId="824">
      <formula>L4="O"</formula>
    </cfRule>
    <cfRule type="expression" priority="3" aboveAverage="0" equalAverage="0" bottom="0" percent="0" rank="0" text="" dxfId="825">
      <formula>H4=0</formula>
    </cfRule>
  </conditionalFormatting>
  <conditionalFormatting sqref="F4:F43">
    <cfRule type="expression" priority="4" aboveAverage="0" equalAverage="0" bottom="0" percent="0" rank="0" text="" dxfId="826">
      <formula>L4="O"</formula>
    </cfRule>
  </conditionalFormatting>
  <conditionalFormatting sqref="E4:E43">
    <cfRule type="expression" priority="5" aboveAverage="0" equalAverage="0" bottom="0" percent="0" rank="0" text="" dxfId="827">
      <formula>L4="O"</formula>
    </cfRule>
  </conditionalFormatting>
  <conditionalFormatting sqref="C4:I43 K4:K43">
    <cfRule type="containsText" priority="6" operator="containsText" aboveAverage="0" equalAverage="0" bottom="0" percent="0" rank="0" text="Lundi" dxfId="693">
      <formula>NOT(ISERROR(SEARCH("Lundi",C4)))</formula>
    </cfRule>
  </conditionalFormatting>
  <conditionalFormatting sqref="D4:D43">
    <cfRule type="expression" priority="7" aboveAverage="0" equalAverage="0" bottom="0" percent="0" rank="0" text="" dxfId="828">
      <formula>L4="O"</formula>
    </cfRule>
  </conditionalFormatting>
  <conditionalFormatting sqref="C4:C43">
    <cfRule type="expression" priority="8" aboveAverage="0" equalAverage="0" bottom="0" percent="0" rank="0" text="" dxfId="829">
      <formula>L4="O"</formula>
    </cfRule>
  </conditionalFormatting>
  <conditionalFormatting sqref="K4:K43">
    <cfRule type="expression" priority="9" aboveAverage="0" equalAverage="0" bottom="0" percent="0" rank="0" text="" dxfId="830">
      <formula>L4="O"</formula>
    </cfRule>
  </conditionalFormatting>
  <conditionalFormatting sqref="I4:I43">
    <cfRule type="expression" priority="10" aboveAverage="0" equalAverage="0" bottom="0" percent="0" rank="0" text="" dxfId="831">
      <formula>L4="O"</formula>
    </cfRule>
  </conditionalFormatting>
  <conditionalFormatting sqref="H4:H43">
    <cfRule type="expression" priority="11" aboveAverage="0" equalAverage="0" bottom="0" percent="0" rank="0" text="" dxfId="832">
      <formula>L4="O"</formula>
    </cfRule>
  </conditionalFormatting>
  <conditionalFormatting sqref="F2:J2">
    <cfRule type="iconSet" priority="12">
      <iconSet iconSet="3TrafficLights1">
        <cfvo type="percent" val="0"/>
        <cfvo type="percent" val="33"/>
        <cfvo type="percent" val="67"/>
      </iconSet>
    </cfRule>
  </conditionalFormatting>
  <conditionalFormatting sqref="B4:B43">
    <cfRule type="containsText" priority="13" operator="containsText" aboveAverage="0" equalAverage="0" bottom="0" percent="0" rank="0" text="5" dxfId="833">
      <formula>NOT(ISERROR(SEARCH("5",B4)))</formula>
    </cfRule>
    <cfRule type="containsText" priority="14" operator="containsText" aboveAverage="0" equalAverage="0" bottom="0" percent="0" rank="0" text="4" dxfId="834">
      <formula>NOT(ISERROR(SEARCH("4",B4)))</formula>
    </cfRule>
    <cfRule type="containsText" priority="15" operator="containsText" aboveAverage="0" equalAverage="0" bottom="0" percent="0" rank="0" text="3" dxfId="835">
      <formula>NOT(ISERROR(SEARCH("3",B4)))</formula>
    </cfRule>
    <cfRule type="containsText" priority="16" operator="containsText" aboveAverage="0" equalAverage="0" bottom="0" percent="0" rank="0" text="2" dxfId="836">
      <formula>NOT(ISERROR(SEARCH("2",B4)))</formula>
    </cfRule>
    <cfRule type="containsText" priority="17" operator="containsText" aboveAverage="0" equalAverage="0" bottom="0" percent="0" rank="0" text="1" dxfId="837">
      <formula>NOT(ISERROR(SEARCH("1",B4)))</formula>
    </cfRule>
  </conditionalFormatting>
  <conditionalFormatting sqref="I61:I68">
    <cfRule type="dataBar" priority="18">
      <dataBar showValue="1" minLength="10" maxLength="90">
        <cfvo type="min" val="0"/>
        <cfvo type="max" val="0"/>
        <color rgb="FFFFB628"/>
      </dataBar>
      <extLst>
        <ext xmlns:x14="http://schemas.microsoft.com/office/spreadsheetml/2009/9/main" uri="{B025F937-C7B1-47D3-B67F-A62EFF666E3E}">
          <x14:id>{F71260ED-F0FB-4F14-8BD7-E1D713206C1E}</x14:id>
        </ext>
      </extLst>
    </cfRule>
  </conditionalFormatting>
  <conditionalFormatting sqref="I57:I58 J52:J56">
    <cfRule type="dataBar" priority="19">
      <dataBar showValue="1" minLength="10" maxLength="90">
        <cfvo type="min" val="0"/>
        <cfvo type="max" val="0"/>
        <color rgb="FFFFB628"/>
      </dataBar>
      <extLst>
        <ext xmlns:x14="http://schemas.microsoft.com/office/spreadsheetml/2009/9/main" uri="{B025F937-C7B1-47D3-B67F-A62EFF666E3E}">
          <x14:id>{B6FE95F4-5E24-49CE-82EE-C222DEFC774D}</x14:id>
        </ext>
      </extLst>
    </cfRule>
  </conditionalFormatting>
  <conditionalFormatting sqref="U2:AG2">
    <cfRule type="dataBar" priority="20">
      <dataBar showValue="1" minLength="10" maxLength="90">
        <cfvo type="min" val="0"/>
        <cfvo type="max" val="0"/>
        <color rgb="FF63C384"/>
      </dataBar>
      <extLst>
        <ext xmlns:x14="http://schemas.microsoft.com/office/spreadsheetml/2009/9/main" uri="{B025F937-C7B1-47D3-B67F-A62EFF666E3E}">
          <x14:id>{3F898A43-FAED-4FC3-9124-2992A2149CA8}</x14:id>
        </ext>
      </extLst>
    </cfRule>
  </conditionalFormatting>
  <conditionalFormatting sqref="N2:T2">
    <cfRule type="dataBar" priority="21">
      <dataBar showValue="1" minLength="10" maxLength="90">
        <cfvo type="min" val="0"/>
        <cfvo type="max" val="0"/>
        <color rgb="FFFFB628"/>
      </dataBar>
      <extLst>
        <ext xmlns:x14="http://schemas.microsoft.com/office/spreadsheetml/2009/9/main" uri="{B025F937-C7B1-47D3-B67F-A62EFF666E3E}">
          <x14:id>{10593ED2-93E4-42C6-B8F0-23E4656DDF7D}</x14:id>
        </ext>
      </extLst>
    </cfRule>
  </conditionalFormatting>
  <conditionalFormatting sqref="N2:AG2">
    <cfRule type="dataBar" priority="22">
      <dataBar showValue="1" minLength="10" maxLength="90">
        <cfvo type="min" val="0"/>
        <cfvo type="max" val="0"/>
        <color rgb="FFFFB628"/>
      </dataBar>
      <extLst>
        <ext xmlns:x14="http://schemas.microsoft.com/office/spreadsheetml/2009/9/main" uri="{B025F937-C7B1-47D3-B67F-A62EFF666E3E}">
          <x14:id>{FCFB9370-7694-494D-AEEE-2A8A7012DC43}</x14:id>
        </ext>
      </extLst>
    </cfRule>
  </conditionalFormatting>
  <conditionalFormatting sqref="N2:S2">
    <cfRule type="dataBar" priority="23">
      <dataBar showValue="1" minLength="10" maxLength="90">
        <cfvo type="min" val="0"/>
        <cfvo type="max" val="0"/>
        <color rgb="FF638EC6"/>
      </dataBar>
      <extLst>
        <ext xmlns:x14="http://schemas.microsoft.com/office/spreadsheetml/2009/9/main" uri="{B025F937-C7B1-47D3-B67F-A62EFF666E3E}">
          <x14:id>{D94B4B35-84F6-4DC5-A913-A0855D7772A5}</x14:id>
        </ext>
      </extLst>
    </cfRule>
  </conditionalFormatting>
  <conditionalFormatting sqref="T2">
    <cfRule type="dataBar" priority="24">
      <dataBar showValue="1" minLength="10" maxLength="90">
        <cfvo type="min" val="0"/>
        <cfvo type="max" val="0"/>
        <color rgb="FF63C384"/>
      </dataBar>
      <extLst>
        <ext xmlns:x14="http://schemas.microsoft.com/office/spreadsheetml/2009/9/main" uri="{B025F937-C7B1-47D3-B67F-A62EFF666E3E}">
          <x14:id>{AF50A010-3A78-4ED0-84FD-7F26F35FC13C}</x14:id>
        </ext>
      </extLst>
    </cfRule>
  </conditionalFormatting>
  <conditionalFormatting sqref="A4:A43">
    <cfRule type="colorScale" priority="25">
      <colorScale>
        <cfvo type="min" val="0"/>
        <cfvo type="percentile" val="50"/>
        <cfvo type="max" val="0"/>
        <color rgb="FFFFCC99"/>
        <color rgb="FFFFD966"/>
        <color rgb="FFFFF2CC"/>
      </colorScale>
    </cfRule>
  </conditionalFormatting>
  <conditionalFormatting sqref="J4:J43">
    <cfRule type="iconSet" priority="26">
      <iconSet iconSet="3TrafficLights1">
        <cfvo type="percent" val="0"/>
        <cfvo type="percent" val="33"/>
        <cfvo type="percent" val="67"/>
      </iconSet>
    </cfRule>
  </conditionalFormatting>
  <dataValidations count="4">
    <dataValidation allowBlank="true" errorStyle="stop" operator="between" showDropDown="false" showErrorMessage="true" showInputMessage="true" sqref="B1" type="list">
      <formula1>Data!$A$2:$A$106</formula1>
      <formula2>0</formula2>
    </dataValidation>
    <dataValidation allowBlank="true" errorStyle="information" errorTitle="OK ?" operator="between" showDropDown="false" showErrorMessage="true" showInputMessage="true" sqref="F4:F43" type="list">
      <formula1>Data!$D$2:$D$16</formula1>
      <formula2>0</formula2>
    </dataValidation>
    <dataValidation allowBlank="false" errorStyle="stop" operator="between" showDropDown="false" showErrorMessage="true" showInputMessage="true" sqref="E4:E43" type="list">
      <formula1>Data!$E$2:$E$30</formula1>
      <formula2>0</formula2>
    </dataValidation>
    <dataValidation allowBlank="true" errorStyle="stop" operator="between" showDropDown="false" showErrorMessage="true" showInputMessage="true" sqref="B4:B43" type="list">
      <formula1>Data!$C$2:$C$8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  <tableParts>
    <tablePart r:id="rId4"/>
    <tablePart r:id="rId5"/>
    <tablePart r:id="rId6"/>
    <tablePart r:id="rId7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71260ED-F0FB-4F14-8BD7-E1D713206C1E}">
            <x14:dataBar minLength="10" maxLength="90" axisPosition="automatic" gradient="true">
              <x14:cfvo type="autoMin"/>
              <x14:cfvo type="autoMax"/>
              <x14:negativeFillColor rgb="FFFF0000"/>
              <x14:axisColor rgb="FF000000"/>
            </x14:dataBar>
          </x14:cfRule>
          <xm:sqref>I61:I68</xm:sqref>
        </x14:conditionalFormatting>
        <x14:conditionalFormatting xmlns:xm="http://schemas.microsoft.com/office/excel/2006/main">
          <x14:cfRule type="dataBar" id="{B6FE95F4-5E24-49CE-82EE-C222DEFC774D}">
            <x14:dataBar minLength="10" maxLength="90" axisPosition="automatic" gradient="true">
              <x14:cfvo type="autoMin"/>
              <x14:cfvo type="autoMax"/>
              <x14:negativeFillColor rgb="FFFF0000"/>
              <x14:axisColor rgb="FF000000"/>
            </x14:dataBar>
          </x14:cfRule>
          <xm:sqref>I57:I58 J52:J56</xm:sqref>
        </x14:conditionalFormatting>
        <x14:conditionalFormatting xmlns:xm="http://schemas.microsoft.com/office/excel/2006/main">
          <x14:cfRule type="dataBar" id="{3F898A43-FAED-4FC3-9124-2992A2149CA8}">
            <x14:dataBar minLength="10" maxLength="90" axisPosition="automatic" gradient="true">
              <x14:cfvo type="autoMin"/>
              <x14:cfvo type="autoMax"/>
              <x14:negativeFillColor rgb="FFFF0000"/>
              <x14:axisColor rgb="FF000000"/>
            </x14:dataBar>
          </x14:cfRule>
          <xm:sqref>U2:AG2</xm:sqref>
        </x14:conditionalFormatting>
        <x14:conditionalFormatting xmlns:xm="http://schemas.microsoft.com/office/excel/2006/main">
          <x14:cfRule type="dataBar" id="{10593ED2-93E4-42C6-B8F0-23E4656DDF7D}">
            <x14:dataBar minLength="10" maxLength="90" axisPosition="automatic" gradient="true">
              <x14:cfvo type="autoMin"/>
              <x14:cfvo type="autoMax"/>
              <x14:negativeFillColor rgb="FFFF0000"/>
              <x14:axisColor rgb="FF000000"/>
            </x14:dataBar>
          </x14:cfRule>
          <xm:sqref>N2:T2</xm:sqref>
        </x14:conditionalFormatting>
        <x14:conditionalFormatting xmlns:xm="http://schemas.microsoft.com/office/excel/2006/main">
          <x14:cfRule type="dataBar" id="{FCFB9370-7694-494D-AEEE-2A8A7012DC43}">
            <x14:dataBar minLength="10" maxLength="90" axisPosition="automatic" gradient="false">
              <x14:cfvo type="autoMin"/>
              <x14:cfvo type="autoMax"/>
              <x14:negativeFillColor rgb="FFFF0000"/>
              <x14:axisColor rgb="FF000000"/>
            </x14:dataBar>
          </x14:cfRule>
          <xm:sqref>N2:AG2</xm:sqref>
        </x14:conditionalFormatting>
        <x14:conditionalFormatting xmlns:xm="http://schemas.microsoft.com/office/excel/2006/main">
          <x14:cfRule type="dataBar" id="{D94B4B35-84F6-4DC5-A913-A0855D7772A5}">
            <x14:dataBar minLength="10" maxLength="90" axisPosition="automatic" gradient="false">
              <x14:cfvo type="autoMin"/>
              <x14:cfvo type="autoMax"/>
              <x14:negativeFillColor rgb="FFFF0000"/>
              <x14:axisColor rgb="FF000000"/>
            </x14:dataBar>
          </x14:cfRule>
          <xm:sqref>N2:S2</xm:sqref>
        </x14:conditionalFormatting>
        <x14:conditionalFormatting xmlns:xm="http://schemas.microsoft.com/office/excel/2006/main">
          <x14:cfRule type="dataBar" id="{AF50A010-3A78-4ED0-84FD-7F26F35FC13C}">
            <x14:dataBar minLength="10" maxLength="90" axisPosition="automatic" gradient="false">
              <x14:cfvo type="autoMin"/>
              <x14:cfvo type="autoMax"/>
              <x14:negativeFillColor rgb="FFFF0000"/>
              <x14:axisColor rgb="FF000000"/>
            </x14:dataBar>
          </x14:cfRule>
          <xm:sqref>T2</xm:sqref>
        </x14:conditionalFormatting>
      </x14:conditionalFormatting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1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G15" activeCellId="0" sqref="G15"/>
    </sheetView>
  </sheetViews>
  <sheetFormatPr defaultColWidth="8.6796875" defaultRowHeight="15" zeroHeight="false" outlineLevelRow="1" outlineLevelCol="1"/>
  <cols>
    <col collapsed="false" customWidth="true" hidden="false" outlineLevel="0" max="1" min="1" style="0" width="16.57"/>
    <col collapsed="false" customWidth="true" hidden="false" outlineLevel="0" max="2" min="2" style="0" width="17.71"/>
    <col collapsed="false" customWidth="true" hidden="false" outlineLevel="0" max="3" min="3" style="0" width="14.14"/>
    <col collapsed="false" customWidth="true" hidden="false" outlineLevel="0" max="4" min="4" style="0" width="10.57"/>
    <col collapsed="false" customWidth="true" hidden="false" outlineLevel="0" max="5" min="5" style="0" width="24.42"/>
    <col collapsed="false" customWidth="true" hidden="false" outlineLevel="0" max="6" min="6" style="0" width="19.71"/>
    <col collapsed="false" customWidth="true" hidden="false" outlineLevel="0" max="7" min="7" style="0" width="29.71"/>
    <col collapsed="false" customWidth="true" hidden="false" outlineLevel="0" max="8" min="8" style="0" width="13.29"/>
    <col collapsed="false" customWidth="true" hidden="false" outlineLevel="0" max="9" min="9" style="0" width="15"/>
    <col collapsed="false" customWidth="true" hidden="false" outlineLevel="0" max="11" min="10" style="0" width="16.14"/>
    <col collapsed="false" customWidth="true" hidden="false" outlineLevel="0" max="12" min="12" style="0" width="7.71"/>
    <col collapsed="false" customWidth="true" hidden="false" outlineLevel="0" max="13" min="13" style="224" width="9.86"/>
    <col collapsed="false" customWidth="true" hidden="false" outlineLevel="1" max="14" min="14" style="0" width="10.29"/>
    <col collapsed="false" customWidth="true" hidden="false" outlineLevel="1" max="15" min="15" style="0" width="9.57"/>
    <col collapsed="false" customWidth="true" hidden="false" outlineLevel="1" max="16" min="16" style="0" width="8.57"/>
    <col collapsed="false" customWidth="true" hidden="false" outlineLevel="1" max="18" min="17" style="0" width="7.29"/>
    <col collapsed="false" customWidth="true" hidden="false" outlineLevel="1" max="19" min="19" style="0" width="8.57"/>
    <col collapsed="false" customWidth="true" hidden="false" outlineLevel="1" max="20" min="20" style="0" width="7.71"/>
    <col collapsed="false" customWidth="true" hidden="false" outlineLevel="1" max="21" min="21" style="0" width="12"/>
    <col collapsed="false" customWidth="true" hidden="false" outlineLevel="1" max="22" min="22" style="0" width="10.14"/>
    <col collapsed="false" customWidth="true" hidden="false" outlineLevel="1" max="23" min="23" style="0" width="11.71"/>
    <col collapsed="false" customWidth="true" hidden="false" outlineLevel="1" max="24" min="24" style="0" width="12.71"/>
    <col collapsed="false" customWidth="true" hidden="false" outlineLevel="1" max="25" min="25" style="0" width="8.57"/>
    <col collapsed="false" customWidth="true" hidden="false" outlineLevel="1" max="26" min="26" style="0" width="7.29"/>
    <col collapsed="false" customWidth="true" hidden="false" outlineLevel="1" max="27" min="27" style="0" width="9.71"/>
    <col collapsed="false" customWidth="true" hidden="false" outlineLevel="1" max="28" min="28" style="0" width="11.43"/>
    <col collapsed="false" customWidth="true" hidden="false" outlineLevel="1" max="29" min="29" style="0" width="10"/>
    <col collapsed="false" customWidth="true" hidden="false" outlineLevel="1" max="30" min="30" style="0" width="9.86"/>
    <col collapsed="false" customWidth="true" hidden="false" outlineLevel="1" max="31" min="31" style="0" width="7.86"/>
    <col collapsed="false" customWidth="true" hidden="false" outlineLevel="1" max="32" min="32" style="0" width="18.71"/>
    <col collapsed="false" customWidth="true" hidden="false" outlineLevel="1" max="33" min="33" style="0" width="27.15"/>
    <col collapsed="false" customWidth="true" hidden="false" outlineLevel="1" max="34" min="34" style="0" width="5.42"/>
  </cols>
  <sheetData>
    <row r="1" customFormat="false" ht="22.05" hidden="false" customHeight="false" outlineLevel="0" collapsed="false">
      <c r="A1" s="225" t="str">
        <f aca="false">"Semaine du " &amp; Data!D41</f>
        <v>Semaine du </v>
      </c>
      <c r="B1" s="226" t="n">
        <v>44256</v>
      </c>
      <c r="C1" s="227"/>
      <c r="D1" s="321" t="s">
        <v>361</v>
      </c>
      <c r="E1" s="322" t="n">
        <f aca="false">AVERAGE(F2:J2)</f>
        <v>7.65</v>
      </c>
      <c r="F1" s="323" t="s">
        <v>0</v>
      </c>
      <c r="G1" s="324" t="s">
        <v>1</v>
      </c>
      <c r="H1" s="324" t="s">
        <v>2</v>
      </c>
      <c r="I1" s="324" t="s">
        <v>3</v>
      </c>
      <c r="J1" s="324" t="s">
        <v>4</v>
      </c>
      <c r="K1" s="325" t="s">
        <v>401</v>
      </c>
      <c r="L1" s="234" t="n">
        <f aca="false">COUNTIF(Horodateur112335381922313437434649525558616469852226343846505854626670747882909894102106114118110122126130134138142146150154158162166170174178182186190194198202206210214410141822263034[O],"o")+ COUNTIF(Horodateur112335381922313437434649525558616469852226343846505854626670747882909894102106114118110122126130134138142146150154158162166170174178182186190194198202206210214410141822263034[O],".")</f>
        <v>47</v>
      </c>
      <c r="M1" s="128" t="n">
        <f aca="false">B2</f>
        <v>42.75</v>
      </c>
      <c r="N1" s="131" t="s">
        <v>21</v>
      </c>
      <c r="O1" s="130" t="s">
        <v>20</v>
      </c>
      <c r="P1" s="130" t="s">
        <v>23</v>
      </c>
      <c r="Q1" s="130" t="s">
        <v>25</v>
      </c>
      <c r="R1" s="130" t="s">
        <v>26</v>
      </c>
      <c r="S1" s="130" t="s">
        <v>378</v>
      </c>
      <c r="T1" s="130" t="s">
        <v>380</v>
      </c>
      <c r="U1" s="136" t="s">
        <v>32</v>
      </c>
      <c r="V1" s="136" t="s">
        <v>69</v>
      </c>
      <c r="W1" s="136" t="s">
        <v>66</v>
      </c>
      <c r="X1" s="136" t="s">
        <v>47</v>
      </c>
      <c r="Y1" s="136" t="s">
        <v>68</v>
      </c>
      <c r="Z1" s="136" t="s">
        <v>41</v>
      </c>
      <c r="AA1" s="136" t="s">
        <v>61</v>
      </c>
      <c r="AB1" s="136" t="s">
        <v>74</v>
      </c>
      <c r="AC1" s="136" t="s">
        <v>37</v>
      </c>
      <c r="AD1" s="136" t="s">
        <v>77</v>
      </c>
      <c r="AE1" s="136" t="s">
        <v>45</v>
      </c>
      <c r="AF1" s="136" t="s">
        <v>78</v>
      </c>
      <c r="AG1" s="136" t="s">
        <v>79</v>
      </c>
      <c r="AH1" s="87" t="str">
        <f aca="false">SUM(M4:M50) &amp; " / " &amp; B2-SUM(M4:M50)</f>
        <v>42.75 / 0</v>
      </c>
    </row>
    <row r="2" customFormat="false" ht="22.05" hidden="false" customHeight="false" outlineLevel="0" collapsed="false">
      <c r="A2" s="327" t="n">
        <f aca="false">SUM(Horodateur112335381922313437434649525558616469852226343846505854626670747882909894102106114118110122126130134138142146150154158162166170174178182186190194198202206210214410141822263034[Durée (60)])</f>
        <v>1.78125</v>
      </c>
      <c r="B2" s="328" t="n">
        <f aca="false">SUM(Horodateur112335381922313437434649525558616469852226343846505854626670747882909894102106114118110122126130134138142146150154158162166170174178182186190194198202206210214410141822263034[Durée (100)])</f>
        <v>42.75</v>
      </c>
      <c r="C2" s="339" t="str">
        <f aca="false">M2</f>
        <v>42.75 / 0</v>
      </c>
      <c r="D2" s="238"/>
      <c r="E2" s="239"/>
      <c r="F2" s="329" t="n">
        <f aca="false">SUMIF(Horodateur112335381922313437434649525558616469852226343846505854626670747882909894102106114118110122126130134138142146150154158162166170174178182186190194198202206210214410141822263034[Jour],"1- Lundi",Horodateur112335381922313437434649525558616469852226343846505854626670747882909894102106114118110122126130134138142146150154158162166170174178182186190194198202206210214410141822263034[Durée (100)])</f>
        <v>6</v>
      </c>
      <c r="G2" s="330" t="n">
        <f aca="false">SUMIF(Horodateur112335381922313437434649525558616469852226343846505854626670747882909894102106114118110122126130134138142146150154158162166170174178182186190194198202206210214410141822263034[Jour],"2- Mardi",Horodateur112335381922313437434649525558616469852226343846505854626670747882909894102106114118110122126130134138142146150154158162166170174178182186190194198202206210214410141822263034[Durée (100)])</f>
        <v>7</v>
      </c>
      <c r="H2" s="330" t="n">
        <f aca="false">SUMIF(Horodateur112335381922313437434649525558616469852226343846505854626670747882909894102106114118110122126130134138142146150154158162166170174178182186190194198202206210214410141822263034[Jour],"3- Mercredi",Horodateur112335381922313437434649525558616469852226343846505854626670747882909894102106114118110122126130134138142146150154158162166170174178182186190194198202206210214410141822263034[Durée (100)])</f>
        <v>8.25</v>
      </c>
      <c r="I2" s="330" t="n">
        <f aca="false">SUMIF(Horodateur112335381922313437434649525558616469852226343846505854626670747882909894102106114118110122126130134138142146150154158162166170174178182186190194198202206210214410141822263034[Jour],"4- Jeudi",Horodateur112335381922313437434649525558616469852226343846505854626670747882909894102106114118110122126130134138142146150154158162166170174178182186190194198202206210214410141822263034[Durée (100)])</f>
        <v>8</v>
      </c>
      <c r="J2" s="330" t="n">
        <f aca="false">SUMIF(Horodateur112335381922313437434649525558616469852226343846505854626670747882909894102106114118110122126130134138142146150154158162166170174178182186190194198202206210214410141822263034[Jour],"5- Vendredi",Horodateur112335381922313437434649525558616469852226343846505854626670747882909894102106114118110122126130134138142146150154158162166170174178182186190194198202206210214410141822263034[Durée (100)])</f>
        <v>9</v>
      </c>
      <c r="K2" s="331" t="str">
        <f aca="false">ROUND(SUMIF(Horodateur112335381922313437434649525558616469852226343846505854626670747882909894102106114118110122126130134138142146150154158162166170174178182186190194198202206210214410141822263034[Jour],"6- Samedi",Horodateur112335381922313437434649525558616469852226343846505854626670747882909894102106114118110122126130134138142146150154158162166170174178182186190194198202206210214410141822263034[Durée (100)]),2) &amp;  "   /    " &amp;  ROUND(SUMIF(Horodateur112335381922313437434649525558616469852226343846505854626670747882909894102106114118110122126130134138142146150154158162166170174178182186190194198202206210214410141822263034[Jour],"7- Dimanche",Horodateur112335381922313437434649525558616469852226343846505854626670747882909894102106114118110122126130134138142146150154158162166170174178182186190194198202206210214410141822263034[Durée (100)]),2)</f>
        <v>4.5   /    0</v>
      </c>
      <c r="L2" s="244" t="str">
        <f aca="false">COUNTIF(Horodateur112335381922313437434649525558616469852226343846505854626670747882909894102106114118110122126130134138142146150154158162166170174178182186190194198202206210214410141822263034[O],"o")&amp;" / " &amp;  COUNTIF(Horodateur112335381922313437434649525558616469852226343846505854626670747882909894102106114118110122126130134138142146150154158162166170174178182186190194198202206210214410141822263034[O],".")</f>
        <v>47 / 0</v>
      </c>
      <c r="M2" s="143" t="str">
        <f aca="false">SUM(M4:M50) &amp; " / " &amp; B2-SUM(M4:M50)</f>
        <v>42.75 / 0</v>
      </c>
      <c r="N2" s="248" t="n">
        <f aca="false">SUMIF(Horodateur112335381922313437434649525558616469852226343846505854626670747882909894102106114118110122126130134138142146150154158162166170174178182186190194198202206210214410141822263034[Tâche],N$1,Horodateur112335381922313437434649525558616469852226343846505854626670747882909894102106114118110122126130134138142146150154158162166170174178182186190194198202206210214410141822263034[Durée (100)])</f>
        <v>2</v>
      </c>
      <c r="O2" s="247" t="n">
        <f aca="false">SUMIF(Horodateur112335381922313437434649525558616469852226343846505854626670747882909894102106114118110122126130134138142146150154158162166170174178182186190194198202206210214410141822263034[Tâche],O$1,Horodateur112335381922313437434649525558616469852226343846505854626670747882909894102106114118110122126130134138142146150154158162166170174178182186190194198202206210214410141822263034[Durée (100)])</f>
        <v>0.500000000000001</v>
      </c>
      <c r="P2" s="247" t="n">
        <f aca="false">SUMIF(Horodateur112335381922313437434649525558616469852226343846505854626670747882909894102106114118110122126130134138142146150154158162166170174178182186190194198202206210214410141822263034[Tâche],P$1,Horodateur112335381922313437434649525558616469852226343846505854626670747882909894102106114118110122126130134138142146150154158162166170174178182186190194198202206210214410141822263034[Durée (100)])</f>
        <v>3</v>
      </c>
      <c r="Q2" s="247" t="n">
        <f aca="false">SUMIF(Horodateur112335381922313437434649525558616469852226343846505854626670747882909894102106114118110122126130134138142146150154158162166170174178182186190194198202206210214410141822263034[Tâche],Q$1,Horodateur112335381922313437434649525558616469852226343846505854626670747882909894102106114118110122126130134138142146150154158162166170174178182186190194198202206210214410141822263034[Durée (100)])</f>
        <v>0</v>
      </c>
      <c r="R2" s="247" t="n">
        <f aca="false">SUMIF(Horodateur112335381922313437434649525558616469852226343846505854626670747882909894102106114118110122126130134138142146150154158162166170174178182186190194198202206210214410141822263034[Tâche],R$1,Horodateur112335381922313437434649525558616469852226343846505854626670747882909894102106114118110122126130134138142146150154158162166170174178182186190194198202206210214410141822263034[Durée (100)])</f>
        <v>0</v>
      </c>
      <c r="S2" s="247" t="n">
        <f aca="false">SUMIF(Horodateur112335381922313437434649525558616469852226343846505854626670747882909894102106114118110122126130134138142146150154158162166170174178182186190194198202206210214410141822263034[Tâche],S$1,Horodateur112335381922313437434649525558616469852226343846505854626670747882909894102106114118110122126130134138142146150154158162166170174178182186190194198202206210214410141822263034[Durée (100)])</f>
        <v>29.5</v>
      </c>
      <c r="T2" s="247" t="n">
        <f aca="false">SUMIF(Horodateur112335381922313437434649525558616469852226343846505854626670747882909894102106114118110122126130134138142146150154158162166170174178182186190194198202206210214410141822263034[Tâche],T$1,Horodateur112335381922313437434649525558616469852226343846505854626670747882909894102106114118110122126130134138142146150154158162166170174178182186190194198202206210214410141822263034[Durée (100)])</f>
        <v>1.75</v>
      </c>
      <c r="U2" s="151" t="n">
        <f aca="false">SUMIF(Horodateur112335381922313437434649525558616469852226343846505854626670747882909894102106114118110122126130134138142146150154158162166170174178182186190194198202206210214410141822263034[Client],U$1,Horodateur112335381922313437434649525558616469852226343846505854626670747882909894102106114118110122126130134138142146150154158162166170174178182186190194198202206210214410141822263034[Durée (100)])</f>
        <v>10.25</v>
      </c>
      <c r="V2" s="151" t="n">
        <f aca="false">SUMIF(Horodateur112335381922313437434649525558616469852226343846505854626670747882909894102106114118110122126130134138142146150154158162166170174178182186190194198202206210214410141822263034[Client],V$1,Horodateur112335381922313437434649525558616469852226343846505854626670747882909894102106114118110122126130134138142146150154158162166170174178182186190194198202206210214410141822263034[Durée (100)])</f>
        <v>0</v>
      </c>
      <c r="W2" s="151" t="n">
        <f aca="false">SUMIF(Horodateur112335381922313437434649525558616469852226343846505854626670747882909894102106114118110122126130134138142146150154158162166170174178182186190194198202206210214410141822263034[Client],W$1,Horodateur112335381922313437434649525558616469852226343846505854626670747882909894102106114118110122126130134138142146150154158162166170174178182186190194198202206210214410141822263034[Durée (100)])</f>
        <v>0</v>
      </c>
      <c r="X2" s="151" t="n">
        <f aca="false">SUMIF(Horodateur112335381922313437434649525558616469852226343846505854626670747882909894102106114118110122126130134138142146150154158162166170174178182186190194198202206210214410141822263034[Client],X$1,Horodateur112335381922313437434649525558616469852226343846505854626670747882909894102106114118110122126130134138142146150154158162166170174178182186190194198202206210214410141822263034[Durée (100)])</f>
        <v>0</v>
      </c>
      <c r="Y2" s="151" t="n">
        <f aca="false">SUMIF(Horodateur112335381922313437434649525558616469852226343846505854626670747882909894102106114118110122126130134138142146150154158162166170174178182186190194198202206210214410141822263034[Client],Y$1,Horodateur112335381922313437434649525558616469852226343846505854626670747882909894102106114118110122126130134138142146150154158162166170174178182186190194198202206210214410141822263034[Durée (100)])</f>
        <v>0</v>
      </c>
      <c r="Z2" s="151" t="n">
        <f aca="false">SUMIF(Horodateur112335381922313437434649525558616469852226343846505854626670747882909894102106114118110122126130134138142146150154158162166170174178182186190194198202206210214410141822263034[Client],Z$1,Horodateur112335381922313437434649525558616469852226343846505854626670747882909894102106114118110122126130134138142146150154158162166170174178182186190194198202206210214410141822263034[Durée (100)])</f>
        <v>0</v>
      </c>
      <c r="AA2" s="151" t="n">
        <f aca="false">SUMIF(Horodateur112335381922313437434649525558616469852226343846505854626670747882909894102106114118110122126130134138142146150154158162166170174178182186190194198202206210214410141822263034[Client],AA$1,Horodateur112335381922313437434649525558616469852226343846505854626670747882909894102106114118110122126130134138142146150154158162166170174178182186190194198202206210214410141822263034[Durée (100)])</f>
        <v>0</v>
      </c>
      <c r="AB2" s="151" t="n">
        <f aca="false">SUMIF(Horodateur112335381922313437434649525558616469852226343846505854626670747882909894102106114118110122126130134138142146150154158162166170174178182186190194198202206210214410141822263034[Client],AB$1,Horodateur112335381922313437434649525558616469852226343846505854626670747882909894102106114118110122126130134138142146150154158162166170174178182186190194198202206210214410141822263034[Durée (100)])</f>
        <v>0</v>
      </c>
      <c r="AC2" s="151" t="n">
        <f aca="false">SUMIF(Horodateur112335381922313437434649525558616469852226343846505854626670747882909894102106114118110122126130134138142146150154158162166170174178182186190194198202206210214410141822263034[Client],AC$1,Horodateur112335381922313437434649525558616469852226343846505854626670747882909894102106114118110122126130134138142146150154158162166170174178182186190194198202206210214410141822263034[Durée (100)])</f>
        <v>9.00000000000001</v>
      </c>
      <c r="AD2" s="151" t="n">
        <f aca="false">SUMIF(Horodateur112335381922313437434649525558616469852226343846505854626670747882909894102106114118110122126130134138142146150154158162166170174178182186190194198202206210214410141822263034[Client],AD$1,Horodateur112335381922313437434649525558616469852226343846505854626670747882909894102106114118110122126130134138142146150154158162166170174178182186190194198202206210214410141822263034[Durée (100)])</f>
        <v>0</v>
      </c>
      <c r="AE2" s="151" t="n">
        <f aca="false">SUMIF(Horodateur112335381922313437434649525558616469852226343846505854626670747882909894102106114118110122126130134138142146150154158162166170174178182186190194198202206210214410141822263034[Client],AE$1,Horodateur112335381922313437434649525558616469852226343846505854626670747882909894102106114118110122126130134138142146150154158162166170174178182186190194198202206210214410141822263034[Durée (100)])</f>
        <v>1.75</v>
      </c>
      <c r="AF2" s="151" t="n">
        <f aca="false">SUMIF(Horodateur112335381922313437434649525558616469852226343846505854626670747882909894102106114118110122126130134138142146150154158162166170174178182186190194198202206210214410141822263034[Client],AF$1,Horodateur112335381922313437434649525558616469852226343846505854626670747882909894102106114118110122126130134138142146150154158162166170174178182186190194198202206210214410141822263034[Durée (100)])</f>
        <v>0</v>
      </c>
      <c r="AG2" s="151" t="n">
        <f aca="false">SUMIF(Horodateur112335381922313437434649525558616469852226343846505854626670747882909894102106114118110122126130134138142146150154158162166170174178182186190194198202206210214410141822263034[Client],AG$1,Horodateur112335381922313437434649525558616469852226343846505854626670747882909894102106114118110122126130134138142146150154158162166170174178182186190194198202206210214410141822263034[Durée (100)])</f>
        <v>0</v>
      </c>
    </row>
    <row r="3" s="137" customFormat="true" ht="15" hidden="false" customHeight="false" outlineLevel="0" collapsed="false">
      <c r="A3" s="249" t="s">
        <v>8</v>
      </c>
      <c r="B3" s="249" t="s">
        <v>9</v>
      </c>
      <c r="C3" s="193" t="s">
        <v>10</v>
      </c>
      <c r="D3" s="193" t="s">
        <v>11</v>
      </c>
      <c r="E3" s="250" t="s">
        <v>12</v>
      </c>
      <c r="F3" s="250" t="s">
        <v>13</v>
      </c>
      <c r="G3" s="250" t="s">
        <v>14</v>
      </c>
      <c r="H3" s="193" t="s">
        <v>302</v>
      </c>
      <c r="I3" s="252" t="s">
        <v>364</v>
      </c>
      <c r="J3" s="253" t="s">
        <v>365</v>
      </c>
      <c r="K3" s="250" t="s">
        <v>402</v>
      </c>
      <c r="L3" s="255" t="s">
        <v>7</v>
      </c>
      <c r="M3" s="254" t="s">
        <v>29</v>
      </c>
      <c r="N3" s="153" t="n">
        <f aca="false">N2/$B$2</f>
        <v>0.0467836257309941</v>
      </c>
      <c r="O3" s="153" t="n">
        <f aca="false">O2/$B$2</f>
        <v>0.0116959064327486</v>
      </c>
      <c r="P3" s="153" t="n">
        <f aca="false">P2/$B$2</f>
        <v>0.0701754385964912</v>
      </c>
      <c r="Q3" s="153" t="n">
        <f aca="false">Q2/$B$2</f>
        <v>0</v>
      </c>
      <c r="R3" s="153" t="n">
        <f aca="false">R2/$B$2</f>
        <v>0</v>
      </c>
      <c r="S3" s="153" t="n">
        <f aca="false">S2/$B$2</f>
        <v>0.690058479532164</v>
      </c>
      <c r="T3" s="153" t="n">
        <f aca="false">T2/$B$2</f>
        <v>0.0409356725146199</v>
      </c>
      <c r="U3" s="153" t="n">
        <f aca="false">U2/$B$2</f>
        <v>0.239766081871345</v>
      </c>
      <c r="V3" s="153" t="n">
        <f aca="false">V2/$B$2</f>
        <v>0</v>
      </c>
      <c r="W3" s="153" t="n">
        <f aca="false">W2/$B$2</f>
        <v>0</v>
      </c>
      <c r="X3" s="153" t="n">
        <f aca="false">X2/$B$2</f>
        <v>0</v>
      </c>
      <c r="Y3" s="153" t="n">
        <f aca="false">Y2/$B$2</f>
        <v>0</v>
      </c>
      <c r="Z3" s="153" t="n">
        <f aca="false">Z2/$B$2</f>
        <v>0</v>
      </c>
      <c r="AA3" s="153" t="n">
        <f aca="false">AA2/$B$2</f>
        <v>0</v>
      </c>
      <c r="AB3" s="153" t="n">
        <f aca="false">AB2/$B$2</f>
        <v>0</v>
      </c>
      <c r="AC3" s="153" t="n">
        <f aca="false">AC2/$B$2</f>
        <v>0.210526315789474</v>
      </c>
      <c r="AD3" s="153" t="n">
        <f aca="false">AD2/$B$2</f>
        <v>0</v>
      </c>
      <c r="AE3" s="153" t="n">
        <f aca="false">AE2/$B$2</f>
        <v>0.0409356725146199</v>
      </c>
      <c r="AF3" s="153" t="n">
        <f aca="false">AF2/$B$2</f>
        <v>0</v>
      </c>
      <c r="AG3" s="153" t="n">
        <f aca="false">AG2/$B$2</f>
        <v>0</v>
      </c>
    </row>
    <row r="4" customFormat="false" ht="15" hidden="false" customHeight="false" outlineLevel="0" collapsed="false">
      <c r="A4" s="256" t="n">
        <f aca="false">IF(Horodateur112335381922313437434649525558616469852226343846505854626670747882909894102106114118110122126130134138142146150154158162166170174178182186190194198202206210214410141822263034[[#This Row],[Jour]]="1- Lundi",$B$1+1, IF(Horodateur112335381922313437434649525558616469852226343846505854626670747882909894102106114118110122126130134138142146150154158162166170174178182186190194198202206210214410141822263034[[#This Row],[Jour]]="2- Mardi",$B$1+2, IF(Horodateur112335381922313437434649525558616469852226343846505854626670747882909894102106114118110122126130134138142146150154158162166170174178182186190194198202206210214410141822263034[[#This Row],[Jour]]="3- Mercredi",$B$1+3, IF(Horodateur112335381922313437434649525558616469852226343846505854626670747882909894102106114118110122126130134138142146150154158162166170174178182186190194198202206210214410141822263034[[#This Row],[Jour]]="4- Jeudi",$B$1+4, IF(Horodateur112335381922313437434649525558616469852226343846505854626670747882909894102106114118110122126130134138142146150154158162166170174178182186190194198202206210214410141822263034[[#This Row],[Jour]]="5- Vendredi",$B$1+5, IF(Horodateur112335381922313437434649525558616469852226343846505854626670747882909894102106114118110122126130134138142146150154158162166170174178182186190194198202206210214410141822263034[[#This Row],[Jour]]="6- Samedi",$B$1+6, IF(Horodateur112335381922313437434649525558616469852226343846505854626670747882909894102106114118110122126130134138142146150154158162166170174178182186190194198202206210214410141822263034[[#This Row],[Jour]]="7- Dimanche",$B$1, )))))))</f>
        <v>44257</v>
      </c>
      <c r="B4" s="257" t="s">
        <v>312</v>
      </c>
      <c r="C4" s="258" t="n">
        <v>0.322916666666667</v>
      </c>
      <c r="D4" s="258" t="n">
        <v>0.364583333333333</v>
      </c>
      <c r="E4" s="71" t="s">
        <v>32</v>
      </c>
      <c r="F4" s="71" t="s">
        <v>21</v>
      </c>
      <c r="G4" s="259" t="s">
        <v>153</v>
      </c>
      <c r="H4" s="258" t="n">
        <f aca="false">IF($C4=0,"",$D4-$C4)</f>
        <v>0.0416666666666667</v>
      </c>
      <c r="I4" s="260" t="n">
        <f aca="false">IF($C4=0,"",($H4-INT($H4))*24)</f>
        <v>1</v>
      </c>
      <c r="J4" s="303" t="n">
        <f aca="false">SUMIF(Horodateur112335381922313437434649525558616469852226343846505854626670747882909894102106114118110122126130134138142146150154158162166170174178182186190194198202206210214410141822263034[Jour],$B4,Horodateur112335381922313437434649525558616469852226343846505854626670747882909894102106114118110122126130134138142146150154158162166170174178182186190194198202206210214410141822263034[Durée (100)])</f>
        <v>6</v>
      </c>
      <c r="K4" s="335"/>
      <c r="L4" s="188" t="s">
        <v>31</v>
      </c>
      <c r="M4" s="272" t="n">
        <f aca="false">IF(Horodateur112335381922313437434649525558616469852226343846505854626670747882909894102106114118110122126130134138142146150154158162166170174178182186190194198202206210214410141822263034[[#This Row],[O]]="o",Horodateur112335381922313437434649525558616469852226343846505854626670747882909894102106114118110122126130134138142146150154158162166170174178182186190194198202206210214410141822263034[[#This Row],[Durée (100)]],".")</f>
        <v>0.999999999999999</v>
      </c>
      <c r="N4" s="187"/>
      <c r="O4" s="71"/>
      <c r="P4" s="71"/>
      <c r="Q4" s="71"/>
      <c r="R4" s="71"/>
      <c r="S4" s="71"/>
      <c r="T4" s="71"/>
      <c r="U4" s="71"/>
      <c r="V4" s="71"/>
      <c r="W4" s="71"/>
      <c r="X4" s="71"/>
      <c r="Y4" s="71"/>
      <c r="Z4" s="71"/>
      <c r="AA4" s="71"/>
      <c r="AB4" s="71"/>
      <c r="AC4" s="71"/>
      <c r="AD4" s="71"/>
      <c r="AE4" s="71"/>
      <c r="AF4" s="71"/>
      <c r="AG4" s="71"/>
    </row>
    <row r="5" customFormat="false" ht="15" hidden="false" customHeight="false" outlineLevel="0" collapsed="false">
      <c r="A5" s="256" t="n">
        <f aca="false">IF(Horodateur112335381922313437434649525558616469852226343846505854626670747882909894102106114118110122126130134138142146150154158162166170174178182186190194198202206210214410141822263034[[#This Row],[Jour]]="1- Lundi",$B$1+1, IF(Horodateur112335381922313437434649525558616469852226343846505854626670747882909894102106114118110122126130134138142146150154158162166170174178182186190194198202206210214410141822263034[[#This Row],[Jour]]="2- Mardi",$B$1+2, IF(Horodateur112335381922313437434649525558616469852226343846505854626670747882909894102106114118110122126130134138142146150154158162166170174178182186190194198202206210214410141822263034[[#This Row],[Jour]]="3- Mercredi",$B$1+3, IF(Horodateur112335381922313437434649525558616469852226343846505854626670747882909894102106114118110122126130134138142146150154158162166170174178182186190194198202206210214410141822263034[[#This Row],[Jour]]="4- Jeudi",$B$1+4, IF(Horodateur112335381922313437434649525558616469852226343846505854626670747882909894102106114118110122126130134138142146150154158162166170174178182186190194198202206210214410141822263034[[#This Row],[Jour]]="5- Vendredi",$B$1+5, IF(Horodateur112335381922313437434649525558616469852226343846505854626670747882909894102106114118110122126130134138142146150154158162166170174178182186190194198202206210214410141822263034[[#This Row],[Jour]]="6- Samedi",$B$1+6, IF(Horodateur112335381922313437434649525558616469852226343846505854626670747882909894102106114118110122126130134138142146150154158162166170174178182186190194198202206210214410141822263034[[#This Row],[Jour]]="7- Dimanche",$B$1, )))))))</f>
        <v>44257</v>
      </c>
      <c r="B5" s="257" t="s">
        <v>312</v>
      </c>
      <c r="C5" s="258" t="n">
        <v>0.364583333333333</v>
      </c>
      <c r="D5" s="258" t="n">
        <v>0.385416666666667</v>
      </c>
      <c r="E5" s="71" t="s">
        <v>32</v>
      </c>
      <c r="F5" s="71" t="s">
        <v>20</v>
      </c>
      <c r="G5" s="259" t="s">
        <v>121</v>
      </c>
      <c r="H5" s="258" t="n">
        <f aca="false">IF($C5=0,"",$D5-$C5)</f>
        <v>0.0208333333333333</v>
      </c>
      <c r="I5" s="260" t="n">
        <f aca="false">IF($C5=0,"",($H5-INT($H5))*24)</f>
        <v>0.5</v>
      </c>
      <c r="J5" s="303" t="n">
        <f aca="false">SUMIF(Horodateur112335381922313437434649525558616469852226343846505854626670747882909894102106114118110122126130134138142146150154158162166170174178182186190194198202206210214410141822263034[Jour],$B5,Horodateur112335381922313437434649525558616469852226343846505854626670747882909894102106114118110122126130134138142146150154158162166170174178182186190194198202206210214410141822263034[Durée (100)])</f>
        <v>6</v>
      </c>
      <c r="K5" s="335"/>
      <c r="L5" s="188" t="s">
        <v>31</v>
      </c>
      <c r="M5" s="272" t="n">
        <f aca="false">IF(Horodateur112335381922313437434649525558616469852226343846505854626670747882909894102106114118110122126130134138142146150154158162166170174178182186190194198202206210214410141822263034[[#This Row],[O]]="o",Horodateur112335381922313437434649525558616469852226343846505854626670747882909894102106114118110122126130134138142146150154158162166170174178182186190194198202206210214410141822263034[[#This Row],[Durée (100)]],".")</f>
        <v>0.500000000000001</v>
      </c>
      <c r="N5" s="187"/>
      <c r="O5" s="71"/>
      <c r="P5" s="71"/>
      <c r="Q5" s="71"/>
      <c r="R5" s="71"/>
      <c r="S5" s="71"/>
      <c r="T5" s="71"/>
      <c r="U5" s="71"/>
      <c r="V5" s="71"/>
      <c r="W5" s="71"/>
      <c r="X5" s="71"/>
      <c r="Y5" s="71"/>
      <c r="Z5" s="71"/>
      <c r="AA5" s="71"/>
      <c r="AB5" s="71"/>
      <c r="AC5" s="71"/>
      <c r="AD5" s="71"/>
      <c r="AE5" s="71"/>
      <c r="AF5" s="71"/>
      <c r="AG5" s="71"/>
    </row>
    <row r="6" customFormat="false" ht="15" hidden="false" customHeight="false" outlineLevel="0" collapsed="false">
      <c r="A6" s="256" t="n">
        <f aca="false">IF(Horodateur112335381922313437434649525558616469852226343846505854626670747882909894102106114118110122126130134138142146150154158162166170174178182186190194198202206210214410141822263034[[#This Row],[Jour]]="1- Lundi",$B$1+1, IF(Horodateur112335381922313437434649525558616469852226343846505854626670747882909894102106114118110122126130134138142146150154158162166170174178182186190194198202206210214410141822263034[[#This Row],[Jour]]="2- Mardi",$B$1+2, IF(Horodateur112335381922313437434649525558616469852226343846505854626670747882909894102106114118110122126130134138142146150154158162166170174178182186190194198202206210214410141822263034[[#This Row],[Jour]]="3- Mercredi",$B$1+3, IF(Horodateur112335381922313437434649525558616469852226343846505854626670747882909894102106114118110122126130134138142146150154158162166170174178182186190194198202206210214410141822263034[[#This Row],[Jour]]="4- Jeudi",$B$1+4, IF(Horodateur112335381922313437434649525558616469852226343846505854626670747882909894102106114118110122126130134138142146150154158162166170174178182186190194198202206210214410141822263034[[#This Row],[Jour]]="5- Vendredi",$B$1+5, IF(Horodateur112335381922313437434649525558616469852226343846505854626670747882909894102106114118110122126130134138142146150154158162166170174178182186190194198202206210214410141822263034[[#This Row],[Jour]]="6- Samedi",$B$1+6, IF(Horodateur112335381922313437434649525558616469852226343846505854626670747882909894102106114118110122126130134138142146150154158162166170174178182186190194198202206210214410141822263034[[#This Row],[Jour]]="7- Dimanche",$B$1, )))))))</f>
        <v>44257</v>
      </c>
      <c r="B6" s="257" t="s">
        <v>312</v>
      </c>
      <c r="C6" s="258" t="n">
        <v>0.395833333333333</v>
      </c>
      <c r="D6" s="258" t="n">
        <v>0.416666666666667</v>
      </c>
      <c r="E6" s="71" t="s">
        <v>37</v>
      </c>
      <c r="F6" s="71" t="s">
        <v>379</v>
      </c>
      <c r="G6" s="259" t="s">
        <v>55</v>
      </c>
      <c r="H6" s="258" t="n">
        <f aca="false">IF($C6=0,"",$D6-$C6)</f>
        <v>0.0208333333333333</v>
      </c>
      <c r="I6" s="260" t="n">
        <f aca="false">IF($C6=0,"",($H6-INT($H6))*24)</f>
        <v>0.5</v>
      </c>
      <c r="J6" s="303" t="n">
        <f aca="false">SUMIF(Horodateur112335381922313437434649525558616469852226343846505854626670747882909894102106114118110122126130134138142146150154158162166170174178182186190194198202206210214410141822263034[Jour],$B6,Horodateur112335381922313437434649525558616469852226343846505854626670747882909894102106114118110122126130134138142146150154158162166170174178182186190194198202206210214410141822263034[Durée (100)])</f>
        <v>6</v>
      </c>
      <c r="K6" s="335"/>
      <c r="L6" s="188" t="s">
        <v>31</v>
      </c>
      <c r="M6" s="272" t="n">
        <f aca="false">IF(Horodateur112335381922313437434649525558616469852226343846505854626670747882909894102106114118110122126130134138142146150154158162166170174178182186190194198202206210214410141822263034[[#This Row],[O]]="o",Horodateur112335381922313437434649525558616469852226343846505854626670747882909894102106114118110122126130134138142146150154158162166170174178182186190194198202206210214410141822263034[[#This Row],[Durée (100)]],".")</f>
        <v>0.500000000000001</v>
      </c>
      <c r="N6" s="187"/>
      <c r="O6" s="71"/>
      <c r="P6" s="71"/>
      <c r="Q6" s="71"/>
      <c r="R6" s="71"/>
      <c r="S6" s="71"/>
      <c r="T6" s="71"/>
      <c r="U6" s="71"/>
      <c r="V6" s="71"/>
      <c r="W6" s="71"/>
      <c r="X6" s="71"/>
      <c r="Y6" s="71"/>
      <c r="Z6" s="71"/>
      <c r="AA6" s="71"/>
      <c r="AB6" s="71"/>
      <c r="AC6" s="71"/>
      <c r="AD6" s="71"/>
      <c r="AE6" s="71"/>
      <c r="AF6" s="71"/>
      <c r="AG6" s="71"/>
    </row>
    <row r="7" customFormat="false" ht="15" hidden="false" customHeight="false" outlineLevel="0" collapsed="false">
      <c r="A7" s="256" t="n">
        <f aca="false">IF(Horodateur112335381922313437434649525558616469852226343846505854626670747882909894102106114118110122126130134138142146150154158162166170174178182186190194198202206210214410141822263034[[#This Row],[Jour]]="1- Lundi",$B$1+1, IF(Horodateur112335381922313437434649525558616469852226343846505854626670747882909894102106114118110122126130134138142146150154158162166170174178182186190194198202206210214410141822263034[[#This Row],[Jour]]="2- Mardi",$B$1+2, IF(Horodateur112335381922313437434649525558616469852226343846505854626670747882909894102106114118110122126130134138142146150154158162166170174178182186190194198202206210214410141822263034[[#This Row],[Jour]]="3- Mercredi",$B$1+3, IF(Horodateur112335381922313437434649525558616469852226343846505854626670747882909894102106114118110122126130134138142146150154158162166170174178182186190194198202206210214410141822263034[[#This Row],[Jour]]="4- Jeudi",$B$1+4, IF(Horodateur112335381922313437434649525558616469852226343846505854626670747882909894102106114118110122126130134138142146150154158162166170174178182186190194198202206210214410141822263034[[#This Row],[Jour]]="5- Vendredi",$B$1+5, IF(Horodateur112335381922313437434649525558616469852226343846505854626670747882909894102106114118110122126130134138142146150154158162166170174178182186190194198202206210214410141822263034[[#This Row],[Jour]]="6- Samedi",$B$1+6, IF(Horodateur112335381922313437434649525558616469852226343846505854626670747882909894102106114118110122126130134138142146150154158162166170174178182186190194198202206210214410141822263034[[#This Row],[Jour]]="7- Dimanche",$B$1, )))))))</f>
        <v>44257</v>
      </c>
      <c r="B7" s="257" t="s">
        <v>312</v>
      </c>
      <c r="C7" s="258" t="n">
        <v>0.479166666666667</v>
      </c>
      <c r="D7" s="258" t="n">
        <v>0.5</v>
      </c>
      <c r="E7" s="71" t="s">
        <v>32</v>
      </c>
      <c r="F7" s="71" t="s">
        <v>22</v>
      </c>
      <c r="G7" s="259"/>
      <c r="H7" s="258" t="n">
        <f aca="false">IF($C7=0,"",$D7-$C7)</f>
        <v>0.0208333333333333</v>
      </c>
      <c r="I7" s="260" t="n">
        <f aca="false">IF($C7=0,"",($H7-INT($H7))*24)</f>
        <v>0.5</v>
      </c>
      <c r="J7" s="303" t="n">
        <f aca="false">SUMIF(Horodateur112335381922313437434649525558616469852226343846505854626670747882909894102106114118110122126130134138142146150154158162166170174178182186190194198202206210214410141822263034[Jour],$B7,Horodateur112335381922313437434649525558616469852226343846505854626670747882909894102106114118110122126130134138142146150154158162166170174178182186190194198202206210214410141822263034[Durée (100)])</f>
        <v>6</v>
      </c>
      <c r="K7" s="335"/>
      <c r="L7" s="188" t="s">
        <v>31</v>
      </c>
      <c r="M7" s="272" t="n">
        <f aca="false">IF(Horodateur112335381922313437434649525558616469852226343846505854626670747882909894102106114118110122126130134138142146150154158162166170174178182186190194198202206210214410141822263034[[#This Row],[O]]="o",Horodateur112335381922313437434649525558616469852226343846505854626670747882909894102106114118110122126130134138142146150154158162166170174178182186190194198202206210214410141822263034[[#This Row],[Durée (100)]],".")</f>
        <v>0.5</v>
      </c>
      <c r="N7" s="187"/>
      <c r="O7" s="71"/>
      <c r="P7" s="71"/>
      <c r="Q7" s="71"/>
      <c r="R7" s="71"/>
      <c r="S7" s="71"/>
      <c r="T7" s="71"/>
      <c r="U7" s="71"/>
      <c r="V7" s="71"/>
      <c r="W7" s="71"/>
      <c r="X7" s="71"/>
      <c r="Y7" s="71"/>
      <c r="Z7" s="71"/>
      <c r="AA7" s="71"/>
      <c r="AB7" s="71"/>
      <c r="AC7" s="71"/>
      <c r="AD7" s="71"/>
      <c r="AE7" s="71"/>
      <c r="AF7" s="71"/>
      <c r="AG7" s="71"/>
    </row>
    <row r="8" customFormat="false" ht="15" hidden="false" customHeight="false" outlineLevel="0" collapsed="false">
      <c r="A8" s="256" t="n">
        <f aca="false">IF(Horodateur112335381922313437434649525558616469852226343846505854626670747882909894102106114118110122126130134138142146150154158162166170174178182186190194198202206210214410141822263034[[#This Row],[Jour]]="1- Lundi",$B$1+1, IF(Horodateur112335381922313437434649525558616469852226343846505854626670747882909894102106114118110122126130134138142146150154158162166170174178182186190194198202206210214410141822263034[[#This Row],[Jour]]="2- Mardi",$B$1+2, IF(Horodateur112335381922313437434649525558616469852226343846505854626670747882909894102106114118110122126130134138142146150154158162166170174178182186190194198202206210214410141822263034[[#This Row],[Jour]]="3- Mercredi",$B$1+3, IF(Horodateur112335381922313437434649525558616469852226343846505854626670747882909894102106114118110122126130134138142146150154158162166170174178182186190194198202206210214410141822263034[[#This Row],[Jour]]="4- Jeudi",$B$1+4, IF(Horodateur112335381922313437434649525558616469852226343846505854626670747882909894102106114118110122126130134138142146150154158162166170174178182186190194198202206210214410141822263034[[#This Row],[Jour]]="5- Vendredi",$B$1+5, IF(Horodateur112335381922313437434649525558616469852226343846505854626670747882909894102106114118110122126130134138142146150154158162166170174178182186190194198202206210214410141822263034[[#This Row],[Jour]]="6- Samedi",$B$1+6, IF(Horodateur112335381922313437434649525558616469852226343846505854626670747882909894102106114118110122126130134138142146150154158162166170174178182186190194198202206210214410141822263034[[#This Row],[Jour]]="7- Dimanche",$B$1, )))))))</f>
        <v>44257</v>
      </c>
      <c r="B8" s="257" t="s">
        <v>312</v>
      </c>
      <c r="C8" s="258" t="n">
        <v>0.5625</v>
      </c>
      <c r="D8" s="258" t="n">
        <v>0.59375</v>
      </c>
      <c r="E8" s="71" t="s">
        <v>63</v>
      </c>
      <c r="F8" s="71" t="s">
        <v>379</v>
      </c>
      <c r="G8" s="259" t="s">
        <v>55</v>
      </c>
      <c r="H8" s="258" t="n">
        <f aca="false">IF($C8=0,"",$D8-$C8)</f>
        <v>0.03125</v>
      </c>
      <c r="I8" s="260" t="n">
        <f aca="false">IF($C8=0,"",($H8-INT($H8))*24)</f>
        <v>0.75</v>
      </c>
      <c r="J8" s="303" t="n">
        <f aca="false">SUMIF(Horodateur112335381922313437434649525558616469852226343846505854626670747882909894102106114118110122126130134138142146150154158162166170174178182186190194198202206210214410141822263034[Jour],$B8,Horodateur112335381922313437434649525558616469852226343846505854626670747882909894102106114118110122126130134138142146150154158162166170174178182186190194198202206210214410141822263034[Durée (100)])</f>
        <v>6</v>
      </c>
      <c r="K8" s="335"/>
      <c r="L8" s="188" t="s">
        <v>31</v>
      </c>
      <c r="M8" s="272" t="n">
        <f aca="false">IF(Horodateur112335381922313437434649525558616469852226343846505854626670747882909894102106114118110122126130134138142146150154158162166170174178182186190194198202206210214410141822263034[[#This Row],[O]]="o",Horodateur112335381922313437434649525558616469852226343846505854626670747882909894102106114118110122126130134138142146150154158162166170174178182186190194198202206210214410141822263034[[#This Row],[Durée (100)]],".")</f>
        <v>0.75</v>
      </c>
      <c r="N8" s="187"/>
      <c r="O8" s="71"/>
      <c r="P8" s="71"/>
      <c r="Q8" s="71"/>
      <c r="R8" s="71"/>
      <c r="S8" s="71"/>
      <c r="T8" s="71"/>
      <c r="U8" s="71"/>
      <c r="V8" s="71"/>
      <c r="W8" s="71"/>
      <c r="X8" s="71"/>
      <c r="Y8" s="71"/>
      <c r="Z8" s="71"/>
      <c r="AA8" s="71"/>
      <c r="AB8" s="71"/>
      <c r="AC8" s="71"/>
      <c r="AD8" s="71"/>
      <c r="AE8" s="71"/>
      <c r="AF8" s="71"/>
      <c r="AG8" s="71"/>
    </row>
    <row r="9" customFormat="false" ht="15" hidden="false" customHeight="false" outlineLevel="0" collapsed="false">
      <c r="A9" s="256" t="n">
        <f aca="false">IF(Horodateur112335381922313437434649525558616469852226343846505854626670747882909894102106114118110122126130134138142146150154158162166170174178182186190194198202206210214410141822263034[[#This Row],[Jour]]="1- Lundi",$B$1+1, IF(Horodateur112335381922313437434649525558616469852226343846505854626670747882909894102106114118110122126130134138142146150154158162166170174178182186190194198202206210214410141822263034[[#This Row],[Jour]]="2- Mardi",$B$1+2, IF(Horodateur112335381922313437434649525558616469852226343846505854626670747882909894102106114118110122126130134138142146150154158162166170174178182186190194198202206210214410141822263034[[#This Row],[Jour]]="3- Mercredi",$B$1+3, IF(Horodateur112335381922313437434649525558616469852226343846505854626670747882909894102106114118110122126130134138142146150154158162166170174178182186190194198202206210214410141822263034[[#This Row],[Jour]]="4- Jeudi",$B$1+4, IF(Horodateur112335381922313437434649525558616469852226343846505854626670747882909894102106114118110122126130134138142146150154158162166170174178182186190194198202206210214410141822263034[[#This Row],[Jour]]="5- Vendredi",$B$1+5, IF(Horodateur112335381922313437434649525558616469852226343846505854626670747882909894102106114118110122126130134138142146150154158162166170174178182186190194198202206210214410141822263034[[#This Row],[Jour]]="6- Samedi",$B$1+6, IF(Horodateur112335381922313437434649525558616469852226343846505854626670747882909894102106114118110122126130134138142146150154158162166170174178182186190194198202206210214410141822263034[[#This Row],[Jour]]="7- Dimanche",$B$1, )))))))</f>
        <v>44257</v>
      </c>
      <c r="B9" s="257" t="s">
        <v>312</v>
      </c>
      <c r="C9" s="258" t="n">
        <v>0.583333333333333</v>
      </c>
      <c r="D9" s="258" t="n">
        <v>0.645833333333333</v>
      </c>
      <c r="E9" s="71" t="s">
        <v>63</v>
      </c>
      <c r="F9" s="71" t="s">
        <v>378</v>
      </c>
      <c r="G9" s="259" t="s">
        <v>551</v>
      </c>
      <c r="H9" s="258" t="n">
        <f aca="false">IF($C9=0,"",$D9-$C9)</f>
        <v>0.0625</v>
      </c>
      <c r="I9" s="260" t="n">
        <f aca="false">IF($C9=0,"",($H9-INT($H9))*24)</f>
        <v>1.5</v>
      </c>
      <c r="J9" s="303" t="n">
        <f aca="false">SUMIF(Horodateur112335381922313437434649525558616469852226343846505854626670747882909894102106114118110122126130134138142146150154158162166170174178182186190194198202206210214410141822263034[Jour],$B9,Horodateur112335381922313437434649525558616469852226343846505854626670747882909894102106114118110122126130134138142146150154158162166170174178182186190194198202206210214410141822263034[Durée (100)])</f>
        <v>6</v>
      </c>
      <c r="K9" s="335"/>
      <c r="L9" s="188" t="s">
        <v>31</v>
      </c>
      <c r="M9" s="272" t="n">
        <f aca="false">IF(Horodateur112335381922313437434649525558616469852226343846505854626670747882909894102106114118110122126130134138142146150154158162166170174178182186190194198202206210214410141822263034[[#This Row],[O]]="o",Horodateur112335381922313437434649525558616469852226343846505854626670747882909894102106114118110122126130134138142146150154158162166170174178182186190194198202206210214410141822263034[[#This Row],[Durée (100)]],".")</f>
        <v>1.5</v>
      </c>
      <c r="N9" s="187"/>
      <c r="O9" s="71"/>
      <c r="P9" s="71"/>
      <c r="Q9" s="71"/>
      <c r="R9" s="71"/>
      <c r="S9" s="71"/>
      <c r="T9" s="71"/>
      <c r="U9" s="71"/>
      <c r="V9" s="71"/>
      <c r="W9" s="71"/>
      <c r="X9" s="71"/>
      <c r="Y9" s="71"/>
      <c r="Z9" s="71"/>
      <c r="AA9" s="71"/>
      <c r="AB9" s="71"/>
      <c r="AC9" s="71"/>
      <c r="AD9" s="71"/>
      <c r="AE9" s="71"/>
      <c r="AF9" s="71"/>
      <c r="AG9" s="71"/>
    </row>
    <row r="10" customFormat="false" ht="15" hidden="false" customHeight="false" outlineLevel="0" collapsed="false">
      <c r="A10" s="256" t="n">
        <f aca="false">IF(Horodateur112335381922313437434649525558616469852226343846505854626670747882909894102106114118110122126130134138142146150154158162166170174178182186190194198202206210214410141822263034[[#This Row],[Jour]]="1- Lundi",$B$1+1, IF(Horodateur112335381922313437434649525558616469852226343846505854626670747882909894102106114118110122126130134138142146150154158162166170174178182186190194198202206210214410141822263034[[#This Row],[Jour]]="2- Mardi",$B$1+2, IF(Horodateur112335381922313437434649525558616469852226343846505854626670747882909894102106114118110122126130134138142146150154158162166170174178182186190194198202206210214410141822263034[[#This Row],[Jour]]="3- Mercredi",$B$1+3, IF(Horodateur112335381922313437434649525558616469852226343846505854626670747882909894102106114118110122126130134138142146150154158162166170174178182186190194198202206210214410141822263034[[#This Row],[Jour]]="4- Jeudi",$B$1+4, IF(Horodateur112335381922313437434649525558616469852226343846505854626670747882909894102106114118110122126130134138142146150154158162166170174178182186190194198202206210214410141822263034[[#This Row],[Jour]]="5- Vendredi",$B$1+5, IF(Horodateur112335381922313437434649525558616469852226343846505854626670747882909894102106114118110122126130134138142146150154158162166170174178182186190194198202206210214410141822263034[[#This Row],[Jour]]="6- Samedi",$B$1+6, IF(Horodateur112335381922313437434649525558616469852226343846505854626670747882909894102106114118110122126130134138142146150154158162166170174178182186190194198202206210214410141822263034[[#This Row],[Jour]]="7- Dimanche",$B$1, )))))))</f>
        <v>44257</v>
      </c>
      <c r="B10" s="257" t="s">
        <v>312</v>
      </c>
      <c r="C10" s="258" t="n">
        <v>0.697916666666667</v>
      </c>
      <c r="D10" s="258" t="n">
        <v>0.708333333333333</v>
      </c>
      <c r="E10" s="71" t="s">
        <v>45</v>
      </c>
      <c r="F10" s="71" t="s">
        <v>380</v>
      </c>
      <c r="G10" s="259" t="s">
        <v>552</v>
      </c>
      <c r="H10" s="258" t="n">
        <f aca="false">IF($C10=0,"",$D10-$C10)</f>
        <v>0.0104166666666667</v>
      </c>
      <c r="I10" s="260" t="n">
        <f aca="false">IF($C10=0,"",($H10-INT($H10))*24)</f>
        <v>0.25</v>
      </c>
      <c r="J10" s="303" t="n">
        <f aca="false">SUMIF(Horodateur112335381922313437434649525558616469852226343846505854626670747882909894102106114118110122126130134138142146150154158162166170174178182186190194198202206210214410141822263034[Jour],$B10,Horodateur112335381922313437434649525558616469852226343846505854626670747882909894102106114118110122126130134138142146150154158162166170174178182186190194198202206210214410141822263034[Durée (100)])</f>
        <v>6</v>
      </c>
      <c r="K10" s="335"/>
      <c r="L10" s="188" t="s">
        <v>31</v>
      </c>
      <c r="M10" s="272" t="n">
        <f aca="false">IF(Horodateur112335381922313437434649525558616469852226343846505854626670747882909894102106114118110122126130134138142146150154158162166170174178182186190194198202206210214410141822263034[[#This Row],[O]]="o",Horodateur112335381922313437434649525558616469852226343846505854626670747882909894102106114118110122126130134138142146150154158162166170174178182186190194198202206210214410141822263034[[#This Row],[Durée (100)]],".")</f>
        <v>0.250000000000002</v>
      </c>
      <c r="N10" s="187"/>
      <c r="O10" s="71"/>
      <c r="P10" s="71"/>
      <c r="Q10" s="71"/>
      <c r="R10" s="71"/>
      <c r="S10" s="71"/>
      <c r="T10" s="71"/>
      <c r="U10" s="71"/>
      <c r="V10" s="71"/>
      <c r="W10" s="71"/>
      <c r="X10" s="71"/>
      <c r="Y10" s="71"/>
      <c r="Z10" s="71"/>
      <c r="AA10" s="71"/>
      <c r="AB10" s="71"/>
      <c r="AC10" s="71"/>
      <c r="AD10" s="71"/>
      <c r="AE10" s="71"/>
      <c r="AF10" s="71"/>
      <c r="AG10" s="71"/>
    </row>
    <row r="11" customFormat="false" ht="15" hidden="false" customHeight="false" outlineLevel="0" collapsed="false">
      <c r="A11" s="256" t="n">
        <f aca="false">IF(Horodateur112335381922313437434649525558616469852226343846505854626670747882909894102106114118110122126130134138142146150154158162166170174178182186190194198202206210214410141822263034[[#This Row],[Jour]]="1- Lundi",$B$1+1, IF(Horodateur112335381922313437434649525558616469852226343846505854626670747882909894102106114118110122126130134138142146150154158162166170174178182186190194198202206210214410141822263034[[#This Row],[Jour]]="2- Mardi",$B$1+2, IF(Horodateur112335381922313437434649525558616469852226343846505854626670747882909894102106114118110122126130134138142146150154158162166170174178182186190194198202206210214410141822263034[[#This Row],[Jour]]="3- Mercredi",$B$1+3, IF(Horodateur112335381922313437434649525558616469852226343846505854626670747882909894102106114118110122126130134138142146150154158162166170174178182186190194198202206210214410141822263034[[#This Row],[Jour]]="4- Jeudi",$B$1+4, IF(Horodateur112335381922313437434649525558616469852226343846505854626670747882909894102106114118110122126130134138142146150154158162166170174178182186190194198202206210214410141822263034[[#This Row],[Jour]]="5- Vendredi",$B$1+5, IF(Horodateur112335381922313437434649525558616469852226343846505854626670747882909894102106114118110122126130134138142146150154158162166170174178182186190194198202206210214410141822263034[[#This Row],[Jour]]="6- Samedi",$B$1+6, IF(Horodateur112335381922313437434649525558616469852226343846505854626670747882909894102106114118110122126130134138142146150154158162166170174178182186190194198202206210214410141822263034[[#This Row],[Jour]]="7- Dimanche",$B$1, )))))))</f>
        <v>44257</v>
      </c>
      <c r="B11" s="257" t="s">
        <v>312</v>
      </c>
      <c r="C11" s="258" t="n">
        <v>0.708333333333333</v>
      </c>
      <c r="D11" s="258" t="n">
        <v>0.75</v>
      </c>
      <c r="E11" s="71" t="s">
        <v>32</v>
      </c>
      <c r="F11" s="71" t="s">
        <v>22</v>
      </c>
      <c r="G11" s="259"/>
      <c r="H11" s="258" t="n">
        <f aca="false">IF($C11=0,"",$D11-$C11)</f>
        <v>0.0416666666666666</v>
      </c>
      <c r="I11" s="260" t="n">
        <f aca="false">IF($C11=0,"",($H11-INT($H11))*24)</f>
        <v>0.999999999999999</v>
      </c>
      <c r="J11" s="303" t="n">
        <f aca="false">SUMIF(Horodateur112335381922313437434649525558616469852226343846505854626670747882909894102106114118110122126130134138142146150154158162166170174178182186190194198202206210214410141822263034[Jour],$B11,Horodateur112335381922313437434649525558616469852226343846505854626670747882909894102106114118110122126130134138142146150154158162166170174178182186190194198202206210214410141822263034[Durée (100)])</f>
        <v>6</v>
      </c>
      <c r="K11" s="335"/>
      <c r="L11" s="188" t="s">
        <v>31</v>
      </c>
      <c r="M11" s="272" t="n">
        <f aca="false">IF(Horodateur112335381922313437434649525558616469852226343846505854626670747882909894102106114118110122126130134138142146150154158162166170174178182186190194198202206210214410141822263034[[#This Row],[O]]="o",Horodateur112335381922313437434649525558616469852226343846505854626670747882909894102106114118110122126130134138142146150154158162166170174178182186190194198202206210214410141822263034[[#This Row],[Durée (100)]],".")</f>
        <v>0.999999999999999</v>
      </c>
      <c r="N11" s="187"/>
      <c r="O11" s="71"/>
      <c r="P11" s="71"/>
      <c r="Q11" s="71"/>
      <c r="R11" s="71"/>
      <c r="S11" s="71"/>
      <c r="T11" s="71"/>
      <c r="U11" s="71"/>
      <c r="V11" s="71"/>
      <c r="W11" s="71"/>
      <c r="X11" s="71"/>
      <c r="Y11" s="71"/>
      <c r="Z11" s="71"/>
      <c r="AA11" s="71"/>
      <c r="AB11" s="71"/>
      <c r="AC11" s="71"/>
      <c r="AD11" s="71"/>
      <c r="AE11" s="71"/>
      <c r="AF11" s="71"/>
      <c r="AG11" s="71"/>
    </row>
    <row r="12" customFormat="false" ht="15" hidden="false" customHeight="false" outlineLevel="0" collapsed="false">
      <c r="A12" s="256" t="n">
        <f aca="false">IF(Horodateur112335381922313437434649525558616469852226343846505854626670747882909894102106114118110122126130134138142146150154158162166170174178182186190194198202206210214410141822263034[[#This Row],[Jour]]="1- Lundi",$B$1+1, IF(Horodateur112335381922313437434649525558616469852226343846505854626670747882909894102106114118110122126130134138142146150154158162166170174178182186190194198202206210214410141822263034[[#This Row],[Jour]]="2- Mardi",$B$1+2, IF(Horodateur112335381922313437434649525558616469852226343846505854626670747882909894102106114118110122126130134138142146150154158162166170174178182186190194198202206210214410141822263034[[#This Row],[Jour]]="3- Mercredi",$B$1+3, IF(Horodateur112335381922313437434649525558616469852226343846505854626670747882909894102106114118110122126130134138142146150154158162166170174178182186190194198202206210214410141822263034[[#This Row],[Jour]]="4- Jeudi",$B$1+4, IF(Horodateur112335381922313437434649525558616469852226343846505854626670747882909894102106114118110122126130134138142146150154158162166170174178182186190194198202206210214410141822263034[[#This Row],[Jour]]="5- Vendredi",$B$1+5, IF(Horodateur112335381922313437434649525558616469852226343846505854626670747882909894102106114118110122126130134138142146150154158162166170174178182186190194198202206210214410141822263034[[#This Row],[Jour]]="6- Samedi",$B$1+6, IF(Horodateur112335381922313437434649525558616469852226343846505854626670747882909894102106114118110122126130134138142146150154158162166170174178182186190194198202206210214410141822263034[[#This Row],[Jour]]="7- Dimanche",$B$1, )))))))</f>
        <v>44258</v>
      </c>
      <c r="B12" s="257" t="s">
        <v>319</v>
      </c>
      <c r="C12" s="258" t="n">
        <v>0.302083333333333</v>
      </c>
      <c r="D12" s="258" t="n">
        <v>0.34375</v>
      </c>
      <c r="E12" s="71" t="s">
        <v>32</v>
      </c>
      <c r="F12" s="71" t="s">
        <v>21</v>
      </c>
      <c r="G12" s="259"/>
      <c r="H12" s="258" t="n">
        <f aca="false">IF($C12=0,"",$D12-$C12)</f>
        <v>0.0416666666666667</v>
      </c>
      <c r="I12" s="260" t="n">
        <f aca="false">IF($C12=0,"",($H12-INT($H12))*24)</f>
        <v>1</v>
      </c>
      <c r="J12" s="303" t="n">
        <f aca="false">SUMIF(Horodateur112335381922313437434649525558616469852226343846505854626670747882909894102106114118110122126130134138142146150154158162166170174178182186190194198202206210214410141822263034[Jour],$B12,Horodateur112335381922313437434649525558616469852226343846505854626670747882909894102106114118110122126130134138142146150154158162166170174178182186190194198202206210214410141822263034[Durée (100)])</f>
        <v>7</v>
      </c>
      <c r="K12" s="335"/>
      <c r="L12" s="188" t="s">
        <v>31</v>
      </c>
      <c r="M12" s="272" t="n">
        <f aca="false">IF(Horodateur112335381922313437434649525558616469852226343846505854626670747882909894102106114118110122126130134138142146150154158162166170174178182186190194198202206210214410141822263034[[#This Row],[O]]="o",Horodateur112335381922313437434649525558616469852226343846505854626670747882909894102106114118110122126130134138142146150154158162166170174178182186190194198202206210214410141822263034[[#This Row],[Durée (100)]],".")</f>
        <v>1</v>
      </c>
      <c r="N12" s="187"/>
      <c r="O12" s="71"/>
      <c r="P12" s="71"/>
      <c r="Q12" s="71"/>
      <c r="R12" s="71"/>
      <c r="S12" s="71"/>
      <c r="T12" s="71"/>
      <c r="U12" s="71"/>
      <c r="V12" s="71"/>
      <c r="W12" s="71"/>
      <c r="X12" s="71"/>
      <c r="Y12" s="71"/>
      <c r="Z12" s="71"/>
      <c r="AA12" s="71"/>
      <c r="AB12" s="71"/>
      <c r="AC12" s="71"/>
      <c r="AD12" s="71"/>
      <c r="AE12" s="71"/>
      <c r="AF12" s="71"/>
      <c r="AG12" s="71"/>
    </row>
    <row r="13" customFormat="false" ht="15" hidden="false" customHeight="false" outlineLevel="0" collapsed="false">
      <c r="A13" s="256" t="n">
        <f aca="false">IF(Horodateur112335381922313437434649525558616469852226343846505854626670747882909894102106114118110122126130134138142146150154158162166170174178182186190194198202206210214410141822263034[[#This Row],[Jour]]="1- Lundi",$B$1+1, IF(Horodateur112335381922313437434649525558616469852226343846505854626670747882909894102106114118110122126130134138142146150154158162166170174178182186190194198202206210214410141822263034[[#This Row],[Jour]]="2- Mardi",$B$1+2, IF(Horodateur112335381922313437434649525558616469852226343846505854626670747882909894102106114118110122126130134138142146150154158162166170174178182186190194198202206210214410141822263034[[#This Row],[Jour]]="3- Mercredi",$B$1+3, IF(Horodateur112335381922313437434649525558616469852226343846505854626670747882909894102106114118110122126130134138142146150154158162166170174178182186190194198202206210214410141822263034[[#This Row],[Jour]]="4- Jeudi",$B$1+4, IF(Horodateur112335381922313437434649525558616469852226343846505854626670747882909894102106114118110122126130134138142146150154158162166170174178182186190194198202206210214410141822263034[[#This Row],[Jour]]="5- Vendredi",$B$1+5, IF(Horodateur112335381922313437434649525558616469852226343846505854626670747882909894102106114118110122126130134138142146150154158162166170174178182186190194198202206210214410141822263034[[#This Row],[Jour]]="6- Samedi",$B$1+6, IF(Horodateur112335381922313437434649525558616469852226343846505854626670747882909894102106114118110122126130134138142146150154158162166170174178182186190194198202206210214410141822263034[[#This Row],[Jour]]="7- Dimanche",$B$1, )))))))</f>
        <v>44258</v>
      </c>
      <c r="B13" s="257" t="s">
        <v>319</v>
      </c>
      <c r="C13" s="258" t="n">
        <v>0.34375</v>
      </c>
      <c r="D13" s="258" t="n">
        <v>0.447916666666667</v>
      </c>
      <c r="E13" s="71" t="s">
        <v>59</v>
      </c>
      <c r="F13" s="71" t="s">
        <v>378</v>
      </c>
      <c r="G13" s="259" t="s">
        <v>553</v>
      </c>
      <c r="H13" s="258" t="n">
        <f aca="false">IF($C13=0,"",$D13-$C13)</f>
        <v>0.104166666666667</v>
      </c>
      <c r="I13" s="260" t="n">
        <f aca="false">IF($C13=0,"",($H13-INT($H13))*24)</f>
        <v>2.5</v>
      </c>
      <c r="J13" s="303" t="n">
        <f aca="false">SUMIF(Horodateur112335381922313437434649525558616469852226343846505854626670747882909894102106114118110122126130134138142146150154158162166170174178182186190194198202206210214410141822263034[Jour],$B13,Horodateur112335381922313437434649525558616469852226343846505854626670747882909894102106114118110122126130134138142146150154158162166170174178182186190194198202206210214410141822263034[Durée (100)])</f>
        <v>7</v>
      </c>
      <c r="K13" s="335"/>
      <c r="L13" s="188" t="s">
        <v>31</v>
      </c>
      <c r="M13" s="272" t="n">
        <f aca="false">IF(Horodateur112335381922313437434649525558616469852226343846505854626670747882909894102106114118110122126130134138142146150154158162166170174178182186190194198202206210214410141822263034[[#This Row],[O]]="o",Horodateur112335381922313437434649525558616469852226343846505854626670747882909894102106114118110122126130134138142146150154158162166170174178182186190194198202206210214410141822263034[[#This Row],[Durée (100)]],".")</f>
        <v>2.5</v>
      </c>
      <c r="N13" s="187"/>
      <c r="O13" s="71"/>
      <c r="P13" s="71"/>
      <c r="Q13" s="71"/>
      <c r="R13" s="71"/>
      <c r="S13" s="71"/>
      <c r="T13" s="71"/>
      <c r="U13" s="71"/>
      <c r="V13" s="71"/>
      <c r="W13" s="71"/>
      <c r="X13" s="71"/>
      <c r="Y13" s="71"/>
      <c r="Z13" s="71"/>
      <c r="AA13" s="71"/>
      <c r="AB13" s="71"/>
      <c r="AC13" s="71"/>
      <c r="AD13" s="71"/>
      <c r="AE13" s="71"/>
      <c r="AF13" s="71"/>
      <c r="AG13" s="71"/>
    </row>
    <row r="14" customFormat="false" ht="15" hidden="false" customHeight="false" outlineLevel="0" collapsed="false">
      <c r="A14" s="256" t="n">
        <f aca="false">IF(Horodateur112335381922313437434649525558616469852226343846505854626670747882909894102106114118110122126130134138142146150154158162166170174178182186190194198202206210214410141822263034[[#This Row],[Jour]]="1- Lundi",$B$1+1, IF(Horodateur112335381922313437434649525558616469852226343846505854626670747882909894102106114118110122126130134138142146150154158162166170174178182186190194198202206210214410141822263034[[#This Row],[Jour]]="2- Mardi",$B$1+2, IF(Horodateur112335381922313437434649525558616469852226343846505854626670747882909894102106114118110122126130134138142146150154158162166170174178182186190194198202206210214410141822263034[[#This Row],[Jour]]="3- Mercredi",$B$1+3, IF(Horodateur112335381922313437434649525558616469852226343846505854626670747882909894102106114118110122126130134138142146150154158162166170174178182186190194198202206210214410141822263034[[#This Row],[Jour]]="4- Jeudi",$B$1+4, IF(Horodateur112335381922313437434649525558616469852226343846505854626670747882909894102106114118110122126130134138142146150154158162166170174178182186190194198202206210214410141822263034[[#This Row],[Jour]]="5- Vendredi",$B$1+5, IF(Horodateur112335381922313437434649525558616469852226343846505854626670747882909894102106114118110122126130134138142146150154158162166170174178182186190194198202206210214410141822263034[[#This Row],[Jour]]="6- Samedi",$B$1+6, IF(Horodateur112335381922313437434649525558616469852226343846505854626670747882909894102106114118110122126130134138142146150154158162166170174178182186190194198202206210214410141822263034[[#This Row],[Jour]]="7- Dimanche",$B$1, )))))))</f>
        <v>44258</v>
      </c>
      <c r="B14" s="257" t="s">
        <v>319</v>
      </c>
      <c r="C14" s="258" t="n">
        <v>0.479166666666667</v>
      </c>
      <c r="D14" s="258" t="n">
        <v>0.5</v>
      </c>
      <c r="E14" s="71" t="s">
        <v>59</v>
      </c>
      <c r="F14" s="71" t="s">
        <v>378</v>
      </c>
      <c r="G14" s="259" t="s">
        <v>553</v>
      </c>
      <c r="H14" s="258" t="n">
        <f aca="false">IF($C14=0,"",$D14-$C14)</f>
        <v>0.0208333333333333</v>
      </c>
      <c r="I14" s="260" t="n">
        <f aca="false">IF($C14=0,"",($H14-INT($H14))*24)</f>
        <v>0.5</v>
      </c>
      <c r="J14" s="303" t="n">
        <f aca="false">SUMIF(Horodateur112335381922313437434649525558616469852226343846505854626670747882909894102106114118110122126130134138142146150154158162166170174178182186190194198202206210214410141822263034[Jour],$B14,Horodateur112335381922313437434649525558616469852226343846505854626670747882909894102106114118110122126130134138142146150154158162166170174178182186190194198202206210214410141822263034[Durée (100)])</f>
        <v>7</v>
      </c>
      <c r="K14" s="335"/>
      <c r="L14" s="188" t="s">
        <v>31</v>
      </c>
      <c r="M14" s="272" t="n">
        <f aca="false">IF(Horodateur112335381922313437434649525558616469852226343846505854626670747882909894102106114118110122126130134138142146150154158162166170174178182186190194198202206210214410141822263034[[#This Row],[O]]="o",Horodateur112335381922313437434649525558616469852226343846505854626670747882909894102106114118110122126130134138142146150154158162166170174178182186190194198202206210214410141822263034[[#This Row],[Durée (100)]],".")</f>
        <v>0.5</v>
      </c>
      <c r="N14" s="187"/>
      <c r="O14" s="71"/>
      <c r="P14" s="71"/>
      <c r="Q14" s="71"/>
      <c r="R14" s="71"/>
      <c r="S14" s="71"/>
      <c r="T14" s="71"/>
      <c r="U14" s="71"/>
      <c r="V14" s="71"/>
      <c r="W14" s="71"/>
      <c r="X14" s="71"/>
      <c r="Y14" s="71"/>
      <c r="Z14" s="71"/>
      <c r="AA14" s="71"/>
      <c r="AB14" s="71"/>
      <c r="AC14" s="71"/>
      <c r="AD14" s="71"/>
      <c r="AE14" s="71"/>
      <c r="AF14" s="71"/>
      <c r="AG14" s="71"/>
    </row>
    <row r="15" customFormat="false" ht="15" hidden="false" customHeight="false" outlineLevel="0" collapsed="false">
      <c r="A15" s="256" t="n">
        <f aca="false">IF(Horodateur112335381922313437434649525558616469852226343846505854626670747882909894102106114118110122126130134138142146150154158162166170174178182186190194198202206210214410141822263034[[#This Row],[Jour]]="1- Lundi",$B$1+1, IF(Horodateur112335381922313437434649525558616469852226343846505854626670747882909894102106114118110122126130134138142146150154158162166170174178182186190194198202206210214410141822263034[[#This Row],[Jour]]="2- Mardi",$B$1+2, IF(Horodateur112335381922313437434649525558616469852226343846505854626670747882909894102106114118110122126130134138142146150154158162166170174178182186190194198202206210214410141822263034[[#This Row],[Jour]]="3- Mercredi",$B$1+3, IF(Horodateur112335381922313437434649525558616469852226343846505854626670747882909894102106114118110122126130134138142146150154158162166170174178182186190194198202206210214410141822263034[[#This Row],[Jour]]="4- Jeudi",$B$1+4, IF(Horodateur112335381922313437434649525558616469852226343846505854626670747882909894102106114118110122126130134138142146150154158162166170174178182186190194198202206210214410141822263034[[#This Row],[Jour]]="5- Vendredi",$B$1+5, IF(Horodateur112335381922313437434649525558616469852226343846505854626670747882909894102106114118110122126130134138142146150154158162166170174178182186190194198202206210214410141822263034[[#This Row],[Jour]]="6- Samedi",$B$1+6, IF(Horodateur112335381922313437434649525558616469852226343846505854626670747882909894102106114118110122126130134138142146150154158162166170174178182186190194198202206210214410141822263034[[#This Row],[Jour]]="7- Dimanche",$B$1, )))))))</f>
        <v>44258</v>
      </c>
      <c r="B15" s="257" t="s">
        <v>319</v>
      </c>
      <c r="C15" s="258" t="n">
        <v>0.583333333333333</v>
      </c>
      <c r="D15" s="258" t="n">
        <v>0.604166666666667</v>
      </c>
      <c r="E15" s="71" t="s">
        <v>59</v>
      </c>
      <c r="F15" s="71" t="s">
        <v>378</v>
      </c>
      <c r="G15" s="259" t="s">
        <v>553</v>
      </c>
      <c r="H15" s="258" t="n">
        <f aca="false">IF($C15=0,"",$D15-$C15)</f>
        <v>0.0208333333333333</v>
      </c>
      <c r="I15" s="260" t="n">
        <f aca="false">IF($C15=0,"",($H15-INT($H15))*24)</f>
        <v>0.499999999999998</v>
      </c>
      <c r="J15" s="303" t="n">
        <f aca="false">SUMIF(Horodateur112335381922313437434649525558616469852226343846505854626670747882909894102106114118110122126130134138142146150154158162166170174178182186190194198202206210214410141822263034[Jour],$B15,Horodateur112335381922313437434649525558616469852226343846505854626670747882909894102106114118110122126130134138142146150154158162166170174178182186190194198202206210214410141822263034[Durée (100)])</f>
        <v>7</v>
      </c>
      <c r="K15" s="335"/>
      <c r="L15" s="188" t="s">
        <v>31</v>
      </c>
      <c r="M15" s="272" t="n">
        <f aca="false">IF(Horodateur112335381922313437434649525558616469852226343846505854626670747882909894102106114118110122126130134138142146150154158162166170174178182186190194198202206210214410141822263034[[#This Row],[O]]="o",Horodateur112335381922313437434649525558616469852226343846505854626670747882909894102106114118110122126130134138142146150154158162166170174178182186190194198202206210214410141822263034[[#This Row],[Durée (100)]],".")</f>
        <v>0.499999999999998</v>
      </c>
      <c r="N15" s="187"/>
      <c r="O15" s="71"/>
      <c r="P15" s="71"/>
      <c r="Q15" s="71"/>
      <c r="R15" s="71"/>
      <c r="S15" s="71"/>
      <c r="T15" s="71"/>
      <c r="U15" s="71"/>
      <c r="V15" s="71"/>
      <c r="W15" s="71"/>
      <c r="X15" s="71"/>
      <c r="Y15" s="71"/>
      <c r="Z15" s="71"/>
      <c r="AA15" s="71"/>
      <c r="AB15" s="71"/>
      <c r="AC15" s="71"/>
      <c r="AD15" s="71"/>
      <c r="AE15" s="71"/>
      <c r="AF15" s="71"/>
      <c r="AG15" s="71"/>
    </row>
    <row r="16" customFormat="false" ht="15" hidden="false" customHeight="false" outlineLevel="0" collapsed="false">
      <c r="A16" s="256" t="n">
        <f aca="false">IF(Horodateur112335381922313437434649525558616469852226343846505854626670747882909894102106114118110122126130134138142146150154158162166170174178182186190194198202206210214410141822263034[[#This Row],[Jour]]="1- Lundi",$B$1+1, IF(Horodateur112335381922313437434649525558616469852226343846505854626670747882909894102106114118110122126130134138142146150154158162166170174178182186190194198202206210214410141822263034[[#This Row],[Jour]]="2- Mardi",$B$1+2, IF(Horodateur112335381922313437434649525558616469852226343846505854626670747882909894102106114118110122126130134138142146150154158162166170174178182186190194198202206210214410141822263034[[#This Row],[Jour]]="3- Mercredi",$B$1+3, IF(Horodateur112335381922313437434649525558616469852226343846505854626670747882909894102106114118110122126130134138142146150154158162166170174178182186190194198202206210214410141822263034[[#This Row],[Jour]]="4- Jeudi",$B$1+4, IF(Horodateur112335381922313437434649525558616469852226343846505854626670747882909894102106114118110122126130134138142146150154158162166170174178182186190194198202206210214410141822263034[[#This Row],[Jour]]="5- Vendredi",$B$1+5, IF(Horodateur112335381922313437434649525558616469852226343846505854626670747882909894102106114118110122126130134138142146150154158162166170174178182186190194198202206210214410141822263034[[#This Row],[Jour]]="6- Samedi",$B$1+6, IF(Horodateur112335381922313437434649525558616469852226343846505854626670747882909894102106114118110122126130134138142146150154158162166170174178182186190194198202206210214410141822263034[[#This Row],[Jour]]="7- Dimanche",$B$1, )))))))</f>
        <v>44258</v>
      </c>
      <c r="B16" s="257" t="s">
        <v>319</v>
      </c>
      <c r="C16" s="258" t="n">
        <v>0.604166666666667</v>
      </c>
      <c r="D16" s="258" t="n">
        <v>0.708333333333333</v>
      </c>
      <c r="E16" s="71" t="s">
        <v>37</v>
      </c>
      <c r="F16" s="71" t="s">
        <v>378</v>
      </c>
      <c r="G16" s="259" t="s">
        <v>553</v>
      </c>
      <c r="H16" s="258" t="n">
        <f aca="false">IF($C16=0,"",$D16-$C16)</f>
        <v>0.104166666666667</v>
      </c>
      <c r="I16" s="260" t="n">
        <f aca="false">IF($C16=0,"",($H16-INT($H16))*24)</f>
        <v>2.5</v>
      </c>
      <c r="J16" s="303" t="n">
        <f aca="false">SUMIF(Horodateur112335381922313437434649525558616469852226343846505854626670747882909894102106114118110122126130134138142146150154158162166170174178182186190194198202206210214410141822263034[Jour],$B16,Horodateur112335381922313437434649525558616469852226343846505854626670747882909894102106114118110122126130134138142146150154158162166170174178182186190194198202206210214410141822263034[Durée (100)])</f>
        <v>7</v>
      </c>
      <c r="K16" s="335"/>
      <c r="L16" s="188" t="s">
        <v>31</v>
      </c>
      <c r="M16" s="272" t="n">
        <f aca="false">IF(Horodateur112335381922313437434649525558616469852226343846505854626670747882909894102106114118110122126130134138142146150154158162166170174178182186190194198202206210214410141822263034[[#This Row],[O]]="o",Horodateur112335381922313437434649525558616469852226343846505854626670747882909894102106114118110122126130134138142146150154158162166170174178182186190194198202206210214410141822263034[[#This Row],[Durée (100)]],".")</f>
        <v>2.5</v>
      </c>
      <c r="N16" s="187"/>
      <c r="O16" s="71"/>
      <c r="P16" s="71"/>
      <c r="Q16" s="71"/>
      <c r="R16" s="71"/>
      <c r="S16" s="71"/>
      <c r="T16" s="71"/>
      <c r="U16" s="71"/>
      <c r="V16" s="71"/>
      <c r="W16" s="71"/>
      <c r="X16" s="71"/>
      <c r="Y16" s="71"/>
      <c r="Z16" s="71"/>
      <c r="AA16" s="71"/>
      <c r="AB16" s="71"/>
      <c r="AC16" s="71"/>
      <c r="AD16" s="71"/>
      <c r="AE16" s="71"/>
      <c r="AF16" s="71"/>
      <c r="AG16" s="71"/>
    </row>
    <row r="17" customFormat="false" ht="15" hidden="false" customHeight="false" outlineLevel="0" collapsed="false">
      <c r="A17" s="256" t="n">
        <f aca="false">IF(Horodateur112335381922313437434649525558616469852226343846505854626670747882909894102106114118110122126130134138142146150154158162166170174178182186190194198202206210214410141822263034[[#This Row],[Jour]]="1- Lundi",$B$1+1, IF(Horodateur112335381922313437434649525558616469852226343846505854626670747882909894102106114118110122126130134138142146150154158162166170174178182186190194198202206210214410141822263034[[#This Row],[Jour]]="2- Mardi",$B$1+2, IF(Horodateur112335381922313437434649525558616469852226343846505854626670747882909894102106114118110122126130134138142146150154158162166170174178182186190194198202206210214410141822263034[[#This Row],[Jour]]="3- Mercredi",$B$1+3, IF(Horodateur112335381922313437434649525558616469852226343846505854626670747882909894102106114118110122126130134138142146150154158162166170174178182186190194198202206210214410141822263034[[#This Row],[Jour]]="4- Jeudi",$B$1+4, IF(Horodateur112335381922313437434649525558616469852226343846505854626670747882909894102106114118110122126130134138142146150154158162166170174178182186190194198202206210214410141822263034[[#This Row],[Jour]]="5- Vendredi",$B$1+5, IF(Horodateur112335381922313437434649525558616469852226343846505854626670747882909894102106114118110122126130134138142146150154158162166170174178182186190194198202206210214410141822263034[[#This Row],[Jour]]="6- Samedi",$B$1+6, IF(Horodateur112335381922313437434649525558616469852226343846505854626670747882909894102106114118110122126130134138142146150154158162166170174178182186190194198202206210214410141822263034[[#This Row],[Jour]]="7- Dimanche",$B$1, )))))))</f>
        <v>44259</v>
      </c>
      <c r="B17" s="257" t="s">
        <v>324</v>
      </c>
      <c r="C17" s="258" t="n">
        <v>0.3125</v>
      </c>
      <c r="D17" s="258" t="n">
        <v>0.34375</v>
      </c>
      <c r="E17" s="71" t="s">
        <v>32</v>
      </c>
      <c r="F17" s="71" t="s">
        <v>23</v>
      </c>
      <c r="G17" s="259"/>
      <c r="H17" s="258" t="n">
        <f aca="false">IF($C17=0,"",$D17-$C17)</f>
        <v>0.03125</v>
      </c>
      <c r="I17" s="260" t="n">
        <f aca="false">IF($C17=0,"",($H17-INT($H17))*24)</f>
        <v>0.75</v>
      </c>
      <c r="J17" s="303" t="n">
        <f aca="false">SUMIF(Horodateur112335381922313437434649525558616469852226343846505854626670747882909894102106114118110122126130134138142146150154158162166170174178182186190194198202206210214410141822263034[Jour],$B17,Horodateur112335381922313437434649525558616469852226343846505854626670747882909894102106114118110122126130134138142146150154158162166170174178182186190194198202206210214410141822263034[Durée (100)])</f>
        <v>8.25</v>
      </c>
      <c r="K17" s="335"/>
      <c r="L17" s="188" t="s">
        <v>31</v>
      </c>
      <c r="M17" s="272" t="n">
        <f aca="false">IF(Horodateur112335381922313437434649525558616469852226343846505854626670747882909894102106114118110122126130134138142146150154158162166170174178182186190194198202206210214410141822263034[[#This Row],[O]]="o",Horodateur112335381922313437434649525558616469852226343846505854626670747882909894102106114118110122126130134138142146150154158162166170174178182186190194198202206210214410141822263034[[#This Row],[Durée (100)]],".")</f>
        <v>0.75</v>
      </c>
      <c r="N17" s="187"/>
      <c r="O17" s="71"/>
      <c r="P17" s="71"/>
      <c r="Q17" s="71"/>
      <c r="R17" s="71"/>
      <c r="S17" s="71"/>
      <c r="T17" s="71"/>
      <c r="U17" s="71"/>
      <c r="V17" s="71"/>
      <c r="W17" s="71"/>
      <c r="X17" s="71"/>
      <c r="Y17" s="71"/>
      <c r="Z17" s="71"/>
      <c r="AA17" s="71"/>
      <c r="AB17" s="71"/>
      <c r="AC17" s="71"/>
      <c r="AD17" s="71"/>
      <c r="AE17" s="71"/>
      <c r="AF17" s="71"/>
      <c r="AG17" s="71"/>
    </row>
    <row r="18" customFormat="false" ht="15" hidden="false" customHeight="false" outlineLevel="0" collapsed="false">
      <c r="A18" s="256" t="n">
        <f aca="false">IF(Horodateur112335381922313437434649525558616469852226343846505854626670747882909894102106114118110122126130134138142146150154158162166170174178182186190194198202206210214410141822263034[[#This Row],[Jour]]="1- Lundi",$B$1+1, IF(Horodateur112335381922313437434649525558616469852226343846505854626670747882909894102106114118110122126130134138142146150154158162166170174178182186190194198202206210214410141822263034[[#This Row],[Jour]]="2- Mardi",$B$1+2, IF(Horodateur112335381922313437434649525558616469852226343846505854626670747882909894102106114118110122126130134138142146150154158162166170174178182186190194198202206210214410141822263034[[#This Row],[Jour]]="3- Mercredi",$B$1+3, IF(Horodateur112335381922313437434649525558616469852226343846505854626670747882909894102106114118110122126130134138142146150154158162166170174178182186190194198202206210214410141822263034[[#This Row],[Jour]]="4- Jeudi",$B$1+4, IF(Horodateur112335381922313437434649525558616469852226343846505854626670747882909894102106114118110122126130134138142146150154158162166170174178182186190194198202206210214410141822263034[[#This Row],[Jour]]="5- Vendredi",$B$1+5, IF(Horodateur112335381922313437434649525558616469852226343846505854626670747882909894102106114118110122126130134138142146150154158162166170174178182186190194198202206210214410141822263034[[#This Row],[Jour]]="6- Samedi",$B$1+6, IF(Horodateur112335381922313437434649525558616469852226343846505854626670747882909894102106114118110122126130134138142146150154158162166170174178182186190194198202206210214410141822263034[[#This Row],[Jour]]="7- Dimanche",$B$1, )))))))</f>
        <v>44259</v>
      </c>
      <c r="B18" s="257" t="s">
        <v>324</v>
      </c>
      <c r="C18" s="258" t="n">
        <v>0.34375</v>
      </c>
      <c r="D18" s="258" t="n">
        <v>0.364583333333333</v>
      </c>
      <c r="E18" s="71" t="s">
        <v>45</v>
      </c>
      <c r="F18" s="71" t="s">
        <v>380</v>
      </c>
      <c r="G18" s="259" t="s">
        <v>554</v>
      </c>
      <c r="H18" s="258" t="n">
        <f aca="false">IF($C18=0,"",$D18-$C18)</f>
        <v>0.0208333333333333</v>
      </c>
      <c r="I18" s="260" t="n">
        <f aca="false">IF($C18=0,"",($H18-INT($H18))*24)</f>
        <v>0.5</v>
      </c>
      <c r="J18" s="303" t="n">
        <f aca="false">SUMIF(Horodateur112335381922313437434649525558616469852226343846505854626670747882909894102106114118110122126130134138142146150154158162166170174178182186190194198202206210214410141822263034[Jour],$B18,Horodateur112335381922313437434649525558616469852226343846505854626670747882909894102106114118110122126130134138142146150154158162166170174178182186190194198202206210214410141822263034[Durée (100)])</f>
        <v>8.25</v>
      </c>
      <c r="K18" s="335"/>
      <c r="L18" s="188" t="s">
        <v>31</v>
      </c>
      <c r="M18" s="272" t="n">
        <f aca="false">IF(Horodateur112335381922313437434649525558616469852226343846505854626670747882909894102106114118110122126130134138142146150154158162166170174178182186190194198202206210214410141822263034[[#This Row],[O]]="o",Horodateur112335381922313437434649525558616469852226343846505854626670747882909894102106114118110122126130134138142146150154158162166170174178182186190194198202206210214410141822263034[[#This Row],[Durée (100)]],".")</f>
        <v>0.5</v>
      </c>
      <c r="N18" s="187"/>
      <c r="O18" s="71"/>
      <c r="P18" s="71"/>
      <c r="Q18" s="71"/>
      <c r="R18" s="71"/>
      <c r="S18" s="71"/>
      <c r="T18" s="71"/>
      <c r="U18" s="71"/>
      <c r="V18" s="71"/>
      <c r="W18" s="71"/>
      <c r="X18" s="71"/>
      <c r="Y18" s="71"/>
      <c r="Z18" s="71"/>
      <c r="AA18" s="71"/>
      <c r="AB18" s="71"/>
      <c r="AC18" s="71"/>
      <c r="AD18" s="71"/>
      <c r="AE18" s="71"/>
      <c r="AF18" s="71"/>
      <c r="AG18" s="71"/>
    </row>
    <row r="19" customFormat="false" ht="15" hidden="false" customHeight="false" outlineLevel="0" collapsed="false">
      <c r="A19" s="256" t="n">
        <f aca="false">IF(Horodateur112335381922313437434649525558616469852226343846505854626670747882909894102106114118110122126130134138142146150154158162166170174178182186190194198202206210214410141822263034[[#This Row],[Jour]]="1- Lundi",$B$1+1, IF(Horodateur112335381922313437434649525558616469852226343846505854626670747882909894102106114118110122126130134138142146150154158162166170174178182186190194198202206210214410141822263034[[#This Row],[Jour]]="2- Mardi",$B$1+2, IF(Horodateur112335381922313437434649525558616469852226343846505854626670747882909894102106114118110122126130134138142146150154158162166170174178182186190194198202206210214410141822263034[[#This Row],[Jour]]="3- Mercredi",$B$1+3, IF(Horodateur112335381922313437434649525558616469852226343846505854626670747882909894102106114118110122126130134138142146150154158162166170174178182186190194198202206210214410141822263034[[#This Row],[Jour]]="4- Jeudi",$B$1+4, IF(Horodateur112335381922313437434649525558616469852226343846505854626670747882909894102106114118110122126130134138142146150154158162166170174178182186190194198202206210214410141822263034[[#This Row],[Jour]]="5- Vendredi",$B$1+5, IF(Horodateur112335381922313437434649525558616469852226343846505854626670747882909894102106114118110122126130134138142146150154158162166170174178182186190194198202206210214410141822263034[[#This Row],[Jour]]="6- Samedi",$B$1+6, IF(Horodateur112335381922313437434649525558616469852226343846505854626670747882909894102106114118110122126130134138142146150154158162166170174178182186190194198202206210214410141822263034[[#This Row],[Jour]]="7- Dimanche",$B$1, )))))))</f>
        <v>44259</v>
      </c>
      <c r="B19" s="257" t="s">
        <v>324</v>
      </c>
      <c r="C19" s="258" t="n">
        <v>0.375</v>
      </c>
      <c r="D19" s="258" t="n">
        <v>0.385416666666667</v>
      </c>
      <c r="E19" s="71" t="s">
        <v>32</v>
      </c>
      <c r="F19" s="71" t="s">
        <v>23</v>
      </c>
      <c r="G19" s="259" t="s">
        <v>555</v>
      </c>
      <c r="H19" s="258" t="n">
        <f aca="false">IF($C19=0,"",$D19-$C19)</f>
        <v>0.0104166666666667</v>
      </c>
      <c r="I19" s="260" t="n">
        <f aca="false">IF($C19=0,"",($H19-INT($H19))*24)</f>
        <v>0.25</v>
      </c>
      <c r="J19" s="303" t="n">
        <f aca="false">SUMIF(Horodateur112335381922313437434649525558616469852226343846505854626670747882909894102106114118110122126130134138142146150154158162166170174178182186190194198202206210214410141822263034[Jour],$B19,Horodateur112335381922313437434649525558616469852226343846505854626670747882909894102106114118110122126130134138142146150154158162166170174178182186190194198202206210214410141822263034[Durée (100)])</f>
        <v>8.25</v>
      </c>
      <c r="K19" s="335"/>
      <c r="L19" s="188" t="s">
        <v>31</v>
      </c>
      <c r="M19" s="272" t="n">
        <f aca="false">IF(Horodateur112335381922313437434649525558616469852226343846505854626670747882909894102106114118110122126130134138142146150154158162166170174178182186190194198202206210214410141822263034[[#This Row],[O]]="o",Horodateur112335381922313437434649525558616469852226343846505854626670747882909894102106114118110122126130134138142146150154158162166170174178182186190194198202206210214410141822263034[[#This Row],[Durée (100)]],".")</f>
        <v>0.25</v>
      </c>
      <c r="N19" s="187"/>
      <c r="O19" s="71"/>
      <c r="P19" s="71"/>
      <c r="Q19" s="71"/>
      <c r="R19" s="71"/>
      <c r="S19" s="71"/>
      <c r="T19" s="71"/>
      <c r="U19" s="71"/>
      <c r="V19" s="71"/>
      <c r="W19" s="71"/>
      <c r="X19" s="71"/>
      <c r="Y19" s="71"/>
      <c r="Z19" s="71"/>
      <c r="AA19" s="71"/>
      <c r="AB19" s="71"/>
      <c r="AC19" s="71"/>
      <c r="AD19" s="71"/>
      <c r="AE19" s="71"/>
      <c r="AF19" s="71"/>
      <c r="AG19" s="71"/>
    </row>
    <row r="20" customFormat="false" ht="15" hidden="false" customHeight="false" outlineLevel="0" collapsed="false">
      <c r="A20" s="256" t="n">
        <f aca="false">IF(Horodateur112335381922313437434649525558616469852226343846505854626670747882909894102106114118110122126130134138142146150154158162166170174178182186190194198202206210214410141822263034[[#This Row],[Jour]]="1- Lundi",$B$1+1, IF(Horodateur112335381922313437434649525558616469852226343846505854626670747882909894102106114118110122126130134138142146150154158162166170174178182186190194198202206210214410141822263034[[#This Row],[Jour]]="2- Mardi",$B$1+2, IF(Horodateur112335381922313437434649525558616469852226343846505854626670747882909894102106114118110122126130134138142146150154158162166170174178182186190194198202206210214410141822263034[[#This Row],[Jour]]="3- Mercredi",$B$1+3, IF(Horodateur112335381922313437434649525558616469852226343846505854626670747882909894102106114118110122126130134138142146150154158162166170174178182186190194198202206210214410141822263034[[#This Row],[Jour]]="4- Jeudi",$B$1+4, IF(Horodateur112335381922313437434649525558616469852226343846505854626670747882909894102106114118110122126130134138142146150154158162166170174178182186190194198202206210214410141822263034[[#This Row],[Jour]]="5- Vendredi",$B$1+5, IF(Horodateur112335381922313437434649525558616469852226343846505854626670747882909894102106114118110122126130134138142146150154158162166170174178182186190194198202206210214410141822263034[[#This Row],[Jour]]="6- Samedi",$B$1+6, IF(Horodateur112335381922313437434649525558616469852226343846505854626670747882909894102106114118110122126130134138142146150154158162166170174178182186190194198202206210214410141822263034[[#This Row],[Jour]]="7- Dimanche",$B$1, )))))))</f>
        <v>44259</v>
      </c>
      <c r="B20" s="257" t="s">
        <v>324</v>
      </c>
      <c r="C20" s="258" t="n">
        <v>0.385416666666667</v>
      </c>
      <c r="D20" s="258" t="n">
        <v>0.395833333333333</v>
      </c>
      <c r="E20" s="71" t="s">
        <v>45</v>
      </c>
      <c r="F20" s="71" t="s">
        <v>380</v>
      </c>
      <c r="G20" s="259" t="s">
        <v>555</v>
      </c>
      <c r="H20" s="258" t="n">
        <f aca="false">IF($C20=0,"",$D20-$C20)</f>
        <v>0.0104166666666666</v>
      </c>
      <c r="I20" s="260" t="n">
        <f aca="false">IF($C20=0,"",($H20-INT($H20))*24)</f>
        <v>0.25</v>
      </c>
      <c r="J20" s="303" t="n">
        <f aca="false">SUMIF(Horodateur112335381922313437434649525558616469852226343846505854626670747882909894102106114118110122126130134138142146150154158162166170174178182186190194198202206210214410141822263034[Jour],$B20,Horodateur112335381922313437434649525558616469852226343846505854626670747882909894102106114118110122126130134138142146150154158162166170174178182186190194198202206210214410141822263034[Durée (100)])</f>
        <v>8.25</v>
      </c>
      <c r="K20" s="335"/>
      <c r="L20" s="188" t="s">
        <v>31</v>
      </c>
      <c r="M20" s="272" t="n">
        <f aca="false">IF(Horodateur112335381922313437434649525558616469852226343846505854626670747882909894102106114118110122126130134138142146150154158162166170174178182186190194198202206210214410141822263034[[#This Row],[O]]="o",Horodateur112335381922313437434649525558616469852226343846505854626670747882909894102106114118110122126130134138142146150154158162166170174178182186190194198202206210214410141822263034[[#This Row],[Durée (100)]],".")</f>
        <v>0.249999999999999</v>
      </c>
      <c r="N20" s="187"/>
      <c r="O20" s="71"/>
      <c r="P20" s="71"/>
      <c r="Q20" s="71"/>
      <c r="R20" s="71"/>
      <c r="S20" s="71"/>
      <c r="T20" s="71"/>
      <c r="U20" s="71"/>
      <c r="V20" s="71"/>
      <c r="W20" s="71"/>
      <c r="X20" s="71"/>
      <c r="Y20" s="71"/>
      <c r="Z20" s="71"/>
      <c r="AA20" s="71"/>
      <c r="AB20" s="71"/>
      <c r="AC20" s="71"/>
      <c r="AD20" s="71"/>
      <c r="AE20" s="71"/>
      <c r="AF20" s="71"/>
      <c r="AG20" s="71"/>
    </row>
    <row r="21" customFormat="false" ht="15" hidden="false" customHeight="false" outlineLevel="0" collapsed="false">
      <c r="A21" s="256" t="n">
        <f aca="false">IF(Horodateur112335381922313437434649525558616469852226343846505854626670747882909894102106114118110122126130134138142146150154158162166170174178182186190194198202206210214410141822263034[[#This Row],[Jour]]="1- Lundi",$B$1+1, IF(Horodateur112335381922313437434649525558616469852226343846505854626670747882909894102106114118110122126130134138142146150154158162166170174178182186190194198202206210214410141822263034[[#This Row],[Jour]]="2- Mardi",$B$1+2, IF(Horodateur112335381922313437434649525558616469852226343846505854626670747882909894102106114118110122126130134138142146150154158162166170174178182186190194198202206210214410141822263034[[#This Row],[Jour]]="3- Mercredi",$B$1+3, IF(Horodateur112335381922313437434649525558616469852226343846505854626670747882909894102106114118110122126130134138142146150154158162166170174178182186190194198202206210214410141822263034[[#This Row],[Jour]]="4- Jeudi",$B$1+4, IF(Horodateur112335381922313437434649525558616469852226343846505854626670747882909894102106114118110122126130134138142146150154158162166170174178182186190194198202206210214410141822263034[[#This Row],[Jour]]="5- Vendredi",$B$1+5, IF(Horodateur112335381922313437434649525558616469852226343846505854626670747882909894102106114118110122126130134138142146150154158162166170174178182186190194198202206210214410141822263034[[#This Row],[Jour]]="6- Samedi",$B$1+6, IF(Horodateur112335381922313437434649525558616469852226343846505854626670747882909894102106114118110122126130134138142146150154158162166170174178182186190194198202206210214410141822263034[[#This Row],[Jour]]="7- Dimanche",$B$1, )))))))</f>
        <v>44259</v>
      </c>
      <c r="B21" s="257" t="s">
        <v>324</v>
      </c>
      <c r="C21" s="258" t="n">
        <v>0.395833333333333</v>
      </c>
      <c r="D21" s="258" t="n">
        <v>0.416666666666667</v>
      </c>
      <c r="E21" s="71" t="s">
        <v>45</v>
      </c>
      <c r="F21" s="71" t="s">
        <v>380</v>
      </c>
      <c r="G21" s="259" t="s">
        <v>556</v>
      </c>
      <c r="H21" s="258" t="n">
        <f aca="false">IF($C21=0,"",$D21-$C21)</f>
        <v>0.0208333333333334</v>
      </c>
      <c r="I21" s="260" t="n">
        <f aca="false">IF($C21=0,"",($H21-INT($H21))*24)</f>
        <v>0.5</v>
      </c>
      <c r="J21" s="303" t="n">
        <f aca="false">SUMIF(Horodateur112335381922313437434649525558616469852226343846505854626670747882909894102106114118110122126130134138142146150154158162166170174178182186190194198202206210214410141822263034[Jour],$B21,Horodateur112335381922313437434649525558616469852226343846505854626670747882909894102106114118110122126130134138142146150154158162166170174178182186190194198202206210214410141822263034[Durée (100)])</f>
        <v>8.25</v>
      </c>
      <c r="K21" s="335"/>
      <c r="L21" s="188" t="s">
        <v>31</v>
      </c>
      <c r="M21" s="272" t="n">
        <f aca="false">IF(Horodateur112335381922313437434649525558616469852226343846505854626670747882909894102106114118110122126130134138142146150154158162166170174178182186190194198202206210214410141822263034[[#This Row],[O]]="o",Horodateur112335381922313437434649525558616469852226343846505854626670747882909894102106114118110122126130134138142146150154158162166170174178182186190194198202206210214410141822263034[[#This Row],[Durée (100)]],".")</f>
        <v>0.500000000000001</v>
      </c>
      <c r="N21" s="187"/>
      <c r="O21" s="71"/>
      <c r="P21" s="71"/>
      <c r="Q21" s="71"/>
      <c r="R21" s="71"/>
      <c r="S21" s="71"/>
      <c r="T21" s="71"/>
      <c r="U21" s="71"/>
      <c r="V21" s="71"/>
      <c r="W21" s="71"/>
      <c r="X21" s="71"/>
      <c r="Y21" s="71"/>
      <c r="Z21" s="71"/>
      <c r="AA21" s="71"/>
      <c r="AB21" s="71"/>
      <c r="AC21" s="71"/>
      <c r="AD21" s="71"/>
      <c r="AE21" s="71"/>
      <c r="AF21" s="71"/>
      <c r="AG21" s="71"/>
    </row>
    <row r="22" customFormat="false" ht="15" hidden="false" customHeight="false" outlineLevel="0" collapsed="false">
      <c r="A22" s="256" t="n">
        <f aca="false">IF(Horodateur112335381922313437434649525558616469852226343846505854626670747882909894102106114118110122126130134138142146150154158162166170174178182186190194198202206210214410141822263034[[#This Row],[Jour]]="1- Lundi",$B$1+1, IF(Horodateur112335381922313437434649525558616469852226343846505854626670747882909894102106114118110122126130134138142146150154158162166170174178182186190194198202206210214410141822263034[[#This Row],[Jour]]="2- Mardi",$B$1+2, IF(Horodateur112335381922313437434649525558616469852226343846505854626670747882909894102106114118110122126130134138142146150154158162166170174178182186190194198202206210214410141822263034[[#This Row],[Jour]]="3- Mercredi",$B$1+3, IF(Horodateur112335381922313437434649525558616469852226343846505854626670747882909894102106114118110122126130134138142146150154158162166170174178182186190194198202206210214410141822263034[[#This Row],[Jour]]="4- Jeudi",$B$1+4, IF(Horodateur112335381922313437434649525558616469852226343846505854626670747882909894102106114118110122126130134138142146150154158162166170174178182186190194198202206210214410141822263034[[#This Row],[Jour]]="5- Vendredi",$B$1+5, IF(Horodateur112335381922313437434649525558616469852226343846505854626670747882909894102106114118110122126130134138142146150154158162166170174178182186190194198202206210214410141822263034[[#This Row],[Jour]]="6- Samedi",$B$1+6, IF(Horodateur112335381922313437434649525558616469852226343846505854626670747882909894102106114118110122126130134138142146150154158162166170174178182186190194198202206210214410141822263034[[#This Row],[Jour]]="7- Dimanche",$B$1, )))))))</f>
        <v>44259</v>
      </c>
      <c r="B22" s="257" t="s">
        <v>324</v>
      </c>
      <c r="C22" s="258" t="n">
        <v>0.416666666666667</v>
      </c>
      <c r="D22" s="258" t="n">
        <v>0.479166666666667</v>
      </c>
      <c r="E22" s="71" t="s">
        <v>37</v>
      </c>
      <c r="F22" s="71" t="s">
        <v>378</v>
      </c>
      <c r="G22" s="259" t="s">
        <v>557</v>
      </c>
      <c r="H22" s="258" t="n">
        <f aca="false">IF($C22=0,"",$D22-$C22)</f>
        <v>0.0625</v>
      </c>
      <c r="I22" s="260" t="n">
        <f aca="false">IF($C22=0,"",($H22-INT($H22))*24)</f>
        <v>1.5</v>
      </c>
      <c r="J22" s="303" t="n">
        <f aca="false">SUMIF(Horodateur112335381922313437434649525558616469852226343846505854626670747882909894102106114118110122126130134138142146150154158162166170174178182186190194198202206210214410141822263034[Jour],$B22,Horodateur112335381922313437434649525558616469852226343846505854626670747882909894102106114118110122126130134138142146150154158162166170174178182186190194198202206210214410141822263034[Durée (100)])</f>
        <v>8.25</v>
      </c>
      <c r="K22" s="335"/>
      <c r="L22" s="188" t="s">
        <v>31</v>
      </c>
      <c r="M22" s="272" t="n">
        <f aca="false">IF(Horodateur112335381922313437434649525558616469852226343846505854626670747882909894102106114118110122126130134138142146150154158162166170174178182186190194198202206210214410141822263034[[#This Row],[O]]="o",Horodateur112335381922313437434649525558616469852226343846505854626670747882909894102106114118110122126130134138142146150154158162166170174178182186190194198202206210214410141822263034[[#This Row],[Durée (100)]],".")</f>
        <v>1.5</v>
      </c>
      <c r="N22" s="187"/>
      <c r="O22" s="71"/>
      <c r="P22" s="71"/>
      <c r="Q22" s="71"/>
      <c r="R22" s="71"/>
      <c r="S22" s="71"/>
      <c r="T22" s="71"/>
      <c r="U22" s="71"/>
      <c r="V22" s="71"/>
      <c r="W22" s="71"/>
      <c r="X22" s="71"/>
      <c r="Y22" s="71"/>
      <c r="Z22" s="71"/>
      <c r="AA22" s="71"/>
      <c r="AB22" s="71"/>
      <c r="AC22" s="71"/>
      <c r="AD22" s="71"/>
      <c r="AE22" s="71"/>
      <c r="AF22" s="71"/>
      <c r="AG22" s="71"/>
    </row>
    <row r="23" customFormat="false" ht="15" hidden="false" customHeight="false" outlineLevel="0" collapsed="false">
      <c r="A23" s="256" t="n">
        <f aca="false">IF(Horodateur112335381922313437434649525558616469852226343846505854626670747882909894102106114118110122126130134138142146150154158162166170174178182186190194198202206210214410141822263034[[#This Row],[Jour]]="1- Lundi",$B$1+1, IF(Horodateur112335381922313437434649525558616469852226343846505854626670747882909894102106114118110122126130134138142146150154158162166170174178182186190194198202206210214410141822263034[[#This Row],[Jour]]="2- Mardi",$B$1+2, IF(Horodateur112335381922313437434649525558616469852226343846505854626670747882909894102106114118110122126130134138142146150154158162166170174178182186190194198202206210214410141822263034[[#This Row],[Jour]]="3- Mercredi",$B$1+3, IF(Horodateur112335381922313437434649525558616469852226343846505854626670747882909894102106114118110122126130134138142146150154158162166170174178182186190194198202206210214410141822263034[[#This Row],[Jour]]="4- Jeudi",$B$1+4, IF(Horodateur112335381922313437434649525558616469852226343846505854626670747882909894102106114118110122126130134138142146150154158162166170174178182186190194198202206210214410141822263034[[#This Row],[Jour]]="5- Vendredi",$B$1+5, IF(Horodateur112335381922313437434649525558616469852226343846505854626670747882909894102106114118110122126130134138142146150154158162166170174178182186190194198202206210214410141822263034[[#This Row],[Jour]]="6- Samedi",$B$1+6, IF(Horodateur112335381922313437434649525558616469852226343846505854626670747882909894102106114118110122126130134138142146150154158162166170174178182186190194198202206210214410141822263034[[#This Row],[Jour]]="7- Dimanche",$B$1, )))))))</f>
        <v>44259</v>
      </c>
      <c r="B23" s="257" t="s">
        <v>324</v>
      </c>
      <c r="C23" s="258" t="n">
        <v>0.5625</v>
      </c>
      <c r="D23" s="258" t="n">
        <v>0.583333333333333</v>
      </c>
      <c r="E23" s="71" t="s">
        <v>37</v>
      </c>
      <c r="F23" s="71" t="s">
        <v>378</v>
      </c>
      <c r="G23" s="259" t="s">
        <v>557</v>
      </c>
      <c r="H23" s="258" t="n">
        <f aca="false">IF($C23=0,"",$D23-$C23)</f>
        <v>0.0208333333333333</v>
      </c>
      <c r="I23" s="260" t="n">
        <f aca="false">IF($C23=0,"",($H23-INT($H23))*24)</f>
        <v>0.5</v>
      </c>
      <c r="J23" s="303" t="n">
        <f aca="false">SUMIF(Horodateur112335381922313437434649525558616469852226343846505854626670747882909894102106114118110122126130134138142146150154158162166170174178182186190194198202206210214410141822263034[Jour],$B23,Horodateur112335381922313437434649525558616469852226343846505854626670747882909894102106114118110122126130134138142146150154158162166170174178182186190194198202206210214410141822263034[Durée (100)])</f>
        <v>8.25</v>
      </c>
      <c r="K23" s="335"/>
      <c r="L23" s="188" t="s">
        <v>31</v>
      </c>
      <c r="M23" s="272" t="n">
        <f aca="false">IF(Horodateur112335381922313437434649525558616469852226343846505854626670747882909894102106114118110122126130134138142146150154158162166170174178182186190194198202206210214410141822263034[[#This Row],[O]]="o",Horodateur112335381922313437434649525558616469852226343846505854626670747882909894102106114118110122126130134138142146150154158162166170174178182186190194198202206210214410141822263034[[#This Row],[Durée (100)]],".")</f>
        <v>0.500000000000001</v>
      </c>
      <c r="N23" s="187"/>
      <c r="O23" s="71"/>
      <c r="P23" s="71"/>
      <c r="Q23" s="71"/>
      <c r="R23" s="71"/>
      <c r="S23" s="71"/>
      <c r="T23" s="71"/>
      <c r="U23" s="71"/>
      <c r="V23" s="71"/>
      <c r="W23" s="71"/>
      <c r="X23" s="71"/>
      <c r="Y23" s="71"/>
      <c r="Z23" s="71"/>
      <c r="AA23" s="71"/>
      <c r="AB23" s="71"/>
      <c r="AC23" s="71"/>
      <c r="AD23" s="71"/>
      <c r="AE23" s="71"/>
      <c r="AF23" s="71"/>
      <c r="AG23" s="71"/>
    </row>
    <row r="24" customFormat="false" ht="15" hidden="false" customHeight="false" outlineLevel="0" collapsed="false">
      <c r="A24" s="256" t="n">
        <f aca="false">IF(Horodateur112335381922313437434649525558616469852226343846505854626670747882909894102106114118110122126130134138142146150154158162166170174178182186190194198202206210214410141822263034[[#This Row],[Jour]]="1- Lundi",$B$1+1, IF(Horodateur112335381922313437434649525558616469852226343846505854626670747882909894102106114118110122126130134138142146150154158162166170174178182186190194198202206210214410141822263034[[#This Row],[Jour]]="2- Mardi",$B$1+2, IF(Horodateur112335381922313437434649525558616469852226343846505854626670747882909894102106114118110122126130134138142146150154158162166170174178182186190194198202206210214410141822263034[[#This Row],[Jour]]="3- Mercredi",$B$1+3, IF(Horodateur112335381922313437434649525558616469852226343846505854626670747882909894102106114118110122126130134138142146150154158162166170174178182186190194198202206210214410141822263034[[#This Row],[Jour]]="4- Jeudi",$B$1+4, IF(Horodateur112335381922313437434649525558616469852226343846505854626670747882909894102106114118110122126130134138142146150154158162166170174178182186190194198202206210214410141822263034[[#This Row],[Jour]]="5- Vendredi",$B$1+5, IF(Horodateur112335381922313437434649525558616469852226343846505854626670747882909894102106114118110122126130134138142146150154158162166170174178182186190194198202206210214410141822263034[[#This Row],[Jour]]="6- Samedi",$B$1+6, IF(Horodateur112335381922313437434649525558616469852226343846505854626670747882909894102106114118110122126130134138142146150154158162166170174178182186190194198202206210214410141822263034[[#This Row],[Jour]]="7- Dimanche",$B$1, )))))))</f>
        <v>44259</v>
      </c>
      <c r="B24" s="257" t="s">
        <v>324</v>
      </c>
      <c r="C24" s="258" t="n">
        <v>0.583333333333333</v>
      </c>
      <c r="D24" s="258" t="n">
        <v>0.677083333333333</v>
      </c>
      <c r="E24" s="71" t="s">
        <v>59</v>
      </c>
      <c r="F24" s="71" t="s">
        <v>378</v>
      </c>
      <c r="G24" s="259" t="s">
        <v>558</v>
      </c>
      <c r="H24" s="258" t="n">
        <f aca="false">IF($C24=0,"",$D24-$C24)</f>
        <v>0.09375</v>
      </c>
      <c r="I24" s="260" t="n">
        <f aca="false">IF($C24=0,"",($H24-INT($H24))*24)</f>
        <v>2.25</v>
      </c>
      <c r="J24" s="303" t="n">
        <f aca="false">SUMIF(Horodateur112335381922313437434649525558616469852226343846505854626670747882909894102106114118110122126130134138142146150154158162166170174178182186190194198202206210214410141822263034[Jour],$B24,Horodateur112335381922313437434649525558616469852226343846505854626670747882909894102106114118110122126130134138142146150154158162166170174178182186190194198202206210214410141822263034[Durée (100)])</f>
        <v>8.25</v>
      </c>
      <c r="K24" s="335"/>
      <c r="L24" s="188" t="s">
        <v>31</v>
      </c>
      <c r="M24" s="272" t="n">
        <f aca="false">IF(Horodateur112335381922313437434649525558616469852226343846505854626670747882909894102106114118110122126130134138142146150154158162166170174178182186190194198202206210214410141822263034[[#This Row],[O]]="o",Horodateur112335381922313437434649525558616469852226343846505854626670747882909894102106114118110122126130134138142146150154158162166170174178182186190194198202206210214410141822263034[[#This Row],[Durée (100)]],".")</f>
        <v>2.25</v>
      </c>
      <c r="N24" s="187"/>
      <c r="O24" s="71"/>
      <c r="P24" s="71"/>
      <c r="Q24" s="71"/>
      <c r="R24" s="71"/>
      <c r="S24" s="71"/>
      <c r="T24" s="71"/>
      <c r="U24" s="71"/>
      <c r="V24" s="71"/>
      <c r="W24" s="71"/>
      <c r="X24" s="71"/>
      <c r="Y24" s="71"/>
      <c r="Z24" s="71"/>
      <c r="AA24" s="71"/>
      <c r="AB24" s="71"/>
      <c r="AC24" s="71"/>
      <c r="AD24" s="71"/>
      <c r="AE24" s="71"/>
      <c r="AF24" s="71"/>
      <c r="AG24" s="71"/>
    </row>
    <row r="25" customFormat="false" ht="15" hidden="false" customHeight="false" outlineLevel="0" collapsed="false">
      <c r="A25" s="256" t="n">
        <f aca="false">IF(Horodateur112335381922313437434649525558616469852226343846505854626670747882909894102106114118110122126130134138142146150154158162166170174178182186190194198202206210214410141822263034[[#This Row],[Jour]]="1- Lundi",$B$1+1, IF(Horodateur112335381922313437434649525558616469852226343846505854626670747882909894102106114118110122126130134138142146150154158162166170174178182186190194198202206210214410141822263034[[#This Row],[Jour]]="2- Mardi",$B$1+2, IF(Horodateur112335381922313437434649525558616469852226343846505854626670747882909894102106114118110122126130134138142146150154158162166170174178182186190194198202206210214410141822263034[[#This Row],[Jour]]="3- Mercredi",$B$1+3, IF(Horodateur112335381922313437434649525558616469852226343846505854626670747882909894102106114118110122126130134138142146150154158162166170174178182186190194198202206210214410141822263034[[#This Row],[Jour]]="4- Jeudi",$B$1+4, IF(Horodateur112335381922313437434649525558616469852226343846505854626670747882909894102106114118110122126130134138142146150154158162166170174178182186190194198202206210214410141822263034[[#This Row],[Jour]]="5- Vendredi",$B$1+5, IF(Horodateur112335381922313437434649525558616469852226343846505854626670747882909894102106114118110122126130134138142146150154158162166170174178182186190194198202206210214410141822263034[[#This Row],[Jour]]="6- Samedi",$B$1+6, IF(Horodateur112335381922313437434649525558616469852226343846505854626670747882909894102106114118110122126130134138142146150154158162166170174178182186190194198202206210214410141822263034[[#This Row],[Jour]]="7- Dimanche",$B$1, )))))))</f>
        <v>44259</v>
      </c>
      <c r="B25" s="257" t="s">
        <v>324</v>
      </c>
      <c r="C25" s="258" t="n">
        <v>0.677083333333333</v>
      </c>
      <c r="D25" s="258" t="n">
        <v>0.697916666666667</v>
      </c>
      <c r="E25" s="71" t="s">
        <v>59</v>
      </c>
      <c r="F25" s="71" t="s">
        <v>378</v>
      </c>
      <c r="G25" s="259" t="s">
        <v>559</v>
      </c>
      <c r="H25" s="258" t="n">
        <f aca="false">IF($C25=0,"",$D25-$C25)</f>
        <v>0.0208333333333333</v>
      </c>
      <c r="I25" s="260" t="n">
        <f aca="false">IF($C25=0,"",($H25-INT($H25))*24)</f>
        <v>0.5</v>
      </c>
      <c r="J25" s="303" t="n">
        <f aca="false">SUMIF(Horodateur112335381922313437434649525558616469852226343846505854626670747882909894102106114118110122126130134138142146150154158162166170174178182186190194198202206210214410141822263034[Jour],$B25,Horodateur112335381922313437434649525558616469852226343846505854626670747882909894102106114118110122126130134138142146150154158162166170174178182186190194198202206210214410141822263034[Durée (100)])</f>
        <v>8.25</v>
      </c>
      <c r="K25" s="335"/>
      <c r="L25" s="188" t="s">
        <v>31</v>
      </c>
      <c r="M25" s="272" t="n">
        <f aca="false">IF(Horodateur112335381922313437434649525558616469852226343846505854626670747882909894102106114118110122126130134138142146150154158162166170174178182186190194198202206210214410141822263034[[#This Row],[O]]="o",Horodateur112335381922313437434649525558616469852226343846505854626670747882909894102106114118110122126130134138142146150154158162166170174178182186190194198202206210214410141822263034[[#This Row],[Durée (100)]],".")</f>
        <v>0.499999999999998</v>
      </c>
      <c r="N25" s="187"/>
      <c r="O25" s="71"/>
      <c r="P25" s="71"/>
      <c r="Q25" s="71"/>
      <c r="R25" s="71"/>
      <c r="S25" s="71"/>
      <c r="T25" s="71"/>
      <c r="U25" s="71"/>
      <c r="V25" s="71"/>
      <c r="W25" s="71"/>
      <c r="X25" s="71"/>
      <c r="Y25" s="71"/>
      <c r="Z25" s="71"/>
      <c r="AA25" s="71"/>
      <c r="AB25" s="71"/>
      <c r="AC25" s="71"/>
      <c r="AD25" s="71"/>
      <c r="AE25" s="71"/>
      <c r="AF25" s="71"/>
      <c r="AG25" s="71"/>
    </row>
    <row r="26" customFormat="false" ht="15" hidden="false" customHeight="false" outlineLevel="0" collapsed="false">
      <c r="A26" s="256" t="n">
        <f aca="false">IF(Horodateur112335381922313437434649525558616469852226343846505854626670747882909894102106114118110122126130134138142146150154158162166170174178182186190194198202206210214410141822263034[[#This Row],[Jour]]="1- Lundi",$B$1+1, IF(Horodateur112335381922313437434649525558616469852226343846505854626670747882909894102106114118110122126130134138142146150154158162166170174178182186190194198202206210214410141822263034[[#This Row],[Jour]]="2- Mardi",$B$1+2, IF(Horodateur112335381922313437434649525558616469852226343846505854626670747882909894102106114118110122126130134138142146150154158162166170174178182186190194198202206210214410141822263034[[#This Row],[Jour]]="3- Mercredi",$B$1+3, IF(Horodateur112335381922313437434649525558616469852226343846505854626670747882909894102106114118110122126130134138142146150154158162166170174178182186190194198202206210214410141822263034[[#This Row],[Jour]]="4- Jeudi",$B$1+4, IF(Horodateur112335381922313437434649525558616469852226343846505854626670747882909894102106114118110122126130134138142146150154158162166170174178182186190194198202206210214410141822263034[[#This Row],[Jour]]="5- Vendredi",$B$1+5, IF(Horodateur112335381922313437434649525558616469852226343846505854626670747882909894102106114118110122126130134138142146150154158162166170174178182186190194198202206210214410141822263034[[#This Row],[Jour]]="6- Samedi",$B$1+6, IF(Horodateur112335381922313437434649525558616469852226343846505854626670747882909894102106114118110122126130134138142146150154158162166170174178182186190194198202206210214410141822263034[[#This Row],[Jour]]="7- Dimanche",$B$1, )))))))</f>
        <v>44259</v>
      </c>
      <c r="B26" s="257" t="s">
        <v>324</v>
      </c>
      <c r="C26" s="258" t="n">
        <v>0.697916666666667</v>
      </c>
      <c r="D26" s="258" t="n">
        <v>0.708333333333333</v>
      </c>
      <c r="E26" s="71" t="s">
        <v>59</v>
      </c>
      <c r="F26" s="71" t="s">
        <v>378</v>
      </c>
      <c r="G26" s="259" t="s">
        <v>560</v>
      </c>
      <c r="H26" s="258" t="n">
        <f aca="false">IF($C26=0,"",$D26-$C26)</f>
        <v>0.0104166666666667</v>
      </c>
      <c r="I26" s="260" t="n">
        <f aca="false">IF($C26=0,"",($H26-INT($H26))*24)</f>
        <v>0.25</v>
      </c>
      <c r="J26" s="303" t="n">
        <f aca="false">SUMIF(Horodateur112335381922313437434649525558616469852226343846505854626670747882909894102106114118110122126130134138142146150154158162166170174178182186190194198202206210214410141822263034[Jour],$B26,Horodateur112335381922313437434649525558616469852226343846505854626670747882909894102106114118110122126130134138142146150154158162166170174178182186190194198202206210214410141822263034[Durée (100)])</f>
        <v>8.25</v>
      </c>
      <c r="K26" s="335"/>
      <c r="L26" s="188" t="s">
        <v>31</v>
      </c>
      <c r="M26" s="272" t="n">
        <f aca="false">IF(Horodateur112335381922313437434649525558616469852226343846505854626670747882909894102106114118110122126130134138142146150154158162166170174178182186190194198202206210214410141822263034[[#This Row],[O]]="o",Horodateur112335381922313437434649525558616469852226343846505854626670747882909894102106114118110122126130134138142146150154158162166170174178182186190194198202206210214410141822263034[[#This Row],[Durée (100)]],".")</f>
        <v>0.250000000000002</v>
      </c>
      <c r="N26" s="187"/>
      <c r="O26" s="71"/>
      <c r="P26" s="71"/>
      <c r="Q26" s="71"/>
      <c r="R26" s="71"/>
      <c r="S26" s="71"/>
      <c r="T26" s="71"/>
      <c r="U26" s="71"/>
      <c r="V26" s="71"/>
      <c r="W26" s="71"/>
      <c r="X26" s="71"/>
      <c r="Y26" s="71"/>
      <c r="Z26" s="71"/>
      <c r="AA26" s="71"/>
      <c r="AB26" s="71"/>
      <c r="AC26" s="71"/>
      <c r="AD26" s="71"/>
      <c r="AE26" s="71"/>
      <c r="AF26" s="71"/>
      <c r="AG26" s="71"/>
    </row>
    <row r="27" customFormat="false" ht="15" hidden="false" customHeight="false" outlineLevel="0" collapsed="false">
      <c r="A27" s="256" t="n">
        <f aca="false">IF(Horodateur112335381922313437434649525558616469852226343846505854626670747882909894102106114118110122126130134138142146150154158162166170174178182186190194198202206210214410141822263034[[#This Row],[Jour]]="1- Lundi",$B$1+1, IF(Horodateur112335381922313437434649525558616469852226343846505854626670747882909894102106114118110122126130134138142146150154158162166170174178182186190194198202206210214410141822263034[[#This Row],[Jour]]="2- Mardi",$B$1+2, IF(Horodateur112335381922313437434649525558616469852226343846505854626670747882909894102106114118110122126130134138142146150154158162166170174178182186190194198202206210214410141822263034[[#This Row],[Jour]]="3- Mercredi",$B$1+3, IF(Horodateur112335381922313437434649525558616469852226343846505854626670747882909894102106114118110122126130134138142146150154158162166170174178182186190194198202206210214410141822263034[[#This Row],[Jour]]="4- Jeudi",$B$1+4, IF(Horodateur112335381922313437434649525558616469852226343846505854626670747882909894102106114118110122126130134138142146150154158162166170174178182186190194198202206210214410141822263034[[#This Row],[Jour]]="5- Vendredi",$B$1+5, IF(Horodateur112335381922313437434649525558616469852226343846505854626670747882909894102106114118110122126130134138142146150154158162166170174178182186190194198202206210214410141822263034[[#This Row],[Jour]]="6- Samedi",$B$1+6, IF(Horodateur112335381922313437434649525558616469852226343846505854626670747882909894102106114118110122126130134138142146150154158162166170174178182186190194198202206210214410141822263034[[#This Row],[Jour]]="7- Dimanche",$B$1, )))))))</f>
        <v>44259</v>
      </c>
      <c r="B27" s="257" t="s">
        <v>324</v>
      </c>
      <c r="C27" s="258" t="n">
        <v>0.708333333333333</v>
      </c>
      <c r="D27" s="258" t="n">
        <v>0.75</v>
      </c>
      <c r="E27" s="71" t="s">
        <v>32</v>
      </c>
      <c r="F27" s="71" t="s">
        <v>23</v>
      </c>
      <c r="G27" s="259"/>
      <c r="H27" s="258" t="n">
        <f aca="false">IF($C27=0,"",$D27-$C27)</f>
        <v>0.0416666666666667</v>
      </c>
      <c r="I27" s="260" t="n">
        <f aca="false">IF($C27=0,"",($H27-INT($H27))*24)</f>
        <v>1</v>
      </c>
      <c r="J27" s="303" t="n">
        <f aca="false">SUMIF(Horodateur112335381922313437434649525558616469852226343846505854626670747882909894102106114118110122126130134138142146150154158162166170174178182186190194198202206210214410141822263034[Jour],$B27,Horodateur112335381922313437434649525558616469852226343846505854626670747882909894102106114118110122126130134138142146150154158162166170174178182186190194198202206210214410141822263034[Durée (100)])</f>
        <v>8.25</v>
      </c>
      <c r="K27" s="335"/>
      <c r="L27" s="188" t="s">
        <v>31</v>
      </c>
      <c r="M27" s="272" t="n">
        <f aca="false">IF(Horodateur112335381922313437434649525558616469852226343846505854626670747882909894102106114118110122126130134138142146150154158162166170174178182186190194198202206210214410141822263034[[#This Row],[O]]="o",Horodateur112335381922313437434649525558616469852226343846505854626670747882909894102106114118110122126130134138142146150154158162166170174178182186190194198202206210214410141822263034[[#This Row],[Durée (100)]],".")</f>
        <v>0.999999999999999</v>
      </c>
      <c r="N27" s="187"/>
      <c r="O27" s="71"/>
      <c r="P27" s="71"/>
      <c r="Q27" s="71"/>
      <c r="R27" s="71"/>
      <c r="S27" s="71"/>
      <c r="T27" s="71"/>
      <c r="U27" s="71"/>
      <c r="V27" s="71"/>
      <c r="W27" s="71"/>
      <c r="X27" s="71"/>
      <c r="Y27" s="71"/>
      <c r="Z27" s="71"/>
      <c r="AA27" s="71"/>
      <c r="AB27" s="71"/>
      <c r="AC27" s="71"/>
      <c r="AD27" s="71"/>
      <c r="AE27" s="71"/>
      <c r="AF27" s="71"/>
      <c r="AG27" s="71"/>
    </row>
    <row r="28" customFormat="false" ht="15" hidden="false" customHeight="false" outlineLevel="0" collapsed="false">
      <c r="A28" s="256" t="n">
        <f aca="false">IF(Horodateur112335381922313437434649525558616469852226343846505854626670747882909894102106114118110122126130134138142146150154158162166170174178182186190194198202206210214410141822263034[[#This Row],[Jour]]="1- Lundi",$B$1+1, IF(Horodateur112335381922313437434649525558616469852226343846505854626670747882909894102106114118110122126130134138142146150154158162166170174178182186190194198202206210214410141822263034[[#This Row],[Jour]]="2- Mardi",$B$1+2, IF(Horodateur112335381922313437434649525558616469852226343846505854626670747882909894102106114118110122126130134138142146150154158162166170174178182186190194198202206210214410141822263034[[#This Row],[Jour]]="3- Mercredi",$B$1+3, IF(Horodateur112335381922313437434649525558616469852226343846505854626670747882909894102106114118110122126130134138142146150154158162166170174178182186190194198202206210214410141822263034[[#This Row],[Jour]]="4- Jeudi",$B$1+4, IF(Horodateur112335381922313437434649525558616469852226343846505854626670747882909894102106114118110122126130134138142146150154158162166170174178182186190194198202206210214410141822263034[[#This Row],[Jour]]="5- Vendredi",$B$1+5, IF(Horodateur112335381922313437434649525558616469852226343846505854626670747882909894102106114118110122126130134138142146150154158162166170174178182186190194198202206210214410141822263034[[#This Row],[Jour]]="6- Samedi",$B$1+6, IF(Horodateur112335381922313437434649525558616469852226343846505854626670747882909894102106114118110122126130134138142146150154158162166170174178182186190194198202206210214410141822263034[[#This Row],[Jour]]="7- Dimanche",$B$1, )))))))</f>
        <v>44260</v>
      </c>
      <c r="B28" s="257" t="s">
        <v>332</v>
      </c>
      <c r="C28" s="258" t="n">
        <v>0.333333333333333</v>
      </c>
      <c r="D28" s="258" t="n">
        <v>0.34375</v>
      </c>
      <c r="E28" s="71" t="s">
        <v>32</v>
      </c>
      <c r="F28" s="71" t="s">
        <v>22</v>
      </c>
      <c r="G28" s="259"/>
      <c r="H28" s="258" t="n">
        <f aca="false">IF($C28=0,"",$D28-$C28)</f>
        <v>0.0104166666666667</v>
      </c>
      <c r="I28" s="260" t="n">
        <f aca="false">IF($C28=0,"",($H28-INT($H28))*24)</f>
        <v>0.25</v>
      </c>
      <c r="J28" s="303" t="n">
        <f aca="false">SUMIF(Horodateur112335381922313437434649525558616469852226343846505854626670747882909894102106114118110122126130134138142146150154158162166170174178182186190194198202206210214410141822263034[Jour],$B28,Horodateur112335381922313437434649525558616469852226343846505854626670747882909894102106114118110122126130134138142146150154158162166170174178182186190194198202206210214410141822263034[Durée (100)])</f>
        <v>8</v>
      </c>
      <c r="K28" s="335"/>
      <c r="L28" s="188" t="s">
        <v>31</v>
      </c>
      <c r="M28" s="272" t="n">
        <f aca="false">IF(Horodateur112335381922313437434649525558616469852226343846505854626670747882909894102106114118110122126130134138142146150154158162166170174178182186190194198202206210214410141822263034[[#This Row],[O]]="o",Horodateur112335381922313437434649525558616469852226343846505854626670747882909894102106114118110122126130134138142146150154158162166170174178182186190194198202206210214410141822263034[[#This Row],[Durée (100)]],".")</f>
        <v>0.25</v>
      </c>
      <c r="N28" s="187"/>
      <c r="O28" s="71"/>
      <c r="P28" s="71"/>
      <c r="Q28" s="71"/>
      <c r="R28" s="71"/>
      <c r="S28" s="71"/>
      <c r="T28" s="71"/>
      <c r="U28" s="71"/>
      <c r="V28" s="71"/>
      <c r="W28" s="71"/>
      <c r="X28" s="71"/>
      <c r="Y28" s="71"/>
      <c r="Z28" s="71"/>
      <c r="AA28" s="71"/>
      <c r="AB28" s="71"/>
      <c r="AC28" s="71"/>
      <c r="AD28" s="71"/>
      <c r="AE28" s="71"/>
      <c r="AF28" s="71"/>
      <c r="AG28" s="71"/>
    </row>
    <row r="29" customFormat="false" ht="15" hidden="false" customHeight="false" outlineLevel="0" collapsed="false">
      <c r="A29" s="256" t="n">
        <f aca="false">IF(Horodateur112335381922313437434649525558616469852226343846505854626670747882909894102106114118110122126130134138142146150154158162166170174178182186190194198202206210214410141822263034[[#This Row],[Jour]]="1- Lundi",$B$1+1, IF(Horodateur112335381922313437434649525558616469852226343846505854626670747882909894102106114118110122126130134138142146150154158162166170174178182186190194198202206210214410141822263034[[#This Row],[Jour]]="2- Mardi",$B$1+2, IF(Horodateur112335381922313437434649525558616469852226343846505854626670747882909894102106114118110122126130134138142146150154158162166170174178182186190194198202206210214410141822263034[[#This Row],[Jour]]="3- Mercredi",$B$1+3, IF(Horodateur112335381922313437434649525558616469852226343846505854626670747882909894102106114118110122126130134138142146150154158162166170174178182186190194198202206210214410141822263034[[#This Row],[Jour]]="4- Jeudi",$B$1+4, IF(Horodateur112335381922313437434649525558616469852226343846505854626670747882909894102106114118110122126130134138142146150154158162166170174178182186190194198202206210214410141822263034[[#This Row],[Jour]]="5- Vendredi",$B$1+5, IF(Horodateur112335381922313437434649525558616469852226343846505854626670747882909894102106114118110122126130134138142146150154158162166170174178182186190194198202206210214410141822263034[[#This Row],[Jour]]="6- Samedi",$B$1+6, IF(Horodateur112335381922313437434649525558616469852226343846505854626670747882909894102106114118110122126130134138142146150154158162166170174178182186190194198202206210214410141822263034[[#This Row],[Jour]]="7- Dimanche",$B$1, )))))))</f>
        <v>44260</v>
      </c>
      <c r="B29" s="257" t="s">
        <v>332</v>
      </c>
      <c r="C29" s="258" t="n">
        <v>0.34375</v>
      </c>
      <c r="D29" s="258" t="n">
        <v>0.375</v>
      </c>
      <c r="E29" s="71" t="s">
        <v>32</v>
      </c>
      <c r="F29" s="71" t="s">
        <v>22</v>
      </c>
      <c r="G29" s="259" t="s">
        <v>561</v>
      </c>
      <c r="H29" s="258" t="n">
        <f aca="false">IF($C29=0,"",$D29-$C29)</f>
        <v>0.03125</v>
      </c>
      <c r="I29" s="260" t="n">
        <f aca="false">IF($C29=0,"",($H29-INT($H29))*24)</f>
        <v>0.75</v>
      </c>
      <c r="J29" s="303" t="n">
        <f aca="false">SUMIF(Horodateur112335381922313437434649525558616469852226343846505854626670747882909894102106114118110122126130134138142146150154158162166170174178182186190194198202206210214410141822263034[Jour],$B29,Horodateur112335381922313437434649525558616469852226343846505854626670747882909894102106114118110122126130134138142146150154158162166170174178182186190194198202206210214410141822263034[Durée (100)])</f>
        <v>8</v>
      </c>
      <c r="K29" s="335" t="s">
        <v>37</v>
      </c>
      <c r="L29" s="188" t="s">
        <v>31</v>
      </c>
      <c r="M29" s="272" t="n">
        <f aca="false">IF(Horodateur112335381922313437434649525558616469852226343846505854626670747882909894102106114118110122126130134138142146150154158162166170174178182186190194198202206210214410141822263034[[#This Row],[O]]="o",Horodateur112335381922313437434649525558616469852226343846505854626670747882909894102106114118110122126130134138142146150154158162166170174178182186190194198202206210214410141822263034[[#This Row],[Durée (100)]],".")</f>
        <v>0.75</v>
      </c>
      <c r="N29" s="187"/>
      <c r="O29" s="71"/>
      <c r="P29" s="71"/>
      <c r="Q29" s="71"/>
      <c r="R29" s="71"/>
      <c r="S29" s="71"/>
      <c r="T29" s="71"/>
      <c r="U29" s="71"/>
      <c r="V29" s="71"/>
      <c r="W29" s="71"/>
      <c r="X29" s="71"/>
      <c r="Y29" s="71"/>
      <c r="Z29" s="71"/>
      <c r="AA29" s="71"/>
      <c r="AB29" s="71"/>
      <c r="AC29" s="71"/>
      <c r="AD29" s="71"/>
      <c r="AE29" s="71"/>
      <c r="AF29" s="71"/>
      <c r="AG29" s="71"/>
    </row>
    <row r="30" customFormat="false" ht="15" hidden="false" customHeight="false" outlineLevel="0" collapsed="false">
      <c r="A30" s="256" t="n">
        <f aca="false">IF(Horodateur112335381922313437434649525558616469852226343846505854626670747882909894102106114118110122126130134138142146150154158162166170174178182186190194198202206210214410141822263034[[#This Row],[Jour]]="1- Lundi",$B$1+1, IF(Horodateur112335381922313437434649525558616469852226343846505854626670747882909894102106114118110122126130134138142146150154158162166170174178182186190194198202206210214410141822263034[[#This Row],[Jour]]="2- Mardi",$B$1+2, IF(Horodateur112335381922313437434649525558616469852226343846505854626670747882909894102106114118110122126130134138142146150154158162166170174178182186190194198202206210214410141822263034[[#This Row],[Jour]]="3- Mercredi",$B$1+3, IF(Horodateur112335381922313437434649525558616469852226343846505854626670747882909894102106114118110122126130134138142146150154158162166170174178182186190194198202206210214410141822263034[[#This Row],[Jour]]="4- Jeudi",$B$1+4, IF(Horodateur112335381922313437434649525558616469852226343846505854626670747882909894102106114118110122126130134138142146150154158162166170174178182186190194198202206210214410141822263034[[#This Row],[Jour]]="5- Vendredi",$B$1+5, IF(Horodateur112335381922313437434649525558616469852226343846505854626670747882909894102106114118110122126130134138142146150154158162166170174178182186190194198202206210214410141822263034[[#This Row],[Jour]]="6- Samedi",$B$1+6, IF(Horodateur112335381922313437434649525558616469852226343846505854626670747882909894102106114118110122126130134138142146150154158162166170174178182186190194198202206210214410141822263034[[#This Row],[Jour]]="7- Dimanche",$B$1, )))))))</f>
        <v>44260</v>
      </c>
      <c r="B30" s="257" t="s">
        <v>332</v>
      </c>
      <c r="C30" s="258" t="n">
        <v>0.375</v>
      </c>
      <c r="D30" s="258" t="n">
        <v>0.447916666666667</v>
      </c>
      <c r="E30" s="71" t="s">
        <v>63</v>
      </c>
      <c r="F30" s="71" t="s">
        <v>378</v>
      </c>
      <c r="G30" s="259" t="s">
        <v>562</v>
      </c>
      <c r="H30" s="258" t="n">
        <f aca="false">IF($C30=0,"",$D30-$C30)</f>
        <v>0.0729166666666667</v>
      </c>
      <c r="I30" s="260" t="n">
        <f aca="false">IF($C30=0,"",($H30-INT($H30))*24)</f>
        <v>1.75</v>
      </c>
      <c r="J30" s="303" t="n">
        <f aca="false">SUMIF(Horodateur112335381922313437434649525558616469852226343846505854626670747882909894102106114118110122126130134138142146150154158162166170174178182186190194198202206210214410141822263034[Jour],$B30,Horodateur112335381922313437434649525558616469852226343846505854626670747882909894102106114118110122126130134138142146150154158162166170174178182186190194198202206210214410141822263034[Durée (100)])</f>
        <v>8</v>
      </c>
      <c r="K30" s="335"/>
      <c r="L30" s="188" t="s">
        <v>31</v>
      </c>
      <c r="M30" s="272" t="n">
        <f aca="false">IF(Horodateur112335381922313437434649525558616469852226343846505854626670747882909894102106114118110122126130134138142146150154158162166170174178182186190194198202206210214410141822263034[[#This Row],[O]]="o",Horodateur112335381922313437434649525558616469852226343846505854626670747882909894102106114118110122126130134138142146150154158162166170174178182186190194198202206210214410141822263034[[#This Row],[Durée (100)]],".")</f>
        <v>1.75</v>
      </c>
      <c r="N30" s="187"/>
      <c r="O30" s="71"/>
      <c r="P30" s="71"/>
      <c r="Q30" s="71"/>
      <c r="R30" s="71"/>
      <c r="S30" s="71"/>
      <c r="T30" s="71"/>
      <c r="U30" s="71"/>
      <c r="V30" s="71"/>
      <c r="W30" s="71"/>
      <c r="X30" s="71"/>
      <c r="Y30" s="71"/>
      <c r="Z30" s="71"/>
      <c r="AA30" s="71"/>
      <c r="AB30" s="71"/>
      <c r="AC30" s="71"/>
      <c r="AD30" s="71"/>
      <c r="AE30" s="71"/>
      <c r="AF30" s="71"/>
      <c r="AG30" s="71"/>
    </row>
    <row r="31" customFormat="false" ht="15" hidden="false" customHeight="false" outlineLevel="0" collapsed="false">
      <c r="A31" s="256" t="n">
        <f aca="false">IF(Horodateur112335381922313437434649525558616469852226343846505854626670747882909894102106114118110122126130134138142146150154158162166170174178182186190194198202206210214410141822263034[[#This Row],[Jour]]="1- Lundi",$B$1+1, IF(Horodateur112335381922313437434649525558616469852226343846505854626670747882909894102106114118110122126130134138142146150154158162166170174178182186190194198202206210214410141822263034[[#This Row],[Jour]]="2- Mardi",$B$1+2, IF(Horodateur112335381922313437434649525558616469852226343846505854626670747882909894102106114118110122126130134138142146150154158162166170174178182186190194198202206210214410141822263034[[#This Row],[Jour]]="3- Mercredi",$B$1+3, IF(Horodateur112335381922313437434649525558616469852226343846505854626670747882909894102106114118110122126130134138142146150154158162166170174178182186190194198202206210214410141822263034[[#This Row],[Jour]]="4- Jeudi",$B$1+4, IF(Horodateur112335381922313437434649525558616469852226343846505854626670747882909894102106114118110122126130134138142146150154158162166170174178182186190194198202206210214410141822263034[[#This Row],[Jour]]="5- Vendredi",$B$1+5, IF(Horodateur112335381922313437434649525558616469852226343846505854626670747882909894102106114118110122126130134138142146150154158162166170174178182186190194198202206210214410141822263034[[#This Row],[Jour]]="6- Samedi",$B$1+6, IF(Horodateur112335381922313437434649525558616469852226343846505854626670747882909894102106114118110122126130134138142146150154158162166170174178182186190194198202206210214410141822263034[[#This Row],[Jour]]="7- Dimanche",$B$1, )))))))</f>
        <v>44260</v>
      </c>
      <c r="B31" s="257" t="s">
        <v>332</v>
      </c>
      <c r="C31" s="258" t="n">
        <v>0.447916666666667</v>
      </c>
      <c r="D31" s="258" t="n">
        <v>0.458333333333333</v>
      </c>
      <c r="E31" s="71" t="s">
        <v>63</v>
      </c>
      <c r="F31" s="71" t="s">
        <v>378</v>
      </c>
      <c r="G31" s="259" t="s">
        <v>563</v>
      </c>
      <c r="H31" s="258" t="n">
        <f aca="false">IF($C31=0,"",$D31-$C31)</f>
        <v>0.0104166666666667</v>
      </c>
      <c r="I31" s="260" t="n">
        <f aca="false">IF($C31=0,"",($H31-INT($H31))*24)</f>
        <v>0.25</v>
      </c>
      <c r="J31" s="303" t="n">
        <f aca="false">SUMIF(Horodateur112335381922313437434649525558616469852226343846505854626670747882909894102106114118110122126130134138142146150154158162166170174178182186190194198202206210214410141822263034[Jour],$B31,Horodateur112335381922313437434649525558616469852226343846505854626670747882909894102106114118110122126130134138142146150154158162166170174178182186190194198202206210214410141822263034[Durée (100)])</f>
        <v>8</v>
      </c>
      <c r="K31" s="335"/>
      <c r="L31" s="188" t="s">
        <v>31</v>
      </c>
      <c r="M31" s="272" t="n">
        <f aca="false">IF(Horodateur112335381922313437434649525558616469852226343846505854626670747882909894102106114118110122126130134138142146150154158162166170174178182186190194198202206210214410141822263034[[#This Row],[O]]="o",Horodateur112335381922313437434649525558616469852226343846505854626670747882909894102106114118110122126130134138142146150154158162166170174178182186190194198202206210214410141822263034[[#This Row],[Durée (100)]],".")</f>
        <v>0.249999999999999</v>
      </c>
      <c r="N31" s="187"/>
      <c r="O31" s="71"/>
      <c r="P31" s="71"/>
      <c r="Q31" s="71"/>
      <c r="R31" s="71"/>
      <c r="S31" s="71"/>
      <c r="T31" s="71"/>
      <c r="U31" s="71"/>
      <c r="V31" s="71"/>
      <c r="W31" s="71"/>
      <c r="X31" s="71"/>
      <c r="Y31" s="71"/>
      <c r="Z31" s="71"/>
      <c r="AA31" s="71"/>
      <c r="AB31" s="71"/>
      <c r="AC31" s="71"/>
      <c r="AD31" s="71"/>
      <c r="AE31" s="71"/>
      <c r="AF31" s="71"/>
      <c r="AG31" s="71"/>
    </row>
    <row r="32" customFormat="false" ht="15" hidden="false" customHeight="false" outlineLevel="0" collapsed="false">
      <c r="A32" s="256" t="n">
        <f aca="false">IF(Horodateur112335381922313437434649525558616469852226343846505854626670747882909894102106114118110122126130134138142146150154158162166170174178182186190194198202206210214410141822263034[[#This Row],[Jour]]="1- Lundi",$B$1+1, IF(Horodateur112335381922313437434649525558616469852226343846505854626670747882909894102106114118110122126130134138142146150154158162166170174178182186190194198202206210214410141822263034[[#This Row],[Jour]]="2- Mardi",$B$1+2, IF(Horodateur112335381922313437434649525558616469852226343846505854626670747882909894102106114118110122126130134138142146150154158162166170174178182186190194198202206210214410141822263034[[#This Row],[Jour]]="3- Mercredi",$B$1+3, IF(Horodateur112335381922313437434649525558616469852226343846505854626670747882909894102106114118110122126130134138142146150154158162166170174178182186190194198202206210214410141822263034[[#This Row],[Jour]]="4- Jeudi",$B$1+4, IF(Horodateur112335381922313437434649525558616469852226343846505854626670747882909894102106114118110122126130134138142146150154158162166170174178182186190194198202206210214410141822263034[[#This Row],[Jour]]="5- Vendredi",$B$1+5, IF(Horodateur112335381922313437434649525558616469852226343846505854626670747882909894102106114118110122126130134138142146150154158162166170174178182186190194198202206210214410141822263034[[#This Row],[Jour]]="6- Samedi",$B$1+6, IF(Horodateur112335381922313437434649525558616469852226343846505854626670747882909894102106114118110122126130134138142146150154158162166170174178182186190194198202206210214410141822263034[[#This Row],[Jour]]="7- Dimanche",$B$1, )))))))</f>
        <v>44260</v>
      </c>
      <c r="B32" s="257" t="s">
        <v>332</v>
      </c>
      <c r="C32" s="258" t="n">
        <v>0.458333333333333</v>
      </c>
      <c r="D32" s="258" t="n">
        <v>0.479166666666667</v>
      </c>
      <c r="E32" s="71" t="s">
        <v>32</v>
      </c>
      <c r="F32" s="71" t="s">
        <v>22</v>
      </c>
      <c r="G32" s="259" t="s">
        <v>564</v>
      </c>
      <c r="H32" s="258" t="n">
        <f aca="false">IF($C32=0,"",$D32-$C32)</f>
        <v>0.0208333333333334</v>
      </c>
      <c r="I32" s="260" t="n">
        <f aca="false">IF($C32=0,"",($H32-INT($H32))*24)</f>
        <v>0.500000000000001</v>
      </c>
      <c r="J32" s="303" t="n">
        <f aca="false">SUMIF(Horodateur112335381922313437434649525558616469852226343846505854626670747882909894102106114118110122126130134138142146150154158162166170174178182186190194198202206210214410141822263034[Jour],$B32,Horodateur112335381922313437434649525558616469852226343846505854626670747882909894102106114118110122126130134138142146150154158162166170174178182186190194198202206210214410141822263034[Durée (100)])</f>
        <v>8</v>
      </c>
      <c r="K32" s="335" t="s">
        <v>565</v>
      </c>
      <c r="L32" s="188" t="s">
        <v>31</v>
      </c>
      <c r="M32" s="272" t="n">
        <f aca="false">IF(Horodateur112335381922313437434649525558616469852226343846505854626670747882909894102106114118110122126130134138142146150154158162166170174178182186190194198202206210214410141822263034[[#This Row],[O]]="o",Horodateur112335381922313437434649525558616469852226343846505854626670747882909894102106114118110122126130134138142146150154158162166170174178182186190194198202206210214410141822263034[[#This Row],[Durée (100)]],".")</f>
        <v>0.500000000000001</v>
      </c>
      <c r="N32" s="187"/>
      <c r="O32" s="71"/>
      <c r="P32" s="71"/>
      <c r="Q32" s="71"/>
      <c r="R32" s="71"/>
      <c r="S32" s="71"/>
      <c r="T32" s="71"/>
      <c r="U32" s="71"/>
      <c r="V32" s="71"/>
      <c r="W32" s="71"/>
      <c r="X32" s="71"/>
      <c r="Y32" s="71"/>
      <c r="Z32" s="71"/>
      <c r="AA32" s="71"/>
      <c r="AB32" s="71"/>
      <c r="AC32" s="71"/>
      <c r="AD32" s="71"/>
      <c r="AE32" s="71"/>
      <c r="AF32" s="71"/>
      <c r="AG32" s="71"/>
    </row>
    <row r="33" customFormat="false" ht="15" hidden="false" customHeight="false" outlineLevel="0" collapsed="false">
      <c r="A33" s="256" t="n">
        <f aca="false">IF(Horodateur112335381922313437434649525558616469852226343846505854626670747882909894102106114118110122126130134138142146150154158162166170174178182186190194198202206210214410141822263034[[#This Row],[Jour]]="1- Lundi",$B$1+1, IF(Horodateur112335381922313437434649525558616469852226343846505854626670747882909894102106114118110122126130134138142146150154158162166170174178182186190194198202206210214410141822263034[[#This Row],[Jour]]="2- Mardi",$B$1+2, IF(Horodateur112335381922313437434649525558616469852226343846505854626670747882909894102106114118110122126130134138142146150154158162166170174178182186190194198202206210214410141822263034[[#This Row],[Jour]]="3- Mercredi",$B$1+3, IF(Horodateur112335381922313437434649525558616469852226343846505854626670747882909894102106114118110122126130134138142146150154158162166170174178182186190194198202206210214410141822263034[[#This Row],[Jour]]="4- Jeudi",$B$1+4, IF(Horodateur112335381922313437434649525558616469852226343846505854626670747882909894102106114118110122126130134138142146150154158162166170174178182186190194198202206210214410141822263034[[#This Row],[Jour]]="5- Vendredi",$B$1+5, IF(Horodateur112335381922313437434649525558616469852226343846505854626670747882909894102106114118110122126130134138142146150154158162166170174178182186190194198202206210214410141822263034[[#This Row],[Jour]]="6- Samedi",$B$1+6, IF(Horodateur112335381922313437434649525558616469852226343846505854626670747882909894102106114118110122126130134138142146150154158162166170174178182186190194198202206210214410141822263034[[#This Row],[Jour]]="7- Dimanche",$B$1, )))))))</f>
        <v>44260</v>
      </c>
      <c r="B33" s="257" t="s">
        <v>332</v>
      </c>
      <c r="C33" s="258" t="n">
        <v>0.479166666666667</v>
      </c>
      <c r="D33" s="258" t="n">
        <v>0.5</v>
      </c>
      <c r="E33" s="71" t="s">
        <v>63</v>
      </c>
      <c r="F33" s="71" t="s">
        <v>378</v>
      </c>
      <c r="G33" s="259" t="s">
        <v>564</v>
      </c>
      <c r="H33" s="258" t="n">
        <f aca="false">IF($C33=0,"",$D33-$C33)</f>
        <v>0.0208333333333333</v>
      </c>
      <c r="I33" s="260" t="n">
        <f aca="false">IF($C33=0,"",($H33-INT($H33))*24)</f>
        <v>0.5</v>
      </c>
      <c r="J33" s="303" t="n">
        <f aca="false">SUMIF(Horodateur112335381922313437434649525558616469852226343846505854626670747882909894102106114118110122126130134138142146150154158162166170174178182186190194198202206210214410141822263034[Jour],$B33,Horodateur112335381922313437434649525558616469852226343846505854626670747882909894102106114118110122126130134138142146150154158162166170174178182186190194198202206210214410141822263034[Durée (100)])</f>
        <v>8</v>
      </c>
      <c r="K33" s="335"/>
      <c r="L33" s="188" t="s">
        <v>31</v>
      </c>
      <c r="M33" s="272" t="n">
        <f aca="false">IF(Horodateur112335381922313437434649525558616469852226343846505854626670747882909894102106114118110122126130134138142146150154158162166170174178182186190194198202206210214410141822263034[[#This Row],[O]]="o",Horodateur112335381922313437434649525558616469852226343846505854626670747882909894102106114118110122126130134138142146150154158162166170174178182186190194198202206210214410141822263034[[#This Row],[Durée (100)]],".")</f>
        <v>0.5</v>
      </c>
      <c r="N33" s="187"/>
      <c r="O33" s="71"/>
      <c r="P33" s="71"/>
      <c r="Q33" s="71"/>
      <c r="R33" s="71"/>
      <c r="S33" s="71"/>
      <c r="T33" s="71"/>
      <c r="U33" s="71"/>
      <c r="V33" s="71"/>
      <c r="W33" s="71"/>
      <c r="X33" s="71"/>
      <c r="Y33" s="71"/>
      <c r="Z33" s="71"/>
      <c r="AA33" s="71"/>
      <c r="AB33" s="71"/>
      <c r="AC33" s="71"/>
      <c r="AD33" s="71"/>
      <c r="AE33" s="71"/>
      <c r="AF33" s="71"/>
      <c r="AG33" s="71"/>
    </row>
    <row r="34" customFormat="false" ht="15" hidden="false" customHeight="false" outlineLevel="0" collapsed="false">
      <c r="A34" s="256" t="n">
        <f aca="false">IF(Horodateur112335381922313437434649525558616469852226343846505854626670747882909894102106114118110122126130134138142146150154158162166170174178182186190194198202206210214410141822263034[[#This Row],[Jour]]="1- Lundi",$B$1+1, IF(Horodateur112335381922313437434649525558616469852226343846505854626670747882909894102106114118110122126130134138142146150154158162166170174178182186190194198202206210214410141822263034[[#This Row],[Jour]]="2- Mardi",$B$1+2, IF(Horodateur112335381922313437434649525558616469852226343846505854626670747882909894102106114118110122126130134138142146150154158162166170174178182186190194198202206210214410141822263034[[#This Row],[Jour]]="3- Mercredi",$B$1+3, IF(Horodateur112335381922313437434649525558616469852226343846505854626670747882909894102106114118110122126130134138142146150154158162166170174178182186190194198202206210214410141822263034[[#This Row],[Jour]]="4- Jeudi",$B$1+4, IF(Horodateur112335381922313437434649525558616469852226343846505854626670747882909894102106114118110122126130134138142146150154158162166170174178182186190194198202206210214410141822263034[[#This Row],[Jour]]="5- Vendredi",$B$1+5, IF(Horodateur112335381922313437434649525558616469852226343846505854626670747882909894102106114118110122126130134138142146150154158162166170174178182186190194198202206210214410141822263034[[#This Row],[Jour]]="6- Samedi",$B$1+6, IF(Horodateur112335381922313437434649525558616469852226343846505854626670747882909894102106114118110122126130134138142146150154158162166170174178182186190194198202206210214410141822263034[[#This Row],[Jour]]="7- Dimanche",$B$1, )))))))</f>
        <v>44260</v>
      </c>
      <c r="B34" s="257" t="s">
        <v>332</v>
      </c>
      <c r="C34" s="258" t="n">
        <v>0.5625</v>
      </c>
      <c r="D34" s="258" t="n">
        <v>0.6875</v>
      </c>
      <c r="E34" s="71" t="s">
        <v>363</v>
      </c>
      <c r="F34" s="71" t="s">
        <v>378</v>
      </c>
      <c r="G34" s="259" t="s">
        <v>544</v>
      </c>
      <c r="H34" s="258" t="n">
        <f aca="false">IF($C34=0,"",$D34-$C34)</f>
        <v>0.125</v>
      </c>
      <c r="I34" s="260" t="n">
        <f aca="false">IF($C34=0,"",($H34-INT($H34))*24)</f>
        <v>3</v>
      </c>
      <c r="J34" s="303" t="n">
        <f aca="false">SUMIF(Horodateur112335381922313437434649525558616469852226343846505854626670747882909894102106114118110122126130134138142146150154158162166170174178182186190194198202206210214410141822263034[Jour],$B34,Horodateur112335381922313437434649525558616469852226343846505854626670747882909894102106114118110122126130134138142146150154158162166170174178182186190194198202206210214410141822263034[Durée (100)])</f>
        <v>8</v>
      </c>
      <c r="K34" s="335"/>
      <c r="L34" s="188" t="s">
        <v>31</v>
      </c>
      <c r="M34" s="272" t="n">
        <f aca="false">IF(Horodateur112335381922313437434649525558616469852226343846505854626670747882909894102106114118110122126130134138142146150154158162166170174178182186190194198202206210214410141822263034[[#This Row],[O]]="o",Horodateur112335381922313437434649525558616469852226343846505854626670747882909894102106114118110122126130134138142146150154158162166170174178182186190194198202206210214410141822263034[[#This Row],[Durée (100)]],".")</f>
        <v>3</v>
      </c>
      <c r="N34" s="187"/>
      <c r="O34" s="71"/>
      <c r="P34" s="71"/>
      <c r="Q34" s="71"/>
      <c r="R34" s="71"/>
      <c r="S34" s="71"/>
      <c r="T34" s="71"/>
      <c r="U34" s="71"/>
      <c r="V34" s="71"/>
      <c r="W34" s="71"/>
      <c r="X34" s="71"/>
      <c r="Y34" s="71"/>
      <c r="Z34" s="71"/>
      <c r="AA34" s="71"/>
      <c r="AB34" s="71"/>
      <c r="AC34" s="71"/>
      <c r="AD34" s="71"/>
      <c r="AE34" s="71"/>
      <c r="AF34" s="71"/>
      <c r="AG34" s="71"/>
    </row>
    <row r="35" customFormat="false" ht="15" hidden="false" customHeight="false" outlineLevel="0" collapsed="false">
      <c r="A35" s="256" t="n">
        <f aca="false">IF(Horodateur112335381922313437434649525558616469852226343846505854626670747882909894102106114118110122126130134138142146150154158162166170174178182186190194198202206210214410141822263034[[#This Row],[Jour]]="1- Lundi",$B$1+1, IF(Horodateur112335381922313437434649525558616469852226343846505854626670747882909894102106114118110122126130134138142146150154158162166170174178182186190194198202206210214410141822263034[[#This Row],[Jour]]="2- Mardi",$B$1+2, IF(Horodateur112335381922313437434649525558616469852226343846505854626670747882909894102106114118110122126130134138142146150154158162166170174178182186190194198202206210214410141822263034[[#This Row],[Jour]]="3- Mercredi",$B$1+3, IF(Horodateur112335381922313437434649525558616469852226343846505854626670747882909894102106114118110122126130134138142146150154158162166170174178182186190194198202206210214410141822263034[[#This Row],[Jour]]="4- Jeudi",$B$1+4, IF(Horodateur112335381922313437434649525558616469852226343846505854626670747882909894102106114118110122126130134138142146150154158162166170174178182186190194198202206210214410141822263034[[#This Row],[Jour]]="5- Vendredi",$B$1+5, IF(Horodateur112335381922313437434649525558616469852226343846505854626670747882909894102106114118110122126130134138142146150154158162166170174178182186190194198202206210214410141822263034[[#This Row],[Jour]]="6- Samedi",$B$1+6, IF(Horodateur112335381922313437434649525558616469852226343846505854626670747882909894102106114118110122126130134138142146150154158162166170174178182186190194198202206210214410141822263034[[#This Row],[Jour]]="7- Dimanche",$B$1, )))))))</f>
        <v>44260</v>
      </c>
      <c r="B35" s="257" t="s">
        <v>332</v>
      </c>
      <c r="C35" s="258" t="n">
        <v>0.6875</v>
      </c>
      <c r="D35" s="258" t="n">
        <v>0.71875</v>
      </c>
      <c r="E35" s="71" t="s">
        <v>32</v>
      </c>
      <c r="F35" s="71" t="s">
        <v>22</v>
      </c>
      <c r="G35" s="259"/>
      <c r="H35" s="258" t="n">
        <f aca="false">IF($C35=0,"",$D35-$C35)</f>
        <v>0.03125</v>
      </c>
      <c r="I35" s="260" t="n">
        <f aca="false">IF($C35=0,"",($H35-INT($H35))*24)</f>
        <v>0.75</v>
      </c>
      <c r="J35" s="303" t="n">
        <f aca="false">SUMIF(Horodateur112335381922313437434649525558616469852226343846505854626670747882909894102106114118110122126130134138142146150154158162166170174178182186190194198202206210214410141822263034[Jour],$B35,Horodateur112335381922313437434649525558616469852226343846505854626670747882909894102106114118110122126130134138142146150154158162166170174178182186190194198202206210214410141822263034[Durée (100)])</f>
        <v>8</v>
      </c>
      <c r="K35" s="335"/>
      <c r="L35" s="188" t="s">
        <v>31</v>
      </c>
      <c r="M35" s="272" t="n">
        <f aca="false">IF(Horodateur112335381922313437434649525558616469852226343846505854626670747882909894102106114118110122126130134138142146150154158162166170174178182186190194198202206210214410141822263034[[#This Row],[O]]="o",Horodateur112335381922313437434649525558616469852226343846505854626670747882909894102106114118110122126130134138142146150154158162166170174178182186190194198202206210214410141822263034[[#This Row],[Durée (100)]],".")</f>
        <v>0.75</v>
      </c>
      <c r="N35" s="187"/>
      <c r="O35" s="71"/>
      <c r="P35" s="71"/>
      <c r="Q35" s="71"/>
      <c r="R35" s="71"/>
      <c r="S35" s="71"/>
      <c r="T35" s="71"/>
      <c r="U35" s="71"/>
      <c r="V35" s="71"/>
      <c r="W35" s="71"/>
      <c r="X35" s="71"/>
      <c r="Y35" s="71"/>
      <c r="Z35" s="71"/>
      <c r="AA35" s="71"/>
      <c r="AB35" s="71"/>
      <c r="AC35" s="71"/>
      <c r="AD35" s="71"/>
      <c r="AE35" s="71"/>
      <c r="AF35" s="71"/>
      <c r="AG35" s="71"/>
    </row>
    <row r="36" customFormat="false" ht="15" hidden="false" customHeight="false" outlineLevel="0" collapsed="false">
      <c r="A36" s="256" t="n">
        <f aca="false">IF(Horodateur112335381922313437434649525558616469852226343846505854626670747882909894102106114118110122126130134138142146150154158162166170174178182186190194198202206210214410141822263034[[#This Row],[Jour]]="1- Lundi",$B$1+1, IF(Horodateur112335381922313437434649525558616469852226343846505854626670747882909894102106114118110122126130134138142146150154158162166170174178182186190194198202206210214410141822263034[[#This Row],[Jour]]="2- Mardi",$B$1+2, IF(Horodateur112335381922313437434649525558616469852226343846505854626670747882909894102106114118110122126130134138142146150154158162166170174178182186190194198202206210214410141822263034[[#This Row],[Jour]]="3- Mercredi",$B$1+3, IF(Horodateur112335381922313437434649525558616469852226343846505854626670747882909894102106114118110122126130134138142146150154158162166170174178182186190194198202206210214410141822263034[[#This Row],[Jour]]="4- Jeudi",$B$1+4, IF(Horodateur112335381922313437434649525558616469852226343846505854626670747882909894102106114118110122126130134138142146150154158162166170174178182186190194198202206210214410141822263034[[#This Row],[Jour]]="5- Vendredi",$B$1+5, IF(Horodateur112335381922313437434649525558616469852226343846505854626670747882909894102106114118110122126130134138142146150154158162166170174178182186190194198202206210214410141822263034[[#This Row],[Jour]]="6- Samedi",$B$1+6, IF(Horodateur112335381922313437434649525558616469852226343846505854626670747882909894102106114118110122126130134138142146150154158162166170174178182186190194198202206210214410141822263034[[#This Row],[Jour]]="7- Dimanche",$B$1, )))))))</f>
        <v>44260</v>
      </c>
      <c r="B36" s="257" t="s">
        <v>332</v>
      </c>
      <c r="C36" s="258" t="n">
        <v>0.71875</v>
      </c>
      <c r="D36" s="258" t="n">
        <v>0.729166666666667</v>
      </c>
      <c r="E36" s="71" t="s">
        <v>45</v>
      </c>
      <c r="F36" s="71" t="s">
        <v>380</v>
      </c>
      <c r="G36" s="259" t="s">
        <v>556</v>
      </c>
      <c r="H36" s="258" t="n">
        <f aca="false">IF($C36=0,"",$D36-$C36)</f>
        <v>0.0104166666666667</v>
      </c>
      <c r="I36" s="260" t="n">
        <f aca="false">IF($C36=0,"",($H36-INT($H36))*24)</f>
        <v>0.25</v>
      </c>
      <c r="J36" s="303" t="n">
        <f aca="false">SUMIF(Horodateur112335381922313437434649525558616469852226343846505854626670747882909894102106114118110122126130134138142146150154158162166170174178182186190194198202206210214410141822263034[Jour],$B36,Horodateur112335381922313437434649525558616469852226343846505854626670747882909894102106114118110122126130134138142146150154158162166170174178182186190194198202206210214410141822263034[Durée (100)])</f>
        <v>8</v>
      </c>
      <c r="K36" s="335"/>
      <c r="L36" s="188" t="s">
        <v>31</v>
      </c>
      <c r="M36" s="272" t="n">
        <f aca="false">IF(Horodateur112335381922313437434649525558616469852226343846505854626670747882909894102106114118110122126130134138142146150154158162166170174178182186190194198202206210214410141822263034[[#This Row],[O]]="o",Horodateur112335381922313437434649525558616469852226343846505854626670747882909894102106114118110122126130134138142146150154158162166170174178182186190194198202206210214410141822263034[[#This Row],[Durée (100)]],".")</f>
        <v>0.249999999999999</v>
      </c>
      <c r="N36" s="187"/>
      <c r="O36" s="71"/>
      <c r="P36" s="71"/>
      <c r="Q36" s="71"/>
      <c r="R36" s="71"/>
      <c r="S36" s="71"/>
      <c r="T36" s="71"/>
      <c r="U36" s="71"/>
      <c r="V36" s="71"/>
      <c r="W36" s="71"/>
      <c r="X36" s="71"/>
      <c r="Y36" s="71"/>
      <c r="Z36" s="71"/>
      <c r="AA36" s="71"/>
      <c r="AB36" s="71"/>
      <c r="AC36" s="71"/>
      <c r="AD36" s="71"/>
      <c r="AE36" s="71"/>
      <c r="AF36" s="71"/>
      <c r="AG36" s="71"/>
    </row>
    <row r="37" customFormat="false" ht="15" hidden="false" customHeight="false" outlineLevel="0" collapsed="false">
      <c r="A37" s="256" t="n">
        <f aca="false">IF(Horodateur112335381922313437434649525558616469852226343846505854626670747882909894102106114118110122126130134138142146150154158162166170174178182186190194198202206210214410141822263034[[#This Row],[Jour]]="1- Lundi",$B$1+1, IF(Horodateur112335381922313437434649525558616469852226343846505854626670747882909894102106114118110122126130134138142146150154158162166170174178182186190194198202206210214410141822263034[[#This Row],[Jour]]="2- Mardi",$B$1+2, IF(Horodateur112335381922313437434649525558616469852226343846505854626670747882909894102106114118110122126130134138142146150154158162166170174178182186190194198202206210214410141822263034[[#This Row],[Jour]]="3- Mercredi",$B$1+3, IF(Horodateur112335381922313437434649525558616469852226343846505854626670747882909894102106114118110122126130134138142146150154158162166170174178182186190194198202206210214410141822263034[[#This Row],[Jour]]="4- Jeudi",$B$1+4, IF(Horodateur112335381922313437434649525558616469852226343846505854626670747882909894102106114118110122126130134138142146150154158162166170174178182186190194198202206210214410141822263034[[#This Row],[Jour]]="5- Vendredi",$B$1+5, IF(Horodateur112335381922313437434649525558616469852226343846505854626670747882909894102106114118110122126130134138142146150154158162166170174178182186190194198202206210214410141822263034[[#This Row],[Jour]]="6- Samedi",$B$1+6, IF(Horodateur112335381922313437434649525558616469852226343846505854626670747882909894102106114118110122126130134138142146150154158162166170174178182186190194198202206210214410141822263034[[#This Row],[Jour]]="7- Dimanche",$B$1, )))))))</f>
        <v>44261</v>
      </c>
      <c r="B37" s="257" t="s">
        <v>335</v>
      </c>
      <c r="C37" s="258" t="n">
        <v>0.322916666666667</v>
      </c>
      <c r="D37" s="258" t="n">
        <v>0.354166666666667</v>
      </c>
      <c r="E37" s="71" t="s">
        <v>32</v>
      </c>
      <c r="F37" s="71" t="s">
        <v>23</v>
      </c>
      <c r="G37" s="259"/>
      <c r="H37" s="258" t="n">
        <f aca="false">IF($C37=0,"",$D37-$C37)</f>
        <v>0.03125</v>
      </c>
      <c r="I37" s="260" t="n">
        <f aca="false">IF($C37=0,"",($H37-INT($H37))*24)</f>
        <v>0.75</v>
      </c>
      <c r="J37" s="303" t="n">
        <f aca="false">SUMIF(Horodateur112335381922313437434649525558616469852226343846505854626670747882909894102106114118110122126130134138142146150154158162166170174178182186190194198202206210214410141822263034[Jour],$B37,Horodateur112335381922313437434649525558616469852226343846505854626670747882909894102106114118110122126130134138142146150154158162166170174178182186190194198202206210214410141822263034[Durée (100)])</f>
        <v>9</v>
      </c>
      <c r="K37" s="335"/>
      <c r="L37" s="188" t="s">
        <v>31</v>
      </c>
      <c r="M37" s="272" t="n">
        <f aca="false">IF(Horodateur112335381922313437434649525558616469852226343846505854626670747882909894102106114118110122126130134138142146150154158162166170174178182186190194198202206210214410141822263034[[#This Row],[O]]="o",Horodateur112335381922313437434649525558616469852226343846505854626670747882909894102106114118110122126130134138142146150154158162166170174178182186190194198202206210214410141822263034[[#This Row],[Durée (100)]],".")</f>
        <v>0.75</v>
      </c>
      <c r="N37" s="187"/>
      <c r="O37" s="71"/>
      <c r="P37" s="71"/>
      <c r="Q37" s="71"/>
      <c r="R37" s="71"/>
      <c r="S37" s="71"/>
      <c r="T37" s="71"/>
      <c r="U37" s="71"/>
      <c r="V37" s="71"/>
      <c r="W37" s="71"/>
      <c r="X37" s="71"/>
      <c r="Y37" s="71"/>
      <c r="Z37" s="71"/>
      <c r="AA37" s="71"/>
      <c r="AB37" s="71"/>
      <c r="AC37" s="71"/>
      <c r="AD37" s="71"/>
      <c r="AE37" s="71"/>
      <c r="AF37" s="71"/>
      <c r="AG37" s="71"/>
    </row>
    <row r="38" customFormat="false" ht="15" hidden="false" customHeight="false" outlineLevel="0" collapsed="false">
      <c r="A38" s="256" t="n">
        <f aca="false">IF(Horodateur112335381922313437434649525558616469852226343846505854626670747882909894102106114118110122126130134138142146150154158162166170174178182186190194198202206210214410141822263034[[#This Row],[Jour]]="1- Lundi",$B$1+1, IF(Horodateur112335381922313437434649525558616469852226343846505854626670747882909894102106114118110122126130134138142146150154158162166170174178182186190194198202206210214410141822263034[[#This Row],[Jour]]="2- Mardi",$B$1+2, IF(Horodateur112335381922313437434649525558616469852226343846505854626670747882909894102106114118110122126130134138142146150154158162166170174178182186190194198202206210214410141822263034[[#This Row],[Jour]]="3- Mercredi",$B$1+3, IF(Horodateur112335381922313437434649525558616469852226343846505854626670747882909894102106114118110122126130134138142146150154158162166170174178182186190194198202206210214410141822263034[[#This Row],[Jour]]="4- Jeudi",$B$1+4, IF(Horodateur112335381922313437434649525558616469852226343846505854626670747882909894102106114118110122126130134138142146150154158162166170174178182186190194198202206210214410141822263034[[#This Row],[Jour]]="5- Vendredi",$B$1+5, IF(Horodateur112335381922313437434649525558616469852226343846505854626670747882909894102106114118110122126130134138142146150154158162166170174178182186190194198202206210214410141822263034[[#This Row],[Jour]]="6- Samedi",$B$1+6, IF(Horodateur112335381922313437434649525558616469852226343846505854626670747882909894102106114118110122126130134138142146150154158162166170174178182186190194198202206210214410141822263034[[#This Row],[Jour]]="7- Dimanche",$B$1, )))))))</f>
        <v>44261</v>
      </c>
      <c r="B38" s="257" t="s">
        <v>335</v>
      </c>
      <c r="C38" s="258" t="n">
        <v>0.354166666666667</v>
      </c>
      <c r="D38" s="258" t="n">
        <v>0.375</v>
      </c>
      <c r="E38" s="71" t="s">
        <v>363</v>
      </c>
      <c r="F38" s="71" t="s">
        <v>378</v>
      </c>
      <c r="G38" s="259" t="s">
        <v>566</v>
      </c>
      <c r="H38" s="258" t="n">
        <f aca="false">IF($C38=0,"",$D38-$C38)</f>
        <v>0.0208333333333333</v>
      </c>
      <c r="I38" s="260" t="n">
        <f aca="false">IF($C38=0,"",($H38-INT($H38))*24)</f>
        <v>0.5</v>
      </c>
      <c r="J38" s="303" t="n">
        <f aca="false">SUMIF(Horodateur112335381922313437434649525558616469852226343846505854626670747882909894102106114118110122126130134138142146150154158162166170174178182186190194198202206210214410141822263034[Jour],$B38,Horodateur112335381922313437434649525558616469852226343846505854626670747882909894102106114118110122126130134138142146150154158162166170174178182186190194198202206210214410141822263034[Durée (100)])</f>
        <v>9</v>
      </c>
      <c r="K38" s="335"/>
      <c r="L38" s="188" t="s">
        <v>31</v>
      </c>
      <c r="M38" s="272" t="n">
        <f aca="false">IF(Horodateur112335381922313437434649525558616469852226343846505854626670747882909894102106114118110122126130134138142146150154158162166170174178182186190194198202206210214410141822263034[[#This Row],[O]]="o",Horodateur112335381922313437434649525558616469852226343846505854626670747882909894102106114118110122126130134138142146150154158162166170174178182186190194198202206210214410141822263034[[#This Row],[Durée (100)]],".")</f>
        <v>0.5</v>
      </c>
      <c r="N38" s="187"/>
      <c r="O38" s="71"/>
      <c r="P38" s="71"/>
      <c r="Q38" s="71"/>
      <c r="R38" s="71"/>
      <c r="S38" s="71"/>
      <c r="T38" s="71"/>
      <c r="U38" s="71"/>
      <c r="V38" s="71"/>
      <c r="W38" s="71"/>
      <c r="X38" s="71"/>
      <c r="Y38" s="71"/>
      <c r="Z38" s="71"/>
      <c r="AA38" s="71"/>
      <c r="AB38" s="71"/>
      <c r="AC38" s="71"/>
      <c r="AD38" s="71"/>
      <c r="AE38" s="71"/>
      <c r="AF38" s="71"/>
      <c r="AG38" s="71"/>
    </row>
    <row r="39" customFormat="false" ht="15" hidden="false" customHeight="false" outlineLevel="0" collapsed="false">
      <c r="A39" s="256" t="n">
        <f aca="false">IF(Horodateur112335381922313437434649525558616469852226343846505854626670747882909894102106114118110122126130134138142146150154158162166170174178182186190194198202206210214410141822263034[[#This Row],[Jour]]="1- Lundi",$B$1+1, IF(Horodateur112335381922313437434649525558616469852226343846505854626670747882909894102106114118110122126130134138142146150154158162166170174178182186190194198202206210214410141822263034[[#This Row],[Jour]]="2- Mardi",$B$1+2, IF(Horodateur112335381922313437434649525558616469852226343846505854626670747882909894102106114118110122126130134138142146150154158162166170174178182186190194198202206210214410141822263034[[#This Row],[Jour]]="3- Mercredi",$B$1+3, IF(Horodateur112335381922313437434649525558616469852226343846505854626670747882909894102106114118110122126130134138142146150154158162166170174178182186190194198202206210214410141822263034[[#This Row],[Jour]]="4- Jeudi",$B$1+4, IF(Horodateur112335381922313437434649525558616469852226343846505854626670747882909894102106114118110122126130134138142146150154158162166170174178182186190194198202206210214410141822263034[[#This Row],[Jour]]="5- Vendredi",$B$1+5, IF(Horodateur112335381922313437434649525558616469852226343846505854626670747882909894102106114118110122126130134138142146150154158162166170174178182186190194198202206210214410141822263034[[#This Row],[Jour]]="6- Samedi",$B$1+6, IF(Horodateur112335381922313437434649525558616469852226343846505854626670747882909894102106114118110122126130134138142146150154158162166170174178182186190194198202206210214410141822263034[[#This Row],[Jour]]="7- Dimanche",$B$1, )))))))</f>
        <v>44261</v>
      </c>
      <c r="B39" s="257" t="s">
        <v>335</v>
      </c>
      <c r="C39" s="258" t="n">
        <v>0.375</v>
      </c>
      <c r="D39" s="258" t="n">
        <v>0.416666666666667</v>
      </c>
      <c r="E39" s="71" t="s">
        <v>363</v>
      </c>
      <c r="F39" s="71" t="s">
        <v>378</v>
      </c>
      <c r="G39" s="259" t="s">
        <v>567</v>
      </c>
      <c r="H39" s="258" t="n">
        <f aca="false">IF($C39=0,"",$D39-$C39)</f>
        <v>0.0416666666666667</v>
      </c>
      <c r="I39" s="260" t="n">
        <f aca="false">IF($C39=0,"",($H39-INT($H39))*24)</f>
        <v>1</v>
      </c>
      <c r="J39" s="303" t="n">
        <f aca="false">SUMIF(Horodateur112335381922313437434649525558616469852226343846505854626670747882909894102106114118110122126130134138142146150154158162166170174178182186190194198202206210214410141822263034[Jour],$B39,Horodateur112335381922313437434649525558616469852226343846505854626670747882909894102106114118110122126130134138142146150154158162166170174178182186190194198202206210214410141822263034[Durée (100)])</f>
        <v>9</v>
      </c>
      <c r="K39" s="335"/>
      <c r="L39" s="188" t="s">
        <v>31</v>
      </c>
      <c r="M39" s="272" t="n">
        <f aca="false">IF(Horodateur112335381922313437434649525558616469852226343846505854626670747882909894102106114118110122126130134138142146150154158162166170174178182186190194198202206210214410141822263034[[#This Row],[O]]="o",Horodateur112335381922313437434649525558616469852226343846505854626670747882909894102106114118110122126130134138142146150154158162166170174178182186190194198202206210214410141822263034[[#This Row],[Durée (100)]],".")</f>
        <v>1</v>
      </c>
      <c r="N39" s="187"/>
      <c r="O39" s="71"/>
      <c r="P39" s="71"/>
      <c r="Q39" s="71"/>
      <c r="R39" s="71"/>
      <c r="S39" s="71"/>
      <c r="T39" s="71"/>
      <c r="U39" s="71"/>
      <c r="V39" s="71"/>
      <c r="W39" s="71"/>
      <c r="X39" s="71"/>
      <c r="Y39" s="71"/>
      <c r="Z39" s="71"/>
      <c r="AA39" s="71"/>
      <c r="AB39" s="71"/>
      <c r="AC39" s="71"/>
      <c r="AD39" s="71"/>
      <c r="AE39" s="71"/>
      <c r="AF39" s="71"/>
      <c r="AG39" s="71"/>
    </row>
    <row r="40" customFormat="false" ht="15" hidden="false" customHeight="false" outlineLevel="0" collapsed="false">
      <c r="A40" s="256" t="n">
        <f aca="false">IF(Horodateur112335381922313437434649525558616469852226343846505854626670747882909894102106114118110122126130134138142146150154158162166170174178182186190194198202206210214410141822263034[[#This Row],[Jour]]="1- Lundi",$B$1+1, IF(Horodateur112335381922313437434649525558616469852226343846505854626670747882909894102106114118110122126130134138142146150154158162166170174178182186190194198202206210214410141822263034[[#This Row],[Jour]]="2- Mardi",$B$1+2, IF(Horodateur112335381922313437434649525558616469852226343846505854626670747882909894102106114118110122126130134138142146150154158162166170174178182186190194198202206210214410141822263034[[#This Row],[Jour]]="3- Mercredi",$B$1+3, IF(Horodateur112335381922313437434649525558616469852226343846505854626670747882909894102106114118110122126130134138142146150154158162166170174178182186190194198202206210214410141822263034[[#This Row],[Jour]]="4- Jeudi",$B$1+4, IF(Horodateur112335381922313437434649525558616469852226343846505854626670747882909894102106114118110122126130134138142146150154158162166170174178182186190194198202206210214410141822263034[[#This Row],[Jour]]="5- Vendredi",$B$1+5, IF(Horodateur112335381922313437434649525558616469852226343846505854626670747882909894102106114118110122126130134138142146150154158162166170174178182186190194198202206210214410141822263034[[#This Row],[Jour]]="6- Samedi",$B$1+6, IF(Horodateur112335381922313437434649525558616469852226343846505854626670747882909894102106114118110122126130134138142146150154158162166170174178182186190194198202206210214410141822263034[[#This Row],[Jour]]="7- Dimanche",$B$1, )))))))</f>
        <v>44261</v>
      </c>
      <c r="B40" s="257" t="s">
        <v>335</v>
      </c>
      <c r="C40" s="258" t="n">
        <v>0.416666666666667</v>
      </c>
      <c r="D40" s="258" t="n">
        <v>0.458333333333333</v>
      </c>
      <c r="E40" s="71" t="s">
        <v>363</v>
      </c>
      <c r="F40" s="71" t="s">
        <v>378</v>
      </c>
      <c r="G40" s="259" t="s">
        <v>568</v>
      </c>
      <c r="H40" s="258" t="n">
        <f aca="false">IF($C40=0,"",$D40-$C40)</f>
        <v>0.0416666666666666</v>
      </c>
      <c r="I40" s="260" t="n">
        <f aca="false">IF($C40=0,"",($H40-INT($H40))*24)</f>
        <v>0.999999999999999</v>
      </c>
      <c r="J40" s="303" t="n">
        <f aca="false">SUMIF(Horodateur112335381922313437434649525558616469852226343846505854626670747882909894102106114118110122126130134138142146150154158162166170174178182186190194198202206210214410141822263034[Jour],$B40,Horodateur112335381922313437434649525558616469852226343846505854626670747882909894102106114118110122126130134138142146150154158162166170174178182186190194198202206210214410141822263034[Durée (100)])</f>
        <v>9</v>
      </c>
      <c r="K40" s="335"/>
      <c r="L40" s="188" t="s">
        <v>31</v>
      </c>
      <c r="M40" s="272" t="n">
        <f aca="false">IF(Horodateur112335381922313437434649525558616469852226343846505854626670747882909894102106114118110122126130134138142146150154158162166170174178182186190194198202206210214410141822263034[[#This Row],[O]]="o",Horodateur112335381922313437434649525558616469852226343846505854626670747882909894102106114118110122126130134138142146150154158162166170174178182186190194198202206210214410141822263034[[#This Row],[Durée (100)]],".")</f>
        <v>0.999999999999999</v>
      </c>
      <c r="N40" s="187"/>
      <c r="O40" s="71"/>
      <c r="P40" s="71"/>
      <c r="Q40" s="71"/>
      <c r="R40" s="71"/>
      <c r="S40" s="71"/>
      <c r="T40" s="71"/>
      <c r="U40" s="71"/>
      <c r="V40" s="71"/>
      <c r="W40" s="71"/>
      <c r="X40" s="71"/>
      <c r="Y40" s="71"/>
      <c r="Z40" s="71"/>
      <c r="AA40" s="71"/>
      <c r="AB40" s="71"/>
      <c r="AC40" s="71"/>
      <c r="AD40" s="71"/>
      <c r="AE40" s="71"/>
      <c r="AF40" s="71"/>
      <c r="AG40" s="71"/>
    </row>
    <row r="41" customFormat="false" ht="15" hidden="false" customHeight="false" outlineLevel="0" collapsed="false">
      <c r="A41" s="256" t="n">
        <f aca="false">IF(Horodateur112335381922313437434649525558616469852226343846505854626670747882909894102106114118110122126130134138142146150154158162166170174178182186190194198202206210214410141822263034[[#This Row],[Jour]]="1- Lundi",$B$1+1, IF(Horodateur112335381922313437434649525558616469852226343846505854626670747882909894102106114118110122126130134138142146150154158162166170174178182186190194198202206210214410141822263034[[#This Row],[Jour]]="2- Mardi",$B$1+2, IF(Horodateur112335381922313437434649525558616469852226343846505854626670747882909894102106114118110122126130134138142146150154158162166170174178182186190194198202206210214410141822263034[[#This Row],[Jour]]="3- Mercredi",$B$1+3, IF(Horodateur112335381922313437434649525558616469852226343846505854626670747882909894102106114118110122126130134138142146150154158162166170174178182186190194198202206210214410141822263034[[#This Row],[Jour]]="4- Jeudi",$B$1+4, IF(Horodateur112335381922313437434649525558616469852226343846505854626670747882909894102106114118110122126130134138142146150154158162166170174178182186190194198202206210214410141822263034[[#This Row],[Jour]]="5- Vendredi",$B$1+5, IF(Horodateur112335381922313437434649525558616469852226343846505854626670747882909894102106114118110122126130134138142146150154158162166170174178182186190194198202206210214410141822263034[[#This Row],[Jour]]="6- Samedi",$B$1+6, IF(Horodateur112335381922313437434649525558616469852226343846505854626670747882909894102106114118110122126130134138142146150154158162166170174178182186190194198202206210214410141822263034[[#This Row],[Jour]]="7- Dimanche",$B$1, )))))))</f>
        <v>44261</v>
      </c>
      <c r="B41" s="257" t="s">
        <v>335</v>
      </c>
      <c r="C41" s="258" t="n">
        <v>0.458333333333333</v>
      </c>
      <c r="D41" s="258" t="n">
        <v>0.46875</v>
      </c>
      <c r="E41" s="71" t="s">
        <v>32</v>
      </c>
      <c r="F41" s="71" t="s">
        <v>23</v>
      </c>
      <c r="G41" s="259" t="s">
        <v>569</v>
      </c>
      <c r="H41" s="258" t="n">
        <f aca="false">IF($C41=0,"",$D41-$C41)</f>
        <v>0.0104166666666667</v>
      </c>
      <c r="I41" s="260" t="n">
        <f aca="false">IF($C41=0,"",($H41-INT($H41))*24)</f>
        <v>0.25</v>
      </c>
      <c r="J41" s="303" t="n">
        <f aca="false">SUMIF(Horodateur112335381922313437434649525558616469852226343846505854626670747882909894102106114118110122126130134138142146150154158162166170174178182186190194198202206210214410141822263034[Jour],$B41,Horodateur112335381922313437434649525558616469852226343846505854626670747882909894102106114118110122126130134138142146150154158162166170174178182186190194198202206210214410141822263034[Durée (100)])</f>
        <v>9</v>
      </c>
      <c r="K41" s="335" t="s">
        <v>565</v>
      </c>
      <c r="L41" s="188" t="s">
        <v>31</v>
      </c>
      <c r="M41" s="272" t="n">
        <f aca="false">IF(Horodateur112335381922313437434649525558616469852226343846505854626670747882909894102106114118110122126130134138142146150154158162166170174178182186190194198202206210214410141822263034[[#This Row],[O]]="o",Horodateur112335381922313437434649525558616469852226343846505854626670747882909894102106114118110122126130134138142146150154158162166170174178182186190194198202206210214410141822263034[[#This Row],[Durée (100)]],".")</f>
        <v>0.25</v>
      </c>
      <c r="N41" s="187"/>
      <c r="O41" s="71"/>
      <c r="P41" s="71"/>
      <c r="Q41" s="71"/>
      <c r="R41" s="71"/>
      <c r="S41" s="71"/>
      <c r="T41" s="71"/>
      <c r="U41" s="71"/>
      <c r="V41" s="71"/>
      <c r="W41" s="71"/>
      <c r="X41" s="71"/>
      <c r="Y41" s="71"/>
      <c r="Z41" s="71"/>
      <c r="AA41" s="71"/>
      <c r="AB41" s="71"/>
      <c r="AC41" s="71"/>
      <c r="AD41" s="71"/>
      <c r="AE41" s="71"/>
      <c r="AF41" s="71"/>
      <c r="AG41" s="71"/>
    </row>
    <row r="42" customFormat="false" ht="15" hidden="false" customHeight="false" outlineLevel="0" collapsed="false">
      <c r="A42" s="256" t="n">
        <f aca="false">IF(Horodateur112335381922313437434649525558616469852226343846505854626670747882909894102106114118110122126130134138142146150154158162166170174178182186190194198202206210214410141822263034[[#This Row],[Jour]]="1- Lundi",$B$1+1, IF(Horodateur112335381922313437434649525558616469852226343846505854626670747882909894102106114118110122126130134138142146150154158162166170174178182186190194198202206210214410141822263034[[#This Row],[Jour]]="2- Mardi",$B$1+2, IF(Horodateur112335381922313437434649525558616469852226343846505854626670747882909894102106114118110122126130134138142146150154158162166170174178182186190194198202206210214410141822263034[[#This Row],[Jour]]="3- Mercredi",$B$1+3, IF(Horodateur112335381922313437434649525558616469852226343846505854626670747882909894102106114118110122126130134138142146150154158162166170174178182186190194198202206210214410141822263034[[#This Row],[Jour]]="4- Jeudi",$B$1+4, IF(Horodateur112335381922313437434649525558616469852226343846505854626670747882909894102106114118110122126130134138142146150154158162166170174178182186190194198202206210214410141822263034[[#This Row],[Jour]]="5- Vendredi",$B$1+5, IF(Horodateur112335381922313437434649525558616469852226343846505854626670747882909894102106114118110122126130134138142146150154158162166170174178182186190194198202206210214410141822263034[[#This Row],[Jour]]="6- Samedi",$B$1+6, IF(Horodateur112335381922313437434649525558616469852226343846505854626670747882909894102106114118110122126130134138142146150154158162166170174178182186190194198202206210214410141822263034[[#This Row],[Jour]]="7- Dimanche",$B$1, )))))))</f>
        <v>44261</v>
      </c>
      <c r="B42" s="257" t="s">
        <v>335</v>
      </c>
      <c r="C42" s="258" t="n">
        <v>0.46875</v>
      </c>
      <c r="D42" s="258" t="n">
        <v>0.510416666666667</v>
      </c>
      <c r="E42" s="71" t="s">
        <v>63</v>
      </c>
      <c r="F42" s="71" t="s">
        <v>378</v>
      </c>
      <c r="G42" s="259" t="s">
        <v>570</v>
      </c>
      <c r="H42" s="258" t="n">
        <f aca="false">IF($C42=0,"",$D42-$C42)</f>
        <v>0.0416666666666666</v>
      </c>
      <c r="I42" s="260" t="n">
        <f aca="false">IF($C42=0,"",($H42-INT($H42))*24)</f>
        <v>0.999999999999999</v>
      </c>
      <c r="J42" s="303" t="n">
        <f aca="false">SUMIF(Horodateur112335381922313437434649525558616469852226343846505854626670747882909894102106114118110122126130134138142146150154158162166170174178182186190194198202206210214410141822263034[Jour],$B42,Horodateur112335381922313437434649525558616469852226343846505854626670747882909894102106114118110122126130134138142146150154158162166170174178182186190194198202206210214410141822263034[Durée (100)])</f>
        <v>9</v>
      </c>
      <c r="K42" s="335"/>
      <c r="L42" s="188" t="s">
        <v>31</v>
      </c>
      <c r="M42" s="272" t="n">
        <f aca="false">IF(Horodateur112335381922313437434649525558616469852226343846505854626670747882909894102106114118110122126130134138142146150154158162166170174178182186190194198202206210214410141822263034[[#This Row],[O]]="o",Horodateur112335381922313437434649525558616469852226343846505854626670747882909894102106114118110122126130134138142146150154158162166170174178182186190194198202206210214410141822263034[[#This Row],[Durée (100)]],".")</f>
        <v>0.999999999999999</v>
      </c>
      <c r="N42" s="187"/>
      <c r="O42" s="71"/>
      <c r="P42" s="71"/>
      <c r="Q42" s="71"/>
      <c r="R42" s="71"/>
      <c r="S42" s="71"/>
      <c r="T42" s="71"/>
      <c r="U42" s="71"/>
      <c r="V42" s="71"/>
      <c r="W42" s="71"/>
      <c r="X42" s="71"/>
      <c r="Y42" s="71"/>
      <c r="Z42" s="71"/>
      <c r="AA42" s="71"/>
      <c r="AB42" s="71"/>
      <c r="AC42" s="71"/>
      <c r="AD42" s="71"/>
      <c r="AE42" s="71"/>
      <c r="AF42" s="71"/>
      <c r="AG42" s="71"/>
    </row>
    <row r="43" customFormat="false" ht="15" hidden="false" customHeight="false" outlineLevel="0" collapsed="false">
      <c r="A43" s="256" t="n">
        <f aca="false">IF(Horodateur112335381922313437434649525558616469852226343846505854626670747882909894102106114118110122126130134138142146150154158162166170174178182186190194198202206210214410141822263034[[#This Row],[Jour]]="1- Lundi",$B$1+1, IF(Horodateur112335381922313437434649525558616469852226343846505854626670747882909894102106114118110122126130134138142146150154158162166170174178182186190194198202206210214410141822263034[[#This Row],[Jour]]="2- Mardi",$B$1+2, IF(Horodateur112335381922313437434649525558616469852226343846505854626670747882909894102106114118110122126130134138142146150154158162166170174178182186190194198202206210214410141822263034[[#This Row],[Jour]]="3- Mercredi",$B$1+3, IF(Horodateur112335381922313437434649525558616469852226343846505854626670747882909894102106114118110122126130134138142146150154158162166170174178182186190194198202206210214410141822263034[[#This Row],[Jour]]="4- Jeudi",$B$1+4, IF(Horodateur112335381922313437434649525558616469852226343846505854626670747882909894102106114118110122126130134138142146150154158162166170174178182186190194198202206210214410141822263034[[#This Row],[Jour]]="5- Vendredi",$B$1+5, IF(Horodateur112335381922313437434649525558616469852226343846505854626670747882909894102106114118110122126130134138142146150154158162166170174178182186190194198202206210214410141822263034[[#This Row],[Jour]]="6- Samedi",$B$1+6, IF(Horodateur112335381922313437434649525558616469852226343846505854626670747882909894102106114118110122126130134138142146150154158162166170174178182186190194198202206210214410141822263034[[#This Row],[Jour]]="7- Dimanche",$B$1, )))))))</f>
        <v>44261</v>
      </c>
      <c r="B43" s="257" t="s">
        <v>335</v>
      </c>
      <c r="C43" s="258" t="n">
        <v>0.552083333333333</v>
      </c>
      <c r="D43" s="258" t="n">
        <v>0.572916666666667</v>
      </c>
      <c r="E43" s="71" t="s">
        <v>63</v>
      </c>
      <c r="F43" s="71" t="s">
        <v>378</v>
      </c>
      <c r="G43" s="259" t="s">
        <v>570</v>
      </c>
      <c r="H43" s="258" t="n">
        <f aca="false">IF($C43=0,"",$D43-$C43)</f>
        <v>0.0208333333333333</v>
      </c>
      <c r="I43" s="260" t="n">
        <f aca="false">IF($C43=0,"",($H43-INT($H43))*24)</f>
        <v>0.5</v>
      </c>
      <c r="J43" s="303" t="n">
        <f aca="false">SUMIF(Horodateur112335381922313437434649525558616469852226343846505854626670747882909894102106114118110122126130134138142146150154158162166170174178182186190194198202206210214410141822263034[Jour],$B43,Horodateur112335381922313437434649525558616469852226343846505854626670747882909894102106114118110122126130134138142146150154158162166170174178182186190194198202206210214410141822263034[Durée (100)])</f>
        <v>9</v>
      </c>
      <c r="K43" s="335"/>
      <c r="L43" s="188" t="s">
        <v>31</v>
      </c>
      <c r="M43" s="272" t="n">
        <f aca="false">IF(Horodateur112335381922313437434649525558616469852226343846505854626670747882909894102106114118110122126130134138142146150154158162166170174178182186190194198202206210214410141822263034[[#This Row],[O]]="o",Horodateur112335381922313437434649525558616469852226343846505854626670747882909894102106114118110122126130134138142146150154158162166170174178182186190194198202206210214410141822263034[[#This Row],[Durée (100)]],".")</f>
        <v>0.499999999999998</v>
      </c>
      <c r="N43" s="187"/>
      <c r="O43" s="71"/>
      <c r="P43" s="71"/>
      <c r="Q43" s="71"/>
      <c r="R43" s="71"/>
      <c r="S43" s="71"/>
      <c r="T43" s="71"/>
      <c r="U43" s="71"/>
      <c r="V43" s="71"/>
      <c r="W43" s="71"/>
      <c r="X43" s="71"/>
      <c r="Y43" s="71"/>
      <c r="Z43" s="71"/>
      <c r="AA43" s="71"/>
      <c r="AB43" s="71"/>
      <c r="AC43" s="71"/>
      <c r="AD43" s="71"/>
      <c r="AE43" s="71"/>
      <c r="AF43" s="71"/>
      <c r="AG43" s="71"/>
    </row>
    <row r="44" customFormat="false" ht="15" hidden="false" customHeight="false" outlineLevel="0" collapsed="false">
      <c r="A44" s="256" t="n">
        <f aca="false">IF(Horodateur112335381922313437434649525558616469852226343846505854626670747882909894102106114118110122126130134138142146150154158162166170174178182186190194198202206210214410141822263034[[#This Row],[Jour]]="1- Lundi",$B$1+1, IF(Horodateur112335381922313437434649525558616469852226343846505854626670747882909894102106114118110122126130134138142146150154158162166170174178182186190194198202206210214410141822263034[[#This Row],[Jour]]="2- Mardi",$B$1+2, IF(Horodateur112335381922313437434649525558616469852226343846505854626670747882909894102106114118110122126130134138142146150154158162166170174178182186190194198202206210214410141822263034[[#This Row],[Jour]]="3- Mercredi",$B$1+3, IF(Horodateur112335381922313437434649525558616469852226343846505854626670747882909894102106114118110122126130134138142146150154158162166170174178182186190194198202206210214410141822263034[[#This Row],[Jour]]="4- Jeudi",$B$1+4, IF(Horodateur112335381922313437434649525558616469852226343846505854626670747882909894102106114118110122126130134138142146150154158162166170174178182186190194198202206210214410141822263034[[#This Row],[Jour]]="5- Vendredi",$B$1+5, IF(Horodateur112335381922313437434649525558616469852226343846505854626670747882909894102106114118110122126130134138142146150154158162166170174178182186190194198202206210214410141822263034[[#This Row],[Jour]]="6- Samedi",$B$1+6, IF(Horodateur112335381922313437434649525558616469852226343846505854626670747882909894102106114118110122126130134138142146150154158162166170174178182186190194198202206210214410141822263034[[#This Row],[Jour]]="7- Dimanche",$B$1, )))))))</f>
        <v>44261</v>
      </c>
      <c r="B44" s="257" t="s">
        <v>335</v>
      </c>
      <c r="C44" s="258" t="n">
        <v>0.572916666666667</v>
      </c>
      <c r="D44" s="258" t="n">
        <v>0.677083333333333</v>
      </c>
      <c r="E44" s="71" t="s">
        <v>37</v>
      </c>
      <c r="F44" s="71" t="s">
        <v>378</v>
      </c>
      <c r="G44" s="259" t="s">
        <v>571</v>
      </c>
      <c r="H44" s="258" t="n">
        <f aca="false">IF($C44=0,"",$D44-$C44)</f>
        <v>0.104166666666667</v>
      </c>
      <c r="I44" s="260" t="n">
        <f aca="false">IF($C44=0,"",($H44-INT($H44))*24)</f>
        <v>2.5</v>
      </c>
      <c r="J44" s="303" t="n">
        <f aca="false">SUMIF(Horodateur112335381922313437434649525558616469852226343846505854626670747882909894102106114118110122126130134138142146150154158162166170174178182186190194198202206210214410141822263034[Jour],$B44,Horodateur112335381922313437434649525558616469852226343846505854626670747882909894102106114118110122126130134138142146150154158162166170174178182186190194198202206210214410141822263034[Durée (100)])</f>
        <v>9</v>
      </c>
      <c r="K44" s="335"/>
      <c r="L44" s="188" t="s">
        <v>31</v>
      </c>
      <c r="M44" s="272" t="n">
        <f aca="false">IF(Horodateur112335381922313437434649525558616469852226343846505854626670747882909894102106114118110122126130134138142146150154158162166170174178182186190194198202206210214410141822263034[[#This Row],[O]]="o",Horodateur112335381922313437434649525558616469852226343846505854626670747882909894102106114118110122126130134138142146150154158162166170174178182186190194198202206210214410141822263034[[#This Row],[Durée (100)]],".")</f>
        <v>2.5</v>
      </c>
      <c r="N44" s="187"/>
      <c r="O44" s="71"/>
      <c r="P44" s="71"/>
      <c r="Q44" s="71"/>
      <c r="R44" s="71"/>
      <c r="S44" s="71"/>
      <c r="T44" s="71"/>
      <c r="U44" s="71"/>
      <c r="V44" s="71"/>
      <c r="W44" s="71"/>
      <c r="X44" s="71"/>
      <c r="Y44" s="71"/>
      <c r="Z44" s="71"/>
      <c r="AA44" s="71"/>
      <c r="AB44" s="71"/>
      <c r="AC44" s="71"/>
      <c r="AD44" s="71"/>
      <c r="AE44" s="71"/>
      <c r="AF44" s="71"/>
      <c r="AG44" s="71"/>
    </row>
    <row r="45" customFormat="false" ht="15" hidden="false" customHeight="false" outlineLevel="0" collapsed="false">
      <c r="A45" s="256" t="n">
        <f aca="false">IF(Horodateur112335381922313437434649525558616469852226343846505854626670747882909894102106114118110122126130134138142146150154158162166170174178182186190194198202206210214410141822263034[[#This Row],[Jour]]="1- Lundi",$B$1+1, IF(Horodateur112335381922313437434649525558616469852226343846505854626670747882909894102106114118110122126130134138142146150154158162166170174178182186190194198202206210214410141822263034[[#This Row],[Jour]]="2- Mardi",$B$1+2, IF(Horodateur112335381922313437434649525558616469852226343846505854626670747882909894102106114118110122126130134138142146150154158162166170174178182186190194198202206210214410141822263034[[#This Row],[Jour]]="3- Mercredi",$B$1+3, IF(Horodateur112335381922313437434649525558616469852226343846505854626670747882909894102106114118110122126130134138142146150154158162166170174178182186190194198202206210214410141822263034[[#This Row],[Jour]]="4- Jeudi",$B$1+4, IF(Horodateur112335381922313437434649525558616469852226343846505854626670747882909894102106114118110122126130134138142146150154158162166170174178182186190194198202206210214410141822263034[[#This Row],[Jour]]="5- Vendredi",$B$1+5, IF(Horodateur112335381922313437434649525558616469852226343846505854626670747882909894102106114118110122126130134138142146150154158162166170174178182186190194198202206210214410141822263034[[#This Row],[Jour]]="6- Samedi",$B$1+6, IF(Horodateur112335381922313437434649525558616469852226343846505854626670747882909894102106114118110122126130134138142146150154158162166170174178182186190194198202206210214410141822263034[[#This Row],[Jour]]="7- Dimanche",$B$1, )))))))</f>
        <v>44261</v>
      </c>
      <c r="B45" s="257" t="s">
        <v>335</v>
      </c>
      <c r="C45" s="258" t="n">
        <v>0.677083333333333</v>
      </c>
      <c r="D45" s="258" t="n">
        <v>0.697916666666667</v>
      </c>
      <c r="E45" s="71" t="s">
        <v>63</v>
      </c>
      <c r="F45" s="71" t="s">
        <v>378</v>
      </c>
      <c r="G45" s="259" t="s">
        <v>572</v>
      </c>
      <c r="H45" s="258" t="n">
        <f aca="false">IF($C45=0,"",$D45-$C45)</f>
        <v>0.0208333333333333</v>
      </c>
      <c r="I45" s="260" t="n">
        <f aca="false">IF($C45=0,"",($H45-INT($H45))*24)</f>
        <v>0.499999999999998</v>
      </c>
      <c r="J45" s="303" t="n">
        <f aca="false">SUMIF(Horodateur112335381922313437434649525558616469852226343846505854626670747882909894102106114118110122126130134138142146150154158162166170174178182186190194198202206210214410141822263034[Jour],$B45,Horodateur112335381922313437434649525558616469852226343846505854626670747882909894102106114118110122126130134138142146150154158162166170174178182186190194198202206210214410141822263034[Durée (100)])</f>
        <v>9</v>
      </c>
      <c r="K45" s="335"/>
      <c r="L45" s="188" t="s">
        <v>31</v>
      </c>
      <c r="M45" s="272" t="n">
        <f aca="false">IF(Horodateur112335381922313437434649525558616469852226343846505854626670747882909894102106114118110122126130134138142146150154158162166170174178182186190194198202206210214410141822263034[[#This Row],[O]]="o",Horodateur112335381922313437434649525558616469852226343846505854626670747882909894102106114118110122126130134138142146150154158162166170174178182186190194198202206210214410141822263034[[#This Row],[Durée (100)]],".")</f>
        <v>0.499999999999998</v>
      </c>
      <c r="N45" s="187"/>
      <c r="O45" s="71"/>
      <c r="P45" s="71"/>
      <c r="Q45" s="71"/>
      <c r="R45" s="71"/>
      <c r="S45" s="71"/>
      <c r="T45" s="71"/>
      <c r="U45" s="71"/>
      <c r="V45" s="71"/>
      <c r="W45" s="71"/>
      <c r="X45" s="71"/>
      <c r="Y45" s="71"/>
      <c r="Z45" s="71"/>
      <c r="AA45" s="71"/>
      <c r="AB45" s="71"/>
      <c r="AC45" s="71"/>
      <c r="AD45" s="71"/>
      <c r="AE45" s="71"/>
      <c r="AF45" s="71"/>
      <c r="AG45" s="71"/>
    </row>
    <row r="46" customFormat="false" ht="15" hidden="false" customHeight="false" outlineLevel="0" collapsed="false">
      <c r="A46" s="256" t="n">
        <f aca="false">IF(Horodateur112335381922313437434649525558616469852226343846505854626670747882909894102106114118110122126130134138142146150154158162166170174178182186190194198202206210214410141822263034[[#This Row],[Jour]]="1- Lundi",$B$1+1, IF(Horodateur112335381922313437434649525558616469852226343846505854626670747882909894102106114118110122126130134138142146150154158162166170174178182186190194198202206210214410141822263034[[#This Row],[Jour]]="2- Mardi",$B$1+2, IF(Horodateur112335381922313437434649525558616469852226343846505854626670747882909894102106114118110122126130134138142146150154158162166170174178182186190194198202206210214410141822263034[[#This Row],[Jour]]="3- Mercredi",$B$1+3, IF(Horodateur112335381922313437434649525558616469852226343846505854626670747882909894102106114118110122126130134138142146150154158162166170174178182186190194198202206210214410141822263034[[#This Row],[Jour]]="4- Jeudi",$B$1+4, IF(Horodateur112335381922313437434649525558616469852226343846505854626670747882909894102106114118110122126130134138142146150154158162166170174178182186190194198202206210214410141822263034[[#This Row],[Jour]]="5- Vendredi",$B$1+5, IF(Horodateur112335381922313437434649525558616469852226343846505854626670747882909894102106114118110122126130134138142146150154158162166170174178182186190194198202206210214410141822263034[[#This Row],[Jour]]="6- Samedi",$B$1+6, IF(Horodateur112335381922313437434649525558616469852226343846505854626670747882909894102106114118110122126130134138142146150154158162166170174178182186190194198202206210214410141822263034[[#This Row],[Jour]]="7- Dimanche",$B$1, )))))))</f>
        <v>44261</v>
      </c>
      <c r="B46" s="257" t="s">
        <v>335</v>
      </c>
      <c r="C46" s="258" t="n">
        <v>0.697916666666667</v>
      </c>
      <c r="D46" s="258" t="n">
        <v>0.729166666666667</v>
      </c>
      <c r="E46" s="71" t="s">
        <v>32</v>
      </c>
      <c r="F46" s="71" t="s">
        <v>22</v>
      </c>
      <c r="G46" s="259" t="s">
        <v>571</v>
      </c>
      <c r="H46" s="258" t="n">
        <f aca="false">IF($C46=0,"",$D46-$C46)</f>
        <v>0.03125</v>
      </c>
      <c r="I46" s="260" t="n">
        <f aca="false">IF($C46=0,"",($H46-INT($H46))*24)</f>
        <v>0.75</v>
      </c>
      <c r="J46" s="303" t="n">
        <f aca="false">SUMIF(Horodateur112335381922313437434649525558616469852226343846505854626670747882909894102106114118110122126130134138142146150154158162166170174178182186190194198202206210214410141822263034[Jour],$B46,Horodateur112335381922313437434649525558616469852226343846505854626670747882909894102106114118110122126130134138142146150154158162166170174178182186190194198202206210214410141822263034[Durée (100)])</f>
        <v>9</v>
      </c>
      <c r="K46" s="335" t="s">
        <v>37</v>
      </c>
      <c r="L46" s="188" t="s">
        <v>31</v>
      </c>
      <c r="M46" s="272" t="n">
        <f aca="false">IF(Horodateur112335381922313437434649525558616469852226343846505854626670747882909894102106114118110122126130134138142146150154158162166170174178182186190194198202206210214410141822263034[[#This Row],[O]]="o",Horodateur112335381922313437434649525558616469852226343846505854626670747882909894102106114118110122126130134138142146150154158162166170174178182186190194198202206210214410141822263034[[#This Row],[Durée (100)]],".")</f>
        <v>0.75</v>
      </c>
      <c r="N46" s="187"/>
      <c r="O46" s="71"/>
      <c r="P46" s="71"/>
      <c r="Q46" s="71"/>
      <c r="R46" s="71"/>
      <c r="S46" s="71"/>
      <c r="T46" s="71"/>
      <c r="U46" s="71"/>
      <c r="V46" s="71"/>
      <c r="W46" s="71"/>
      <c r="X46" s="71"/>
      <c r="Y46" s="71"/>
      <c r="Z46" s="71"/>
      <c r="AA46" s="71"/>
      <c r="AB46" s="71"/>
      <c r="AC46" s="71"/>
      <c r="AD46" s="71"/>
      <c r="AE46" s="71"/>
      <c r="AF46" s="71"/>
      <c r="AG46" s="71"/>
    </row>
    <row r="47" customFormat="false" ht="15" hidden="false" customHeight="false" outlineLevel="0" collapsed="false">
      <c r="A47" s="256" t="n">
        <f aca="false">IF(Horodateur112335381922313437434649525558616469852226343846505854626670747882909894102106114118110122126130134138142146150154158162166170174178182186190194198202206210214410141822263034[[#This Row],[Jour]]="1- Lundi",$B$1+1, IF(Horodateur112335381922313437434649525558616469852226343846505854626670747882909894102106114118110122126130134138142146150154158162166170174178182186190194198202206210214410141822263034[[#This Row],[Jour]]="2- Mardi",$B$1+2, IF(Horodateur112335381922313437434649525558616469852226343846505854626670747882909894102106114118110122126130134138142146150154158162166170174178182186190194198202206210214410141822263034[[#This Row],[Jour]]="3- Mercredi",$B$1+3, IF(Horodateur112335381922313437434649525558616469852226343846505854626670747882909894102106114118110122126130134138142146150154158162166170174178182186190194198202206210214410141822263034[[#This Row],[Jour]]="4- Jeudi",$B$1+4, IF(Horodateur112335381922313437434649525558616469852226343846505854626670747882909894102106114118110122126130134138142146150154158162166170174178182186190194198202206210214410141822263034[[#This Row],[Jour]]="5- Vendredi",$B$1+5, IF(Horodateur112335381922313437434649525558616469852226343846505854626670747882909894102106114118110122126130134138142146150154158162166170174178182186190194198202206210214410141822263034[[#This Row],[Jour]]="6- Samedi",$B$1+6, IF(Horodateur112335381922313437434649525558616469852226343846505854626670747882909894102106114118110122126130134138142146150154158162166170174178182186190194198202206210214410141822263034[[#This Row],[Jour]]="7- Dimanche",$B$1, )))))))</f>
        <v>44261</v>
      </c>
      <c r="B47" s="257" t="s">
        <v>335</v>
      </c>
      <c r="C47" s="258" t="n">
        <v>0.760416666666667</v>
      </c>
      <c r="D47" s="258" t="n">
        <v>0.770833333333333</v>
      </c>
      <c r="E47" s="71" t="s">
        <v>32</v>
      </c>
      <c r="F47" s="71" t="s">
        <v>22</v>
      </c>
      <c r="G47" s="259" t="s">
        <v>573</v>
      </c>
      <c r="H47" s="258" t="n">
        <f aca="false">IF($C47=0,"",$D47-$C47)</f>
        <v>0.0104166666666667</v>
      </c>
      <c r="I47" s="260" t="n">
        <f aca="false">IF($C47=0,"",($H47-INT($H47))*24)</f>
        <v>0.25</v>
      </c>
      <c r="J47" s="303" t="n">
        <f aca="false">SUMIF(Horodateur112335381922313437434649525558616469852226343846505854626670747882909894102106114118110122126130134138142146150154158162166170174178182186190194198202206210214410141822263034[Jour],$B47,Horodateur112335381922313437434649525558616469852226343846505854626670747882909894102106114118110122126130134138142146150154158162166170174178182186190194198202206210214410141822263034[Durée (100)])</f>
        <v>9</v>
      </c>
      <c r="K47" s="335" t="s">
        <v>565</v>
      </c>
      <c r="L47" s="188" t="s">
        <v>31</v>
      </c>
      <c r="M47" s="272" t="n">
        <f aca="false">IF(Horodateur112335381922313437434649525558616469852226343846505854626670747882909894102106114118110122126130134138142146150154158162166170174178182186190194198202206210214410141822263034[[#This Row],[O]]="o",Horodateur112335381922313437434649525558616469852226343846505854626670747882909894102106114118110122126130134138142146150154158162166170174178182186190194198202206210214410141822263034[[#This Row],[Durée (100)]],".")</f>
        <v>0.250000000000002</v>
      </c>
      <c r="N47" s="187"/>
      <c r="O47" s="71"/>
      <c r="P47" s="71"/>
      <c r="Q47" s="71"/>
      <c r="R47" s="71"/>
      <c r="S47" s="71"/>
      <c r="T47" s="71"/>
      <c r="U47" s="71"/>
      <c r="V47" s="71"/>
      <c r="W47" s="71"/>
      <c r="X47" s="71"/>
      <c r="Y47" s="71"/>
      <c r="Z47" s="71"/>
      <c r="AA47" s="71"/>
      <c r="AB47" s="71"/>
      <c r="AC47" s="71"/>
      <c r="AD47" s="71"/>
      <c r="AE47" s="71"/>
      <c r="AF47" s="71"/>
      <c r="AG47" s="71"/>
    </row>
    <row r="48" customFormat="false" ht="15" hidden="false" customHeight="false" outlineLevel="0" collapsed="false">
      <c r="A48" s="256" t="n">
        <f aca="false">IF(Horodateur112335381922313437434649525558616469852226343846505854626670747882909894102106114118110122126130134138142146150154158162166170174178182186190194198202206210214410141822263034[[#This Row],[Jour]]="1- Lundi",$B$1+1, IF(Horodateur112335381922313437434649525558616469852226343846505854626670747882909894102106114118110122126130134138142146150154158162166170174178182186190194198202206210214410141822263034[[#This Row],[Jour]]="2- Mardi",$B$1+2, IF(Horodateur112335381922313437434649525558616469852226343846505854626670747882909894102106114118110122126130134138142146150154158162166170174178182186190194198202206210214410141822263034[[#This Row],[Jour]]="3- Mercredi",$B$1+3, IF(Horodateur112335381922313437434649525558616469852226343846505854626670747882909894102106114118110122126130134138142146150154158162166170174178182186190194198202206210214410141822263034[[#This Row],[Jour]]="4- Jeudi",$B$1+4, IF(Horodateur112335381922313437434649525558616469852226343846505854626670747882909894102106114118110122126130134138142146150154158162166170174178182186190194198202206210214410141822263034[[#This Row],[Jour]]="5- Vendredi",$B$1+5, IF(Horodateur112335381922313437434649525558616469852226343846505854626670747882909894102106114118110122126130134138142146150154158162166170174178182186190194198202206210214410141822263034[[#This Row],[Jour]]="6- Samedi",$B$1+6, IF(Horodateur112335381922313437434649525558616469852226343846505854626670747882909894102106114118110122126130134138142146150154158162166170174178182186190194198202206210214410141822263034[[#This Row],[Jour]]="7- Dimanche",$B$1, )))))))</f>
        <v>44262</v>
      </c>
      <c r="B48" s="257" t="s">
        <v>341</v>
      </c>
      <c r="C48" s="258" t="n">
        <v>0.333333333333333</v>
      </c>
      <c r="D48" s="258" t="n">
        <v>0.416666666666667</v>
      </c>
      <c r="E48" s="71" t="s">
        <v>63</v>
      </c>
      <c r="F48" s="71" t="s">
        <v>378</v>
      </c>
      <c r="G48" s="259" t="s">
        <v>574</v>
      </c>
      <c r="H48" s="258" t="n">
        <f aca="false">IF($C48=0,"",$D48-$C48)</f>
        <v>0.0833333333333334</v>
      </c>
      <c r="I48" s="260" t="n">
        <f aca="false">IF($C48=0,"",($H48-INT($H48))*24)</f>
        <v>2</v>
      </c>
      <c r="J48" s="303" t="n">
        <f aca="false">SUMIF(Horodateur112335381922313437434649525558616469852226343846505854626670747882909894102106114118110122126130134138142146150154158162166170174178182186190194198202206210214410141822263034[Jour],$B48,Horodateur112335381922313437434649525558616469852226343846505854626670747882909894102106114118110122126130134138142146150154158162166170174178182186190194198202206210214410141822263034[Durée (100)])</f>
        <v>4.5</v>
      </c>
      <c r="K48" s="335"/>
      <c r="L48" s="188" t="s">
        <v>31</v>
      </c>
      <c r="M48" s="272" t="n">
        <f aca="false">IF(Horodateur112335381922313437434649525558616469852226343846505854626670747882909894102106114118110122126130134138142146150154158162166170174178182186190194198202206210214410141822263034[[#This Row],[O]]="o",Horodateur112335381922313437434649525558616469852226343846505854626670747882909894102106114118110122126130134138142146150154158162166170174178182186190194198202206210214410141822263034[[#This Row],[Durée (100)]],".")</f>
        <v>2</v>
      </c>
      <c r="N48" s="187"/>
      <c r="O48" s="71"/>
      <c r="P48" s="71"/>
      <c r="Q48" s="71"/>
      <c r="R48" s="71"/>
      <c r="S48" s="71"/>
      <c r="T48" s="71"/>
      <c r="U48" s="71"/>
      <c r="V48" s="71"/>
      <c r="W48" s="71"/>
      <c r="X48" s="71"/>
      <c r="Y48" s="71"/>
      <c r="Z48" s="71"/>
      <c r="AA48" s="71"/>
      <c r="AB48" s="71"/>
      <c r="AC48" s="71"/>
      <c r="AD48" s="71"/>
      <c r="AE48" s="71"/>
      <c r="AF48" s="71"/>
      <c r="AG48" s="71"/>
    </row>
    <row r="49" customFormat="false" ht="15" hidden="false" customHeight="false" outlineLevel="0" collapsed="false">
      <c r="A49" s="256" t="n">
        <f aca="false">IF(Horodateur112335381922313437434649525558616469852226343846505854626670747882909894102106114118110122126130134138142146150154158162166170174178182186190194198202206210214410141822263034[[#This Row],[Jour]]="1- Lundi",$B$1+1, IF(Horodateur112335381922313437434649525558616469852226343846505854626670747882909894102106114118110122126130134138142146150154158162166170174178182186190194198202206210214410141822263034[[#This Row],[Jour]]="2- Mardi",$B$1+2, IF(Horodateur112335381922313437434649525558616469852226343846505854626670747882909894102106114118110122126130134138142146150154158162166170174178182186190194198202206210214410141822263034[[#This Row],[Jour]]="3- Mercredi",$B$1+3, IF(Horodateur112335381922313437434649525558616469852226343846505854626670747882909894102106114118110122126130134138142146150154158162166170174178182186190194198202206210214410141822263034[[#This Row],[Jour]]="4- Jeudi",$B$1+4, IF(Horodateur112335381922313437434649525558616469852226343846505854626670747882909894102106114118110122126130134138142146150154158162166170174178182186190194198202206210214410141822263034[[#This Row],[Jour]]="5- Vendredi",$B$1+5, IF(Horodateur112335381922313437434649525558616469852226343846505854626670747882909894102106114118110122126130134138142146150154158162166170174178182186190194198202206210214410141822263034[[#This Row],[Jour]]="6- Samedi",$B$1+6, IF(Horodateur112335381922313437434649525558616469852226343846505854626670747882909894102106114118110122126130134138142146150154158162166170174178182186190194198202206210214410141822263034[[#This Row],[Jour]]="7- Dimanche",$B$1, )))))))</f>
        <v>44262</v>
      </c>
      <c r="B49" s="257" t="s">
        <v>341</v>
      </c>
      <c r="C49" s="258" t="n">
        <v>0.416666666666667</v>
      </c>
      <c r="D49" s="258" t="n">
        <v>0.458333333333333</v>
      </c>
      <c r="E49" s="71" t="s">
        <v>63</v>
      </c>
      <c r="F49" s="71" t="s">
        <v>378</v>
      </c>
      <c r="G49" s="259" t="s">
        <v>575</v>
      </c>
      <c r="H49" s="258" t="n">
        <f aca="false">IF($C49=0,"",$D49-$C49)</f>
        <v>0.0416666666666666</v>
      </c>
      <c r="I49" s="260" t="n">
        <f aca="false">IF($C49=0,"",($H49-INT($H49))*24)</f>
        <v>0.999999999999999</v>
      </c>
      <c r="J49" s="303" t="n">
        <f aca="false">SUMIF(Horodateur112335381922313437434649525558616469852226343846505854626670747882909894102106114118110122126130134138142146150154158162166170174178182186190194198202206210214410141822263034[Jour],$B49,Horodateur112335381922313437434649525558616469852226343846505854626670747882909894102106114118110122126130134138142146150154158162166170174178182186190194198202206210214410141822263034[Durée (100)])</f>
        <v>4.5</v>
      </c>
      <c r="K49" s="335"/>
      <c r="L49" s="188" t="s">
        <v>31</v>
      </c>
      <c r="M49" s="272" t="n">
        <f aca="false">IF(Horodateur112335381922313437434649525558616469852226343846505854626670747882909894102106114118110122126130134138142146150154158162166170174178182186190194198202206210214410141822263034[[#This Row],[O]]="o",Horodateur112335381922313437434649525558616469852226343846505854626670747882909894102106114118110122126130134138142146150154158162166170174178182186190194198202206210214410141822263034[[#This Row],[Durée (100)]],".")</f>
        <v>0.999999999999999</v>
      </c>
      <c r="N49" s="187"/>
      <c r="O49" s="71"/>
      <c r="P49" s="71"/>
      <c r="Q49" s="71"/>
      <c r="R49" s="71"/>
      <c r="S49" s="71"/>
      <c r="T49" s="71"/>
      <c r="U49" s="71"/>
      <c r="V49" s="71"/>
      <c r="W49" s="71"/>
      <c r="X49" s="71"/>
      <c r="Y49" s="71"/>
      <c r="Z49" s="71"/>
      <c r="AA49" s="71"/>
      <c r="AB49" s="71"/>
      <c r="AC49" s="71"/>
      <c r="AD49" s="71"/>
      <c r="AE49" s="71"/>
      <c r="AF49" s="71"/>
      <c r="AG49" s="71"/>
    </row>
    <row r="50" customFormat="false" ht="15" hidden="false" customHeight="false" outlineLevel="0" collapsed="false">
      <c r="A50" s="256" t="n">
        <f aca="false">IF(Horodateur112335381922313437434649525558616469852226343846505854626670747882909894102106114118110122126130134138142146150154158162166170174178182186190194198202206210214410141822263034[[#This Row],[Jour]]="1- Lundi",$B$1+1, IF(Horodateur112335381922313437434649525558616469852226343846505854626670747882909894102106114118110122126130134138142146150154158162166170174178182186190194198202206210214410141822263034[[#This Row],[Jour]]="2- Mardi",$B$1+2, IF(Horodateur112335381922313437434649525558616469852226343846505854626670747882909894102106114118110122126130134138142146150154158162166170174178182186190194198202206210214410141822263034[[#This Row],[Jour]]="3- Mercredi",$B$1+3, IF(Horodateur112335381922313437434649525558616469852226343846505854626670747882909894102106114118110122126130134138142146150154158162166170174178182186190194198202206210214410141822263034[[#This Row],[Jour]]="4- Jeudi",$B$1+4, IF(Horodateur112335381922313437434649525558616469852226343846505854626670747882909894102106114118110122126130134138142146150154158162166170174178182186190194198202206210214410141822263034[[#This Row],[Jour]]="5- Vendredi",$B$1+5, IF(Horodateur112335381922313437434649525558616469852226343846505854626670747882909894102106114118110122126130134138142146150154158162166170174178182186190194198202206210214410141822263034[[#This Row],[Jour]]="6- Samedi",$B$1+6, IF(Horodateur112335381922313437434649525558616469852226343846505854626670747882909894102106114118110122126130134138142146150154158162166170174178182186190194198202206210214410141822263034[[#This Row],[Jour]]="7- Dimanche",$B$1, )))))))</f>
        <v>44262</v>
      </c>
      <c r="B50" s="257" t="s">
        <v>341</v>
      </c>
      <c r="C50" s="258" t="n">
        <v>0.625</v>
      </c>
      <c r="D50" s="258" t="n">
        <v>0.6875</v>
      </c>
      <c r="E50" s="71" t="s">
        <v>37</v>
      </c>
      <c r="F50" s="71" t="s">
        <v>378</v>
      </c>
      <c r="G50" s="259" t="s">
        <v>576</v>
      </c>
      <c r="H50" s="258" t="n">
        <f aca="false">IF($C50=0,"",$D50-$C50)</f>
        <v>0.0625</v>
      </c>
      <c r="I50" s="260" t="n">
        <f aca="false">IF($C50=0,"",($H50-INT($H50))*24)</f>
        <v>1.5</v>
      </c>
      <c r="J50" s="303" t="n">
        <f aca="false">SUMIF(Horodateur112335381922313437434649525558616469852226343846505854626670747882909894102106114118110122126130134138142146150154158162166170174178182186190194198202206210214410141822263034[Jour],$B50,Horodateur112335381922313437434649525558616469852226343846505854626670747882909894102106114118110122126130134138142146150154158162166170174178182186190194198202206210214410141822263034[Durée (100)])</f>
        <v>4.5</v>
      </c>
      <c r="K50" s="335"/>
      <c r="L50" s="188" t="s">
        <v>31</v>
      </c>
      <c r="M50" s="272" t="n">
        <f aca="false">IF(Horodateur112335381922313437434649525558616469852226343846505854626670747882909894102106114118110122126130134138142146150154158162166170174178182186190194198202206210214410141822263034[[#This Row],[O]]="o",Horodateur112335381922313437434649525558616469852226343846505854626670747882909894102106114118110122126130134138142146150154158162166170174178182186190194198202206210214410141822263034[[#This Row],[Durée (100)]],".")</f>
        <v>1.5</v>
      </c>
      <c r="N50" s="187"/>
      <c r="O50" s="71"/>
      <c r="P50" s="71"/>
      <c r="Q50" s="71"/>
      <c r="R50" s="71"/>
      <c r="S50" s="71"/>
      <c r="T50" s="71"/>
      <c r="U50" s="71"/>
      <c r="V50" s="71"/>
      <c r="W50" s="71"/>
      <c r="X50" s="71"/>
      <c r="Y50" s="71"/>
      <c r="Z50" s="71"/>
      <c r="AA50" s="71"/>
      <c r="AB50" s="71"/>
      <c r="AC50" s="71"/>
      <c r="AD50" s="71"/>
      <c r="AE50" s="71"/>
      <c r="AF50" s="71"/>
      <c r="AG50" s="71"/>
    </row>
    <row r="51" customFormat="false" ht="15" hidden="false" customHeight="false" outlineLevel="0" collapsed="false">
      <c r="A51" s="137"/>
      <c r="B51" s="187"/>
      <c r="C51" s="71"/>
      <c r="D51" s="1"/>
      <c r="E51" s="1"/>
      <c r="F51" s="71"/>
      <c r="G51" s="1"/>
      <c r="H51" s="1"/>
      <c r="I51" s="119"/>
      <c r="J51" s="271"/>
      <c r="K51" s="1"/>
      <c r="L51" s="188"/>
      <c r="M51" s="272"/>
      <c r="N51" s="187"/>
      <c r="O51" s="71"/>
      <c r="P51" s="71"/>
      <c r="Q51" s="71"/>
      <c r="R51" s="71"/>
      <c r="S51" s="71"/>
      <c r="T51" s="71"/>
      <c r="U51" s="71"/>
      <c r="V51" s="71"/>
      <c r="W51" s="71"/>
      <c r="X51" s="71"/>
      <c r="Y51" s="71"/>
      <c r="Z51" s="71"/>
      <c r="AA51" s="71"/>
      <c r="AB51" s="71"/>
      <c r="AC51" s="71"/>
      <c r="AD51" s="71"/>
      <c r="AE51" s="71"/>
      <c r="AF51" s="71"/>
      <c r="AG51" s="71"/>
    </row>
    <row r="52" customFormat="false" ht="15" hidden="false" customHeight="false" outlineLevel="0" collapsed="false">
      <c r="A52" s="137"/>
      <c r="B52" s="187"/>
      <c r="C52" s="71"/>
      <c r="D52" s="1"/>
      <c r="E52" s="1"/>
      <c r="F52" s="71"/>
      <c r="G52" s="1"/>
      <c r="H52" s="1"/>
      <c r="I52" s="119"/>
      <c r="J52" s="271"/>
      <c r="K52" s="1"/>
      <c r="L52" s="188"/>
      <c r="M52" s="272"/>
      <c r="N52" s="187"/>
      <c r="O52" s="71"/>
      <c r="P52" s="71"/>
      <c r="Q52" s="71"/>
      <c r="R52" s="71"/>
      <c r="S52" s="71"/>
      <c r="T52" s="71"/>
      <c r="U52" s="71"/>
      <c r="V52" s="71"/>
      <c r="W52" s="71"/>
      <c r="X52" s="71"/>
      <c r="Y52" s="71"/>
      <c r="Z52" s="71"/>
      <c r="AA52" s="71"/>
      <c r="AB52" s="71"/>
      <c r="AC52" s="71"/>
      <c r="AD52" s="71"/>
      <c r="AE52" s="71"/>
      <c r="AF52" s="71"/>
      <c r="AG52" s="71"/>
    </row>
    <row r="53" customFormat="false" ht="15" hidden="false" customHeight="false" outlineLevel="0" collapsed="false">
      <c r="A53" s="137"/>
      <c r="B53" s="187"/>
      <c r="C53" s="71"/>
      <c r="D53" s="1"/>
      <c r="E53" s="1"/>
      <c r="F53" s="71"/>
      <c r="G53" s="1"/>
      <c r="H53" s="1"/>
      <c r="I53" s="119"/>
      <c r="J53" s="271"/>
      <c r="K53" s="1"/>
      <c r="L53" s="188"/>
      <c r="M53" s="272"/>
      <c r="N53" s="187"/>
      <c r="O53" s="71"/>
      <c r="P53" s="71"/>
      <c r="Q53" s="71"/>
      <c r="R53" s="71"/>
      <c r="S53" s="71"/>
      <c r="T53" s="71"/>
      <c r="U53" s="71"/>
      <c r="V53" s="71"/>
      <c r="W53" s="71"/>
      <c r="X53" s="71"/>
      <c r="Y53" s="71"/>
      <c r="Z53" s="71"/>
      <c r="AA53" s="71"/>
      <c r="AB53" s="71"/>
      <c r="AC53" s="71"/>
      <c r="AD53" s="71"/>
      <c r="AE53" s="71"/>
      <c r="AF53" s="71"/>
      <c r="AG53" s="71"/>
    </row>
    <row r="54" customFormat="false" ht="15" hidden="false" customHeight="false" outlineLevel="0" collapsed="false">
      <c r="A54" s="137"/>
      <c r="B54" s="187"/>
      <c r="C54" s="71"/>
      <c r="D54" s="1"/>
      <c r="E54" s="1"/>
      <c r="F54" s="71"/>
      <c r="G54" s="1"/>
      <c r="H54" s="1"/>
      <c r="I54" s="119"/>
      <c r="J54" s="271"/>
      <c r="K54" s="1"/>
      <c r="L54" s="188"/>
      <c r="N54" s="187"/>
      <c r="O54" s="71"/>
      <c r="P54" s="71"/>
      <c r="Q54" s="71"/>
      <c r="R54" s="71"/>
      <c r="S54" s="71"/>
      <c r="T54" s="71"/>
      <c r="U54" s="71"/>
      <c r="V54" s="71"/>
      <c r="W54" s="71"/>
      <c r="X54" s="71"/>
      <c r="Y54" s="71"/>
      <c r="Z54" s="71"/>
      <c r="AA54" s="71"/>
      <c r="AB54" s="71"/>
      <c r="AC54" s="71"/>
      <c r="AD54" s="71"/>
      <c r="AE54" s="71"/>
      <c r="AF54" s="71"/>
      <c r="AG54" s="71"/>
    </row>
    <row r="55" customFormat="false" ht="15" hidden="false" customHeight="false" outlineLevel="0" collapsed="false">
      <c r="A55" s="274" t="s">
        <v>377</v>
      </c>
      <c r="B55" s="275" t="str">
        <f aca="false">SUM($A$101:$A$531) &amp; " heures"</f>
        <v>26.75 heures</v>
      </c>
      <c r="C55" s="276" t="str">
        <f aca="false">SUM($A$101:$A$522) / 8 &amp; " Jours"</f>
        <v>3.34375 Jours</v>
      </c>
      <c r="D55" s="277"/>
      <c r="E55" s="277" t="n">
        <v>33.25</v>
      </c>
      <c r="F55" s="278" t="n">
        <f aca="false">E55/8</f>
        <v>4.15625</v>
      </c>
      <c r="G55" s="277"/>
      <c r="H55" s="277"/>
      <c r="I55" s="279"/>
      <c r="J55" s="280"/>
      <c r="K55" s="277"/>
      <c r="L55" s="281"/>
      <c r="M55" s="282"/>
      <c r="N55" s="283"/>
      <c r="O55" s="277"/>
      <c r="P55" s="277"/>
      <c r="Q55" s="277"/>
      <c r="R55" s="277"/>
      <c r="S55" s="277"/>
      <c r="T55" s="277"/>
      <c r="U55" s="278"/>
      <c r="V55" s="278"/>
      <c r="W55" s="278"/>
      <c r="X55" s="278"/>
      <c r="Y55" s="278"/>
      <c r="Z55" s="278"/>
      <c r="AA55" s="278"/>
      <c r="AB55" s="278"/>
      <c r="AC55" s="278"/>
      <c r="AD55" s="278"/>
      <c r="AE55" s="278"/>
      <c r="AF55" s="278"/>
      <c r="AG55" s="278"/>
    </row>
    <row r="56" customFormat="false" ht="15" hidden="false" customHeight="false" outlineLevel="0" collapsed="false">
      <c r="A56" s="137"/>
      <c r="B56" s="187"/>
      <c r="C56" s="71"/>
      <c r="D56" s="1"/>
      <c r="E56" s="1"/>
      <c r="F56" s="71"/>
      <c r="G56" s="1"/>
      <c r="H56" s="1"/>
      <c r="I56" s="119"/>
      <c r="J56" s="271"/>
      <c r="K56" s="1"/>
      <c r="L56" s="188"/>
      <c r="M56" s="272"/>
      <c r="N56" s="187"/>
      <c r="O56" s="1"/>
      <c r="P56" s="1"/>
      <c r="Q56" s="1"/>
      <c r="R56" s="1"/>
      <c r="S56" s="1"/>
      <c r="T56" s="1"/>
      <c r="U56" s="71"/>
      <c r="V56" s="71"/>
      <c r="W56" s="71"/>
      <c r="X56" s="71"/>
      <c r="Y56" s="71"/>
      <c r="Z56" s="71"/>
      <c r="AA56" s="71"/>
      <c r="AB56" s="71"/>
      <c r="AC56" s="71"/>
      <c r="AD56" s="71"/>
      <c r="AE56" s="71"/>
      <c r="AF56" s="71"/>
      <c r="AG56" s="71"/>
    </row>
    <row r="57" customFormat="false" ht="15" hidden="true" customHeight="false" outlineLevel="1" collapsed="false">
      <c r="A57" s="137"/>
      <c r="B57" s="137"/>
      <c r="C57" s="137"/>
      <c r="D57" s="137"/>
      <c r="E57" s="1"/>
      <c r="F57" s="71"/>
      <c r="G57" s="1"/>
      <c r="H57" s="1"/>
      <c r="I57" s="119"/>
      <c r="J57" s="271"/>
      <c r="K57" s="1"/>
      <c r="L57" s="188"/>
      <c r="M57" s="272"/>
      <c r="N57" s="187"/>
      <c r="O57" s="1"/>
      <c r="P57" s="1"/>
      <c r="Q57" s="1"/>
      <c r="R57" s="1"/>
      <c r="S57" s="1"/>
      <c r="T57" s="1"/>
      <c r="U57" s="71"/>
      <c r="V57" s="71"/>
      <c r="W57" s="71"/>
      <c r="X57" s="71"/>
      <c r="Y57" s="71"/>
      <c r="Z57" s="71"/>
      <c r="AA57" s="71"/>
      <c r="AB57" s="71"/>
      <c r="AC57" s="71"/>
      <c r="AD57" s="71"/>
      <c r="AE57" s="71"/>
      <c r="AF57" s="71"/>
      <c r="AG57" s="71"/>
    </row>
    <row r="58" customFormat="false" ht="15" hidden="true" customHeight="false" outlineLevel="1" collapsed="false">
      <c r="A58" s="284" t="s">
        <v>84</v>
      </c>
      <c r="B58" s="285" t="s">
        <v>21</v>
      </c>
      <c r="C58" s="285" t="s">
        <v>20</v>
      </c>
      <c r="D58" s="285" t="s">
        <v>23</v>
      </c>
      <c r="E58" s="285" t="s">
        <v>25</v>
      </c>
      <c r="F58" s="285" t="s">
        <v>26</v>
      </c>
      <c r="G58" s="285" t="s">
        <v>378</v>
      </c>
      <c r="H58" s="285" t="s">
        <v>379</v>
      </c>
      <c r="I58" s="285" t="s">
        <v>380</v>
      </c>
      <c r="J58" s="286" t="s">
        <v>58</v>
      </c>
      <c r="K58" s="287"/>
      <c r="L58" s="288"/>
      <c r="M58" s="289"/>
      <c r="N58" s="187"/>
      <c r="O58" s="1"/>
      <c r="P58" s="1"/>
      <c r="Q58" s="1"/>
      <c r="R58" s="1"/>
      <c r="S58" s="1"/>
      <c r="T58" s="71"/>
      <c r="U58" s="71"/>
      <c r="V58" s="71"/>
      <c r="W58" s="71"/>
      <c r="X58" s="71"/>
      <c r="Y58" s="71"/>
      <c r="Z58" s="71"/>
      <c r="AA58" s="71"/>
      <c r="AB58" s="71"/>
      <c r="AC58" s="71"/>
      <c r="AD58" s="71"/>
      <c r="AE58" s="71"/>
      <c r="AF58" s="71"/>
    </row>
    <row r="59" customFormat="false" ht="15" hidden="true" customHeight="false" outlineLevel="1" collapsed="false">
      <c r="A59" s="187" t="s">
        <v>312</v>
      </c>
      <c r="B59" s="71" t="n">
        <f aca="false">SUMIFS(Horodateur112335381922313437434649525558616469852226343846505854626670747882909894102106114118110122126130134138142146150154158162166170174178182186190194198202206210214410141822263034[Durée (100)],Horodateur112335381922313437434649525558616469852226343846505854626670747882909894102106114118110122126130134138142146150154158162166170174178182186190194198202206210214410141822263034[Tâche],Taches_Jours12243639172029323541444750535659626783202432364448565260646872768088969210010411211610812012412813213614014414815215616016416817217618018418819219620020420821226121620242832[[#Headers],[GB]],Horodateur112335381922313437434649525558616469852226343846505854626670747882909894102106114118110122126130134138142146150154158162166170174178182186190194198202206210214410141822263034[Jour],Taches_Jours12243639172029323541444750535659626783202432364448565260646872768088969210010411211610812012412813213614014414815215616016416817217618018418819219620020420821226121620242832[[#This Row],[Jours]])</f>
        <v>0.999999999999999</v>
      </c>
      <c r="C59" s="71" t="n">
        <f aca="false">SUMIFS(Horodateur112335381922313437434649525558616469852226343846505854626670747882909894102106114118110122126130134138142146150154158162166170174178182186190194198202206210214410141822263034[Durée (100)],Horodateur112335381922313437434649525558616469852226343846505854626670747882909894102106114118110122126130134138142146150154158162166170174178182186190194198202206210214410141822263034[Tâche],Taches_Jours12243639172029323541444750535659626783202432364448565260646872768088969210010411211610812012412813213614014414815215616016416817217618018418819219620020420821226121620242832[[#Headers],[RI]],Horodateur112335381922313437434649525558616469852226343846505854626670747882909894102106114118110122126130134138142146150154158162166170174178182186190194198202206210214410141822263034[Jour],Taches_Jours12243639172029323541444750535659626783202432364448565260646872768088969210010411211610812012412813213614014414815215616016416817217618018418819219620020420821226121620242832[[#This Row],[Jours]])</f>
        <v>0.500000000000001</v>
      </c>
      <c r="D59" s="71" t="n">
        <f aca="false">SUMIFS(Horodateur112335381922313437434649525558616469852226343846505854626670747882909894102106114118110122126130134138142146150154158162166170174178182186190194198202206210214410141822263034[Durée (100)],Horodateur112335381922313437434649525558616469852226343846505854626670747882909894102106114118110122126130134138142146150154158162166170174178182186190194198202206210214410141822263034[Tâche],Taches_Jours12243639172029323541444750535659626783202432364448565260646872768088969210010411211610812012412813213614014414815215616016416817217618018418819219620020420821226121620242832[[#Headers],[FG]],Horodateur112335381922313437434649525558616469852226343846505854626670747882909894102106114118110122126130134138142146150154158162166170174178182186190194198202206210214410141822263034[Jour],Taches_Jours12243639172029323541444750535659626783202432364448565260646872768088969210010411211610812012412813213614014414815215616016416817217618018418819219620020420821226121620242832[[#This Row],[Jours]])</f>
        <v>0</v>
      </c>
      <c r="E59" s="71" t="n">
        <f aca="false">SUMIFS(Horodateur112335381922313437434649525558616469852226343846505854626670747882909894102106114118110122126130134138142146150154158162166170174178182186190194198202206210214410141822263034[Durée (100)],Horodateur112335381922313437434649525558616469852226343846505854626670747882909894102106114118110122126130134138142146150154158162166170174178182186190194198202206210214410141822263034[Tâche],Taches_Jours12243639172029323541444750535659626783202432364448565260646872768088969210010411211610812012412813213614014414815215616016416817217618018418819219620020420821226121620242832[[#Headers],[PS]],Horodateur112335381922313437434649525558616469852226343846505854626670747882909894102106114118110122126130134138142146150154158162166170174178182186190194198202206210214410141822263034[Jour],Taches_Jours12243639172029323541444750535659626783202432364448565260646872768088969210010411211610812012412813213614014414815215616016416817217618018418819219620020420821226121620242832[[#This Row],[Jours]])</f>
        <v>0</v>
      </c>
      <c r="F59" s="71" t="n">
        <f aca="false">SUMIFS(Horodateur112335381922313437434649525558616469852226343846505854626670747882909894102106114118110122126130134138142146150154158162166170174178182186190194198202206210214410141822263034[Durée (100)],Horodateur112335381922313437434649525558616469852226343846505854626670747882909894102106114118110122126130134138142146150154158162166170174178182186190194198202206210214410141822263034[Tâche],Taches_Jours12243639172029323541444750535659626783202432364448565260646872768088969210010411211610812012412813213614014414815215616016416817217618018418819219620020420821226121620242832[[#Headers],[TD]],Horodateur112335381922313437434649525558616469852226343846505854626670747882909894102106114118110122126130134138142146150154158162166170174178182186190194198202206210214410141822263034[Jour],Taches_Jours12243639172029323541444750535659626783202432364448565260646872768088969210010411211610812012412813213614014414815215616016416817217618018418819219620020420821226121620242832[[#This Row],[Jours]])</f>
        <v>0</v>
      </c>
      <c r="G59" s="71" t="n">
        <f aca="false">SUMIFS(Horodateur112335381922313437434649525558616469852226343846505854626670747882909894102106114118110122126130134138142146150154158162166170174178182186190194198202206210214410141822263034[Durée (100)],Horodateur112335381922313437434649525558616469852226343846505854626670747882909894102106114118110122126130134138142146150154158162166170174178182186190194198202206210214410141822263034[Tâche],Taches_Jours12243639172029323541444750535659626783202432364448565260646872768088969210010411211610812012412813213614014414815215616016416817217618018418819219620020420821226121620242832[[#Headers],[GP]],Horodateur112335381922313437434649525558616469852226343846505854626670747882909894102106114118110122126130134138142146150154158162166170174178182186190194198202206210214410141822263034[Jour],Taches_Jours12243639172029323541444750535659626783202432364448565260646872768088969210010411211610812012412813213614014414815215616016416817217618018418819219620020420821226121620242832[[#This Row],[Jours]])</f>
        <v>1.5</v>
      </c>
      <c r="H59" s="71" t="n">
        <f aca="false">SUMIFS(Horodateur112335381922313437434649525558616469852226343846505854626670747882909894102106114118110122126130134138142146150154158162166170174178182186190194198202206210214410141822263034[Durée (100)],Horodateur112335381922313437434649525558616469852226343846505854626670747882909894102106114118110122126130134138142146150154158162166170174178182186190194198202206210214410141822263034[Tâche],Taches_Jours12243639172029323541444750535659626783202432364448565260646872768088969210010411211610812012412813213614014414815215616016416817217618018418819219620020420821226121620242832[[#Headers],[GP / SP]],Horodateur112335381922313437434649525558616469852226343846505854626670747882909894102106114118110122126130134138142146150154158162166170174178182186190194198202206210214410141822263034[Jour],Taches_Jours12243639172029323541444750535659626783202432364448565260646872768088969210010411211610812012412813213614014414815215616016416817217618018418819219620020420821226121620242832[[#This Row],[Jours]])</f>
        <v>1.25</v>
      </c>
      <c r="I59" s="71" t="n">
        <f aca="false">SUMIFS(Horodateur112335381922313437434649525558616469852226343846505854626670747882909894102106114118110122126130134138142146150154158162166170174178182186190194198202206210214410141822263034[Durée (100)],Horodateur112335381922313437434649525558616469852226343846505854626670747882909894102106114118110122126130134138142146150154158162166170174178182186190194198202206210214410141822263034[Tâche],Taches_Jours12243639172029323541444750535659626783202432364448565260646872768088969210010411211610812012412813213614014414815215616016416817217618018418819219620020420821226121620242832[[#Headers],[GP / SP]],Horodateur112335381922313437434649525558616469852226343846505854626670747882909894102106114118110122126130134138142146150154158162166170174178182186190194198202206210214410141822263034[Jour],Taches_Jours12243639172029323541444750535659626783202432364448565260646872768088969210010411211610812012412813213614014414815215616016416817217618018418819219620020420821226121620242832[[#This Row],[Jours]])</f>
        <v>1.25</v>
      </c>
      <c r="J59" s="290" t="n">
        <f aca="false">SUM(Taches_Jours12243639172029323541444750535659626783202432364448565260646872768088969210010411211610812012412813213614014414815215616016416817217618018418819219620020420821226121620242832[[#This Row],[GB]:[GP / SP]])</f>
        <v>4.25</v>
      </c>
      <c r="K59" s="188"/>
      <c r="L59" s="288"/>
      <c r="M59" s="289"/>
      <c r="N59" s="187"/>
      <c r="O59" s="1"/>
      <c r="P59" s="1"/>
      <c r="Q59" s="1"/>
      <c r="R59" s="1"/>
      <c r="S59" s="1"/>
      <c r="T59" s="71"/>
      <c r="U59" s="71"/>
      <c r="V59" s="71"/>
      <c r="W59" s="71"/>
      <c r="X59" s="71"/>
      <c r="Y59" s="71"/>
      <c r="Z59" s="71"/>
      <c r="AA59" s="71"/>
      <c r="AB59" s="71"/>
      <c r="AC59" s="71"/>
      <c r="AD59" s="71"/>
      <c r="AE59" s="71"/>
      <c r="AF59" s="71"/>
    </row>
    <row r="60" customFormat="false" ht="15" hidden="true" customHeight="false" outlineLevel="1" collapsed="false">
      <c r="A60" s="187" t="s">
        <v>319</v>
      </c>
      <c r="B60" s="71" t="n">
        <f aca="false">SUMIFS(Horodateur112335381922313437434649525558616469852226343846505854626670747882909894102106114118110122126130134138142146150154158162166170174178182186190194198202206210214410141822263034[Durée (100)],Horodateur112335381922313437434649525558616469852226343846505854626670747882909894102106114118110122126130134138142146150154158162166170174178182186190194198202206210214410141822263034[Tâche],Taches_Jours12243639172029323541444750535659626783202432364448565260646872768088969210010411211610812012412813213614014414815215616016416817217618018418819219620020420821226121620242832[[#Headers],[GB]],Horodateur112335381922313437434649525558616469852226343846505854626670747882909894102106114118110122126130134138142146150154158162166170174178182186190194198202206210214410141822263034[Jour],Taches_Jours12243639172029323541444750535659626783202432364448565260646872768088969210010411211610812012412813213614014414815215616016416817217618018418819219620020420821226121620242832[[#This Row],[Jours]])</f>
        <v>1</v>
      </c>
      <c r="C60" s="71" t="n">
        <f aca="false">SUMIFS(Horodateur112335381922313437434649525558616469852226343846505854626670747882909894102106114118110122126130134138142146150154158162166170174178182186190194198202206210214410141822263034[Durée (100)],Horodateur112335381922313437434649525558616469852226343846505854626670747882909894102106114118110122126130134138142146150154158162166170174178182186190194198202206210214410141822263034[Tâche],Taches_Jours12243639172029323541444750535659626783202432364448565260646872768088969210010411211610812012412813213614014414815215616016416817217618018418819219620020420821226121620242832[[#Headers],[RI]],Horodateur112335381922313437434649525558616469852226343846505854626670747882909894102106114118110122126130134138142146150154158162166170174178182186190194198202206210214410141822263034[Jour],Taches_Jours12243639172029323541444750535659626783202432364448565260646872768088969210010411211610812012412813213614014414815215616016416817217618018418819219620020420821226121620242832[[#This Row],[Jours]])</f>
        <v>0</v>
      </c>
      <c r="D60" s="71" t="n">
        <f aca="false">SUMIFS(Horodateur112335381922313437434649525558616469852226343846505854626670747882909894102106114118110122126130134138142146150154158162166170174178182186190194198202206210214410141822263034[Durée (100)],Horodateur112335381922313437434649525558616469852226343846505854626670747882909894102106114118110122126130134138142146150154158162166170174178182186190194198202206210214410141822263034[Tâche],Taches_Jours12243639172029323541444750535659626783202432364448565260646872768088969210010411211610812012412813213614014414815215616016416817217618018418819219620020420821226121620242832[[#Headers],[FG]],Horodateur112335381922313437434649525558616469852226343846505854626670747882909894102106114118110122126130134138142146150154158162166170174178182186190194198202206210214410141822263034[Jour],Taches_Jours12243639172029323541444750535659626783202432364448565260646872768088969210010411211610812012412813213614014414815215616016416817217618018418819219620020420821226121620242832[[#This Row],[Jours]])</f>
        <v>0</v>
      </c>
      <c r="E60" s="71" t="n">
        <f aca="false">SUMIFS(Horodateur112335381922313437434649525558616469852226343846505854626670747882909894102106114118110122126130134138142146150154158162166170174178182186190194198202206210214410141822263034[Durée (100)],Horodateur112335381922313437434649525558616469852226343846505854626670747882909894102106114118110122126130134138142146150154158162166170174178182186190194198202206210214410141822263034[Tâche],Taches_Jours12243639172029323541444750535659626783202432364448565260646872768088969210010411211610812012412813213614014414815215616016416817217618018418819219620020420821226121620242832[[#Headers],[PS]],Horodateur112335381922313437434649525558616469852226343846505854626670747882909894102106114118110122126130134138142146150154158162166170174178182186190194198202206210214410141822263034[Jour],Taches_Jours12243639172029323541444750535659626783202432364448565260646872768088969210010411211610812012412813213614014414815215616016416817217618018418819219620020420821226121620242832[[#This Row],[Jours]])</f>
        <v>0</v>
      </c>
      <c r="F60" s="71" t="n">
        <f aca="false">SUMIFS(Horodateur112335381922313437434649525558616469852226343846505854626670747882909894102106114118110122126130134138142146150154158162166170174178182186190194198202206210214410141822263034[Durée (100)],Horodateur112335381922313437434649525558616469852226343846505854626670747882909894102106114118110122126130134138142146150154158162166170174178182186190194198202206210214410141822263034[Tâche],Taches_Jours12243639172029323541444750535659626783202432364448565260646872768088969210010411211610812012412813213614014414815215616016416817217618018418819219620020420821226121620242832[[#Headers],[TD]],Horodateur112335381922313437434649525558616469852226343846505854626670747882909894102106114118110122126130134138142146150154158162166170174178182186190194198202206210214410141822263034[Jour],Taches_Jours12243639172029323541444750535659626783202432364448565260646872768088969210010411211610812012412813213614014414815215616016416817217618018418819219620020420821226121620242832[[#This Row],[Jours]])</f>
        <v>0</v>
      </c>
      <c r="G60" s="71" t="n">
        <f aca="false">SUMIFS(Horodateur112335381922313437434649525558616469852226343846505854626670747882909894102106114118110122126130134138142146150154158162166170174178182186190194198202206210214410141822263034[Durée (100)],Horodateur112335381922313437434649525558616469852226343846505854626670747882909894102106114118110122126130134138142146150154158162166170174178182186190194198202206210214410141822263034[Tâche],Taches_Jours12243639172029323541444750535659626783202432364448565260646872768088969210010411211610812012412813213614014414815215616016416817217618018418819219620020420821226121620242832[[#Headers],[GP]],Horodateur112335381922313437434649525558616469852226343846505854626670747882909894102106114118110122126130134138142146150154158162166170174178182186190194198202206210214410141822263034[Jour],Taches_Jours12243639172029323541444750535659626783202432364448565260646872768088969210010411211610812012412813213614014414815215616016416817217618018418819219620020420821226121620242832[[#This Row],[Jours]])</f>
        <v>6</v>
      </c>
      <c r="H60" s="71" t="n">
        <f aca="false">SUMIFS(Horodateur112335381922313437434649525558616469852226343846505854626670747882909894102106114118110122126130134138142146150154158162166170174178182186190194198202206210214410141822263034[Durée (100)],Horodateur112335381922313437434649525558616469852226343846505854626670747882909894102106114118110122126130134138142146150154158162166170174178182186190194198202206210214410141822263034[Tâche],Taches_Jours12243639172029323541444750535659626783202432364448565260646872768088969210010411211610812012412813213614014414815215616016416817217618018418819219620020420821226121620242832[[#Headers],[GP / SP]],Horodateur112335381922313437434649525558616469852226343846505854626670747882909894102106114118110122126130134138142146150154158162166170174178182186190194198202206210214410141822263034[Jour],Taches_Jours12243639172029323541444750535659626783202432364448565260646872768088969210010411211610812012412813213614014414815215616016416817217618018418819219620020420821226121620242832[[#This Row],[Jours]])</f>
        <v>0</v>
      </c>
      <c r="I60" s="71" t="n">
        <f aca="false">SUMIFS(Horodateur112335381922313437434649525558616469852226343846505854626670747882909894102106114118110122126130134138142146150154158162166170174178182186190194198202206210214410141822263034[Durée (100)],Horodateur112335381922313437434649525558616469852226343846505854626670747882909894102106114118110122126130134138142146150154158162166170174178182186190194198202206210214410141822263034[Tâche],Taches_Jours12243639172029323541444750535659626783202432364448565260646872768088969210010411211610812012412813213614014414815215616016416817217618018418819219620020420821226121620242832[[#Headers],[GP / SP]],Horodateur112335381922313437434649525558616469852226343846505854626670747882909894102106114118110122126130134138142146150154158162166170174178182186190194198202206210214410141822263034[Jour],Taches_Jours12243639172029323541444750535659626783202432364448565260646872768088969210010411211610812012412813213614014414815215616016416817217618018418819219620020420821226121620242832[[#This Row],[Jours]])</f>
        <v>0</v>
      </c>
      <c r="J60" s="290" t="n">
        <f aca="false">SUM(Taches_Jours12243639172029323541444750535659626783202432364448565260646872768088969210010411211610812012412813213614014414815215616016416817217618018418819219620020420821226121620242832[[#This Row],[GB]:[GP / SP]])</f>
        <v>7</v>
      </c>
      <c r="K60" s="188"/>
      <c r="L60" s="288"/>
      <c r="M60" s="289"/>
      <c r="N60" s="187"/>
      <c r="O60" s="1"/>
      <c r="P60" s="1"/>
      <c r="Q60" s="1"/>
      <c r="R60" s="1"/>
      <c r="S60" s="1"/>
      <c r="T60" s="71"/>
      <c r="U60" s="71"/>
      <c r="V60" s="71"/>
      <c r="W60" s="71"/>
      <c r="X60" s="71"/>
      <c r="Y60" s="71"/>
      <c r="Z60" s="71"/>
      <c r="AA60" s="71"/>
      <c r="AB60" s="71"/>
      <c r="AC60" s="71"/>
      <c r="AD60" s="71"/>
      <c r="AE60" s="71"/>
      <c r="AF60" s="71"/>
    </row>
    <row r="61" customFormat="false" ht="15" hidden="true" customHeight="false" outlineLevel="1" collapsed="false">
      <c r="A61" s="187" t="s">
        <v>324</v>
      </c>
      <c r="B61" s="71" t="n">
        <f aca="false">SUMIFS(Horodateur112335381922313437434649525558616469852226343846505854626670747882909894102106114118110122126130134138142146150154158162166170174178182186190194198202206210214410141822263034[Durée (100)],Horodateur112335381922313437434649525558616469852226343846505854626670747882909894102106114118110122126130134138142146150154158162166170174178182186190194198202206210214410141822263034[Tâche],Taches_Jours12243639172029323541444750535659626783202432364448565260646872768088969210010411211610812012412813213614014414815215616016416817217618018418819219620020420821226121620242832[[#Headers],[GB]],Horodateur112335381922313437434649525558616469852226343846505854626670747882909894102106114118110122126130134138142146150154158162166170174178182186190194198202206210214410141822263034[Jour],Taches_Jours12243639172029323541444750535659626783202432364448565260646872768088969210010411211610812012412813213614014414815215616016416817217618018418819219620020420821226121620242832[[#This Row],[Jours]])</f>
        <v>0</v>
      </c>
      <c r="C61" s="71" t="n">
        <f aca="false">SUMIFS(Horodateur112335381922313437434649525558616469852226343846505854626670747882909894102106114118110122126130134138142146150154158162166170174178182186190194198202206210214410141822263034[Durée (100)],Horodateur112335381922313437434649525558616469852226343846505854626670747882909894102106114118110122126130134138142146150154158162166170174178182186190194198202206210214410141822263034[Tâche],Taches_Jours12243639172029323541444750535659626783202432364448565260646872768088969210010411211610812012412813213614014414815215616016416817217618018418819219620020420821226121620242832[[#Headers],[RI]],Horodateur112335381922313437434649525558616469852226343846505854626670747882909894102106114118110122126130134138142146150154158162166170174178182186190194198202206210214410141822263034[Jour],Taches_Jours12243639172029323541444750535659626783202432364448565260646872768088969210010411211610812012412813213614014414815215616016416817217618018418819219620020420821226121620242832[[#This Row],[Jours]])</f>
        <v>0</v>
      </c>
      <c r="D61" s="71" t="n">
        <f aca="false">SUMIFS(Horodateur112335381922313437434649525558616469852226343846505854626670747882909894102106114118110122126130134138142146150154158162166170174178182186190194198202206210214410141822263034[Durée (100)],Horodateur112335381922313437434649525558616469852226343846505854626670747882909894102106114118110122126130134138142146150154158162166170174178182186190194198202206210214410141822263034[Tâche],Taches_Jours12243639172029323541444750535659626783202432364448565260646872768088969210010411211610812012412813213614014414815215616016416817217618018418819219620020420821226121620242832[[#Headers],[FG]],Horodateur112335381922313437434649525558616469852226343846505854626670747882909894102106114118110122126130134138142146150154158162166170174178182186190194198202206210214410141822263034[Jour],Taches_Jours12243639172029323541444750535659626783202432364448565260646872768088969210010411211610812012412813213614014414815215616016416817217618018418819219620020420821226121620242832[[#This Row],[Jours]])</f>
        <v>2</v>
      </c>
      <c r="E61" s="71" t="n">
        <f aca="false">SUMIFS(Horodateur112335381922313437434649525558616469852226343846505854626670747882909894102106114118110122126130134138142146150154158162166170174178182186190194198202206210214410141822263034[Durée (100)],Horodateur112335381922313437434649525558616469852226343846505854626670747882909894102106114118110122126130134138142146150154158162166170174178182186190194198202206210214410141822263034[Tâche],Taches_Jours12243639172029323541444750535659626783202432364448565260646872768088969210010411211610812012412813213614014414815215616016416817217618018418819219620020420821226121620242832[[#Headers],[PS]],Horodateur112335381922313437434649525558616469852226343846505854626670747882909894102106114118110122126130134138142146150154158162166170174178182186190194198202206210214410141822263034[Jour],Taches_Jours12243639172029323541444750535659626783202432364448565260646872768088969210010411211610812012412813213614014414815215616016416817217618018418819219620020420821226121620242832[[#This Row],[Jours]])</f>
        <v>0</v>
      </c>
      <c r="F61" s="71" t="n">
        <f aca="false">SUMIFS(Horodateur112335381922313437434649525558616469852226343846505854626670747882909894102106114118110122126130134138142146150154158162166170174178182186190194198202206210214410141822263034[Durée (100)],Horodateur112335381922313437434649525558616469852226343846505854626670747882909894102106114118110122126130134138142146150154158162166170174178182186190194198202206210214410141822263034[Tâche],Taches_Jours12243639172029323541444750535659626783202432364448565260646872768088969210010411211610812012412813213614014414815215616016416817217618018418819219620020420821226121620242832[[#Headers],[TD]],Horodateur112335381922313437434649525558616469852226343846505854626670747882909894102106114118110122126130134138142146150154158162166170174178182186190194198202206210214410141822263034[Jour],Taches_Jours12243639172029323541444750535659626783202432364448565260646872768088969210010411211610812012412813213614014414815215616016416817217618018418819219620020420821226121620242832[[#This Row],[Jours]])</f>
        <v>0</v>
      </c>
      <c r="G61" s="71" t="n">
        <f aca="false">SUMIFS(Horodateur112335381922313437434649525558616469852226343846505854626670747882909894102106114118110122126130134138142146150154158162166170174178182186190194198202206210214410141822263034[Durée (100)],Horodateur112335381922313437434649525558616469852226343846505854626670747882909894102106114118110122126130134138142146150154158162166170174178182186190194198202206210214410141822263034[Tâche],Taches_Jours12243639172029323541444750535659626783202432364448565260646872768088969210010411211610812012412813213614014414815215616016416817217618018418819219620020420821226121620242832[[#Headers],[GP]],Horodateur112335381922313437434649525558616469852226343846505854626670747882909894102106114118110122126130134138142146150154158162166170174178182186190194198202206210214410141822263034[Jour],Taches_Jours12243639172029323541444750535659626783202432364448565260646872768088969210010411211610812012412813213614014414815215616016416817217618018418819219620020420821226121620242832[[#This Row],[Jours]])</f>
        <v>5</v>
      </c>
      <c r="H61" s="71" t="n">
        <f aca="false">SUMIFS(Horodateur112335381922313437434649525558616469852226343846505854626670747882909894102106114118110122126130134138142146150154158162166170174178182186190194198202206210214410141822263034[Durée (100)],Horodateur112335381922313437434649525558616469852226343846505854626670747882909894102106114118110122126130134138142146150154158162166170174178182186190194198202206210214410141822263034[Tâche],Taches_Jours12243639172029323541444750535659626783202432364448565260646872768088969210010411211610812012412813213614014414815215616016416817217618018418819219620020420821226121620242832[[#Headers],[GP / SP]],Horodateur112335381922313437434649525558616469852226343846505854626670747882909894102106114118110122126130134138142146150154158162166170174178182186190194198202206210214410141822263034[Jour],Taches_Jours12243639172029323541444750535659626783202432364448565260646872768088969210010411211610812012412813213614014414815215616016416817217618018418819219620020420821226121620242832[[#This Row],[Jours]])</f>
        <v>0</v>
      </c>
      <c r="I61" s="71" t="n">
        <f aca="false">SUMIFS(Horodateur112335381922313437434649525558616469852226343846505854626670747882909894102106114118110122126130134138142146150154158162166170174178182186190194198202206210214410141822263034[Durée (100)],Horodateur112335381922313437434649525558616469852226343846505854626670747882909894102106114118110122126130134138142146150154158162166170174178182186190194198202206210214410141822263034[Tâche],Taches_Jours12243639172029323541444750535659626783202432364448565260646872768088969210010411211610812012412813213614014414815215616016416817217618018418819219620020420821226121620242832[[#Headers],[GP / SP]],Horodateur112335381922313437434649525558616469852226343846505854626670747882909894102106114118110122126130134138142146150154158162166170174178182186190194198202206210214410141822263034[Jour],Taches_Jours12243639172029323541444750535659626783202432364448565260646872768088969210010411211610812012412813213614014414815215616016416817217618018418819219620020420821226121620242832[[#This Row],[Jours]])</f>
        <v>0</v>
      </c>
      <c r="J61" s="290" t="n">
        <f aca="false">SUM(Taches_Jours12243639172029323541444750535659626783202432364448565260646872768088969210010411211610812012412813213614014414815215616016416817217618018418819219620020420821226121620242832[[#This Row],[GB]:[GP / SP]])</f>
        <v>7</v>
      </c>
      <c r="K61" s="188"/>
      <c r="L61" s="288"/>
      <c r="M61" s="289"/>
      <c r="N61" s="187"/>
      <c r="O61" s="1"/>
      <c r="P61" s="1"/>
      <c r="Q61" s="1"/>
      <c r="R61" s="1"/>
      <c r="S61" s="1"/>
      <c r="T61" s="71"/>
      <c r="U61" s="71"/>
      <c r="V61" s="71"/>
      <c r="W61" s="71"/>
      <c r="X61" s="71"/>
      <c r="Y61" s="71"/>
      <c r="Z61" s="71"/>
      <c r="AA61" s="71"/>
      <c r="AB61" s="71"/>
      <c r="AC61" s="71"/>
      <c r="AD61" s="71"/>
      <c r="AE61" s="71"/>
      <c r="AF61" s="71"/>
    </row>
    <row r="62" customFormat="false" ht="15" hidden="true" customHeight="false" outlineLevel="1" collapsed="false">
      <c r="A62" s="187" t="s">
        <v>332</v>
      </c>
      <c r="B62" s="71" t="n">
        <f aca="false">SUMIFS(Horodateur112335381922313437434649525558616469852226343846505854626670747882909894102106114118110122126130134138142146150154158162166170174178182186190194198202206210214410141822263034[Durée (100)],Horodateur112335381922313437434649525558616469852226343846505854626670747882909894102106114118110122126130134138142146150154158162166170174178182186190194198202206210214410141822263034[Tâche],Taches_Jours12243639172029323541444750535659626783202432364448565260646872768088969210010411211610812012412813213614014414815215616016416817217618018418819219620020420821226121620242832[[#Headers],[GB]],Horodateur112335381922313437434649525558616469852226343846505854626670747882909894102106114118110122126130134138142146150154158162166170174178182186190194198202206210214410141822263034[Jour],Taches_Jours12243639172029323541444750535659626783202432364448565260646872768088969210010411211610812012412813213614014414815215616016416817217618018418819219620020420821226121620242832[[#This Row],[Jours]])</f>
        <v>0</v>
      </c>
      <c r="C62" s="71" t="n">
        <f aca="false">SUMIFS(Horodateur112335381922313437434649525558616469852226343846505854626670747882909894102106114118110122126130134138142146150154158162166170174178182186190194198202206210214410141822263034[Durée (100)],Horodateur112335381922313437434649525558616469852226343846505854626670747882909894102106114118110122126130134138142146150154158162166170174178182186190194198202206210214410141822263034[Tâche],Taches_Jours12243639172029323541444750535659626783202432364448565260646872768088969210010411211610812012412813213614014414815215616016416817217618018418819219620020420821226121620242832[[#Headers],[RI]],Horodateur112335381922313437434649525558616469852226343846505854626670747882909894102106114118110122126130134138142146150154158162166170174178182186190194198202206210214410141822263034[Jour],Taches_Jours12243639172029323541444750535659626783202432364448565260646872768088969210010411211610812012412813213614014414815215616016416817217618018418819219620020420821226121620242832[[#This Row],[Jours]])</f>
        <v>0</v>
      </c>
      <c r="D62" s="71" t="n">
        <f aca="false">SUMIFS(Horodateur112335381922313437434649525558616469852226343846505854626670747882909894102106114118110122126130134138142146150154158162166170174178182186190194198202206210214410141822263034[Durée (100)],Horodateur112335381922313437434649525558616469852226343846505854626670747882909894102106114118110122126130134138142146150154158162166170174178182186190194198202206210214410141822263034[Tâche],Taches_Jours12243639172029323541444750535659626783202432364448565260646872768088969210010411211610812012412813213614014414815215616016416817217618018418819219620020420821226121620242832[[#Headers],[FG]],Horodateur112335381922313437434649525558616469852226343846505854626670747882909894102106114118110122126130134138142146150154158162166170174178182186190194198202206210214410141822263034[Jour],Taches_Jours12243639172029323541444750535659626783202432364448565260646872768088969210010411211610812012412813213614014414815215616016416817217618018418819219620020420821226121620242832[[#This Row],[Jours]])</f>
        <v>0</v>
      </c>
      <c r="E62" s="71" t="n">
        <f aca="false">SUMIFS(Horodateur112335381922313437434649525558616469852226343846505854626670747882909894102106114118110122126130134138142146150154158162166170174178182186190194198202206210214410141822263034[Durée (100)],Horodateur112335381922313437434649525558616469852226343846505854626670747882909894102106114118110122126130134138142146150154158162166170174178182186190194198202206210214410141822263034[Tâche],Taches_Jours12243639172029323541444750535659626783202432364448565260646872768088969210010411211610812012412813213614014414815215616016416817217618018418819219620020420821226121620242832[[#Headers],[PS]],Horodateur112335381922313437434649525558616469852226343846505854626670747882909894102106114118110122126130134138142146150154158162166170174178182186190194198202206210214410141822263034[Jour],Taches_Jours12243639172029323541444750535659626783202432364448565260646872768088969210010411211610812012412813213614014414815215616016416817217618018418819219620020420821226121620242832[[#This Row],[Jours]])</f>
        <v>0</v>
      </c>
      <c r="F62" s="71" t="n">
        <f aca="false">SUMIFS(Horodateur112335381922313437434649525558616469852226343846505854626670747882909894102106114118110122126130134138142146150154158162166170174178182186190194198202206210214410141822263034[Durée (100)],Horodateur112335381922313437434649525558616469852226343846505854626670747882909894102106114118110122126130134138142146150154158162166170174178182186190194198202206210214410141822263034[Tâche],Taches_Jours12243639172029323541444750535659626783202432364448565260646872768088969210010411211610812012412813213614014414815215616016416817217618018418819219620020420821226121620242832[[#Headers],[TD]],Horodateur112335381922313437434649525558616469852226343846505854626670747882909894102106114118110122126130134138142146150154158162166170174178182186190194198202206210214410141822263034[Jour],Taches_Jours12243639172029323541444750535659626783202432364448565260646872768088969210010411211610812012412813213614014414815215616016416817217618018418819219620020420821226121620242832[[#This Row],[Jours]])</f>
        <v>0</v>
      </c>
      <c r="G62" s="71" t="n">
        <f aca="false">SUMIFS(Horodateur112335381922313437434649525558616469852226343846505854626670747882909894102106114118110122126130134138142146150154158162166170174178182186190194198202206210214410141822263034[Durée (100)],Horodateur112335381922313437434649525558616469852226343846505854626670747882909894102106114118110122126130134138142146150154158162166170174178182186190194198202206210214410141822263034[Tâche],Taches_Jours12243639172029323541444750535659626783202432364448565260646872768088969210010411211610812012412813213614014414815215616016416817217618018418819219620020420821226121620242832[[#Headers],[GP]],Horodateur112335381922313437434649525558616469852226343846505854626670747882909894102106114118110122126130134138142146150154158162166170174178182186190194198202206210214410141822263034[Jour],Taches_Jours12243639172029323541444750535659626783202432364448565260646872768088969210010411211610812012412813213614014414815215616016416817217618018418819219620020420821226121620242832[[#This Row],[Jours]])</f>
        <v>5.5</v>
      </c>
      <c r="H62" s="71" t="n">
        <f aca="false">SUMIFS(Horodateur112335381922313437434649525558616469852226343846505854626670747882909894102106114118110122126130134138142146150154158162166170174178182186190194198202206210214410141822263034[Durée (100)],Horodateur112335381922313437434649525558616469852226343846505854626670747882909894102106114118110122126130134138142146150154158162166170174178182186190194198202206210214410141822263034[Tâche],Taches_Jours12243639172029323541444750535659626783202432364448565260646872768088969210010411211610812012412813213614014414815215616016416817217618018418819219620020420821226121620242832[[#Headers],[GP / SP]],Horodateur112335381922313437434649525558616469852226343846505854626670747882909894102106114118110122126130134138142146150154158162166170174178182186190194198202206210214410141822263034[Jour],Taches_Jours12243639172029323541444750535659626783202432364448565260646872768088969210010411211610812012412813213614014414815215616016416817217618018418819219620020420821226121620242832[[#This Row],[Jours]])</f>
        <v>0</v>
      </c>
      <c r="I62" s="71" t="n">
        <f aca="false">SUMIFS(Horodateur112335381922313437434649525558616469852226343846505854626670747882909894102106114118110122126130134138142146150154158162166170174178182186190194198202206210214410141822263034[Durée (100)],Horodateur112335381922313437434649525558616469852226343846505854626670747882909894102106114118110122126130134138142146150154158162166170174178182186190194198202206210214410141822263034[Tâche],Taches_Jours12243639172029323541444750535659626783202432364448565260646872768088969210010411211610812012412813213614014414815215616016416817217618018418819219620020420821226121620242832[[#Headers],[GP / SP]],Horodateur112335381922313437434649525558616469852226343846505854626670747882909894102106114118110122126130134138142146150154158162166170174178182186190194198202206210214410141822263034[Jour],Taches_Jours12243639172029323541444750535659626783202432364448565260646872768088969210010411211610812012412813213614014414815215616016416817217618018418819219620020420821226121620242832[[#This Row],[Jours]])</f>
        <v>0</v>
      </c>
      <c r="J62" s="290" t="n">
        <f aca="false">SUM(Taches_Jours12243639172029323541444750535659626783202432364448565260646872768088969210010411211610812012412813213614014414815215616016416817217618018418819219620020420821226121620242832[[#This Row],[GB]:[GP / SP]])</f>
        <v>5.5</v>
      </c>
      <c r="K62" s="188"/>
      <c r="L62" s="288"/>
      <c r="M62" s="289"/>
      <c r="N62" s="187"/>
      <c r="O62" s="71"/>
      <c r="P62" s="71"/>
      <c r="Q62" s="71"/>
      <c r="R62" s="71"/>
      <c r="S62" s="71"/>
      <c r="T62" s="71"/>
      <c r="U62" s="71"/>
      <c r="V62" s="71"/>
      <c r="W62" s="71"/>
      <c r="X62" s="71"/>
      <c r="Y62" s="71"/>
      <c r="Z62" s="71"/>
      <c r="AA62" s="71"/>
      <c r="AB62" s="71"/>
      <c r="AC62" s="71"/>
      <c r="AD62" s="71"/>
      <c r="AE62" s="71"/>
      <c r="AF62" s="71"/>
    </row>
    <row r="63" customFormat="false" ht="15" hidden="true" customHeight="false" outlineLevel="1" collapsed="false">
      <c r="A63" s="187" t="s">
        <v>335</v>
      </c>
      <c r="B63" s="71" t="n">
        <f aca="false">SUMIFS(Horodateur112335381922313437434649525558616469852226343846505854626670747882909894102106114118110122126130134138142146150154158162166170174178182186190194198202206210214410141822263034[Durée (100)],Horodateur112335381922313437434649525558616469852226343846505854626670747882909894102106114118110122126130134138142146150154158162166170174178182186190194198202206210214410141822263034[Tâche],Taches_Jours12243639172029323541444750535659626783202432364448565260646872768088969210010411211610812012412813213614014414815215616016416817217618018418819219620020420821226121620242832[[#Headers],[GB]],Horodateur112335381922313437434649525558616469852226343846505854626670747882909894102106114118110122126130134138142146150154158162166170174178182186190194198202206210214410141822263034[Jour],Taches_Jours12243639172029323541444750535659626783202432364448565260646872768088969210010411211610812012412813213614014414815215616016416817217618018418819219620020420821226121620242832[[#This Row],[Jours]])</f>
        <v>0</v>
      </c>
      <c r="C63" s="71" t="n">
        <f aca="false">SUMIFS(Horodateur112335381922313437434649525558616469852226343846505854626670747882909894102106114118110122126130134138142146150154158162166170174178182186190194198202206210214410141822263034[Durée (100)],Horodateur112335381922313437434649525558616469852226343846505854626670747882909894102106114118110122126130134138142146150154158162166170174178182186190194198202206210214410141822263034[Tâche],Taches_Jours12243639172029323541444750535659626783202432364448565260646872768088969210010411211610812012412813213614014414815215616016416817217618018418819219620020420821226121620242832[[#Headers],[RI]],Horodateur112335381922313437434649525558616469852226343846505854626670747882909894102106114118110122126130134138142146150154158162166170174178182186190194198202206210214410141822263034[Jour],Taches_Jours12243639172029323541444750535659626783202432364448565260646872768088969210010411211610812012412813213614014414815215616016416817217618018418819219620020420821226121620242832[[#This Row],[Jours]])</f>
        <v>0</v>
      </c>
      <c r="D63" s="71" t="n">
        <f aca="false">SUMIFS(Horodateur112335381922313437434649525558616469852226343846505854626670747882909894102106114118110122126130134138142146150154158162166170174178182186190194198202206210214410141822263034[Durée (100)],Horodateur112335381922313437434649525558616469852226343846505854626670747882909894102106114118110122126130134138142146150154158162166170174178182186190194198202206210214410141822263034[Tâche],Taches_Jours12243639172029323541444750535659626783202432364448565260646872768088969210010411211610812012412813213614014414815215616016416817217618018418819219620020420821226121620242832[[#Headers],[FG]],Horodateur112335381922313437434649525558616469852226343846505854626670747882909894102106114118110122126130134138142146150154158162166170174178182186190194198202206210214410141822263034[Jour],Taches_Jours12243639172029323541444750535659626783202432364448565260646872768088969210010411211610812012412813213614014414815215616016416817217618018418819219620020420821226121620242832[[#This Row],[Jours]])</f>
        <v>1</v>
      </c>
      <c r="E63" s="71" t="n">
        <f aca="false">SUMIFS(Horodateur112335381922313437434649525558616469852226343846505854626670747882909894102106114118110122126130134138142146150154158162166170174178182186190194198202206210214410141822263034[Durée (100)],Horodateur112335381922313437434649525558616469852226343846505854626670747882909894102106114118110122126130134138142146150154158162166170174178182186190194198202206210214410141822263034[Tâche],Taches_Jours12243639172029323541444750535659626783202432364448565260646872768088969210010411211610812012412813213614014414815215616016416817217618018418819219620020420821226121620242832[[#Headers],[PS]],Horodateur112335381922313437434649525558616469852226343846505854626670747882909894102106114118110122126130134138142146150154158162166170174178182186190194198202206210214410141822263034[Jour],Taches_Jours12243639172029323541444750535659626783202432364448565260646872768088969210010411211610812012412813213614014414815215616016416817217618018418819219620020420821226121620242832[[#This Row],[Jours]])</f>
        <v>0</v>
      </c>
      <c r="F63" s="71" t="n">
        <f aca="false">SUMIFS(Horodateur112335381922313437434649525558616469852226343846505854626670747882909894102106114118110122126130134138142146150154158162166170174178182186190194198202206210214410141822263034[Durée (100)],Horodateur112335381922313437434649525558616469852226343846505854626670747882909894102106114118110122126130134138142146150154158162166170174178182186190194198202206210214410141822263034[Tâche],Taches_Jours12243639172029323541444750535659626783202432364448565260646872768088969210010411211610812012412813213614014414815215616016416817217618018418819219620020420821226121620242832[[#Headers],[TD]],Horodateur112335381922313437434649525558616469852226343846505854626670747882909894102106114118110122126130134138142146150154158162166170174178182186190194198202206210214410141822263034[Jour],Taches_Jours12243639172029323541444750535659626783202432364448565260646872768088969210010411211610812012412813213614014414815215616016416817217618018418819219620020420821226121620242832[[#This Row],[Jours]])</f>
        <v>0</v>
      </c>
      <c r="G63" s="71" t="n">
        <f aca="false">SUMIFS(Horodateur112335381922313437434649525558616469852226343846505854626670747882909894102106114118110122126130134138142146150154158162166170174178182186190194198202206210214410141822263034[Durée (100)],Horodateur112335381922313437434649525558616469852226343846505854626670747882909894102106114118110122126130134138142146150154158162166170174178182186190194198202206210214410141822263034[Tâche],Taches_Jours12243639172029323541444750535659626783202432364448565260646872768088969210010411211610812012412813213614014414815215616016416817217618018418819219620020420821226121620242832[[#Headers],[GP]],Horodateur112335381922313437434649525558616469852226343846505854626670747882909894102106114118110122126130134138142146150154158162166170174178182186190194198202206210214410141822263034[Jour],Taches_Jours12243639172029323541444750535659626783202432364448565260646872768088969210010411211610812012412813213614014414815215616016416817217618018418819219620020420821226121620242832[[#This Row],[Jours]])</f>
        <v>7</v>
      </c>
      <c r="H63" s="71" t="n">
        <f aca="false">SUMIFS(Horodateur112335381922313437434649525558616469852226343846505854626670747882909894102106114118110122126130134138142146150154158162166170174178182186190194198202206210214410141822263034[Durée (100)],Horodateur112335381922313437434649525558616469852226343846505854626670747882909894102106114118110122126130134138142146150154158162166170174178182186190194198202206210214410141822263034[Tâche],Taches_Jours12243639172029323541444750535659626783202432364448565260646872768088969210010411211610812012412813213614014414815215616016416817217618018418819219620020420821226121620242832[[#Headers],[GP / SP]],Horodateur112335381922313437434649525558616469852226343846505854626670747882909894102106114118110122126130134138142146150154158162166170174178182186190194198202206210214410141822263034[Jour],Taches_Jours12243639172029323541444750535659626783202432364448565260646872768088969210010411211610812012412813213614014414815215616016416817217618018418819219620020420821226121620242832[[#This Row],[Jours]])</f>
        <v>0</v>
      </c>
      <c r="I63" s="71" t="n">
        <f aca="false">SUMIFS(Horodateur112335381922313437434649525558616469852226343846505854626670747882909894102106114118110122126130134138142146150154158162166170174178182186190194198202206210214410141822263034[Durée (100)],Horodateur112335381922313437434649525558616469852226343846505854626670747882909894102106114118110122126130134138142146150154158162166170174178182186190194198202206210214410141822263034[Tâche],Taches_Jours12243639172029323541444750535659626783202432364448565260646872768088969210010411211610812012412813213614014414815215616016416817217618018418819219620020420821226121620242832[[#Headers],[GP / SP]],Horodateur112335381922313437434649525558616469852226343846505854626670747882909894102106114118110122126130134138142146150154158162166170174178182186190194198202206210214410141822263034[Jour],Taches_Jours12243639172029323541444750535659626783202432364448565260646872768088969210010411211610812012412813213614014414815215616016416817217618018418819219620020420821226121620242832[[#This Row],[Jours]])</f>
        <v>0</v>
      </c>
      <c r="J63" s="290" t="n">
        <f aca="false">SUM(Taches_Jours12243639172029323541444750535659626783202432364448565260646872768088969210010411211610812012412813213614014414815215616016416817217618018418819219620020420821226121620242832[[#This Row],[GB]:[GP / SP]])</f>
        <v>8</v>
      </c>
      <c r="K63" s="188"/>
      <c r="L63" s="288"/>
      <c r="M63" s="289"/>
      <c r="N63" s="187"/>
      <c r="O63" s="1"/>
      <c r="P63" s="1"/>
      <c r="Q63" s="1"/>
      <c r="R63" s="1"/>
      <c r="S63" s="1"/>
      <c r="T63" s="71"/>
      <c r="U63" s="71"/>
      <c r="V63" s="71"/>
      <c r="W63" s="71"/>
      <c r="X63" s="71"/>
      <c r="Y63" s="71"/>
      <c r="Z63" s="71"/>
      <c r="AA63" s="71"/>
      <c r="AB63" s="71"/>
      <c r="AC63" s="71"/>
      <c r="AD63" s="71"/>
      <c r="AE63" s="71"/>
      <c r="AF63" s="71"/>
    </row>
    <row r="64" customFormat="false" ht="15" hidden="true" customHeight="false" outlineLevel="1" collapsed="false">
      <c r="A64" s="187" t="s">
        <v>341</v>
      </c>
      <c r="B64" s="71" t="n">
        <f aca="false">SUMIFS(Horodateur112335381922313437434649525558616469852226343846505854626670747882909894102106114118110122126130134138142146150154158162166170174178182186190194198202206210214410141822263034[Durée (100)],Horodateur112335381922313437434649525558616469852226343846505854626670747882909894102106114118110122126130134138142146150154158162166170174178182186190194198202206210214410141822263034[Tâche],Taches_Jours12243639172029323541444750535659626783202432364448565260646872768088969210010411211610812012412813213614014414815215616016416817217618018418819219620020420821226121620242832[[#Headers],[GB]],Horodateur112335381922313437434649525558616469852226343846505854626670747882909894102106114118110122126130134138142146150154158162166170174178182186190194198202206210214410141822263034[Jour],Taches_Jours12243639172029323541444750535659626783202432364448565260646872768088969210010411211610812012412813213614014414815215616016416817217618018418819219620020420821226121620242832[[#This Row],[Jours]])</f>
        <v>0</v>
      </c>
      <c r="C64" s="71" t="n">
        <f aca="false">SUMIFS(Horodateur112335381922313437434649525558616469852226343846505854626670747882909894102106114118110122126130134138142146150154158162166170174178182186190194198202206210214410141822263034[Durée (100)],Horodateur112335381922313437434649525558616469852226343846505854626670747882909894102106114118110122126130134138142146150154158162166170174178182186190194198202206210214410141822263034[Tâche],Taches_Jours12243639172029323541444750535659626783202432364448565260646872768088969210010411211610812012412813213614014414815215616016416817217618018418819219620020420821226121620242832[[#Headers],[RI]],Horodateur112335381922313437434649525558616469852226343846505854626670747882909894102106114118110122126130134138142146150154158162166170174178182186190194198202206210214410141822263034[Jour],Taches_Jours12243639172029323541444750535659626783202432364448565260646872768088969210010411211610812012412813213614014414815215616016416817217618018418819219620020420821226121620242832[[#This Row],[Jours]])</f>
        <v>0</v>
      </c>
      <c r="D64" s="71" t="n">
        <f aca="false">SUMIFS(Horodateur112335381922313437434649525558616469852226343846505854626670747882909894102106114118110122126130134138142146150154158162166170174178182186190194198202206210214410141822263034[Durée (100)],Horodateur112335381922313437434649525558616469852226343846505854626670747882909894102106114118110122126130134138142146150154158162166170174178182186190194198202206210214410141822263034[Tâche],Taches_Jours12243639172029323541444750535659626783202432364448565260646872768088969210010411211610812012412813213614014414815215616016416817217618018418819219620020420821226121620242832[[#Headers],[FG]],Horodateur112335381922313437434649525558616469852226343846505854626670747882909894102106114118110122126130134138142146150154158162166170174178182186190194198202206210214410141822263034[Jour],Taches_Jours12243639172029323541444750535659626783202432364448565260646872768088969210010411211610812012412813213614014414815215616016416817217618018418819219620020420821226121620242832[[#This Row],[Jours]])</f>
        <v>0</v>
      </c>
      <c r="E64" s="71" t="n">
        <f aca="false">SUMIFS(Horodateur112335381922313437434649525558616469852226343846505854626670747882909894102106114118110122126130134138142146150154158162166170174178182186190194198202206210214410141822263034[Durée (100)],Horodateur112335381922313437434649525558616469852226343846505854626670747882909894102106114118110122126130134138142146150154158162166170174178182186190194198202206210214410141822263034[Tâche],Taches_Jours12243639172029323541444750535659626783202432364448565260646872768088969210010411211610812012412813213614014414815215616016416817217618018418819219620020420821226121620242832[[#Headers],[PS]],Horodateur112335381922313437434649525558616469852226343846505854626670747882909894102106114118110122126130134138142146150154158162166170174178182186190194198202206210214410141822263034[Jour],Taches_Jours12243639172029323541444750535659626783202432364448565260646872768088969210010411211610812012412813213614014414815215616016416817217618018418819219620020420821226121620242832[[#This Row],[Jours]])</f>
        <v>0</v>
      </c>
      <c r="F64" s="71" t="n">
        <f aca="false">SUMIFS(Horodateur112335381922313437434649525558616469852226343846505854626670747882909894102106114118110122126130134138142146150154158162166170174178182186190194198202206210214410141822263034[Durée (100)],Horodateur112335381922313437434649525558616469852226343846505854626670747882909894102106114118110122126130134138142146150154158162166170174178182186190194198202206210214410141822263034[Tâche],Taches_Jours12243639172029323541444750535659626783202432364448565260646872768088969210010411211610812012412813213614014414815215616016416817217618018418819219620020420821226121620242832[[#Headers],[TD]],Horodateur112335381922313437434649525558616469852226343846505854626670747882909894102106114118110122126130134138142146150154158162166170174178182186190194198202206210214410141822263034[Jour],Taches_Jours12243639172029323541444750535659626783202432364448565260646872768088969210010411211610812012412813213614014414815215616016416817217618018418819219620020420821226121620242832[[#This Row],[Jours]])</f>
        <v>0</v>
      </c>
      <c r="G64" s="71" t="n">
        <f aca="false">SUMIFS(Horodateur112335381922313437434649525558616469852226343846505854626670747882909894102106114118110122126130134138142146150154158162166170174178182186190194198202206210214410141822263034[Durée (100)],Horodateur112335381922313437434649525558616469852226343846505854626670747882909894102106114118110122126130134138142146150154158162166170174178182186190194198202206210214410141822263034[Tâche],Taches_Jours12243639172029323541444750535659626783202432364448565260646872768088969210010411211610812012412813213614014414815215616016416817217618018418819219620020420821226121620242832[[#Headers],[GP]],Horodateur112335381922313437434649525558616469852226343846505854626670747882909894102106114118110122126130134138142146150154158162166170174178182186190194198202206210214410141822263034[Jour],Taches_Jours12243639172029323541444750535659626783202432364448565260646872768088969210010411211610812012412813213614014414815215616016416817217618018418819219620020420821226121620242832[[#This Row],[Jours]])</f>
        <v>4.5</v>
      </c>
      <c r="H64" s="71" t="n">
        <f aca="false">SUMIFS(Horodateur112335381922313437434649525558616469852226343846505854626670747882909894102106114118110122126130134138142146150154158162166170174178182186190194198202206210214410141822263034[Durée (100)],Horodateur112335381922313437434649525558616469852226343846505854626670747882909894102106114118110122126130134138142146150154158162166170174178182186190194198202206210214410141822263034[Tâche],Taches_Jours12243639172029323541444750535659626783202432364448565260646872768088969210010411211610812012412813213614014414815215616016416817217618018418819219620020420821226121620242832[[#Headers],[GP / SP]],Horodateur112335381922313437434649525558616469852226343846505854626670747882909894102106114118110122126130134138142146150154158162166170174178182186190194198202206210214410141822263034[Jour],Taches_Jours12243639172029323541444750535659626783202432364448565260646872768088969210010411211610812012412813213614014414815215616016416817217618018418819219620020420821226121620242832[[#This Row],[Jours]])</f>
        <v>0</v>
      </c>
      <c r="I64" s="290" t="n">
        <f aca="false">SUMIFS(Horodateur112335381922313437434649525558616469852226343846505854626670747882909894102106114118110122126130134138142146150154158162166170174178182186190194198202206210214410141822263034[Durée (100)],Horodateur112335381922313437434649525558616469852226343846505854626670747882909894102106114118110122126130134138142146150154158162166170174178182186190194198202206210214410141822263034[Tâche],Taches_Jours12243639172029323541444750535659626783202432364448565260646872768088969210010411211610812012412813213614014414815215616016416817217618018418819219620020420821226121620242832[[#Headers],[GP / SP]],Horodateur112335381922313437434649525558616469852226343846505854626670747882909894102106114118110122126130134138142146150154158162166170174178182186190194198202206210214410141822263034[Jour],Taches_Jours12243639172029323541444750535659626783202432364448565260646872768088969210010411211610812012412813213614014414815215616016416817217618018418819219620020420821226121620242832[[#This Row],[Jours]])</f>
        <v>0</v>
      </c>
      <c r="J64" s="71" t="n">
        <f aca="false">SUM(Taches_Jours12243639172029323541444750535659626783202432364448565260646872768088969210010411211610812012412813213614014414815215616016416817217618018418819219620020420821226121620242832[[#This Row],[GB]:[GP / SP]])</f>
        <v>4.5</v>
      </c>
      <c r="K64" s="188"/>
      <c r="L64" s="288"/>
      <c r="M64" s="289"/>
      <c r="N64" s="187"/>
      <c r="O64" s="1"/>
      <c r="P64" s="1"/>
      <c r="Q64" s="1"/>
      <c r="R64" s="1"/>
      <c r="S64" s="1"/>
      <c r="T64" s="71"/>
      <c r="U64" s="71"/>
      <c r="V64" s="71"/>
      <c r="W64" s="71"/>
      <c r="X64" s="71"/>
      <c r="Y64" s="71"/>
      <c r="Z64" s="71"/>
      <c r="AA64" s="71"/>
      <c r="AB64" s="71"/>
      <c r="AC64" s="71"/>
      <c r="AD64" s="71"/>
      <c r="AE64" s="71"/>
      <c r="AF64" s="71"/>
    </row>
    <row r="65" customFormat="false" ht="15" hidden="true" customHeight="false" outlineLevel="1" collapsed="false">
      <c r="A65" s="187" t="s">
        <v>381</v>
      </c>
      <c r="B65" s="71" t="n">
        <f aca="false">SUMIFS(Horodateur112335381922313437434649525558616469852226343846505854626670747882909894102106114118110122126130134138142146150154158162166170174178182186190194198202206210214410141822263034[Durée (100)],Horodateur112335381922313437434649525558616469852226343846505854626670747882909894102106114118110122126130134138142146150154158162166170174178182186190194198202206210214410141822263034[Tâche],Taches_Jours12243639172029323541444750535659626783202432364448565260646872768088969210010411211610812012412813213614014414815215616016416817217618018418819219620020420821226121620242832[[#Headers],[GB]],Horodateur112335381922313437434649525558616469852226343846505854626670747882909894102106114118110122126130134138142146150154158162166170174178182186190194198202206210214410141822263034[Jour],Taches_Jours12243639172029323541444750535659626783202432364448565260646872768088969210010411211610812012412813213614014414815215616016416817217618018418819219620020420821226121620242832[[#This Row],[Jours]])</f>
        <v>0</v>
      </c>
      <c r="C65" s="71" t="n">
        <f aca="false">SUMIFS(Horodateur112335381922313437434649525558616469852226343846505854626670747882909894102106114118110122126130134138142146150154158162166170174178182186190194198202206210214410141822263034[Durée (100)],Horodateur112335381922313437434649525558616469852226343846505854626670747882909894102106114118110122126130134138142146150154158162166170174178182186190194198202206210214410141822263034[Tâche],Taches_Jours12243639172029323541444750535659626783202432364448565260646872768088969210010411211610812012412813213614014414815215616016416817217618018418819219620020420821226121620242832[[#Headers],[RI]],Horodateur112335381922313437434649525558616469852226343846505854626670747882909894102106114118110122126130134138142146150154158162166170174178182186190194198202206210214410141822263034[Jour],Taches_Jours12243639172029323541444750535659626783202432364448565260646872768088969210010411211610812012412813213614014414815215616016416817217618018418819219620020420821226121620242832[[#This Row],[Jours]])</f>
        <v>0</v>
      </c>
      <c r="D65" s="71" t="n">
        <f aca="false">SUMIFS(Horodateur112335381922313437434649525558616469852226343846505854626670747882909894102106114118110122126130134138142146150154158162166170174178182186190194198202206210214410141822263034[Durée (100)],Horodateur112335381922313437434649525558616469852226343846505854626670747882909894102106114118110122126130134138142146150154158162166170174178182186190194198202206210214410141822263034[Tâche],Taches_Jours12243639172029323541444750535659626783202432364448565260646872768088969210010411211610812012412813213614014414815215616016416817217618018418819219620020420821226121620242832[[#Headers],[FG]],Horodateur112335381922313437434649525558616469852226343846505854626670747882909894102106114118110122126130134138142146150154158162166170174178182186190194198202206210214410141822263034[Jour],Taches_Jours12243639172029323541444750535659626783202432364448565260646872768088969210010411211610812012412813213614014414815215616016416817217618018418819219620020420821226121620242832[[#This Row],[Jours]])</f>
        <v>0</v>
      </c>
      <c r="E65" s="71" t="n">
        <f aca="false">SUMIFS(Horodateur112335381922313437434649525558616469852226343846505854626670747882909894102106114118110122126130134138142146150154158162166170174178182186190194198202206210214410141822263034[Durée (100)],Horodateur112335381922313437434649525558616469852226343846505854626670747882909894102106114118110122126130134138142146150154158162166170174178182186190194198202206210214410141822263034[Tâche],Taches_Jours12243639172029323541444750535659626783202432364448565260646872768088969210010411211610812012412813213614014414815215616016416817217618018418819219620020420821226121620242832[[#Headers],[PS]],Horodateur112335381922313437434649525558616469852226343846505854626670747882909894102106114118110122126130134138142146150154158162166170174178182186190194198202206210214410141822263034[Jour],Taches_Jours12243639172029323541444750535659626783202432364448565260646872768088969210010411211610812012412813213614014414815215616016416817217618018418819219620020420821226121620242832[[#This Row],[Jours]])</f>
        <v>0</v>
      </c>
      <c r="F65" s="71" t="n">
        <f aca="false">SUMIFS(Horodateur112335381922313437434649525558616469852226343846505854626670747882909894102106114118110122126130134138142146150154158162166170174178182186190194198202206210214410141822263034[Durée (100)],Horodateur112335381922313437434649525558616469852226343846505854626670747882909894102106114118110122126130134138142146150154158162166170174178182186190194198202206210214410141822263034[Tâche],Taches_Jours12243639172029323541444750535659626783202432364448565260646872768088969210010411211610812012412813213614014414815215616016416817217618018418819219620020420821226121620242832[[#Headers],[TD]],Horodateur112335381922313437434649525558616469852226343846505854626670747882909894102106114118110122126130134138142146150154158162166170174178182186190194198202206210214410141822263034[Jour],Taches_Jours12243639172029323541444750535659626783202432364448565260646872768088969210010411211610812012412813213614014414815215616016416817217618018418819219620020420821226121620242832[[#This Row],[Jours]])</f>
        <v>0</v>
      </c>
      <c r="G65" s="71" t="n">
        <f aca="false">SUMIFS(Horodateur112335381922313437434649525558616469852226343846505854626670747882909894102106114118110122126130134138142146150154158162166170174178182186190194198202206210214410141822263034[Durée (100)],Horodateur112335381922313437434649525558616469852226343846505854626670747882909894102106114118110122126130134138142146150154158162166170174178182186190194198202206210214410141822263034[Tâche],Taches_Jours12243639172029323541444750535659626783202432364448565260646872768088969210010411211610812012412813213614014414815215616016416817217618018418819219620020420821226121620242832[[#Headers],[GP]],Horodateur112335381922313437434649525558616469852226343846505854626670747882909894102106114118110122126130134138142146150154158162166170174178182186190194198202206210214410141822263034[Jour],Taches_Jours12243639172029323541444750535659626783202432364448565260646872768088969210010411211610812012412813213614014414815215616016416817217618018418819219620020420821226121620242832[[#This Row],[Jours]])</f>
        <v>0</v>
      </c>
      <c r="H65" s="71" t="n">
        <f aca="false">SUMIFS(Horodateur112335381922313437434649525558616469852226343846505854626670747882909894102106114118110122126130134138142146150154158162166170174178182186190194198202206210214410141822263034[Durée (100)],Horodateur112335381922313437434649525558616469852226343846505854626670747882909894102106114118110122126130134138142146150154158162166170174178182186190194198202206210214410141822263034[Tâche],Taches_Jours12243639172029323541444750535659626783202432364448565260646872768088969210010411211610812012412813213614014414815215616016416817217618018418819219620020420821226121620242832[[#Headers],[GP / SP]],Horodateur112335381922313437434649525558616469852226343846505854626670747882909894102106114118110122126130134138142146150154158162166170174178182186190194198202206210214410141822263034[Jour],Taches_Jours12243639172029323541444750535659626783202432364448565260646872768088969210010411211610812012412813213614014414815215616016416817217618018418819219620020420821226121620242832[[#This Row],[Jours]])</f>
        <v>0</v>
      </c>
      <c r="I65" s="290" t="n">
        <f aca="false">SUMIFS(Horodateur112335381922313437434649525558616469852226343846505854626670747882909894102106114118110122126130134138142146150154158162166170174178182186190194198202206210214410141822263034[Durée (100)],Horodateur112335381922313437434649525558616469852226343846505854626670747882909894102106114118110122126130134138142146150154158162166170174178182186190194198202206210214410141822263034[Tâche],Taches_Jours12243639172029323541444750535659626783202432364448565260646872768088969210010411211610812012412813213614014414815215616016416817217618018418819219620020420821226121620242832[[#Headers],[GP / SP]],Horodateur112335381922313437434649525558616469852226343846505854626670747882909894102106114118110122126130134138142146150154158162166170174178182186190194198202206210214410141822263034[Jour],Taches_Jours12243639172029323541444750535659626783202432364448565260646872768088969210010411211610812012412813213614014414815215616016416817217618018418819219620020420821226121620242832[[#This Row],[Jours]])</f>
        <v>0</v>
      </c>
      <c r="J65" s="71" t="n">
        <f aca="false">SUM(Taches_Jours12243639172029323541444750535659626783202432364448565260646872768088969210010411211610812012412813213614014414815215616016416817217618018418819219620020420821226121620242832[[#This Row],[GB]:[GP / SP]])</f>
        <v>0</v>
      </c>
      <c r="K65" s="188"/>
      <c r="L65" s="288"/>
      <c r="M65" s="289"/>
      <c r="N65" s="187"/>
      <c r="O65" s="1"/>
      <c r="P65" s="1"/>
      <c r="Q65" s="1"/>
      <c r="R65" s="1"/>
      <c r="S65" s="1"/>
      <c r="T65" s="71"/>
      <c r="U65" s="71"/>
      <c r="V65" s="71"/>
      <c r="W65" s="71"/>
      <c r="X65" s="71"/>
      <c r="Y65" s="71"/>
      <c r="Z65" s="71"/>
      <c r="AA65" s="71"/>
      <c r="AB65" s="71"/>
      <c r="AC65" s="71"/>
      <c r="AD65" s="71"/>
      <c r="AE65" s="71"/>
      <c r="AF65" s="71"/>
    </row>
    <row r="66" customFormat="false" ht="15" hidden="true" customHeight="false" outlineLevel="1" collapsed="false">
      <c r="A66" s="137"/>
      <c r="B66" s="187"/>
      <c r="C66" s="71"/>
      <c r="D66" s="1"/>
      <c r="E66" s="1"/>
      <c r="F66" s="71"/>
      <c r="G66" s="1"/>
      <c r="H66" s="1"/>
      <c r="I66" s="119"/>
      <c r="J66" s="271"/>
      <c r="K66" s="1"/>
      <c r="L66" s="188"/>
      <c r="M66" s="272"/>
      <c r="N66" s="187"/>
      <c r="O66" s="1"/>
      <c r="P66" s="1"/>
      <c r="Q66" s="1"/>
      <c r="R66" s="1"/>
      <c r="S66" s="1"/>
      <c r="T66" s="1"/>
      <c r="U66" s="71"/>
      <c r="V66" s="71"/>
      <c r="W66" s="71"/>
      <c r="X66" s="71"/>
      <c r="Y66" s="71"/>
      <c r="Z66" s="71"/>
      <c r="AA66" s="71"/>
      <c r="AB66" s="71"/>
      <c r="AC66" s="71"/>
      <c r="AD66" s="71"/>
      <c r="AE66" s="71"/>
      <c r="AF66" s="71"/>
      <c r="AG66" s="71"/>
    </row>
    <row r="67" customFormat="false" ht="15" hidden="true" customHeight="false" outlineLevel="1" collapsed="false">
      <c r="A67" s="291" t="s">
        <v>85</v>
      </c>
      <c r="B67" s="292" t="s">
        <v>312</v>
      </c>
      <c r="C67" s="292" t="s">
        <v>319</v>
      </c>
      <c r="D67" s="292" t="s">
        <v>324</v>
      </c>
      <c r="E67" s="292" t="s">
        <v>332</v>
      </c>
      <c r="F67" s="293" t="s">
        <v>335</v>
      </c>
      <c r="G67" s="292" t="s">
        <v>341</v>
      </c>
      <c r="H67" s="292" t="s">
        <v>381</v>
      </c>
      <c r="I67" s="294" t="s">
        <v>58</v>
      </c>
      <c r="J67" s="271"/>
      <c r="K67" s="1"/>
      <c r="L67" s="188"/>
      <c r="M67" s="272"/>
      <c r="N67" s="187"/>
      <c r="O67" s="1"/>
      <c r="P67" s="1"/>
      <c r="Q67" s="1"/>
      <c r="R67" s="1"/>
      <c r="S67" s="1"/>
      <c r="T67" s="1"/>
      <c r="U67" s="71"/>
      <c r="V67" s="71"/>
      <c r="W67" s="71"/>
      <c r="X67" s="71"/>
      <c r="Y67" s="71"/>
      <c r="Z67" s="71"/>
      <c r="AA67" s="71"/>
      <c r="AB67" s="71"/>
      <c r="AC67" s="71"/>
      <c r="AD67" s="71"/>
      <c r="AE67" s="71"/>
      <c r="AF67" s="71"/>
      <c r="AG67" s="71"/>
    </row>
    <row r="68" customFormat="false" ht="15" hidden="true" customHeight="false" outlineLevel="1" collapsed="false">
      <c r="A68" s="137" t="s">
        <v>21</v>
      </c>
      <c r="B68" s="187" t="n">
        <f aca="false">SUMIFS(Horodateur112335381922313437434649525558616469852226343846505854626670747882909894102106114118110122126130134138142146150154158162166170174178182186190194198202206210214410141822263034[Durée (100)],Horodateur112335381922313437434649525558616469852226343846505854626670747882909894102106114118110122126130134138142146150154158162166170174178182186190194198202206210214410141822263034[Jour],$B$67,Horodateur112335381922313437434649525558616469852226343846505854626670747882909894102106114118110122126130134138142146150154158162166170174178182186190194198202206210214410141822263034[Tâche],$A68)</f>
        <v>0.999999999999999</v>
      </c>
      <c r="C68" s="187" t="n">
        <f aca="false">SUMIFS(Horodateur112335381922313437434649525558616469852226343846505854626670747882909894102106114118110122126130134138142146150154158162166170174178182186190194198202206210214410141822263034[Durée (100)],Horodateur112335381922313437434649525558616469852226343846505854626670747882909894102106114118110122126130134138142146150154158162166170174178182186190194198202206210214410141822263034[Jour],$C$67,Horodateur112335381922313437434649525558616469852226343846505854626670747882909894102106114118110122126130134138142146150154158162166170174178182186190194198202206210214410141822263034[Tâche],$A68)</f>
        <v>1</v>
      </c>
      <c r="D68" s="187" t="n">
        <f aca="false">SUMIFS(Horodateur112335381922313437434649525558616469852226343846505854626670747882909894102106114118110122126130134138142146150154158162166170174178182186190194198202206210214410141822263034[Durée (100)],Horodateur112335381922313437434649525558616469852226343846505854626670747882909894102106114118110122126130134138142146150154158162166170174178182186190194198202206210214410141822263034[Jour],$D$67,Horodateur112335381922313437434649525558616469852226343846505854626670747882909894102106114118110122126130134138142146150154158162166170174178182186190194198202206210214410141822263034[Tâche],$A68)</f>
        <v>0</v>
      </c>
      <c r="E68" s="187" t="n">
        <f aca="false">SUMIFS(Horodateur112335381922313437434649525558616469852226343846505854626670747882909894102106114118110122126130134138142146150154158162166170174178182186190194198202206210214410141822263034[Durée (100)],Horodateur112335381922313437434649525558616469852226343846505854626670747882909894102106114118110122126130134138142146150154158162166170174178182186190194198202206210214410141822263034[Jour],$E$67,Horodateur112335381922313437434649525558616469852226343846505854626670747882909894102106114118110122126130134138142146150154158162166170174178182186190194198202206210214410141822263034[Tâche],$A68)</f>
        <v>0</v>
      </c>
      <c r="F68" s="71" t="n">
        <f aca="false">SUMIFS(Horodateur112335381922313437434649525558616469852226343846505854626670747882909894102106114118110122126130134138142146150154158162166170174178182186190194198202206210214410141822263034[Durée (100)],Horodateur112335381922313437434649525558616469852226343846505854626670747882909894102106114118110122126130134138142146150154158162166170174178182186190194198202206210214410141822263034[Jour],$F$67,Horodateur112335381922313437434649525558616469852226343846505854626670747882909894102106114118110122126130134138142146150154158162166170174178182186190194198202206210214410141822263034[Tâche],$A68)</f>
        <v>0</v>
      </c>
      <c r="G68" s="187" t="n">
        <f aca="false">SUMIFS(Horodateur112335381922313437434649525558616469852226343846505854626670747882909894102106114118110122126130134138142146150154158162166170174178182186190194198202206210214410141822263034[Durée (100)],Horodateur112335381922313437434649525558616469852226343846505854626670747882909894102106114118110122126130134138142146150154158162166170174178182186190194198202206210214410141822263034[Jour],$G$67,Horodateur112335381922313437434649525558616469852226343846505854626670747882909894102106114118110122126130134138142146150154158162166170174178182186190194198202206210214410141822263034[Tâche],$A68)</f>
        <v>0</v>
      </c>
      <c r="H68" s="187" t="n">
        <f aca="false">SUMIFS(Horodateur112335381922313437434649525558616469852226343846505854626670747882909894102106114118110122126130134138142146150154158162166170174178182186190194198202206210214410141822263034[Durée (100)],Horodateur112335381922313437434649525558616469852226343846505854626670747882909894102106114118110122126130134138142146150154158162166170174178182186190194198202206210214410141822263034[Jour],$H$67,Horodateur112335381922313437434649525558616469852226343846505854626670747882909894102106114118110122126130134138142146150154158162166170174178182186190194198202206210214410141822263034[Tâche],$A68)</f>
        <v>0</v>
      </c>
      <c r="I68" s="295" t="n">
        <f aca="false">SUM(Taches_Jour213253740182130333642454851545760636884212533374549575361656973778189979310110511311710912112512913313714114514915315716116516917317718118518919319720120520921339131721252933[[#This Row],[1- Lundi]:[7- Dimanche]])</f>
        <v>2</v>
      </c>
      <c r="J68" s="271"/>
      <c r="K68" s="1"/>
      <c r="L68" s="188"/>
      <c r="M68" s="272"/>
      <c r="N68" s="187"/>
      <c r="O68" s="1"/>
      <c r="P68" s="1"/>
      <c r="Q68" s="1"/>
      <c r="R68" s="1"/>
      <c r="S68" s="1"/>
      <c r="T68" s="1"/>
      <c r="U68" s="71"/>
      <c r="V68" s="71"/>
      <c r="W68" s="71"/>
      <c r="X68" s="71"/>
      <c r="Y68" s="71"/>
      <c r="Z68" s="71"/>
      <c r="AA68" s="71"/>
      <c r="AB68" s="71"/>
      <c r="AC68" s="71"/>
      <c r="AD68" s="71"/>
      <c r="AE68" s="71"/>
      <c r="AF68" s="71"/>
      <c r="AG68" s="71"/>
    </row>
    <row r="69" customFormat="false" ht="15" hidden="true" customHeight="false" outlineLevel="1" collapsed="false">
      <c r="A69" s="137" t="s">
        <v>20</v>
      </c>
      <c r="B69" s="187" t="n">
        <f aca="false">SUMIFS(Horodateur112335381922313437434649525558616469852226343846505854626670747882909894102106114118110122126130134138142146150154158162166170174178182186190194198202206210214410141822263034[Durée (100)],Horodateur112335381922313437434649525558616469852226343846505854626670747882909894102106114118110122126130134138142146150154158162166170174178182186190194198202206210214410141822263034[Jour],$B$67,Horodateur112335381922313437434649525558616469852226343846505854626670747882909894102106114118110122126130134138142146150154158162166170174178182186190194198202206210214410141822263034[Tâche],$A69)</f>
        <v>0.500000000000001</v>
      </c>
      <c r="C69" s="187" t="n">
        <f aca="false">SUMIFS(Horodateur112335381922313437434649525558616469852226343846505854626670747882909894102106114118110122126130134138142146150154158162166170174178182186190194198202206210214410141822263034[Durée (100)],Horodateur112335381922313437434649525558616469852226343846505854626670747882909894102106114118110122126130134138142146150154158162166170174178182186190194198202206210214410141822263034[Jour],$C$67,Horodateur112335381922313437434649525558616469852226343846505854626670747882909894102106114118110122126130134138142146150154158162166170174178182186190194198202206210214410141822263034[Tâche],$A69)</f>
        <v>0</v>
      </c>
      <c r="D69" s="187" t="n">
        <f aca="false">SUMIFS(Horodateur112335381922313437434649525558616469852226343846505854626670747882909894102106114118110122126130134138142146150154158162166170174178182186190194198202206210214410141822263034[Durée (100)],Horodateur112335381922313437434649525558616469852226343846505854626670747882909894102106114118110122126130134138142146150154158162166170174178182186190194198202206210214410141822263034[Jour],$D$67,Horodateur112335381922313437434649525558616469852226343846505854626670747882909894102106114118110122126130134138142146150154158162166170174178182186190194198202206210214410141822263034[Tâche],$A69)</f>
        <v>0</v>
      </c>
      <c r="E69" s="187" t="n">
        <f aca="false">SUMIFS(Horodateur112335381922313437434649525558616469852226343846505854626670747882909894102106114118110122126130134138142146150154158162166170174178182186190194198202206210214410141822263034[Durée (100)],Horodateur112335381922313437434649525558616469852226343846505854626670747882909894102106114118110122126130134138142146150154158162166170174178182186190194198202206210214410141822263034[Jour],$E$67,Horodateur112335381922313437434649525558616469852226343846505854626670747882909894102106114118110122126130134138142146150154158162166170174178182186190194198202206210214410141822263034[Tâche],$A69)</f>
        <v>0</v>
      </c>
      <c r="F69" s="71" t="n">
        <f aca="false">SUMIFS(Horodateur112335381922313437434649525558616469852226343846505854626670747882909894102106114118110122126130134138142146150154158162166170174178182186190194198202206210214410141822263034[Durée (100)],Horodateur112335381922313437434649525558616469852226343846505854626670747882909894102106114118110122126130134138142146150154158162166170174178182186190194198202206210214410141822263034[Jour],$F$67,Horodateur112335381922313437434649525558616469852226343846505854626670747882909894102106114118110122126130134138142146150154158162166170174178182186190194198202206210214410141822263034[Tâche],$A69)</f>
        <v>0</v>
      </c>
      <c r="G69" s="187" t="n">
        <f aca="false">SUMIFS(Horodateur112335381922313437434649525558616469852226343846505854626670747882909894102106114118110122126130134138142146150154158162166170174178182186190194198202206210214410141822263034[Durée (100)],Horodateur112335381922313437434649525558616469852226343846505854626670747882909894102106114118110122126130134138142146150154158162166170174178182186190194198202206210214410141822263034[Jour],$G$67,Horodateur112335381922313437434649525558616469852226343846505854626670747882909894102106114118110122126130134138142146150154158162166170174178182186190194198202206210214410141822263034[Tâche],$A69)</f>
        <v>0</v>
      </c>
      <c r="H69" s="187" t="n">
        <f aca="false">SUMIFS(Horodateur112335381922313437434649525558616469852226343846505854626670747882909894102106114118110122126130134138142146150154158162166170174178182186190194198202206210214410141822263034[Durée (100)],Horodateur112335381922313437434649525558616469852226343846505854626670747882909894102106114118110122126130134138142146150154158162166170174178182186190194198202206210214410141822263034[Jour],$H$67,Horodateur112335381922313437434649525558616469852226343846505854626670747882909894102106114118110122126130134138142146150154158162166170174178182186190194198202206210214410141822263034[Tâche],$A69)</f>
        <v>0</v>
      </c>
      <c r="I69" s="295" t="n">
        <f aca="false">SUM(Taches_Jour213253740182130333642454851545760636884212533374549575361656973778189979310110511311710912112512913313714114514915315716116516917317718118518919319720120520921339131721252933[[#This Row],[1- Lundi]:[7- Dimanche]])</f>
        <v>0.500000000000001</v>
      </c>
      <c r="J69" s="271"/>
      <c r="K69" s="1"/>
      <c r="L69" s="188"/>
      <c r="M69" s="272"/>
      <c r="N69" s="187"/>
      <c r="O69" s="1"/>
      <c r="P69" s="1"/>
      <c r="Q69" s="1"/>
      <c r="R69" s="1"/>
      <c r="S69" s="1"/>
      <c r="T69" s="1"/>
      <c r="U69" s="71"/>
      <c r="V69" s="71"/>
      <c r="W69" s="71"/>
      <c r="X69" s="71"/>
      <c r="Y69" s="71"/>
      <c r="Z69" s="71"/>
      <c r="AA69" s="71"/>
      <c r="AB69" s="71"/>
      <c r="AC69" s="71"/>
      <c r="AD69" s="71"/>
      <c r="AE69" s="71"/>
      <c r="AF69" s="71"/>
      <c r="AG69" s="71"/>
    </row>
    <row r="70" customFormat="false" ht="15" hidden="true" customHeight="false" outlineLevel="1" collapsed="false">
      <c r="A70" s="137" t="s">
        <v>23</v>
      </c>
      <c r="B70" s="187" t="n">
        <f aca="false">SUMIFS(Horodateur112335381922313437434649525558616469852226343846505854626670747882909894102106114118110122126130134138142146150154158162166170174178182186190194198202206210214410141822263034[Durée (100)],Horodateur112335381922313437434649525558616469852226343846505854626670747882909894102106114118110122126130134138142146150154158162166170174178182186190194198202206210214410141822263034[Jour],$B$67,Horodateur112335381922313437434649525558616469852226343846505854626670747882909894102106114118110122126130134138142146150154158162166170174178182186190194198202206210214410141822263034[Tâche],$A70)</f>
        <v>0</v>
      </c>
      <c r="C70" s="187" t="n">
        <f aca="false">SUMIFS(Horodateur112335381922313437434649525558616469852226343846505854626670747882909894102106114118110122126130134138142146150154158162166170174178182186190194198202206210214410141822263034[Durée (100)],Horodateur112335381922313437434649525558616469852226343846505854626670747882909894102106114118110122126130134138142146150154158162166170174178182186190194198202206210214410141822263034[Jour],$C$67,Horodateur112335381922313437434649525558616469852226343846505854626670747882909894102106114118110122126130134138142146150154158162166170174178182186190194198202206210214410141822263034[Tâche],$A70)</f>
        <v>0</v>
      </c>
      <c r="D70" s="187" t="n">
        <f aca="false">SUMIFS(Horodateur112335381922313437434649525558616469852226343846505854626670747882909894102106114118110122126130134138142146150154158162166170174178182186190194198202206210214410141822263034[Durée (100)],Horodateur112335381922313437434649525558616469852226343846505854626670747882909894102106114118110122126130134138142146150154158162166170174178182186190194198202206210214410141822263034[Jour],$D$67,Horodateur112335381922313437434649525558616469852226343846505854626670747882909894102106114118110122126130134138142146150154158162166170174178182186190194198202206210214410141822263034[Tâche],$A70)</f>
        <v>2</v>
      </c>
      <c r="E70" s="187" t="n">
        <f aca="false">SUMIFS(Horodateur112335381922313437434649525558616469852226343846505854626670747882909894102106114118110122126130134138142146150154158162166170174178182186190194198202206210214410141822263034[Durée (100)],Horodateur112335381922313437434649525558616469852226343846505854626670747882909894102106114118110122126130134138142146150154158162166170174178182186190194198202206210214410141822263034[Jour],$E$67,Horodateur112335381922313437434649525558616469852226343846505854626670747882909894102106114118110122126130134138142146150154158162166170174178182186190194198202206210214410141822263034[Tâche],$A70)</f>
        <v>0</v>
      </c>
      <c r="F70" s="71" t="n">
        <f aca="false">SUMIFS(Horodateur112335381922313437434649525558616469852226343846505854626670747882909894102106114118110122126130134138142146150154158162166170174178182186190194198202206210214410141822263034[Durée (100)],Horodateur112335381922313437434649525558616469852226343846505854626670747882909894102106114118110122126130134138142146150154158162166170174178182186190194198202206210214410141822263034[Jour],$F$67,Horodateur112335381922313437434649525558616469852226343846505854626670747882909894102106114118110122126130134138142146150154158162166170174178182186190194198202206210214410141822263034[Tâche],$A70)</f>
        <v>1</v>
      </c>
      <c r="G70" s="187" t="n">
        <f aca="false">SUMIFS(Horodateur112335381922313437434649525558616469852226343846505854626670747882909894102106114118110122126130134138142146150154158162166170174178182186190194198202206210214410141822263034[Durée (100)],Horodateur112335381922313437434649525558616469852226343846505854626670747882909894102106114118110122126130134138142146150154158162166170174178182186190194198202206210214410141822263034[Jour],$G$67,Horodateur112335381922313437434649525558616469852226343846505854626670747882909894102106114118110122126130134138142146150154158162166170174178182186190194198202206210214410141822263034[Tâche],$A70)</f>
        <v>0</v>
      </c>
      <c r="H70" s="187" t="n">
        <f aca="false">SUMIFS(Horodateur112335381922313437434649525558616469852226343846505854626670747882909894102106114118110122126130134138142146150154158162166170174178182186190194198202206210214410141822263034[Durée (100)],Horodateur112335381922313437434649525558616469852226343846505854626670747882909894102106114118110122126130134138142146150154158162166170174178182186190194198202206210214410141822263034[Jour],$H$67,Horodateur112335381922313437434649525558616469852226343846505854626670747882909894102106114118110122126130134138142146150154158162166170174178182186190194198202206210214410141822263034[Tâche],$A70)</f>
        <v>0</v>
      </c>
      <c r="I70" s="295" t="n">
        <f aca="false">SUM(Taches_Jour213253740182130333642454851545760636884212533374549575361656973778189979310110511311710912112512913313714114514915315716116516917317718118518919319720120520921339131721252933[[#This Row],[1- Lundi]:[7- Dimanche]])</f>
        <v>3</v>
      </c>
      <c r="J70" s="271"/>
      <c r="K70" s="1"/>
      <c r="L70" s="188"/>
      <c r="M70" s="272"/>
      <c r="N70" s="187"/>
      <c r="O70" s="1"/>
      <c r="P70" s="1"/>
      <c r="Q70" s="1"/>
      <c r="R70" s="1"/>
      <c r="S70" s="1"/>
      <c r="T70" s="1"/>
      <c r="U70" s="71"/>
      <c r="V70" s="71"/>
      <c r="W70" s="71"/>
      <c r="X70" s="71"/>
      <c r="Y70" s="71"/>
      <c r="Z70" s="71"/>
      <c r="AA70" s="71"/>
      <c r="AB70" s="71"/>
      <c r="AC70" s="71"/>
      <c r="AD70" s="71"/>
      <c r="AE70" s="71"/>
      <c r="AF70" s="71"/>
      <c r="AG70" s="71"/>
    </row>
    <row r="71" customFormat="false" ht="15" hidden="true" customHeight="false" outlineLevel="1" collapsed="false">
      <c r="A71" s="137" t="s">
        <v>25</v>
      </c>
      <c r="B71" s="187" t="n">
        <f aca="false">SUMIFS(Horodateur112335381922313437434649525558616469852226343846505854626670747882909894102106114118110122126130134138142146150154158162166170174178182186190194198202206210214410141822263034[Durée (100)],Horodateur112335381922313437434649525558616469852226343846505854626670747882909894102106114118110122126130134138142146150154158162166170174178182186190194198202206210214410141822263034[Jour],$B$67,Horodateur112335381922313437434649525558616469852226343846505854626670747882909894102106114118110122126130134138142146150154158162166170174178182186190194198202206210214410141822263034[Tâche],$A71)</f>
        <v>0</v>
      </c>
      <c r="C71" s="187" t="n">
        <f aca="false">SUMIFS(Horodateur112335381922313437434649525558616469852226343846505854626670747882909894102106114118110122126130134138142146150154158162166170174178182186190194198202206210214410141822263034[Durée (100)],Horodateur112335381922313437434649525558616469852226343846505854626670747882909894102106114118110122126130134138142146150154158162166170174178182186190194198202206210214410141822263034[Jour],$C$67,Horodateur112335381922313437434649525558616469852226343846505854626670747882909894102106114118110122126130134138142146150154158162166170174178182186190194198202206210214410141822263034[Tâche],$A71)</f>
        <v>0</v>
      </c>
      <c r="D71" s="187" t="n">
        <f aca="false">SUMIFS(Horodateur112335381922313437434649525558616469852226343846505854626670747882909894102106114118110122126130134138142146150154158162166170174178182186190194198202206210214410141822263034[Durée (100)],Horodateur112335381922313437434649525558616469852226343846505854626670747882909894102106114118110122126130134138142146150154158162166170174178182186190194198202206210214410141822263034[Jour],$D$67,Horodateur112335381922313437434649525558616469852226343846505854626670747882909894102106114118110122126130134138142146150154158162166170174178182186190194198202206210214410141822263034[Tâche],$A71)</f>
        <v>0</v>
      </c>
      <c r="E71" s="187" t="n">
        <f aca="false">SUMIFS(Horodateur112335381922313437434649525558616469852226343846505854626670747882909894102106114118110122126130134138142146150154158162166170174178182186190194198202206210214410141822263034[Durée (100)],Horodateur112335381922313437434649525558616469852226343846505854626670747882909894102106114118110122126130134138142146150154158162166170174178182186190194198202206210214410141822263034[Jour],$E$67,Horodateur112335381922313437434649525558616469852226343846505854626670747882909894102106114118110122126130134138142146150154158162166170174178182186190194198202206210214410141822263034[Tâche],$A71)</f>
        <v>0</v>
      </c>
      <c r="F71" s="71" t="n">
        <f aca="false">SUMIFS(Horodateur112335381922313437434649525558616469852226343846505854626670747882909894102106114118110122126130134138142146150154158162166170174178182186190194198202206210214410141822263034[Durée (100)],Horodateur112335381922313437434649525558616469852226343846505854626670747882909894102106114118110122126130134138142146150154158162166170174178182186190194198202206210214410141822263034[Jour],$F$67,Horodateur112335381922313437434649525558616469852226343846505854626670747882909894102106114118110122126130134138142146150154158162166170174178182186190194198202206210214410141822263034[Tâche],$A71)</f>
        <v>0</v>
      </c>
      <c r="G71" s="187" t="n">
        <f aca="false">SUMIFS(Horodateur112335381922313437434649525558616469852226343846505854626670747882909894102106114118110122126130134138142146150154158162166170174178182186190194198202206210214410141822263034[Durée (100)],Horodateur112335381922313437434649525558616469852226343846505854626670747882909894102106114118110122126130134138142146150154158162166170174178182186190194198202206210214410141822263034[Jour],$G$67,Horodateur112335381922313437434649525558616469852226343846505854626670747882909894102106114118110122126130134138142146150154158162166170174178182186190194198202206210214410141822263034[Tâche],$A71)</f>
        <v>0</v>
      </c>
      <c r="H71" s="187" t="n">
        <f aca="false">SUMIFS(Horodateur112335381922313437434649525558616469852226343846505854626670747882909894102106114118110122126130134138142146150154158162166170174178182186190194198202206210214410141822263034[Durée (100)],Horodateur112335381922313437434649525558616469852226343846505854626670747882909894102106114118110122126130134138142146150154158162166170174178182186190194198202206210214410141822263034[Jour],$H$67,Horodateur112335381922313437434649525558616469852226343846505854626670747882909894102106114118110122126130134138142146150154158162166170174178182186190194198202206210214410141822263034[Tâche],$A71)</f>
        <v>0</v>
      </c>
      <c r="I71" s="295" t="n">
        <f aca="false">SUM(Taches_Jour213253740182130333642454851545760636884212533374549575361656973778189979310110511311710912112512913313714114514915315716116516917317718118518919319720120520921339131721252933[[#This Row],[1- Lundi]:[7- Dimanche]])</f>
        <v>0</v>
      </c>
      <c r="J71" s="271"/>
      <c r="K71" s="1"/>
      <c r="L71" s="188"/>
      <c r="M71" s="272"/>
      <c r="N71" s="187"/>
      <c r="O71" s="1"/>
      <c r="P71" s="1"/>
      <c r="Q71" s="1"/>
      <c r="R71" s="1"/>
      <c r="S71" s="1"/>
      <c r="T71" s="1"/>
      <c r="U71" s="71"/>
      <c r="V71" s="71"/>
      <c r="W71" s="71"/>
      <c r="X71" s="71"/>
      <c r="Y71" s="71"/>
      <c r="Z71" s="71"/>
      <c r="AA71" s="71"/>
      <c r="AB71" s="71"/>
      <c r="AC71" s="71"/>
      <c r="AD71" s="71"/>
      <c r="AE71" s="71"/>
      <c r="AF71" s="71"/>
      <c r="AG71" s="71"/>
    </row>
    <row r="72" customFormat="false" ht="15" hidden="true" customHeight="false" outlineLevel="1" collapsed="false">
      <c r="A72" s="137" t="s">
        <v>26</v>
      </c>
      <c r="B72" s="187" t="n">
        <f aca="false">SUMIFS(Horodateur112335381922313437434649525558616469852226343846505854626670747882909894102106114118110122126130134138142146150154158162166170174178182186190194198202206210214410141822263034[Durée (100)],Horodateur112335381922313437434649525558616469852226343846505854626670747882909894102106114118110122126130134138142146150154158162166170174178182186190194198202206210214410141822263034[Jour],$B$67,Horodateur112335381922313437434649525558616469852226343846505854626670747882909894102106114118110122126130134138142146150154158162166170174178182186190194198202206210214410141822263034[Tâche],$A72)</f>
        <v>0</v>
      </c>
      <c r="C72" s="187" t="n">
        <f aca="false">SUMIFS(Horodateur112335381922313437434649525558616469852226343846505854626670747882909894102106114118110122126130134138142146150154158162166170174178182186190194198202206210214410141822263034[Durée (100)],Horodateur112335381922313437434649525558616469852226343846505854626670747882909894102106114118110122126130134138142146150154158162166170174178182186190194198202206210214410141822263034[Jour],$C$67,Horodateur112335381922313437434649525558616469852226343846505854626670747882909894102106114118110122126130134138142146150154158162166170174178182186190194198202206210214410141822263034[Tâche],$A72)</f>
        <v>0</v>
      </c>
      <c r="D72" s="187" t="n">
        <f aca="false">SUMIFS(Horodateur112335381922313437434649525558616469852226343846505854626670747882909894102106114118110122126130134138142146150154158162166170174178182186190194198202206210214410141822263034[Durée (100)],Horodateur112335381922313437434649525558616469852226343846505854626670747882909894102106114118110122126130134138142146150154158162166170174178182186190194198202206210214410141822263034[Jour],$D$67,Horodateur112335381922313437434649525558616469852226343846505854626670747882909894102106114118110122126130134138142146150154158162166170174178182186190194198202206210214410141822263034[Tâche],$A72)</f>
        <v>0</v>
      </c>
      <c r="E72" s="187" t="n">
        <f aca="false">SUMIFS(Horodateur112335381922313437434649525558616469852226343846505854626670747882909894102106114118110122126130134138142146150154158162166170174178182186190194198202206210214410141822263034[Durée (100)],Horodateur112335381922313437434649525558616469852226343846505854626670747882909894102106114118110122126130134138142146150154158162166170174178182186190194198202206210214410141822263034[Jour],$E$67,Horodateur112335381922313437434649525558616469852226343846505854626670747882909894102106114118110122126130134138142146150154158162166170174178182186190194198202206210214410141822263034[Tâche],$A72)</f>
        <v>0</v>
      </c>
      <c r="F72" s="71" t="n">
        <f aca="false">SUMIFS(Horodateur112335381922313437434649525558616469852226343846505854626670747882909894102106114118110122126130134138142146150154158162166170174178182186190194198202206210214410141822263034[Durée (100)],Horodateur112335381922313437434649525558616469852226343846505854626670747882909894102106114118110122126130134138142146150154158162166170174178182186190194198202206210214410141822263034[Jour],$F$67,Horodateur112335381922313437434649525558616469852226343846505854626670747882909894102106114118110122126130134138142146150154158162166170174178182186190194198202206210214410141822263034[Tâche],$A72)</f>
        <v>0</v>
      </c>
      <c r="G72" s="187" t="n">
        <f aca="false">SUMIFS(Horodateur112335381922313437434649525558616469852226343846505854626670747882909894102106114118110122126130134138142146150154158162166170174178182186190194198202206210214410141822263034[Durée (100)],Horodateur112335381922313437434649525558616469852226343846505854626670747882909894102106114118110122126130134138142146150154158162166170174178182186190194198202206210214410141822263034[Jour],$G$67,Horodateur112335381922313437434649525558616469852226343846505854626670747882909894102106114118110122126130134138142146150154158162166170174178182186190194198202206210214410141822263034[Tâche],$A72)</f>
        <v>0</v>
      </c>
      <c r="H72" s="187" t="n">
        <f aca="false">SUMIFS(Horodateur112335381922313437434649525558616469852226343846505854626670747882909894102106114118110122126130134138142146150154158162166170174178182186190194198202206210214410141822263034[Durée (100)],Horodateur112335381922313437434649525558616469852226343846505854626670747882909894102106114118110122126130134138142146150154158162166170174178182186190194198202206210214410141822263034[Jour],$H$67,Horodateur112335381922313437434649525558616469852226343846505854626670747882909894102106114118110122126130134138142146150154158162166170174178182186190194198202206210214410141822263034[Tâche],$A72)</f>
        <v>0</v>
      </c>
      <c r="I72" s="295" t="n">
        <f aca="false">SUM(Taches_Jour213253740182130333642454851545760636884212533374549575361656973778189979310110511311710912112512913313714114514915315716116516917317718118518919319720120520921339131721252933[[#This Row],[1- Lundi]:[7- Dimanche]])</f>
        <v>0</v>
      </c>
      <c r="J72" s="271"/>
      <c r="K72" s="1"/>
      <c r="L72" s="188"/>
      <c r="M72" s="272"/>
      <c r="N72" s="187"/>
      <c r="O72" s="1"/>
      <c r="P72" s="1"/>
      <c r="Q72" s="1"/>
      <c r="R72" s="1"/>
      <c r="S72" s="1"/>
      <c r="T72" s="1"/>
      <c r="U72" s="71"/>
      <c r="V72" s="71"/>
      <c r="W72" s="71"/>
      <c r="X72" s="71"/>
      <c r="Y72" s="71"/>
      <c r="Z72" s="71"/>
      <c r="AA72" s="71"/>
      <c r="AB72" s="71"/>
      <c r="AC72" s="71"/>
      <c r="AD72" s="71"/>
      <c r="AE72" s="71"/>
      <c r="AF72" s="71"/>
      <c r="AG72" s="71"/>
    </row>
    <row r="73" customFormat="false" ht="15" hidden="true" customHeight="false" outlineLevel="1" collapsed="false">
      <c r="A73" s="137" t="s">
        <v>378</v>
      </c>
      <c r="B73" s="187" t="n">
        <f aca="false">SUMIFS(Horodateur112335381922313437434649525558616469852226343846505854626670747882909894102106114118110122126130134138142146150154158162166170174178182186190194198202206210214410141822263034[Durée (100)],Horodateur112335381922313437434649525558616469852226343846505854626670747882909894102106114118110122126130134138142146150154158162166170174178182186190194198202206210214410141822263034[Jour],$B$67,Horodateur112335381922313437434649525558616469852226343846505854626670747882909894102106114118110122126130134138142146150154158162166170174178182186190194198202206210214410141822263034[Tâche],$A73)</f>
        <v>1.5</v>
      </c>
      <c r="C73" s="187" t="n">
        <f aca="false">SUMIFS(Horodateur112335381922313437434649525558616469852226343846505854626670747882909894102106114118110122126130134138142146150154158162166170174178182186190194198202206210214410141822263034[Durée (100)],Horodateur112335381922313437434649525558616469852226343846505854626670747882909894102106114118110122126130134138142146150154158162166170174178182186190194198202206210214410141822263034[Jour],$C$67,Horodateur112335381922313437434649525558616469852226343846505854626670747882909894102106114118110122126130134138142146150154158162166170174178182186190194198202206210214410141822263034[Tâche],$A73)</f>
        <v>6</v>
      </c>
      <c r="D73" s="187" t="n">
        <f aca="false">SUMIFS(Horodateur112335381922313437434649525558616469852226343846505854626670747882909894102106114118110122126130134138142146150154158162166170174178182186190194198202206210214410141822263034[Durée (100)],Horodateur112335381922313437434649525558616469852226343846505854626670747882909894102106114118110122126130134138142146150154158162166170174178182186190194198202206210214410141822263034[Jour],$D$67,Horodateur112335381922313437434649525558616469852226343846505854626670747882909894102106114118110122126130134138142146150154158162166170174178182186190194198202206210214410141822263034[Tâche],$A73)</f>
        <v>5</v>
      </c>
      <c r="E73" s="187" t="n">
        <f aca="false">SUMIFS(Horodateur112335381922313437434649525558616469852226343846505854626670747882909894102106114118110122126130134138142146150154158162166170174178182186190194198202206210214410141822263034[Durée (100)],Horodateur112335381922313437434649525558616469852226343846505854626670747882909894102106114118110122126130134138142146150154158162166170174178182186190194198202206210214410141822263034[Jour],$E$67,Horodateur112335381922313437434649525558616469852226343846505854626670747882909894102106114118110122126130134138142146150154158162166170174178182186190194198202206210214410141822263034[Tâche],$A73)</f>
        <v>5.5</v>
      </c>
      <c r="F73" s="71" t="n">
        <f aca="false">SUMIFS(Horodateur112335381922313437434649525558616469852226343846505854626670747882909894102106114118110122126130134138142146150154158162166170174178182186190194198202206210214410141822263034[Durée (100)],Horodateur112335381922313437434649525558616469852226343846505854626670747882909894102106114118110122126130134138142146150154158162166170174178182186190194198202206210214410141822263034[Jour],$F$67,Horodateur112335381922313437434649525558616469852226343846505854626670747882909894102106114118110122126130134138142146150154158162166170174178182186190194198202206210214410141822263034[Tâche],$A73)</f>
        <v>7</v>
      </c>
      <c r="G73" s="187" t="n">
        <f aca="false">SUMIFS(Horodateur112335381922313437434649525558616469852226343846505854626670747882909894102106114118110122126130134138142146150154158162166170174178182186190194198202206210214410141822263034[Durée (100)],Horodateur112335381922313437434649525558616469852226343846505854626670747882909894102106114118110122126130134138142146150154158162166170174178182186190194198202206210214410141822263034[Jour],$G$67,Horodateur112335381922313437434649525558616469852226343846505854626670747882909894102106114118110122126130134138142146150154158162166170174178182186190194198202206210214410141822263034[Tâche],$A73)</f>
        <v>4.5</v>
      </c>
      <c r="H73" s="187" t="n">
        <f aca="false">SUMIFS(Horodateur112335381922313437434649525558616469852226343846505854626670747882909894102106114118110122126130134138142146150154158162166170174178182186190194198202206210214410141822263034[Durée (100)],Horodateur112335381922313437434649525558616469852226343846505854626670747882909894102106114118110122126130134138142146150154158162166170174178182186190194198202206210214410141822263034[Jour],$H$67,Horodateur112335381922313437434649525558616469852226343846505854626670747882909894102106114118110122126130134138142146150154158162166170174178182186190194198202206210214410141822263034[Tâche],$A73)</f>
        <v>0</v>
      </c>
      <c r="I73" s="295" t="n">
        <f aca="false">SUM(Taches_Jour213253740182130333642454851545760636884212533374549575361656973778189979310110511311710912112512913313714114514915315716116516917317718118518919319720120520921339131721252933[[#This Row],[1- Lundi]:[7- Dimanche]])</f>
        <v>29.5</v>
      </c>
      <c r="J73" s="271"/>
      <c r="K73" s="1"/>
      <c r="L73" s="188"/>
      <c r="M73" s="272"/>
      <c r="N73" s="187"/>
      <c r="O73" s="1"/>
      <c r="P73" s="1"/>
      <c r="Q73" s="1"/>
      <c r="R73" s="1"/>
      <c r="S73" s="1"/>
      <c r="T73" s="1"/>
      <c r="U73" s="71"/>
      <c r="V73" s="71"/>
      <c r="W73" s="71"/>
      <c r="X73" s="71"/>
      <c r="Y73" s="71"/>
      <c r="Z73" s="71"/>
      <c r="AA73" s="71"/>
      <c r="AB73" s="71"/>
      <c r="AC73" s="71"/>
      <c r="AD73" s="71"/>
      <c r="AE73" s="71"/>
      <c r="AF73" s="71"/>
      <c r="AG73" s="71"/>
    </row>
    <row r="74" customFormat="false" ht="15" hidden="true" customHeight="false" outlineLevel="1" collapsed="false">
      <c r="A74" s="137" t="s">
        <v>382</v>
      </c>
      <c r="B74" s="187" t="n">
        <f aca="false">SUMIFS(Horodateur112335381922313437434649525558616469852226343846505854626670747882909894102106114118110122126130134138142146150154158162166170174178182186190194198202206210214410141822263034[Durée (100)],Horodateur112335381922313437434649525558616469852226343846505854626670747882909894102106114118110122126130134138142146150154158162166170174178182186190194198202206210214410141822263034[Jour],$B$67,Horodateur112335381922313437434649525558616469852226343846505854626670747882909894102106114118110122126130134138142146150154158162166170174178182186190194198202206210214410141822263034[Tâche],$A74)</f>
        <v>0</v>
      </c>
      <c r="C74" s="187" t="n">
        <f aca="false">SUMIFS(Horodateur112335381922313437434649525558616469852226343846505854626670747882909894102106114118110122126130134138142146150154158162166170174178182186190194198202206210214410141822263034[Durée (100)],Horodateur112335381922313437434649525558616469852226343846505854626670747882909894102106114118110122126130134138142146150154158162166170174178182186190194198202206210214410141822263034[Jour],$C$67,Horodateur112335381922313437434649525558616469852226343846505854626670747882909894102106114118110122126130134138142146150154158162166170174178182186190194198202206210214410141822263034[Tâche],$A74)</f>
        <v>0</v>
      </c>
      <c r="D74" s="187" t="n">
        <f aca="false">SUMIFS(Horodateur112335381922313437434649525558616469852226343846505854626670747882909894102106114118110122126130134138142146150154158162166170174178182186190194198202206210214410141822263034[Durée (100)],Horodateur112335381922313437434649525558616469852226343846505854626670747882909894102106114118110122126130134138142146150154158162166170174178182186190194198202206210214410141822263034[Jour],$D$67,Horodateur112335381922313437434649525558616469852226343846505854626670747882909894102106114118110122126130134138142146150154158162166170174178182186190194198202206210214410141822263034[Tâche],$A74)</f>
        <v>0</v>
      </c>
      <c r="E74" s="187" t="n">
        <f aca="false">SUMIFS(Horodateur112335381922313437434649525558616469852226343846505854626670747882909894102106114118110122126130134138142146150154158162166170174178182186190194198202206210214410141822263034[Durée (100)],Horodateur112335381922313437434649525558616469852226343846505854626670747882909894102106114118110122126130134138142146150154158162166170174178182186190194198202206210214410141822263034[Jour],$E$67,Horodateur112335381922313437434649525558616469852226343846505854626670747882909894102106114118110122126130134138142146150154158162166170174178182186190194198202206210214410141822263034[Tâche],$A74)</f>
        <v>0</v>
      </c>
      <c r="F74" s="71" t="n">
        <f aca="false">SUMIFS(Horodateur112335381922313437434649525558616469852226343846505854626670747882909894102106114118110122126130134138142146150154158162166170174178182186190194198202206210214410141822263034[Durée (100)],Horodateur112335381922313437434649525558616469852226343846505854626670747882909894102106114118110122126130134138142146150154158162166170174178182186190194198202206210214410141822263034[Jour],$F$67,Horodateur112335381922313437434649525558616469852226343846505854626670747882909894102106114118110122126130134138142146150154158162166170174178182186190194198202206210214410141822263034[Tâche],$A74)</f>
        <v>0</v>
      </c>
      <c r="G74" s="187" t="n">
        <f aca="false">SUMIFS(Horodateur112335381922313437434649525558616469852226343846505854626670747882909894102106114118110122126130134138142146150154158162166170174178182186190194198202206210214410141822263034[Durée (100)],Horodateur112335381922313437434649525558616469852226343846505854626670747882909894102106114118110122126130134138142146150154158162166170174178182186190194198202206210214410141822263034[Jour],$G$67,Horodateur112335381922313437434649525558616469852226343846505854626670747882909894102106114118110122126130134138142146150154158162166170174178182186190194198202206210214410141822263034[Tâche],$A74)</f>
        <v>0</v>
      </c>
      <c r="H74" s="187" t="n">
        <f aca="false">SUMIFS(Horodateur112335381922313437434649525558616469852226343846505854626670747882909894102106114118110122126130134138142146150154158162166170174178182186190194198202206210214410141822263034[Durée (100)],Horodateur112335381922313437434649525558616469852226343846505854626670747882909894102106114118110122126130134138142146150154158162166170174178182186190194198202206210214410141822263034[Jour],$H$67,Horodateur112335381922313437434649525558616469852226343846505854626670747882909894102106114118110122126130134138142146150154158162166170174178182186190194198202206210214410141822263034[Tâche],$A74)</f>
        <v>0</v>
      </c>
      <c r="I74" s="295" t="n">
        <f aca="false">SUM(Taches_Jour213253740182130333642454851545760636884212533374549575361656973778189979310110511311710912112512913313714114514915315716116516917317718118518919319720120520921339131721252933[[#This Row],[1- Lundi]:[7- Dimanche]])</f>
        <v>0</v>
      </c>
      <c r="J74" s="271"/>
      <c r="K74" s="1"/>
      <c r="L74" s="188"/>
      <c r="M74" s="272"/>
      <c r="N74" s="187"/>
      <c r="O74" s="1"/>
      <c r="P74" s="1"/>
      <c r="Q74" s="1"/>
      <c r="R74" s="1"/>
      <c r="S74" s="1"/>
      <c r="T74" s="1"/>
      <c r="U74" s="71"/>
      <c r="V74" s="71"/>
      <c r="W74" s="71"/>
      <c r="X74" s="71"/>
      <c r="Y74" s="71"/>
      <c r="Z74" s="71"/>
      <c r="AA74" s="71"/>
      <c r="AB74" s="71"/>
      <c r="AC74" s="71"/>
      <c r="AD74" s="71"/>
      <c r="AE74" s="71"/>
      <c r="AF74" s="71"/>
      <c r="AG74" s="71"/>
    </row>
    <row r="75" customFormat="false" ht="15" hidden="true" customHeight="false" outlineLevel="1" collapsed="false">
      <c r="A75" s="137" t="s">
        <v>380</v>
      </c>
      <c r="B75" s="187" t="n">
        <f aca="false">SUMIFS(Horodateur112335381922313437434649525558616469852226343846505854626670747882909894102106114118110122126130134138142146150154158162166170174178182186190194198202206210214410141822263034[Durée (100)],Horodateur112335381922313437434649525558616469852226343846505854626670747882909894102106114118110122126130134138142146150154158162166170174178182186190194198202206210214410141822263034[Jour],$B$67,Horodateur112335381922313437434649525558616469852226343846505854626670747882909894102106114118110122126130134138142146150154158162166170174178182186190194198202206210214410141822263034[Tâche],$A75)</f>
        <v>0.250000000000002</v>
      </c>
      <c r="C75" s="187" t="n">
        <f aca="false">SUMIFS(Horodateur112335381922313437434649525558616469852226343846505854626670747882909894102106114118110122126130134138142146150154158162166170174178182186190194198202206210214410141822263034[Durée (100)],Horodateur112335381922313437434649525558616469852226343846505854626670747882909894102106114118110122126130134138142146150154158162166170174178182186190194198202206210214410141822263034[Jour],$C$67,Horodateur112335381922313437434649525558616469852226343846505854626670747882909894102106114118110122126130134138142146150154158162166170174178182186190194198202206210214410141822263034[Tâche],$A75)</f>
        <v>0</v>
      </c>
      <c r="D75" s="187" t="n">
        <f aca="false">SUMIFS(Horodateur112335381922313437434649525558616469852226343846505854626670747882909894102106114118110122126130134138142146150154158162166170174178182186190194198202206210214410141822263034[Durée (100)],Horodateur112335381922313437434649525558616469852226343846505854626670747882909894102106114118110122126130134138142146150154158162166170174178182186190194198202206210214410141822263034[Jour],$D$67,Horodateur112335381922313437434649525558616469852226343846505854626670747882909894102106114118110122126130134138142146150154158162166170174178182186190194198202206210214410141822263034[Tâche],$A75)</f>
        <v>1.25</v>
      </c>
      <c r="E75" s="187" t="n">
        <f aca="false">SUMIFS(Horodateur112335381922313437434649525558616469852226343846505854626670747882909894102106114118110122126130134138142146150154158162166170174178182186190194198202206210214410141822263034[Durée (100)],Horodateur112335381922313437434649525558616469852226343846505854626670747882909894102106114118110122126130134138142146150154158162166170174178182186190194198202206210214410141822263034[Jour],$E$67,Horodateur112335381922313437434649525558616469852226343846505854626670747882909894102106114118110122126130134138142146150154158162166170174178182186190194198202206210214410141822263034[Tâche],$A75)</f>
        <v>0.249999999999999</v>
      </c>
      <c r="F75" s="71" t="n">
        <f aca="false">SUMIFS(Horodateur112335381922313437434649525558616469852226343846505854626670747882909894102106114118110122126130134138142146150154158162166170174178182186190194198202206210214410141822263034[Durée (100)],Horodateur112335381922313437434649525558616469852226343846505854626670747882909894102106114118110122126130134138142146150154158162166170174178182186190194198202206210214410141822263034[Jour],$F$67,Horodateur112335381922313437434649525558616469852226343846505854626670747882909894102106114118110122126130134138142146150154158162166170174178182186190194198202206210214410141822263034[Tâche],$A75)</f>
        <v>0</v>
      </c>
      <c r="G75" s="187" t="n">
        <f aca="false">SUMIFS(Horodateur112335381922313437434649525558616469852226343846505854626670747882909894102106114118110122126130134138142146150154158162166170174178182186190194198202206210214410141822263034[Durée (100)],Horodateur112335381922313437434649525558616469852226343846505854626670747882909894102106114118110122126130134138142146150154158162166170174178182186190194198202206210214410141822263034[Jour],$G$67,Horodateur112335381922313437434649525558616469852226343846505854626670747882909894102106114118110122126130134138142146150154158162166170174178182186190194198202206210214410141822263034[Tâche],$A75)</f>
        <v>0</v>
      </c>
      <c r="H75" s="187" t="n">
        <f aca="false">SUMIFS(Horodateur112335381922313437434649525558616469852226343846505854626670747882909894102106114118110122126130134138142146150154158162166170174178182186190194198202206210214410141822263034[Durée (100)],Horodateur112335381922313437434649525558616469852226343846505854626670747882909894102106114118110122126130134138142146150154158162166170174178182186190194198202206210214410141822263034[Jour],$H$67,Horodateur112335381922313437434649525558616469852226343846505854626670747882909894102106114118110122126130134138142146150154158162166170174178182186190194198202206210214410141822263034[Tâche],$A75)</f>
        <v>0</v>
      </c>
      <c r="I75" s="295" t="n">
        <f aca="false">SUM(Taches_Jour213253740182130333642454851545760636884212533374549575361656973778189979310110511311710912112512913313714114514915315716116516917317718118518919319720120520921339131721252933[[#This Row],[1- Lundi]:[7- Dimanche]])</f>
        <v>1.75</v>
      </c>
      <c r="J75" s="271"/>
      <c r="K75" s="1"/>
      <c r="L75" s="188"/>
      <c r="M75" s="272"/>
      <c r="N75" s="76"/>
    </row>
    <row r="76" customFormat="false" ht="15" hidden="true" customHeight="false" outlineLevel="1" collapsed="false">
      <c r="N76" s="76"/>
    </row>
    <row r="77" customFormat="false" ht="15" hidden="false" customHeight="false" outlineLevel="1" collapsed="false">
      <c r="G77" s="0" t="s">
        <v>383</v>
      </c>
      <c r="N77" s="76"/>
    </row>
    <row r="78" customFormat="false" ht="15" hidden="false" customHeight="false" outlineLevel="0" collapsed="false">
      <c r="N78" s="76"/>
    </row>
    <row r="79" customFormat="false" ht="15" hidden="false" customHeight="false" outlineLevel="0" collapsed="false">
      <c r="G79" s="76"/>
      <c r="N79" s="76"/>
    </row>
    <row r="80" customFormat="false" ht="15" hidden="false" customHeight="false" outlineLevel="0" collapsed="false">
      <c r="N80" s="76"/>
    </row>
    <row r="81" customFormat="false" ht="15" hidden="false" customHeight="false" outlineLevel="0" collapsed="false">
      <c r="N81" s="76"/>
    </row>
    <row r="82" customFormat="false" ht="15" hidden="false" customHeight="false" outlineLevel="0" collapsed="false">
      <c r="N82" s="76"/>
    </row>
    <row r="83" customFormat="false" ht="15" hidden="false" customHeight="false" outlineLevel="0" collapsed="false">
      <c r="N83" s="76"/>
    </row>
    <row r="84" customFormat="false" ht="15" hidden="false" customHeight="false" outlineLevel="0" collapsed="false">
      <c r="N84" s="76"/>
    </row>
    <row r="85" customFormat="false" ht="15" hidden="false" customHeight="false" outlineLevel="0" collapsed="false">
      <c r="N85" s="76"/>
    </row>
    <row r="86" customFormat="false" ht="15" hidden="false" customHeight="false" outlineLevel="0" collapsed="false">
      <c r="N86" s="76"/>
    </row>
    <row r="87" customFormat="false" ht="15" hidden="false" customHeight="false" outlineLevel="0" collapsed="false">
      <c r="N87" s="76"/>
    </row>
    <row r="88" customFormat="false" ht="15" hidden="false" customHeight="false" outlineLevel="0" collapsed="false">
      <c r="N88" s="76"/>
    </row>
    <row r="89" customFormat="false" ht="15" hidden="false" customHeight="false" outlineLevel="0" collapsed="false">
      <c r="N89" s="76"/>
    </row>
    <row r="90" customFormat="false" ht="15" hidden="false" customHeight="false" outlineLevel="0" collapsed="false">
      <c r="N90" s="76"/>
    </row>
    <row r="91" customFormat="false" ht="15" hidden="false" customHeight="false" outlineLevel="0" collapsed="false">
      <c r="N91" s="76"/>
    </row>
    <row r="92" customFormat="false" ht="15" hidden="false" customHeight="false" outlineLevel="0" collapsed="false">
      <c r="N92" s="76"/>
    </row>
    <row r="93" customFormat="false" ht="15" hidden="false" customHeight="false" outlineLevel="0" collapsed="false">
      <c r="N93" s="76"/>
    </row>
    <row r="94" customFormat="false" ht="15" hidden="false" customHeight="false" outlineLevel="0" collapsed="false">
      <c r="N94" s="76"/>
    </row>
    <row r="95" customFormat="false" ht="15" hidden="false" customHeight="false" outlineLevel="0" collapsed="false">
      <c r="N95" s="76"/>
    </row>
    <row r="96" customFormat="false" ht="15" hidden="false" customHeight="false" outlineLevel="0" collapsed="false">
      <c r="N96" s="76"/>
    </row>
    <row r="97" customFormat="false" ht="15" hidden="false" customHeight="false" outlineLevel="0" collapsed="false">
      <c r="N97" s="76"/>
    </row>
    <row r="98" customFormat="false" ht="15" hidden="false" customHeight="false" outlineLevel="0" collapsed="false">
      <c r="N98" s="76"/>
    </row>
    <row r="99" customFormat="false" ht="15" hidden="false" customHeight="false" outlineLevel="0" collapsed="false">
      <c r="A99" s="296" t="s">
        <v>384</v>
      </c>
      <c r="B99" s="296"/>
      <c r="N99" s="76"/>
    </row>
    <row r="100" customFormat="false" ht="15" hidden="false" customHeight="false" outlineLevel="0" collapsed="false">
      <c r="A100" s="297" t="s">
        <v>385</v>
      </c>
      <c r="B100" s="297" t="s">
        <v>8</v>
      </c>
      <c r="N100" s="76"/>
    </row>
    <row r="101" customFormat="false" ht="15" hidden="false" customHeight="false" outlineLevel="0" collapsed="false">
      <c r="A101" s="298" t="n">
        <v>0</v>
      </c>
      <c r="B101" s="299" t="s">
        <v>386</v>
      </c>
      <c r="N101" s="76"/>
    </row>
    <row r="102" customFormat="false" ht="15" hidden="false" customHeight="false" outlineLevel="0" collapsed="false">
      <c r="A102" s="298" t="n">
        <v>-2</v>
      </c>
      <c r="B102" s="299" t="s">
        <v>387</v>
      </c>
      <c r="N102" s="76"/>
    </row>
    <row r="103" customFormat="false" ht="15" hidden="false" customHeight="false" outlineLevel="0" collapsed="false">
      <c r="A103" s="298" t="n">
        <v>8.5</v>
      </c>
      <c r="B103" s="299" t="s">
        <v>388</v>
      </c>
      <c r="N103" s="76"/>
    </row>
    <row r="104" customFormat="false" ht="15" hidden="false" customHeight="false" outlineLevel="0" collapsed="false">
      <c r="A104" s="298" t="n">
        <v>14.5</v>
      </c>
      <c r="B104" s="299" t="s">
        <v>389</v>
      </c>
      <c r="N104" s="76"/>
    </row>
    <row r="105" customFormat="false" ht="15" hidden="false" customHeight="false" outlineLevel="0" collapsed="false">
      <c r="A105" s="298" t="n">
        <v>8.5</v>
      </c>
      <c r="B105" s="299" t="s">
        <v>390</v>
      </c>
      <c r="N105" s="76"/>
    </row>
    <row r="106" customFormat="false" ht="15" hidden="false" customHeight="false" outlineLevel="0" collapsed="false">
      <c r="A106" s="298" t="n">
        <v>10</v>
      </c>
      <c r="B106" s="299" t="s">
        <v>391</v>
      </c>
      <c r="N106" s="76"/>
    </row>
    <row r="107" customFormat="false" ht="15" hidden="false" customHeight="false" outlineLevel="0" collapsed="false">
      <c r="A107" s="298" t="n">
        <v>-7.5</v>
      </c>
      <c r="B107" s="299" t="s">
        <v>392</v>
      </c>
      <c r="N107" s="76"/>
    </row>
    <row r="108" customFormat="false" ht="15" hidden="false" customHeight="false" outlineLevel="0" collapsed="false">
      <c r="A108" s="298" t="n">
        <v>2</v>
      </c>
      <c r="B108" s="299" t="s">
        <v>393</v>
      </c>
      <c r="N108" s="76"/>
    </row>
    <row r="109" customFormat="false" ht="15" hidden="false" customHeight="false" outlineLevel="0" collapsed="false">
      <c r="A109" s="300" t="n">
        <v>2</v>
      </c>
      <c r="B109" s="301" t="s">
        <v>394</v>
      </c>
      <c r="N109" s="76"/>
    </row>
    <row r="110" customFormat="false" ht="15" hidden="false" customHeight="false" outlineLevel="0" collapsed="false">
      <c r="A110" s="300" t="n">
        <v>2.25</v>
      </c>
      <c r="B110" s="301" t="s">
        <v>395</v>
      </c>
    </row>
    <row r="111" customFormat="false" ht="15" hidden="false" customHeight="false" outlineLevel="0" collapsed="false">
      <c r="A111" s="300" t="n">
        <v>-4</v>
      </c>
      <c r="B111" s="302" t="s">
        <v>396</v>
      </c>
    </row>
    <row r="112" customFormat="false" ht="15" hidden="false" customHeight="false" outlineLevel="0" collapsed="false">
      <c r="A112" s="300" t="n">
        <v>-7.5</v>
      </c>
      <c r="B112" s="301" t="s">
        <v>397</v>
      </c>
    </row>
  </sheetData>
  <mergeCells count="1">
    <mergeCell ref="A99:B99"/>
  </mergeCells>
  <conditionalFormatting sqref="G4:G50">
    <cfRule type="expression" priority="2" aboveAverage="0" equalAverage="0" bottom="0" percent="0" rank="0" text="" dxfId="838">
      <formula>L4="O"</formula>
    </cfRule>
    <cfRule type="expression" priority="3" aboveAverage="0" equalAverage="0" bottom="0" percent="0" rank="0" text="" dxfId="839">
      <formula>H4=0</formula>
    </cfRule>
  </conditionalFormatting>
  <conditionalFormatting sqref="F4:F50">
    <cfRule type="expression" priority="4" aboveAverage="0" equalAverage="0" bottom="0" percent="0" rank="0" text="" dxfId="840">
      <formula>L4="O"</formula>
    </cfRule>
  </conditionalFormatting>
  <conditionalFormatting sqref="E4:E50">
    <cfRule type="expression" priority="5" aboveAverage="0" equalAverage="0" bottom="0" percent="0" rank="0" text="" dxfId="841">
      <formula>L4="O"</formula>
    </cfRule>
  </conditionalFormatting>
  <conditionalFormatting sqref="C4:I50 K4:K50">
    <cfRule type="containsText" priority="6" operator="containsText" aboveAverage="0" equalAverage="0" bottom="0" percent="0" rank="0" text="Lundi" dxfId="693">
      <formula>NOT(ISERROR(SEARCH("Lundi",C4)))</formula>
    </cfRule>
  </conditionalFormatting>
  <conditionalFormatting sqref="D4:D50">
    <cfRule type="expression" priority="7" aboveAverage="0" equalAverage="0" bottom="0" percent="0" rank="0" text="" dxfId="842">
      <formula>L4="O"</formula>
    </cfRule>
  </conditionalFormatting>
  <conditionalFormatting sqref="C4:C50">
    <cfRule type="expression" priority="8" aboveAverage="0" equalAverage="0" bottom="0" percent="0" rank="0" text="" dxfId="843">
      <formula>L4="O"</formula>
    </cfRule>
  </conditionalFormatting>
  <conditionalFormatting sqref="K4:K50">
    <cfRule type="expression" priority="9" aboveAverage="0" equalAverage="0" bottom="0" percent="0" rank="0" text="" dxfId="844">
      <formula>L4="O"</formula>
    </cfRule>
  </conditionalFormatting>
  <conditionalFormatting sqref="I4:I50">
    <cfRule type="expression" priority="10" aboveAverage="0" equalAverage="0" bottom="0" percent="0" rank="0" text="" dxfId="845">
      <formula>L4="O"</formula>
    </cfRule>
  </conditionalFormatting>
  <conditionalFormatting sqref="H4:H50">
    <cfRule type="expression" priority="11" aboveAverage="0" equalAverage="0" bottom="0" percent="0" rank="0" text="" dxfId="846">
      <formula>L4="O"</formula>
    </cfRule>
  </conditionalFormatting>
  <conditionalFormatting sqref="F2:J2">
    <cfRule type="iconSet" priority="12">
      <iconSet iconSet="3TrafficLights1">
        <cfvo type="percent" val="0"/>
        <cfvo type="percent" val="33"/>
        <cfvo type="percent" val="67"/>
      </iconSet>
    </cfRule>
  </conditionalFormatting>
  <conditionalFormatting sqref="B4:B50">
    <cfRule type="containsText" priority="13" operator="containsText" aboveAverage="0" equalAverage="0" bottom="0" percent="0" rank="0" text="5" dxfId="847">
      <formula>NOT(ISERROR(SEARCH("5",B4)))</formula>
    </cfRule>
    <cfRule type="containsText" priority="14" operator="containsText" aboveAverage="0" equalAverage="0" bottom="0" percent="0" rank="0" text="4" dxfId="848">
      <formula>NOT(ISERROR(SEARCH("4",B4)))</formula>
    </cfRule>
    <cfRule type="containsText" priority="15" operator="containsText" aboveAverage="0" equalAverage="0" bottom="0" percent="0" rank="0" text="3" dxfId="849">
      <formula>NOT(ISERROR(SEARCH("3",B4)))</formula>
    </cfRule>
    <cfRule type="containsText" priority="16" operator="containsText" aboveAverage="0" equalAverage="0" bottom="0" percent="0" rank="0" text="2" dxfId="850">
      <formula>NOT(ISERROR(SEARCH("2",B4)))</formula>
    </cfRule>
    <cfRule type="containsText" priority="17" operator="containsText" aboveAverage="0" equalAverage="0" bottom="0" percent="0" rank="0" text="1" dxfId="851">
      <formula>NOT(ISERROR(SEARCH("1",B4)))</formula>
    </cfRule>
  </conditionalFormatting>
  <conditionalFormatting sqref="I68:I75">
    <cfRule type="dataBar" priority="18">
      <dataBar showValue="1" minLength="10" maxLength="90">
        <cfvo type="min" val="0"/>
        <cfvo type="max" val="0"/>
        <color rgb="FFFFB628"/>
      </dataBar>
      <extLst>
        <ext xmlns:x14="http://schemas.microsoft.com/office/spreadsheetml/2009/9/main" uri="{B025F937-C7B1-47D3-B67F-A62EFF666E3E}">
          <x14:id>{8CC3D9E6-20BD-4C24-9294-D33E96742665}</x14:id>
        </ext>
      </extLst>
    </cfRule>
  </conditionalFormatting>
  <conditionalFormatting sqref="I64:I65 J59:J63">
    <cfRule type="dataBar" priority="19">
      <dataBar showValue="1" minLength="10" maxLength="90">
        <cfvo type="min" val="0"/>
        <cfvo type="max" val="0"/>
        <color rgb="FFFFB628"/>
      </dataBar>
      <extLst>
        <ext xmlns:x14="http://schemas.microsoft.com/office/spreadsheetml/2009/9/main" uri="{B025F937-C7B1-47D3-B67F-A62EFF666E3E}">
          <x14:id>{4355BDD0-46A0-4C40-BCB9-F151E0F5E8F6}</x14:id>
        </ext>
      </extLst>
    </cfRule>
  </conditionalFormatting>
  <conditionalFormatting sqref="U2:AG2">
    <cfRule type="dataBar" priority="20">
      <dataBar showValue="1" minLength="10" maxLength="90">
        <cfvo type="min" val="0"/>
        <cfvo type="max" val="0"/>
        <color rgb="FF63C384"/>
      </dataBar>
      <extLst>
        <ext xmlns:x14="http://schemas.microsoft.com/office/spreadsheetml/2009/9/main" uri="{B025F937-C7B1-47D3-B67F-A62EFF666E3E}">
          <x14:id>{C490C2BE-C453-408B-A04E-AB142D5B9E31}</x14:id>
        </ext>
      </extLst>
    </cfRule>
  </conditionalFormatting>
  <conditionalFormatting sqref="N2:T2">
    <cfRule type="dataBar" priority="21">
      <dataBar showValue="1" minLength="10" maxLength="90">
        <cfvo type="min" val="0"/>
        <cfvo type="max" val="0"/>
        <color rgb="FFFFB628"/>
      </dataBar>
      <extLst>
        <ext xmlns:x14="http://schemas.microsoft.com/office/spreadsheetml/2009/9/main" uri="{B025F937-C7B1-47D3-B67F-A62EFF666E3E}">
          <x14:id>{57B16D49-5F6D-41AB-824C-8EDAF9917C89}</x14:id>
        </ext>
      </extLst>
    </cfRule>
  </conditionalFormatting>
  <conditionalFormatting sqref="N2:AG2">
    <cfRule type="dataBar" priority="22">
      <dataBar showValue="1" minLength="10" maxLength="90">
        <cfvo type="min" val="0"/>
        <cfvo type="max" val="0"/>
        <color rgb="FFFFB628"/>
      </dataBar>
      <extLst>
        <ext xmlns:x14="http://schemas.microsoft.com/office/spreadsheetml/2009/9/main" uri="{B025F937-C7B1-47D3-B67F-A62EFF666E3E}">
          <x14:id>{9B40E964-369C-46F3-A527-8A5B9DE68587}</x14:id>
        </ext>
      </extLst>
    </cfRule>
  </conditionalFormatting>
  <conditionalFormatting sqref="N2:S2">
    <cfRule type="dataBar" priority="23">
      <dataBar showValue="1" minLength="10" maxLength="90">
        <cfvo type="min" val="0"/>
        <cfvo type="max" val="0"/>
        <color rgb="FF638EC6"/>
      </dataBar>
      <extLst>
        <ext xmlns:x14="http://schemas.microsoft.com/office/spreadsheetml/2009/9/main" uri="{B025F937-C7B1-47D3-B67F-A62EFF666E3E}">
          <x14:id>{E6166921-E6CA-4855-98E1-A83A368AE159}</x14:id>
        </ext>
      </extLst>
    </cfRule>
  </conditionalFormatting>
  <conditionalFormatting sqref="T2">
    <cfRule type="dataBar" priority="24">
      <dataBar showValue="1" minLength="10" maxLength="90">
        <cfvo type="min" val="0"/>
        <cfvo type="max" val="0"/>
        <color rgb="FF63C384"/>
      </dataBar>
      <extLst>
        <ext xmlns:x14="http://schemas.microsoft.com/office/spreadsheetml/2009/9/main" uri="{B025F937-C7B1-47D3-B67F-A62EFF666E3E}">
          <x14:id>{CC68805B-EFB0-4E79-AC87-EEEC7C426F65}</x14:id>
        </ext>
      </extLst>
    </cfRule>
  </conditionalFormatting>
  <conditionalFormatting sqref="A4:A50">
    <cfRule type="colorScale" priority="25">
      <colorScale>
        <cfvo type="min" val="0"/>
        <cfvo type="percentile" val="50"/>
        <cfvo type="max" val="0"/>
        <color rgb="FFFFCC99"/>
        <color rgb="FFFFD966"/>
        <color rgb="FFFFF2CC"/>
      </colorScale>
    </cfRule>
  </conditionalFormatting>
  <conditionalFormatting sqref="J4:J50">
    <cfRule type="iconSet" priority="26">
      <iconSet iconSet="3TrafficLights1">
        <cfvo type="percent" val="0"/>
        <cfvo type="percent" val="33"/>
        <cfvo type="percent" val="67"/>
      </iconSet>
    </cfRule>
  </conditionalFormatting>
  <dataValidations count="4">
    <dataValidation allowBlank="true" errorStyle="stop" operator="between" showDropDown="false" showErrorMessage="true" showInputMessage="true" sqref="B1" type="list">
      <formula1>Data!$A$2:$A$106</formula1>
      <formula2>0</formula2>
    </dataValidation>
    <dataValidation allowBlank="true" errorStyle="stop" operator="between" showDropDown="false" showErrorMessage="true" showInputMessage="true" sqref="B4:B50" type="list">
      <formula1>Data!$C$2:$C$8</formula1>
      <formula2>0</formula2>
    </dataValidation>
    <dataValidation allowBlank="false" errorStyle="stop" operator="between" showDropDown="false" showErrorMessage="true" showInputMessage="true" sqref="E4:E50" type="list">
      <formula1>Data!$E$2:$E$30</formula1>
      <formula2>0</formula2>
    </dataValidation>
    <dataValidation allowBlank="true" errorStyle="information" errorTitle="OK ?" operator="between" showDropDown="false" showErrorMessage="true" showInputMessage="true" sqref="F4:F50" type="list">
      <formula1>Data!$D$2:$D$16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  <tableParts>
    <tablePart r:id="rId4"/>
    <tablePart r:id="rId5"/>
    <tablePart r:id="rId6"/>
    <tablePart r:id="rId7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8CC3D9E6-20BD-4C24-9294-D33E96742665}">
            <x14:dataBar minLength="10" maxLength="90" axisPosition="automatic" gradient="true">
              <x14:cfvo type="autoMin"/>
              <x14:cfvo type="autoMax"/>
              <x14:negativeFillColor rgb="FFFF0000"/>
              <x14:axisColor rgb="FF000000"/>
            </x14:dataBar>
          </x14:cfRule>
          <xm:sqref>I68:I75</xm:sqref>
        </x14:conditionalFormatting>
        <x14:conditionalFormatting xmlns:xm="http://schemas.microsoft.com/office/excel/2006/main">
          <x14:cfRule type="dataBar" id="{4355BDD0-46A0-4C40-BCB9-F151E0F5E8F6}">
            <x14:dataBar minLength="10" maxLength="90" axisPosition="automatic" gradient="true">
              <x14:cfvo type="autoMin"/>
              <x14:cfvo type="autoMax"/>
              <x14:negativeFillColor rgb="FFFF0000"/>
              <x14:axisColor rgb="FF000000"/>
            </x14:dataBar>
          </x14:cfRule>
          <xm:sqref>I64:I65 J59:J63</xm:sqref>
        </x14:conditionalFormatting>
        <x14:conditionalFormatting xmlns:xm="http://schemas.microsoft.com/office/excel/2006/main">
          <x14:cfRule type="dataBar" id="{C490C2BE-C453-408B-A04E-AB142D5B9E31}">
            <x14:dataBar minLength="10" maxLength="90" axisPosition="automatic" gradient="true">
              <x14:cfvo type="autoMin"/>
              <x14:cfvo type="autoMax"/>
              <x14:negativeFillColor rgb="FFFF0000"/>
              <x14:axisColor rgb="FF000000"/>
            </x14:dataBar>
          </x14:cfRule>
          <xm:sqref>U2:AG2</xm:sqref>
        </x14:conditionalFormatting>
        <x14:conditionalFormatting xmlns:xm="http://schemas.microsoft.com/office/excel/2006/main">
          <x14:cfRule type="dataBar" id="{57B16D49-5F6D-41AB-824C-8EDAF9917C89}">
            <x14:dataBar minLength="10" maxLength="90" axisPosition="automatic" gradient="true">
              <x14:cfvo type="autoMin"/>
              <x14:cfvo type="autoMax"/>
              <x14:negativeFillColor rgb="FFFF0000"/>
              <x14:axisColor rgb="FF000000"/>
            </x14:dataBar>
          </x14:cfRule>
          <xm:sqref>N2:T2</xm:sqref>
        </x14:conditionalFormatting>
        <x14:conditionalFormatting xmlns:xm="http://schemas.microsoft.com/office/excel/2006/main">
          <x14:cfRule type="dataBar" id="{9B40E964-369C-46F3-A527-8A5B9DE68587}">
            <x14:dataBar minLength="10" maxLength="90" axisPosition="automatic" gradient="false">
              <x14:cfvo type="autoMin"/>
              <x14:cfvo type="autoMax"/>
              <x14:negativeFillColor rgb="FFFF0000"/>
              <x14:axisColor rgb="FF000000"/>
            </x14:dataBar>
          </x14:cfRule>
          <xm:sqref>N2:AG2</xm:sqref>
        </x14:conditionalFormatting>
        <x14:conditionalFormatting xmlns:xm="http://schemas.microsoft.com/office/excel/2006/main">
          <x14:cfRule type="dataBar" id="{E6166921-E6CA-4855-98E1-A83A368AE159}">
            <x14:dataBar minLength="10" maxLength="90" axisPosition="automatic" gradient="false">
              <x14:cfvo type="autoMin"/>
              <x14:cfvo type="autoMax"/>
              <x14:negativeFillColor rgb="FFFF0000"/>
              <x14:axisColor rgb="FF000000"/>
            </x14:dataBar>
          </x14:cfRule>
          <xm:sqref>N2:S2</xm:sqref>
        </x14:conditionalFormatting>
        <x14:conditionalFormatting xmlns:xm="http://schemas.microsoft.com/office/excel/2006/main">
          <x14:cfRule type="dataBar" id="{CC68805B-EFB0-4E79-AC87-EEEC7C426F65}">
            <x14:dataBar minLength="10" maxLength="90" axisPosition="automatic" gradient="false">
              <x14:cfvo type="autoMin"/>
              <x14:cfvo type="autoMax"/>
              <x14:negativeFillColor rgb="FFFF0000"/>
              <x14:axisColor rgb="FF000000"/>
            </x14:dataBar>
          </x14:cfRule>
          <xm:sqref>T2</xm:sqref>
        </x14:conditionalFormatting>
      </x14:conditionalFormatting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9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E22" activeCellId="0" sqref="E22"/>
    </sheetView>
  </sheetViews>
  <sheetFormatPr defaultColWidth="8.6796875" defaultRowHeight="15" zeroHeight="false" outlineLevelRow="1" outlineLevelCol="1"/>
  <cols>
    <col collapsed="false" customWidth="true" hidden="false" outlineLevel="0" max="1" min="1" style="0" width="16.57"/>
    <col collapsed="false" customWidth="true" hidden="false" outlineLevel="0" max="2" min="2" style="0" width="17.71"/>
    <col collapsed="false" customWidth="true" hidden="false" outlineLevel="0" max="3" min="3" style="0" width="14.14"/>
    <col collapsed="false" customWidth="true" hidden="false" outlineLevel="0" max="4" min="4" style="0" width="10.57"/>
    <col collapsed="false" customWidth="true" hidden="false" outlineLevel="0" max="5" min="5" style="0" width="22"/>
    <col collapsed="false" customWidth="true" hidden="false" outlineLevel="0" max="6" min="6" style="0" width="19.71"/>
    <col collapsed="false" customWidth="true" hidden="false" outlineLevel="0" max="7" min="7" style="0" width="24"/>
    <col collapsed="false" customWidth="true" hidden="false" outlineLevel="0" max="8" min="8" style="0" width="13.29"/>
    <col collapsed="false" customWidth="true" hidden="false" outlineLevel="0" max="9" min="9" style="0" width="15"/>
    <col collapsed="false" customWidth="true" hidden="false" outlineLevel="0" max="11" min="10" style="0" width="16.14"/>
    <col collapsed="false" customWidth="true" hidden="false" outlineLevel="0" max="12" min="12" style="0" width="7.71"/>
    <col collapsed="false" customWidth="true" hidden="false" outlineLevel="0" max="13" min="13" style="224" width="9.86"/>
    <col collapsed="false" customWidth="true" hidden="false" outlineLevel="1" max="14" min="14" style="0" width="10.29"/>
    <col collapsed="false" customWidth="true" hidden="false" outlineLevel="1" max="15" min="15" style="0" width="9.57"/>
    <col collapsed="false" customWidth="true" hidden="false" outlineLevel="1" max="16" min="16" style="0" width="8.57"/>
    <col collapsed="false" customWidth="true" hidden="false" outlineLevel="1" max="18" min="17" style="0" width="7.29"/>
    <col collapsed="false" customWidth="true" hidden="false" outlineLevel="1" max="19" min="19" style="0" width="8.57"/>
    <col collapsed="false" customWidth="true" hidden="false" outlineLevel="1" max="20" min="20" style="0" width="7.71"/>
    <col collapsed="false" customWidth="true" hidden="false" outlineLevel="1" max="21" min="21" style="0" width="12"/>
    <col collapsed="false" customWidth="true" hidden="false" outlineLevel="1" max="22" min="22" style="0" width="10.14"/>
    <col collapsed="false" customWidth="true" hidden="false" outlineLevel="1" max="23" min="23" style="0" width="11.71"/>
    <col collapsed="false" customWidth="true" hidden="false" outlineLevel="1" max="24" min="24" style="0" width="12.71"/>
    <col collapsed="false" customWidth="true" hidden="false" outlineLevel="1" max="25" min="25" style="0" width="8.57"/>
    <col collapsed="false" customWidth="true" hidden="false" outlineLevel="1" max="26" min="26" style="0" width="7.29"/>
    <col collapsed="false" customWidth="true" hidden="false" outlineLevel="1" max="27" min="27" style="0" width="9.71"/>
    <col collapsed="false" customWidth="true" hidden="false" outlineLevel="1" max="28" min="28" style="0" width="11.43"/>
    <col collapsed="false" customWidth="true" hidden="false" outlineLevel="1" max="29" min="29" style="0" width="10"/>
    <col collapsed="false" customWidth="true" hidden="false" outlineLevel="1" max="30" min="30" style="0" width="9.86"/>
    <col collapsed="false" customWidth="true" hidden="false" outlineLevel="1" max="31" min="31" style="0" width="7.86"/>
    <col collapsed="false" customWidth="true" hidden="false" outlineLevel="1" max="32" min="32" style="0" width="18.71"/>
    <col collapsed="false" customWidth="true" hidden="false" outlineLevel="1" max="33" min="33" style="0" width="27.15"/>
    <col collapsed="false" customWidth="true" hidden="false" outlineLevel="1" max="34" min="34" style="0" width="5.42"/>
  </cols>
  <sheetData>
    <row r="1" customFormat="false" ht="22.05" hidden="false" customHeight="false" outlineLevel="0" collapsed="false">
      <c r="A1" s="225" t="str">
        <f aca="false">"Semaine du " &amp; Data!D41</f>
        <v>Semaine du </v>
      </c>
      <c r="B1" s="226" t="n">
        <v>44249</v>
      </c>
      <c r="C1" s="227"/>
      <c r="D1" s="321" t="s">
        <v>361</v>
      </c>
      <c r="E1" s="322" t="n">
        <f aca="false">AVERAGE(F2:J2)</f>
        <v>7.4</v>
      </c>
      <c r="F1" s="323" t="s">
        <v>0</v>
      </c>
      <c r="G1" s="324" t="s">
        <v>1</v>
      </c>
      <c r="H1" s="324" t="s">
        <v>2</v>
      </c>
      <c r="I1" s="324" t="s">
        <v>3</v>
      </c>
      <c r="J1" s="324" t="s">
        <v>4</v>
      </c>
      <c r="K1" s="325" t="s">
        <v>401</v>
      </c>
      <c r="L1" s="234" t="n">
        <f aca="false">COUNTIF(Horodateur1123353819223134374346495255586164698522263438465058546266707478829098941021061141181101221261301341381421461501541581621661701741781821861901941982022062102144101418222630[O],"o")+ COUNTIF(Horodateur1123353819223134374346495255586164698522263438465058546266707478829098941021061141181101221261301341381421461501541581621661701741781821861901941982022062102144101418222630[O],".")</f>
        <v>34</v>
      </c>
      <c r="M1" s="128" t="n">
        <f aca="false">B2</f>
        <v>37</v>
      </c>
      <c r="N1" s="131" t="s">
        <v>21</v>
      </c>
      <c r="O1" s="130" t="s">
        <v>20</v>
      </c>
      <c r="P1" s="130" t="s">
        <v>23</v>
      </c>
      <c r="Q1" s="130" t="s">
        <v>25</v>
      </c>
      <c r="R1" s="130" t="s">
        <v>26</v>
      </c>
      <c r="S1" s="130" t="s">
        <v>378</v>
      </c>
      <c r="T1" s="130" t="s">
        <v>380</v>
      </c>
      <c r="U1" s="136" t="s">
        <v>32</v>
      </c>
      <c r="V1" s="136" t="s">
        <v>69</v>
      </c>
      <c r="W1" s="136" t="s">
        <v>66</v>
      </c>
      <c r="X1" s="136" t="s">
        <v>47</v>
      </c>
      <c r="Y1" s="136" t="s">
        <v>68</v>
      </c>
      <c r="Z1" s="136" t="s">
        <v>41</v>
      </c>
      <c r="AA1" s="136" t="s">
        <v>61</v>
      </c>
      <c r="AB1" s="136" t="s">
        <v>74</v>
      </c>
      <c r="AC1" s="136" t="s">
        <v>37</v>
      </c>
      <c r="AD1" s="136" t="s">
        <v>77</v>
      </c>
      <c r="AE1" s="136" t="s">
        <v>45</v>
      </c>
      <c r="AF1" s="136" t="s">
        <v>78</v>
      </c>
      <c r="AG1" s="136" t="s">
        <v>79</v>
      </c>
      <c r="AH1" s="87" t="str">
        <f aca="false">SUM(M4:M37) &amp; " / " &amp; B2-SUM(M4:M37)</f>
        <v>37 / 0</v>
      </c>
    </row>
    <row r="2" customFormat="false" ht="22.05" hidden="false" customHeight="false" outlineLevel="0" collapsed="false">
      <c r="A2" s="327" t="n">
        <f aca="false">SUM(Horodateur1123353819223134374346495255586164698522263438465058546266707478829098941021061141181101221261301341381421461501541581621661701741781821861901941982022062102144101418222630[Durée (60)])</f>
        <v>1.54166666666667</v>
      </c>
      <c r="B2" s="328" t="n">
        <f aca="false">SUM(Horodateur1123353819223134374346495255586164698522263438465058546266707478829098941021061141181101221261301341381421461501541581621661701741781821861901941982022062102144101418222630[Durée (100)])</f>
        <v>37</v>
      </c>
      <c r="C2" s="339" t="str">
        <f aca="false">M2</f>
        <v>37 / 0</v>
      </c>
      <c r="D2" s="238"/>
      <c r="E2" s="239"/>
      <c r="F2" s="329" t="n">
        <f aca="false">SUMIF(Horodateur1123353819223134374346495255586164698522263438465058546266707478829098941021061141181101221261301341381421461501541581621661701741781821861901941982022062102144101418222630[Jour],"1- Lundi",Horodateur1123353819223134374346495255586164698522263438465058546266707478829098941021061141181101221261301341381421461501541581621661701741781821861901941982022062102144101418222630[Durée (100)])</f>
        <v>7.75</v>
      </c>
      <c r="G2" s="330" t="n">
        <f aca="false">SUMIF(Horodateur1123353819223134374346495255586164698522263438465058546266707478829098941021061141181101221261301341381421461501541581621661701741781821861901941982022062102144101418222630[Jour],"2- Mardi",Horodateur1123353819223134374346495255586164698522263438465058546266707478829098941021061141181101221261301341381421461501541581621661701741781821861901941982022062102144101418222630[Durée (100)])</f>
        <v>7</v>
      </c>
      <c r="H2" s="330" t="n">
        <f aca="false">SUMIF(Horodateur1123353819223134374346495255586164698522263438465058546266707478829098941021061141181101221261301341381421461501541581621661701741781821861901941982022062102144101418222630[Jour],"3- Mercredi",Horodateur1123353819223134374346495255586164698522263438465058546266707478829098941021061141181101221261301341381421461501541581621661701741781821861901941982022062102144101418222630[Durée (100)])</f>
        <v>8.5</v>
      </c>
      <c r="I2" s="330" t="n">
        <f aca="false">SUMIF(Horodateur1123353819223134374346495255586164698522263438465058546266707478829098941021061141181101221261301341381421461501541581621661701741781821861901941982022062102144101418222630[Jour],"4- Jeudi",Horodateur1123353819223134374346495255586164698522263438465058546266707478829098941021061141181101221261301341381421461501541581621661701741781821861901941982022062102144101418222630[Durée (100)])</f>
        <v>5.25</v>
      </c>
      <c r="J2" s="330" t="n">
        <f aca="false">SUMIF(Horodateur1123353819223134374346495255586164698522263438465058546266707478829098941021061141181101221261301341381421461501541581621661701741781821861901941982022062102144101418222630[Jour],"5- Vendredi",Horodateur1123353819223134374346495255586164698522263438465058546266707478829098941021061141181101221261301341381421461501541581621661701741781821861901941982022062102144101418222630[Durée (100)])</f>
        <v>8.5</v>
      </c>
      <c r="K2" s="331" t="str">
        <f aca="false">ROUND(SUMIF(Horodateur1123353819223134374346495255586164698522263438465058546266707478829098941021061141181101221261301341381421461501541581621661701741781821861901941982022062102144101418222630[Jour],"6- Samedi",Horodateur1123353819223134374346495255586164698522263438465058546266707478829098941021061141181101221261301341381421461501541581621661701741781821861901941982022062102144101418222630[Durée (100)]),2) &amp;  "   /    " &amp;  ROUND(SUMIF(Horodateur1123353819223134374346495255586164698522263438465058546266707478829098941021061141181101221261301341381421461501541581621661701741781821861901941982022062102144101418222630[Jour],"7- Dimanche",Horodateur1123353819223134374346495255586164698522263438465058546266707478829098941021061141181101221261301341381421461501541581621661701741781821861901941982022062102144101418222630[Durée (100)]),2)</f>
        <v>0   /    0</v>
      </c>
      <c r="L2" s="244" t="str">
        <f aca="false">COUNTIF(Horodateur1123353819223134374346495255586164698522263438465058546266707478829098941021061141181101221261301341381421461501541581621661701741781821861901941982022062102144101418222630[O],"o")&amp;" / " &amp;  COUNTIF(Horodateur1123353819223134374346495255586164698522263438465058546266707478829098941021061141181101221261301341381421461501541581621661701741781821861901941982022062102144101418222630[O],".")</f>
        <v>34 / 0</v>
      </c>
      <c r="M2" s="143" t="str">
        <f aca="false">SUM(M4:M37) &amp; " / " &amp; B2-SUM(M4:M37)</f>
        <v>37 / 0</v>
      </c>
      <c r="N2" s="248" t="n">
        <f aca="false">SUMIF(Horodateur1123353819223134374346495255586164698522263438465058546266707478829098941021061141181101221261301341381421461501541581621661701741781821861901941982022062102144101418222630[Tâche],N$1,Horodateur1123353819223134374346495255586164698522263438465058546266707478829098941021061141181101221261301341381421461501541581621661701741781821861901941982022062102144101418222630[Durée (100)])</f>
        <v>2.25</v>
      </c>
      <c r="O2" s="247" t="n">
        <f aca="false">SUMIF(Horodateur1123353819223134374346495255586164698522263438465058546266707478829098941021061141181101221261301341381421461501541581621661701741781821861901941982022062102144101418222630[Tâche],O$1,Horodateur1123353819223134374346495255586164698522263438465058546266707478829098941021061141181101221261301341381421461501541581621661701741781821861901941982022062102144101418222630[Durée (100)])</f>
        <v>0.500000000000001</v>
      </c>
      <c r="P2" s="247" t="n">
        <f aca="false">SUMIF(Horodateur1123353819223134374346495255586164698522263438465058546266707478829098941021061141181101221261301341381421461501541581621661701741781821861901941982022062102144101418222630[Tâche],P$1,Horodateur1123353819223134374346495255586164698522263438465058546266707478829098941021061141181101221261301341381421461501541581621661701741781821861901941982022062102144101418222630[Durée (100)])</f>
        <v>2.5</v>
      </c>
      <c r="Q2" s="247" t="n">
        <f aca="false">SUMIF(Horodateur1123353819223134374346495255586164698522263438465058546266707478829098941021061141181101221261301341381421461501541581621661701741781821861901941982022062102144101418222630[Tâche],Q$1,Horodateur1123353819223134374346495255586164698522263438465058546266707478829098941021061141181101221261301341381421461501541581621661701741781821861901941982022062102144101418222630[Durée (100)])</f>
        <v>0</v>
      </c>
      <c r="R2" s="247" t="n">
        <f aca="false">SUMIF(Horodateur1123353819223134374346495255586164698522263438465058546266707478829098941021061141181101221261301341381421461501541581621661701741781821861901941982022062102144101418222630[Tâche],R$1,Horodateur1123353819223134374346495255586164698522263438465058546266707478829098941021061141181101221261301341381421461501541581621661701741781821861901941982022062102144101418222630[Durée (100)])</f>
        <v>0</v>
      </c>
      <c r="S2" s="247" t="n">
        <f aca="false">SUMIF(Horodateur1123353819223134374346495255586164698522263438465058546266707478829098941021061141181101221261301341381421461501541581621661701741781821861901941982022062102144101418222630[Tâche],S$1,Horodateur1123353819223134374346495255586164698522263438465058546266707478829098941021061141181101221261301341381421461501541581621661701741781821861901941982022062102144101418222630[Durée (100)])</f>
        <v>24</v>
      </c>
      <c r="T2" s="247" t="n">
        <f aca="false">SUMIF(Horodateur1123353819223134374346495255586164698522263438465058546266707478829098941021061141181101221261301341381421461501541581621661701741781821861901941982022062102144101418222630[Tâche],T$1,Horodateur1123353819223134374346495255586164698522263438465058546266707478829098941021061141181101221261301341381421461501541581621661701741781821861901941982022062102144101418222630[Durée (100)])</f>
        <v>0</v>
      </c>
      <c r="U2" s="151" t="n">
        <f aca="false">SUMIF(Horodateur1123353819223134374346495255586164698522263438465058546266707478829098941021061141181101221261301341381421461501541581621661701741781821861901941982022062102144101418222630[Client],U$1,Horodateur1123353819223134374346495255586164698522263438465058546266707478829098941021061141181101221261301341381421461501541581621661701741781821861901941982022062102144101418222630[Durée (100)])</f>
        <v>11</v>
      </c>
      <c r="V2" s="151" t="n">
        <f aca="false">SUMIF(Horodateur1123353819223134374346495255586164698522263438465058546266707478829098941021061141181101221261301341381421461501541581621661701741781821861901941982022062102144101418222630[Client],V$1,Horodateur1123353819223134374346495255586164698522263438465058546266707478829098941021061141181101221261301341381421461501541581621661701741781821861901941982022062102144101418222630[Durée (100)])</f>
        <v>0</v>
      </c>
      <c r="W2" s="151" t="n">
        <f aca="false">SUMIF(Horodateur1123353819223134374346495255586164698522263438465058546266707478829098941021061141181101221261301341381421461501541581621661701741781821861901941982022062102144101418222630[Client],W$1,Horodateur1123353819223134374346495255586164698522263438465058546266707478829098941021061141181101221261301341381421461501541581621661701741781821861901941982022062102144101418222630[Durée (100)])</f>
        <v>0</v>
      </c>
      <c r="X2" s="151" t="n">
        <f aca="false">SUMIF(Horodateur1123353819223134374346495255586164698522263438465058546266707478829098941021061141181101221261301341381421461501541581621661701741781821861901941982022062102144101418222630[Client],X$1,Horodateur1123353819223134374346495255586164698522263438465058546266707478829098941021061141181101221261301341381421461501541581621661701741781821861901941982022062102144101418222630[Durée (100)])</f>
        <v>0</v>
      </c>
      <c r="Y2" s="151" t="n">
        <f aca="false">SUMIF(Horodateur1123353819223134374346495255586164698522263438465058546266707478829098941021061141181101221261301341381421461501541581621661701741781821861901941982022062102144101418222630[Client],Y$1,Horodateur1123353819223134374346495255586164698522263438465058546266707478829098941021061141181101221261301341381421461501541581621661701741781821861901941982022062102144101418222630[Durée (100)])</f>
        <v>0</v>
      </c>
      <c r="Z2" s="151" t="n">
        <f aca="false">SUMIF(Horodateur1123353819223134374346495255586164698522263438465058546266707478829098941021061141181101221261301341381421461501541581621661701741781821861901941982022062102144101418222630[Client],Z$1,Horodateur1123353819223134374346495255586164698522263438465058546266707478829098941021061141181101221261301341381421461501541581621661701741781821861901941982022062102144101418222630[Durée (100)])</f>
        <v>0</v>
      </c>
      <c r="AA2" s="151" t="n">
        <f aca="false">SUMIF(Horodateur1123353819223134374346495255586164698522263438465058546266707478829098941021061141181101221261301341381421461501541581621661701741781821861901941982022062102144101418222630[Client],AA$1,Horodateur1123353819223134374346495255586164698522263438465058546266707478829098941021061141181101221261301341381421461501541581621661701741781821861901941982022062102144101418222630[Durée (100)])</f>
        <v>0</v>
      </c>
      <c r="AB2" s="151" t="n">
        <f aca="false">SUMIF(Horodateur1123353819223134374346495255586164698522263438465058546266707478829098941021061141181101221261301341381421461501541581621661701741781821861901941982022062102144101418222630[Client],AB$1,Horodateur1123353819223134374346495255586164698522263438465058546266707478829098941021061141181101221261301341381421461501541581621661701741781821861901941982022062102144101418222630[Durée (100)])</f>
        <v>0</v>
      </c>
      <c r="AC2" s="151" t="n">
        <f aca="false">SUMIF(Horodateur1123353819223134374346495255586164698522263438465058546266707478829098941021061141181101221261301341381421461501541581621661701741781821861901941982022062102144101418222630[Client],AC$1,Horodateur1123353819223134374346495255586164698522263438465058546266707478829098941021061141181101221261301341381421461501541581621661701741781821861901941982022062102144101418222630[Durée (100)])</f>
        <v>7.5</v>
      </c>
      <c r="AD2" s="151" t="n">
        <f aca="false">SUMIF(Horodateur1123353819223134374346495255586164698522263438465058546266707478829098941021061141181101221261301341381421461501541581621661701741781821861901941982022062102144101418222630[Client],AD$1,Horodateur1123353819223134374346495255586164698522263438465058546266707478829098941021061141181101221261301341381421461501541581621661701741781821861901941982022062102144101418222630[Durée (100)])</f>
        <v>0</v>
      </c>
      <c r="AE2" s="151" t="n">
        <f aca="false">SUMIF(Horodateur1123353819223134374346495255586164698522263438465058546266707478829098941021061141181101221261301341381421461501541581621661701741781821861901941982022062102144101418222630[Client],AE$1,Horodateur1123353819223134374346495255586164698522263438465058546266707478829098941021061141181101221261301341381421461501541581621661701741781821861901941982022062102144101418222630[Durée (100)])</f>
        <v>0</v>
      </c>
      <c r="AF2" s="151" t="n">
        <f aca="false">SUMIF(Horodateur1123353819223134374346495255586164698522263438465058546266707478829098941021061141181101221261301341381421461501541581621661701741781821861901941982022062102144101418222630[Client],AF$1,Horodateur1123353819223134374346495255586164698522263438465058546266707478829098941021061141181101221261301341381421461501541581621661701741781821861901941982022062102144101418222630[Durée (100)])</f>
        <v>0</v>
      </c>
      <c r="AG2" s="151" t="n">
        <f aca="false">SUMIF(Horodateur1123353819223134374346495255586164698522263438465058546266707478829098941021061141181101221261301341381421461501541581621661701741781821861901941982022062102144101418222630[Client],AG$1,Horodateur1123353819223134374346495255586164698522263438465058546266707478829098941021061141181101221261301341381421461501541581621661701741781821861901941982022062102144101418222630[Durée (100)])</f>
        <v>0</v>
      </c>
    </row>
    <row r="3" s="137" customFormat="true" ht="15" hidden="false" customHeight="false" outlineLevel="0" collapsed="false">
      <c r="A3" s="249" t="s">
        <v>8</v>
      </c>
      <c r="B3" s="249" t="s">
        <v>9</v>
      </c>
      <c r="C3" s="193" t="s">
        <v>10</v>
      </c>
      <c r="D3" s="193" t="s">
        <v>11</v>
      </c>
      <c r="E3" s="250" t="s">
        <v>12</v>
      </c>
      <c r="F3" s="250" t="s">
        <v>13</v>
      </c>
      <c r="G3" s="250" t="s">
        <v>14</v>
      </c>
      <c r="H3" s="193" t="s">
        <v>302</v>
      </c>
      <c r="I3" s="252" t="s">
        <v>364</v>
      </c>
      <c r="J3" s="253" t="s">
        <v>365</v>
      </c>
      <c r="K3" s="250" t="s">
        <v>402</v>
      </c>
      <c r="L3" s="255" t="s">
        <v>7</v>
      </c>
      <c r="M3" s="254" t="s">
        <v>29</v>
      </c>
      <c r="N3" s="153" t="n">
        <f aca="false">N2/$B$2</f>
        <v>0.0608108108108108</v>
      </c>
      <c r="O3" s="153" t="n">
        <f aca="false">O2/$B$2</f>
        <v>0.0135135135135135</v>
      </c>
      <c r="P3" s="153" t="n">
        <f aca="false">P2/$B$2</f>
        <v>0.0675675675675675</v>
      </c>
      <c r="Q3" s="153" t="n">
        <f aca="false">Q2/$B$2</f>
        <v>0</v>
      </c>
      <c r="R3" s="153" t="n">
        <f aca="false">R2/$B$2</f>
        <v>0</v>
      </c>
      <c r="S3" s="153" t="n">
        <f aca="false">S2/$B$2</f>
        <v>0.648648648648649</v>
      </c>
      <c r="T3" s="153" t="n">
        <f aca="false">T2/$B$2</f>
        <v>0</v>
      </c>
      <c r="U3" s="153" t="n">
        <f aca="false">U2/$B$2</f>
        <v>0.297297297297297</v>
      </c>
      <c r="V3" s="153" t="n">
        <f aca="false">V2/$B$2</f>
        <v>0</v>
      </c>
      <c r="W3" s="153" t="n">
        <f aca="false">W2/$B$2</f>
        <v>0</v>
      </c>
      <c r="X3" s="153" t="n">
        <f aca="false">X2/$B$2</f>
        <v>0</v>
      </c>
      <c r="Y3" s="153" t="n">
        <f aca="false">Y2/$B$2</f>
        <v>0</v>
      </c>
      <c r="Z3" s="153" t="n">
        <f aca="false">Z2/$B$2</f>
        <v>0</v>
      </c>
      <c r="AA3" s="153" t="n">
        <f aca="false">AA2/$B$2</f>
        <v>0</v>
      </c>
      <c r="AB3" s="153" t="n">
        <f aca="false">AB2/$B$2</f>
        <v>0</v>
      </c>
      <c r="AC3" s="153" t="n">
        <f aca="false">AC2/$B$2</f>
        <v>0.202702702702703</v>
      </c>
      <c r="AD3" s="153" t="n">
        <f aca="false">AD2/$B$2</f>
        <v>0</v>
      </c>
      <c r="AE3" s="153" t="n">
        <f aca="false">AE2/$B$2</f>
        <v>0</v>
      </c>
      <c r="AF3" s="153" t="n">
        <f aca="false">AF2/$B$2</f>
        <v>0</v>
      </c>
      <c r="AG3" s="153" t="n">
        <f aca="false">AG2/$B$2</f>
        <v>0</v>
      </c>
    </row>
    <row r="4" customFormat="false" ht="15" hidden="false" customHeight="false" outlineLevel="0" collapsed="false">
      <c r="A4" s="256" t="n">
        <f aca="false">IF(Horodateur1123353819223134374346495255586164698522263438465058546266707478829098941021061141181101221261301341381421461501541581621661701741781821861901941982022062102144101418222630[[#This Row],[Jour]]="1- Lundi",$B$1+1, IF(Horodateur1123353819223134374346495255586164698522263438465058546266707478829098941021061141181101221261301341381421461501541581621661701741781821861901941982022062102144101418222630[[#This Row],[Jour]]="2- Mardi",$B$1+2, IF(Horodateur1123353819223134374346495255586164698522263438465058546266707478829098941021061141181101221261301341381421461501541581621661701741781821861901941982022062102144101418222630[[#This Row],[Jour]]="3- Mercredi",$B$1+3, IF(Horodateur1123353819223134374346495255586164698522263438465058546266707478829098941021061141181101221261301341381421461501541581621661701741781821861901941982022062102144101418222630[[#This Row],[Jour]]="4- Jeudi",$B$1+4, IF(Horodateur1123353819223134374346495255586164698522263438465058546266707478829098941021061141181101221261301341381421461501541581621661701741781821861901941982022062102144101418222630[[#This Row],[Jour]]="5- Vendredi",$B$1+5, IF(Horodateur1123353819223134374346495255586164698522263438465058546266707478829098941021061141181101221261301341381421461501541581621661701741781821861901941982022062102144101418222630[[#This Row],[Jour]]="6- Samedi",$B$1+6, IF(Horodateur1123353819223134374346495255586164698522263438465058546266707478829098941021061141181101221261301341381421461501541581621661701741781821861901941982022062102144101418222630[[#This Row],[Jour]]="7- Dimanche",$B$1, )))))))</f>
        <v>44250</v>
      </c>
      <c r="B4" s="257" t="s">
        <v>312</v>
      </c>
      <c r="C4" s="258" t="n">
        <v>0.322916666666667</v>
      </c>
      <c r="D4" s="258" t="n">
        <v>0.364583333333333</v>
      </c>
      <c r="E4" s="71" t="s">
        <v>32</v>
      </c>
      <c r="F4" s="71" t="s">
        <v>21</v>
      </c>
      <c r="G4" s="259" t="s">
        <v>153</v>
      </c>
      <c r="H4" s="258" t="n">
        <f aca="false">IF($C4=0,"",$D4-$C4)</f>
        <v>0.0416666666666667</v>
      </c>
      <c r="I4" s="260" t="n">
        <f aca="false">IF($C4=0,"",($H4-INT($H4))*24)</f>
        <v>1</v>
      </c>
      <c r="J4" s="303" t="n">
        <f aca="false">SUMIF(Horodateur1123353819223134374346495255586164698522263438465058546266707478829098941021061141181101221261301341381421461501541581621661701741781821861901941982022062102144101418222630[Jour],$B4,Horodateur1123353819223134374346495255586164698522263438465058546266707478829098941021061141181101221261301341381421461501541581621661701741781821861901941982022062102144101418222630[Durée (100)])</f>
        <v>7.75</v>
      </c>
      <c r="K4" s="335"/>
      <c r="L4" s="188" t="s">
        <v>31</v>
      </c>
      <c r="M4" s="272" t="n">
        <f aca="false">IF(Horodateur1123353819223134374346495255586164698522263438465058546266707478829098941021061141181101221261301341381421461501541581621661701741781821861901941982022062102144101418222630[[#This Row],[O]]="o",Horodateur1123353819223134374346495255586164698522263438465058546266707478829098941021061141181101221261301341381421461501541581621661701741781821861901941982022062102144101418222630[[#This Row],[Durée (100)]],".")</f>
        <v>0.999999999999999</v>
      </c>
      <c r="N4" s="187"/>
      <c r="O4" s="71"/>
      <c r="P4" s="71"/>
      <c r="Q4" s="71"/>
      <c r="R4" s="71"/>
      <c r="S4" s="71"/>
      <c r="T4" s="71"/>
      <c r="U4" s="71"/>
      <c r="V4" s="71"/>
      <c r="W4" s="71"/>
      <c r="X4" s="71"/>
      <c r="Y4" s="71"/>
      <c r="Z4" s="71"/>
      <c r="AA4" s="71"/>
      <c r="AB4" s="71"/>
      <c r="AC4" s="71"/>
      <c r="AD4" s="71"/>
      <c r="AE4" s="71"/>
      <c r="AF4" s="71"/>
      <c r="AG4" s="71"/>
    </row>
    <row r="5" customFormat="false" ht="15" hidden="false" customHeight="false" outlineLevel="0" collapsed="false">
      <c r="A5" s="256" t="n">
        <f aca="false">IF(Horodateur1123353819223134374346495255586164698522263438465058546266707478829098941021061141181101221261301341381421461501541581621661701741781821861901941982022062102144101418222630[[#This Row],[Jour]]="1- Lundi",$B$1+1, IF(Horodateur1123353819223134374346495255586164698522263438465058546266707478829098941021061141181101221261301341381421461501541581621661701741781821861901941982022062102144101418222630[[#This Row],[Jour]]="2- Mardi",$B$1+2, IF(Horodateur1123353819223134374346495255586164698522263438465058546266707478829098941021061141181101221261301341381421461501541581621661701741781821861901941982022062102144101418222630[[#This Row],[Jour]]="3- Mercredi",$B$1+3, IF(Horodateur1123353819223134374346495255586164698522263438465058546266707478829098941021061141181101221261301341381421461501541581621661701741781821861901941982022062102144101418222630[[#This Row],[Jour]]="4- Jeudi",$B$1+4, IF(Horodateur1123353819223134374346495255586164698522263438465058546266707478829098941021061141181101221261301341381421461501541581621661701741781821861901941982022062102144101418222630[[#This Row],[Jour]]="5- Vendredi",$B$1+5, IF(Horodateur1123353819223134374346495255586164698522263438465058546266707478829098941021061141181101221261301341381421461501541581621661701741781821861901941982022062102144101418222630[[#This Row],[Jour]]="6- Samedi",$B$1+6, IF(Horodateur1123353819223134374346495255586164698522263438465058546266707478829098941021061141181101221261301341381421461501541581621661701741781821861901941982022062102144101418222630[[#This Row],[Jour]]="7- Dimanche",$B$1, )))))))</f>
        <v>44250</v>
      </c>
      <c r="B5" s="257" t="s">
        <v>312</v>
      </c>
      <c r="C5" s="258" t="n">
        <v>0.364583333333333</v>
      </c>
      <c r="D5" s="258" t="n">
        <v>0.385416666666667</v>
      </c>
      <c r="E5" s="71" t="s">
        <v>32</v>
      </c>
      <c r="F5" s="71" t="s">
        <v>20</v>
      </c>
      <c r="G5" s="259" t="s">
        <v>121</v>
      </c>
      <c r="H5" s="258" t="n">
        <f aca="false">IF($C5=0,"",$D5-$C5)</f>
        <v>0.0208333333333333</v>
      </c>
      <c r="I5" s="260" t="n">
        <f aca="false">IF($C5=0,"",($H5-INT($H5))*24)</f>
        <v>0.5</v>
      </c>
      <c r="J5" s="303" t="n">
        <f aca="false">SUMIF(Horodateur1123353819223134374346495255586164698522263438465058546266707478829098941021061141181101221261301341381421461501541581621661701741781821861901941982022062102144101418222630[Jour],$B5,Horodateur1123353819223134374346495255586164698522263438465058546266707478829098941021061141181101221261301341381421461501541581621661701741781821861901941982022062102144101418222630[Durée (100)])</f>
        <v>7.75</v>
      </c>
      <c r="K5" s="335"/>
      <c r="L5" s="188" t="s">
        <v>31</v>
      </c>
      <c r="M5" s="272" t="n">
        <f aca="false">IF(Horodateur1123353819223134374346495255586164698522263438465058546266707478829098941021061141181101221261301341381421461501541581621661701741781821861901941982022062102144101418222630[[#This Row],[O]]="o",Horodateur1123353819223134374346495255586164698522263438465058546266707478829098941021061141181101221261301341381421461501541581621661701741781821861901941982022062102144101418222630[[#This Row],[Durée (100)]],".")</f>
        <v>0.500000000000001</v>
      </c>
      <c r="N5" s="187"/>
      <c r="O5" s="71"/>
      <c r="P5" s="71"/>
      <c r="Q5" s="71"/>
      <c r="R5" s="71"/>
      <c r="S5" s="71"/>
      <c r="T5" s="71"/>
      <c r="U5" s="71"/>
      <c r="V5" s="71"/>
      <c r="W5" s="71"/>
      <c r="X5" s="71"/>
      <c r="Y5" s="71"/>
      <c r="Z5" s="71"/>
      <c r="AA5" s="71"/>
      <c r="AB5" s="71"/>
      <c r="AC5" s="71"/>
      <c r="AD5" s="71"/>
      <c r="AE5" s="71"/>
      <c r="AF5" s="71"/>
      <c r="AG5" s="71"/>
    </row>
    <row r="6" customFormat="false" ht="15" hidden="false" customHeight="false" outlineLevel="0" collapsed="false">
      <c r="A6" s="256" t="n">
        <f aca="false">IF(Horodateur1123353819223134374346495255586164698522263438465058546266707478829098941021061141181101221261301341381421461501541581621661701741781821861901941982022062102144101418222630[[#This Row],[Jour]]="1- Lundi",$B$1+1, IF(Horodateur1123353819223134374346495255586164698522263438465058546266707478829098941021061141181101221261301341381421461501541581621661701741781821861901941982022062102144101418222630[[#This Row],[Jour]]="2- Mardi",$B$1+2, IF(Horodateur1123353819223134374346495255586164698522263438465058546266707478829098941021061141181101221261301341381421461501541581621661701741781821861901941982022062102144101418222630[[#This Row],[Jour]]="3- Mercredi",$B$1+3, IF(Horodateur1123353819223134374346495255586164698522263438465058546266707478829098941021061141181101221261301341381421461501541581621661701741781821861901941982022062102144101418222630[[#This Row],[Jour]]="4- Jeudi",$B$1+4, IF(Horodateur1123353819223134374346495255586164698522263438465058546266707478829098941021061141181101221261301341381421461501541581621661701741781821861901941982022062102144101418222630[[#This Row],[Jour]]="5- Vendredi",$B$1+5, IF(Horodateur1123353819223134374346495255586164698522263438465058546266707478829098941021061141181101221261301341381421461501541581621661701741781821861901941982022062102144101418222630[[#This Row],[Jour]]="6- Samedi",$B$1+6, IF(Horodateur1123353819223134374346495255586164698522263438465058546266707478829098941021061141181101221261301341381421461501541581621661701741781821861901941982022062102144101418222630[[#This Row],[Jour]]="7- Dimanche",$B$1, )))))))</f>
        <v>44250</v>
      </c>
      <c r="B6" s="257" t="s">
        <v>312</v>
      </c>
      <c r="C6" s="258" t="n">
        <v>0.395833333333333</v>
      </c>
      <c r="D6" s="258" t="n">
        <v>0.40625</v>
      </c>
      <c r="E6" s="71" t="s">
        <v>37</v>
      </c>
      <c r="F6" s="71" t="s">
        <v>379</v>
      </c>
      <c r="G6" s="259" t="s">
        <v>55</v>
      </c>
      <c r="H6" s="258" t="n">
        <f aca="false">IF($C6=0,"",$D6-$C6)</f>
        <v>0.0104166666666667</v>
      </c>
      <c r="I6" s="260" t="n">
        <f aca="false">IF($C6=0,"",($H6-INT($H6))*24)</f>
        <v>0.25</v>
      </c>
      <c r="J6" s="303" t="n">
        <f aca="false">SUMIF(Horodateur1123353819223134374346495255586164698522263438465058546266707478829098941021061141181101221261301341381421461501541581621661701741781821861901941982022062102144101418222630[Jour],$B6,Horodateur1123353819223134374346495255586164698522263438465058546266707478829098941021061141181101221261301341381421461501541581621661701741781821861901941982022062102144101418222630[Durée (100)])</f>
        <v>7.75</v>
      </c>
      <c r="K6" s="335"/>
      <c r="L6" s="188" t="s">
        <v>31</v>
      </c>
      <c r="M6" s="272" t="n">
        <f aca="false">IF(Horodateur1123353819223134374346495255586164698522263438465058546266707478829098941021061141181101221261301341381421461501541581621661701741781821861901941982022062102144101418222630[[#This Row],[O]]="o",Horodateur1123353819223134374346495255586164698522263438465058546266707478829098941021061141181101221261301341381421461501541581621661701741781821861901941982022062102144101418222630[[#This Row],[Durée (100)]],".")</f>
        <v>0.25</v>
      </c>
      <c r="N6" s="187"/>
      <c r="O6" s="71"/>
      <c r="P6" s="71"/>
      <c r="Q6" s="71"/>
      <c r="R6" s="71"/>
      <c r="S6" s="71"/>
      <c r="T6" s="71"/>
      <c r="U6" s="71"/>
      <c r="V6" s="71"/>
      <c r="W6" s="71"/>
      <c r="X6" s="71"/>
      <c r="Y6" s="71"/>
      <c r="Z6" s="71"/>
      <c r="AA6" s="71"/>
      <c r="AB6" s="71"/>
      <c r="AC6" s="71"/>
      <c r="AD6" s="71"/>
      <c r="AE6" s="71"/>
      <c r="AF6" s="71"/>
      <c r="AG6" s="71"/>
    </row>
    <row r="7" customFormat="false" ht="15" hidden="false" customHeight="false" outlineLevel="0" collapsed="false">
      <c r="A7" s="256" t="n">
        <f aca="false">IF(Horodateur1123353819223134374346495255586164698522263438465058546266707478829098941021061141181101221261301341381421461501541581621661701741781821861901941982022062102144101418222630[[#This Row],[Jour]]="1- Lundi",$B$1+1, IF(Horodateur1123353819223134374346495255586164698522263438465058546266707478829098941021061141181101221261301341381421461501541581621661701741781821861901941982022062102144101418222630[[#This Row],[Jour]]="2- Mardi",$B$1+2, IF(Horodateur1123353819223134374346495255586164698522263438465058546266707478829098941021061141181101221261301341381421461501541581621661701741781821861901941982022062102144101418222630[[#This Row],[Jour]]="3- Mercredi",$B$1+3, IF(Horodateur1123353819223134374346495255586164698522263438465058546266707478829098941021061141181101221261301341381421461501541581621661701741781821861901941982022062102144101418222630[[#This Row],[Jour]]="4- Jeudi",$B$1+4, IF(Horodateur1123353819223134374346495255586164698522263438465058546266707478829098941021061141181101221261301341381421461501541581621661701741781821861901941982022062102144101418222630[[#This Row],[Jour]]="5- Vendredi",$B$1+5, IF(Horodateur1123353819223134374346495255586164698522263438465058546266707478829098941021061141181101221261301341381421461501541581621661701741781821861901941982022062102144101418222630[[#This Row],[Jour]]="6- Samedi",$B$1+6, IF(Horodateur1123353819223134374346495255586164698522263438465058546266707478829098941021061141181101221261301341381421461501541581621661701741781821861901941982022062102144101418222630[[#This Row],[Jour]]="7- Dimanche",$B$1, )))))))</f>
        <v>44250</v>
      </c>
      <c r="B7" s="257" t="s">
        <v>312</v>
      </c>
      <c r="C7" s="258" t="n">
        <v>0.416666666666667</v>
      </c>
      <c r="D7" s="258" t="n">
        <v>0.5</v>
      </c>
      <c r="E7" s="71" t="s">
        <v>63</v>
      </c>
      <c r="F7" s="71" t="s">
        <v>378</v>
      </c>
      <c r="G7" s="259" t="s">
        <v>577</v>
      </c>
      <c r="H7" s="258" t="n">
        <f aca="false">IF($C7=0,"",$D7-$C7)</f>
        <v>0.0833333333333333</v>
      </c>
      <c r="I7" s="260" t="n">
        <f aca="false">IF($C7=0,"",($H7-INT($H7))*24)</f>
        <v>2</v>
      </c>
      <c r="J7" s="303" t="n">
        <f aca="false">SUMIF(Horodateur1123353819223134374346495255586164698522263438465058546266707478829098941021061141181101221261301341381421461501541581621661701741781821861901941982022062102144101418222630[Jour],$B7,Horodateur1123353819223134374346495255586164698522263438465058546266707478829098941021061141181101221261301341381421461501541581621661701741781821861901941982022062102144101418222630[Durée (100)])</f>
        <v>7.75</v>
      </c>
      <c r="K7" s="335"/>
      <c r="L7" s="188" t="s">
        <v>31</v>
      </c>
      <c r="M7" s="272" t="n">
        <f aca="false">IF(Horodateur1123353819223134374346495255586164698522263438465058546266707478829098941021061141181101221261301341381421461501541581621661701741781821861901941982022062102144101418222630[[#This Row],[O]]="o",Horodateur1123353819223134374346495255586164698522263438465058546266707478829098941021061141181101221261301341381421461501541581621661701741781821861901941982022062102144101418222630[[#This Row],[Durée (100)]],".")</f>
        <v>2</v>
      </c>
      <c r="N7" s="187"/>
      <c r="O7" s="71"/>
      <c r="P7" s="71"/>
      <c r="Q7" s="71"/>
      <c r="R7" s="71"/>
      <c r="S7" s="71"/>
      <c r="T7" s="71"/>
      <c r="U7" s="71"/>
      <c r="V7" s="71"/>
      <c r="W7" s="71"/>
      <c r="X7" s="71"/>
      <c r="Y7" s="71"/>
      <c r="Z7" s="71"/>
      <c r="AA7" s="71"/>
      <c r="AB7" s="71"/>
      <c r="AC7" s="71"/>
      <c r="AD7" s="71"/>
      <c r="AE7" s="71"/>
      <c r="AF7" s="71"/>
      <c r="AG7" s="71"/>
    </row>
    <row r="8" customFormat="false" ht="15" hidden="false" customHeight="false" outlineLevel="0" collapsed="false">
      <c r="A8" s="256" t="n">
        <f aca="false">IF(Horodateur1123353819223134374346495255586164698522263438465058546266707478829098941021061141181101221261301341381421461501541581621661701741781821861901941982022062102144101418222630[[#This Row],[Jour]]="1- Lundi",$B$1+1, IF(Horodateur1123353819223134374346495255586164698522263438465058546266707478829098941021061141181101221261301341381421461501541581621661701741781821861901941982022062102144101418222630[[#This Row],[Jour]]="2- Mardi",$B$1+2, IF(Horodateur1123353819223134374346495255586164698522263438465058546266707478829098941021061141181101221261301341381421461501541581621661701741781821861901941982022062102144101418222630[[#This Row],[Jour]]="3- Mercredi",$B$1+3, IF(Horodateur1123353819223134374346495255586164698522263438465058546266707478829098941021061141181101221261301341381421461501541581621661701741781821861901941982022062102144101418222630[[#This Row],[Jour]]="4- Jeudi",$B$1+4, IF(Horodateur1123353819223134374346495255586164698522263438465058546266707478829098941021061141181101221261301341381421461501541581621661701741781821861901941982022062102144101418222630[[#This Row],[Jour]]="5- Vendredi",$B$1+5, IF(Horodateur1123353819223134374346495255586164698522263438465058546266707478829098941021061141181101221261301341381421461501541581621661701741781821861901941982022062102144101418222630[[#This Row],[Jour]]="6- Samedi",$B$1+6, IF(Horodateur1123353819223134374346495255586164698522263438465058546266707478829098941021061141181101221261301341381421461501541581621661701741781821861901941982022062102144101418222630[[#This Row],[Jour]]="7- Dimanche",$B$1, )))))))</f>
        <v>44250</v>
      </c>
      <c r="B8" s="257" t="s">
        <v>312</v>
      </c>
      <c r="C8" s="258" t="n">
        <v>0.5625</v>
      </c>
      <c r="D8" s="258" t="n">
        <v>0.583333333333333</v>
      </c>
      <c r="E8" s="71" t="s">
        <v>63</v>
      </c>
      <c r="F8" s="71" t="s">
        <v>379</v>
      </c>
      <c r="G8" s="259" t="s">
        <v>55</v>
      </c>
      <c r="H8" s="258" t="n">
        <f aca="false">IF($C8=0,"",$D8-$C8)</f>
        <v>0.0208333333333333</v>
      </c>
      <c r="I8" s="260" t="n">
        <f aca="false">IF($C8=0,"",($H8-INT($H8))*24)</f>
        <v>0.5</v>
      </c>
      <c r="J8" s="303" t="n">
        <f aca="false">SUMIF(Horodateur1123353819223134374346495255586164698522263438465058546266707478829098941021061141181101221261301341381421461501541581621661701741781821861901941982022062102144101418222630[Jour],$B8,Horodateur1123353819223134374346495255586164698522263438465058546266707478829098941021061141181101221261301341381421461501541581621661701741781821861901941982022062102144101418222630[Durée (100)])</f>
        <v>7.75</v>
      </c>
      <c r="K8" s="335"/>
      <c r="L8" s="188" t="s">
        <v>31</v>
      </c>
      <c r="M8" s="272" t="n">
        <f aca="false">IF(Horodateur1123353819223134374346495255586164698522263438465058546266707478829098941021061141181101221261301341381421461501541581621661701741781821861901941982022062102144101418222630[[#This Row],[O]]="o",Horodateur1123353819223134374346495255586164698522263438465058546266707478829098941021061141181101221261301341381421461501541581621661701741781821861901941982022062102144101418222630[[#This Row],[Durée (100)]],".")</f>
        <v>0.500000000000001</v>
      </c>
      <c r="N8" s="187"/>
      <c r="O8" s="71"/>
      <c r="P8" s="71"/>
      <c r="Q8" s="71"/>
      <c r="R8" s="71"/>
      <c r="S8" s="71"/>
      <c r="T8" s="71"/>
      <c r="U8" s="71"/>
      <c r="V8" s="71"/>
      <c r="W8" s="71"/>
      <c r="X8" s="71"/>
      <c r="Y8" s="71"/>
      <c r="Z8" s="71"/>
      <c r="AA8" s="71"/>
      <c r="AB8" s="71"/>
      <c r="AC8" s="71"/>
      <c r="AD8" s="71"/>
      <c r="AE8" s="71"/>
      <c r="AF8" s="71"/>
      <c r="AG8" s="71"/>
    </row>
    <row r="9" customFormat="false" ht="15" hidden="false" customHeight="false" outlineLevel="0" collapsed="false">
      <c r="A9" s="256" t="n">
        <f aca="false">IF(Horodateur1123353819223134374346495255586164698522263438465058546266707478829098941021061141181101221261301341381421461501541581621661701741781821861901941982022062102144101418222630[[#This Row],[Jour]]="1- Lundi",$B$1+1, IF(Horodateur1123353819223134374346495255586164698522263438465058546266707478829098941021061141181101221261301341381421461501541581621661701741781821861901941982022062102144101418222630[[#This Row],[Jour]]="2- Mardi",$B$1+2, IF(Horodateur1123353819223134374346495255586164698522263438465058546266707478829098941021061141181101221261301341381421461501541581621661701741781821861901941982022062102144101418222630[[#This Row],[Jour]]="3- Mercredi",$B$1+3, IF(Horodateur1123353819223134374346495255586164698522263438465058546266707478829098941021061141181101221261301341381421461501541581621661701741781821861901941982022062102144101418222630[[#This Row],[Jour]]="4- Jeudi",$B$1+4, IF(Horodateur1123353819223134374346495255586164698522263438465058546266707478829098941021061141181101221261301341381421461501541581621661701741781821861901941982022062102144101418222630[[#This Row],[Jour]]="5- Vendredi",$B$1+5, IF(Horodateur1123353819223134374346495255586164698522263438465058546266707478829098941021061141181101221261301341381421461501541581621661701741781821861901941982022062102144101418222630[[#This Row],[Jour]]="6- Samedi",$B$1+6, IF(Horodateur1123353819223134374346495255586164698522263438465058546266707478829098941021061141181101221261301341381421461501541581621661701741781821861901941982022062102144101418222630[[#This Row],[Jour]]="7- Dimanche",$B$1, )))))))</f>
        <v>44250</v>
      </c>
      <c r="B9" s="257" t="s">
        <v>312</v>
      </c>
      <c r="C9" s="258" t="n">
        <v>0.583333333333333</v>
      </c>
      <c r="D9" s="258" t="n">
        <v>0.625</v>
      </c>
      <c r="E9" s="71" t="s">
        <v>37</v>
      </c>
      <c r="F9" s="71" t="s">
        <v>378</v>
      </c>
      <c r="G9" s="259" t="s">
        <v>578</v>
      </c>
      <c r="H9" s="258" t="n">
        <f aca="false">IF($C9=0,"",$D9-$C9)</f>
        <v>0.0416666666666666</v>
      </c>
      <c r="I9" s="260" t="n">
        <f aca="false">IF($C9=0,"",($H9-INT($H9))*24)</f>
        <v>0.999999999999999</v>
      </c>
      <c r="J9" s="303" t="n">
        <f aca="false">SUMIF(Horodateur1123353819223134374346495255586164698522263438465058546266707478829098941021061141181101221261301341381421461501541581621661701741781821861901941982022062102144101418222630[Jour],$B9,Horodateur1123353819223134374346495255586164698522263438465058546266707478829098941021061141181101221261301341381421461501541581621661701741781821861901941982022062102144101418222630[Durée (100)])</f>
        <v>7.75</v>
      </c>
      <c r="K9" s="335"/>
      <c r="L9" s="188" t="s">
        <v>31</v>
      </c>
      <c r="M9" s="272" t="n">
        <f aca="false">IF(Horodateur1123353819223134374346495255586164698522263438465058546266707478829098941021061141181101221261301341381421461501541581621661701741781821861901941982022062102144101418222630[[#This Row],[O]]="o",Horodateur1123353819223134374346495255586164698522263438465058546266707478829098941021061141181101221261301341381421461501541581621661701741781821861901941982022062102144101418222630[[#This Row],[Durée (100)]],".")</f>
        <v>0.999999999999999</v>
      </c>
      <c r="N9" s="187"/>
      <c r="O9" s="71"/>
      <c r="P9" s="71"/>
      <c r="Q9" s="71"/>
      <c r="R9" s="71"/>
      <c r="S9" s="71"/>
      <c r="T9" s="71"/>
      <c r="U9" s="71"/>
      <c r="V9" s="71"/>
      <c r="W9" s="71"/>
      <c r="X9" s="71"/>
      <c r="Y9" s="71"/>
      <c r="Z9" s="71"/>
      <c r="AA9" s="71"/>
      <c r="AB9" s="71"/>
      <c r="AC9" s="71"/>
      <c r="AD9" s="71"/>
      <c r="AE9" s="71"/>
      <c r="AF9" s="71"/>
      <c r="AG9" s="71"/>
    </row>
    <row r="10" customFormat="false" ht="15" hidden="false" customHeight="false" outlineLevel="0" collapsed="false">
      <c r="A10" s="256" t="n">
        <f aca="false">IF(Horodateur1123353819223134374346495255586164698522263438465058546266707478829098941021061141181101221261301341381421461501541581621661701741781821861901941982022062102144101418222630[[#This Row],[Jour]]="1- Lundi",$B$1+1, IF(Horodateur1123353819223134374346495255586164698522263438465058546266707478829098941021061141181101221261301341381421461501541581621661701741781821861901941982022062102144101418222630[[#This Row],[Jour]]="2- Mardi",$B$1+2, IF(Horodateur1123353819223134374346495255586164698522263438465058546266707478829098941021061141181101221261301341381421461501541581621661701741781821861901941982022062102144101418222630[[#This Row],[Jour]]="3- Mercredi",$B$1+3, IF(Horodateur1123353819223134374346495255586164698522263438465058546266707478829098941021061141181101221261301341381421461501541581621661701741781821861901941982022062102144101418222630[[#This Row],[Jour]]="4- Jeudi",$B$1+4, IF(Horodateur1123353819223134374346495255586164698522263438465058546266707478829098941021061141181101221261301341381421461501541581621661701741781821861901941982022062102144101418222630[[#This Row],[Jour]]="5- Vendredi",$B$1+5, IF(Horodateur1123353819223134374346495255586164698522263438465058546266707478829098941021061141181101221261301341381421461501541581621661701741781821861901941982022062102144101418222630[[#This Row],[Jour]]="6- Samedi",$B$1+6, IF(Horodateur1123353819223134374346495255586164698522263438465058546266707478829098941021061141181101221261301341381421461501541581621661701741781821861901941982022062102144101418222630[[#This Row],[Jour]]="7- Dimanche",$B$1, )))))))</f>
        <v>44250</v>
      </c>
      <c r="B10" s="257" t="s">
        <v>312</v>
      </c>
      <c r="C10" s="258" t="n">
        <v>0.645833333333333</v>
      </c>
      <c r="D10" s="258" t="n">
        <v>0.708333333333333</v>
      </c>
      <c r="E10" s="71" t="s">
        <v>63</v>
      </c>
      <c r="F10" s="71" t="s">
        <v>378</v>
      </c>
      <c r="G10" s="259" t="s">
        <v>577</v>
      </c>
      <c r="H10" s="258" t="n">
        <f aca="false">IF($C10=0,"",$D10-$C10)</f>
        <v>0.0625</v>
      </c>
      <c r="I10" s="260" t="n">
        <f aca="false">IF($C10=0,"",($H10-INT($H10))*24)</f>
        <v>1.5</v>
      </c>
      <c r="J10" s="303" t="n">
        <f aca="false">SUMIF(Horodateur1123353819223134374346495255586164698522263438465058546266707478829098941021061141181101221261301341381421461501541581621661701741781821861901941982022062102144101418222630[Jour],$B10,Horodateur1123353819223134374346495255586164698522263438465058546266707478829098941021061141181101221261301341381421461501541581621661701741781821861901941982022062102144101418222630[Durée (100)])</f>
        <v>7.75</v>
      </c>
      <c r="K10" s="335"/>
      <c r="L10" s="188" t="s">
        <v>31</v>
      </c>
      <c r="M10" s="272" t="n">
        <f aca="false">IF(Horodateur1123353819223134374346495255586164698522263438465058546266707478829098941021061141181101221261301341381421461501541581621661701741781821861901941982022062102144101418222630[[#This Row],[O]]="o",Horodateur1123353819223134374346495255586164698522263438465058546266707478829098941021061141181101221261301341381421461501541581621661701741781821861901941982022062102144101418222630[[#This Row],[Durée (100)]],".")</f>
        <v>1.5</v>
      </c>
      <c r="N10" s="187"/>
      <c r="O10" s="71"/>
      <c r="P10" s="71"/>
      <c r="Q10" s="71"/>
      <c r="R10" s="71"/>
      <c r="S10" s="71"/>
      <c r="T10" s="71"/>
      <c r="U10" s="71"/>
      <c r="V10" s="71"/>
      <c r="W10" s="71"/>
      <c r="X10" s="71"/>
      <c r="Y10" s="71"/>
      <c r="Z10" s="71"/>
      <c r="AA10" s="71"/>
      <c r="AB10" s="71"/>
      <c r="AC10" s="71"/>
      <c r="AD10" s="71"/>
      <c r="AE10" s="71"/>
      <c r="AF10" s="71"/>
      <c r="AG10" s="71"/>
    </row>
    <row r="11" customFormat="false" ht="15" hidden="false" customHeight="false" outlineLevel="0" collapsed="false">
      <c r="A11" s="256" t="n">
        <f aca="false">IF(Horodateur1123353819223134374346495255586164698522263438465058546266707478829098941021061141181101221261301341381421461501541581621661701741781821861901941982022062102144101418222630[[#This Row],[Jour]]="1- Lundi",$B$1+1, IF(Horodateur1123353819223134374346495255586164698522263438465058546266707478829098941021061141181101221261301341381421461501541581621661701741781821861901941982022062102144101418222630[[#This Row],[Jour]]="2- Mardi",$B$1+2, IF(Horodateur1123353819223134374346495255586164698522263438465058546266707478829098941021061141181101221261301341381421461501541581621661701741781821861901941982022062102144101418222630[[#This Row],[Jour]]="3- Mercredi",$B$1+3, IF(Horodateur1123353819223134374346495255586164698522263438465058546266707478829098941021061141181101221261301341381421461501541581621661701741781821861901941982022062102144101418222630[[#This Row],[Jour]]="4- Jeudi",$B$1+4, IF(Horodateur1123353819223134374346495255586164698522263438465058546266707478829098941021061141181101221261301341381421461501541581621661701741781821861901941982022062102144101418222630[[#This Row],[Jour]]="5- Vendredi",$B$1+5, IF(Horodateur1123353819223134374346495255586164698522263438465058546266707478829098941021061141181101221261301341381421461501541581621661701741781821861901941982022062102144101418222630[[#This Row],[Jour]]="6- Samedi",$B$1+6, IF(Horodateur1123353819223134374346495255586164698522263438465058546266707478829098941021061141181101221261301341381421461501541581621661701741781821861901941982022062102144101418222630[[#This Row],[Jour]]="7- Dimanche",$B$1, )))))))</f>
        <v>44250</v>
      </c>
      <c r="B11" s="257" t="s">
        <v>312</v>
      </c>
      <c r="C11" s="258" t="n">
        <v>0.708333333333333</v>
      </c>
      <c r="D11" s="258" t="n">
        <v>0.75</v>
      </c>
      <c r="E11" s="71" t="s">
        <v>32</v>
      </c>
      <c r="F11" s="71" t="s">
        <v>22</v>
      </c>
      <c r="G11" s="259"/>
      <c r="H11" s="258" t="n">
        <f aca="false">IF($C11=0,"",$D11-$C11)</f>
        <v>0.0416666666666666</v>
      </c>
      <c r="I11" s="260" t="n">
        <f aca="false">IF($C11=0,"",($H11-INT($H11))*24)</f>
        <v>0.999999999999999</v>
      </c>
      <c r="J11" s="303" t="n">
        <f aca="false">SUMIF(Horodateur1123353819223134374346495255586164698522263438465058546266707478829098941021061141181101221261301341381421461501541581621661701741781821861901941982022062102144101418222630[Jour],$B11,Horodateur1123353819223134374346495255586164698522263438465058546266707478829098941021061141181101221261301341381421461501541581621661701741781821861901941982022062102144101418222630[Durée (100)])</f>
        <v>7.75</v>
      </c>
      <c r="K11" s="335"/>
      <c r="L11" s="188" t="s">
        <v>31</v>
      </c>
      <c r="M11" s="272" t="n">
        <f aca="false">IF(Horodateur1123353819223134374346495255586164698522263438465058546266707478829098941021061141181101221261301341381421461501541581621661701741781821861901941982022062102144101418222630[[#This Row],[O]]="o",Horodateur1123353819223134374346495255586164698522263438465058546266707478829098941021061141181101221261301341381421461501541581621661701741781821861901941982022062102144101418222630[[#This Row],[Durée (100)]],".")</f>
        <v>0.999999999999999</v>
      </c>
      <c r="N11" s="187"/>
      <c r="O11" s="71"/>
      <c r="P11" s="71"/>
      <c r="Q11" s="71"/>
      <c r="R11" s="71"/>
      <c r="S11" s="71"/>
      <c r="T11" s="71"/>
      <c r="U11" s="71"/>
      <c r="V11" s="71"/>
      <c r="W11" s="71"/>
      <c r="X11" s="71"/>
      <c r="Y11" s="71"/>
      <c r="Z11" s="71"/>
      <c r="AA11" s="71"/>
      <c r="AB11" s="71"/>
      <c r="AC11" s="71"/>
      <c r="AD11" s="71"/>
      <c r="AE11" s="71"/>
      <c r="AF11" s="71"/>
      <c r="AG11" s="71"/>
    </row>
    <row r="12" customFormat="false" ht="15" hidden="false" customHeight="false" outlineLevel="0" collapsed="false">
      <c r="A12" s="256" t="n">
        <f aca="false">IF(Horodateur1123353819223134374346495255586164698522263438465058546266707478829098941021061141181101221261301341381421461501541581621661701741781821861901941982022062102144101418222630[[#This Row],[Jour]]="1- Lundi",$B$1+1, IF(Horodateur1123353819223134374346495255586164698522263438465058546266707478829098941021061141181101221261301341381421461501541581621661701741781821861901941982022062102144101418222630[[#This Row],[Jour]]="2- Mardi",$B$1+2, IF(Horodateur1123353819223134374346495255586164698522263438465058546266707478829098941021061141181101221261301341381421461501541581621661701741781821861901941982022062102144101418222630[[#This Row],[Jour]]="3- Mercredi",$B$1+3, IF(Horodateur1123353819223134374346495255586164698522263438465058546266707478829098941021061141181101221261301341381421461501541581621661701741781821861901941982022062102144101418222630[[#This Row],[Jour]]="4- Jeudi",$B$1+4, IF(Horodateur1123353819223134374346495255586164698522263438465058546266707478829098941021061141181101221261301341381421461501541581621661701741781821861901941982022062102144101418222630[[#This Row],[Jour]]="5- Vendredi",$B$1+5, IF(Horodateur1123353819223134374346495255586164698522263438465058546266707478829098941021061141181101221261301341381421461501541581621661701741781821861901941982022062102144101418222630[[#This Row],[Jour]]="6- Samedi",$B$1+6, IF(Horodateur1123353819223134374346495255586164698522263438465058546266707478829098941021061141181101221261301341381421461501541581621661701741781821861901941982022062102144101418222630[[#This Row],[Jour]]="7- Dimanche",$B$1, )))))))</f>
        <v>44251</v>
      </c>
      <c r="B12" s="257" t="s">
        <v>319</v>
      </c>
      <c r="C12" s="258" t="n">
        <v>0.40625</v>
      </c>
      <c r="D12" s="258" t="n">
        <v>0.4375</v>
      </c>
      <c r="E12" s="71" t="s">
        <v>63</v>
      </c>
      <c r="F12" s="71" t="s">
        <v>378</v>
      </c>
      <c r="G12" s="259" t="s">
        <v>579</v>
      </c>
      <c r="H12" s="258" t="n">
        <f aca="false">IF($C12=0,"",$D12-$C12)</f>
        <v>0.03125</v>
      </c>
      <c r="I12" s="260" t="n">
        <f aca="false">IF($C12=0,"",($H12-INT($H12))*24)</f>
        <v>0.75</v>
      </c>
      <c r="J12" s="303" t="n">
        <f aca="false">SUMIF(Horodateur1123353819223134374346495255586164698522263438465058546266707478829098941021061141181101221261301341381421461501541581621661701741781821861901941982022062102144101418222630[Jour],$B12,Horodateur1123353819223134374346495255586164698522263438465058546266707478829098941021061141181101221261301341381421461501541581621661701741781821861901941982022062102144101418222630[Durée (100)])</f>
        <v>7</v>
      </c>
      <c r="K12" s="335"/>
      <c r="L12" s="188" t="s">
        <v>31</v>
      </c>
      <c r="M12" s="272" t="n">
        <f aca="false">IF(Horodateur1123353819223134374346495255586164698522263438465058546266707478829098941021061141181101221261301341381421461501541581621661701741781821861901941982022062102144101418222630[[#This Row],[O]]="o",Horodateur1123353819223134374346495255586164698522263438465058546266707478829098941021061141181101221261301341381421461501541581621661701741781821861901941982022062102144101418222630[[#This Row],[Durée (100)]],".")</f>
        <v>0.75</v>
      </c>
      <c r="N12" s="187"/>
      <c r="O12" s="71"/>
      <c r="P12" s="71"/>
      <c r="Q12" s="71"/>
      <c r="R12" s="71"/>
      <c r="S12" s="71"/>
      <c r="T12" s="71"/>
      <c r="U12" s="71"/>
      <c r="V12" s="71"/>
      <c r="W12" s="71"/>
      <c r="X12" s="71"/>
      <c r="Y12" s="71"/>
      <c r="Z12" s="71"/>
      <c r="AA12" s="71"/>
      <c r="AB12" s="71"/>
      <c r="AC12" s="71"/>
      <c r="AD12" s="71"/>
      <c r="AE12" s="71"/>
      <c r="AF12" s="71"/>
      <c r="AG12" s="71"/>
    </row>
    <row r="13" customFormat="false" ht="15" hidden="false" customHeight="false" outlineLevel="0" collapsed="false">
      <c r="A13" s="256" t="n">
        <f aca="false">IF(Horodateur1123353819223134374346495255586164698522263438465058546266707478829098941021061141181101221261301341381421461501541581621661701741781821861901941982022062102144101418222630[[#This Row],[Jour]]="1- Lundi",$B$1+1, IF(Horodateur1123353819223134374346495255586164698522263438465058546266707478829098941021061141181101221261301341381421461501541581621661701741781821861901941982022062102144101418222630[[#This Row],[Jour]]="2- Mardi",$B$1+2, IF(Horodateur1123353819223134374346495255586164698522263438465058546266707478829098941021061141181101221261301341381421461501541581621661701741781821861901941982022062102144101418222630[[#This Row],[Jour]]="3- Mercredi",$B$1+3, IF(Horodateur1123353819223134374346495255586164698522263438465058546266707478829098941021061141181101221261301341381421461501541581621661701741781821861901941982022062102144101418222630[[#This Row],[Jour]]="4- Jeudi",$B$1+4, IF(Horodateur1123353819223134374346495255586164698522263438465058546266707478829098941021061141181101221261301341381421461501541581621661701741781821861901941982022062102144101418222630[[#This Row],[Jour]]="5- Vendredi",$B$1+5, IF(Horodateur1123353819223134374346495255586164698522263438465058546266707478829098941021061141181101221261301341381421461501541581621661701741781821861901941982022062102144101418222630[[#This Row],[Jour]]="6- Samedi",$B$1+6, IF(Horodateur1123353819223134374346495255586164698522263438465058546266707478829098941021061141181101221261301341381421461501541581621661701741781821861901941982022062102144101418222630[[#This Row],[Jour]]="7- Dimanche",$B$1, )))))))</f>
        <v>44251</v>
      </c>
      <c r="B13" s="257" t="s">
        <v>319</v>
      </c>
      <c r="C13" s="258" t="n">
        <v>0.4375</v>
      </c>
      <c r="D13" s="258" t="n">
        <v>0.458333333333333</v>
      </c>
      <c r="E13" s="71" t="s">
        <v>32</v>
      </c>
      <c r="F13" s="71" t="s">
        <v>22</v>
      </c>
      <c r="G13" s="259" t="s">
        <v>118</v>
      </c>
      <c r="H13" s="258" t="n">
        <f aca="false">IF($C13=0,"",$D13-$C13)</f>
        <v>0.0208333333333333</v>
      </c>
      <c r="I13" s="260" t="n">
        <f aca="false">IF($C13=0,"",($H13-INT($H13))*24)</f>
        <v>0.5</v>
      </c>
      <c r="J13" s="303" t="n">
        <f aca="false">SUMIF(Horodateur1123353819223134374346495255586164698522263438465058546266707478829098941021061141181101221261301341381421461501541581621661701741781821861901941982022062102144101418222630[Jour],$B13,Horodateur1123353819223134374346495255586164698522263438465058546266707478829098941021061141181101221261301341381421461501541581621661701741781821861901941982022062102144101418222630[Durée (100)])</f>
        <v>7</v>
      </c>
      <c r="K13" s="335"/>
      <c r="L13" s="188" t="s">
        <v>31</v>
      </c>
      <c r="M13" s="272" t="n">
        <f aca="false">IF(Horodateur1123353819223134374346495255586164698522263438465058546266707478829098941021061141181101221261301341381421461501541581621661701741781821861901941982022062102144101418222630[[#This Row],[O]]="o",Horodateur1123353819223134374346495255586164698522263438465058546266707478829098941021061141181101221261301341381421461501541581621661701741781821861901941982022062102144101418222630[[#This Row],[Durée (100)]],".")</f>
        <v>0.5</v>
      </c>
      <c r="N13" s="187"/>
      <c r="O13" s="71"/>
      <c r="P13" s="71"/>
      <c r="Q13" s="71"/>
      <c r="R13" s="71"/>
      <c r="S13" s="71"/>
      <c r="T13" s="71"/>
      <c r="U13" s="71"/>
      <c r="V13" s="71"/>
      <c r="W13" s="71"/>
      <c r="X13" s="71"/>
      <c r="Y13" s="71"/>
      <c r="Z13" s="71"/>
      <c r="AA13" s="71"/>
      <c r="AB13" s="71"/>
      <c r="AC13" s="71"/>
      <c r="AD13" s="71"/>
      <c r="AE13" s="71"/>
      <c r="AF13" s="71"/>
      <c r="AG13" s="71"/>
    </row>
    <row r="14" customFormat="false" ht="15" hidden="false" customHeight="false" outlineLevel="0" collapsed="false">
      <c r="A14" s="256" t="n">
        <f aca="false">IF(Horodateur1123353819223134374346495255586164698522263438465058546266707478829098941021061141181101221261301341381421461501541581621661701741781821861901941982022062102144101418222630[[#This Row],[Jour]]="1- Lundi",$B$1+1, IF(Horodateur1123353819223134374346495255586164698522263438465058546266707478829098941021061141181101221261301341381421461501541581621661701741781821861901941982022062102144101418222630[[#This Row],[Jour]]="2- Mardi",$B$1+2, IF(Horodateur1123353819223134374346495255586164698522263438465058546266707478829098941021061141181101221261301341381421461501541581621661701741781821861901941982022062102144101418222630[[#This Row],[Jour]]="3- Mercredi",$B$1+3, IF(Horodateur1123353819223134374346495255586164698522263438465058546266707478829098941021061141181101221261301341381421461501541581621661701741781821861901941982022062102144101418222630[[#This Row],[Jour]]="4- Jeudi",$B$1+4, IF(Horodateur1123353819223134374346495255586164698522263438465058546266707478829098941021061141181101221261301341381421461501541581621661701741781821861901941982022062102144101418222630[[#This Row],[Jour]]="5- Vendredi",$B$1+5, IF(Horodateur1123353819223134374346495255586164698522263438465058546266707478829098941021061141181101221261301341381421461501541581621661701741781821861901941982022062102144101418222630[[#This Row],[Jour]]="6- Samedi",$B$1+6, IF(Horodateur1123353819223134374346495255586164698522263438465058546266707478829098941021061141181101221261301341381421461501541581621661701741781821861901941982022062102144101418222630[[#This Row],[Jour]]="7- Dimanche",$B$1, )))))))</f>
        <v>44251</v>
      </c>
      <c r="B14" s="257" t="s">
        <v>319</v>
      </c>
      <c r="C14" s="258" t="n">
        <v>0.458333333333333</v>
      </c>
      <c r="D14" s="258" t="n">
        <v>0.479166666666667</v>
      </c>
      <c r="E14" s="71" t="s">
        <v>363</v>
      </c>
      <c r="F14" s="71" t="s">
        <v>378</v>
      </c>
      <c r="G14" s="259" t="s">
        <v>580</v>
      </c>
      <c r="H14" s="258" t="n">
        <f aca="false">IF($C14=0,"",$D14-$C14)</f>
        <v>0.0208333333333333</v>
      </c>
      <c r="I14" s="260" t="n">
        <f aca="false">IF($C14=0,"",($H14-INT($H14))*24)</f>
        <v>0.5</v>
      </c>
      <c r="J14" s="303" t="n">
        <f aca="false">SUMIF(Horodateur1123353819223134374346495255586164698522263438465058546266707478829098941021061141181101221261301341381421461501541581621661701741781821861901941982022062102144101418222630[Jour],$B14,Horodateur1123353819223134374346495255586164698522263438465058546266707478829098941021061141181101221261301341381421461501541581621661701741781821861901941982022062102144101418222630[Durée (100)])</f>
        <v>7</v>
      </c>
      <c r="K14" s="335"/>
      <c r="L14" s="188" t="s">
        <v>31</v>
      </c>
      <c r="M14" s="272" t="n">
        <f aca="false">IF(Horodateur1123353819223134374346495255586164698522263438465058546266707478829098941021061141181101221261301341381421461501541581621661701741781821861901941982022062102144101418222630[[#This Row],[O]]="o",Horodateur1123353819223134374346495255586164698522263438465058546266707478829098941021061141181101221261301341381421461501541581621661701741781821861901941982022062102144101418222630[[#This Row],[Durée (100)]],".")</f>
        <v>0.500000000000001</v>
      </c>
      <c r="N14" s="187"/>
      <c r="O14" s="71"/>
      <c r="P14" s="71"/>
      <c r="Q14" s="71"/>
      <c r="R14" s="71"/>
      <c r="S14" s="71"/>
      <c r="T14" s="71"/>
      <c r="U14" s="71"/>
      <c r="V14" s="71"/>
      <c r="W14" s="71"/>
      <c r="X14" s="71"/>
      <c r="Y14" s="71"/>
      <c r="Z14" s="71"/>
      <c r="AA14" s="71"/>
      <c r="AB14" s="71"/>
      <c r="AC14" s="71"/>
      <c r="AD14" s="71"/>
      <c r="AE14" s="71"/>
      <c r="AF14" s="71"/>
      <c r="AG14" s="71"/>
    </row>
    <row r="15" customFormat="false" ht="15" hidden="false" customHeight="false" outlineLevel="0" collapsed="false">
      <c r="A15" s="256" t="n">
        <f aca="false">IF(Horodateur1123353819223134374346495255586164698522263438465058546266707478829098941021061141181101221261301341381421461501541581621661701741781821861901941982022062102144101418222630[[#This Row],[Jour]]="1- Lundi",$B$1+1, IF(Horodateur1123353819223134374346495255586164698522263438465058546266707478829098941021061141181101221261301341381421461501541581621661701741781821861901941982022062102144101418222630[[#This Row],[Jour]]="2- Mardi",$B$1+2, IF(Horodateur1123353819223134374346495255586164698522263438465058546266707478829098941021061141181101221261301341381421461501541581621661701741781821861901941982022062102144101418222630[[#This Row],[Jour]]="3- Mercredi",$B$1+3, IF(Horodateur1123353819223134374346495255586164698522263438465058546266707478829098941021061141181101221261301341381421461501541581621661701741781821861901941982022062102144101418222630[[#This Row],[Jour]]="4- Jeudi",$B$1+4, IF(Horodateur1123353819223134374346495255586164698522263438465058546266707478829098941021061141181101221261301341381421461501541581621661701741781821861901941982022062102144101418222630[[#This Row],[Jour]]="5- Vendredi",$B$1+5, IF(Horodateur1123353819223134374346495255586164698522263438465058546266707478829098941021061141181101221261301341381421461501541581621661701741781821861901941982022062102144101418222630[[#This Row],[Jour]]="6- Samedi",$B$1+6, IF(Horodateur1123353819223134374346495255586164698522263438465058546266707478829098941021061141181101221261301341381421461501541581621661701741781821861901941982022062102144101418222630[[#This Row],[Jour]]="7- Dimanche",$B$1, )))))))</f>
        <v>44251</v>
      </c>
      <c r="B15" s="257" t="s">
        <v>319</v>
      </c>
      <c r="C15" s="258" t="n">
        <v>0.479166666666667</v>
      </c>
      <c r="D15" s="258" t="n">
        <v>0.510416666666667</v>
      </c>
      <c r="E15" s="71" t="s">
        <v>59</v>
      </c>
      <c r="F15" s="71" t="s">
        <v>378</v>
      </c>
      <c r="G15" s="259" t="s">
        <v>581</v>
      </c>
      <c r="H15" s="258" t="n">
        <f aca="false">IF($C15=0,"",$D15-$C15)</f>
        <v>0.0312499999999999</v>
      </c>
      <c r="I15" s="260" t="n">
        <f aca="false">IF($C15=0,"",($H15-INT($H15))*24)</f>
        <v>0.749999999999999</v>
      </c>
      <c r="J15" s="303" t="n">
        <f aca="false">SUMIF(Horodateur1123353819223134374346495255586164698522263438465058546266707478829098941021061141181101221261301341381421461501541581621661701741781821861901941982022062102144101418222630[Jour],$B15,Horodateur1123353819223134374346495255586164698522263438465058546266707478829098941021061141181101221261301341381421461501541581621661701741781821861901941982022062102144101418222630[Durée (100)])</f>
        <v>7</v>
      </c>
      <c r="K15" s="335"/>
      <c r="L15" s="188" t="s">
        <v>31</v>
      </c>
      <c r="M15" s="272" t="n">
        <f aca="false">IF(Horodateur1123353819223134374346495255586164698522263438465058546266707478829098941021061141181101221261301341381421461501541581621661701741781821861901941982022062102144101418222630[[#This Row],[O]]="o",Horodateur1123353819223134374346495255586164698522263438465058546266707478829098941021061141181101221261301341381421461501541581621661701741781821861901941982022062102144101418222630[[#This Row],[Durée (100)]],".")</f>
        <v>0.749999999999999</v>
      </c>
      <c r="N15" s="187"/>
      <c r="O15" s="71"/>
      <c r="P15" s="71"/>
      <c r="Q15" s="71"/>
      <c r="R15" s="71"/>
      <c r="S15" s="71"/>
      <c r="T15" s="71"/>
      <c r="U15" s="71"/>
      <c r="V15" s="71"/>
      <c r="W15" s="71"/>
      <c r="X15" s="71"/>
      <c r="Y15" s="71"/>
      <c r="Z15" s="71"/>
      <c r="AA15" s="71"/>
      <c r="AB15" s="71"/>
      <c r="AC15" s="71"/>
      <c r="AD15" s="71"/>
      <c r="AE15" s="71"/>
      <c r="AF15" s="71"/>
      <c r="AG15" s="71"/>
    </row>
    <row r="16" customFormat="false" ht="15" hidden="false" customHeight="false" outlineLevel="0" collapsed="false">
      <c r="A16" s="256" t="n">
        <f aca="false">IF(Horodateur1123353819223134374346495255586164698522263438465058546266707478829098941021061141181101221261301341381421461501541581621661701741781821861901941982022062102144101418222630[[#This Row],[Jour]]="1- Lundi",$B$1+1, IF(Horodateur1123353819223134374346495255586164698522263438465058546266707478829098941021061141181101221261301341381421461501541581621661701741781821861901941982022062102144101418222630[[#This Row],[Jour]]="2- Mardi",$B$1+2, IF(Horodateur1123353819223134374346495255586164698522263438465058546266707478829098941021061141181101221261301341381421461501541581621661701741781821861901941982022062102144101418222630[[#This Row],[Jour]]="3- Mercredi",$B$1+3, IF(Horodateur1123353819223134374346495255586164698522263438465058546266707478829098941021061141181101221261301341381421461501541581621661701741781821861901941982022062102144101418222630[[#This Row],[Jour]]="4- Jeudi",$B$1+4, IF(Horodateur1123353819223134374346495255586164698522263438465058546266707478829098941021061141181101221261301341381421461501541581621661701741781821861901941982022062102144101418222630[[#This Row],[Jour]]="5- Vendredi",$B$1+5, IF(Horodateur1123353819223134374346495255586164698522263438465058546266707478829098941021061141181101221261301341381421461501541581621661701741781821861901941982022062102144101418222630[[#This Row],[Jour]]="6- Samedi",$B$1+6, IF(Horodateur1123353819223134374346495255586164698522263438465058546266707478829098941021061141181101221261301341381421461501541581621661701741781821861901941982022062102144101418222630[[#This Row],[Jour]]="7- Dimanche",$B$1, )))))))</f>
        <v>44251</v>
      </c>
      <c r="B16" s="257" t="s">
        <v>319</v>
      </c>
      <c r="C16" s="258" t="n">
        <v>0.5625</v>
      </c>
      <c r="D16" s="258" t="n">
        <v>0.583333333333333</v>
      </c>
      <c r="E16" s="71" t="s">
        <v>59</v>
      </c>
      <c r="F16" s="71" t="s">
        <v>378</v>
      </c>
      <c r="G16" s="259" t="s">
        <v>581</v>
      </c>
      <c r="H16" s="258" t="n">
        <f aca="false">IF($C16=0,"",$D16-$C16)</f>
        <v>0.0208333333333334</v>
      </c>
      <c r="I16" s="260" t="n">
        <f aca="false">IF($C16=0,"",($H16-INT($H16))*24)</f>
        <v>0.500000000000001</v>
      </c>
      <c r="J16" s="303" t="n">
        <f aca="false">SUMIF(Horodateur1123353819223134374346495255586164698522263438465058546266707478829098941021061141181101221261301341381421461501541581621661701741781821861901941982022062102144101418222630[Jour],$B16,Horodateur1123353819223134374346495255586164698522263438465058546266707478829098941021061141181101221261301341381421461501541581621661701741781821861901941982022062102144101418222630[Durée (100)])</f>
        <v>7</v>
      </c>
      <c r="K16" s="335"/>
      <c r="L16" s="188" t="s">
        <v>31</v>
      </c>
      <c r="M16" s="272" t="n">
        <f aca="false">IF(Horodateur1123353819223134374346495255586164698522263438465058546266707478829098941021061141181101221261301341381421461501541581621661701741781821861901941982022062102144101418222630[[#This Row],[O]]="o",Horodateur1123353819223134374346495255586164698522263438465058546266707478829098941021061141181101221261301341381421461501541581621661701741781821861901941982022062102144101418222630[[#This Row],[Durée (100)]],".")</f>
        <v>0.500000000000001</v>
      </c>
      <c r="N16" s="187"/>
      <c r="O16" s="71"/>
      <c r="P16" s="71"/>
      <c r="Q16" s="71"/>
      <c r="R16" s="71"/>
      <c r="S16" s="71"/>
      <c r="T16" s="71"/>
      <c r="U16" s="71"/>
      <c r="V16" s="71"/>
      <c r="W16" s="71"/>
      <c r="X16" s="71"/>
      <c r="Y16" s="71"/>
      <c r="Z16" s="71"/>
      <c r="AA16" s="71"/>
      <c r="AB16" s="71"/>
      <c r="AC16" s="71"/>
      <c r="AD16" s="71"/>
      <c r="AE16" s="71"/>
      <c r="AF16" s="71"/>
      <c r="AG16" s="71"/>
    </row>
    <row r="17" customFormat="false" ht="15" hidden="false" customHeight="false" outlineLevel="0" collapsed="false">
      <c r="A17" s="256" t="n">
        <f aca="false">IF(Horodateur1123353819223134374346495255586164698522263438465058546266707478829098941021061141181101221261301341381421461501541581621661701741781821861901941982022062102144101418222630[[#This Row],[Jour]]="1- Lundi",$B$1+1, IF(Horodateur1123353819223134374346495255586164698522263438465058546266707478829098941021061141181101221261301341381421461501541581621661701741781821861901941982022062102144101418222630[[#This Row],[Jour]]="2- Mardi",$B$1+2, IF(Horodateur1123353819223134374346495255586164698522263438465058546266707478829098941021061141181101221261301341381421461501541581621661701741781821861901941982022062102144101418222630[[#This Row],[Jour]]="3- Mercredi",$B$1+3, IF(Horodateur1123353819223134374346495255586164698522263438465058546266707478829098941021061141181101221261301341381421461501541581621661701741781821861901941982022062102144101418222630[[#This Row],[Jour]]="4- Jeudi",$B$1+4, IF(Horodateur1123353819223134374346495255586164698522263438465058546266707478829098941021061141181101221261301341381421461501541581621661701741781821861901941982022062102144101418222630[[#This Row],[Jour]]="5- Vendredi",$B$1+5, IF(Horodateur1123353819223134374346495255586164698522263438465058546266707478829098941021061141181101221261301341381421461501541581621661701741781821861901941982022062102144101418222630[[#This Row],[Jour]]="6- Samedi",$B$1+6, IF(Horodateur1123353819223134374346495255586164698522263438465058546266707478829098941021061141181101221261301341381421461501541581621661701741781821861901941982022062102144101418222630[[#This Row],[Jour]]="7- Dimanche",$B$1, )))))))</f>
        <v>44251</v>
      </c>
      <c r="B17" s="257" t="s">
        <v>319</v>
      </c>
      <c r="C17" s="258" t="n">
        <v>0.583333333333333</v>
      </c>
      <c r="D17" s="258" t="n">
        <v>0.6875</v>
      </c>
      <c r="E17" s="71" t="s">
        <v>32</v>
      </c>
      <c r="F17" s="71" t="s">
        <v>23</v>
      </c>
      <c r="G17" s="259" t="s">
        <v>582</v>
      </c>
      <c r="H17" s="258" t="n">
        <f aca="false">IF($C17=0,"",$D17-$C17)</f>
        <v>0.104166666666667</v>
      </c>
      <c r="I17" s="260" t="n">
        <f aca="false">IF($C17=0,"",($H17-INT($H17))*24)</f>
        <v>2.5</v>
      </c>
      <c r="J17" s="303" t="n">
        <f aca="false">SUMIF(Horodateur1123353819223134374346495255586164698522263438465058546266707478829098941021061141181101221261301341381421461501541581621661701741781821861901941982022062102144101418222630[Jour],$B17,Horodateur1123353819223134374346495255586164698522263438465058546266707478829098941021061141181101221261301341381421461501541581621661701741781821861901941982022062102144101418222630[Durée (100)])</f>
        <v>7</v>
      </c>
      <c r="K17" s="335"/>
      <c r="L17" s="188" t="s">
        <v>31</v>
      </c>
      <c r="M17" s="272" t="n">
        <f aca="false">IF(Horodateur1123353819223134374346495255586164698522263438465058546266707478829098941021061141181101221261301341381421461501541581621661701741781821861901941982022062102144101418222630[[#This Row],[O]]="o",Horodateur1123353819223134374346495255586164698522263438465058546266707478829098941021061141181101221261301341381421461501541581621661701741781821861901941982022062102144101418222630[[#This Row],[Durée (100)]],".")</f>
        <v>2.5</v>
      </c>
      <c r="N17" s="187"/>
      <c r="O17" s="71"/>
      <c r="P17" s="71"/>
      <c r="Q17" s="71"/>
      <c r="R17" s="71"/>
      <c r="S17" s="71"/>
      <c r="T17" s="71"/>
      <c r="U17" s="71"/>
      <c r="V17" s="71"/>
      <c r="W17" s="71"/>
      <c r="X17" s="71"/>
      <c r="Y17" s="71"/>
      <c r="Z17" s="71"/>
      <c r="AA17" s="71"/>
      <c r="AB17" s="71"/>
      <c r="AC17" s="71"/>
      <c r="AD17" s="71"/>
      <c r="AE17" s="71"/>
      <c r="AF17" s="71"/>
      <c r="AG17" s="71"/>
    </row>
    <row r="18" customFormat="false" ht="15" hidden="false" customHeight="false" outlineLevel="0" collapsed="false">
      <c r="A18" s="256" t="n">
        <f aca="false">IF(Horodateur1123353819223134374346495255586164698522263438465058546266707478829098941021061141181101221261301341381421461501541581621661701741781821861901941982022062102144101418222630[[#This Row],[Jour]]="1- Lundi",$B$1+1, IF(Horodateur1123353819223134374346495255586164698522263438465058546266707478829098941021061141181101221261301341381421461501541581621661701741781821861901941982022062102144101418222630[[#This Row],[Jour]]="2- Mardi",$B$1+2, IF(Horodateur1123353819223134374346495255586164698522263438465058546266707478829098941021061141181101221261301341381421461501541581621661701741781821861901941982022062102144101418222630[[#This Row],[Jour]]="3- Mercredi",$B$1+3, IF(Horodateur1123353819223134374346495255586164698522263438465058546266707478829098941021061141181101221261301341381421461501541581621661701741781821861901941982022062102144101418222630[[#This Row],[Jour]]="4- Jeudi",$B$1+4, IF(Horodateur1123353819223134374346495255586164698522263438465058546266707478829098941021061141181101221261301341381421461501541581621661701741781821861901941982022062102144101418222630[[#This Row],[Jour]]="5- Vendredi",$B$1+5, IF(Horodateur1123353819223134374346495255586164698522263438465058546266707478829098941021061141181101221261301341381421461501541581621661701741781821861901941982022062102144101418222630[[#This Row],[Jour]]="6- Samedi",$B$1+6, IF(Horodateur1123353819223134374346495255586164698522263438465058546266707478829098941021061141181101221261301341381421461501541581621661701741781821861901941982022062102144101418222630[[#This Row],[Jour]]="7- Dimanche",$B$1, )))))))</f>
        <v>44251</v>
      </c>
      <c r="B18" s="257" t="s">
        <v>319</v>
      </c>
      <c r="C18" s="258" t="n">
        <v>0.6875</v>
      </c>
      <c r="D18" s="258" t="n">
        <v>0.708333333333333</v>
      </c>
      <c r="E18" s="71" t="s">
        <v>59</v>
      </c>
      <c r="F18" s="71" t="s">
        <v>378</v>
      </c>
      <c r="G18" s="259" t="s">
        <v>581</v>
      </c>
      <c r="H18" s="258" t="n">
        <f aca="false">IF($C18=0,"",$D18-$C18)</f>
        <v>0.0208333333333334</v>
      </c>
      <c r="I18" s="260" t="n">
        <f aca="false">IF($C18=0,"",($H18-INT($H18))*24)</f>
        <v>0.500000000000001</v>
      </c>
      <c r="J18" s="303" t="n">
        <f aca="false">SUMIF(Horodateur1123353819223134374346495255586164698522263438465058546266707478829098941021061141181101221261301341381421461501541581621661701741781821861901941982022062102144101418222630[Jour],$B18,Horodateur1123353819223134374346495255586164698522263438465058546266707478829098941021061141181101221261301341381421461501541581621661701741781821861901941982022062102144101418222630[Durée (100)])</f>
        <v>7</v>
      </c>
      <c r="K18" s="335"/>
      <c r="L18" s="188" t="s">
        <v>31</v>
      </c>
      <c r="M18" s="272" t="n">
        <f aca="false">IF(Horodateur1123353819223134374346495255586164698522263438465058546266707478829098941021061141181101221261301341381421461501541581621661701741781821861901941982022062102144101418222630[[#This Row],[O]]="o",Horodateur1123353819223134374346495255586164698522263438465058546266707478829098941021061141181101221261301341381421461501541581621661701741781821861901941982022062102144101418222630[[#This Row],[Durée (100)]],".")</f>
        <v>0.500000000000001</v>
      </c>
      <c r="N18" s="187"/>
      <c r="O18" s="71"/>
      <c r="P18" s="71"/>
      <c r="Q18" s="71"/>
      <c r="R18" s="71"/>
      <c r="S18" s="71"/>
      <c r="T18" s="71"/>
      <c r="U18" s="71"/>
      <c r="V18" s="71"/>
      <c r="W18" s="71"/>
      <c r="X18" s="71"/>
      <c r="Y18" s="71"/>
      <c r="Z18" s="71"/>
      <c r="AA18" s="71"/>
      <c r="AB18" s="71"/>
      <c r="AC18" s="71"/>
      <c r="AD18" s="71"/>
      <c r="AE18" s="71"/>
      <c r="AF18" s="71"/>
      <c r="AG18" s="71"/>
    </row>
    <row r="19" customFormat="false" ht="15" hidden="false" customHeight="false" outlineLevel="0" collapsed="false">
      <c r="A19" s="256" t="n">
        <f aca="false">IF(Horodateur1123353819223134374346495255586164698522263438465058546266707478829098941021061141181101221261301341381421461501541581621661701741781821861901941982022062102144101418222630[[#This Row],[Jour]]="1- Lundi",$B$1+1, IF(Horodateur1123353819223134374346495255586164698522263438465058546266707478829098941021061141181101221261301341381421461501541581621661701741781821861901941982022062102144101418222630[[#This Row],[Jour]]="2- Mardi",$B$1+2, IF(Horodateur1123353819223134374346495255586164698522263438465058546266707478829098941021061141181101221261301341381421461501541581621661701741781821861901941982022062102144101418222630[[#This Row],[Jour]]="3- Mercredi",$B$1+3, IF(Horodateur1123353819223134374346495255586164698522263438465058546266707478829098941021061141181101221261301341381421461501541581621661701741781821861901941982022062102144101418222630[[#This Row],[Jour]]="4- Jeudi",$B$1+4, IF(Horodateur1123353819223134374346495255586164698522263438465058546266707478829098941021061141181101221261301341381421461501541581621661701741781821861901941982022062102144101418222630[[#This Row],[Jour]]="5- Vendredi",$B$1+5, IF(Horodateur1123353819223134374346495255586164698522263438465058546266707478829098941021061141181101221261301341381421461501541581621661701741781821861901941982022062102144101418222630[[#This Row],[Jour]]="6- Samedi",$B$1+6, IF(Horodateur1123353819223134374346495255586164698522263438465058546266707478829098941021061141181101221261301341381421461501541581621661701741781821861901941982022062102144101418222630[[#This Row],[Jour]]="7- Dimanche",$B$1, )))))))</f>
        <v>44251</v>
      </c>
      <c r="B19" s="257" t="s">
        <v>319</v>
      </c>
      <c r="C19" s="258" t="n">
        <v>0.708333333333333</v>
      </c>
      <c r="D19" s="258" t="n">
        <v>0.75</v>
      </c>
      <c r="E19" s="71" t="s">
        <v>32</v>
      </c>
      <c r="F19" s="71" t="s">
        <v>22</v>
      </c>
      <c r="G19" s="259" t="s">
        <v>118</v>
      </c>
      <c r="H19" s="258" t="n">
        <f aca="false">IF($C19=0,"",$D19-$C19)</f>
        <v>0.0416666666666666</v>
      </c>
      <c r="I19" s="260" t="n">
        <f aca="false">IF($C19=0,"",($H19-INT($H19))*24)</f>
        <v>0.999999999999999</v>
      </c>
      <c r="J19" s="303" t="n">
        <f aca="false">SUMIF(Horodateur1123353819223134374346495255586164698522263438465058546266707478829098941021061141181101221261301341381421461501541581621661701741781821861901941982022062102144101418222630[Jour],$B19,Horodateur1123353819223134374346495255586164698522263438465058546266707478829098941021061141181101221261301341381421461501541581621661701741781821861901941982022062102144101418222630[Durée (100)])</f>
        <v>7</v>
      </c>
      <c r="K19" s="335"/>
      <c r="L19" s="188" t="s">
        <v>31</v>
      </c>
      <c r="M19" s="272" t="n">
        <f aca="false">IF(Horodateur1123353819223134374346495255586164698522263438465058546266707478829098941021061141181101221261301341381421461501541581621661701741781821861901941982022062102144101418222630[[#This Row],[O]]="o",Horodateur1123353819223134374346495255586164698522263438465058546266707478829098941021061141181101221261301341381421461501541581621661701741781821861901941982022062102144101418222630[[#This Row],[Durée (100)]],".")</f>
        <v>0.999999999999999</v>
      </c>
      <c r="N19" s="187"/>
      <c r="O19" s="71"/>
      <c r="P19" s="71"/>
      <c r="Q19" s="71"/>
      <c r="R19" s="71"/>
      <c r="S19" s="71"/>
      <c r="T19" s="71"/>
      <c r="U19" s="71"/>
      <c r="V19" s="71"/>
      <c r="W19" s="71"/>
      <c r="X19" s="71"/>
      <c r="Y19" s="71"/>
      <c r="Z19" s="71"/>
      <c r="AA19" s="71"/>
      <c r="AB19" s="71"/>
      <c r="AC19" s="71"/>
      <c r="AD19" s="71"/>
      <c r="AE19" s="71"/>
      <c r="AF19" s="71"/>
      <c r="AG19" s="71"/>
    </row>
    <row r="20" customFormat="false" ht="15" hidden="false" customHeight="false" outlineLevel="0" collapsed="false">
      <c r="A20" s="256" t="n">
        <f aca="false">IF(Horodateur1123353819223134374346495255586164698522263438465058546266707478829098941021061141181101221261301341381421461501541581621661701741781821861901941982022062102144101418222630[[#This Row],[Jour]]="1- Lundi",$B$1+1, IF(Horodateur1123353819223134374346495255586164698522263438465058546266707478829098941021061141181101221261301341381421461501541581621661701741781821861901941982022062102144101418222630[[#This Row],[Jour]]="2- Mardi",$B$1+2, IF(Horodateur1123353819223134374346495255586164698522263438465058546266707478829098941021061141181101221261301341381421461501541581621661701741781821861901941982022062102144101418222630[[#This Row],[Jour]]="3- Mercredi",$B$1+3, IF(Horodateur1123353819223134374346495255586164698522263438465058546266707478829098941021061141181101221261301341381421461501541581621661701741781821861901941982022062102144101418222630[[#This Row],[Jour]]="4- Jeudi",$B$1+4, IF(Horodateur1123353819223134374346495255586164698522263438465058546266707478829098941021061141181101221261301341381421461501541581621661701741781821861901941982022062102144101418222630[[#This Row],[Jour]]="5- Vendredi",$B$1+5, IF(Horodateur1123353819223134374346495255586164698522263438465058546266707478829098941021061141181101221261301341381421461501541581621661701741781821861901941982022062102144101418222630[[#This Row],[Jour]]="6- Samedi",$B$1+6, IF(Horodateur1123353819223134374346495255586164698522263438465058546266707478829098941021061141181101221261301341381421461501541581621661701741781821861901941982022062102144101418222630[[#This Row],[Jour]]="7- Dimanche",$B$1, )))))))</f>
        <v>44252</v>
      </c>
      <c r="B20" s="257" t="s">
        <v>324</v>
      </c>
      <c r="C20" s="258" t="n">
        <v>0.322916666666667</v>
      </c>
      <c r="D20" s="258" t="n">
        <v>0.333333333333333</v>
      </c>
      <c r="E20" s="71" t="s">
        <v>32</v>
      </c>
      <c r="F20" s="71" t="s">
        <v>21</v>
      </c>
      <c r="G20" s="259"/>
      <c r="H20" s="258" t="n">
        <f aca="false">IF($C20=0,"",$D20-$C20)</f>
        <v>0.0104166666666667</v>
      </c>
      <c r="I20" s="260" t="n">
        <f aca="false">IF($C20=0,"",($H20-INT($H20))*24)</f>
        <v>0.25</v>
      </c>
      <c r="J20" s="303" t="n">
        <f aca="false">SUMIF(Horodateur1123353819223134374346495255586164698522263438465058546266707478829098941021061141181101221261301341381421461501541581621661701741781821861901941982022062102144101418222630[Jour],$B20,Horodateur1123353819223134374346495255586164698522263438465058546266707478829098941021061141181101221261301341381421461501541581621661701741781821861901941982022062102144101418222630[Durée (100)])</f>
        <v>8.5</v>
      </c>
      <c r="K20" s="335"/>
      <c r="L20" s="188" t="s">
        <v>31</v>
      </c>
      <c r="M20" s="272" t="n">
        <f aca="false">IF(Horodateur1123353819223134374346495255586164698522263438465058546266707478829098941021061141181101221261301341381421461501541581621661701741781821861901941982022062102144101418222630[[#This Row],[O]]="o",Horodateur1123353819223134374346495255586164698522263438465058546266707478829098941021061141181101221261301341381421461501541581621661701741781821861901941982022062102144101418222630[[#This Row],[Durée (100)]],".")</f>
        <v>0.249999999999999</v>
      </c>
      <c r="N20" s="187"/>
      <c r="O20" s="71"/>
      <c r="P20" s="71"/>
      <c r="Q20" s="71"/>
      <c r="R20" s="71"/>
      <c r="S20" s="71"/>
      <c r="T20" s="71"/>
      <c r="U20" s="71"/>
      <c r="V20" s="71"/>
      <c r="W20" s="71"/>
      <c r="X20" s="71"/>
      <c r="Y20" s="71"/>
      <c r="Z20" s="71"/>
      <c r="AA20" s="71"/>
      <c r="AB20" s="71"/>
      <c r="AC20" s="71"/>
      <c r="AD20" s="71"/>
      <c r="AE20" s="71"/>
      <c r="AF20" s="71"/>
      <c r="AG20" s="71"/>
    </row>
    <row r="21" customFormat="false" ht="15" hidden="false" customHeight="false" outlineLevel="0" collapsed="false">
      <c r="A21" s="256" t="n">
        <f aca="false">IF(Horodateur1123353819223134374346495255586164698522263438465058546266707478829098941021061141181101221261301341381421461501541581621661701741781821861901941982022062102144101418222630[[#This Row],[Jour]]="1- Lundi",$B$1+1, IF(Horodateur1123353819223134374346495255586164698522263438465058546266707478829098941021061141181101221261301341381421461501541581621661701741781821861901941982022062102144101418222630[[#This Row],[Jour]]="2- Mardi",$B$1+2, IF(Horodateur1123353819223134374346495255586164698522263438465058546266707478829098941021061141181101221261301341381421461501541581621661701741781821861901941982022062102144101418222630[[#This Row],[Jour]]="3- Mercredi",$B$1+3, IF(Horodateur1123353819223134374346495255586164698522263438465058546266707478829098941021061141181101221261301341381421461501541581621661701741781821861901941982022062102144101418222630[[#This Row],[Jour]]="4- Jeudi",$B$1+4, IF(Horodateur1123353819223134374346495255586164698522263438465058546266707478829098941021061141181101221261301341381421461501541581621661701741781821861901941982022062102144101418222630[[#This Row],[Jour]]="5- Vendredi",$B$1+5, IF(Horodateur1123353819223134374346495255586164698522263438465058546266707478829098941021061141181101221261301341381421461501541581621661701741781821861901941982022062102144101418222630[[#This Row],[Jour]]="6- Samedi",$B$1+6, IF(Horodateur1123353819223134374346495255586164698522263438465058546266707478829098941021061141181101221261301341381421461501541581621661701741781821861901941982022062102144101418222630[[#This Row],[Jour]]="7- Dimanche",$B$1, )))))))</f>
        <v>44252</v>
      </c>
      <c r="B21" s="257" t="s">
        <v>324</v>
      </c>
      <c r="C21" s="258" t="n">
        <v>0.333333333333333</v>
      </c>
      <c r="D21" s="258" t="n">
        <v>0.40625</v>
      </c>
      <c r="E21" s="71" t="s">
        <v>32</v>
      </c>
      <c r="F21" s="71" t="s">
        <v>22</v>
      </c>
      <c r="G21" s="259"/>
      <c r="H21" s="258" t="n">
        <f aca="false">IF($C21=0,"",$D21-$C21)</f>
        <v>0.0729166666666667</v>
      </c>
      <c r="I21" s="260" t="n">
        <f aca="false">IF($C21=0,"",($H21-INT($H21))*24)</f>
        <v>1.75</v>
      </c>
      <c r="J21" s="303" t="n">
        <f aca="false">SUMIF(Horodateur1123353819223134374346495255586164698522263438465058546266707478829098941021061141181101221261301341381421461501541581621661701741781821861901941982022062102144101418222630[Jour],$B21,Horodateur1123353819223134374346495255586164698522263438465058546266707478829098941021061141181101221261301341381421461501541581621661701741781821861901941982022062102144101418222630[Durée (100)])</f>
        <v>8.5</v>
      </c>
      <c r="K21" s="335"/>
      <c r="L21" s="188" t="s">
        <v>31</v>
      </c>
      <c r="M21" s="272" t="n">
        <f aca="false">IF(Horodateur1123353819223134374346495255586164698522263438465058546266707478829098941021061141181101221261301341381421461501541581621661701741781821861901941982022062102144101418222630[[#This Row],[O]]="o",Horodateur1123353819223134374346495255586164698522263438465058546266707478829098941021061141181101221261301341381421461501541581621661701741781821861901941982022062102144101418222630[[#This Row],[Durée (100)]],".")</f>
        <v>1.75</v>
      </c>
      <c r="N21" s="187"/>
      <c r="O21" s="71"/>
      <c r="P21" s="71"/>
      <c r="Q21" s="71"/>
      <c r="R21" s="71"/>
      <c r="S21" s="71"/>
      <c r="T21" s="71"/>
      <c r="U21" s="71"/>
      <c r="V21" s="71"/>
      <c r="W21" s="71"/>
      <c r="X21" s="71"/>
      <c r="Y21" s="71"/>
      <c r="Z21" s="71"/>
      <c r="AA21" s="71"/>
      <c r="AB21" s="71"/>
      <c r="AC21" s="71"/>
      <c r="AD21" s="71"/>
      <c r="AE21" s="71"/>
      <c r="AF21" s="71"/>
      <c r="AG21" s="71"/>
    </row>
    <row r="22" customFormat="false" ht="15" hidden="false" customHeight="false" outlineLevel="0" collapsed="false">
      <c r="A22" s="256" t="n">
        <f aca="false">IF(Horodateur1123353819223134374346495255586164698522263438465058546266707478829098941021061141181101221261301341381421461501541581621661701741781821861901941982022062102144101418222630[[#This Row],[Jour]]="1- Lundi",$B$1+1, IF(Horodateur1123353819223134374346495255586164698522263438465058546266707478829098941021061141181101221261301341381421461501541581621661701741781821861901941982022062102144101418222630[[#This Row],[Jour]]="2- Mardi",$B$1+2, IF(Horodateur1123353819223134374346495255586164698522263438465058546266707478829098941021061141181101221261301341381421461501541581621661701741781821861901941982022062102144101418222630[[#This Row],[Jour]]="3- Mercredi",$B$1+3, IF(Horodateur1123353819223134374346495255586164698522263438465058546266707478829098941021061141181101221261301341381421461501541581621661701741781821861901941982022062102144101418222630[[#This Row],[Jour]]="4- Jeudi",$B$1+4, IF(Horodateur1123353819223134374346495255586164698522263438465058546266707478829098941021061141181101221261301341381421461501541581621661701741781821861901941982022062102144101418222630[[#This Row],[Jour]]="5- Vendredi",$B$1+5, IF(Horodateur1123353819223134374346495255586164698522263438465058546266707478829098941021061141181101221261301341381421461501541581621661701741781821861901941982022062102144101418222630[[#This Row],[Jour]]="6- Samedi",$B$1+6, IF(Horodateur1123353819223134374346495255586164698522263438465058546266707478829098941021061141181101221261301341381421461501541581621661701741781821861901941982022062102144101418222630[[#This Row],[Jour]]="7- Dimanche",$B$1, )))))))</f>
        <v>44252</v>
      </c>
      <c r="B22" s="257" t="s">
        <v>324</v>
      </c>
      <c r="C22" s="258" t="n">
        <v>0.40625</v>
      </c>
      <c r="D22" s="258" t="n">
        <v>0.447916666666667</v>
      </c>
      <c r="E22" s="71" t="s">
        <v>59</v>
      </c>
      <c r="F22" s="71" t="s">
        <v>378</v>
      </c>
      <c r="G22" s="259" t="s">
        <v>581</v>
      </c>
      <c r="H22" s="258" t="n">
        <f aca="false">IF($C22=0,"",$D22-$C22)</f>
        <v>0.0416666666666667</v>
      </c>
      <c r="I22" s="260" t="n">
        <f aca="false">IF($C22=0,"",($H22-INT($H22))*24)</f>
        <v>1</v>
      </c>
      <c r="J22" s="303" t="n">
        <f aca="false">SUMIF(Horodateur1123353819223134374346495255586164698522263438465058546266707478829098941021061141181101221261301341381421461501541581621661701741781821861901941982022062102144101418222630[Jour],$B22,Horodateur1123353819223134374346495255586164698522263438465058546266707478829098941021061141181101221261301341381421461501541581621661701741781821861901941982022062102144101418222630[Durée (100)])</f>
        <v>8.5</v>
      </c>
      <c r="K22" s="335"/>
      <c r="L22" s="188" t="s">
        <v>31</v>
      </c>
      <c r="M22" s="272" t="n">
        <f aca="false">IF(Horodateur1123353819223134374346495255586164698522263438465058546266707478829098941021061141181101221261301341381421461501541581621661701741781821861901941982022062102144101418222630[[#This Row],[O]]="o",Horodateur1123353819223134374346495255586164698522263438465058546266707478829098941021061141181101221261301341381421461501541581621661701741781821861901941982022062102144101418222630[[#This Row],[Durée (100)]],".")</f>
        <v>1</v>
      </c>
      <c r="N22" s="187"/>
      <c r="O22" s="71"/>
      <c r="P22" s="71"/>
      <c r="Q22" s="71"/>
      <c r="R22" s="71"/>
      <c r="S22" s="71"/>
      <c r="T22" s="71"/>
      <c r="U22" s="71"/>
      <c r="V22" s="71"/>
      <c r="W22" s="71"/>
      <c r="X22" s="71"/>
      <c r="Y22" s="71"/>
      <c r="Z22" s="71"/>
      <c r="AA22" s="71"/>
      <c r="AB22" s="71"/>
      <c r="AC22" s="71"/>
      <c r="AD22" s="71"/>
      <c r="AE22" s="71"/>
      <c r="AF22" s="71"/>
      <c r="AG22" s="71"/>
    </row>
    <row r="23" customFormat="false" ht="15" hidden="false" customHeight="false" outlineLevel="0" collapsed="false">
      <c r="A23" s="256" t="n">
        <f aca="false">IF(Horodateur1123353819223134374346495255586164698522263438465058546266707478829098941021061141181101221261301341381421461501541581621661701741781821861901941982022062102144101418222630[[#This Row],[Jour]]="1- Lundi",$B$1+1, IF(Horodateur1123353819223134374346495255586164698522263438465058546266707478829098941021061141181101221261301341381421461501541581621661701741781821861901941982022062102144101418222630[[#This Row],[Jour]]="2- Mardi",$B$1+2, IF(Horodateur1123353819223134374346495255586164698522263438465058546266707478829098941021061141181101221261301341381421461501541581621661701741781821861901941982022062102144101418222630[[#This Row],[Jour]]="3- Mercredi",$B$1+3, IF(Horodateur1123353819223134374346495255586164698522263438465058546266707478829098941021061141181101221261301341381421461501541581621661701741781821861901941982022062102144101418222630[[#This Row],[Jour]]="4- Jeudi",$B$1+4, IF(Horodateur1123353819223134374346495255586164698522263438465058546266707478829098941021061141181101221261301341381421461501541581621661701741781821861901941982022062102144101418222630[[#This Row],[Jour]]="5- Vendredi",$B$1+5, IF(Horodateur1123353819223134374346495255586164698522263438465058546266707478829098941021061141181101221261301341381421461501541581621661701741781821861901941982022062102144101418222630[[#This Row],[Jour]]="6- Samedi",$B$1+6, IF(Horodateur1123353819223134374346495255586164698522263438465058546266707478829098941021061141181101221261301341381421461501541581621661701741781821861901941982022062102144101418222630[[#This Row],[Jour]]="7- Dimanche",$B$1, )))))))</f>
        <v>44252</v>
      </c>
      <c r="B23" s="257" t="s">
        <v>324</v>
      </c>
      <c r="C23" s="258" t="n">
        <v>0.458333333333333</v>
      </c>
      <c r="D23" s="258" t="n">
        <v>0.5</v>
      </c>
      <c r="E23" s="71" t="s">
        <v>59</v>
      </c>
      <c r="F23" s="71" t="s">
        <v>378</v>
      </c>
      <c r="G23" s="259" t="s">
        <v>583</v>
      </c>
      <c r="H23" s="258" t="n">
        <f aca="false">IF($C23=0,"",$D23-$C23)</f>
        <v>0.0416666666666667</v>
      </c>
      <c r="I23" s="260" t="n">
        <f aca="false">IF($C23=0,"",($H23-INT($H23))*24)</f>
        <v>1</v>
      </c>
      <c r="J23" s="303" t="n">
        <f aca="false">SUMIF(Horodateur1123353819223134374346495255586164698522263438465058546266707478829098941021061141181101221261301341381421461501541581621661701741781821861901941982022062102144101418222630[Jour],$B23,Horodateur1123353819223134374346495255586164698522263438465058546266707478829098941021061141181101221261301341381421461501541581621661701741781821861901941982022062102144101418222630[Durée (100)])</f>
        <v>8.5</v>
      </c>
      <c r="K23" s="335"/>
      <c r="L23" s="188" t="s">
        <v>31</v>
      </c>
      <c r="M23" s="272" t="n">
        <f aca="false">IF(Horodateur1123353819223134374346495255586164698522263438465058546266707478829098941021061141181101221261301341381421461501541581621661701741781821861901941982022062102144101418222630[[#This Row],[O]]="o",Horodateur1123353819223134374346495255586164698522263438465058546266707478829098941021061141181101221261301341381421461501541581621661701741781821861901941982022062102144101418222630[[#This Row],[Durée (100)]],".")</f>
        <v>1</v>
      </c>
      <c r="N23" s="187"/>
      <c r="O23" s="71"/>
      <c r="P23" s="71"/>
      <c r="Q23" s="71"/>
      <c r="R23" s="71"/>
      <c r="S23" s="71"/>
      <c r="T23" s="71"/>
      <c r="U23" s="71"/>
      <c r="V23" s="71"/>
      <c r="W23" s="71"/>
      <c r="X23" s="71"/>
      <c r="Y23" s="71"/>
      <c r="Z23" s="71"/>
      <c r="AA23" s="71"/>
      <c r="AB23" s="71"/>
      <c r="AC23" s="71"/>
      <c r="AD23" s="71"/>
      <c r="AE23" s="71"/>
      <c r="AF23" s="71"/>
      <c r="AG23" s="71"/>
    </row>
    <row r="24" customFormat="false" ht="15" hidden="false" customHeight="false" outlineLevel="0" collapsed="false">
      <c r="A24" s="256" t="n">
        <f aca="false">IF(Horodateur1123353819223134374346495255586164698522263438465058546266707478829098941021061141181101221261301341381421461501541581621661701741781821861901941982022062102144101418222630[[#This Row],[Jour]]="1- Lundi",$B$1+1, IF(Horodateur1123353819223134374346495255586164698522263438465058546266707478829098941021061141181101221261301341381421461501541581621661701741781821861901941982022062102144101418222630[[#This Row],[Jour]]="2- Mardi",$B$1+2, IF(Horodateur1123353819223134374346495255586164698522263438465058546266707478829098941021061141181101221261301341381421461501541581621661701741781821861901941982022062102144101418222630[[#This Row],[Jour]]="3- Mercredi",$B$1+3, IF(Horodateur1123353819223134374346495255586164698522263438465058546266707478829098941021061141181101221261301341381421461501541581621661701741781821861901941982022062102144101418222630[[#This Row],[Jour]]="4- Jeudi",$B$1+4, IF(Horodateur1123353819223134374346495255586164698522263438465058546266707478829098941021061141181101221261301341381421461501541581621661701741781821861901941982022062102144101418222630[[#This Row],[Jour]]="5- Vendredi",$B$1+5, IF(Horodateur1123353819223134374346495255586164698522263438465058546266707478829098941021061141181101221261301341381421461501541581621661701741781821861901941982022062102144101418222630[[#This Row],[Jour]]="6- Samedi",$B$1+6, IF(Horodateur1123353819223134374346495255586164698522263438465058546266707478829098941021061141181101221261301341381421461501541581621661701741781821861901941982022062102144101418222630[[#This Row],[Jour]]="7- Dimanche",$B$1, )))))))</f>
        <v>44252</v>
      </c>
      <c r="B24" s="257" t="s">
        <v>324</v>
      </c>
      <c r="C24" s="258" t="n">
        <v>0.5625</v>
      </c>
      <c r="D24" s="258" t="n">
        <v>0.625</v>
      </c>
      <c r="E24" s="71" t="s">
        <v>63</v>
      </c>
      <c r="F24" s="71" t="s">
        <v>378</v>
      </c>
      <c r="G24" s="259" t="s">
        <v>583</v>
      </c>
      <c r="H24" s="258" t="n">
        <f aca="false">IF($C24=0,"",$D24-$C24)</f>
        <v>0.0625</v>
      </c>
      <c r="I24" s="260" t="n">
        <f aca="false">IF($C24=0,"",($H24-INT($H24))*24)</f>
        <v>1.5</v>
      </c>
      <c r="J24" s="303" t="n">
        <f aca="false">SUMIF(Horodateur1123353819223134374346495255586164698522263438465058546266707478829098941021061141181101221261301341381421461501541581621661701741781821861901941982022062102144101418222630[Jour],$B24,Horodateur1123353819223134374346495255586164698522263438465058546266707478829098941021061141181101221261301341381421461501541581621661701741781821861901941982022062102144101418222630[Durée (100)])</f>
        <v>8.5</v>
      </c>
      <c r="K24" s="335"/>
      <c r="L24" s="188" t="s">
        <v>31</v>
      </c>
      <c r="M24" s="272" t="n">
        <f aca="false">IF(Horodateur1123353819223134374346495255586164698522263438465058546266707478829098941021061141181101221261301341381421461501541581621661701741781821861901941982022062102144101418222630[[#This Row],[O]]="o",Horodateur1123353819223134374346495255586164698522263438465058546266707478829098941021061141181101221261301341381421461501541581621661701741781821861901941982022062102144101418222630[[#This Row],[Durée (100)]],".")</f>
        <v>1.5</v>
      </c>
      <c r="N24" s="187"/>
      <c r="O24" s="71"/>
      <c r="P24" s="71"/>
      <c r="Q24" s="71"/>
      <c r="R24" s="71"/>
      <c r="S24" s="71"/>
      <c r="T24" s="71"/>
      <c r="U24" s="71"/>
      <c r="V24" s="71"/>
      <c r="W24" s="71"/>
      <c r="X24" s="71"/>
      <c r="Y24" s="71"/>
      <c r="Z24" s="71"/>
      <c r="AA24" s="71"/>
      <c r="AB24" s="71"/>
      <c r="AC24" s="71"/>
      <c r="AD24" s="71"/>
      <c r="AE24" s="71"/>
      <c r="AF24" s="71"/>
      <c r="AG24" s="71"/>
    </row>
    <row r="25" customFormat="false" ht="15" hidden="false" customHeight="false" outlineLevel="0" collapsed="false">
      <c r="A25" s="256" t="n">
        <f aca="false">IF(Horodateur1123353819223134374346495255586164698522263438465058546266707478829098941021061141181101221261301341381421461501541581621661701741781821861901941982022062102144101418222630[[#This Row],[Jour]]="1- Lundi",$B$1+1, IF(Horodateur1123353819223134374346495255586164698522263438465058546266707478829098941021061141181101221261301341381421461501541581621661701741781821861901941982022062102144101418222630[[#This Row],[Jour]]="2- Mardi",$B$1+2, IF(Horodateur1123353819223134374346495255586164698522263438465058546266707478829098941021061141181101221261301341381421461501541581621661701741781821861901941982022062102144101418222630[[#This Row],[Jour]]="3- Mercredi",$B$1+3, IF(Horodateur1123353819223134374346495255586164698522263438465058546266707478829098941021061141181101221261301341381421461501541581621661701741781821861901941982022062102144101418222630[[#This Row],[Jour]]="4- Jeudi",$B$1+4, IF(Horodateur1123353819223134374346495255586164698522263438465058546266707478829098941021061141181101221261301341381421461501541581621661701741781821861901941982022062102144101418222630[[#This Row],[Jour]]="5- Vendredi",$B$1+5, IF(Horodateur1123353819223134374346495255586164698522263438465058546266707478829098941021061141181101221261301341381421461501541581621661701741781821861901941982022062102144101418222630[[#This Row],[Jour]]="6- Samedi",$B$1+6, IF(Horodateur1123353819223134374346495255586164698522263438465058546266707478829098941021061141181101221261301341381421461501541581621661701741781821861901941982022062102144101418222630[[#This Row],[Jour]]="7- Dimanche",$B$1, )))))))</f>
        <v>44252</v>
      </c>
      <c r="B25" s="257" t="s">
        <v>324</v>
      </c>
      <c r="C25" s="258" t="n">
        <v>0.625</v>
      </c>
      <c r="D25" s="258" t="n">
        <v>0.666666666666667</v>
      </c>
      <c r="E25" s="71" t="s">
        <v>63</v>
      </c>
      <c r="F25" s="71" t="s">
        <v>378</v>
      </c>
      <c r="G25" s="259" t="s">
        <v>584</v>
      </c>
      <c r="H25" s="258" t="n">
        <f aca="false">IF($C25=0,"",$D25-$C25)</f>
        <v>0.0416666666666666</v>
      </c>
      <c r="I25" s="260" t="n">
        <f aca="false">IF($C25=0,"",($H25-INT($H25))*24)</f>
        <v>0.999999999999999</v>
      </c>
      <c r="J25" s="303" t="n">
        <f aca="false">SUMIF(Horodateur1123353819223134374346495255586164698522263438465058546266707478829098941021061141181101221261301341381421461501541581621661701741781821861901941982022062102144101418222630[Jour],$B25,Horodateur1123353819223134374346495255586164698522263438465058546266707478829098941021061141181101221261301341381421461501541581621661701741781821861901941982022062102144101418222630[Durée (100)])</f>
        <v>8.5</v>
      </c>
      <c r="K25" s="335"/>
      <c r="L25" s="188" t="s">
        <v>31</v>
      </c>
      <c r="M25" s="272" t="n">
        <f aca="false">IF(Horodateur1123353819223134374346495255586164698522263438465058546266707478829098941021061141181101221261301341381421461501541581621661701741781821861901941982022062102144101418222630[[#This Row],[O]]="o",Horodateur1123353819223134374346495255586164698522263438465058546266707478829098941021061141181101221261301341381421461501541581621661701741781821861901941982022062102144101418222630[[#This Row],[Durée (100)]],".")</f>
        <v>0.999999999999999</v>
      </c>
      <c r="N25" s="187"/>
      <c r="O25" s="71"/>
      <c r="P25" s="71"/>
      <c r="Q25" s="71"/>
      <c r="R25" s="71"/>
      <c r="S25" s="71"/>
      <c r="T25" s="71"/>
      <c r="U25" s="71"/>
      <c r="V25" s="71"/>
      <c r="W25" s="71"/>
      <c r="X25" s="71"/>
      <c r="Y25" s="71"/>
      <c r="Z25" s="71"/>
      <c r="AA25" s="71"/>
      <c r="AB25" s="71"/>
      <c r="AC25" s="71"/>
      <c r="AD25" s="71"/>
      <c r="AE25" s="71"/>
      <c r="AF25" s="71"/>
      <c r="AG25" s="71"/>
    </row>
    <row r="26" customFormat="false" ht="15" hidden="false" customHeight="false" outlineLevel="0" collapsed="false">
      <c r="A26" s="256" t="n">
        <f aca="false">IF(Horodateur1123353819223134374346495255586164698522263438465058546266707478829098941021061141181101221261301341381421461501541581621661701741781821861901941982022062102144101418222630[[#This Row],[Jour]]="1- Lundi",$B$1+1, IF(Horodateur1123353819223134374346495255586164698522263438465058546266707478829098941021061141181101221261301341381421461501541581621661701741781821861901941982022062102144101418222630[[#This Row],[Jour]]="2- Mardi",$B$1+2, IF(Horodateur1123353819223134374346495255586164698522263438465058546266707478829098941021061141181101221261301341381421461501541581621661701741781821861901941982022062102144101418222630[[#This Row],[Jour]]="3- Mercredi",$B$1+3, IF(Horodateur1123353819223134374346495255586164698522263438465058546266707478829098941021061141181101221261301341381421461501541581621661701741781821861901941982022062102144101418222630[[#This Row],[Jour]]="4- Jeudi",$B$1+4, IF(Horodateur1123353819223134374346495255586164698522263438465058546266707478829098941021061141181101221261301341381421461501541581621661701741781821861901941982022062102144101418222630[[#This Row],[Jour]]="5- Vendredi",$B$1+5, IF(Horodateur1123353819223134374346495255586164698522263438465058546266707478829098941021061141181101221261301341381421461501541581621661701741781821861901941982022062102144101418222630[[#This Row],[Jour]]="6- Samedi",$B$1+6, IF(Horodateur1123353819223134374346495255586164698522263438465058546266707478829098941021061141181101221261301341381421461501541581621661701741781821861901941982022062102144101418222630[[#This Row],[Jour]]="7- Dimanche",$B$1, )))))))</f>
        <v>44252</v>
      </c>
      <c r="B26" s="257" t="s">
        <v>324</v>
      </c>
      <c r="C26" s="258" t="n">
        <v>0.666666666666667</v>
      </c>
      <c r="D26" s="258" t="n">
        <v>0.729166666666667</v>
      </c>
      <c r="E26" s="71" t="s">
        <v>59</v>
      </c>
      <c r="F26" s="71" t="s">
        <v>378</v>
      </c>
      <c r="G26" s="259" t="s">
        <v>585</v>
      </c>
      <c r="H26" s="258" t="n">
        <f aca="false">IF($C26=0,"",$D26-$C26)</f>
        <v>0.0625</v>
      </c>
      <c r="I26" s="260" t="n">
        <f aca="false">IF($C26=0,"",($H26-INT($H26))*24)</f>
        <v>1.5</v>
      </c>
      <c r="J26" s="303" t="n">
        <f aca="false">SUMIF(Horodateur1123353819223134374346495255586164698522263438465058546266707478829098941021061141181101221261301341381421461501541581621661701741781821861901941982022062102144101418222630[Jour],$B26,Horodateur1123353819223134374346495255586164698522263438465058546266707478829098941021061141181101221261301341381421461501541581621661701741781821861901941982022062102144101418222630[Durée (100)])</f>
        <v>8.5</v>
      </c>
      <c r="K26" s="335"/>
      <c r="L26" s="188" t="s">
        <v>31</v>
      </c>
      <c r="M26" s="272" t="n">
        <f aca="false">IF(Horodateur1123353819223134374346495255586164698522263438465058546266707478829098941021061141181101221261301341381421461501541581621661701741781821861901941982022062102144101418222630[[#This Row],[O]]="o",Horodateur1123353819223134374346495255586164698522263438465058546266707478829098941021061141181101221261301341381421461501541581621661701741781821861901941982022062102144101418222630[[#This Row],[Durée (100)]],".")</f>
        <v>1.5</v>
      </c>
      <c r="N26" s="187"/>
      <c r="O26" s="71"/>
      <c r="P26" s="71"/>
      <c r="Q26" s="71"/>
      <c r="R26" s="71"/>
      <c r="S26" s="71"/>
      <c r="T26" s="71"/>
      <c r="U26" s="71"/>
      <c r="V26" s="71"/>
      <c r="W26" s="71"/>
      <c r="X26" s="71"/>
      <c r="Y26" s="71"/>
      <c r="Z26" s="71"/>
      <c r="AA26" s="71"/>
      <c r="AB26" s="71"/>
      <c r="AC26" s="71"/>
      <c r="AD26" s="71"/>
      <c r="AE26" s="71"/>
      <c r="AF26" s="71"/>
      <c r="AG26" s="71"/>
    </row>
    <row r="27" customFormat="false" ht="15" hidden="false" customHeight="false" outlineLevel="0" collapsed="false">
      <c r="A27" s="256" t="n">
        <f aca="false">IF(Horodateur1123353819223134374346495255586164698522263438465058546266707478829098941021061141181101221261301341381421461501541581621661701741781821861901941982022062102144101418222630[[#This Row],[Jour]]="1- Lundi",$B$1+1, IF(Horodateur1123353819223134374346495255586164698522263438465058546266707478829098941021061141181101221261301341381421461501541581621661701741781821861901941982022062102144101418222630[[#This Row],[Jour]]="2- Mardi",$B$1+2, IF(Horodateur1123353819223134374346495255586164698522263438465058546266707478829098941021061141181101221261301341381421461501541581621661701741781821861901941982022062102144101418222630[[#This Row],[Jour]]="3- Mercredi",$B$1+3, IF(Horodateur1123353819223134374346495255586164698522263438465058546266707478829098941021061141181101221261301341381421461501541581621661701741781821861901941982022062102144101418222630[[#This Row],[Jour]]="4- Jeudi",$B$1+4, IF(Horodateur1123353819223134374346495255586164698522263438465058546266707478829098941021061141181101221261301341381421461501541581621661701741781821861901941982022062102144101418222630[[#This Row],[Jour]]="5- Vendredi",$B$1+5, IF(Horodateur1123353819223134374346495255586164698522263438465058546266707478829098941021061141181101221261301341381421461501541581621661701741781821861901941982022062102144101418222630[[#This Row],[Jour]]="6- Samedi",$B$1+6, IF(Horodateur1123353819223134374346495255586164698522263438465058546266707478829098941021061141181101221261301341381421461501541581621661701741781821861901941982022062102144101418222630[[#This Row],[Jour]]="7- Dimanche",$B$1, )))))))</f>
        <v>44252</v>
      </c>
      <c r="B27" s="257" t="s">
        <v>324</v>
      </c>
      <c r="C27" s="258" t="n">
        <v>0.729166666666667</v>
      </c>
      <c r="D27" s="258" t="n">
        <v>0.75</v>
      </c>
      <c r="E27" s="71" t="s">
        <v>59</v>
      </c>
      <c r="F27" s="71" t="s">
        <v>378</v>
      </c>
      <c r="G27" s="259" t="s">
        <v>586</v>
      </c>
      <c r="H27" s="258" t="n">
        <f aca="false">IF($C27=0,"",$D27-$C27)</f>
        <v>0.0208333333333334</v>
      </c>
      <c r="I27" s="260" t="n">
        <f aca="false">IF($C27=0,"",($H27-INT($H27))*24)</f>
        <v>0.500000000000001</v>
      </c>
      <c r="J27" s="303" t="n">
        <f aca="false">SUMIF(Horodateur1123353819223134374346495255586164698522263438465058546266707478829098941021061141181101221261301341381421461501541581621661701741781821861901941982022062102144101418222630[Jour],$B27,Horodateur1123353819223134374346495255586164698522263438465058546266707478829098941021061141181101221261301341381421461501541581621661701741781821861901941982022062102144101418222630[Durée (100)])</f>
        <v>8.5</v>
      </c>
      <c r="K27" s="335"/>
      <c r="L27" s="188" t="s">
        <v>31</v>
      </c>
      <c r="M27" s="272" t="n">
        <f aca="false">IF(Horodateur1123353819223134374346495255586164698522263438465058546266707478829098941021061141181101221261301341381421461501541581621661701741781821861901941982022062102144101418222630[[#This Row],[O]]="o",Horodateur1123353819223134374346495255586164698522263438465058546266707478829098941021061141181101221261301341381421461501541581621661701741781821861901941982022062102144101418222630[[#This Row],[Durée (100)]],".")</f>
        <v>0.500000000000001</v>
      </c>
      <c r="N27" s="187"/>
      <c r="O27" s="71"/>
      <c r="P27" s="71"/>
      <c r="Q27" s="71"/>
      <c r="R27" s="71"/>
      <c r="S27" s="71"/>
      <c r="T27" s="71"/>
      <c r="U27" s="71"/>
      <c r="V27" s="71"/>
      <c r="W27" s="71"/>
      <c r="X27" s="71"/>
      <c r="Y27" s="71"/>
      <c r="Z27" s="71"/>
      <c r="AA27" s="71"/>
      <c r="AB27" s="71"/>
      <c r="AC27" s="71"/>
      <c r="AD27" s="71"/>
      <c r="AE27" s="71"/>
      <c r="AF27" s="71"/>
      <c r="AG27" s="71"/>
    </row>
    <row r="28" customFormat="false" ht="15" hidden="false" customHeight="false" outlineLevel="0" collapsed="false">
      <c r="A28" s="256" t="n">
        <f aca="false">IF(Horodateur1123353819223134374346495255586164698522263438465058546266707478829098941021061141181101221261301341381421461501541581621661701741781821861901941982022062102144101418222630[[#This Row],[Jour]]="1- Lundi",$B$1+1, IF(Horodateur1123353819223134374346495255586164698522263438465058546266707478829098941021061141181101221261301341381421461501541581621661701741781821861901941982022062102144101418222630[[#This Row],[Jour]]="2- Mardi",$B$1+2, IF(Horodateur1123353819223134374346495255586164698522263438465058546266707478829098941021061141181101221261301341381421461501541581621661701741781821861901941982022062102144101418222630[[#This Row],[Jour]]="3- Mercredi",$B$1+3, IF(Horodateur1123353819223134374346495255586164698522263438465058546266707478829098941021061141181101221261301341381421461501541581621661701741781821861901941982022062102144101418222630[[#This Row],[Jour]]="4- Jeudi",$B$1+4, IF(Horodateur1123353819223134374346495255586164698522263438465058546266707478829098941021061141181101221261301341381421461501541581621661701741781821861901941982022062102144101418222630[[#This Row],[Jour]]="5- Vendredi",$B$1+5, IF(Horodateur1123353819223134374346495255586164698522263438465058546266707478829098941021061141181101221261301341381421461501541581621661701741781821861901941982022062102144101418222630[[#This Row],[Jour]]="6- Samedi",$B$1+6, IF(Horodateur1123353819223134374346495255586164698522263438465058546266707478829098941021061141181101221261301341381421461501541581621661701741781821861901941982022062102144101418222630[[#This Row],[Jour]]="7- Dimanche",$B$1, )))))))</f>
        <v>44253</v>
      </c>
      <c r="B28" s="257" t="s">
        <v>332</v>
      </c>
      <c r="C28" s="258" t="n">
        <v>0.3125</v>
      </c>
      <c r="D28" s="258" t="n">
        <v>0.333333333333333</v>
      </c>
      <c r="E28" s="71" t="s">
        <v>59</v>
      </c>
      <c r="F28" s="71" t="s">
        <v>378</v>
      </c>
      <c r="G28" s="259" t="s">
        <v>587</v>
      </c>
      <c r="H28" s="258" t="n">
        <f aca="false">IF($C28=0,"",$D28-$C28)</f>
        <v>0.0208333333333333</v>
      </c>
      <c r="I28" s="260" t="n">
        <f aca="false">IF($C28=0,"",($H28-INT($H28))*24)</f>
        <v>0.5</v>
      </c>
      <c r="J28" s="303" t="n">
        <f aca="false">SUMIF(Horodateur1123353819223134374346495255586164698522263438465058546266707478829098941021061141181101221261301341381421461501541581621661701741781821861901941982022062102144101418222630[Jour],$B28,Horodateur1123353819223134374346495255586164698522263438465058546266707478829098941021061141181101221261301341381421461501541581621661701741781821861901941982022062102144101418222630[Durée (100)])</f>
        <v>5.25</v>
      </c>
      <c r="K28" s="335"/>
      <c r="L28" s="188" t="s">
        <v>31</v>
      </c>
      <c r="M28" s="272" t="n">
        <f aca="false">IF(Horodateur1123353819223134374346495255586164698522263438465058546266707478829098941021061141181101221261301341381421461501541581621661701741781821861901941982022062102144101418222630[[#This Row],[O]]="o",Horodateur1123353819223134374346495255586164698522263438465058546266707478829098941021061141181101221261301341381421461501541581621661701741781821861901941982022062102144101418222630[[#This Row],[Durée (100)]],".")</f>
        <v>0.5</v>
      </c>
      <c r="N28" s="187"/>
      <c r="O28" s="71"/>
      <c r="P28" s="71"/>
      <c r="Q28" s="71"/>
      <c r="R28" s="71"/>
      <c r="S28" s="71"/>
      <c r="T28" s="71"/>
      <c r="U28" s="71"/>
      <c r="V28" s="71"/>
      <c r="W28" s="71"/>
      <c r="X28" s="71"/>
      <c r="Y28" s="71"/>
      <c r="Z28" s="71"/>
      <c r="AA28" s="71"/>
      <c r="AB28" s="71"/>
      <c r="AC28" s="71"/>
      <c r="AD28" s="71"/>
      <c r="AE28" s="71"/>
      <c r="AF28" s="71"/>
      <c r="AG28" s="71"/>
    </row>
    <row r="29" customFormat="false" ht="15" hidden="false" customHeight="false" outlineLevel="0" collapsed="false">
      <c r="A29" s="256" t="n">
        <f aca="false">IF(Horodateur1123353819223134374346495255586164698522263438465058546266707478829098941021061141181101221261301341381421461501541581621661701741781821861901941982022062102144101418222630[[#This Row],[Jour]]="1- Lundi",$B$1+1, IF(Horodateur1123353819223134374346495255586164698522263438465058546266707478829098941021061141181101221261301341381421461501541581621661701741781821861901941982022062102144101418222630[[#This Row],[Jour]]="2- Mardi",$B$1+2, IF(Horodateur1123353819223134374346495255586164698522263438465058546266707478829098941021061141181101221261301341381421461501541581621661701741781821861901941982022062102144101418222630[[#This Row],[Jour]]="3- Mercredi",$B$1+3, IF(Horodateur1123353819223134374346495255586164698522263438465058546266707478829098941021061141181101221261301341381421461501541581621661701741781821861901941982022062102144101418222630[[#This Row],[Jour]]="4- Jeudi",$B$1+4, IF(Horodateur1123353819223134374346495255586164698522263438465058546266707478829098941021061141181101221261301341381421461501541581621661701741781821861901941982022062102144101418222630[[#This Row],[Jour]]="5- Vendredi",$B$1+5, IF(Horodateur1123353819223134374346495255586164698522263438465058546266707478829098941021061141181101221261301341381421461501541581621661701741781821861901941982022062102144101418222630[[#This Row],[Jour]]="6- Samedi",$B$1+6, IF(Horodateur1123353819223134374346495255586164698522263438465058546266707478829098941021061141181101221261301341381421461501541581621661701741781821861901941982022062102144101418222630[[#This Row],[Jour]]="7- Dimanche",$B$1, )))))))</f>
        <v>44253</v>
      </c>
      <c r="B29" s="257" t="s">
        <v>332</v>
      </c>
      <c r="C29" s="258" t="n">
        <v>0.333333333333333</v>
      </c>
      <c r="D29" s="258" t="n">
        <v>0.354166666666667</v>
      </c>
      <c r="E29" s="71" t="s">
        <v>63</v>
      </c>
      <c r="F29" s="71" t="s">
        <v>378</v>
      </c>
      <c r="G29" s="259" t="s">
        <v>587</v>
      </c>
      <c r="H29" s="258" t="n">
        <f aca="false">IF($C29=0,"",$D29-$C29)</f>
        <v>0.0208333333333334</v>
      </c>
      <c r="I29" s="260" t="n">
        <f aca="false">IF($C29=0,"",($H29-INT($H29))*24)</f>
        <v>0.500000000000001</v>
      </c>
      <c r="J29" s="303" t="n">
        <f aca="false">SUMIF(Horodateur1123353819223134374346495255586164698522263438465058546266707478829098941021061141181101221261301341381421461501541581621661701741781821861901941982022062102144101418222630[Jour],$B29,Horodateur1123353819223134374346495255586164698522263438465058546266707478829098941021061141181101221261301341381421461501541581621661701741781821861901941982022062102144101418222630[Durée (100)])</f>
        <v>5.25</v>
      </c>
      <c r="K29" s="335"/>
      <c r="L29" s="188" t="s">
        <v>31</v>
      </c>
      <c r="M29" s="272" t="n">
        <f aca="false">IF(Horodateur1123353819223134374346495255586164698522263438465058546266707478829098941021061141181101221261301341381421461501541581621661701741781821861901941982022062102144101418222630[[#This Row],[O]]="o",Horodateur1123353819223134374346495255586164698522263438465058546266707478829098941021061141181101221261301341381421461501541581621661701741781821861901941982022062102144101418222630[[#This Row],[Durée (100)]],".")</f>
        <v>0.500000000000001</v>
      </c>
      <c r="N29" s="187"/>
      <c r="O29" s="71"/>
      <c r="P29" s="71"/>
      <c r="Q29" s="71"/>
      <c r="R29" s="71"/>
      <c r="S29" s="71"/>
      <c r="T29" s="71"/>
      <c r="U29" s="71"/>
      <c r="V29" s="71"/>
      <c r="W29" s="71"/>
      <c r="X29" s="71"/>
      <c r="Y29" s="71"/>
      <c r="Z29" s="71"/>
      <c r="AA29" s="71"/>
      <c r="AB29" s="71"/>
      <c r="AC29" s="71"/>
      <c r="AD29" s="71"/>
      <c r="AE29" s="71"/>
      <c r="AF29" s="71"/>
      <c r="AG29" s="71"/>
    </row>
    <row r="30" customFormat="false" ht="15" hidden="false" customHeight="false" outlineLevel="0" collapsed="false">
      <c r="A30" s="256" t="n">
        <f aca="false">IF(Horodateur1123353819223134374346495255586164698522263438465058546266707478829098941021061141181101221261301341381421461501541581621661701741781821861901941982022062102144101418222630[[#This Row],[Jour]]="1- Lundi",$B$1+1, IF(Horodateur1123353819223134374346495255586164698522263438465058546266707478829098941021061141181101221261301341381421461501541581621661701741781821861901941982022062102144101418222630[[#This Row],[Jour]]="2- Mardi",$B$1+2, IF(Horodateur1123353819223134374346495255586164698522263438465058546266707478829098941021061141181101221261301341381421461501541581621661701741781821861901941982022062102144101418222630[[#This Row],[Jour]]="3- Mercredi",$B$1+3, IF(Horodateur1123353819223134374346495255586164698522263438465058546266707478829098941021061141181101221261301341381421461501541581621661701741781821861901941982022062102144101418222630[[#This Row],[Jour]]="4- Jeudi",$B$1+4, IF(Horodateur1123353819223134374346495255586164698522263438465058546266707478829098941021061141181101221261301341381421461501541581621661701741781821861901941982022062102144101418222630[[#This Row],[Jour]]="5- Vendredi",$B$1+5, IF(Horodateur1123353819223134374346495255586164698522263438465058546266707478829098941021061141181101221261301341381421461501541581621661701741781821861901941982022062102144101418222630[[#This Row],[Jour]]="6- Samedi",$B$1+6, IF(Horodateur1123353819223134374346495255586164698522263438465058546266707478829098941021061141181101221261301341381421461501541581621661701741781821861901941982022062102144101418222630[[#This Row],[Jour]]="7- Dimanche",$B$1, )))))))</f>
        <v>44253</v>
      </c>
      <c r="B30" s="257" t="s">
        <v>332</v>
      </c>
      <c r="C30" s="258" t="n">
        <v>0.354166666666667</v>
      </c>
      <c r="D30" s="258" t="n">
        <v>0.375</v>
      </c>
      <c r="E30" s="71" t="s">
        <v>32</v>
      </c>
      <c r="F30" s="71" t="s">
        <v>22</v>
      </c>
      <c r="G30" s="259"/>
      <c r="H30" s="258" t="n">
        <f aca="false">IF($C30=0,"",$D30-$C30)</f>
        <v>0.0208333333333333</v>
      </c>
      <c r="I30" s="260" t="n">
        <f aca="false">IF($C30=0,"",($H30-INT($H30))*24)</f>
        <v>0.5</v>
      </c>
      <c r="J30" s="303" t="n">
        <f aca="false">SUMIF(Horodateur1123353819223134374346495255586164698522263438465058546266707478829098941021061141181101221261301341381421461501541581621661701741781821861901941982022062102144101418222630[Jour],$B30,Horodateur1123353819223134374346495255586164698522263438465058546266707478829098941021061141181101221261301341381421461501541581621661701741781821861901941982022062102144101418222630[Durée (100)])</f>
        <v>5.25</v>
      </c>
      <c r="K30" s="335"/>
      <c r="L30" s="188" t="s">
        <v>31</v>
      </c>
      <c r="M30" s="272" t="n">
        <f aca="false">IF(Horodateur1123353819223134374346495255586164698522263438465058546266707478829098941021061141181101221261301341381421461501541581621661701741781821861901941982022062102144101418222630[[#This Row],[O]]="o",Horodateur1123353819223134374346495255586164698522263438465058546266707478829098941021061141181101221261301341381421461501541581621661701741781821861901941982022062102144101418222630[[#This Row],[Durée (100)]],".")</f>
        <v>0.5</v>
      </c>
      <c r="N30" s="187"/>
      <c r="O30" s="71"/>
      <c r="P30" s="71"/>
      <c r="Q30" s="71"/>
      <c r="R30" s="71"/>
      <c r="S30" s="71"/>
      <c r="T30" s="71"/>
      <c r="U30" s="71"/>
      <c r="V30" s="71"/>
      <c r="W30" s="71"/>
      <c r="X30" s="71"/>
      <c r="Y30" s="71"/>
      <c r="Z30" s="71"/>
      <c r="AA30" s="71"/>
      <c r="AB30" s="71"/>
      <c r="AC30" s="71"/>
      <c r="AD30" s="71"/>
      <c r="AE30" s="71"/>
      <c r="AF30" s="71"/>
      <c r="AG30" s="71"/>
    </row>
    <row r="31" customFormat="false" ht="15" hidden="false" customHeight="false" outlineLevel="0" collapsed="false">
      <c r="A31" s="256" t="n">
        <f aca="false">IF(Horodateur1123353819223134374346495255586164698522263438465058546266707478829098941021061141181101221261301341381421461501541581621661701741781821861901941982022062102144101418222630[[#This Row],[Jour]]="1- Lundi",$B$1+1, IF(Horodateur1123353819223134374346495255586164698522263438465058546266707478829098941021061141181101221261301341381421461501541581621661701741781821861901941982022062102144101418222630[[#This Row],[Jour]]="2- Mardi",$B$1+2, IF(Horodateur1123353819223134374346495255586164698522263438465058546266707478829098941021061141181101221261301341381421461501541581621661701741781821861901941982022062102144101418222630[[#This Row],[Jour]]="3- Mercredi",$B$1+3, IF(Horodateur1123353819223134374346495255586164698522263438465058546266707478829098941021061141181101221261301341381421461501541581621661701741781821861901941982022062102144101418222630[[#This Row],[Jour]]="4- Jeudi",$B$1+4, IF(Horodateur1123353819223134374346495255586164698522263438465058546266707478829098941021061141181101221261301341381421461501541581621661701741781821861901941982022062102144101418222630[[#This Row],[Jour]]="5- Vendredi",$B$1+5, IF(Horodateur1123353819223134374346495255586164698522263438465058546266707478829098941021061141181101221261301341381421461501541581621661701741781821861901941982022062102144101418222630[[#This Row],[Jour]]="6- Samedi",$B$1+6, IF(Horodateur1123353819223134374346495255586164698522263438465058546266707478829098941021061141181101221261301341381421461501541581621661701741781821861901941982022062102144101418222630[[#This Row],[Jour]]="7- Dimanche",$B$1, )))))))</f>
        <v>44253</v>
      </c>
      <c r="B31" s="257" t="s">
        <v>332</v>
      </c>
      <c r="C31" s="258" t="n">
        <v>0.5625</v>
      </c>
      <c r="D31" s="258" t="n">
        <v>0.677083333333333</v>
      </c>
      <c r="E31" s="71" t="s">
        <v>63</v>
      </c>
      <c r="F31" s="71" t="s">
        <v>378</v>
      </c>
      <c r="G31" s="259" t="s">
        <v>588</v>
      </c>
      <c r="H31" s="258" t="n">
        <f aca="false">IF($C31=0,"",$D31-$C31)</f>
        <v>0.114583333333333</v>
      </c>
      <c r="I31" s="260" t="n">
        <f aca="false">IF($C31=0,"",($H31-INT($H31))*24)</f>
        <v>2.75</v>
      </c>
      <c r="J31" s="303" t="n">
        <f aca="false">SUMIF(Horodateur1123353819223134374346495255586164698522263438465058546266707478829098941021061141181101221261301341381421461501541581621661701741781821861901941982022062102144101418222630[Jour],$B31,Horodateur1123353819223134374346495255586164698522263438465058546266707478829098941021061141181101221261301341381421461501541581621661701741781821861901941982022062102144101418222630[Durée (100)])</f>
        <v>5.25</v>
      </c>
      <c r="K31" s="335"/>
      <c r="L31" s="188" t="s">
        <v>31</v>
      </c>
      <c r="M31" s="272" t="n">
        <f aca="false">IF(Horodateur1123353819223134374346495255586164698522263438465058546266707478829098941021061141181101221261301341381421461501541581621661701741781821861901941982022062102144101418222630[[#This Row],[O]]="o",Horodateur1123353819223134374346495255586164698522263438465058546266707478829098941021061141181101221261301341381421461501541581621661701741781821861901941982022062102144101418222630[[#This Row],[Durée (100)]],".")</f>
        <v>2.75</v>
      </c>
      <c r="N31" s="187"/>
      <c r="O31" s="71"/>
      <c r="P31" s="71"/>
      <c r="Q31" s="71"/>
      <c r="R31" s="71"/>
      <c r="S31" s="71"/>
      <c r="T31" s="71"/>
      <c r="U31" s="71"/>
      <c r="V31" s="71"/>
      <c r="W31" s="71"/>
      <c r="X31" s="71"/>
      <c r="Y31" s="71"/>
      <c r="Z31" s="71"/>
      <c r="AA31" s="71"/>
      <c r="AB31" s="71"/>
      <c r="AC31" s="71"/>
      <c r="AD31" s="71"/>
      <c r="AE31" s="71"/>
      <c r="AF31" s="71"/>
      <c r="AG31" s="71"/>
    </row>
    <row r="32" customFormat="false" ht="15" hidden="false" customHeight="false" outlineLevel="0" collapsed="false">
      <c r="A32" s="256" t="n">
        <f aca="false">IF(Horodateur1123353819223134374346495255586164698522263438465058546266707478829098941021061141181101221261301341381421461501541581621661701741781821861901941982022062102144101418222630[[#This Row],[Jour]]="1- Lundi",$B$1+1, IF(Horodateur1123353819223134374346495255586164698522263438465058546266707478829098941021061141181101221261301341381421461501541581621661701741781821861901941982022062102144101418222630[[#This Row],[Jour]]="2- Mardi",$B$1+2, IF(Horodateur1123353819223134374346495255586164698522263438465058546266707478829098941021061141181101221261301341381421461501541581621661701741781821861901941982022062102144101418222630[[#This Row],[Jour]]="3- Mercredi",$B$1+3, IF(Horodateur1123353819223134374346495255586164698522263438465058546266707478829098941021061141181101221261301341381421461501541581621661701741781821861901941982022062102144101418222630[[#This Row],[Jour]]="4- Jeudi",$B$1+4, IF(Horodateur1123353819223134374346495255586164698522263438465058546266707478829098941021061141181101221261301341381421461501541581621661701741781821861901941982022062102144101418222630[[#This Row],[Jour]]="5- Vendredi",$B$1+5, IF(Horodateur1123353819223134374346495255586164698522263438465058546266707478829098941021061141181101221261301341381421461501541581621661701741781821861901941982022062102144101418222630[[#This Row],[Jour]]="6- Samedi",$B$1+6, IF(Horodateur1123353819223134374346495255586164698522263438465058546266707478829098941021061141181101221261301341381421461501541581621661701741781821861901941982022062102144101418222630[[#This Row],[Jour]]="7- Dimanche",$B$1, )))))))</f>
        <v>44253</v>
      </c>
      <c r="B32" s="257" t="s">
        <v>332</v>
      </c>
      <c r="C32" s="258" t="n">
        <v>0.677083333333333</v>
      </c>
      <c r="D32" s="258" t="n">
        <v>0.71875</v>
      </c>
      <c r="E32" s="71" t="s">
        <v>32</v>
      </c>
      <c r="F32" s="71"/>
      <c r="G32" s="259"/>
      <c r="H32" s="258" t="n">
        <f aca="false">IF($C32=0,"",$D32-$C32)</f>
        <v>0.0416666666666667</v>
      </c>
      <c r="I32" s="260" t="n">
        <f aca="false">IF($C32=0,"",($H32-INT($H32))*24)</f>
        <v>1</v>
      </c>
      <c r="J32" s="303" t="n">
        <f aca="false">SUMIF(Horodateur1123353819223134374346495255586164698522263438465058546266707478829098941021061141181101221261301341381421461501541581621661701741781821861901941982022062102144101418222630[Jour],$B32,Horodateur1123353819223134374346495255586164698522263438465058546266707478829098941021061141181101221261301341381421461501541581621661701741781821861901941982022062102144101418222630[Durée (100)])</f>
        <v>5.25</v>
      </c>
      <c r="K32" s="335"/>
      <c r="L32" s="188" t="s">
        <v>31</v>
      </c>
      <c r="M32" s="272" t="n">
        <f aca="false">IF(Horodateur1123353819223134374346495255586164698522263438465058546266707478829098941021061141181101221261301341381421461501541581621661701741781821861901941982022062102144101418222630[[#This Row],[O]]="o",Horodateur1123353819223134374346495255586164698522263438465058546266707478829098941021061141181101221261301341381421461501541581621661701741781821861901941982022062102144101418222630[[#This Row],[Durée (100)]],".")</f>
        <v>0.999999999999999</v>
      </c>
      <c r="N32" s="187"/>
      <c r="O32" s="71"/>
      <c r="P32" s="71"/>
      <c r="Q32" s="71"/>
      <c r="R32" s="71"/>
      <c r="S32" s="71"/>
      <c r="T32" s="71"/>
      <c r="U32" s="71"/>
      <c r="V32" s="71"/>
      <c r="W32" s="71"/>
      <c r="X32" s="71"/>
      <c r="Y32" s="71"/>
      <c r="Z32" s="71"/>
      <c r="AA32" s="71"/>
      <c r="AB32" s="71"/>
      <c r="AC32" s="71"/>
      <c r="AD32" s="71"/>
      <c r="AE32" s="71"/>
      <c r="AF32" s="71"/>
      <c r="AG32" s="71"/>
    </row>
    <row r="33" customFormat="false" ht="15" hidden="false" customHeight="false" outlineLevel="0" collapsed="false">
      <c r="A33" s="256" t="n">
        <f aca="false">IF(Horodateur1123353819223134374346495255586164698522263438465058546266707478829098941021061141181101221261301341381421461501541581621661701741781821861901941982022062102144101418222630[[#This Row],[Jour]]="1- Lundi",$B$1+1, IF(Horodateur1123353819223134374346495255586164698522263438465058546266707478829098941021061141181101221261301341381421461501541581621661701741781821861901941982022062102144101418222630[[#This Row],[Jour]]="2- Mardi",$B$1+2, IF(Horodateur1123353819223134374346495255586164698522263438465058546266707478829098941021061141181101221261301341381421461501541581621661701741781821861901941982022062102144101418222630[[#This Row],[Jour]]="3- Mercredi",$B$1+3, IF(Horodateur1123353819223134374346495255586164698522263438465058546266707478829098941021061141181101221261301341381421461501541581621661701741781821861901941982022062102144101418222630[[#This Row],[Jour]]="4- Jeudi",$B$1+4, IF(Horodateur1123353819223134374346495255586164698522263438465058546266707478829098941021061141181101221261301341381421461501541581621661701741781821861901941982022062102144101418222630[[#This Row],[Jour]]="5- Vendredi",$B$1+5, IF(Horodateur1123353819223134374346495255586164698522263438465058546266707478829098941021061141181101221261301341381421461501541581621661701741781821861901941982022062102144101418222630[[#This Row],[Jour]]="6- Samedi",$B$1+6, IF(Horodateur1123353819223134374346495255586164698522263438465058546266707478829098941021061141181101221261301341381421461501541581621661701741781821861901941982022062102144101418222630[[#This Row],[Jour]]="7- Dimanche",$B$1, )))))))</f>
        <v>44254</v>
      </c>
      <c r="B33" s="257" t="s">
        <v>335</v>
      </c>
      <c r="C33" s="258" t="n">
        <v>0.291666666666667</v>
      </c>
      <c r="D33" s="258" t="n">
        <v>0.3125</v>
      </c>
      <c r="E33" s="71" t="s">
        <v>32</v>
      </c>
      <c r="F33" s="71" t="s">
        <v>21</v>
      </c>
      <c r="G33" s="259"/>
      <c r="H33" s="258" t="n">
        <f aca="false">IF($C33=0,"",$D33-$C33)</f>
        <v>0.0208333333333333</v>
      </c>
      <c r="I33" s="260" t="n">
        <f aca="false">IF($C33=0,"",($H33-INT($H33))*24)</f>
        <v>0.5</v>
      </c>
      <c r="J33" s="303" t="n">
        <f aca="false">SUMIF(Horodateur1123353819223134374346495255586164698522263438465058546266707478829098941021061141181101221261301341381421461501541581621661701741781821861901941982022062102144101418222630[Jour],$B33,Horodateur1123353819223134374346495255586164698522263438465058546266707478829098941021061141181101221261301341381421461501541581621661701741781821861901941982022062102144101418222630[Durée (100)])</f>
        <v>8.5</v>
      </c>
      <c r="K33" s="335"/>
      <c r="L33" s="188" t="s">
        <v>31</v>
      </c>
      <c r="M33" s="272" t="n">
        <f aca="false">IF(Horodateur1123353819223134374346495255586164698522263438465058546266707478829098941021061141181101221261301341381421461501541581621661701741781821861901941982022062102144101418222630[[#This Row],[O]]="o",Horodateur1123353819223134374346495255586164698522263438465058546266707478829098941021061141181101221261301341381421461501541581621661701741781821861901941982022062102144101418222630[[#This Row],[Durée (100)]],".")</f>
        <v>0.5</v>
      </c>
      <c r="N33" s="187"/>
      <c r="O33" s="71"/>
      <c r="P33" s="71"/>
      <c r="Q33" s="71"/>
      <c r="R33" s="71"/>
      <c r="S33" s="71"/>
      <c r="T33" s="71"/>
      <c r="U33" s="71"/>
      <c r="V33" s="71"/>
      <c r="W33" s="71"/>
      <c r="X33" s="71"/>
      <c r="Y33" s="71"/>
      <c r="Z33" s="71"/>
      <c r="AA33" s="71"/>
      <c r="AB33" s="71"/>
      <c r="AC33" s="71"/>
      <c r="AD33" s="71"/>
      <c r="AE33" s="71"/>
      <c r="AF33" s="71"/>
      <c r="AG33" s="71"/>
    </row>
    <row r="34" customFormat="false" ht="15" hidden="false" customHeight="false" outlineLevel="0" collapsed="false">
      <c r="A34" s="256" t="n">
        <f aca="false">IF(Horodateur1123353819223134374346495255586164698522263438465058546266707478829098941021061141181101221261301341381421461501541581621661701741781821861901941982022062102144101418222630[[#This Row],[Jour]]="1- Lundi",$B$1+1, IF(Horodateur1123353819223134374346495255586164698522263438465058546266707478829098941021061141181101221261301341381421461501541581621661701741781821861901941982022062102144101418222630[[#This Row],[Jour]]="2- Mardi",$B$1+2, IF(Horodateur1123353819223134374346495255586164698522263438465058546266707478829098941021061141181101221261301341381421461501541581621661701741781821861901941982022062102144101418222630[[#This Row],[Jour]]="3- Mercredi",$B$1+3, IF(Horodateur1123353819223134374346495255586164698522263438465058546266707478829098941021061141181101221261301341381421461501541581621661701741781821861901941982022062102144101418222630[[#This Row],[Jour]]="4- Jeudi",$B$1+4, IF(Horodateur1123353819223134374346495255586164698522263438465058546266707478829098941021061141181101221261301341381421461501541581621661701741781821861901941982022062102144101418222630[[#This Row],[Jour]]="5- Vendredi",$B$1+5, IF(Horodateur1123353819223134374346495255586164698522263438465058546266707478829098941021061141181101221261301341381421461501541581621661701741781821861901941982022062102144101418222630[[#This Row],[Jour]]="6- Samedi",$B$1+6, IF(Horodateur1123353819223134374346495255586164698522263438465058546266707478829098941021061141181101221261301341381421461501541581621661701741781821861901941982022062102144101418222630[[#This Row],[Jour]]="7- Dimanche",$B$1, )))))))</f>
        <v>44254</v>
      </c>
      <c r="B34" s="257" t="s">
        <v>335</v>
      </c>
      <c r="C34" s="258" t="n">
        <v>0.3125</v>
      </c>
      <c r="D34" s="258" t="n">
        <v>0.458333333333333</v>
      </c>
      <c r="E34" s="71" t="s">
        <v>37</v>
      </c>
      <c r="F34" s="71" t="s">
        <v>378</v>
      </c>
      <c r="G34" s="259" t="s">
        <v>589</v>
      </c>
      <c r="H34" s="258" t="n">
        <f aca="false">IF($C34=0,"",$D34-$C34)</f>
        <v>0.145833333333333</v>
      </c>
      <c r="I34" s="260" t="n">
        <f aca="false">IF($C34=0,"",($H34-INT($H34))*24)</f>
        <v>3.5</v>
      </c>
      <c r="J34" s="303" t="n">
        <f aca="false">SUMIF(Horodateur1123353819223134374346495255586164698522263438465058546266707478829098941021061141181101221261301341381421461501541581621661701741781821861901941982022062102144101418222630[Jour],$B34,Horodateur1123353819223134374346495255586164698522263438465058546266707478829098941021061141181101221261301341381421461501541581621661701741781821861901941982022062102144101418222630[Durée (100)])</f>
        <v>8.5</v>
      </c>
      <c r="K34" s="335"/>
      <c r="L34" s="188" t="s">
        <v>31</v>
      </c>
      <c r="M34" s="272" t="n">
        <f aca="false">IF(Horodateur1123353819223134374346495255586164698522263438465058546266707478829098941021061141181101221261301341381421461501541581621661701741781821861901941982022062102144101418222630[[#This Row],[O]]="o",Horodateur1123353819223134374346495255586164698522263438465058546266707478829098941021061141181101221261301341381421461501541581621661701741781821861901941982022062102144101418222630[[#This Row],[Durée (100)]],".")</f>
        <v>3.5</v>
      </c>
      <c r="N34" s="187"/>
      <c r="O34" s="71"/>
      <c r="P34" s="71"/>
      <c r="Q34" s="71"/>
      <c r="R34" s="71"/>
      <c r="S34" s="71"/>
      <c r="T34" s="71"/>
      <c r="U34" s="71"/>
      <c r="V34" s="71"/>
      <c r="W34" s="71"/>
      <c r="X34" s="71"/>
      <c r="Y34" s="71"/>
      <c r="Z34" s="71"/>
      <c r="AA34" s="71"/>
      <c r="AB34" s="71"/>
      <c r="AC34" s="71"/>
      <c r="AD34" s="71"/>
      <c r="AE34" s="71"/>
      <c r="AF34" s="71"/>
      <c r="AG34" s="71"/>
    </row>
    <row r="35" customFormat="false" ht="15" hidden="false" customHeight="false" outlineLevel="0" collapsed="false">
      <c r="A35" s="256" t="n">
        <f aca="false">IF(Horodateur1123353819223134374346495255586164698522263438465058546266707478829098941021061141181101221261301341381421461501541581621661701741781821861901941982022062102144101418222630[[#This Row],[Jour]]="1- Lundi",$B$1+1, IF(Horodateur1123353819223134374346495255586164698522263438465058546266707478829098941021061141181101221261301341381421461501541581621661701741781821861901941982022062102144101418222630[[#This Row],[Jour]]="2- Mardi",$B$1+2, IF(Horodateur1123353819223134374346495255586164698522263438465058546266707478829098941021061141181101221261301341381421461501541581621661701741781821861901941982022062102144101418222630[[#This Row],[Jour]]="3- Mercredi",$B$1+3, IF(Horodateur1123353819223134374346495255586164698522263438465058546266707478829098941021061141181101221261301341381421461501541581621661701741781821861901941982022062102144101418222630[[#This Row],[Jour]]="4- Jeudi",$B$1+4, IF(Horodateur1123353819223134374346495255586164698522263438465058546266707478829098941021061141181101221261301341381421461501541581621661701741781821861901941982022062102144101418222630[[#This Row],[Jour]]="5- Vendredi",$B$1+5, IF(Horodateur1123353819223134374346495255586164698522263438465058546266707478829098941021061141181101221261301341381421461501541581621661701741781821861901941982022062102144101418222630[[#This Row],[Jour]]="6- Samedi",$B$1+6, IF(Horodateur1123353819223134374346495255586164698522263438465058546266707478829098941021061141181101221261301341381421461501541581621661701741781821861901941982022062102144101418222630[[#This Row],[Jour]]="7- Dimanche",$B$1, )))))))</f>
        <v>44254</v>
      </c>
      <c r="B35" s="257" t="s">
        <v>335</v>
      </c>
      <c r="C35" s="258" t="n">
        <v>0.458333333333333</v>
      </c>
      <c r="D35" s="258" t="n">
        <v>0.510416666666667</v>
      </c>
      <c r="E35" s="71" t="s">
        <v>81</v>
      </c>
      <c r="F35" s="71" t="s">
        <v>379</v>
      </c>
      <c r="G35" s="259" t="s">
        <v>590</v>
      </c>
      <c r="H35" s="258" t="n">
        <f aca="false">IF($C35=0,"",$D35-$C35)</f>
        <v>0.0520833333333333</v>
      </c>
      <c r="I35" s="260" t="n">
        <f aca="false">IF($C35=0,"",($H35-INT($H35))*24)</f>
        <v>1.25</v>
      </c>
      <c r="J35" s="303" t="n">
        <f aca="false">SUMIF(Horodateur1123353819223134374346495255586164698522263438465058546266707478829098941021061141181101221261301341381421461501541581621661701741781821861901941982022062102144101418222630[Jour],$B35,Horodateur1123353819223134374346495255586164698522263438465058546266707478829098941021061141181101221261301341381421461501541581621661701741781821861901941982022062102144101418222630[Durée (100)])</f>
        <v>8.5</v>
      </c>
      <c r="K35" s="335"/>
      <c r="L35" s="188" t="s">
        <v>31</v>
      </c>
      <c r="M35" s="272" t="n">
        <f aca="false">IF(Horodateur1123353819223134374346495255586164698522263438465058546266707478829098941021061141181101221261301341381421461501541581621661701741781821861901941982022062102144101418222630[[#This Row],[O]]="o",Horodateur1123353819223134374346495255586164698522263438465058546266707478829098941021061141181101221261301341381421461501541581621661701741781821861901941982022062102144101418222630[[#This Row],[Durée (100)]],".")</f>
        <v>1.25</v>
      </c>
      <c r="N35" s="187"/>
      <c r="O35" s="71"/>
      <c r="P35" s="71"/>
      <c r="Q35" s="71"/>
      <c r="R35" s="71"/>
      <c r="S35" s="71"/>
      <c r="T35" s="71"/>
      <c r="U35" s="71"/>
      <c r="V35" s="71"/>
      <c r="W35" s="71"/>
      <c r="X35" s="71"/>
      <c r="Y35" s="71"/>
      <c r="Z35" s="71"/>
      <c r="AA35" s="71"/>
      <c r="AB35" s="71"/>
      <c r="AC35" s="71"/>
      <c r="AD35" s="71"/>
      <c r="AE35" s="71"/>
      <c r="AF35" s="71"/>
      <c r="AG35" s="71"/>
    </row>
    <row r="36" customFormat="false" ht="15" hidden="false" customHeight="false" outlineLevel="0" collapsed="false">
      <c r="A36" s="256" t="n">
        <f aca="false">IF(Horodateur1123353819223134374346495255586164698522263438465058546266707478829098941021061141181101221261301341381421461501541581621661701741781821861901941982022062102144101418222630[[#This Row],[Jour]]="1- Lundi",$B$1+1, IF(Horodateur1123353819223134374346495255586164698522263438465058546266707478829098941021061141181101221261301341381421461501541581621661701741781821861901941982022062102144101418222630[[#This Row],[Jour]]="2- Mardi",$B$1+2, IF(Horodateur1123353819223134374346495255586164698522263438465058546266707478829098941021061141181101221261301341381421461501541581621661701741781821861901941982022062102144101418222630[[#This Row],[Jour]]="3- Mercredi",$B$1+3, IF(Horodateur1123353819223134374346495255586164698522263438465058546266707478829098941021061141181101221261301341381421461501541581621661701741781821861901941982022062102144101418222630[[#This Row],[Jour]]="4- Jeudi",$B$1+4, IF(Horodateur1123353819223134374346495255586164698522263438465058546266707478829098941021061141181101221261301341381421461501541581621661701741781821861901941982022062102144101418222630[[#This Row],[Jour]]="5- Vendredi",$B$1+5, IF(Horodateur1123353819223134374346495255586164698522263438465058546266707478829098941021061141181101221261301341381421461501541581621661701741781821861901941982022062102144101418222630[[#This Row],[Jour]]="6- Samedi",$B$1+6, IF(Horodateur1123353819223134374346495255586164698522263438465058546266707478829098941021061141181101221261301341381421461501541581621661701741781821861901941982022062102144101418222630[[#This Row],[Jour]]="7- Dimanche",$B$1, )))))))</f>
        <v>44254</v>
      </c>
      <c r="B36" s="257" t="s">
        <v>335</v>
      </c>
      <c r="C36" s="258" t="n">
        <v>0.552083333333333</v>
      </c>
      <c r="D36" s="258" t="n">
        <v>0.666666666666667</v>
      </c>
      <c r="E36" s="71" t="s">
        <v>37</v>
      </c>
      <c r="F36" s="71" t="s">
        <v>378</v>
      </c>
      <c r="G36" s="259" t="s">
        <v>591</v>
      </c>
      <c r="H36" s="258" t="n">
        <f aca="false">IF($C36=0,"",$D36-$C36)</f>
        <v>0.114583333333333</v>
      </c>
      <c r="I36" s="260" t="n">
        <f aca="false">IF($C36=0,"",($H36-INT($H36))*24)</f>
        <v>2.75</v>
      </c>
      <c r="J36" s="303" t="n">
        <f aca="false">SUMIF(Horodateur1123353819223134374346495255586164698522263438465058546266707478829098941021061141181101221261301341381421461501541581621661701741781821861901941982022062102144101418222630[Jour],$B36,Horodateur1123353819223134374346495255586164698522263438465058546266707478829098941021061141181101221261301341381421461501541581621661701741781821861901941982022062102144101418222630[Durée (100)])</f>
        <v>8.5</v>
      </c>
      <c r="K36" s="335"/>
      <c r="L36" s="188" t="s">
        <v>31</v>
      </c>
      <c r="M36" s="272" t="n">
        <f aca="false">IF(Horodateur1123353819223134374346495255586164698522263438465058546266707478829098941021061141181101221261301341381421461501541581621661701741781821861901941982022062102144101418222630[[#This Row],[O]]="o",Horodateur1123353819223134374346495255586164698522263438465058546266707478829098941021061141181101221261301341381421461501541581621661701741781821861901941982022062102144101418222630[[#This Row],[Durée (100)]],".")</f>
        <v>2.75</v>
      </c>
      <c r="N36" s="187"/>
      <c r="O36" s="71"/>
      <c r="P36" s="71"/>
      <c r="Q36" s="71"/>
      <c r="R36" s="71"/>
      <c r="S36" s="71"/>
      <c r="T36" s="71"/>
      <c r="U36" s="71"/>
      <c r="V36" s="71"/>
      <c r="W36" s="71"/>
      <c r="X36" s="71"/>
      <c r="Y36" s="71"/>
      <c r="Z36" s="71"/>
      <c r="AA36" s="71"/>
      <c r="AB36" s="71"/>
      <c r="AC36" s="71"/>
      <c r="AD36" s="71"/>
      <c r="AE36" s="71"/>
      <c r="AF36" s="71"/>
      <c r="AG36" s="71"/>
    </row>
    <row r="37" customFormat="false" ht="15" hidden="false" customHeight="false" outlineLevel="0" collapsed="false">
      <c r="A37" s="256" t="n">
        <f aca="false">IF(Horodateur1123353819223134374346495255586164698522263438465058546266707478829098941021061141181101221261301341381421461501541581621661701741781821861901941982022062102144101418222630[[#This Row],[Jour]]="1- Lundi",$B$1+1, IF(Horodateur1123353819223134374346495255586164698522263438465058546266707478829098941021061141181101221261301341381421461501541581621661701741781821861901941982022062102144101418222630[[#This Row],[Jour]]="2- Mardi",$B$1+2, IF(Horodateur1123353819223134374346495255586164698522263438465058546266707478829098941021061141181101221261301341381421461501541581621661701741781821861901941982022062102144101418222630[[#This Row],[Jour]]="3- Mercredi",$B$1+3, IF(Horodateur1123353819223134374346495255586164698522263438465058546266707478829098941021061141181101221261301341381421461501541581621661701741781821861901941982022062102144101418222630[[#This Row],[Jour]]="4- Jeudi",$B$1+4, IF(Horodateur1123353819223134374346495255586164698522263438465058546266707478829098941021061141181101221261301341381421461501541581621661701741781821861901941982022062102144101418222630[[#This Row],[Jour]]="5- Vendredi",$B$1+5, IF(Horodateur1123353819223134374346495255586164698522263438465058546266707478829098941021061141181101221261301341381421461501541581621661701741781821861901941982022062102144101418222630[[#This Row],[Jour]]="6- Samedi",$B$1+6, IF(Horodateur1123353819223134374346495255586164698522263438465058546266707478829098941021061141181101221261301341381421461501541581621661701741781821861901941982022062102144101418222630[[#This Row],[Jour]]="7- Dimanche",$B$1, )))))))</f>
        <v>44254</v>
      </c>
      <c r="B37" s="257" t="s">
        <v>335</v>
      </c>
      <c r="C37" s="258" t="n">
        <v>0.729166666666667</v>
      </c>
      <c r="D37" s="258" t="n">
        <v>0.75</v>
      </c>
      <c r="E37" s="71" t="s">
        <v>32</v>
      </c>
      <c r="F37" s="71" t="s">
        <v>21</v>
      </c>
      <c r="G37" s="259"/>
      <c r="H37" s="258" t="n">
        <f aca="false">IF($C37=0,"",$D37-$C37)</f>
        <v>0.0208333333333333</v>
      </c>
      <c r="I37" s="260" t="n">
        <f aca="false">IF($C37=0,"",($H37-INT($H37))*24)</f>
        <v>0.5</v>
      </c>
      <c r="J37" s="303" t="n">
        <f aca="false">SUMIF(Horodateur1123353819223134374346495255586164698522263438465058546266707478829098941021061141181101221261301341381421461501541581621661701741781821861901941982022062102144101418222630[Jour],$B37,Horodateur1123353819223134374346495255586164698522263438465058546266707478829098941021061141181101221261301341381421461501541581621661701741781821861901941982022062102144101418222630[Durée (100)])</f>
        <v>8.5</v>
      </c>
      <c r="K37" s="335"/>
      <c r="L37" s="188" t="s">
        <v>31</v>
      </c>
      <c r="M37" s="272" t="n">
        <f aca="false">IF(Horodateur1123353819223134374346495255586164698522263438465058546266707478829098941021061141181101221261301341381421461501541581621661701741781821861901941982022062102144101418222630[[#This Row],[O]]="o",Horodateur1123353819223134374346495255586164698522263438465058546266707478829098941021061141181101221261301341381421461501541581621661701741781821861901941982022062102144101418222630[[#This Row],[Durée (100)]],".")</f>
        <v>0.500000000000001</v>
      </c>
      <c r="N37" s="187"/>
      <c r="O37" s="71"/>
      <c r="P37" s="71"/>
      <c r="Q37" s="71"/>
      <c r="R37" s="71"/>
      <c r="S37" s="71"/>
      <c r="T37" s="71"/>
      <c r="U37" s="71"/>
      <c r="V37" s="71"/>
      <c r="W37" s="71"/>
      <c r="X37" s="71"/>
      <c r="Y37" s="71"/>
      <c r="Z37" s="71"/>
      <c r="AA37" s="71"/>
      <c r="AB37" s="71"/>
      <c r="AC37" s="71"/>
      <c r="AD37" s="71"/>
      <c r="AE37" s="71"/>
      <c r="AF37" s="71"/>
      <c r="AG37" s="71"/>
    </row>
    <row r="38" customFormat="false" ht="15" hidden="false" customHeight="false" outlineLevel="0" collapsed="false">
      <c r="A38" s="137"/>
      <c r="B38" s="187"/>
      <c r="C38" s="71"/>
      <c r="D38" s="1"/>
      <c r="E38" s="1"/>
      <c r="F38" s="71"/>
      <c r="G38" s="1"/>
      <c r="H38" s="1"/>
      <c r="I38" s="119"/>
      <c r="J38" s="271"/>
      <c r="K38" s="1"/>
      <c r="L38" s="188"/>
      <c r="M38" s="272"/>
      <c r="N38" s="187"/>
      <c r="O38" s="71"/>
      <c r="P38" s="71"/>
      <c r="Q38" s="71"/>
      <c r="R38" s="71"/>
      <c r="S38" s="71"/>
      <c r="T38" s="71"/>
      <c r="U38" s="71"/>
      <c r="V38" s="71"/>
      <c r="W38" s="71"/>
      <c r="X38" s="71"/>
      <c r="Y38" s="71"/>
      <c r="Z38" s="71"/>
      <c r="AA38" s="71"/>
      <c r="AB38" s="71"/>
      <c r="AC38" s="71"/>
      <c r="AD38" s="71"/>
      <c r="AE38" s="71"/>
      <c r="AF38" s="71"/>
      <c r="AG38" s="71"/>
    </row>
    <row r="39" customFormat="false" ht="15" hidden="false" customHeight="false" outlineLevel="0" collapsed="false">
      <c r="A39" s="137"/>
      <c r="B39" s="187"/>
      <c r="C39" s="71"/>
      <c r="D39" s="1"/>
      <c r="E39" s="1"/>
      <c r="F39" s="71"/>
      <c r="G39" s="1"/>
      <c r="H39" s="1"/>
      <c r="I39" s="119"/>
      <c r="J39" s="271"/>
      <c r="K39" s="1"/>
      <c r="L39" s="188"/>
      <c r="N39" s="187"/>
      <c r="O39" s="71"/>
      <c r="P39" s="71"/>
      <c r="Q39" s="71"/>
      <c r="R39" s="71"/>
      <c r="S39" s="71"/>
      <c r="T39" s="71"/>
      <c r="U39" s="71"/>
      <c r="V39" s="71"/>
      <c r="W39" s="71"/>
      <c r="X39" s="71"/>
      <c r="Y39" s="71"/>
      <c r="Z39" s="71"/>
      <c r="AA39" s="71"/>
      <c r="AB39" s="71"/>
      <c r="AC39" s="71"/>
      <c r="AD39" s="71"/>
      <c r="AE39" s="71"/>
      <c r="AF39" s="71"/>
      <c r="AG39" s="71"/>
    </row>
    <row r="40" customFormat="false" ht="15" hidden="false" customHeight="false" outlineLevel="0" collapsed="false">
      <c r="A40" s="274" t="s">
        <v>377</v>
      </c>
      <c r="B40" s="275" t="str">
        <f aca="false">SUM($A$86:$A$516) &amp; " heures"</f>
        <v>26.75 heures</v>
      </c>
      <c r="C40" s="276" t="str">
        <f aca="false">SUM($A$86:$A$507) / 8 &amp; " Jours"</f>
        <v>3.34375 Jours</v>
      </c>
      <c r="D40" s="277"/>
      <c r="E40" s="277" t="n">
        <v>33.25</v>
      </c>
      <c r="F40" s="278" t="n">
        <f aca="false">E40/8</f>
        <v>4.15625</v>
      </c>
      <c r="G40" s="277"/>
      <c r="H40" s="277"/>
      <c r="I40" s="279"/>
      <c r="J40" s="280"/>
      <c r="K40" s="277"/>
      <c r="L40" s="281"/>
      <c r="M40" s="282"/>
      <c r="N40" s="283"/>
      <c r="O40" s="277"/>
      <c r="P40" s="277"/>
      <c r="Q40" s="277"/>
      <c r="R40" s="277"/>
      <c r="S40" s="277"/>
      <c r="T40" s="277"/>
      <c r="U40" s="278"/>
      <c r="V40" s="278"/>
      <c r="W40" s="278"/>
      <c r="X40" s="278"/>
      <c r="Y40" s="278"/>
      <c r="Z40" s="278"/>
      <c r="AA40" s="278"/>
      <c r="AB40" s="278"/>
      <c r="AC40" s="278"/>
      <c r="AD40" s="278"/>
      <c r="AE40" s="278"/>
      <c r="AF40" s="278"/>
      <c r="AG40" s="278"/>
    </row>
    <row r="41" customFormat="false" ht="15" hidden="false" customHeight="false" outlineLevel="0" collapsed="false">
      <c r="A41" s="137"/>
      <c r="B41" s="187"/>
      <c r="C41" s="71"/>
      <c r="D41" s="1"/>
      <c r="E41" s="1"/>
      <c r="F41" s="71"/>
      <c r="G41" s="1"/>
      <c r="H41" s="1"/>
      <c r="I41" s="119"/>
      <c r="J41" s="271"/>
      <c r="K41" s="1"/>
      <c r="L41" s="188"/>
      <c r="M41" s="272"/>
      <c r="N41" s="187"/>
      <c r="O41" s="1"/>
      <c r="P41" s="1"/>
      <c r="Q41" s="1"/>
      <c r="R41" s="1"/>
      <c r="S41" s="1"/>
      <c r="T41" s="1"/>
      <c r="U41" s="71"/>
      <c r="V41" s="71"/>
      <c r="W41" s="71"/>
      <c r="X41" s="71"/>
      <c r="Y41" s="71"/>
      <c r="Z41" s="71"/>
      <c r="AA41" s="71"/>
      <c r="AB41" s="71"/>
      <c r="AC41" s="71"/>
      <c r="AD41" s="71"/>
      <c r="AE41" s="71"/>
      <c r="AF41" s="71"/>
      <c r="AG41" s="71"/>
    </row>
    <row r="42" customFormat="false" ht="15" hidden="true" customHeight="false" outlineLevel="1" collapsed="false">
      <c r="A42" s="137"/>
      <c r="B42" s="137"/>
      <c r="C42" s="137"/>
      <c r="D42" s="137"/>
      <c r="E42" s="1"/>
      <c r="F42" s="71"/>
      <c r="G42" s="1"/>
      <c r="H42" s="1"/>
      <c r="I42" s="119"/>
      <c r="J42" s="271"/>
      <c r="K42" s="1"/>
      <c r="L42" s="188"/>
      <c r="M42" s="272"/>
      <c r="N42" s="187"/>
      <c r="O42" s="1"/>
      <c r="P42" s="1"/>
      <c r="Q42" s="1"/>
      <c r="R42" s="1"/>
      <c r="S42" s="1"/>
      <c r="T42" s="1"/>
      <c r="U42" s="71"/>
      <c r="V42" s="71"/>
      <c r="W42" s="71"/>
      <c r="X42" s="71"/>
      <c r="Y42" s="71"/>
      <c r="Z42" s="71"/>
      <c r="AA42" s="71"/>
      <c r="AB42" s="71"/>
      <c r="AC42" s="71"/>
      <c r="AD42" s="71"/>
      <c r="AE42" s="71"/>
      <c r="AF42" s="71"/>
      <c r="AG42" s="71"/>
    </row>
    <row r="43" customFormat="false" ht="15" hidden="true" customHeight="false" outlineLevel="1" collapsed="false">
      <c r="A43" s="284" t="s">
        <v>84</v>
      </c>
      <c r="B43" s="285" t="s">
        <v>21</v>
      </c>
      <c r="C43" s="285" t="s">
        <v>20</v>
      </c>
      <c r="D43" s="285" t="s">
        <v>23</v>
      </c>
      <c r="E43" s="285" t="s">
        <v>25</v>
      </c>
      <c r="F43" s="285" t="s">
        <v>26</v>
      </c>
      <c r="G43" s="285" t="s">
        <v>378</v>
      </c>
      <c r="H43" s="285" t="s">
        <v>379</v>
      </c>
      <c r="I43" s="285" t="s">
        <v>380</v>
      </c>
      <c r="J43" s="286" t="s">
        <v>58</v>
      </c>
      <c r="K43" s="287"/>
      <c r="L43" s="288"/>
      <c r="M43" s="289"/>
      <c r="N43" s="187"/>
      <c r="O43" s="1"/>
      <c r="P43" s="1"/>
      <c r="Q43" s="1"/>
      <c r="R43" s="1"/>
      <c r="S43" s="1"/>
      <c r="T43" s="71"/>
      <c r="U43" s="71"/>
      <c r="V43" s="71"/>
      <c r="W43" s="71"/>
      <c r="X43" s="71"/>
      <c r="Y43" s="71"/>
      <c r="Z43" s="71"/>
      <c r="AA43" s="71"/>
      <c r="AB43" s="71"/>
      <c r="AC43" s="71"/>
      <c r="AD43" s="71"/>
      <c r="AE43" s="71"/>
      <c r="AF43" s="71"/>
    </row>
    <row r="44" customFormat="false" ht="15" hidden="true" customHeight="false" outlineLevel="1" collapsed="false">
      <c r="A44" s="187" t="s">
        <v>312</v>
      </c>
      <c r="B44" s="71" t="n">
        <f aca="false">SUMIFS(Horodateur1123353819223134374346495255586164698522263438465058546266707478829098941021061141181101221261301341381421461501541581621661701741781821861901941982022062102144101418222630[Durée (100)],Horodateur1123353819223134374346495255586164698522263438465058546266707478829098941021061141181101221261301341381421461501541581621661701741781821861901941982022062102144101418222630[Tâche],Taches_Jours122436391720293235414447505356596267832024323644485652606468727680889692100104112116108120124128132136140144148152156160164168172176180184188192196200204208212261216202428[[#Headers],[GB]],Horodateur1123353819223134374346495255586164698522263438465058546266707478829098941021061141181101221261301341381421461501541581621661701741781821861901941982022062102144101418222630[Jour],Taches_Jours122436391720293235414447505356596267832024323644485652606468727680889692100104112116108120124128132136140144148152156160164168172176180184188192196200204208212261216202428[[#This Row],[Jours]])</f>
        <v>0.999999999999999</v>
      </c>
      <c r="C44" s="71" t="n">
        <f aca="false">SUMIFS(Horodateur1123353819223134374346495255586164698522263438465058546266707478829098941021061141181101221261301341381421461501541581621661701741781821861901941982022062102144101418222630[Durée (100)],Horodateur1123353819223134374346495255586164698522263438465058546266707478829098941021061141181101221261301341381421461501541581621661701741781821861901941982022062102144101418222630[Tâche],Taches_Jours122436391720293235414447505356596267832024323644485652606468727680889692100104112116108120124128132136140144148152156160164168172176180184188192196200204208212261216202428[[#Headers],[RI]],Horodateur1123353819223134374346495255586164698522263438465058546266707478829098941021061141181101221261301341381421461501541581621661701741781821861901941982022062102144101418222630[Jour],Taches_Jours122436391720293235414447505356596267832024323644485652606468727680889692100104112116108120124128132136140144148152156160164168172176180184188192196200204208212261216202428[[#This Row],[Jours]])</f>
        <v>0.500000000000001</v>
      </c>
      <c r="D44" s="71" t="n">
        <f aca="false">SUMIFS(Horodateur1123353819223134374346495255586164698522263438465058546266707478829098941021061141181101221261301341381421461501541581621661701741781821861901941982022062102144101418222630[Durée (100)],Horodateur1123353819223134374346495255586164698522263438465058546266707478829098941021061141181101221261301341381421461501541581621661701741781821861901941982022062102144101418222630[Tâche],Taches_Jours122436391720293235414447505356596267832024323644485652606468727680889692100104112116108120124128132136140144148152156160164168172176180184188192196200204208212261216202428[[#Headers],[FG]],Horodateur1123353819223134374346495255586164698522263438465058546266707478829098941021061141181101221261301341381421461501541581621661701741781821861901941982022062102144101418222630[Jour],Taches_Jours122436391720293235414447505356596267832024323644485652606468727680889692100104112116108120124128132136140144148152156160164168172176180184188192196200204208212261216202428[[#This Row],[Jours]])</f>
        <v>0</v>
      </c>
      <c r="E44" s="71" t="n">
        <f aca="false">SUMIFS(Horodateur1123353819223134374346495255586164698522263438465058546266707478829098941021061141181101221261301341381421461501541581621661701741781821861901941982022062102144101418222630[Durée (100)],Horodateur1123353819223134374346495255586164698522263438465058546266707478829098941021061141181101221261301341381421461501541581621661701741781821861901941982022062102144101418222630[Tâche],Taches_Jours122436391720293235414447505356596267832024323644485652606468727680889692100104112116108120124128132136140144148152156160164168172176180184188192196200204208212261216202428[[#Headers],[PS]],Horodateur1123353819223134374346495255586164698522263438465058546266707478829098941021061141181101221261301341381421461501541581621661701741781821861901941982022062102144101418222630[Jour],Taches_Jours122436391720293235414447505356596267832024323644485652606468727680889692100104112116108120124128132136140144148152156160164168172176180184188192196200204208212261216202428[[#This Row],[Jours]])</f>
        <v>0</v>
      </c>
      <c r="F44" s="71" t="n">
        <f aca="false">SUMIFS(Horodateur1123353819223134374346495255586164698522263438465058546266707478829098941021061141181101221261301341381421461501541581621661701741781821861901941982022062102144101418222630[Durée (100)],Horodateur1123353819223134374346495255586164698522263438465058546266707478829098941021061141181101221261301341381421461501541581621661701741781821861901941982022062102144101418222630[Tâche],Taches_Jours122436391720293235414447505356596267832024323644485652606468727680889692100104112116108120124128132136140144148152156160164168172176180184188192196200204208212261216202428[[#Headers],[TD]],Horodateur1123353819223134374346495255586164698522263438465058546266707478829098941021061141181101221261301341381421461501541581621661701741781821861901941982022062102144101418222630[Jour],Taches_Jours122436391720293235414447505356596267832024323644485652606468727680889692100104112116108120124128132136140144148152156160164168172176180184188192196200204208212261216202428[[#This Row],[Jours]])</f>
        <v>0</v>
      </c>
      <c r="G44" s="71" t="n">
        <f aca="false">SUMIFS(Horodateur1123353819223134374346495255586164698522263438465058546266707478829098941021061141181101221261301341381421461501541581621661701741781821861901941982022062102144101418222630[Durée (100)],Horodateur1123353819223134374346495255586164698522263438465058546266707478829098941021061141181101221261301341381421461501541581621661701741781821861901941982022062102144101418222630[Tâche],Taches_Jours122436391720293235414447505356596267832024323644485652606468727680889692100104112116108120124128132136140144148152156160164168172176180184188192196200204208212261216202428[[#Headers],[GP]],Horodateur1123353819223134374346495255586164698522263438465058546266707478829098941021061141181101221261301341381421461501541581621661701741781821861901941982022062102144101418222630[Jour],Taches_Jours122436391720293235414447505356596267832024323644485652606468727680889692100104112116108120124128132136140144148152156160164168172176180184188192196200204208212261216202428[[#This Row],[Jours]])</f>
        <v>4.5</v>
      </c>
      <c r="H44" s="71" t="n">
        <f aca="false">SUMIFS(Horodateur1123353819223134374346495255586164698522263438465058546266707478829098941021061141181101221261301341381421461501541581621661701741781821861901941982022062102144101418222630[Durée (100)],Horodateur1123353819223134374346495255586164698522263438465058546266707478829098941021061141181101221261301341381421461501541581621661701741781821861901941982022062102144101418222630[Tâche],Taches_Jours122436391720293235414447505356596267832024323644485652606468727680889692100104112116108120124128132136140144148152156160164168172176180184188192196200204208212261216202428[[#Headers],[GP / SP]],Horodateur1123353819223134374346495255586164698522263438465058546266707478829098941021061141181101221261301341381421461501541581621661701741781821861901941982022062102144101418222630[Jour],Taches_Jours122436391720293235414447505356596267832024323644485652606468727680889692100104112116108120124128132136140144148152156160164168172176180184188192196200204208212261216202428[[#This Row],[Jours]])</f>
        <v>0.750000000000001</v>
      </c>
      <c r="I44" s="71" t="n">
        <f aca="false">SUMIFS(Horodateur1123353819223134374346495255586164698522263438465058546266707478829098941021061141181101221261301341381421461501541581621661701741781821861901941982022062102144101418222630[Durée (100)],Horodateur1123353819223134374346495255586164698522263438465058546266707478829098941021061141181101221261301341381421461501541581621661701741781821861901941982022062102144101418222630[Tâche],Taches_Jours122436391720293235414447505356596267832024323644485652606468727680889692100104112116108120124128132136140144148152156160164168172176180184188192196200204208212261216202428[[#Headers],[GP / SP]],Horodateur1123353819223134374346495255586164698522263438465058546266707478829098941021061141181101221261301341381421461501541581621661701741781821861901941982022062102144101418222630[Jour],Taches_Jours122436391720293235414447505356596267832024323644485652606468727680889692100104112116108120124128132136140144148152156160164168172176180184188192196200204208212261216202428[[#This Row],[Jours]])</f>
        <v>0.750000000000001</v>
      </c>
      <c r="J44" s="290" t="n">
        <f aca="false">SUM(Taches_Jours122436391720293235414447505356596267832024323644485652606468727680889692100104112116108120124128132136140144148152156160164168172176180184188192196200204208212261216202428[[#This Row],[GB]:[GP / SP]])</f>
        <v>6.75</v>
      </c>
      <c r="K44" s="188"/>
      <c r="L44" s="288"/>
      <c r="M44" s="289"/>
      <c r="N44" s="187"/>
      <c r="O44" s="1"/>
      <c r="P44" s="1"/>
      <c r="Q44" s="1"/>
      <c r="R44" s="1"/>
      <c r="S44" s="1"/>
      <c r="T44" s="71"/>
      <c r="U44" s="71"/>
      <c r="V44" s="71"/>
      <c r="W44" s="71"/>
      <c r="X44" s="71"/>
      <c r="Y44" s="71"/>
      <c r="Z44" s="71"/>
      <c r="AA44" s="71"/>
      <c r="AB44" s="71"/>
      <c r="AC44" s="71"/>
      <c r="AD44" s="71"/>
      <c r="AE44" s="71"/>
      <c r="AF44" s="71"/>
    </row>
    <row r="45" customFormat="false" ht="15" hidden="true" customHeight="false" outlineLevel="1" collapsed="false">
      <c r="A45" s="187" t="s">
        <v>319</v>
      </c>
      <c r="B45" s="71" t="n">
        <f aca="false">SUMIFS(Horodateur1123353819223134374346495255586164698522263438465058546266707478829098941021061141181101221261301341381421461501541581621661701741781821861901941982022062102144101418222630[Durée (100)],Horodateur1123353819223134374346495255586164698522263438465058546266707478829098941021061141181101221261301341381421461501541581621661701741781821861901941982022062102144101418222630[Tâche],Taches_Jours122436391720293235414447505356596267832024323644485652606468727680889692100104112116108120124128132136140144148152156160164168172176180184188192196200204208212261216202428[[#Headers],[GB]],Horodateur1123353819223134374346495255586164698522263438465058546266707478829098941021061141181101221261301341381421461501541581621661701741781821861901941982022062102144101418222630[Jour],Taches_Jours122436391720293235414447505356596267832024323644485652606468727680889692100104112116108120124128132136140144148152156160164168172176180184188192196200204208212261216202428[[#This Row],[Jours]])</f>
        <v>0</v>
      </c>
      <c r="C45" s="71" t="n">
        <f aca="false">SUMIFS(Horodateur1123353819223134374346495255586164698522263438465058546266707478829098941021061141181101221261301341381421461501541581621661701741781821861901941982022062102144101418222630[Durée (100)],Horodateur1123353819223134374346495255586164698522263438465058546266707478829098941021061141181101221261301341381421461501541581621661701741781821861901941982022062102144101418222630[Tâche],Taches_Jours122436391720293235414447505356596267832024323644485652606468727680889692100104112116108120124128132136140144148152156160164168172176180184188192196200204208212261216202428[[#Headers],[RI]],Horodateur1123353819223134374346495255586164698522263438465058546266707478829098941021061141181101221261301341381421461501541581621661701741781821861901941982022062102144101418222630[Jour],Taches_Jours122436391720293235414447505356596267832024323644485652606468727680889692100104112116108120124128132136140144148152156160164168172176180184188192196200204208212261216202428[[#This Row],[Jours]])</f>
        <v>0</v>
      </c>
      <c r="D45" s="71" t="n">
        <f aca="false">SUMIFS(Horodateur1123353819223134374346495255586164698522263438465058546266707478829098941021061141181101221261301341381421461501541581621661701741781821861901941982022062102144101418222630[Durée (100)],Horodateur1123353819223134374346495255586164698522263438465058546266707478829098941021061141181101221261301341381421461501541581621661701741781821861901941982022062102144101418222630[Tâche],Taches_Jours122436391720293235414447505356596267832024323644485652606468727680889692100104112116108120124128132136140144148152156160164168172176180184188192196200204208212261216202428[[#Headers],[FG]],Horodateur1123353819223134374346495255586164698522263438465058546266707478829098941021061141181101221261301341381421461501541581621661701741781821861901941982022062102144101418222630[Jour],Taches_Jours122436391720293235414447505356596267832024323644485652606468727680889692100104112116108120124128132136140144148152156160164168172176180184188192196200204208212261216202428[[#This Row],[Jours]])</f>
        <v>2.5</v>
      </c>
      <c r="E45" s="71" t="n">
        <f aca="false">SUMIFS(Horodateur1123353819223134374346495255586164698522263438465058546266707478829098941021061141181101221261301341381421461501541581621661701741781821861901941982022062102144101418222630[Durée (100)],Horodateur1123353819223134374346495255586164698522263438465058546266707478829098941021061141181101221261301341381421461501541581621661701741781821861901941982022062102144101418222630[Tâche],Taches_Jours122436391720293235414447505356596267832024323644485652606468727680889692100104112116108120124128132136140144148152156160164168172176180184188192196200204208212261216202428[[#Headers],[PS]],Horodateur1123353819223134374346495255586164698522263438465058546266707478829098941021061141181101221261301341381421461501541581621661701741781821861901941982022062102144101418222630[Jour],Taches_Jours122436391720293235414447505356596267832024323644485652606468727680889692100104112116108120124128132136140144148152156160164168172176180184188192196200204208212261216202428[[#This Row],[Jours]])</f>
        <v>0</v>
      </c>
      <c r="F45" s="71" t="n">
        <f aca="false">SUMIFS(Horodateur1123353819223134374346495255586164698522263438465058546266707478829098941021061141181101221261301341381421461501541581621661701741781821861901941982022062102144101418222630[Durée (100)],Horodateur1123353819223134374346495255586164698522263438465058546266707478829098941021061141181101221261301341381421461501541581621661701741781821861901941982022062102144101418222630[Tâche],Taches_Jours122436391720293235414447505356596267832024323644485652606468727680889692100104112116108120124128132136140144148152156160164168172176180184188192196200204208212261216202428[[#Headers],[TD]],Horodateur1123353819223134374346495255586164698522263438465058546266707478829098941021061141181101221261301341381421461501541581621661701741781821861901941982022062102144101418222630[Jour],Taches_Jours122436391720293235414447505356596267832024323644485652606468727680889692100104112116108120124128132136140144148152156160164168172176180184188192196200204208212261216202428[[#This Row],[Jours]])</f>
        <v>0</v>
      </c>
      <c r="G45" s="71" t="n">
        <f aca="false">SUMIFS(Horodateur1123353819223134374346495255586164698522263438465058546266707478829098941021061141181101221261301341381421461501541581621661701741781821861901941982022062102144101418222630[Durée (100)],Horodateur1123353819223134374346495255586164698522263438465058546266707478829098941021061141181101221261301341381421461501541581621661701741781821861901941982022062102144101418222630[Tâche],Taches_Jours122436391720293235414447505356596267832024323644485652606468727680889692100104112116108120124128132136140144148152156160164168172176180184188192196200204208212261216202428[[#Headers],[GP]],Horodateur1123353819223134374346495255586164698522263438465058546266707478829098941021061141181101221261301341381421461501541581621661701741781821861901941982022062102144101418222630[Jour],Taches_Jours122436391720293235414447505356596267832024323644485652606468727680889692100104112116108120124128132136140144148152156160164168172176180184188192196200204208212261216202428[[#This Row],[Jours]])</f>
        <v>3</v>
      </c>
      <c r="H45" s="71" t="n">
        <f aca="false">SUMIFS(Horodateur1123353819223134374346495255586164698522263438465058546266707478829098941021061141181101221261301341381421461501541581621661701741781821861901941982022062102144101418222630[Durée (100)],Horodateur1123353819223134374346495255586164698522263438465058546266707478829098941021061141181101221261301341381421461501541581621661701741781821861901941982022062102144101418222630[Tâche],Taches_Jours122436391720293235414447505356596267832024323644485652606468727680889692100104112116108120124128132136140144148152156160164168172176180184188192196200204208212261216202428[[#Headers],[GP / SP]],Horodateur1123353819223134374346495255586164698522263438465058546266707478829098941021061141181101221261301341381421461501541581621661701741781821861901941982022062102144101418222630[Jour],Taches_Jours122436391720293235414447505356596267832024323644485652606468727680889692100104112116108120124128132136140144148152156160164168172176180184188192196200204208212261216202428[[#This Row],[Jours]])</f>
        <v>0</v>
      </c>
      <c r="I45" s="71" t="n">
        <f aca="false">SUMIFS(Horodateur1123353819223134374346495255586164698522263438465058546266707478829098941021061141181101221261301341381421461501541581621661701741781821861901941982022062102144101418222630[Durée (100)],Horodateur1123353819223134374346495255586164698522263438465058546266707478829098941021061141181101221261301341381421461501541581621661701741781821861901941982022062102144101418222630[Tâche],Taches_Jours122436391720293235414447505356596267832024323644485652606468727680889692100104112116108120124128132136140144148152156160164168172176180184188192196200204208212261216202428[[#Headers],[GP / SP]],Horodateur1123353819223134374346495255586164698522263438465058546266707478829098941021061141181101221261301341381421461501541581621661701741781821861901941982022062102144101418222630[Jour],Taches_Jours122436391720293235414447505356596267832024323644485652606468727680889692100104112116108120124128132136140144148152156160164168172176180184188192196200204208212261216202428[[#This Row],[Jours]])</f>
        <v>0</v>
      </c>
      <c r="J45" s="290" t="n">
        <f aca="false">SUM(Taches_Jours122436391720293235414447505356596267832024323644485652606468727680889692100104112116108120124128132136140144148152156160164168172176180184188192196200204208212261216202428[[#This Row],[GB]:[GP / SP]])</f>
        <v>5.5</v>
      </c>
      <c r="K45" s="188"/>
      <c r="L45" s="288"/>
      <c r="M45" s="289"/>
      <c r="N45" s="187"/>
      <c r="O45" s="1"/>
      <c r="P45" s="1"/>
      <c r="Q45" s="1"/>
      <c r="R45" s="1"/>
      <c r="S45" s="1"/>
      <c r="T45" s="71"/>
      <c r="U45" s="71"/>
      <c r="V45" s="71"/>
      <c r="W45" s="71"/>
      <c r="X45" s="71"/>
      <c r="Y45" s="71"/>
      <c r="Z45" s="71"/>
      <c r="AA45" s="71"/>
      <c r="AB45" s="71"/>
      <c r="AC45" s="71"/>
      <c r="AD45" s="71"/>
      <c r="AE45" s="71"/>
      <c r="AF45" s="71"/>
    </row>
    <row r="46" customFormat="false" ht="15" hidden="true" customHeight="false" outlineLevel="1" collapsed="false">
      <c r="A46" s="187" t="s">
        <v>324</v>
      </c>
      <c r="B46" s="71" t="n">
        <f aca="false">SUMIFS(Horodateur1123353819223134374346495255586164698522263438465058546266707478829098941021061141181101221261301341381421461501541581621661701741781821861901941982022062102144101418222630[Durée (100)],Horodateur1123353819223134374346495255586164698522263438465058546266707478829098941021061141181101221261301341381421461501541581621661701741781821861901941982022062102144101418222630[Tâche],Taches_Jours122436391720293235414447505356596267832024323644485652606468727680889692100104112116108120124128132136140144148152156160164168172176180184188192196200204208212261216202428[[#Headers],[GB]],Horodateur1123353819223134374346495255586164698522263438465058546266707478829098941021061141181101221261301341381421461501541581621661701741781821861901941982022062102144101418222630[Jour],Taches_Jours122436391720293235414447505356596267832024323644485652606468727680889692100104112116108120124128132136140144148152156160164168172176180184188192196200204208212261216202428[[#This Row],[Jours]])</f>
        <v>0.249999999999999</v>
      </c>
      <c r="C46" s="71" t="n">
        <f aca="false">SUMIFS(Horodateur1123353819223134374346495255586164698522263438465058546266707478829098941021061141181101221261301341381421461501541581621661701741781821861901941982022062102144101418222630[Durée (100)],Horodateur1123353819223134374346495255586164698522263438465058546266707478829098941021061141181101221261301341381421461501541581621661701741781821861901941982022062102144101418222630[Tâche],Taches_Jours122436391720293235414447505356596267832024323644485652606468727680889692100104112116108120124128132136140144148152156160164168172176180184188192196200204208212261216202428[[#Headers],[RI]],Horodateur1123353819223134374346495255586164698522263438465058546266707478829098941021061141181101221261301341381421461501541581621661701741781821861901941982022062102144101418222630[Jour],Taches_Jours122436391720293235414447505356596267832024323644485652606468727680889692100104112116108120124128132136140144148152156160164168172176180184188192196200204208212261216202428[[#This Row],[Jours]])</f>
        <v>0</v>
      </c>
      <c r="D46" s="71" t="n">
        <f aca="false">SUMIFS(Horodateur1123353819223134374346495255586164698522263438465058546266707478829098941021061141181101221261301341381421461501541581621661701741781821861901941982022062102144101418222630[Durée (100)],Horodateur1123353819223134374346495255586164698522263438465058546266707478829098941021061141181101221261301341381421461501541581621661701741781821861901941982022062102144101418222630[Tâche],Taches_Jours122436391720293235414447505356596267832024323644485652606468727680889692100104112116108120124128132136140144148152156160164168172176180184188192196200204208212261216202428[[#Headers],[FG]],Horodateur1123353819223134374346495255586164698522263438465058546266707478829098941021061141181101221261301341381421461501541581621661701741781821861901941982022062102144101418222630[Jour],Taches_Jours122436391720293235414447505356596267832024323644485652606468727680889692100104112116108120124128132136140144148152156160164168172176180184188192196200204208212261216202428[[#This Row],[Jours]])</f>
        <v>0</v>
      </c>
      <c r="E46" s="71" t="n">
        <f aca="false">SUMIFS(Horodateur1123353819223134374346495255586164698522263438465058546266707478829098941021061141181101221261301341381421461501541581621661701741781821861901941982022062102144101418222630[Durée (100)],Horodateur1123353819223134374346495255586164698522263438465058546266707478829098941021061141181101221261301341381421461501541581621661701741781821861901941982022062102144101418222630[Tâche],Taches_Jours122436391720293235414447505356596267832024323644485652606468727680889692100104112116108120124128132136140144148152156160164168172176180184188192196200204208212261216202428[[#Headers],[PS]],Horodateur1123353819223134374346495255586164698522263438465058546266707478829098941021061141181101221261301341381421461501541581621661701741781821861901941982022062102144101418222630[Jour],Taches_Jours122436391720293235414447505356596267832024323644485652606468727680889692100104112116108120124128132136140144148152156160164168172176180184188192196200204208212261216202428[[#This Row],[Jours]])</f>
        <v>0</v>
      </c>
      <c r="F46" s="71" t="n">
        <f aca="false">SUMIFS(Horodateur1123353819223134374346495255586164698522263438465058546266707478829098941021061141181101221261301341381421461501541581621661701741781821861901941982022062102144101418222630[Durée (100)],Horodateur1123353819223134374346495255586164698522263438465058546266707478829098941021061141181101221261301341381421461501541581621661701741781821861901941982022062102144101418222630[Tâche],Taches_Jours122436391720293235414447505356596267832024323644485652606468727680889692100104112116108120124128132136140144148152156160164168172176180184188192196200204208212261216202428[[#Headers],[TD]],Horodateur1123353819223134374346495255586164698522263438465058546266707478829098941021061141181101221261301341381421461501541581621661701741781821861901941982022062102144101418222630[Jour],Taches_Jours122436391720293235414447505356596267832024323644485652606468727680889692100104112116108120124128132136140144148152156160164168172176180184188192196200204208212261216202428[[#This Row],[Jours]])</f>
        <v>0</v>
      </c>
      <c r="G46" s="71" t="n">
        <f aca="false">SUMIFS(Horodateur1123353819223134374346495255586164698522263438465058546266707478829098941021061141181101221261301341381421461501541581621661701741781821861901941982022062102144101418222630[Durée (100)],Horodateur1123353819223134374346495255586164698522263438465058546266707478829098941021061141181101221261301341381421461501541581621661701741781821861901941982022062102144101418222630[Tâche],Taches_Jours122436391720293235414447505356596267832024323644485652606468727680889692100104112116108120124128132136140144148152156160164168172176180184188192196200204208212261216202428[[#Headers],[GP]],Horodateur1123353819223134374346495255586164698522263438465058546266707478829098941021061141181101221261301341381421461501541581621661701741781821861901941982022062102144101418222630[Jour],Taches_Jours122436391720293235414447505356596267832024323644485652606468727680889692100104112116108120124128132136140144148152156160164168172176180184188192196200204208212261216202428[[#This Row],[Jours]])</f>
        <v>6.5</v>
      </c>
      <c r="H46" s="71" t="n">
        <f aca="false">SUMIFS(Horodateur1123353819223134374346495255586164698522263438465058546266707478829098941021061141181101221261301341381421461501541581621661701741781821861901941982022062102144101418222630[Durée (100)],Horodateur1123353819223134374346495255586164698522263438465058546266707478829098941021061141181101221261301341381421461501541581621661701741781821861901941982022062102144101418222630[Tâche],Taches_Jours122436391720293235414447505356596267832024323644485652606468727680889692100104112116108120124128132136140144148152156160164168172176180184188192196200204208212261216202428[[#Headers],[GP / SP]],Horodateur1123353819223134374346495255586164698522263438465058546266707478829098941021061141181101221261301341381421461501541581621661701741781821861901941982022062102144101418222630[Jour],Taches_Jours122436391720293235414447505356596267832024323644485652606468727680889692100104112116108120124128132136140144148152156160164168172176180184188192196200204208212261216202428[[#This Row],[Jours]])</f>
        <v>0</v>
      </c>
      <c r="I46" s="71" t="n">
        <f aca="false">SUMIFS(Horodateur1123353819223134374346495255586164698522263438465058546266707478829098941021061141181101221261301341381421461501541581621661701741781821861901941982022062102144101418222630[Durée (100)],Horodateur1123353819223134374346495255586164698522263438465058546266707478829098941021061141181101221261301341381421461501541581621661701741781821861901941982022062102144101418222630[Tâche],Taches_Jours122436391720293235414447505356596267832024323644485652606468727680889692100104112116108120124128132136140144148152156160164168172176180184188192196200204208212261216202428[[#Headers],[GP / SP]],Horodateur1123353819223134374346495255586164698522263438465058546266707478829098941021061141181101221261301341381421461501541581621661701741781821861901941982022062102144101418222630[Jour],Taches_Jours122436391720293235414447505356596267832024323644485652606468727680889692100104112116108120124128132136140144148152156160164168172176180184188192196200204208212261216202428[[#This Row],[Jours]])</f>
        <v>0</v>
      </c>
      <c r="J46" s="290" t="n">
        <f aca="false">SUM(Taches_Jours122436391720293235414447505356596267832024323644485652606468727680889692100104112116108120124128132136140144148152156160164168172176180184188192196200204208212261216202428[[#This Row],[GB]:[GP / SP]])</f>
        <v>6.75</v>
      </c>
      <c r="K46" s="188"/>
      <c r="L46" s="288"/>
      <c r="M46" s="289"/>
      <c r="N46" s="187"/>
      <c r="O46" s="1"/>
      <c r="P46" s="1"/>
      <c r="Q46" s="1"/>
      <c r="R46" s="1"/>
      <c r="S46" s="1"/>
      <c r="T46" s="71"/>
      <c r="U46" s="71"/>
      <c r="V46" s="71"/>
      <c r="W46" s="71"/>
      <c r="X46" s="71"/>
      <c r="Y46" s="71"/>
      <c r="Z46" s="71"/>
      <c r="AA46" s="71"/>
      <c r="AB46" s="71"/>
      <c r="AC46" s="71"/>
      <c r="AD46" s="71"/>
      <c r="AE46" s="71"/>
      <c r="AF46" s="71"/>
    </row>
    <row r="47" customFormat="false" ht="15" hidden="true" customHeight="false" outlineLevel="1" collapsed="false">
      <c r="A47" s="187" t="s">
        <v>332</v>
      </c>
      <c r="B47" s="71" t="n">
        <f aca="false">SUMIFS(Horodateur1123353819223134374346495255586164698522263438465058546266707478829098941021061141181101221261301341381421461501541581621661701741781821861901941982022062102144101418222630[Durée (100)],Horodateur1123353819223134374346495255586164698522263438465058546266707478829098941021061141181101221261301341381421461501541581621661701741781821861901941982022062102144101418222630[Tâche],Taches_Jours122436391720293235414447505356596267832024323644485652606468727680889692100104112116108120124128132136140144148152156160164168172176180184188192196200204208212261216202428[[#Headers],[GB]],Horodateur1123353819223134374346495255586164698522263438465058546266707478829098941021061141181101221261301341381421461501541581621661701741781821861901941982022062102144101418222630[Jour],Taches_Jours122436391720293235414447505356596267832024323644485652606468727680889692100104112116108120124128132136140144148152156160164168172176180184188192196200204208212261216202428[[#This Row],[Jours]])</f>
        <v>0</v>
      </c>
      <c r="C47" s="71" t="n">
        <f aca="false">SUMIFS(Horodateur1123353819223134374346495255586164698522263438465058546266707478829098941021061141181101221261301341381421461501541581621661701741781821861901941982022062102144101418222630[Durée (100)],Horodateur1123353819223134374346495255586164698522263438465058546266707478829098941021061141181101221261301341381421461501541581621661701741781821861901941982022062102144101418222630[Tâche],Taches_Jours122436391720293235414447505356596267832024323644485652606468727680889692100104112116108120124128132136140144148152156160164168172176180184188192196200204208212261216202428[[#Headers],[RI]],Horodateur1123353819223134374346495255586164698522263438465058546266707478829098941021061141181101221261301341381421461501541581621661701741781821861901941982022062102144101418222630[Jour],Taches_Jours122436391720293235414447505356596267832024323644485652606468727680889692100104112116108120124128132136140144148152156160164168172176180184188192196200204208212261216202428[[#This Row],[Jours]])</f>
        <v>0</v>
      </c>
      <c r="D47" s="71" t="n">
        <f aca="false">SUMIFS(Horodateur1123353819223134374346495255586164698522263438465058546266707478829098941021061141181101221261301341381421461501541581621661701741781821861901941982022062102144101418222630[Durée (100)],Horodateur1123353819223134374346495255586164698522263438465058546266707478829098941021061141181101221261301341381421461501541581621661701741781821861901941982022062102144101418222630[Tâche],Taches_Jours122436391720293235414447505356596267832024323644485652606468727680889692100104112116108120124128132136140144148152156160164168172176180184188192196200204208212261216202428[[#Headers],[FG]],Horodateur1123353819223134374346495255586164698522263438465058546266707478829098941021061141181101221261301341381421461501541581621661701741781821861901941982022062102144101418222630[Jour],Taches_Jours122436391720293235414447505356596267832024323644485652606468727680889692100104112116108120124128132136140144148152156160164168172176180184188192196200204208212261216202428[[#This Row],[Jours]])</f>
        <v>0</v>
      </c>
      <c r="E47" s="71" t="n">
        <f aca="false">SUMIFS(Horodateur1123353819223134374346495255586164698522263438465058546266707478829098941021061141181101221261301341381421461501541581621661701741781821861901941982022062102144101418222630[Durée (100)],Horodateur1123353819223134374346495255586164698522263438465058546266707478829098941021061141181101221261301341381421461501541581621661701741781821861901941982022062102144101418222630[Tâche],Taches_Jours122436391720293235414447505356596267832024323644485652606468727680889692100104112116108120124128132136140144148152156160164168172176180184188192196200204208212261216202428[[#Headers],[PS]],Horodateur1123353819223134374346495255586164698522263438465058546266707478829098941021061141181101221261301341381421461501541581621661701741781821861901941982022062102144101418222630[Jour],Taches_Jours122436391720293235414447505356596267832024323644485652606468727680889692100104112116108120124128132136140144148152156160164168172176180184188192196200204208212261216202428[[#This Row],[Jours]])</f>
        <v>0</v>
      </c>
      <c r="F47" s="71" t="n">
        <f aca="false">SUMIFS(Horodateur1123353819223134374346495255586164698522263438465058546266707478829098941021061141181101221261301341381421461501541581621661701741781821861901941982022062102144101418222630[Durée (100)],Horodateur1123353819223134374346495255586164698522263438465058546266707478829098941021061141181101221261301341381421461501541581621661701741781821861901941982022062102144101418222630[Tâche],Taches_Jours122436391720293235414447505356596267832024323644485652606468727680889692100104112116108120124128132136140144148152156160164168172176180184188192196200204208212261216202428[[#Headers],[TD]],Horodateur1123353819223134374346495255586164698522263438465058546266707478829098941021061141181101221261301341381421461501541581621661701741781821861901941982022062102144101418222630[Jour],Taches_Jours122436391720293235414447505356596267832024323644485652606468727680889692100104112116108120124128132136140144148152156160164168172176180184188192196200204208212261216202428[[#This Row],[Jours]])</f>
        <v>0</v>
      </c>
      <c r="G47" s="71" t="n">
        <f aca="false">SUMIFS(Horodateur1123353819223134374346495255586164698522263438465058546266707478829098941021061141181101221261301341381421461501541581621661701741781821861901941982022062102144101418222630[Durée (100)],Horodateur1123353819223134374346495255586164698522263438465058546266707478829098941021061141181101221261301341381421461501541581621661701741781821861901941982022062102144101418222630[Tâche],Taches_Jours122436391720293235414447505356596267832024323644485652606468727680889692100104112116108120124128132136140144148152156160164168172176180184188192196200204208212261216202428[[#Headers],[GP]],Horodateur1123353819223134374346495255586164698522263438465058546266707478829098941021061141181101221261301341381421461501541581621661701741781821861901941982022062102144101418222630[Jour],Taches_Jours122436391720293235414447505356596267832024323644485652606468727680889692100104112116108120124128132136140144148152156160164168172176180184188192196200204208212261216202428[[#This Row],[Jours]])</f>
        <v>3.75</v>
      </c>
      <c r="H47" s="71" t="n">
        <f aca="false">SUMIFS(Horodateur1123353819223134374346495255586164698522263438465058546266707478829098941021061141181101221261301341381421461501541581621661701741781821861901941982022062102144101418222630[Durée (100)],Horodateur1123353819223134374346495255586164698522263438465058546266707478829098941021061141181101221261301341381421461501541581621661701741781821861901941982022062102144101418222630[Tâche],Taches_Jours122436391720293235414447505356596267832024323644485652606468727680889692100104112116108120124128132136140144148152156160164168172176180184188192196200204208212261216202428[[#Headers],[GP / SP]],Horodateur1123353819223134374346495255586164698522263438465058546266707478829098941021061141181101221261301341381421461501541581621661701741781821861901941982022062102144101418222630[Jour],Taches_Jours122436391720293235414447505356596267832024323644485652606468727680889692100104112116108120124128132136140144148152156160164168172176180184188192196200204208212261216202428[[#This Row],[Jours]])</f>
        <v>0</v>
      </c>
      <c r="I47" s="71" t="n">
        <f aca="false">SUMIFS(Horodateur1123353819223134374346495255586164698522263438465058546266707478829098941021061141181101221261301341381421461501541581621661701741781821861901941982022062102144101418222630[Durée (100)],Horodateur1123353819223134374346495255586164698522263438465058546266707478829098941021061141181101221261301341381421461501541581621661701741781821861901941982022062102144101418222630[Tâche],Taches_Jours122436391720293235414447505356596267832024323644485652606468727680889692100104112116108120124128132136140144148152156160164168172176180184188192196200204208212261216202428[[#Headers],[GP / SP]],Horodateur1123353819223134374346495255586164698522263438465058546266707478829098941021061141181101221261301341381421461501541581621661701741781821861901941982022062102144101418222630[Jour],Taches_Jours122436391720293235414447505356596267832024323644485652606468727680889692100104112116108120124128132136140144148152156160164168172176180184188192196200204208212261216202428[[#This Row],[Jours]])</f>
        <v>0</v>
      </c>
      <c r="J47" s="290" t="n">
        <f aca="false">SUM(Taches_Jours122436391720293235414447505356596267832024323644485652606468727680889692100104112116108120124128132136140144148152156160164168172176180184188192196200204208212261216202428[[#This Row],[GB]:[GP / SP]])</f>
        <v>3.75</v>
      </c>
      <c r="K47" s="188"/>
      <c r="L47" s="288"/>
      <c r="M47" s="289"/>
      <c r="N47" s="187"/>
      <c r="O47" s="71"/>
      <c r="P47" s="71"/>
      <c r="Q47" s="71"/>
      <c r="R47" s="71"/>
      <c r="S47" s="71"/>
      <c r="T47" s="71"/>
      <c r="U47" s="71"/>
      <c r="V47" s="71"/>
      <c r="W47" s="71"/>
      <c r="X47" s="71"/>
      <c r="Y47" s="71"/>
      <c r="Z47" s="71"/>
      <c r="AA47" s="71"/>
      <c r="AB47" s="71"/>
      <c r="AC47" s="71"/>
      <c r="AD47" s="71"/>
      <c r="AE47" s="71"/>
      <c r="AF47" s="71"/>
    </row>
    <row r="48" customFormat="false" ht="15" hidden="true" customHeight="false" outlineLevel="1" collapsed="false">
      <c r="A48" s="187" t="s">
        <v>335</v>
      </c>
      <c r="B48" s="71" t="n">
        <f aca="false">SUMIFS(Horodateur1123353819223134374346495255586164698522263438465058546266707478829098941021061141181101221261301341381421461501541581621661701741781821861901941982022062102144101418222630[Durée (100)],Horodateur1123353819223134374346495255586164698522263438465058546266707478829098941021061141181101221261301341381421461501541581621661701741781821861901941982022062102144101418222630[Tâche],Taches_Jours122436391720293235414447505356596267832024323644485652606468727680889692100104112116108120124128132136140144148152156160164168172176180184188192196200204208212261216202428[[#Headers],[GB]],Horodateur1123353819223134374346495255586164698522263438465058546266707478829098941021061141181101221261301341381421461501541581621661701741781821861901941982022062102144101418222630[Jour],Taches_Jours122436391720293235414447505356596267832024323644485652606468727680889692100104112116108120124128132136140144148152156160164168172176180184188192196200204208212261216202428[[#This Row],[Jours]])</f>
        <v>1</v>
      </c>
      <c r="C48" s="71" t="n">
        <f aca="false">SUMIFS(Horodateur1123353819223134374346495255586164698522263438465058546266707478829098941021061141181101221261301341381421461501541581621661701741781821861901941982022062102144101418222630[Durée (100)],Horodateur1123353819223134374346495255586164698522263438465058546266707478829098941021061141181101221261301341381421461501541581621661701741781821861901941982022062102144101418222630[Tâche],Taches_Jours122436391720293235414447505356596267832024323644485652606468727680889692100104112116108120124128132136140144148152156160164168172176180184188192196200204208212261216202428[[#Headers],[RI]],Horodateur1123353819223134374346495255586164698522263438465058546266707478829098941021061141181101221261301341381421461501541581621661701741781821861901941982022062102144101418222630[Jour],Taches_Jours122436391720293235414447505356596267832024323644485652606468727680889692100104112116108120124128132136140144148152156160164168172176180184188192196200204208212261216202428[[#This Row],[Jours]])</f>
        <v>0</v>
      </c>
      <c r="D48" s="71" t="n">
        <f aca="false">SUMIFS(Horodateur1123353819223134374346495255586164698522263438465058546266707478829098941021061141181101221261301341381421461501541581621661701741781821861901941982022062102144101418222630[Durée (100)],Horodateur1123353819223134374346495255586164698522263438465058546266707478829098941021061141181101221261301341381421461501541581621661701741781821861901941982022062102144101418222630[Tâche],Taches_Jours122436391720293235414447505356596267832024323644485652606468727680889692100104112116108120124128132136140144148152156160164168172176180184188192196200204208212261216202428[[#Headers],[FG]],Horodateur1123353819223134374346495255586164698522263438465058546266707478829098941021061141181101221261301341381421461501541581621661701741781821861901941982022062102144101418222630[Jour],Taches_Jours122436391720293235414447505356596267832024323644485652606468727680889692100104112116108120124128132136140144148152156160164168172176180184188192196200204208212261216202428[[#This Row],[Jours]])</f>
        <v>0</v>
      </c>
      <c r="E48" s="71" t="n">
        <f aca="false">SUMIFS(Horodateur1123353819223134374346495255586164698522263438465058546266707478829098941021061141181101221261301341381421461501541581621661701741781821861901941982022062102144101418222630[Durée (100)],Horodateur1123353819223134374346495255586164698522263438465058546266707478829098941021061141181101221261301341381421461501541581621661701741781821861901941982022062102144101418222630[Tâche],Taches_Jours122436391720293235414447505356596267832024323644485652606468727680889692100104112116108120124128132136140144148152156160164168172176180184188192196200204208212261216202428[[#Headers],[PS]],Horodateur1123353819223134374346495255586164698522263438465058546266707478829098941021061141181101221261301341381421461501541581621661701741781821861901941982022062102144101418222630[Jour],Taches_Jours122436391720293235414447505356596267832024323644485652606468727680889692100104112116108120124128132136140144148152156160164168172176180184188192196200204208212261216202428[[#This Row],[Jours]])</f>
        <v>0</v>
      </c>
      <c r="F48" s="71" t="n">
        <f aca="false">SUMIFS(Horodateur1123353819223134374346495255586164698522263438465058546266707478829098941021061141181101221261301341381421461501541581621661701741781821861901941982022062102144101418222630[Durée (100)],Horodateur1123353819223134374346495255586164698522263438465058546266707478829098941021061141181101221261301341381421461501541581621661701741781821861901941982022062102144101418222630[Tâche],Taches_Jours122436391720293235414447505356596267832024323644485652606468727680889692100104112116108120124128132136140144148152156160164168172176180184188192196200204208212261216202428[[#Headers],[TD]],Horodateur1123353819223134374346495255586164698522263438465058546266707478829098941021061141181101221261301341381421461501541581621661701741781821861901941982022062102144101418222630[Jour],Taches_Jours122436391720293235414447505356596267832024323644485652606468727680889692100104112116108120124128132136140144148152156160164168172176180184188192196200204208212261216202428[[#This Row],[Jours]])</f>
        <v>0</v>
      </c>
      <c r="G48" s="71" t="n">
        <f aca="false">SUMIFS(Horodateur1123353819223134374346495255586164698522263438465058546266707478829098941021061141181101221261301341381421461501541581621661701741781821861901941982022062102144101418222630[Durée (100)],Horodateur1123353819223134374346495255586164698522263438465058546266707478829098941021061141181101221261301341381421461501541581621661701741781821861901941982022062102144101418222630[Tâche],Taches_Jours122436391720293235414447505356596267832024323644485652606468727680889692100104112116108120124128132136140144148152156160164168172176180184188192196200204208212261216202428[[#Headers],[GP]],Horodateur1123353819223134374346495255586164698522263438465058546266707478829098941021061141181101221261301341381421461501541581621661701741781821861901941982022062102144101418222630[Jour],Taches_Jours122436391720293235414447505356596267832024323644485652606468727680889692100104112116108120124128132136140144148152156160164168172176180184188192196200204208212261216202428[[#This Row],[Jours]])</f>
        <v>6.25</v>
      </c>
      <c r="H48" s="71" t="n">
        <f aca="false">SUMIFS(Horodateur1123353819223134374346495255586164698522263438465058546266707478829098941021061141181101221261301341381421461501541581621661701741781821861901941982022062102144101418222630[Durée (100)],Horodateur1123353819223134374346495255586164698522263438465058546266707478829098941021061141181101221261301341381421461501541581621661701741781821861901941982022062102144101418222630[Tâche],Taches_Jours122436391720293235414447505356596267832024323644485652606468727680889692100104112116108120124128132136140144148152156160164168172176180184188192196200204208212261216202428[[#Headers],[GP / SP]],Horodateur1123353819223134374346495255586164698522263438465058546266707478829098941021061141181101221261301341381421461501541581621661701741781821861901941982022062102144101418222630[Jour],Taches_Jours122436391720293235414447505356596267832024323644485652606468727680889692100104112116108120124128132136140144148152156160164168172176180184188192196200204208212261216202428[[#This Row],[Jours]])</f>
        <v>1.25</v>
      </c>
      <c r="I48" s="71" t="n">
        <f aca="false">SUMIFS(Horodateur1123353819223134374346495255586164698522263438465058546266707478829098941021061141181101221261301341381421461501541581621661701741781821861901941982022062102144101418222630[Durée (100)],Horodateur1123353819223134374346495255586164698522263438465058546266707478829098941021061141181101221261301341381421461501541581621661701741781821861901941982022062102144101418222630[Tâche],Taches_Jours122436391720293235414447505356596267832024323644485652606468727680889692100104112116108120124128132136140144148152156160164168172176180184188192196200204208212261216202428[[#Headers],[GP / SP]],Horodateur1123353819223134374346495255586164698522263438465058546266707478829098941021061141181101221261301341381421461501541581621661701741781821861901941982022062102144101418222630[Jour],Taches_Jours122436391720293235414447505356596267832024323644485652606468727680889692100104112116108120124128132136140144148152156160164168172176180184188192196200204208212261216202428[[#This Row],[Jours]])</f>
        <v>1.25</v>
      </c>
      <c r="J48" s="290" t="n">
        <f aca="false">SUM(Taches_Jours122436391720293235414447505356596267832024323644485652606468727680889692100104112116108120124128132136140144148152156160164168172176180184188192196200204208212261216202428[[#This Row],[GB]:[GP / SP]])</f>
        <v>8.5</v>
      </c>
      <c r="K48" s="188"/>
      <c r="L48" s="288"/>
      <c r="M48" s="289"/>
      <c r="N48" s="187"/>
      <c r="O48" s="1"/>
      <c r="P48" s="1"/>
      <c r="Q48" s="1"/>
      <c r="R48" s="1"/>
      <c r="S48" s="1"/>
      <c r="T48" s="71"/>
      <c r="U48" s="71"/>
      <c r="V48" s="71"/>
      <c r="W48" s="71"/>
      <c r="X48" s="71"/>
      <c r="Y48" s="71"/>
      <c r="Z48" s="71"/>
      <c r="AA48" s="71"/>
      <c r="AB48" s="71"/>
      <c r="AC48" s="71"/>
      <c r="AD48" s="71"/>
      <c r="AE48" s="71"/>
      <c r="AF48" s="71"/>
    </row>
    <row r="49" customFormat="false" ht="15" hidden="true" customHeight="false" outlineLevel="1" collapsed="false">
      <c r="A49" s="187" t="s">
        <v>341</v>
      </c>
      <c r="B49" s="71" t="n">
        <f aca="false">SUMIFS(Horodateur1123353819223134374346495255586164698522263438465058546266707478829098941021061141181101221261301341381421461501541581621661701741781821861901941982022062102144101418222630[Durée (100)],Horodateur1123353819223134374346495255586164698522263438465058546266707478829098941021061141181101221261301341381421461501541581621661701741781821861901941982022062102144101418222630[Tâche],Taches_Jours122436391720293235414447505356596267832024323644485652606468727680889692100104112116108120124128132136140144148152156160164168172176180184188192196200204208212261216202428[[#Headers],[GB]],Horodateur1123353819223134374346495255586164698522263438465058546266707478829098941021061141181101221261301341381421461501541581621661701741781821861901941982022062102144101418222630[Jour],Taches_Jours122436391720293235414447505356596267832024323644485652606468727680889692100104112116108120124128132136140144148152156160164168172176180184188192196200204208212261216202428[[#This Row],[Jours]])</f>
        <v>0</v>
      </c>
      <c r="C49" s="71" t="n">
        <f aca="false">SUMIFS(Horodateur1123353819223134374346495255586164698522263438465058546266707478829098941021061141181101221261301341381421461501541581621661701741781821861901941982022062102144101418222630[Durée (100)],Horodateur1123353819223134374346495255586164698522263438465058546266707478829098941021061141181101221261301341381421461501541581621661701741781821861901941982022062102144101418222630[Tâche],Taches_Jours122436391720293235414447505356596267832024323644485652606468727680889692100104112116108120124128132136140144148152156160164168172176180184188192196200204208212261216202428[[#Headers],[RI]],Horodateur1123353819223134374346495255586164698522263438465058546266707478829098941021061141181101221261301341381421461501541581621661701741781821861901941982022062102144101418222630[Jour],Taches_Jours122436391720293235414447505356596267832024323644485652606468727680889692100104112116108120124128132136140144148152156160164168172176180184188192196200204208212261216202428[[#This Row],[Jours]])</f>
        <v>0</v>
      </c>
      <c r="D49" s="71" t="n">
        <f aca="false">SUMIFS(Horodateur1123353819223134374346495255586164698522263438465058546266707478829098941021061141181101221261301341381421461501541581621661701741781821861901941982022062102144101418222630[Durée (100)],Horodateur1123353819223134374346495255586164698522263438465058546266707478829098941021061141181101221261301341381421461501541581621661701741781821861901941982022062102144101418222630[Tâche],Taches_Jours122436391720293235414447505356596267832024323644485652606468727680889692100104112116108120124128132136140144148152156160164168172176180184188192196200204208212261216202428[[#Headers],[FG]],Horodateur1123353819223134374346495255586164698522263438465058546266707478829098941021061141181101221261301341381421461501541581621661701741781821861901941982022062102144101418222630[Jour],Taches_Jours122436391720293235414447505356596267832024323644485652606468727680889692100104112116108120124128132136140144148152156160164168172176180184188192196200204208212261216202428[[#This Row],[Jours]])</f>
        <v>0</v>
      </c>
      <c r="E49" s="71" t="n">
        <f aca="false">SUMIFS(Horodateur1123353819223134374346495255586164698522263438465058546266707478829098941021061141181101221261301341381421461501541581621661701741781821861901941982022062102144101418222630[Durée (100)],Horodateur1123353819223134374346495255586164698522263438465058546266707478829098941021061141181101221261301341381421461501541581621661701741781821861901941982022062102144101418222630[Tâche],Taches_Jours122436391720293235414447505356596267832024323644485652606468727680889692100104112116108120124128132136140144148152156160164168172176180184188192196200204208212261216202428[[#Headers],[PS]],Horodateur1123353819223134374346495255586164698522263438465058546266707478829098941021061141181101221261301341381421461501541581621661701741781821861901941982022062102144101418222630[Jour],Taches_Jours122436391720293235414447505356596267832024323644485652606468727680889692100104112116108120124128132136140144148152156160164168172176180184188192196200204208212261216202428[[#This Row],[Jours]])</f>
        <v>0</v>
      </c>
      <c r="F49" s="71" t="n">
        <f aca="false">SUMIFS(Horodateur1123353819223134374346495255586164698522263438465058546266707478829098941021061141181101221261301341381421461501541581621661701741781821861901941982022062102144101418222630[Durée (100)],Horodateur1123353819223134374346495255586164698522263438465058546266707478829098941021061141181101221261301341381421461501541581621661701741781821861901941982022062102144101418222630[Tâche],Taches_Jours122436391720293235414447505356596267832024323644485652606468727680889692100104112116108120124128132136140144148152156160164168172176180184188192196200204208212261216202428[[#Headers],[TD]],Horodateur1123353819223134374346495255586164698522263438465058546266707478829098941021061141181101221261301341381421461501541581621661701741781821861901941982022062102144101418222630[Jour],Taches_Jours122436391720293235414447505356596267832024323644485652606468727680889692100104112116108120124128132136140144148152156160164168172176180184188192196200204208212261216202428[[#This Row],[Jours]])</f>
        <v>0</v>
      </c>
      <c r="G49" s="71" t="n">
        <f aca="false">SUMIFS(Horodateur1123353819223134374346495255586164698522263438465058546266707478829098941021061141181101221261301341381421461501541581621661701741781821861901941982022062102144101418222630[Durée (100)],Horodateur1123353819223134374346495255586164698522263438465058546266707478829098941021061141181101221261301341381421461501541581621661701741781821861901941982022062102144101418222630[Tâche],Taches_Jours122436391720293235414447505356596267832024323644485652606468727680889692100104112116108120124128132136140144148152156160164168172176180184188192196200204208212261216202428[[#Headers],[GP]],Horodateur1123353819223134374346495255586164698522263438465058546266707478829098941021061141181101221261301341381421461501541581621661701741781821861901941982022062102144101418222630[Jour],Taches_Jours122436391720293235414447505356596267832024323644485652606468727680889692100104112116108120124128132136140144148152156160164168172176180184188192196200204208212261216202428[[#This Row],[Jours]])</f>
        <v>0</v>
      </c>
      <c r="H49" s="71" t="n">
        <f aca="false">SUMIFS(Horodateur1123353819223134374346495255586164698522263438465058546266707478829098941021061141181101221261301341381421461501541581621661701741781821861901941982022062102144101418222630[Durée (100)],Horodateur1123353819223134374346495255586164698522263438465058546266707478829098941021061141181101221261301341381421461501541581621661701741781821861901941982022062102144101418222630[Tâche],Taches_Jours122436391720293235414447505356596267832024323644485652606468727680889692100104112116108120124128132136140144148152156160164168172176180184188192196200204208212261216202428[[#Headers],[GP / SP]],Horodateur1123353819223134374346495255586164698522263438465058546266707478829098941021061141181101221261301341381421461501541581621661701741781821861901941982022062102144101418222630[Jour],Taches_Jours122436391720293235414447505356596267832024323644485652606468727680889692100104112116108120124128132136140144148152156160164168172176180184188192196200204208212261216202428[[#This Row],[Jours]])</f>
        <v>0</v>
      </c>
      <c r="I49" s="290" t="n">
        <f aca="false">SUMIFS(Horodateur1123353819223134374346495255586164698522263438465058546266707478829098941021061141181101221261301341381421461501541581621661701741781821861901941982022062102144101418222630[Durée (100)],Horodateur1123353819223134374346495255586164698522263438465058546266707478829098941021061141181101221261301341381421461501541581621661701741781821861901941982022062102144101418222630[Tâche],Taches_Jours122436391720293235414447505356596267832024323644485652606468727680889692100104112116108120124128132136140144148152156160164168172176180184188192196200204208212261216202428[[#Headers],[GP / SP]],Horodateur1123353819223134374346495255586164698522263438465058546266707478829098941021061141181101221261301341381421461501541581621661701741781821861901941982022062102144101418222630[Jour],Taches_Jours122436391720293235414447505356596267832024323644485652606468727680889692100104112116108120124128132136140144148152156160164168172176180184188192196200204208212261216202428[[#This Row],[Jours]])</f>
        <v>0</v>
      </c>
      <c r="J49" s="71" t="n">
        <f aca="false">SUM(Taches_Jours122436391720293235414447505356596267832024323644485652606468727680889692100104112116108120124128132136140144148152156160164168172176180184188192196200204208212261216202428[[#This Row],[GB]:[GP / SP]])</f>
        <v>0</v>
      </c>
      <c r="K49" s="188"/>
      <c r="L49" s="288"/>
      <c r="M49" s="289"/>
      <c r="N49" s="187"/>
      <c r="O49" s="1"/>
      <c r="P49" s="1"/>
      <c r="Q49" s="1"/>
      <c r="R49" s="1"/>
      <c r="S49" s="1"/>
      <c r="T49" s="71"/>
      <c r="U49" s="71"/>
      <c r="V49" s="71"/>
      <c r="W49" s="71"/>
      <c r="X49" s="71"/>
      <c r="Y49" s="71"/>
      <c r="Z49" s="71"/>
      <c r="AA49" s="71"/>
      <c r="AB49" s="71"/>
      <c r="AC49" s="71"/>
      <c r="AD49" s="71"/>
      <c r="AE49" s="71"/>
      <c r="AF49" s="71"/>
    </row>
    <row r="50" customFormat="false" ht="15" hidden="true" customHeight="false" outlineLevel="1" collapsed="false">
      <c r="A50" s="187" t="s">
        <v>381</v>
      </c>
      <c r="B50" s="71" t="n">
        <f aca="false">SUMIFS(Horodateur1123353819223134374346495255586164698522263438465058546266707478829098941021061141181101221261301341381421461501541581621661701741781821861901941982022062102144101418222630[Durée (100)],Horodateur1123353819223134374346495255586164698522263438465058546266707478829098941021061141181101221261301341381421461501541581621661701741781821861901941982022062102144101418222630[Tâche],Taches_Jours122436391720293235414447505356596267832024323644485652606468727680889692100104112116108120124128132136140144148152156160164168172176180184188192196200204208212261216202428[[#Headers],[GB]],Horodateur1123353819223134374346495255586164698522263438465058546266707478829098941021061141181101221261301341381421461501541581621661701741781821861901941982022062102144101418222630[Jour],Taches_Jours122436391720293235414447505356596267832024323644485652606468727680889692100104112116108120124128132136140144148152156160164168172176180184188192196200204208212261216202428[[#This Row],[Jours]])</f>
        <v>0</v>
      </c>
      <c r="C50" s="71" t="n">
        <f aca="false">SUMIFS(Horodateur1123353819223134374346495255586164698522263438465058546266707478829098941021061141181101221261301341381421461501541581621661701741781821861901941982022062102144101418222630[Durée (100)],Horodateur1123353819223134374346495255586164698522263438465058546266707478829098941021061141181101221261301341381421461501541581621661701741781821861901941982022062102144101418222630[Tâche],Taches_Jours122436391720293235414447505356596267832024323644485652606468727680889692100104112116108120124128132136140144148152156160164168172176180184188192196200204208212261216202428[[#Headers],[RI]],Horodateur1123353819223134374346495255586164698522263438465058546266707478829098941021061141181101221261301341381421461501541581621661701741781821861901941982022062102144101418222630[Jour],Taches_Jours122436391720293235414447505356596267832024323644485652606468727680889692100104112116108120124128132136140144148152156160164168172176180184188192196200204208212261216202428[[#This Row],[Jours]])</f>
        <v>0</v>
      </c>
      <c r="D50" s="71" t="n">
        <f aca="false">SUMIFS(Horodateur1123353819223134374346495255586164698522263438465058546266707478829098941021061141181101221261301341381421461501541581621661701741781821861901941982022062102144101418222630[Durée (100)],Horodateur1123353819223134374346495255586164698522263438465058546266707478829098941021061141181101221261301341381421461501541581621661701741781821861901941982022062102144101418222630[Tâche],Taches_Jours122436391720293235414447505356596267832024323644485652606468727680889692100104112116108120124128132136140144148152156160164168172176180184188192196200204208212261216202428[[#Headers],[FG]],Horodateur1123353819223134374346495255586164698522263438465058546266707478829098941021061141181101221261301341381421461501541581621661701741781821861901941982022062102144101418222630[Jour],Taches_Jours122436391720293235414447505356596267832024323644485652606468727680889692100104112116108120124128132136140144148152156160164168172176180184188192196200204208212261216202428[[#This Row],[Jours]])</f>
        <v>0</v>
      </c>
      <c r="E50" s="71" t="n">
        <f aca="false">SUMIFS(Horodateur1123353819223134374346495255586164698522263438465058546266707478829098941021061141181101221261301341381421461501541581621661701741781821861901941982022062102144101418222630[Durée (100)],Horodateur1123353819223134374346495255586164698522263438465058546266707478829098941021061141181101221261301341381421461501541581621661701741781821861901941982022062102144101418222630[Tâche],Taches_Jours122436391720293235414447505356596267832024323644485652606468727680889692100104112116108120124128132136140144148152156160164168172176180184188192196200204208212261216202428[[#Headers],[PS]],Horodateur1123353819223134374346495255586164698522263438465058546266707478829098941021061141181101221261301341381421461501541581621661701741781821861901941982022062102144101418222630[Jour],Taches_Jours122436391720293235414447505356596267832024323644485652606468727680889692100104112116108120124128132136140144148152156160164168172176180184188192196200204208212261216202428[[#This Row],[Jours]])</f>
        <v>0</v>
      </c>
      <c r="F50" s="71" t="n">
        <f aca="false">SUMIFS(Horodateur1123353819223134374346495255586164698522263438465058546266707478829098941021061141181101221261301341381421461501541581621661701741781821861901941982022062102144101418222630[Durée (100)],Horodateur1123353819223134374346495255586164698522263438465058546266707478829098941021061141181101221261301341381421461501541581621661701741781821861901941982022062102144101418222630[Tâche],Taches_Jours122436391720293235414447505356596267832024323644485652606468727680889692100104112116108120124128132136140144148152156160164168172176180184188192196200204208212261216202428[[#Headers],[TD]],Horodateur1123353819223134374346495255586164698522263438465058546266707478829098941021061141181101221261301341381421461501541581621661701741781821861901941982022062102144101418222630[Jour],Taches_Jours122436391720293235414447505356596267832024323644485652606468727680889692100104112116108120124128132136140144148152156160164168172176180184188192196200204208212261216202428[[#This Row],[Jours]])</f>
        <v>0</v>
      </c>
      <c r="G50" s="71" t="n">
        <f aca="false">SUMIFS(Horodateur1123353819223134374346495255586164698522263438465058546266707478829098941021061141181101221261301341381421461501541581621661701741781821861901941982022062102144101418222630[Durée (100)],Horodateur1123353819223134374346495255586164698522263438465058546266707478829098941021061141181101221261301341381421461501541581621661701741781821861901941982022062102144101418222630[Tâche],Taches_Jours122436391720293235414447505356596267832024323644485652606468727680889692100104112116108120124128132136140144148152156160164168172176180184188192196200204208212261216202428[[#Headers],[GP]],Horodateur1123353819223134374346495255586164698522263438465058546266707478829098941021061141181101221261301341381421461501541581621661701741781821861901941982022062102144101418222630[Jour],Taches_Jours122436391720293235414447505356596267832024323644485652606468727680889692100104112116108120124128132136140144148152156160164168172176180184188192196200204208212261216202428[[#This Row],[Jours]])</f>
        <v>0</v>
      </c>
      <c r="H50" s="71" t="n">
        <f aca="false">SUMIFS(Horodateur1123353819223134374346495255586164698522263438465058546266707478829098941021061141181101221261301341381421461501541581621661701741781821861901941982022062102144101418222630[Durée (100)],Horodateur1123353819223134374346495255586164698522263438465058546266707478829098941021061141181101221261301341381421461501541581621661701741781821861901941982022062102144101418222630[Tâche],Taches_Jours122436391720293235414447505356596267832024323644485652606468727680889692100104112116108120124128132136140144148152156160164168172176180184188192196200204208212261216202428[[#Headers],[GP / SP]],Horodateur1123353819223134374346495255586164698522263438465058546266707478829098941021061141181101221261301341381421461501541581621661701741781821861901941982022062102144101418222630[Jour],Taches_Jours122436391720293235414447505356596267832024323644485652606468727680889692100104112116108120124128132136140144148152156160164168172176180184188192196200204208212261216202428[[#This Row],[Jours]])</f>
        <v>0</v>
      </c>
      <c r="I50" s="290" t="n">
        <f aca="false">SUMIFS(Horodateur1123353819223134374346495255586164698522263438465058546266707478829098941021061141181101221261301341381421461501541581621661701741781821861901941982022062102144101418222630[Durée (100)],Horodateur1123353819223134374346495255586164698522263438465058546266707478829098941021061141181101221261301341381421461501541581621661701741781821861901941982022062102144101418222630[Tâche],Taches_Jours122436391720293235414447505356596267832024323644485652606468727680889692100104112116108120124128132136140144148152156160164168172176180184188192196200204208212261216202428[[#Headers],[GP / SP]],Horodateur1123353819223134374346495255586164698522263438465058546266707478829098941021061141181101221261301341381421461501541581621661701741781821861901941982022062102144101418222630[Jour],Taches_Jours122436391720293235414447505356596267832024323644485652606468727680889692100104112116108120124128132136140144148152156160164168172176180184188192196200204208212261216202428[[#This Row],[Jours]])</f>
        <v>0</v>
      </c>
      <c r="J50" s="71" t="n">
        <f aca="false">SUM(Taches_Jours122436391720293235414447505356596267832024323644485652606468727680889692100104112116108120124128132136140144148152156160164168172176180184188192196200204208212261216202428[[#This Row],[GB]:[GP / SP]])</f>
        <v>0</v>
      </c>
      <c r="K50" s="188"/>
      <c r="L50" s="288"/>
      <c r="M50" s="289"/>
      <c r="N50" s="187"/>
      <c r="O50" s="1"/>
      <c r="P50" s="1"/>
      <c r="Q50" s="1"/>
      <c r="R50" s="1"/>
      <c r="S50" s="1"/>
      <c r="T50" s="71"/>
      <c r="U50" s="71"/>
      <c r="V50" s="71"/>
      <c r="W50" s="71"/>
      <c r="X50" s="71"/>
      <c r="Y50" s="71"/>
      <c r="Z50" s="71"/>
      <c r="AA50" s="71"/>
      <c r="AB50" s="71"/>
      <c r="AC50" s="71"/>
      <c r="AD50" s="71"/>
      <c r="AE50" s="71"/>
      <c r="AF50" s="71"/>
    </row>
    <row r="51" customFormat="false" ht="15" hidden="true" customHeight="false" outlineLevel="1" collapsed="false">
      <c r="A51" s="137"/>
      <c r="B51" s="187"/>
      <c r="C51" s="71"/>
      <c r="D51" s="1"/>
      <c r="E51" s="1"/>
      <c r="F51" s="71"/>
      <c r="G51" s="1"/>
      <c r="H51" s="1"/>
      <c r="I51" s="119"/>
      <c r="J51" s="271"/>
      <c r="K51" s="1"/>
      <c r="L51" s="188"/>
      <c r="M51" s="272"/>
      <c r="N51" s="187"/>
      <c r="O51" s="1"/>
      <c r="P51" s="1"/>
      <c r="Q51" s="1"/>
      <c r="R51" s="1"/>
      <c r="S51" s="1"/>
      <c r="T51" s="1"/>
      <c r="U51" s="71"/>
      <c r="V51" s="71"/>
      <c r="W51" s="71"/>
      <c r="X51" s="71"/>
      <c r="Y51" s="71"/>
      <c r="Z51" s="71"/>
      <c r="AA51" s="71"/>
      <c r="AB51" s="71"/>
      <c r="AC51" s="71"/>
      <c r="AD51" s="71"/>
      <c r="AE51" s="71"/>
      <c r="AF51" s="71"/>
      <c r="AG51" s="71"/>
    </row>
    <row r="52" customFormat="false" ht="15" hidden="true" customHeight="false" outlineLevel="1" collapsed="false">
      <c r="A52" s="291" t="s">
        <v>85</v>
      </c>
      <c r="B52" s="292" t="s">
        <v>312</v>
      </c>
      <c r="C52" s="292" t="s">
        <v>319</v>
      </c>
      <c r="D52" s="292" t="s">
        <v>324</v>
      </c>
      <c r="E52" s="292" t="s">
        <v>332</v>
      </c>
      <c r="F52" s="293" t="s">
        <v>335</v>
      </c>
      <c r="G52" s="292" t="s">
        <v>341</v>
      </c>
      <c r="H52" s="292" t="s">
        <v>381</v>
      </c>
      <c r="I52" s="294" t="s">
        <v>58</v>
      </c>
      <c r="J52" s="271"/>
      <c r="K52" s="1"/>
      <c r="L52" s="188"/>
      <c r="M52" s="272"/>
      <c r="N52" s="187"/>
      <c r="O52" s="1"/>
      <c r="P52" s="1"/>
      <c r="Q52" s="1"/>
      <c r="R52" s="1"/>
      <c r="S52" s="1"/>
      <c r="T52" s="1"/>
      <c r="U52" s="71"/>
      <c r="V52" s="71"/>
      <c r="W52" s="71"/>
      <c r="X52" s="71"/>
      <c r="Y52" s="71"/>
      <c r="Z52" s="71"/>
      <c r="AA52" s="71"/>
      <c r="AB52" s="71"/>
      <c r="AC52" s="71"/>
      <c r="AD52" s="71"/>
      <c r="AE52" s="71"/>
      <c r="AF52" s="71"/>
      <c r="AG52" s="71"/>
    </row>
    <row r="53" customFormat="false" ht="15" hidden="true" customHeight="false" outlineLevel="1" collapsed="false">
      <c r="A53" s="137" t="s">
        <v>21</v>
      </c>
      <c r="B53" s="187" t="n">
        <f aca="false">SUMIFS(Horodateur1123353819223134374346495255586164698522263438465058546266707478829098941021061141181101221261301341381421461501541581621661701741781821861901941982022062102144101418222630[Durée (100)],Horodateur1123353819223134374346495255586164698522263438465058546266707478829098941021061141181101221261301341381421461501541581621661701741781821861901941982022062102144101418222630[Jour],$B$52,Horodateur1123353819223134374346495255586164698522263438465058546266707478829098941021061141181101221261301341381421461501541581621661701741781821861901941982022062102144101418222630[Tâche],$A53)</f>
        <v>0.999999999999999</v>
      </c>
      <c r="C53" s="187" t="n">
        <f aca="false">SUMIFS(Horodateur1123353819223134374346495255586164698522263438465058546266707478829098941021061141181101221261301341381421461501541581621661701741781821861901941982022062102144101418222630[Durée (100)],Horodateur1123353819223134374346495255586164698522263438465058546266707478829098941021061141181101221261301341381421461501541581621661701741781821861901941982022062102144101418222630[Jour],$C$52,Horodateur1123353819223134374346495255586164698522263438465058546266707478829098941021061141181101221261301341381421461501541581621661701741781821861901941982022062102144101418222630[Tâche],$A53)</f>
        <v>0</v>
      </c>
      <c r="D53" s="187" t="n">
        <f aca="false">SUMIFS(Horodateur1123353819223134374346495255586164698522263438465058546266707478829098941021061141181101221261301341381421461501541581621661701741781821861901941982022062102144101418222630[Durée (100)],Horodateur1123353819223134374346495255586164698522263438465058546266707478829098941021061141181101221261301341381421461501541581621661701741781821861901941982022062102144101418222630[Jour],$D$52,Horodateur1123353819223134374346495255586164698522263438465058546266707478829098941021061141181101221261301341381421461501541581621661701741781821861901941982022062102144101418222630[Tâche],$A53)</f>
        <v>0.249999999999999</v>
      </c>
      <c r="E53" s="187" t="n">
        <f aca="false">SUMIFS(Horodateur1123353819223134374346495255586164698522263438465058546266707478829098941021061141181101221261301341381421461501541581621661701741781821861901941982022062102144101418222630[Durée (100)],Horodateur1123353819223134374346495255586164698522263438465058546266707478829098941021061141181101221261301341381421461501541581621661701741781821861901941982022062102144101418222630[Jour],$E$52,Horodateur1123353819223134374346495255586164698522263438465058546266707478829098941021061141181101221261301341381421461501541581621661701741781821861901941982022062102144101418222630[Tâche],$A53)</f>
        <v>0</v>
      </c>
      <c r="F53" s="71" t="n">
        <f aca="false">SUMIFS(Horodateur1123353819223134374346495255586164698522263438465058546266707478829098941021061141181101221261301341381421461501541581621661701741781821861901941982022062102144101418222630[Durée (100)],Horodateur1123353819223134374346495255586164698522263438465058546266707478829098941021061141181101221261301341381421461501541581621661701741781821861901941982022062102144101418222630[Jour],$F$52,Horodateur1123353819223134374346495255586164698522263438465058546266707478829098941021061141181101221261301341381421461501541581621661701741781821861901941982022062102144101418222630[Tâche],$A53)</f>
        <v>1</v>
      </c>
      <c r="G53" s="187" t="n">
        <f aca="false">SUMIFS(Horodateur1123353819223134374346495255586164698522263438465058546266707478829098941021061141181101221261301341381421461501541581621661701741781821861901941982022062102144101418222630[Durée (100)],Horodateur1123353819223134374346495255586164698522263438465058546266707478829098941021061141181101221261301341381421461501541581621661701741781821861901941982022062102144101418222630[Jour],$G$52,Horodateur1123353819223134374346495255586164698522263438465058546266707478829098941021061141181101221261301341381421461501541581621661701741781821861901941982022062102144101418222630[Tâche],$A53)</f>
        <v>0</v>
      </c>
      <c r="H53" s="187" t="n">
        <f aca="false">SUMIFS(Horodateur1123353819223134374346495255586164698522263438465058546266707478829098941021061141181101221261301341381421461501541581621661701741781821861901941982022062102144101418222630[Durée (100)],Horodateur1123353819223134374346495255586164698522263438465058546266707478829098941021061141181101221261301341381421461501541581621661701741781821861901941982022062102144101418222630[Jour],$H$52,Horodateur1123353819223134374346495255586164698522263438465058546266707478829098941021061141181101221261301341381421461501541581621661701741781821861901941982022062102144101418222630[Tâche],$A53)</f>
        <v>0</v>
      </c>
      <c r="I53" s="295" t="n">
        <f aca="false">SUM(Taches_Jour2132537401821303336424548515457606368842125333745495753616569737781899793101105113117109121125129133137141145149153157161165169173177181185189193197201205209213391317212529[[#This Row],[1- Lundi]:[7- Dimanche]])</f>
        <v>2.25</v>
      </c>
      <c r="J53" s="271"/>
      <c r="K53" s="1"/>
      <c r="L53" s="188"/>
      <c r="M53" s="272"/>
      <c r="N53" s="187"/>
      <c r="O53" s="1"/>
      <c r="P53" s="1"/>
      <c r="Q53" s="1"/>
      <c r="R53" s="1"/>
      <c r="S53" s="1"/>
      <c r="T53" s="1"/>
      <c r="U53" s="71"/>
      <c r="V53" s="71"/>
      <c r="W53" s="71"/>
      <c r="X53" s="71"/>
      <c r="Y53" s="71"/>
      <c r="Z53" s="71"/>
      <c r="AA53" s="71"/>
      <c r="AB53" s="71"/>
      <c r="AC53" s="71"/>
      <c r="AD53" s="71"/>
      <c r="AE53" s="71"/>
      <c r="AF53" s="71"/>
      <c r="AG53" s="71"/>
    </row>
    <row r="54" customFormat="false" ht="15" hidden="true" customHeight="false" outlineLevel="1" collapsed="false">
      <c r="A54" s="137" t="s">
        <v>20</v>
      </c>
      <c r="B54" s="187" t="n">
        <f aca="false">SUMIFS(Horodateur1123353819223134374346495255586164698522263438465058546266707478829098941021061141181101221261301341381421461501541581621661701741781821861901941982022062102144101418222630[Durée (100)],Horodateur1123353819223134374346495255586164698522263438465058546266707478829098941021061141181101221261301341381421461501541581621661701741781821861901941982022062102144101418222630[Jour],$B$52,Horodateur1123353819223134374346495255586164698522263438465058546266707478829098941021061141181101221261301341381421461501541581621661701741781821861901941982022062102144101418222630[Tâche],$A54)</f>
        <v>0.500000000000001</v>
      </c>
      <c r="C54" s="187" t="n">
        <f aca="false">SUMIFS(Horodateur1123353819223134374346495255586164698522263438465058546266707478829098941021061141181101221261301341381421461501541581621661701741781821861901941982022062102144101418222630[Durée (100)],Horodateur1123353819223134374346495255586164698522263438465058546266707478829098941021061141181101221261301341381421461501541581621661701741781821861901941982022062102144101418222630[Jour],$C$52,Horodateur1123353819223134374346495255586164698522263438465058546266707478829098941021061141181101221261301341381421461501541581621661701741781821861901941982022062102144101418222630[Tâche],$A54)</f>
        <v>0</v>
      </c>
      <c r="D54" s="187" t="n">
        <f aca="false">SUMIFS(Horodateur1123353819223134374346495255586164698522263438465058546266707478829098941021061141181101221261301341381421461501541581621661701741781821861901941982022062102144101418222630[Durée (100)],Horodateur1123353819223134374346495255586164698522263438465058546266707478829098941021061141181101221261301341381421461501541581621661701741781821861901941982022062102144101418222630[Jour],$D$52,Horodateur1123353819223134374346495255586164698522263438465058546266707478829098941021061141181101221261301341381421461501541581621661701741781821861901941982022062102144101418222630[Tâche],$A54)</f>
        <v>0</v>
      </c>
      <c r="E54" s="187" t="n">
        <f aca="false">SUMIFS(Horodateur1123353819223134374346495255586164698522263438465058546266707478829098941021061141181101221261301341381421461501541581621661701741781821861901941982022062102144101418222630[Durée (100)],Horodateur1123353819223134374346495255586164698522263438465058546266707478829098941021061141181101221261301341381421461501541581621661701741781821861901941982022062102144101418222630[Jour],$E$52,Horodateur1123353819223134374346495255586164698522263438465058546266707478829098941021061141181101221261301341381421461501541581621661701741781821861901941982022062102144101418222630[Tâche],$A54)</f>
        <v>0</v>
      </c>
      <c r="F54" s="71" t="n">
        <f aca="false">SUMIFS(Horodateur1123353819223134374346495255586164698522263438465058546266707478829098941021061141181101221261301341381421461501541581621661701741781821861901941982022062102144101418222630[Durée (100)],Horodateur1123353819223134374346495255586164698522263438465058546266707478829098941021061141181101221261301341381421461501541581621661701741781821861901941982022062102144101418222630[Jour],$F$52,Horodateur1123353819223134374346495255586164698522263438465058546266707478829098941021061141181101221261301341381421461501541581621661701741781821861901941982022062102144101418222630[Tâche],$A54)</f>
        <v>0</v>
      </c>
      <c r="G54" s="187" t="n">
        <f aca="false">SUMIFS(Horodateur1123353819223134374346495255586164698522263438465058546266707478829098941021061141181101221261301341381421461501541581621661701741781821861901941982022062102144101418222630[Durée (100)],Horodateur1123353819223134374346495255586164698522263438465058546266707478829098941021061141181101221261301341381421461501541581621661701741781821861901941982022062102144101418222630[Jour],$G$52,Horodateur1123353819223134374346495255586164698522263438465058546266707478829098941021061141181101221261301341381421461501541581621661701741781821861901941982022062102144101418222630[Tâche],$A54)</f>
        <v>0</v>
      </c>
      <c r="H54" s="187" t="n">
        <f aca="false">SUMIFS(Horodateur1123353819223134374346495255586164698522263438465058546266707478829098941021061141181101221261301341381421461501541581621661701741781821861901941982022062102144101418222630[Durée (100)],Horodateur1123353819223134374346495255586164698522263438465058546266707478829098941021061141181101221261301341381421461501541581621661701741781821861901941982022062102144101418222630[Jour],$H$52,Horodateur1123353819223134374346495255586164698522263438465058546266707478829098941021061141181101221261301341381421461501541581621661701741781821861901941982022062102144101418222630[Tâche],$A54)</f>
        <v>0</v>
      </c>
      <c r="I54" s="295" t="n">
        <f aca="false">SUM(Taches_Jour2132537401821303336424548515457606368842125333745495753616569737781899793101105113117109121125129133137141145149153157161165169173177181185189193197201205209213391317212529[[#This Row],[1- Lundi]:[7- Dimanche]])</f>
        <v>0.500000000000001</v>
      </c>
      <c r="J54" s="271"/>
      <c r="K54" s="1"/>
      <c r="L54" s="188"/>
      <c r="M54" s="272"/>
      <c r="N54" s="187"/>
      <c r="O54" s="1"/>
      <c r="P54" s="1"/>
      <c r="Q54" s="1"/>
      <c r="R54" s="1"/>
      <c r="S54" s="1"/>
      <c r="T54" s="1"/>
      <c r="U54" s="71"/>
      <c r="V54" s="71"/>
      <c r="W54" s="71"/>
      <c r="X54" s="71"/>
      <c r="Y54" s="71"/>
      <c r="Z54" s="71"/>
      <c r="AA54" s="71"/>
      <c r="AB54" s="71"/>
      <c r="AC54" s="71"/>
      <c r="AD54" s="71"/>
      <c r="AE54" s="71"/>
      <c r="AF54" s="71"/>
      <c r="AG54" s="71"/>
    </row>
    <row r="55" customFormat="false" ht="15" hidden="true" customHeight="false" outlineLevel="1" collapsed="false">
      <c r="A55" s="137" t="s">
        <v>23</v>
      </c>
      <c r="B55" s="187" t="n">
        <f aca="false">SUMIFS(Horodateur1123353819223134374346495255586164698522263438465058546266707478829098941021061141181101221261301341381421461501541581621661701741781821861901941982022062102144101418222630[Durée (100)],Horodateur1123353819223134374346495255586164698522263438465058546266707478829098941021061141181101221261301341381421461501541581621661701741781821861901941982022062102144101418222630[Jour],$B$52,Horodateur1123353819223134374346495255586164698522263438465058546266707478829098941021061141181101221261301341381421461501541581621661701741781821861901941982022062102144101418222630[Tâche],$A55)</f>
        <v>0</v>
      </c>
      <c r="C55" s="187" t="n">
        <f aca="false">SUMIFS(Horodateur1123353819223134374346495255586164698522263438465058546266707478829098941021061141181101221261301341381421461501541581621661701741781821861901941982022062102144101418222630[Durée (100)],Horodateur1123353819223134374346495255586164698522263438465058546266707478829098941021061141181101221261301341381421461501541581621661701741781821861901941982022062102144101418222630[Jour],$C$52,Horodateur1123353819223134374346495255586164698522263438465058546266707478829098941021061141181101221261301341381421461501541581621661701741781821861901941982022062102144101418222630[Tâche],$A55)</f>
        <v>2.5</v>
      </c>
      <c r="D55" s="187" t="n">
        <f aca="false">SUMIFS(Horodateur1123353819223134374346495255586164698522263438465058546266707478829098941021061141181101221261301341381421461501541581621661701741781821861901941982022062102144101418222630[Durée (100)],Horodateur1123353819223134374346495255586164698522263438465058546266707478829098941021061141181101221261301341381421461501541581621661701741781821861901941982022062102144101418222630[Jour],$D$52,Horodateur1123353819223134374346495255586164698522263438465058546266707478829098941021061141181101221261301341381421461501541581621661701741781821861901941982022062102144101418222630[Tâche],$A55)</f>
        <v>0</v>
      </c>
      <c r="E55" s="187" t="n">
        <f aca="false">SUMIFS(Horodateur1123353819223134374346495255586164698522263438465058546266707478829098941021061141181101221261301341381421461501541581621661701741781821861901941982022062102144101418222630[Durée (100)],Horodateur1123353819223134374346495255586164698522263438465058546266707478829098941021061141181101221261301341381421461501541581621661701741781821861901941982022062102144101418222630[Jour],$E$52,Horodateur1123353819223134374346495255586164698522263438465058546266707478829098941021061141181101221261301341381421461501541581621661701741781821861901941982022062102144101418222630[Tâche],$A55)</f>
        <v>0</v>
      </c>
      <c r="F55" s="71" t="n">
        <f aca="false">SUMIFS(Horodateur1123353819223134374346495255586164698522263438465058546266707478829098941021061141181101221261301341381421461501541581621661701741781821861901941982022062102144101418222630[Durée (100)],Horodateur1123353819223134374346495255586164698522263438465058546266707478829098941021061141181101221261301341381421461501541581621661701741781821861901941982022062102144101418222630[Jour],$F$52,Horodateur1123353819223134374346495255586164698522263438465058546266707478829098941021061141181101221261301341381421461501541581621661701741781821861901941982022062102144101418222630[Tâche],$A55)</f>
        <v>0</v>
      </c>
      <c r="G55" s="187" t="n">
        <f aca="false">SUMIFS(Horodateur1123353819223134374346495255586164698522263438465058546266707478829098941021061141181101221261301341381421461501541581621661701741781821861901941982022062102144101418222630[Durée (100)],Horodateur1123353819223134374346495255586164698522263438465058546266707478829098941021061141181101221261301341381421461501541581621661701741781821861901941982022062102144101418222630[Jour],$G$52,Horodateur1123353819223134374346495255586164698522263438465058546266707478829098941021061141181101221261301341381421461501541581621661701741781821861901941982022062102144101418222630[Tâche],$A55)</f>
        <v>0</v>
      </c>
      <c r="H55" s="187" t="n">
        <f aca="false">SUMIFS(Horodateur1123353819223134374346495255586164698522263438465058546266707478829098941021061141181101221261301341381421461501541581621661701741781821861901941982022062102144101418222630[Durée (100)],Horodateur1123353819223134374346495255586164698522263438465058546266707478829098941021061141181101221261301341381421461501541581621661701741781821861901941982022062102144101418222630[Jour],$H$52,Horodateur1123353819223134374346495255586164698522263438465058546266707478829098941021061141181101221261301341381421461501541581621661701741781821861901941982022062102144101418222630[Tâche],$A55)</f>
        <v>0</v>
      </c>
      <c r="I55" s="295" t="n">
        <f aca="false">SUM(Taches_Jour2132537401821303336424548515457606368842125333745495753616569737781899793101105113117109121125129133137141145149153157161165169173177181185189193197201205209213391317212529[[#This Row],[1- Lundi]:[7- Dimanche]])</f>
        <v>2.5</v>
      </c>
      <c r="J55" s="271"/>
      <c r="K55" s="1"/>
      <c r="L55" s="188"/>
      <c r="M55" s="272"/>
      <c r="N55" s="187"/>
      <c r="O55" s="1"/>
      <c r="P55" s="1"/>
      <c r="Q55" s="1"/>
      <c r="R55" s="1"/>
      <c r="S55" s="1"/>
      <c r="T55" s="1"/>
      <c r="U55" s="71"/>
      <c r="V55" s="71"/>
      <c r="W55" s="71"/>
      <c r="X55" s="71"/>
      <c r="Y55" s="71"/>
      <c r="Z55" s="71"/>
      <c r="AA55" s="71"/>
      <c r="AB55" s="71"/>
      <c r="AC55" s="71"/>
      <c r="AD55" s="71"/>
      <c r="AE55" s="71"/>
      <c r="AF55" s="71"/>
      <c r="AG55" s="71"/>
    </row>
    <row r="56" customFormat="false" ht="15" hidden="true" customHeight="false" outlineLevel="1" collapsed="false">
      <c r="A56" s="137" t="s">
        <v>25</v>
      </c>
      <c r="B56" s="187" t="n">
        <f aca="false">SUMIFS(Horodateur1123353819223134374346495255586164698522263438465058546266707478829098941021061141181101221261301341381421461501541581621661701741781821861901941982022062102144101418222630[Durée (100)],Horodateur1123353819223134374346495255586164698522263438465058546266707478829098941021061141181101221261301341381421461501541581621661701741781821861901941982022062102144101418222630[Jour],$B$52,Horodateur1123353819223134374346495255586164698522263438465058546266707478829098941021061141181101221261301341381421461501541581621661701741781821861901941982022062102144101418222630[Tâche],$A56)</f>
        <v>0</v>
      </c>
      <c r="C56" s="187" t="n">
        <f aca="false">SUMIFS(Horodateur1123353819223134374346495255586164698522263438465058546266707478829098941021061141181101221261301341381421461501541581621661701741781821861901941982022062102144101418222630[Durée (100)],Horodateur1123353819223134374346495255586164698522263438465058546266707478829098941021061141181101221261301341381421461501541581621661701741781821861901941982022062102144101418222630[Jour],$C$52,Horodateur1123353819223134374346495255586164698522263438465058546266707478829098941021061141181101221261301341381421461501541581621661701741781821861901941982022062102144101418222630[Tâche],$A56)</f>
        <v>0</v>
      </c>
      <c r="D56" s="187" t="n">
        <f aca="false">SUMIFS(Horodateur1123353819223134374346495255586164698522263438465058546266707478829098941021061141181101221261301341381421461501541581621661701741781821861901941982022062102144101418222630[Durée (100)],Horodateur1123353819223134374346495255586164698522263438465058546266707478829098941021061141181101221261301341381421461501541581621661701741781821861901941982022062102144101418222630[Jour],$D$52,Horodateur1123353819223134374346495255586164698522263438465058546266707478829098941021061141181101221261301341381421461501541581621661701741781821861901941982022062102144101418222630[Tâche],$A56)</f>
        <v>0</v>
      </c>
      <c r="E56" s="187" t="n">
        <f aca="false">SUMIFS(Horodateur1123353819223134374346495255586164698522263438465058546266707478829098941021061141181101221261301341381421461501541581621661701741781821861901941982022062102144101418222630[Durée (100)],Horodateur1123353819223134374346495255586164698522263438465058546266707478829098941021061141181101221261301341381421461501541581621661701741781821861901941982022062102144101418222630[Jour],$E$52,Horodateur1123353819223134374346495255586164698522263438465058546266707478829098941021061141181101221261301341381421461501541581621661701741781821861901941982022062102144101418222630[Tâche],$A56)</f>
        <v>0</v>
      </c>
      <c r="F56" s="71" t="n">
        <f aca="false">SUMIFS(Horodateur1123353819223134374346495255586164698522263438465058546266707478829098941021061141181101221261301341381421461501541581621661701741781821861901941982022062102144101418222630[Durée (100)],Horodateur1123353819223134374346495255586164698522263438465058546266707478829098941021061141181101221261301341381421461501541581621661701741781821861901941982022062102144101418222630[Jour],$F$52,Horodateur1123353819223134374346495255586164698522263438465058546266707478829098941021061141181101221261301341381421461501541581621661701741781821861901941982022062102144101418222630[Tâche],$A56)</f>
        <v>0</v>
      </c>
      <c r="G56" s="187" t="n">
        <f aca="false">SUMIFS(Horodateur1123353819223134374346495255586164698522263438465058546266707478829098941021061141181101221261301341381421461501541581621661701741781821861901941982022062102144101418222630[Durée (100)],Horodateur1123353819223134374346495255586164698522263438465058546266707478829098941021061141181101221261301341381421461501541581621661701741781821861901941982022062102144101418222630[Jour],$G$52,Horodateur1123353819223134374346495255586164698522263438465058546266707478829098941021061141181101221261301341381421461501541581621661701741781821861901941982022062102144101418222630[Tâche],$A56)</f>
        <v>0</v>
      </c>
      <c r="H56" s="187" t="n">
        <f aca="false">SUMIFS(Horodateur1123353819223134374346495255586164698522263438465058546266707478829098941021061141181101221261301341381421461501541581621661701741781821861901941982022062102144101418222630[Durée (100)],Horodateur1123353819223134374346495255586164698522263438465058546266707478829098941021061141181101221261301341381421461501541581621661701741781821861901941982022062102144101418222630[Jour],$H$52,Horodateur1123353819223134374346495255586164698522263438465058546266707478829098941021061141181101221261301341381421461501541581621661701741781821861901941982022062102144101418222630[Tâche],$A56)</f>
        <v>0</v>
      </c>
      <c r="I56" s="295" t="n">
        <f aca="false">SUM(Taches_Jour2132537401821303336424548515457606368842125333745495753616569737781899793101105113117109121125129133137141145149153157161165169173177181185189193197201205209213391317212529[[#This Row],[1- Lundi]:[7- Dimanche]])</f>
        <v>0</v>
      </c>
      <c r="J56" s="271"/>
      <c r="K56" s="1"/>
      <c r="L56" s="188"/>
      <c r="M56" s="272"/>
      <c r="N56" s="187"/>
      <c r="O56" s="1"/>
      <c r="P56" s="1"/>
      <c r="Q56" s="1"/>
      <c r="R56" s="1"/>
      <c r="S56" s="1"/>
      <c r="T56" s="1"/>
      <c r="U56" s="71"/>
      <c r="V56" s="71"/>
      <c r="W56" s="71"/>
      <c r="X56" s="71"/>
      <c r="Y56" s="71"/>
      <c r="Z56" s="71"/>
      <c r="AA56" s="71"/>
      <c r="AB56" s="71"/>
      <c r="AC56" s="71"/>
      <c r="AD56" s="71"/>
      <c r="AE56" s="71"/>
      <c r="AF56" s="71"/>
      <c r="AG56" s="71"/>
    </row>
    <row r="57" customFormat="false" ht="15" hidden="true" customHeight="false" outlineLevel="1" collapsed="false">
      <c r="A57" s="137" t="s">
        <v>26</v>
      </c>
      <c r="B57" s="187" t="n">
        <f aca="false">SUMIFS(Horodateur1123353819223134374346495255586164698522263438465058546266707478829098941021061141181101221261301341381421461501541581621661701741781821861901941982022062102144101418222630[Durée (100)],Horodateur1123353819223134374346495255586164698522263438465058546266707478829098941021061141181101221261301341381421461501541581621661701741781821861901941982022062102144101418222630[Jour],$B$52,Horodateur1123353819223134374346495255586164698522263438465058546266707478829098941021061141181101221261301341381421461501541581621661701741781821861901941982022062102144101418222630[Tâche],$A57)</f>
        <v>0</v>
      </c>
      <c r="C57" s="187" t="n">
        <f aca="false">SUMIFS(Horodateur1123353819223134374346495255586164698522263438465058546266707478829098941021061141181101221261301341381421461501541581621661701741781821861901941982022062102144101418222630[Durée (100)],Horodateur1123353819223134374346495255586164698522263438465058546266707478829098941021061141181101221261301341381421461501541581621661701741781821861901941982022062102144101418222630[Jour],$C$52,Horodateur1123353819223134374346495255586164698522263438465058546266707478829098941021061141181101221261301341381421461501541581621661701741781821861901941982022062102144101418222630[Tâche],$A57)</f>
        <v>0</v>
      </c>
      <c r="D57" s="187" t="n">
        <f aca="false">SUMIFS(Horodateur1123353819223134374346495255586164698522263438465058546266707478829098941021061141181101221261301341381421461501541581621661701741781821861901941982022062102144101418222630[Durée (100)],Horodateur1123353819223134374346495255586164698522263438465058546266707478829098941021061141181101221261301341381421461501541581621661701741781821861901941982022062102144101418222630[Jour],$D$52,Horodateur1123353819223134374346495255586164698522263438465058546266707478829098941021061141181101221261301341381421461501541581621661701741781821861901941982022062102144101418222630[Tâche],$A57)</f>
        <v>0</v>
      </c>
      <c r="E57" s="187" t="n">
        <f aca="false">SUMIFS(Horodateur1123353819223134374346495255586164698522263438465058546266707478829098941021061141181101221261301341381421461501541581621661701741781821861901941982022062102144101418222630[Durée (100)],Horodateur1123353819223134374346495255586164698522263438465058546266707478829098941021061141181101221261301341381421461501541581621661701741781821861901941982022062102144101418222630[Jour],$E$52,Horodateur1123353819223134374346495255586164698522263438465058546266707478829098941021061141181101221261301341381421461501541581621661701741781821861901941982022062102144101418222630[Tâche],$A57)</f>
        <v>0</v>
      </c>
      <c r="F57" s="71" t="n">
        <f aca="false">SUMIFS(Horodateur1123353819223134374346495255586164698522263438465058546266707478829098941021061141181101221261301341381421461501541581621661701741781821861901941982022062102144101418222630[Durée (100)],Horodateur1123353819223134374346495255586164698522263438465058546266707478829098941021061141181101221261301341381421461501541581621661701741781821861901941982022062102144101418222630[Jour],$F$52,Horodateur1123353819223134374346495255586164698522263438465058546266707478829098941021061141181101221261301341381421461501541581621661701741781821861901941982022062102144101418222630[Tâche],$A57)</f>
        <v>0</v>
      </c>
      <c r="G57" s="187" t="n">
        <f aca="false">SUMIFS(Horodateur1123353819223134374346495255586164698522263438465058546266707478829098941021061141181101221261301341381421461501541581621661701741781821861901941982022062102144101418222630[Durée (100)],Horodateur1123353819223134374346495255586164698522263438465058546266707478829098941021061141181101221261301341381421461501541581621661701741781821861901941982022062102144101418222630[Jour],$G$52,Horodateur1123353819223134374346495255586164698522263438465058546266707478829098941021061141181101221261301341381421461501541581621661701741781821861901941982022062102144101418222630[Tâche],$A57)</f>
        <v>0</v>
      </c>
      <c r="H57" s="187" t="n">
        <f aca="false">SUMIFS(Horodateur1123353819223134374346495255586164698522263438465058546266707478829098941021061141181101221261301341381421461501541581621661701741781821861901941982022062102144101418222630[Durée (100)],Horodateur1123353819223134374346495255586164698522263438465058546266707478829098941021061141181101221261301341381421461501541581621661701741781821861901941982022062102144101418222630[Jour],$H$52,Horodateur1123353819223134374346495255586164698522263438465058546266707478829098941021061141181101221261301341381421461501541581621661701741781821861901941982022062102144101418222630[Tâche],$A57)</f>
        <v>0</v>
      </c>
      <c r="I57" s="295" t="n">
        <f aca="false">SUM(Taches_Jour2132537401821303336424548515457606368842125333745495753616569737781899793101105113117109121125129133137141145149153157161165169173177181185189193197201205209213391317212529[[#This Row],[1- Lundi]:[7- Dimanche]])</f>
        <v>0</v>
      </c>
      <c r="J57" s="271"/>
      <c r="K57" s="1"/>
      <c r="L57" s="188"/>
      <c r="M57" s="272"/>
      <c r="N57" s="187"/>
      <c r="O57" s="1"/>
      <c r="P57" s="1"/>
      <c r="Q57" s="1"/>
      <c r="R57" s="1"/>
      <c r="S57" s="1"/>
      <c r="T57" s="1"/>
      <c r="U57" s="71"/>
      <c r="V57" s="71"/>
      <c r="W57" s="71"/>
      <c r="X57" s="71"/>
      <c r="Y57" s="71"/>
      <c r="Z57" s="71"/>
      <c r="AA57" s="71"/>
      <c r="AB57" s="71"/>
      <c r="AC57" s="71"/>
      <c r="AD57" s="71"/>
      <c r="AE57" s="71"/>
      <c r="AF57" s="71"/>
      <c r="AG57" s="71"/>
    </row>
    <row r="58" customFormat="false" ht="15" hidden="true" customHeight="false" outlineLevel="1" collapsed="false">
      <c r="A58" s="137" t="s">
        <v>378</v>
      </c>
      <c r="B58" s="187" t="n">
        <f aca="false">SUMIFS(Horodateur1123353819223134374346495255586164698522263438465058546266707478829098941021061141181101221261301341381421461501541581621661701741781821861901941982022062102144101418222630[Durée (100)],Horodateur1123353819223134374346495255586164698522263438465058546266707478829098941021061141181101221261301341381421461501541581621661701741781821861901941982022062102144101418222630[Jour],$B$52,Horodateur1123353819223134374346495255586164698522263438465058546266707478829098941021061141181101221261301341381421461501541581621661701741781821861901941982022062102144101418222630[Tâche],$A58)</f>
        <v>4.5</v>
      </c>
      <c r="C58" s="187" t="n">
        <f aca="false">SUMIFS(Horodateur1123353819223134374346495255586164698522263438465058546266707478829098941021061141181101221261301341381421461501541581621661701741781821861901941982022062102144101418222630[Durée (100)],Horodateur1123353819223134374346495255586164698522263438465058546266707478829098941021061141181101221261301341381421461501541581621661701741781821861901941982022062102144101418222630[Jour],$C$52,Horodateur1123353819223134374346495255586164698522263438465058546266707478829098941021061141181101221261301341381421461501541581621661701741781821861901941982022062102144101418222630[Tâche],$A58)</f>
        <v>3</v>
      </c>
      <c r="D58" s="187" t="n">
        <f aca="false">SUMIFS(Horodateur1123353819223134374346495255586164698522263438465058546266707478829098941021061141181101221261301341381421461501541581621661701741781821861901941982022062102144101418222630[Durée (100)],Horodateur1123353819223134374346495255586164698522263438465058546266707478829098941021061141181101221261301341381421461501541581621661701741781821861901941982022062102144101418222630[Jour],$D$52,Horodateur1123353819223134374346495255586164698522263438465058546266707478829098941021061141181101221261301341381421461501541581621661701741781821861901941982022062102144101418222630[Tâche],$A58)</f>
        <v>6.5</v>
      </c>
      <c r="E58" s="187" t="n">
        <f aca="false">SUMIFS(Horodateur1123353819223134374346495255586164698522263438465058546266707478829098941021061141181101221261301341381421461501541581621661701741781821861901941982022062102144101418222630[Durée (100)],Horodateur1123353819223134374346495255586164698522263438465058546266707478829098941021061141181101221261301341381421461501541581621661701741781821861901941982022062102144101418222630[Jour],$E$52,Horodateur1123353819223134374346495255586164698522263438465058546266707478829098941021061141181101221261301341381421461501541581621661701741781821861901941982022062102144101418222630[Tâche],$A58)</f>
        <v>3.75</v>
      </c>
      <c r="F58" s="71" t="n">
        <f aca="false">SUMIFS(Horodateur1123353819223134374346495255586164698522263438465058546266707478829098941021061141181101221261301341381421461501541581621661701741781821861901941982022062102144101418222630[Durée (100)],Horodateur1123353819223134374346495255586164698522263438465058546266707478829098941021061141181101221261301341381421461501541581621661701741781821861901941982022062102144101418222630[Jour],$F$52,Horodateur1123353819223134374346495255586164698522263438465058546266707478829098941021061141181101221261301341381421461501541581621661701741781821861901941982022062102144101418222630[Tâche],$A58)</f>
        <v>6.25</v>
      </c>
      <c r="G58" s="187" t="n">
        <f aca="false">SUMIFS(Horodateur1123353819223134374346495255586164698522263438465058546266707478829098941021061141181101221261301341381421461501541581621661701741781821861901941982022062102144101418222630[Durée (100)],Horodateur1123353819223134374346495255586164698522263438465058546266707478829098941021061141181101221261301341381421461501541581621661701741781821861901941982022062102144101418222630[Jour],$G$52,Horodateur1123353819223134374346495255586164698522263438465058546266707478829098941021061141181101221261301341381421461501541581621661701741781821861901941982022062102144101418222630[Tâche],$A58)</f>
        <v>0</v>
      </c>
      <c r="H58" s="187" t="n">
        <f aca="false">SUMIFS(Horodateur1123353819223134374346495255586164698522263438465058546266707478829098941021061141181101221261301341381421461501541581621661701741781821861901941982022062102144101418222630[Durée (100)],Horodateur1123353819223134374346495255586164698522263438465058546266707478829098941021061141181101221261301341381421461501541581621661701741781821861901941982022062102144101418222630[Jour],$H$52,Horodateur1123353819223134374346495255586164698522263438465058546266707478829098941021061141181101221261301341381421461501541581621661701741781821861901941982022062102144101418222630[Tâche],$A58)</f>
        <v>0</v>
      </c>
      <c r="I58" s="295" t="n">
        <f aca="false">SUM(Taches_Jour2132537401821303336424548515457606368842125333745495753616569737781899793101105113117109121125129133137141145149153157161165169173177181185189193197201205209213391317212529[[#This Row],[1- Lundi]:[7- Dimanche]])</f>
        <v>24</v>
      </c>
      <c r="J58" s="271"/>
      <c r="K58" s="1"/>
      <c r="L58" s="188"/>
      <c r="M58" s="272"/>
      <c r="N58" s="187"/>
      <c r="O58" s="1"/>
      <c r="P58" s="1"/>
      <c r="Q58" s="1"/>
      <c r="R58" s="1"/>
      <c r="S58" s="1"/>
      <c r="T58" s="1"/>
      <c r="U58" s="71"/>
      <c r="V58" s="71"/>
      <c r="W58" s="71"/>
      <c r="X58" s="71"/>
      <c r="Y58" s="71"/>
      <c r="Z58" s="71"/>
      <c r="AA58" s="71"/>
      <c r="AB58" s="71"/>
      <c r="AC58" s="71"/>
      <c r="AD58" s="71"/>
      <c r="AE58" s="71"/>
      <c r="AF58" s="71"/>
      <c r="AG58" s="71"/>
    </row>
    <row r="59" customFormat="false" ht="15" hidden="true" customHeight="false" outlineLevel="1" collapsed="false">
      <c r="A59" s="137" t="s">
        <v>382</v>
      </c>
      <c r="B59" s="187" t="n">
        <f aca="false">SUMIFS(Horodateur1123353819223134374346495255586164698522263438465058546266707478829098941021061141181101221261301341381421461501541581621661701741781821861901941982022062102144101418222630[Durée (100)],Horodateur1123353819223134374346495255586164698522263438465058546266707478829098941021061141181101221261301341381421461501541581621661701741781821861901941982022062102144101418222630[Jour],$B$52,Horodateur1123353819223134374346495255586164698522263438465058546266707478829098941021061141181101221261301341381421461501541581621661701741781821861901941982022062102144101418222630[Tâche],$A59)</f>
        <v>0</v>
      </c>
      <c r="C59" s="187" t="n">
        <f aca="false">SUMIFS(Horodateur1123353819223134374346495255586164698522263438465058546266707478829098941021061141181101221261301341381421461501541581621661701741781821861901941982022062102144101418222630[Durée (100)],Horodateur1123353819223134374346495255586164698522263438465058546266707478829098941021061141181101221261301341381421461501541581621661701741781821861901941982022062102144101418222630[Jour],$C$52,Horodateur1123353819223134374346495255586164698522263438465058546266707478829098941021061141181101221261301341381421461501541581621661701741781821861901941982022062102144101418222630[Tâche],$A59)</f>
        <v>0</v>
      </c>
      <c r="D59" s="187" t="n">
        <f aca="false">SUMIFS(Horodateur1123353819223134374346495255586164698522263438465058546266707478829098941021061141181101221261301341381421461501541581621661701741781821861901941982022062102144101418222630[Durée (100)],Horodateur1123353819223134374346495255586164698522263438465058546266707478829098941021061141181101221261301341381421461501541581621661701741781821861901941982022062102144101418222630[Jour],$D$52,Horodateur1123353819223134374346495255586164698522263438465058546266707478829098941021061141181101221261301341381421461501541581621661701741781821861901941982022062102144101418222630[Tâche],$A59)</f>
        <v>0</v>
      </c>
      <c r="E59" s="187" t="n">
        <f aca="false">SUMIFS(Horodateur1123353819223134374346495255586164698522263438465058546266707478829098941021061141181101221261301341381421461501541581621661701741781821861901941982022062102144101418222630[Durée (100)],Horodateur1123353819223134374346495255586164698522263438465058546266707478829098941021061141181101221261301341381421461501541581621661701741781821861901941982022062102144101418222630[Jour],$E$52,Horodateur1123353819223134374346495255586164698522263438465058546266707478829098941021061141181101221261301341381421461501541581621661701741781821861901941982022062102144101418222630[Tâche],$A59)</f>
        <v>0</v>
      </c>
      <c r="F59" s="71" t="n">
        <f aca="false">SUMIFS(Horodateur1123353819223134374346495255586164698522263438465058546266707478829098941021061141181101221261301341381421461501541581621661701741781821861901941982022062102144101418222630[Durée (100)],Horodateur1123353819223134374346495255586164698522263438465058546266707478829098941021061141181101221261301341381421461501541581621661701741781821861901941982022062102144101418222630[Jour],$F$52,Horodateur1123353819223134374346495255586164698522263438465058546266707478829098941021061141181101221261301341381421461501541581621661701741781821861901941982022062102144101418222630[Tâche],$A59)</f>
        <v>0</v>
      </c>
      <c r="G59" s="187" t="n">
        <f aca="false">SUMIFS(Horodateur1123353819223134374346495255586164698522263438465058546266707478829098941021061141181101221261301341381421461501541581621661701741781821861901941982022062102144101418222630[Durée (100)],Horodateur1123353819223134374346495255586164698522263438465058546266707478829098941021061141181101221261301341381421461501541581621661701741781821861901941982022062102144101418222630[Jour],$G$52,Horodateur1123353819223134374346495255586164698522263438465058546266707478829098941021061141181101221261301341381421461501541581621661701741781821861901941982022062102144101418222630[Tâche],$A59)</f>
        <v>0</v>
      </c>
      <c r="H59" s="187" t="n">
        <f aca="false">SUMIFS(Horodateur1123353819223134374346495255586164698522263438465058546266707478829098941021061141181101221261301341381421461501541581621661701741781821861901941982022062102144101418222630[Durée (100)],Horodateur1123353819223134374346495255586164698522263438465058546266707478829098941021061141181101221261301341381421461501541581621661701741781821861901941982022062102144101418222630[Jour],$H$52,Horodateur1123353819223134374346495255586164698522263438465058546266707478829098941021061141181101221261301341381421461501541581621661701741781821861901941982022062102144101418222630[Tâche],$A59)</f>
        <v>0</v>
      </c>
      <c r="I59" s="295" t="n">
        <f aca="false">SUM(Taches_Jour2132537401821303336424548515457606368842125333745495753616569737781899793101105113117109121125129133137141145149153157161165169173177181185189193197201205209213391317212529[[#This Row],[1- Lundi]:[7- Dimanche]])</f>
        <v>0</v>
      </c>
      <c r="J59" s="271"/>
      <c r="K59" s="1"/>
      <c r="L59" s="188"/>
      <c r="M59" s="272"/>
      <c r="N59" s="187"/>
      <c r="O59" s="1"/>
      <c r="P59" s="1"/>
      <c r="Q59" s="1"/>
      <c r="R59" s="1"/>
      <c r="S59" s="1"/>
      <c r="T59" s="1"/>
      <c r="U59" s="71"/>
      <c r="V59" s="71"/>
      <c r="W59" s="71"/>
      <c r="X59" s="71"/>
      <c r="Y59" s="71"/>
      <c r="Z59" s="71"/>
      <c r="AA59" s="71"/>
      <c r="AB59" s="71"/>
      <c r="AC59" s="71"/>
      <c r="AD59" s="71"/>
      <c r="AE59" s="71"/>
      <c r="AF59" s="71"/>
      <c r="AG59" s="71"/>
    </row>
    <row r="60" customFormat="false" ht="15" hidden="true" customHeight="false" outlineLevel="1" collapsed="false">
      <c r="A60" s="137" t="s">
        <v>380</v>
      </c>
      <c r="B60" s="187" t="n">
        <f aca="false">SUMIFS(Horodateur1123353819223134374346495255586164698522263438465058546266707478829098941021061141181101221261301341381421461501541581621661701741781821861901941982022062102144101418222630[Durée (100)],Horodateur1123353819223134374346495255586164698522263438465058546266707478829098941021061141181101221261301341381421461501541581621661701741781821861901941982022062102144101418222630[Jour],$B$52,Horodateur1123353819223134374346495255586164698522263438465058546266707478829098941021061141181101221261301341381421461501541581621661701741781821861901941982022062102144101418222630[Tâche],$A60)</f>
        <v>0</v>
      </c>
      <c r="C60" s="187" t="n">
        <f aca="false">SUMIFS(Horodateur1123353819223134374346495255586164698522263438465058546266707478829098941021061141181101221261301341381421461501541581621661701741781821861901941982022062102144101418222630[Durée (100)],Horodateur1123353819223134374346495255586164698522263438465058546266707478829098941021061141181101221261301341381421461501541581621661701741781821861901941982022062102144101418222630[Jour],$C$52,Horodateur1123353819223134374346495255586164698522263438465058546266707478829098941021061141181101221261301341381421461501541581621661701741781821861901941982022062102144101418222630[Tâche],$A60)</f>
        <v>0</v>
      </c>
      <c r="D60" s="187" t="n">
        <f aca="false">SUMIFS(Horodateur1123353819223134374346495255586164698522263438465058546266707478829098941021061141181101221261301341381421461501541581621661701741781821861901941982022062102144101418222630[Durée (100)],Horodateur1123353819223134374346495255586164698522263438465058546266707478829098941021061141181101221261301341381421461501541581621661701741781821861901941982022062102144101418222630[Jour],$D$52,Horodateur1123353819223134374346495255586164698522263438465058546266707478829098941021061141181101221261301341381421461501541581621661701741781821861901941982022062102144101418222630[Tâche],$A60)</f>
        <v>0</v>
      </c>
      <c r="E60" s="187" t="n">
        <f aca="false">SUMIFS(Horodateur1123353819223134374346495255586164698522263438465058546266707478829098941021061141181101221261301341381421461501541581621661701741781821861901941982022062102144101418222630[Durée (100)],Horodateur1123353819223134374346495255586164698522263438465058546266707478829098941021061141181101221261301341381421461501541581621661701741781821861901941982022062102144101418222630[Jour],$E$52,Horodateur1123353819223134374346495255586164698522263438465058546266707478829098941021061141181101221261301341381421461501541581621661701741781821861901941982022062102144101418222630[Tâche],$A60)</f>
        <v>0</v>
      </c>
      <c r="F60" s="71" t="n">
        <f aca="false">SUMIFS(Horodateur1123353819223134374346495255586164698522263438465058546266707478829098941021061141181101221261301341381421461501541581621661701741781821861901941982022062102144101418222630[Durée (100)],Horodateur1123353819223134374346495255586164698522263438465058546266707478829098941021061141181101221261301341381421461501541581621661701741781821861901941982022062102144101418222630[Jour],$F$52,Horodateur1123353819223134374346495255586164698522263438465058546266707478829098941021061141181101221261301341381421461501541581621661701741781821861901941982022062102144101418222630[Tâche],$A60)</f>
        <v>0</v>
      </c>
      <c r="G60" s="187" t="n">
        <f aca="false">SUMIFS(Horodateur1123353819223134374346495255586164698522263438465058546266707478829098941021061141181101221261301341381421461501541581621661701741781821861901941982022062102144101418222630[Durée (100)],Horodateur1123353819223134374346495255586164698522263438465058546266707478829098941021061141181101221261301341381421461501541581621661701741781821861901941982022062102144101418222630[Jour],$G$52,Horodateur1123353819223134374346495255586164698522263438465058546266707478829098941021061141181101221261301341381421461501541581621661701741781821861901941982022062102144101418222630[Tâche],$A60)</f>
        <v>0</v>
      </c>
      <c r="H60" s="187" t="n">
        <f aca="false">SUMIFS(Horodateur1123353819223134374346495255586164698522263438465058546266707478829098941021061141181101221261301341381421461501541581621661701741781821861901941982022062102144101418222630[Durée (100)],Horodateur1123353819223134374346495255586164698522263438465058546266707478829098941021061141181101221261301341381421461501541581621661701741781821861901941982022062102144101418222630[Jour],$H$52,Horodateur1123353819223134374346495255586164698522263438465058546266707478829098941021061141181101221261301341381421461501541581621661701741781821861901941982022062102144101418222630[Tâche],$A60)</f>
        <v>0</v>
      </c>
      <c r="I60" s="295" t="n">
        <f aca="false">SUM(Taches_Jour2132537401821303336424548515457606368842125333745495753616569737781899793101105113117109121125129133137141145149153157161165169173177181185189193197201205209213391317212529[[#This Row],[1- Lundi]:[7- Dimanche]])</f>
        <v>0</v>
      </c>
      <c r="J60" s="271"/>
      <c r="K60" s="1"/>
      <c r="L60" s="188"/>
      <c r="M60" s="272"/>
      <c r="N60" s="76"/>
    </row>
    <row r="61" customFormat="false" ht="15" hidden="true" customHeight="false" outlineLevel="1" collapsed="false">
      <c r="N61" s="76"/>
    </row>
    <row r="62" customFormat="false" ht="15" hidden="false" customHeight="false" outlineLevel="1" collapsed="false">
      <c r="G62" s="0" t="s">
        <v>383</v>
      </c>
      <c r="N62" s="76"/>
    </row>
    <row r="63" customFormat="false" ht="15" hidden="false" customHeight="false" outlineLevel="0" collapsed="false">
      <c r="N63" s="76"/>
    </row>
    <row r="64" customFormat="false" ht="15" hidden="false" customHeight="false" outlineLevel="0" collapsed="false">
      <c r="G64" s="76"/>
      <c r="N64" s="76"/>
    </row>
    <row r="65" customFormat="false" ht="15" hidden="false" customHeight="false" outlineLevel="0" collapsed="false">
      <c r="N65" s="76"/>
    </row>
    <row r="66" customFormat="false" ht="15" hidden="false" customHeight="false" outlineLevel="0" collapsed="false">
      <c r="N66" s="76"/>
    </row>
    <row r="67" customFormat="false" ht="15" hidden="false" customHeight="false" outlineLevel="0" collapsed="false">
      <c r="N67" s="76"/>
    </row>
    <row r="68" customFormat="false" ht="15" hidden="false" customHeight="false" outlineLevel="0" collapsed="false">
      <c r="N68" s="76"/>
    </row>
    <row r="69" customFormat="false" ht="15" hidden="false" customHeight="false" outlineLevel="0" collapsed="false">
      <c r="N69" s="76"/>
    </row>
    <row r="70" customFormat="false" ht="15" hidden="false" customHeight="false" outlineLevel="0" collapsed="false">
      <c r="N70" s="76"/>
    </row>
    <row r="71" customFormat="false" ht="15" hidden="false" customHeight="false" outlineLevel="0" collapsed="false">
      <c r="N71" s="76"/>
    </row>
    <row r="72" customFormat="false" ht="15" hidden="false" customHeight="false" outlineLevel="0" collapsed="false">
      <c r="N72" s="76"/>
    </row>
    <row r="73" customFormat="false" ht="15" hidden="false" customHeight="false" outlineLevel="0" collapsed="false">
      <c r="N73" s="76"/>
    </row>
    <row r="74" customFormat="false" ht="15" hidden="false" customHeight="false" outlineLevel="0" collapsed="false">
      <c r="N74" s="76"/>
    </row>
    <row r="75" customFormat="false" ht="15" hidden="false" customHeight="false" outlineLevel="0" collapsed="false">
      <c r="N75" s="76"/>
    </row>
    <row r="76" customFormat="false" ht="15" hidden="false" customHeight="false" outlineLevel="0" collapsed="false">
      <c r="N76" s="76"/>
    </row>
    <row r="77" customFormat="false" ht="15" hidden="false" customHeight="false" outlineLevel="0" collapsed="false">
      <c r="N77" s="76"/>
    </row>
    <row r="78" customFormat="false" ht="15" hidden="false" customHeight="false" outlineLevel="0" collapsed="false">
      <c r="N78" s="76"/>
    </row>
    <row r="79" customFormat="false" ht="15" hidden="false" customHeight="false" outlineLevel="0" collapsed="false">
      <c r="N79" s="76"/>
    </row>
    <row r="80" customFormat="false" ht="15" hidden="false" customHeight="false" outlineLevel="0" collapsed="false">
      <c r="N80" s="76"/>
    </row>
    <row r="81" customFormat="false" ht="15" hidden="false" customHeight="false" outlineLevel="0" collapsed="false">
      <c r="N81" s="76"/>
    </row>
    <row r="82" customFormat="false" ht="15" hidden="false" customHeight="false" outlineLevel="0" collapsed="false">
      <c r="N82" s="76"/>
    </row>
    <row r="83" customFormat="false" ht="15" hidden="false" customHeight="false" outlineLevel="0" collapsed="false">
      <c r="N83" s="76"/>
    </row>
    <row r="84" customFormat="false" ht="15" hidden="false" customHeight="false" outlineLevel="0" collapsed="false">
      <c r="A84" s="296" t="s">
        <v>384</v>
      </c>
      <c r="B84" s="296"/>
      <c r="N84" s="76"/>
    </row>
    <row r="85" customFormat="false" ht="15" hidden="false" customHeight="false" outlineLevel="0" collapsed="false">
      <c r="A85" s="297" t="s">
        <v>385</v>
      </c>
      <c r="B85" s="297" t="s">
        <v>8</v>
      </c>
      <c r="N85" s="76"/>
    </row>
    <row r="86" customFormat="false" ht="15" hidden="false" customHeight="false" outlineLevel="0" collapsed="false">
      <c r="A86" s="298" t="n">
        <v>0</v>
      </c>
      <c r="B86" s="299" t="s">
        <v>386</v>
      </c>
      <c r="N86" s="76"/>
    </row>
    <row r="87" customFormat="false" ht="15" hidden="false" customHeight="false" outlineLevel="0" collapsed="false">
      <c r="A87" s="298" t="n">
        <v>-2</v>
      </c>
      <c r="B87" s="299" t="s">
        <v>387</v>
      </c>
      <c r="N87" s="76"/>
    </row>
    <row r="88" customFormat="false" ht="15" hidden="false" customHeight="false" outlineLevel="0" collapsed="false">
      <c r="A88" s="298" t="n">
        <v>8.5</v>
      </c>
      <c r="B88" s="299" t="s">
        <v>388</v>
      </c>
      <c r="N88" s="76"/>
    </row>
    <row r="89" customFormat="false" ht="15" hidden="false" customHeight="false" outlineLevel="0" collapsed="false">
      <c r="A89" s="298" t="n">
        <v>14.5</v>
      </c>
      <c r="B89" s="299" t="s">
        <v>389</v>
      </c>
      <c r="N89" s="76"/>
    </row>
    <row r="90" customFormat="false" ht="15" hidden="false" customHeight="false" outlineLevel="0" collapsed="false">
      <c r="A90" s="298" t="n">
        <v>8.5</v>
      </c>
      <c r="B90" s="299" t="s">
        <v>390</v>
      </c>
      <c r="N90" s="76"/>
    </row>
    <row r="91" customFormat="false" ht="15" hidden="false" customHeight="false" outlineLevel="0" collapsed="false">
      <c r="A91" s="298" t="n">
        <v>10</v>
      </c>
      <c r="B91" s="299" t="s">
        <v>391</v>
      </c>
      <c r="N91" s="76"/>
    </row>
    <row r="92" customFormat="false" ht="15" hidden="false" customHeight="false" outlineLevel="0" collapsed="false">
      <c r="A92" s="298" t="n">
        <v>-7.5</v>
      </c>
      <c r="B92" s="299" t="s">
        <v>392</v>
      </c>
      <c r="N92" s="76"/>
    </row>
    <row r="93" customFormat="false" ht="15" hidden="false" customHeight="false" outlineLevel="0" collapsed="false">
      <c r="A93" s="298" t="n">
        <v>2</v>
      </c>
      <c r="B93" s="299" t="s">
        <v>393</v>
      </c>
      <c r="N93" s="76"/>
    </row>
    <row r="94" customFormat="false" ht="15" hidden="false" customHeight="false" outlineLevel="0" collapsed="false">
      <c r="A94" s="300" t="n">
        <v>2</v>
      </c>
      <c r="B94" s="301" t="s">
        <v>394</v>
      </c>
      <c r="N94" s="76"/>
    </row>
    <row r="95" customFormat="false" ht="15" hidden="false" customHeight="false" outlineLevel="0" collapsed="false">
      <c r="A95" s="300" t="n">
        <v>2.25</v>
      </c>
      <c r="B95" s="301" t="s">
        <v>395</v>
      </c>
    </row>
    <row r="96" customFormat="false" ht="15" hidden="false" customHeight="false" outlineLevel="0" collapsed="false">
      <c r="A96" s="300" t="n">
        <v>-4</v>
      </c>
      <c r="B96" s="302" t="s">
        <v>396</v>
      </c>
    </row>
    <row r="97" customFormat="false" ht="15" hidden="false" customHeight="false" outlineLevel="0" collapsed="false">
      <c r="A97" s="300" t="n">
        <v>-7.5</v>
      </c>
      <c r="B97" s="301" t="s">
        <v>397</v>
      </c>
    </row>
  </sheetData>
  <mergeCells count="1">
    <mergeCell ref="A84:B84"/>
  </mergeCells>
  <conditionalFormatting sqref="G4:G37">
    <cfRule type="expression" priority="2" aboveAverage="0" equalAverage="0" bottom="0" percent="0" rank="0" text="" dxfId="852">
      <formula>L4="O"</formula>
    </cfRule>
    <cfRule type="expression" priority="3" aboveAverage="0" equalAverage="0" bottom="0" percent="0" rank="0" text="" dxfId="853">
      <formula>H4=0</formula>
    </cfRule>
  </conditionalFormatting>
  <conditionalFormatting sqref="F4:F37">
    <cfRule type="expression" priority="4" aboveAverage="0" equalAverage="0" bottom="0" percent="0" rank="0" text="" dxfId="854">
      <formula>L4="O"</formula>
    </cfRule>
  </conditionalFormatting>
  <conditionalFormatting sqref="E4:E37">
    <cfRule type="expression" priority="5" aboveAverage="0" equalAverage="0" bottom="0" percent="0" rank="0" text="" dxfId="855">
      <formula>L4="O"</formula>
    </cfRule>
  </conditionalFormatting>
  <conditionalFormatting sqref="C4:I37 K4:K37">
    <cfRule type="containsText" priority="6" operator="containsText" aboveAverage="0" equalAverage="0" bottom="0" percent="0" rank="0" text="Lundi" dxfId="693">
      <formula>NOT(ISERROR(SEARCH("Lundi",C4)))</formula>
    </cfRule>
  </conditionalFormatting>
  <conditionalFormatting sqref="D4:D37">
    <cfRule type="expression" priority="7" aboveAverage="0" equalAverage="0" bottom="0" percent="0" rank="0" text="" dxfId="856">
      <formula>L4="O"</formula>
    </cfRule>
  </conditionalFormatting>
  <conditionalFormatting sqref="C4:C37">
    <cfRule type="expression" priority="8" aboveAverage="0" equalAverage="0" bottom="0" percent="0" rank="0" text="" dxfId="857">
      <formula>L4="O"</formula>
    </cfRule>
  </conditionalFormatting>
  <conditionalFormatting sqref="K4:K37">
    <cfRule type="expression" priority="9" aboveAverage="0" equalAverage="0" bottom="0" percent="0" rank="0" text="" dxfId="858">
      <formula>L4="O"</formula>
    </cfRule>
  </conditionalFormatting>
  <conditionalFormatting sqref="I4:I37">
    <cfRule type="expression" priority="10" aboveAverage="0" equalAverage="0" bottom="0" percent="0" rank="0" text="" dxfId="859">
      <formula>L4="O"</formula>
    </cfRule>
  </conditionalFormatting>
  <conditionalFormatting sqref="H4:H37">
    <cfRule type="expression" priority="11" aboveAverage="0" equalAverage="0" bottom="0" percent="0" rank="0" text="" dxfId="860">
      <formula>L4="O"</formula>
    </cfRule>
  </conditionalFormatting>
  <conditionalFormatting sqref="F2:J2">
    <cfRule type="iconSet" priority="12">
      <iconSet iconSet="3TrafficLights1">
        <cfvo type="percent" val="0"/>
        <cfvo type="percent" val="33"/>
        <cfvo type="percent" val="67"/>
      </iconSet>
    </cfRule>
  </conditionalFormatting>
  <conditionalFormatting sqref="B4:B37">
    <cfRule type="containsText" priority="13" operator="containsText" aboveAverage="0" equalAverage="0" bottom="0" percent="0" rank="0" text="5" dxfId="861">
      <formula>NOT(ISERROR(SEARCH("5",B4)))</formula>
    </cfRule>
    <cfRule type="containsText" priority="14" operator="containsText" aboveAverage="0" equalAverage="0" bottom="0" percent="0" rank="0" text="4" dxfId="862">
      <formula>NOT(ISERROR(SEARCH("4",B4)))</formula>
    </cfRule>
    <cfRule type="containsText" priority="15" operator="containsText" aboveAverage="0" equalAverage="0" bottom="0" percent="0" rank="0" text="3" dxfId="863">
      <formula>NOT(ISERROR(SEARCH("3",B4)))</formula>
    </cfRule>
    <cfRule type="containsText" priority="16" operator="containsText" aboveAverage="0" equalAverage="0" bottom="0" percent="0" rank="0" text="2" dxfId="864">
      <formula>NOT(ISERROR(SEARCH("2",B4)))</formula>
    </cfRule>
    <cfRule type="containsText" priority="17" operator="containsText" aboveAverage="0" equalAverage="0" bottom="0" percent="0" rank="0" text="1" dxfId="865">
      <formula>NOT(ISERROR(SEARCH("1",B4)))</formula>
    </cfRule>
  </conditionalFormatting>
  <conditionalFormatting sqref="I53:I60">
    <cfRule type="dataBar" priority="18">
      <dataBar showValue="1" minLength="10" maxLength="90">
        <cfvo type="min" val="0"/>
        <cfvo type="max" val="0"/>
        <color rgb="FFFFB628"/>
      </dataBar>
      <extLst>
        <ext xmlns:x14="http://schemas.microsoft.com/office/spreadsheetml/2009/9/main" uri="{B025F937-C7B1-47D3-B67F-A62EFF666E3E}">
          <x14:id>{D2AA9719-F13D-40B1-858B-A73F86D0AE6A}</x14:id>
        </ext>
      </extLst>
    </cfRule>
  </conditionalFormatting>
  <conditionalFormatting sqref="I49:I50 J44:J48">
    <cfRule type="dataBar" priority="19">
      <dataBar showValue="1" minLength="10" maxLength="90">
        <cfvo type="min" val="0"/>
        <cfvo type="max" val="0"/>
        <color rgb="FFFFB628"/>
      </dataBar>
      <extLst>
        <ext xmlns:x14="http://schemas.microsoft.com/office/spreadsheetml/2009/9/main" uri="{B025F937-C7B1-47D3-B67F-A62EFF666E3E}">
          <x14:id>{ACF0C59B-9817-456E-8C12-FC39A945E3F5}</x14:id>
        </ext>
      </extLst>
    </cfRule>
  </conditionalFormatting>
  <conditionalFormatting sqref="U2:AG2">
    <cfRule type="dataBar" priority="20">
      <dataBar showValue="1" minLength="10" maxLength="90">
        <cfvo type="min" val="0"/>
        <cfvo type="max" val="0"/>
        <color rgb="FF63C384"/>
      </dataBar>
      <extLst>
        <ext xmlns:x14="http://schemas.microsoft.com/office/spreadsheetml/2009/9/main" uri="{B025F937-C7B1-47D3-B67F-A62EFF666E3E}">
          <x14:id>{5A6BB2FF-2568-4A2A-9423-6810CEA1E546}</x14:id>
        </ext>
      </extLst>
    </cfRule>
  </conditionalFormatting>
  <conditionalFormatting sqref="N2:T2">
    <cfRule type="dataBar" priority="21">
      <dataBar showValue="1" minLength="10" maxLength="90">
        <cfvo type="min" val="0"/>
        <cfvo type="max" val="0"/>
        <color rgb="FFFFB628"/>
      </dataBar>
      <extLst>
        <ext xmlns:x14="http://schemas.microsoft.com/office/spreadsheetml/2009/9/main" uri="{B025F937-C7B1-47D3-B67F-A62EFF666E3E}">
          <x14:id>{48C27E36-AB3C-4885-ABF0-8D4AC4904BF2}</x14:id>
        </ext>
      </extLst>
    </cfRule>
  </conditionalFormatting>
  <conditionalFormatting sqref="N2:AG2">
    <cfRule type="dataBar" priority="22">
      <dataBar showValue="1" minLength="10" maxLength="90">
        <cfvo type="min" val="0"/>
        <cfvo type="max" val="0"/>
        <color rgb="FFFFB628"/>
      </dataBar>
      <extLst>
        <ext xmlns:x14="http://schemas.microsoft.com/office/spreadsheetml/2009/9/main" uri="{B025F937-C7B1-47D3-B67F-A62EFF666E3E}">
          <x14:id>{FFFECD19-3AB9-4125-AA62-65E12BCF26AC}</x14:id>
        </ext>
      </extLst>
    </cfRule>
  </conditionalFormatting>
  <conditionalFormatting sqref="N2:S2">
    <cfRule type="dataBar" priority="23">
      <dataBar showValue="1" minLength="10" maxLength="90">
        <cfvo type="min" val="0"/>
        <cfvo type="max" val="0"/>
        <color rgb="FF638EC6"/>
      </dataBar>
      <extLst>
        <ext xmlns:x14="http://schemas.microsoft.com/office/spreadsheetml/2009/9/main" uri="{B025F937-C7B1-47D3-B67F-A62EFF666E3E}">
          <x14:id>{C1C94EA1-A013-46DB-8075-21B0C49700CC}</x14:id>
        </ext>
      </extLst>
    </cfRule>
  </conditionalFormatting>
  <conditionalFormatting sqref="T2">
    <cfRule type="dataBar" priority="24">
      <dataBar showValue="1" minLength="10" maxLength="90">
        <cfvo type="min" val="0"/>
        <cfvo type="max" val="0"/>
        <color rgb="FF63C384"/>
      </dataBar>
      <extLst>
        <ext xmlns:x14="http://schemas.microsoft.com/office/spreadsheetml/2009/9/main" uri="{B025F937-C7B1-47D3-B67F-A62EFF666E3E}">
          <x14:id>{4D84E481-10E7-4BB0-AC6D-C42B5CF24160}</x14:id>
        </ext>
      </extLst>
    </cfRule>
  </conditionalFormatting>
  <conditionalFormatting sqref="A4:A37">
    <cfRule type="colorScale" priority="25">
      <colorScale>
        <cfvo type="min" val="0"/>
        <cfvo type="percentile" val="50"/>
        <cfvo type="max" val="0"/>
        <color rgb="FFFFCC99"/>
        <color rgb="FFFFD966"/>
        <color rgb="FFFFF2CC"/>
      </colorScale>
    </cfRule>
  </conditionalFormatting>
  <conditionalFormatting sqref="J4:J37">
    <cfRule type="iconSet" priority="26">
      <iconSet iconSet="3TrafficLights1">
        <cfvo type="percent" val="0"/>
        <cfvo type="percent" val="33"/>
        <cfvo type="percent" val="67"/>
      </iconSet>
    </cfRule>
  </conditionalFormatting>
  <dataValidations count="4">
    <dataValidation allowBlank="true" errorStyle="stop" operator="between" showDropDown="false" showErrorMessage="true" showInputMessage="true" sqref="B1" type="list">
      <formula1>Data!$A$2:$A$106</formula1>
      <formula2>0</formula2>
    </dataValidation>
    <dataValidation allowBlank="true" errorStyle="information" errorTitle="OK ?" operator="between" showDropDown="false" showErrorMessage="true" showInputMessage="true" sqref="F4:F37" type="list">
      <formula1>Data!$D$2:$D$16</formula1>
      <formula2>0</formula2>
    </dataValidation>
    <dataValidation allowBlank="false" errorStyle="stop" operator="between" showDropDown="false" showErrorMessage="true" showInputMessage="true" sqref="E4:E37" type="list">
      <formula1>Data!$E$2:$E$30</formula1>
      <formula2>0</formula2>
    </dataValidation>
    <dataValidation allowBlank="true" errorStyle="stop" operator="between" showDropDown="false" showErrorMessage="true" showInputMessage="true" sqref="B4:B37" type="list">
      <formula1>Data!$C$2:$C$8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  <tableParts>
    <tablePart r:id="rId4"/>
    <tablePart r:id="rId5"/>
    <tablePart r:id="rId6"/>
    <tablePart r:id="rId7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2AA9719-F13D-40B1-858B-A73F86D0AE6A}">
            <x14:dataBar minLength="10" maxLength="90" axisPosition="automatic" gradient="true">
              <x14:cfvo type="autoMin"/>
              <x14:cfvo type="autoMax"/>
              <x14:negativeFillColor rgb="FFFF0000"/>
              <x14:axisColor rgb="FF000000"/>
            </x14:dataBar>
          </x14:cfRule>
          <xm:sqref>I53:I60</xm:sqref>
        </x14:conditionalFormatting>
        <x14:conditionalFormatting xmlns:xm="http://schemas.microsoft.com/office/excel/2006/main">
          <x14:cfRule type="dataBar" id="{ACF0C59B-9817-456E-8C12-FC39A945E3F5}">
            <x14:dataBar minLength="10" maxLength="90" axisPosition="automatic" gradient="true">
              <x14:cfvo type="autoMin"/>
              <x14:cfvo type="autoMax"/>
              <x14:negativeFillColor rgb="FFFF0000"/>
              <x14:axisColor rgb="FF000000"/>
            </x14:dataBar>
          </x14:cfRule>
          <xm:sqref>I49:I50 J44:J48</xm:sqref>
        </x14:conditionalFormatting>
        <x14:conditionalFormatting xmlns:xm="http://schemas.microsoft.com/office/excel/2006/main">
          <x14:cfRule type="dataBar" id="{5A6BB2FF-2568-4A2A-9423-6810CEA1E546}">
            <x14:dataBar minLength="10" maxLength="90" axisPosition="automatic" gradient="true">
              <x14:cfvo type="autoMin"/>
              <x14:cfvo type="autoMax"/>
              <x14:negativeFillColor rgb="FFFF0000"/>
              <x14:axisColor rgb="FF000000"/>
            </x14:dataBar>
          </x14:cfRule>
          <xm:sqref>U2:AG2</xm:sqref>
        </x14:conditionalFormatting>
        <x14:conditionalFormatting xmlns:xm="http://schemas.microsoft.com/office/excel/2006/main">
          <x14:cfRule type="dataBar" id="{48C27E36-AB3C-4885-ABF0-8D4AC4904BF2}">
            <x14:dataBar minLength="10" maxLength="90" axisPosition="automatic" gradient="true">
              <x14:cfvo type="autoMin"/>
              <x14:cfvo type="autoMax"/>
              <x14:negativeFillColor rgb="FFFF0000"/>
              <x14:axisColor rgb="FF000000"/>
            </x14:dataBar>
          </x14:cfRule>
          <xm:sqref>N2:T2</xm:sqref>
        </x14:conditionalFormatting>
        <x14:conditionalFormatting xmlns:xm="http://schemas.microsoft.com/office/excel/2006/main">
          <x14:cfRule type="dataBar" id="{FFFECD19-3AB9-4125-AA62-65E12BCF26AC}">
            <x14:dataBar minLength="10" maxLength="90" axisPosition="automatic" gradient="false">
              <x14:cfvo type="autoMin"/>
              <x14:cfvo type="autoMax"/>
              <x14:negativeFillColor rgb="FFFF0000"/>
              <x14:axisColor rgb="FF000000"/>
            </x14:dataBar>
          </x14:cfRule>
          <xm:sqref>N2:AG2</xm:sqref>
        </x14:conditionalFormatting>
        <x14:conditionalFormatting xmlns:xm="http://schemas.microsoft.com/office/excel/2006/main">
          <x14:cfRule type="dataBar" id="{C1C94EA1-A013-46DB-8075-21B0C49700CC}">
            <x14:dataBar minLength="10" maxLength="90" axisPosition="automatic" gradient="false">
              <x14:cfvo type="autoMin"/>
              <x14:cfvo type="autoMax"/>
              <x14:negativeFillColor rgb="FFFF0000"/>
              <x14:axisColor rgb="FF000000"/>
            </x14:dataBar>
          </x14:cfRule>
          <xm:sqref>N2:S2</xm:sqref>
        </x14:conditionalFormatting>
        <x14:conditionalFormatting xmlns:xm="http://schemas.microsoft.com/office/excel/2006/main">
          <x14:cfRule type="dataBar" id="{4D84E481-10E7-4BB0-AC6D-C42B5CF24160}">
            <x14:dataBar minLength="10" maxLength="90" axisPosition="automatic" gradient="false">
              <x14:cfvo type="autoMin"/>
              <x14:cfvo type="autoMax"/>
              <x14:negativeFillColor rgb="FFFF0000"/>
              <x14:axisColor rgb="FF000000"/>
            </x14:dataBar>
          </x14:cfRule>
          <xm:sqref>T2</xm:sqref>
        </x14:conditionalFormatting>
      </x14:conditionalFormatting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1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16" activePane="bottomLeft" state="frozen"/>
      <selection pane="topLeft" activeCell="A1" activeCellId="0" sqref="A1"/>
      <selection pane="bottomLeft" activeCell="G30" activeCellId="0" sqref="G30"/>
    </sheetView>
  </sheetViews>
  <sheetFormatPr defaultColWidth="8.6796875" defaultRowHeight="15" zeroHeight="false" outlineLevelRow="1" outlineLevelCol="1"/>
  <cols>
    <col collapsed="false" customWidth="true" hidden="false" outlineLevel="0" max="1" min="1" style="0" width="16.57"/>
    <col collapsed="false" customWidth="true" hidden="false" outlineLevel="0" max="2" min="2" style="0" width="17.71"/>
    <col collapsed="false" customWidth="true" hidden="false" outlineLevel="0" max="3" min="3" style="0" width="14.14"/>
    <col collapsed="false" customWidth="true" hidden="false" outlineLevel="0" max="4" min="4" style="0" width="10.57"/>
    <col collapsed="false" customWidth="true" hidden="false" outlineLevel="0" max="5" min="5" style="0" width="23.86"/>
    <col collapsed="false" customWidth="true" hidden="false" outlineLevel="0" max="6" min="6" style="0" width="19.71"/>
    <col collapsed="false" customWidth="true" hidden="false" outlineLevel="0" max="7" min="7" style="0" width="28.71"/>
    <col collapsed="false" customWidth="true" hidden="false" outlineLevel="0" max="8" min="8" style="0" width="13.29"/>
    <col collapsed="false" customWidth="true" hidden="false" outlineLevel="0" max="9" min="9" style="0" width="15"/>
    <col collapsed="false" customWidth="true" hidden="false" outlineLevel="0" max="11" min="10" style="0" width="16.14"/>
    <col collapsed="false" customWidth="true" hidden="false" outlineLevel="0" max="12" min="12" style="0" width="7.71"/>
    <col collapsed="false" customWidth="true" hidden="false" outlineLevel="0" max="13" min="13" style="224" width="9.86"/>
    <col collapsed="false" customWidth="true" hidden="false" outlineLevel="1" max="14" min="14" style="0" width="10.29"/>
    <col collapsed="false" customWidth="true" hidden="false" outlineLevel="1" max="15" min="15" style="0" width="9.57"/>
    <col collapsed="false" customWidth="true" hidden="false" outlineLevel="1" max="16" min="16" style="0" width="8.57"/>
    <col collapsed="false" customWidth="true" hidden="false" outlineLevel="1" max="18" min="17" style="0" width="7.29"/>
    <col collapsed="false" customWidth="true" hidden="false" outlineLevel="1" max="19" min="19" style="0" width="8.57"/>
    <col collapsed="false" customWidth="true" hidden="false" outlineLevel="1" max="20" min="20" style="0" width="7.71"/>
    <col collapsed="false" customWidth="true" hidden="false" outlineLevel="1" max="21" min="21" style="0" width="12"/>
    <col collapsed="false" customWidth="true" hidden="false" outlineLevel="1" max="22" min="22" style="0" width="10.14"/>
    <col collapsed="false" customWidth="true" hidden="false" outlineLevel="1" max="23" min="23" style="0" width="11.71"/>
    <col collapsed="false" customWidth="true" hidden="false" outlineLevel="1" max="24" min="24" style="0" width="12.71"/>
    <col collapsed="false" customWidth="true" hidden="false" outlineLevel="1" max="25" min="25" style="0" width="8.57"/>
    <col collapsed="false" customWidth="true" hidden="false" outlineLevel="1" max="26" min="26" style="0" width="7.29"/>
    <col collapsed="false" customWidth="true" hidden="false" outlineLevel="1" max="27" min="27" style="0" width="9.71"/>
    <col collapsed="false" customWidth="true" hidden="false" outlineLevel="1" max="28" min="28" style="0" width="11.43"/>
    <col collapsed="false" customWidth="true" hidden="false" outlineLevel="1" max="29" min="29" style="0" width="10"/>
    <col collapsed="false" customWidth="true" hidden="false" outlineLevel="1" max="30" min="30" style="0" width="9.86"/>
    <col collapsed="false" customWidth="true" hidden="false" outlineLevel="1" max="31" min="31" style="0" width="7.86"/>
    <col collapsed="false" customWidth="true" hidden="false" outlineLevel="1" max="32" min="32" style="0" width="18.71"/>
    <col collapsed="false" customWidth="true" hidden="false" outlineLevel="1" max="33" min="33" style="0" width="27.15"/>
    <col collapsed="false" customWidth="true" hidden="false" outlineLevel="1" max="34" min="34" style="0" width="5.42"/>
  </cols>
  <sheetData>
    <row r="1" customFormat="false" ht="22.05" hidden="false" customHeight="false" outlineLevel="0" collapsed="false">
      <c r="A1" s="225" t="str">
        <f aca="false">"Semaine du " &amp; Data!D41</f>
        <v>Semaine du </v>
      </c>
      <c r="B1" s="226" t="n">
        <v>44242</v>
      </c>
      <c r="C1" s="227"/>
      <c r="D1" s="321" t="s">
        <v>361</v>
      </c>
      <c r="E1" s="322" t="n">
        <f aca="false">AVERAGE(F2:J2)</f>
        <v>7</v>
      </c>
      <c r="F1" s="323" t="s">
        <v>0</v>
      </c>
      <c r="G1" s="324" t="s">
        <v>1</v>
      </c>
      <c r="H1" s="324" t="s">
        <v>2</v>
      </c>
      <c r="I1" s="324" t="s">
        <v>3</v>
      </c>
      <c r="J1" s="324" t="s">
        <v>4</v>
      </c>
      <c r="K1" s="325" t="s">
        <v>401</v>
      </c>
      <c r="L1" s="234" t="n">
        <f aca="false">COUNTIF(Horodateur11233538192231343743464952555861646985222634384650585462667074788290989410210611411811012212613013413814214615015415816216617017417818218619019419820220621021441014182226[O],"o")+ COUNTIF(Horodateur11233538192231343743464952555861646985222634384650585462667074788290989410210611411811012212613013413814214615015415816216617017417818218619019419820220621021441014182226[O],".")</f>
        <v>37</v>
      </c>
      <c r="M1" s="128" t="n">
        <f aca="false">B2</f>
        <v>38</v>
      </c>
      <c r="N1" s="131" t="s">
        <v>21</v>
      </c>
      <c r="O1" s="130" t="s">
        <v>20</v>
      </c>
      <c r="P1" s="130" t="s">
        <v>23</v>
      </c>
      <c r="Q1" s="130" t="s">
        <v>25</v>
      </c>
      <c r="R1" s="130" t="s">
        <v>26</v>
      </c>
      <c r="S1" s="130" t="s">
        <v>378</v>
      </c>
      <c r="T1" s="130" t="s">
        <v>380</v>
      </c>
      <c r="U1" s="136" t="s">
        <v>32</v>
      </c>
      <c r="V1" s="136" t="s">
        <v>69</v>
      </c>
      <c r="W1" s="136" t="s">
        <v>66</v>
      </c>
      <c r="X1" s="136" t="s">
        <v>47</v>
      </c>
      <c r="Y1" s="136" t="s">
        <v>68</v>
      </c>
      <c r="Z1" s="136" t="s">
        <v>41</v>
      </c>
      <c r="AA1" s="136" t="s">
        <v>61</v>
      </c>
      <c r="AB1" s="136" t="s">
        <v>74</v>
      </c>
      <c r="AC1" s="136" t="s">
        <v>37</v>
      </c>
      <c r="AD1" s="136" t="s">
        <v>77</v>
      </c>
      <c r="AE1" s="136" t="s">
        <v>45</v>
      </c>
      <c r="AF1" s="136" t="s">
        <v>78</v>
      </c>
      <c r="AG1" s="136" t="s">
        <v>79</v>
      </c>
      <c r="AH1" s="87" t="str">
        <f aca="false">SUM(M4:M40) &amp; " / " &amp; B2-SUM(M4:M40)</f>
        <v>38 / 0</v>
      </c>
    </row>
    <row r="2" customFormat="false" ht="22.05" hidden="false" customHeight="false" outlineLevel="0" collapsed="false">
      <c r="A2" s="327" t="n">
        <f aca="false">SUM(Horodateur11233538192231343743464952555861646985222634384650585462667074788290989410210611411811012212613013413814214615015415816216617017417818218619019419820220621021441014182226[Durée (60)])</f>
        <v>1.58333333333333</v>
      </c>
      <c r="B2" s="328" t="n">
        <f aca="false">SUM(Horodateur11233538192231343743464952555861646985222634384650585462667074788290989410210611411811012212613013413814214615015415816216617017417818218619019419820220621021441014182226[Durée (100)])</f>
        <v>38</v>
      </c>
      <c r="C2" s="339" t="str">
        <f aca="false">M2</f>
        <v>38 / 0</v>
      </c>
      <c r="D2" s="238"/>
      <c r="E2" s="239"/>
      <c r="F2" s="329" t="n">
        <f aca="false">SUMIF(Horodateur11233538192231343743464952555861646985222634384650585462667074788290989410210611411811012212613013413814214615015415816216617017417818218619019419820220621021441014182226[Jour],"1- Lundi",Horodateur11233538192231343743464952555861646985222634384650585462667074788290989410210611411811012212613013413814214615015415816216617017417818218619019419820220621021441014182226[Durée (100)])</f>
        <v>8</v>
      </c>
      <c r="G2" s="330" t="n">
        <f aca="false">SUMIF(Horodateur11233538192231343743464952555861646985222634384650585462667074788290989410210611411811012212613013413814214615015415816216617017417818218619019419820220621021441014182226[Jour],"2- Mardi",Horodateur11233538192231343743464952555861646985222634384650585462667074788290989410210611411811012212613013413814214615015415816216617017417818218619019419820220621021441014182226[Durée (100)])</f>
        <v>8.5</v>
      </c>
      <c r="H2" s="330" t="n">
        <f aca="false">SUMIF(Horodateur11233538192231343743464952555861646985222634384650585462667074788290989410210611411811012212613013413814214615015415816216617017417818218619019419820220621021441014182226[Jour],"3- Mercredi",Horodateur11233538192231343743464952555861646985222634384650585462667074788290989410210611411811012212613013413814214615015415816216617017417818218619019419820220621021441014182226[Durée (100)])</f>
        <v>5.25</v>
      </c>
      <c r="I2" s="330" t="n">
        <f aca="false">SUMIF(Horodateur11233538192231343743464952555861646985222634384650585462667074788290989410210611411811012212613013413814214615015415816216617017417818218619019419820220621021441014182226[Jour],"4- Jeudi",Horodateur11233538192231343743464952555861646985222634384650585462667074788290989410210611411811012212613013413814214615015415816216617017417818218619019419820220621021441014182226[Durée (100)])</f>
        <v>7.25</v>
      </c>
      <c r="J2" s="330" t="n">
        <f aca="false">SUMIF(Horodateur11233538192231343743464952555861646985222634384650585462667074788290989410210611411811012212613013413814214615015415816216617017417818218619019419820220621021441014182226[Jour],"5- Vendredi",Horodateur11233538192231343743464952555861646985222634384650585462667074788290989410210611411811012212613013413814214615015415816216617017417818218619019419820220621021441014182226[Durée (100)])</f>
        <v>6</v>
      </c>
      <c r="K2" s="331" t="str">
        <f aca="false">ROUND(SUMIF(Horodateur11233538192231343743464952555861646985222634384650585462667074788290989410210611411811012212613013413814214615015415816216617017417818218619019419820220621021441014182226[Jour],"6- Samedi",Horodateur11233538192231343743464952555861646985222634384650585462667074788290989410210611411811012212613013413814214615015415816216617017417818218619019419820220621021441014182226[Durée (100)]),2) &amp;  "   /    " &amp;  ROUND(SUMIF(Horodateur11233538192231343743464952555861646985222634384650585462667074788290989410210611411811012212613013413814214615015415816216617017417818218619019419820220621021441014182226[Jour],"7- Dimanche",Horodateur11233538192231343743464952555861646985222634384650585462667074788290989410210611411811012212613013413814214615015415816216617017417818218619019419820220621021441014182226[Durée (100)]),2)</f>
        <v>3   /    0</v>
      </c>
      <c r="L2" s="244" t="str">
        <f aca="false">COUNTIF(Horodateur11233538192231343743464952555861646985222634384650585462667074788290989410210611411811012212613013413814214615015415816216617017417818218619019419820220621021441014182226[O],"o")&amp;" / " &amp;  COUNTIF(Horodateur11233538192231343743464952555861646985222634384650585462667074788290989410210611411811012212613013413814214615015415816216617017417818218619019419820220621021441014182226[O],".")</f>
        <v>37 / 0</v>
      </c>
      <c r="M2" s="143" t="str">
        <f aca="false">SUM(M4:M40) &amp; " / " &amp; B2-SUM(M4:M40)</f>
        <v>38 / 0</v>
      </c>
      <c r="N2" s="248" t="n">
        <f aca="false">SUMIF(Horodateur11233538192231343743464952555861646985222634384650585462667074788290989410210611411811012212613013413814214615015415816216617017417818218619019419820220621021441014182226[Tâche],N$1,Horodateur11233538192231343743464952555861646985222634384650585462667074788290989410210611411811012212613013413814214615015415816216617017417818218619019419820220621021441014182226[Durée (100)])</f>
        <v>3</v>
      </c>
      <c r="O2" s="247" t="n">
        <f aca="false">SUMIF(Horodateur11233538192231343743464952555861646985222634384650585462667074788290989410210611411811012212613013413814214615015415816216617017417818218619019419820220621021441014182226[Tâche],O$1,Horodateur11233538192231343743464952555861646985222634384650585462667074788290989410210611411811012212613013413814214615015415816216617017417818218619019419820220621021441014182226[Durée (100)])</f>
        <v>0.500000000000001</v>
      </c>
      <c r="P2" s="247" t="n">
        <f aca="false">SUMIF(Horodateur11233538192231343743464952555861646985222634384650585462667074788290989410210611411811012212613013413814214615015415816216617017417818218619019419820220621021441014182226[Tâche],P$1,Horodateur11233538192231343743464952555861646985222634384650585462667074788290989410210611411811012212613013413814214615015415816216617017417818218619019419820220621021441014182226[Durée (100)])</f>
        <v>4.25</v>
      </c>
      <c r="Q2" s="247" t="n">
        <f aca="false">SUMIF(Horodateur11233538192231343743464952555861646985222634384650585462667074788290989410210611411811012212613013413814214615015415816216617017417818218619019419820220621021441014182226[Tâche],Q$1,Horodateur11233538192231343743464952555861646985222634384650585462667074788290989410210611411811012212613013413814214615015415816216617017417818218619019419820220621021441014182226[Durée (100)])</f>
        <v>0</v>
      </c>
      <c r="R2" s="247" t="n">
        <f aca="false">SUMIF(Horodateur11233538192231343743464952555861646985222634384650585462667074788290989410210611411811012212613013413814214615015415816216617017417818218619019419820220621021441014182226[Tâche],R$1,Horodateur11233538192231343743464952555861646985222634384650585462667074788290989410210611411811012212613013413814214615015415816216617017417818218619019419820220621021441014182226[Durée (100)])</f>
        <v>0</v>
      </c>
      <c r="S2" s="247" t="n">
        <f aca="false">SUMIF(Horodateur11233538192231343743464952555861646985222634384650585462667074788290989410210611411811012212613013413814214615015415816216617017417818218619019419820220621021441014182226[Tâche],S$1,Horodateur11233538192231343743464952555861646985222634384650585462667074788290989410210611411811012212613013413814214615015415816216617017417818218619019419820220621021441014182226[Durée (100)])</f>
        <v>16.25</v>
      </c>
      <c r="T2" s="247" t="n">
        <f aca="false">SUMIF(Horodateur11233538192231343743464952555861646985222634384650585462667074788290989410210611411811012212613013413814214615015415816216617017417818218619019419820220621021441014182226[Tâche],T$1,Horodateur11233538192231343743464952555861646985222634384650585462667074788290989410210611411811012212613013413814214615015415816216617017417818218619019419820220621021441014182226[Durée (100)])</f>
        <v>0</v>
      </c>
      <c r="U2" s="151" t="n">
        <f aca="false">SUMIF(Horodateur11233538192231343743464952555861646985222634384650585462667074788290989410210611411811012212613013413814214615015415816216617017417818218619019419820220621021441014182226[Client],U$1,Horodateur11233538192231343743464952555861646985222634384650585462667074788290989410210611411811012212613013413814214615015415816216617017417818218619019419820220621021441014182226[Durée (100)])</f>
        <v>19.25</v>
      </c>
      <c r="V2" s="151" t="n">
        <f aca="false">SUMIF(Horodateur11233538192231343743464952555861646985222634384650585462667074788290989410210611411811012212613013413814214615015415816216617017417818218619019419820220621021441014182226[Client],V$1,Horodateur11233538192231343743464952555861646985222634384650585462667074788290989410210611411811012212613013413814214615015415816216617017417818218619019419820220621021441014182226[Durée (100)])</f>
        <v>0</v>
      </c>
      <c r="W2" s="151" t="n">
        <f aca="false">SUMIF(Horodateur11233538192231343743464952555861646985222634384650585462667074788290989410210611411811012212613013413814214615015415816216617017417818218619019419820220621021441014182226[Client],W$1,Horodateur11233538192231343743464952555861646985222634384650585462667074788290989410210611411811012212613013413814214615015415816216617017417818218619019419820220621021441014182226[Durée (100)])</f>
        <v>0</v>
      </c>
      <c r="X2" s="151" t="n">
        <f aca="false">SUMIF(Horodateur11233538192231343743464952555861646985222634384650585462667074788290989410210611411811012212613013413814214615015415816216617017417818218619019419820220621021441014182226[Client],X$1,Horodateur11233538192231343743464952555861646985222634384650585462667074788290989410210611411811012212613013413814214615015415816216617017417818218619019419820220621021441014182226[Durée (100)])</f>
        <v>0</v>
      </c>
      <c r="Y2" s="151" t="n">
        <f aca="false">SUMIF(Horodateur11233538192231343743464952555861646985222634384650585462667074788290989410210611411811012212613013413814214615015415816216617017417818218619019419820220621021441014182226[Client],Y$1,Horodateur11233538192231343743464952555861646985222634384650585462667074788290989410210611411811012212613013413814214615015415816216617017417818218619019419820220621021441014182226[Durée (100)])</f>
        <v>0</v>
      </c>
      <c r="Z2" s="151" t="n">
        <f aca="false">SUMIF(Horodateur11233538192231343743464952555861646985222634384650585462667074788290989410210611411811012212613013413814214615015415816216617017417818218619019419820220621021441014182226[Client],Z$1,Horodateur11233538192231343743464952555861646985222634384650585462667074788290989410210611411811012212613013413814214615015415816216617017417818218619019419820220621021441014182226[Durée (100)])</f>
        <v>0</v>
      </c>
      <c r="AA2" s="151" t="n">
        <f aca="false">SUMIF(Horodateur11233538192231343743464952555861646985222634384650585462667074788290989410210611411811012212613013413814214615015415816216617017417818218619019419820220621021441014182226[Client],AA$1,Horodateur11233538192231343743464952555861646985222634384650585462667074788290989410210611411811012212613013413814214615015415816216617017417818218619019419820220621021441014182226[Durée (100)])</f>
        <v>0</v>
      </c>
      <c r="AB2" s="151" t="n">
        <f aca="false">SUMIF(Horodateur11233538192231343743464952555861646985222634384650585462667074788290989410210611411811012212613013413814214615015415816216617017417818218619019419820220621021441014182226[Client],AB$1,Horodateur11233538192231343743464952555861646985222634384650585462667074788290989410210611411811012212613013413814214615015415816216617017417818218619019419820220621021441014182226[Durée (100)])</f>
        <v>0</v>
      </c>
      <c r="AC2" s="151" t="n">
        <f aca="false">SUMIF(Horodateur11233538192231343743464952555861646985222634384650585462667074788290989410210611411811012212613013413814214615015415816216617017417818218619019419820220621021441014182226[Client],AC$1,Horodateur11233538192231343743464952555861646985222634384650585462667074788290989410210611411811012212613013413814214615015415816216617017417818218619019419820220621021441014182226[Durée (100)])</f>
        <v>3.75</v>
      </c>
      <c r="AD2" s="151" t="n">
        <f aca="false">SUMIF(Horodateur11233538192231343743464952555861646985222634384650585462667074788290989410210611411811012212613013413814214615015415816216617017417818218619019419820220621021441014182226[Client],AD$1,Horodateur11233538192231343743464952555861646985222634384650585462667074788290989410210611411811012212613013413814214615015415816216617017417818218619019419820220621021441014182226[Durée (100)])</f>
        <v>0</v>
      </c>
      <c r="AE2" s="151" t="n">
        <f aca="false">SUMIF(Horodateur11233538192231343743464952555861646985222634384650585462667074788290989410210611411811012212613013413814214615015415816216617017417818218619019419820220621021441014182226[Client],AE$1,Horodateur11233538192231343743464952555861646985222634384650585462667074788290989410210611411811012212613013413814214615015415816216617017417818218619019419820220621021441014182226[Durée (100)])</f>
        <v>0</v>
      </c>
      <c r="AF2" s="151" t="n">
        <f aca="false">SUMIF(Horodateur11233538192231343743464952555861646985222634384650585462667074788290989410210611411811012212613013413814214615015415816216617017417818218619019419820220621021441014182226[Client],AF$1,Horodateur11233538192231343743464952555861646985222634384650585462667074788290989410210611411811012212613013413814214615015415816216617017417818218619019419820220621021441014182226[Durée (100)])</f>
        <v>0.25</v>
      </c>
      <c r="AG2" s="151" t="n">
        <f aca="false">SUMIF(Horodateur11233538192231343743464952555861646985222634384650585462667074788290989410210611411811012212613013413814214615015415816216617017417818218619019419820220621021441014182226[Client],AG$1,Horodateur11233538192231343743464952555861646985222634384650585462667074788290989410210611411811012212613013413814214615015415816216617017417818218619019419820220621021441014182226[Durée (100)])</f>
        <v>0</v>
      </c>
    </row>
    <row r="3" s="137" customFormat="true" ht="15" hidden="false" customHeight="false" outlineLevel="0" collapsed="false">
      <c r="A3" s="249" t="s">
        <v>8</v>
      </c>
      <c r="B3" s="249" t="s">
        <v>9</v>
      </c>
      <c r="C3" s="193" t="s">
        <v>10</v>
      </c>
      <c r="D3" s="193" t="s">
        <v>11</v>
      </c>
      <c r="E3" s="250" t="s">
        <v>12</v>
      </c>
      <c r="F3" s="250" t="s">
        <v>13</v>
      </c>
      <c r="G3" s="250" t="s">
        <v>14</v>
      </c>
      <c r="H3" s="193" t="s">
        <v>302</v>
      </c>
      <c r="I3" s="252" t="s">
        <v>364</v>
      </c>
      <c r="J3" s="253" t="s">
        <v>365</v>
      </c>
      <c r="K3" s="250" t="s">
        <v>402</v>
      </c>
      <c r="L3" s="255" t="s">
        <v>7</v>
      </c>
      <c r="M3" s="254" t="s">
        <v>29</v>
      </c>
      <c r="N3" s="153" t="n">
        <f aca="false">N2/$B$2</f>
        <v>0.0789473684210527</v>
      </c>
      <c r="O3" s="153" t="n">
        <f aca="false">O2/$B$2</f>
        <v>0.0131578947368421</v>
      </c>
      <c r="P3" s="153" t="n">
        <f aca="false">P2/$B$2</f>
        <v>0.111842105263158</v>
      </c>
      <c r="Q3" s="153" t="n">
        <f aca="false">Q2/$B$2</f>
        <v>0</v>
      </c>
      <c r="R3" s="153" t="n">
        <f aca="false">R2/$B$2</f>
        <v>0</v>
      </c>
      <c r="S3" s="153" t="n">
        <f aca="false">S2/$B$2</f>
        <v>0.427631578947368</v>
      </c>
      <c r="T3" s="153" t="n">
        <f aca="false">T2/$B$2</f>
        <v>0</v>
      </c>
      <c r="U3" s="153" t="n">
        <f aca="false">U2/$B$2</f>
        <v>0.506578947368421</v>
      </c>
      <c r="V3" s="153" t="n">
        <f aca="false">V2/$B$2</f>
        <v>0</v>
      </c>
      <c r="W3" s="153" t="n">
        <f aca="false">W2/$B$2</f>
        <v>0</v>
      </c>
      <c r="X3" s="153" t="n">
        <f aca="false">X2/$B$2</f>
        <v>0</v>
      </c>
      <c r="Y3" s="153" t="n">
        <f aca="false">Y2/$B$2</f>
        <v>0</v>
      </c>
      <c r="Z3" s="153" t="n">
        <f aca="false">Z2/$B$2</f>
        <v>0</v>
      </c>
      <c r="AA3" s="153" t="n">
        <f aca="false">AA2/$B$2</f>
        <v>0</v>
      </c>
      <c r="AB3" s="153" t="n">
        <f aca="false">AB2/$B$2</f>
        <v>0</v>
      </c>
      <c r="AC3" s="153" t="n">
        <f aca="false">AC2/$B$2</f>
        <v>0.0986842105263158</v>
      </c>
      <c r="AD3" s="153" t="n">
        <f aca="false">AD2/$B$2</f>
        <v>0</v>
      </c>
      <c r="AE3" s="153" t="n">
        <f aca="false">AE2/$B$2</f>
        <v>0</v>
      </c>
      <c r="AF3" s="153" t="n">
        <f aca="false">AF2/$B$2</f>
        <v>0.00657894736842106</v>
      </c>
      <c r="AG3" s="153" t="n">
        <f aca="false">AG2/$B$2</f>
        <v>0</v>
      </c>
    </row>
    <row r="4" customFormat="false" ht="15" hidden="false" customHeight="false" outlineLevel="0" collapsed="false">
      <c r="A4" s="256" t="n">
        <f aca="false">IF(Horodateur11233538192231343743464952555861646985222634384650585462667074788290989410210611411811012212613013413814214615015415816216617017417818218619019419820220621021441014182226[[#This Row],[Jour]]="1- Lundi",$B$1+1, IF(Horodateur11233538192231343743464952555861646985222634384650585462667074788290989410210611411811012212613013413814214615015415816216617017417818218619019419820220621021441014182226[[#This Row],[Jour]]="2- Mardi",$B$1+2, IF(Horodateur11233538192231343743464952555861646985222634384650585462667074788290989410210611411811012212613013413814214615015415816216617017417818218619019419820220621021441014182226[[#This Row],[Jour]]="3- Mercredi",$B$1+3, IF(Horodateur11233538192231343743464952555861646985222634384650585462667074788290989410210611411811012212613013413814214615015415816216617017417818218619019419820220621021441014182226[[#This Row],[Jour]]="4- Jeudi",$B$1+4, IF(Horodateur11233538192231343743464952555861646985222634384650585462667074788290989410210611411811012212613013413814214615015415816216617017417818218619019419820220621021441014182226[[#This Row],[Jour]]="5- Vendredi",$B$1+5, IF(Horodateur11233538192231343743464952555861646985222634384650585462667074788290989410210611411811012212613013413814214615015415816216617017417818218619019419820220621021441014182226[[#This Row],[Jour]]="6- Samedi",$B$1+6, IF(Horodateur11233538192231343743464952555861646985222634384650585462667074788290989410210611411811012212613013413814214615015415816216617017417818218619019419820220621021441014182226[[#This Row],[Jour]]="7- Dimanche",$B$1, )))))))</f>
        <v>44243</v>
      </c>
      <c r="B4" s="257" t="s">
        <v>312</v>
      </c>
      <c r="C4" s="258" t="n">
        <v>0.322916666666667</v>
      </c>
      <c r="D4" s="258" t="n">
        <v>0.364583333333333</v>
      </c>
      <c r="E4" s="71" t="s">
        <v>32</v>
      </c>
      <c r="F4" s="71" t="s">
        <v>21</v>
      </c>
      <c r="G4" s="259" t="s">
        <v>153</v>
      </c>
      <c r="H4" s="258" t="n">
        <f aca="false">IF($C4=0,"",$D4-$C4)</f>
        <v>0.0416666666666667</v>
      </c>
      <c r="I4" s="260" t="n">
        <f aca="false">IF($C4=0,"",($H4-INT($H4))*24)</f>
        <v>1</v>
      </c>
      <c r="J4" s="303" t="n">
        <f aca="false">SUMIF(Horodateur11233538192231343743464952555861646985222634384650585462667074788290989410210611411811012212613013413814214615015415816216617017417818218619019419820220621021441014182226[Jour],$B4,Horodateur11233538192231343743464952555861646985222634384650585462667074788290989410210611411811012212613013413814214615015415816216617017417818218619019419820220621021441014182226[Durée (100)])</f>
        <v>8</v>
      </c>
      <c r="K4" s="335"/>
      <c r="L4" s="188" t="s">
        <v>31</v>
      </c>
      <c r="M4" s="272" t="n">
        <f aca="false">IF(Horodateur11233538192231343743464952555861646985222634384650585462667074788290989410210611411811012212613013413814214615015415816216617017417818218619019419820220621021441014182226[[#This Row],[O]]="o",Horodateur11233538192231343743464952555861646985222634384650585462667074788290989410210611411811012212613013413814214615015415816216617017417818218619019419820220621021441014182226[[#This Row],[Durée (100)]],".")</f>
        <v>0.999999999999999</v>
      </c>
      <c r="N4" s="187"/>
      <c r="O4" s="71"/>
      <c r="P4" s="71"/>
      <c r="Q4" s="71"/>
      <c r="R4" s="71"/>
      <c r="S4" s="71"/>
      <c r="T4" s="71"/>
      <c r="U4" s="71"/>
      <c r="V4" s="71"/>
      <c r="W4" s="71"/>
      <c r="X4" s="71"/>
      <c r="Y4" s="71"/>
      <c r="Z4" s="71"/>
      <c r="AA4" s="71"/>
      <c r="AB4" s="71"/>
      <c r="AC4" s="71"/>
      <c r="AD4" s="71"/>
      <c r="AE4" s="71"/>
      <c r="AF4" s="71"/>
      <c r="AG4" s="71"/>
    </row>
    <row r="5" customFormat="false" ht="15" hidden="false" customHeight="false" outlineLevel="0" collapsed="false">
      <c r="A5" s="256" t="n">
        <f aca="false">IF(Horodateur11233538192231343743464952555861646985222634384650585462667074788290989410210611411811012212613013413814214615015415816216617017417818218619019419820220621021441014182226[[#This Row],[Jour]]="1- Lundi",$B$1+1, IF(Horodateur11233538192231343743464952555861646985222634384650585462667074788290989410210611411811012212613013413814214615015415816216617017417818218619019419820220621021441014182226[[#This Row],[Jour]]="2- Mardi",$B$1+2, IF(Horodateur11233538192231343743464952555861646985222634384650585462667074788290989410210611411811012212613013413814214615015415816216617017417818218619019419820220621021441014182226[[#This Row],[Jour]]="3- Mercredi",$B$1+3, IF(Horodateur11233538192231343743464952555861646985222634384650585462667074788290989410210611411811012212613013413814214615015415816216617017417818218619019419820220621021441014182226[[#This Row],[Jour]]="4- Jeudi",$B$1+4, IF(Horodateur11233538192231343743464952555861646985222634384650585462667074788290989410210611411811012212613013413814214615015415816216617017417818218619019419820220621021441014182226[[#This Row],[Jour]]="5- Vendredi",$B$1+5, IF(Horodateur11233538192231343743464952555861646985222634384650585462667074788290989410210611411811012212613013413814214615015415816216617017417818218619019419820220621021441014182226[[#This Row],[Jour]]="6- Samedi",$B$1+6, IF(Horodateur11233538192231343743464952555861646985222634384650585462667074788290989410210611411811012212613013413814214615015415816216617017417818218619019419820220621021441014182226[[#This Row],[Jour]]="7- Dimanche",$B$1, )))))))</f>
        <v>44243</v>
      </c>
      <c r="B5" s="257" t="s">
        <v>312</v>
      </c>
      <c r="C5" s="258" t="n">
        <v>0.364583333333333</v>
      </c>
      <c r="D5" s="258" t="n">
        <v>0.385416666666667</v>
      </c>
      <c r="E5" s="71" t="s">
        <v>32</v>
      </c>
      <c r="F5" s="71" t="s">
        <v>20</v>
      </c>
      <c r="G5" s="259" t="s">
        <v>121</v>
      </c>
      <c r="H5" s="258" t="n">
        <f aca="false">IF($C5=0,"",$D5-$C5)</f>
        <v>0.0208333333333333</v>
      </c>
      <c r="I5" s="260" t="n">
        <f aca="false">IF($C5=0,"",($H5-INT($H5))*24)</f>
        <v>0.5</v>
      </c>
      <c r="J5" s="303" t="n">
        <f aca="false">SUMIF(Horodateur11233538192231343743464952555861646985222634384650585462667074788290989410210611411811012212613013413814214615015415816216617017417818218619019419820220621021441014182226[Jour],$B5,Horodateur11233538192231343743464952555861646985222634384650585462667074788290989410210611411811012212613013413814214615015415816216617017417818218619019419820220621021441014182226[Durée (100)])</f>
        <v>8</v>
      </c>
      <c r="K5" s="335"/>
      <c r="L5" s="188" t="s">
        <v>31</v>
      </c>
      <c r="M5" s="272" t="n">
        <f aca="false">IF(Horodateur11233538192231343743464952555861646985222634384650585462667074788290989410210611411811012212613013413814214615015415816216617017417818218619019419820220621021441014182226[[#This Row],[O]]="o",Horodateur11233538192231343743464952555861646985222634384650585462667074788290989410210611411811012212613013413814214615015415816216617017417818218619019419820220621021441014182226[[#This Row],[Durée (100)]],".")</f>
        <v>0.500000000000001</v>
      </c>
      <c r="N5" s="187"/>
      <c r="O5" s="71"/>
      <c r="P5" s="71"/>
      <c r="Q5" s="71"/>
      <c r="R5" s="71"/>
      <c r="S5" s="71"/>
      <c r="T5" s="71"/>
      <c r="U5" s="71"/>
      <c r="V5" s="71"/>
      <c r="W5" s="71"/>
      <c r="X5" s="71"/>
      <c r="Y5" s="71"/>
      <c r="Z5" s="71"/>
      <c r="AA5" s="71"/>
      <c r="AB5" s="71"/>
      <c r="AC5" s="71"/>
      <c r="AD5" s="71"/>
      <c r="AE5" s="71"/>
      <c r="AF5" s="71"/>
      <c r="AG5" s="71"/>
    </row>
    <row r="6" customFormat="false" ht="15" hidden="false" customHeight="false" outlineLevel="0" collapsed="false">
      <c r="A6" s="256" t="n">
        <f aca="false">IF(Horodateur11233538192231343743464952555861646985222634384650585462667074788290989410210611411811012212613013413814214615015415816216617017417818218619019419820220621021441014182226[[#This Row],[Jour]]="1- Lundi",$B$1+1, IF(Horodateur11233538192231343743464952555861646985222634384650585462667074788290989410210611411811012212613013413814214615015415816216617017417818218619019419820220621021441014182226[[#This Row],[Jour]]="2- Mardi",$B$1+2, IF(Horodateur11233538192231343743464952555861646985222634384650585462667074788290989410210611411811012212613013413814214615015415816216617017417818218619019419820220621021441014182226[[#This Row],[Jour]]="3- Mercredi",$B$1+3, IF(Horodateur11233538192231343743464952555861646985222634384650585462667074788290989410210611411811012212613013413814214615015415816216617017417818218619019419820220621021441014182226[[#This Row],[Jour]]="4- Jeudi",$B$1+4, IF(Horodateur11233538192231343743464952555861646985222634384650585462667074788290989410210611411811012212613013413814214615015415816216617017417818218619019419820220621021441014182226[[#This Row],[Jour]]="5- Vendredi",$B$1+5, IF(Horodateur11233538192231343743464952555861646985222634384650585462667074788290989410210611411811012212613013413814214615015415816216617017417818218619019419820220621021441014182226[[#This Row],[Jour]]="6- Samedi",$B$1+6, IF(Horodateur11233538192231343743464952555861646985222634384650585462667074788290989410210611411811012212613013413814214615015415816216617017417818218619019419820220621021441014182226[[#This Row],[Jour]]="7- Dimanche",$B$1, )))))))</f>
        <v>44243</v>
      </c>
      <c r="B6" s="257" t="s">
        <v>312</v>
      </c>
      <c r="C6" s="258" t="n">
        <v>0.385416666666667</v>
      </c>
      <c r="D6" s="258" t="n">
        <v>0.395833333333333</v>
      </c>
      <c r="E6" s="71" t="s">
        <v>363</v>
      </c>
      <c r="F6" s="71" t="s">
        <v>378</v>
      </c>
      <c r="G6" s="259" t="s">
        <v>592</v>
      </c>
      <c r="H6" s="258" t="n">
        <f aca="false">IF($C6=0,"",$D6-$C6)</f>
        <v>0.0104166666666667</v>
      </c>
      <c r="I6" s="260" t="n">
        <f aca="false">IF($C6=0,"",($H6-INT($H6))*24)</f>
        <v>0.25</v>
      </c>
      <c r="J6" s="303" t="n">
        <f aca="false">SUMIF(Horodateur11233538192231343743464952555861646985222634384650585462667074788290989410210611411811012212613013413814214615015415816216617017417818218619019419820220621021441014182226[Jour],$B6,Horodateur11233538192231343743464952555861646985222634384650585462667074788290989410210611411811012212613013413814214615015415816216617017417818218619019419820220621021441014182226[Durée (100)])</f>
        <v>8</v>
      </c>
      <c r="K6" s="335"/>
      <c r="L6" s="188" t="s">
        <v>31</v>
      </c>
      <c r="M6" s="272" t="n">
        <f aca="false">IF(Horodateur11233538192231343743464952555861646985222634384650585462667074788290989410210611411811012212613013413814214615015415816216617017417818218619019419820220621021441014182226[[#This Row],[O]]="o",Horodateur11233538192231343743464952555861646985222634384650585462667074788290989410210611411811012212613013413814214615015415816216617017417818218619019419820220621021441014182226[[#This Row],[Durée (100)]],".")</f>
        <v>0.249999999999999</v>
      </c>
      <c r="N6" s="187"/>
      <c r="O6" s="71"/>
      <c r="P6" s="71"/>
      <c r="Q6" s="71"/>
      <c r="R6" s="71"/>
      <c r="S6" s="71"/>
      <c r="T6" s="71"/>
      <c r="U6" s="71"/>
      <c r="V6" s="71"/>
      <c r="W6" s="71"/>
      <c r="X6" s="71"/>
      <c r="Y6" s="71"/>
      <c r="Z6" s="71"/>
      <c r="AA6" s="71"/>
      <c r="AB6" s="71"/>
      <c r="AC6" s="71"/>
      <c r="AD6" s="71"/>
      <c r="AE6" s="71"/>
      <c r="AF6" s="71"/>
      <c r="AG6" s="71"/>
    </row>
    <row r="7" customFormat="false" ht="15" hidden="false" customHeight="false" outlineLevel="0" collapsed="false">
      <c r="A7" s="256" t="n">
        <f aca="false">IF(Horodateur11233538192231343743464952555861646985222634384650585462667074788290989410210611411811012212613013413814214615015415816216617017417818218619019419820220621021441014182226[[#This Row],[Jour]]="1- Lundi",$B$1+1, IF(Horodateur11233538192231343743464952555861646985222634384650585462667074788290989410210611411811012212613013413814214615015415816216617017417818218619019419820220621021441014182226[[#This Row],[Jour]]="2- Mardi",$B$1+2, IF(Horodateur11233538192231343743464952555861646985222634384650585462667074788290989410210611411811012212613013413814214615015415816216617017417818218619019419820220621021441014182226[[#This Row],[Jour]]="3- Mercredi",$B$1+3, IF(Horodateur11233538192231343743464952555861646985222634384650585462667074788290989410210611411811012212613013413814214615015415816216617017417818218619019419820220621021441014182226[[#This Row],[Jour]]="4- Jeudi",$B$1+4, IF(Horodateur11233538192231343743464952555861646985222634384650585462667074788290989410210611411811012212613013413814214615015415816216617017417818218619019419820220621021441014182226[[#This Row],[Jour]]="5- Vendredi",$B$1+5, IF(Horodateur11233538192231343743464952555861646985222634384650585462667074788290989410210611411811012212613013413814214615015415816216617017417818218619019419820220621021441014182226[[#This Row],[Jour]]="6- Samedi",$B$1+6, IF(Horodateur11233538192231343743464952555861646985222634384650585462667074788290989410210611411811012212613013413814214615015415816216617017417818218619019419820220621021441014182226[[#This Row],[Jour]]="7- Dimanche",$B$1, )))))))</f>
        <v>44243</v>
      </c>
      <c r="B7" s="257" t="s">
        <v>312</v>
      </c>
      <c r="C7" s="258" t="n">
        <v>0.395833333333333</v>
      </c>
      <c r="D7" s="258" t="n">
        <v>0.416666666666667</v>
      </c>
      <c r="E7" s="71" t="s">
        <v>37</v>
      </c>
      <c r="F7" s="71" t="s">
        <v>379</v>
      </c>
      <c r="G7" s="259" t="s">
        <v>55</v>
      </c>
      <c r="H7" s="258" t="n">
        <f aca="false">IF($C7=0,"",$D7-$C7)</f>
        <v>0.0208333333333333</v>
      </c>
      <c r="I7" s="260" t="n">
        <f aca="false">IF($C7=0,"",($H7-INT($H7))*24)</f>
        <v>0.5</v>
      </c>
      <c r="J7" s="303" t="n">
        <f aca="false">SUMIF(Horodateur11233538192231343743464952555861646985222634384650585462667074788290989410210611411811012212613013413814214615015415816216617017417818218619019419820220621021441014182226[Jour],$B7,Horodateur11233538192231343743464952555861646985222634384650585462667074788290989410210611411811012212613013413814214615015415816216617017417818218619019419820220621021441014182226[Durée (100)])</f>
        <v>8</v>
      </c>
      <c r="K7" s="335"/>
      <c r="L7" s="188" t="s">
        <v>31</v>
      </c>
      <c r="M7" s="272" t="n">
        <f aca="false">IF(Horodateur11233538192231343743464952555861646985222634384650585462667074788290989410210611411811012212613013413814214615015415816216617017417818218619019419820220621021441014182226[[#This Row],[O]]="o",Horodateur11233538192231343743464952555861646985222634384650585462667074788290989410210611411811012212613013413814214615015415816216617017417818218619019419820220621021441014182226[[#This Row],[Durée (100)]],".")</f>
        <v>0.500000000000001</v>
      </c>
      <c r="N7" s="187"/>
      <c r="O7" s="71"/>
      <c r="P7" s="71"/>
      <c r="Q7" s="71"/>
      <c r="R7" s="71"/>
      <c r="S7" s="71"/>
      <c r="T7" s="71"/>
      <c r="U7" s="71"/>
      <c r="V7" s="71"/>
      <c r="W7" s="71"/>
      <c r="X7" s="71"/>
      <c r="Y7" s="71"/>
      <c r="Z7" s="71"/>
      <c r="AA7" s="71"/>
      <c r="AB7" s="71"/>
      <c r="AC7" s="71"/>
      <c r="AD7" s="71"/>
      <c r="AE7" s="71"/>
      <c r="AF7" s="71"/>
      <c r="AG7" s="71"/>
    </row>
    <row r="8" customFormat="false" ht="15" hidden="false" customHeight="false" outlineLevel="0" collapsed="false">
      <c r="A8" s="256" t="n">
        <f aca="false">IF(Horodateur11233538192231343743464952555861646985222634384650585462667074788290989410210611411811012212613013413814214615015415816216617017417818218619019419820220621021441014182226[[#This Row],[Jour]]="1- Lundi",$B$1+1, IF(Horodateur11233538192231343743464952555861646985222634384650585462667074788290989410210611411811012212613013413814214615015415816216617017417818218619019419820220621021441014182226[[#This Row],[Jour]]="2- Mardi",$B$1+2, IF(Horodateur11233538192231343743464952555861646985222634384650585462667074788290989410210611411811012212613013413814214615015415816216617017417818218619019419820220621021441014182226[[#This Row],[Jour]]="3- Mercredi",$B$1+3, IF(Horodateur11233538192231343743464952555861646985222634384650585462667074788290989410210611411811012212613013413814214615015415816216617017417818218619019419820220621021441014182226[[#This Row],[Jour]]="4- Jeudi",$B$1+4, IF(Horodateur11233538192231343743464952555861646985222634384650585462667074788290989410210611411811012212613013413814214615015415816216617017417818218619019419820220621021441014182226[[#This Row],[Jour]]="5- Vendredi",$B$1+5, IF(Horodateur11233538192231343743464952555861646985222634384650585462667074788290989410210611411811012212613013413814214615015415816216617017417818218619019419820220621021441014182226[[#This Row],[Jour]]="6- Samedi",$B$1+6, IF(Horodateur11233538192231343743464952555861646985222634384650585462667074788290989410210611411811012212613013413814214615015415816216617017417818218619019419820220621021441014182226[[#This Row],[Jour]]="7- Dimanche",$B$1, )))))))</f>
        <v>44243</v>
      </c>
      <c r="B8" s="257" t="s">
        <v>312</v>
      </c>
      <c r="C8" s="258" t="n">
        <v>0.416666666666667</v>
      </c>
      <c r="D8" s="258" t="n">
        <v>0.4375</v>
      </c>
      <c r="E8" s="71" t="s">
        <v>363</v>
      </c>
      <c r="F8" s="71" t="s">
        <v>378</v>
      </c>
      <c r="G8" s="259" t="s">
        <v>593</v>
      </c>
      <c r="H8" s="258" t="n">
        <f aca="false">IF($C8=0,"",$D8-$C8)</f>
        <v>0.0208333333333333</v>
      </c>
      <c r="I8" s="260" t="n">
        <f aca="false">IF($C8=0,"",($H8-INT($H8))*24)</f>
        <v>0.5</v>
      </c>
      <c r="J8" s="303" t="n">
        <f aca="false">SUMIF(Horodateur11233538192231343743464952555861646985222634384650585462667074788290989410210611411811012212613013413814214615015415816216617017417818218619019419820220621021441014182226[Jour],$B8,Horodateur11233538192231343743464952555861646985222634384650585462667074788290989410210611411811012212613013413814214615015415816216617017417818218619019419820220621021441014182226[Durée (100)])</f>
        <v>8</v>
      </c>
      <c r="K8" s="335"/>
      <c r="L8" s="188" t="s">
        <v>31</v>
      </c>
      <c r="M8" s="272" t="n">
        <f aca="false">IF(Horodateur11233538192231343743464952555861646985222634384650585462667074788290989410210611411811012212613013413814214615015415816216617017417818218619019419820220621021441014182226[[#This Row],[O]]="o",Horodateur11233538192231343743464952555861646985222634384650585462667074788290989410210611411811012212613013413814214615015415816216617017417818218619019419820220621021441014182226[[#This Row],[Durée (100)]],".")</f>
        <v>0.5</v>
      </c>
      <c r="N8" s="187"/>
      <c r="O8" s="71"/>
      <c r="P8" s="71"/>
      <c r="Q8" s="71"/>
      <c r="R8" s="71"/>
      <c r="S8" s="71"/>
      <c r="T8" s="71"/>
      <c r="U8" s="71"/>
      <c r="V8" s="71"/>
      <c r="W8" s="71"/>
      <c r="X8" s="71"/>
      <c r="Y8" s="71"/>
      <c r="Z8" s="71"/>
      <c r="AA8" s="71"/>
      <c r="AB8" s="71"/>
      <c r="AC8" s="71"/>
      <c r="AD8" s="71"/>
      <c r="AE8" s="71"/>
      <c r="AF8" s="71"/>
      <c r="AG8" s="71"/>
    </row>
    <row r="9" customFormat="false" ht="15" hidden="false" customHeight="false" outlineLevel="0" collapsed="false">
      <c r="A9" s="256" t="n">
        <f aca="false">IF(Horodateur11233538192231343743464952555861646985222634384650585462667074788290989410210611411811012212613013413814214615015415816216617017417818218619019419820220621021441014182226[[#This Row],[Jour]]="1- Lundi",$B$1+1, IF(Horodateur11233538192231343743464952555861646985222634384650585462667074788290989410210611411811012212613013413814214615015415816216617017417818218619019419820220621021441014182226[[#This Row],[Jour]]="2- Mardi",$B$1+2, IF(Horodateur11233538192231343743464952555861646985222634384650585462667074788290989410210611411811012212613013413814214615015415816216617017417818218619019419820220621021441014182226[[#This Row],[Jour]]="3- Mercredi",$B$1+3, IF(Horodateur11233538192231343743464952555861646985222634384650585462667074788290989410210611411811012212613013413814214615015415816216617017417818218619019419820220621021441014182226[[#This Row],[Jour]]="4- Jeudi",$B$1+4, IF(Horodateur11233538192231343743464952555861646985222634384650585462667074788290989410210611411811012212613013413814214615015415816216617017417818218619019419820220621021441014182226[[#This Row],[Jour]]="5- Vendredi",$B$1+5, IF(Horodateur11233538192231343743464952555861646985222634384650585462667074788290989410210611411811012212613013413814214615015415816216617017417818218619019419820220621021441014182226[[#This Row],[Jour]]="6- Samedi",$B$1+6, IF(Horodateur11233538192231343743464952555861646985222634384650585462667074788290989410210611411811012212613013413814214615015415816216617017417818218619019419820220621021441014182226[[#This Row],[Jour]]="7- Dimanche",$B$1, )))))))</f>
        <v>44243</v>
      </c>
      <c r="B9" s="257" t="s">
        <v>312</v>
      </c>
      <c r="C9" s="258" t="n">
        <v>0.4375</v>
      </c>
      <c r="D9" s="258" t="n">
        <v>0.458333333333333</v>
      </c>
      <c r="E9" s="71" t="s">
        <v>32</v>
      </c>
      <c r="F9" s="71" t="s">
        <v>22</v>
      </c>
      <c r="G9" s="259" t="s">
        <v>594</v>
      </c>
      <c r="H9" s="258" t="n">
        <f aca="false">IF($C9=0,"",$D9-$C9)</f>
        <v>0.0208333333333333</v>
      </c>
      <c r="I9" s="260" t="n">
        <f aca="false">IF($C9=0,"",($H9-INT($H9))*24)</f>
        <v>0.5</v>
      </c>
      <c r="J9" s="303" t="n">
        <f aca="false">SUMIF(Horodateur11233538192231343743464952555861646985222634384650585462667074788290989410210611411811012212613013413814214615015415816216617017417818218619019419820220621021441014182226[Jour],$B9,Horodateur11233538192231343743464952555861646985222634384650585462667074788290989410210611411811012212613013413814214615015415816216617017417818218619019419820220621021441014182226[Durée (100)])</f>
        <v>8</v>
      </c>
      <c r="K9" s="335"/>
      <c r="L9" s="188" t="s">
        <v>31</v>
      </c>
      <c r="M9" s="272" t="n">
        <f aca="false">IF(Horodateur11233538192231343743464952555861646985222634384650585462667074788290989410210611411811012212613013413814214615015415816216617017417818218619019419820220621021441014182226[[#This Row],[O]]="o",Horodateur11233538192231343743464952555861646985222634384650585462667074788290989410210611411811012212613013413814214615015415816216617017417818218619019419820220621021441014182226[[#This Row],[Durée (100)]],".")</f>
        <v>0.5</v>
      </c>
      <c r="N9" s="187"/>
      <c r="O9" s="71"/>
      <c r="P9" s="71"/>
      <c r="Q9" s="71"/>
      <c r="R9" s="71"/>
      <c r="S9" s="71"/>
      <c r="T9" s="71"/>
      <c r="U9" s="71"/>
      <c r="V9" s="71"/>
      <c r="W9" s="71"/>
      <c r="X9" s="71"/>
      <c r="Y9" s="71"/>
      <c r="Z9" s="71"/>
      <c r="AA9" s="71"/>
      <c r="AB9" s="71"/>
      <c r="AC9" s="71"/>
      <c r="AD9" s="71"/>
      <c r="AE9" s="71"/>
      <c r="AF9" s="71"/>
      <c r="AG9" s="71"/>
    </row>
    <row r="10" customFormat="false" ht="15" hidden="false" customHeight="false" outlineLevel="0" collapsed="false">
      <c r="A10" s="256" t="n">
        <f aca="false">IF(Horodateur11233538192231343743464952555861646985222634384650585462667074788290989410210611411811012212613013413814214615015415816216617017417818218619019419820220621021441014182226[[#This Row],[Jour]]="1- Lundi",$B$1+1, IF(Horodateur11233538192231343743464952555861646985222634384650585462667074788290989410210611411811012212613013413814214615015415816216617017417818218619019419820220621021441014182226[[#This Row],[Jour]]="2- Mardi",$B$1+2, IF(Horodateur11233538192231343743464952555861646985222634384650585462667074788290989410210611411811012212613013413814214615015415816216617017417818218619019419820220621021441014182226[[#This Row],[Jour]]="3- Mercredi",$B$1+3, IF(Horodateur11233538192231343743464952555861646985222634384650585462667074788290989410210611411811012212613013413814214615015415816216617017417818218619019419820220621021441014182226[[#This Row],[Jour]]="4- Jeudi",$B$1+4, IF(Horodateur11233538192231343743464952555861646985222634384650585462667074788290989410210611411811012212613013413814214615015415816216617017417818218619019419820220621021441014182226[[#This Row],[Jour]]="5- Vendredi",$B$1+5, IF(Horodateur11233538192231343743464952555861646985222634384650585462667074788290989410210611411811012212613013413814214615015415816216617017417818218619019419820220621021441014182226[[#This Row],[Jour]]="6- Samedi",$B$1+6, IF(Horodateur11233538192231343743464952555861646985222634384650585462667074788290989410210611411811012212613013413814214615015415816216617017417818218619019419820220621021441014182226[[#This Row],[Jour]]="7- Dimanche",$B$1, )))))))</f>
        <v>44243</v>
      </c>
      <c r="B10" s="257" t="s">
        <v>312</v>
      </c>
      <c r="C10" s="258" t="n">
        <v>0.458333333333333</v>
      </c>
      <c r="D10" s="258" t="n">
        <v>0.479166666666667</v>
      </c>
      <c r="E10" s="71" t="s">
        <v>32</v>
      </c>
      <c r="F10" s="71" t="s">
        <v>23</v>
      </c>
      <c r="G10" s="259"/>
      <c r="H10" s="258" t="n">
        <f aca="false">IF($C10=0,"",$D10-$C10)</f>
        <v>0.0208333333333333</v>
      </c>
      <c r="I10" s="260" t="n">
        <f aca="false">IF($C10=0,"",($H10-INT($H10))*24)</f>
        <v>0.5</v>
      </c>
      <c r="J10" s="303" t="n">
        <f aca="false">SUMIF(Horodateur11233538192231343743464952555861646985222634384650585462667074788290989410210611411811012212613013413814214615015415816216617017417818218619019419820220621021441014182226[Jour],$B10,Horodateur11233538192231343743464952555861646985222634384650585462667074788290989410210611411811012212613013413814214615015415816216617017417818218619019419820220621021441014182226[Durée (100)])</f>
        <v>8</v>
      </c>
      <c r="K10" s="335"/>
      <c r="L10" s="188" t="s">
        <v>31</v>
      </c>
      <c r="M10" s="272" t="n">
        <f aca="false">IF(Horodateur11233538192231343743464952555861646985222634384650585462667074788290989410210611411811012212613013413814214615015415816216617017417818218619019419820220621021441014182226[[#This Row],[O]]="o",Horodateur11233538192231343743464952555861646985222634384650585462667074788290989410210611411811012212613013413814214615015415816216617017417818218619019419820220621021441014182226[[#This Row],[Durée (100)]],".")</f>
        <v>0.500000000000001</v>
      </c>
      <c r="N10" s="187"/>
      <c r="O10" s="71"/>
      <c r="P10" s="71"/>
      <c r="Q10" s="71"/>
      <c r="R10" s="71"/>
      <c r="S10" s="71"/>
      <c r="T10" s="71"/>
      <c r="U10" s="71"/>
      <c r="V10" s="71"/>
      <c r="W10" s="71"/>
      <c r="X10" s="71"/>
      <c r="Y10" s="71"/>
      <c r="Z10" s="71"/>
      <c r="AA10" s="71"/>
      <c r="AB10" s="71"/>
      <c r="AC10" s="71"/>
      <c r="AD10" s="71"/>
      <c r="AE10" s="71"/>
      <c r="AF10" s="71"/>
      <c r="AG10" s="71"/>
    </row>
    <row r="11" customFormat="false" ht="15" hidden="false" customHeight="false" outlineLevel="0" collapsed="false">
      <c r="A11" s="256" t="n">
        <f aca="false">IF(Horodateur11233538192231343743464952555861646985222634384650585462667074788290989410210611411811012212613013413814214615015415816216617017417818218619019419820220621021441014182226[[#This Row],[Jour]]="1- Lundi",$B$1+1, IF(Horodateur11233538192231343743464952555861646985222634384650585462667074788290989410210611411811012212613013413814214615015415816216617017417818218619019419820220621021441014182226[[#This Row],[Jour]]="2- Mardi",$B$1+2, IF(Horodateur11233538192231343743464952555861646985222634384650585462667074788290989410210611411811012212613013413814214615015415816216617017417818218619019419820220621021441014182226[[#This Row],[Jour]]="3- Mercredi",$B$1+3, IF(Horodateur11233538192231343743464952555861646985222634384650585462667074788290989410210611411811012212613013413814214615015415816216617017417818218619019419820220621021441014182226[[#This Row],[Jour]]="4- Jeudi",$B$1+4, IF(Horodateur11233538192231343743464952555861646985222634384650585462667074788290989410210611411811012212613013413814214615015415816216617017417818218619019419820220621021441014182226[[#This Row],[Jour]]="5- Vendredi",$B$1+5, IF(Horodateur11233538192231343743464952555861646985222634384650585462667074788290989410210611411811012212613013413814214615015415816216617017417818218619019419820220621021441014182226[[#This Row],[Jour]]="6- Samedi",$B$1+6, IF(Horodateur11233538192231343743464952555861646985222634384650585462667074788290989410210611411811012212613013413814214615015415816216617017417818218619019419820220621021441014182226[[#This Row],[Jour]]="7- Dimanche",$B$1, )))))))</f>
        <v>44243</v>
      </c>
      <c r="B11" s="257" t="s">
        <v>312</v>
      </c>
      <c r="C11" s="258" t="n">
        <v>0.479166666666667</v>
      </c>
      <c r="D11" s="258" t="n">
        <v>0.510416666666667</v>
      </c>
      <c r="E11" s="71" t="s">
        <v>32</v>
      </c>
      <c r="F11" s="71" t="s">
        <v>22</v>
      </c>
      <c r="G11" s="259" t="s">
        <v>594</v>
      </c>
      <c r="H11" s="258" t="n">
        <f aca="false">IF($C11=0,"",$D11-$C11)</f>
        <v>0.03125</v>
      </c>
      <c r="I11" s="260" t="n">
        <f aca="false">IF($C11=0,"",($H11-INT($H11))*24)</f>
        <v>0.75</v>
      </c>
      <c r="J11" s="303" t="n">
        <f aca="false">SUMIF(Horodateur11233538192231343743464952555861646985222634384650585462667074788290989410210611411811012212613013413814214615015415816216617017417818218619019419820220621021441014182226[Jour],$B11,Horodateur11233538192231343743464952555861646985222634384650585462667074788290989410210611411811012212613013413814214615015415816216617017417818218619019419820220621021441014182226[Durée (100)])</f>
        <v>8</v>
      </c>
      <c r="K11" s="335"/>
      <c r="L11" s="188" t="s">
        <v>31</v>
      </c>
      <c r="M11" s="272" t="n">
        <f aca="false">IF(Horodateur11233538192231343743464952555861646985222634384650585462667074788290989410210611411811012212613013413814214615015415816216617017417818218619019419820220621021441014182226[[#This Row],[O]]="o",Horodateur11233538192231343743464952555861646985222634384650585462667074788290989410210611411811012212613013413814214615015415816216617017417818218619019419820220621021441014182226[[#This Row],[Durée (100)]],".")</f>
        <v>0.749999999999999</v>
      </c>
      <c r="N11" s="187"/>
      <c r="O11" s="71"/>
      <c r="P11" s="71"/>
      <c r="Q11" s="71"/>
      <c r="R11" s="71"/>
      <c r="S11" s="71"/>
      <c r="T11" s="71"/>
      <c r="U11" s="71"/>
      <c r="V11" s="71"/>
      <c r="W11" s="71"/>
      <c r="X11" s="71"/>
      <c r="Y11" s="71"/>
      <c r="Z11" s="71"/>
      <c r="AA11" s="71"/>
      <c r="AB11" s="71"/>
      <c r="AC11" s="71"/>
      <c r="AD11" s="71"/>
      <c r="AE11" s="71"/>
      <c r="AF11" s="71"/>
      <c r="AG11" s="71"/>
    </row>
    <row r="12" customFormat="false" ht="15" hidden="false" customHeight="false" outlineLevel="0" collapsed="false">
      <c r="A12" s="256" t="n">
        <f aca="false">IF(Horodateur11233538192231343743464952555861646985222634384650585462667074788290989410210611411811012212613013413814214615015415816216617017417818218619019419820220621021441014182226[[#This Row],[Jour]]="1- Lundi",$B$1+1, IF(Horodateur11233538192231343743464952555861646985222634384650585462667074788290989410210611411811012212613013413814214615015415816216617017417818218619019419820220621021441014182226[[#This Row],[Jour]]="2- Mardi",$B$1+2, IF(Horodateur11233538192231343743464952555861646985222634384650585462667074788290989410210611411811012212613013413814214615015415816216617017417818218619019419820220621021441014182226[[#This Row],[Jour]]="3- Mercredi",$B$1+3, IF(Horodateur11233538192231343743464952555861646985222634384650585462667074788290989410210611411811012212613013413814214615015415816216617017417818218619019419820220621021441014182226[[#This Row],[Jour]]="4- Jeudi",$B$1+4, IF(Horodateur11233538192231343743464952555861646985222634384650585462667074788290989410210611411811012212613013413814214615015415816216617017417818218619019419820220621021441014182226[[#This Row],[Jour]]="5- Vendredi",$B$1+5, IF(Horodateur11233538192231343743464952555861646985222634384650585462667074788290989410210611411811012212613013413814214615015415816216617017417818218619019419820220621021441014182226[[#This Row],[Jour]]="6- Samedi",$B$1+6, IF(Horodateur11233538192231343743464952555861646985222634384650585462667074788290989410210611411811012212613013413814214615015415816216617017417818218619019419820220621021441014182226[[#This Row],[Jour]]="7- Dimanche",$B$1, )))))))</f>
        <v>44243</v>
      </c>
      <c r="B12" s="257" t="s">
        <v>312</v>
      </c>
      <c r="C12" s="258" t="n">
        <v>0.5625</v>
      </c>
      <c r="D12" s="258" t="n">
        <v>0.645833333333333</v>
      </c>
      <c r="E12" s="71" t="s">
        <v>37</v>
      </c>
      <c r="F12" s="71" t="s">
        <v>378</v>
      </c>
      <c r="G12" s="259" t="s">
        <v>594</v>
      </c>
      <c r="H12" s="258" t="n">
        <f aca="false">IF($C12=0,"",$D12-$C12)</f>
        <v>0.0833333333333333</v>
      </c>
      <c r="I12" s="260" t="n">
        <f aca="false">IF($C12=0,"",($H12-INT($H12))*24)</f>
        <v>2</v>
      </c>
      <c r="J12" s="303" t="n">
        <f aca="false">SUMIF(Horodateur11233538192231343743464952555861646985222634384650585462667074788290989410210611411811012212613013413814214615015415816216617017417818218619019419820220621021441014182226[Jour],$B12,Horodateur11233538192231343743464952555861646985222634384650585462667074788290989410210611411811012212613013413814214615015415816216617017417818218619019419820220621021441014182226[Durée (100)])</f>
        <v>8</v>
      </c>
      <c r="K12" s="335"/>
      <c r="L12" s="188" t="s">
        <v>31</v>
      </c>
      <c r="M12" s="272" t="n">
        <f aca="false">IF(Horodateur11233538192231343743464952555861646985222634384650585462667074788290989410210611411811012212613013413814214615015415816216617017417818218619019419820220621021441014182226[[#This Row],[O]]="o",Horodateur11233538192231343743464952555861646985222634384650585462667074788290989410210611411811012212613013413814214615015415816216617017417818218619019419820220621021441014182226[[#This Row],[Durée (100)]],".")</f>
        <v>2</v>
      </c>
      <c r="N12" s="187"/>
      <c r="O12" s="71"/>
      <c r="P12" s="71"/>
      <c r="Q12" s="71"/>
      <c r="R12" s="71"/>
      <c r="S12" s="71"/>
      <c r="T12" s="71"/>
      <c r="U12" s="71"/>
      <c r="V12" s="71"/>
      <c r="W12" s="71"/>
      <c r="X12" s="71"/>
      <c r="Y12" s="71"/>
      <c r="Z12" s="71"/>
      <c r="AA12" s="71"/>
      <c r="AB12" s="71"/>
      <c r="AC12" s="71"/>
      <c r="AD12" s="71"/>
      <c r="AE12" s="71"/>
      <c r="AF12" s="71"/>
      <c r="AG12" s="71"/>
    </row>
    <row r="13" customFormat="false" ht="15" hidden="false" customHeight="false" outlineLevel="0" collapsed="false">
      <c r="A13" s="256" t="n">
        <f aca="false">IF(Horodateur11233538192231343743464952555861646985222634384650585462667074788290989410210611411811012212613013413814214615015415816216617017417818218619019419820220621021441014182226[[#This Row],[Jour]]="1- Lundi",$B$1+1, IF(Horodateur11233538192231343743464952555861646985222634384650585462667074788290989410210611411811012212613013413814214615015415816216617017417818218619019419820220621021441014182226[[#This Row],[Jour]]="2- Mardi",$B$1+2, IF(Horodateur11233538192231343743464952555861646985222634384650585462667074788290989410210611411811012212613013413814214615015415816216617017417818218619019419820220621021441014182226[[#This Row],[Jour]]="3- Mercredi",$B$1+3, IF(Horodateur11233538192231343743464952555861646985222634384650585462667074788290989410210611411811012212613013413814214615015415816216617017417818218619019419820220621021441014182226[[#This Row],[Jour]]="4- Jeudi",$B$1+4, IF(Horodateur11233538192231343743464952555861646985222634384650585462667074788290989410210611411811012212613013413814214615015415816216617017417818218619019419820220621021441014182226[[#This Row],[Jour]]="5- Vendredi",$B$1+5, IF(Horodateur11233538192231343743464952555861646985222634384650585462667074788290989410210611411811012212613013413814214615015415816216617017417818218619019419820220621021441014182226[[#This Row],[Jour]]="6- Samedi",$B$1+6, IF(Horodateur11233538192231343743464952555861646985222634384650585462667074788290989410210611411811012212613013413814214615015415816216617017417818218619019419820220621021441014182226[[#This Row],[Jour]]="7- Dimanche",$B$1, )))))))</f>
        <v>44243</v>
      </c>
      <c r="B13" s="257" t="s">
        <v>312</v>
      </c>
      <c r="C13" s="258" t="n">
        <v>0.645833333333333</v>
      </c>
      <c r="D13" s="258" t="n">
        <v>0.6875</v>
      </c>
      <c r="E13" s="71" t="s">
        <v>32</v>
      </c>
      <c r="F13" s="71" t="s">
        <v>22</v>
      </c>
      <c r="G13" s="259" t="s">
        <v>594</v>
      </c>
      <c r="H13" s="258" t="n">
        <f aca="false">IF($C13=0,"",$D13-$C13)</f>
        <v>0.0416666666666667</v>
      </c>
      <c r="I13" s="260" t="n">
        <f aca="false">IF($C13=0,"",($H13-INT($H13))*24)</f>
        <v>1</v>
      </c>
      <c r="J13" s="303" t="n">
        <f aca="false">SUMIF(Horodateur11233538192231343743464952555861646985222634384650585462667074788290989410210611411811012212613013413814214615015415816216617017417818218619019419820220621021441014182226[Jour],$B13,Horodateur11233538192231343743464952555861646985222634384650585462667074788290989410210611411811012212613013413814214615015415816216617017417818218619019419820220621021441014182226[Durée (100)])</f>
        <v>8</v>
      </c>
      <c r="K13" s="335"/>
      <c r="L13" s="188" t="s">
        <v>31</v>
      </c>
      <c r="M13" s="272" t="n">
        <f aca="false">IF(Horodateur11233538192231343743464952555861646985222634384650585462667074788290989410210611411811012212613013413814214615015415816216617017417818218619019419820220621021441014182226[[#This Row],[O]]="o",Horodateur11233538192231343743464952555861646985222634384650585462667074788290989410210611411811012212613013413814214615015415816216617017417818218619019419820220621021441014182226[[#This Row],[Durée (100)]],".")</f>
        <v>0.999999999999999</v>
      </c>
      <c r="N13" s="187"/>
      <c r="O13" s="71"/>
      <c r="P13" s="71"/>
      <c r="Q13" s="71"/>
      <c r="R13" s="71"/>
      <c r="S13" s="71"/>
      <c r="T13" s="71"/>
      <c r="U13" s="71"/>
      <c r="V13" s="71"/>
      <c r="W13" s="71"/>
      <c r="X13" s="71"/>
      <c r="Y13" s="71"/>
      <c r="Z13" s="71"/>
      <c r="AA13" s="71"/>
      <c r="AB13" s="71"/>
      <c r="AC13" s="71"/>
      <c r="AD13" s="71"/>
      <c r="AE13" s="71"/>
      <c r="AF13" s="71"/>
      <c r="AG13" s="71"/>
    </row>
    <row r="14" customFormat="false" ht="15" hidden="false" customHeight="false" outlineLevel="0" collapsed="false">
      <c r="A14" s="256" t="n">
        <f aca="false">IF(Horodateur11233538192231343743464952555861646985222634384650585462667074788290989410210611411811012212613013413814214615015415816216617017417818218619019419820220621021441014182226[[#This Row],[Jour]]="1- Lundi",$B$1+1, IF(Horodateur11233538192231343743464952555861646985222634384650585462667074788290989410210611411811012212613013413814214615015415816216617017417818218619019419820220621021441014182226[[#This Row],[Jour]]="2- Mardi",$B$1+2, IF(Horodateur11233538192231343743464952555861646985222634384650585462667074788290989410210611411811012212613013413814214615015415816216617017417818218619019419820220621021441014182226[[#This Row],[Jour]]="3- Mercredi",$B$1+3, IF(Horodateur11233538192231343743464952555861646985222634384650585462667074788290989410210611411811012212613013413814214615015415816216617017417818218619019419820220621021441014182226[[#This Row],[Jour]]="4- Jeudi",$B$1+4, IF(Horodateur11233538192231343743464952555861646985222634384650585462667074788290989410210611411811012212613013413814214615015415816216617017417818218619019419820220621021441014182226[[#This Row],[Jour]]="5- Vendredi",$B$1+5, IF(Horodateur11233538192231343743464952555861646985222634384650585462667074788290989410210611411811012212613013413814214615015415816216617017417818218619019419820220621021441014182226[[#This Row],[Jour]]="6- Samedi",$B$1+6, IF(Horodateur11233538192231343743464952555861646985222634384650585462667074788290989410210611411811012212613013413814214615015415816216617017417818218619019419820220621021441014182226[[#This Row],[Jour]]="7- Dimanche",$B$1, )))))))</f>
        <v>44243</v>
      </c>
      <c r="B14" s="257" t="s">
        <v>312</v>
      </c>
      <c r="C14" s="258" t="n">
        <v>0.6875</v>
      </c>
      <c r="D14" s="258" t="n">
        <v>0.708333333333333</v>
      </c>
      <c r="E14" s="71" t="s">
        <v>63</v>
      </c>
      <c r="F14" s="71" t="s">
        <v>379</v>
      </c>
      <c r="G14" s="259" t="s">
        <v>55</v>
      </c>
      <c r="H14" s="258" t="n">
        <f aca="false">IF($C14=0,"",$D14-$C14)</f>
        <v>0.0208333333333333</v>
      </c>
      <c r="I14" s="260" t="n">
        <f aca="false">IF($C14=0,"",($H14-INT($H14))*24)</f>
        <v>0.5</v>
      </c>
      <c r="J14" s="303" t="n">
        <f aca="false">SUMIF(Horodateur11233538192231343743464952555861646985222634384650585462667074788290989410210611411811012212613013413814214615015415816216617017417818218619019419820220621021441014182226[Jour],$B14,Horodateur11233538192231343743464952555861646985222634384650585462667074788290989410210611411811012212613013413814214615015415816216617017417818218619019419820220621021441014182226[Durée (100)])</f>
        <v>8</v>
      </c>
      <c r="K14" s="335"/>
      <c r="L14" s="188" t="s">
        <v>31</v>
      </c>
      <c r="M14" s="272" t="n">
        <f aca="false">IF(Horodateur11233538192231343743464952555861646985222634384650585462667074788290989410210611411811012212613013413814214615015415816216617017417818218619019419820220621021441014182226[[#This Row],[O]]="o",Horodateur11233538192231343743464952555861646985222634384650585462667074788290989410210611411811012212613013413814214615015415816216617017417818218619019419820220621021441014182226[[#This Row],[Durée (100)]],".")</f>
        <v>0.500000000000001</v>
      </c>
      <c r="N14" s="187"/>
      <c r="O14" s="71"/>
      <c r="P14" s="71"/>
      <c r="Q14" s="71"/>
      <c r="R14" s="71"/>
      <c r="S14" s="71"/>
      <c r="T14" s="71"/>
      <c r="U14" s="71"/>
      <c r="V14" s="71"/>
      <c r="W14" s="71"/>
      <c r="X14" s="71"/>
      <c r="Y14" s="71"/>
      <c r="Z14" s="71"/>
      <c r="AA14" s="71"/>
      <c r="AB14" s="71"/>
      <c r="AC14" s="71"/>
      <c r="AD14" s="71"/>
      <c r="AE14" s="71"/>
      <c r="AF14" s="71"/>
      <c r="AG14" s="71"/>
    </row>
    <row r="15" customFormat="false" ht="15" hidden="false" customHeight="false" outlineLevel="0" collapsed="false">
      <c r="A15" s="256" t="n">
        <f aca="false">IF(Horodateur11233538192231343743464952555861646985222634384650585462667074788290989410210611411811012212613013413814214615015415816216617017417818218619019419820220621021441014182226[[#This Row],[Jour]]="1- Lundi",$B$1+1, IF(Horodateur11233538192231343743464952555861646985222634384650585462667074788290989410210611411811012212613013413814214615015415816216617017417818218619019419820220621021441014182226[[#This Row],[Jour]]="2- Mardi",$B$1+2, IF(Horodateur11233538192231343743464952555861646985222634384650585462667074788290989410210611411811012212613013413814214615015415816216617017417818218619019419820220621021441014182226[[#This Row],[Jour]]="3- Mercredi",$B$1+3, IF(Horodateur11233538192231343743464952555861646985222634384650585462667074788290989410210611411811012212613013413814214615015415816216617017417818218619019419820220621021441014182226[[#This Row],[Jour]]="4- Jeudi",$B$1+4, IF(Horodateur11233538192231343743464952555861646985222634384650585462667074788290989410210611411811012212613013413814214615015415816216617017417818218619019419820220621021441014182226[[#This Row],[Jour]]="5- Vendredi",$B$1+5, IF(Horodateur11233538192231343743464952555861646985222634384650585462667074788290989410210611411811012212613013413814214615015415816216617017417818218619019419820220621021441014182226[[#This Row],[Jour]]="6- Samedi",$B$1+6, IF(Horodateur11233538192231343743464952555861646985222634384650585462667074788290989410210611411811012212613013413814214615015415816216617017417818218619019419820220621021441014182226[[#This Row],[Jour]]="7- Dimanche",$B$1, )))))))</f>
        <v>44244</v>
      </c>
      <c r="B15" s="257" t="s">
        <v>319</v>
      </c>
      <c r="C15" s="258" t="n">
        <v>0.3125</v>
      </c>
      <c r="D15" s="258" t="n">
        <v>0.354166666666667</v>
      </c>
      <c r="E15" s="71" t="s">
        <v>37</v>
      </c>
      <c r="F15" s="71" t="s">
        <v>378</v>
      </c>
      <c r="G15" s="259" t="s">
        <v>594</v>
      </c>
      <c r="H15" s="258" t="n">
        <f aca="false">IF($C15=0,"",$D15-$C15)</f>
        <v>0.0416666666666667</v>
      </c>
      <c r="I15" s="260" t="n">
        <f aca="false">IF($C15=0,"",($H15-INT($H15))*24)</f>
        <v>1</v>
      </c>
      <c r="J15" s="303" t="n">
        <f aca="false">SUMIF(Horodateur11233538192231343743464952555861646985222634384650585462667074788290989410210611411811012212613013413814214615015415816216617017417818218619019419820220621021441014182226[Jour],$B15,Horodateur11233538192231343743464952555861646985222634384650585462667074788290989410210611411811012212613013413814214615015415816216617017417818218619019419820220621021441014182226[Durée (100)])</f>
        <v>8.5</v>
      </c>
      <c r="K15" s="335"/>
      <c r="L15" s="188" t="s">
        <v>31</v>
      </c>
      <c r="M15" s="272" t="n">
        <f aca="false">IF(Horodateur11233538192231343743464952555861646985222634384650585462667074788290989410210611411811012212613013413814214615015415816216617017417818218619019419820220621021441014182226[[#This Row],[O]]="o",Horodateur11233538192231343743464952555861646985222634384650585462667074788290989410210611411811012212613013413814214615015415816216617017417818218619019419820220621021441014182226[[#This Row],[Durée (100)]],".")</f>
        <v>1</v>
      </c>
      <c r="N15" s="187"/>
      <c r="O15" s="71"/>
      <c r="P15" s="71"/>
      <c r="Q15" s="71"/>
      <c r="R15" s="71"/>
      <c r="S15" s="71"/>
      <c r="T15" s="71"/>
      <c r="U15" s="71"/>
      <c r="V15" s="71"/>
      <c r="W15" s="71"/>
      <c r="X15" s="71"/>
      <c r="Y15" s="71"/>
      <c r="Z15" s="71"/>
      <c r="AA15" s="71"/>
      <c r="AB15" s="71"/>
      <c r="AC15" s="71"/>
      <c r="AD15" s="71"/>
      <c r="AE15" s="71"/>
      <c r="AF15" s="71"/>
      <c r="AG15" s="71"/>
    </row>
    <row r="16" customFormat="false" ht="15" hidden="false" customHeight="false" outlineLevel="0" collapsed="false">
      <c r="A16" s="256" t="n">
        <f aca="false">IF(Horodateur11233538192231343743464952555861646985222634384650585462667074788290989410210611411811012212613013413814214615015415816216617017417818218619019419820220621021441014182226[[#This Row],[Jour]]="1- Lundi",$B$1+1, IF(Horodateur11233538192231343743464952555861646985222634384650585462667074788290989410210611411811012212613013413814214615015415816216617017417818218619019419820220621021441014182226[[#This Row],[Jour]]="2- Mardi",$B$1+2, IF(Horodateur11233538192231343743464952555861646985222634384650585462667074788290989410210611411811012212613013413814214615015415816216617017417818218619019419820220621021441014182226[[#This Row],[Jour]]="3- Mercredi",$B$1+3, IF(Horodateur11233538192231343743464952555861646985222634384650585462667074788290989410210611411811012212613013413814214615015415816216617017417818218619019419820220621021441014182226[[#This Row],[Jour]]="4- Jeudi",$B$1+4, IF(Horodateur11233538192231343743464952555861646985222634384650585462667074788290989410210611411811012212613013413814214615015415816216617017417818218619019419820220621021441014182226[[#This Row],[Jour]]="5- Vendredi",$B$1+5, IF(Horodateur11233538192231343743464952555861646985222634384650585462667074788290989410210611411811012212613013413814214615015415816216617017417818218619019419820220621021441014182226[[#This Row],[Jour]]="6- Samedi",$B$1+6, IF(Horodateur11233538192231343743464952555861646985222634384650585462667074788290989410210611411811012212613013413814214615015415816216617017417818218619019419820220621021441014182226[[#This Row],[Jour]]="7- Dimanche",$B$1, )))))))</f>
        <v>44244</v>
      </c>
      <c r="B16" s="257" t="s">
        <v>319</v>
      </c>
      <c r="C16" s="258" t="n">
        <v>0.375</v>
      </c>
      <c r="D16" s="258" t="n">
        <v>0.427083333333333</v>
      </c>
      <c r="E16" s="71" t="s">
        <v>59</v>
      </c>
      <c r="F16" s="71" t="s">
        <v>379</v>
      </c>
      <c r="G16" s="259" t="s">
        <v>107</v>
      </c>
      <c r="H16" s="258" t="n">
        <f aca="false">IF($C16=0,"",$D16-$C16)</f>
        <v>0.0520833333333333</v>
      </c>
      <c r="I16" s="260" t="n">
        <f aca="false">IF($C16=0,"",($H16-INT($H16))*24)</f>
        <v>1.25</v>
      </c>
      <c r="J16" s="303" t="n">
        <f aca="false">SUMIF(Horodateur11233538192231343743464952555861646985222634384650585462667074788290989410210611411811012212613013413814214615015415816216617017417818218619019419820220621021441014182226[Jour],$B16,Horodateur11233538192231343743464952555861646985222634384650585462667074788290989410210611411811012212613013413814214615015415816216617017417818218619019419820220621021441014182226[Durée (100)])</f>
        <v>8.5</v>
      </c>
      <c r="K16" s="335"/>
      <c r="L16" s="188" t="s">
        <v>31</v>
      </c>
      <c r="M16" s="272" t="n">
        <f aca="false">IF(Horodateur11233538192231343743464952555861646985222634384650585462667074788290989410210611411811012212613013413814214615015415816216617017417818218619019419820220621021441014182226[[#This Row],[O]]="o",Horodateur11233538192231343743464952555861646985222634384650585462667074788290989410210611411811012212613013413814214615015415816216617017417818218619019419820220621021441014182226[[#This Row],[Durée (100)]],".")</f>
        <v>1.25</v>
      </c>
      <c r="N16" s="187"/>
      <c r="O16" s="71"/>
      <c r="P16" s="71"/>
      <c r="Q16" s="71"/>
      <c r="R16" s="71"/>
      <c r="S16" s="71"/>
      <c r="T16" s="71"/>
      <c r="U16" s="71"/>
      <c r="V16" s="71"/>
      <c r="W16" s="71"/>
      <c r="X16" s="71"/>
      <c r="Y16" s="71"/>
      <c r="Z16" s="71"/>
      <c r="AA16" s="71"/>
      <c r="AB16" s="71"/>
      <c r="AC16" s="71"/>
      <c r="AD16" s="71"/>
      <c r="AE16" s="71"/>
      <c r="AF16" s="71"/>
      <c r="AG16" s="71"/>
    </row>
    <row r="17" customFormat="false" ht="15" hidden="false" customHeight="false" outlineLevel="0" collapsed="false">
      <c r="A17" s="256" t="n">
        <f aca="false">IF(Horodateur11233538192231343743464952555861646985222634384650585462667074788290989410210611411811012212613013413814214615015415816216617017417818218619019419820220621021441014182226[[#This Row],[Jour]]="1- Lundi",$B$1+1, IF(Horodateur11233538192231343743464952555861646985222634384650585462667074788290989410210611411811012212613013413814214615015415816216617017417818218619019419820220621021441014182226[[#This Row],[Jour]]="2- Mardi",$B$1+2, IF(Horodateur11233538192231343743464952555861646985222634384650585462667074788290989410210611411811012212613013413814214615015415816216617017417818218619019419820220621021441014182226[[#This Row],[Jour]]="3- Mercredi",$B$1+3, IF(Horodateur11233538192231343743464952555861646985222634384650585462667074788290989410210611411811012212613013413814214615015415816216617017417818218619019419820220621021441014182226[[#This Row],[Jour]]="4- Jeudi",$B$1+4, IF(Horodateur11233538192231343743464952555861646985222634384650585462667074788290989410210611411811012212613013413814214615015415816216617017417818218619019419820220621021441014182226[[#This Row],[Jour]]="5- Vendredi",$B$1+5, IF(Horodateur11233538192231343743464952555861646985222634384650585462667074788290989410210611411811012212613013413814214615015415816216617017417818218619019419820220621021441014182226[[#This Row],[Jour]]="6- Samedi",$B$1+6, IF(Horodateur11233538192231343743464952555861646985222634384650585462667074788290989410210611411811012212613013413814214615015415816216617017417818218619019419820220621021441014182226[[#This Row],[Jour]]="7- Dimanche",$B$1, )))))))</f>
        <v>44244</v>
      </c>
      <c r="B17" s="257" t="s">
        <v>319</v>
      </c>
      <c r="C17" s="258" t="n">
        <v>0.447916666666667</v>
      </c>
      <c r="D17" s="258" t="n">
        <v>0.5</v>
      </c>
      <c r="E17" s="71" t="s">
        <v>32</v>
      </c>
      <c r="F17" s="71" t="s">
        <v>22</v>
      </c>
      <c r="G17" s="259" t="s">
        <v>594</v>
      </c>
      <c r="H17" s="258" t="n">
        <f aca="false">IF($C17=0,"",$D17-$C17)</f>
        <v>0.0520833333333333</v>
      </c>
      <c r="I17" s="260" t="n">
        <f aca="false">IF($C17=0,"",($H17-INT($H17))*24)</f>
        <v>1.25</v>
      </c>
      <c r="J17" s="303" t="n">
        <f aca="false">SUMIF(Horodateur11233538192231343743464952555861646985222634384650585462667074788290989410210611411811012212613013413814214615015415816216617017417818218619019419820220621021441014182226[Jour],$B17,Horodateur11233538192231343743464952555861646985222634384650585462667074788290989410210611411811012212613013413814214615015415816216617017417818218619019419820220621021441014182226[Durée (100)])</f>
        <v>8.5</v>
      </c>
      <c r="K17" s="335"/>
      <c r="L17" s="188" t="s">
        <v>31</v>
      </c>
      <c r="M17" s="272" t="n">
        <f aca="false">IF(Horodateur11233538192231343743464952555861646985222634384650585462667074788290989410210611411811012212613013413814214615015415816216617017417818218619019419820220621021441014182226[[#This Row],[O]]="o",Horodateur11233538192231343743464952555861646985222634384650585462667074788290989410210611411811012212613013413814214615015415816216617017417818218619019419820220621021441014182226[[#This Row],[Durée (100)]],".")</f>
        <v>1.25</v>
      </c>
      <c r="N17" s="187"/>
      <c r="O17" s="71"/>
      <c r="P17" s="71"/>
      <c r="Q17" s="71"/>
      <c r="R17" s="71"/>
      <c r="S17" s="71"/>
      <c r="T17" s="71"/>
      <c r="U17" s="71"/>
      <c r="V17" s="71"/>
      <c r="W17" s="71"/>
      <c r="X17" s="71"/>
      <c r="Y17" s="71"/>
      <c r="Z17" s="71"/>
      <c r="AA17" s="71"/>
      <c r="AB17" s="71"/>
      <c r="AC17" s="71"/>
      <c r="AD17" s="71"/>
      <c r="AE17" s="71"/>
      <c r="AF17" s="71"/>
      <c r="AG17" s="71"/>
    </row>
    <row r="18" customFormat="false" ht="15" hidden="false" customHeight="false" outlineLevel="0" collapsed="false">
      <c r="A18" s="256" t="n">
        <f aca="false">IF(Horodateur11233538192231343743464952555861646985222634384650585462667074788290989410210611411811012212613013413814214615015415816216617017417818218619019419820220621021441014182226[[#This Row],[Jour]]="1- Lundi",$B$1+1, IF(Horodateur11233538192231343743464952555861646985222634384650585462667074788290989410210611411811012212613013413814214615015415816216617017417818218619019419820220621021441014182226[[#This Row],[Jour]]="2- Mardi",$B$1+2, IF(Horodateur11233538192231343743464952555861646985222634384650585462667074788290989410210611411811012212613013413814214615015415816216617017417818218619019419820220621021441014182226[[#This Row],[Jour]]="3- Mercredi",$B$1+3, IF(Horodateur11233538192231343743464952555861646985222634384650585462667074788290989410210611411811012212613013413814214615015415816216617017417818218619019419820220621021441014182226[[#This Row],[Jour]]="4- Jeudi",$B$1+4, IF(Horodateur11233538192231343743464952555861646985222634384650585462667074788290989410210611411811012212613013413814214615015415816216617017417818218619019419820220621021441014182226[[#This Row],[Jour]]="5- Vendredi",$B$1+5, IF(Horodateur11233538192231343743464952555861646985222634384650585462667074788290989410210611411811012212613013413814214615015415816216617017417818218619019419820220621021441014182226[[#This Row],[Jour]]="6- Samedi",$B$1+6, IF(Horodateur11233538192231343743464952555861646985222634384650585462667074788290989410210611411811012212613013413814214615015415816216617017417818218619019419820220621021441014182226[[#This Row],[Jour]]="7- Dimanche",$B$1, )))))))</f>
        <v>44244</v>
      </c>
      <c r="B18" s="257" t="s">
        <v>319</v>
      </c>
      <c r="C18" s="258" t="n">
        <v>0.583333333333333</v>
      </c>
      <c r="D18" s="258" t="n">
        <v>0.75</v>
      </c>
      <c r="E18" s="71" t="s">
        <v>59</v>
      </c>
      <c r="F18" s="71" t="s">
        <v>378</v>
      </c>
      <c r="G18" s="259" t="s">
        <v>595</v>
      </c>
      <c r="H18" s="258" t="n">
        <f aca="false">IF($C18=0,"",$D18-$C18)</f>
        <v>0.166666666666667</v>
      </c>
      <c r="I18" s="260" t="n">
        <f aca="false">IF($C18=0,"",($H18-INT($H18))*24)</f>
        <v>4</v>
      </c>
      <c r="J18" s="303" t="n">
        <f aca="false">SUMIF(Horodateur11233538192231343743464952555861646985222634384650585462667074788290989410210611411811012212613013413814214615015415816216617017417818218619019419820220621021441014182226[Jour],$B18,Horodateur11233538192231343743464952555861646985222634384650585462667074788290989410210611411811012212613013413814214615015415816216617017417818218619019419820220621021441014182226[Durée (100)])</f>
        <v>8.5</v>
      </c>
      <c r="K18" s="335"/>
      <c r="L18" s="188" t="s">
        <v>31</v>
      </c>
      <c r="M18" s="272" t="n">
        <f aca="false">IF(Horodateur11233538192231343743464952555861646985222634384650585462667074788290989410210611411811012212613013413814214615015415816216617017417818218619019419820220621021441014182226[[#This Row],[O]]="o",Horodateur11233538192231343743464952555861646985222634384650585462667074788290989410210611411811012212613013413814214615015415816216617017417818218619019419820220621021441014182226[[#This Row],[Durée (100)]],".")</f>
        <v>4</v>
      </c>
      <c r="N18" s="187"/>
      <c r="O18" s="71"/>
      <c r="P18" s="71"/>
      <c r="Q18" s="71"/>
      <c r="R18" s="71"/>
      <c r="S18" s="71"/>
      <c r="T18" s="71"/>
      <c r="U18" s="71"/>
      <c r="V18" s="71"/>
      <c r="W18" s="71"/>
      <c r="X18" s="71"/>
      <c r="Y18" s="71"/>
      <c r="Z18" s="71"/>
      <c r="AA18" s="71"/>
      <c r="AB18" s="71"/>
      <c r="AC18" s="71"/>
      <c r="AD18" s="71"/>
      <c r="AE18" s="71"/>
      <c r="AF18" s="71"/>
      <c r="AG18" s="71"/>
    </row>
    <row r="19" customFormat="false" ht="15" hidden="false" customHeight="false" outlineLevel="0" collapsed="false">
      <c r="A19" s="256" t="n">
        <f aca="false">IF(Horodateur11233538192231343743464952555861646985222634384650585462667074788290989410210611411811012212613013413814214615015415816216617017417818218619019419820220621021441014182226[[#This Row],[Jour]]="1- Lundi",$B$1+1, IF(Horodateur11233538192231343743464952555861646985222634384650585462667074788290989410210611411811012212613013413814214615015415816216617017417818218619019419820220621021441014182226[[#This Row],[Jour]]="2- Mardi",$B$1+2, IF(Horodateur11233538192231343743464952555861646985222634384650585462667074788290989410210611411811012212613013413814214615015415816216617017417818218619019419820220621021441014182226[[#This Row],[Jour]]="3- Mercredi",$B$1+3, IF(Horodateur11233538192231343743464952555861646985222634384650585462667074788290989410210611411811012212613013413814214615015415816216617017417818218619019419820220621021441014182226[[#This Row],[Jour]]="4- Jeudi",$B$1+4, IF(Horodateur11233538192231343743464952555861646985222634384650585462667074788290989410210611411811012212613013413814214615015415816216617017417818218619019419820220621021441014182226[[#This Row],[Jour]]="5- Vendredi",$B$1+5, IF(Horodateur11233538192231343743464952555861646985222634384650585462667074788290989410210611411811012212613013413814214615015415816216617017417818218619019419820220621021441014182226[[#This Row],[Jour]]="6- Samedi",$B$1+6, IF(Horodateur11233538192231343743464952555861646985222634384650585462667074788290989410210611411811012212613013413814214615015415816216617017417818218619019419820220621021441014182226[[#This Row],[Jour]]="7- Dimanche",$B$1, )))))))</f>
        <v>44244</v>
      </c>
      <c r="B19" s="257" t="s">
        <v>319</v>
      </c>
      <c r="C19" s="258" t="n">
        <v>0.75</v>
      </c>
      <c r="D19" s="258" t="n">
        <v>0.791666666666667</v>
      </c>
      <c r="E19" s="71" t="s">
        <v>32</v>
      </c>
      <c r="F19" s="71" t="s">
        <v>22</v>
      </c>
      <c r="G19" s="259" t="s">
        <v>595</v>
      </c>
      <c r="H19" s="258" t="n">
        <f aca="false">IF($C19=0,"",$D19-$C19)</f>
        <v>0.0416666666666666</v>
      </c>
      <c r="I19" s="260" t="n">
        <f aca="false">IF($C19=0,"",($H19-INT($H19))*24)</f>
        <v>0.999999999999999</v>
      </c>
      <c r="J19" s="303" t="n">
        <f aca="false">SUMIF(Horodateur11233538192231343743464952555861646985222634384650585462667074788290989410210611411811012212613013413814214615015415816216617017417818218619019419820220621021441014182226[Jour],$B19,Horodateur11233538192231343743464952555861646985222634384650585462667074788290989410210611411811012212613013413814214615015415816216617017417818218619019419820220621021441014182226[Durée (100)])</f>
        <v>8.5</v>
      </c>
      <c r="K19" s="335"/>
      <c r="L19" s="188" t="s">
        <v>31</v>
      </c>
      <c r="M19" s="272" t="n">
        <f aca="false">IF(Horodateur11233538192231343743464952555861646985222634384650585462667074788290989410210611411811012212613013413814214615015415816216617017417818218619019419820220621021441014182226[[#This Row],[O]]="o",Horodateur11233538192231343743464952555861646985222634384650585462667074788290989410210611411811012212613013413814214615015415816216617017417818218619019419820220621021441014182226[[#This Row],[Durée (100)]],".")</f>
        <v>0.999999999999999</v>
      </c>
      <c r="N19" s="187"/>
      <c r="O19" s="71"/>
      <c r="P19" s="71"/>
      <c r="Q19" s="71"/>
      <c r="R19" s="71"/>
      <c r="S19" s="71"/>
      <c r="T19" s="71"/>
      <c r="U19" s="71"/>
      <c r="V19" s="71"/>
      <c r="W19" s="71"/>
      <c r="X19" s="71"/>
      <c r="Y19" s="71"/>
      <c r="Z19" s="71"/>
      <c r="AA19" s="71"/>
      <c r="AB19" s="71"/>
      <c r="AC19" s="71"/>
      <c r="AD19" s="71"/>
      <c r="AE19" s="71"/>
      <c r="AF19" s="71"/>
      <c r="AG19" s="71"/>
    </row>
    <row r="20" customFormat="false" ht="15" hidden="false" customHeight="false" outlineLevel="0" collapsed="false">
      <c r="A20" s="256" t="n">
        <f aca="false">IF(Horodateur11233538192231343743464952555861646985222634384650585462667074788290989410210611411811012212613013413814214615015415816216617017417818218619019419820220621021441014182226[[#This Row],[Jour]]="1- Lundi",$B$1+1, IF(Horodateur11233538192231343743464952555861646985222634384650585462667074788290989410210611411811012212613013413814214615015415816216617017417818218619019419820220621021441014182226[[#This Row],[Jour]]="2- Mardi",$B$1+2, IF(Horodateur11233538192231343743464952555861646985222634384650585462667074788290989410210611411811012212613013413814214615015415816216617017417818218619019419820220621021441014182226[[#This Row],[Jour]]="3- Mercredi",$B$1+3, IF(Horodateur11233538192231343743464952555861646985222634384650585462667074788290989410210611411811012212613013413814214615015415816216617017417818218619019419820220621021441014182226[[#This Row],[Jour]]="4- Jeudi",$B$1+4, IF(Horodateur11233538192231343743464952555861646985222634384650585462667074788290989410210611411811012212613013413814214615015415816216617017417818218619019419820220621021441014182226[[#This Row],[Jour]]="5- Vendredi",$B$1+5, IF(Horodateur11233538192231343743464952555861646985222634384650585462667074788290989410210611411811012212613013413814214615015415816216617017417818218619019419820220621021441014182226[[#This Row],[Jour]]="6- Samedi",$B$1+6, IF(Horodateur11233538192231343743464952555861646985222634384650585462667074788290989410210611411811012212613013413814214615015415816216617017417818218619019419820220621021441014182226[[#This Row],[Jour]]="7- Dimanche",$B$1, )))))))</f>
        <v>44245</v>
      </c>
      <c r="B20" s="257" t="s">
        <v>324</v>
      </c>
      <c r="C20" s="258" t="n">
        <v>0.427083333333333</v>
      </c>
      <c r="D20" s="258" t="n">
        <v>0.447916666666667</v>
      </c>
      <c r="E20" s="71" t="s">
        <v>32</v>
      </c>
      <c r="F20" s="71" t="s">
        <v>23</v>
      </c>
      <c r="G20" s="259"/>
      <c r="H20" s="258" t="n">
        <f aca="false">IF($C20=0,"",$D20-$C20)</f>
        <v>0.0208333333333333</v>
      </c>
      <c r="I20" s="260" t="n">
        <f aca="false">IF($C20=0,"",($H20-INT($H20))*24)</f>
        <v>0.5</v>
      </c>
      <c r="J20" s="303" t="n">
        <f aca="false">SUMIF(Horodateur11233538192231343743464952555861646985222634384650585462667074788290989410210611411811012212613013413814214615015415816216617017417818218619019419820220621021441014182226[Jour],$B20,Horodateur11233538192231343743464952555861646985222634384650585462667074788290989410210611411811012212613013413814214615015415816216617017417818218619019419820220621021441014182226[Durée (100)])</f>
        <v>5.25</v>
      </c>
      <c r="K20" s="335"/>
      <c r="L20" s="188" t="s">
        <v>31</v>
      </c>
      <c r="M20" s="272" t="n">
        <f aca="false">IF(Horodateur11233538192231343743464952555861646985222634384650585462667074788290989410210611411811012212613013413814214615015415816216617017417818218619019419820220621021441014182226[[#This Row],[O]]="o",Horodateur11233538192231343743464952555861646985222634384650585462667074788290989410210611411811012212613013413814214615015415816216617017417818218619019419820220621021441014182226[[#This Row],[Durée (100)]],".")</f>
        <v>0.500000000000001</v>
      </c>
      <c r="N20" s="187"/>
      <c r="O20" s="71"/>
      <c r="P20" s="71"/>
      <c r="Q20" s="71"/>
      <c r="R20" s="71"/>
      <c r="S20" s="71"/>
      <c r="T20" s="71"/>
      <c r="U20" s="71"/>
      <c r="V20" s="71"/>
      <c r="W20" s="71"/>
      <c r="X20" s="71"/>
      <c r="Y20" s="71"/>
      <c r="Z20" s="71"/>
      <c r="AA20" s="71"/>
      <c r="AB20" s="71"/>
      <c r="AC20" s="71"/>
      <c r="AD20" s="71"/>
      <c r="AE20" s="71"/>
      <c r="AF20" s="71"/>
      <c r="AG20" s="71"/>
    </row>
    <row r="21" customFormat="false" ht="15" hidden="false" customHeight="false" outlineLevel="0" collapsed="false">
      <c r="A21" s="256" t="n">
        <f aca="false">IF(Horodateur11233538192231343743464952555861646985222634384650585462667074788290989410210611411811012212613013413814214615015415816216617017417818218619019419820220621021441014182226[[#This Row],[Jour]]="1- Lundi",$B$1+1, IF(Horodateur11233538192231343743464952555861646985222634384650585462667074788290989410210611411811012212613013413814214615015415816216617017417818218619019419820220621021441014182226[[#This Row],[Jour]]="2- Mardi",$B$1+2, IF(Horodateur11233538192231343743464952555861646985222634384650585462667074788290989410210611411811012212613013413814214615015415816216617017417818218619019419820220621021441014182226[[#This Row],[Jour]]="3- Mercredi",$B$1+3, IF(Horodateur11233538192231343743464952555861646985222634384650585462667074788290989410210611411811012212613013413814214615015415816216617017417818218619019419820220621021441014182226[[#This Row],[Jour]]="4- Jeudi",$B$1+4, IF(Horodateur11233538192231343743464952555861646985222634384650585462667074788290989410210611411811012212613013413814214615015415816216617017417818218619019419820220621021441014182226[[#This Row],[Jour]]="5- Vendredi",$B$1+5, IF(Horodateur11233538192231343743464952555861646985222634384650585462667074788290989410210611411811012212613013413814214615015415816216617017417818218619019419820220621021441014182226[[#This Row],[Jour]]="6- Samedi",$B$1+6, IF(Horodateur11233538192231343743464952555861646985222634384650585462667074788290989410210611411811012212613013413814214615015415816216617017417818218619019419820220621021441014182226[[#This Row],[Jour]]="7- Dimanche",$B$1, )))))))</f>
        <v>44245</v>
      </c>
      <c r="B21" s="257" t="s">
        <v>324</v>
      </c>
      <c r="C21" s="258" t="n">
        <v>0.447916666666667</v>
      </c>
      <c r="D21" s="258" t="n">
        <v>0.46875</v>
      </c>
      <c r="E21" s="71" t="s">
        <v>63</v>
      </c>
      <c r="F21" s="71" t="s">
        <v>378</v>
      </c>
      <c r="G21" s="259" t="s">
        <v>122</v>
      </c>
      <c r="H21" s="258" t="n">
        <f aca="false">IF($C21=0,"",$D21-$C21)</f>
        <v>0.0208333333333333</v>
      </c>
      <c r="I21" s="260" t="n">
        <f aca="false">IF($C21=0,"",($H21-INT($H21))*24)</f>
        <v>0.5</v>
      </c>
      <c r="J21" s="303" t="n">
        <f aca="false">SUMIF(Horodateur11233538192231343743464952555861646985222634384650585462667074788290989410210611411811012212613013413814214615015415816216617017417818218619019419820220621021441014182226[Jour],$B21,Horodateur11233538192231343743464952555861646985222634384650585462667074788290989410210611411811012212613013413814214615015415816216617017417818218619019419820220621021441014182226[Durée (100)])</f>
        <v>5.25</v>
      </c>
      <c r="K21" s="335"/>
      <c r="L21" s="188" t="s">
        <v>31</v>
      </c>
      <c r="M21" s="272" t="n">
        <f aca="false">IF(Horodateur11233538192231343743464952555861646985222634384650585462667074788290989410210611411811012212613013413814214615015415816216617017417818218619019419820220621021441014182226[[#This Row],[O]]="o",Horodateur11233538192231343743464952555861646985222634384650585462667074788290989410210611411811012212613013413814214615015415816216617017417818218619019419820220621021441014182226[[#This Row],[Durée (100)]],".")</f>
        <v>0.5</v>
      </c>
      <c r="N21" s="187"/>
      <c r="O21" s="71"/>
      <c r="P21" s="71"/>
      <c r="Q21" s="71"/>
      <c r="R21" s="71"/>
      <c r="S21" s="71"/>
      <c r="T21" s="71"/>
      <c r="U21" s="71"/>
      <c r="V21" s="71"/>
      <c r="W21" s="71"/>
      <c r="X21" s="71"/>
      <c r="Y21" s="71"/>
      <c r="Z21" s="71"/>
      <c r="AA21" s="71"/>
      <c r="AB21" s="71"/>
      <c r="AC21" s="71"/>
      <c r="AD21" s="71"/>
      <c r="AE21" s="71"/>
      <c r="AF21" s="71"/>
      <c r="AG21" s="71"/>
    </row>
    <row r="22" customFormat="false" ht="15" hidden="false" customHeight="false" outlineLevel="0" collapsed="false">
      <c r="A22" s="256" t="n">
        <f aca="false">IF(Horodateur11233538192231343743464952555861646985222634384650585462667074788290989410210611411811012212613013413814214615015415816216617017417818218619019419820220621021441014182226[[#This Row],[Jour]]="1- Lundi",$B$1+1, IF(Horodateur11233538192231343743464952555861646985222634384650585462667074788290989410210611411811012212613013413814214615015415816216617017417818218619019419820220621021441014182226[[#This Row],[Jour]]="2- Mardi",$B$1+2, IF(Horodateur11233538192231343743464952555861646985222634384650585462667074788290989410210611411811012212613013413814214615015415816216617017417818218619019419820220621021441014182226[[#This Row],[Jour]]="3- Mercredi",$B$1+3, IF(Horodateur11233538192231343743464952555861646985222634384650585462667074788290989410210611411811012212613013413814214615015415816216617017417818218619019419820220621021441014182226[[#This Row],[Jour]]="4- Jeudi",$B$1+4, IF(Horodateur11233538192231343743464952555861646985222634384650585462667074788290989410210611411811012212613013413814214615015415816216617017417818218619019419820220621021441014182226[[#This Row],[Jour]]="5- Vendredi",$B$1+5, IF(Horodateur11233538192231343743464952555861646985222634384650585462667074788290989410210611411811012212613013413814214615015415816216617017417818218619019419820220621021441014182226[[#This Row],[Jour]]="6- Samedi",$B$1+6, IF(Horodateur11233538192231343743464952555861646985222634384650585462667074788290989410210611411811012212613013413814214615015415816216617017417818218619019419820220621021441014182226[[#This Row],[Jour]]="7- Dimanche",$B$1, )))))))</f>
        <v>44245</v>
      </c>
      <c r="B22" s="257" t="s">
        <v>324</v>
      </c>
      <c r="C22" s="258" t="n">
        <v>0.458333333333333</v>
      </c>
      <c r="D22" s="258" t="n">
        <v>0.46875</v>
      </c>
      <c r="E22" s="71" t="s">
        <v>78</v>
      </c>
      <c r="F22" s="71" t="s">
        <v>379</v>
      </c>
      <c r="G22" s="259" t="s">
        <v>507</v>
      </c>
      <c r="H22" s="258" t="n">
        <f aca="false">IF($C22=0,"",$D22-$C22)</f>
        <v>0.0104166666666667</v>
      </c>
      <c r="I22" s="260" t="n">
        <f aca="false">IF($C22=0,"",($H22-INT($H22))*24)</f>
        <v>0.25</v>
      </c>
      <c r="J22" s="303" t="n">
        <f aca="false">SUMIF(Horodateur11233538192231343743464952555861646985222634384650585462667074788290989410210611411811012212613013413814214615015415816216617017417818218619019419820220621021441014182226[Jour],$B22,Horodateur11233538192231343743464952555861646985222634384650585462667074788290989410210611411811012212613013413814214615015415816216617017417818218619019419820220621021441014182226[Durée (100)])</f>
        <v>5.25</v>
      </c>
      <c r="K22" s="335"/>
      <c r="L22" s="188" t="s">
        <v>31</v>
      </c>
      <c r="M22" s="272" t="n">
        <f aca="false">IF(Horodateur11233538192231343743464952555861646985222634384650585462667074788290989410210611411811012212613013413814214615015415816216617017417818218619019419820220621021441014182226[[#This Row],[O]]="o",Horodateur11233538192231343743464952555861646985222634384650585462667074788290989410210611411811012212613013413814214615015415816216617017417818218619019419820220621021441014182226[[#This Row],[Durée (100)]],".")</f>
        <v>0.25</v>
      </c>
      <c r="N22" s="187"/>
      <c r="O22" s="71"/>
      <c r="P22" s="71"/>
      <c r="Q22" s="71"/>
      <c r="R22" s="71"/>
      <c r="S22" s="71"/>
      <c r="T22" s="71"/>
      <c r="U22" s="71"/>
      <c r="V22" s="71"/>
      <c r="W22" s="71"/>
      <c r="X22" s="71"/>
      <c r="Y22" s="71"/>
      <c r="Z22" s="71"/>
      <c r="AA22" s="71"/>
      <c r="AB22" s="71"/>
      <c r="AC22" s="71"/>
      <c r="AD22" s="71"/>
      <c r="AE22" s="71"/>
      <c r="AF22" s="71"/>
      <c r="AG22" s="71"/>
    </row>
    <row r="23" customFormat="false" ht="15" hidden="false" customHeight="false" outlineLevel="0" collapsed="false">
      <c r="A23" s="256" t="n">
        <f aca="false">IF(Horodateur11233538192231343743464952555861646985222634384650585462667074788290989410210611411811012212613013413814214615015415816216617017417818218619019419820220621021441014182226[[#This Row],[Jour]]="1- Lundi",$B$1+1, IF(Horodateur11233538192231343743464952555861646985222634384650585462667074788290989410210611411811012212613013413814214615015415816216617017417818218619019419820220621021441014182226[[#This Row],[Jour]]="2- Mardi",$B$1+2, IF(Horodateur11233538192231343743464952555861646985222634384650585462667074788290989410210611411811012212613013413814214615015415816216617017417818218619019419820220621021441014182226[[#This Row],[Jour]]="3- Mercredi",$B$1+3, IF(Horodateur11233538192231343743464952555861646985222634384650585462667074788290989410210611411811012212613013413814214615015415816216617017417818218619019419820220621021441014182226[[#This Row],[Jour]]="4- Jeudi",$B$1+4, IF(Horodateur11233538192231343743464952555861646985222634384650585462667074788290989410210611411811012212613013413814214615015415816216617017417818218619019419820220621021441014182226[[#This Row],[Jour]]="5- Vendredi",$B$1+5, IF(Horodateur11233538192231343743464952555861646985222634384650585462667074788290989410210611411811012212613013413814214615015415816216617017417818218619019419820220621021441014182226[[#This Row],[Jour]]="6- Samedi",$B$1+6, IF(Horodateur11233538192231343743464952555861646985222634384650585462667074788290989410210611411811012212613013413814214615015415816216617017417818218619019419820220621021441014182226[[#This Row],[Jour]]="7- Dimanche",$B$1, )))))))</f>
        <v>44245</v>
      </c>
      <c r="B23" s="257" t="s">
        <v>324</v>
      </c>
      <c r="C23" s="258" t="n">
        <v>0.46875</v>
      </c>
      <c r="D23" s="258" t="n">
        <v>0.5</v>
      </c>
      <c r="E23" s="71" t="s">
        <v>63</v>
      </c>
      <c r="F23" s="71" t="s">
        <v>378</v>
      </c>
      <c r="G23" s="259" t="s">
        <v>122</v>
      </c>
      <c r="H23" s="258" t="n">
        <f aca="false">IF($C23=0,"",$D23-$C23)</f>
        <v>0.03125</v>
      </c>
      <c r="I23" s="260" t="n">
        <f aca="false">IF($C23=0,"",($H23-INT($H23))*24)</f>
        <v>0.75</v>
      </c>
      <c r="J23" s="303" t="n">
        <f aca="false">SUMIF(Horodateur11233538192231343743464952555861646985222634384650585462667074788290989410210611411811012212613013413814214615015415816216617017417818218619019419820220621021441014182226[Jour],$B23,Horodateur11233538192231343743464952555861646985222634384650585462667074788290989410210611411811012212613013413814214615015415816216617017417818218619019419820220621021441014182226[Durée (100)])</f>
        <v>5.25</v>
      </c>
      <c r="K23" s="335"/>
      <c r="L23" s="188" t="s">
        <v>31</v>
      </c>
      <c r="M23" s="272" t="n">
        <f aca="false">IF(Horodateur11233538192231343743464952555861646985222634384650585462667074788290989410210611411811012212613013413814214615015415816216617017417818218619019419820220621021441014182226[[#This Row],[O]]="o",Horodateur11233538192231343743464952555861646985222634384650585462667074788290989410210611411811012212613013413814214615015415816216617017417818218619019419820220621021441014182226[[#This Row],[Durée (100)]],".")</f>
        <v>0.75</v>
      </c>
      <c r="N23" s="187"/>
      <c r="O23" s="71"/>
      <c r="P23" s="71"/>
      <c r="Q23" s="71"/>
      <c r="R23" s="71"/>
      <c r="S23" s="71"/>
      <c r="T23" s="71"/>
      <c r="U23" s="71"/>
      <c r="V23" s="71"/>
      <c r="W23" s="71"/>
      <c r="X23" s="71"/>
      <c r="Y23" s="71"/>
      <c r="Z23" s="71"/>
      <c r="AA23" s="71"/>
      <c r="AB23" s="71"/>
      <c r="AC23" s="71"/>
      <c r="AD23" s="71"/>
      <c r="AE23" s="71"/>
      <c r="AF23" s="71"/>
      <c r="AG23" s="71"/>
    </row>
    <row r="24" customFormat="false" ht="15" hidden="false" customHeight="false" outlineLevel="0" collapsed="false">
      <c r="A24" s="256" t="n">
        <f aca="false">IF(Horodateur11233538192231343743464952555861646985222634384650585462667074788290989410210611411811012212613013413814214615015415816216617017417818218619019419820220621021441014182226[[#This Row],[Jour]]="1- Lundi",$B$1+1, IF(Horodateur11233538192231343743464952555861646985222634384650585462667074788290989410210611411811012212613013413814214615015415816216617017417818218619019419820220621021441014182226[[#This Row],[Jour]]="2- Mardi",$B$1+2, IF(Horodateur11233538192231343743464952555861646985222634384650585462667074788290989410210611411811012212613013413814214615015415816216617017417818218619019419820220621021441014182226[[#This Row],[Jour]]="3- Mercredi",$B$1+3, IF(Horodateur11233538192231343743464952555861646985222634384650585462667074788290989410210611411811012212613013413814214615015415816216617017417818218619019419820220621021441014182226[[#This Row],[Jour]]="4- Jeudi",$B$1+4, IF(Horodateur11233538192231343743464952555861646985222634384650585462667074788290989410210611411811012212613013413814214615015415816216617017417818218619019419820220621021441014182226[[#This Row],[Jour]]="5- Vendredi",$B$1+5, IF(Horodateur11233538192231343743464952555861646985222634384650585462667074788290989410210611411811012212613013413814214615015415816216617017417818218619019419820220621021441014182226[[#This Row],[Jour]]="6- Samedi",$B$1+6, IF(Horodateur11233538192231343743464952555861646985222634384650585462667074788290989410210611411811012212613013413814214615015415816216617017417818218619019419820220621021441014182226[[#This Row],[Jour]]="7- Dimanche",$B$1, )))))))</f>
        <v>44245</v>
      </c>
      <c r="B24" s="257" t="s">
        <v>324</v>
      </c>
      <c r="C24" s="258" t="n">
        <v>0.583333333333333</v>
      </c>
      <c r="D24" s="258" t="n">
        <v>0.645833333333333</v>
      </c>
      <c r="E24" s="71" t="s">
        <v>59</v>
      </c>
      <c r="F24" s="71" t="s">
        <v>378</v>
      </c>
      <c r="G24" s="259" t="s">
        <v>596</v>
      </c>
      <c r="H24" s="258" t="n">
        <f aca="false">IF($C24=0,"",$D24-$C24)</f>
        <v>0.0625</v>
      </c>
      <c r="I24" s="260" t="n">
        <f aca="false">IF($C24=0,"",($H24-INT($H24))*24)</f>
        <v>1.5</v>
      </c>
      <c r="J24" s="303" t="n">
        <f aca="false">SUMIF(Horodateur11233538192231343743464952555861646985222634384650585462667074788290989410210611411811012212613013413814214615015415816216617017417818218619019419820220621021441014182226[Jour],$B24,Horodateur11233538192231343743464952555861646985222634384650585462667074788290989410210611411811012212613013413814214615015415816216617017417818218619019419820220621021441014182226[Durée (100)])</f>
        <v>5.25</v>
      </c>
      <c r="K24" s="335"/>
      <c r="L24" s="188" t="s">
        <v>31</v>
      </c>
      <c r="M24" s="272" t="n">
        <f aca="false">IF(Horodateur11233538192231343743464952555861646985222634384650585462667074788290989410210611411811012212613013413814214615015415816216617017417818218619019419820220621021441014182226[[#This Row],[O]]="o",Horodateur11233538192231343743464952555861646985222634384650585462667074788290989410210611411811012212613013413814214615015415816216617017417818218619019419820220621021441014182226[[#This Row],[Durée (100)]],".")</f>
        <v>1.5</v>
      </c>
      <c r="N24" s="187"/>
      <c r="O24" s="71"/>
      <c r="P24" s="71"/>
      <c r="Q24" s="71"/>
      <c r="R24" s="71"/>
      <c r="S24" s="71"/>
      <c r="T24" s="71"/>
      <c r="U24" s="71"/>
      <c r="V24" s="71"/>
      <c r="W24" s="71"/>
      <c r="X24" s="71"/>
      <c r="Y24" s="71"/>
      <c r="Z24" s="71"/>
      <c r="AA24" s="71"/>
      <c r="AB24" s="71"/>
      <c r="AC24" s="71"/>
      <c r="AD24" s="71"/>
      <c r="AE24" s="71"/>
      <c r="AF24" s="71"/>
      <c r="AG24" s="71"/>
    </row>
    <row r="25" customFormat="false" ht="15" hidden="false" customHeight="false" outlineLevel="0" collapsed="false">
      <c r="A25" s="256" t="n">
        <f aca="false">IF(Horodateur11233538192231343743464952555861646985222634384650585462667074788290989410210611411811012212613013413814214615015415816216617017417818218619019419820220621021441014182226[[#This Row],[Jour]]="1- Lundi",$B$1+1, IF(Horodateur11233538192231343743464952555861646985222634384650585462667074788290989410210611411811012212613013413814214615015415816216617017417818218619019419820220621021441014182226[[#This Row],[Jour]]="2- Mardi",$B$1+2, IF(Horodateur11233538192231343743464952555861646985222634384650585462667074788290989410210611411811012212613013413814214615015415816216617017417818218619019419820220621021441014182226[[#This Row],[Jour]]="3- Mercredi",$B$1+3, IF(Horodateur11233538192231343743464952555861646985222634384650585462667074788290989410210611411811012212613013413814214615015415816216617017417818218619019419820220621021441014182226[[#This Row],[Jour]]="4- Jeudi",$B$1+4, IF(Horodateur11233538192231343743464952555861646985222634384650585462667074788290989410210611411811012212613013413814214615015415816216617017417818218619019419820220621021441014182226[[#This Row],[Jour]]="5- Vendredi",$B$1+5, IF(Horodateur11233538192231343743464952555861646985222634384650585462667074788290989410210611411811012212613013413814214615015415816216617017417818218619019419820220621021441014182226[[#This Row],[Jour]]="6- Samedi",$B$1+6, IF(Horodateur11233538192231343743464952555861646985222634384650585462667074788290989410210611411811012212613013413814214615015415816216617017417818218619019419820220621021441014182226[[#This Row],[Jour]]="7- Dimanche",$B$1, )))))))</f>
        <v>44245</v>
      </c>
      <c r="B25" s="257" t="s">
        <v>324</v>
      </c>
      <c r="C25" s="258" t="n">
        <v>0.645833333333333</v>
      </c>
      <c r="D25" s="258" t="n">
        <v>0.65625</v>
      </c>
      <c r="E25" s="71" t="s">
        <v>37</v>
      </c>
      <c r="F25" s="71" t="s">
        <v>378</v>
      </c>
      <c r="G25" s="259" t="s">
        <v>597</v>
      </c>
      <c r="H25" s="258" t="n">
        <f aca="false">IF($C25=0,"",$D25-$C25)</f>
        <v>0.0104166666666667</v>
      </c>
      <c r="I25" s="260" t="n">
        <f aca="false">IF($C25=0,"",($H25-INT($H25))*24)</f>
        <v>0.25</v>
      </c>
      <c r="J25" s="303" t="n">
        <f aca="false">SUMIF(Horodateur11233538192231343743464952555861646985222634384650585462667074788290989410210611411811012212613013413814214615015415816216617017417818218619019419820220621021441014182226[Jour],$B25,Horodateur11233538192231343743464952555861646985222634384650585462667074788290989410210611411811012212613013413814214615015415816216617017417818218619019419820220621021441014182226[Durée (100)])</f>
        <v>5.25</v>
      </c>
      <c r="K25" s="335"/>
      <c r="L25" s="188" t="s">
        <v>31</v>
      </c>
      <c r="M25" s="272" t="n">
        <f aca="false">IF(Horodateur11233538192231343743464952555861646985222634384650585462667074788290989410210611411811012212613013413814214615015415816216617017417818218619019419820220621021441014182226[[#This Row],[O]]="o",Horodateur11233538192231343743464952555861646985222634384650585462667074788290989410210611411811012212613013413814214615015415816216617017417818218619019419820220621021441014182226[[#This Row],[Durée (100)]],".")</f>
        <v>0.249999999999999</v>
      </c>
      <c r="N25" s="187"/>
      <c r="O25" s="71"/>
      <c r="P25" s="71"/>
      <c r="Q25" s="71"/>
      <c r="R25" s="71"/>
      <c r="S25" s="71"/>
      <c r="T25" s="71"/>
      <c r="U25" s="71"/>
      <c r="V25" s="71"/>
      <c r="W25" s="71"/>
      <c r="X25" s="71"/>
      <c r="Y25" s="71"/>
      <c r="Z25" s="71"/>
      <c r="AA25" s="71"/>
      <c r="AB25" s="71"/>
      <c r="AC25" s="71"/>
      <c r="AD25" s="71"/>
      <c r="AE25" s="71"/>
      <c r="AF25" s="71"/>
      <c r="AG25" s="71"/>
    </row>
    <row r="26" customFormat="false" ht="15" hidden="false" customHeight="false" outlineLevel="0" collapsed="false">
      <c r="A26" s="256" t="n">
        <f aca="false">IF(Horodateur11233538192231343743464952555861646985222634384650585462667074788290989410210611411811012212613013413814214615015415816216617017417818218619019419820220621021441014182226[[#This Row],[Jour]]="1- Lundi",$B$1+1, IF(Horodateur11233538192231343743464952555861646985222634384650585462667074788290989410210611411811012212613013413814214615015415816216617017417818218619019419820220621021441014182226[[#This Row],[Jour]]="2- Mardi",$B$1+2, IF(Horodateur11233538192231343743464952555861646985222634384650585462667074788290989410210611411811012212613013413814214615015415816216617017417818218619019419820220621021441014182226[[#This Row],[Jour]]="3- Mercredi",$B$1+3, IF(Horodateur11233538192231343743464952555861646985222634384650585462667074788290989410210611411811012212613013413814214615015415816216617017417818218619019419820220621021441014182226[[#This Row],[Jour]]="4- Jeudi",$B$1+4, IF(Horodateur11233538192231343743464952555861646985222634384650585462667074788290989410210611411811012212613013413814214615015415816216617017417818218619019419820220621021441014182226[[#This Row],[Jour]]="5- Vendredi",$B$1+5, IF(Horodateur11233538192231343743464952555861646985222634384650585462667074788290989410210611411811012212613013413814214615015415816216617017417818218619019419820220621021441014182226[[#This Row],[Jour]]="6- Samedi",$B$1+6, IF(Horodateur11233538192231343743464952555861646985222634384650585462667074788290989410210611411811012212613013413814214615015415816216617017417818218619019419820220621021441014182226[[#This Row],[Jour]]="7- Dimanche",$B$1, )))))))</f>
        <v>44245</v>
      </c>
      <c r="B26" s="257" t="s">
        <v>324</v>
      </c>
      <c r="C26" s="258" t="n">
        <v>0.65625</v>
      </c>
      <c r="D26" s="258" t="n">
        <v>0.6875</v>
      </c>
      <c r="E26" s="71" t="s">
        <v>32</v>
      </c>
      <c r="F26" s="71" t="s">
        <v>23</v>
      </c>
      <c r="G26" s="259"/>
      <c r="H26" s="258" t="n">
        <f aca="false">IF($C26=0,"",$D26-$C26)</f>
        <v>0.03125</v>
      </c>
      <c r="I26" s="260" t="n">
        <f aca="false">IF($C26=0,"",($H26-INT($H26))*24)</f>
        <v>0.75</v>
      </c>
      <c r="J26" s="303" t="n">
        <f aca="false">SUMIF(Horodateur11233538192231343743464952555861646985222634384650585462667074788290989410210611411811012212613013413814214615015415816216617017417818218619019419820220621021441014182226[Jour],$B26,Horodateur11233538192231343743464952555861646985222634384650585462667074788290989410210611411811012212613013413814214615015415816216617017417818218619019419820220621021441014182226[Durée (100)])</f>
        <v>5.25</v>
      </c>
      <c r="K26" s="335"/>
      <c r="L26" s="188" t="s">
        <v>31</v>
      </c>
      <c r="M26" s="272" t="n">
        <f aca="false">IF(Horodateur11233538192231343743464952555861646985222634384650585462667074788290989410210611411811012212613013413814214615015415816216617017417818218619019419820220621021441014182226[[#This Row],[O]]="o",Horodateur11233538192231343743464952555861646985222634384650585462667074788290989410210611411811012212613013413814214615015415816216617017417818218619019419820220621021441014182226[[#This Row],[Durée (100)]],".")</f>
        <v>0.75</v>
      </c>
      <c r="N26" s="187"/>
      <c r="O26" s="71"/>
      <c r="P26" s="71"/>
      <c r="Q26" s="71"/>
      <c r="R26" s="71"/>
      <c r="S26" s="71"/>
      <c r="T26" s="71"/>
      <c r="U26" s="71"/>
      <c r="V26" s="71"/>
      <c r="W26" s="71"/>
      <c r="X26" s="71"/>
      <c r="Y26" s="71"/>
      <c r="Z26" s="71"/>
      <c r="AA26" s="71"/>
      <c r="AB26" s="71"/>
      <c r="AC26" s="71"/>
      <c r="AD26" s="71"/>
      <c r="AE26" s="71"/>
      <c r="AF26" s="71"/>
      <c r="AG26" s="71"/>
    </row>
    <row r="27" customFormat="false" ht="15" hidden="false" customHeight="false" outlineLevel="0" collapsed="false">
      <c r="A27" s="256" t="n">
        <f aca="false">IF(Horodateur11233538192231343743464952555861646985222634384650585462667074788290989410210611411811012212613013413814214615015415816216617017417818218619019419820220621021441014182226[[#This Row],[Jour]]="1- Lundi",$B$1+1, IF(Horodateur11233538192231343743464952555861646985222634384650585462667074788290989410210611411811012212613013413814214615015415816216617017417818218619019419820220621021441014182226[[#This Row],[Jour]]="2- Mardi",$B$1+2, IF(Horodateur11233538192231343743464952555861646985222634384650585462667074788290989410210611411811012212613013413814214615015415816216617017417818218619019419820220621021441014182226[[#This Row],[Jour]]="3- Mercredi",$B$1+3, IF(Horodateur11233538192231343743464952555861646985222634384650585462667074788290989410210611411811012212613013413814214615015415816216617017417818218619019419820220621021441014182226[[#This Row],[Jour]]="4- Jeudi",$B$1+4, IF(Horodateur11233538192231343743464952555861646985222634384650585462667074788290989410210611411811012212613013413814214615015415816216617017417818218619019419820220621021441014182226[[#This Row],[Jour]]="5- Vendredi",$B$1+5, IF(Horodateur11233538192231343743464952555861646985222634384650585462667074788290989410210611411811012212613013413814214615015415816216617017417818218619019419820220621021441014182226[[#This Row],[Jour]]="6- Samedi",$B$1+6, IF(Horodateur11233538192231343743464952555861646985222634384650585462667074788290989410210611411811012212613013413814214615015415816216617017417818218619019419820220621021441014182226[[#This Row],[Jour]]="7- Dimanche",$B$1, )))))))</f>
        <v>44245</v>
      </c>
      <c r="B27" s="257" t="s">
        <v>324</v>
      </c>
      <c r="C27" s="258" t="n">
        <v>0.6875</v>
      </c>
      <c r="D27" s="258" t="n">
        <v>0.71875</v>
      </c>
      <c r="E27" s="71" t="s">
        <v>63</v>
      </c>
      <c r="F27" s="71" t="s">
        <v>378</v>
      </c>
      <c r="G27" s="259" t="s">
        <v>122</v>
      </c>
      <c r="H27" s="258" t="n">
        <f aca="false">IF($C27=0,"",$D27-$C27)</f>
        <v>0.03125</v>
      </c>
      <c r="I27" s="260" t="n">
        <f aca="false">IF($C27=0,"",($H27-INT($H27))*24)</f>
        <v>0.75</v>
      </c>
      <c r="J27" s="303" t="n">
        <f aca="false">SUMIF(Horodateur11233538192231343743464952555861646985222634384650585462667074788290989410210611411811012212613013413814214615015415816216617017417818218619019419820220621021441014182226[Jour],$B27,Horodateur11233538192231343743464952555861646985222634384650585462667074788290989410210611411811012212613013413814214615015415816216617017417818218619019419820220621021441014182226[Durée (100)])</f>
        <v>5.25</v>
      </c>
      <c r="K27" s="335"/>
      <c r="L27" s="188" t="s">
        <v>31</v>
      </c>
      <c r="M27" s="272" t="n">
        <f aca="false">IF(Horodateur11233538192231343743464952555861646985222634384650585462667074788290989410210611411811012212613013413814214615015415816216617017417818218619019419820220621021441014182226[[#This Row],[O]]="o",Horodateur11233538192231343743464952555861646985222634384650585462667074788290989410210611411811012212613013413814214615015415816216617017417818218619019419820220621021441014182226[[#This Row],[Durée (100)]],".")</f>
        <v>0.75</v>
      </c>
      <c r="N27" s="187"/>
      <c r="O27" s="71"/>
      <c r="P27" s="71"/>
      <c r="Q27" s="71"/>
      <c r="R27" s="71"/>
      <c r="S27" s="71"/>
      <c r="T27" s="71"/>
      <c r="U27" s="71"/>
      <c r="V27" s="71"/>
      <c r="W27" s="71"/>
      <c r="X27" s="71"/>
      <c r="Y27" s="71"/>
      <c r="Z27" s="71"/>
      <c r="AA27" s="71"/>
      <c r="AB27" s="71"/>
      <c r="AC27" s="71"/>
      <c r="AD27" s="71"/>
      <c r="AE27" s="71"/>
      <c r="AF27" s="71"/>
      <c r="AG27" s="71"/>
    </row>
    <row r="28" customFormat="false" ht="15" hidden="false" customHeight="false" outlineLevel="0" collapsed="false">
      <c r="A28" s="256" t="n">
        <f aca="false">IF(Horodateur11233538192231343743464952555861646985222634384650585462667074788290989410210611411811012212613013413814214615015415816216617017417818218619019419820220621021441014182226[[#This Row],[Jour]]="1- Lundi",$B$1+1, IF(Horodateur11233538192231343743464952555861646985222634384650585462667074788290989410210611411811012212613013413814214615015415816216617017417818218619019419820220621021441014182226[[#This Row],[Jour]]="2- Mardi",$B$1+2, IF(Horodateur11233538192231343743464952555861646985222634384650585462667074788290989410210611411811012212613013413814214615015415816216617017417818218619019419820220621021441014182226[[#This Row],[Jour]]="3- Mercredi",$B$1+3, IF(Horodateur11233538192231343743464952555861646985222634384650585462667074788290989410210611411811012212613013413814214615015415816216617017417818218619019419820220621021441014182226[[#This Row],[Jour]]="4- Jeudi",$B$1+4, IF(Horodateur11233538192231343743464952555861646985222634384650585462667074788290989410210611411811012212613013413814214615015415816216617017417818218619019419820220621021441014182226[[#This Row],[Jour]]="5- Vendredi",$B$1+5, IF(Horodateur11233538192231343743464952555861646985222634384650585462667074788290989410210611411811012212613013413814214615015415816216617017417818218619019419820220621021441014182226[[#This Row],[Jour]]="6- Samedi",$B$1+6, IF(Horodateur11233538192231343743464952555861646985222634384650585462667074788290989410210611411811012212613013413814214615015415816216617017417818218619019419820220621021441014182226[[#This Row],[Jour]]="7- Dimanche",$B$1, )))))))</f>
        <v>44246</v>
      </c>
      <c r="B28" s="257" t="s">
        <v>332</v>
      </c>
      <c r="C28" s="258" t="n">
        <v>0.3125</v>
      </c>
      <c r="D28" s="258" t="n">
        <v>0.322916666666667</v>
      </c>
      <c r="E28" s="71" t="s">
        <v>32</v>
      </c>
      <c r="F28" s="71" t="s">
        <v>22</v>
      </c>
      <c r="G28" s="259" t="s">
        <v>598</v>
      </c>
      <c r="H28" s="258" t="n">
        <f aca="false">IF($C28=0,"",$D28-$C28)</f>
        <v>0.0104166666666667</v>
      </c>
      <c r="I28" s="260" t="n">
        <f aca="false">IF($C28=0,"",($H28-INT($H28))*24)</f>
        <v>0.25</v>
      </c>
      <c r="J28" s="303" t="n">
        <f aca="false">SUMIF(Horodateur11233538192231343743464952555861646985222634384650585462667074788290989410210611411811012212613013413814214615015415816216617017417818218619019419820220621021441014182226[Jour],$B28,Horodateur11233538192231343743464952555861646985222634384650585462667074788290989410210611411811012212613013413814214615015415816216617017417818218619019419820220621021441014182226[Durée (100)])</f>
        <v>7.25</v>
      </c>
      <c r="K28" s="335"/>
      <c r="L28" s="188" t="s">
        <v>31</v>
      </c>
      <c r="M28" s="272" t="n">
        <f aca="false">IF(Horodateur11233538192231343743464952555861646985222634384650585462667074788290989410210611411811012212613013413814214615015415816216617017417818218619019419820220621021441014182226[[#This Row],[O]]="o",Horodateur11233538192231343743464952555861646985222634384650585462667074788290989410210611411811012212613013413814214615015415816216617017417818218619019419820220621021441014182226[[#This Row],[Durée (100)]],".")</f>
        <v>0.25</v>
      </c>
      <c r="N28" s="187"/>
      <c r="O28" s="71"/>
      <c r="P28" s="71"/>
      <c r="Q28" s="71"/>
      <c r="R28" s="71"/>
      <c r="S28" s="71"/>
      <c r="T28" s="71"/>
      <c r="U28" s="71"/>
      <c r="V28" s="71"/>
      <c r="W28" s="71"/>
      <c r="X28" s="71"/>
      <c r="Y28" s="71"/>
      <c r="Z28" s="71"/>
      <c r="AA28" s="71"/>
      <c r="AB28" s="71"/>
      <c r="AC28" s="71"/>
      <c r="AD28" s="71"/>
      <c r="AE28" s="71"/>
      <c r="AF28" s="71"/>
      <c r="AG28" s="71"/>
    </row>
    <row r="29" customFormat="false" ht="15" hidden="false" customHeight="false" outlineLevel="0" collapsed="false">
      <c r="A29" s="256" t="n">
        <f aca="false">IF(Horodateur11233538192231343743464952555861646985222634384650585462667074788290989410210611411811012212613013413814214615015415816216617017417818218619019419820220621021441014182226[[#This Row],[Jour]]="1- Lundi",$B$1+1, IF(Horodateur11233538192231343743464952555861646985222634384650585462667074788290989410210611411811012212613013413814214615015415816216617017417818218619019419820220621021441014182226[[#This Row],[Jour]]="2- Mardi",$B$1+2, IF(Horodateur11233538192231343743464952555861646985222634384650585462667074788290989410210611411811012212613013413814214615015415816216617017417818218619019419820220621021441014182226[[#This Row],[Jour]]="3- Mercredi",$B$1+3, IF(Horodateur11233538192231343743464952555861646985222634384650585462667074788290989410210611411811012212613013413814214615015415816216617017417818218619019419820220621021441014182226[[#This Row],[Jour]]="4- Jeudi",$B$1+4, IF(Horodateur11233538192231343743464952555861646985222634384650585462667074788290989410210611411811012212613013413814214615015415816216617017417818218619019419820220621021441014182226[[#This Row],[Jour]]="5- Vendredi",$B$1+5, IF(Horodateur11233538192231343743464952555861646985222634384650585462667074788290989410210611411811012212613013413814214615015415816216617017417818218619019419820220621021441014182226[[#This Row],[Jour]]="6- Samedi",$B$1+6, IF(Horodateur11233538192231343743464952555861646985222634384650585462667074788290989410210611411811012212613013413814214615015415816216617017417818218619019419820220621021441014182226[[#This Row],[Jour]]="7- Dimanche",$B$1, )))))))</f>
        <v>44246</v>
      </c>
      <c r="B29" s="257" t="s">
        <v>332</v>
      </c>
      <c r="C29" s="258" t="n">
        <v>0.322916666666667</v>
      </c>
      <c r="D29" s="258" t="n">
        <v>0.333333333333333</v>
      </c>
      <c r="E29" s="71" t="s">
        <v>59</v>
      </c>
      <c r="F29" s="71" t="s">
        <v>378</v>
      </c>
      <c r="G29" s="259" t="s">
        <v>598</v>
      </c>
      <c r="H29" s="258" t="n">
        <f aca="false">IF($C29=0,"",$D29-$C29)</f>
        <v>0.0104166666666666</v>
      </c>
      <c r="I29" s="260" t="n">
        <f aca="false">IF($C29=0,"",($H29-INT($H29))*24)</f>
        <v>0.249999999999999</v>
      </c>
      <c r="J29" s="303" t="n">
        <f aca="false">SUMIF(Horodateur11233538192231343743464952555861646985222634384650585462667074788290989410210611411811012212613013413814214615015415816216617017417818218619019419820220621021441014182226[Jour],$B29,Horodateur11233538192231343743464952555861646985222634384650585462667074788290989410210611411811012212613013413814214615015415816216617017417818218619019419820220621021441014182226[Durée (100)])</f>
        <v>7.25</v>
      </c>
      <c r="K29" s="335"/>
      <c r="L29" s="188" t="s">
        <v>31</v>
      </c>
      <c r="M29" s="272" t="n">
        <f aca="false">IF(Horodateur11233538192231343743464952555861646985222634384650585462667074788290989410210611411811012212613013413814214615015415816216617017417818218619019419820220621021441014182226[[#This Row],[O]]="o",Horodateur11233538192231343743464952555861646985222634384650585462667074788290989410210611411811012212613013413814214615015415816216617017417818218619019419820220621021441014182226[[#This Row],[Durée (100)]],".")</f>
        <v>0.249999999999999</v>
      </c>
      <c r="N29" s="187"/>
      <c r="O29" s="71"/>
      <c r="P29" s="71"/>
      <c r="Q29" s="71"/>
      <c r="R29" s="71"/>
      <c r="S29" s="71"/>
      <c r="T29" s="71"/>
      <c r="U29" s="71"/>
      <c r="V29" s="71"/>
      <c r="W29" s="71"/>
      <c r="X29" s="71"/>
      <c r="Y29" s="71"/>
      <c r="Z29" s="71"/>
      <c r="AA29" s="71"/>
      <c r="AB29" s="71"/>
      <c r="AC29" s="71"/>
      <c r="AD29" s="71"/>
      <c r="AE29" s="71"/>
      <c r="AF29" s="71"/>
      <c r="AG29" s="71"/>
    </row>
    <row r="30" customFormat="false" ht="15" hidden="false" customHeight="false" outlineLevel="0" collapsed="false">
      <c r="A30" s="256" t="n">
        <f aca="false">IF(Horodateur11233538192231343743464952555861646985222634384650585462667074788290989410210611411811012212613013413814214615015415816216617017417818218619019419820220621021441014182226[[#This Row],[Jour]]="1- Lundi",$B$1+1, IF(Horodateur11233538192231343743464952555861646985222634384650585462667074788290989410210611411811012212613013413814214615015415816216617017417818218619019419820220621021441014182226[[#This Row],[Jour]]="2- Mardi",$B$1+2, IF(Horodateur11233538192231343743464952555861646985222634384650585462667074788290989410210611411811012212613013413814214615015415816216617017417818218619019419820220621021441014182226[[#This Row],[Jour]]="3- Mercredi",$B$1+3, IF(Horodateur11233538192231343743464952555861646985222634384650585462667074788290989410210611411811012212613013413814214615015415816216617017417818218619019419820220621021441014182226[[#This Row],[Jour]]="4- Jeudi",$B$1+4, IF(Horodateur11233538192231343743464952555861646985222634384650585462667074788290989410210611411811012212613013413814214615015415816216617017417818218619019419820220621021441014182226[[#This Row],[Jour]]="5- Vendredi",$B$1+5, IF(Horodateur11233538192231343743464952555861646985222634384650585462667074788290989410210611411811012212613013413814214615015415816216617017417818218619019419820220621021441014182226[[#This Row],[Jour]]="6- Samedi",$B$1+6, IF(Horodateur11233538192231343743464952555861646985222634384650585462667074788290989410210611411811012212613013413814214615015415816216617017417818218619019419820220621021441014182226[[#This Row],[Jour]]="7- Dimanche",$B$1, )))))))</f>
        <v>44246</v>
      </c>
      <c r="B30" s="257" t="s">
        <v>332</v>
      </c>
      <c r="C30" s="258" t="n">
        <v>0.333333333333333</v>
      </c>
      <c r="D30" s="258" t="n">
        <v>0.40625</v>
      </c>
      <c r="E30" s="71" t="s">
        <v>59</v>
      </c>
      <c r="F30" s="71" t="s">
        <v>378</v>
      </c>
      <c r="G30" s="259" t="s">
        <v>599</v>
      </c>
      <c r="H30" s="258" t="n">
        <f aca="false">IF($C30=0,"",$D30-$C30)</f>
        <v>0.0729166666666667</v>
      </c>
      <c r="I30" s="260" t="n">
        <f aca="false">IF($C30=0,"",($H30-INT($H30))*24)</f>
        <v>1.75</v>
      </c>
      <c r="J30" s="303" t="n">
        <f aca="false">SUMIF(Horodateur11233538192231343743464952555861646985222634384650585462667074788290989410210611411811012212613013413814214615015415816216617017417818218619019419820220621021441014182226[Jour],$B30,Horodateur11233538192231343743464952555861646985222634384650585462667074788290989410210611411811012212613013413814214615015415816216617017417818218619019419820220621021441014182226[Durée (100)])</f>
        <v>7.25</v>
      </c>
      <c r="K30" s="335"/>
      <c r="L30" s="188" t="s">
        <v>31</v>
      </c>
      <c r="M30" s="272" t="n">
        <f aca="false">IF(Horodateur11233538192231343743464952555861646985222634384650585462667074788290989410210611411811012212613013413814214615015415816216617017417818218619019419820220621021441014182226[[#This Row],[O]]="o",Horodateur11233538192231343743464952555861646985222634384650585462667074788290989410210611411811012212613013413814214615015415816216617017417818218619019419820220621021441014182226[[#This Row],[Durée (100)]],".")</f>
        <v>1.75</v>
      </c>
      <c r="N30" s="187"/>
      <c r="O30" s="71"/>
      <c r="P30" s="71"/>
      <c r="Q30" s="71"/>
      <c r="R30" s="71"/>
      <c r="S30" s="71"/>
      <c r="T30" s="71"/>
      <c r="U30" s="71"/>
      <c r="V30" s="71"/>
      <c r="W30" s="71"/>
      <c r="X30" s="71"/>
      <c r="Y30" s="71"/>
      <c r="Z30" s="71"/>
      <c r="AA30" s="71"/>
      <c r="AB30" s="71"/>
      <c r="AC30" s="71"/>
      <c r="AD30" s="71"/>
      <c r="AE30" s="71"/>
      <c r="AF30" s="71"/>
      <c r="AG30" s="71"/>
    </row>
    <row r="31" customFormat="false" ht="15" hidden="false" customHeight="false" outlineLevel="0" collapsed="false">
      <c r="A31" s="256" t="n">
        <f aca="false">IF(Horodateur11233538192231343743464952555861646985222634384650585462667074788290989410210611411811012212613013413814214615015415816216617017417818218619019419820220621021441014182226[[#This Row],[Jour]]="1- Lundi",$B$1+1, IF(Horodateur11233538192231343743464952555861646985222634384650585462667074788290989410210611411811012212613013413814214615015415816216617017417818218619019419820220621021441014182226[[#This Row],[Jour]]="2- Mardi",$B$1+2, IF(Horodateur11233538192231343743464952555861646985222634384650585462667074788290989410210611411811012212613013413814214615015415816216617017417818218619019419820220621021441014182226[[#This Row],[Jour]]="3- Mercredi",$B$1+3, IF(Horodateur11233538192231343743464952555861646985222634384650585462667074788290989410210611411811012212613013413814214615015415816216617017417818218619019419820220621021441014182226[[#This Row],[Jour]]="4- Jeudi",$B$1+4, IF(Horodateur11233538192231343743464952555861646985222634384650585462667074788290989410210611411811012212613013413814214615015415816216617017417818218619019419820220621021441014182226[[#This Row],[Jour]]="5- Vendredi",$B$1+5, IF(Horodateur11233538192231343743464952555861646985222634384650585462667074788290989410210611411811012212613013413814214615015415816216617017417818218619019419820220621021441014182226[[#This Row],[Jour]]="6- Samedi",$B$1+6, IF(Horodateur11233538192231343743464952555861646985222634384650585462667074788290989410210611411811012212613013413814214615015415816216617017417818218619019419820220621021441014182226[[#This Row],[Jour]]="7- Dimanche",$B$1, )))))))</f>
        <v>44246</v>
      </c>
      <c r="B31" s="257" t="s">
        <v>332</v>
      </c>
      <c r="C31" s="258" t="n">
        <v>0.40625</v>
      </c>
      <c r="D31" s="258" t="n">
        <v>0.416666666666667</v>
      </c>
      <c r="E31" s="71" t="s">
        <v>63</v>
      </c>
      <c r="F31" s="71" t="s">
        <v>378</v>
      </c>
      <c r="G31" s="259" t="s">
        <v>600</v>
      </c>
      <c r="H31" s="258" t="n">
        <f aca="false">IF($C31=0,"",$D31-$C31)</f>
        <v>0.0104166666666667</v>
      </c>
      <c r="I31" s="260" t="n">
        <f aca="false">IF($C31=0,"",($H31-INT($H31))*24)</f>
        <v>0.25</v>
      </c>
      <c r="J31" s="303" t="n">
        <f aca="false">SUMIF(Horodateur11233538192231343743464952555861646985222634384650585462667074788290989410210611411811012212613013413814214615015415816216617017417818218619019419820220621021441014182226[Jour],$B31,Horodateur11233538192231343743464952555861646985222634384650585462667074788290989410210611411811012212613013413814214615015415816216617017417818218619019419820220621021441014182226[Durée (100)])</f>
        <v>7.25</v>
      </c>
      <c r="K31" s="335"/>
      <c r="L31" s="188" t="s">
        <v>31</v>
      </c>
      <c r="M31" s="272" t="n">
        <f aca="false">IF(Horodateur11233538192231343743464952555861646985222634384650585462667074788290989410210611411811012212613013413814214615015415816216617017417818218619019419820220621021441014182226[[#This Row],[O]]="o",Horodateur11233538192231343743464952555861646985222634384650585462667074788290989410210611411811012212613013413814214615015415816216617017417818218619019419820220621021441014182226[[#This Row],[Durée (100)]],".")</f>
        <v>0.25</v>
      </c>
      <c r="N31" s="187"/>
      <c r="O31" s="71"/>
      <c r="P31" s="71"/>
      <c r="Q31" s="71"/>
      <c r="R31" s="71"/>
      <c r="S31" s="71"/>
      <c r="T31" s="71"/>
      <c r="U31" s="71"/>
      <c r="V31" s="71"/>
      <c r="W31" s="71"/>
      <c r="X31" s="71"/>
      <c r="Y31" s="71"/>
      <c r="Z31" s="71"/>
      <c r="AA31" s="71"/>
      <c r="AB31" s="71"/>
      <c r="AC31" s="71"/>
      <c r="AD31" s="71"/>
      <c r="AE31" s="71"/>
      <c r="AF31" s="71"/>
      <c r="AG31" s="71"/>
    </row>
    <row r="32" customFormat="false" ht="15" hidden="false" customHeight="false" outlineLevel="0" collapsed="false">
      <c r="A32" s="256" t="n">
        <f aca="false">IF(Horodateur11233538192231343743464952555861646985222634384650585462667074788290989410210611411811012212613013413814214615015415816216617017417818218619019419820220621021441014182226[[#This Row],[Jour]]="1- Lundi",$B$1+1, IF(Horodateur11233538192231343743464952555861646985222634384650585462667074788290989410210611411811012212613013413814214615015415816216617017417818218619019419820220621021441014182226[[#This Row],[Jour]]="2- Mardi",$B$1+2, IF(Horodateur11233538192231343743464952555861646985222634384650585462667074788290989410210611411811012212613013413814214615015415816216617017417818218619019419820220621021441014182226[[#This Row],[Jour]]="3- Mercredi",$B$1+3, IF(Horodateur11233538192231343743464952555861646985222634384650585462667074788290989410210611411811012212613013413814214615015415816216617017417818218619019419820220621021441014182226[[#This Row],[Jour]]="4- Jeudi",$B$1+4, IF(Horodateur11233538192231343743464952555861646985222634384650585462667074788290989410210611411811012212613013413814214615015415816216617017417818218619019419820220621021441014182226[[#This Row],[Jour]]="5- Vendredi",$B$1+5, IF(Horodateur11233538192231343743464952555861646985222634384650585462667074788290989410210611411811012212613013413814214615015415816216617017417818218619019419820220621021441014182226[[#This Row],[Jour]]="6- Samedi",$B$1+6, IF(Horodateur11233538192231343743464952555861646985222634384650585462667074788290989410210611411811012212613013413814214615015415816216617017417818218619019419820220621021441014182226[[#This Row],[Jour]]="7- Dimanche",$B$1, )))))))</f>
        <v>44246</v>
      </c>
      <c r="B32" s="257" t="s">
        <v>332</v>
      </c>
      <c r="C32" s="258" t="n">
        <v>0.4375</v>
      </c>
      <c r="D32" s="258" t="n">
        <v>0.5</v>
      </c>
      <c r="E32" s="71" t="s">
        <v>32</v>
      </c>
      <c r="F32" s="71" t="s">
        <v>23</v>
      </c>
      <c r="G32" s="259" t="s">
        <v>601</v>
      </c>
      <c r="H32" s="258" t="n">
        <f aca="false">IF($C32=0,"",$D32-$C32)</f>
        <v>0.0625</v>
      </c>
      <c r="I32" s="260" t="n">
        <f aca="false">IF($C32=0,"",($H32-INT($H32))*24)</f>
        <v>1.5</v>
      </c>
      <c r="J32" s="303" t="n">
        <f aca="false">SUMIF(Horodateur11233538192231343743464952555861646985222634384650585462667074788290989410210611411811012212613013413814214615015415816216617017417818218619019419820220621021441014182226[Jour],$B32,Horodateur11233538192231343743464952555861646985222634384650585462667074788290989410210611411811012212613013413814214615015415816216617017417818218619019419820220621021441014182226[Durée (100)])</f>
        <v>7.25</v>
      </c>
      <c r="K32" s="335"/>
      <c r="L32" s="188" t="s">
        <v>31</v>
      </c>
      <c r="M32" s="272" t="n">
        <f aca="false">IF(Horodateur11233538192231343743464952555861646985222634384650585462667074788290989410210611411811012212613013413814214615015415816216617017417818218619019419820220621021441014182226[[#This Row],[O]]="o",Horodateur11233538192231343743464952555861646985222634384650585462667074788290989410210611411811012212613013413814214615015415816216617017417818218619019419820220621021441014182226[[#This Row],[Durée (100)]],".")</f>
        <v>1.5</v>
      </c>
      <c r="N32" s="187"/>
      <c r="O32" s="71"/>
      <c r="P32" s="71"/>
      <c r="Q32" s="71"/>
      <c r="R32" s="71"/>
      <c r="S32" s="71"/>
      <c r="T32" s="71"/>
      <c r="U32" s="71"/>
      <c r="V32" s="71"/>
      <c r="W32" s="71"/>
      <c r="X32" s="71"/>
      <c r="Y32" s="71"/>
      <c r="Z32" s="71"/>
      <c r="AA32" s="71"/>
      <c r="AB32" s="71"/>
      <c r="AC32" s="71"/>
      <c r="AD32" s="71"/>
      <c r="AE32" s="71"/>
      <c r="AF32" s="71"/>
      <c r="AG32" s="71"/>
    </row>
    <row r="33" customFormat="false" ht="15" hidden="false" customHeight="false" outlineLevel="0" collapsed="false">
      <c r="A33" s="256" t="n">
        <f aca="false">IF(Horodateur11233538192231343743464952555861646985222634384650585462667074788290989410210611411811012212613013413814214615015415816216617017417818218619019419820220621021441014182226[[#This Row],[Jour]]="1- Lundi",$B$1+1, IF(Horodateur11233538192231343743464952555861646985222634384650585462667074788290989410210611411811012212613013413814214615015415816216617017417818218619019419820220621021441014182226[[#This Row],[Jour]]="2- Mardi",$B$1+2, IF(Horodateur11233538192231343743464952555861646985222634384650585462667074788290989410210611411811012212613013413814214615015415816216617017417818218619019419820220621021441014182226[[#This Row],[Jour]]="3- Mercredi",$B$1+3, IF(Horodateur11233538192231343743464952555861646985222634384650585462667074788290989410210611411811012212613013413814214615015415816216617017417818218619019419820220621021441014182226[[#This Row],[Jour]]="4- Jeudi",$B$1+4, IF(Horodateur11233538192231343743464952555861646985222634384650585462667074788290989410210611411811012212613013413814214615015415816216617017417818218619019419820220621021441014182226[[#This Row],[Jour]]="5- Vendredi",$B$1+5, IF(Horodateur11233538192231343743464952555861646985222634384650585462667074788290989410210611411811012212613013413814214615015415816216617017417818218619019419820220621021441014182226[[#This Row],[Jour]]="6- Samedi",$B$1+6, IF(Horodateur11233538192231343743464952555861646985222634384650585462667074788290989410210611411811012212613013413814214615015415816216617017417818218619019419820220621021441014182226[[#This Row],[Jour]]="7- Dimanche",$B$1, )))))))</f>
        <v>44246</v>
      </c>
      <c r="B33" s="257" t="s">
        <v>332</v>
      </c>
      <c r="C33" s="258" t="n">
        <v>0.572916666666667</v>
      </c>
      <c r="D33" s="258" t="n">
        <v>0.666666666666667</v>
      </c>
      <c r="E33" s="71" t="s">
        <v>32</v>
      </c>
      <c r="F33" s="71" t="s">
        <v>22</v>
      </c>
      <c r="G33" s="259"/>
      <c r="H33" s="258" t="n">
        <f aca="false">IF($C33=0,"",$D33-$C33)</f>
        <v>0.09375</v>
      </c>
      <c r="I33" s="260" t="n">
        <f aca="false">IF($C33=0,"",($H33-INT($H33))*24)</f>
        <v>2.25</v>
      </c>
      <c r="J33" s="303" t="n">
        <f aca="false">SUMIF(Horodateur11233538192231343743464952555861646985222634384650585462667074788290989410210611411811012212613013413814214615015415816216617017417818218619019419820220621021441014182226[Jour],$B33,Horodateur11233538192231343743464952555861646985222634384650585462667074788290989410210611411811012212613013413814214615015415816216617017417818218619019419820220621021441014182226[Durée (100)])</f>
        <v>7.25</v>
      </c>
      <c r="K33" s="335"/>
      <c r="L33" s="188" t="s">
        <v>31</v>
      </c>
      <c r="M33" s="272" t="n">
        <f aca="false">IF(Horodateur11233538192231343743464952555861646985222634384650585462667074788290989410210611411811012212613013413814214615015415816216617017417818218619019419820220621021441014182226[[#This Row],[O]]="o",Horodateur11233538192231343743464952555861646985222634384650585462667074788290989410210611411811012212613013413814214615015415816216617017417818218619019419820220621021441014182226[[#This Row],[Durée (100)]],".")</f>
        <v>2.25</v>
      </c>
      <c r="N33" s="187"/>
      <c r="O33" s="71"/>
      <c r="P33" s="71"/>
      <c r="Q33" s="71"/>
      <c r="R33" s="71"/>
      <c r="S33" s="71"/>
      <c r="T33" s="71"/>
      <c r="U33" s="71"/>
      <c r="V33" s="71"/>
      <c r="W33" s="71"/>
      <c r="X33" s="71"/>
      <c r="Y33" s="71"/>
      <c r="Z33" s="71"/>
      <c r="AA33" s="71"/>
      <c r="AB33" s="71"/>
      <c r="AC33" s="71"/>
      <c r="AD33" s="71"/>
      <c r="AE33" s="71"/>
      <c r="AF33" s="71"/>
      <c r="AG33" s="71"/>
    </row>
    <row r="34" customFormat="false" ht="15" hidden="false" customHeight="false" outlineLevel="0" collapsed="false">
      <c r="A34" s="256" t="n">
        <f aca="false">IF(Horodateur11233538192231343743464952555861646985222634384650585462667074788290989410210611411811012212613013413814214615015415816216617017417818218619019419820220621021441014182226[[#This Row],[Jour]]="1- Lundi",$B$1+1, IF(Horodateur11233538192231343743464952555861646985222634384650585462667074788290989410210611411811012212613013413814214615015415816216617017417818218619019419820220621021441014182226[[#This Row],[Jour]]="2- Mardi",$B$1+2, IF(Horodateur11233538192231343743464952555861646985222634384650585462667074788290989410210611411811012212613013413814214615015415816216617017417818218619019419820220621021441014182226[[#This Row],[Jour]]="3- Mercredi",$B$1+3, IF(Horodateur11233538192231343743464952555861646985222634384650585462667074788290989410210611411811012212613013413814214615015415816216617017417818218619019419820220621021441014182226[[#This Row],[Jour]]="4- Jeudi",$B$1+4, IF(Horodateur11233538192231343743464952555861646985222634384650585462667074788290989410210611411811012212613013413814214615015415816216617017417818218619019419820220621021441014182226[[#This Row],[Jour]]="5- Vendredi",$B$1+5, IF(Horodateur11233538192231343743464952555861646985222634384650585462667074788290989410210611411811012212613013413814214615015415816216617017417818218619019419820220621021441014182226[[#This Row],[Jour]]="6- Samedi",$B$1+6, IF(Horodateur11233538192231343743464952555861646985222634384650585462667074788290989410210611411811012212613013413814214615015415816216617017417818218619019419820220621021441014182226[[#This Row],[Jour]]="7- Dimanche",$B$1, )))))))</f>
        <v>44246</v>
      </c>
      <c r="B34" s="257" t="s">
        <v>332</v>
      </c>
      <c r="C34" s="258" t="n">
        <v>0.666666666666667</v>
      </c>
      <c r="D34" s="258" t="n">
        <v>0.708333333333333</v>
      </c>
      <c r="E34" s="71" t="s">
        <v>32</v>
      </c>
      <c r="F34" s="71" t="s">
        <v>21</v>
      </c>
      <c r="G34" s="259" t="s">
        <v>153</v>
      </c>
      <c r="H34" s="258" t="n">
        <f aca="false">IF($C34=0,"",$D34-$C34)</f>
        <v>0.0416666666666667</v>
      </c>
      <c r="I34" s="260" t="n">
        <f aca="false">IF($C34=0,"",($H34-INT($H34))*24)</f>
        <v>1</v>
      </c>
      <c r="J34" s="303" t="n">
        <f aca="false">SUMIF(Horodateur11233538192231343743464952555861646985222634384650585462667074788290989410210611411811012212613013413814214615015415816216617017417818218619019419820220621021441014182226[Jour],$B34,Horodateur11233538192231343743464952555861646985222634384650585462667074788290989410210611411811012212613013413814214615015415816216617017417818218619019419820220621021441014182226[Durée (100)])</f>
        <v>7.25</v>
      </c>
      <c r="K34" s="335"/>
      <c r="L34" s="188" t="s">
        <v>31</v>
      </c>
      <c r="M34" s="272" t="n">
        <f aca="false">IF(Horodateur11233538192231343743464952555861646985222634384650585462667074788290989410210611411811012212613013413814214615015415816216617017417818218619019419820220621021441014182226[[#This Row],[O]]="o",Horodateur11233538192231343743464952555861646985222634384650585462667074788290989410210611411811012212613013413814214615015415816216617017417818218619019419820220621021441014182226[[#This Row],[Durée (100)]],".")</f>
        <v>1</v>
      </c>
      <c r="N34" s="187"/>
      <c r="O34" s="71"/>
      <c r="P34" s="71"/>
      <c r="Q34" s="71"/>
      <c r="R34" s="71"/>
      <c r="S34" s="71"/>
      <c r="T34" s="71"/>
      <c r="U34" s="71"/>
      <c r="V34" s="71"/>
      <c r="W34" s="71"/>
      <c r="X34" s="71"/>
      <c r="Y34" s="71"/>
      <c r="Z34" s="71"/>
      <c r="AA34" s="71"/>
      <c r="AB34" s="71"/>
      <c r="AC34" s="71"/>
      <c r="AD34" s="71"/>
      <c r="AE34" s="71"/>
      <c r="AF34" s="71"/>
      <c r="AG34" s="71"/>
    </row>
    <row r="35" customFormat="false" ht="15" hidden="false" customHeight="false" outlineLevel="0" collapsed="false">
      <c r="A35" s="256" t="n">
        <f aca="false">IF(Horodateur11233538192231343743464952555861646985222634384650585462667074788290989410210611411811012212613013413814214615015415816216617017417818218619019419820220621021441014182226[[#This Row],[Jour]]="1- Lundi",$B$1+1, IF(Horodateur11233538192231343743464952555861646985222634384650585462667074788290989410210611411811012212613013413814214615015415816216617017417818218619019419820220621021441014182226[[#This Row],[Jour]]="2- Mardi",$B$1+2, IF(Horodateur11233538192231343743464952555861646985222634384650585462667074788290989410210611411811012212613013413814214615015415816216617017417818218619019419820220621021441014182226[[#This Row],[Jour]]="3- Mercredi",$B$1+3, IF(Horodateur11233538192231343743464952555861646985222634384650585462667074788290989410210611411811012212613013413814214615015415816216617017417818218619019419820220621021441014182226[[#This Row],[Jour]]="4- Jeudi",$B$1+4, IF(Horodateur11233538192231343743464952555861646985222634384650585462667074788290989410210611411811012212613013413814214615015415816216617017417818218619019419820220621021441014182226[[#This Row],[Jour]]="5- Vendredi",$B$1+5, IF(Horodateur11233538192231343743464952555861646985222634384650585462667074788290989410210611411811012212613013413814214615015415816216617017417818218619019419820220621021441014182226[[#This Row],[Jour]]="6- Samedi",$B$1+6, IF(Horodateur11233538192231343743464952555861646985222634384650585462667074788290989410210611411811012212613013413814214615015415816216617017417818218619019419820220621021441014182226[[#This Row],[Jour]]="7- Dimanche",$B$1, )))))))</f>
        <v>44247</v>
      </c>
      <c r="B35" s="257" t="s">
        <v>335</v>
      </c>
      <c r="C35" s="258" t="n">
        <v>0.354166666666667</v>
      </c>
      <c r="D35" s="258" t="n">
        <v>0.395833333333333</v>
      </c>
      <c r="E35" s="71" t="s">
        <v>32</v>
      </c>
      <c r="F35" s="71" t="s">
        <v>23</v>
      </c>
      <c r="G35" s="259"/>
      <c r="H35" s="258" t="n">
        <f aca="false">IF($C35=0,"",$D35-$C35)</f>
        <v>0.0416666666666667</v>
      </c>
      <c r="I35" s="260" t="n">
        <f aca="false">IF($C35=0,"",($H35-INT($H35))*24)</f>
        <v>1</v>
      </c>
      <c r="J35" s="303" t="n">
        <f aca="false">SUMIF(Horodateur11233538192231343743464952555861646985222634384650585462667074788290989410210611411811012212613013413814214615015415816216617017417818218619019419820220621021441014182226[Jour],$B35,Horodateur11233538192231343743464952555861646985222634384650585462667074788290989410210611411811012212613013413814214615015415816216617017417818218619019419820220621021441014182226[Durée (100)])</f>
        <v>6</v>
      </c>
      <c r="K35" s="335"/>
      <c r="L35" s="188" t="s">
        <v>31</v>
      </c>
      <c r="M35" s="272" t="n">
        <f aca="false">IF(Horodateur11233538192231343743464952555861646985222634384650585462667074788290989410210611411811012212613013413814214615015415816216617017417818218619019419820220621021441014182226[[#This Row],[O]]="o",Horodateur11233538192231343743464952555861646985222634384650585462667074788290989410210611411811012212613013413814214615015415816216617017417818218619019419820220621021441014182226[[#This Row],[Durée (100)]],".")</f>
        <v>0.999999999999999</v>
      </c>
      <c r="N35" s="187"/>
      <c r="O35" s="71"/>
      <c r="P35" s="71"/>
      <c r="Q35" s="71"/>
      <c r="R35" s="71"/>
      <c r="S35" s="71"/>
      <c r="T35" s="71"/>
      <c r="U35" s="71"/>
      <c r="V35" s="71"/>
      <c r="W35" s="71"/>
      <c r="X35" s="71"/>
      <c r="Y35" s="71"/>
      <c r="Z35" s="71"/>
      <c r="AA35" s="71"/>
      <c r="AB35" s="71"/>
      <c r="AC35" s="71"/>
      <c r="AD35" s="71"/>
      <c r="AE35" s="71"/>
      <c r="AF35" s="71"/>
      <c r="AG35" s="71"/>
    </row>
    <row r="36" customFormat="false" ht="15" hidden="false" customHeight="false" outlineLevel="0" collapsed="false">
      <c r="A36" s="256" t="n">
        <f aca="false">IF(Horodateur11233538192231343743464952555861646985222634384650585462667074788290989410210611411811012212613013413814214615015415816216617017417818218619019419820220621021441014182226[[#This Row],[Jour]]="1- Lundi",$B$1+1, IF(Horodateur11233538192231343743464952555861646985222634384650585462667074788290989410210611411811012212613013413814214615015415816216617017417818218619019419820220621021441014182226[[#This Row],[Jour]]="2- Mardi",$B$1+2, IF(Horodateur11233538192231343743464952555861646985222634384650585462667074788290989410210611411811012212613013413814214615015415816216617017417818218619019419820220621021441014182226[[#This Row],[Jour]]="3- Mercredi",$B$1+3, IF(Horodateur11233538192231343743464952555861646985222634384650585462667074788290989410210611411811012212613013413814214615015415816216617017417818218619019419820220621021441014182226[[#This Row],[Jour]]="4- Jeudi",$B$1+4, IF(Horodateur11233538192231343743464952555861646985222634384650585462667074788290989410210611411811012212613013413814214615015415816216617017417818218619019419820220621021441014182226[[#This Row],[Jour]]="5- Vendredi",$B$1+5, IF(Horodateur11233538192231343743464952555861646985222634384650585462667074788290989410210611411811012212613013413814214615015415816216617017417818218619019419820220621021441014182226[[#This Row],[Jour]]="6- Samedi",$B$1+6, IF(Horodateur11233538192231343743464952555861646985222634384650585462667074788290989410210611411811012212613013413814214615015415816216617017417818218619019419820220621021441014182226[[#This Row],[Jour]]="7- Dimanche",$B$1, )))))))</f>
        <v>44247</v>
      </c>
      <c r="B36" s="257" t="s">
        <v>335</v>
      </c>
      <c r="C36" s="258" t="n">
        <v>0.395833333333333</v>
      </c>
      <c r="D36" s="258" t="n">
        <v>0.416666666666667</v>
      </c>
      <c r="E36" s="71" t="s">
        <v>59</v>
      </c>
      <c r="F36" s="71" t="s">
        <v>378</v>
      </c>
      <c r="G36" s="259" t="s">
        <v>602</v>
      </c>
      <c r="H36" s="258" t="n">
        <f aca="false">IF($C36=0,"",$D36-$C36)</f>
        <v>0.0208333333333334</v>
      </c>
      <c r="I36" s="260" t="n">
        <f aca="false">IF($C36=0,"",($H36-INT($H36))*24)</f>
        <v>0.500000000000001</v>
      </c>
      <c r="J36" s="303" t="n">
        <f aca="false">SUMIF(Horodateur11233538192231343743464952555861646985222634384650585462667074788290989410210611411811012212613013413814214615015415816216617017417818218619019419820220621021441014182226[Jour],$B36,Horodateur11233538192231343743464952555861646985222634384650585462667074788290989410210611411811012212613013413814214615015415816216617017417818218619019419820220621021441014182226[Durée (100)])</f>
        <v>6</v>
      </c>
      <c r="K36" s="335"/>
      <c r="L36" s="188" t="s">
        <v>31</v>
      </c>
      <c r="M36" s="272" t="n">
        <f aca="false">IF(Horodateur11233538192231343743464952555861646985222634384650585462667074788290989410210611411811012212613013413814214615015415816216617017417818218619019419820220621021441014182226[[#This Row],[O]]="o",Horodateur11233538192231343743464952555861646985222634384650585462667074788290989410210611411811012212613013413814214615015415816216617017417818218619019419820220621021441014182226[[#This Row],[Durée (100)]],".")</f>
        <v>0.500000000000001</v>
      </c>
      <c r="N36" s="187"/>
      <c r="O36" s="71"/>
      <c r="P36" s="71"/>
      <c r="Q36" s="71"/>
      <c r="R36" s="71"/>
      <c r="S36" s="71"/>
      <c r="T36" s="71"/>
      <c r="U36" s="71"/>
      <c r="V36" s="71"/>
      <c r="W36" s="71"/>
      <c r="X36" s="71"/>
      <c r="Y36" s="71"/>
      <c r="Z36" s="71"/>
      <c r="AA36" s="71"/>
      <c r="AB36" s="71"/>
      <c r="AC36" s="71"/>
      <c r="AD36" s="71"/>
      <c r="AE36" s="71"/>
      <c r="AF36" s="71"/>
      <c r="AG36" s="71"/>
    </row>
    <row r="37" customFormat="false" ht="15" hidden="false" customHeight="false" outlineLevel="0" collapsed="false">
      <c r="A37" s="256" t="n">
        <f aca="false">IF(Horodateur11233538192231343743464952555861646985222634384650585462667074788290989410210611411811012212613013413814214615015415816216617017417818218619019419820220621021441014182226[[#This Row],[Jour]]="1- Lundi",$B$1+1, IF(Horodateur11233538192231343743464952555861646985222634384650585462667074788290989410210611411811012212613013413814214615015415816216617017417818218619019419820220621021441014182226[[#This Row],[Jour]]="2- Mardi",$B$1+2, IF(Horodateur11233538192231343743464952555861646985222634384650585462667074788290989410210611411811012212613013413814214615015415816216617017417818218619019419820220621021441014182226[[#This Row],[Jour]]="3- Mercredi",$B$1+3, IF(Horodateur11233538192231343743464952555861646985222634384650585462667074788290989410210611411811012212613013413814214615015415816216617017417818218619019419820220621021441014182226[[#This Row],[Jour]]="4- Jeudi",$B$1+4, IF(Horodateur11233538192231343743464952555861646985222634384650585462667074788290989410210611411811012212613013413814214615015415816216617017417818218619019419820220621021441014182226[[#This Row],[Jour]]="5- Vendredi",$B$1+5, IF(Horodateur11233538192231343743464952555861646985222634384650585462667074788290989410210611411811012212613013413814214615015415816216617017417818218619019419820220621021441014182226[[#This Row],[Jour]]="6- Samedi",$B$1+6, IF(Horodateur11233538192231343743464952555861646985222634384650585462667074788290989410210611411811012212613013413814214615015415816216617017417818218619019419820220621021441014182226[[#This Row],[Jour]]="7- Dimanche",$B$1, )))))))</f>
        <v>44247</v>
      </c>
      <c r="B37" s="257" t="s">
        <v>335</v>
      </c>
      <c r="C37" s="258" t="n">
        <v>0.416666666666667</v>
      </c>
      <c r="D37" s="258" t="n">
        <v>0.5</v>
      </c>
      <c r="E37" s="71" t="s">
        <v>32</v>
      </c>
      <c r="F37" s="71" t="s">
        <v>22</v>
      </c>
      <c r="G37" s="259"/>
      <c r="H37" s="258" t="n">
        <f aca="false">IF($C37=0,"",$D37-$C37)</f>
        <v>0.0833333333333333</v>
      </c>
      <c r="I37" s="260" t="n">
        <f aca="false">IF($C37=0,"",($H37-INT($H37))*24)</f>
        <v>2</v>
      </c>
      <c r="J37" s="303" t="n">
        <f aca="false">SUMIF(Horodateur11233538192231343743464952555861646985222634384650585462667074788290989410210611411811012212613013413814214615015415816216617017417818218619019419820220621021441014182226[Jour],$B37,Horodateur11233538192231343743464952555861646985222634384650585462667074788290989410210611411811012212613013413814214615015415816216617017417818218619019419820220621021441014182226[Durée (100)])</f>
        <v>6</v>
      </c>
      <c r="K37" s="335"/>
      <c r="L37" s="188" t="s">
        <v>31</v>
      </c>
      <c r="M37" s="272" t="n">
        <f aca="false">IF(Horodateur11233538192231343743464952555861646985222634384650585462667074788290989410210611411811012212613013413814214615015415816216617017417818218619019419820220621021441014182226[[#This Row],[O]]="o",Horodateur11233538192231343743464952555861646985222634384650585462667074788290989410210611411811012212613013413814214615015415816216617017417818218619019419820220621021441014182226[[#This Row],[Durée (100)]],".")</f>
        <v>2</v>
      </c>
      <c r="N37" s="187"/>
      <c r="O37" s="71"/>
      <c r="P37" s="71"/>
      <c r="Q37" s="71"/>
      <c r="R37" s="71"/>
      <c r="S37" s="71"/>
      <c r="T37" s="71"/>
      <c r="U37" s="71"/>
      <c r="V37" s="71"/>
      <c r="W37" s="71"/>
      <c r="X37" s="71"/>
      <c r="Y37" s="71"/>
      <c r="Z37" s="71"/>
      <c r="AA37" s="71"/>
      <c r="AB37" s="71"/>
      <c r="AC37" s="71"/>
      <c r="AD37" s="71"/>
      <c r="AE37" s="71"/>
      <c r="AF37" s="71"/>
      <c r="AG37" s="71"/>
    </row>
    <row r="38" customFormat="false" ht="15" hidden="false" customHeight="false" outlineLevel="0" collapsed="false">
      <c r="A38" s="256" t="n">
        <f aca="false">IF(Horodateur11233538192231343743464952555861646985222634384650585462667074788290989410210611411811012212613013413814214615015415816216617017417818218619019419820220621021441014182226[[#This Row],[Jour]]="1- Lundi",$B$1+1, IF(Horodateur11233538192231343743464952555861646985222634384650585462667074788290989410210611411811012212613013413814214615015415816216617017417818218619019419820220621021441014182226[[#This Row],[Jour]]="2- Mardi",$B$1+2, IF(Horodateur11233538192231343743464952555861646985222634384650585462667074788290989410210611411811012212613013413814214615015415816216617017417818218619019419820220621021441014182226[[#This Row],[Jour]]="3- Mercredi",$B$1+3, IF(Horodateur11233538192231343743464952555861646985222634384650585462667074788290989410210611411811012212613013413814214615015415816216617017417818218619019419820220621021441014182226[[#This Row],[Jour]]="4- Jeudi",$B$1+4, IF(Horodateur11233538192231343743464952555861646985222634384650585462667074788290989410210611411811012212613013413814214615015415816216617017417818218619019419820220621021441014182226[[#This Row],[Jour]]="5- Vendredi",$B$1+5, IF(Horodateur11233538192231343743464952555861646985222634384650585462667074788290989410210611411811012212613013413814214615015415816216617017417818218619019419820220621021441014182226[[#This Row],[Jour]]="6- Samedi",$B$1+6, IF(Horodateur11233538192231343743464952555861646985222634384650585462667074788290989410210611411811012212613013413814214615015415816216617017417818218619019419820220621021441014182226[[#This Row],[Jour]]="7- Dimanche",$B$1, )))))))</f>
        <v>44247</v>
      </c>
      <c r="B38" s="257" t="s">
        <v>335</v>
      </c>
      <c r="C38" s="258" t="n">
        <v>0.604166666666667</v>
      </c>
      <c r="D38" s="258" t="n">
        <v>0.708333333333333</v>
      </c>
      <c r="E38" s="71" t="s">
        <v>32</v>
      </c>
      <c r="F38" s="71" t="s">
        <v>22</v>
      </c>
      <c r="G38" s="259"/>
      <c r="H38" s="258" t="n">
        <f aca="false">IF($C38=0,"",$D38-$C38)</f>
        <v>0.104166666666667</v>
      </c>
      <c r="I38" s="260" t="n">
        <f aca="false">IF($C38=0,"",($H38-INT($H38))*24)</f>
        <v>2.5</v>
      </c>
      <c r="J38" s="303" t="n">
        <f aca="false">SUMIF(Horodateur11233538192231343743464952555861646985222634384650585462667074788290989410210611411811012212613013413814214615015415816216617017417818218619019419820220621021441014182226[Jour],$B38,Horodateur11233538192231343743464952555861646985222634384650585462667074788290989410210611411811012212613013413814214615015415816216617017417818218619019419820220621021441014182226[Durée (100)])</f>
        <v>6</v>
      </c>
      <c r="K38" s="335"/>
      <c r="L38" s="188" t="s">
        <v>31</v>
      </c>
      <c r="M38" s="272" t="n">
        <f aca="false">IF(Horodateur11233538192231343743464952555861646985222634384650585462667074788290989410210611411811012212613013413814214615015415816216617017417818218619019419820220621021441014182226[[#This Row],[O]]="o",Horodateur11233538192231343743464952555861646985222634384650585462667074788290989410210611411811012212613013413814214615015415816216617017417818218619019419820220621021441014182226[[#This Row],[Durée (100)]],".")</f>
        <v>2.5</v>
      </c>
      <c r="N38" s="187"/>
      <c r="O38" s="71"/>
      <c r="P38" s="71"/>
      <c r="Q38" s="71"/>
      <c r="R38" s="71"/>
      <c r="S38" s="71"/>
      <c r="T38" s="71"/>
      <c r="U38" s="71"/>
      <c r="V38" s="71"/>
      <c r="W38" s="71"/>
      <c r="X38" s="71"/>
      <c r="Y38" s="71"/>
      <c r="Z38" s="71"/>
      <c r="AA38" s="71"/>
      <c r="AB38" s="71"/>
      <c r="AC38" s="71"/>
      <c r="AD38" s="71"/>
      <c r="AE38" s="71"/>
      <c r="AF38" s="71"/>
      <c r="AG38" s="71"/>
    </row>
    <row r="39" customFormat="false" ht="15" hidden="false" customHeight="false" outlineLevel="0" collapsed="false">
      <c r="A39" s="256" t="n">
        <f aca="false">IF(Horodateur11233538192231343743464952555861646985222634384650585462667074788290989410210611411811012212613013413814214615015415816216617017417818218619019419820220621021441014182226[[#This Row],[Jour]]="1- Lundi",$B$1+1, IF(Horodateur11233538192231343743464952555861646985222634384650585462667074788290989410210611411811012212613013413814214615015415816216617017417818218619019419820220621021441014182226[[#This Row],[Jour]]="2- Mardi",$B$1+2, IF(Horodateur11233538192231343743464952555861646985222634384650585462667074788290989410210611411811012212613013413814214615015415816216617017417818218619019419820220621021441014182226[[#This Row],[Jour]]="3- Mercredi",$B$1+3, IF(Horodateur11233538192231343743464952555861646985222634384650585462667074788290989410210611411811012212613013413814214615015415816216617017417818218619019419820220621021441014182226[[#This Row],[Jour]]="4- Jeudi",$B$1+4, IF(Horodateur11233538192231343743464952555861646985222634384650585462667074788290989410210611411811012212613013413814214615015415816216617017417818218619019419820220621021441014182226[[#This Row],[Jour]]="5- Vendredi",$B$1+5, IF(Horodateur11233538192231343743464952555861646985222634384650585462667074788290989410210611411811012212613013413814214615015415816216617017417818218619019419820220621021441014182226[[#This Row],[Jour]]="6- Samedi",$B$1+6, IF(Horodateur11233538192231343743464952555861646985222634384650585462667074788290989410210611411811012212613013413814214615015415816216617017417818218619019419820220621021441014182226[[#This Row],[Jour]]="7- Dimanche",$B$1, )))))))</f>
        <v>44248</v>
      </c>
      <c r="B39" s="257" t="s">
        <v>341</v>
      </c>
      <c r="C39" s="258" t="n">
        <v>0.354166666666667</v>
      </c>
      <c r="D39" s="258" t="n">
        <v>0.4375</v>
      </c>
      <c r="E39" s="71" t="s">
        <v>59</v>
      </c>
      <c r="F39" s="71" t="s">
        <v>378</v>
      </c>
      <c r="G39" s="259" t="s">
        <v>603</v>
      </c>
      <c r="H39" s="258" t="n">
        <f aca="false">IF($C39=0,"",$D39-$C39)</f>
        <v>0.0833333333333333</v>
      </c>
      <c r="I39" s="260" t="n">
        <f aca="false">IF($C39=0,"",($H39-INT($H39))*24)</f>
        <v>2</v>
      </c>
      <c r="J39" s="303" t="n">
        <f aca="false">SUMIF(Horodateur11233538192231343743464952555861646985222634384650585462667074788290989410210611411811012212613013413814214615015415816216617017417818218619019419820220621021441014182226[Jour],$B39,Horodateur11233538192231343743464952555861646985222634384650585462667074788290989410210611411811012212613013413814214615015415816216617017417818218619019419820220621021441014182226[Durée (100)])</f>
        <v>3</v>
      </c>
      <c r="K39" s="335"/>
      <c r="L39" s="188" t="s">
        <v>31</v>
      </c>
      <c r="M39" s="272" t="n">
        <f aca="false">IF(Horodateur11233538192231343743464952555861646985222634384650585462667074788290989410210611411811012212613013413814214615015415816216617017417818218619019419820220621021441014182226[[#This Row],[O]]="o",Horodateur11233538192231343743464952555861646985222634384650585462667074788290989410210611411811012212613013413814214615015415816216617017417818218619019419820220621021441014182226[[#This Row],[Durée (100)]],".")</f>
        <v>2</v>
      </c>
      <c r="N39" s="187"/>
      <c r="O39" s="71"/>
      <c r="P39" s="71"/>
      <c r="Q39" s="71"/>
      <c r="R39" s="71"/>
      <c r="S39" s="71"/>
      <c r="T39" s="71"/>
      <c r="U39" s="71"/>
      <c r="V39" s="71"/>
      <c r="W39" s="71"/>
      <c r="X39" s="71"/>
      <c r="Y39" s="71"/>
      <c r="Z39" s="71"/>
      <c r="AA39" s="71"/>
      <c r="AB39" s="71"/>
      <c r="AC39" s="71"/>
      <c r="AD39" s="71"/>
      <c r="AE39" s="71"/>
      <c r="AF39" s="71"/>
      <c r="AG39" s="71"/>
    </row>
    <row r="40" customFormat="false" ht="15" hidden="false" customHeight="false" outlineLevel="0" collapsed="false">
      <c r="A40" s="256" t="n">
        <f aca="false">IF(Horodateur11233538192231343743464952555861646985222634384650585462667074788290989410210611411811012212613013413814214615015415816216617017417818218619019419820220621021441014182226[[#This Row],[Jour]]="1- Lundi",$B$1+1, IF(Horodateur11233538192231343743464952555861646985222634384650585462667074788290989410210611411811012212613013413814214615015415816216617017417818218619019419820220621021441014182226[[#This Row],[Jour]]="2- Mardi",$B$1+2, IF(Horodateur11233538192231343743464952555861646985222634384650585462667074788290989410210611411811012212613013413814214615015415816216617017417818218619019419820220621021441014182226[[#This Row],[Jour]]="3- Mercredi",$B$1+3, IF(Horodateur11233538192231343743464952555861646985222634384650585462667074788290989410210611411811012212613013413814214615015415816216617017417818218619019419820220621021441014182226[[#This Row],[Jour]]="4- Jeudi",$B$1+4, IF(Horodateur11233538192231343743464952555861646985222634384650585462667074788290989410210611411811012212613013413814214615015415816216617017417818218619019419820220621021441014182226[[#This Row],[Jour]]="5- Vendredi",$B$1+5, IF(Horodateur11233538192231343743464952555861646985222634384650585462667074788290989410210611411811012212613013413814214615015415816216617017417818218619019419820220621021441014182226[[#This Row],[Jour]]="6- Samedi",$B$1+6, IF(Horodateur11233538192231343743464952555861646985222634384650585462667074788290989410210611411811012212613013413814214615015415816216617017417818218619019419820220621021441014182226[[#This Row],[Jour]]="7- Dimanche",$B$1, )))))))</f>
        <v>44248</v>
      </c>
      <c r="B40" s="257" t="s">
        <v>341</v>
      </c>
      <c r="C40" s="258" t="n">
        <v>0.4375</v>
      </c>
      <c r="D40" s="258" t="n">
        <v>0.479166666666667</v>
      </c>
      <c r="E40" s="71" t="s">
        <v>32</v>
      </c>
      <c r="F40" s="71" t="s">
        <v>21</v>
      </c>
      <c r="G40" s="259" t="s">
        <v>153</v>
      </c>
      <c r="H40" s="258" t="n">
        <f aca="false">IF($C40=0,"",$D40-$C40)</f>
        <v>0.0416666666666667</v>
      </c>
      <c r="I40" s="260" t="n">
        <f aca="false">IF($C40=0,"",($H40-INT($H40))*24)</f>
        <v>1</v>
      </c>
      <c r="J40" s="303" t="n">
        <f aca="false">SUMIF(Horodateur11233538192231343743464952555861646985222634384650585462667074788290989410210611411811012212613013413814214615015415816216617017417818218619019419820220621021441014182226[Jour],$B40,Horodateur11233538192231343743464952555861646985222634384650585462667074788290989410210611411811012212613013413814214615015415816216617017417818218619019419820220621021441014182226[Durée (100)])</f>
        <v>3</v>
      </c>
      <c r="K40" s="335"/>
      <c r="L40" s="188" t="s">
        <v>31</v>
      </c>
      <c r="M40" s="272" t="n">
        <f aca="false">IF(Horodateur11233538192231343743464952555861646985222634384650585462667074788290989410210611411811012212613013413814214615015415816216617017417818218619019419820220621021441014182226[[#This Row],[O]]="o",Horodateur11233538192231343743464952555861646985222634384650585462667074788290989410210611411811012212613013413814214615015415816216617017417818218619019419820220621021441014182226[[#This Row],[Durée (100)]],".")</f>
        <v>1</v>
      </c>
      <c r="N40" s="187"/>
      <c r="O40" s="71"/>
      <c r="P40" s="71"/>
      <c r="Q40" s="71"/>
      <c r="R40" s="71"/>
      <c r="S40" s="71"/>
      <c r="T40" s="71"/>
      <c r="U40" s="71"/>
      <c r="V40" s="71"/>
      <c r="W40" s="71"/>
      <c r="X40" s="71"/>
      <c r="Y40" s="71"/>
      <c r="Z40" s="71"/>
      <c r="AA40" s="71"/>
      <c r="AB40" s="71"/>
      <c r="AC40" s="71"/>
      <c r="AD40" s="71"/>
      <c r="AE40" s="71"/>
      <c r="AF40" s="71"/>
      <c r="AG40" s="71"/>
    </row>
    <row r="41" customFormat="false" ht="15" hidden="false" customHeight="false" outlineLevel="0" collapsed="false">
      <c r="A41" s="137"/>
      <c r="B41" s="187"/>
      <c r="C41" s="71"/>
      <c r="D41" s="1"/>
      <c r="E41" s="1"/>
      <c r="F41" s="71"/>
      <c r="G41" s="1"/>
      <c r="H41" s="1"/>
      <c r="I41" s="119"/>
      <c r="J41" s="271"/>
      <c r="K41" s="1"/>
      <c r="L41" s="188"/>
      <c r="M41" s="272"/>
      <c r="N41" s="187"/>
      <c r="O41" s="71"/>
      <c r="P41" s="71"/>
      <c r="Q41" s="71"/>
      <c r="R41" s="71"/>
      <c r="S41" s="71"/>
      <c r="T41" s="71"/>
      <c r="U41" s="71"/>
      <c r="V41" s="71"/>
      <c r="W41" s="71"/>
      <c r="X41" s="71"/>
      <c r="Y41" s="71"/>
      <c r="Z41" s="71"/>
      <c r="AA41" s="71"/>
      <c r="AB41" s="71"/>
      <c r="AC41" s="71"/>
      <c r="AD41" s="71"/>
      <c r="AE41" s="71"/>
      <c r="AF41" s="71"/>
      <c r="AG41" s="71"/>
    </row>
    <row r="42" customFormat="false" ht="15" hidden="false" customHeight="false" outlineLevel="0" collapsed="false">
      <c r="A42" s="137"/>
      <c r="B42" s="187"/>
      <c r="C42" s="71"/>
      <c r="D42" s="1"/>
      <c r="E42" s="1"/>
      <c r="F42" s="71"/>
      <c r="G42" s="1"/>
      <c r="H42" s="1"/>
      <c r="I42" s="119"/>
      <c r="J42" s="271"/>
      <c r="K42" s="1"/>
      <c r="L42" s="188"/>
      <c r="N42" s="187"/>
      <c r="O42" s="71"/>
      <c r="P42" s="71"/>
      <c r="Q42" s="71"/>
      <c r="R42" s="71"/>
      <c r="S42" s="71"/>
      <c r="T42" s="71"/>
      <c r="U42" s="71"/>
      <c r="V42" s="71"/>
      <c r="W42" s="71"/>
      <c r="X42" s="71"/>
      <c r="Y42" s="71"/>
      <c r="Z42" s="71"/>
      <c r="AA42" s="71"/>
      <c r="AB42" s="71"/>
      <c r="AC42" s="71"/>
      <c r="AD42" s="71"/>
      <c r="AE42" s="71"/>
      <c r="AF42" s="71"/>
      <c r="AG42" s="71"/>
    </row>
    <row r="43" customFormat="false" ht="15" hidden="false" customHeight="false" outlineLevel="0" collapsed="false">
      <c r="A43" s="274" t="s">
        <v>377</v>
      </c>
      <c r="B43" s="275" t="str">
        <f aca="false">SUM($A$89:$A$519) &amp; " heures"</f>
        <v>26.75 heures</v>
      </c>
      <c r="C43" s="276" t="str">
        <f aca="false">SUM($A$89:$A$510) / 8 &amp; " Jours"</f>
        <v>3.34375 Jours</v>
      </c>
      <c r="D43" s="277"/>
      <c r="E43" s="277" t="n">
        <v>33.25</v>
      </c>
      <c r="F43" s="278" t="n">
        <f aca="false">E43/8</f>
        <v>4.15625</v>
      </c>
      <c r="G43" s="277"/>
      <c r="H43" s="277"/>
      <c r="I43" s="279"/>
      <c r="J43" s="280"/>
      <c r="K43" s="277"/>
      <c r="L43" s="281"/>
      <c r="M43" s="282"/>
      <c r="N43" s="283"/>
      <c r="O43" s="277"/>
      <c r="P43" s="277"/>
      <c r="Q43" s="277"/>
      <c r="R43" s="277"/>
      <c r="S43" s="277"/>
      <c r="T43" s="277"/>
      <c r="U43" s="278"/>
      <c r="V43" s="278"/>
      <c r="W43" s="278"/>
      <c r="X43" s="278"/>
      <c r="Y43" s="278"/>
      <c r="Z43" s="278"/>
      <c r="AA43" s="278"/>
      <c r="AB43" s="278"/>
      <c r="AC43" s="278"/>
      <c r="AD43" s="278"/>
      <c r="AE43" s="278"/>
      <c r="AF43" s="278"/>
      <c r="AG43" s="278"/>
    </row>
    <row r="44" customFormat="false" ht="15" hidden="false" customHeight="false" outlineLevel="0" collapsed="false">
      <c r="A44" s="137"/>
      <c r="B44" s="187"/>
      <c r="C44" s="71"/>
      <c r="D44" s="1"/>
      <c r="E44" s="1"/>
      <c r="F44" s="71"/>
      <c r="G44" s="1"/>
      <c r="H44" s="1"/>
      <c r="I44" s="119"/>
      <c r="J44" s="271"/>
      <c r="K44" s="1"/>
      <c r="L44" s="188"/>
      <c r="M44" s="272"/>
      <c r="N44" s="187"/>
      <c r="O44" s="1"/>
      <c r="P44" s="1"/>
      <c r="Q44" s="1"/>
      <c r="R44" s="1"/>
      <c r="S44" s="1"/>
      <c r="T44" s="1"/>
      <c r="U44" s="71"/>
      <c r="V44" s="71"/>
      <c r="W44" s="71"/>
      <c r="X44" s="71"/>
      <c r="Y44" s="71"/>
      <c r="Z44" s="71"/>
      <c r="AA44" s="71"/>
      <c r="AB44" s="71"/>
      <c r="AC44" s="71"/>
      <c r="AD44" s="71"/>
      <c r="AE44" s="71"/>
      <c r="AF44" s="71"/>
      <c r="AG44" s="71"/>
    </row>
    <row r="45" customFormat="false" ht="15" hidden="true" customHeight="false" outlineLevel="1" collapsed="false">
      <c r="A45" s="137"/>
      <c r="B45" s="137"/>
      <c r="C45" s="137"/>
      <c r="D45" s="137"/>
      <c r="E45" s="1"/>
      <c r="F45" s="71"/>
      <c r="G45" s="1"/>
      <c r="H45" s="1"/>
      <c r="I45" s="119"/>
      <c r="J45" s="271"/>
      <c r="K45" s="1"/>
      <c r="L45" s="188"/>
      <c r="M45" s="272"/>
      <c r="N45" s="187"/>
      <c r="O45" s="1"/>
      <c r="P45" s="1"/>
      <c r="Q45" s="1"/>
      <c r="R45" s="1"/>
      <c r="S45" s="1"/>
      <c r="T45" s="1"/>
      <c r="U45" s="71"/>
      <c r="V45" s="71"/>
      <c r="W45" s="71"/>
      <c r="X45" s="71"/>
      <c r="Y45" s="71"/>
      <c r="Z45" s="71"/>
      <c r="AA45" s="71"/>
      <c r="AB45" s="71"/>
      <c r="AC45" s="71"/>
      <c r="AD45" s="71"/>
      <c r="AE45" s="71"/>
      <c r="AF45" s="71"/>
      <c r="AG45" s="71"/>
    </row>
    <row r="46" customFormat="false" ht="15" hidden="true" customHeight="false" outlineLevel="1" collapsed="false">
      <c r="A46" s="284" t="s">
        <v>84</v>
      </c>
      <c r="B46" s="285" t="s">
        <v>21</v>
      </c>
      <c r="C46" s="285" t="s">
        <v>20</v>
      </c>
      <c r="D46" s="285" t="s">
        <v>23</v>
      </c>
      <c r="E46" s="285" t="s">
        <v>25</v>
      </c>
      <c r="F46" s="285" t="s">
        <v>26</v>
      </c>
      <c r="G46" s="285" t="s">
        <v>378</v>
      </c>
      <c r="H46" s="285" t="s">
        <v>379</v>
      </c>
      <c r="I46" s="285" t="s">
        <v>380</v>
      </c>
      <c r="J46" s="286" t="s">
        <v>58</v>
      </c>
      <c r="K46" s="287"/>
      <c r="L46" s="288"/>
      <c r="M46" s="289"/>
      <c r="N46" s="187"/>
      <c r="O46" s="1"/>
      <c r="P46" s="1"/>
      <c r="Q46" s="1"/>
      <c r="R46" s="1"/>
      <c r="S46" s="1"/>
      <c r="T46" s="71"/>
      <c r="U46" s="71"/>
      <c r="V46" s="71"/>
      <c r="W46" s="71"/>
      <c r="X46" s="71"/>
      <c r="Y46" s="71"/>
      <c r="Z46" s="71"/>
      <c r="AA46" s="71"/>
      <c r="AB46" s="71"/>
      <c r="AC46" s="71"/>
      <c r="AD46" s="71"/>
      <c r="AE46" s="71"/>
      <c r="AF46" s="71"/>
    </row>
    <row r="47" customFormat="false" ht="15" hidden="true" customHeight="false" outlineLevel="1" collapsed="false">
      <c r="A47" s="187" t="s">
        <v>312</v>
      </c>
      <c r="B47" s="71" t="n">
        <f aca="false">SUMIFS(Horodateur11233538192231343743464952555861646985222634384650585462667074788290989410210611411811012212613013413814214615015415816216617017417818218619019419820220621021441014182226[Durée (100)],Horodateur11233538192231343743464952555861646985222634384650585462667074788290989410210611411811012212613013413814214615015415816216617017417818218619019419820220621021441014182226[Tâche],Taches_Jours1224363917202932354144475053565962678320243236444856526064687276808896921001041121161081201241281321361401441481521561601641681721761801841881921962002042082122612162024[[#Headers],[GB]],Horodateur11233538192231343743464952555861646985222634384650585462667074788290989410210611411811012212613013413814214615015415816216617017417818218619019419820220621021441014182226[Jour],Taches_Jours1224363917202932354144475053565962678320243236444856526064687276808896921001041121161081201241281321361401441481521561601641681721761801841881921962002042082122612162024[[#This Row],[Jours]])</f>
        <v>0.999999999999999</v>
      </c>
      <c r="C47" s="71" t="n">
        <f aca="false">SUMIFS(Horodateur11233538192231343743464952555861646985222634384650585462667074788290989410210611411811012212613013413814214615015415816216617017417818218619019419820220621021441014182226[Durée (100)],Horodateur11233538192231343743464952555861646985222634384650585462667074788290989410210611411811012212613013413814214615015415816216617017417818218619019419820220621021441014182226[Tâche],Taches_Jours1224363917202932354144475053565962678320243236444856526064687276808896921001041121161081201241281321361401441481521561601641681721761801841881921962002042082122612162024[[#Headers],[RI]],Horodateur11233538192231343743464952555861646985222634384650585462667074788290989410210611411811012212613013413814214615015415816216617017417818218619019419820220621021441014182226[Jour],Taches_Jours1224363917202932354144475053565962678320243236444856526064687276808896921001041121161081201241281321361401441481521561601641681721761801841881921962002042082122612162024[[#This Row],[Jours]])</f>
        <v>0.500000000000001</v>
      </c>
      <c r="D47" s="71" t="n">
        <f aca="false">SUMIFS(Horodateur11233538192231343743464952555861646985222634384650585462667074788290989410210611411811012212613013413814214615015415816216617017417818218619019419820220621021441014182226[Durée (100)],Horodateur11233538192231343743464952555861646985222634384650585462667074788290989410210611411811012212613013413814214615015415816216617017417818218619019419820220621021441014182226[Tâche],Taches_Jours1224363917202932354144475053565962678320243236444856526064687276808896921001041121161081201241281321361401441481521561601641681721761801841881921962002042082122612162024[[#Headers],[FG]],Horodateur11233538192231343743464952555861646985222634384650585462667074788290989410210611411811012212613013413814214615015415816216617017417818218619019419820220621021441014182226[Jour],Taches_Jours1224363917202932354144475053565962678320243236444856526064687276808896921001041121161081201241281321361401441481521561601641681721761801841881921962002042082122612162024[[#This Row],[Jours]])</f>
        <v>0.500000000000001</v>
      </c>
      <c r="E47" s="71" t="n">
        <f aca="false">SUMIFS(Horodateur11233538192231343743464952555861646985222634384650585462667074788290989410210611411811012212613013413814214615015415816216617017417818218619019419820220621021441014182226[Durée (100)],Horodateur11233538192231343743464952555861646985222634384650585462667074788290989410210611411811012212613013413814214615015415816216617017417818218619019419820220621021441014182226[Tâche],Taches_Jours1224363917202932354144475053565962678320243236444856526064687276808896921001041121161081201241281321361401441481521561601641681721761801841881921962002042082122612162024[[#Headers],[PS]],Horodateur11233538192231343743464952555861646985222634384650585462667074788290989410210611411811012212613013413814214615015415816216617017417818218619019419820220621021441014182226[Jour],Taches_Jours1224363917202932354144475053565962678320243236444856526064687276808896921001041121161081201241281321361401441481521561601641681721761801841881921962002042082122612162024[[#This Row],[Jours]])</f>
        <v>0</v>
      </c>
      <c r="F47" s="71" t="n">
        <f aca="false">SUMIFS(Horodateur11233538192231343743464952555861646985222634384650585462667074788290989410210611411811012212613013413814214615015415816216617017417818218619019419820220621021441014182226[Durée (100)],Horodateur11233538192231343743464952555861646985222634384650585462667074788290989410210611411811012212613013413814214615015415816216617017417818218619019419820220621021441014182226[Tâche],Taches_Jours1224363917202932354144475053565962678320243236444856526064687276808896921001041121161081201241281321361401441481521561601641681721761801841881921962002042082122612162024[[#Headers],[TD]],Horodateur11233538192231343743464952555861646985222634384650585462667074788290989410210611411811012212613013413814214615015415816216617017417818218619019419820220621021441014182226[Jour],Taches_Jours1224363917202932354144475053565962678320243236444856526064687276808896921001041121161081201241281321361401441481521561601641681721761801841881921962002042082122612162024[[#This Row],[Jours]])</f>
        <v>0</v>
      </c>
      <c r="G47" s="71" t="n">
        <f aca="false">SUMIFS(Horodateur11233538192231343743464952555861646985222634384650585462667074788290989410210611411811012212613013413814214615015415816216617017417818218619019419820220621021441014182226[Durée (100)],Horodateur11233538192231343743464952555861646985222634384650585462667074788290989410210611411811012212613013413814214615015415816216617017417818218619019419820220621021441014182226[Tâche],Taches_Jours1224363917202932354144475053565962678320243236444856526064687276808896921001041121161081201241281321361401441481521561601641681721761801841881921962002042082122612162024[[#Headers],[GP]],Horodateur11233538192231343743464952555861646985222634384650585462667074788290989410210611411811012212613013413814214615015415816216617017417818218619019419820220621021441014182226[Jour],Taches_Jours1224363917202932354144475053565962678320243236444856526064687276808896921001041121161081201241281321361401441481521561601641681721761801841881921962002042082122612162024[[#This Row],[Jours]])</f>
        <v>2.75</v>
      </c>
      <c r="H47" s="71" t="n">
        <f aca="false">SUMIFS(Horodateur11233538192231343743464952555861646985222634384650585462667074788290989410210611411811012212613013413814214615015415816216617017417818218619019419820220621021441014182226[Durée (100)],Horodateur11233538192231343743464952555861646985222634384650585462667074788290989410210611411811012212613013413814214615015415816216617017417818218619019419820220621021441014182226[Tâche],Taches_Jours1224363917202932354144475053565962678320243236444856526064687276808896921001041121161081201241281321361401441481521561601641681721761801841881921962002042082122612162024[[#Headers],[GP / SP]],Horodateur11233538192231343743464952555861646985222634384650585462667074788290989410210611411811012212613013413814214615015415816216617017417818218619019419820220621021441014182226[Jour],Taches_Jours1224363917202932354144475053565962678320243236444856526064687276808896921001041121161081201241281321361401441481521561601641681721761801841881921962002042082122612162024[[#This Row],[Jours]])</f>
        <v>1</v>
      </c>
      <c r="I47" s="71" t="n">
        <f aca="false">SUMIFS(Horodateur11233538192231343743464952555861646985222634384650585462667074788290989410210611411811012212613013413814214615015415816216617017417818218619019419820220621021441014182226[Durée (100)],Horodateur11233538192231343743464952555861646985222634384650585462667074788290989410210611411811012212613013413814214615015415816216617017417818218619019419820220621021441014182226[Tâche],Taches_Jours1224363917202932354144475053565962678320243236444856526064687276808896921001041121161081201241281321361401441481521561601641681721761801841881921962002042082122612162024[[#Headers],[GP / SP]],Horodateur11233538192231343743464952555861646985222634384650585462667074788290989410210611411811012212613013413814214615015415816216617017417818218619019419820220621021441014182226[Jour],Taches_Jours1224363917202932354144475053565962678320243236444856526064687276808896921001041121161081201241281321361401441481521561601641681721761801841881921962002042082122612162024[[#This Row],[Jours]])</f>
        <v>1</v>
      </c>
      <c r="J47" s="290" t="n">
        <f aca="false">SUM(Taches_Jours1224363917202932354144475053565962678320243236444856526064687276808896921001041121161081201241281321361401441481521561601641681721761801841881921962002042082122612162024[[#This Row],[GB]:[GP / SP]])</f>
        <v>5.75</v>
      </c>
      <c r="K47" s="188"/>
      <c r="L47" s="288"/>
      <c r="M47" s="289"/>
      <c r="N47" s="187"/>
      <c r="O47" s="1"/>
      <c r="P47" s="1"/>
      <c r="Q47" s="1"/>
      <c r="R47" s="1"/>
      <c r="S47" s="1"/>
      <c r="T47" s="71"/>
      <c r="U47" s="71"/>
      <c r="V47" s="71"/>
      <c r="W47" s="71"/>
      <c r="X47" s="71"/>
      <c r="Y47" s="71"/>
      <c r="Z47" s="71"/>
      <c r="AA47" s="71"/>
      <c r="AB47" s="71"/>
      <c r="AC47" s="71"/>
      <c r="AD47" s="71"/>
      <c r="AE47" s="71"/>
      <c r="AF47" s="71"/>
    </row>
    <row r="48" customFormat="false" ht="15" hidden="true" customHeight="false" outlineLevel="1" collapsed="false">
      <c r="A48" s="187" t="s">
        <v>319</v>
      </c>
      <c r="B48" s="71" t="n">
        <f aca="false">SUMIFS(Horodateur11233538192231343743464952555861646985222634384650585462667074788290989410210611411811012212613013413814214615015415816216617017417818218619019419820220621021441014182226[Durée (100)],Horodateur11233538192231343743464952555861646985222634384650585462667074788290989410210611411811012212613013413814214615015415816216617017417818218619019419820220621021441014182226[Tâche],Taches_Jours1224363917202932354144475053565962678320243236444856526064687276808896921001041121161081201241281321361401441481521561601641681721761801841881921962002042082122612162024[[#Headers],[GB]],Horodateur11233538192231343743464952555861646985222634384650585462667074788290989410210611411811012212613013413814214615015415816216617017417818218619019419820220621021441014182226[Jour],Taches_Jours1224363917202932354144475053565962678320243236444856526064687276808896921001041121161081201241281321361401441481521561601641681721761801841881921962002042082122612162024[[#This Row],[Jours]])</f>
        <v>0</v>
      </c>
      <c r="C48" s="71" t="n">
        <f aca="false">SUMIFS(Horodateur11233538192231343743464952555861646985222634384650585462667074788290989410210611411811012212613013413814214615015415816216617017417818218619019419820220621021441014182226[Durée (100)],Horodateur11233538192231343743464952555861646985222634384650585462667074788290989410210611411811012212613013413814214615015415816216617017417818218619019419820220621021441014182226[Tâche],Taches_Jours1224363917202932354144475053565962678320243236444856526064687276808896921001041121161081201241281321361401441481521561601641681721761801841881921962002042082122612162024[[#Headers],[RI]],Horodateur11233538192231343743464952555861646985222634384650585462667074788290989410210611411811012212613013413814214615015415816216617017417818218619019419820220621021441014182226[Jour],Taches_Jours1224363917202932354144475053565962678320243236444856526064687276808896921001041121161081201241281321361401441481521561601641681721761801841881921962002042082122612162024[[#This Row],[Jours]])</f>
        <v>0</v>
      </c>
      <c r="D48" s="71" t="n">
        <f aca="false">SUMIFS(Horodateur11233538192231343743464952555861646985222634384650585462667074788290989410210611411811012212613013413814214615015415816216617017417818218619019419820220621021441014182226[Durée (100)],Horodateur11233538192231343743464952555861646985222634384650585462667074788290989410210611411811012212613013413814214615015415816216617017417818218619019419820220621021441014182226[Tâche],Taches_Jours1224363917202932354144475053565962678320243236444856526064687276808896921001041121161081201241281321361401441481521561601641681721761801841881921962002042082122612162024[[#Headers],[FG]],Horodateur11233538192231343743464952555861646985222634384650585462667074788290989410210611411811012212613013413814214615015415816216617017417818218619019419820220621021441014182226[Jour],Taches_Jours1224363917202932354144475053565962678320243236444856526064687276808896921001041121161081201241281321361401441481521561601641681721761801841881921962002042082122612162024[[#This Row],[Jours]])</f>
        <v>0</v>
      </c>
      <c r="E48" s="71" t="n">
        <f aca="false">SUMIFS(Horodateur11233538192231343743464952555861646985222634384650585462667074788290989410210611411811012212613013413814214615015415816216617017417818218619019419820220621021441014182226[Durée (100)],Horodateur11233538192231343743464952555861646985222634384650585462667074788290989410210611411811012212613013413814214615015415816216617017417818218619019419820220621021441014182226[Tâche],Taches_Jours1224363917202932354144475053565962678320243236444856526064687276808896921001041121161081201241281321361401441481521561601641681721761801841881921962002042082122612162024[[#Headers],[PS]],Horodateur11233538192231343743464952555861646985222634384650585462667074788290989410210611411811012212613013413814214615015415816216617017417818218619019419820220621021441014182226[Jour],Taches_Jours1224363917202932354144475053565962678320243236444856526064687276808896921001041121161081201241281321361401441481521561601641681721761801841881921962002042082122612162024[[#This Row],[Jours]])</f>
        <v>0</v>
      </c>
      <c r="F48" s="71" t="n">
        <f aca="false">SUMIFS(Horodateur11233538192231343743464952555861646985222634384650585462667074788290989410210611411811012212613013413814214615015415816216617017417818218619019419820220621021441014182226[Durée (100)],Horodateur11233538192231343743464952555861646985222634384650585462667074788290989410210611411811012212613013413814214615015415816216617017417818218619019419820220621021441014182226[Tâche],Taches_Jours1224363917202932354144475053565962678320243236444856526064687276808896921001041121161081201241281321361401441481521561601641681721761801841881921962002042082122612162024[[#Headers],[TD]],Horodateur11233538192231343743464952555861646985222634384650585462667074788290989410210611411811012212613013413814214615015415816216617017417818218619019419820220621021441014182226[Jour],Taches_Jours1224363917202932354144475053565962678320243236444856526064687276808896921001041121161081201241281321361401441481521561601641681721761801841881921962002042082122612162024[[#This Row],[Jours]])</f>
        <v>0</v>
      </c>
      <c r="G48" s="71" t="n">
        <f aca="false">SUMIFS(Horodateur11233538192231343743464952555861646985222634384650585462667074788290989410210611411811012212613013413814214615015415816216617017417818218619019419820220621021441014182226[Durée (100)],Horodateur11233538192231343743464952555861646985222634384650585462667074788290989410210611411811012212613013413814214615015415816216617017417818218619019419820220621021441014182226[Tâche],Taches_Jours1224363917202932354144475053565962678320243236444856526064687276808896921001041121161081201241281321361401441481521561601641681721761801841881921962002042082122612162024[[#Headers],[GP]],Horodateur11233538192231343743464952555861646985222634384650585462667074788290989410210611411811012212613013413814214615015415816216617017417818218619019419820220621021441014182226[Jour],Taches_Jours1224363917202932354144475053565962678320243236444856526064687276808896921001041121161081201241281321361401441481521561601641681721761801841881921962002042082122612162024[[#This Row],[Jours]])</f>
        <v>5</v>
      </c>
      <c r="H48" s="71" t="n">
        <f aca="false">SUMIFS(Horodateur11233538192231343743464952555861646985222634384650585462667074788290989410210611411811012212613013413814214615015415816216617017417818218619019419820220621021441014182226[Durée (100)],Horodateur11233538192231343743464952555861646985222634384650585462667074788290989410210611411811012212613013413814214615015415816216617017417818218619019419820220621021441014182226[Tâche],Taches_Jours1224363917202932354144475053565962678320243236444856526064687276808896921001041121161081201241281321361401441481521561601641681721761801841881921962002042082122612162024[[#Headers],[GP / SP]],Horodateur11233538192231343743464952555861646985222634384650585462667074788290989410210611411811012212613013413814214615015415816216617017417818218619019419820220621021441014182226[Jour],Taches_Jours1224363917202932354144475053565962678320243236444856526064687276808896921001041121161081201241281321361401441481521561601641681721761801841881921962002042082122612162024[[#This Row],[Jours]])</f>
        <v>1.25</v>
      </c>
      <c r="I48" s="71" t="n">
        <f aca="false">SUMIFS(Horodateur11233538192231343743464952555861646985222634384650585462667074788290989410210611411811012212613013413814214615015415816216617017417818218619019419820220621021441014182226[Durée (100)],Horodateur11233538192231343743464952555861646985222634384650585462667074788290989410210611411811012212613013413814214615015415816216617017417818218619019419820220621021441014182226[Tâche],Taches_Jours1224363917202932354144475053565962678320243236444856526064687276808896921001041121161081201241281321361401441481521561601641681721761801841881921962002042082122612162024[[#Headers],[GP / SP]],Horodateur11233538192231343743464952555861646985222634384650585462667074788290989410210611411811012212613013413814214615015415816216617017417818218619019419820220621021441014182226[Jour],Taches_Jours1224363917202932354144475053565962678320243236444856526064687276808896921001041121161081201241281321361401441481521561601641681721761801841881921962002042082122612162024[[#This Row],[Jours]])</f>
        <v>1.25</v>
      </c>
      <c r="J48" s="290" t="n">
        <f aca="false">SUM(Taches_Jours1224363917202932354144475053565962678320243236444856526064687276808896921001041121161081201241281321361401441481521561601641681721761801841881921962002042082122612162024[[#This Row],[GB]:[GP / SP]])</f>
        <v>6.25</v>
      </c>
      <c r="K48" s="188"/>
      <c r="L48" s="288"/>
      <c r="M48" s="289"/>
      <c r="N48" s="187"/>
      <c r="O48" s="1"/>
      <c r="P48" s="1"/>
      <c r="Q48" s="1"/>
      <c r="R48" s="1"/>
      <c r="S48" s="1"/>
      <c r="T48" s="71"/>
      <c r="U48" s="71"/>
      <c r="V48" s="71"/>
      <c r="W48" s="71"/>
      <c r="X48" s="71"/>
      <c r="Y48" s="71"/>
      <c r="Z48" s="71"/>
      <c r="AA48" s="71"/>
      <c r="AB48" s="71"/>
      <c r="AC48" s="71"/>
      <c r="AD48" s="71"/>
      <c r="AE48" s="71"/>
      <c r="AF48" s="71"/>
    </row>
    <row r="49" customFormat="false" ht="15" hidden="true" customHeight="false" outlineLevel="1" collapsed="false">
      <c r="A49" s="187" t="s">
        <v>324</v>
      </c>
      <c r="B49" s="71" t="n">
        <f aca="false">SUMIFS(Horodateur11233538192231343743464952555861646985222634384650585462667074788290989410210611411811012212613013413814214615015415816216617017417818218619019419820220621021441014182226[Durée (100)],Horodateur11233538192231343743464952555861646985222634384650585462667074788290989410210611411811012212613013413814214615015415816216617017417818218619019419820220621021441014182226[Tâche],Taches_Jours1224363917202932354144475053565962678320243236444856526064687276808896921001041121161081201241281321361401441481521561601641681721761801841881921962002042082122612162024[[#Headers],[GB]],Horodateur11233538192231343743464952555861646985222634384650585462667074788290989410210611411811012212613013413814214615015415816216617017417818218619019419820220621021441014182226[Jour],Taches_Jours1224363917202932354144475053565962678320243236444856526064687276808896921001041121161081201241281321361401441481521561601641681721761801841881921962002042082122612162024[[#This Row],[Jours]])</f>
        <v>0</v>
      </c>
      <c r="C49" s="71" t="n">
        <f aca="false">SUMIFS(Horodateur11233538192231343743464952555861646985222634384650585462667074788290989410210611411811012212613013413814214615015415816216617017417818218619019419820220621021441014182226[Durée (100)],Horodateur11233538192231343743464952555861646985222634384650585462667074788290989410210611411811012212613013413814214615015415816216617017417818218619019419820220621021441014182226[Tâche],Taches_Jours1224363917202932354144475053565962678320243236444856526064687276808896921001041121161081201241281321361401441481521561601641681721761801841881921962002042082122612162024[[#Headers],[RI]],Horodateur11233538192231343743464952555861646985222634384650585462667074788290989410210611411811012212613013413814214615015415816216617017417818218619019419820220621021441014182226[Jour],Taches_Jours1224363917202932354144475053565962678320243236444856526064687276808896921001041121161081201241281321361401441481521561601641681721761801841881921962002042082122612162024[[#This Row],[Jours]])</f>
        <v>0</v>
      </c>
      <c r="D49" s="71" t="n">
        <f aca="false">SUMIFS(Horodateur11233538192231343743464952555861646985222634384650585462667074788290989410210611411811012212613013413814214615015415816216617017417818218619019419820220621021441014182226[Durée (100)],Horodateur11233538192231343743464952555861646985222634384650585462667074788290989410210611411811012212613013413814214615015415816216617017417818218619019419820220621021441014182226[Tâche],Taches_Jours1224363917202932354144475053565962678320243236444856526064687276808896921001041121161081201241281321361401441481521561601641681721761801841881921962002042082122612162024[[#Headers],[FG]],Horodateur11233538192231343743464952555861646985222634384650585462667074788290989410210611411811012212613013413814214615015415816216617017417818218619019419820220621021441014182226[Jour],Taches_Jours1224363917202932354144475053565962678320243236444856526064687276808896921001041121161081201241281321361401441481521561601641681721761801841881921962002042082122612162024[[#This Row],[Jours]])</f>
        <v>1.25</v>
      </c>
      <c r="E49" s="71" t="n">
        <f aca="false">SUMIFS(Horodateur11233538192231343743464952555861646985222634384650585462667074788290989410210611411811012212613013413814214615015415816216617017417818218619019419820220621021441014182226[Durée (100)],Horodateur11233538192231343743464952555861646985222634384650585462667074788290989410210611411811012212613013413814214615015415816216617017417818218619019419820220621021441014182226[Tâche],Taches_Jours1224363917202932354144475053565962678320243236444856526064687276808896921001041121161081201241281321361401441481521561601641681721761801841881921962002042082122612162024[[#Headers],[PS]],Horodateur11233538192231343743464952555861646985222634384650585462667074788290989410210611411811012212613013413814214615015415816216617017417818218619019419820220621021441014182226[Jour],Taches_Jours1224363917202932354144475053565962678320243236444856526064687276808896921001041121161081201241281321361401441481521561601641681721761801841881921962002042082122612162024[[#This Row],[Jours]])</f>
        <v>0</v>
      </c>
      <c r="F49" s="71" t="n">
        <f aca="false">SUMIFS(Horodateur11233538192231343743464952555861646985222634384650585462667074788290989410210611411811012212613013413814214615015415816216617017417818218619019419820220621021441014182226[Durée (100)],Horodateur11233538192231343743464952555861646985222634384650585462667074788290989410210611411811012212613013413814214615015415816216617017417818218619019419820220621021441014182226[Tâche],Taches_Jours1224363917202932354144475053565962678320243236444856526064687276808896921001041121161081201241281321361401441481521561601641681721761801841881921962002042082122612162024[[#Headers],[TD]],Horodateur11233538192231343743464952555861646985222634384650585462667074788290989410210611411811012212613013413814214615015415816216617017417818218619019419820220621021441014182226[Jour],Taches_Jours1224363917202932354144475053565962678320243236444856526064687276808896921001041121161081201241281321361401441481521561601641681721761801841881921962002042082122612162024[[#This Row],[Jours]])</f>
        <v>0</v>
      </c>
      <c r="G49" s="71" t="n">
        <f aca="false">SUMIFS(Horodateur11233538192231343743464952555861646985222634384650585462667074788290989410210611411811012212613013413814214615015415816216617017417818218619019419820220621021441014182226[Durée (100)],Horodateur11233538192231343743464952555861646985222634384650585462667074788290989410210611411811012212613013413814214615015415816216617017417818218619019419820220621021441014182226[Tâche],Taches_Jours1224363917202932354144475053565962678320243236444856526064687276808896921001041121161081201241281321361401441481521561601641681721761801841881921962002042082122612162024[[#Headers],[GP]],Horodateur11233538192231343743464952555861646985222634384650585462667074788290989410210611411811012212613013413814214615015415816216617017417818218619019419820220621021441014182226[Jour],Taches_Jours1224363917202932354144475053565962678320243236444856526064687276808896921001041121161081201241281321361401441481521561601641681721761801841881921962002042082122612162024[[#This Row],[Jours]])</f>
        <v>3.75</v>
      </c>
      <c r="H49" s="71" t="n">
        <f aca="false">SUMIFS(Horodateur11233538192231343743464952555861646985222634384650585462667074788290989410210611411811012212613013413814214615015415816216617017417818218619019419820220621021441014182226[Durée (100)],Horodateur11233538192231343743464952555861646985222634384650585462667074788290989410210611411811012212613013413814214615015415816216617017417818218619019419820220621021441014182226[Tâche],Taches_Jours1224363917202932354144475053565962678320243236444856526064687276808896921001041121161081201241281321361401441481521561601641681721761801841881921962002042082122612162024[[#Headers],[GP / SP]],Horodateur11233538192231343743464952555861646985222634384650585462667074788290989410210611411811012212613013413814214615015415816216617017417818218619019419820220621021441014182226[Jour],Taches_Jours1224363917202932354144475053565962678320243236444856526064687276808896921001041121161081201241281321361401441481521561601641681721761801841881921962002042082122612162024[[#This Row],[Jours]])</f>
        <v>0.25</v>
      </c>
      <c r="I49" s="71" t="n">
        <f aca="false">SUMIFS(Horodateur11233538192231343743464952555861646985222634384650585462667074788290989410210611411811012212613013413814214615015415816216617017417818218619019419820220621021441014182226[Durée (100)],Horodateur11233538192231343743464952555861646985222634384650585462667074788290989410210611411811012212613013413814214615015415816216617017417818218619019419820220621021441014182226[Tâche],Taches_Jours1224363917202932354144475053565962678320243236444856526064687276808896921001041121161081201241281321361401441481521561601641681721761801841881921962002042082122612162024[[#Headers],[GP / SP]],Horodateur11233538192231343743464952555861646985222634384650585462667074788290989410210611411811012212613013413814214615015415816216617017417818218619019419820220621021441014182226[Jour],Taches_Jours1224363917202932354144475053565962678320243236444856526064687276808896921001041121161081201241281321361401441481521561601641681721761801841881921962002042082122612162024[[#This Row],[Jours]])</f>
        <v>0.25</v>
      </c>
      <c r="J49" s="290" t="n">
        <f aca="false">SUM(Taches_Jours1224363917202932354144475053565962678320243236444856526064687276808896921001041121161081201241281321361401441481521561601641681721761801841881921962002042082122612162024[[#This Row],[GB]:[GP / SP]])</f>
        <v>5.25</v>
      </c>
      <c r="K49" s="188"/>
      <c r="L49" s="288"/>
      <c r="M49" s="289"/>
      <c r="N49" s="187"/>
      <c r="O49" s="1"/>
      <c r="P49" s="1"/>
      <c r="Q49" s="1"/>
      <c r="R49" s="1"/>
      <c r="S49" s="1"/>
      <c r="T49" s="71"/>
      <c r="U49" s="71"/>
      <c r="V49" s="71"/>
      <c r="W49" s="71"/>
      <c r="X49" s="71"/>
      <c r="Y49" s="71"/>
      <c r="Z49" s="71"/>
      <c r="AA49" s="71"/>
      <c r="AB49" s="71"/>
      <c r="AC49" s="71"/>
      <c r="AD49" s="71"/>
      <c r="AE49" s="71"/>
      <c r="AF49" s="71"/>
    </row>
    <row r="50" customFormat="false" ht="15" hidden="true" customHeight="false" outlineLevel="1" collapsed="false">
      <c r="A50" s="187" t="s">
        <v>332</v>
      </c>
      <c r="B50" s="71" t="n">
        <f aca="false">SUMIFS(Horodateur11233538192231343743464952555861646985222634384650585462667074788290989410210611411811012212613013413814214615015415816216617017417818218619019419820220621021441014182226[Durée (100)],Horodateur11233538192231343743464952555861646985222634384650585462667074788290989410210611411811012212613013413814214615015415816216617017417818218619019419820220621021441014182226[Tâche],Taches_Jours1224363917202932354144475053565962678320243236444856526064687276808896921001041121161081201241281321361401441481521561601641681721761801841881921962002042082122612162024[[#Headers],[GB]],Horodateur11233538192231343743464952555861646985222634384650585462667074788290989410210611411811012212613013413814214615015415816216617017417818218619019419820220621021441014182226[Jour],Taches_Jours1224363917202932354144475053565962678320243236444856526064687276808896921001041121161081201241281321361401441481521561601641681721761801841881921962002042082122612162024[[#This Row],[Jours]])</f>
        <v>1</v>
      </c>
      <c r="C50" s="71" t="n">
        <f aca="false">SUMIFS(Horodateur11233538192231343743464952555861646985222634384650585462667074788290989410210611411811012212613013413814214615015415816216617017417818218619019419820220621021441014182226[Durée (100)],Horodateur11233538192231343743464952555861646985222634384650585462667074788290989410210611411811012212613013413814214615015415816216617017417818218619019419820220621021441014182226[Tâche],Taches_Jours1224363917202932354144475053565962678320243236444856526064687276808896921001041121161081201241281321361401441481521561601641681721761801841881921962002042082122612162024[[#Headers],[RI]],Horodateur11233538192231343743464952555861646985222634384650585462667074788290989410210611411811012212613013413814214615015415816216617017417818218619019419820220621021441014182226[Jour],Taches_Jours1224363917202932354144475053565962678320243236444856526064687276808896921001041121161081201241281321361401441481521561601641681721761801841881921962002042082122612162024[[#This Row],[Jours]])</f>
        <v>0</v>
      </c>
      <c r="D50" s="71" t="n">
        <f aca="false">SUMIFS(Horodateur11233538192231343743464952555861646985222634384650585462667074788290989410210611411811012212613013413814214615015415816216617017417818218619019419820220621021441014182226[Durée (100)],Horodateur11233538192231343743464952555861646985222634384650585462667074788290989410210611411811012212613013413814214615015415816216617017417818218619019419820220621021441014182226[Tâche],Taches_Jours1224363917202932354144475053565962678320243236444856526064687276808896921001041121161081201241281321361401441481521561601641681721761801841881921962002042082122612162024[[#Headers],[FG]],Horodateur11233538192231343743464952555861646985222634384650585462667074788290989410210611411811012212613013413814214615015415816216617017417818218619019419820220621021441014182226[Jour],Taches_Jours1224363917202932354144475053565962678320243236444856526064687276808896921001041121161081201241281321361401441481521561601641681721761801841881921962002042082122612162024[[#This Row],[Jours]])</f>
        <v>1.5</v>
      </c>
      <c r="E50" s="71" t="n">
        <f aca="false">SUMIFS(Horodateur11233538192231343743464952555861646985222634384650585462667074788290989410210611411811012212613013413814214615015415816216617017417818218619019419820220621021441014182226[Durée (100)],Horodateur11233538192231343743464952555861646985222634384650585462667074788290989410210611411811012212613013413814214615015415816216617017417818218619019419820220621021441014182226[Tâche],Taches_Jours1224363917202932354144475053565962678320243236444856526064687276808896921001041121161081201241281321361401441481521561601641681721761801841881921962002042082122612162024[[#Headers],[PS]],Horodateur11233538192231343743464952555861646985222634384650585462667074788290989410210611411811012212613013413814214615015415816216617017417818218619019419820220621021441014182226[Jour],Taches_Jours1224363917202932354144475053565962678320243236444856526064687276808896921001041121161081201241281321361401441481521561601641681721761801841881921962002042082122612162024[[#This Row],[Jours]])</f>
        <v>0</v>
      </c>
      <c r="F50" s="71" t="n">
        <f aca="false">SUMIFS(Horodateur11233538192231343743464952555861646985222634384650585462667074788290989410210611411811012212613013413814214615015415816216617017417818218619019419820220621021441014182226[Durée (100)],Horodateur11233538192231343743464952555861646985222634384650585462667074788290989410210611411811012212613013413814214615015415816216617017417818218619019419820220621021441014182226[Tâche],Taches_Jours1224363917202932354144475053565962678320243236444856526064687276808896921001041121161081201241281321361401441481521561601641681721761801841881921962002042082122612162024[[#Headers],[TD]],Horodateur11233538192231343743464952555861646985222634384650585462667074788290989410210611411811012212613013413814214615015415816216617017417818218619019419820220621021441014182226[Jour],Taches_Jours1224363917202932354144475053565962678320243236444856526064687276808896921001041121161081201241281321361401441481521561601641681721761801841881921962002042082122612162024[[#This Row],[Jours]])</f>
        <v>0</v>
      </c>
      <c r="G50" s="71" t="n">
        <f aca="false">SUMIFS(Horodateur11233538192231343743464952555861646985222634384650585462667074788290989410210611411811012212613013413814214615015415816216617017417818218619019419820220621021441014182226[Durée (100)],Horodateur11233538192231343743464952555861646985222634384650585462667074788290989410210611411811012212613013413814214615015415816216617017417818218619019419820220621021441014182226[Tâche],Taches_Jours1224363917202932354144475053565962678320243236444856526064687276808896921001041121161081201241281321361401441481521561601641681721761801841881921962002042082122612162024[[#Headers],[GP]],Horodateur11233538192231343743464952555861646985222634384650585462667074788290989410210611411811012212613013413814214615015415816216617017417818218619019419820220621021441014182226[Jour],Taches_Jours1224363917202932354144475053565962678320243236444856526064687276808896921001041121161081201241281321361401441481521561601641681721761801841881921962002042082122612162024[[#This Row],[Jours]])</f>
        <v>2.25</v>
      </c>
      <c r="H50" s="71" t="n">
        <f aca="false">SUMIFS(Horodateur11233538192231343743464952555861646985222634384650585462667074788290989410210611411811012212613013413814214615015415816216617017417818218619019419820220621021441014182226[Durée (100)],Horodateur11233538192231343743464952555861646985222634384650585462667074788290989410210611411811012212613013413814214615015415816216617017417818218619019419820220621021441014182226[Tâche],Taches_Jours1224363917202932354144475053565962678320243236444856526064687276808896921001041121161081201241281321361401441481521561601641681721761801841881921962002042082122612162024[[#Headers],[GP / SP]],Horodateur11233538192231343743464952555861646985222634384650585462667074788290989410210611411811012212613013413814214615015415816216617017417818218619019419820220621021441014182226[Jour],Taches_Jours1224363917202932354144475053565962678320243236444856526064687276808896921001041121161081201241281321361401441481521561601641681721761801841881921962002042082122612162024[[#This Row],[Jours]])</f>
        <v>0</v>
      </c>
      <c r="I50" s="71" t="n">
        <f aca="false">SUMIFS(Horodateur11233538192231343743464952555861646985222634384650585462667074788290989410210611411811012212613013413814214615015415816216617017417818218619019419820220621021441014182226[Durée (100)],Horodateur11233538192231343743464952555861646985222634384650585462667074788290989410210611411811012212613013413814214615015415816216617017417818218619019419820220621021441014182226[Tâche],Taches_Jours1224363917202932354144475053565962678320243236444856526064687276808896921001041121161081201241281321361401441481521561601641681721761801841881921962002042082122612162024[[#Headers],[GP / SP]],Horodateur11233538192231343743464952555861646985222634384650585462667074788290989410210611411811012212613013413814214615015415816216617017417818218619019419820220621021441014182226[Jour],Taches_Jours1224363917202932354144475053565962678320243236444856526064687276808896921001041121161081201241281321361401441481521561601641681721761801841881921962002042082122612162024[[#This Row],[Jours]])</f>
        <v>0</v>
      </c>
      <c r="J50" s="290" t="n">
        <f aca="false">SUM(Taches_Jours1224363917202932354144475053565962678320243236444856526064687276808896921001041121161081201241281321361401441481521561601641681721761801841881921962002042082122612162024[[#This Row],[GB]:[GP / SP]])</f>
        <v>4.75</v>
      </c>
      <c r="K50" s="188"/>
      <c r="L50" s="288"/>
      <c r="M50" s="289"/>
      <c r="N50" s="187"/>
      <c r="O50" s="71"/>
      <c r="P50" s="71"/>
      <c r="Q50" s="71"/>
      <c r="R50" s="71"/>
      <c r="S50" s="71"/>
      <c r="T50" s="71"/>
      <c r="U50" s="71"/>
      <c r="V50" s="71"/>
      <c r="W50" s="71"/>
      <c r="X50" s="71"/>
      <c r="Y50" s="71"/>
      <c r="Z50" s="71"/>
      <c r="AA50" s="71"/>
      <c r="AB50" s="71"/>
      <c r="AC50" s="71"/>
      <c r="AD50" s="71"/>
      <c r="AE50" s="71"/>
      <c r="AF50" s="71"/>
    </row>
    <row r="51" customFormat="false" ht="15" hidden="true" customHeight="false" outlineLevel="1" collapsed="false">
      <c r="A51" s="187" t="s">
        <v>335</v>
      </c>
      <c r="B51" s="71" t="n">
        <f aca="false">SUMIFS(Horodateur11233538192231343743464952555861646985222634384650585462667074788290989410210611411811012212613013413814214615015415816216617017417818218619019419820220621021441014182226[Durée (100)],Horodateur11233538192231343743464952555861646985222634384650585462667074788290989410210611411811012212613013413814214615015415816216617017417818218619019419820220621021441014182226[Tâche],Taches_Jours1224363917202932354144475053565962678320243236444856526064687276808896921001041121161081201241281321361401441481521561601641681721761801841881921962002042082122612162024[[#Headers],[GB]],Horodateur11233538192231343743464952555861646985222634384650585462667074788290989410210611411811012212613013413814214615015415816216617017417818218619019419820220621021441014182226[Jour],Taches_Jours1224363917202932354144475053565962678320243236444856526064687276808896921001041121161081201241281321361401441481521561601641681721761801841881921962002042082122612162024[[#This Row],[Jours]])</f>
        <v>0</v>
      </c>
      <c r="C51" s="71" t="n">
        <f aca="false">SUMIFS(Horodateur11233538192231343743464952555861646985222634384650585462667074788290989410210611411811012212613013413814214615015415816216617017417818218619019419820220621021441014182226[Durée (100)],Horodateur11233538192231343743464952555861646985222634384650585462667074788290989410210611411811012212613013413814214615015415816216617017417818218619019419820220621021441014182226[Tâche],Taches_Jours1224363917202932354144475053565962678320243236444856526064687276808896921001041121161081201241281321361401441481521561601641681721761801841881921962002042082122612162024[[#Headers],[RI]],Horodateur11233538192231343743464952555861646985222634384650585462667074788290989410210611411811012212613013413814214615015415816216617017417818218619019419820220621021441014182226[Jour],Taches_Jours1224363917202932354144475053565962678320243236444856526064687276808896921001041121161081201241281321361401441481521561601641681721761801841881921962002042082122612162024[[#This Row],[Jours]])</f>
        <v>0</v>
      </c>
      <c r="D51" s="71" t="n">
        <f aca="false">SUMIFS(Horodateur11233538192231343743464952555861646985222634384650585462667074788290989410210611411811012212613013413814214615015415816216617017417818218619019419820220621021441014182226[Durée (100)],Horodateur11233538192231343743464952555861646985222634384650585462667074788290989410210611411811012212613013413814214615015415816216617017417818218619019419820220621021441014182226[Tâche],Taches_Jours1224363917202932354144475053565962678320243236444856526064687276808896921001041121161081201241281321361401441481521561601641681721761801841881921962002042082122612162024[[#Headers],[FG]],Horodateur11233538192231343743464952555861646985222634384650585462667074788290989410210611411811012212613013413814214615015415816216617017417818218619019419820220621021441014182226[Jour],Taches_Jours1224363917202932354144475053565962678320243236444856526064687276808896921001041121161081201241281321361401441481521561601641681721761801841881921962002042082122612162024[[#This Row],[Jours]])</f>
        <v>0.999999999999999</v>
      </c>
      <c r="E51" s="71" t="n">
        <f aca="false">SUMIFS(Horodateur11233538192231343743464952555861646985222634384650585462667074788290989410210611411811012212613013413814214615015415816216617017417818218619019419820220621021441014182226[Durée (100)],Horodateur11233538192231343743464952555861646985222634384650585462667074788290989410210611411811012212613013413814214615015415816216617017417818218619019419820220621021441014182226[Tâche],Taches_Jours1224363917202932354144475053565962678320243236444856526064687276808896921001041121161081201241281321361401441481521561601641681721761801841881921962002042082122612162024[[#Headers],[PS]],Horodateur11233538192231343743464952555861646985222634384650585462667074788290989410210611411811012212613013413814214615015415816216617017417818218619019419820220621021441014182226[Jour],Taches_Jours1224363917202932354144475053565962678320243236444856526064687276808896921001041121161081201241281321361401441481521561601641681721761801841881921962002042082122612162024[[#This Row],[Jours]])</f>
        <v>0</v>
      </c>
      <c r="F51" s="71" t="n">
        <f aca="false">SUMIFS(Horodateur11233538192231343743464952555861646985222634384650585462667074788290989410210611411811012212613013413814214615015415816216617017417818218619019419820220621021441014182226[Durée (100)],Horodateur11233538192231343743464952555861646985222634384650585462667074788290989410210611411811012212613013413814214615015415816216617017417818218619019419820220621021441014182226[Tâche],Taches_Jours1224363917202932354144475053565962678320243236444856526064687276808896921001041121161081201241281321361401441481521561601641681721761801841881921962002042082122612162024[[#Headers],[TD]],Horodateur11233538192231343743464952555861646985222634384650585462667074788290989410210611411811012212613013413814214615015415816216617017417818218619019419820220621021441014182226[Jour],Taches_Jours1224363917202932354144475053565962678320243236444856526064687276808896921001041121161081201241281321361401441481521561601641681721761801841881921962002042082122612162024[[#This Row],[Jours]])</f>
        <v>0</v>
      </c>
      <c r="G51" s="71" t="n">
        <f aca="false">SUMIFS(Horodateur11233538192231343743464952555861646985222634384650585462667074788290989410210611411811012212613013413814214615015415816216617017417818218619019419820220621021441014182226[Durée (100)],Horodateur11233538192231343743464952555861646985222634384650585462667074788290989410210611411811012212613013413814214615015415816216617017417818218619019419820220621021441014182226[Tâche],Taches_Jours1224363917202932354144475053565962678320243236444856526064687276808896921001041121161081201241281321361401441481521561601641681721761801841881921962002042082122612162024[[#Headers],[GP]],Horodateur11233538192231343743464952555861646985222634384650585462667074788290989410210611411811012212613013413814214615015415816216617017417818218619019419820220621021441014182226[Jour],Taches_Jours1224363917202932354144475053565962678320243236444856526064687276808896921001041121161081201241281321361401441481521561601641681721761801841881921962002042082122612162024[[#This Row],[Jours]])</f>
        <v>0.500000000000001</v>
      </c>
      <c r="H51" s="71" t="n">
        <f aca="false">SUMIFS(Horodateur11233538192231343743464952555861646985222634384650585462667074788290989410210611411811012212613013413814214615015415816216617017417818218619019419820220621021441014182226[Durée (100)],Horodateur11233538192231343743464952555861646985222634384650585462667074788290989410210611411811012212613013413814214615015415816216617017417818218619019419820220621021441014182226[Tâche],Taches_Jours1224363917202932354144475053565962678320243236444856526064687276808896921001041121161081201241281321361401441481521561601641681721761801841881921962002042082122612162024[[#Headers],[GP / SP]],Horodateur11233538192231343743464952555861646985222634384650585462667074788290989410210611411811012212613013413814214615015415816216617017417818218619019419820220621021441014182226[Jour],Taches_Jours1224363917202932354144475053565962678320243236444856526064687276808896921001041121161081201241281321361401441481521561601641681721761801841881921962002042082122612162024[[#This Row],[Jours]])</f>
        <v>0</v>
      </c>
      <c r="I51" s="71" t="n">
        <f aca="false">SUMIFS(Horodateur11233538192231343743464952555861646985222634384650585462667074788290989410210611411811012212613013413814214615015415816216617017417818218619019419820220621021441014182226[Durée (100)],Horodateur11233538192231343743464952555861646985222634384650585462667074788290989410210611411811012212613013413814214615015415816216617017417818218619019419820220621021441014182226[Tâche],Taches_Jours1224363917202932354144475053565962678320243236444856526064687276808896921001041121161081201241281321361401441481521561601641681721761801841881921962002042082122612162024[[#Headers],[GP / SP]],Horodateur11233538192231343743464952555861646985222634384650585462667074788290989410210611411811012212613013413814214615015415816216617017417818218619019419820220621021441014182226[Jour],Taches_Jours1224363917202932354144475053565962678320243236444856526064687276808896921001041121161081201241281321361401441481521561601641681721761801841881921962002042082122612162024[[#This Row],[Jours]])</f>
        <v>0</v>
      </c>
      <c r="J51" s="290" t="n">
        <f aca="false">SUM(Taches_Jours1224363917202932354144475053565962678320243236444856526064687276808896921001041121161081201241281321361401441481521561601641681721761801841881921962002042082122612162024[[#This Row],[GB]:[GP / SP]])</f>
        <v>1.5</v>
      </c>
      <c r="K51" s="188"/>
      <c r="L51" s="288"/>
      <c r="M51" s="289"/>
      <c r="N51" s="187"/>
      <c r="O51" s="1"/>
      <c r="P51" s="1"/>
      <c r="Q51" s="1"/>
      <c r="R51" s="1"/>
      <c r="S51" s="1"/>
      <c r="T51" s="71"/>
      <c r="U51" s="71"/>
      <c r="V51" s="71"/>
      <c r="W51" s="71"/>
      <c r="X51" s="71"/>
      <c r="Y51" s="71"/>
      <c r="Z51" s="71"/>
      <c r="AA51" s="71"/>
      <c r="AB51" s="71"/>
      <c r="AC51" s="71"/>
      <c r="AD51" s="71"/>
      <c r="AE51" s="71"/>
      <c r="AF51" s="71"/>
    </row>
    <row r="52" customFormat="false" ht="15" hidden="true" customHeight="false" outlineLevel="1" collapsed="false">
      <c r="A52" s="187" t="s">
        <v>341</v>
      </c>
      <c r="B52" s="71" t="n">
        <f aca="false">SUMIFS(Horodateur11233538192231343743464952555861646985222634384650585462667074788290989410210611411811012212613013413814214615015415816216617017417818218619019419820220621021441014182226[Durée (100)],Horodateur11233538192231343743464952555861646985222634384650585462667074788290989410210611411811012212613013413814214615015415816216617017417818218619019419820220621021441014182226[Tâche],Taches_Jours1224363917202932354144475053565962678320243236444856526064687276808896921001041121161081201241281321361401441481521561601641681721761801841881921962002042082122612162024[[#Headers],[GB]],Horodateur11233538192231343743464952555861646985222634384650585462667074788290989410210611411811012212613013413814214615015415816216617017417818218619019419820220621021441014182226[Jour],Taches_Jours1224363917202932354144475053565962678320243236444856526064687276808896921001041121161081201241281321361401441481521561601641681721761801841881921962002042082122612162024[[#This Row],[Jours]])</f>
        <v>1</v>
      </c>
      <c r="C52" s="71" t="n">
        <f aca="false">SUMIFS(Horodateur11233538192231343743464952555861646985222634384650585462667074788290989410210611411811012212613013413814214615015415816216617017417818218619019419820220621021441014182226[Durée (100)],Horodateur11233538192231343743464952555861646985222634384650585462667074788290989410210611411811012212613013413814214615015415816216617017417818218619019419820220621021441014182226[Tâche],Taches_Jours1224363917202932354144475053565962678320243236444856526064687276808896921001041121161081201241281321361401441481521561601641681721761801841881921962002042082122612162024[[#Headers],[RI]],Horodateur11233538192231343743464952555861646985222634384650585462667074788290989410210611411811012212613013413814214615015415816216617017417818218619019419820220621021441014182226[Jour],Taches_Jours1224363917202932354144475053565962678320243236444856526064687276808896921001041121161081201241281321361401441481521561601641681721761801841881921962002042082122612162024[[#This Row],[Jours]])</f>
        <v>0</v>
      </c>
      <c r="D52" s="71" t="n">
        <f aca="false">SUMIFS(Horodateur11233538192231343743464952555861646985222634384650585462667074788290989410210611411811012212613013413814214615015415816216617017417818218619019419820220621021441014182226[Durée (100)],Horodateur11233538192231343743464952555861646985222634384650585462667074788290989410210611411811012212613013413814214615015415816216617017417818218619019419820220621021441014182226[Tâche],Taches_Jours1224363917202932354144475053565962678320243236444856526064687276808896921001041121161081201241281321361401441481521561601641681721761801841881921962002042082122612162024[[#Headers],[FG]],Horodateur11233538192231343743464952555861646985222634384650585462667074788290989410210611411811012212613013413814214615015415816216617017417818218619019419820220621021441014182226[Jour],Taches_Jours1224363917202932354144475053565962678320243236444856526064687276808896921001041121161081201241281321361401441481521561601641681721761801841881921962002042082122612162024[[#This Row],[Jours]])</f>
        <v>0</v>
      </c>
      <c r="E52" s="71" t="n">
        <f aca="false">SUMIFS(Horodateur11233538192231343743464952555861646985222634384650585462667074788290989410210611411811012212613013413814214615015415816216617017417818218619019419820220621021441014182226[Durée (100)],Horodateur11233538192231343743464952555861646985222634384650585462667074788290989410210611411811012212613013413814214615015415816216617017417818218619019419820220621021441014182226[Tâche],Taches_Jours1224363917202932354144475053565962678320243236444856526064687276808896921001041121161081201241281321361401441481521561601641681721761801841881921962002042082122612162024[[#Headers],[PS]],Horodateur11233538192231343743464952555861646985222634384650585462667074788290989410210611411811012212613013413814214615015415816216617017417818218619019419820220621021441014182226[Jour],Taches_Jours1224363917202932354144475053565962678320243236444856526064687276808896921001041121161081201241281321361401441481521561601641681721761801841881921962002042082122612162024[[#This Row],[Jours]])</f>
        <v>0</v>
      </c>
      <c r="F52" s="71" t="n">
        <f aca="false">SUMIFS(Horodateur11233538192231343743464952555861646985222634384650585462667074788290989410210611411811012212613013413814214615015415816216617017417818218619019419820220621021441014182226[Durée (100)],Horodateur11233538192231343743464952555861646985222634384650585462667074788290989410210611411811012212613013413814214615015415816216617017417818218619019419820220621021441014182226[Tâche],Taches_Jours1224363917202932354144475053565962678320243236444856526064687276808896921001041121161081201241281321361401441481521561601641681721761801841881921962002042082122612162024[[#Headers],[TD]],Horodateur11233538192231343743464952555861646985222634384650585462667074788290989410210611411811012212613013413814214615015415816216617017417818218619019419820220621021441014182226[Jour],Taches_Jours1224363917202932354144475053565962678320243236444856526064687276808896921001041121161081201241281321361401441481521561601641681721761801841881921962002042082122612162024[[#This Row],[Jours]])</f>
        <v>0</v>
      </c>
      <c r="G52" s="71" t="n">
        <f aca="false">SUMIFS(Horodateur11233538192231343743464952555861646985222634384650585462667074788290989410210611411811012212613013413814214615015415816216617017417818218619019419820220621021441014182226[Durée (100)],Horodateur11233538192231343743464952555861646985222634384650585462667074788290989410210611411811012212613013413814214615015415816216617017417818218619019419820220621021441014182226[Tâche],Taches_Jours1224363917202932354144475053565962678320243236444856526064687276808896921001041121161081201241281321361401441481521561601641681721761801841881921962002042082122612162024[[#Headers],[GP]],Horodateur11233538192231343743464952555861646985222634384650585462667074788290989410210611411811012212613013413814214615015415816216617017417818218619019419820220621021441014182226[Jour],Taches_Jours1224363917202932354144475053565962678320243236444856526064687276808896921001041121161081201241281321361401441481521561601641681721761801841881921962002042082122612162024[[#This Row],[Jours]])</f>
        <v>2</v>
      </c>
      <c r="H52" s="71" t="n">
        <f aca="false">SUMIFS(Horodateur11233538192231343743464952555861646985222634384650585462667074788290989410210611411811012212613013413814214615015415816216617017417818218619019419820220621021441014182226[Durée (100)],Horodateur11233538192231343743464952555861646985222634384650585462667074788290989410210611411811012212613013413814214615015415816216617017417818218619019419820220621021441014182226[Tâche],Taches_Jours1224363917202932354144475053565962678320243236444856526064687276808896921001041121161081201241281321361401441481521561601641681721761801841881921962002042082122612162024[[#Headers],[GP / SP]],Horodateur11233538192231343743464952555861646985222634384650585462667074788290989410210611411811012212613013413814214615015415816216617017417818218619019419820220621021441014182226[Jour],Taches_Jours1224363917202932354144475053565962678320243236444856526064687276808896921001041121161081201241281321361401441481521561601641681721761801841881921962002042082122612162024[[#This Row],[Jours]])</f>
        <v>0</v>
      </c>
      <c r="I52" s="290" t="n">
        <f aca="false">SUMIFS(Horodateur11233538192231343743464952555861646985222634384650585462667074788290989410210611411811012212613013413814214615015415816216617017417818218619019419820220621021441014182226[Durée (100)],Horodateur11233538192231343743464952555861646985222634384650585462667074788290989410210611411811012212613013413814214615015415816216617017417818218619019419820220621021441014182226[Tâche],Taches_Jours1224363917202932354144475053565962678320243236444856526064687276808896921001041121161081201241281321361401441481521561601641681721761801841881921962002042082122612162024[[#Headers],[GP / SP]],Horodateur11233538192231343743464952555861646985222634384650585462667074788290989410210611411811012212613013413814214615015415816216617017417818218619019419820220621021441014182226[Jour],Taches_Jours1224363917202932354144475053565962678320243236444856526064687276808896921001041121161081201241281321361401441481521561601641681721761801841881921962002042082122612162024[[#This Row],[Jours]])</f>
        <v>0</v>
      </c>
      <c r="J52" s="71" t="n">
        <f aca="false">SUM(Taches_Jours1224363917202932354144475053565962678320243236444856526064687276808896921001041121161081201241281321361401441481521561601641681721761801841881921962002042082122612162024[[#This Row],[GB]:[GP / SP]])</f>
        <v>3</v>
      </c>
      <c r="K52" s="188"/>
      <c r="L52" s="288"/>
      <c r="M52" s="289"/>
      <c r="N52" s="187"/>
      <c r="O52" s="1"/>
      <c r="P52" s="1"/>
      <c r="Q52" s="1"/>
      <c r="R52" s="1"/>
      <c r="S52" s="1"/>
      <c r="T52" s="71"/>
      <c r="U52" s="71"/>
      <c r="V52" s="71"/>
      <c r="W52" s="71"/>
      <c r="X52" s="71"/>
      <c r="Y52" s="71"/>
      <c r="Z52" s="71"/>
      <c r="AA52" s="71"/>
      <c r="AB52" s="71"/>
      <c r="AC52" s="71"/>
      <c r="AD52" s="71"/>
      <c r="AE52" s="71"/>
      <c r="AF52" s="71"/>
    </row>
    <row r="53" customFormat="false" ht="15" hidden="true" customHeight="false" outlineLevel="1" collapsed="false">
      <c r="A53" s="187" t="s">
        <v>381</v>
      </c>
      <c r="B53" s="71" t="n">
        <f aca="false">SUMIFS(Horodateur11233538192231343743464952555861646985222634384650585462667074788290989410210611411811012212613013413814214615015415816216617017417818218619019419820220621021441014182226[Durée (100)],Horodateur11233538192231343743464952555861646985222634384650585462667074788290989410210611411811012212613013413814214615015415816216617017417818218619019419820220621021441014182226[Tâche],Taches_Jours1224363917202932354144475053565962678320243236444856526064687276808896921001041121161081201241281321361401441481521561601641681721761801841881921962002042082122612162024[[#Headers],[GB]],Horodateur11233538192231343743464952555861646985222634384650585462667074788290989410210611411811012212613013413814214615015415816216617017417818218619019419820220621021441014182226[Jour],Taches_Jours1224363917202932354144475053565962678320243236444856526064687276808896921001041121161081201241281321361401441481521561601641681721761801841881921962002042082122612162024[[#This Row],[Jours]])</f>
        <v>0</v>
      </c>
      <c r="C53" s="71" t="n">
        <f aca="false">SUMIFS(Horodateur11233538192231343743464952555861646985222634384650585462667074788290989410210611411811012212613013413814214615015415816216617017417818218619019419820220621021441014182226[Durée (100)],Horodateur11233538192231343743464952555861646985222634384650585462667074788290989410210611411811012212613013413814214615015415816216617017417818218619019419820220621021441014182226[Tâche],Taches_Jours1224363917202932354144475053565962678320243236444856526064687276808896921001041121161081201241281321361401441481521561601641681721761801841881921962002042082122612162024[[#Headers],[RI]],Horodateur11233538192231343743464952555861646985222634384650585462667074788290989410210611411811012212613013413814214615015415816216617017417818218619019419820220621021441014182226[Jour],Taches_Jours1224363917202932354144475053565962678320243236444856526064687276808896921001041121161081201241281321361401441481521561601641681721761801841881921962002042082122612162024[[#This Row],[Jours]])</f>
        <v>0</v>
      </c>
      <c r="D53" s="71" t="n">
        <f aca="false">SUMIFS(Horodateur11233538192231343743464952555861646985222634384650585462667074788290989410210611411811012212613013413814214615015415816216617017417818218619019419820220621021441014182226[Durée (100)],Horodateur11233538192231343743464952555861646985222634384650585462667074788290989410210611411811012212613013413814214615015415816216617017417818218619019419820220621021441014182226[Tâche],Taches_Jours1224363917202932354144475053565962678320243236444856526064687276808896921001041121161081201241281321361401441481521561601641681721761801841881921962002042082122612162024[[#Headers],[FG]],Horodateur11233538192231343743464952555861646985222634384650585462667074788290989410210611411811012212613013413814214615015415816216617017417818218619019419820220621021441014182226[Jour],Taches_Jours1224363917202932354144475053565962678320243236444856526064687276808896921001041121161081201241281321361401441481521561601641681721761801841881921962002042082122612162024[[#This Row],[Jours]])</f>
        <v>0</v>
      </c>
      <c r="E53" s="71" t="n">
        <f aca="false">SUMIFS(Horodateur11233538192231343743464952555861646985222634384650585462667074788290989410210611411811012212613013413814214615015415816216617017417818218619019419820220621021441014182226[Durée (100)],Horodateur11233538192231343743464952555861646985222634384650585462667074788290989410210611411811012212613013413814214615015415816216617017417818218619019419820220621021441014182226[Tâche],Taches_Jours1224363917202932354144475053565962678320243236444856526064687276808896921001041121161081201241281321361401441481521561601641681721761801841881921962002042082122612162024[[#Headers],[PS]],Horodateur11233538192231343743464952555861646985222634384650585462667074788290989410210611411811012212613013413814214615015415816216617017417818218619019419820220621021441014182226[Jour],Taches_Jours1224363917202932354144475053565962678320243236444856526064687276808896921001041121161081201241281321361401441481521561601641681721761801841881921962002042082122612162024[[#This Row],[Jours]])</f>
        <v>0</v>
      </c>
      <c r="F53" s="71" t="n">
        <f aca="false">SUMIFS(Horodateur11233538192231343743464952555861646985222634384650585462667074788290989410210611411811012212613013413814214615015415816216617017417818218619019419820220621021441014182226[Durée (100)],Horodateur11233538192231343743464952555861646985222634384650585462667074788290989410210611411811012212613013413814214615015415816216617017417818218619019419820220621021441014182226[Tâche],Taches_Jours1224363917202932354144475053565962678320243236444856526064687276808896921001041121161081201241281321361401441481521561601641681721761801841881921962002042082122612162024[[#Headers],[TD]],Horodateur11233538192231343743464952555861646985222634384650585462667074788290989410210611411811012212613013413814214615015415816216617017417818218619019419820220621021441014182226[Jour],Taches_Jours1224363917202932354144475053565962678320243236444856526064687276808896921001041121161081201241281321361401441481521561601641681721761801841881921962002042082122612162024[[#This Row],[Jours]])</f>
        <v>0</v>
      </c>
      <c r="G53" s="71" t="n">
        <f aca="false">SUMIFS(Horodateur11233538192231343743464952555861646985222634384650585462667074788290989410210611411811012212613013413814214615015415816216617017417818218619019419820220621021441014182226[Durée (100)],Horodateur11233538192231343743464952555861646985222634384650585462667074788290989410210611411811012212613013413814214615015415816216617017417818218619019419820220621021441014182226[Tâche],Taches_Jours1224363917202932354144475053565962678320243236444856526064687276808896921001041121161081201241281321361401441481521561601641681721761801841881921962002042082122612162024[[#Headers],[GP]],Horodateur11233538192231343743464952555861646985222634384650585462667074788290989410210611411811012212613013413814214615015415816216617017417818218619019419820220621021441014182226[Jour],Taches_Jours1224363917202932354144475053565962678320243236444856526064687276808896921001041121161081201241281321361401441481521561601641681721761801841881921962002042082122612162024[[#This Row],[Jours]])</f>
        <v>0</v>
      </c>
      <c r="H53" s="71" t="n">
        <f aca="false">SUMIFS(Horodateur11233538192231343743464952555861646985222634384650585462667074788290989410210611411811012212613013413814214615015415816216617017417818218619019419820220621021441014182226[Durée (100)],Horodateur11233538192231343743464952555861646985222634384650585462667074788290989410210611411811012212613013413814214615015415816216617017417818218619019419820220621021441014182226[Tâche],Taches_Jours1224363917202932354144475053565962678320243236444856526064687276808896921001041121161081201241281321361401441481521561601641681721761801841881921962002042082122612162024[[#Headers],[GP / SP]],Horodateur11233538192231343743464952555861646985222634384650585462667074788290989410210611411811012212613013413814214615015415816216617017417818218619019419820220621021441014182226[Jour],Taches_Jours1224363917202932354144475053565962678320243236444856526064687276808896921001041121161081201241281321361401441481521561601641681721761801841881921962002042082122612162024[[#This Row],[Jours]])</f>
        <v>0</v>
      </c>
      <c r="I53" s="290" t="n">
        <f aca="false">SUMIFS(Horodateur11233538192231343743464952555861646985222634384650585462667074788290989410210611411811012212613013413814214615015415816216617017417818218619019419820220621021441014182226[Durée (100)],Horodateur11233538192231343743464952555861646985222634384650585462667074788290989410210611411811012212613013413814214615015415816216617017417818218619019419820220621021441014182226[Tâche],Taches_Jours1224363917202932354144475053565962678320243236444856526064687276808896921001041121161081201241281321361401441481521561601641681721761801841881921962002042082122612162024[[#Headers],[GP / SP]],Horodateur11233538192231343743464952555861646985222634384650585462667074788290989410210611411811012212613013413814214615015415816216617017417818218619019419820220621021441014182226[Jour],Taches_Jours1224363917202932354144475053565962678320243236444856526064687276808896921001041121161081201241281321361401441481521561601641681721761801841881921962002042082122612162024[[#This Row],[Jours]])</f>
        <v>0</v>
      </c>
      <c r="J53" s="71" t="n">
        <f aca="false">SUM(Taches_Jours1224363917202932354144475053565962678320243236444856526064687276808896921001041121161081201241281321361401441481521561601641681721761801841881921962002042082122612162024[[#This Row],[GB]:[GP / SP]])</f>
        <v>0</v>
      </c>
      <c r="K53" s="188"/>
      <c r="L53" s="288"/>
      <c r="M53" s="289"/>
      <c r="N53" s="187"/>
      <c r="O53" s="1"/>
      <c r="P53" s="1"/>
      <c r="Q53" s="1"/>
      <c r="R53" s="1"/>
      <c r="S53" s="1"/>
      <c r="T53" s="71"/>
      <c r="U53" s="71"/>
      <c r="V53" s="71"/>
      <c r="W53" s="71"/>
      <c r="X53" s="71"/>
      <c r="Y53" s="71"/>
      <c r="Z53" s="71"/>
      <c r="AA53" s="71"/>
      <c r="AB53" s="71"/>
      <c r="AC53" s="71"/>
      <c r="AD53" s="71"/>
      <c r="AE53" s="71"/>
      <c r="AF53" s="71"/>
    </row>
    <row r="54" customFormat="false" ht="15" hidden="true" customHeight="false" outlineLevel="1" collapsed="false">
      <c r="A54" s="137"/>
      <c r="B54" s="187"/>
      <c r="C54" s="71"/>
      <c r="D54" s="1"/>
      <c r="E54" s="1"/>
      <c r="F54" s="71"/>
      <c r="G54" s="1"/>
      <c r="H54" s="1"/>
      <c r="I54" s="119"/>
      <c r="J54" s="271"/>
      <c r="K54" s="1"/>
      <c r="L54" s="188"/>
      <c r="M54" s="272"/>
      <c r="N54" s="187"/>
      <c r="O54" s="1"/>
      <c r="P54" s="1"/>
      <c r="Q54" s="1"/>
      <c r="R54" s="1"/>
      <c r="S54" s="1"/>
      <c r="T54" s="1"/>
      <c r="U54" s="71"/>
      <c r="V54" s="71"/>
      <c r="W54" s="71"/>
      <c r="X54" s="71"/>
      <c r="Y54" s="71"/>
      <c r="Z54" s="71"/>
      <c r="AA54" s="71"/>
      <c r="AB54" s="71"/>
      <c r="AC54" s="71"/>
      <c r="AD54" s="71"/>
      <c r="AE54" s="71"/>
      <c r="AF54" s="71"/>
      <c r="AG54" s="71"/>
    </row>
    <row r="55" customFormat="false" ht="15" hidden="true" customHeight="false" outlineLevel="1" collapsed="false">
      <c r="A55" s="291" t="s">
        <v>85</v>
      </c>
      <c r="B55" s="292" t="s">
        <v>312</v>
      </c>
      <c r="C55" s="292" t="s">
        <v>319</v>
      </c>
      <c r="D55" s="292" t="s">
        <v>324</v>
      </c>
      <c r="E55" s="292" t="s">
        <v>332</v>
      </c>
      <c r="F55" s="293" t="s">
        <v>335</v>
      </c>
      <c r="G55" s="292" t="s">
        <v>341</v>
      </c>
      <c r="H55" s="292" t="s">
        <v>381</v>
      </c>
      <c r="I55" s="294" t="s">
        <v>58</v>
      </c>
      <c r="J55" s="271"/>
      <c r="K55" s="1"/>
      <c r="L55" s="188"/>
      <c r="M55" s="272"/>
      <c r="N55" s="187"/>
      <c r="O55" s="1"/>
      <c r="P55" s="1"/>
      <c r="Q55" s="1"/>
      <c r="R55" s="1"/>
      <c r="S55" s="1"/>
      <c r="T55" s="1"/>
      <c r="U55" s="71"/>
      <c r="V55" s="71"/>
      <c r="W55" s="71"/>
      <c r="X55" s="71"/>
      <c r="Y55" s="71"/>
      <c r="Z55" s="71"/>
      <c r="AA55" s="71"/>
      <c r="AB55" s="71"/>
      <c r="AC55" s="71"/>
      <c r="AD55" s="71"/>
      <c r="AE55" s="71"/>
      <c r="AF55" s="71"/>
      <c r="AG55" s="71"/>
    </row>
    <row r="56" customFormat="false" ht="15" hidden="true" customHeight="false" outlineLevel="1" collapsed="false">
      <c r="A56" s="137" t="s">
        <v>21</v>
      </c>
      <c r="B56" s="187" t="n">
        <f aca="false">SUMIFS(Horodateur11233538192231343743464952555861646985222634384650585462667074788290989410210611411811012212613013413814214615015415816216617017417818218619019419820220621021441014182226[Durée (100)],Horodateur11233538192231343743464952555861646985222634384650585462667074788290989410210611411811012212613013413814214615015415816216617017417818218619019419820220621021441014182226[Jour],$B$55,Horodateur11233538192231343743464952555861646985222634384650585462667074788290989410210611411811012212613013413814214615015415816216617017417818218619019419820220621021441014182226[Tâche],$A56)</f>
        <v>0.999999999999999</v>
      </c>
      <c r="C56" s="187" t="n">
        <f aca="false">SUMIFS(Horodateur11233538192231343743464952555861646985222634384650585462667074788290989410210611411811012212613013413814214615015415816216617017417818218619019419820220621021441014182226[Durée (100)],Horodateur11233538192231343743464952555861646985222634384650585462667074788290989410210611411811012212613013413814214615015415816216617017417818218619019419820220621021441014182226[Jour],$C$55,Horodateur11233538192231343743464952555861646985222634384650585462667074788290989410210611411811012212613013413814214615015415816216617017417818218619019419820220621021441014182226[Tâche],$A56)</f>
        <v>0</v>
      </c>
      <c r="D56" s="187" t="n">
        <f aca="false">SUMIFS(Horodateur11233538192231343743464952555861646985222634384650585462667074788290989410210611411811012212613013413814214615015415816216617017417818218619019419820220621021441014182226[Durée (100)],Horodateur11233538192231343743464952555861646985222634384650585462667074788290989410210611411811012212613013413814214615015415816216617017417818218619019419820220621021441014182226[Jour],$D$55,Horodateur11233538192231343743464952555861646985222634384650585462667074788290989410210611411811012212613013413814214615015415816216617017417818218619019419820220621021441014182226[Tâche],$A56)</f>
        <v>0</v>
      </c>
      <c r="E56" s="187" t="n">
        <f aca="false">SUMIFS(Horodateur11233538192231343743464952555861646985222634384650585462667074788290989410210611411811012212613013413814214615015415816216617017417818218619019419820220621021441014182226[Durée (100)],Horodateur11233538192231343743464952555861646985222634384650585462667074788290989410210611411811012212613013413814214615015415816216617017417818218619019419820220621021441014182226[Jour],$E$55,Horodateur11233538192231343743464952555861646985222634384650585462667074788290989410210611411811012212613013413814214615015415816216617017417818218619019419820220621021441014182226[Tâche],$A56)</f>
        <v>1</v>
      </c>
      <c r="F56" s="71" t="n">
        <f aca="false">SUMIFS(Horodateur11233538192231343743464952555861646985222634384650585462667074788290989410210611411811012212613013413814214615015415816216617017417818218619019419820220621021441014182226[Durée (100)],Horodateur11233538192231343743464952555861646985222634384650585462667074788290989410210611411811012212613013413814214615015415816216617017417818218619019419820220621021441014182226[Jour],$F$55,Horodateur11233538192231343743464952555861646985222634384650585462667074788290989410210611411811012212613013413814214615015415816216617017417818218619019419820220621021441014182226[Tâche],$A56)</f>
        <v>0</v>
      </c>
      <c r="G56" s="187" t="n">
        <f aca="false">SUMIFS(Horodateur11233538192231343743464952555861646985222634384650585462667074788290989410210611411811012212613013413814214615015415816216617017417818218619019419820220621021441014182226[Durée (100)],Horodateur11233538192231343743464952555861646985222634384650585462667074788290989410210611411811012212613013413814214615015415816216617017417818218619019419820220621021441014182226[Jour],$G$55,Horodateur11233538192231343743464952555861646985222634384650585462667074788290989410210611411811012212613013413814214615015415816216617017417818218619019419820220621021441014182226[Tâche],$A56)</f>
        <v>1</v>
      </c>
      <c r="H56" s="187" t="n">
        <f aca="false">SUMIFS(Horodateur11233538192231343743464952555861646985222634384650585462667074788290989410210611411811012212613013413814214615015415816216617017417818218619019419820220621021441014182226[Durée (100)],Horodateur11233538192231343743464952555861646985222634384650585462667074788290989410210611411811012212613013413814214615015415816216617017417818218619019419820220621021441014182226[Jour],$H$55,Horodateur11233538192231343743464952555861646985222634384650585462667074788290989410210611411811012212613013413814214615015415816216617017417818218619019419820220621021441014182226[Tâche],$A56)</f>
        <v>0</v>
      </c>
      <c r="I56" s="295" t="n">
        <f aca="false">SUM(Taches_Jour21325374018213033364245485154576063688421253337454957536165697377818997931011051131171091211251291331371411451491531571611651691731771811851891931972012052092133913172125[[#This Row],[1- Lundi]:[7- Dimanche]])</f>
        <v>3</v>
      </c>
      <c r="J56" s="271"/>
      <c r="K56" s="1"/>
      <c r="L56" s="188"/>
      <c r="M56" s="272"/>
      <c r="N56" s="187"/>
      <c r="O56" s="1"/>
      <c r="P56" s="1"/>
      <c r="Q56" s="1"/>
      <c r="R56" s="1"/>
      <c r="S56" s="1"/>
      <c r="T56" s="1"/>
      <c r="U56" s="71"/>
      <c r="V56" s="71"/>
      <c r="W56" s="71"/>
      <c r="X56" s="71"/>
      <c r="Y56" s="71"/>
      <c r="Z56" s="71"/>
      <c r="AA56" s="71"/>
      <c r="AB56" s="71"/>
      <c r="AC56" s="71"/>
      <c r="AD56" s="71"/>
      <c r="AE56" s="71"/>
      <c r="AF56" s="71"/>
      <c r="AG56" s="71"/>
    </row>
    <row r="57" customFormat="false" ht="15" hidden="true" customHeight="false" outlineLevel="1" collapsed="false">
      <c r="A57" s="137" t="s">
        <v>20</v>
      </c>
      <c r="B57" s="187" t="n">
        <f aca="false">SUMIFS(Horodateur11233538192231343743464952555861646985222634384650585462667074788290989410210611411811012212613013413814214615015415816216617017417818218619019419820220621021441014182226[Durée (100)],Horodateur11233538192231343743464952555861646985222634384650585462667074788290989410210611411811012212613013413814214615015415816216617017417818218619019419820220621021441014182226[Jour],$B$55,Horodateur11233538192231343743464952555861646985222634384650585462667074788290989410210611411811012212613013413814214615015415816216617017417818218619019419820220621021441014182226[Tâche],$A57)</f>
        <v>0.500000000000001</v>
      </c>
      <c r="C57" s="187" t="n">
        <f aca="false">SUMIFS(Horodateur11233538192231343743464952555861646985222634384650585462667074788290989410210611411811012212613013413814214615015415816216617017417818218619019419820220621021441014182226[Durée (100)],Horodateur11233538192231343743464952555861646985222634384650585462667074788290989410210611411811012212613013413814214615015415816216617017417818218619019419820220621021441014182226[Jour],$C$55,Horodateur11233538192231343743464952555861646985222634384650585462667074788290989410210611411811012212613013413814214615015415816216617017417818218619019419820220621021441014182226[Tâche],$A57)</f>
        <v>0</v>
      </c>
      <c r="D57" s="187" t="n">
        <f aca="false">SUMIFS(Horodateur11233538192231343743464952555861646985222634384650585462667074788290989410210611411811012212613013413814214615015415816216617017417818218619019419820220621021441014182226[Durée (100)],Horodateur11233538192231343743464952555861646985222634384650585462667074788290989410210611411811012212613013413814214615015415816216617017417818218619019419820220621021441014182226[Jour],$D$55,Horodateur11233538192231343743464952555861646985222634384650585462667074788290989410210611411811012212613013413814214615015415816216617017417818218619019419820220621021441014182226[Tâche],$A57)</f>
        <v>0</v>
      </c>
      <c r="E57" s="187" t="n">
        <f aca="false">SUMIFS(Horodateur11233538192231343743464952555861646985222634384650585462667074788290989410210611411811012212613013413814214615015415816216617017417818218619019419820220621021441014182226[Durée (100)],Horodateur11233538192231343743464952555861646985222634384650585462667074788290989410210611411811012212613013413814214615015415816216617017417818218619019419820220621021441014182226[Jour],$E$55,Horodateur11233538192231343743464952555861646985222634384650585462667074788290989410210611411811012212613013413814214615015415816216617017417818218619019419820220621021441014182226[Tâche],$A57)</f>
        <v>0</v>
      </c>
      <c r="F57" s="71" t="n">
        <f aca="false">SUMIFS(Horodateur11233538192231343743464952555861646985222634384650585462667074788290989410210611411811012212613013413814214615015415816216617017417818218619019419820220621021441014182226[Durée (100)],Horodateur11233538192231343743464952555861646985222634384650585462667074788290989410210611411811012212613013413814214615015415816216617017417818218619019419820220621021441014182226[Jour],$F$55,Horodateur11233538192231343743464952555861646985222634384650585462667074788290989410210611411811012212613013413814214615015415816216617017417818218619019419820220621021441014182226[Tâche],$A57)</f>
        <v>0</v>
      </c>
      <c r="G57" s="187" t="n">
        <f aca="false">SUMIFS(Horodateur11233538192231343743464952555861646985222634384650585462667074788290989410210611411811012212613013413814214615015415816216617017417818218619019419820220621021441014182226[Durée (100)],Horodateur11233538192231343743464952555861646985222634384650585462667074788290989410210611411811012212613013413814214615015415816216617017417818218619019419820220621021441014182226[Jour],$G$55,Horodateur11233538192231343743464952555861646985222634384650585462667074788290989410210611411811012212613013413814214615015415816216617017417818218619019419820220621021441014182226[Tâche],$A57)</f>
        <v>0</v>
      </c>
      <c r="H57" s="187" t="n">
        <f aca="false">SUMIFS(Horodateur11233538192231343743464952555861646985222634384650585462667074788290989410210611411811012212613013413814214615015415816216617017417818218619019419820220621021441014182226[Durée (100)],Horodateur11233538192231343743464952555861646985222634384650585462667074788290989410210611411811012212613013413814214615015415816216617017417818218619019419820220621021441014182226[Jour],$H$55,Horodateur11233538192231343743464952555861646985222634384650585462667074788290989410210611411811012212613013413814214615015415816216617017417818218619019419820220621021441014182226[Tâche],$A57)</f>
        <v>0</v>
      </c>
      <c r="I57" s="295" t="n">
        <f aca="false">SUM(Taches_Jour21325374018213033364245485154576063688421253337454957536165697377818997931011051131171091211251291331371411451491531571611651691731771811851891931972012052092133913172125[[#This Row],[1- Lundi]:[7- Dimanche]])</f>
        <v>0.500000000000001</v>
      </c>
      <c r="J57" s="271"/>
      <c r="K57" s="1"/>
      <c r="L57" s="188"/>
      <c r="M57" s="272"/>
      <c r="N57" s="187"/>
      <c r="O57" s="1"/>
      <c r="P57" s="1"/>
      <c r="Q57" s="1"/>
      <c r="R57" s="1"/>
      <c r="S57" s="1"/>
      <c r="T57" s="1"/>
      <c r="U57" s="71"/>
      <c r="V57" s="71"/>
      <c r="W57" s="71"/>
      <c r="X57" s="71"/>
      <c r="Y57" s="71"/>
      <c r="Z57" s="71"/>
      <c r="AA57" s="71"/>
      <c r="AB57" s="71"/>
      <c r="AC57" s="71"/>
      <c r="AD57" s="71"/>
      <c r="AE57" s="71"/>
      <c r="AF57" s="71"/>
      <c r="AG57" s="71"/>
    </row>
    <row r="58" customFormat="false" ht="15" hidden="true" customHeight="false" outlineLevel="1" collapsed="false">
      <c r="A58" s="137" t="s">
        <v>23</v>
      </c>
      <c r="B58" s="187" t="n">
        <f aca="false">SUMIFS(Horodateur11233538192231343743464952555861646985222634384650585462667074788290989410210611411811012212613013413814214615015415816216617017417818218619019419820220621021441014182226[Durée (100)],Horodateur11233538192231343743464952555861646985222634384650585462667074788290989410210611411811012212613013413814214615015415816216617017417818218619019419820220621021441014182226[Jour],$B$55,Horodateur11233538192231343743464952555861646985222634384650585462667074788290989410210611411811012212613013413814214615015415816216617017417818218619019419820220621021441014182226[Tâche],$A58)</f>
        <v>0.500000000000001</v>
      </c>
      <c r="C58" s="187" t="n">
        <f aca="false">SUMIFS(Horodateur11233538192231343743464952555861646985222634384650585462667074788290989410210611411811012212613013413814214615015415816216617017417818218619019419820220621021441014182226[Durée (100)],Horodateur11233538192231343743464952555861646985222634384650585462667074788290989410210611411811012212613013413814214615015415816216617017417818218619019419820220621021441014182226[Jour],$C$55,Horodateur11233538192231343743464952555861646985222634384650585462667074788290989410210611411811012212613013413814214615015415816216617017417818218619019419820220621021441014182226[Tâche],$A58)</f>
        <v>0</v>
      </c>
      <c r="D58" s="187" t="n">
        <f aca="false">SUMIFS(Horodateur11233538192231343743464952555861646985222634384650585462667074788290989410210611411811012212613013413814214615015415816216617017417818218619019419820220621021441014182226[Durée (100)],Horodateur11233538192231343743464952555861646985222634384650585462667074788290989410210611411811012212613013413814214615015415816216617017417818218619019419820220621021441014182226[Jour],$D$55,Horodateur11233538192231343743464952555861646985222634384650585462667074788290989410210611411811012212613013413814214615015415816216617017417818218619019419820220621021441014182226[Tâche],$A58)</f>
        <v>1.25</v>
      </c>
      <c r="E58" s="187" t="n">
        <f aca="false">SUMIFS(Horodateur11233538192231343743464952555861646985222634384650585462667074788290989410210611411811012212613013413814214615015415816216617017417818218619019419820220621021441014182226[Durée (100)],Horodateur11233538192231343743464952555861646985222634384650585462667074788290989410210611411811012212613013413814214615015415816216617017417818218619019419820220621021441014182226[Jour],$E$55,Horodateur11233538192231343743464952555861646985222634384650585462667074788290989410210611411811012212613013413814214615015415816216617017417818218619019419820220621021441014182226[Tâche],$A58)</f>
        <v>1.5</v>
      </c>
      <c r="F58" s="71" t="n">
        <f aca="false">SUMIFS(Horodateur11233538192231343743464952555861646985222634384650585462667074788290989410210611411811012212613013413814214615015415816216617017417818218619019419820220621021441014182226[Durée (100)],Horodateur11233538192231343743464952555861646985222634384650585462667074788290989410210611411811012212613013413814214615015415816216617017417818218619019419820220621021441014182226[Jour],$F$55,Horodateur11233538192231343743464952555861646985222634384650585462667074788290989410210611411811012212613013413814214615015415816216617017417818218619019419820220621021441014182226[Tâche],$A58)</f>
        <v>0.999999999999999</v>
      </c>
      <c r="G58" s="187" t="n">
        <f aca="false">SUMIFS(Horodateur11233538192231343743464952555861646985222634384650585462667074788290989410210611411811012212613013413814214615015415816216617017417818218619019419820220621021441014182226[Durée (100)],Horodateur11233538192231343743464952555861646985222634384650585462667074788290989410210611411811012212613013413814214615015415816216617017417818218619019419820220621021441014182226[Jour],$G$55,Horodateur11233538192231343743464952555861646985222634384650585462667074788290989410210611411811012212613013413814214615015415816216617017417818218619019419820220621021441014182226[Tâche],$A58)</f>
        <v>0</v>
      </c>
      <c r="H58" s="187" t="n">
        <f aca="false">SUMIFS(Horodateur11233538192231343743464952555861646985222634384650585462667074788290989410210611411811012212613013413814214615015415816216617017417818218619019419820220621021441014182226[Durée (100)],Horodateur11233538192231343743464952555861646985222634384650585462667074788290989410210611411811012212613013413814214615015415816216617017417818218619019419820220621021441014182226[Jour],$H$55,Horodateur11233538192231343743464952555861646985222634384650585462667074788290989410210611411811012212613013413814214615015415816216617017417818218619019419820220621021441014182226[Tâche],$A58)</f>
        <v>0</v>
      </c>
      <c r="I58" s="295" t="n">
        <f aca="false">SUM(Taches_Jour21325374018213033364245485154576063688421253337454957536165697377818997931011051131171091211251291331371411451491531571611651691731771811851891931972012052092133913172125[[#This Row],[1- Lundi]:[7- Dimanche]])</f>
        <v>4.25</v>
      </c>
      <c r="J58" s="271"/>
      <c r="K58" s="1"/>
      <c r="L58" s="188"/>
      <c r="M58" s="272"/>
      <c r="N58" s="187"/>
      <c r="O58" s="1"/>
      <c r="P58" s="1"/>
      <c r="Q58" s="1"/>
      <c r="R58" s="1"/>
      <c r="S58" s="1"/>
      <c r="T58" s="1"/>
      <c r="U58" s="71"/>
      <c r="V58" s="71"/>
      <c r="W58" s="71"/>
      <c r="X58" s="71"/>
      <c r="Y58" s="71"/>
      <c r="Z58" s="71"/>
      <c r="AA58" s="71"/>
      <c r="AB58" s="71"/>
      <c r="AC58" s="71"/>
      <c r="AD58" s="71"/>
      <c r="AE58" s="71"/>
      <c r="AF58" s="71"/>
      <c r="AG58" s="71"/>
    </row>
    <row r="59" customFormat="false" ht="15" hidden="true" customHeight="false" outlineLevel="1" collapsed="false">
      <c r="A59" s="137" t="s">
        <v>25</v>
      </c>
      <c r="B59" s="187" t="n">
        <f aca="false">SUMIFS(Horodateur11233538192231343743464952555861646985222634384650585462667074788290989410210611411811012212613013413814214615015415816216617017417818218619019419820220621021441014182226[Durée (100)],Horodateur11233538192231343743464952555861646985222634384650585462667074788290989410210611411811012212613013413814214615015415816216617017417818218619019419820220621021441014182226[Jour],$B$55,Horodateur11233538192231343743464952555861646985222634384650585462667074788290989410210611411811012212613013413814214615015415816216617017417818218619019419820220621021441014182226[Tâche],$A59)</f>
        <v>0</v>
      </c>
      <c r="C59" s="187" t="n">
        <f aca="false">SUMIFS(Horodateur11233538192231343743464952555861646985222634384650585462667074788290989410210611411811012212613013413814214615015415816216617017417818218619019419820220621021441014182226[Durée (100)],Horodateur11233538192231343743464952555861646985222634384650585462667074788290989410210611411811012212613013413814214615015415816216617017417818218619019419820220621021441014182226[Jour],$C$55,Horodateur11233538192231343743464952555861646985222634384650585462667074788290989410210611411811012212613013413814214615015415816216617017417818218619019419820220621021441014182226[Tâche],$A59)</f>
        <v>0</v>
      </c>
      <c r="D59" s="187" t="n">
        <f aca="false">SUMIFS(Horodateur11233538192231343743464952555861646985222634384650585462667074788290989410210611411811012212613013413814214615015415816216617017417818218619019419820220621021441014182226[Durée (100)],Horodateur11233538192231343743464952555861646985222634384650585462667074788290989410210611411811012212613013413814214615015415816216617017417818218619019419820220621021441014182226[Jour],$D$55,Horodateur11233538192231343743464952555861646985222634384650585462667074788290989410210611411811012212613013413814214615015415816216617017417818218619019419820220621021441014182226[Tâche],$A59)</f>
        <v>0</v>
      </c>
      <c r="E59" s="187" t="n">
        <f aca="false">SUMIFS(Horodateur11233538192231343743464952555861646985222634384650585462667074788290989410210611411811012212613013413814214615015415816216617017417818218619019419820220621021441014182226[Durée (100)],Horodateur11233538192231343743464952555861646985222634384650585462667074788290989410210611411811012212613013413814214615015415816216617017417818218619019419820220621021441014182226[Jour],$E$55,Horodateur11233538192231343743464952555861646985222634384650585462667074788290989410210611411811012212613013413814214615015415816216617017417818218619019419820220621021441014182226[Tâche],$A59)</f>
        <v>0</v>
      </c>
      <c r="F59" s="71" t="n">
        <f aca="false">SUMIFS(Horodateur11233538192231343743464952555861646985222634384650585462667074788290989410210611411811012212613013413814214615015415816216617017417818218619019419820220621021441014182226[Durée (100)],Horodateur11233538192231343743464952555861646985222634384650585462667074788290989410210611411811012212613013413814214615015415816216617017417818218619019419820220621021441014182226[Jour],$F$55,Horodateur11233538192231343743464952555861646985222634384650585462667074788290989410210611411811012212613013413814214615015415816216617017417818218619019419820220621021441014182226[Tâche],$A59)</f>
        <v>0</v>
      </c>
      <c r="G59" s="187" t="n">
        <f aca="false">SUMIFS(Horodateur11233538192231343743464952555861646985222634384650585462667074788290989410210611411811012212613013413814214615015415816216617017417818218619019419820220621021441014182226[Durée (100)],Horodateur11233538192231343743464952555861646985222634384650585462667074788290989410210611411811012212613013413814214615015415816216617017417818218619019419820220621021441014182226[Jour],$G$55,Horodateur11233538192231343743464952555861646985222634384650585462667074788290989410210611411811012212613013413814214615015415816216617017417818218619019419820220621021441014182226[Tâche],$A59)</f>
        <v>0</v>
      </c>
      <c r="H59" s="187" t="n">
        <f aca="false">SUMIFS(Horodateur11233538192231343743464952555861646985222634384650585462667074788290989410210611411811012212613013413814214615015415816216617017417818218619019419820220621021441014182226[Durée (100)],Horodateur11233538192231343743464952555861646985222634384650585462667074788290989410210611411811012212613013413814214615015415816216617017417818218619019419820220621021441014182226[Jour],$H$55,Horodateur11233538192231343743464952555861646985222634384650585462667074788290989410210611411811012212613013413814214615015415816216617017417818218619019419820220621021441014182226[Tâche],$A59)</f>
        <v>0</v>
      </c>
      <c r="I59" s="295" t="n">
        <f aca="false">SUM(Taches_Jour21325374018213033364245485154576063688421253337454957536165697377818997931011051131171091211251291331371411451491531571611651691731771811851891931972012052092133913172125[[#This Row],[1- Lundi]:[7- Dimanche]])</f>
        <v>0</v>
      </c>
      <c r="J59" s="271"/>
      <c r="K59" s="1"/>
      <c r="L59" s="188"/>
      <c r="M59" s="272"/>
      <c r="N59" s="187"/>
      <c r="O59" s="1"/>
      <c r="P59" s="1"/>
      <c r="Q59" s="1"/>
      <c r="R59" s="1"/>
      <c r="S59" s="1"/>
      <c r="T59" s="1"/>
      <c r="U59" s="71"/>
      <c r="V59" s="71"/>
      <c r="W59" s="71"/>
      <c r="X59" s="71"/>
      <c r="Y59" s="71"/>
      <c r="Z59" s="71"/>
      <c r="AA59" s="71"/>
      <c r="AB59" s="71"/>
      <c r="AC59" s="71"/>
      <c r="AD59" s="71"/>
      <c r="AE59" s="71"/>
      <c r="AF59" s="71"/>
      <c r="AG59" s="71"/>
    </row>
    <row r="60" customFormat="false" ht="15" hidden="true" customHeight="false" outlineLevel="1" collapsed="false">
      <c r="A60" s="137" t="s">
        <v>26</v>
      </c>
      <c r="B60" s="187" t="n">
        <f aca="false">SUMIFS(Horodateur11233538192231343743464952555861646985222634384650585462667074788290989410210611411811012212613013413814214615015415816216617017417818218619019419820220621021441014182226[Durée (100)],Horodateur11233538192231343743464952555861646985222634384650585462667074788290989410210611411811012212613013413814214615015415816216617017417818218619019419820220621021441014182226[Jour],$B$55,Horodateur11233538192231343743464952555861646985222634384650585462667074788290989410210611411811012212613013413814214615015415816216617017417818218619019419820220621021441014182226[Tâche],$A60)</f>
        <v>0</v>
      </c>
      <c r="C60" s="187" t="n">
        <f aca="false">SUMIFS(Horodateur11233538192231343743464952555861646985222634384650585462667074788290989410210611411811012212613013413814214615015415816216617017417818218619019419820220621021441014182226[Durée (100)],Horodateur11233538192231343743464952555861646985222634384650585462667074788290989410210611411811012212613013413814214615015415816216617017417818218619019419820220621021441014182226[Jour],$C$55,Horodateur11233538192231343743464952555861646985222634384650585462667074788290989410210611411811012212613013413814214615015415816216617017417818218619019419820220621021441014182226[Tâche],$A60)</f>
        <v>0</v>
      </c>
      <c r="D60" s="187" t="n">
        <f aca="false">SUMIFS(Horodateur11233538192231343743464952555861646985222634384650585462667074788290989410210611411811012212613013413814214615015415816216617017417818218619019419820220621021441014182226[Durée (100)],Horodateur11233538192231343743464952555861646985222634384650585462667074788290989410210611411811012212613013413814214615015415816216617017417818218619019419820220621021441014182226[Jour],$D$55,Horodateur11233538192231343743464952555861646985222634384650585462667074788290989410210611411811012212613013413814214615015415816216617017417818218619019419820220621021441014182226[Tâche],$A60)</f>
        <v>0</v>
      </c>
      <c r="E60" s="187" t="n">
        <f aca="false">SUMIFS(Horodateur11233538192231343743464952555861646985222634384650585462667074788290989410210611411811012212613013413814214615015415816216617017417818218619019419820220621021441014182226[Durée (100)],Horodateur11233538192231343743464952555861646985222634384650585462667074788290989410210611411811012212613013413814214615015415816216617017417818218619019419820220621021441014182226[Jour],$E$55,Horodateur11233538192231343743464952555861646985222634384650585462667074788290989410210611411811012212613013413814214615015415816216617017417818218619019419820220621021441014182226[Tâche],$A60)</f>
        <v>0</v>
      </c>
      <c r="F60" s="71" t="n">
        <f aca="false">SUMIFS(Horodateur11233538192231343743464952555861646985222634384650585462667074788290989410210611411811012212613013413814214615015415816216617017417818218619019419820220621021441014182226[Durée (100)],Horodateur11233538192231343743464952555861646985222634384650585462667074788290989410210611411811012212613013413814214615015415816216617017417818218619019419820220621021441014182226[Jour],$F$55,Horodateur11233538192231343743464952555861646985222634384650585462667074788290989410210611411811012212613013413814214615015415816216617017417818218619019419820220621021441014182226[Tâche],$A60)</f>
        <v>0</v>
      </c>
      <c r="G60" s="187" t="n">
        <f aca="false">SUMIFS(Horodateur11233538192231343743464952555861646985222634384650585462667074788290989410210611411811012212613013413814214615015415816216617017417818218619019419820220621021441014182226[Durée (100)],Horodateur11233538192231343743464952555861646985222634384650585462667074788290989410210611411811012212613013413814214615015415816216617017417818218619019419820220621021441014182226[Jour],$G$55,Horodateur11233538192231343743464952555861646985222634384650585462667074788290989410210611411811012212613013413814214615015415816216617017417818218619019419820220621021441014182226[Tâche],$A60)</f>
        <v>0</v>
      </c>
      <c r="H60" s="187" t="n">
        <f aca="false">SUMIFS(Horodateur11233538192231343743464952555861646985222634384650585462667074788290989410210611411811012212613013413814214615015415816216617017417818218619019419820220621021441014182226[Durée (100)],Horodateur11233538192231343743464952555861646985222634384650585462667074788290989410210611411811012212613013413814214615015415816216617017417818218619019419820220621021441014182226[Jour],$H$55,Horodateur11233538192231343743464952555861646985222634384650585462667074788290989410210611411811012212613013413814214615015415816216617017417818218619019419820220621021441014182226[Tâche],$A60)</f>
        <v>0</v>
      </c>
      <c r="I60" s="295" t="n">
        <f aca="false">SUM(Taches_Jour21325374018213033364245485154576063688421253337454957536165697377818997931011051131171091211251291331371411451491531571611651691731771811851891931972012052092133913172125[[#This Row],[1- Lundi]:[7- Dimanche]])</f>
        <v>0</v>
      </c>
      <c r="J60" s="271"/>
      <c r="K60" s="1"/>
      <c r="L60" s="188"/>
      <c r="M60" s="272"/>
      <c r="N60" s="187"/>
      <c r="O60" s="1"/>
      <c r="P60" s="1"/>
      <c r="Q60" s="1"/>
      <c r="R60" s="1"/>
      <c r="S60" s="1"/>
      <c r="T60" s="1"/>
      <c r="U60" s="71"/>
      <c r="V60" s="71"/>
      <c r="W60" s="71"/>
      <c r="X60" s="71"/>
      <c r="Y60" s="71"/>
      <c r="Z60" s="71"/>
      <c r="AA60" s="71"/>
      <c r="AB60" s="71"/>
      <c r="AC60" s="71"/>
      <c r="AD60" s="71"/>
      <c r="AE60" s="71"/>
      <c r="AF60" s="71"/>
      <c r="AG60" s="71"/>
    </row>
    <row r="61" customFormat="false" ht="15" hidden="true" customHeight="false" outlineLevel="1" collapsed="false">
      <c r="A61" s="137" t="s">
        <v>378</v>
      </c>
      <c r="B61" s="187" t="n">
        <f aca="false">SUMIFS(Horodateur11233538192231343743464952555861646985222634384650585462667074788290989410210611411811012212613013413814214615015415816216617017417818218619019419820220621021441014182226[Durée (100)],Horodateur11233538192231343743464952555861646985222634384650585462667074788290989410210611411811012212613013413814214615015415816216617017417818218619019419820220621021441014182226[Jour],$B$55,Horodateur11233538192231343743464952555861646985222634384650585462667074788290989410210611411811012212613013413814214615015415816216617017417818218619019419820220621021441014182226[Tâche],$A61)</f>
        <v>2.75</v>
      </c>
      <c r="C61" s="187" t="n">
        <f aca="false">SUMIFS(Horodateur11233538192231343743464952555861646985222634384650585462667074788290989410210611411811012212613013413814214615015415816216617017417818218619019419820220621021441014182226[Durée (100)],Horodateur11233538192231343743464952555861646985222634384650585462667074788290989410210611411811012212613013413814214615015415816216617017417818218619019419820220621021441014182226[Jour],$C$55,Horodateur11233538192231343743464952555861646985222634384650585462667074788290989410210611411811012212613013413814214615015415816216617017417818218619019419820220621021441014182226[Tâche],$A61)</f>
        <v>5</v>
      </c>
      <c r="D61" s="187" t="n">
        <f aca="false">SUMIFS(Horodateur11233538192231343743464952555861646985222634384650585462667074788290989410210611411811012212613013413814214615015415816216617017417818218619019419820220621021441014182226[Durée (100)],Horodateur11233538192231343743464952555861646985222634384650585462667074788290989410210611411811012212613013413814214615015415816216617017417818218619019419820220621021441014182226[Jour],$D$55,Horodateur11233538192231343743464952555861646985222634384650585462667074788290989410210611411811012212613013413814214615015415816216617017417818218619019419820220621021441014182226[Tâche],$A61)</f>
        <v>3.75</v>
      </c>
      <c r="E61" s="187" t="n">
        <f aca="false">SUMIFS(Horodateur11233538192231343743464952555861646985222634384650585462667074788290989410210611411811012212613013413814214615015415816216617017417818218619019419820220621021441014182226[Durée (100)],Horodateur11233538192231343743464952555861646985222634384650585462667074788290989410210611411811012212613013413814214615015415816216617017417818218619019419820220621021441014182226[Jour],$E$55,Horodateur11233538192231343743464952555861646985222634384650585462667074788290989410210611411811012212613013413814214615015415816216617017417818218619019419820220621021441014182226[Tâche],$A61)</f>
        <v>2.25</v>
      </c>
      <c r="F61" s="71" t="n">
        <f aca="false">SUMIFS(Horodateur11233538192231343743464952555861646985222634384650585462667074788290989410210611411811012212613013413814214615015415816216617017417818218619019419820220621021441014182226[Durée (100)],Horodateur11233538192231343743464952555861646985222634384650585462667074788290989410210611411811012212613013413814214615015415816216617017417818218619019419820220621021441014182226[Jour],$F$55,Horodateur11233538192231343743464952555861646985222634384650585462667074788290989410210611411811012212613013413814214615015415816216617017417818218619019419820220621021441014182226[Tâche],$A61)</f>
        <v>0.500000000000001</v>
      </c>
      <c r="G61" s="187" t="n">
        <f aca="false">SUMIFS(Horodateur11233538192231343743464952555861646985222634384650585462667074788290989410210611411811012212613013413814214615015415816216617017417818218619019419820220621021441014182226[Durée (100)],Horodateur11233538192231343743464952555861646985222634384650585462667074788290989410210611411811012212613013413814214615015415816216617017417818218619019419820220621021441014182226[Jour],$G$55,Horodateur11233538192231343743464952555861646985222634384650585462667074788290989410210611411811012212613013413814214615015415816216617017417818218619019419820220621021441014182226[Tâche],$A61)</f>
        <v>2</v>
      </c>
      <c r="H61" s="187" t="n">
        <f aca="false">SUMIFS(Horodateur11233538192231343743464952555861646985222634384650585462667074788290989410210611411811012212613013413814214615015415816216617017417818218619019419820220621021441014182226[Durée (100)],Horodateur11233538192231343743464952555861646985222634384650585462667074788290989410210611411811012212613013413814214615015415816216617017417818218619019419820220621021441014182226[Jour],$H$55,Horodateur11233538192231343743464952555861646985222634384650585462667074788290989410210611411811012212613013413814214615015415816216617017417818218619019419820220621021441014182226[Tâche],$A61)</f>
        <v>0</v>
      </c>
      <c r="I61" s="295" t="n">
        <f aca="false">SUM(Taches_Jour21325374018213033364245485154576063688421253337454957536165697377818997931011051131171091211251291331371411451491531571611651691731771811851891931972012052092133913172125[[#This Row],[1- Lundi]:[7- Dimanche]])</f>
        <v>16.25</v>
      </c>
      <c r="J61" s="271"/>
      <c r="K61" s="1"/>
      <c r="L61" s="188"/>
      <c r="M61" s="272"/>
      <c r="N61" s="187"/>
      <c r="O61" s="1"/>
      <c r="P61" s="1"/>
      <c r="Q61" s="1"/>
      <c r="R61" s="1"/>
      <c r="S61" s="1"/>
      <c r="T61" s="1"/>
      <c r="U61" s="71"/>
      <c r="V61" s="71"/>
      <c r="W61" s="71"/>
      <c r="X61" s="71"/>
      <c r="Y61" s="71"/>
      <c r="Z61" s="71"/>
      <c r="AA61" s="71"/>
      <c r="AB61" s="71"/>
      <c r="AC61" s="71"/>
      <c r="AD61" s="71"/>
      <c r="AE61" s="71"/>
      <c r="AF61" s="71"/>
      <c r="AG61" s="71"/>
    </row>
    <row r="62" customFormat="false" ht="15" hidden="true" customHeight="false" outlineLevel="1" collapsed="false">
      <c r="A62" s="137" t="s">
        <v>382</v>
      </c>
      <c r="B62" s="187" t="n">
        <f aca="false">SUMIFS(Horodateur11233538192231343743464952555861646985222634384650585462667074788290989410210611411811012212613013413814214615015415816216617017417818218619019419820220621021441014182226[Durée (100)],Horodateur11233538192231343743464952555861646985222634384650585462667074788290989410210611411811012212613013413814214615015415816216617017417818218619019419820220621021441014182226[Jour],$B$55,Horodateur11233538192231343743464952555861646985222634384650585462667074788290989410210611411811012212613013413814214615015415816216617017417818218619019419820220621021441014182226[Tâche],$A62)</f>
        <v>0</v>
      </c>
      <c r="C62" s="187" t="n">
        <f aca="false">SUMIFS(Horodateur11233538192231343743464952555861646985222634384650585462667074788290989410210611411811012212613013413814214615015415816216617017417818218619019419820220621021441014182226[Durée (100)],Horodateur11233538192231343743464952555861646985222634384650585462667074788290989410210611411811012212613013413814214615015415816216617017417818218619019419820220621021441014182226[Jour],$C$55,Horodateur11233538192231343743464952555861646985222634384650585462667074788290989410210611411811012212613013413814214615015415816216617017417818218619019419820220621021441014182226[Tâche],$A62)</f>
        <v>0</v>
      </c>
      <c r="D62" s="187" t="n">
        <f aca="false">SUMIFS(Horodateur11233538192231343743464952555861646985222634384650585462667074788290989410210611411811012212613013413814214615015415816216617017417818218619019419820220621021441014182226[Durée (100)],Horodateur11233538192231343743464952555861646985222634384650585462667074788290989410210611411811012212613013413814214615015415816216617017417818218619019419820220621021441014182226[Jour],$D$55,Horodateur11233538192231343743464952555861646985222634384650585462667074788290989410210611411811012212613013413814214615015415816216617017417818218619019419820220621021441014182226[Tâche],$A62)</f>
        <v>0</v>
      </c>
      <c r="E62" s="187" t="n">
        <f aca="false">SUMIFS(Horodateur11233538192231343743464952555861646985222634384650585462667074788290989410210611411811012212613013413814214615015415816216617017417818218619019419820220621021441014182226[Durée (100)],Horodateur11233538192231343743464952555861646985222634384650585462667074788290989410210611411811012212613013413814214615015415816216617017417818218619019419820220621021441014182226[Jour],$E$55,Horodateur11233538192231343743464952555861646985222634384650585462667074788290989410210611411811012212613013413814214615015415816216617017417818218619019419820220621021441014182226[Tâche],$A62)</f>
        <v>0</v>
      </c>
      <c r="F62" s="71" t="n">
        <f aca="false">SUMIFS(Horodateur11233538192231343743464952555861646985222634384650585462667074788290989410210611411811012212613013413814214615015415816216617017417818218619019419820220621021441014182226[Durée (100)],Horodateur11233538192231343743464952555861646985222634384650585462667074788290989410210611411811012212613013413814214615015415816216617017417818218619019419820220621021441014182226[Jour],$F$55,Horodateur11233538192231343743464952555861646985222634384650585462667074788290989410210611411811012212613013413814214615015415816216617017417818218619019419820220621021441014182226[Tâche],$A62)</f>
        <v>0</v>
      </c>
      <c r="G62" s="187" t="n">
        <f aca="false">SUMIFS(Horodateur11233538192231343743464952555861646985222634384650585462667074788290989410210611411811012212613013413814214615015415816216617017417818218619019419820220621021441014182226[Durée (100)],Horodateur11233538192231343743464952555861646985222634384650585462667074788290989410210611411811012212613013413814214615015415816216617017417818218619019419820220621021441014182226[Jour],$G$55,Horodateur11233538192231343743464952555861646985222634384650585462667074788290989410210611411811012212613013413814214615015415816216617017417818218619019419820220621021441014182226[Tâche],$A62)</f>
        <v>0</v>
      </c>
      <c r="H62" s="187" t="n">
        <f aca="false">SUMIFS(Horodateur11233538192231343743464952555861646985222634384650585462667074788290989410210611411811012212613013413814214615015415816216617017417818218619019419820220621021441014182226[Durée (100)],Horodateur11233538192231343743464952555861646985222634384650585462667074788290989410210611411811012212613013413814214615015415816216617017417818218619019419820220621021441014182226[Jour],$H$55,Horodateur11233538192231343743464952555861646985222634384650585462667074788290989410210611411811012212613013413814214615015415816216617017417818218619019419820220621021441014182226[Tâche],$A62)</f>
        <v>0</v>
      </c>
      <c r="I62" s="295" t="n">
        <f aca="false">SUM(Taches_Jour21325374018213033364245485154576063688421253337454957536165697377818997931011051131171091211251291331371411451491531571611651691731771811851891931972012052092133913172125[[#This Row],[1- Lundi]:[7- Dimanche]])</f>
        <v>0</v>
      </c>
      <c r="J62" s="271"/>
      <c r="K62" s="1"/>
      <c r="L62" s="188"/>
      <c r="M62" s="272"/>
      <c r="N62" s="187"/>
      <c r="O62" s="1"/>
      <c r="P62" s="1"/>
      <c r="Q62" s="1"/>
      <c r="R62" s="1"/>
      <c r="S62" s="1"/>
      <c r="T62" s="1"/>
      <c r="U62" s="71"/>
      <c r="V62" s="71"/>
      <c r="W62" s="71"/>
      <c r="X62" s="71"/>
      <c r="Y62" s="71"/>
      <c r="Z62" s="71"/>
      <c r="AA62" s="71"/>
      <c r="AB62" s="71"/>
      <c r="AC62" s="71"/>
      <c r="AD62" s="71"/>
      <c r="AE62" s="71"/>
      <c r="AF62" s="71"/>
      <c r="AG62" s="71"/>
    </row>
    <row r="63" customFormat="false" ht="15" hidden="true" customHeight="false" outlineLevel="1" collapsed="false">
      <c r="A63" s="137" t="s">
        <v>380</v>
      </c>
      <c r="B63" s="187" t="n">
        <f aca="false">SUMIFS(Horodateur11233538192231343743464952555861646985222634384650585462667074788290989410210611411811012212613013413814214615015415816216617017417818218619019419820220621021441014182226[Durée (100)],Horodateur11233538192231343743464952555861646985222634384650585462667074788290989410210611411811012212613013413814214615015415816216617017417818218619019419820220621021441014182226[Jour],$B$55,Horodateur11233538192231343743464952555861646985222634384650585462667074788290989410210611411811012212613013413814214615015415816216617017417818218619019419820220621021441014182226[Tâche],$A63)</f>
        <v>0</v>
      </c>
      <c r="C63" s="187" t="n">
        <f aca="false">SUMIFS(Horodateur11233538192231343743464952555861646985222634384650585462667074788290989410210611411811012212613013413814214615015415816216617017417818218619019419820220621021441014182226[Durée (100)],Horodateur11233538192231343743464952555861646985222634384650585462667074788290989410210611411811012212613013413814214615015415816216617017417818218619019419820220621021441014182226[Jour],$C$55,Horodateur11233538192231343743464952555861646985222634384650585462667074788290989410210611411811012212613013413814214615015415816216617017417818218619019419820220621021441014182226[Tâche],$A63)</f>
        <v>0</v>
      </c>
      <c r="D63" s="187" t="n">
        <f aca="false">SUMIFS(Horodateur11233538192231343743464952555861646985222634384650585462667074788290989410210611411811012212613013413814214615015415816216617017417818218619019419820220621021441014182226[Durée (100)],Horodateur11233538192231343743464952555861646985222634384650585462667074788290989410210611411811012212613013413814214615015415816216617017417818218619019419820220621021441014182226[Jour],$D$55,Horodateur11233538192231343743464952555861646985222634384650585462667074788290989410210611411811012212613013413814214615015415816216617017417818218619019419820220621021441014182226[Tâche],$A63)</f>
        <v>0</v>
      </c>
      <c r="E63" s="187" t="n">
        <f aca="false">SUMIFS(Horodateur11233538192231343743464952555861646985222634384650585462667074788290989410210611411811012212613013413814214615015415816216617017417818218619019419820220621021441014182226[Durée (100)],Horodateur11233538192231343743464952555861646985222634384650585462667074788290989410210611411811012212613013413814214615015415816216617017417818218619019419820220621021441014182226[Jour],$E$55,Horodateur11233538192231343743464952555861646985222634384650585462667074788290989410210611411811012212613013413814214615015415816216617017417818218619019419820220621021441014182226[Tâche],$A63)</f>
        <v>0</v>
      </c>
      <c r="F63" s="71" t="n">
        <f aca="false">SUMIFS(Horodateur11233538192231343743464952555861646985222634384650585462667074788290989410210611411811012212613013413814214615015415816216617017417818218619019419820220621021441014182226[Durée (100)],Horodateur11233538192231343743464952555861646985222634384650585462667074788290989410210611411811012212613013413814214615015415816216617017417818218619019419820220621021441014182226[Jour],$F$55,Horodateur11233538192231343743464952555861646985222634384650585462667074788290989410210611411811012212613013413814214615015415816216617017417818218619019419820220621021441014182226[Tâche],$A63)</f>
        <v>0</v>
      </c>
      <c r="G63" s="187" t="n">
        <f aca="false">SUMIFS(Horodateur11233538192231343743464952555861646985222634384650585462667074788290989410210611411811012212613013413814214615015415816216617017417818218619019419820220621021441014182226[Durée (100)],Horodateur11233538192231343743464952555861646985222634384650585462667074788290989410210611411811012212613013413814214615015415816216617017417818218619019419820220621021441014182226[Jour],$G$55,Horodateur11233538192231343743464952555861646985222634384650585462667074788290989410210611411811012212613013413814214615015415816216617017417818218619019419820220621021441014182226[Tâche],$A63)</f>
        <v>0</v>
      </c>
      <c r="H63" s="187" t="n">
        <f aca="false">SUMIFS(Horodateur11233538192231343743464952555861646985222634384650585462667074788290989410210611411811012212613013413814214615015415816216617017417818218619019419820220621021441014182226[Durée (100)],Horodateur11233538192231343743464952555861646985222634384650585462667074788290989410210611411811012212613013413814214615015415816216617017417818218619019419820220621021441014182226[Jour],$H$55,Horodateur11233538192231343743464952555861646985222634384650585462667074788290989410210611411811012212613013413814214615015415816216617017417818218619019419820220621021441014182226[Tâche],$A63)</f>
        <v>0</v>
      </c>
      <c r="I63" s="295" t="n">
        <f aca="false">SUM(Taches_Jour21325374018213033364245485154576063688421253337454957536165697377818997931011051131171091211251291331371411451491531571611651691731771811851891931972012052092133913172125[[#This Row],[1- Lundi]:[7- Dimanche]])</f>
        <v>0</v>
      </c>
      <c r="J63" s="271"/>
      <c r="K63" s="1"/>
      <c r="L63" s="188"/>
      <c r="M63" s="272"/>
      <c r="N63" s="76"/>
    </row>
    <row r="64" customFormat="false" ht="15" hidden="true" customHeight="false" outlineLevel="1" collapsed="false">
      <c r="N64" s="76"/>
    </row>
    <row r="65" customFormat="false" ht="15" hidden="false" customHeight="false" outlineLevel="1" collapsed="false">
      <c r="G65" s="0" t="s">
        <v>383</v>
      </c>
      <c r="N65" s="76"/>
    </row>
    <row r="66" customFormat="false" ht="15" hidden="false" customHeight="false" outlineLevel="0" collapsed="false">
      <c r="N66" s="76"/>
    </row>
    <row r="67" customFormat="false" ht="15" hidden="false" customHeight="false" outlineLevel="0" collapsed="false">
      <c r="G67" s="76"/>
      <c r="N67" s="76"/>
    </row>
    <row r="68" customFormat="false" ht="15" hidden="false" customHeight="false" outlineLevel="0" collapsed="false">
      <c r="N68" s="76"/>
    </row>
    <row r="69" customFormat="false" ht="15" hidden="false" customHeight="false" outlineLevel="0" collapsed="false">
      <c r="N69" s="76"/>
    </row>
    <row r="70" customFormat="false" ht="15" hidden="false" customHeight="false" outlineLevel="0" collapsed="false">
      <c r="N70" s="76"/>
    </row>
    <row r="71" customFormat="false" ht="15" hidden="false" customHeight="false" outlineLevel="0" collapsed="false">
      <c r="N71" s="76"/>
    </row>
    <row r="72" customFormat="false" ht="15" hidden="false" customHeight="false" outlineLevel="0" collapsed="false">
      <c r="N72" s="76"/>
    </row>
    <row r="73" customFormat="false" ht="15" hidden="false" customHeight="false" outlineLevel="0" collapsed="false">
      <c r="N73" s="76"/>
    </row>
    <row r="74" customFormat="false" ht="15" hidden="false" customHeight="false" outlineLevel="0" collapsed="false">
      <c r="N74" s="76"/>
    </row>
    <row r="75" customFormat="false" ht="15" hidden="false" customHeight="false" outlineLevel="0" collapsed="false">
      <c r="N75" s="76"/>
    </row>
    <row r="76" customFormat="false" ht="15" hidden="false" customHeight="false" outlineLevel="0" collapsed="false">
      <c r="N76" s="76"/>
    </row>
    <row r="77" customFormat="false" ht="15" hidden="false" customHeight="false" outlineLevel="0" collapsed="false">
      <c r="N77" s="76"/>
    </row>
    <row r="78" customFormat="false" ht="15" hidden="false" customHeight="false" outlineLevel="0" collapsed="false">
      <c r="N78" s="76"/>
    </row>
    <row r="79" customFormat="false" ht="15" hidden="false" customHeight="false" outlineLevel="0" collapsed="false">
      <c r="N79" s="76"/>
    </row>
    <row r="80" customFormat="false" ht="15" hidden="false" customHeight="false" outlineLevel="0" collapsed="false">
      <c r="N80" s="76"/>
    </row>
    <row r="81" customFormat="false" ht="15" hidden="false" customHeight="false" outlineLevel="0" collapsed="false">
      <c r="N81" s="76"/>
    </row>
    <row r="82" customFormat="false" ht="15" hidden="false" customHeight="false" outlineLevel="0" collapsed="false">
      <c r="N82" s="76"/>
    </row>
    <row r="83" customFormat="false" ht="15" hidden="false" customHeight="false" outlineLevel="0" collapsed="false">
      <c r="N83" s="76"/>
    </row>
    <row r="84" customFormat="false" ht="15" hidden="false" customHeight="false" outlineLevel="0" collapsed="false">
      <c r="N84" s="76"/>
    </row>
    <row r="85" customFormat="false" ht="15" hidden="false" customHeight="false" outlineLevel="0" collapsed="false">
      <c r="N85" s="76"/>
    </row>
    <row r="86" customFormat="false" ht="15" hidden="false" customHeight="false" outlineLevel="0" collapsed="false">
      <c r="N86" s="76"/>
    </row>
    <row r="87" customFormat="false" ht="15" hidden="false" customHeight="false" outlineLevel="0" collapsed="false">
      <c r="A87" s="296" t="s">
        <v>384</v>
      </c>
      <c r="B87" s="296"/>
      <c r="N87" s="76"/>
    </row>
    <row r="88" customFormat="false" ht="15" hidden="false" customHeight="false" outlineLevel="0" collapsed="false">
      <c r="A88" s="297" t="s">
        <v>385</v>
      </c>
      <c r="B88" s="297" t="s">
        <v>8</v>
      </c>
      <c r="N88" s="76"/>
    </row>
    <row r="89" customFormat="false" ht="15" hidden="false" customHeight="false" outlineLevel="0" collapsed="false">
      <c r="A89" s="298" t="n">
        <v>0</v>
      </c>
      <c r="B89" s="299" t="s">
        <v>386</v>
      </c>
      <c r="N89" s="76"/>
    </row>
    <row r="90" customFormat="false" ht="15" hidden="false" customHeight="false" outlineLevel="0" collapsed="false">
      <c r="A90" s="298" t="n">
        <v>-2</v>
      </c>
      <c r="B90" s="299" t="s">
        <v>387</v>
      </c>
      <c r="N90" s="76"/>
    </row>
    <row r="91" customFormat="false" ht="15" hidden="false" customHeight="false" outlineLevel="0" collapsed="false">
      <c r="A91" s="298" t="n">
        <v>8.5</v>
      </c>
      <c r="B91" s="299" t="s">
        <v>388</v>
      </c>
      <c r="N91" s="76"/>
    </row>
    <row r="92" customFormat="false" ht="15" hidden="false" customHeight="false" outlineLevel="0" collapsed="false">
      <c r="A92" s="298" t="n">
        <v>14.5</v>
      </c>
      <c r="B92" s="299" t="s">
        <v>389</v>
      </c>
      <c r="N92" s="76"/>
    </row>
    <row r="93" customFormat="false" ht="15" hidden="false" customHeight="false" outlineLevel="0" collapsed="false">
      <c r="A93" s="298" t="n">
        <v>8.5</v>
      </c>
      <c r="B93" s="299" t="s">
        <v>390</v>
      </c>
      <c r="N93" s="76"/>
    </row>
    <row r="94" customFormat="false" ht="15" hidden="false" customHeight="false" outlineLevel="0" collapsed="false">
      <c r="A94" s="298" t="n">
        <v>10</v>
      </c>
      <c r="B94" s="299" t="s">
        <v>391</v>
      </c>
      <c r="N94" s="76"/>
    </row>
    <row r="95" customFormat="false" ht="15" hidden="false" customHeight="false" outlineLevel="0" collapsed="false">
      <c r="A95" s="298" t="n">
        <v>-7.5</v>
      </c>
      <c r="B95" s="299" t="s">
        <v>392</v>
      </c>
      <c r="N95" s="76"/>
    </row>
    <row r="96" customFormat="false" ht="15" hidden="false" customHeight="false" outlineLevel="0" collapsed="false">
      <c r="A96" s="298" t="n">
        <v>2</v>
      </c>
      <c r="B96" s="299" t="s">
        <v>393</v>
      </c>
      <c r="N96" s="76"/>
    </row>
    <row r="97" customFormat="false" ht="15" hidden="false" customHeight="false" outlineLevel="0" collapsed="false">
      <c r="A97" s="300" t="n">
        <v>2</v>
      </c>
      <c r="B97" s="301" t="s">
        <v>394</v>
      </c>
      <c r="N97" s="76"/>
    </row>
    <row r="98" customFormat="false" ht="15" hidden="false" customHeight="false" outlineLevel="0" collapsed="false">
      <c r="A98" s="300" t="n">
        <v>2.25</v>
      </c>
      <c r="B98" s="301" t="s">
        <v>395</v>
      </c>
    </row>
    <row r="99" customFormat="false" ht="15" hidden="false" customHeight="false" outlineLevel="0" collapsed="false">
      <c r="A99" s="300" t="n">
        <v>-4</v>
      </c>
      <c r="B99" s="302" t="s">
        <v>396</v>
      </c>
    </row>
    <row r="100" customFormat="false" ht="15" hidden="false" customHeight="false" outlineLevel="0" collapsed="false">
      <c r="A100" s="300" t="n">
        <v>-7.5</v>
      </c>
      <c r="B100" s="301" t="s">
        <v>397</v>
      </c>
    </row>
  </sheetData>
  <mergeCells count="1">
    <mergeCell ref="A87:B87"/>
  </mergeCells>
  <conditionalFormatting sqref="G4:G40">
    <cfRule type="expression" priority="2" aboveAverage="0" equalAverage="0" bottom="0" percent="0" rank="0" text="" dxfId="866">
      <formula>L4="O"</formula>
    </cfRule>
    <cfRule type="expression" priority="3" aboveAverage="0" equalAverage="0" bottom="0" percent="0" rank="0" text="" dxfId="867">
      <formula>H4=0</formula>
    </cfRule>
  </conditionalFormatting>
  <conditionalFormatting sqref="F4:F40">
    <cfRule type="expression" priority="4" aboveAverage="0" equalAverage="0" bottom="0" percent="0" rank="0" text="" dxfId="868">
      <formula>L4="O"</formula>
    </cfRule>
  </conditionalFormatting>
  <conditionalFormatting sqref="E4:E40">
    <cfRule type="expression" priority="5" aboveAverage="0" equalAverage="0" bottom="0" percent="0" rank="0" text="" dxfId="869">
      <formula>L4="O"</formula>
    </cfRule>
  </conditionalFormatting>
  <conditionalFormatting sqref="C4:I40 K4:K40">
    <cfRule type="containsText" priority="6" operator="containsText" aboveAverage="0" equalAverage="0" bottom="0" percent="0" rank="0" text="Lundi" dxfId="693">
      <formula>NOT(ISERROR(SEARCH("Lundi",C4)))</formula>
    </cfRule>
  </conditionalFormatting>
  <conditionalFormatting sqref="D4:D40">
    <cfRule type="expression" priority="7" aboveAverage="0" equalAverage="0" bottom="0" percent="0" rank="0" text="" dxfId="870">
      <formula>L4="O"</formula>
    </cfRule>
  </conditionalFormatting>
  <conditionalFormatting sqref="C4:C40">
    <cfRule type="expression" priority="8" aboveAverage="0" equalAverage="0" bottom="0" percent="0" rank="0" text="" dxfId="871">
      <formula>L4="O"</formula>
    </cfRule>
  </conditionalFormatting>
  <conditionalFormatting sqref="K4:K40">
    <cfRule type="expression" priority="9" aboveAverage="0" equalAverage="0" bottom="0" percent="0" rank="0" text="" dxfId="872">
      <formula>L4="O"</formula>
    </cfRule>
  </conditionalFormatting>
  <conditionalFormatting sqref="I4:I40">
    <cfRule type="expression" priority="10" aboveAverage="0" equalAverage="0" bottom="0" percent="0" rank="0" text="" dxfId="873">
      <formula>L4="O"</formula>
    </cfRule>
  </conditionalFormatting>
  <conditionalFormatting sqref="H4:H40">
    <cfRule type="expression" priority="11" aboveAverage="0" equalAverage="0" bottom="0" percent="0" rank="0" text="" dxfId="874">
      <formula>L4="O"</formula>
    </cfRule>
  </conditionalFormatting>
  <conditionalFormatting sqref="F2:J2">
    <cfRule type="iconSet" priority="12">
      <iconSet iconSet="3TrafficLights1">
        <cfvo type="percent" val="0"/>
        <cfvo type="percent" val="33"/>
        <cfvo type="percent" val="67"/>
      </iconSet>
    </cfRule>
  </conditionalFormatting>
  <conditionalFormatting sqref="B4:B40">
    <cfRule type="containsText" priority="13" operator="containsText" aboveAverage="0" equalAverage="0" bottom="0" percent="0" rank="0" text="5" dxfId="875">
      <formula>NOT(ISERROR(SEARCH("5",B4)))</formula>
    </cfRule>
    <cfRule type="containsText" priority="14" operator="containsText" aboveAverage="0" equalAverage="0" bottom="0" percent="0" rank="0" text="4" dxfId="876">
      <formula>NOT(ISERROR(SEARCH("4",B4)))</formula>
    </cfRule>
    <cfRule type="containsText" priority="15" operator="containsText" aboveAverage="0" equalAverage="0" bottom="0" percent="0" rank="0" text="3" dxfId="877">
      <formula>NOT(ISERROR(SEARCH("3",B4)))</formula>
    </cfRule>
    <cfRule type="containsText" priority="16" operator="containsText" aboveAverage="0" equalAverage="0" bottom="0" percent="0" rank="0" text="2" dxfId="878">
      <formula>NOT(ISERROR(SEARCH("2",B4)))</formula>
    </cfRule>
    <cfRule type="containsText" priority="17" operator="containsText" aboveAverage="0" equalAverage="0" bottom="0" percent="0" rank="0" text="1" dxfId="879">
      <formula>NOT(ISERROR(SEARCH("1",B4)))</formula>
    </cfRule>
  </conditionalFormatting>
  <conditionalFormatting sqref="I56:I63">
    <cfRule type="dataBar" priority="18">
      <dataBar showValue="1" minLength="10" maxLength="90">
        <cfvo type="min" val="0"/>
        <cfvo type="max" val="0"/>
        <color rgb="FFFFB628"/>
      </dataBar>
      <extLst>
        <ext xmlns:x14="http://schemas.microsoft.com/office/spreadsheetml/2009/9/main" uri="{B025F937-C7B1-47D3-B67F-A62EFF666E3E}">
          <x14:id>{5BF6AD91-7D53-4F40-9EB1-A66D9524EFEE}</x14:id>
        </ext>
      </extLst>
    </cfRule>
  </conditionalFormatting>
  <conditionalFormatting sqref="I52:I53 J47:J51">
    <cfRule type="dataBar" priority="19">
      <dataBar showValue="1" minLength="10" maxLength="90">
        <cfvo type="min" val="0"/>
        <cfvo type="max" val="0"/>
        <color rgb="FFFFB628"/>
      </dataBar>
      <extLst>
        <ext xmlns:x14="http://schemas.microsoft.com/office/spreadsheetml/2009/9/main" uri="{B025F937-C7B1-47D3-B67F-A62EFF666E3E}">
          <x14:id>{F83556DD-32A6-4CB6-B210-30EBD82AC51A}</x14:id>
        </ext>
      </extLst>
    </cfRule>
  </conditionalFormatting>
  <conditionalFormatting sqref="U2:AG2">
    <cfRule type="dataBar" priority="20">
      <dataBar showValue="1" minLength="10" maxLength="90">
        <cfvo type="min" val="0"/>
        <cfvo type="max" val="0"/>
        <color rgb="FF63C384"/>
      </dataBar>
      <extLst>
        <ext xmlns:x14="http://schemas.microsoft.com/office/spreadsheetml/2009/9/main" uri="{B025F937-C7B1-47D3-B67F-A62EFF666E3E}">
          <x14:id>{35F795DA-1160-4FDB-8186-3E77F8EE7A3E}</x14:id>
        </ext>
      </extLst>
    </cfRule>
  </conditionalFormatting>
  <conditionalFormatting sqref="N2:T2">
    <cfRule type="dataBar" priority="21">
      <dataBar showValue="1" minLength="10" maxLength="90">
        <cfvo type="min" val="0"/>
        <cfvo type="max" val="0"/>
        <color rgb="FFFFB628"/>
      </dataBar>
      <extLst>
        <ext xmlns:x14="http://schemas.microsoft.com/office/spreadsheetml/2009/9/main" uri="{B025F937-C7B1-47D3-B67F-A62EFF666E3E}">
          <x14:id>{171796B8-C4A2-4F30-A29D-3E1F4C55E7D3}</x14:id>
        </ext>
      </extLst>
    </cfRule>
  </conditionalFormatting>
  <conditionalFormatting sqref="N2:AG2">
    <cfRule type="dataBar" priority="22">
      <dataBar showValue="1" minLength="10" maxLength="90">
        <cfvo type="min" val="0"/>
        <cfvo type="max" val="0"/>
        <color rgb="FFFFB628"/>
      </dataBar>
      <extLst>
        <ext xmlns:x14="http://schemas.microsoft.com/office/spreadsheetml/2009/9/main" uri="{B025F937-C7B1-47D3-B67F-A62EFF666E3E}">
          <x14:id>{642413F4-20EA-46D3-B844-F410D0CB9B81}</x14:id>
        </ext>
      </extLst>
    </cfRule>
  </conditionalFormatting>
  <conditionalFormatting sqref="N2:S2">
    <cfRule type="dataBar" priority="23">
      <dataBar showValue="1" minLength="10" maxLength="90">
        <cfvo type="min" val="0"/>
        <cfvo type="max" val="0"/>
        <color rgb="FF638EC6"/>
      </dataBar>
      <extLst>
        <ext xmlns:x14="http://schemas.microsoft.com/office/spreadsheetml/2009/9/main" uri="{B025F937-C7B1-47D3-B67F-A62EFF666E3E}">
          <x14:id>{2174BA8A-C533-4D59-A8AB-BD1860D7391A}</x14:id>
        </ext>
      </extLst>
    </cfRule>
  </conditionalFormatting>
  <conditionalFormatting sqref="T2">
    <cfRule type="dataBar" priority="24">
      <dataBar showValue="1" minLength="10" maxLength="90">
        <cfvo type="min" val="0"/>
        <cfvo type="max" val="0"/>
        <color rgb="FF63C384"/>
      </dataBar>
      <extLst>
        <ext xmlns:x14="http://schemas.microsoft.com/office/spreadsheetml/2009/9/main" uri="{B025F937-C7B1-47D3-B67F-A62EFF666E3E}">
          <x14:id>{69E04EDA-9698-4362-AD3F-91DDB85D8881}</x14:id>
        </ext>
      </extLst>
    </cfRule>
  </conditionalFormatting>
  <conditionalFormatting sqref="A4:A40">
    <cfRule type="colorScale" priority="25">
      <colorScale>
        <cfvo type="min" val="0"/>
        <cfvo type="percentile" val="50"/>
        <cfvo type="max" val="0"/>
        <color rgb="FFFFCC99"/>
        <color rgb="FFFFD966"/>
        <color rgb="FFFFF2CC"/>
      </colorScale>
    </cfRule>
  </conditionalFormatting>
  <conditionalFormatting sqref="J4:J40">
    <cfRule type="iconSet" priority="26">
      <iconSet iconSet="3TrafficLights1">
        <cfvo type="percent" val="0"/>
        <cfvo type="percent" val="33"/>
        <cfvo type="percent" val="67"/>
      </iconSet>
    </cfRule>
  </conditionalFormatting>
  <dataValidations count="4">
    <dataValidation allowBlank="true" errorStyle="stop" operator="between" showDropDown="false" showErrorMessage="true" showInputMessage="true" sqref="B1" type="list">
      <formula1>Data!$A$2:$A$106</formula1>
      <formula2>0</formula2>
    </dataValidation>
    <dataValidation allowBlank="true" errorStyle="information" errorTitle="OK ?" operator="between" showDropDown="false" showErrorMessage="true" showInputMessage="true" sqref="F4:F40" type="list">
      <formula1>Data!$D$2:$D$16</formula1>
      <formula2>0</formula2>
    </dataValidation>
    <dataValidation allowBlank="false" errorStyle="stop" operator="between" showDropDown="false" showErrorMessage="true" showInputMessage="true" sqref="E4:E40" type="list">
      <formula1>Data!$E$2:$E$30</formula1>
      <formula2>0</formula2>
    </dataValidation>
    <dataValidation allowBlank="true" errorStyle="stop" operator="between" showDropDown="false" showErrorMessage="true" showInputMessage="true" sqref="B4:B40" type="list">
      <formula1>Data!$C$2:$C$8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  <tableParts>
    <tablePart r:id="rId4"/>
    <tablePart r:id="rId5"/>
    <tablePart r:id="rId6"/>
    <tablePart r:id="rId7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5BF6AD91-7D53-4F40-9EB1-A66D9524EFEE}">
            <x14:dataBar minLength="10" maxLength="90" axisPosition="automatic" gradient="true">
              <x14:cfvo type="autoMin"/>
              <x14:cfvo type="autoMax"/>
              <x14:negativeFillColor rgb="FFFF0000"/>
              <x14:axisColor rgb="FF000000"/>
            </x14:dataBar>
          </x14:cfRule>
          <xm:sqref>I56:I63</xm:sqref>
        </x14:conditionalFormatting>
        <x14:conditionalFormatting xmlns:xm="http://schemas.microsoft.com/office/excel/2006/main">
          <x14:cfRule type="dataBar" id="{F83556DD-32A6-4CB6-B210-30EBD82AC51A}">
            <x14:dataBar minLength="10" maxLength="90" axisPosition="automatic" gradient="true">
              <x14:cfvo type="autoMin"/>
              <x14:cfvo type="autoMax"/>
              <x14:negativeFillColor rgb="FFFF0000"/>
              <x14:axisColor rgb="FF000000"/>
            </x14:dataBar>
          </x14:cfRule>
          <xm:sqref>I52:I53 J47:J51</xm:sqref>
        </x14:conditionalFormatting>
        <x14:conditionalFormatting xmlns:xm="http://schemas.microsoft.com/office/excel/2006/main">
          <x14:cfRule type="dataBar" id="{35F795DA-1160-4FDB-8186-3E77F8EE7A3E}">
            <x14:dataBar minLength="10" maxLength="90" axisPosition="automatic" gradient="true">
              <x14:cfvo type="autoMin"/>
              <x14:cfvo type="autoMax"/>
              <x14:negativeFillColor rgb="FFFF0000"/>
              <x14:axisColor rgb="FF000000"/>
            </x14:dataBar>
          </x14:cfRule>
          <xm:sqref>U2:AG2</xm:sqref>
        </x14:conditionalFormatting>
        <x14:conditionalFormatting xmlns:xm="http://schemas.microsoft.com/office/excel/2006/main">
          <x14:cfRule type="dataBar" id="{171796B8-C4A2-4F30-A29D-3E1F4C55E7D3}">
            <x14:dataBar minLength="10" maxLength="90" axisPosition="automatic" gradient="true">
              <x14:cfvo type="autoMin"/>
              <x14:cfvo type="autoMax"/>
              <x14:negativeFillColor rgb="FFFF0000"/>
              <x14:axisColor rgb="FF000000"/>
            </x14:dataBar>
          </x14:cfRule>
          <xm:sqref>N2:T2</xm:sqref>
        </x14:conditionalFormatting>
        <x14:conditionalFormatting xmlns:xm="http://schemas.microsoft.com/office/excel/2006/main">
          <x14:cfRule type="dataBar" id="{642413F4-20EA-46D3-B844-F410D0CB9B81}">
            <x14:dataBar minLength="10" maxLength="90" axisPosition="automatic" gradient="false">
              <x14:cfvo type="autoMin"/>
              <x14:cfvo type="autoMax"/>
              <x14:negativeFillColor rgb="FFFF0000"/>
              <x14:axisColor rgb="FF000000"/>
            </x14:dataBar>
          </x14:cfRule>
          <xm:sqref>N2:AG2</xm:sqref>
        </x14:conditionalFormatting>
        <x14:conditionalFormatting xmlns:xm="http://schemas.microsoft.com/office/excel/2006/main">
          <x14:cfRule type="dataBar" id="{2174BA8A-C533-4D59-A8AB-BD1860D7391A}">
            <x14:dataBar minLength="10" maxLength="90" axisPosition="automatic" gradient="false">
              <x14:cfvo type="autoMin"/>
              <x14:cfvo type="autoMax"/>
              <x14:negativeFillColor rgb="FFFF0000"/>
              <x14:axisColor rgb="FF000000"/>
            </x14:dataBar>
          </x14:cfRule>
          <xm:sqref>N2:S2</xm:sqref>
        </x14:conditionalFormatting>
        <x14:conditionalFormatting xmlns:xm="http://schemas.microsoft.com/office/excel/2006/main">
          <x14:cfRule type="dataBar" id="{69E04EDA-9698-4362-AD3F-91DDB85D8881}">
            <x14:dataBar minLength="10" maxLength="90" axisPosition="automatic" gradient="false">
              <x14:cfvo type="autoMin"/>
              <x14:cfvo type="autoMax"/>
              <x14:negativeFillColor rgb="FFFF0000"/>
              <x14:axisColor rgb="FF000000"/>
            </x14:dataBar>
          </x14:cfRule>
          <xm:sqref>T2</xm:sqref>
        </x14:conditionalFormatting>
      </x14:conditionalFormatting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9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1" outlineLevelCol="1"/>
  <cols>
    <col collapsed="false" customWidth="true" hidden="false" outlineLevel="0" max="1" min="1" style="0" width="16.57"/>
    <col collapsed="false" customWidth="true" hidden="false" outlineLevel="0" max="2" min="2" style="0" width="17.71"/>
    <col collapsed="false" customWidth="true" hidden="false" outlineLevel="0" max="3" min="3" style="0" width="14.14"/>
    <col collapsed="false" customWidth="true" hidden="false" outlineLevel="0" max="4" min="4" style="0" width="10.57"/>
    <col collapsed="false" customWidth="true" hidden="false" outlineLevel="0" max="5" min="5" style="0" width="21.29"/>
    <col collapsed="false" customWidth="true" hidden="false" outlineLevel="0" max="6" min="6" style="0" width="19.71"/>
    <col collapsed="false" customWidth="true" hidden="false" outlineLevel="0" max="7" min="7" style="0" width="28.71"/>
    <col collapsed="false" customWidth="true" hidden="false" outlineLevel="0" max="8" min="8" style="0" width="13.29"/>
    <col collapsed="false" customWidth="true" hidden="false" outlineLevel="0" max="9" min="9" style="0" width="15"/>
    <col collapsed="false" customWidth="true" hidden="false" outlineLevel="0" max="11" min="10" style="0" width="16.14"/>
    <col collapsed="false" customWidth="true" hidden="false" outlineLevel="0" max="12" min="12" style="0" width="7.71"/>
    <col collapsed="false" customWidth="true" hidden="false" outlineLevel="0" max="13" min="13" style="224" width="9.86"/>
    <col collapsed="false" customWidth="true" hidden="false" outlineLevel="1" max="14" min="14" style="0" width="10.29"/>
    <col collapsed="false" customWidth="true" hidden="false" outlineLevel="1" max="15" min="15" style="0" width="9.57"/>
    <col collapsed="false" customWidth="true" hidden="false" outlineLevel="1" max="16" min="16" style="0" width="8.57"/>
    <col collapsed="false" customWidth="true" hidden="false" outlineLevel="1" max="18" min="17" style="0" width="7.29"/>
    <col collapsed="false" customWidth="true" hidden="false" outlineLevel="1" max="19" min="19" style="0" width="8.57"/>
    <col collapsed="false" customWidth="true" hidden="false" outlineLevel="1" max="20" min="20" style="0" width="7.71"/>
    <col collapsed="false" customWidth="true" hidden="false" outlineLevel="1" max="21" min="21" style="0" width="12"/>
    <col collapsed="false" customWidth="true" hidden="false" outlineLevel="1" max="22" min="22" style="0" width="10.14"/>
    <col collapsed="false" customWidth="true" hidden="false" outlineLevel="1" max="23" min="23" style="0" width="11.71"/>
    <col collapsed="false" customWidth="true" hidden="false" outlineLevel="1" max="24" min="24" style="0" width="12.71"/>
    <col collapsed="false" customWidth="true" hidden="false" outlineLevel="1" max="25" min="25" style="0" width="8.57"/>
    <col collapsed="false" customWidth="true" hidden="false" outlineLevel="1" max="26" min="26" style="0" width="7.29"/>
    <col collapsed="false" customWidth="true" hidden="false" outlineLevel="1" max="27" min="27" style="0" width="9.71"/>
    <col collapsed="false" customWidth="true" hidden="false" outlineLevel="1" max="28" min="28" style="0" width="11.43"/>
    <col collapsed="false" customWidth="true" hidden="false" outlineLevel="1" max="29" min="29" style="0" width="10"/>
    <col collapsed="false" customWidth="true" hidden="false" outlineLevel="1" max="30" min="30" style="0" width="9.86"/>
    <col collapsed="false" customWidth="true" hidden="false" outlineLevel="1" max="31" min="31" style="0" width="7.86"/>
    <col collapsed="false" customWidth="true" hidden="false" outlineLevel="1" max="32" min="32" style="0" width="18.71"/>
    <col collapsed="false" customWidth="true" hidden="false" outlineLevel="1" max="33" min="33" style="0" width="27.15"/>
    <col collapsed="false" customWidth="true" hidden="false" outlineLevel="1" max="34" min="34" style="0" width="5.42"/>
  </cols>
  <sheetData>
    <row r="1" customFormat="false" ht="22.05" hidden="false" customHeight="false" outlineLevel="0" collapsed="false">
      <c r="A1" s="225" t="str">
        <f aca="false">"Semaine du " &amp; Data!D41</f>
        <v>Semaine du </v>
      </c>
      <c r="B1" s="226" t="n">
        <v>44235</v>
      </c>
      <c r="C1" s="227"/>
      <c r="D1" s="321" t="s">
        <v>361</v>
      </c>
      <c r="E1" s="322" t="n">
        <f aca="false">AVERAGE(F2:J2)</f>
        <v>8</v>
      </c>
      <c r="F1" s="323" t="s">
        <v>0</v>
      </c>
      <c r="G1" s="324" t="s">
        <v>1</v>
      </c>
      <c r="H1" s="324" t="s">
        <v>2</v>
      </c>
      <c r="I1" s="324" t="s">
        <v>3</v>
      </c>
      <c r="J1" s="324" t="s">
        <v>4</v>
      </c>
      <c r="K1" s="325" t="s">
        <v>401</v>
      </c>
      <c r="L1" s="234" t="n">
        <f aca="false">COUNTIF(Horodateur112335381922313437434649525558616469852226343846505854626670747882909894102106114118110122126130134138142146150154158162166170174178182186190194198202206210214410141822[O],"o")+ COUNTIF(Horodateur112335381922313437434649525558616469852226343846505854626670747882909894102106114118110122126130134138142146150154158162166170174178182186190194198202206210214410141822[O],".")</f>
        <v>34</v>
      </c>
      <c r="M1" s="128" t="n">
        <f aca="false">B2</f>
        <v>40</v>
      </c>
      <c r="N1" s="131" t="s">
        <v>21</v>
      </c>
      <c r="O1" s="130" t="s">
        <v>20</v>
      </c>
      <c r="P1" s="130" t="s">
        <v>23</v>
      </c>
      <c r="Q1" s="130" t="s">
        <v>25</v>
      </c>
      <c r="R1" s="130" t="s">
        <v>26</v>
      </c>
      <c r="S1" s="130" t="s">
        <v>378</v>
      </c>
      <c r="T1" s="130" t="s">
        <v>380</v>
      </c>
      <c r="U1" s="136" t="s">
        <v>32</v>
      </c>
      <c r="V1" s="136" t="s">
        <v>69</v>
      </c>
      <c r="W1" s="136" t="s">
        <v>66</v>
      </c>
      <c r="X1" s="136" t="s">
        <v>47</v>
      </c>
      <c r="Y1" s="136" t="s">
        <v>68</v>
      </c>
      <c r="Z1" s="136" t="s">
        <v>41</v>
      </c>
      <c r="AA1" s="136" t="s">
        <v>61</v>
      </c>
      <c r="AB1" s="136" t="s">
        <v>74</v>
      </c>
      <c r="AC1" s="136" t="s">
        <v>37</v>
      </c>
      <c r="AD1" s="136" t="s">
        <v>77</v>
      </c>
      <c r="AE1" s="136" t="s">
        <v>45</v>
      </c>
      <c r="AF1" s="136" t="s">
        <v>78</v>
      </c>
      <c r="AG1" s="136" t="s">
        <v>79</v>
      </c>
      <c r="AH1" s="87" t="str">
        <f aca="false">SUM(M4:M37) &amp; " / " &amp; B2-SUM(M4:M37)</f>
        <v>40 / 0</v>
      </c>
    </row>
    <row r="2" customFormat="false" ht="22.05" hidden="false" customHeight="false" outlineLevel="0" collapsed="false">
      <c r="A2" s="327" t="n">
        <f aca="false">SUM(Horodateur112335381922313437434649525558616469852226343846505854626670747882909894102106114118110122126130134138142146150154158162166170174178182186190194198202206210214410141822[Durée (60)])</f>
        <v>1.66666666666667</v>
      </c>
      <c r="B2" s="328" t="n">
        <f aca="false">SUM(Horodateur112335381922313437434649525558616469852226343846505854626670747882909894102106114118110122126130134138142146150154158162166170174178182186190194198202206210214410141822[Durée (100)])</f>
        <v>40</v>
      </c>
      <c r="C2" s="339" t="str">
        <f aca="false">M2</f>
        <v>40 / 0</v>
      </c>
      <c r="D2" s="238"/>
      <c r="E2" s="239"/>
      <c r="F2" s="329" t="n">
        <f aca="false">SUMIF(Horodateur112335381922313437434649525558616469852226343846505854626670747882909894102106114118110122126130134138142146150154158162166170174178182186190194198202206210214410141822[Jour],"1- Lundi",Horodateur112335381922313437434649525558616469852226343846505854626670747882909894102106114118110122126130134138142146150154158162166170174178182186190194198202206210214410141822[Durée (100)])</f>
        <v>7.5</v>
      </c>
      <c r="G2" s="330" t="n">
        <f aca="false">SUMIF(Horodateur112335381922313437434649525558616469852226343846505854626670747882909894102106114118110122126130134138142146150154158162166170174178182186190194198202206210214410141822[Jour],"2- Mardi",Horodateur112335381922313437434649525558616469852226343846505854626670747882909894102106114118110122126130134138142146150154158162166170174178182186190194198202206210214410141822[Durée (100)])</f>
        <v>9</v>
      </c>
      <c r="H2" s="330" t="n">
        <f aca="false">SUMIF(Horodateur112335381922313437434649525558616469852226343846505854626670747882909894102106114118110122126130134138142146150154158162166170174178182186190194198202206210214410141822[Jour],"3- Mercredi",Horodateur112335381922313437434649525558616469852226343846505854626670747882909894102106114118110122126130134138142146150154158162166170174178182186190194198202206210214410141822[Durée (100)])</f>
        <v>10</v>
      </c>
      <c r="I2" s="330" t="n">
        <f aca="false">SUMIF(Horodateur112335381922313437434649525558616469852226343846505854626670747882909894102106114118110122126130134138142146150154158162166170174178182186190194198202206210214410141822[Jour],"4- Jeudi",Horodateur112335381922313437434649525558616469852226343846505854626670747882909894102106114118110122126130134138142146150154158162166170174178182186190194198202206210214410141822[Durée (100)])</f>
        <v>6.5</v>
      </c>
      <c r="J2" s="330" t="n">
        <f aca="false">SUMIF(Horodateur112335381922313437434649525558616469852226343846505854626670747882909894102106114118110122126130134138142146150154158162166170174178182186190194198202206210214410141822[Jour],"5- Vendredi",Horodateur112335381922313437434649525558616469852226343846505854626670747882909894102106114118110122126130134138142146150154158162166170174178182186190194198202206210214410141822[Durée (100)])</f>
        <v>7</v>
      </c>
      <c r="K2" s="331" t="str">
        <f aca="false">ROUND(SUMIF(Horodateur112335381922313437434649525558616469852226343846505854626670747882909894102106114118110122126130134138142146150154158162166170174178182186190194198202206210214410141822[Jour],"6- Samedi",Horodateur112335381922313437434649525558616469852226343846505854626670747882909894102106114118110122126130134138142146150154158162166170174178182186190194198202206210214410141822[Durée (100)]),2) &amp;  "   /    " &amp;  ROUND(SUMIF(Horodateur112335381922313437434649525558616469852226343846505854626670747882909894102106114118110122126130134138142146150154158162166170174178182186190194198202206210214410141822[Jour],"7- Dimanche",Horodateur112335381922313437434649525558616469852226343846505854626670747882909894102106114118110122126130134138142146150154158162166170174178182186190194198202206210214410141822[Durée (100)]),2)</f>
        <v>0   /    0</v>
      </c>
      <c r="L2" s="244" t="str">
        <f aca="false">COUNTIF(Horodateur112335381922313437434649525558616469852226343846505854626670747882909894102106114118110122126130134138142146150154158162166170174178182186190194198202206210214410141822[O],"o")&amp;" / " &amp;  COUNTIF(Horodateur112335381922313437434649525558616469852226343846505854626670747882909894102106114118110122126130134138142146150154158162166170174178182186190194198202206210214410141822[O],".")</f>
        <v>34 / 0</v>
      </c>
      <c r="M2" s="143" t="str">
        <f aca="false">SUM(M4:M37) &amp; " / " &amp; B2-SUM(M4:M37)</f>
        <v>40 / 0</v>
      </c>
      <c r="N2" s="248" t="n">
        <f aca="false">SUMIF(Horodateur112335381922313437434649525558616469852226343846505854626670747882909894102106114118110122126130134138142146150154158162166170174178182186190194198202206210214410141822[Tâche],N$1,Horodateur112335381922313437434649525558616469852226343846505854626670747882909894102106114118110122126130134138142146150154158162166170174178182186190194198202206210214410141822[Durée (100)])</f>
        <v>3.5</v>
      </c>
      <c r="O2" s="247" t="n">
        <f aca="false">SUMIF(Horodateur112335381922313437434649525558616469852226343846505854626670747882909894102106114118110122126130134138142146150154158162166170174178182186190194198202206210214410141822[Tâche],O$1,Horodateur112335381922313437434649525558616469852226343846505854626670747882909894102106114118110122126130134138142146150154158162166170174178182186190194198202206210214410141822[Durée (100)])</f>
        <v>0.25</v>
      </c>
      <c r="P2" s="247" t="n">
        <f aca="false">SUMIF(Horodateur112335381922313437434649525558616469852226343846505854626670747882909894102106114118110122126130134138142146150154158162166170174178182186190194198202206210214410141822[Tâche],P$1,Horodateur112335381922313437434649525558616469852226343846505854626670747882909894102106114118110122126130134138142146150154158162166170174178182186190194198202206210214410141822[Durée (100)])</f>
        <v>6</v>
      </c>
      <c r="Q2" s="247" t="n">
        <f aca="false">SUMIF(Horodateur112335381922313437434649525558616469852226343846505854626670747882909894102106114118110122126130134138142146150154158162166170174178182186190194198202206210214410141822[Tâche],Q$1,Horodateur112335381922313437434649525558616469852226343846505854626670747882909894102106114118110122126130134138142146150154158162166170174178182186190194198202206210214410141822[Durée (100)])</f>
        <v>0</v>
      </c>
      <c r="R2" s="247" t="n">
        <f aca="false">SUMIF(Horodateur112335381922313437434649525558616469852226343846505854626670747882909894102106114118110122126130134138142146150154158162166170174178182186190194198202206210214410141822[Tâche],R$1,Horodateur112335381922313437434649525558616469852226343846505854626670747882909894102106114118110122126130134138142146150154158162166170174178182186190194198202206210214410141822[Durée (100)])</f>
        <v>0</v>
      </c>
      <c r="S2" s="247" t="n">
        <f aca="false">SUMIF(Horodateur112335381922313437434649525558616469852226343846505854626670747882909894102106114118110122126130134138142146150154158162166170174178182186190194198202206210214410141822[Tâche],S$1,Horodateur112335381922313437434649525558616469852226343846505854626670747882909894102106114118110122126130134138142146150154158162166170174178182186190194198202206210214410141822[Durée (100)])</f>
        <v>20.25</v>
      </c>
      <c r="T2" s="247" t="n">
        <f aca="false">SUMIF(Horodateur112335381922313437434649525558616469852226343846505854626670747882909894102106114118110122126130134138142146150154158162166170174178182186190194198202206210214410141822[Tâche],T$1,Horodateur112335381922313437434649525558616469852226343846505854626670747882909894102106114118110122126130134138142146150154158162166170174178182186190194198202206210214410141822[Durée (100)])</f>
        <v>0</v>
      </c>
      <c r="U2" s="151" t="n">
        <f aca="false">SUMIF(Horodateur112335381922313437434649525558616469852226343846505854626670747882909894102106114118110122126130134138142146150154158162166170174178182186190194198202206210214410141822[Client],U$1,Horodateur112335381922313437434649525558616469852226343846505854626670747882909894102106114118110122126130134138142146150154158162166170174178182186190194198202206210214410141822[Durée (100)])</f>
        <v>13.75</v>
      </c>
      <c r="V2" s="151" t="n">
        <f aca="false">SUMIF(Horodateur112335381922313437434649525558616469852226343846505854626670747882909894102106114118110122126130134138142146150154158162166170174178182186190194198202206210214410141822[Client],V$1,Horodateur112335381922313437434649525558616469852226343846505854626670747882909894102106114118110122126130134138142146150154158162166170174178182186190194198202206210214410141822[Durée (100)])</f>
        <v>0</v>
      </c>
      <c r="W2" s="151" t="n">
        <f aca="false">SUMIF(Horodateur112335381922313437434649525558616469852226343846505854626670747882909894102106114118110122126130134138142146150154158162166170174178182186190194198202206210214410141822[Client],W$1,Horodateur112335381922313437434649525558616469852226343846505854626670747882909894102106114118110122126130134138142146150154158162166170174178182186190194198202206210214410141822[Durée (100)])</f>
        <v>0</v>
      </c>
      <c r="X2" s="151" t="n">
        <f aca="false">SUMIF(Horodateur112335381922313437434649525558616469852226343846505854626670747882909894102106114118110122126130134138142146150154158162166170174178182186190194198202206210214410141822[Client],X$1,Horodateur112335381922313437434649525558616469852226343846505854626670747882909894102106114118110122126130134138142146150154158162166170174178182186190194198202206210214410141822[Durée (100)])</f>
        <v>0</v>
      </c>
      <c r="Y2" s="151" t="n">
        <f aca="false">SUMIF(Horodateur112335381922313437434649525558616469852226343846505854626670747882909894102106114118110122126130134138142146150154158162166170174178182186190194198202206210214410141822[Client],Y$1,Horodateur112335381922313437434649525558616469852226343846505854626670747882909894102106114118110122126130134138142146150154158162166170174178182186190194198202206210214410141822[Durée (100)])</f>
        <v>0</v>
      </c>
      <c r="Z2" s="151" t="n">
        <f aca="false">SUMIF(Horodateur112335381922313437434649525558616469852226343846505854626670747882909894102106114118110122126130134138142146150154158162166170174178182186190194198202206210214410141822[Client],Z$1,Horodateur112335381922313437434649525558616469852226343846505854626670747882909894102106114118110122126130134138142146150154158162166170174178182186190194198202206210214410141822[Durée (100)])</f>
        <v>0</v>
      </c>
      <c r="AA2" s="151" t="n">
        <f aca="false">SUMIF(Horodateur112335381922313437434649525558616469852226343846505854626670747882909894102106114118110122126130134138142146150154158162166170174178182186190194198202206210214410141822[Client],AA$1,Horodateur112335381922313437434649525558616469852226343846505854626670747882909894102106114118110122126130134138142146150154158162166170174178182186190194198202206210214410141822[Durée (100)])</f>
        <v>0</v>
      </c>
      <c r="AB2" s="151" t="n">
        <f aca="false">SUMIF(Horodateur112335381922313437434649525558616469852226343846505854626670747882909894102106114118110122126130134138142146150154158162166170174178182186190194198202206210214410141822[Client],AB$1,Horodateur112335381922313437434649525558616469852226343846505854626670747882909894102106114118110122126130134138142146150154158162166170174178182186190194198202206210214410141822[Durée (100)])</f>
        <v>0.499999999999998</v>
      </c>
      <c r="AC2" s="151" t="n">
        <f aca="false">SUMIF(Horodateur112335381922313437434649525558616469852226343846505854626670747882909894102106114118110122126130134138142146150154158162166170174178182186190194198202206210214410141822[Client],AC$1,Horodateur112335381922313437434649525558616469852226343846505854626670747882909894102106114118110122126130134138142146150154158162166170174178182186190194198202206210214410141822[Durée (100)])</f>
        <v>0.999999999999999</v>
      </c>
      <c r="AD2" s="151" t="n">
        <f aca="false">SUMIF(Horodateur112335381922313437434649525558616469852226343846505854626670747882909894102106114118110122126130134138142146150154158162166170174178182186190194198202206210214410141822[Client],AD$1,Horodateur112335381922313437434649525558616469852226343846505854626670747882909894102106114118110122126130134138142146150154158162166170174178182186190194198202206210214410141822[Durée (100)])</f>
        <v>0</v>
      </c>
      <c r="AE2" s="151" t="n">
        <f aca="false">SUMIF(Horodateur112335381922313437434649525558616469852226343846505854626670747882909894102106114118110122126130134138142146150154158162166170174178182186190194198202206210214410141822[Client],AE$1,Horodateur112335381922313437434649525558616469852226343846505854626670747882909894102106114118110122126130134138142146150154158162166170174178182186190194198202206210214410141822[Durée (100)])</f>
        <v>0</v>
      </c>
      <c r="AF2" s="151" t="n">
        <f aca="false">SUMIF(Horodateur112335381922313437434649525558616469852226343846505854626670747882909894102106114118110122126130134138142146150154158162166170174178182186190194198202206210214410141822[Client],AF$1,Horodateur112335381922313437434649525558616469852226343846505854626670747882909894102106114118110122126130134138142146150154158162166170174178182186190194198202206210214410141822[Durée (100)])</f>
        <v>0</v>
      </c>
      <c r="AG2" s="151" t="n">
        <f aca="false">SUMIF(Horodateur112335381922313437434649525558616469852226343846505854626670747882909894102106114118110122126130134138142146150154158162166170174178182186190194198202206210214410141822[Client],AG$1,Horodateur112335381922313437434649525558616469852226343846505854626670747882909894102106114118110122126130134138142146150154158162166170174178182186190194198202206210214410141822[Durée (100)])</f>
        <v>0</v>
      </c>
    </row>
    <row r="3" s="137" customFormat="true" ht="15" hidden="false" customHeight="false" outlineLevel="0" collapsed="false">
      <c r="A3" s="249" t="s">
        <v>8</v>
      </c>
      <c r="B3" s="249" t="s">
        <v>9</v>
      </c>
      <c r="C3" s="193" t="s">
        <v>10</v>
      </c>
      <c r="D3" s="193" t="s">
        <v>11</v>
      </c>
      <c r="E3" s="250" t="s">
        <v>12</v>
      </c>
      <c r="F3" s="250" t="s">
        <v>13</v>
      </c>
      <c r="G3" s="250" t="s">
        <v>14</v>
      </c>
      <c r="H3" s="193" t="s">
        <v>302</v>
      </c>
      <c r="I3" s="252" t="s">
        <v>364</v>
      </c>
      <c r="J3" s="253" t="s">
        <v>365</v>
      </c>
      <c r="K3" s="250" t="s">
        <v>402</v>
      </c>
      <c r="L3" s="255" t="s">
        <v>7</v>
      </c>
      <c r="M3" s="254" t="s">
        <v>29</v>
      </c>
      <c r="N3" s="153" t="n">
        <f aca="false">N2/$B$2</f>
        <v>0.0874999999999999</v>
      </c>
      <c r="O3" s="153" t="n">
        <f aca="false">O2/$B$2</f>
        <v>0.00625000000000001</v>
      </c>
      <c r="P3" s="153" t="n">
        <f aca="false">P2/$B$2</f>
        <v>0.15</v>
      </c>
      <c r="Q3" s="153" t="n">
        <f aca="false">Q2/$B$2</f>
        <v>0</v>
      </c>
      <c r="R3" s="153" t="n">
        <f aca="false">R2/$B$2</f>
        <v>0</v>
      </c>
      <c r="S3" s="153" t="n">
        <f aca="false">S2/$B$2</f>
        <v>0.50625</v>
      </c>
      <c r="T3" s="153" t="n">
        <f aca="false">T2/$B$2</f>
        <v>0</v>
      </c>
      <c r="U3" s="153" t="n">
        <f aca="false">U2/$B$2</f>
        <v>0.34375</v>
      </c>
      <c r="V3" s="153" t="n">
        <f aca="false">V2/$B$2</f>
        <v>0</v>
      </c>
      <c r="W3" s="153" t="n">
        <f aca="false">W2/$B$2</f>
        <v>0</v>
      </c>
      <c r="X3" s="153" t="n">
        <f aca="false">X2/$B$2</f>
        <v>0</v>
      </c>
      <c r="Y3" s="153" t="n">
        <f aca="false">Y2/$B$2</f>
        <v>0</v>
      </c>
      <c r="Z3" s="153" t="n">
        <f aca="false">Z2/$B$2</f>
        <v>0</v>
      </c>
      <c r="AA3" s="153" t="n">
        <f aca="false">AA2/$B$2</f>
        <v>0</v>
      </c>
      <c r="AB3" s="153" t="n">
        <f aca="false">AB2/$B$2</f>
        <v>0.0125</v>
      </c>
      <c r="AC3" s="153" t="n">
        <f aca="false">AC2/$B$2</f>
        <v>0.025</v>
      </c>
      <c r="AD3" s="153" t="n">
        <f aca="false">AD2/$B$2</f>
        <v>0</v>
      </c>
      <c r="AE3" s="153" t="n">
        <f aca="false">AE2/$B$2</f>
        <v>0</v>
      </c>
      <c r="AF3" s="153" t="n">
        <f aca="false">AF2/$B$2</f>
        <v>0</v>
      </c>
      <c r="AG3" s="153" t="n">
        <f aca="false">AG2/$B$2</f>
        <v>0</v>
      </c>
    </row>
    <row r="4" customFormat="false" ht="15" hidden="false" customHeight="false" outlineLevel="0" collapsed="false">
      <c r="A4" s="256" t="n">
        <f aca="false">IF(Horodateur112335381922313437434649525558616469852226343846505854626670747882909894102106114118110122126130134138142146150154158162166170174178182186190194198202206210214410141822[[#This Row],[Jour]]="1- Lundi",$B$1+1, IF(Horodateur112335381922313437434649525558616469852226343846505854626670747882909894102106114118110122126130134138142146150154158162166170174178182186190194198202206210214410141822[[#This Row],[Jour]]="2- Mardi",$B$1+2, IF(Horodateur112335381922313437434649525558616469852226343846505854626670747882909894102106114118110122126130134138142146150154158162166170174178182186190194198202206210214410141822[[#This Row],[Jour]]="3- Mercredi",$B$1+3, IF(Horodateur112335381922313437434649525558616469852226343846505854626670747882909894102106114118110122126130134138142146150154158162166170174178182186190194198202206210214410141822[[#This Row],[Jour]]="4- Jeudi",$B$1+4, IF(Horodateur112335381922313437434649525558616469852226343846505854626670747882909894102106114118110122126130134138142146150154158162166170174178182186190194198202206210214410141822[[#This Row],[Jour]]="5- Vendredi",$B$1+5, IF(Horodateur112335381922313437434649525558616469852226343846505854626670747882909894102106114118110122126130134138142146150154158162166170174178182186190194198202206210214410141822[[#This Row],[Jour]]="6- Samedi",$B$1+6, IF(Horodateur112335381922313437434649525558616469852226343846505854626670747882909894102106114118110122126130134138142146150154158162166170174178182186190194198202206210214410141822[[#This Row],[Jour]]="7- Dimanche",$B$1, )))))))</f>
        <v>44236</v>
      </c>
      <c r="B4" s="257" t="s">
        <v>312</v>
      </c>
      <c r="C4" s="258" t="n">
        <v>0.322916666666667</v>
      </c>
      <c r="D4" s="258" t="n">
        <v>0.364583333333333</v>
      </c>
      <c r="E4" s="71" t="s">
        <v>32</v>
      </c>
      <c r="F4" s="71" t="s">
        <v>21</v>
      </c>
      <c r="G4" s="259" t="s">
        <v>94</v>
      </c>
      <c r="H4" s="258" t="n">
        <f aca="false">IF($C4=0,"",$D4-$C4)</f>
        <v>0.0416666666666667</v>
      </c>
      <c r="I4" s="260" t="n">
        <f aca="false">IF($C4=0,"",($H4-INT($H4))*24)</f>
        <v>1</v>
      </c>
      <c r="J4" s="303" t="n">
        <f aca="false">SUMIF(Horodateur112335381922313437434649525558616469852226343846505854626670747882909894102106114118110122126130134138142146150154158162166170174178182186190194198202206210214410141822[Jour],$B4,Horodateur112335381922313437434649525558616469852226343846505854626670747882909894102106114118110122126130134138142146150154158162166170174178182186190194198202206210214410141822[Durée (100)])</f>
        <v>7.5</v>
      </c>
      <c r="K4" s="335"/>
      <c r="L4" s="188" t="s">
        <v>31</v>
      </c>
      <c r="M4" s="272" t="n">
        <f aca="false">IF(Horodateur112335381922313437434649525558616469852226343846505854626670747882909894102106114118110122126130134138142146150154158162166170174178182186190194198202206210214410141822[[#This Row],[O]]="o",Horodateur112335381922313437434649525558616469852226343846505854626670747882909894102106114118110122126130134138142146150154158162166170174178182186190194198202206210214410141822[[#This Row],[Durée (100)]],".")</f>
        <v>0.999999999999999</v>
      </c>
      <c r="N4" s="187"/>
      <c r="O4" s="71"/>
      <c r="P4" s="71"/>
      <c r="Q4" s="71"/>
      <c r="R4" s="71"/>
      <c r="S4" s="71"/>
      <c r="T4" s="71"/>
      <c r="U4" s="71"/>
      <c r="V4" s="71"/>
      <c r="W4" s="71"/>
      <c r="X4" s="71"/>
      <c r="Y4" s="71"/>
      <c r="Z4" s="71"/>
      <c r="AA4" s="71"/>
      <c r="AB4" s="71"/>
      <c r="AC4" s="71"/>
      <c r="AD4" s="71"/>
      <c r="AE4" s="71"/>
      <c r="AF4" s="71"/>
      <c r="AG4" s="71"/>
    </row>
    <row r="5" customFormat="false" ht="15" hidden="false" customHeight="false" outlineLevel="0" collapsed="false">
      <c r="A5" s="256" t="n">
        <f aca="false">IF(Horodateur112335381922313437434649525558616469852226343846505854626670747882909894102106114118110122126130134138142146150154158162166170174178182186190194198202206210214410141822[[#This Row],[Jour]]="1- Lundi",$B$1+1, IF(Horodateur112335381922313437434649525558616469852226343846505854626670747882909894102106114118110122126130134138142146150154158162166170174178182186190194198202206210214410141822[[#This Row],[Jour]]="2- Mardi",$B$1+2, IF(Horodateur112335381922313437434649525558616469852226343846505854626670747882909894102106114118110122126130134138142146150154158162166170174178182186190194198202206210214410141822[[#This Row],[Jour]]="3- Mercredi",$B$1+3, IF(Horodateur112335381922313437434649525558616469852226343846505854626670747882909894102106114118110122126130134138142146150154158162166170174178182186190194198202206210214410141822[[#This Row],[Jour]]="4- Jeudi",$B$1+4, IF(Horodateur112335381922313437434649525558616469852226343846505854626670747882909894102106114118110122126130134138142146150154158162166170174178182186190194198202206210214410141822[[#This Row],[Jour]]="5- Vendredi",$B$1+5, IF(Horodateur112335381922313437434649525558616469852226343846505854626670747882909894102106114118110122126130134138142146150154158162166170174178182186190194198202206210214410141822[[#This Row],[Jour]]="6- Samedi",$B$1+6, IF(Horodateur112335381922313437434649525558616469852226343846505854626670747882909894102106114118110122126130134138142146150154158162166170174178182186190194198202206210214410141822[[#This Row],[Jour]]="7- Dimanche",$B$1, )))))))</f>
        <v>44236</v>
      </c>
      <c r="B5" s="257" t="s">
        <v>312</v>
      </c>
      <c r="C5" s="258" t="n">
        <v>0.364583333333333</v>
      </c>
      <c r="D5" s="258" t="n">
        <v>0.375</v>
      </c>
      <c r="E5" s="71" t="s">
        <v>32</v>
      </c>
      <c r="F5" s="71" t="s">
        <v>20</v>
      </c>
      <c r="G5" s="259" t="s">
        <v>121</v>
      </c>
      <c r="H5" s="258" t="n">
        <f aca="false">IF($C5=0,"",$D5-$C5)</f>
        <v>0.0104166666666667</v>
      </c>
      <c r="I5" s="260" t="n">
        <f aca="false">IF($C5=0,"",($H5-INT($H5))*24)</f>
        <v>0.25</v>
      </c>
      <c r="J5" s="303" t="n">
        <f aca="false">SUMIF(Horodateur112335381922313437434649525558616469852226343846505854626670747882909894102106114118110122126130134138142146150154158162166170174178182186190194198202206210214410141822[Jour],$B5,Horodateur112335381922313437434649525558616469852226343846505854626670747882909894102106114118110122126130134138142146150154158162166170174178182186190194198202206210214410141822[Durée (100)])</f>
        <v>7.5</v>
      </c>
      <c r="K5" s="335"/>
      <c r="L5" s="188" t="s">
        <v>31</v>
      </c>
      <c r="M5" s="272" t="n">
        <f aca="false">IF(Horodateur112335381922313437434649525558616469852226343846505854626670747882909894102106114118110122126130134138142146150154158162166170174178182186190194198202206210214410141822[[#This Row],[O]]="o",Horodateur112335381922313437434649525558616469852226343846505854626670747882909894102106114118110122126130134138142146150154158162166170174178182186190194198202206210214410141822[[#This Row],[Durée (100)]],".")</f>
        <v>0.25</v>
      </c>
      <c r="N5" s="187"/>
      <c r="O5" s="71"/>
      <c r="P5" s="71"/>
      <c r="Q5" s="71"/>
      <c r="R5" s="71"/>
      <c r="S5" s="71"/>
      <c r="T5" s="71"/>
      <c r="U5" s="71"/>
      <c r="V5" s="71"/>
      <c r="W5" s="71"/>
      <c r="X5" s="71"/>
      <c r="Y5" s="71"/>
      <c r="Z5" s="71"/>
      <c r="AA5" s="71"/>
      <c r="AB5" s="71"/>
      <c r="AC5" s="71"/>
      <c r="AD5" s="71"/>
      <c r="AE5" s="71"/>
      <c r="AF5" s="71"/>
      <c r="AG5" s="71"/>
    </row>
    <row r="6" customFormat="false" ht="15" hidden="false" customHeight="false" outlineLevel="0" collapsed="false">
      <c r="A6" s="256" t="n">
        <f aca="false">IF(Horodateur112335381922313437434649525558616469852226343846505854626670747882909894102106114118110122126130134138142146150154158162166170174178182186190194198202206210214410141822[[#This Row],[Jour]]="1- Lundi",$B$1+1, IF(Horodateur112335381922313437434649525558616469852226343846505854626670747882909894102106114118110122126130134138142146150154158162166170174178182186190194198202206210214410141822[[#This Row],[Jour]]="2- Mardi",$B$1+2, IF(Horodateur112335381922313437434649525558616469852226343846505854626670747882909894102106114118110122126130134138142146150154158162166170174178182186190194198202206210214410141822[[#This Row],[Jour]]="3- Mercredi",$B$1+3, IF(Horodateur112335381922313437434649525558616469852226343846505854626670747882909894102106114118110122126130134138142146150154158162166170174178182186190194198202206210214410141822[[#This Row],[Jour]]="4- Jeudi",$B$1+4, IF(Horodateur112335381922313437434649525558616469852226343846505854626670747882909894102106114118110122126130134138142146150154158162166170174178182186190194198202206210214410141822[[#This Row],[Jour]]="5- Vendredi",$B$1+5, IF(Horodateur112335381922313437434649525558616469852226343846505854626670747882909894102106114118110122126130134138142146150154158162166170174178182186190194198202206210214410141822[[#This Row],[Jour]]="6- Samedi",$B$1+6, IF(Horodateur112335381922313437434649525558616469852226343846505854626670747882909894102106114118110122126130134138142146150154158162166170174178182186190194198202206210214410141822[[#This Row],[Jour]]="7- Dimanche",$B$1, )))))))</f>
        <v>44236</v>
      </c>
      <c r="B6" s="257" t="s">
        <v>312</v>
      </c>
      <c r="C6" s="258" t="n">
        <v>0.375</v>
      </c>
      <c r="D6" s="258" t="n">
        <v>0.458333333333333</v>
      </c>
      <c r="E6" s="71" t="s">
        <v>32</v>
      </c>
      <c r="F6" s="71" t="s">
        <v>23</v>
      </c>
      <c r="G6" s="259" t="s">
        <v>604</v>
      </c>
      <c r="H6" s="258" t="n">
        <f aca="false">IF($C6=0,"",$D6-$C6)</f>
        <v>0.0833333333333333</v>
      </c>
      <c r="I6" s="260" t="n">
        <f aca="false">IF($C6=0,"",($H6-INT($H6))*24)</f>
        <v>2</v>
      </c>
      <c r="J6" s="303" t="n">
        <f aca="false">SUMIF(Horodateur112335381922313437434649525558616469852226343846505854626670747882909894102106114118110122126130134138142146150154158162166170174178182186190194198202206210214410141822[Jour],$B6,Horodateur112335381922313437434649525558616469852226343846505854626670747882909894102106114118110122126130134138142146150154158162166170174178182186190194198202206210214410141822[Durée (100)])</f>
        <v>7.5</v>
      </c>
      <c r="K6" s="335"/>
      <c r="L6" s="188" t="s">
        <v>31</v>
      </c>
      <c r="M6" s="272" t="n">
        <f aca="false">IF(Horodateur112335381922313437434649525558616469852226343846505854626670747882909894102106114118110122126130134138142146150154158162166170174178182186190194198202206210214410141822[[#This Row],[O]]="o",Horodateur112335381922313437434649525558616469852226343846505854626670747882909894102106114118110122126130134138142146150154158162166170174178182186190194198202206210214410141822[[#This Row],[Durée (100)]],".")</f>
        <v>2</v>
      </c>
      <c r="N6" s="187"/>
      <c r="O6" s="71"/>
      <c r="P6" s="71"/>
      <c r="Q6" s="71"/>
      <c r="R6" s="71"/>
      <c r="S6" s="71"/>
      <c r="T6" s="71"/>
      <c r="U6" s="71"/>
      <c r="V6" s="71"/>
      <c r="W6" s="71"/>
      <c r="X6" s="71"/>
      <c r="Y6" s="71"/>
      <c r="Z6" s="71"/>
      <c r="AA6" s="71"/>
      <c r="AB6" s="71"/>
      <c r="AC6" s="71"/>
      <c r="AD6" s="71"/>
      <c r="AE6" s="71"/>
      <c r="AF6" s="71"/>
      <c r="AG6" s="71"/>
    </row>
    <row r="7" customFormat="false" ht="15" hidden="false" customHeight="false" outlineLevel="0" collapsed="false">
      <c r="A7" s="256" t="n">
        <f aca="false">IF(Horodateur112335381922313437434649525558616469852226343846505854626670747882909894102106114118110122126130134138142146150154158162166170174178182186190194198202206210214410141822[[#This Row],[Jour]]="1- Lundi",$B$1+1, IF(Horodateur112335381922313437434649525558616469852226343846505854626670747882909894102106114118110122126130134138142146150154158162166170174178182186190194198202206210214410141822[[#This Row],[Jour]]="2- Mardi",$B$1+2, IF(Horodateur112335381922313437434649525558616469852226343846505854626670747882909894102106114118110122126130134138142146150154158162166170174178182186190194198202206210214410141822[[#This Row],[Jour]]="3- Mercredi",$B$1+3, IF(Horodateur112335381922313437434649525558616469852226343846505854626670747882909894102106114118110122126130134138142146150154158162166170174178182186190194198202206210214410141822[[#This Row],[Jour]]="4- Jeudi",$B$1+4, IF(Horodateur112335381922313437434649525558616469852226343846505854626670747882909894102106114118110122126130134138142146150154158162166170174178182186190194198202206210214410141822[[#This Row],[Jour]]="5- Vendredi",$B$1+5, IF(Horodateur112335381922313437434649525558616469852226343846505854626670747882909894102106114118110122126130134138142146150154158162166170174178182186190194198202206210214410141822[[#This Row],[Jour]]="6- Samedi",$B$1+6, IF(Horodateur112335381922313437434649525558616469852226343846505854626670747882909894102106114118110122126130134138142146150154158162166170174178182186190194198202206210214410141822[[#This Row],[Jour]]="7- Dimanche",$B$1, )))))))</f>
        <v>44236</v>
      </c>
      <c r="B7" s="257" t="s">
        <v>312</v>
      </c>
      <c r="C7" s="258" t="n">
        <v>0.458333333333333</v>
      </c>
      <c r="D7" s="258" t="n">
        <v>0.5</v>
      </c>
      <c r="E7" s="71" t="s">
        <v>32</v>
      </c>
      <c r="F7" s="71" t="s">
        <v>23</v>
      </c>
      <c r="G7" s="259" t="s">
        <v>605</v>
      </c>
      <c r="H7" s="258" t="n">
        <f aca="false">IF($C7=0,"",$D7-$C7)</f>
        <v>0.0416666666666667</v>
      </c>
      <c r="I7" s="260" t="n">
        <f aca="false">IF($C7=0,"",($H7-INT($H7))*24)</f>
        <v>1</v>
      </c>
      <c r="J7" s="303" t="n">
        <f aca="false">SUMIF(Horodateur112335381922313437434649525558616469852226343846505854626670747882909894102106114118110122126130134138142146150154158162166170174178182186190194198202206210214410141822[Jour],$B7,Horodateur112335381922313437434649525558616469852226343846505854626670747882909894102106114118110122126130134138142146150154158162166170174178182186190194198202206210214410141822[Durée (100)])</f>
        <v>7.5</v>
      </c>
      <c r="K7" s="335"/>
      <c r="L7" s="188" t="s">
        <v>31</v>
      </c>
      <c r="M7" s="272" t="n">
        <f aca="false">IF(Horodateur112335381922313437434649525558616469852226343846505854626670747882909894102106114118110122126130134138142146150154158162166170174178182186190194198202206210214410141822[[#This Row],[O]]="o",Horodateur112335381922313437434649525558616469852226343846505854626670747882909894102106114118110122126130134138142146150154158162166170174178182186190194198202206210214410141822[[#This Row],[Durée (100)]],".")</f>
        <v>1</v>
      </c>
      <c r="N7" s="187"/>
      <c r="O7" s="71"/>
      <c r="P7" s="71"/>
      <c r="Q7" s="71"/>
      <c r="R7" s="71"/>
      <c r="S7" s="71"/>
      <c r="T7" s="71"/>
      <c r="U7" s="71"/>
      <c r="V7" s="71"/>
      <c r="W7" s="71"/>
      <c r="X7" s="71"/>
      <c r="Y7" s="71"/>
      <c r="Z7" s="71"/>
      <c r="AA7" s="71"/>
      <c r="AB7" s="71"/>
      <c r="AC7" s="71"/>
      <c r="AD7" s="71"/>
      <c r="AE7" s="71"/>
      <c r="AF7" s="71"/>
      <c r="AG7" s="71"/>
    </row>
    <row r="8" customFormat="false" ht="15" hidden="false" customHeight="false" outlineLevel="0" collapsed="false">
      <c r="A8" s="256" t="n">
        <f aca="false">IF(Horodateur112335381922313437434649525558616469852226343846505854626670747882909894102106114118110122126130134138142146150154158162166170174178182186190194198202206210214410141822[[#This Row],[Jour]]="1- Lundi",$B$1+1, IF(Horodateur112335381922313437434649525558616469852226343846505854626670747882909894102106114118110122126130134138142146150154158162166170174178182186190194198202206210214410141822[[#This Row],[Jour]]="2- Mardi",$B$1+2, IF(Horodateur112335381922313437434649525558616469852226343846505854626670747882909894102106114118110122126130134138142146150154158162166170174178182186190194198202206210214410141822[[#This Row],[Jour]]="3- Mercredi",$B$1+3, IF(Horodateur112335381922313437434649525558616469852226343846505854626670747882909894102106114118110122126130134138142146150154158162166170174178182186190194198202206210214410141822[[#This Row],[Jour]]="4- Jeudi",$B$1+4, IF(Horodateur112335381922313437434649525558616469852226343846505854626670747882909894102106114118110122126130134138142146150154158162166170174178182186190194198202206210214410141822[[#This Row],[Jour]]="5- Vendredi",$B$1+5, IF(Horodateur112335381922313437434649525558616469852226343846505854626670747882909894102106114118110122126130134138142146150154158162166170174178182186190194198202206210214410141822[[#This Row],[Jour]]="6- Samedi",$B$1+6, IF(Horodateur112335381922313437434649525558616469852226343846505854626670747882909894102106114118110122126130134138142146150154158162166170174178182186190194198202206210214410141822[[#This Row],[Jour]]="7- Dimanche",$B$1, )))))))</f>
        <v>44236</v>
      </c>
      <c r="B8" s="257" t="s">
        <v>312</v>
      </c>
      <c r="C8" s="258" t="n">
        <v>0.583333333333333</v>
      </c>
      <c r="D8" s="258" t="n">
        <v>0.625</v>
      </c>
      <c r="E8" s="71" t="s">
        <v>37</v>
      </c>
      <c r="F8" s="71" t="s">
        <v>378</v>
      </c>
      <c r="G8" s="259" t="s">
        <v>606</v>
      </c>
      <c r="H8" s="258" t="n">
        <f aca="false">IF($C8=0,"",$D8-$C8)</f>
        <v>0.0416666666666667</v>
      </c>
      <c r="I8" s="260" t="n">
        <f aca="false">IF($C8=0,"",($H8-INT($H8))*24)</f>
        <v>1</v>
      </c>
      <c r="J8" s="303" t="n">
        <f aca="false">SUMIF(Horodateur112335381922313437434649525558616469852226343846505854626670747882909894102106114118110122126130134138142146150154158162166170174178182186190194198202206210214410141822[Jour],$B8,Horodateur112335381922313437434649525558616469852226343846505854626670747882909894102106114118110122126130134138142146150154158162166170174178182186190194198202206210214410141822[Durée (100)])</f>
        <v>7.5</v>
      </c>
      <c r="K8" s="335"/>
      <c r="L8" s="188" t="s">
        <v>31</v>
      </c>
      <c r="M8" s="272" t="n">
        <f aca="false">IF(Horodateur112335381922313437434649525558616469852226343846505854626670747882909894102106114118110122126130134138142146150154158162166170174178182186190194198202206210214410141822[[#This Row],[O]]="o",Horodateur112335381922313437434649525558616469852226343846505854626670747882909894102106114118110122126130134138142146150154158162166170174178182186190194198202206210214410141822[[#This Row],[Durée (100)]],".")</f>
        <v>0.999999999999999</v>
      </c>
      <c r="N8" s="187"/>
      <c r="O8" s="71"/>
      <c r="P8" s="71"/>
      <c r="Q8" s="71"/>
      <c r="R8" s="71"/>
      <c r="S8" s="71"/>
      <c r="T8" s="71"/>
      <c r="U8" s="71"/>
      <c r="V8" s="71"/>
      <c r="W8" s="71"/>
      <c r="X8" s="71"/>
      <c r="Y8" s="71"/>
      <c r="Z8" s="71"/>
      <c r="AA8" s="71"/>
      <c r="AB8" s="71"/>
      <c r="AC8" s="71"/>
      <c r="AD8" s="71"/>
      <c r="AE8" s="71"/>
      <c r="AF8" s="71"/>
      <c r="AG8" s="71"/>
    </row>
    <row r="9" customFormat="false" ht="15" hidden="false" customHeight="false" outlineLevel="0" collapsed="false">
      <c r="A9" s="256" t="n">
        <f aca="false">IF(Horodateur112335381922313437434649525558616469852226343846505854626670747882909894102106114118110122126130134138142146150154158162166170174178182186190194198202206210214410141822[[#This Row],[Jour]]="1- Lundi",$B$1+1, IF(Horodateur112335381922313437434649525558616469852226343846505854626670747882909894102106114118110122126130134138142146150154158162166170174178182186190194198202206210214410141822[[#This Row],[Jour]]="2- Mardi",$B$1+2, IF(Horodateur112335381922313437434649525558616469852226343846505854626670747882909894102106114118110122126130134138142146150154158162166170174178182186190194198202206210214410141822[[#This Row],[Jour]]="3- Mercredi",$B$1+3, IF(Horodateur112335381922313437434649525558616469852226343846505854626670747882909894102106114118110122126130134138142146150154158162166170174178182186190194198202206210214410141822[[#This Row],[Jour]]="4- Jeudi",$B$1+4, IF(Horodateur112335381922313437434649525558616469852226343846505854626670747882909894102106114118110122126130134138142146150154158162166170174178182186190194198202206210214410141822[[#This Row],[Jour]]="5- Vendredi",$B$1+5, IF(Horodateur112335381922313437434649525558616469852226343846505854626670747882909894102106114118110122126130134138142146150154158162166170174178182186190194198202206210214410141822[[#This Row],[Jour]]="6- Samedi",$B$1+6, IF(Horodateur112335381922313437434649525558616469852226343846505854626670747882909894102106114118110122126130134138142146150154158162166170174178182186190194198202206210214410141822[[#This Row],[Jour]]="7- Dimanche",$B$1, )))))))</f>
        <v>44236</v>
      </c>
      <c r="B9" s="257" t="s">
        <v>312</v>
      </c>
      <c r="C9" s="258" t="n">
        <v>0.625</v>
      </c>
      <c r="D9" s="258" t="n">
        <v>0.645833333333333</v>
      </c>
      <c r="E9" s="71" t="s">
        <v>32</v>
      </c>
      <c r="F9" s="71" t="s">
        <v>22</v>
      </c>
      <c r="G9" s="259" t="s">
        <v>118</v>
      </c>
      <c r="H9" s="258" t="n">
        <f aca="false">IF($C9=0,"",$D9-$C9)</f>
        <v>0.0208333333333333</v>
      </c>
      <c r="I9" s="260" t="n">
        <f aca="false">IF($C9=0,"",($H9-INT($H9))*24)</f>
        <v>0.5</v>
      </c>
      <c r="J9" s="303" t="n">
        <f aca="false">SUMIF(Horodateur112335381922313437434649525558616469852226343846505854626670747882909894102106114118110122126130134138142146150154158162166170174178182186190194198202206210214410141822[Jour],$B9,Horodateur112335381922313437434649525558616469852226343846505854626670747882909894102106114118110122126130134138142146150154158162166170174178182186190194198202206210214410141822[Durée (100)])</f>
        <v>7.5</v>
      </c>
      <c r="K9" s="335"/>
      <c r="L9" s="188" t="s">
        <v>31</v>
      </c>
      <c r="M9" s="272" t="n">
        <f aca="false">IF(Horodateur112335381922313437434649525558616469852226343846505854626670747882909894102106114118110122126130134138142146150154158162166170174178182186190194198202206210214410141822[[#This Row],[O]]="o",Horodateur112335381922313437434649525558616469852226343846505854626670747882909894102106114118110122126130134138142146150154158162166170174178182186190194198202206210214410141822[[#This Row],[Durée (100)]],".")</f>
        <v>0.500000000000001</v>
      </c>
      <c r="N9" s="187"/>
      <c r="O9" s="71"/>
      <c r="P9" s="71"/>
      <c r="Q9" s="71"/>
      <c r="R9" s="71"/>
      <c r="S9" s="71"/>
      <c r="T9" s="71"/>
      <c r="U9" s="71"/>
      <c r="V9" s="71"/>
      <c r="W9" s="71"/>
      <c r="X9" s="71"/>
      <c r="Y9" s="71"/>
      <c r="Z9" s="71"/>
      <c r="AA9" s="71"/>
      <c r="AB9" s="71"/>
      <c r="AC9" s="71"/>
      <c r="AD9" s="71"/>
      <c r="AE9" s="71"/>
      <c r="AF9" s="71"/>
      <c r="AG9" s="71"/>
    </row>
    <row r="10" customFormat="false" ht="15" hidden="false" customHeight="false" outlineLevel="0" collapsed="false">
      <c r="A10" s="256" t="n">
        <f aca="false">IF(Horodateur112335381922313437434649525558616469852226343846505854626670747882909894102106114118110122126130134138142146150154158162166170174178182186190194198202206210214410141822[[#This Row],[Jour]]="1- Lundi",$B$1+1, IF(Horodateur112335381922313437434649525558616469852226343846505854626670747882909894102106114118110122126130134138142146150154158162166170174178182186190194198202206210214410141822[[#This Row],[Jour]]="2- Mardi",$B$1+2, IF(Horodateur112335381922313437434649525558616469852226343846505854626670747882909894102106114118110122126130134138142146150154158162166170174178182186190194198202206210214410141822[[#This Row],[Jour]]="3- Mercredi",$B$1+3, IF(Horodateur112335381922313437434649525558616469852226343846505854626670747882909894102106114118110122126130134138142146150154158162166170174178182186190194198202206210214410141822[[#This Row],[Jour]]="4- Jeudi",$B$1+4, IF(Horodateur112335381922313437434649525558616469852226343846505854626670747882909894102106114118110122126130134138142146150154158162166170174178182186190194198202206210214410141822[[#This Row],[Jour]]="5- Vendredi",$B$1+5, IF(Horodateur112335381922313437434649525558616469852226343846505854626670747882909894102106114118110122126130134138142146150154158162166170174178182186190194198202206210214410141822[[#This Row],[Jour]]="6- Samedi",$B$1+6, IF(Horodateur112335381922313437434649525558616469852226343846505854626670747882909894102106114118110122126130134138142146150154158162166170174178182186190194198202206210214410141822[[#This Row],[Jour]]="7- Dimanche",$B$1, )))))))</f>
        <v>44236</v>
      </c>
      <c r="B10" s="257" t="s">
        <v>312</v>
      </c>
      <c r="C10" s="258" t="n">
        <v>0.645833333333333</v>
      </c>
      <c r="D10" s="258" t="n">
        <v>0.666666666666667</v>
      </c>
      <c r="E10" s="71" t="s">
        <v>74</v>
      </c>
      <c r="F10" s="71" t="s">
        <v>379</v>
      </c>
      <c r="G10" s="259" t="s">
        <v>507</v>
      </c>
      <c r="H10" s="258" t="n">
        <f aca="false">IF($C10=0,"",$D10-$C10)</f>
        <v>0.0208333333333333</v>
      </c>
      <c r="I10" s="260" t="n">
        <f aca="false">IF($C10=0,"",($H10-INT($H10))*24)</f>
        <v>0.5</v>
      </c>
      <c r="J10" s="303" t="n">
        <f aca="false">SUMIF(Horodateur112335381922313437434649525558616469852226343846505854626670747882909894102106114118110122126130134138142146150154158162166170174178182186190194198202206210214410141822[Jour],$B10,Horodateur112335381922313437434649525558616469852226343846505854626670747882909894102106114118110122126130134138142146150154158162166170174178182186190194198202206210214410141822[Durée (100)])</f>
        <v>7.5</v>
      </c>
      <c r="K10" s="335"/>
      <c r="L10" s="188" t="s">
        <v>31</v>
      </c>
      <c r="M10" s="272" t="n">
        <f aca="false">IF(Horodateur112335381922313437434649525558616469852226343846505854626670747882909894102106114118110122126130134138142146150154158162166170174178182186190194198202206210214410141822[[#This Row],[O]]="o",Horodateur112335381922313437434649525558616469852226343846505854626670747882909894102106114118110122126130134138142146150154158162166170174178182186190194198202206210214410141822[[#This Row],[Durée (100)]],".")</f>
        <v>0.499999999999998</v>
      </c>
      <c r="N10" s="187"/>
      <c r="O10" s="71"/>
      <c r="P10" s="71"/>
      <c r="Q10" s="71"/>
      <c r="R10" s="71"/>
      <c r="S10" s="71"/>
      <c r="T10" s="71"/>
      <c r="U10" s="71"/>
      <c r="V10" s="71"/>
      <c r="W10" s="71"/>
      <c r="X10" s="71"/>
      <c r="Y10" s="71"/>
      <c r="Z10" s="71"/>
      <c r="AA10" s="71"/>
      <c r="AB10" s="71"/>
      <c r="AC10" s="71"/>
      <c r="AD10" s="71"/>
      <c r="AE10" s="71"/>
      <c r="AF10" s="71"/>
      <c r="AG10" s="71"/>
    </row>
    <row r="11" customFormat="false" ht="15" hidden="false" customHeight="false" outlineLevel="0" collapsed="false">
      <c r="A11" s="256" t="n">
        <f aca="false">IF(Horodateur112335381922313437434649525558616469852226343846505854626670747882909894102106114118110122126130134138142146150154158162166170174178182186190194198202206210214410141822[[#This Row],[Jour]]="1- Lundi",$B$1+1, IF(Horodateur112335381922313437434649525558616469852226343846505854626670747882909894102106114118110122126130134138142146150154158162166170174178182186190194198202206210214410141822[[#This Row],[Jour]]="2- Mardi",$B$1+2, IF(Horodateur112335381922313437434649525558616469852226343846505854626670747882909894102106114118110122126130134138142146150154158162166170174178182186190194198202206210214410141822[[#This Row],[Jour]]="3- Mercredi",$B$1+3, IF(Horodateur112335381922313437434649525558616469852226343846505854626670747882909894102106114118110122126130134138142146150154158162166170174178182186190194198202206210214410141822[[#This Row],[Jour]]="4- Jeudi",$B$1+4, IF(Horodateur112335381922313437434649525558616469852226343846505854626670747882909894102106114118110122126130134138142146150154158162166170174178182186190194198202206210214410141822[[#This Row],[Jour]]="5- Vendredi",$B$1+5, IF(Horodateur112335381922313437434649525558616469852226343846505854626670747882909894102106114118110122126130134138142146150154158162166170174178182186190194198202206210214410141822[[#This Row],[Jour]]="6- Samedi",$B$1+6, IF(Horodateur112335381922313437434649525558616469852226343846505854626670747882909894102106114118110122126130134138142146150154158162166170174178182186190194198202206210214410141822[[#This Row],[Jour]]="7- Dimanche",$B$1, )))))))</f>
        <v>44236</v>
      </c>
      <c r="B11" s="257" t="s">
        <v>312</v>
      </c>
      <c r="C11" s="258" t="n">
        <v>0.666666666666667</v>
      </c>
      <c r="D11" s="258" t="n">
        <v>0.71875</v>
      </c>
      <c r="E11" s="71" t="s">
        <v>32</v>
      </c>
      <c r="F11" s="71" t="s">
        <v>22</v>
      </c>
      <c r="G11" s="259" t="s">
        <v>607</v>
      </c>
      <c r="H11" s="258" t="n">
        <f aca="false">IF($C11=0,"",$D11-$C11)</f>
        <v>0.0520833333333333</v>
      </c>
      <c r="I11" s="260" t="n">
        <f aca="false">IF($C11=0,"",($H11-INT($H11))*24)</f>
        <v>1.25</v>
      </c>
      <c r="J11" s="303" t="n">
        <f aca="false">SUMIF(Horodateur112335381922313437434649525558616469852226343846505854626670747882909894102106114118110122126130134138142146150154158162166170174178182186190194198202206210214410141822[Jour],$B11,Horodateur112335381922313437434649525558616469852226343846505854626670747882909894102106114118110122126130134138142146150154158162166170174178182186190194198202206210214410141822[Durée (100)])</f>
        <v>7.5</v>
      </c>
      <c r="K11" s="335"/>
      <c r="L11" s="188" t="s">
        <v>31</v>
      </c>
      <c r="M11" s="272" t="n">
        <f aca="false">IF(Horodateur112335381922313437434649525558616469852226343846505854626670747882909894102106114118110122126130134138142146150154158162166170174178182186190194198202206210214410141822[[#This Row],[O]]="o",Horodateur112335381922313437434649525558616469852226343846505854626670747882909894102106114118110122126130134138142146150154158162166170174178182186190194198202206210214410141822[[#This Row],[Durée (100)]],".")</f>
        <v>1.25</v>
      </c>
      <c r="N11" s="187"/>
      <c r="O11" s="71"/>
      <c r="P11" s="71"/>
      <c r="Q11" s="71"/>
      <c r="R11" s="71"/>
      <c r="S11" s="71"/>
      <c r="T11" s="71"/>
      <c r="U11" s="71"/>
      <c r="V11" s="71"/>
      <c r="W11" s="71"/>
      <c r="X11" s="71"/>
      <c r="Y11" s="71"/>
      <c r="Z11" s="71"/>
      <c r="AA11" s="71"/>
      <c r="AB11" s="71"/>
      <c r="AC11" s="71"/>
      <c r="AD11" s="71"/>
      <c r="AE11" s="71"/>
      <c r="AF11" s="71"/>
      <c r="AG11" s="71"/>
    </row>
    <row r="12" customFormat="false" ht="15" hidden="false" customHeight="false" outlineLevel="0" collapsed="false">
      <c r="A12" s="256" t="n">
        <f aca="false">IF(Horodateur112335381922313437434649525558616469852226343846505854626670747882909894102106114118110122126130134138142146150154158162166170174178182186190194198202206210214410141822[[#This Row],[Jour]]="1- Lundi",$B$1+1, IF(Horodateur112335381922313437434649525558616469852226343846505854626670747882909894102106114118110122126130134138142146150154158162166170174178182186190194198202206210214410141822[[#This Row],[Jour]]="2- Mardi",$B$1+2, IF(Horodateur112335381922313437434649525558616469852226343846505854626670747882909894102106114118110122126130134138142146150154158162166170174178182186190194198202206210214410141822[[#This Row],[Jour]]="3- Mercredi",$B$1+3, IF(Horodateur112335381922313437434649525558616469852226343846505854626670747882909894102106114118110122126130134138142146150154158162166170174178182186190194198202206210214410141822[[#This Row],[Jour]]="4- Jeudi",$B$1+4, IF(Horodateur112335381922313437434649525558616469852226343846505854626670747882909894102106114118110122126130134138142146150154158162166170174178182186190194198202206210214410141822[[#This Row],[Jour]]="5- Vendredi",$B$1+5, IF(Horodateur112335381922313437434649525558616469852226343846505854626670747882909894102106114118110122126130134138142146150154158162166170174178182186190194198202206210214410141822[[#This Row],[Jour]]="6- Samedi",$B$1+6, IF(Horodateur112335381922313437434649525558616469852226343846505854626670747882909894102106114118110122126130134138142146150154158162166170174178182186190194198202206210214410141822[[#This Row],[Jour]]="7- Dimanche",$B$1, )))))))</f>
        <v>44237</v>
      </c>
      <c r="B12" s="257" t="s">
        <v>319</v>
      </c>
      <c r="C12" s="258" t="n">
        <v>0.291666666666667</v>
      </c>
      <c r="D12" s="258" t="n">
        <v>0.333333333333333</v>
      </c>
      <c r="E12" s="71" t="s">
        <v>32</v>
      </c>
      <c r="F12" s="71" t="s">
        <v>21</v>
      </c>
      <c r="G12" s="259"/>
      <c r="H12" s="258" t="n">
        <f aca="false">IF($C12=0,"",$D12-$C12)</f>
        <v>0.0416666666666667</v>
      </c>
      <c r="I12" s="260" t="n">
        <f aca="false">IF($C12=0,"",($H12-INT($H12))*24)</f>
        <v>1</v>
      </c>
      <c r="J12" s="303" t="n">
        <f aca="false">SUMIF(Horodateur112335381922313437434649525558616469852226343846505854626670747882909894102106114118110122126130134138142146150154158162166170174178182186190194198202206210214410141822[Jour],$B12,Horodateur112335381922313437434649525558616469852226343846505854626670747882909894102106114118110122126130134138142146150154158162166170174178182186190194198202206210214410141822[Durée (100)])</f>
        <v>9</v>
      </c>
      <c r="K12" s="335"/>
      <c r="L12" s="188" t="s">
        <v>31</v>
      </c>
      <c r="M12" s="272" t="n">
        <f aca="false">IF(Horodateur112335381922313437434649525558616469852226343846505854626670747882909894102106114118110122126130134138142146150154158162166170174178182186190194198202206210214410141822[[#This Row],[O]]="o",Horodateur112335381922313437434649525558616469852226343846505854626670747882909894102106114118110122126130134138142146150154158162166170174178182186190194198202206210214410141822[[#This Row],[Durée (100)]],".")</f>
        <v>0.999999999999999</v>
      </c>
      <c r="N12" s="187"/>
      <c r="O12" s="71"/>
      <c r="P12" s="71"/>
      <c r="Q12" s="71"/>
      <c r="R12" s="71"/>
      <c r="S12" s="71"/>
      <c r="T12" s="71"/>
      <c r="U12" s="71"/>
      <c r="V12" s="71"/>
      <c r="W12" s="71"/>
      <c r="X12" s="71"/>
      <c r="Y12" s="71"/>
      <c r="Z12" s="71"/>
      <c r="AA12" s="71"/>
      <c r="AB12" s="71"/>
      <c r="AC12" s="71"/>
      <c r="AD12" s="71"/>
      <c r="AE12" s="71"/>
      <c r="AF12" s="71"/>
      <c r="AG12" s="71"/>
    </row>
    <row r="13" customFormat="false" ht="15" hidden="false" customHeight="false" outlineLevel="0" collapsed="false">
      <c r="A13" s="256" t="n">
        <f aca="false">IF(Horodateur112335381922313437434649525558616469852226343846505854626670747882909894102106114118110122126130134138142146150154158162166170174178182186190194198202206210214410141822[[#This Row],[Jour]]="1- Lundi",$B$1+1, IF(Horodateur112335381922313437434649525558616469852226343846505854626670747882909894102106114118110122126130134138142146150154158162166170174178182186190194198202206210214410141822[[#This Row],[Jour]]="2- Mardi",$B$1+2, IF(Horodateur112335381922313437434649525558616469852226343846505854626670747882909894102106114118110122126130134138142146150154158162166170174178182186190194198202206210214410141822[[#This Row],[Jour]]="3- Mercredi",$B$1+3, IF(Horodateur112335381922313437434649525558616469852226343846505854626670747882909894102106114118110122126130134138142146150154158162166170174178182186190194198202206210214410141822[[#This Row],[Jour]]="4- Jeudi",$B$1+4, IF(Horodateur112335381922313437434649525558616469852226343846505854626670747882909894102106114118110122126130134138142146150154158162166170174178182186190194198202206210214410141822[[#This Row],[Jour]]="5- Vendredi",$B$1+5, IF(Horodateur112335381922313437434649525558616469852226343846505854626670747882909894102106114118110122126130134138142146150154158162166170174178182186190194198202206210214410141822[[#This Row],[Jour]]="6- Samedi",$B$1+6, IF(Horodateur112335381922313437434649525558616469852226343846505854626670747882909894102106114118110122126130134138142146150154158162166170174178182186190194198202206210214410141822[[#This Row],[Jour]]="7- Dimanche",$B$1, )))))))</f>
        <v>44237</v>
      </c>
      <c r="B13" s="257" t="s">
        <v>319</v>
      </c>
      <c r="C13" s="258" t="n">
        <v>0.333333333333333</v>
      </c>
      <c r="D13" s="258" t="n">
        <v>0.395833333333333</v>
      </c>
      <c r="E13" s="71" t="s">
        <v>63</v>
      </c>
      <c r="F13" s="71" t="s">
        <v>378</v>
      </c>
      <c r="G13" s="259" t="s">
        <v>608</v>
      </c>
      <c r="H13" s="258" t="n">
        <f aca="false">IF($C13=0,"",$D13-$C13)</f>
        <v>0.0625</v>
      </c>
      <c r="I13" s="260" t="n">
        <f aca="false">IF($C13=0,"",($H13-INT($H13))*24)</f>
        <v>1.5</v>
      </c>
      <c r="J13" s="303" t="n">
        <f aca="false">SUMIF(Horodateur112335381922313437434649525558616469852226343846505854626670747882909894102106114118110122126130134138142146150154158162166170174178182186190194198202206210214410141822[Jour],$B13,Horodateur112335381922313437434649525558616469852226343846505854626670747882909894102106114118110122126130134138142146150154158162166170174178182186190194198202206210214410141822[Durée (100)])</f>
        <v>9</v>
      </c>
      <c r="K13" s="335"/>
      <c r="L13" s="188" t="s">
        <v>31</v>
      </c>
      <c r="M13" s="272" t="n">
        <f aca="false">IF(Horodateur112335381922313437434649525558616469852226343846505854626670747882909894102106114118110122126130134138142146150154158162166170174178182186190194198202206210214410141822[[#This Row],[O]]="o",Horodateur112335381922313437434649525558616469852226343846505854626670747882909894102106114118110122126130134138142146150154158162166170174178182186190194198202206210214410141822[[#This Row],[Durée (100)]],".")</f>
        <v>1.5</v>
      </c>
      <c r="N13" s="187"/>
      <c r="O13" s="71"/>
      <c r="P13" s="71"/>
      <c r="Q13" s="71"/>
      <c r="R13" s="71"/>
      <c r="S13" s="71"/>
      <c r="T13" s="71"/>
      <c r="U13" s="71"/>
      <c r="V13" s="71"/>
      <c r="W13" s="71"/>
      <c r="X13" s="71"/>
      <c r="Y13" s="71"/>
      <c r="Z13" s="71"/>
      <c r="AA13" s="71"/>
      <c r="AB13" s="71"/>
      <c r="AC13" s="71"/>
      <c r="AD13" s="71"/>
      <c r="AE13" s="71"/>
      <c r="AF13" s="71"/>
      <c r="AG13" s="71"/>
    </row>
    <row r="14" customFormat="false" ht="15" hidden="false" customHeight="false" outlineLevel="0" collapsed="false">
      <c r="A14" s="256" t="n">
        <f aca="false">IF(Horodateur112335381922313437434649525558616469852226343846505854626670747882909894102106114118110122126130134138142146150154158162166170174178182186190194198202206210214410141822[[#This Row],[Jour]]="1- Lundi",$B$1+1, IF(Horodateur112335381922313437434649525558616469852226343846505854626670747882909894102106114118110122126130134138142146150154158162166170174178182186190194198202206210214410141822[[#This Row],[Jour]]="2- Mardi",$B$1+2, IF(Horodateur112335381922313437434649525558616469852226343846505854626670747882909894102106114118110122126130134138142146150154158162166170174178182186190194198202206210214410141822[[#This Row],[Jour]]="3- Mercredi",$B$1+3, IF(Horodateur112335381922313437434649525558616469852226343846505854626670747882909894102106114118110122126130134138142146150154158162166170174178182186190194198202206210214410141822[[#This Row],[Jour]]="4- Jeudi",$B$1+4, IF(Horodateur112335381922313437434649525558616469852226343846505854626670747882909894102106114118110122126130134138142146150154158162166170174178182186190194198202206210214410141822[[#This Row],[Jour]]="5- Vendredi",$B$1+5, IF(Horodateur112335381922313437434649525558616469852226343846505854626670747882909894102106114118110122126130134138142146150154158162166170174178182186190194198202206210214410141822[[#This Row],[Jour]]="6- Samedi",$B$1+6, IF(Horodateur112335381922313437434649525558616469852226343846505854626670747882909894102106114118110122126130134138142146150154158162166170174178182186190194198202206210214410141822[[#This Row],[Jour]]="7- Dimanche",$B$1, )))))))</f>
        <v>44237</v>
      </c>
      <c r="B14" s="257" t="s">
        <v>319</v>
      </c>
      <c r="C14" s="258" t="n">
        <v>0.395833333333333</v>
      </c>
      <c r="D14" s="258" t="n">
        <v>0.416666666666667</v>
      </c>
      <c r="E14" s="71" t="s">
        <v>70</v>
      </c>
      <c r="F14" s="71" t="s">
        <v>379</v>
      </c>
      <c r="G14" s="259" t="s">
        <v>609</v>
      </c>
      <c r="H14" s="258" t="n">
        <f aca="false">IF($C14=0,"",$D14-$C14)</f>
        <v>0.0208333333333334</v>
      </c>
      <c r="I14" s="260" t="n">
        <f aca="false">IF($C14=0,"",($H14-INT($H14))*24)</f>
        <v>0.500000000000001</v>
      </c>
      <c r="J14" s="303" t="n">
        <f aca="false">SUMIF(Horodateur112335381922313437434649525558616469852226343846505854626670747882909894102106114118110122126130134138142146150154158162166170174178182186190194198202206210214410141822[Jour],$B14,Horodateur112335381922313437434649525558616469852226343846505854626670747882909894102106114118110122126130134138142146150154158162166170174178182186190194198202206210214410141822[Durée (100)])</f>
        <v>9</v>
      </c>
      <c r="K14" s="335"/>
      <c r="L14" s="188" t="s">
        <v>31</v>
      </c>
      <c r="M14" s="272" t="n">
        <f aca="false">IF(Horodateur112335381922313437434649525558616469852226343846505854626670747882909894102106114118110122126130134138142146150154158162166170174178182186190194198202206210214410141822[[#This Row],[O]]="o",Horodateur112335381922313437434649525558616469852226343846505854626670747882909894102106114118110122126130134138142146150154158162166170174178182186190194198202206210214410141822[[#This Row],[Durée (100)]],".")</f>
        <v>0.500000000000001</v>
      </c>
      <c r="N14" s="187"/>
      <c r="O14" s="71"/>
      <c r="P14" s="71"/>
      <c r="Q14" s="71"/>
      <c r="R14" s="71"/>
      <c r="S14" s="71"/>
      <c r="T14" s="71"/>
      <c r="U14" s="71"/>
      <c r="V14" s="71"/>
      <c r="W14" s="71"/>
      <c r="X14" s="71"/>
      <c r="Y14" s="71"/>
      <c r="Z14" s="71"/>
      <c r="AA14" s="71"/>
      <c r="AB14" s="71"/>
      <c r="AC14" s="71"/>
      <c r="AD14" s="71"/>
      <c r="AE14" s="71"/>
      <c r="AF14" s="71"/>
      <c r="AG14" s="71"/>
    </row>
    <row r="15" customFormat="false" ht="15" hidden="false" customHeight="false" outlineLevel="0" collapsed="false">
      <c r="A15" s="256" t="n">
        <f aca="false">IF(Horodateur112335381922313437434649525558616469852226343846505854626670747882909894102106114118110122126130134138142146150154158162166170174178182186190194198202206210214410141822[[#This Row],[Jour]]="1- Lundi",$B$1+1, IF(Horodateur112335381922313437434649525558616469852226343846505854626670747882909894102106114118110122126130134138142146150154158162166170174178182186190194198202206210214410141822[[#This Row],[Jour]]="2- Mardi",$B$1+2, IF(Horodateur112335381922313437434649525558616469852226343846505854626670747882909894102106114118110122126130134138142146150154158162166170174178182186190194198202206210214410141822[[#This Row],[Jour]]="3- Mercredi",$B$1+3, IF(Horodateur112335381922313437434649525558616469852226343846505854626670747882909894102106114118110122126130134138142146150154158162166170174178182186190194198202206210214410141822[[#This Row],[Jour]]="4- Jeudi",$B$1+4, IF(Horodateur112335381922313437434649525558616469852226343846505854626670747882909894102106114118110122126130134138142146150154158162166170174178182186190194198202206210214410141822[[#This Row],[Jour]]="5- Vendredi",$B$1+5, IF(Horodateur112335381922313437434649525558616469852226343846505854626670747882909894102106114118110122126130134138142146150154158162166170174178182186190194198202206210214410141822[[#This Row],[Jour]]="6- Samedi",$B$1+6, IF(Horodateur112335381922313437434649525558616469852226343846505854626670747882909894102106114118110122126130134138142146150154158162166170174178182186190194198202206210214410141822[[#This Row],[Jour]]="7- Dimanche",$B$1, )))))))</f>
        <v>44237</v>
      </c>
      <c r="B15" s="257" t="s">
        <v>319</v>
      </c>
      <c r="C15" s="258" t="n">
        <v>0.416666666666667</v>
      </c>
      <c r="D15" s="258" t="n">
        <v>0.4375</v>
      </c>
      <c r="E15" s="71" t="s">
        <v>63</v>
      </c>
      <c r="F15" s="71" t="s">
        <v>378</v>
      </c>
      <c r="G15" s="259" t="s">
        <v>608</v>
      </c>
      <c r="H15" s="258" t="n">
        <f aca="false">IF($C15=0,"",$D15-$C15)</f>
        <v>0.0208333333333333</v>
      </c>
      <c r="I15" s="260" t="n">
        <f aca="false">IF($C15=0,"",($H15-INT($H15))*24)</f>
        <v>0.5</v>
      </c>
      <c r="J15" s="303" t="n">
        <f aca="false">SUMIF(Horodateur112335381922313437434649525558616469852226343846505854626670747882909894102106114118110122126130134138142146150154158162166170174178182186190194198202206210214410141822[Jour],$B15,Horodateur112335381922313437434649525558616469852226343846505854626670747882909894102106114118110122126130134138142146150154158162166170174178182186190194198202206210214410141822[Durée (100)])</f>
        <v>9</v>
      </c>
      <c r="K15" s="335"/>
      <c r="L15" s="188" t="s">
        <v>31</v>
      </c>
      <c r="M15" s="272" t="n">
        <f aca="false">IF(Horodateur112335381922313437434649525558616469852226343846505854626670747882909894102106114118110122126130134138142146150154158162166170174178182186190194198202206210214410141822[[#This Row],[O]]="o",Horodateur112335381922313437434649525558616469852226343846505854626670747882909894102106114118110122126130134138142146150154158162166170174178182186190194198202206210214410141822[[#This Row],[Durée (100)]],".")</f>
        <v>0.5</v>
      </c>
      <c r="N15" s="187"/>
      <c r="O15" s="71"/>
      <c r="P15" s="71"/>
      <c r="Q15" s="71"/>
      <c r="R15" s="71"/>
      <c r="S15" s="71"/>
      <c r="T15" s="71"/>
      <c r="U15" s="71"/>
      <c r="V15" s="71"/>
      <c r="W15" s="71"/>
      <c r="X15" s="71"/>
      <c r="Y15" s="71"/>
      <c r="Z15" s="71"/>
      <c r="AA15" s="71"/>
      <c r="AB15" s="71"/>
      <c r="AC15" s="71"/>
      <c r="AD15" s="71"/>
      <c r="AE15" s="71"/>
      <c r="AF15" s="71"/>
      <c r="AG15" s="71"/>
    </row>
    <row r="16" customFormat="false" ht="15" hidden="false" customHeight="false" outlineLevel="0" collapsed="false">
      <c r="A16" s="256" t="n">
        <f aca="false">IF(Horodateur112335381922313437434649525558616469852226343846505854626670747882909894102106114118110122126130134138142146150154158162166170174178182186190194198202206210214410141822[[#This Row],[Jour]]="1- Lundi",$B$1+1, IF(Horodateur112335381922313437434649525558616469852226343846505854626670747882909894102106114118110122126130134138142146150154158162166170174178182186190194198202206210214410141822[[#This Row],[Jour]]="2- Mardi",$B$1+2, IF(Horodateur112335381922313437434649525558616469852226343846505854626670747882909894102106114118110122126130134138142146150154158162166170174178182186190194198202206210214410141822[[#This Row],[Jour]]="3- Mercredi",$B$1+3, IF(Horodateur112335381922313437434649525558616469852226343846505854626670747882909894102106114118110122126130134138142146150154158162166170174178182186190194198202206210214410141822[[#This Row],[Jour]]="4- Jeudi",$B$1+4, IF(Horodateur112335381922313437434649525558616469852226343846505854626670747882909894102106114118110122126130134138142146150154158162166170174178182186190194198202206210214410141822[[#This Row],[Jour]]="5- Vendredi",$B$1+5, IF(Horodateur112335381922313437434649525558616469852226343846505854626670747882909894102106114118110122126130134138142146150154158162166170174178182186190194198202206210214410141822[[#This Row],[Jour]]="6- Samedi",$B$1+6, IF(Horodateur112335381922313437434649525558616469852226343846505854626670747882909894102106114118110122126130134138142146150154158162166170174178182186190194198202206210214410141822[[#This Row],[Jour]]="7- Dimanche",$B$1, )))))))</f>
        <v>44237</v>
      </c>
      <c r="B16" s="257" t="s">
        <v>319</v>
      </c>
      <c r="C16" s="258" t="n">
        <v>0.4375</v>
      </c>
      <c r="D16" s="258" t="n">
        <v>0.458333333333333</v>
      </c>
      <c r="E16" s="71" t="s">
        <v>63</v>
      </c>
      <c r="F16" s="71" t="s">
        <v>379</v>
      </c>
      <c r="G16" s="259" t="s">
        <v>55</v>
      </c>
      <c r="H16" s="258" t="n">
        <f aca="false">IF($C16=0,"",$D16-$C16)</f>
        <v>0.0208333333333333</v>
      </c>
      <c r="I16" s="260" t="n">
        <f aca="false">IF($C16=0,"",($H16-INT($H16))*24)</f>
        <v>0.5</v>
      </c>
      <c r="J16" s="303" t="n">
        <f aca="false">SUMIF(Horodateur112335381922313437434649525558616469852226343846505854626670747882909894102106114118110122126130134138142146150154158162166170174178182186190194198202206210214410141822[Jour],$B16,Horodateur112335381922313437434649525558616469852226343846505854626670747882909894102106114118110122126130134138142146150154158162166170174178182186190194198202206210214410141822[Durée (100)])</f>
        <v>9</v>
      </c>
      <c r="K16" s="335"/>
      <c r="L16" s="188" t="s">
        <v>31</v>
      </c>
      <c r="M16" s="272" t="n">
        <f aca="false">IF(Horodateur112335381922313437434649525558616469852226343846505854626670747882909894102106114118110122126130134138142146150154158162166170174178182186190194198202206210214410141822[[#This Row],[O]]="o",Horodateur112335381922313437434649525558616469852226343846505854626670747882909894102106114118110122126130134138142146150154158162166170174178182186190194198202206210214410141822[[#This Row],[Durée (100)]],".")</f>
        <v>0.5</v>
      </c>
      <c r="N16" s="187"/>
      <c r="O16" s="71"/>
      <c r="P16" s="71"/>
      <c r="Q16" s="71"/>
      <c r="R16" s="71"/>
      <c r="S16" s="71"/>
      <c r="T16" s="71"/>
      <c r="U16" s="71"/>
      <c r="V16" s="71"/>
      <c r="W16" s="71"/>
      <c r="X16" s="71"/>
      <c r="Y16" s="71"/>
      <c r="Z16" s="71"/>
      <c r="AA16" s="71"/>
      <c r="AB16" s="71"/>
      <c r="AC16" s="71"/>
      <c r="AD16" s="71"/>
      <c r="AE16" s="71"/>
      <c r="AF16" s="71"/>
      <c r="AG16" s="71"/>
    </row>
    <row r="17" customFormat="false" ht="15" hidden="false" customHeight="false" outlineLevel="0" collapsed="false">
      <c r="A17" s="256" t="n">
        <f aca="false">IF(Horodateur112335381922313437434649525558616469852226343846505854626670747882909894102106114118110122126130134138142146150154158162166170174178182186190194198202206210214410141822[[#This Row],[Jour]]="1- Lundi",$B$1+1, IF(Horodateur112335381922313437434649525558616469852226343846505854626670747882909894102106114118110122126130134138142146150154158162166170174178182186190194198202206210214410141822[[#This Row],[Jour]]="2- Mardi",$B$1+2, IF(Horodateur112335381922313437434649525558616469852226343846505854626670747882909894102106114118110122126130134138142146150154158162166170174178182186190194198202206210214410141822[[#This Row],[Jour]]="3- Mercredi",$B$1+3, IF(Horodateur112335381922313437434649525558616469852226343846505854626670747882909894102106114118110122126130134138142146150154158162166170174178182186190194198202206210214410141822[[#This Row],[Jour]]="4- Jeudi",$B$1+4, IF(Horodateur112335381922313437434649525558616469852226343846505854626670747882909894102106114118110122126130134138142146150154158162166170174178182186190194198202206210214410141822[[#This Row],[Jour]]="5- Vendredi",$B$1+5, IF(Horodateur112335381922313437434649525558616469852226343846505854626670747882909894102106114118110122126130134138142146150154158162166170174178182186190194198202206210214410141822[[#This Row],[Jour]]="6- Samedi",$B$1+6, IF(Horodateur112335381922313437434649525558616469852226343846505854626670747882909894102106114118110122126130134138142146150154158162166170174178182186190194198202206210214410141822[[#This Row],[Jour]]="7- Dimanche",$B$1, )))))))</f>
        <v>44237</v>
      </c>
      <c r="B17" s="257" t="s">
        <v>319</v>
      </c>
      <c r="C17" s="258" t="n">
        <v>0.458333333333333</v>
      </c>
      <c r="D17" s="258" t="n">
        <v>0.5</v>
      </c>
      <c r="E17" s="71" t="s">
        <v>63</v>
      </c>
      <c r="F17" s="71" t="s">
        <v>378</v>
      </c>
      <c r="G17" s="259" t="s">
        <v>608</v>
      </c>
      <c r="H17" s="258" t="n">
        <f aca="false">IF($C17=0,"",$D17-$C17)</f>
        <v>0.0416666666666667</v>
      </c>
      <c r="I17" s="260" t="n">
        <f aca="false">IF($C17=0,"",($H17-INT($H17))*24)</f>
        <v>1</v>
      </c>
      <c r="J17" s="303" t="n">
        <f aca="false">SUMIF(Horodateur112335381922313437434649525558616469852226343846505854626670747882909894102106114118110122126130134138142146150154158162166170174178182186190194198202206210214410141822[Jour],$B17,Horodateur112335381922313437434649525558616469852226343846505854626670747882909894102106114118110122126130134138142146150154158162166170174178182186190194198202206210214410141822[Durée (100)])</f>
        <v>9</v>
      </c>
      <c r="K17" s="335"/>
      <c r="L17" s="188" t="s">
        <v>31</v>
      </c>
      <c r="M17" s="272" t="n">
        <f aca="false">IF(Horodateur112335381922313437434649525558616469852226343846505854626670747882909894102106114118110122126130134138142146150154158162166170174178182186190194198202206210214410141822[[#This Row],[O]]="o",Horodateur112335381922313437434649525558616469852226343846505854626670747882909894102106114118110122126130134138142146150154158162166170174178182186190194198202206210214410141822[[#This Row],[Durée (100)]],".")</f>
        <v>1</v>
      </c>
      <c r="N17" s="187"/>
      <c r="O17" s="71"/>
      <c r="P17" s="71"/>
      <c r="Q17" s="71"/>
      <c r="R17" s="71"/>
      <c r="S17" s="71"/>
      <c r="T17" s="71"/>
      <c r="U17" s="71"/>
      <c r="V17" s="71"/>
      <c r="W17" s="71"/>
      <c r="X17" s="71"/>
      <c r="Y17" s="71"/>
      <c r="Z17" s="71"/>
      <c r="AA17" s="71"/>
      <c r="AB17" s="71"/>
      <c r="AC17" s="71"/>
      <c r="AD17" s="71"/>
      <c r="AE17" s="71"/>
      <c r="AF17" s="71"/>
      <c r="AG17" s="71"/>
    </row>
    <row r="18" customFormat="false" ht="15" hidden="false" customHeight="false" outlineLevel="0" collapsed="false">
      <c r="A18" s="256" t="n">
        <f aca="false">IF(Horodateur112335381922313437434649525558616469852226343846505854626670747882909894102106114118110122126130134138142146150154158162166170174178182186190194198202206210214410141822[[#This Row],[Jour]]="1- Lundi",$B$1+1, IF(Horodateur112335381922313437434649525558616469852226343846505854626670747882909894102106114118110122126130134138142146150154158162166170174178182186190194198202206210214410141822[[#This Row],[Jour]]="2- Mardi",$B$1+2, IF(Horodateur112335381922313437434649525558616469852226343846505854626670747882909894102106114118110122126130134138142146150154158162166170174178182186190194198202206210214410141822[[#This Row],[Jour]]="3- Mercredi",$B$1+3, IF(Horodateur112335381922313437434649525558616469852226343846505854626670747882909894102106114118110122126130134138142146150154158162166170174178182186190194198202206210214410141822[[#This Row],[Jour]]="4- Jeudi",$B$1+4, IF(Horodateur112335381922313437434649525558616469852226343846505854626670747882909894102106114118110122126130134138142146150154158162166170174178182186190194198202206210214410141822[[#This Row],[Jour]]="5- Vendredi",$B$1+5, IF(Horodateur112335381922313437434649525558616469852226343846505854626670747882909894102106114118110122126130134138142146150154158162166170174178182186190194198202206210214410141822[[#This Row],[Jour]]="6- Samedi",$B$1+6, IF(Horodateur112335381922313437434649525558616469852226343846505854626670747882909894102106114118110122126130134138142146150154158162166170174178182186190194198202206210214410141822[[#This Row],[Jour]]="7- Dimanche",$B$1, )))))))</f>
        <v>44237</v>
      </c>
      <c r="B18" s="257" t="s">
        <v>319</v>
      </c>
      <c r="C18" s="258" t="n">
        <v>0.5625</v>
      </c>
      <c r="D18" s="258" t="n">
        <v>0.729166666666667</v>
      </c>
      <c r="E18" s="71" t="s">
        <v>63</v>
      </c>
      <c r="F18" s="71" t="s">
        <v>378</v>
      </c>
      <c r="G18" s="259" t="s">
        <v>90</v>
      </c>
      <c r="H18" s="258" t="n">
        <f aca="false">IF($C18=0,"",$D18-$C18)</f>
        <v>0.166666666666667</v>
      </c>
      <c r="I18" s="260" t="n">
        <f aca="false">IF($C18=0,"",($H18-INT($H18))*24)</f>
        <v>4</v>
      </c>
      <c r="J18" s="303" t="n">
        <f aca="false">SUMIF(Horodateur112335381922313437434649525558616469852226343846505854626670747882909894102106114118110122126130134138142146150154158162166170174178182186190194198202206210214410141822[Jour],$B18,Horodateur112335381922313437434649525558616469852226343846505854626670747882909894102106114118110122126130134138142146150154158162166170174178182186190194198202206210214410141822[Durée (100)])</f>
        <v>9</v>
      </c>
      <c r="K18" s="335"/>
      <c r="L18" s="188" t="s">
        <v>31</v>
      </c>
      <c r="M18" s="272" t="n">
        <f aca="false">IF(Horodateur112335381922313437434649525558616469852226343846505854626670747882909894102106114118110122126130134138142146150154158162166170174178182186190194198202206210214410141822[[#This Row],[O]]="o",Horodateur112335381922313437434649525558616469852226343846505854626670747882909894102106114118110122126130134138142146150154158162166170174178182186190194198202206210214410141822[[#This Row],[Durée (100)]],".")</f>
        <v>4</v>
      </c>
      <c r="N18" s="187"/>
      <c r="O18" s="71"/>
      <c r="P18" s="71"/>
      <c r="Q18" s="71"/>
      <c r="R18" s="71"/>
      <c r="S18" s="71"/>
      <c r="T18" s="71"/>
      <c r="U18" s="71"/>
      <c r="V18" s="71"/>
      <c r="W18" s="71"/>
      <c r="X18" s="71"/>
      <c r="Y18" s="71"/>
      <c r="Z18" s="71"/>
      <c r="AA18" s="71"/>
      <c r="AB18" s="71"/>
      <c r="AC18" s="71"/>
      <c r="AD18" s="71"/>
      <c r="AE18" s="71"/>
      <c r="AF18" s="71"/>
      <c r="AG18" s="71"/>
    </row>
    <row r="19" customFormat="false" ht="15" hidden="false" customHeight="false" outlineLevel="0" collapsed="false">
      <c r="A19" s="256" t="n">
        <f aca="false">IF(Horodateur112335381922313437434649525558616469852226343846505854626670747882909894102106114118110122126130134138142146150154158162166170174178182186190194198202206210214410141822[[#This Row],[Jour]]="1- Lundi",$B$1+1, IF(Horodateur112335381922313437434649525558616469852226343846505854626670747882909894102106114118110122126130134138142146150154158162166170174178182186190194198202206210214410141822[[#This Row],[Jour]]="2- Mardi",$B$1+2, IF(Horodateur112335381922313437434649525558616469852226343846505854626670747882909894102106114118110122126130134138142146150154158162166170174178182186190194198202206210214410141822[[#This Row],[Jour]]="3- Mercredi",$B$1+3, IF(Horodateur112335381922313437434649525558616469852226343846505854626670747882909894102106114118110122126130134138142146150154158162166170174178182186190194198202206210214410141822[[#This Row],[Jour]]="4- Jeudi",$B$1+4, IF(Horodateur112335381922313437434649525558616469852226343846505854626670747882909894102106114118110122126130134138142146150154158162166170174178182186190194198202206210214410141822[[#This Row],[Jour]]="5- Vendredi",$B$1+5, IF(Horodateur112335381922313437434649525558616469852226343846505854626670747882909894102106114118110122126130134138142146150154158162166170174178182186190194198202206210214410141822[[#This Row],[Jour]]="6- Samedi",$B$1+6, IF(Horodateur112335381922313437434649525558616469852226343846505854626670747882909894102106114118110122126130134138142146150154158162166170174178182186190194198202206210214410141822[[#This Row],[Jour]]="7- Dimanche",$B$1, )))))))</f>
        <v>44238</v>
      </c>
      <c r="B19" s="257" t="s">
        <v>324</v>
      </c>
      <c r="C19" s="258" t="n">
        <v>0.3125</v>
      </c>
      <c r="D19" s="258" t="n">
        <v>0.322916666666667</v>
      </c>
      <c r="E19" s="71" t="s">
        <v>32</v>
      </c>
      <c r="F19" s="71" t="s">
        <v>21</v>
      </c>
      <c r="G19" s="259"/>
      <c r="H19" s="258" t="n">
        <f aca="false">IF($C19=0,"",$D19-$C19)</f>
        <v>0.0104166666666667</v>
      </c>
      <c r="I19" s="260" t="n">
        <f aca="false">IF($C19=0,"",($H19-INT($H19))*24)</f>
        <v>0.25</v>
      </c>
      <c r="J19" s="303" t="n">
        <f aca="false">SUMIF(Horodateur112335381922313437434649525558616469852226343846505854626670747882909894102106114118110122126130134138142146150154158162166170174178182186190194198202206210214410141822[Jour],$B19,Horodateur112335381922313437434649525558616469852226343846505854626670747882909894102106114118110122126130134138142146150154158162166170174178182186190194198202206210214410141822[Durée (100)])</f>
        <v>10</v>
      </c>
      <c r="K19" s="335"/>
      <c r="L19" s="188" t="s">
        <v>31</v>
      </c>
      <c r="M19" s="272" t="n">
        <f aca="false">IF(Horodateur112335381922313437434649525558616469852226343846505854626670747882909894102106114118110122126130134138142146150154158162166170174178182186190194198202206210214410141822[[#This Row],[O]]="o",Horodateur112335381922313437434649525558616469852226343846505854626670747882909894102106114118110122126130134138142146150154158162166170174178182186190194198202206210214410141822[[#This Row],[Durée (100)]],".")</f>
        <v>0.25</v>
      </c>
      <c r="N19" s="187"/>
      <c r="O19" s="71"/>
      <c r="P19" s="71"/>
      <c r="Q19" s="71"/>
      <c r="R19" s="71"/>
      <c r="S19" s="71"/>
      <c r="T19" s="71"/>
      <c r="U19" s="71"/>
      <c r="V19" s="71"/>
      <c r="W19" s="71"/>
      <c r="X19" s="71"/>
      <c r="Y19" s="71"/>
      <c r="Z19" s="71"/>
      <c r="AA19" s="71"/>
      <c r="AB19" s="71"/>
      <c r="AC19" s="71"/>
      <c r="AD19" s="71"/>
      <c r="AE19" s="71"/>
      <c r="AF19" s="71"/>
      <c r="AG19" s="71"/>
    </row>
    <row r="20" customFormat="false" ht="15" hidden="false" customHeight="false" outlineLevel="0" collapsed="false">
      <c r="A20" s="256" t="n">
        <f aca="false">IF(Horodateur112335381922313437434649525558616469852226343846505854626670747882909894102106114118110122126130134138142146150154158162166170174178182186190194198202206210214410141822[[#This Row],[Jour]]="1- Lundi",$B$1+1, IF(Horodateur112335381922313437434649525558616469852226343846505854626670747882909894102106114118110122126130134138142146150154158162166170174178182186190194198202206210214410141822[[#This Row],[Jour]]="2- Mardi",$B$1+2, IF(Horodateur112335381922313437434649525558616469852226343846505854626670747882909894102106114118110122126130134138142146150154158162166170174178182186190194198202206210214410141822[[#This Row],[Jour]]="3- Mercredi",$B$1+3, IF(Horodateur112335381922313437434649525558616469852226343846505854626670747882909894102106114118110122126130134138142146150154158162166170174178182186190194198202206210214410141822[[#This Row],[Jour]]="4- Jeudi",$B$1+4, IF(Horodateur112335381922313437434649525558616469852226343846505854626670747882909894102106114118110122126130134138142146150154158162166170174178182186190194198202206210214410141822[[#This Row],[Jour]]="5- Vendredi",$B$1+5, IF(Horodateur112335381922313437434649525558616469852226343846505854626670747882909894102106114118110122126130134138142146150154158162166170174178182186190194198202206210214410141822[[#This Row],[Jour]]="6- Samedi",$B$1+6, IF(Horodateur112335381922313437434649525558616469852226343846505854626670747882909894102106114118110122126130134138142146150154158162166170174178182186190194198202206210214410141822[[#This Row],[Jour]]="7- Dimanche",$B$1, )))))))</f>
        <v>44238</v>
      </c>
      <c r="B20" s="257" t="s">
        <v>324</v>
      </c>
      <c r="C20" s="258" t="n">
        <v>0.333333333333333</v>
      </c>
      <c r="D20" s="258" t="n">
        <v>0.5</v>
      </c>
      <c r="E20" s="71" t="s">
        <v>59</v>
      </c>
      <c r="F20" s="71" t="s">
        <v>378</v>
      </c>
      <c r="G20" s="259" t="s">
        <v>90</v>
      </c>
      <c r="H20" s="258" t="n">
        <f aca="false">IF($C20=0,"",$D20-$C20)</f>
        <v>0.166666666666667</v>
      </c>
      <c r="I20" s="260" t="n">
        <f aca="false">IF($C20=0,"",($H20-INT($H20))*24)</f>
        <v>4</v>
      </c>
      <c r="J20" s="303" t="n">
        <f aca="false">SUMIF(Horodateur112335381922313437434649525558616469852226343846505854626670747882909894102106114118110122126130134138142146150154158162166170174178182186190194198202206210214410141822[Jour],$B20,Horodateur112335381922313437434649525558616469852226343846505854626670747882909894102106114118110122126130134138142146150154158162166170174178182186190194198202206210214410141822[Durée (100)])</f>
        <v>10</v>
      </c>
      <c r="K20" s="335"/>
      <c r="L20" s="188" t="s">
        <v>31</v>
      </c>
      <c r="M20" s="272" t="n">
        <f aca="false">IF(Horodateur112335381922313437434649525558616469852226343846505854626670747882909894102106114118110122126130134138142146150154158162166170174178182186190194198202206210214410141822[[#This Row],[O]]="o",Horodateur112335381922313437434649525558616469852226343846505854626670747882909894102106114118110122126130134138142146150154158162166170174178182186190194198202206210214410141822[[#This Row],[Durée (100)]],".")</f>
        <v>4</v>
      </c>
      <c r="N20" s="187"/>
      <c r="O20" s="71"/>
      <c r="P20" s="71"/>
      <c r="Q20" s="71"/>
      <c r="R20" s="71"/>
      <c r="S20" s="71"/>
      <c r="T20" s="71"/>
      <c r="U20" s="71"/>
      <c r="V20" s="71"/>
      <c r="W20" s="71"/>
      <c r="X20" s="71"/>
      <c r="Y20" s="71"/>
      <c r="Z20" s="71"/>
      <c r="AA20" s="71"/>
      <c r="AB20" s="71"/>
      <c r="AC20" s="71"/>
      <c r="AD20" s="71"/>
      <c r="AE20" s="71"/>
      <c r="AF20" s="71"/>
      <c r="AG20" s="71"/>
    </row>
    <row r="21" customFormat="false" ht="15" hidden="false" customHeight="false" outlineLevel="0" collapsed="false">
      <c r="A21" s="256" t="n">
        <f aca="false">IF(Horodateur112335381922313437434649525558616469852226343846505854626670747882909894102106114118110122126130134138142146150154158162166170174178182186190194198202206210214410141822[[#This Row],[Jour]]="1- Lundi",$B$1+1, IF(Horodateur112335381922313437434649525558616469852226343846505854626670747882909894102106114118110122126130134138142146150154158162166170174178182186190194198202206210214410141822[[#This Row],[Jour]]="2- Mardi",$B$1+2, IF(Horodateur112335381922313437434649525558616469852226343846505854626670747882909894102106114118110122126130134138142146150154158162166170174178182186190194198202206210214410141822[[#This Row],[Jour]]="3- Mercredi",$B$1+3, IF(Horodateur112335381922313437434649525558616469852226343846505854626670747882909894102106114118110122126130134138142146150154158162166170174178182186190194198202206210214410141822[[#This Row],[Jour]]="4- Jeudi",$B$1+4, IF(Horodateur112335381922313437434649525558616469852226343846505854626670747882909894102106114118110122126130134138142146150154158162166170174178182186190194198202206210214410141822[[#This Row],[Jour]]="5- Vendredi",$B$1+5, IF(Horodateur112335381922313437434649525558616469852226343846505854626670747882909894102106114118110122126130134138142146150154158162166170174178182186190194198202206210214410141822[[#This Row],[Jour]]="6- Samedi",$B$1+6, IF(Horodateur112335381922313437434649525558616469852226343846505854626670747882909894102106114118110122126130134138142146150154158162166170174178182186190194198202206210214410141822[[#This Row],[Jour]]="7- Dimanche",$B$1, )))))))</f>
        <v>44238</v>
      </c>
      <c r="B21" s="257" t="s">
        <v>324</v>
      </c>
      <c r="C21" s="258" t="n">
        <v>0.583333333333333</v>
      </c>
      <c r="D21" s="258" t="n">
        <v>0.625</v>
      </c>
      <c r="E21" s="71" t="s">
        <v>59</v>
      </c>
      <c r="F21" s="71" t="s">
        <v>378</v>
      </c>
      <c r="G21" s="259" t="s">
        <v>90</v>
      </c>
      <c r="H21" s="258" t="n">
        <f aca="false">IF($C21=0,"",$D21-$C21)</f>
        <v>0.0416666666666667</v>
      </c>
      <c r="I21" s="260" t="n">
        <f aca="false">IF($C21=0,"",($H21-INT($H21))*24)</f>
        <v>1</v>
      </c>
      <c r="J21" s="303" t="n">
        <f aca="false">SUMIF(Horodateur112335381922313437434649525558616469852226343846505854626670747882909894102106114118110122126130134138142146150154158162166170174178182186190194198202206210214410141822[Jour],$B21,Horodateur112335381922313437434649525558616469852226343846505854626670747882909894102106114118110122126130134138142146150154158162166170174178182186190194198202206210214410141822[Durée (100)])</f>
        <v>10</v>
      </c>
      <c r="K21" s="335"/>
      <c r="L21" s="188" t="s">
        <v>31</v>
      </c>
      <c r="M21" s="272" t="n">
        <f aca="false">IF(Horodateur112335381922313437434649525558616469852226343846505854626670747882909894102106114118110122126130134138142146150154158162166170174178182186190194198202206210214410141822[[#This Row],[O]]="o",Horodateur112335381922313437434649525558616469852226343846505854626670747882909894102106114118110122126130134138142146150154158162166170174178182186190194198202206210214410141822[[#This Row],[Durée (100)]],".")</f>
        <v>0.999999999999999</v>
      </c>
      <c r="N21" s="187"/>
      <c r="O21" s="71"/>
      <c r="P21" s="71"/>
      <c r="Q21" s="71"/>
      <c r="R21" s="71"/>
      <c r="S21" s="71"/>
      <c r="T21" s="71"/>
      <c r="U21" s="71"/>
      <c r="V21" s="71"/>
      <c r="W21" s="71"/>
      <c r="X21" s="71"/>
      <c r="Y21" s="71"/>
      <c r="Z21" s="71"/>
      <c r="AA21" s="71"/>
      <c r="AB21" s="71"/>
      <c r="AC21" s="71"/>
      <c r="AD21" s="71"/>
      <c r="AE21" s="71"/>
      <c r="AF21" s="71"/>
      <c r="AG21" s="71"/>
    </row>
    <row r="22" customFormat="false" ht="15" hidden="false" customHeight="false" outlineLevel="0" collapsed="false">
      <c r="A22" s="256" t="n">
        <f aca="false">IF(Horodateur112335381922313437434649525558616469852226343846505854626670747882909894102106114118110122126130134138142146150154158162166170174178182186190194198202206210214410141822[[#This Row],[Jour]]="1- Lundi",$B$1+1, IF(Horodateur112335381922313437434649525558616469852226343846505854626670747882909894102106114118110122126130134138142146150154158162166170174178182186190194198202206210214410141822[[#This Row],[Jour]]="2- Mardi",$B$1+2, IF(Horodateur112335381922313437434649525558616469852226343846505854626670747882909894102106114118110122126130134138142146150154158162166170174178182186190194198202206210214410141822[[#This Row],[Jour]]="3- Mercredi",$B$1+3, IF(Horodateur112335381922313437434649525558616469852226343846505854626670747882909894102106114118110122126130134138142146150154158162166170174178182186190194198202206210214410141822[[#This Row],[Jour]]="4- Jeudi",$B$1+4, IF(Horodateur112335381922313437434649525558616469852226343846505854626670747882909894102106114118110122126130134138142146150154158162166170174178182186190194198202206210214410141822[[#This Row],[Jour]]="5- Vendredi",$B$1+5, IF(Horodateur112335381922313437434649525558616469852226343846505854626670747882909894102106114118110122126130134138142146150154158162166170174178182186190194198202206210214410141822[[#This Row],[Jour]]="6- Samedi",$B$1+6, IF(Horodateur112335381922313437434649525558616469852226343846505854626670747882909894102106114118110122126130134138142146150154158162166170174178182186190194198202206210214410141822[[#This Row],[Jour]]="7- Dimanche",$B$1, )))))))</f>
        <v>44238</v>
      </c>
      <c r="B22" s="257" t="s">
        <v>324</v>
      </c>
      <c r="C22" s="258" t="n">
        <v>0.625</v>
      </c>
      <c r="D22" s="258" t="n">
        <v>0.645833333333333</v>
      </c>
      <c r="E22" s="71" t="s">
        <v>81</v>
      </c>
      <c r="F22" s="71" t="s">
        <v>379</v>
      </c>
      <c r="G22" s="259" t="s">
        <v>507</v>
      </c>
      <c r="H22" s="258" t="n">
        <f aca="false">IF($C22=0,"",$D22-$C22)</f>
        <v>0.0208333333333333</v>
      </c>
      <c r="I22" s="260" t="n">
        <f aca="false">IF($C22=0,"",($H22-INT($H22))*24)</f>
        <v>0.5</v>
      </c>
      <c r="J22" s="303" t="n">
        <f aca="false">SUMIF(Horodateur112335381922313437434649525558616469852226343846505854626670747882909894102106114118110122126130134138142146150154158162166170174178182186190194198202206210214410141822[Jour],$B22,Horodateur112335381922313437434649525558616469852226343846505854626670747882909894102106114118110122126130134138142146150154158162166170174178182186190194198202206210214410141822[Durée (100)])</f>
        <v>10</v>
      </c>
      <c r="K22" s="335"/>
      <c r="L22" s="188" t="s">
        <v>31</v>
      </c>
      <c r="M22" s="272" t="n">
        <f aca="false">IF(Horodateur112335381922313437434649525558616469852226343846505854626670747882909894102106114118110122126130134138142146150154158162166170174178182186190194198202206210214410141822[[#This Row],[O]]="o",Horodateur112335381922313437434649525558616469852226343846505854626670747882909894102106114118110122126130134138142146150154158162166170174178182186190194198202206210214410141822[[#This Row],[Durée (100)]],".")</f>
        <v>0.500000000000001</v>
      </c>
      <c r="N22" s="187"/>
      <c r="O22" s="71"/>
      <c r="P22" s="71"/>
      <c r="Q22" s="71"/>
      <c r="R22" s="71"/>
      <c r="S22" s="71"/>
      <c r="T22" s="71"/>
      <c r="U22" s="71"/>
      <c r="V22" s="71"/>
      <c r="W22" s="71"/>
      <c r="X22" s="71"/>
      <c r="Y22" s="71"/>
      <c r="Z22" s="71"/>
      <c r="AA22" s="71"/>
      <c r="AB22" s="71"/>
      <c r="AC22" s="71"/>
      <c r="AD22" s="71"/>
      <c r="AE22" s="71"/>
      <c r="AF22" s="71"/>
      <c r="AG22" s="71"/>
    </row>
    <row r="23" customFormat="false" ht="15" hidden="false" customHeight="false" outlineLevel="0" collapsed="false">
      <c r="A23" s="256" t="n">
        <f aca="false">IF(Horodateur112335381922313437434649525558616469852226343846505854626670747882909894102106114118110122126130134138142146150154158162166170174178182186190194198202206210214410141822[[#This Row],[Jour]]="1- Lundi",$B$1+1, IF(Horodateur112335381922313437434649525558616469852226343846505854626670747882909894102106114118110122126130134138142146150154158162166170174178182186190194198202206210214410141822[[#This Row],[Jour]]="2- Mardi",$B$1+2, IF(Horodateur112335381922313437434649525558616469852226343846505854626670747882909894102106114118110122126130134138142146150154158162166170174178182186190194198202206210214410141822[[#This Row],[Jour]]="3- Mercredi",$B$1+3, IF(Horodateur112335381922313437434649525558616469852226343846505854626670747882909894102106114118110122126130134138142146150154158162166170174178182186190194198202206210214410141822[[#This Row],[Jour]]="4- Jeudi",$B$1+4, IF(Horodateur112335381922313437434649525558616469852226343846505854626670747882909894102106114118110122126130134138142146150154158162166170174178182186190194198202206210214410141822[[#This Row],[Jour]]="5- Vendredi",$B$1+5, IF(Horodateur112335381922313437434649525558616469852226343846505854626670747882909894102106114118110122126130134138142146150154158162166170174178182186190194198202206210214410141822[[#This Row],[Jour]]="6- Samedi",$B$1+6, IF(Horodateur112335381922313437434649525558616469852226343846505854626670747882909894102106114118110122126130134138142146150154158162166170174178182186190194198202206210214410141822[[#This Row],[Jour]]="7- Dimanche",$B$1, )))))))</f>
        <v>44238</v>
      </c>
      <c r="B23" s="257" t="s">
        <v>324</v>
      </c>
      <c r="C23" s="258" t="n">
        <v>0.645833333333333</v>
      </c>
      <c r="D23" s="258" t="n">
        <v>0.677083333333333</v>
      </c>
      <c r="E23" s="71" t="s">
        <v>63</v>
      </c>
      <c r="F23" s="71" t="s">
        <v>378</v>
      </c>
      <c r="G23" s="259" t="s">
        <v>610</v>
      </c>
      <c r="H23" s="258" t="n">
        <f aca="false">IF($C23=0,"",$D23-$C23)</f>
        <v>0.03125</v>
      </c>
      <c r="I23" s="260" t="n">
        <f aca="false">IF($C23=0,"",($H23-INT($H23))*24)</f>
        <v>0.75</v>
      </c>
      <c r="J23" s="303" t="n">
        <f aca="false">SUMIF(Horodateur112335381922313437434649525558616469852226343846505854626670747882909894102106114118110122126130134138142146150154158162166170174178182186190194198202206210214410141822[Jour],$B23,Horodateur112335381922313437434649525558616469852226343846505854626670747882909894102106114118110122126130134138142146150154158162166170174178182186190194198202206210214410141822[Durée (100)])</f>
        <v>10</v>
      </c>
      <c r="K23" s="335"/>
      <c r="L23" s="188" t="s">
        <v>31</v>
      </c>
      <c r="M23" s="272" t="n">
        <f aca="false">IF(Horodateur112335381922313437434649525558616469852226343846505854626670747882909894102106114118110122126130134138142146150154158162166170174178182186190194198202206210214410141822[[#This Row],[O]]="o",Horodateur112335381922313437434649525558616469852226343846505854626670747882909894102106114118110122126130134138142146150154158162166170174178182186190194198202206210214410141822[[#This Row],[Durée (100)]],".")</f>
        <v>0.75</v>
      </c>
      <c r="N23" s="187"/>
      <c r="O23" s="71"/>
      <c r="P23" s="71"/>
      <c r="Q23" s="71"/>
      <c r="R23" s="71"/>
      <c r="S23" s="71"/>
      <c r="T23" s="71"/>
      <c r="U23" s="71"/>
      <c r="V23" s="71"/>
      <c r="W23" s="71"/>
      <c r="X23" s="71"/>
      <c r="Y23" s="71"/>
      <c r="Z23" s="71"/>
      <c r="AA23" s="71"/>
      <c r="AB23" s="71"/>
      <c r="AC23" s="71"/>
      <c r="AD23" s="71"/>
      <c r="AE23" s="71"/>
      <c r="AF23" s="71"/>
      <c r="AG23" s="71"/>
    </row>
    <row r="24" customFormat="false" ht="15" hidden="false" customHeight="false" outlineLevel="0" collapsed="false">
      <c r="A24" s="256" t="n">
        <f aca="false">IF(Horodateur112335381922313437434649525558616469852226343846505854626670747882909894102106114118110122126130134138142146150154158162166170174178182186190194198202206210214410141822[[#This Row],[Jour]]="1- Lundi",$B$1+1, IF(Horodateur112335381922313437434649525558616469852226343846505854626670747882909894102106114118110122126130134138142146150154158162166170174178182186190194198202206210214410141822[[#This Row],[Jour]]="2- Mardi",$B$1+2, IF(Horodateur112335381922313437434649525558616469852226343846505854626670747882909894102106114118110122126130134138142146150154158162166170174178182186190194198202206210214410141822[[#This Row],[Jour]]="3- Mercredi",$B$1+3, IF(Horodateur112335381922313437434649525558616469852226343846505854626670747882909894102106114118110122126130134138142146150154158162166170174178182186190194198202206210214410141822[[#This Row],[Jour]]="4- Jeudi",$B$1+4, IF(Horodateur112335381922313437434649525558616469852226343846505854626670747882909894102106114118110122126130134138142146150154158162166170174178182186190194198202206210214410141822[[#This Row],[Jour]]="5- Vendredi",$B$1+5, IF(Horodateur112335381922313437434649525558616469852226343846505854626670747882909894102106114118110122126130134138142146150154158162166170174178182186190194198202206210214410141822[[#This Row],[Jour]]="6- Samedi",$B$1+6, IF(Horodateur112335381922313437434649525558616469852226343846505854626670747882909894102106114118110122126130134138142146150154158162166170174178182186190194198202206210214410141822[[#This Row],[Jour]]="7- Dimanche",$B$1, )))))))</f>
        <v>44238</v>
      </c>
      <c r="B24" s="257" t="s">
        <v>324</v>
      </c>
      <c r="C24" s="258" t="n">
        <v>0.6875</v>
      </c>
      <c r="D24" s="258" t="n">
        <v>0.75</v>
      </c>
      <c r="E24" s="71" t="s">
        <v>59</v>
      </c>
      <c r="F24" s="71" t="s">
        <v>22</v>
      </c>
      <c r="G24" s="259" t="s">
        <v>611</v>
      </c>
      <c r="H24" s="258" t="n">
        <f aca="false">IF($C24=0,"",$D24-$C24)</f>
        <v>0.0625</v>
      </c>
      <c r="I24" s="260" t="n">
        <f aca="false">IF($C24=0,"",($H24-INT($H24))*24)</f>
        <v>1.5</v>
      </c>
      <c r="J24" s="303" t="n">
        <f aca="false">SUMIF(Horodateur112335381922313437434649525558616469852226343846505854626670747882909894102106114118110122126130134138142146150154158162166170174178182186190194198202206210214410141822[Jour],$B24,Horodateur112335381922313437434649525558616469852226343846505854626670747882909894102106114118110122126130134138142146150154158162166170174178182186190194198202206210214410141822[Durée (100)])</f>
        <v>10</v>
      </c>
      <c r="K24" s="335"/>
      <c r="L24" s="188" t="s">
        <v>31</v>
      </c>
      <c r="M24" s="272" t="n">
        <f aca="false">IF(Horodateur112335381922313437434649525558616469852226343846505854626670747882909894102106114118110122126130134138142146150154158162166170174178182186190194198202206210214410141822[[#This Row],[O]]="o",Horodateur112335381922313437434649525558616469852226343846505854626670747882909894102106114118110122126130134138142146150154158162166170174178182186190194198202206210214410141822[[#This Row],[Durée (100)]],".")</f>
        <v>1.5</v>
      </c>
      <c r="N24" s="187"/>
      <c r="O24" s="71"/>
      <c r="P24" s="71"/>
      <c r="Q24" s="71"/>
      <c r="R24" s="71"/>
      <c r="S24" s="71"/>
      <c r="T24" s="71"/>
      <c r="U24" s="71"/>
      <c r="V24" s="71"/>
      <c r="W24" s="71"/>
      <c r="X24" s="71"/>
      <c r="Y24" s="71"/>
      <c r="Z24" s="71"/>
      <c r="AA24" s="71"/>
      <c r="AB24" s="71"/>
      <c r="AC24" s="71"/>
      <c r="AD24" s="71"/>
      <c r="AE24" s="71"/>
      <c r="AF24" s="71"/>
      <c r="AG24" s="71"/>
    </row>
    <row r="25" customFormat="false" ht="15" hidden="false" customHeight="false" outlineLevel="0" collapsed="false">
      <c r="A25" s="256" t="n">
        <f aca="false">IF(Horodateur112335381922313437434649525558616469852226343846505854626670747882909894102106114118110122126130134138142146150154158162166170174178182186190194198202206210214410141822[[#This Row],[Jour]]="1- Lundi",$B$1+1, IF(Horodateur112335381922313437434649525558616469852226343846505854626670747882909894102106114118110122126130134138142146150154158162166170174178182186190194198202206210214410141822[[#This Row],[Jour]]="2- Mardi",$B$1+2, IF(Horodateur112335381922313437434649525558616469852226343846505854626670747882909894102106114118110122126130134138142146150154158162166170174178182186190194198202206210214410141822[[#This Row],[Jour]]="3- Mercredi",$B$1+3, IF(Horodateur112335381922313437434649525558616469852226343846505854626670747882909894102106114118110122126130134138142146150154158162166170174178182186190194198202206210214410141822[[#This Row],[Jour]]="4- Jeudi",$B$1+4, IF(Horodateur112335381922313437434649525558616469852226343846505854626670747882909894102106114118110122126130134138142146150154158162166170174178182186190194198202206210214410141822[[#This Row],[Jour]]="5- Vendredi",$B$1+5, IF(Horodateur112335381922313437434649525558616469852226343846505854626670747882909894102106114118110122126130134138142146150154158162166170174178182186190194198202206210214410141822[[#This Row],[Jour]]="6- Samedi",$B$1+6, IF(Horodateur112335381922313437434649525558616469852226343846505854626670747882909894102106114118110122126130134138142146150154158162166170174178182186190194198202206210214410141822[[#This Row],[Jour]]="7- Dimanche",$B$1, )))))))</f>
        <v>44238</v>
      </c>
      <c r="B25" s="257" t="s">
        <v>324</v>
      </c>
      <c r="C25" s="258" t="n">
        <v>0.6875</v>
      </c>
      <c r="D25" s="258" t="n">
        <v>0.75</v>
      </c>
      <c r="E25" s="71" t="s">
        <v>63</v>
      </c>
      <c r="F25" s="71" t="s">
        <v>378</v>
      </c>
      <c r="G25" s="259" t="s">
        <v>612</v>
      </c>
      <c r="H25" s="258" t="n">
        <f aca="false">IF($C25=0,"",$D25-$C25)</f>
        <v>0.0625</v>
      </c>
      <c r="I25" s="260" t="n">
        <f aca="false">IF($C25=0,"",($H25-INT($H25))*24)</f>
        <v>1.5</v>
      </c>
      <c r="J25" s="303" t="n">
        <f aca="false">SUMIF(Horodateur112335381922313437434649525558616469852226343846505854626670747882909894102106114118110122126130134138142146150154158162166170174178182186190194198202206210214410141822[Jour],$B25,Horodateur112335381922313437434649525558616469852226343846505854626670747882909894102106114118110122126130134138142146150154158162166170174178182186190194198202206210214410141822[Durée (100)])</f>
        <v>10</v>
      </c>
      <c r="K25" s="335"/>
      <c r="L25" s="188" t="s">
        <v>31</v>
      </c>
      <c r="M25" s="272" t="n">
        <f aca="false">IF(Horodateur112335381922313437434649525558616469852226343846505854626670747882909894102106114118110122126130134138142146150154158162166170174178182186190194198202206210214410141822[[#This Row],[O]]="o",Horodateur112335381922313437434649525558616469852226343846505854626670747882909894102106114118110122126130134138142146150154158162166170174178182186190194198202206210214410141822[[#This Row],[Durée (100)]],".")</f>
        <v>1.5</v>
      </c>
      <c r="N25" s="187"/>
      <c r="O25" s="71"/>
      <c r="P25" s="71"/>
      <c r="Q25" s="71"/>
      <c r="R25" s="71"/>
      <c r="S25" s="71"/>
      <c r="T25" s="71"/>
      <c r="U25" s="71"/>
      <c r="V25" s="71"/>
      <c r="W25" s="71"/>
      <c r="X25" s="71"/>
      <c r="Y25" s="71"/>
      <c r="Z25" s="71"/>
      <c r="AA25" s="71"/>
      <c r="AB25" s="71"/>
      <c r="AC25" s="71"/>
      <c r="AD25" s="71"/>
      <c r="AE25" s="71"/>
      <c r="AF25" s="71"/>
      <c r="AG25" s="71"/>
    </row>
    <row r="26" customFormat="false" ht="15" hidden="false" customHeight="false" outlineLevel="0" collapsed="false">
      <c r="A26" s="256" t="n">
        <f aca="false">IF(Horodateur112335381922313437434649525558616469852226343846505854626670747882909894102106114118110122126130134138142146150154158162166170174178182186190194198202206210214410141822[[#This Row],[Jour]]="1- Lundi",$B$1+1, IF(Horodateur112335381922313437434649525558616469852226343846505854626670747882909894102106114118110122126130134138142146150154158162166170174178182186190194198202206210214410141822[[#This Row],[Jour]]="2- Mardi",$B$1+2, IF(Horodateur112335381922313437434649525558616469852226343846505854626670747882909894102106114118110122126130134138142146150154158162166170174178182186190194198202206210214410141822[[#This Row],[Jour]]="3- Mercredi",$B$1+3, IF(Horodateur112335381922313437434649525558616469852226343846505854626670747882909894102106114118110122126130134138142146150154158162166170174178182186190194198202206210214410141822[[#This Row],[Jour]]="4- Jeudi",$B$1+4, IF(Horodateur112335381922313437434649525558616469852226343846505854626670747882909894102106114118110122126130134138142146150154158162166170174178182186190194198202206210214410141822[[#This Row],[Jour]]="5- Vendredi",$B$1+5, IF(Horodateur112335381922313437434649525558616469852226343846505854626670747882909894102106114118110122126130134138142146150154158162166170174178182186190194198202206210214410141822[[#This Row],[Jour]]="6- Samedi",$B$1+6, IF(Horodateur112335381922313437434649525558616469852226343846505854626670747882909894102106114118110122126130134138142146150154158162166170174178182186190194198202206210214410141822[[#This Row],[Jour]]="7- Dimanche",$B$1, )))))))</f>
        <v>44238</v>
      </c>
      <c r="B26" s="257" t="s">
        <v>324</v>
      </c>
      <c r="C26" s="258" t="n">
        <v>0.75</v>
      </c>
      <c r="D26" s="258" t="n">
        <v>0.770833333333333</v>
      </c>
      <c r="E26" s="71" t="s">
        <v>59</v>
      </c>
      <c r="F26" s="71" t="s">
        <v>378</v>
      </c>
      <c r="G26" s="259" t="s">
        <v>90</v>
      </c>
      <c r="H26" s="258" t="n">
        <f aca="false">IF($C26=0,"",$D26-$C26)</f>
        <v>0.0208333333333334</v>
      </c>
      <c r="I26" s="260" t="n">
        <f aca="false">IF($C26=0,"",($H26-INT($H26))*24)</f>
        <v>0.500000000000001</v>
      </c>
      <c r="J26" s="303" t="n">
        <f aca="false">SUMIF(Horodateur112335381922313437434649525558616469852226343846505854626670747882909894102106114118110122126130134138142146150154158162166170174178182186190194198202206210214410141822[Jour],$B26,Horodateur112335381922313437434649525558616469852226343846505854626670747882909894102106114118110122126130134138142146150154158162166170174178182186190194198202206210214410141822[Durée (100)])</f>
        <v>10</v>
      </c>
      <c r="K26" s="335"/>
      <c r="L26" s="188" t="s">
        <v>31</v>
      </c>
      <c r="M26" s="272" t="n">
        <f aca="false">IF(Horodateur112335381922313437434649525558616469852226343846505854626670747882909894102106114118110122126130134138142146150154158162166170174178182186190194198202206210214410141822[[#This Row],[O]]="o",Horodateur112335381922313437434649525558616469852226343846505854626670747882909894102106114118110122126130134138142146150154158162166170174178182186190194198202206210214410141822[[#This Row],[Durée (100)]],".")</f>
        <v>0.500000000000001</v>
      </c>
      <c r="N26" s="187"/>
      <c r="O26" s="71"/>
      <c r="P26" s="71"/>
      <c r="Q26" s="71"/>
      <c r="R26" s="71"/>
      <c r="S26" s="71"/>
      <c r="T26" s="71"/>
      <c r="U26" s="71"/>
      <c r="V26" s="71"/>
      <c r="W26" s="71"/>
      <c r="X26" s="71"/>
      <c r="Y26" s="71"/>
      <c r="Z26" s="71"/>
      <c r="AA26" s="71"/>
      <c r="AB26" s="71"/>
      <c r="AC26" s="71"/>
      <c r="AD26" s="71"/>
      <c r="AE26" s="71"/>
      <c r="AF26" s="71"/>
      <c r="AG26" s="71"/>
    </row>
    <row r="27" customFormat="false" ht="15" hidden="false" customHeight="false" outlineLevel="0" collapsed="false">
      <c r="A27" s="256" t="n">
        <f aca="false">IF(Horodateur112335381922313437434649525558616469852226343846505854626670747882909894102106114118110122126130134138142146150154158162166170174178182186190194198202206210214410141822[[#This Row],[Jour]]="1- Lundi",$B$1+1, IF(Horodateur112335381922313437434649525558616469852226343846505854626670747882909894102106114118110122126130134138142146150154158162166170174178182186190194198202206210214410141822[[#This Row],[Jour]]="2- Mardi",$B$1+2, IF(Horodateur112335381922313437434649525558616469852226343846505854626670747882909894102106114118110122126130134138142146150154158162166170174178182186190194198202206210214410141822[[#This Row],[Jour]]="3- Mercredi",$B$1+3, IF(Horodateur112335381922313437434649525558616469852226343846505854626670747882909894102106114118110122126130134138142146150154158162166170174178182186190194198202206210214410141822[[#This Row],[Jour]]="4- Jeudi",$B$1+4, IF(Horodateur112335381922313437434649525558616469852226343846505854626670747882909894102106114118110122126130134138142146150154158162166170174178182186190194198202206210214410141822[[#This Row],[Jour]]="5- Vendredi",$B$1+5, IF(Horodateur112335381922313437434649525558616469852226343846505854626670747882909894102106114118110122126130134138142146150154158162166170174178182186190194198202206210214410141822[[#This Row],[Jour]]="6- Samedi",$B$1+6, IF(Horodateur112335381922313437434649525558616469852226343846505854626670747882909894102106114118110122126130134138142146150154158162166170174178182186190194198202206210214410141822[[#This Row],[Jour]]="7- Dimanche",$B$1, )))))))</f>
        <v>44239</v>
      </c>
      <c r="B27" s="257" t="s">
        <v>332</v>
      </c>
      <c r="C27" s="258" t="n">
        <v>0.385416666666667</v>
      </c>
      <c r="D27" s="258" t="n">
        <v>0.395833333333333</v>
      </c>
      <c r="E27" s="71" t="s">
        <v>32</v>
      </c>
      <c r="F27" s="71" t="s">
        <v>21</v>
      </c>
      <c r="G27" s="259"/>
      <c r="H27" s="258" t="n">
        <f aca="false">IF($C27=0,"",$D27-$C27)</f>
        <v>0.0104166666666666</v>
      </c>
      <c r="I27" s="260" t="n">
        <f aca="false">IF($C27=0,"",($H27-INT($H27))*24)</f>
        <v>0.249999999999999</v>
      </c>
      <c r="J27" s="303" t="n">
        <f aca="false">SUMIF(Horodateur112335381922313437434649525558616469852226343846505854626670747882909894102106114118110122126130134138142146150154158162166170174178182186190194198202206210214410141822[Jour],$B27,Horodateur112335381922313437434649525558616469852226343846505854626670747882909894102106114118110122126130134138142146150154158162166170174178182186190194198202206210214410141822[Durée (100)])</f>
        <v>6.5</v>
      </c>
      <c r="K27" s="335"/>
      <c r="L27" s="188" t="s">
        <v>31</v>
      </c>
      <c r="M27" s="272" t="n">
        <f aca="false">IF(Horodateur112335381922313437434649525558616469852226343846505854626670747882909894102106114118110122126130134138142146150154158162166170174178182186190194198202206210214410141822[[#This Row],[O]]="o",Horodateur112335381922313437434649525558616469852226343846505854626670747882909894102106114118110122126130134138142146150154158162166170174178182186190194198202206210214410141822[[#This Row],[Durée (100)]],".")</f>
        <v>0.249999999999999</v>
      </c>
      <c r="N27" s="187"/>
      <c r="O27" s="71"/>
      <c r="P27" s="71"/>
      <c r="Q27" s="71"/>
      <c r="R27" s="71"/>
      <c r="S27" s="71"/>
      <c r="T27" s="71"/>
      <c r="U27" s="71"/>
      <c r="V27" s="71"/>
      <c r="W27" s="71"/>
      <c r="X27" s="71"/>
      <c r="Y27" s="71"/>
      <c r="Z27" s="71"/>
      <c r="AA27" s="71"/>
      <c r="AB27" s="71"/>
      <c r="AC27" s="71"/>
      <c r="AD27" s="71"/>
      <c r="AE27" s="71"/>
      <c r="AF27" s="71"/>
      <c r="AG27" s="71"/>
    </row>
    <row r="28" customFormat="false" ht="15" hidden="false" customHeight="false" outlineLevel="0" collapsed="false">
      <c r="A28" s="256" t="n">
        <f aca="false">IF(Horodateur112335381922313437434649525558616469852226343846505854626670747882909894102106114118110122126130134138142146150154158162166170174178182186190194198202206210214410141822[[#This Row],[Jour]]="1- Lundi",$B$1+1, IF(Horodateur112335381922313437434649525558616469852226343846505854626670747882909894102106114118110122126130134138142146150154158162166170174178182186190194198202206210214410141822[[#This Row],[Jour]]="2- Mardi",$B$1+2, IF(Horodateur112335381922313437434649525558616469852226343846505854626670747882909894102106114118110122126130134138142146150154158162166170174178182186190194198202206210214410141822[[#This Row],[Jour]]="3- Mercredi",$B$1+3, IF(Horodateur112335381922313437434649525558616469852226343846505854626670747882909894102106114118110122126130134138142146150154158162166170174178182186190194198202206210214410141822[[#This Row],[Jour]]="4- Jeudi",$B$1+4, IF(Horodateur112335381922313437434649525558616469852226343846505854626670747882909894102106114118110122126130134138142146150154158162166170174178182186190194198202206210214410141822[[#This Row],[Jour]]="5- Vendredi",$B$1+5, IF(Horodateur112335381922313437434649525558616469852226343846505854626670747882909894102106114118110122126130134138142146150154158162166170174178182186190194198202206210214410141822[[#This Row],[Jour]]="6- Samedi",$B$1+6, IF(Horodateur112335381922313437434649525558616469852226343846505854626670747882909894102106114118110122126130134138142146150154158162166170174178182186190194198202206210214410141822[[#This Row],[Jour]]="7- Dimanche",$B$1, )))))))</f>
        <v>44239</v>
      </c>
      <c r="B28" s="257" t="s">
        <v>332</v>
      </c>
      <c r="C28" s="258" t="n">
        <v>0.395833333333333</v>
      </c>
      <c r="D28" s="258" t="n">
        <v>0.416666666666667</v>
      </c>
      <c r="E28" s="71" t="s">
        <v>63</v>
      </c>
      <c r="F28" s="71" t="s">
        <v>378</v>
      </c>
      <c r="G28" s="259" t="s">
        <v>613</v>
      </c>
      <c r="H28" s="258" t="n">
        <f aca="false">IF($C28=0,"",$D28-$C28)</f>
        <v>0.0208333333333333</v>
      </c>
      <c r="I28" s="260" t="n">
        <f aca="false">IF($C28=0,"",($H28-INT($H28))*24)</f>
        <v>0.5</v>
      </c>
      <c r="J28" s="303" t="n">
        <f aca="false">SUMIF(Horodateur112335381922313437434649525558616469852226343846505854626670747882909894102106114118110122126130134138142146150154158162166170174178182186190194198202206210214410141822[Jour],$B28,Horodateur112335381922313437434649525558616469852226343846505854626670747882909894102106114118110122126130134138142146150154158162166170174178182186190194198202206210214410141822[Durée (100)])</f>
        <v>6.5</v>
      </c>
      <c r="K28" s="335"/>
      <c r="L28" s="188" t="s">
        <v>31</v>
      </c>
      <c r="M28" s="272" t="n">
        <f aca="false">IF(Horodateur112335381922313437434649525558616469852226343846505854626670747882909894102106114118110122126130134138142146150154158162166170174178182186190194198202206210214410141822[[#This Row],[O]]="o",Horodateur112335381922313437434649525558616469852226343846505854626670747882909894102106114118110122126130134138142146150154158162166170174178182186190194198202206210214410141822[[#This Row],[Durée (100)]],".")</f>
        <v>0.500000000000001</v>
      </c>
      <c r="N28" s="187"/>
      <c r="O28" s="71"/>
      <c r="P28" s="71"/>
      <c r="Q28" s="71"/>
      <c r="R28" s="71"/>
      <c r="S28" s="71"/>
      <c r="T28" s="71"/>
      <c r="U28" s="71"/>
      <c r="V28" s="71"/>
      <c r="W28" s="71"/>
      <c r="X28" s="71"/>
      <c r="Y28" s="71"/>
      <c r="Z28" s="71"/>
      <c r="AA28" s="71"/>
      <c r="AB28" s="71"/>
      <c r="AC28" s="71"/>
      <c r="AD28" s="71"/>
      <c r="AE28" s="71"/>
      <c r="AF28" s="71"/>
      <c r="AG28" s="71"/>
    </row>
    <row r="29" customFormat="false" ht="15" hidden="false" customHeight="false" outlineLevel="0" collapsed="false">
      <c r="A29" s="256" t="n">
        <f aca="false">IF(Horodateur112335381922313437434649525558616469852226343846505854626670747882909894102106114118110122126130134138142146150154158162166170174178182186190194198202206210214410141822[[#This Row],[Jour]]="1- Lundi",$B$1+1, IF(Horodateur112335381922313437434649525558616469852226343846505854626670747882909894102106114118110122126130134138142146150154158162166170174178182186190194198202206210214410141822[[#This Row],[Jour]]="2- Mardi",$B$1+2, IF(Horodateur112335381922313437434649525558616469852226343846505854626670747882909894102106114118110122126130134138142146150154158162166170174178182186190194198202206210214410141822[[#This Row],[Jour]]="3- Mercredi",$B$1+3, IF(Horodateur112335381922313437434649525558616469852226343846505854626670747882909894102106114118110122126130134138142146150154158162166170174178182186190194198202206210214410141822[[#This Row],[Jour]]="4- Jeudi",$B$1+4, IF(Horodateur112335381922313437434649525558616469852226343846505854626670747882909894102106114118110122126130134138142146150154158162166170174178182186190194198202206210214410141822[[#This Row],[Jour]]="5- Vendredi",$B$1+5, IF(Horodateur112335381922313437434649525558616469852226343846505854626670747882909894102106114118110122126130134138142146150154158162166170174178182186190194198202206210214410141822[[#This Row],[Jour]]="6- Samedi",$B$1+6, IF(Horodateur112335381922313437434649525558616469852226343846505854626670747882909894102106114118110122126130134138142146150154158162166170174178182186190194198202206210214410141822[[#This Row],[Jour]]="7- Dimanche",$B$1, )))))))</f>
        <v>44239</v>
      </c>
      <c r="B29" s="257" t="s">
        <v>332</v>
      </c>
      <c r="C29" s="258" t="n">
        <v>0.416666666666667</v>
      </c>
      <c r="D29" s="258" t="n">
        <v>0.520833333333333</v>
      </c>
      <c r="E29" s="71" t="s">
        <v>63</v>
      </c>
      <c r="F29" s="71" t="s">
        <v>22</v>
      </c>
      <c r="G29" s="259"/>
      <c r="H29" s="258" t="n">
        <f aca="false">IF($C29=0,"",$D29-$C29)</f>
        <v>0.104166666666667</v>
      </c>
      <c r="I29" s="260" t="n">
        <f aca="false">IF($C29=0,"",($H29-INT($H29))*24)</f>
        <v>2.5</v>
      </c>
      <c r="J29" s="303" t="n">
        <f aca="false">SUMIF(Horodateur112335381922313437434649525558616469852226343846505854626670747882909894102106114118110122126130134138142146150154158162166170174178182186190194198202206210214410141822[Jour],$B29,Horodateur112335381922313437434649525558616469852226343846505854626670747882909894102106114118110122126130134138142146150154158162166170174178182186190194198202206210214410141822[Durée (100)])</f>
        <v>6.5</v>
      </c>
      <c r="K29" s="335"/>
      <c r="L29" s="188" t="s">
        <v>31</v>
      </c>
      <c r="M29" s="272" t="n">
        <f aca="false">IF(Horodateur112335381922313437434649525558616469852226343846505854626670747882909894102106114118110122126130134138142146150154158162166170174178182186190194198202206210214410141822[[#This Row],[O]]="o",Horodateur112335381922313437434649525558616469852226343846505854626670747882909894102106114118110122126130134138142146150154158162166170174178182186190194198202206210214410141822[[#This Row],[Durée (100)]],".")</f>
        <v>2.5</v>
      </c>
      <c r="N29" s="187"/>
      <c r="O29" s="71"/>
      <c r="P29" s="71"/>
      <c r="Q29" s="71"/>
      <c r="R29" s="71"/>
      <c r="S29" s="71"/>
      <c r="T29" s="71"/>
      <c r="U29" s="71"/>
      <c r="V29" s="71"/>
      <c r="W29" s="71"/>
      <c r="X29" s="71"/>
      <c r="Y29" s="71"/>
      <c r="Z29" s="71"/>
      <c r="AA29" s="71"/>
      <c r="AB29" s="71"/>
      <c r="AC29" s="71"/>
      <c r="AD29" s="71"/>
      <c r="AE29" s="71"/>
      <c r="AF29" s="71"/>
      <c r="AG29" s="71"/>
    </row>
    <row r="30" customFormat="false" ht="15" hidden="false" customHeight="false" outlineLevel="0" collapsed="false">
      <c r="A30" s="256" t="n">
        <f aca="false">IF(Horodateur112335381922313437434649525558616469852226343846505854626670747882909894102106114118110122126130134138142146150154158162166170174178182186190194198202206210214410141822[[#This Row],[Jour]]="1- Lundi",$B$1+1, IF(Horodateur112335381922313437434649525558616469852226343846505854626670747882909894102106114118110122126130134138142146150154158162166170174178182186190194198202206210214410141822[[#This Row],[Jour]]="2- Mardi",$B$1+2, IF(Horodateur112335381922313437434649525558616469852226343846505854626670747882909894102106114118110122126130134138142146150154158162166170174178182186190194198202206210214410141822[[#This Row],[Jour]]="3- Mercredi",$B$1+3, IF(Horodateur112335381922313437434649525558616469852226343846505854626670747882909894102106114118110122126130134138142146150154158162166170174178182186190194198202206210214410141822[[#This Row],[Jour]]="4- Jeudi",$B$1+4, IF(Horodateur112335381922313437434649525558616469852226343846505854626670747882909894102106114118110122126130134138142146150154158162166170174178182186190194198202206210214410141822[[#This Row],[Jour]]="5- Vendredi",$B$1+5, IF(Horodateur112335381922313437434649525558616469852226343846505854626670747882909894102106114118110122126130134138142146150154158162166170174178182186190194198202206210214410141822[[#This Row],[Jour]]="6- Samedi",$B$1+6, IF(Horodateur112335381922313437434649525558616469852226343846505854626670747882909894102106114118110122126130134138142146150154158162166170174178182186190194198202206210214410141822[[#This Row],[Jour]]="7- Dimanche",$B$1, )))))))</f>
        <v>44239</v>
      </c>
      <c r="B30" s="257" t="s">
        <v>332</v>
      </c>
      <c r="C30" s="258" t="n">
        <v>0.5625</v>
      </c>
      <c r="D30" s="258" t="n">
        <v>0.583333333333333</v>
      </c>
      <c r="E30" s="71" t="s">
        <v>63</v>
      </c>
      <c r="F30" s="71" t="s">
        <v>378</v>
      </c>
      <c r="G30" s="259" t="s">
        <v>614</v>
      </c>
      <c r="H30" s="258" t="n">
        <f aca="false">IF($C30=0,"",$D30-$C30)</f>
        <v>0.0208333333333334</v>
      </c>
      <c r="I30" s="260" t="n">
        <f aca="false">IF($C30=0,"",($H30-INT($H30))*24)</f>
        <v>0.500000000000001</v>
      </c>
      <c r="J30" s="303" t="n">
        <f aca="false">SUMIF(Horodateur112335381922313437434649525558616469852226343846505854626670747882909894102106114118110122126130134138142146150154158162166170174178182186190194198202206210214410141822[Jour],$B30,Horodateur112335381922313437434649525558616469852226343846505854626670747882909894102106114118110122126130134138142146150154158162166170174178182186190194198202206210214410141822[Durée (100)])</f>
        <v>6.5</v>
      </c>
      <c r="K30" s="335"/>
      <c r="L30" s="188" t="s">
        <v>31</v>
      </c>
      <c r="M30" s="272" t="n">
        <f aca="false">IF(Horodateur112335381922313437434649525558616469852226343846505854626670747882909894102106114118110122126130134138142146150154158162166170174178182186190194198202206210214410141822[[#This Row],[O]]="o",Horodateur112335381922313437434649525558616469852226343846505854626670747882909894102106114118110122126130134138142146150154158162166170174178182186190194198202206210214410141822[[#This Row],[Durée (100)]],".")</f>
        <v>0.500000000000001</v>
      </c>
      <c r="N30" s="187"/>
      <c r="O30" s="71"/>
      <c r="P30" s="71"/>
      <c r="Q30" s="71"/>
      <c r="R30" s="71"/>
      <c r="S30" s="71"/>
      <c r="T30" s="71"/>
      <c r="U30" s="71"/>
      <c r="V30" s="71"/>
      <c r="W30" s="71"/>
      <c r="X30" s="71"/>
      <c r="Y30" s="71"/>
      <c r="Z30" s="71"/>
      <c r="AA30" s="71"/>
      <c r="AB30" s="71"/>
      <c r="AC30" s="71"/>
      <c r="AD30" s="71"/>
      <c r="AE30" s="71"/>
      <c r="AF30" s="71"/>
      <c r="AG30" s="71"/>
    </row>
    <row r="31" customFormat="false" ht="15" hidden="false" customHeight="false" outlineLevel="0" collapsed="false">
      <c r="A31" s="256" t="n">
        <f aca="false">IF(Horodateur112335381922313437434649525558616469852226343846505854626670747882909894102106114118110122126130134138142146150154158162166170174178182186190194198202206210214410141822[[#This Row],[Jour]]="1- Lundi",$B$1+1, IF(Horodateur112335381922313437434649525558616469852226343846505854626670747882909894102106114118110122126130134138142146150154158162166170174178182186190194198202206210214410141822[[#This Row],[Jour]]="2- Mardi",$B$1+2, IF(Horodateur112335381922313437434649525558616469852226343846505854626670747882909894102106114118110122126130134138142146150154158162166170174178182186190194198202206210214410141822[[#This Row],[Jour]]="3- Mercredi",$B$1+3, IF(Horodateur112335381922313437434649525558616469852226343846505854626670747882909894102106114118110122126130134138142146150154158162166170174178182186190194198202206210214410141822[[#This Row],[Jour]]="4- Jeudi",$B$1+4, IF(Horodateur112335381922313437434649525558616469852226343846505854626670747882909894102106114118110122126130134138142146150154158162166170174178182186190194198202206210214410141822[[#This Row],[Jour]]="5- Vendredi",$B$1+5, IF(Horodateur112335381922313437434649525558616469852226343846505854626670747882909894102106114118110122126130134138142146150154158162166170174178182186190194198202206210214410141822[[#This Row],[Jour]]="6- Samedi",$B$1+6, IF(Horodateur112335381922313437434649525558616469852226343846505854626670747882909894102106114118110122126130134138142146150154158162166170174178182186190194198202206210214410141822[[#This Row],[Jour]]="7- Dimanche",$B$1, )))))))</f>
        <v>44239</v>
      </c>
      <c r="B31" s="257" t="s">
        <v>332</v>
      </c>
      <c r="C31" s="258" t="n">
        <v>0.583333333333333</v>
      </c>
      <c r="D31" s="258" t="n">
        <v>0.625</v>
      </c>
      <c r="E31" s="71" t="s">
        <v>63</v>
      </c>
      <c r="F31" s="71" t="s">
        <v>378</v>
      </c>
      <c r="G31" s="259" t="s">
        <v>615</v>
      </c>
      <c r="H31" s="258" t="n">
        <f aca="false">IF($C31=0,"",$D31-$C31)</f>
        <v>0.0416666666666666</v>
      </c>
      <c r="I31" s="260" t="n">
        <f aca="false">IF($C31=0,"",($H31-INT($H31))*24)</f>
        <v>0.999999999999999</v>
      </c>
      <c r="J31" s="303" t="n">
        <f aca="false">SUMIF(Horodateur112335381922313437434649525558616469852226343846505854626670747882909894102106114118110122126130134138142146150154158162166170174178182186190194198202206210214410141822[Jour],$B31,Horodateur112335381922313437434649525558616469852226343846505854626670747882909894102106114118110122126130134138142146150154158162166170174178182186190194198202206210214410141822[Durée (100)])</f>
        <v>6.5</v>
      </c>
      <c r="K31" s="335"/>
      <c r="L31" s="188" t="s">
        <v>31</v>
      </c>
      <c r="M31" s="272" t="n">
        <f aca="false">IF(Horodateur112335381922313437434649525558616469852226343846505854626670747882909894102106114118110122126130134138142146150154158162166170174178182186190194198202206210214410141822[[#This Row],[O]]="o",Horodateur112335381922313437434649525558616469852226343846505854626670747882909894102106114118110122126130134138142146150154158162166170174178182186190194198202206210214410141822[[#This Row],[Durée (100)]],".")</f>
        <v>0.999999999999999</v>
      </c>
      <c r="N31" s="187"/>
      <c r="O31" s="71"/>
      <c r="P31" s="71"/>
      <c r="Q31" s="71"/>
      <c r="R31" s="71"/>
      <c r="S31" s="71"/>
      <c r="T31" s="71"/>
      <c r="U31" s="71"/>
      <c r="V31" s="71"/>
      <c r="W31" s="71"/>
      <c r="X31" s="71"/>
      <c r="Y31" s="71"/>
      <c r="Z31" s="71"/>
      <c r="AA31" s="71"/>
      <c r="AB31" s="71"/>
      <c r="AC31" s="71"/>
      <c r="AD31" s="71"/>
      <c r="AE31" s="71"/>
      <c r="AF31" s="71"/>
      <c r="AG31" s="71"/>
    </row>
    <row r="32" customFormat="false" ht="15" hidden="false" customHeight="false" outlineLevel="0" collapsed="false">
      <c r="A32" s="256" t="n">
        <f aca="false">IF(Horodateur112335381922313437434649525558616469852226343846505854626670747882909894102106114118110122126130134138142146150154158162166170174178182186190194198202206210214410141822[[#This Row],[Jour]]="1- Lundi",$B$1+1, IF(Horodateur112335381922313437434649525558616469852226343846505854626670747882909894102106114118110122126130134138142146150154158162166170174178182186190194198202206210214410141822[[#This Row],[Jour]]="2- Mardi",$B$1+2, IF(Horodateur112335381922313437434649525558616469852226343846505854626670747882909894102106114118110122126130134138142146150154158162166170174178182186190194198202206210214410141822[[#This Row],[Jour]]="3- Mercredi",$B$1+3, IF(Horodateur112335381922313437434649525558616469852226343846505854626670747882909894102106114118110122126130134138142146150154158162166170174178182186190194198202206210214410141822[[#This Row],[Jour]]="4- Jeudi",$B$1+4, IF(Horodateur112335381922313437434649525558616469852226343846505854626670747882909894102106114118110122126130134138142146150154158162166170174178182186190194198202206210214410141822[[#This Row],[Jour]]="5- Vendredi",$B$1+5, IF(Horodateur112335381922313437434649525558616469852226343846505854626670747882909894102106114118110122126130134138142146150154158162166170174178182186190194198202206210214410141822[[#This Row],[Jour]]="6- Samedi",$B$1+6, IF(Horodateur112335381922313437434649525558616469852226343846505854626670747882909894102106114118110122126130134138142146150154158162166170174178182186190194198202206210214410141822[[#This Row],[Jour]]="7- Dimanche",$B$1, )))))))</f>
        <v>44239</v>
      </c>
      <c r="B32" s="257" t="s">
        <v>332</v>
      </c>
      <c r="C32" s="258" t="n">
        <v>0.625</v>
      </c>
      <c r="D32" s="258" t="n">
        <v>0.697916666666667</v>
      </c>
      <c r="E32" s="71" t="s">
        <v>32</v>
      </c>
      <c r="F32" s="71" t="s">
        <v>22</v>
      </c>
      <c r="G32" s="259" t="s">
        <v>616</v>
      </c>
      <c r="H32" s="258" t="n">
        <f aca="false">IF($C32=0,"",$D32-$C32)</f>
        <v>0.0729166666666667</v>
      </c>
      <c r="I32" s="260" t="n">
        <f aca="false">IF($C32=0,"",($H32-INT($H32))*24)</f>
        <v>1.75</v>
      </c>
      <c r="J32" s="303" t="n">
        <f aca="false">SUMIF(Horodateur112335381922313437434649525558616469852226343846505854626670747882909894102106114118110122126130134138142146150154158162166170174178182186190194198202206210214410141822[Jour],$B32,Horodateur112335381922313437434649525558616469852226343846505854626670747882909894102106114118110122126130134138142146150154158162166170174178182186190194198202206210214410141822[Durée (100)])</f>
        <v>6.5</v>
      </c>
      <c r="K32" s="335"/>
      <c r="L32" s="188" t="s">
        <v>31</v>
      </c>
      <c r="M32" s="272" t="n">
        <f aca="false">IF(Horodateur112335381922313437434649525558616469852226343846505854626670747882909894102106114118110122126130134138142146150154158162166170174178182186190194198202206210214410141822[[#This Row],[O]]="o",Horodateur112335381922313437434649525558616469852226343846505854626670747882909894102106114118110122126130134138142146150154158162166170174178182186190194198202206210214410141822[[#This Row],[Durée (100)]],".")</f>
        <v>1.75</v>
      </c>
      <c r="N32" s="187"/>
      <c r="O32" s="71"/>
      <c r="P32" s="71"/>
      <c r="Q32" s="71"/>
      <c r="R32" s="71"/>
      <c r="S32" s="71"/>
      <c r="T32" s="71"/>
      <c r="U32" s="71"/>
      <c r="V32" s="71"/>
      <c r="W32" s="71"/>
      <c r="X32" s="71"/>
      <c r="Y32" s="71"/>
      <c r="Z32" s="71"/>
      <c r="AA32" s="71"/>
      <c r="AB32" s="71"/>
      <c r="AC32" s="71"/>
      <c r="AD32" s="71"/>
      <c r="AE32" s="71"/>
      <c r="AF32" s="71"/>
      <c r="AG32" s="71"/>
    </row>
    <row r="33" customFormat="false" ht="15" hidden="false" customHeight="false" outlineLevel="0" collapsed="false">
      <c r="A33" s="256" t="n">
        <f aca="false">IF(Horodateur112335381922313437434649525558616469852226343846505854626670747882909894102106114118110122126130134138142146150154158162166170174178182186190194198202206210214410141822[[#This Row],[Jour]]="1- Lundi",$B$1+1, IF(Horodateur112335381922313437434649525558616469852226343846505854626670747882909894102106114118110122126130134138142146150154158162166170174178182186190194198202206210214410141822[[#This Row],[Jour]]="2- Mardi",$B$1+2, IF(Horodateur112335381922313437434649525558616469852226343846505854626670747882909894102106114118110122126130134138142146150154158162166170174178182186190194198202206210214410141822[[#This Row],[Jour]]="3- Mercredi",$B$1+3, IF(Horodateur112335381922313437434649525558616469852226343846505854626670747882909894102106114118110122126130134138142146150154158162166170174178182186190194198202206210214410141822[[#This Row],[Jour]]="4- Jeudi",$B$1+4, IF(Horodateur112335381922313437434649525558616469852226343846505854626670747882909894102106114118110122126130134138142146150154158162166170174178182186190194198202206210214410141822[[#This Row],[Jour]]="5- Vendredi",$B$1+5, IF(Horodateur112335381922313437434649525558616469852226343846505854626670747882909894102106114118110122126130134138142146150154158162166170174178182186190194198202206210214410141822[[#This Row],[Jour]]="6- Samedi",$B$1+6, IF(Horodateur112335381922313437434649525558616469852226343846505854626670747882909894102106114118110122126130134138142146150154158162166170174178182186190194198202206210214410141822[[#This Row],[Jour]]="7- Dimanche",$B$1, )))))))</f>
        <v>44240</v>
      </c>
      <c r="B33" s="257" t="s">
        <v>335</v>
      </c>
      <c r="C33" s="258" t="n">
        <v>0.354166666666667</v>
      </c>
      <c r="D33" s="258" t="n">
        <v>0.375</v>
      </c>
      <c r="E33" s="71" t="s">
        <v>32</v>
      </c>
      <c r="F33" s="71" t="s">
        <v>22</v>
      </c>
      <c r="G33" s="259"/>
      <c r="H33" s="258" t="n">
        <f aca="false">IF($C33=0,"",$D33-$C33)</f>
        <v>0.0208333333333333</v>
      </c>
      <c r="I33" s="260" t="n">
        <f aca="false">IF($C33=0,"",($H33-INT($H33))*24)</f>
        <v>0.5</v>
      </c>
      <c r="J33" s="303" t="n">
        <f aca="false">SUMIF(Horodateur112335381922313437434649525558616469852226343846505854626670747882909894102106114118110122126130134138142146150154158162166170174178182186190194198202206210214410141822[Jour],$B33,Horodateur112335381922313437434649525558616469852226343846505854626670747882909894102106114118110122126130134138142146150154158162166170174178182186190194198202206210214410141822[Durée (100)])</f>
        <v>7</v>
      </c>
      <c r="K33" s="335"/>
      <c r="L33" s="188" t="s">
        <v>31</v>
      </c>
      <c r="M33" s="272" t="n">
        <f aca="false">IF(Horodateur112335381922313437434649525558616469852226343846505854626670747882909894102106114118110122126130134138142146150154158162166170174178182186190194198202206210214410141822[[#This Row],[O]]="o",Horodateur112335381922313437434649525558616469852226343846505854626670747882909894102106114118110122126130134138142146150154158162166170174178182186190194198202206210214410141822[[#This Row],[Durée (100)]],".")</f>
        <v>0.5</v>
      </c>
      <c r="N33" s="187"/>
      <c r="O33" s="71"/>
      <c r="P33" s="71"/>
      <c r="Q33" s="71"/>
      <c r="R33" s="71"/>
      <c r="S33" s="71"/>
      <c r="T33" s="71"/>
      <c r="U33" s="71"/>
      <c r="V33" s="71"/>
      <c r="W33" s="71"/>
      <c r="X33" s="71"/>
      <c r="Y33" s="71"/>
      <c r="Z33" s="71"/>
      <c r="AA33" s="71"/>
      <c r="AB33" s="71"/>
      <c r="AC33" s="71"/>
      <c r="AD33" s="71"/>
      <c r="AE33" s="71"/>
      <c r="AF33" s="71"/>
      <c r="AG33" s="71"/>
    </row>
    <row r="34" customFormat="false" ht="15" hidden="false" customHeight="false" outlineLevel="0" collapsed="false">
      <c r="A34" s="256" t="n">
        <f aca="false">IF(Horodateur112335381922313437434649525558616469852226343846505854626670747882909894102106114118110122126130134138142146150154158162166170174178182186190194198202206210214410141822[[#This Row],[Jour]]="1- Lundi",$B$1+1, IF(Horodateur112335381922313437434649525558616469852226343846505854626670747882909894102106114118110122126130134138142146150154158162166170174178182186190194198202206210214410141822[[#This Row],[Jour]]="2- Mardi",$B$1+2, IF(Horodateur112335381922313437434649525558616469852226343846505854626670747882909894102106114118110122126130134138142146150154158162166170174178182186190194198202206210214410141822[[#This Row],[Jour]]="3- Mercredi",$B$1+3, IF(Horodateur112335381922313437434649525558616469852226343846505854626670747882909894102106114118110122126130134138142146150154158162166170174178182186190194198202206210214410141822[[#This Row],[Jour]]="4- Jeudi",$B$1+4, IF(Horodateur112335381922313437434649525558616469852226343846505854626670747882909894102106114118110122126130134138142146150154158162166170174178182186190194198202206210214410141822[[#This Row],[Jour]]="5- Vendredi",$B$1+5, IF(Horodateur112335381922313437434649525558616469852226343846505854626670747882909894102106114118110122126130134138142146150154158162166170174178182186190194198202206210214410141822[[#This Row],[Jour]]="6- Samedi",$B$1+6, IF(Horodateur112335381922313437434649525558616469852226343846505854626670747882909894102106114118110122126130134138142146150154158162166170174178182186190194198202206210214410141822[[#This Row],[Jour]]="7- Dimanche",$B$1, )))))))</f>
        <v>44240</v>
      </c>
      <c r="B34" s="257" t="s">
        <v>335</v>
      </c>
      <c r="C34" s="258" t="n">
        <v>0.375</v>
      </c>
      <c r="D34" s="258" t="n">
        <v>0.5</v>
      </c>
      <c r="E34" s="71" t="s">
        <v>32</v>
      </c>
      <c r="F34" s="71" t="s">
        <v>23</v>
      </c>
      <c r="G34" s="259" t="s">
        <v>617</v>
      </c>
      <c r="H34" s="258" t="n">
        <f aca="false">IF($C34=0,"",$D34-$C34)</f>
        <v>0.125</v>
      </c>
      <c r="I34" s="260" t="n">
        <f aca="false">IF($C34=0,"",($H34-INT($H34))*24)</f>
        <v>3</v>
      </c>
      <c r="J34" s="303" t="n">
        <f aca="false">SUMIF(Horodateur112335381922313437434649525558616469852226343846505854626670747882909894102106114118110122126130134138142146150154158162166170174178182186190194198202206210214410141822[Jour],$B34,Horodateur112335381922313437434649525558616469852226343846505854626670747882909894102106114118110122126130134138142146150154158162166170174178182186190194198202206210214410141822[Durée (100)])</f>
        <v>7</v>
      </c>
      <c r="K34" s="335"/>
      <c r="L34" s="188" t="s">
        <v>31</v>
      </c>
      <c r="M34" s="272" t="n">
        <f aca="false">IF(Horodateur112335381922313437434649525558616469852226343846505854626670747882909894102106114118110122126130134138142146150154158162166170174178182186190194198202206210214410141822[[#This Row],[O]]="o",Horodateur112335381922313437434649525558616469852226343846505854626670747882909894102106114118110122126130134138142146150154158162166170174178182186190194198202206210214410141822[[#This Row],[Durée (100)]],".")</f>
        <v>3</v>
      </c>
      <c r="N34" s="187"/>
      <c r="O34" s="71"/>
      <c r="P34" s="71"/>
      <c r="Q34" s="71"/>
      <c r="R34" s="71"/>
      <c r="S34" s="71"/>
      <c r="T34" s="71"/>
      <c r="U34" s="71"/>
      <c r="V34" s="71"/>
      <c r="W34" s="71"/>
      <c r="X34" s="71"/>
      <c r="Y34" s="71"/>
      <c r="Z34" s="71"/>
      <c r="AA34" s="71"/>
      <c r="AB34" s="71"/>
      <c r="AC34" s="71"/>
      <c r="AD34" s="71"/>
      <c r="AE34" s="71"/>
      <c r="AF34" s="71"/>
      <c r="AG34" s="71"/>
    </row>
    <row r="35" customFormat="false" ht="15" hidden="false" customHeight="false" outlineLevel="0" collapsed="false">
      <c r="A35" s="256" t="n">
        <f aca="false">IF(Horodateur112335381922313437434649525558616469852226343846505854626670747882909894102106114118110122126130134138142146150154158162166170174178182186190194198202206210214410141822[[#This Row],[Jour]]="1- Lundi",$B$1+1, IF(Horodateur112335381922313437434649525558616469852226343846505854626670747882909894102106114118110122126130134138142146150154158162166170174178182186190194198202206210214410141822[[#This Row],[Jour]]="2- Mardi",$B$1+2, IF(Horodateur112335381922313437434649525558616469852226343846505854626670747882909894102106114118110122126130134138142146150154158162166170174178182186190194198202206210214410141822[[#This Row],[Jour]]="3- Mercredi",$B$1+3, IF(Horodateur112335381922313437434649525558616469852226343846505854626670747882909894102106114118110122126130134138142146150154158162166170174178182186190194198202206210214410141822[[#This Row],[Jour]]="4- Jeudi",$B$1+4, IF(Horodateur112335381922313437434649525558616469852226343846505854626670747882909894102106114118110122126130134138142146150154158162166170174178182186190194198202206210214410141822[[#This Row],[Jour]]="5- Vendredi",$B$1+5, IF(Horodateur112335381922313437434649525558616469852226343846505854626670747882909894102106114118110122126130134138142146150154158162166170174178182186190194198202206210214410141822[[#This Row],[Jour]]="6- Samedi",$B$1+6, IF(Horodateur112335381922313437434649525558616469852226343846505854626670747882909894102106114118110122126130134138142146150154158162166170174178182186190194198202206210214410141822[[#This Row],[Jour]]="7- Dimanche",$B$1, )))))))</f>
        <v>44240</v>
      </c>
      <c r="B35" s="257" t="s">
        <v>335</v>
      </c>
      <c r="C35" s="258" t="n">
        <v>0.5625</v>
      </c>
      <c r="D35" s="258" t="n">
        <v>0.604166666666667</v>
      </c>
      <c r="E35" s="71" t="s">
        <v>59</v>
      </c>
      <c r="F35" s="71" t="s">
        <v>378</v>
      </c>
      <c r="G35" s="259" t="s">
        <v>618</v>
      </c>
      <c r="H35" s="258" t="n">
        <f aca="false">IF($C35=0,"",$D35-$C35)</f>
        <v>0.0416666666666666</v>
      </c>
      <c r="I35" s="260" t="n">
        <f aca="false">IF($C35=0,"",($H35-INT($H35))*24)</f>
        <v>0.999999999999999</v>
      </c>
      <c r="J35" s="303" t="n">
        <f aca="false">SUMIF(Horodateur112335381922313437434649525558616469852226343846505854626670747882909894102106114118110122126130134138142146150154158162166170174178182186190194198202206210214410141822[Jour],$B35,Horodateur112335381922313437434649525558616469852226343846505854626670747882909894102106114118110122126130134138142146150154158162166170174178182186190194198202206210214410141822[Durée (100)])</f>
        <v>7</v>
      </c>
      <c r="K35" s="335"/>
      <c r="L35" s="188" t="s">
        <v>31</v>
      </c>
      <c r="M35" s="272" t="n">
        <f aca="false">IF(Horodateur112335381922313437434649525558616469852226343846505854626670747882909894102106114118110122126130134138142146150154158162166170174178182186190194198202206210214410141822[[#This Row],[O]]="o",Horodateur112335381922313437434649525558616469852226343846505854626670747882909894102106114118110122126130134138142146150154158162166170174178182186190194198202206210214410141822[[#This Row],[Durée (100)]],".")</f>
        <v>0.999999999999999</v>
      </c>
      <c r="N35" s="187"/>
      <c r="O35" s="71"/>
      <c r="P35" s="71"/>
      <c r="Q35" s="71"/>
      <c r="R35" s="71"/>
      <c r="S35" s="71"/>
      <c r="T35" s="71"/>
      <c r="U35" s="71"/>
      <c r="V35" s="71"/>
      <c r="W35" s="71"/>
      <c r="X35" s="71"/>
      <c r="Y35" s="71"/>
      <c r="Z35" s="71"/>
      <c r="AA35" s="71"/>
      <c r="AB35" s="71"/>
      <c r="AC35" s="71"/>
      <c r="AD35" s="71"/>
      <c r="AE35" s="71"/>
      <c r="AF35" s="71"/>
      <c r="AG35" s="71"/>
    </row>
    <row r="36" customFormat="false" ht="15" hidden="false" customHeight="false" outlineLevel="0" collapsed="false">
      <c r="A36" s="256" t="n">
        <f aca="false">IF(Horodateur112335381922313437434649525558616469852226343846505854626670747882909894102106114118110122126130134138142146150154158162166170174178182186190194198202206210214410141822[[#This Row],[Jour]]="1- Lundi",$B$1+1, IF(Horodateur112335381922313437434649525558616469852226343846505854626670747882909894102106114118110122126130134138142146150154158162166170174178182186190194198202206210214410141822[[#This Row],[Jour]]="2- Mardi",$B$1+2, IF(Horodateur112335381922313437434649525558616469852226343846505854626670747882909894102106114118110122126130134138142146150154158162166170174178182186190194198202206210214410141822[[#This Row],[Jour]]="3- Mercredi",$B$1+3, IF(Horodateur112335381922313437434649525558616469852226343846505854626670747882909894102106114118110122126130134138142146150154158162166170174178182186190194198202206210214410141822[[#This Row],[Jour]]="4- Jeudi",$B$1+4, IF(Horodateur112335381922313437434649525558616469852226343846505854626670747882909894102106114118110122126130134138142146150154158162166170174178182186190194198202206210214410141822[[#This Row],[Jour]]="5- Vendredi",$B$1+5, IF(Horodateur112335381922313437434649525558616469852226343846505854626670747882909894102106114118110122126130134138142146150154158162166170174178182186190194198202206210214410141822[[#This Row],[Jour]]="6- Samedi",$B$1+6, IF(Horodateur112335381922313437434649525558616469852226343846505854626670747882909894102106114118110122126130134138142146150154158162166170174178182186190194198202206210214410141822[[#This Row],[Jour]]="7- Dimanche",$B$1, )))))))</f>
        <v>44240</v>
      </c>
      <c r="B36" s="257" t="s">
        <v>335</v>
      </c>
      <c r="C36" s="258" t="n">
        <v>0.625</v>
      </c>
      <c r="D36" s="258" t="n">
        <v>0.6875</v>
      </c>
      <c r="E36" s="71" t="s">
        <v>59</v>
      </c>
      <c r="F36" s="71" t="s">
        <v>378</v>
      </c>
      <c r="G36" s="259" t="s">
        <v>619</v>
      </c>
      <c r="H36" s="258" t="n">
        <f aca="false">IF($C36=0,"",$D36-$C36)</f>
        <v>0.0625</v>
      </c>
      <c r="I36" s="260" t="n">
        <f aca="false">IF($C36=0,"",($H36-INT($H36))*24)</f>
        <v>1.5</v>
      </c>
      <c r="J36" s="303" t="n">
        <f aca="false">SUMIF(Horodateur112335381922313437434649525558616469852226343846505854626670747882909894102106114118110122126130134138142146150154158162166170174178182186190194198202206210214410141822[Jour],$B36,Horodateur112335381922313437434649525558616469852226343846505854626670747882909894102106114118110122126130134138142146150154158162166170174178182186190194198202206210214410141822[Durée (100)])</f>
        <v>7</v>
      </c>
      <c r="K36" s="335"/>
      <c r="L36" s="188" t="s">
        <v>31</v>
      </c>
      <c r="M36" s="272" t="n">
        <f aca="false">IF(Horodateur112335381922313437434649525558616469852226343846505854626670747882909894102106114118110122126130134138142146150154158162166170174178182186190194198202206210214410141822[[#This Row],[O]]="o",Horodateur112335381922313437434649525558616469852226343846505854626670747882909894102106114118110122126130134138142146150154158162166170174178182186190194198202206210214410141822[[#This Row],[Durée (100)]],".")</f>
        <v>1.5</v>
      </c>
      <c r="N36" s="187"/>
      <c r="O36" s="71"/>
      <c r="P36" s="71"/>
      <c r="Q36" s="71"/>
      <c r="R36" s="71"/>
      <c r="S36" s="71"/>
      <c r="T36" s="71"/>
      <c r="U36" s="71"/>
      <c r="V36" s="71"/>
      <c r="W36" s="71"/>
      <c r="X36" s="71"/>
      <c r="Y36" s="71"/>
      <c r="Z36" s="71"/>
      <c r="AA36" s="71"/>
      <c r="AB36" s="71"/>
      <c r="AC36" s="71"/>
      <c r="AD36" s="71"/>
      <c r="AE36" s="71"/>
      <c r="AF36" s="71"/>
      <c r="AG36" s="71"/>
    </row>
    <row r="37" customFormat="false" ht="15" hidden="false" customHeight="false" outlineLevel="0" collapsed="false">
      <c r="A37" s="256" t="n">
        <f aca="false">IF(Horodateur112335381922313437434649525558616469852226343846505854626670747882909894102106114118110122126130134138142146150154158162166170174178182186190194198202206210214410141822[[#This Row],[Jour]]="1- Lundi",$B$1+1, IF(Horodateur112335381922313437434649525558616469852226343846505854626670747882909894102106114118110122126130134138142146150154158162166170174178182186190194198202206210214410141822[[#This Row],[Jour]]="2- Mardi",$B$1+2, IF(Horodateur112335381922313437434649525558616469852226343846505854626670747882909894102106114118110122126130134138142146150154158162166170174178182186190194198202206210214410141822[[#This Row],[Jour]]="3- Mercredi",$B$1+3, IF(Horodateur112335381922313437434649525558616469852226343846505854626670747882909894102106114118110122126130134138142146150154158162166170174178182186190194198202206210214410141822[[#This Row],[Jour]]="4- Jeudi",$B$1+4, IF(Horodateur112335381922313437434649525558616469852226343846505854626670747882909894102106114118110122126130134138142146150154158162166170174178182186190194198202206210214410141822[[#This Row],[Jour]]="5- Vendredi",$B$1+5, IF(Horodateur112335381922313437434649525558616469852226343846505854626670747882909894102106114118110122126130134138142146150154158162166170174178182186190194198202206210214410141822[[#This Row],[Jour]]="6- Samedi",$B$1+6, IF(Horodateur112335381922313437434649525558616469852226343846505854626670747882909894102106114118110122126130134138142146150154158162166170174178182186190194198202206210214410141822[[#This Row],[Jour]]="7- Dimanche",$B$1, )))))))</f>
        <v>44240</v>
      </c>
      <c r="B37" s="257" t="s">
        <v>335</v>
      </c>
      <c r="C37" s="258" t="n">
        <v>0.6875</v>
      </c>
      <c r="D37" s="258" t="n">
        <v>0.729166666666667</v>
      </c>
      <c r="E37" s="71" t="s">
        <v>32</v>
      </c>
      <c r="F37" s="71" t="s">
        <v>21</v>
      </c>
      <c r="G37" s="259" t="s">
        <v>94</v>
      </c>
      <c r="H37" s="258" t="n">
        <f aca="false">IF($C37=0,"",$D37-$C37)</f>
        <v>0.0416666666666666</v>
      </c>
      <c r="I37" s="260" t="n">
        <f aca="false">IF($C37=0,"",($H37-INT($H37))*24)</f>
        <v>0.999999999999999</v>
      </c>
      <c r="J37" s="303" t="n">
        <f aca="false">SUMIF(Horodateur112335381922313437434649525558616469852226343846505854626670747882909894102106114118110122126130134138142146150154158162166170174178182186190194198202206210214410141822[Jour],$B37,Horodateur112335381922313437434649525558616469852226343846505854626670747882909894102106114118110122126130134138142146150154158162166170174178182186190194198202206210214410141822[Durée (100)])</f>
        <v>7</v>
      </c>
      <c r="K37" s="335"/>
      <c r="L37" s="188" t="s">
        <v>31</v>
      </c>
      <c r="M37" s="272" t="n">
        <f aca="false">IF(Horodateur112335381922313437434649525558616469852226343846505854626670747882909894102106114118110122126130134138142146150154158162166170174178182186190194198202206210214410141822[[#This Row],[O]]="o",Horodateur112335381922313437434649525558616469852226343846505854626670747882909894102106114118110122126130134138142146150154158162166170174178182186190194198202206210214410141822[[#This Row],[Durée (100)]],".")</f>
        <v>0.999999999999999</v>
      </c>
      <c r="N37" s="187"/>
      <c r="O37" s="71"/>
      <c r="P37" s="71"/>
      <c r="Q37" s="71"/>
      <c r="R37" s="71"/>
      <c r="S37" s="71"/>
      <c r="T37" s="71"/>
      <c r="U37" s="71"/>
      <c r="V37" s="71"/>
      <c r="W37" s="71"/>
      <c r="X37" s="71"/>
      <c r="Y37" s="71"/>
      <c r="Z37" s="71"/>
      <c r="AA37" s="71"/>
      <c r="AB37" s="71"/>
      <c r="AC37" s="71"/>
      <c r="AD37" s="71"/>
      <c r="AE37" s="71"/>
      <c r="AF37" s="71"/>
      <c r="AG37" s="71"/>
    </row>
    <row r="38" customFormat="false" ht="15" hidden="false" customHeight="false" outlineLevel="0" collapsed="false">
      <c r="A38" s="137"/>
      <c r="B38" s="187"/>
      <c r="C38" s="71"/>
      <c r="D38" s="1"/>
      <c r="E38" s="1"/>
      <c r="F38" s="71"/>
      <c r="G38" s="340"/>
      <c r="H38" s="1"/>
      <c r="I38" s="119"/>
      <c r="J38" s="271"/>
      <c r="K38" s="1"/>
      <c r="L38" s="188"/>
      <c r="M38" s="272"/>
      <c r="N38" s="187"/>
      <c r="O38" s="71"/>
      <c r="P38" s="71"/>
      <c r="Q38" s="71"/>
      <c r="R38" s="71"/>
      <c r="S38" s="71"/>
      <c r="T38" s="71"/>
      <c r="U38" s="71"/>
      <c r="V38" s="71"/>
      <c r="W38" s="71"/>
      <c r="X38" s="71"/>
      <c r="Y38" s="71"/>
      <c r="Z38" s="71"/>
      <c r="AA38" s="71"/>
      <c r="AB38" s="71"/>
      <c r="AC38" s="71"/>
      <c r="AD38" s="71"/>
      <c r="AE38" s="71"/>
      <c r="AF38" s="71"/>
      <c r="AG38" s="71"/>
    </row>
    <row r="39" customFormat="false" ht="15" hidden="false" customHeight="false" outlineLevel="0" collapsed="false">
      <c r="A39" s="137"/>
      <c r="B39" s="187"/>
      <c r="C39" s="71"/>
      <c r="D39" s="1"/>
      <c r="E39" s="1"/>
      <c r="F39" s="71"/>
      <c r="G39" s="1"/>
      <c r="H39" s="1"/>
      <c r="I39" s="119"/>
      <c r="J39" s="271"/>
      <c r="K39" s="1"/>
      <c r="L39" s="188"/>
      <c r="M39" s="272"/>
      <c r="N39" s="187"/>
      <c r="O39" s="71"/>
      <c r="P39" s="71"/>
      <c r="Q39" s="71"/>
      <c r="R39" s="71"/>
      <c r="S39" s="71"/>
      <c r="T39" s="71"/>
      <c r="U39" s="71"/>
      <c r="V39" s="71"/>
      <c r="W39" s="71"/>
      <c r="X39" s="71"/>
      <c r="Y39" s="71"/>
      <c r="Z39" s="71"/>
      <c r="AA39" s="71"/>
      <c r="AB39" s="71"/>
      <c r="AC39" s="71"/>
      <c r="AD39" s="71"/>
      <c r="AE39" s="71"/>
      <c r="AF39" s="71"/>
      <c r="AG39" s="71"/>
    </row>
    <row r="40" customFormat="false" ht="15" hidden="false" customHeight="false" outlineLevel="0" collapsed="false">
      <c r="A40" s="137"/>
      <c r="B40" s="187"/>
      <c r="C40" s="71"/>
      <c r="D40" s="1"/>
      <c r="E40" s="1"/>
      <c r="F40" s="71"/>
      <c r="G40" s="1"/>
      <c r="H40" s="1"/>
      <c r="I40" s="119"/>
      <c r="J40" s="271"/>
      <c r="K40" s="1"/>
      <c r="L40" s="188"/>
      <c r="N40" s="187"/>
      <c r="O40" s="71"/>
      <c r="P40" s="71"/>
      <c r="Q40" s="71"/>
      <c r="R40" s="71"/>
      <c r="S40" s="71"/>
      <c r="T40" s="71"/>
      <c r="U40" s="71"/>
      <c r="V40" s="71"/>
      <c r="W40" s="71"/>
      <c r="X40" s="71"/>
      <c r="Y40" s="71"/>
      <c r="Z40" s="71"/>
      <c r="AA40" s="71"/>
      <c r="AB40" s="71"/>
      <c r="AC40" s="71"/>
      <c r="AD40" s="71"/>
      <c r="AE40" s="71"/>
      <c r="AF40" s="71"/>
      <c r="AG40" s="71"/>
    </row>
    <row r="41" customFormat="false" ht="15" hidden="false" customHeight="false" outlineLevel="0" collapsed="false">
      <c r="A41" s="274" t="s">
        <v>377</v>
      </c>
      <c r="B41" s="275" t="str">
        <f aca="false">SUM($A$87:$A$517) &amp; " heures"</f>
        <v>26.75 heures</v>
      </c>
      <c r="C41" s="276" t="str">
        <f aca="false">SUM($A$87:$A$508) / 8 &amp; " Jours"</f>
        <v>3.34375 Jours</v>
      </c>
      <c r="D41" s="277"/>
      <c r="E41" s="277" t="n">
        <v>33.25</v>
      </c>
      <c r="F41" s="278" t="n">
        <f aca="false">E41/8</f>
        <v>4.15625</v>
      </c>
      <c r="G41" s="277"/>
      <c r="H41" s="277"/>
      <c r="I41" s="279"/>
      <c r="J41" s="280"/>
      <c r="K41" s="277"/>
      <c r="L41" s="281"/>
      <c r="M41" s="282"/>
      <c r="N41" s="283"/>
      <c r="O41" s="277"/>
      <c r="P41" s="277"/>
      <c r="Q41" s="277"/>
      <c r="R41" s="277"/>
      <c r="S41" s="277"/>
      <c r="T41" s="277"/>
      <c r="U41" s="278"/>
      <c r="V41" s="278"/>
      <c r="W41" s="278"/>
      <c r="X41" s="278"/>
      <c r="Y41" s="278"/>
      <c r="Z41" s="278"/>
      <c r="AA41" s="278"/>
      <c r="AB41" s="278"/>
      <c r="AC41" s="278"/>
      <c r="AD41" s="278"/>
      <c r="AE41" s="278"/>
      <c r="AF41" s="278"/>
      <c r="AG41" s="278"/>
    </row>
    <row r="42" customFormat="false" ht="15" hidden="false" customHeight="false" outlineLevel="0" collapsed="false">
      <c r="A42" s="137"/>
      <c r="B42" s="187"/>
      <c r="C42" s="71"/>
      <c r="D42" s="1"/>
      <c r="E42" s="1"/>
      <c r="F42" s="71"/>
      <c r="G42" s="1"/>
      <c r="H42" s="1"/>
      <c r="I42" s="119"/>
      <c r="J42" s="271"/>
      <c r="K42" s="1"/>
      <c r="L42" s="188"/>
      <c r="M42" s="272"/>
      <c r="N42" s="187"/>
      <c r="O42" s="1"/>
      <c r="P42" s="1"/>
      <c r="Q42" s="1"/>
      <c r="R42" s="1"/>
      <c r="S42" s="1"/>
      <c r="T42" s="1"/>
      <c r="U42" s="71"/>
      <c r="V42" s="71"/>
      <c r="W42" s="71"/>
      <c r="X42" s="71"/>
      <c r="Y42" s="71"/>
      <c r="Z42" s="71"/>
      <c r="AA42" s="71"/>
      <c r="AB42" s="71"/>
      <c r="AC42" s="71"/>
      <c r="AD42" s="71"/>
      <c r="AE42" s="71"/>
      <c r="AF42" s="71"/>
      <c r="AG42" s="71"/>
    </row>
    <row r="43" customFormat="false" ht="15" hidden="true" customHeight="false" outlineLevel="1" collapsed="false">
      <c r="A43" s="137"/>
      <c r="B43" s="137"/>
      <c r="C43" s="137"/>
      <c r="D43" s="137"/>
      <c r="E43" s="1"/>
      <c r="F43" s="71"/>
      <c r="G43" s="1"/>
      <c r="H43" s="1"/>
      <c r="I43" s="119"/>
      <c r="J43" s="271"/>
      <c r="K43" s="1"/>
      <c r="L43" s="188"/>
      <c r="M43" s="272"/>
      <c r="N43" s="187"/>
      <c r="O43" s="1"/>
      <c r="P43" s="1"/>
      <c r="Q43" s="1"/>
      <c r="R43" s="1"/>
      <c r="S43" s="1"/>
      <c r="T43" s="1"/>
      <c r="U43" s="71"/>
      <c r="V43" s="71"/>
      <c r="W43" s="71"/>
      <c r="X43" s="71"/>
      <c r="Y43" s="71"/>
      <c r="Z43" s="71"/>
      <c r="AA43" s="71"/>
      <c r="AB43" s="71"/>
      <c r="AC43" s="71"/>
      <c r="AD43" s="71"/>
      <c r="AE43" s="71"/>
      <c r="AF43" s="71"/>
      <c r="AG43" s="71"/>
    </row>
    <row r="44" customFormat="false" ht="15" hidden="true" customHeight="false" outlineLevel="1" collapsed="false">
      <c r="A44" s="284" t="s">
        <v>84</v>
      </c>
      <c r="B44" s="285" t="s">
        <v>21</v>
      </c>
      <c r="C44" s="285" t="s">
        <v>20</v>
      </c>
      <c r="D44" s="285" t="s">
        <v>23</v>
      </c>
      <c r="E44" s="285" t="s">
        <v>25</v>
      </c>
      <c r="F44" s="285" t="s">
        <v>26</v>
      </c>
      <c r="G44" s="285" t="s">
        <v>378</v>
      </c>
      <c r="H44" s="285" t="s">
        <v>379</v>
      </c>
      <c r="I44" s="285" t="s">
        <v>380</v>
      </c>
      <c r="J44" s="286" t="s">
        <v>58</v>
      </c>
      <c r="K44" s="287"/>
      <c r="L44" s="288"/>
      <c r="M44" s="289"/>
      <c r="N44" s="187"/>
      <c r="O44" s="1"/>
      <c r="P44" s="1"/>
      <c r="Q44" s="1"/>
      <c r="R44" s="1"/>
      <c r="S44" s="1"/>
      <c r="T44" s="71"/>
      <c r="U44" s="71"/>
      <c r="V44" s="71"/>
      <c r="W44" s="71"/>
      <c r="X44" s="71"/>
      <c r="Y44" s="71"/>
      <c r="Z44" s="71"/>
      <c r="AA44" s="71"/>
      <c r="AB44" s="71"/>
      <c r="AC44" s="71"/>
      <c r="AD44" s="71"/>
      <c r="AE44" s="71"/>
      <c r="AF44" s="71"/>
    </row>
    <row r="45" customFormat="false" ht="15" hidden="true" customHeight="false" outlineLevel="1" collapsed="false">
      <c r="A45" s="187" t="s">
        <v>312</v>
      </c>
      <c r="B45" s="71" t="n">
        <f aca="false">SUMIFS(Horodateur112335381922313437434649525558616469852226343846505854626670747882909894102106114118110122126130134138142146150154158162166170174178182186190194198202206210214410141822[Durée (100)],Horodateur112335381922313437434649525558616469852226343846505854626670747882909894102106114118110122126130134138142146150154158162166170174178182186190194198202206210214410141822[Tâche],Taches_Jours12243639172029323541444750535659626783202432364448565260646872768088969210010411211610812012412813213614014414815215616016416817217618018418819219620020420821226121620[[#Headers],[GB]],Horodateur112335381922313437434649525558616469852226343846505854626670747882909894102106114118110122126130134138142146150154158162166170174178182186190194198202206210214410141822[Jour],Taches_Jours12243639172029323541444750535659626783202432364448565260646872768088969210010411211610812012412813213614014414815215616016416817217618018418819219620020420821226121620[[#This Row],[Jours]])</f>
        <v>0.999999999999999</v>
      </c>
      <c r="C45" s="71" t="n">
        <f aca="false">SUMIFS(Horodateur112335381922313437434649525558616469852226343846505854626670747882909894102106114118110122126130134138142146150154158162166170174178182186190194198202206210214410141822[Durée (100)],Horodateur112335381922313437434649525558616469852226343846505854626670747882909894102106114118110122126130134138142146150154158162166170174178182186190194198202206210214410141822[Tâche],Taches_Jours12243639172029323541444750535659626783202432364448565260646872768088969210010411211610812012412813213614014414815215616016416817217618018418819219620020420821226121620[[#Headers],[RI]],Horodateur112335381922313437434649525558616469852226343846505854626670747882909894102106114118110122126130134138142146150154158162166170174178182186190194198202206210214410141822[Jour],Taches_Jours12243639172029323541444750535659626783202432364448565260646872768088969210010411211610812012412813213614014414815215616016416817217618018418819219620020420821226121620[[#This Row],[Jours]])</f>
        <v>0.25</v>
      </c>
      <c r="D45" s="71" t="n">
        <f aca="false">SUMIFS(Horodateur112335381922313437434649525558616469852226343846505854626670747882909894102106114118110122126130134138142146150154158162166170174178182186190194198202206210214410141822[Durée (100)],Horodateur112335381922313437434649525558616469852226343846505854626670747882909894102106114118110122126130134138142146150154158162166170174178182186190194198202206210214410141822[Tâche],Taches_Jours12243639172029323541444750535659626783202432364448565260646872768088969210010411211610812012412813213614014414815215616016416817217618018418819219620020420821226121620[[#Headers],[FG]],Horodateur112335381922313437434649525558616469852226343846505854626670747882909894102106114118110122126130134138142146150154158162166170174178182186190194198202206210214410141822[Jour],Taches_Jours12243639172029323541444750535659626783202432364448565260646872768088969210010411211610812012412813213614014414815215616016416817217618018418819219620020420821226121620[[#This Row],[Jours]])</f>
        <v>3</v>
      </c>
      <c r="E45" s="71" t="n">
        <f aca="false">SUMIFS(Horodateur112335381922313437434649525558616469852226343846505854626670747882909894102106114118110122126130134138142146150154158162166170174178182186190194198202206210214410141822[Durée (100)],Horodateur112335381922313437434649525558616469852226343846505854626670747882909894102106114118110122126130134138142146150154158162166170174178182186190194198202206210214410141822[Tâche],Taches_Jours12243639172029323541444750535659626783202432364448565260646872768088969210010411211610812012412813213614014414815215616016416817217618018418819219620020420821226121620[[#Headers],[PS]],Horodateur112335381922313437434649525558616469852226343846505854626670747882909894102106114118110122126130134138142146150154158162166170174178182186190194198202206210214410141822[Jour],Taches_Jours12243639172029323541444750535659626783202432364448565260646872768088969210010411211610812012412813213614014414815215616016416817217618018418819219620020420821226121620[[#This Row],[Jours]])</f>
        <v>0</v>
      </c>
      <c r="F45" s="71" t="n">
        <f aca="false">SUMIFS(Horodateur112335381922313437434649525558616469852226343846505854626670747882909894102106114118110122126130134138142146150154158162166170174178182186190194198202206210214410141822[Durée (100)],Horodateur112335381922313437434649525558616469852226343846505854626670747882909894102106114118110122126130134138142146150154158162166170174178182186190194198202206210214410141822[Tâche],Taches_Jours12243639172029323541444750535659626783202432364448565260646872768088969210010411211610812012412813213614014414815215616016416817217618018418819219620020420821226121620[[#Headers],[TD]],Horodateur112335381922313437434649525558616469852226343846505854626670747882909894102106114118110122126130134138142146150154158162166170174178182186190194198202206210214410141822[Jour],Taches_Jours12243639172029323541444750535659626783202432364448565260646872768088969210010411211610812012412813213614014414815215616016416817217618018418819219620020420821226121620[[#This Row],[Jours]])</f>
        <v>0</v>
      </c>
      <c r="G45" s="71" t="n">
        <f aca="false">SUMIFS(Horodateur112335381922313437434649525558616469852226343846505854626670747882909894102106114118110122126130134138142146150154158162166170174178182186190194198202206210214410141822[Durée (100)],Horodateur112335381922313437434649525558616469852226343846505854626670747882909894102106114118110122126130134138142146150154158162166170174178182186190194198202206210214410141822[Tâche],Taches_Jours12243639172029323541444750535659626783202432364448565260646872768088969210010411211610812012412813213614014414815215616016416817217618018418819219620020420821226121620[[#Headers],[GP]],Horodateur112335381922313437434649525558616469852226343846505854626670747882909894102106114118110122126130134138142146150154158162166170174178182186190194198202206210214410141822[Jour],Taches_Jours12243639172029323541444750535659626783202432364448565260646872768088969210010411211610812012412813213614014414815215616016416817217618018418819219620020420821226121620[[#This Row],[Jours]])</f>
        <v>0.999999999999999</v>
      </c>
      <c r="H45" s="71" t="n">
        <f aca="false">SUMIFS(Horodateur112335381922313437434649525558616469852226343846505854626670747882909894102106114118110122126130134138142146150154158162166170174178182186190194198202206210214410141822[Durée (100)],Horodateur112335381922313437434649525558616469852226343846505854626670747882909894102106114118110122126130134138142146150154158162166170174178182186190194198202206210214410141822[Tâche],Taches_Jours12243639172029323541444750535659626783202432364448565260646872768088969210010411211610812012412813213614014414815215616016416817217618018418819219620020420821226121620[[#Headers],[GP / SP]],Horodateur112335381922313437434649525558616469852226343846505854626670747882909894102106114118110122126130134138142146150154158162166170174178182186190194198202206210214410141822[Jour],Taches_Jours12243639172029323541444750535659626783202432364448565260646872768088969210010411211610812012412813213614014414815215616016416817217618018418819219620020420821226121620[[#This Row],[Jours]])</f>
        <v>0.499999999999998</v>
      </c>
      <c r="I45" s="71" t="n">
        <f aca="false">SUMIFS(Horodateur112335381922313437434649525558616469852226343846505854626670747882909894102106114118110122126130134138142146150154158162166170174178182186190194198202206210214410141822[Durée (100)],Horodateur112335381922313437434649525558616469852226343846505854626670747882909894102106114118110122126130134138142146150154158162166170174178182186190194198202206210214410141822[Tâche],Taches_Jours12243639172029323541444750535659626783202432364448565260646872768088969210010411211610812012412813213614014414815215616016416817217618018418819219620020420821226121620[[#Headers],[GP / SP]],Horodateur112335381922313437434649525558616469852226343846505854626670747882909894102106114118110122126130134138142146150154158162166170174178182186190194198202206210214410141822[Jour],Taches_Jours12243639172029323541444750535659626783202432364448565260646872768088969210010411211610812012412813213614014414815215616016416817217618018418819219620020420821226121620[[#This Row],[Jours]])</f>
        <v>0.499999999999998</v>
      </c>
      <c r="J45" s="290" t="n">
        <f aca="false">SUM(Taches_Jours12243639172029323541444750535659626783202432364448565260646872768088969210010411211610812012412813213614014414815215616016416817217618018418819219620020420821226121620[[#This Row],[GB]:[GP / SP]])</f>
        <v>5.75</v>
      </c>
      <c r="K45" s="188"/>
      <c r="L45" s="288"/>
      <c r="M45" s="289"/>
      <c r="N45" s="187"/>
      <c r="O45" s="1"/>
      <c r="P45" s="1"/>
      <c r="Q45" s="1"/>
      <c r="R45" s="1"/>
      <c r="S45" s="1"/>
      <c r="T45" s="71"/>
      <c r="U45" s="71"/>
      <c r="V45" s="71"/>
      <c r="W45" s="71"/>
      <c r="X45" s="71"/>
      <c r="Y45" s="71"/>
      <c r="Z45" s="71"/>
      <c r="AA45" s="71"/>
      <c r="AB45" s="71"/>
      <c r="AC45" s="71"/>
      <c r="AD45" s="71"/>
      <c r="AE45" s="71"/>
      <c r="AF45" s="71"/>
    </row>
    <row r="46" customFormat="false" ht="15" hidden="true" customHeight="false" outlineLevel="1" collapsed="false">
      <c r="A46" s="187" t="s">
        <v>319</v>
      </c>
      <c r="B46" s="71" t="n">
        <f aca="false">SUMIFS(Horodateur112335381922313437434649525558616469852226343846505854626670747882909894102106114118110122126130134138142146150154158162166170174178182186190194198202206210214410141822[Durée (100)],Horodateur112335381922313437434649525558616469852226343846505854626670747882909894102106114118110122126130134138142146150154158162166170174178182186190194198202206210214410141822[Tâche],Taches_Jours12243639172029323541444750535659626783202432364448565260646872768088969210010411211610812012412813213614014414815215616016416817217618018418819219620020420821226121620[[#Headers],[GB]],Horodateur112335381922313437434649525558616469852226343846505854626670747882909894102106114118110122126130134138142146150154158162166170174178182186190194198202206210214410141822[Jour],Taches_Jours12243639172029323541444750535659626783202432364448565260646872768088969210010411211610812012412813213614014414815215616016416817217618018418819219620020420821226121620[[#This Row],[Jours]])</f>
        <v>0.999999999999999</v>
      </c>
      <c r="C46" s="71" t="n">
        <f aca="false">SUMIFS(Horodateur112335381922313437434649525558616469852226343846505854626670747882909894102106114118110122126130134138142146150154158162166170174178182186190194198202206210214410141822[Durée (100)],Horodateur112335381922313437434649525558616469852226343846505854626670747882909894102106114118110122126130134138142146150154158162166170174178182186190194198202206210214410141822[Tâche],Taches_Jours12243639172029323541444750535659626783202432364448565260646872768088969210010411211610812012412813213614014414815215616016416817217618018418819219620020420821226121620[[#Headers],[RI]],Horodateur112335381922313437434649525558616469852226343846505854626670747882909894102106114118110122126130134138142146150154158162166170174178182186190194198202206210214410141822[Jour],Taches_Jours12243639172029323541444750535659626783202432364448565260646872768088969210010411211610812012412813213614014414815215616016416817217618018418819219620020420821226121620[[#This Row],[Jours]])</f>
        <v>0</v>
      </c>
      <c r="D46" s="71" t="n">
        <f aca="false">SUMIFS(Horodateur112335381922313437434649525558616469852226343846505854626670747882909894102106114118110122126130134138142146150154158162166170174178182186190194198202206210214410141822[Durée (100)],Horodateur112335381922313437434649525558616469852226343846505854626670747882909894102106114118110122126130134138142146150154158162166170174178182186190194198202206210214410141822[Tâche],Taches_Jours12243639172029323541444750535659626783202432364448565260646872768088969210010411211610812012412813213614014414815215616016416817217618018418819219620020420821226121620[[#Headers],[FG]],Horodateur112335381922313437434649525558616469852226343846505854626670747882909894102106114118110122126130134138142146150154158162166170174178182186190194198202206210214410141822[Jour],Taches_Jours12243639172029323541444750535659626783202432364448565260646872768088969210010411211610812012412813213614014414815215616016416817217618018418819219620020420821226121620[[#This Row],[Jours]])</f>
        <v>0</v>
      </c>
      <c r="E46" s="71" t="n">
        <f aca="false">SUMIFS(Horodateur112335381922313437434649525558616469852226343846505854626670747882909894102106114118110122126130134138142146150154158162166170174178182186190194198202206210214410141822[Durée (100)],Horodateur112335381922313437434649525558616469852226343846505854626670747882909894102106114118110122126130134138142146150154158162166170174178182186190194198202206210214410141822[Tâche],Taches_Jours12243639172029323541444750535659626783202432364448565260646872768088969210010411211610812012412813213614014414815215616016416817217618018418819219620020420821226121620[[#Headers],[PS]],Horodateur112335381922313437434649525558616469852226343846505854626670747882909894102106114118110122126130134138142146150154158162166170174178182186190194198202206210214410141822[Jour],Taches_Jours12243639172029323541444750535659626783202432364448565260646872768088969210010411211610812012412813213614014414815215616016416817217618018418819219620020420821226121620[[#This Row],[Jours]])</f>
        <v>0</v>
      </c>
      <c r="F46" s="71" t="n">
        <f aca="false">SUMIFS(Horodateur112335381922313437434649525558616469852226343846505854626670747882909894102106114118110122126130134138142146150154158162166170174178182186190194198202206210214410141822[Durée (100)],Horodateur112335381922313437434649525558616469852226343846505854626670747882909894102106114118110122126130134138142146150154158162166170174178182186190194198202206210214410141822[Tâche],Taches_Jours12243639172029323541444750535659626783202432364448565260646872768088969210010411211610812012412813213614014414815215616016416817217618018418819219620020420821226121620[[#Headers],[TD]],Horodateur112335381922313437434649525558616469852226343846505854626670747882909894102106114118110122126130134138142146150154158162166170174178182186190194198202206210214410141822[Jour],Taches_Jours12243639172029323541444750535659626783202432364448565260646872768088969210010411211610812012412813213614014414815215616016416817217618018418819219620020420821226121620[[#This Row],[Jours]])</f>
        <v>0</v>
      </c>
      <c r="G46" s="71" t="n">
        <f aca="false">SUMIFS(Horodateur112335381922313437434649525558616469852226343846505854626670747882909894102106114118110122126130134138142146150154158162166170174178182186190194198202206210214410141822[Durée (100)],Horodateur112335381922313437434649525558616469852226343846505854626670747882909894102106114118110122126130134138142146150154158162166170174178182186190194198202206210214410141822[Tâche],Taches_Jours12243639172029323541444750535659626783202432364448565260646872768088969210010411211610812012412813213614014414815215616016416817217618018418819219620020420821226121620[[#Headers],[GP]],Horodateur112335381922313437434649525558616469852226343846505854626670747882909894102106114118110122126130134138142146150154158162166170174178182186190194198202206210214410141822[Jour],Taches_Jours12243639172029323541444750535659626783202432364448565260646872768088969210010411211610812012412813213614014414815215616016416817217618018418819219620020420821226121620[[#This Row],[Jours]])</f>
        <v>7</v>
      </c>
      <c r="H46" s="71" t="n">
        <f aca="false">SUMIFS(Horodateur112335381922313437434649525558616469852226343846505854626670747882909894102106114118110122126130134138142146150154158162166170174178182186190194198202206210214410141822[Durée (100)],Horodateur112335381922313437434649525558616469852226343846505854626670747882909894102106114118110122126130134138142146150154158162166170174178182186190194198202206210214410141822[Tâche],Taches_Jours12243639172029323541444750535659626783202432364448565260646872768088969210010411211610812012412813213614014414815215616016416817217618018418819219620020420821226121620[[#Headers],[GP / SP]],Horodateur112335381922313437434649525558616469852226343846505854626670747882909894102106114118110122126130134138142146150154158162166170174178182186190194198202206210214410141822[Jour],Taches_Jours12243639172029323541444750535659626783202432364448565260646872768088969210010411211610812012412813213614014414815215616016416817217618018418819219620020420821226121620[[#This Row],[Jours]])</f>
        <v>1</v>
      </c>
      <c r="I46" s="71" t="n">
        <f aca="false">SUMIFS(Horodateur112335381922313437434649525558616469852226343846505854626670747882909894102106114118110122126130134138142146150154158162166170174178182186190194198202206210214410141822[Durée (100)],Horodateur112335381922313437434649525558616469852226343846505854626670747882909894102106114118110122126130134138142146150154158162166170174178182186190194198202206210214410141822[Tâche],Taches_Jours12243639172029323541444750535659626783202432364448565260646872768088969210010411211610812012412813213614014414815215616016416817217618018418819219620020420821226121620[[#Headers],[GP / SP]],Horodateur112335381922313437434649525558616469852226343846505854626670747882909894102106114118110122126130134138142146150154158162166170174178182186190194198202206210214410141822[Jour],Taches_Jours12243639172029323541444750535659626783202432364448565260646872768088969210010411211610812012412813213614014414815215616016416817217618018418819219620020420821226121620[[#This Row],[Jours]])</f>
        <v>1</v>
      </c>
      <c r="J46" s="290" t="n">
        <f aca="false">SUM(Taches_Jours12243639172029323541444750535659626783202432364448565260646872768088969210010411211610812012412813213614014414815215616016416817217618018418819219620020420821226121620[[#This Row],[GB]:[GP / SP]])</f>
        <v>9</v>
      </c>
      <c r="K46" s="188"/>
      <c r="L46" s="288"/>
      <c r="M46" s="289"/>
      <c r="N46" s="187"/>
      <c r="O46" s="1"/>
      <c r="P46" s="1"/>
      <c r="Q46" s="1"/>
      <c r="R46" s="1"/>
      <c r="S46" s="1"/>
      <c r="T46" s="71"/>
      <c r="U46" s="71"/>
      <c r="V46" s="71"/>
      <c r="W46" s="71"/>
      <c r="X46" s="71"/>
      <c r="Y46" s="71"/>
      <c r="Z46" s="71"/>
      <c r="AA46" s="71"/>
      <c r="AB46" s="71"/>
      <c r="AC46" s="71"/>
      <c r="AD46" s="71"/>
      <c r="AE46" s="71"/>
      <c r="AF46" s="71"/>
    </row>
    <row r="47" customFormat="false" ht="15" hidden="true" customHeight="false" outlineLevel="1" collapsed="false">
      <c r="A47" s="187" t="s">
        <v>324</v>
      </c>
      <c r="B47" s="71" t="n">
        <f aca="false">SUMIFS(Horodateur112335381922313437434649525558616469852226343846505854626670747882909894102106114118110122126130134138142146150154158162166170174178182186190194198202206210214410141822[Durée (100)],Horodateur112335381922313437434649525558616469852226343846505854626670747882909894102106114118110122126130134138142146150154158162166170174178182186190194198202206210214410141822[Tâche],Taches_Jours12243639172029323541444750535659626783202432364448565260646872768088969210010411211610812012412813213614014414815215616016416817217618018418819219620020420821226121620[[#Headers],[GB]],Horodateur112335381922313437434649525558616469852226343846505854626670747882909894102106114118110122126130134138142146150154158162166170174178182186190194198202206210214410141822[Jour],Taches_Jours12243639172029323541444750535659626783202432364448565260646872768088969210010411211610812012412813213614014414815215616016416817217618018418819219620020420821226121620[[#This Row],[Jours]])</f>
        <v>0.25</v>
      </c>
      <c r="C47" s="71" t="n">
        <f aca="false">SUMIFS(Horodateur112335381922313437434649525558616469852226343846505854626670747882909894102106114118110122126130134138142146150154158162166170174178182186190194198202206210214410141822[Durée (100)],Horodateur112335381922313437434649525558616469852226343846505854626670747882909894102106114118110122126130134138142146150154158162166170174178182186190194198202206210214410141822[Tâche],Taches_Jours12243639172029323541444750535659626783202432364448565260646872768088969210010411211610812012412813213614014414815215616016416817217618018418819219620020420821226121620[[#Headers],[RI]],Horodateur112335381922313437434649525558616469852226343846505854626670747882909894102106114118110122126130134138142146150154158162166170174178182186190194198202206210214410141822[Jour],Taches_Jours12243639172029323541444750535659626783202432364448565260646872768088969210010411211610812012412813213614014414815215616016416817217618018418819219620020420821226121620[[#This Row],[Jours]])</f>
        <v>0</v>
      </c>
      <c r="D47" s="71" t="n">
        <f aca="false">SUMIFS(Horodateur112335381922313437434649525558616469852226343846505854626670747882909894102106114118110122126130134138142146150154158162166170174178182186190194198202206210214410141822[Durée (100)],Horodateur112335381922313437434649525558616469852226343846505854626670747882909894102106114118110122126130134138142146150154158162166170174178182186190194198202206210214410141822[Tâche],Taches_Jours12243639172029323541444750535659626783202432364448565260646872768088969210010411211610812012412813213614014414815215616016416817217618018418819219620020420821226121620[[#Headers],[FG]],Horodateur112335381922313437434649525558616469852226343846505854626670747882909894102106114118110122126130134138142146150154158162166170174178182186190194198202206210214410141822[Jour],Taches_Jours12243639172029323541444750535659626783202432364448565260646872768088969210010411211610812012412813213614014414815215616016416817217618018418819219620020420821226121620[[#This Row],[Jours]])</f>
        <v>0</v>
      </c>
      <c r="E47" s="71" t="n">
        <f aca="false">SUMIFS(Horodateur112335381922313437434649525558616469852226343846505854626670747882909894102106114118110122126130134138142146150154158162166170174178182186190194198202206210214410141822[Durée (100)],Horodateur112335381922313437434649525558616469852226343846505854626670747882909894102106114118110122126130134138142146150154158162166170174178182186190194198202206210214410141822[Tâche],Taches_Jours12243639172029323541444750535659626783202432364448565260646872768088969210010411211610812012412813213614014414815215616016416817217618018418819219620020420821226121620[[#Headers],[PS]],Horodateur112335381922313437434649525558616469852226343846505854626670747882909894102106114118110122126130134138142146150154158162166170174178182186190194198202206210214410141822[Jour],Taches_Jours12243639172029323541444750535659626783202432364448565260646872768088969210010411211610812012412813213614014414815215616016416817217618018418819219620020420821226121620[[#This Row],[Jours]])</f>
        <v>0</v>
      </c>
      <c r="F47" s="71" t="n">
        <f aca="false">SUMIFS(Horodateur112335381922313437434649525558616469852226343846505854626670747882909894102106114118110122126130134138142146150154158162166170174178182186190194198202206210214410141822[Durée (100)],Horodateur112335381922313437434649525558616469852226343846505854626670747882909894102106114118110122126130134138142146150154158162166170174178182186190194198202206210214410141822[Tâche],Taches_Jours12243639172029323541444750535659626783202432364448565260646872768088969210010411211610812012412813213614014414815215616016416817217618018418819219620020420821226121620[[#Headers],[TD]],Horodateur112335381922313437434649525558616469852226343846505854626670747882909894102106114118110122126130134138142146150154158162166170174178182186190194198202206210214410141822[Jour],Taches_Jours12243639172029323541444750535659626783202432364448565260646872768088969210010411211610812012412813213614014414815215616016416817217618018418819219620020420821226121620[[#This Row],[Jours]])</f>
        <v>0</v>
      </c>
      <c r="G47" s="71" t="n">
        <f aca="false">SUMIFS(Horodateur112335381922313437434649525558616469852226343846505854626670747882909894102106114118110122126130134138142146150154158162166170174178182186190194198202206210214410141822[Durée (100)],Horodateur112335381922313437434649525558616469852226343846505854626670747882909894102106114118110122126130134138142146150154158162166170174178182186190194198202206210214410141822[Tâche],Taches_Jours12243639172029323541444750535659626783202432364448565260646872768088969210010411211610812012412813213614014414815215616016416817217618018418819219620020420821226121620[[#Headers],[GP]],Horodateur112335381922313437434649525558616469852226343846505854626670747882909894102106114118110122126130134138142146150154158162166170174178182186190194198202206210214410141822[Jour],Taches_Jours12243639172029323541444750535659626783202432364448565260646872768088969210010411211610812012412813213614014414815215616016416817217618018418819219620020420821226121620[[#This Row],[Jours]])</f>
        <v>7.75</v>
      </c>
      <c r="H47" s="71" t="n">
        <f aca="false">SUMIFS(Horodateur112335381922313437434649525558616469852226343846505854626670747882909894102106114118110122126130134138142146150154158162166170174178182186190194198202206210214410141822[Durée (100)],Horodateur112335381922313437434649525558616469852226343846505854626670747882909894102106114118110122126130134138142146150154158162166170174178182186190194198202206210214410141822[Tâche],Taches_Jours12243639172029323541444750535659626783202432364448565260646872768088969210010411211610812012412813213614014414815215616016416817217618018418819219620020420821226121620[[#Headers],[GP / SP]],Horodateur112335381922313437434649525558616469852226343846505854626670747882909894102106114118110122126130134138142146150154158162166170174178182186190194198202206210214410141822[Jour],Taches_Jours12243639172029323541444750535659626783202432364448565260646872768088969210010411211610812012412813213614014414815215616016416817217618018418819219620020420821226121620[[#This Row],[Jours]])</f>
        <v>0.500000000000001</v>
      </c>
      <c r="I47" s="71" t="n">
        <f aca="false">SUMIFS(Horodateur112335381922313437434649525558616469852226343846505854626670747882909894102106114118110122126130134138142146150154158162166170174178182186190194198202206210214410141822[Durée (100)],Horodateur112335381922313437434649525558616469852226343846505854626670747882909894102106114118110122126130134138142146150154158162166170174178182186190194198202206210214410141822[Tâche],Taches_Jours12243639172029323541444750535659626783202432364448565260646872768088969210010411211610812012412813213614014414815215616016416817217618018418819219620020420821226121620[[#Headers],[GP / SP]],Horodateur112335381922313437434649525558616469852226343846505854626670747882909894102106114118110122126130134138142146150154158162166170174178182186190194198202206210214410141822[Jour],Taches_Jours12243639172029323541444750535659626783202432364448565260646872768088969210010411211610812012412813213614014414815215616016416817217618018418819219620020420821226121620[[#This Row],[Jours]])</f>
        <v>0.500000000000001</v>
      </c>
      <c r="J47" s="290" t="n">
        <f aca="false">SUM(Taches_Jours12243639172029323541444750535659626783202432364448565260646872768088969210010411211610812012412813213614014414815215616016416817217618018418819219620020420821226121620[[#This Row],[GB]:[GP / SP]])</f>
        <v>8.5</v>
      </c>
      <c r="K47" s="188"/>
      <c r="L47" s="288"/>
      <c r="M47" s="289"/>
      <c r="N47" s="187"/>
      <c r="O47" s="1"/>
      <c r="P47" s="1"/>
      <c r="Q47" s="1"/>
      <c r="R47" s="1"/>
      <c r="S47" s="1"/>
      <c r="T47" s="71"/>
      <c r="U47" s="71"/>
      <c r="V47" s="71"/>
      <c r="W47" s="71"/>
      <c r="X47" s="71"/>
      <c r="Y47" s="71"/>
      <c r="Z47" s="71"/>
      <c r="AA47" s="71"/>
      <c r="AB47" s="71"/>
      <c r="AC47" s="71"/>
      <c r="AD47" s="71"/>
      <c r="AE47" s="71"/>
      <c r="AF47" s="71"/>
    </row>
    <row r="48" customFormat="false" ht="15" hidden="true" customHeight="false" outlineLevel="1" collapsed="false">
      <c r="A48" s="187" t="s">
        <v>332</v>
      </c>
      <c r="B48" s="71" t="n">
        <f aca="false">SUMIFS(Horodateur112335381922313437434649525558616469852226343846505854626670747882909894102106114118110122126130134138142146150154158162166170174178182186190194198202206210214410141822[Durée (100)],Horodateur112335381922313437434649525558616469852226343846505854626670747882909894102106114118110122126130134138142146150154158162166170174178182186190194198202206210214410141822[Tâche],Taches_Jours12243639172029323541444750535659626783202432364448565260646872768088969210010411211610812012412813213614014414815215616016416817217618018418819219620020420821226121620[[#Headers],[GB]],Horodateur112335381922313437434649525558616469852226343846505854626670747882909894102106114118110122126130134138142146150154158162166170174178182186190194198202206210214410141822[Jour],Taches_Jours12243639172029323541444750535659626783202432364448565260646872768088969210010411211610812012412813213614014414815215616016416817217618018418819219620020420821226121620[[#This Row],[Jours]])</f>
        <v>0.249999999999999</v>
      </c>
      <c r="C48" s="71" t="n">
        <f aca="false">SUMIFS(Horodateur112335381922313437434649525558616469852226343846505854626670747882909894102106114118110122126130134138142146150154158162166170174178182186190194198202206210214410141822[Durée (100)],Horodateur112335381922313437434649525558616469852226343846505854626670747882909894102106114118110122126130134138142146150154158162166170174178182186190194198202206210214410141822[Tâche],Taches_Jours12243639172029323541444750535659626783202432364448565260646872768088969210010411211610812012412813213614014414815215616016416817217618018418819219620020420821226121620[[#Headers],[RI]],Horodateur112335381922313437434649525558616469852226343846505854626670747882909894102106114118110122126130134138142146150154158162166170174178182186190194198202206210214410141822[Jour],Taches_Jours12243639172029323541444750535659626783202432364448565260646872768088969210010411211610812012412813213614014414815215616016416817217618018418819219620020420821226121620[[#This Row],[Jours]])</f>
        <v>0</v>
      </c>
      <c r="D48" s="71" t="n">
        <f aca="false">SUMIFS(Horodateur112335381922313437434649525558616469852226343846505854626670747882909894102106114118110122126130134138142146150154158162166170174178182186190194198202206210214410141822[Durée (100)],Horodateur112335381922313437434649525558616469852226343846505854626670747882909894102106114118110122126130134138142146150154158162166170174178182186190194198202206210214410141822[Tâche],Taches_Jours12243639172029323541444750535659626783202432364448565260646872768088969210010411211610812012412813213614014414815215616016416817217618018418819219620020420821226121620[[#Headers],[FG]],Horodateur112335381922313437434649525558616469852226343846505854626670747882909894102106114118110122126130134138142146150154158162166170174178182186190194198202206210214410141822[Jour],Taches_Jours12243639172029323541444750535659626783202432364448565260646872768088969210010411211610812012412813213614014414815215616016416817217618018418819219620020420821226121620[[#This Row],[Jours]])</f>
        <v>0</v>
      </c>
      <c r="E48" s="71" t="n">
        <f aca="false">SUMIFS(Horodateur112335381922313437434649525558616469852226343846505854626670747882909894102106114118110122126130134138142146150154158162166170174178182186190194198202206210214410141822[Durée (100)],Horodateur112335381922313437434649525558616469852226343846505854626670747882909894102106114118110122126130134138142146150154158162166170174178182186190194198202206210214410141822[Tâche],Taches_Jours12243639172029323541444750535659626783202432364448565260646872768088969210010411211610812012412813213614014414815215616016416817217618018418819219620020420821226121620[[#Headers],[PS]],Horodateur112335381922313437434649525558616469852226343846505854626670747882909894102106114118110122126130134138142146150154158162166170174178182186190194198202206210214410141822[Jour],Taches_Jours12243639172029323541444750535659626783202432364448565260646872768088969210010411211610812012412813213614014414815215616016416817217618018418819219620020420821226121620[[#This Row],[Jours]])</f>
        <v>0</v>
      </c>
      <c r="F48" s="71" t="n">
        <f aca="false">SUMIFS(Horodateur112335381922313437434649525558616469852226343846505854626670747882909894102106114118110122126130134138142146150154158162166170174178182186190194198202206210214410141822[Durée (100)],Horodateur112335381922313437434649525558616469852226343846505854626670747882909894102106114118110122126130134138142146150154158162166170174178182186190194198202206210214410141822[Tâche],Taches_Jours12243639172029323541444750535659626783202432364448565260646872768088969210010411211610812012412813213614014414815215616016416817217618018418819219620020420821226121620[[#Headers],[TD]],Horodateur112335381922313437434649525558616469852226343846505854626670747882909894102106114118110122126130134138142146150154158162166170174178182186190194198202206210214410141822[Jour],Taches_Jours12243639172029323541444750535659626783202432364448565260646872768088969210010411211610812012412813213614014414815215616016416817217618018418819219620020420821226121620[[#This Row],[Jours]])</f>
        <v>0</v>
      </c>
      <c r="G48" s="71" t="n">
        <f aca="false">SUMIFS(Horodateur112335381922313437434649525558616469852226343846505854626670747882909894102106114118110122126130134138142146150154158162166170174178182186190194198202206210214410141822[Durée (100)],Horodateur112335381922313437434649525558616469852226343846505854626670747882909894102106114118110122126130134138142146150154158162166170174178182186190194198202206210214410141822[Tâche],Taches_Jours12243639172029323541444750535659626783202432364448565260646872768088969210010411211610812012412813213614014414815215616016416817217618018418819219620020420821226121620[[#Headers],[GP]],Horodateur112335381922313437434649525558616469852226343846505854626670747882909894102106114118110122126130134138142146150154158162166170174178182186190194198202206210214410141822[Jour],Taches_Jours12243639172029323541444750535659626783202432364448565260646872768088969210010411211610812012412813213614014414815215616016416817217618018418819219620020420821226121620[[#This Row],[Jours]])</f>
        <v>2</v>
      </c>
      <c r="H48" s="71" t="n">
        <f aca="false">SUMIFS(Horodateur112335381922313437434649525558616469852226343846505854626670747882909894102106114118110122126130134138142146150154158162166170174178182186190194198202206210214410141822[Durée (100)],Horodateur112335381922313437434649525558616469852226343846505854626670747882909894102106114118110122126130134138142146150154158162166170174178182186190194198202206210214410141822[Tâche],Taches_Jours12243639172029323541444750535659626783202432364448565260646872768088969210010411211610812012412813213614014414815215616016416817217618018418819219620020420821226121620[[#Headers],[GP / SP]],Horodateur112335381922313437434649525558616469852226343846505854626670747882909894102106114118110122126130134138142146150154158162166170174178182186190194198202206210214410141822[Jour],Taches_Jours12243639172029323541444750535659626783202432364448565260646872768088969210010411211610812012412813213614014414815215616016416817217618018418819219620020420821226121620[[#This Row],[Jours]])</f>
        <v>0</v>
      </c>
      <c r="I48" s="71" t="n">
        <f aca="false">SUMIFS(Horodateur112335381922313437434649525558616469852226343846505854626670747882909894102106114118110122126130134138142146150154158162166170174178182186190194198202206210214410141822[Durée (100)],Horodateur112335381922313437434649525558616469852226343846505854626670747882909894102106114118110122126130134138142146150154158162166170174178182186190194198202206210214410141822[Tâche],Taches_Jours12243639172029323541444750535659626783202432364448565260646872768088969210010411211610812012412813213614014414815215616016416817217618018418819219620020420821226121620[[#Headers],[GP / SP]],Horodateur112335381922313437434649525558616469852226343846505854626670747882909894102106114118110122126130134138142146150154158162166170174178182186190194198202206210214410141822[Jour],Taches_Jours12243639172029323541444750535659626783202432364448565260646872768088969210010411211610812012412813213614014414815215616016416817217618018418819219620020420821226121620[[#This Row],[Jours]])</f>
        <v>0</v>
      </c>
      <c r="J48" s="290" t="n">
        <f aca="false">SUM(Taches_Jours12243639172029323541444750535659626783202432364448565260646872768088969210010411211610812012412813213614014414815215616016416817217618018418819219620020420821226121620[[#This Row],[GB]:[GP / SP]])</f>
        <v>2.25</v>
      </c>
      <c r="K48" s="188"/>
      <c r="L48" s="288"/>
      <c r="M48" s="289"/>
      <c r="N48" s="187"/>
      <c r="O48" s="71"/>
      <c r="P48" s="71"/>
      <c r="Q48" s="71"/>
      <c r="R48" s="71"/>
      <c r="S48" s="71"/>
      <c r="T48" s="71"/>
      <c r="U48" s="71"/>
      <c r="V48" s="71"/>
      <c r="W48" s="71"/>
      <c r="X48" s="71"/>
      <c r="Y48" s="71"/>
      <c r="Z48" s="71"/>
      <c r="AA48" s="71"/>
      <c r="AB48" s="71"/>
      <c r="AC48" s="71"/>
      <c r="AD48" s="71"/>
      <c r="AE48" s="71"/>
      <c r="AF48" s="71"/>
    </row>
    <row r="49" customFormat="false" ht="15" hidden="true" customHeight="false" outlineLevel="1" collapsed="false">
      <c r="A49" s="187" t="s">
        <v>335</v>
      </c>
      <c r="B49" s="71" t="n">
        <f aca="false">SUMIFS(Horodateur112335381922313437434649525558616469852226343846505854626670747882909894102106114118110122126130134138142146150154158162166170174178182186190194198202206210214410141822[Durée (100)],Horodateur112335381922313437434649525558616469852226343846505854626670747882909894102106114118110122126130134138142146150154158162166170174178182186190194198202206210214410141822[Tâche],Taches_Jours12243639172029323541444750535659626783202432364448565260646872768088969210010411211610812012412813213614014414815215616016416817217618018418819219620020420821226121620[[#Headers],[GB]],Horodateur112335381922313437434649525558616469852226343846505854626670747882909894102106114118110122126130134138142146150154158162166170174178182186190194198202206210214410141822[Jour],Taches_Jours12243639172029323541444750535659626783202432364448565260646872768088969210010411211610812012412813213614014414815215616016416817217618018418819219620020420821226121620[[#This Row],[Jours]])</f>
        <v>0.999999999999999</v>
      </c>
      <c r="C49" s="71" t="n">
        <f aca="false">SUMIFS(Horodateur112335381922313437434649525558616469852226343846505854626670747882909894102106114118110122126130134138142146150154158162166170174178182186190194198202206210214410141822[Durée (100)],Horodateur112335381922313437434649525558616469852226343846505854626670747882909894102106114118110122126130134138142146150154158162166170174178182186190194198202206210214410141822[Tâche],Taches_Jours12243639172029323541444750535659626783202432364448565260646872768088969210010411211610812012412813213614014414815215616016416817217618018418819219620020420821226121620[[#Headers],[RI]],Horodateur112335381922313437434649525558616469852226343846505854626670747882909894102106114118110122126130134138142146150154158162166170174178182186190194198202206210214410141822[Jour],Taches_Jours12243639172029323541444750535659626783202432364448565260646872768088969210010411211610812012412813213614014414815215616016416817217618018418819219620020420821226121620[[#This Row],[Jours]])</f>
        <v>0</v>
      </c>
      <c r="D49" s="71" t="n">
        <f aca="false">SUMIFS(Horodateur112335381922313437434649525558616469852226343846505854626670747882909894102106114118110122126130134138142146150154158162166170174178182186190194198202206210214410141822[Durée (100)],Horodateur112335381922313437434649525558616469852226343846505854626670747882909894102106114118110122126130134138142146150154158162166170174178182186190194198202206210214410141822[Tâche],Taches_Jours12243639172029323541444750535659626783202432364448565260646872768088969210010411211610812012412813213614014414815215616016416817217618018418819219620020420821226121620[[#Headers],[FG]],Horodateur112335381922313437434649525558616469852226343846505854626670747882909894102106114118110122126130134138142146150154158162166170174178182186190194198202206210214410141822[Jour],Taches_Jours12243639172029323541444750535659626783202432364448565260646872768088969210010411211610812012412813213614014414815215616016416817217618018418819219620020420821226121620[[#This Row],[Jours]])</f>
        <v>3</v>
      </c>
      <c r="E49" s="71" t="n">
        <f aca="false">SUMIFS(Horodateur112335381922313437434649525558616469852226343846505854626670747882909894102106114118110122126130134138142146150154158162166170174178182186190194198202206210214410141822[Durée (100)],Horodateur112335381922313437434649525558616469852226343846505854626670747882909894102106114118110122126130134138142146150154158162166170174178182186190194198202206210214410141822[Tâche],Taches_Jours12243639172029323541444750535659626783202432364448565260646872768088969210010411211610812012412813213614014414815215616016416817217618018418819219620020420821226121620[[#Headers],[PS]],Horodateur112335381922313437434649525558616469852226343846505854626670747882909894102106114118110122126130134138142146150154158162166170174178182186190194198202206210214410141822[Jour],Taches_Jours12243639172029323541444750535659626783202432364448565260646872768088969210010411211610812012412813213614014414815215616016416817217618018418819219620020420821226121620[[#This Row],[Jours]])</f>
        <v>0</v>
      </c>
      <c r="F49" s="71" t="n">
        <f aca="false">SUMIFS(Horodateur112335381922313437434649525558616469852226343846505854626670747882909894102106114118110122126130134138142146150154158162166170174178182186190194198202206210214410141822[Durée (100)],Horodateur112335381922313437434649525558616469852226343846505854626670747882909894102106114118110122126130134138142146150154158162166170174178182186190194198202206210214410141822[Tâche],Taches_Jours12243639172029323541444750535659626783202432364448565260646872768088969210010411211610812012412813213614014414815215616016416817217618018418819219620020420821226121620[[#Headers],[TD]],Horodateur112335381922313437434649525558616469852226343846505854626670747882909894102106114118110122126130134138142146150154158162166170174178182186190194198202206210214410141822[Jour],Taches_Jours12243639172029323541444750535659626783202432364448565260646872768088969210010411211610812012412813213614014414815215616016416817217618018418819219620020420821226121620[[#This Row],[Jours]])</f>
        <v>0</v>
      </c>
      <c r="G49" s="71" t="n">
        <f aca="false">SUMIFS(Horodateur112335381922313437434649525558616469852226343846505854626670747882909894102106114118110122126130134138142146150154158162166170174178182186190194198202206210214410141822[Durée (100)],Horodateur112335381922313437434649525558616469852226343846505854626670747882909894102106114118110122126130134138142146150154158162166170174178182186190194198202206210214410141822[Tâche],Taches_Jours12243639172029323541444750535659626783202432364448565260646872768088969210010411211610812012412813213614014414815215616016416817217618018418819219620020420821226121620[[#Headers],[GP]],Horodateur112335381922313437434649525558616469852226343846505854626670747882909894102106114118110122126130134138142146150154158162166170174178182186190194198202206210214410141822[Jour],Taches_Jours12243639172029323541444750535659626783202432364448565260646872768088969210010411211610812012412813213614014414815215616016416817217618018418819219620020420821226121620[[#This Row],[Jours]])</f>
        <v>2.5</v>
      </c>
      <c r="H49" s="71" t="n">
        <f aca="false">SUMIFS(Horodateur112335381922313437434649525558616469852226343846505854626670747882909894102106114118110122126130134138142146150154158162166170174178182186190194198202206210214410141822[Durée (100)],Horodateur112335381922313437434649525558616469852226343846505854626670747882909894102106114118110122126130134138142146150154158162166170174178182186190194198202206210214410141822[Tâche],Taches_Jours12243639172029323541444750535659626783202432364448565260646872768088969210010411211610812012412813213614014414815215616016416817217618018418819219620020420821226121620[[#Headers],[GP / SP]],Horodateur112335381922313437434649525558616469852226343846505854626670747882909894102106114118110122126130134138142146150154158162166170174178182186190194198202206210214410141822[Jour],Taches_Jours12243639172029323541444750535659626783202432364448565260646872768088969210010411211610812012412813213614014414815215616016416817217618018418819219620020420821226121620[[#This Row],[Jours]])</f>
        <v>0</v>
      </c>
      <c r="I49" s="71" t="n">
        <f aca="false">SUMIFS(Horodateur112335381922313437434649525558616469852226343846505854626670747882909894102106114118110122126130134138142146150154158162166170174178182186190194198202206210214410141822[Durée (100)],Horodateur112335381922313437434649525558616469852226343846505854626670747882909894102106114118110122126130134138142146150154158162166170174178182186190194198202206210214410141822[Tâche],Taches_Jours12243639172029323541444750535659626783202432364448565260646872768088969210010411211610812012412813213614014414815215616016416817217618018418819219620020420821226121620[[#Headers],[GP / SP]],Horodateur112335381922313437434649525558616469852226343846505854626670747882909894102106114118110122126130134138142146150154158162166170174178182186190194198202206210214410141822[Jour],Taches_Jours12243639172029323541444750535659626783202432364448565260646872768088969210010411211610812012412813213614014414815215616016416817217618018418819219620020420821226121620[[#This Row],[Jours]])</f>
        <v>0</v>
      </c>
      <c r="J49" s="290" t="n">
        <f aca="false">SUM(Taches_Jours12243639172029323541444750535659626783202432364448565260646872768088969210010411211610812012412813213614014414815215616016416817217618018418819219620020420821226121620[[#This Row],[GB]:[GP / SP]])</f>
        <v>6.5</v>
      </c>
      <c r="K49" s="188"/>
      <c r="L49" s="288"/>
      <c r="M49" s="289"/>
      <c r="N49" s="187"/>
      <c r="O49" s="1"/>
      <c r="P49" s="1"/>
      <c r="Q49" s="1"/>
      <c r="R49" s="1"/>
      <c r="S49" s="1"/>
      <c r="T49" s="71"/>
      <c r="U49" s="71"/>
      <c r="V49" s="71"/>
      <c r="W49" s="71"/>
      <c r="X49" s="71"/>
      <c r="Y49" s="71"/>
      <c r="Z49" s="71"/>
      <c r="AA49" s="71"/>
      <c r="AB49" s="71"/>
      <c r="AC49" s="71"/>
      <c r="AD49" s="71"/>
      <c r="AE49" s="71"/>
      <c r="AF49" s="71"/>
    </row>
    <row r="50" customFormat="false" ht="15" hidden="true" customHeight="false" outlineLevel="1" collapsed="false">
      <c r="A50" s="187" t="s">
        <v>341</v>
      </c>
      <c r="B50" s="71" t="n">
        <f aca="false">SUMIFS(Horodateur112335381922313437434649525558616469852226343846505854626670747882909894102106114118110122126130134138142146150154158162166170174178182186190194198202206210214410141822[Durée (100)],Horodateur112335381922313437434649525558616469852226343846505854626670747882909894102106114118110122126130134138142146150154158162166170174178182186190194198202206210214410141822[Tâche],Taches_Jours12243639172029323541444750535659626783202432364448565260646872768088969210010411211610812012412813213614014414815215616016416817217618018418819219620020420821226121620[[#Headers],[GB]],Horodateur112335381922313437434649525558616469852226343846505854626670747882909894102106114118110122126130134138142146150154158162166170174178182186190194198202206210214410141822[Jour],Taches_Jours12243639172029323541444750535659626783202432364448565260646872768088969210010411211610812012412813213614014414815215616016416817217618018418819219620020420821226121620[[#This Row],[Jours]])</f>
        <v>0</v>
      </c>
      <c r="C50" s="71" t="n">
        <f aca="false">SUMIFS(Horodateur112335381922313437434649525558616469852226343846505854626670747882909894102106114118110122126130134138142146150154158162166170174178182186190194198202206210214410141822[Durée (100)],Horodateur112335381922313437434649525558616469852226343846505854626670747882909894102106114118110122126130134138142146150154158162166170174178182186190194198202206210214410141822[Tâche],Taches_Jours12243639172029323541444750535659626783202432364448565260646872768088969210010411211610812012412813213614014414815215616016416817217618018418819219620020420821226121620[[#Headers],[RI]],Horodateur112335381922313437434649525558616469852226343846505854626670747882909894102106114118110122126130134138142146150154158162166170174178182186190194198202206210214410141822[Jour],Taches_Jours12243639172029323541444750535659626783202432364448565260646872768088969210010411211610812012412813213614014414815215616016416817217618018418819219620020420821226121620[[#This Row],[Jours]])</f>
        <v>0</v>
      </c>
      <c r="D50" s="71" t="n">
        <f aca="false">SUMIFS(Horodateur112335381922313437434649525558616469852226343846505854626670747882909894102106114118110122126130134138142146150154158162166170174178182186190194198202206210214410141822[Durée (100)],Horodateur112335381922313437434649525558616469852226343846505854626670747882909894102106114118110122126130134138142146150154158162166170174178182186190194198202206210214410141822[Tâche],Taches_Jours12243639172029323541444750535659626783202432364448565260646872768088969210010411211610812012412813213614014414815215616016416817217618018418819219620020420821226121620[[#Headers],[FG]],Horodateur112335381922313437434649525558616469852226343846505854626670747882909894102106114118110122126130134138142146150154158162166170174178182186190194198202206210214410141822[Jour],Taches_Jours12243639172029323541444750535659626783202432364448565260646872768088969210010411211610812012412813213614014414815215616016416817217618018418819219620020420821226121620[[#This Row],[Jours]])</f>
        <v>0</v>
      </c>
      <c r="E50" s="71" t="n">
        <f aca="false">SUMIFS(Horodateur112335381922313437434649525558616469852226343846505854626670747882909894102106114118110122126130134138142146150154158162166170174178182186190194198202206210214410141822[Durée (100)],Horodateur112335381922313437434649525558616469852226343846505854626670747882909894102106114118110122126130134138142146150154158162166170174178182186190194198202206210214410141822[Tâche],Taches_Jours12243639172029323541444750535659626783202432364448565260646872768088969210010411211610812012412813213614014414815215616016416817217618018418819219620020420821226121620[[#Headers],[PS]],Horodateur112335381922313437434649525558616469852226343846505854626670747882909894102106114118110122126130134138142146150154158162166170174178182186190194198202206210214410141822[Jour],Taches_Jours12243639172029323541444750535659626783202432364448565260646872768088969210010411211610812012412813213614014414815215616016416817217618018418819219620020420821226121620[[#This Row],[Jours]])</f>
        <v>0</v>
      </c>
      <c r="F50" s="71" t="n">
        <f aca="false">SUMIFS(Horodateur112335381922313437434649525558616469852226343846505854626670747882909894102106114118110122126130134138142146150154158162166170174178182186190194198202206210214410141822[Durée (100)],Horodateur112335381922313437434649525558616469852226343846505854626670747882909894102106114118110122126130134138142146150154158162166170174178182186190194198202206210214410141822[Tâche],Taches_Jours12243639172029323541444750535659626783202432364448565260646872768088969210010411211610812012412813213614014414815215616016416817217618018418819219620020420821226121620[[#Headers],[TD]],Horodateur112335381922313437434649525558616469852226343846505854626670747882909894102106114118110122126130134138142146150154158162166170174178182186190194198202206210214410141822[Jour],Taches_Jours12243639172029323541444750535659626783202432364448565260646872768088969210010411211610812012412813213614014414815215616016416817217618018418819219620020420821226121620[[#This Row],[Jours]])</f>
        <v>0</v>
      </c>
      <c r="G50" s="71" t="n">
        <f aca="false">SUMIFS(Horodateur112335381922313437434649525558616469852226343846505854626670747882909894102106114118110122126130134138142146150154158162166170174178182186190194198202206210214410141822[Durée (100)],Horodateur112335381922313437434649525558616469852226343846505854626670747882909894102106114118110122126130134138142146150154158162166170174178182186190194198202206210214410141822[Tâche],Taches_Jours12243639172029323541444750535659626783202432364448565260646872768088969210010411211610812012412813213614014414815215616016416817217618018418819219620020420821226121620[[#Headers],[GP]],Horodateur112335381922313437434649525558616469852226343846505854626670747882909894102106114118110122126130134138142146150154158162166170174178182186190194198202206210214410141822[Jour],Taches_Jours12243639172029323541444750535659626783202432364448565260646872768088969210010411211610812012412813213614014414815215616016416817217618018418819219620020420821226121620[[#This Row],[Jours]])</f>
        <v>0</v>
      </c>
      <c r="H50" s="71" t="n">
        <f aca="false">SUMIFS(Horodateur112335381922313437434649525558616469852226343846505854626670747882909894102106114118110122126130134138142146150154158162166170174178182186190194198202206210214410141822[Durée (100)],Horodateur112335381922313437434649525558616469852226343846505854626670747882909894102106114118110122126130134138142146150154158162166170174178182186190194198202206210214410141822[Tâche],Taches_Jours12243639172029323541444750535659626783202432364448565260646872768088969210010411211610812012412813213614014414815215616016416817217618018418819219620020420821226121620[[#Headers],[GP / SP]],Horodateur112335381922313437434649525558616469852226343846505854626670747882909894102106114118110122126130134138142146150154158162166170174178182186190194198202206210214410141822[Jour],Taches_Jours12243639172029323541444750535659626783202432364448565260646872768088969210010411211610812012412813213614014414815215616016416817217618018418819219620020420821226121620[[#This Row],[Jours]])</f>
        <v>0</v>
      </c>
      <c r="I50" s="290" t="n">
        <f aca="false">SUMIFS(Horodateur112335381922313437434649525558616469852226343846505854626670747882909894102106114118110122126130134138142146150154158162166170174178182186190194198202206210214410141822[Durée (100)],Horodateur112335381922313437434649525558616469852226343846505854626670747882909894102106114118110122126130134138142146150154158162166170174178182186190194198202206210214410141822[Tâche],Taches_Jours12243639172029323541444750535659626783202432364448565260646872768088969210010411211610812012412813213614014414815215616016416817217618018418819219620020420821226121620[[#Headers],[GP / SP]],Horodateur112335381922313437434649525558616469852226343846505854626670747882909894102106114118110122126130134138142146150154158162166170174178182186190194198202206210214410141822[Jour],Taches_Jours12243639172029323541444750535659626783202432364448565260646872768088969210010411211610812012412813213614014414815215616016416817217618018418819219620020420821226121620[[#This Row],[Jours]])</f>
        <v>0</v>
      </c>
      <c r="J50" s="71" t="n">
        <f aca="false">SUM(Taches_Jours12243639172029323541444750535659626783202432364448565260646872768088969210010411211610812012412813213614014414815215616016416817217618018418819219620020420821226121620[[#This Row],[GB]:[GP / SP]])</f>
        <v>0</v>
      </c>
      <c r="K50" s="188"/>
      <c r="L50" s="288"/>
      <c r="M50" s="289"/>
      <c r="N50" s="187"/>
      <c r="O50" s="1"/>
      <c r="P50" s="1"/>
      <c r="Q50" s="1"/>
      <c r="R50" s="1"/>
      <c r="S50" s="1"/>
      <c r="T50" s="71"/>
      <c r="U50" s="71"/>
      <c r="V50" s="71"/>
      <c r="W50" s="71"/>
      <c r="X50" s="71"/>
      <c r="Y50" s="71"/>
      <c r="Z50" s="71"/>
      <c r="AA50" s="71"/>
      <c r="AB50" s="71"/>
      <c r="AC50" s="71"/>
      <c r="AD50" s="71"/>
      <c r="AE50" s="71"/>
      <c r="AF50" s="71"/>
    </row>
    <row r="51" customFormat="false" ht="15" hidden="true" customHeight="false" outlineLevel="1" collapsed="false">
      <c r="A51" s="187" t="s">
        <v>381</v>
      </c>
      <c r="B51" s="71" t="n">
        <f aca="false">SUMIFS(Horodateur112335381922313437434649525558616469852226343846505854626670747882909894102106114118110122126130134138142146150154158162166170174178182186190194198202206210214410141822[Durée (100)],Horodateur112335381922313437434649525558616469852226343846505854626670747882909894102106114118110122126130134138142146150154158162166170174178182186190194198202206210214410141822[Tâche],Taches_Jours12243639172029323541444750535659626783202432364448565260646872768088969210010411211610812012412813213614014414815215616016416817217618018418819219620020420821226121620[[#Headers],[GB]],Horodateur112335381922313437434649525558616469852226343846505854626670747882909894102106114118110122126130134138142146150154158162166170174178182186190194198202206210214410141822[Jour],Taches_Jours12243639172029323541444750535659626783202432364448565260646872768088969210010411211610812012412813213614014414815215616016416817217618018418819219620020420821226121620[[#This Row],[Jours]])</f>
        <v>0</v>
      </c>
      <c r="C51" s="71" t="n">
        <f aca="false">SUMIFS(Horodateur112335381922313437434649525558616469852226343846505854626670747882909894102106114118110122126130134138142146150154158162166170174178182186190194198202206210214410141822[Durée (100)],Horodateur112335381922313437434649525558616469852226343846505854626670747882909894102106114118110122126130134138142146150154158162166170174178182186190194198202206210214410141822[Tâche],Taches_Jours12243639172029323541444750535659626783202432364448565260646872768088969210010411211610812012412813213614014414815215616016416817217618018418819219620020420821226121620[[#Headers],[RI]],Horodateur112335381922313437434649525558616469852226343846505854626670747882909894102106114118110122126130134138142146150154158162166170174178182186190194198202206210214410141822[Jour],Taches_Jours12243639172029323541444750535659626783202432364448565260646872768088969210010411211610812012412813213614014414815215616016416817217618018418819219620020420821226121620[[#This Row],[Jours]])</f>
        <v>0</v>
      </c>
      <c r="D51" s="71" t="n">
        <f aca="false">SUMIFS(Horodateur112335381922313437434649525558616469852226343846505854626670747882909894102106114118110122126130134138142146150154158162166170174178182186190194198202206210214410141822[Durée (100)],Horodateur112335381922313437434649525558616469852226343846505854626670747882909894102106114118110122126130134138142146150154158162166170174178182186190194198202206210214410141822[Tâche],Taches_Jours12243639172029323541444750535659626783202432364448565260646872768088969210010411211610812012412813213614014414815215616016416817217618018418819219620020420821226121620[[#Headers],[FG]],Horodateur112335381922313437434649525558616469852226343846505854626670747882909894102106114118110122126130134138142146150154158162166170174178182186190194198202206210214410141822[Jour],Taches_Jours12243639172029323541444750535659626783202432364448565260646872768088969210010411211610812012412813213614014414815215616016416817217618018418819219620020420821226121620[[#This Row],[Jours]])</f>
        <v>0</v>
      </c>
      <c r="E51" s="71" t="n">
        <f aca="false">SUMIFS(Horodateur112335381922313437434649525558616469852226343846505854626670747882909894102106114118110122126130134138142146150154158162166170174178182186190194198202206210214410141822[Durée (100)],Horodateur112335381922313437434649525558616469852226343846505854626670747882909894102106114118110122126130134138142146150154158162166170174178182186190194198202206210214410141822[Tâche],Taches_Jours12243639172029323541444750535659626783202432364448565260646872768088969210010411211610812012412813213614014414815215616016416817217618018418819219620020420821226121620[[#Headers],[PS]],Horodateur112335381922313437434649525558616469852226343846505854626670747882909894102106114118110122126130134138142146150154158162166170174178182186190194198202206210214410141822[Jour],Taches_Jours12243639172029323541444750535659626783202432364448565260646872768088969210010411211610812012412813213614014414815215616016416817217618018418819219620020420821226121620[[#This Row],[Jours]])</f>
        <v>0</v>
      </c>
      <c r="F51" s="71" t="n">
        <f aca="false">SUMIFS(Horodateur112335381922313437434649525558616469852226343846505854626670747882909894102106114118110122126130134138142146150154158162166170174178182186190194198202206210214410141822[Durée (100)],Horodateur112335381922313437434649525558616469852226343846505854626670747882909894102106114118110122126130134138142146150154158162166170174178182186190194198202206210214410141822[Tâche],Taches_Jours12243639172029323541444750535659626783202432364448565260646872768088969210010411211610812012412813213614014414815215616016416817217618018418819219620020420821226121620[[#Headers],[TD]],Horodateur112335381922313437434649525558616469852226343846505854626670747882909894102106114118110122126130134138142146150154158162166170174178182186190194198202206210214410141822[Jour],Taches_Jours12243639172029323541444750535659626783202432364448565260646872768088969210010411211610812012412813213614014414815215616016416817217618018418819219620020420821226121620[[#This Row],[Jours]])</f>
        <v>0</v>
      </c>
      <c r="G51" s="71" t="n">
        <f aca="false">SUMIFS(Horodateur112335381922313437434649525558616469852226343846505854626670747882909894102106114118110122126130134138142146150154158162166170174178182186190194198202206210214410141822[Durée (100)],Horodateur112335381922313437434649525558616469852226343846505854626670747882909894102106114118110122126130134138142146150154158162166170174178182186190194198202206210214410141822[Tâche],Taches_Jours12243639172029323541444750535659626783202432364448565260646872768088969210010411211610812012412813213614014414815215616016416817217618018418819219620020420821226121620[[#Headers],[GP]],Horodateur112335381922313437434649525558616469852226343846505854626670747882909894102106114118110122126130134138142146150154158162166170174178182186190194198202206210214410141822[Jour],Taches_Jours12243639172029323541444750535659626783202432364448565260646872768088969210010411211610812012412813213614014414815215616016416817217618018418819219620020420821226121620[[#This Row],[Jours]])</f>
        <v>0</v>
      </c>
      <c r="H51" s="71" t="n">
        <f aca="false">SUMIFS(Horodateur112335381922313437434649525558616469852226343846505854626670747882909894102106114118110122126130134138142146150154158162166170174178182186190194198202206210214410141822[Durée (100)],Horodateur112335381922313437434649525558616469852226343846505854626670747882909894102106114118110122126130134138142146150154158162166170174178182186190194198202206210214410141822[Tâche],Taches_Jours12243639172029323541444750535659626783202432364448565260646872768088969210010411211610812012412813213614014414815215616016416817217618018418819219620020420821226121620[[#Headers],[GP / SP]],Horodateur112335381922313437434649525558616469852226343846505854626670747882909894102106114118110122126130134138142146150154158162166170174178182186190194198202206210214410141822[Jour],Taches_Jours12243639172029323541444750535659626783202432364448565260646872768088969210010411211610812012412813213614014414815215616016416817217618018418819219620020420821226121620[[#This Row],[Jours]])</f>
        <v>0</v>
      </c>
      <c r="I51" s="290" t="n">
        <f aca="false">SUMIFS(Horodateur112335381922313437434649525558616469852226343846505854626670747882909894102106114118110122126130134138142146150154158162166170174178182186190194198202206210214410141822[Durée (100)],Horodateur112335381922313437434649525558616469852226343846505854626670747882909894102106114118110122126130134138142146150154158162166170174178182186190194198202206210214410141822[Tâche],Taches_Jours12243639172029323541444750535659626783202432364448565260646872768088969210010411211610812012412813213614014414815215616016416817217618018418819219620020420821226121620[[#Headers],[GP / SP]],Horodateur112335381922313437434649525558616469852226343846505854626670747882909894102106114118110122126130134138142146150154158162166170174178182186190194198202206210214410141822[Jour],Taches_Jours12243639172029323541444750535659626783202432364448565260646872768088969210010411211610812012412813213614014414815215616016416817217618018418819219620020420821226121620[[#This Row],[Jours]])</f>
        <v>0</v>
      </c>
      <c r="J51" s="71" t="n">
        <f aca="false">SUM(Taches_Jours12243639172029323541444750535659626783202432364448565260646872768088969210010411211610812012412813213614014414815215616016416817217618018418819219620020420821226121620[[#This Row],[GB]:[GP / SP]])</f>
        <v>0</v>
      </c>
      <c r="K51" s="188"/>
      <c r="L51" s="288"/>
      <c r="M51" s="289"/>
      <c r="N51" s="187"/>
      <c r="O51" s="1"/>
      <c r="P51" s="1"/>
      <c r="Q51" s="1"/>
      <c r="R51" s="1"/>
      <c r="S51" s="1"/>
      <c r="T51" s="71"/>
      <c r="U51" s="71"/>
      <c r="V51" s="71"/>
      <c r="W51" s="71"/>
      <c r="X51" s="71"/>
      <c r="Y51" s="71"/>
      <c r="Z51" s="71"/>
      <c r="AA51" s="71"/>
      <c r="AB51" s="71"/>
      <c r="AC51" s="71"/>
      <c r="AD51" s="71"/>
      <c r="AE51" s="71"/>
      <c r="AF51" s="71"/>
    </row>
    <row r="52" customFormat="false" ht="15" hidden="true" customHeight="false" outlineLevel="1" collapsed="false">
      <c r="A52" s="137"/>
      <c r="B52" s="187"/>
      <c r="C52" s="71"/>
      <c r="D52" s="1"/>
      <c r="E52" s="1"/>
      <c r="F52" s="71"/>
      <c r="G52" s="1"/>
      <c r="H52" s="1"/>
      <c r="I52" s="119"/>
      <c r="J52" s="271"/>
      <c r="K52" s="1"/>
      <c r="L52" s="188"/>
      <c r="M52" s="272"/>
      <c r="N52" s="187"/>
      <c r="O52" s="1"/>
      <c r="P52" s="1"/>
      <c r="Q52" s="1"/>
      <c r="R52" s="1"/>
      <c r="S52" s="1"/>
      <c r="T52" s="1"/>
      <c r="U52" s="71"/>
      <c r="V52" s="71"/>
      <c r="W52" s="71"/>
      <c r="X52" s="71"/>
      <c r="Y52" s="71"/>
      <c r="Z52" s="71"/>
      <c r="AA52" s="71"/>
      <c r="AB52" s="71"/>
      <c r="AC52" s="71"/>
      <c r="AD52" s="71"/>
      <c r="AE52" s="71"/>
      <c r="AF52" s="71"/>
      <c r="AG52" s="71"/>
    </row>
    <row r="53" customFormat="false" ht="15" hidden="true" customHeight="false" outlineLevel="1" collapsed="false">
      <c r="A53" s="291" t="s">
        <v>85</v>
      </c>
      <c r="B53" s="292" t="s">
        <v>312</v>
      </c>
      <c r="C53" s="292" t="s">
        <v>319</v>
      </c>
      <c r="D53" s="292" t="s">
        <v>324</v>
      </c>
      <c r="E53" s="292" t="s">
        <v>332</v>
      </c>
      <c r="F53" s="293" t="s">
        <v>335</v>
      </c>
      <c r="G53" s="292" t="s">
        <v>341</v>
      </c>
      <c r="H53" s="292" t="s">
        <v>381</v>
      </c>
      <c r="I53" s="294" t="s">
        <v>58</v>
      </c>
      <c r="J53" s="271"/>
      <c r="K53" s="1"/>
      <c r="L53" s="188"/>
      <c r="M53" s="272"/>
      <c r="N53" s="187"/>
      <c r="O53" s="1"/>
      <c r="P53" s="1"/>
      <c r="Q53" s="1"/>
      <c r="R53" s="1"/>
      <c r="S53" s="1"/>
      <c r="T53" s="1"/>
      <c r="U53" s="71"/>
      <c r="V53" s="71"/>
      <c r="W53" s="71"/>
      <c r="X53" s="71"/>
      <c r="Y53" s="71"/>
      <c r="Z53" s="71"/>
      <c r="AA53" s="71"/>
      <c r="AB53" s="71"/>
      <c r="AC53" s="71"/>
      <c r="AD53" s="71"/>
      <c r="AE53" s="71"/>
      <c r="AF53" s="71"/>
      <c r="AG53" s="71"/>
    </row>
    <row r="54" customFormat="false" ht="15" hidden="true" customHeight="false" outlineLevel="1" collapsed="false">
      <c r="A54" s="137" t="s">
        <v>21</v>
      </c>
      <c r="B54" s="187" t="n">
        <f aca="false">SUMIFS(Horodateur112335381922313437434649525558616469852226343846505854626670747882909894102106114118110122126130134138142146150154158162166170174178182186190194198202206210214410141822[Durée (100)],Horodateur112335381922313437434649525558616469852226343846505854626670747882909894102106114118110122126130134138142146150154158162166170174178182186190194198202206210214410141822[Jour],$B$53,Horodateur112335381922313437434649525558616469852226343846505854626670747882909894102106114118110122126130134138142146150154158162166170174178182186190194198202206210214410141822[Tâche],$A54)</f>
        <v>0.999999999999999</v>
      </c>
      <c r="C54" s="187" t="n">
        <f aca="false">SUMIFS(Horodateur112335381922313437434649525558616469852226343846505854626670747882909894102106114118110122126130134138142146150154158162166170174178182186190194198202206210214410141822[Durée (100)],Horodateur112335381922313437434649525558616469852226343846505854626670747882909894102106114118110122126130134138142146150154158162166170174178182186190194198202206210214410141822[Jour],$C$53,Horodateur112335381922313437434649525558616469852226343846505854626670747882909894102106114118110122126130134138142146150154158162166170174178182186190194198202206210214410141822[Tâche],$A54)</f>
        <v>0.999999999999999</v>
      </c>
      <c r="D54" s="187" t="n">
        <f aca="false">SUMIFS(Horodateur112335381922313437434649525558616469852226343846505854626670747882909894102106114118110122126130134138142146150154158162166170174178182186190194198202206210214410141822[Durée (100)],Horodateur112335381922313437434649525558616469852226343846505854626670747882909894102106114118110122126130134138142146150154158162166170174178182186190194198202206210214410141822[Jour],$D$53,Horodateur112335381922313437434649525558616469852226343846505854626670747882909894102106114118110122126130134138142146150154158162166170174178182186190194198202206210214410141822[Tâche],$A54)</f>
        <v>0.25</v>
      </c>
      <c r="E54" s="187" t="n">
        <f aca="false">SUMIFS(Horodateur112335381922313437434649525558616469852226343846505854626670747882909894102106114118110122126130134138142146150154158162166170174178182186190194198202206210214410141822[Durée (100)],Horodateur112335381922313437434649525558616469852226343846505854626670747882909894102106114118110122126130134138142146150154158162166170174178182186190194198202206210214410141822[Jour],$E$53,Horodateur112335381922313437434649525558616469852226343846505854626670747882909894102106114118110122126130134138142146150154158162166170174178182186190194198202206210214410141822[Tâche],$A54)</f>
        <v>0.249999999999999</v>
      </c>
      <c r="F54" s="71" t="n">
        <f aca="false">SUMIFS(Horodateur112335381922313437434649525558616469852226343846505854626670747882909894102106114118110122126130134138142146150154158162166170174178182186190194198202206210214410141822[Durée (100)],Horodateur112335381922313437434649525558616469852226343846505854626670747882909894102106114118110122126130134138142146150154158162166170174178182186190194198202206210214410141822[Jour],$F$53,Horodateur112335381922313437434649525558616469852226343846505854626670747882909894102106114118110122126130134138142146150154158162166170174178182186190194198202206210214410141822[Tâche],$A54)</f>
        <v>0.999999999999999</v>
      </c>
      <c r="G54" s="187" t="n">
        <f aca="false">SUMIFS(Horodateur112335381922313437434649525558616469852226343846505854626670747882909894102106114118110122126130134138142146150154158162166170174178182186190194198202206210214410141822[Durée (100)],Horodateur112335381922313437434649525558616469852226343846505854626670747882909894102106114118110122126130134138142146150154158162166170174178182186190194198202206210214410141822[Jour],$G$53,Horodateur112335381922313437434649525558616469852226343846505854626670747882909894102106114118110122126130134138142146150154158162166170174178182186190194198202206210214410141822[Tâche],$A54)</f>
        <v>0</v>
      </c>
      <c r="H54" s="187" t="n">
        <f aca="false">SUMIFS(Horodateur112335381922313437434649525558616469852226343846505854626670747882909894102106114118110122126130134138142146150154158162166170174178182186190194198202206210214410141822[Durée (100)],Horodateur112335381922313437434649525558616469852226343846505854626670747882909894102106114118110122126130134138142146150154158162166170174178182186190194198202206210214410141822[Jour],$H$53,Horodateur112335381922313437434649525558616469852226343846505854626670747882909894102106114118110122126130134138142146150154158162166170174178182186190194198202206210214410141822[Tâche],$A54)</f>
        <v>0</v>
      </c>
      <c r="I54" s="295" t="n">
        <f aca="false">SUM(Taches_Jour213253740182130333642454851545760636884212533374549575361656973778189979310110511311710912112512913313714114514915315716116516917317718118518919319720120520921339131721[[#This Row],[1- Lundi]:[7- Dimanche]])</f>
        <v>3.5</v>
      </c>
      <c r="J54" s="271"/>
      <c r="K54" s="1"/>
      <c r="L54" s="188"/>
      <c r="M54" s="272"/>
      <c r="N54" s="187"/>
      <c r="O54" s="1"/>
      <c r="P54" s="1"/>
      <c r="Q54" s="1"/>
      <c r="R54" s="1"/>
      <c r="S54" s="1"/>
      <c r="T54" s="1"/>
      <c r="U54" s="71"/>
      <c r="V54" s="71"/>
      <c r="W54" s="71"/>
      <c r="X54" s="71"/>
      <c r="Y54" s="71"/>
      <c r="Z54" s="71"/>
      <c r="AA54" s="71"/>
      <c r="AB54" s="71"/>
      <c r="AC54" s="71"/>
      <c r="AD54" s="71"/>
      <c r="AE54" s="71"/>
      <c r="AF54" s="71"/>
      <c r="AG54" s="71"/>
    </row>
    <row r="55" customFormat="false" ht="15" hidden="true" customHeight="false" outlineLevel="1" collapsed="false">
      <c r="A55" s="137" t="s">
        <v>20</v>
      </c>
      <c r="B55" s="187" t="n">
        <f aca="false">SUMIFS(Horodateur112335381922313437434649525558616469852226343846505854626670747882909894102106114118110122126130134138142146150154158162166170174178182186190194198202206210214410141822[Durée (100)],Horodateur112335381922313437434649525558616469852226343846505854626670747882909894102106114118110122126130134138142146150154158162166170174178182186190194198202206210214410141822[Jour],$B$53,Horodateur112335381922313437434649525558616469852226343846505854626670747882909894102106114118110122126130134138142146150154158162166170174178182186190194198202206210214410141822[Tâche],$A55)</f>
        <v>0.25</v>
      </c>
      <c r="C55" s="187" t="n">
        <f aca="false">SUMIFS(Horodateur112335381922313437434649525558616469852226343846505854626670747882909894102106114118110122126130134138142146150154158162166170174178182186190194198202206210214410141822[Durée (100)],Horodateur112335381922313437434649525558616469852226343846505854626670747882909894102106114118110122126130134138142146150154158162166170174178182186190194198202206210214410141822[Jour],$C$53,Horodateur112335381922313437434649525558616469852226343846505854626670747882909894102106114118110122126130134138142146150154158162166170174178182186190194198202206210214410141822[Tâche],$A55)</f>
        <v>0</v>
      </c>
      <c r="D55" s="187" t="n">
        <f aca="false">SUMIFS(Horodateur112335381922313437434649525558616469852226343846505854626670747882909894102106114118110122126130134138142146150154158162166170174178182186190194198202206210214410141822[Durée (100)],Horodateur112335381922313437434649525558616469852226343846505854626670747882909894102106114118110122126130134138142146150154158162166170174178182186190194198202206210214410141822[Jour],$D$53,Horodateur112335381922313437434649525558616469852226343846505854626670747882909894102106114118110122126130134138142146150154158162166170174178182186190194198202206210214410141822[Tâche],$A55)</f>
        <v>0</v>
      </c>
      <c r="E55" s="187" t="n">
        <f aca="false">SUMIFS(Horodateur112335381922313437434649525558616469852226343846505854626670747882909894102106114118110122126130134138142146150154158162166170174178182186190194198202206210214410141822[Durée (100)],Horodateur112335381922313437434649525558616469852226343846505854626670747882909894102106114118110122126130134138142146150154158162166170174178182186190194198202206210214410141822[Jour],$E$53,Horodateur112335381922313437434649525558616469852226343846505854626670747882909894102106114118110122126130134138142146150154158162166170174178182186190194198202206210214410141822[Tâche],$A55)</f>
        <v>0</v>
      </c>
      <c r="F55" s="71" t="n">
        <f aca="false">SUMIFS(Horodateur112335381922313437434649525558616469852226343846505854626670747882909894102106114118110122126130134138142146150154158162166170174178182186190194198202206210214410141822[Durée (100)],Horodateur112335381922313437434649525558616469852226343846505854626670747882909894102106114118110122126130134138142146150154158162166170174178182186190194198202206210214410141822[Jour],$F$53,Horodateur112335381922313437434649525558616469852226343846505854626670747882909894102106114118110122126130134138142146150154158162166170174178182186190194198202206210214410141822[Tâche],$A55)</f>
        <v>0</v>
      </c>
      <c r="G55" s="187" t="n">
        <f aca="false">SUMIFS(Horodateur112335381922313437434649525558616469852226343846505854626670747882909894102106114118110122126130134138142146150154158162166170174178182186190194198202206210214410141822[Durée (100)],Horodateur112335381922313437434649525558616469852226343846505854626670747882909894102106114118110122126130134138142146150154158162166170174178182186190194198202206210214410141822[Jour],$G$53,Horodateur112335381922313437434649525558616469852226343846505854626670747882909894102106114118110122126130134138142146150154158162166170174178182186190194198202206210214410141822[Tâche],$A55)</f>
        <v>0</v>
      </c>
      <c r="H55" s="187" t="n">
        <f aca="false">SUMIFS(Horodateur112335381922313437434649525558616469852226343846505854626670747882909894102106114118110122126130134138142146150154158162166170174178182186190194198202206210214410141822[Durée (100)],Horodateur112335381922313437434649525558616469852226343846505854626670747882909894102106114118110122126130134138142146150154158162166170174178182186190194198202206210214410141822[Jour],$H$53,Horodateur112335381922313437434649525558616469852226343846505854626670747882909894102106114118110122126130134138142146150154158162166170174178182186190194198202206210214410141822[Tâche],$A55)</f>
        <v>0</v>
      </c>
      <c r="I55" s="295" t="n">
        <f aca="false">SUM(Taches_Jour213253740182130333642454851545760636884212533374549575361656973778189979310110511311710912112512913313714114514915315716116516917317718118518919319720120520921339131721[[#This Row],[1- Lundi]:[7- Dimanche]])</f>
        <v>0.25</v>
      </c>
      <c r="J55" s="271"/>
      <c r="K55" s="1"/>
      <c r="L55" s="188"/>
      <c r="M55" s="272"/>
      <c r="N55" s="187"/>
      <c r="O55" s="1"/>
      <c r="P55" s="1"/>
      <c r="Q55" s="1"/>
      <c r="R55" s="1"/>
      <c r="S55" s="1"/>
      <c r="T55" s="1"/>
      <c r="U55" s="71"/>
      <c r="V55" s="71"/>
      <c r="W55" s="71"/>
      <c r="X55" s="71"/>
      <c r="Y55" s="71"/>
      <c r="Z55" s="71"/>
      <c r="AA55" s="71"/>
      <c r="AB55" s="71"/>
      <c r="AC55" s="71"/>
      <c r="AD55" s="71"/>
      <c r="AE55" s="71"/>
      <c r="AF55" s="71"/>
      <c r="AG55" s="71"/>
    </row>
    <row r="56" customFormat="false" ht="15" hidden="true" customHeight="false" outlineLevel="1" collapsed="false">
      <c r="A56" s="137" t="s">
        <v>23</v>
      </c>
      <c r="B56" s="187" t="n">
        <f aca="false">SUMIFS(Horodateur112335381922313437434649525558616469852226343846505854626670747882909894102106114118110122126130134138142146150154158162166170174178182186190194198202206210214410141822[Durée (100)],Horodateur112335381922313437434649525558616469852226343846505854626670747882909894102106114118110122126130134138142146150154158162166170174178182186190194198202206210214410141822[Jour],$B$53,Horodateur112335381922313437434649525558616469852226343846505854626670747882909894102106114118110122126130134138142146150154158162166170174178182186190194198202206210214410141822[Tâche],$A56)</f>
        <v>3</v>
      </c>
      <c r="C56" s="187" t="n">
        <f aca="false">SUMIFS(Horodateur112335381922313437434649525558616469852226343846505854626670747882909894102106114118110122126130134138142146150154158162166170174178182186190194198202206210214410141822[Durée (100)],Horodateur112335381922313437434649525558616469852226343846505854626670747882909894102106114118110122126130134138142146150154158162166170174178182186190194198202206210214410141822[Jour],$C$53,Horodateur112335381922313437434649525558616469852226343846505854626670747882909894102106114118110122126130134138142146150154158162166170174178182186190194198202206210214410141822[Tâche],$A56)</f>
        <v>0</v>
      </c>
      <c r="D56" s="187" t="n">
        <f aca="false">SUMIFS(Horodateur112335381922313437434649525558616469852226343846505854626670747882909894102106114118110122126130134138142146150154158162166170174178182186190194198202206210214410141822[Durée (100)],Horodateur112335381922313437434649525558616469852226343846505854626670747882909894102106114118110122126130134138142146150154158162166170174178182186190194198202206210214410141822[Jour],$D$53,Horodateur112335381922313437434649525558616469852226343846505854626670747882909894102106114118110122126130134138142146150154158162166170174178182186190194198202206210214410141822[Tâche],$A56)</f>
        <v>0</v>
      </c>
      <c r="E56" s="187" t="n">
        <f aca="false">SUMIFS(Horodateur112335381922313437434649525558616469852226343846505854626670747882909894102106114118110122126130134138142146150154158162166170174178182186190194198202206210214410141822[Durée (100)],Horodateur112335381922313437434649525558616469852226343846505854626670747882909894102106114118110122126130134138142146150154158162166170174178182186190194198202206210214410141822[Jour],$E$53,Horodateur112335381922313437434649525558616469852226343846505854626670747882909894102106114118110122126130134138142146150154158162166170174178182186190194198202206210214410141822[Tâche],$A56)</f>
        <v>0</v>
      </c>
      <c r="F56" s="71" t="n">
        <f aca="false">SUMIFS(Horodateur112335381922313437434649525558616469852226343846505854626670747882909894102106114118110122126130134138142146150154158162166170174178182186190194198202206210214410141822[Durée (100)],Horodateur112335381922313437434649525558616469852226343846505854626670747882909894102106114118110122126130134138142146150154158162166170174178182186190194198202206210214410141822[Jour],$F$53,Horodateur112335381922313437434649525558616469852226343846505854626670747882909894102106114118110122126130134138142146150154158162166170174178182186190194198202206210214410141822[Tâche],$A56)</f>
        <v>3</v>
      </c>
      <c r="G56" s="187" t="n">
        <f aca="false">SUMIFS(Horodateur112335381922313437434649525558616469852226343846505854626670747882909894102106114118110122126130134138142146150154158162166170174178182186190194198202206210214410141822[Durée (100)],Horodateur112335381922313437434649525558616469852226343846505854626670747882909894102106114118110122126130134138142146150154158162166170174178182186190194198202206210214410141822[Jour],$G$53,Horodateur112335381922313437434649525558616469852226343846505854626670747882909894102106114118110122126130134138142146150154158162166170174178182186190194198202206210214410141822[Tâche],$A56)</f>
        <v>0</v>
      </c>
      <c r="H56" s="187" t="n">
        <f aca="false">SUMIFS(Horodateur112335381922313437434649525558616469852226343846505854626670747882909894102106114118110122126130134138142146150154158162166170174178182186190194198202206210214410141822[Durée (100)],Horodateur112335381922313437434649525558616469852226343846505854626670747882909894102106114118110122126130134138142146150154158162166170174178182186190194198202206210214410141822[Jour],$H$53,Horodateur112335381922313437434649525558616469852226343846505854626670747882909894102106114118110122126130134138142146150154158162166170174178182186190194198202206210214410141822[Tâche],$A56)</f>
        <v>0</v>
      </c>
      <c r="I56" s="295" t="n">
        <f aca="false">SUM(Taches_Jour213253740182130333642454851545760636884212533374549575361656973778189979310110511311710912112512913313714114514915315716116516917317718118518919319720120520921339131721[[#This Row],[1- Lundi]:[7- Dimanche]])</f>
        <v>6</v>
      </c>
      <c r="J56" s="271"/>
      <c r="K56" s="1"/>
      <c r="L56" s="188"/>
      <c r="M56" s="272"/>
      <c r="N56" s="187"/>
      <c r="O56" s="1"/>
      <c r="P56" s="1"/>
      <c r="Q56" s="1"/>
      <c r="R56" s="1"/>
      <c r="S56" s="1"/>
      <c r="T56" s="1"/>
      <c r="U56" s="71"/>
      <c r="V56" s="71"/>
      <c r="W56" s="71"/>
      <c r="X56" s="71"/>
      <c r="Y56" s="71"/>
      <c r="Z56" s="71"/>
      <c r="AA56" s="71"/>
      <c r="AB56" s="71"/>
      <c r="AC56" s="71"/>
      <c r="AD56" s="71"/>
      <c r="AE56" s="71"/>
      <c r="AF56" s="71"/>
      <c r="AG56" s="71"/>
    </row>
    <row r="57" customFormat="false" ht="15" hidden="true" customHeight="false" outlineLevel="1" collapsed="false">
      <c r="A57" s="137" t="s">
        <v>25</v>
      </c>
      <c r="B57" s="187" t="n">
        <f aca="false">SUMIFS(Horodateur112335381922313437434649525558616469852226343846505854626670747882909894102106114118110122126130134138142146150154158162166170174178182186190194198202206210214410141822[Durée (100)],Horodateur112335381922313437434649525558616469852226343846505854626670747882909894102106114118110122126130134138142146150154158162166170174178182186190194198202206210214410141822[Jour],$B$53,Horodateur112335381922313437434649525558616469852226343846505854626670747882909894102106114118110122126130134138142146150154158162166170174178182186190194198202206210214410141822[Tâche],$A57)</f>
        <v>0</v>
      </c>
      <c r="C57" s="187" t="n">
        <f aca="false">SUMIFS(Horodateur112335381922313437434649525558616469852226343846505854626670747882909894102106114118110122126130134138142146150154158162166170174178182186190194198202206210214410141822[Durée (100)],Horodateur112335381922313437434649525558616469852226343846505854626670747882909894102106114118110122126130134138142146150154158162166170174178182186190194198202206210214410141822[Jour],$C$53,Horodateur112335381922313437434649525558616469852226343846505854626670747882909894102106114118110122126130134138142146150154158162166170174178182186190194198202206210214410141822[Tâche],$A57)</f>
        <v>0</v>
      </c>
      <c r="D57" s="187" t="n">
        <f aca="false">SUMIFS(Horodateur112335381922313437434649525558616469852226343846505854626670747882909894102106114118110122126130134138142146150154158162166170174178182186190194198202206210214410141822[Durée (100)],Horodateur112335381922313437434649525558616469852226343846505854626670747882909894102106114118110122126130134138142146150154158162166170174178182186190194198202206210214410141822[Jour],$D$53,Horodateur112335381922313437434649525558616469852226343846505854626670747882909894102106114118110122126130134138142146150154158162166170174178182186190194198202206210214410141822[Tâche],$A57)</f>
        <v>0</v>
      </c>
      <c r="E57" s="187" t="n">
        <f aca="false">SUMIFS(Horodateur112335381922313437434649525558616469852226343846505854626670747882909894102106114118110122126130134138142146150154158162166170174178182186190194198202206210214410141822[Durée (100)],Horodateur112335381922313437434649525558616469852226343846505854626670747882909894102106114118110122126130134138142146150154158162166170174178182186190194198202206210214410141822[Jour],$E$53,Horodateur112335381922313437434649525558616469852226343846505854626670747882909894102106114118110122126130134138142146150154158162166170174178182186190194198202206210214410141822[Tâche],$A57)</f>
        <v>0</v>
      </c>
      <c r="F57" s="71" t="n">
        <f aca="false">SUMIFS(Horodateur112335381922313437434649525558616469852226343846505854626670747882909894102106114118110122126130134138142146150154158162166170174178182186190194198202206210214410141822[Durée (100)],Horodateur112335381922313437434649525558616469852226343846505854626670747882909894102106114118110122126130134138142146150154158162166170174178182186190194198202206210214410141822[Jour],$F$53,Horodateur112335381922313437434649525558616469852226343846505854626670747882909894102106114118110122126130134138142146150154158162166170174178182186190194198202206210214410141822[Tâche],$A57)</f>
        <v>0</v>
      </c>
      <c r="G57" s="187" t="n">
        <f aca="false">SUMIFS(Horodateur112335381922313437434649525558616469852226343846505854626670747882909894102106114118110122126130134138142146150154158162166170174178182186190194198202206210214410141822[Durée (100)],Horodateur112335381922313437434649525558616469852226343846505854626670747882909894102106114118110122126130134138142146150154158162166170174178182186190194198202206210214410141822[Jour],$G$53,Horodateur112335381922313437434649525558616469852226343846505854626670747882909894102106114118110122126130134138142146150154158162166170174178182186190194198202206210214410141822[Tâche],$A57)</f>
        <v>0</v>
      </c>
      <c r="H57" s="187" t="n">
        <f aca="false">SUMIFS(Horodateur112335381922313437434649525558616469852226343846505854626670747882909894102106114118110122126130134138142146150154158162166170174178182186190194198202206210214410141822[Durée (100)],Horodateur112335381922313437434649525558616469852226343846505854626670747882909894102106114118110122126130134138142146150154158162166170174178182186190194198202206210214410141822[Jour],$H$53,Horodateur112335381922313437434649525558616469852226343846505854626670747882909894102106114118110122126130134138142146150154158162166170174178182186190194198202206210214410141822[Tâche],$A57)</f>
        <v>0</v>
      </c>
      <c r="I57" s="295" t="n">
        <f aca="false">SUM(Taches_Jour213253740182130333642454851545760636884212533374549575361656973778189979310110511311710912112512913313714114514915315716116516917317718118518919319720120520921339131721[[#This Row],[1- Lundi]:[7- Dimanche]])</f>
        <v>0</v>
      </c>
      <c r="J57" s="271"/>
      <c r="K57" s="1"/>
      <c r="L57" s="188"/>
      <c r="M57" s="272"/>
      <c r="N57" s="187"/>
      <c r="O57" s="1"/>
      <c r="P57" s="1"/>
      <c r="Q57" s="1"/>
      <c r="R57" s="1"/>
      <c r="S57" s="1"/>
      <c r="T57" s="1"/>
      <c r="U57" s="71"/>
      <c r="V57" s="71"/>
      <c r="W57" s="71"/>
      <c r="X57" s="71"/>
      <c r="Y57" s="71"/>
      <c r="Z57" s="71"/>
      <c r="AA57" s="71"/>
      <c r="AB57" s="71"/>
      <c r="AC57" s="71"/>
      <c r="AD57" s="71"/>
      <c r="AE57" s="71"/>
      <c r="AF57" s="71"/>
      <c r="AG57" s="71"/>
    </row>
    <row r="58" customFormat="false" ht="15" hidden="true" customHeight="false" outlineLevel="1" collapsed="false">
      <c r="A58" s="137" t="s">
        <v>26</v>
      </c>
      <c r="B58" s="187" t="n">
        <f aca="false">SUMIFS(Horodateur112335381922313437434649525558616469852226343846505854626670747882909894102106114118110122126130134138142146150154158162166170174178182186190194198202206210214410141822[Durée (100)],Horodateur112335381922313437434649525558616469852226343846505854626670747882909894102106114118110122126130134138142146150154158162166170174178182186190194198202206210214410141822[Jour],$B$53,Horodateur112335381922313437434649525558616469852226343846505854626670747882909894102106114118110122126130134138142146150154158162166170174178182186190194198202206210214410141822[Tâche],$A58)</f>
        <v>0</v>
      </c>
      <c r="C58" s="187" t="n">
        <f aca="false">SUMIFS(Horodateur112335381922313437434649525558616469852226343846505854626670747882909894102106114118110122126130134138142146150154158162166170174178182186190194198202206210214410141822[Durée (100)],Horodateur112335381922313437434649525558616469852226343846505854626670747882909894102106114118110122126130134138142146150154158162166170174178182186190194198202206210214410141822[Jour],$C$53,Horodateur112335381922313437434649525558616469852226343846505854626670747882909894102106114118110122126130134138142146150154158162166170174178182186190194198202206210214410141822[Tâche],$A58)</f>
        <v>0</v>
      </c>
      <c r="D58" s="187" t="n">
        <f aca="false">SUMIFS(Horodateur112335381922313437434649525558616469852226343846505854626670747882909894102106114118110122126130134138142146150154158162166170174178182186190194198202206210214410141822[Durée (100)],Horodateur112335381922313437434649525558616469852226343846505854626670747882909894102106114118110122126130134138142146150154158162166170174178182186190194198202206210214410141822[Jour],$D$53,Horodateur112335381922313437434649525558616469852226343846505854626670747882909894102106114118110122126130134138142146150154158162166170174178182186190194198202206210214410141822[Tâche],$A58)</f>
        <v>0</v>
      </c>
      <c r="E58" s="187" t="n">
        <f aca="false">SUMIFS(Horodateur112335381922313437434649525558616469852226343846505854626670747882909894102106114118110122126130134138142146150154158162166170174178182186190194198202206210214410141822[Durée (100)],Horodateur112335381922313437434649525558616469852226343846505854626670747882909894102106114118110122126130134138142146150154158162166170174178182186190194198202206210214410141822[Jour],$E$53,Horodateur112335381922313437434649525558616469852226343846505854626670747882909894102106114118110122126130134138142146150154158162166170174178182186190194198202206210214410141822[Tâche],$A58)</f>
        <v>0</v>
      </c>
      <c r="F58" s="71" t="n">
        <f aca="false">SUMIFS(Horodateur112335381922313437434649525558616469852226343846505854626670747882909894102106114118110122126130134138142146150154158162166170174178182186190194198202206210214410141822[Durée (100)],Horodateur112335381922313437434649525558616469852226343846505854626670747882909894102106114118110122126130134138142146150154158162166170174178182186190194198202206210214410141822[Jour],$F$53,Horodateur112335381922313437434649525558616469852226343846505854626670747882909894102106114118110122126130134138142146150154158162166170174178182186190194198202206210214410141822[Tâche],$A58)</f>
        <v>0</v>
      </c>
      <c r="G58" s="187" t="n">
        <f aca="false">SUMIFS(Horodateur112335381922313437434649525558616469852226343846505854626670747882909894102106114118110122126130134138142146150154158162166170174178182186190194198202206210214410141822[Durée (100)],Horodateur112335381922313437434649525558616469852226343846505854626670747882909894102106114118110122126130134138142146150154158162166170174178182186190194198202206210214410141822[Jour],$G$53,Horodateur112335381922313437434649525558616469852226343846505854626670747882909894102106114118110122126130134138142146150154158162166170174178182186190194198202206210214410141822[Tâche],$A58)</f>
        <v>0</v>
      </c>
      <c r="H58" s="187" t="n">
        <f aca="false">SUMIFS(Horodateur112335381922313437434649525558616469852226343846505854626670747882909894102106114118110122126130134138142146150154158162166170174178182186190194198202206210214410141822[Durée (100)],Horodateur112335381922313437434649525558616469852226343846505854626670747882909894102106114118110122126130134138142146150154158162166170174178182186190194198202206210214410141822[Jour],$H$53,Horodateur112335381922313437434649525558616469852226343846505854626670747882909894102106114118110122126130134138142146150154158162166170174178182186190194198202206210214410141822[Tâche],$A58)</f>
        <v>0</v>
      </c>
      <c r="I58" s="295" t="n">
        <f aca="false">SUM(Taches_Jour213253740182130333642454851545760636884212533374549575361656973778189979310110511311710912112512913313714114514915315716116516917317718118518919319720120520921339131721[[#This Row],[1- Lundi]:[7- Dimanche]])</f>
        <v>0</v>
      </c>
      <c r="J58" s="271"/>
      <c r="K58" s="1"/>
      <c r="L58" s="188"/>
      <c r="M58" s="272"/>
      <c r="N58" s="187"/>
      <c r="O58" s="1"/>
      <c r="P58" s="1"/>
      <c r="Q58" s="1"/>
      <c r="R58" s="1"/>
      <c r="S58" s="1"/>
      <c r="T58" s="1"/>
      <c r="U58" s="71"/>
      <c r="V58" s="71"/>
      <c r="W58" s="71"/>
      <c r="X58" s="71"/>
      <c r="Y58" s="71"/>
      <c r="Z58" s="71"/>
      <c r="AA58" s="71"/>
      <c r="AB58" s="71"/>
      <c r="AC58" s="71"/>
      <c r="AD58" s="71"/>
      <c r="AE58" s="71"/>
      <c r="AF58" s="71"/>
      <c r="AG58" s="71"/>
    </row>
    <row r="59" customFormat="false" ht="15" hidden="true" customHeight="false" outlineLevel="1" collapsed="false">
      <c r="A59" s="137" t="s">
        <v>378</v>
      </c>
      <c r="B59" s="187" t="n">
        <f aca="false">SUMIFS(Horodateur112335381922313437434649525558616469852226343846505854626670747882909894102106114118110122126130134138142146150154158162166170174178182186190194198202206210214410141822[Durée (100)],Horodateur112335381922313437434649525558616469852226343846505854626670747882909894102106114118110122126130134138142146150154158162166170174178182186190194198202206210214410141822[Jour],$B$53,Horodateur112335381922313437434649525558616469852226343846505854626670747882909894102106114118110122126130134138142146150154158162166170174178182186190194198202206210214410141822[Tâche],$A59)</f>
        <v>0.999999999999999</v>
      </c>
      <c r="C59" s="187" t="n">
        <f aca="false">SUMIFS(Horodateur112335381922313437434649525558616469852226343846505854626670747882909894102106114118110122126130134138142146150154158162166170174178182186190194198202206210214410141822[Durée (100)],Horodateur112335381922313437434649525558616469852226343846505854626670747882909894102106114118110122126130134138142146150154158162166170174178182186190194198202206210214410141822[Jour],$C$53,Horodateur112335381922313437434649525558616469852226343846505854626670747882909894102106114118110122126130134138142146150154158162166170174178182186190194198202206210214410141822[Tâche],$A59)</f>
        <v>7</v>
      </c>
      <c r="D59" s="187" t="n">
        <f aca="false">SUMIFS(Horodateur112335381922313437434649525558616469852226343846505854626670747882909894102106114118110122126130134138142146150154158162166170174178182186190194198202206210214410141822[Durée (100)],Horodateur112335381922313437434649525558616469852226343846505854626670747882909894102106114118110122126130134138142146150154158162166170174178182186190194198202206210214410141822[Jour],$D$53,Horodateur112335381922313437434649525558616469852226343846505854626670747882909894102106114118110122126130134138142146150154158162166170174178182186190194198202206210214410141822[Tâche],$A59)</f>
        <v>7.75</v>
      </c>
      <c r="E59" s="187" t="n">
        <f aca="false">SUMIFS(Horodateur112335381922313437434649525558616469852226343846505854626670747882909894102106114118110122126130134138142146150154158162166170174178182186190194198202206210214410141822[Durée (100)],Horodateur112335381922313437434649525558616469852226343846505854626670747882909894102106114118110122126130134138142146150154158162166170174178182186190194198202206210214410141822[Jour],$E$53,Horodateur112335381922313437434649525558616469852226343846505854626670747882909894102106114118110122126130134138142146150154158162166170174178182186190194198202206210214410141822[Tâche],$A59)</f>
        <v>2</v>
      </c>
      <c r="F59" s="71" t="n">
        <f aca="false">SUMIFS(Horodateur112335381922313437434649525558616469852226343846505854626670747882909894102106114118110122126130134138142146150154158162166170174178182186190194198202206210214410141822[Durée (100)],Horodateur112335381922313437434649525558616469852226343846505854626670747882909894102106114118110122126130134138142146150154158162166170174178182186190194198202206210214410141822[Jour],$F$53,Horodateur112335381922313437434649525558616469852226343846505854626670747882909894102106114118110122126130134138142146150154158162166170174178182186190194198202206210214410141822[Tâche],$A59)</f>
        <v>2.5</v>
      </c>
      <c r="G59" s="187" t="n">
        <f aca="false">SUMIFS(Horodateur112335381922313437434649525558616469852226343846505854626670747882909894102106114118110122126130134138142146150154158162166170174178182186190194198202206210214410141822[Durée (100)],Horodateur112335381922313437434649525558616469852226343846505854626670747882909894102106114118110122126130134138142146150154158162166170174178182186190194198202206210214410141822[Jour],$G$53,Horodateur112335381922313437434649525558616469852226343846505854626670747882909894102106114118110122126130134138142146150154158162166170174178182186190194198202206210214410141822[Tâche],$A59)</f>
        <v>0</v>
      </c>
      <c r="H59" s="187" t="n">
        <f aca="false">SUMIFS(Horodateur112335381922313437434649525558616469852226343846505854626670747882909894102106114118110122126130134138142146150154158162166170174178182186190194198202206210214410141822[Durée (100)],Horodateur112335381922313437434649525558616469852226343846505854626670747882909894102106114118110122126130134138142146150154158162166170174178182186190194198202206210214410141822[Jour],$H$53,Horodateur112335381922313437434649525558616469852226343846505854626670747882909894102106114118110122126130134138142146150154158162166170174178182186190194198202206210214410141822[Tâche],$A59)</f>
        <v>0</v>
      </c>
      <c r="I59" s="295" t="n">
        <f aca="false">SUM(Taches_Jour213253740182130333642454851545760636884212533374549575361656973778189979310110511311710912112512913313714114514915315716116516917317718118518919319720120520921339131721[[#This Row],[1- Lundi]:[7- Dimanche]])</f>
        <v>20.25</v>
      </c>
      <c r="J59" s="271"/>
      <c r="K59" s="1"/>
      <c r="L59" s="188"/>
      <c r="M59" s="272"/>
      <c r="N59" s="187"/>
      <c r="O59" s="1"/>
      <c r="P59" s="1"/>
      <c r="Q59" s="1"/>
      <c r="R59" s="1"/>
      <c r="S59" s="1"/>
      <c r="T59" s="1"/>
      <c r="U59" s="71"/>
      <c r="V59" s="71"/>
      <c r="W59" s="71"/>
      <c r="X59" s="71"/>
      <c r="Y59" s="71"/>
      <c r="Z59" s="71"/>
      <c r="AA59" s="71"/>
      <c r="AB59" s="71"/>
      <c r="AC59" s="71"/>
      <c r="AD59" s="71"/>
      <c r="AE59" s="71"/>
      <c r="AF59" s="71"/>
      <c r="AG59" s="71"/>
    </row>
    <row r="60" customFormat="false" ht="15" hidden="true" customHeight="false" outlineLevel="1" collapsed="false">
      <c r="A60" s="137" t="s">
        <v>382</v>
      </c>
      <c r="B60" s="187" t="n">
        <f aca="false">SUMIFS(Horodateur112335381922313437434649525558616469852226343846505854626670747882909894102106114118110122126130134138142146150154158162166170174178182186190194198202206210214410141822[Durée (100)],Horodateur112335381922313437434649525558616469852226343846505854626670747882909894102106114118110122126130134138142146150154158162166170174178182186190194198202206210214410141822[Jour],$B$53,Horodateur112335381922313437434649525558616469852226343846505854626670747882909894102106114118110122126130134138142146150154158162166170174178182186190194198202206210214410141822[Tâche],$A60)</f>
        <v>0</v>
      </c>
      <c r="C60" s="187" t="n">
        <f aca="false">SUMIFS(Horodateur112335381922313437434649525558616469852226343846505854626670747882909894102106114118110122126130134138142146150154158162166170174178182186190194198202206210214410141822[Durée (100)],Horodateur112335381922313437434649525558616469852226343846505854626670747882909894102106114118110122126130134138142146150154158162166170174178182186190194198202206210214410141822[Jour],$C$53,Horodateur112335381922313437434649525558616469852226343846505854626670747882909894102106114118110122126130134138142146150154158162166170174178182186190194198202206210214410141822[Tâche],$A60)</f>
        <v>0</v>
      </c>
      <c r="D60" s="187" t="n">
        <f aca="false">SUMIFS(Horodateur112335381922313437434649525558616469852226343846505854626670747882909894102106114118110122126130134138142146150154158162166170174178182186190194198202206210214410141822[Durée (100)],Horodateur112335381922313437434649525558616469852226343846505854626670747882909894102106114118110122126130134138142146150154158162166170174178182186190194198202206210214410141822[Jour],$D$53,Horodateur112335381922313437434649525558616469852226343846505854626670747882909894102106114118110122126130134138142146150154158162166170174178182186190194198202206210214410141822[Tâche],$A60)</f>
        <v>0</v>
      </c>
      <c r="E60" s="187" t="n">
        <f aca="false">SUMIFS(Horodateur112335381922313437434649525558616469852226343846505854626670747882909894102106114118110122126130134138142146150154158162166170174178182186190194198202206210214410141822[Durée (100)],Horodateur112335381922313437434649525558616469852226343846505854626670747882909894102106114118110122126130134138142146150154158162166170174178182186190194198202206210214410141822[Jour],$E$53,Horodateur112335381922313437434649525558616469852226343846505854626670747882909894102106114118110122126130134138142146150154158162166170174178182186190194198202206210214410141822[Tâche],$A60)</f>
        <v>0</v>
      </c>
      <c r="F60" s="71" t="n">
        <f aca="false">SUMIFS(Horodateur112335381922313437434649525558616469852226343846505854626670747882909894102106114118110122126130134138142146150154158162166170174178182186190194198202206210214410141822[Durée (100)],Horodateur112335381922313437434649525558616469852226343846505854626670747882909894102106114118110122126130134138142146150154158162166170174178182186190194198202206210214410141822[Jour],$F$53,Horodateur112335381922313437434649525558616469852226343846505854626670747882909894102106114118110122126130134138142146150154158162166170174178182186190194198202206210214410141822[Tâche],$A60)</f>
        <v>0</v>
      </c>
      <c r="G60" s="187" t="n">
        <f aca="false">SUMIFS(Horodateur112335381922313437434649525558616469852226343846505854626670747882909894102106114118110122126130134138142146150154158162166170174178182186190194198202206210214410141822[Durée (100)],Horodateur112335381922313437434649525558616469852226343846505854626670747882909894102106114118110122126130134138142146150154158162166170174178182186190194198202206210214410141822[Jour],$G$53,Horodateur112335381922313437434649525558616469852226343846505854626670747882909894102106114118110122126130134138142146150154158162166170174178182186190194198202206210214410141822[Tâche],$A60)</f>
        <v>0</v>
      </c>
      <c r="H60" s="187" t="n">
        <f aca="false">SUMIFS(Horodateur112335381922313437434649525558616469852226343846505854626670747882909894102106114118110122126130134138142146150154158162166170174178182186190194198202206210214410141822[Durée (100)],Horodateur112335381922313437434649525558616469852226343846505854626670747882909894102106114118110122126130134138142146150154158162166170174178182186190194198202206210214410141822[Jour],$H$53,Horodateur112335381922313437434649525558616469852226343846505854626670747882909894102106114118110122126130134138142146150154158162166170174178182186190194198202206210214410141822[Tâche],$A60)</f>
        <v>0</v>
      </c>
      <c r="I60" s="295" t="n">
        <f aca="false">SUM(Taches_Jour213253740182130333642454851545760636884212533374549575361656973778189979310110511311710912112512913313714114514915315716116516917317718118518919319720120520921339131721[[#This Row],[1- Lundi]:[7- Dimanche]])</f>
        <v>0</v>
      </c>
      <c r="J60" s="271"/>
      <c r="K60" s="1"/>
      <c r="L60" s="188"/>
      <c r="M60" s="272"/>
      <c r="N60" s="187"/>
      <c r="O60" s="1"/>
      <c r="P60" s="1"/>
      <c r="Q60" s="1"/>
      <c r="R60" s="1"/>
      <c r="S60" s="1"/>
      <c r="T60" s="1"/>
      <c r="U60" s="71"/>
      <c r="V60" s="71"/>
      <c r="W60" s="71"/>
      <c r="X60" s="71"/>
      <c r="Y60" s="71"/>
      <c r="Z60" s="71"/>
      <c r="AA60" s="71"/>
      <c r="AB60" s="71"/>
      <c r="AC60" s="71"/>
      <c r="AD60" s="71"/>
      <c r="AE60" s="71"/>
      <c r="AF60" s="71"/>
      <c r="AG60" s="71"/>
    </row>
    <row r="61" customFormat="false" ht="15" hidden="true" customHeight="false" outlineLevel="1" collapsed="false">
      <c r="A61" s="137" t="s">
        <v>380</v>
      </c>
      <c r="B61" s="187" t="n">
        <f aca="false">SUMIFS(Horodateur112335381922313437434649525558616469852226343846505854626670747882909894102106114118110122126130134138142146150154158162166170174178182186190194198202206210214410141822[Durée (100)],Horodateur112335381922313437434649525558616469852226343846505854626670747882909894102106114118110122126130134138142146150154158162166170174178182186190194198202206210214410141822[Jour],$B$53,Horodateur112335381922313437434649525558616469852226343846505854626670747882909894102106114118110122126130134138142146150154158162166170174178182186190194198202206210214410141822[Tâche],$A61)</f>
        <v>0</v>
      </c>
      <c r="C61" s="187" t="n">
        <f aca="false">SUMIFS(Horodateur112335381922313437434649525558616469852226343846505854626670747882909894102106114118110122126130134138142146150154158162166170174178182186190194198202206210214410141822[Durée (100)],Horodateur112335381922313437434649525558616469852226343846505854626670747882909894102106114118110122126130134138142146150154158162166170174178182186190194198202206210214410141822[Jour],$C$53,Horodateur112335381922313437434649525558616469852226343846505854626670747882909894102106114118110122126130134138142146150154158162166170174178182186190194198202206210214410141822[Tâche],$A61)</f>
        <v>0</v>
      </c>
      <c r="D61" s="187" t="n">
        <f aca="false">SUMIFS(Horodateur112335381922313437434649525558616469852226343846505854626670747882909894102106114118110122126130134138142146150154158162166170174178182186190194198202206210214410141822[Durée (100)],Horodateur112335381922313437434649525558616469852226343846505854626670747882909894102106114118110122126130134138142146150154158162166170174178182186190194198202206210214410141822[Jour],$D$53,Horodateur112335381922313437434649525558616469852226343846505854626670747882909894102106114118110122126130134138142146150154158162166170174178182186190194198202206210214410141822[Tâche],$A61)</f>
        <v>0</v>
      </c>
      <c r="E61" s="187" t="n">
        <f aca="false">SUMIFS(Horodateur112335381922313437434649525558616469852226343846505854626670747882909894102106114118110122126130134138142146150154158162166170174178182186190194198202206210214410141822[Durée (100)],Horodateur112335381922313437434649525558616469852226343846505854626670747882909894102106114118110122126130134138142146150154158162166170174178182186190194198202206210214410141822[Jour],$E$53,Horodateur112335381922313437434649525558616469852226343846505854626670747882909894102106114118110122126130134138142146150154158162166170174178182186190194198202206210214410141822[Tâche],$A61)</f>
        <v>0</v>
      </c>
      <c r="F61" s="71" t="n">
        <f aca="false">SUMIFS(Horodateur112335381922313437434649525558616469852226343846505854626670747882909894102106114118110122126130134138142146150154158162166170174178182186190194198202206210214410141822[Durée (100)],Horodateur112335381922313437434649525558616469852226343846505854626670747882909894102106114118110122126130134138142146150154158162166170174178182186190194198202206210214410141822[Jour],$F$53,Horodateur112335381922313437434649525558616469852226343846505854626670747882909894102106114118110122126130134138142146150154158162166170174178182186190194198202206210214410141822[Tâche],$A61)</f>
        <v>0</v>
      </c>
      <c r="G61" s="187" t="n">
        <f aca="false">SUMIFS(Horodateur112335381922313437434649525558616469852226343846505854626670747882909894102106114118110122126130134138142146150154158162166170174178182186190194198202206210214410141822[Durée (100)],Horodateur112335381922313437434649525558616469852226343846505854626670747882909894102106114118110122126130134138142146150154158162166170174178182186190194198202206210214410141822[Jour],$G$53,Horodateur112335381922313437434649525558616469852226343846505854626670747882909894102106114118110122126130134138142146150154158162166170174178182186190194198202206210214410141822[Tâche],$A61)</f>
        <v>0</v>
      </c>
      <c r="H61" s="187" t="n">
        <f aca="false">SUMIFS(Horodateur112335381922313437434649525558616469852226343846505854626670747882909894102106114118110122126130134138142146150154158162166170174178182186190194198202206210214410141822[Durée (100)],Horodateur112335381922313437434649525558616469852226343846505854626670747882909894102106114118110122126130134138142146150154158162166170174178182186190194198202206210214410141822[Jour],$H$53,Horodateur112335381922313437434649525558616469852226343846505854626670747882909894102106114118110122126130134138142146150154158162166170174178182186190194198202206210214410141822[Tâche],$A61)</f>
        <v>0</v>
      </c>
      <c r="I61" s="295" t="n">
        <f aca="false">SUM(Taches_Jour213253740182130333642454851545760636884212533374549575361656973778189979310110511311710912112512913313714114514915315716116516917317718118518919319720120520921339131721[[#This Row],[1- Lundi]:[7- Dimanche]])</f>
        <v>0</v>
      </c>
      <c r="J61" s="271"/>
      <c r="K61" s="1"/>
      <c r="L61" s="188"/>
      <c r="M61" s="272"/>
      <c r="N61" s="76"/>
    </row>
    <row r="62" customFormat="false" ht="15" hidden="true" customHeight="false" outlineLevel="1" collapsed="false">
      <c r="N62" s="76"/>
    </row>
    <row r="63" customFormat="false" ht="15" hidden="false" customHeight="false" outlineLevel="1" collapsed="false">
      <c r="G63" s="0" t="s">
        <v>383</v>
      </c>
      <c r="N63" s="76"/>
    </row>
    <row r="64" customFormat="false" ht="15" hidden="false" customHeight="false" outlineLevel="0" collapsed="false">
      <c r="N64" s="76"/>
    </row>
    <row r="65" customFormat="false" ht="15" hidden="false" customHeight="false" outlineLevel="0" collapsed="false">
      <c r="G65" s="76"/>
      <c r="N65" s="76"/>
    </row>
    <row r="66" customFormat="false" ht="15" hidden="false" customHeight="false" outlineLevel="0" collapsed="false">
      <c r="N66" s="76"/>
    </row>
    <row r="67" customFormat="false" ht="15" hidden="false" customHeight="false" outlineLevel="0" collapsed="false">
      <c r="N67" s="76"/>
    </row>
    <row r="68" customFormat="false" ht="15" hidden="false" customHeight="false" outlineLevel="0" collapsed="false">
      <c r="N68" s="76"/>
    </row>
    <row r="69" customFormat="false" ht="15" hidden="false" customHeight="false" outlineLevel="0" collapsed="false">
      <c r="N69" s="76"/>
    </row>
    <row r="70" customFormat="false" ht="15" hidden="false" customHeight="false" outlineLevel="0" collapsed="false">
      <c r="N70" s="76"/>
    </row>
    <row r="71" customFormat="false" ht="15" hidden="false" customHeight="false" outlineLevel="0" collapsed="false">
      <c r="N71" s="76"/>
    </row>
    <row r="72" customFormat="false" ht="15" hidden="false" customHeight="false" outlineLevel="0" collapsed="false">
      <c r="N72" s="76"/>
    </row>
    <row r="73" customFormat="false" ht="15" hidden="false" customHeight="false" outlineLevel="0" collapsed="false">
      <c r="N73" s="76"/>
    </row>
    <row r="74" customFormat="false" ht="15" hidden="false" customHeight="false" outlineLevel="0" collapsed="false">
      <c r="N74" s="76"/>
    </row>
    <row r="75" customFormat="false" ht="15" hidden="false" customHeight="false" outlineLevel="0" collapsed="false">
      <c r="N75" s="76"/>
    </row>
    <row r="76" customFormat="false" ht="15" hidden="false" customHeight="false" outlineLevel="0" collapsed="false">
      <c r="N76" s="76"/>
    </row>
    <row r="77" customFormat="false" ht="15" hidden="false" customHeight="false" outlineLevel="0" collapsed="false">
      <c r="N77" s="76"/>
    </row>
    <row r="78" customFormat="false" ht="15" hidden="false" customHeight="false" outlineLevel="0" collapsed="false">
      <c r="N78" s="76"/>
    </row>
    <row r="79" customFormat="false" ht="15" hidden="false" customHeight="false" outlineLevel="0" collapsed="false">
      <c r="N79" s="76"/>
    </row>
    <row r="80" customFormat="false" ht="15" hidden="false" customHeight="false" outlineLevel="0" collapsed="false">
      <c r="N80" s="76"/>
    </row>
    <row r="81" customFormat="false" ht="15" hidden="false" customHeight="false" outlineLevel="0" collapsed="false">
      <c r="N81" s="76"/>
    </row>
    <row r="82" customFormat="false" ht="15" hidden="false" customHeight="false" outlineLevel="0" collapsed="false">
      <c r="N82" s="76"/>
    </row>
    <row r="83" customFormat="false" ht="15" hidden="false" customHeight="false" outlineLevel="0" collapsed="false">
      <c r="N83" s="76"/>
    </row>
    <row r="84" customFormat="false" ht="15" hidden="false" customHeight="false" outlineLevel="0" collapsed="false">
      <c r="N84" s="76"/>
    </row>
    <row r="85" customFormat="false" ht="15" hidden="false" customHeight="false" outlineLevel="0" collapsed="false">
      <c r="A85" s="296" t="s">
        <v>384</v>
      </c>
      <c r="B85" s="296"/>
      <c r="N85" s="76"/>
    </row>
    <row r="86" customFormat="false" ht="15" hidden="false" customHeight="false" outlineLevel="0" collapsed="false">
      <c r="A86" s="297" t="s">
        <v>385</v>
      </c>
      <c r="B86" s="297" t="s">
        <v>8</v>
      </c>
      <c r="N86" s="76"/>
    </row>
    <row r="87" customFormat="false" ht="15" hidden="false" customHeight="false" outlineLevel="0" collapsed="false">
      <c r="A87" s="298" t="n">
        <v>0</v>
      </c>
      <c r="B87" s="299" t="s">
        <v>386</v>
      </c>
      <c r="N87" s="76"/>
    </row>
    <row r="88" customFormat="false" ht="15" hidden="false" customHeight="false" outlineLevel="0" collapsed="false">
      <c r="A88" s="298" t="n">
        <v>-2</v>
      </c>
      <c r="B88" s="299" t="s">
        <v>387</v>
      </c>
      <c r="N88" s="76"/>
    </row>
    <row r="89" customFormat="false" ht="15" hidden="false" customHeight="false" outlineLevel="0" collapsed="false">
      <c r="A89" s="298" t="n">
        <v>8.5</v>
      </c>
      <c r="B89" s="299" t="s">
        <v>388</v>
      </c>
      <c r="N89" s="76"/>
    </row>
    <row r="90" customFormat="false" ht="15" hidden="false" customHeight="false" outlineLevel="0" collapsed="false">
      <c r="A90" s="298" t="n">
        <v>14.5</v>
      </c>
      <c r="B90" s="299" t="s">
        <v>389</v>
      </c>
      <c r="N90" s="76"/>
    </row>
    <row r="91" customFormat="false" ht="15" hidden="false" customHeight="false" outlineLevel="0" collapsed="false">
      <c r="A91" s="298" t="n">
        <v>8.5</v>
      </c>
      <c r="B91" s="299" t="s">
        <v>390</v>
      </c>
      <c r="N91" s="76"/>
    </row>
    <row r="92" customFormat="false" ht="15" hidden="false" customHeight="false" outlineLevel="0" collapsed="false">
      <c r="A92" s="298" t="n">
        <v>10</v>
      </c>
      <c r="B92" s="299" t="s">
        <v>391</v>
      </c>
      <c r="N92" s="76"/>
    </row>
    <row r="93" customFormat="false" ht="15" hidden="false" customHeight="false" outlineLevel="0" collapsed="false">
      <c r="A93" s="298" t="n">
        <v>-7.5</v>
      </c>
      <c r="B93" s="299" t="s">
        <v>392</v>
      </c>
      <c r="N93" s="76"/>
    </row>
    <row r="94" customFormat="false" ht="15" hidden="false" customHeight="false" outlineLevel="0" collapsed="false">
      <c r="A94" s="298" t="n">
        <v>2</v>
      </c>
      <c r="B94" s="299" t="s">
        <v>393</v>
      </c>
      <c r="N94" s="76"/>
    </row>
    <row r="95" customFormat="false" ht="15" hidden="false" customHeight="false" outlineLevel="0" collapsed="false">
      <c r="A95" s="300" t="n">
        <v>2</v>
      </c>
      <c r="B95" s="301" t="s">
        <v>394</v>
      </c>
      <c r="N95" s="76"/>
    </row>
    <row r="96" customFormat="false" ht="15" hidden="false" customHeight="false" outlineLevel="0" collapsed="false">
      <c r="A96" s="300" t="n">
        <v>2.25</v>
      </c>
      <c r="B96" s="301" t="s">
        <v>395</v>
      </c>
    </row>
    <row r="97" customFormat="false" ht="15" hidden="false" customHeight="false" outlineLevel="0" collapsed="false">
      <c r="A97" s="300" t="n">
        <v>-4</v>
      </c>
      <c r="B97" s="302" t="s">
        <v>396</v>
      </c>
    </row>
    <row r="98" customFormat="false" ht="15" hidden="false" customHeight="false" outlineLevel="0" collapsed="false">
      <c r="A98" s="300" t="n">
        <v>-7.5</v>
      </c>
      <c r="B98" s="301" t="s">
        <v>397</v>
      </c>
    </row>
  </sheetData>
  <mergeCells count="1">
    <mergeCell ref="A85:B85"/>
  </mergeCells>
  <conditionalFormatting sqref="G4:G37">
    <cfRule type="expression" priority="2" aboveAverage="0" equalAverage="0" bottom="0" percent="0" rank="0" text="" dxfId="880">
      <formula>L4="O"</formula>
    </cfRule>
    <cfRule type="expression" priority="3" aboveAverage="0" equalAverage="0" bottom="0" percent="0" rank="0" text="" dxfId="881">
      <formula>H4=0</formula>
    </cfRule>
  </conditionalFormatting>
  <conditionalFormatting sqref="F4:F37">
    <cfRule type="expression" priority="4" aboveAverage="0" equalAverage="0" bottom="0" percent="0" rank="0" text="" dxfId="882">
      <formula>L4="O"</formula>
    </cfRule>
  </conditionalFormatting>
  <conditionalFormatting sqref="E4:E37">
    <cfRule type="expression" priority="5" aboveAverage="0" equalAverage="0" bottom="0" percent="0" rank="0" text="" dxfId="883">
      <formula>L4="O"</formula>
    </cfRule>
  </conditionalFormatting>
  <conditionalFormatting sqref="C4:I37 K4:K37">
    <cfRule type="containsText" priority="6" operator="containsText" aboveAverage="0" equalAverage="0" bottom="0" percent="0" rank="0" text="Lundi" dxfId="693">
      <formula>NOT(ISERROR(SEARCH("Lundi",C4)))</formula>
    </cfRule>
  </conditionalFormatting>
  <conditionalFormatting sqref="D4:D37">
    <cfRule type="expression" priority="7" aboveAverage="0" equalAverage="0" bottom="0" percent="0" rank="0" text="" dxfId="884">
      <formula>L4="O"</formula>
    </cfRule>
  </conditionalFormatting>
  <conditionalFormatting sqref="C4:C37">
    <cfRule type="expression" priority="8" aboveAverage="0" equalAverage="0" bottom="0" percent="0" rank="0" text="" dxfId="885">
      <formula>L4="O"</formula>
    </cfRule>
  </conditionalFormatting>
  <conditionalFormatting sqref="K4:K37">
    <cfRule type="expression" priority="9" aboveAverage="0" equalAverage="0" bottom="0" percent="0" rank="0" text="" dxfId="886">
      <formula>L4="O"</formula>
    </cfRule>
  </conditionalFormatting>
  <conditionalFormatting sqref="I4:I37">
    <cfRule type="expression" priority="10" aboveAverage="0" equalAverage="0" bottom="0" percent="0" rank="0" text="" dxfId="887">
      <formula>L4="O"</formula>
    </cfRule>
  </conditionalFormatting>
  <conditionalFormatting sqref="H4:H37">
    <cfRule type="expression" priority="11" aboveAverage="0" equalAverage="0" bottom="0" percent="0" rank="0" text="" dxfId="888">
      <formula>L4="O"</formula>
    </cfRule>
  </conditionalFormatting>
  <conditionalFormatting sqref="F2:J2">
    <cfRule type="iconSet" priority="12">
      <iconSet iconSet="3TrafficLights1">
        <cfvo type="percent" val="0"/>
        <cfvo type="percent" val="33"/>
        <cfvo type="percent" val="67"/>
      </iconSet>
    </cfRule>
  </conditionalFormatting>
  <conditionalFormatting sqref="B4:B37">
    <cfRule type="containsText" priority="13" operator="containsText" aboveAverage="0" equalAverage="0" bottom="0" percent="0" rank="0" text="5" dxfId="889">
      <formula>NOT(ISERROR(SEARCH("5",B4)))</formula>
    </cfRule>
    <cfRule type="containsText" priority="14" operator="containsText" aboveAverage="0" equalAverage="0" bottom="0" percent="0" rank="0" text="4" dxfId="890">
      <formula>NOT(ISERROR(SEARCH("4",B4)))</formula>
    </cfRule>
    <cfRule type="containsText" priority="15" operator="containsText" aboveAverage="0" equalAverage="0" bottom="0" percent="0" rank="0" text="3" dxfId="891">
      <formula>NOT(ISERROR(SEARCH("3",B4)))</formula>
    </cfRule>
    <cfRule type="containsText" priority="16" operator="containsText" aboveAverage="0" equalAverage="0" bottom="0" percent="0" rank="0" text="2" dxfId="892">
      <formula>NOT(ISERROR(SEARCH("2",B4)))</formula>
    </cfRule>
    <cfRule type="containsText" priority="17" operator="containsText" aboveAverage="0" equalAverage="0" bottom="0" percent="0" rank="0" text="1" dxfId="893">
      <formula>NOT(ISERROR(SEARCH("1",B4)))</formula>
    </cfRule>
  </conditionalFormatting>
  <conditionalFormatting sqref="I54:I61">
    <cfRule type="dataBar" priority="18">
      <dataBar showValue="1" minLength="10" maxLength="90">
        <cfvo type="min" val="0"/>
        <cfvo type="max" val="0"/>
        <color rgb="FFFFB628"/>
      </dataBar>
      <extLst>
        <ext xmlns:x14="http://schemas.microsoft.com/office/spreadsheetml/2009/9/main" uri="{B025F937-C7B1-47D3-B67F-A62EFF666E3E}">
          <x14:id>{303C929B-F5B7-4C3F-B653-E6412273A49C}</x14:id>
        </ext>
      </extLst>
    </cfRule>
  </conditionalFormatting>
  <conditionalFormatting sqref="I50:I51 J45:J49">
    <cfRule type="dataBar" priority="19">
      <dataBar showValue="1" minLength="10" maxLength="90">
        <cfvo type="min" val="0"/>
        <cfvo type="max" val="0"/>
        <color rgb="FFFFB628"/>
      </dataBar>
      <extLst>
        <ext xmlns:x14="http://schemas.microsoft.com/office/spreadsheetml/2009/9/main" uri="{B025F937-C7B1-47D3-B67F-A62EFF666E3E}">
          <x14:id>{C82AB6A4-88FC-4E49-9A5D-F35AB074E8B3}</x14:id>
        </ext>
      </extLst>
    </cfRule>
  </conditionalFormatting>
  <conditionalFormatting sqref="U2:AG2">
    <cfRule type="dataBar" priority="20">
      <dataBar showValue="1" minLength="10" maxLength="90">
        <cfvo type="min" val="0"/>
        <cfvo type="max" val="0"/>
        <color rgb="FF63C384"/>
      </dataBar>
      <extLst>
        <ext xmlns:x14="http://schemas.microsoft.com/office/spreadsheetml/2009/9/main" uri="{B025F937-C7B1-47D3-B67F-A62EFF666E3E}">
          <x14:id>{3EB07C30-6461-4E39-B368-4226C730D092}</x14:id>
        </ext>
      </extLst>
    </cfRule>
  </conditionalFormatting>
  <conditionalFormatting sqref="N2:T2">
    <cfRule type="dataBar" priority="21">
      <dataBar showValue="1" minLength="10" maxLength="90">
        <cfvo type="min" val="0"/>
        <cfvo type="max" val="0"/>
        <color rgb="FFFFB628"/>
      </dataBar>
      <extLst>
        <ext xmlns:x14="http://schemas.microsoft.com/office/spreadsheetml/2009/9/main" uri="{B025F937-C7B1-47D3-B67F-A62EFF666E3E}">
          <x14:id>{612A944D-C4BC-48FC-9E40-E559B6CDF66F}</x14:id>
        </ext>
      </extLst>
    </cfRule>
  </conditionalFormatting>
  <conditionalFormatting sqref="N2:AG2">
    <cfRule type="dataBar" priority="22">
      <dataBar showValue="1" minLength="10" maxLength="90">
        <cfvo type="min" val="0"/>
        <cfvo type="max" val="0"/>
        <color rgb="FFFFB628"/>
      </dataBar>
      <extLst>
        <ext xmlns:x14="http://schemas.microsoft.com/office/spreadsheetml/2009/9/main" uri="{B025F937-C7B1-47D3-B67F-A62EFF666E3E}">
          <x14:id>{98FE5350-10C7-4A84-B450-1061855732FF}</x14:id>
        </ext>
      </extLst>
    </cfRule>
  </conditionalFormatting>
  <conditionalFormatting sqref="N2:S2">
    <cfRule type="dataBar" priority="23">
      <dataBar showValue="1" minLength="10" maxLength="90">
        <cfvo type="min" val="0"/>
        <cfvo type="max" val="0"/>
        <color rgb="FF638EC6"/>
      </dataBar>
      <extLst>
        <ext xmlns:x14="http://schemas.microsoft.com/office/spreadsheetml/2009/9/main" uri="{B025F937-C7B1-47D3-B67F-A62EFF666E3E}">
          <x14:id>{5ED1A2B8-CBE0-478A-B09C-68CC6F103C12}</x14:id>
        </ext>
      </extLst>
    </cfRule>
  </conditionalFormatting>
  <conditionalFormatting sqref="T2">
    <cfRule type="dataBar" priority="24">
      <dataBar showValue="1" minLength="10" maxLength="90">
        <cfvo type="min" val="0"/>
        <cfvo type="max" val="0"/>
        <color rgb="FF63C384"/>
      </dataBar>
      <extLst>
        <ext xmlns:x14="http://schemas.microsoft.com/office/spreadsheetml/2009/9/main" uri="{B025F937-C7B1-47D3-B67F-A62EFF666E3E}">
          <x14:id>{20AABDC7-E78C-4D2C-B821-2BC375244190}</x14:id>
        </ext>
      </extLst>
    </cfRule>
  </conditionalFormatting>
  <conditionalFormatting sqref="A4:A37">
    <cfRule type="colorScale" priority="25">
      <colorScale>
        <cfvo type="min" val="0"/>
        <cfvo type="percentile" val="50"/>
        <cfvo type="max" val="0"/>
        <color rgb="FFFFCC99"/>
        <color rgb="FFFFD966"/>
        <color rgb="FFFFF2CC"/>
      </colorScale>
    </cfRule>
  </conditionalFormatting>
  <conditionalFormatting sqref="J4:J37">
    <cfRule type="iconSet" priority="26">
      <iconSet iconSet="3TrafficLights1">
        <cfvo type="percent" val="0"/>
        <cfvo type="percent" val="33"/>
        <cfvo type="percent" val="67"/>
      </iconSet>
    </cfRule>
  </conditionalFormatting>
  <dataValidations count="4">
    <dataValidation allowBlank="true" errorStyle="stop" operator="between" showDropDown="false" showErrorMessage="true" showInputMessage="true" sqref="B1" type="list">
      <formula1>Data!$A$2:$A$106</formula1>
      <formula2>0</formula2>
    </dataValidation>
    <dataValidation allowBlank="true" errorStyle="information" errorTitle="OK ?" operator="between" showDropDown="false" showErrorMessage="true" showInputMessage="true" sqref="F4:F37" type="list">
      <formula1>Data!$D$2:$D$16</formula1>
      <formula2>0</formula2>
    </dataValidation>
    <dataValidation allowBlank="false" errorStyle="stop" operator="between" showDropDown="false" showErrorMessage="true" showInputMessage="true" sqref="E4:E37" type="list">
      <formula1>Data!$E$2:$E$30</formula1>
      <formula2>0</formula2>
    </dataValidation>
    <dataValidation allowBlank="true" errorStyle="stop" operator="between" showDropDown="false" showErrorMessage="true" showInputMessage="true" sqref="B4:B37" type="list">
      <formula1>Data!$C$2:$C$8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  <tableParts>
    <tablePart r:id="rId4"/>
    <tablePart r:id="rId5"/>
    <tablePart r:id="rId6"/>
    <tablePart r:id="rId7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303C929B-F5B7-4C3F-B653-E6412273A49C}">
            <x14:dataBar minLength="10" maxLength="90" axisPosition="automatic" gradient="true">
              <x14:cfvo type="autoMin"/>
              <x14:cfvo type="autoMax"/>
              <x14:negativeFillColor rgb="FFFF0000"/>
              <x14:axisColor rgb="FF000000"/>
            </x14:dataBar>
          </x14:cfRule>
          <xm:sqref>I54:I61</xm:sqref>
        </x14:conditionalFormatting>
        <x14:conditionalFormatting xmlns:xm="http://schemas.microsoft.com/office/excel/2006/main">
          <x14:cfRule type="dataBar" id="{C82AB6A4-88FC-4E49-9A5D-F35AB074E8B3}">
            <x14:dataBar minLength="10" maxLength="90" axisPosition="automatic" gradient="true">
              <x14:cfvo type="autoMin"/>
              <x14:cfvo type="autoMax"/>
              <x14:negativeFillColor rgb="FFFF0000"/>
              <x14:axisColor rgb="FF000000"/>
            </x14:dataBar>
          </x14:cfRule>
          <xm:sqref>I50:I51 J45:J49</xm:sqref>
        </x14:conditionalFormatting>
        <x14:conditionalFormatting xmlns:xm="http://schemas.microsoft.com/office/excel/2006/main">
          <x14:cfRule type="dataBar" id="{3EB07C30-6461-4E39-B368-4226C730D092}">
            <x14:dataBar minLength="10" maxLength="90" axisPosition="automatic" gradient="true">
              <x14:cfvo type="autoMin"/>
              <x14:cfvo type="autoMax"/>
              <x14:negativeFillColor rgb="FFFF0000"/>
              <x14:axisColor rgb="FF000000"/>
            </x14:dataBar>
          </x14:cfRule>
          <xm:sqref>U2:AG2</xm:sqref>
        </x14:conditionalFormatting>
        <x14:conditionalFormatting xmlns:xm="http://schemas.microsoft.com/office/excel/2006/main">
          <x14:cfRule type="dataBar" id="{612A944D-C4BC-48FC-9E40-E559B6CDF66F}">
            <x14:dataBar minLength="10" maxLength="90" axisPosition="automatic" gradient="true">
              <x14:cfvo type="autoMin"/>
              <x14:cfvo type="autoMax"/>
              <x14:negativeFillColor rgb="FFFF0000"/>
              <x14:axisColor rgb="FF000000"/>
            </x14:dataBar>
          </x14:cfRule>
          <xm:sqref>N2:T2</xm:sqref>
        </x14:conditionalFormatting>
        <x14:conditionalFormatting xmlns:xm="http://schemas.microsoft.com/office/excel/2006/main">
          <x14:cfRule type="dataBar" id="{98FE5350-10C7-4A84-B450-1061855732FF}">
            <x14:dataBar minLength="10" maxLength="90" axisPosition="automatic" gradient="false">
              <x14:cfvo type="autoMin"/>
              <x14:cfvo type="autoMax"/>
              <x14:negativeFillColor rgb="FFFF0000"/>
              <x14:axisColor rgb="FF000000"/>
            </x14:dataBar>
          </x14:cfRule>
          <xm:sqref>N2:AG2</xm:sqref>
        </x14:conditionalFormatting>
        <x14:conditionalFormatting xmlns:xm="http://schemas.microsoft.com/office/excel/2006/main">
          <x14:cfRule type="dataBar" id="{5ED1A2B8-CBE0-478A-B09C-68CC6F103C12}">
            <x14:dataBar minLength="10" maxLength="90" axisPosition="automatic" gradient="false">
              <x14:cfvo type="autoMin"/>
              <x14:cfvo type="autoMax"/>
              <x14:negativeFillColor rgb="FFFF0000"/>
              <x14:axisColor rgb="FF000000"/>
            </x14:dataBar>
          </x14:cfRule>
          <xm:sqref>N2:S2</xm:sqref>
        </x14:conditionalFormatting>
        <x14:conditionalFormatting xmlns:xm="http://schemas.microsoft.com/office/excel/2006/main">
          <x14:cfRule type="dataBar" id="{20AABDC7-E78C-4D2C-B821-2BC375244190}">
            <x14:dataBar minLength="10" maxLength="90" axisPosition="automatic" gradient="false">
              <x14:cfvo type="autoMin"/>
              <x14:cfvo type="autoMax"/>
              <x14:negativeFillColor rgb="FFFF0000"/>
              <x14:axisColor rgb="FF000000"/>
            </x14:dataBar>
          </x14:cfRule>
          <xm:sqref>T2</xm:sqref>
        </x14:conditionalFormatting>
      </x14:conditionalFormattings>
    </ext>
  </extLst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1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G13" activeCellId="0" sqref="G13"/>
    </sheetView>
  </sheetViews>
  <sheetFormatPr defaultColWidth="8.6796875" defaultRowHeight="15" zeroHeight="false" outlineLevelRow="1" outlineLevelCol="1"/>
  <cols>
    <col collapsed="false" customWidth="true" hidden="false" outlineLevel="0" max="1" min="1" style="0" width="16.57"/>
    <col collapsed="false" customWidth="true" hidden="false" outlineLevel="0" max="2" min="2" style="0" width="17.71"/>
    <col collapsed="false" customWidth="true" hidden="false" outlineLevel="0" max="3" min="3" style="0" width="11"/>
    <col collapsed="false" customWidth="true" hidden="false" outlineLevel="0" max="4" min="4" style="0" width="10.57"/>
    <col collapsed="false" customWidth="true" hidden="false" outlineLevel="0" max="5" min="5" style="0" width="21.29"/>
    <col collapsed="false" customWidth="true" hidden="false" outlineLevel="0" max="6" min="6" style="0" width="19.71"/>
    <col collapsed="false" customWidth="true" hidden="false" outlineLevel="0" max="7" min="7" style="0" width="26.42"/>
    <col collapsed="false" customWidth="true" hidden="false" outlineLevel="0" max="8" min="8" style="0" width="13.29"/>
    <col collapsed="false" customWidth="true" hidden="false" outlineLevel="0" max="9" min="9" style="0" width="15"/>
    <col collapsed="false" customWidth="true" hidden="false" outlineLevel="0" max="11" min="10" style="0" width="16.14"/>
    <col collapsed="false" customWidth="true" hidden="false" outlineLevel="0" max="12" min="12" style="0" width="7.71"/>
    <col collapsed="false" customWidth="true" hidden="false" outlineLevel="0" max="13" min="13" style="224" width="9.86"/>
    <col collapsed="false" customWidth="true" hidden="false" outlineLevel="1" max="14" min="14" style="0" width="10.29"/>
    <col collapsed="false" customWidth="true" hidden="false" outlineLevel="1" max="15" min="15" style="0" width="9.57"/>
    <col collapsed="false" customWidth="true" hidden="false" outlineLevel="1" max="16" min="16" style="0" width="8.57"/>
    <col collapsed="false" customWidth="true" hidden="false" outlineLevel="1" max="18" min="17" style="0" width="7.29"/>
    <col collapsed="false" customWidth="true" hidden="false" outlineLevel="1" max="19" min="19" style="0" width="8.57"/>
    <col collapsed="false" customWidth="true" hidden="false" outlineLevel="1" max="20" min="20" style="0" width="7.71"/>
    <col collapsed="false" customWidth="true" hidden="false" outlineLevel="1" max="21" min="21" style="0" width="12"/>
    <col collapsed="false" customWidth="true" hidden="false" outlineLevel="1" max="22" min="22" style="0" width="10.14"/>
    <col collapsed="false" customWidth="true" hidden="false" outlineLevel="1" max="23" min="23" style="0" width="11.71"/>
    <col collapsed="false" customWidth="true" hidden="false" outlineLevel="1" max="24" min="24" style="0" width="12.71"/>
    <col collapsed="false" customWidth="true" hidden="false" outlineLevel="1" max="25" min="25" style="0" width="8.57"/>
    <col collapsed="false" customWidth="true" hidden="false" outlineLevel="1" max="26" min="26" style="0" width="7.29"/>
    <col collapsed="false" customWidth="true" hidden="false" outlineLevel="1" max="27" min="27" style="0" width="9.71"/>
    <col collapsed="false" customWidth="true" hidden="false" outlineLevel="1" max="28" min="28" style="0" width="11.43"/>
    <col collapsed="false" customWidth="true" hidden="false" outlineLevel="1" max="29" min="29" style="0" width="10"/>
    <col collapsed="false" customWidth="true" hidden="false" outlineLevel="1" max="30" min="30" style="0" width="9.86"/>
    <col collapsed="false" customWidth="true" hidden="false" outlineLevel="1" max="31" min="31" style="0" width="7.86"/>
    <col collapsed="false" customWidth="true" hidden="false" outlineLevel="1" max="32" min="32" style="0" width="18.71"/>
    <col collapsed="false" customWidth="true" hidden="false" outlineLevel="1" max="33" min="33" style="0" width="27.15"/>
    <col collapsed="false" customWidth="true" hidden="false" outlineLevel="1" max="34" min="34" style="0" width="5.42"/>
  </cols>
  <sheetData>
    <row r="1" customFormat="false" ht="22.05" hidden="false" customHeight="false" outlineLevel="0" collapsed="false">
      <c r="A1" s="225" t="str">
        <f aca="false">"Semaine du " &amp; Data!D41</f>
        <v>Semaine du </v>
      </c>
      <c r="B1" s="226" t="n">
        <v>44228</v>
      </c>
      <c r="C1" s="227"/>
      <c r="D1" s="321" t="s">
        <v>361</v>
      </c>
      <c r="E1" s="322" t="n">
        <f aca="false">AVERAGE(F2:J2)</f>
        <v>7.65</v>
      </c>
      <c r="F1" s="323" t="s">
        <v>0</v>
      </c>
      <c r="G1" s="324" t="s">
        <v>1</v>
      </c>
      <c r="H1" s="324" t="s">
        <v>2</v>
      </c>
      <c r="I1" s="324" t="s">
        <v>3</v>
      </c>
      <c r="J1" s="324" t="s">
        <v>4</v>
      </c>
      <c r="K1" s="325" t="s">
        <v>401</v>
      </c>
      <c r="L1" s="234" t="n">
        <f aca="false">COUNTIF(Horodateur1123353819223134374346495255586164698522263438465058546266707478829098941021061141181101221261301341381421461501541581621661701741781821861901941982022062102144101418[O],"o")+ COUNTIF(Horodateur1123353819223134374346495255586164698522263438465058546266707478829098941021061141181101221261301341381421461501541581621661701741781821861901941982022062102144101418[O],".")</f>
        <v>36</v>
      </c>
      <c r="M1" s="128" t="n">
        <f aca="false">B2</f>
        <v>42.25</v>
      </c>
      <c r="N1" s="131" t="s">
        <v>21</v>
      </c>
      <c r="O1" s="130" t="s">
        <v>20</v>
      </c>
      <c r="P1" s="130" t="s">
        <v>23</v>
      </c>
      <c r="Q1" s="130" t="s">
        <v>25</v>
      </c>
      <c r="R1" s="130" t="s">
        <v>26</v>
      </c>
      <c r="S1" s="130" t="s">
        <v>378</v>
      </c>
      <c r="T1" s="130" t="s">
        <v>380</v>
      </c>
      <c r="U1" s="136" t="s">
        <v>32</v>
      </c>
      <c r="V1" s="136" t="s">
        <v>69</v>
      </c>
      <c r="W1" s="136" t="s">
        <v>66</v>
      </c>
      <c r="X1" s="136" t="s">
        <v>47</v>
      </c>
      <c r="Y1" s="136" t="s">
        <v>68</v>
      </c>
      <c r="Z1" s="136" t="s">
        <v>41</v>
      </c>
      <c r="AA1" s="136" t="s">
        <v>61</v>
      </c>
      <c r="AB1" s="136" t="s">
        <v>74</v>
      </c>
      <c r="AC1" s="136" t="s">
        <v>37</v>
      </c>
      <c r="AD1" s="136" t="s">
        <v>77</v>
      </c>
      <c r="AE1" s="136" t="s">
        <v>45</v>
      </c>
      <c r="AF1" s="136" t="s">
        <v>78</v>
      </c>
      <c r="AG1" s="136" t="s">
        <v>79</v>
      </c>
      <c r="AH1" s="87" t="str">
        <f aca="false">SUM(M4:M39) &amp; " / " &amp; B2-SUM(M4:M39)</f>
        <v>39 / 3.25</v>
      </c>
    </row>
    <row r="2" customFormat="false" ht="22.05" hidden="false" customHeight="false" outlineLevel="0" collapsed="false">
      <c r="A2" s="327" t="n">
        <f aca="false">SUM(Horodateur1123353819223134374346495255586164698522263438465058546266707478829098941021061141181101221261301341381421461501541581621661701741781821861901941982022062102144101418[Durée (60)])</f>
        <v>1.76041666666667</v>
      </c>
      <c r="B2" s="328" t="n">
        <f aca="false">SUM(Horodateur1123353819223134374346495255586164698522263438465058546266707478829098941021061141181101221261301341381421461501541581621661701741781821861901941982022062102144101418[Durée (100)])</f>
        <v>42.25</v>
      </c>
      <c r="C2" s="339" t="str">
        <f aca="false">M2</f>
        <v>39 / 3.25</v>
      </c>
      <c r="D2" s="238"/>
      <c r="E2" s="239"/>
      <c r="F2" s="329" t="n">
        <f aca="false">SUMIF(Horodateur1123353819223134374346495255586164698522263438465058546266707478829098941021061141181101221261301341381421461501541581621661701741781821861901941982022062102144101418[Jour],"1- Lundi",Horodateur1123353819223134374346495255586164698522263438465058546266707478829098941021061141181101221261301341381421461501541581621661701741781821861901941982022062102144101418[Durée (100)])</f>
        <v>8</v>
      </c>
      <c r="G2" s="330" t="n">
        <f aca="false">SUMIF(Horodateur1123353819223134374346495255586164698522263438465058546266707478829098941021061141181101221261301341381421461501541581621661701741781821861901941982022062102144101418[Jour],"2- Mardi",Horodateur1123353819223134374346495255586164698522263438465058546266707478829098941021061141181101221261301341381421461501541581621661701741781821861901941982022062102144101418[Durée (100)])</f>
        <v>6.5</v>
      </c>
      <c r="H2" s="330" t="n">
        <f aca="false">SUMIF(Horodateur1123353819223134374346495255586164698522263438465058546266707478829098941021061141181101221261301341381421461501541581621661701741781821861901941982022062102144101418[Jour],"3- Mercredi",Horodateur1123353819223134374346495255586164698522263438465058546266707478829098941021061141181101221261301341381421461501541581621661701741781821861901941982022062102144101418[Durée (100)])</f>
        <v>8.5</v>
      </c>
      <c r="I2" s="330" t="n">
        <f aca="false">SUMIF(Horodateur1123353819223134374346495255586164698522263438465058546266707478829098941021061141181101221261301341381421461501541581621661701741781821861901941982022062102144101418[Jour],"4- Jeudi",Horodateur1123353819223134374346495255586164698522263438465058546266707478829098941021061141181101221261301341381421461501541581621661701741781821861901941982022062102144101418[Durée (100)])</f>
        <v>8.25</v>
      </c>
      <c r="J2" s="330" t="n">
        <f aca="false">SUMIF(Horodateur1123353819223134374346495255586164698522263438465058546266707478829098941021061141181101221261301341381421461501541581621661701741781821861901941982022062102144101418[Jour],"5- Vendredi",Horodateur1123353819223134374346495255586164698522263438465058546266707478829098941021061141181101221261301341381421461501541581621661701741781821861901941982022062102144101418[Durée (100)])</f>
        <v>7</v>
      </c>
      <c r="K2" s="331" t="str">
        <f aca="false">ROUND(SUMIF(Horodateur1123353819223134374346495255586164698522263438465058546266707478829098941021061141181101221261301341381421461501541581621661701741781821861901941982022062102144101418[Jour],"6- Samedi",Horodateur1123353819223134374346495255586164698522263438465058546266707478829098941021061141181101221261301341381421461501541581621661701741781821861901941982022062102144101418[Durée (100)]),2) &amp;  "   /    " &amp;  ROUND(SUMIF(Horodateur1123353819223134374346495255586164698522263438465058546266707478829098941021061141181101221261301341381421461501541581621661701741781821861901941982022062102144101418[Jour],"7- Dimanche",Horodateur1123353819223134374346495255586164698522263438465058546266707478829098941021061141181101221261301341381421461501541581621661701741781821861901941982022062102144101418[Durée (100)]),2)</f>
        <v>4   /    0</v>
      </c>
      <c r="L2" s="244" t="str">
        <f aca="false">COUNTIF(Horodateur1123353819223134374346495255586164698522263438465058546266707478829098941021061141181101221261301341381421461501541581621661701741781821861901941982022062102144101418[O],"o")&amp;" / " &amp;  COUNTIF(Horodateur1123353819223134374346495255586164698522263438465058546266707478829098941021061141181101221261301341381421461501541581621661701741781821861901941982022062102144101418[O],".")</f>
        <v>33 / 3</v>
      </c>
      <c r="M2" s="143" t="str">
        <f aca="false">SUM(M4:M39) &amp; " / " &amp; B2-SUM(M4:M39)</f>
        <v>39 / 3.25</v>
      </c>
      <c r="N2" s="248" t="n">
        <f aca="false">SUMIF(Horodateur1123353819223134374346495255586164698522263438465058546266707478829098941021061141181101221261301341381421461501541581621661701741781821861901941982022062102144101418[Tâche],N$1,Horodateur1123353819223134374346495255586164698522263438465058546266707478829098941021061141181101221261301341381421461501541581621661701741781821861901941982022062102144101418[Durée (100)])</f>
        <v>3.5</v>
      </c>
      <c r="O2" s="247" t="n">
        <f aca="false">SUMIF(Horodateur1123353819223134374346495255586164698522263438465058546266707478829098941021061141181101221261301341381421461501541581621661701741781821861901941982022062102144101418[Tâche],O$1,Horodateur1123353819223134374346495255586164698522263438465058546266707478829098941021061141181101221261301341381421461501541581621661701741781821861901941982022062102144101418[Durée (100)])</f>
        <v>0.500000000000001</v>
      </c>
      <c r="P2" s="247" t="n">
        <f aca="false">SUMIF(Horodateur1123353819223134374346495255586164698522263438465058546266707478829098941021061141181101221261301341381421461501541581621661701741781821861901941982022062102144101418[Tâche],P$1,Horodateur1123353819223134374346495255586164698522263438465058546266707478829098941021061141181101221261301341381421461501541581621661701741781821861901941982022062102144101418[Durée (100)])</f>
        <v>6.5</v>
      </c>
      <c r="Q2" s="247" t="n">
        <f aca="false">SUMIF(Horodateur1123353819223134374346495255586164698522263438465058546266707478829098941021061141181101221261301341381421461501541581621661701741781821861901941982022062102144101418[Tâche],Q$1,Horodateur1123353819223134374346495255586164698522263438465058546266707478829098941021061141181101221261301341381421461501541581621661701741781821861901941982022062102144101418[Durée (100)])</f>
        <v>0</v>
      </c>
      <c r="R2" s="247" t="n">
        <f aca="false">SUMIF(Horodateur1123353819223134374346495255586164698522263438465058546266707478829098941021061141181101221261301341381421461501541581621661701741781821861901941982022062102144101418[Tâche],R$1,Horodateur1123353819223134374346495255586164698522263438465058546266707478829098941021061141181101221261301341381421461501541581621661701741781821861901941982022062102144101418[Durée (100)])</f>
        <v>0</v>
      </c>
      <c r="S2" s="247" t="n">
        <f aca="false">SUMIF(Horodateur1123353819223134374346495255586164698522263438465058546266707478829098941021061141181101221261301341381421461501541581621661701741781821861901941982022062102144101418[Tâche],S$1,Horodateur1123353819223134374346495255586164698522263438465058546266707478829098941021061141181101221261301341381421461501541581621661701741781821861901941982022062102144101418[Durée (100)])</f>
        <v>21.25</v>
      </c>
      <c r="T2" s="247" t="n">
        <f aca="false">SUMIF(Horodateur1123353819223134374346495255586164698522263438465058546266707478829098941021061141181101221261301341381421461501541581621661701741781821861901941982022062102144101418[Tâche],T$1,Horodateur1123353819223134374346495255586164698522263438465058546266707478829098941021061141181101221261301341381421461501541581621661701741781821861901941982022062102144101418[Durée (100)])</f>
        <v>4</v>
      </c>
      <c r="U2" s="151" t="n">
        <f aca="false">SUMIF(Horodateur1123353819223134374346495255586164698522263438465058546266707478829098941021061141181101221261301341381421461501541581621661701741781821861901941982022062102144101418[Client],U$1,Horodateur1123353819223134374346495255586164698522263438465058546266707478829098941021061141181101221261301341381421461501541581621661701741781821861901941982022062102144101418[Durée (100)])</f>
        <v>10.5</v>
      </c>
      <c r="V2" s="151" t="n">
        <f aca="false">SUMIF(Horodateur1123353819223134374346495255586164698522263438465058546266707478829098941021061141181101221261301341381421461501541581621661701741781821861901941982022062102144101418[Client],V$1,Horodateur1123353819223134374346495255586164698522263438465058546266707478829098941021061141181101221261301341381421461501541581621661701741781821861901941982022062102144101418[Durée (100)])</f>
        <v>0</v>
      </c>
      <c r="W2" s="151" t="n">
        <f aca="false">SUMIF(Horodateur1123353819223134374346495255586164698522263438465058546266707478829098941021061141181101221261301341381421461501541581621661701741781821861901941982022062102144101418[Client],W$1,Horodateur1123353819223134374346495255586164698522263438465058546266707478829098941021061141181101221261301341381421461501541581621661701741781821861901941982022062102144101418[Durée (100)])</f>
        <v>0</v>
      </c>
      <c r="X2" s="151" t="n">
        <f aca="false">SUMIF(Horodateur1123353819223134374346495255586164698522263438465058546266707478829098941021061141181101221261301341381421461501541581621661701741781821861901941982022062102144101418[Client],X$1,Horodateur1123353819223134374346495255586164698522263438465058546266707478829098941021061141181101221261301341381421461501541581621661701741781821861901941982022062102144101418[Durée (100)])</f>
        <v>0</v>
      </c>
      <c r="Y2" s="151" t="n">
        <f aca="false">SUMIF(Horodateur1123353819223134374346495255586164698522263438465058546266707478829098941021061141181101221261301341381421461501541581621661701741781821861901941982022062102144101418[Client],Y$1,Horodateur1123353819223134374346495255586164698522263438465058546266707478829098941021061141181101221261301341381421461501541581621661701741781821861901941982022062102144101418[Durée (100)])</f>
        <v>0</v>
      </c>
      <c r="Z2" s="151" t="n">
        <f aca="false">SUMIF(Horodateur1123353819223134374346495255586164698522263438465058546266707478829098941021061141181101221261301341381421461501541581621661701741781821861901941982022062102144101418[Client],Z$1,Horodateur1123353819223134374346495255586164698522263438465058546266707478829098941021061141181101221261301341381421461501541581621661701741781821861901941982022062102144101418[Durée (100)])</f>
        <v>0</v>
      </c>
      <c r="AA2" s="151" t="n">
        <f aca="false">SUMIF(Horodateur1123353819223134374346495255586164698522263438465058546266707478829098941021061141181101221261301341381421461501541581621661701741781821861901941982022062102144101418[Client],AA$1,Horodateur1123353819223134374346495255586164698522263438465058546266707478829098941021061141181101221261301341381421461501541581621661701741781821861901941982022062102144101418[Durée (100)])</f>
        <v>0</v>
      </c>
      <c r="AB2" s="151" t="n">
        <f aca="false">SUMIF(Horodateur1123353819223134374346495255586164698522263438465058546266707478829098941021061141181101221261301341381421461501541581621661701741781821861901941982022062102144101418[Client],AB$1,Horodateur1123353819223134374346495255586164698522263438465058546266707478829098941021061141181101221261301341381421461501541581621661701741781821861901941982022062102144101418[Durée (100)])</f>
        <v>2.25</v>
      </c>
      <c r="AC2" s="151" t="n">
        <f aca="false">SUMIF(Horodateur1123353819223134374346495255586164698522263438465058546266707478829098941021061141181101221261301341381421461501541581621661701741781821861901941982022062102144101418[Client],AC$1,Horodateur1123353819223134374346495255586164698522263438465058546266707478829098941021061141181101221261301341381421461501541581621661701741781821861901941982022062102144101418[Durée (100)])</f>
        <v>0.75</v>
      </c>
      <c r="AD2" s="151" t="n">
        <f aca="false">SUMIF(Horodateur1123353819223134374346495255586164698522263438465058546266707478829098941021061141181101221261301341381421461501541581621661701741781821861901941982022062102144101418[Client],AD$1,Horodateur1123353819223134374346495255586164698522263438465058546266707478829098941021061141181101221261301341381421461501541581621661701741781821861901941982022062102144101418[Durée (100)])</f>
        <v>0</v>
      </c>
      <c r="AE2" s="151" t="n">
        <f aca="false">SUMIF(Horodateur1123353819223134374346495255586164698522263438465058546266707478829098941021061141181101221261301341381421461501541581621661701741781821861901941982022062102144101418[Client],AE$1,Horodateur1123353819223134374346495255586164698522263438465058546266707478829098941021061141181101221261301341381421461501541581621661701741781821861901941982022062102144101418[Durée (100)])</f>
        <v>1.5</v>
      </c>
      <c r="AF2" s="151" t="n">
        <f aca="false">SUMIF(Horodateur1123353819223134374346495255586164698522263438465058546266707478829098941021061141181101221261301341381421461501541581621661701741781821861901941982022062102144101418[Client],AF$1,Horodateur1123353819223134374346495255586164698522263438465058546266707478829098941021061141181101221261301341381421461501541581621661701741781821861901941982022062102144101418[Durée (100)])</f>
        <v>0.250000000000002</v>
      </c>
      <c r="AG2" s="151" t="n">
        <f aca="false">SUMIF(Horodateur1123353819223134374346495255586164698522263438465058546266707478829098941021061141181101221261301341381421461501541581621661701741781821861901941982022062102144101418[Client],AG$1,Horodateur1123353819223134374346495255586164698522263438465058546266707478829098941021061141181101221261301341381421461501541581621661701741781821861901941982022062102144101418[Durée (100)])</f>
        <v>0</v>
      </c>
    </row>
    <row r="3" s="137" customFormat="true" ht="15" hidden="false" customHeight="false" outlineLevel="0" collapsed="false">
      <c r="A3" s="249" t="s">
        <v>8</v>
      </c>
      <c r="B3" s="249" t="s">
        <v>9</v>
      </c>
      <c r="C3" s="193" t="s">
        <v>10</v>
      </c>
      <c r="D3" s="193" t="s">
        <v>11</v>
      </c>
      <c r="E3" s="250" t="s">
        <v>12</v>
      </c>
      <c r="F3" s="250" t="s">
        <v>13</v>
      </c>
      <c r="G3" s="250" t="s">
        <v>14</v>
      </c>
      <c r="H3" s="193" t="s">
        <v>302</v>
      </c>
      <c r="I3" s="252" t="s">
        <v>364</v>
      </c>
      <c r="J3" s="253" t="s">
        <v>365</v>
      </c>
      <c r="K3" s="250" t="s">
        <v>402</v>
      </c>
      <c r="L3" s="255" t="s">
        <v>7</v>
      </c>
      <c r="M3" s="254" t="s">
        <v>29</v>
      </c>
      <c r="N3" s="153" t="n">
        <f aca="false">N2/$B$2</f>
        <v>0.0828402366863905</v>
      </c>
      <c r="O3" s="153" t="n">
        <f aca="false">O2/$B$2</f>
        <v>0.0118343195266272</v>
      </c>
      <c r="P3" s="153" t="n">
        <f aca="false">P2/$B$2</f>
        <v>0.153846153846154</v>
      </c>
      <c r="Q3" s="153" t="n">
        <f aca="false">Q2/$B$2</f>
        <v>0</v>
      </c>
      <c r="R3" s="153" t="n">
        <f aca="false">R2/$B$2</f>
        <v>0</v>
      </c>
      <c r="S3" s="153" t="n">
        <f aca="false">S2/$B$2</f>
        <v>0.502958579881657</v>
      </c>
      <c r="T3" s="153" t="n">
        <f aca="false">T2/$B$2</f>
        <v>0.0946745562130178</v>
      </c>
      <c r="U3" s="153" t="n">
        <f aca="false">U2/$B$2</f>
        <v>0.248520710059172</v>
      </c>
      <c r="V3" s="153" t="n">
        <f aca="false">V2/$B$2</f>
        <v>0</v>
      </c>
      <c r="W3" s="153" t="n">
        <f aca="false">W2/$B$2</f>
        <v>0</v>
      </c>
      <c r="X3" s="153" t="n">
        <f aca="false">X2/$B$2</f>
        <v>0</v>
      </c>
      <c r="Y3" s="153" t="n">
        <f aca="false">Y2/$B$2</f>
        <v>0</v>
      </c>
      <c r="Z3" s="153" t="n">
        <f aca="false">Z2/$B$2</f>
        <v>0</v>
      </c>
      <c r="AA3" s="153" t="n">
        <f aca="false">AA2/$B$2</f>
        <v>0</v>
      </c>
      <c r="AB3" s="153" t="n">
        <f aca="false">AB2/$B$2</f>
        <v>0.0532544378698224</v>
      </c>
      <c r="AC3" s="153" t="n">
        <f aca="false">AC2/$B$2</f>
        <v>0.0177514792899408</v>
      </c>
      <c r="AD3" s="153" t="n">
        <f aca="false">AD2/$B$2</f>
        <v>0</v>
      </c>
      <c r="AE3" s="153" t="n">
        <f aca="false">AE2/$B$2</f>
        <v>0.0355029585798817</v>
      </c>
      <c r="AF3" s="153" t="n">
        <f aca="false">AF2/$B$2</f>
        <v>0.00591715976331365</v>
      </c>
      <c r="AG3" s="153" t="n">
        <f aca="false">AG2/$B$2</f>
        <v>0</v>
      </c>
    </row>
    <row r="4" customFormat="false" ht="15" hidden="false" customHeight="false" outlineLevel="0" collapsed="false">
      <c r="A4" s="256" t="n">
        <f aca="false">IF(Horodateur1123353819223134374346495255586164698522263438465058546266707478829098941021061141181101221261301341381421461501541581621661701741781821861901941982022062102144101418[[#This Row],[Jour]]="1- Lundi",$B$1+1, IF(Horodateur1123353819223134374346495255586164698522263438465058546266707478829098941021061141181101221261301341381421461501541581621661701741781821861901941982022062102144101418[[#This Row],[Jour]]="2- Mardi",$B$1+2, IF(Horodateur1123353819223134374346495255586164698522263438465058546266707478829098941021061141181101221261301341381421461501541581621661701741781821861901941982022062102144101418[[#This Row],[Jour]]="3- Mercredi",$B$1+3, IF(Horodateur1123353819223134374346495255586164698522263438465058546266707478829098941021061141181101221261301341381421461501541581621661701741781821861901941982022062102144101418[[#This Row],[Jour]]="4- Jeudi",$B$1+4, IF(Horodateur1123353819223134374346495255586164698522263438465058546266707478829098941021061141181101221261301341381421461501541581621661701741781821861901941982022062102144101418[[#This Row],[Jour]]="5- Vendredi",$B$1+5, IF(Horodateur1123353819223134374346495255586164698522263438465058546266707478829098941021061141181101221261301341381421461501541581621661701741781821861901941982022062102144101418[[#This Row],[Jour]]="6- Samedi",$B$1+6, IF(Horodateur1123353819223134374346495255586164698522263438465058546266707478829098941021061141181101221261301341381421461501541581621661701741781821861901941982022062102144101418[[#This Row],[Jour]]="7- Dimanche",$B$1, )))))))</f>
        <v>44229</v>
      </c>
      <c r="B4" s="257" t="s">
        <v>312</v>
      </c>
      <c r="C4" s="258" t="n">
        <v>0.3125</v>
      </c>
      <c r="D4" s="258" t="n">
        <v>0.364583333333333</v>
      </c>
      <c r="E4" s="71" t="s">
        <v>32</v>
      </c>
      <c r="F4" s="71" t="s">
        <v>21</v>
      </c>
      <c r="G4" s="259" t="s">
        <v>94</v>
      </c>
      <c r="H4" s="258" t="n">
        <f aca="false">IF($C4=0,"",$D4-$C4)</f>
        <v>0.0520833333333333</v>
      </c>
      <c r="I4" s="260" t="n">
        <f aca="false">IF($C4=0,"",($H4-INT($H4))*24)</f>
        <v>1.25</v>
      </c>
      <c r="J4" s="303" t="n">
        <f aca="false">SUMIF(Horodateur1123353819223134374346495255586164698522263438465058546266707478829098941021061141181101221261301341381421461501541581621661701741781821861901941982022062102144101418[Jour],$B4,Horodateur1123353819223134374346495255586164698522263438465058546266707478829098941021061141181101221261301341381421461501541581621661701741781821861901941982022062102144101418[Durée (100)])</f>
        <v>8</v>
      </c>
      <c r="K4" s="335"/>
      <c r="L4" s="188" t="s">
        <v>31</v>
      </c>
      <c r="M4" s="272" t="n">
        <f aca="false">IF(Horodateur1123353819223134374346495255586164698522263438465058546266707478829098941021061141181101221261301341381421461501541581621661701741781821861901941982022062102144101418[[#This Row],[O]]="o",Horodateur1123353819223134374346495255586164698522263438465058546266707478829098941021061141181101221261301341381421461501541581621661701741781821861901941982022062102144101418[[#This Row],[Durée (100)]],".")</f>
        <v>1.25</v>
      </c>
      <c r="N4" s="187"/>
      <c r="O4" s="71"/>
      <c r="P4" s="71"/>
      <c r="Q4" s="71"/>
      <c r="R4" s="71"/>
      <c r="S4" s="71"/>
      <c r="T4" s="71"/>
      <c r="U4" s="71"/>
      <c r="V4" s="71"/>
      <c r="W4" s="71"/>
      <c r="X4" s="71"/>
      <c r="Y4" s="71"/>
      <c r="Z4" s="71"/>
      <c r="AA4" s="71"/>
      <c r="AB4" s="71"/>
      <c r="AC4" s="71"/>
      <c r="AD4" s="71"/>
      <c r="AE4" s="71"/>
      <c r="AF4" s="71"/>
      <c r="AG4" s="71"/>
    </row>
    <row r="5" customFormat="false" ht="15" hidden="false" customHeight="false" outlineLevel="0" collapsed="false">
      <c r="A5" s="256" t="n">
        <f aca="false">IF(Horodateur1123353819223134374346495255586164698522263438465058546266707478829098941021061141181101221261301341381421461501541581621661701741781821861901941982022062102144101418[[#This Row],[Jour]]="1- Lundi",$B$1+1, IF(Horodateur1123353819223134374346495255586164698522263438465058546266707478829098941021061141181101221261301341381421461501541581621661701741781821861901941982022062102144101418[[#This Row],[Jour]]="2- Mardi",$B$1+2, IF(Horodateur1123353819223134374346495255586164698522263438465058546266707478829098941021061141181101221261301341381421461501541581621661701741781821861901941982022062102144101418[[#This Row],[Jour]]="3- Mercredi",$B$1+3, IF(Horodateur1123353819223134374346495255586164698522263438465058546266707478829098941021061141181101221261301341381421461501541581621661701741781821861901941982022062102144101418[[#This Row],[Jour]]="4- Jeudi",$B$1+4, IF(Horodateur1123353819223134374346495255586164698522263438465058546266707478829098941021061141181101221261301341381421461501541581621661701741781821861901941982022062102144101418[[#This Row],[Jour]]="5- Vendredi",$B$1+5, IF(Horodateur1123353819223134374346495255586164698522263438465058546266707478829098941021061141181101221261301341381421461501541581621661701741781821861901941982022062102144101418[[#This Row],[Jour]]="6- Samedi",$B$1+6, IF(Horodateur1123353819223134374346495255586164698522263438465058546266707478829098941021061141181101221261301341381421461501541581621661701741781821861901941982022062102144101418[[#This Row],[Jour]]="7- Dimanche",$B$1, )))))))</f>
        <v>44229</v>
      </c>
      <c r="B5" s="257" t="s">
        <v>312</v>
      </c>
      <c r="C5" s="258" t="n">
        <v>0.364583333333333</v>
      </c>
      <c r="D5" s="258" t="n">
        <v>0.385416666666667</v>
      </c>
      <c r="E5" s="71" t="s">
        <v>32</v>
      </c>
      <c r="F5" s="71" t="s">
        <v>20</v>
      </c>
      <c r="G5" s="259" t="s">
        <v>121</v>
      </c>
      <c r="H5" s="258" t="n">
        <f aca="false">IF($C5=0,"",$D5-$C5)</f>
        <v>0.0208333333333333</v>
      </c>
      <c r="I5" s="260" t="n">
        <f aca="false">IF($C5=0,"",($H5-INT($H5))*24)</f>
        <v>0.5</v>
      </c>
      <c r="J5" s="303" t="n">
        <f aca="false">SUMIF(Horodateur1123353819223134374346495255586164698522263438465058546266707478829098941021061141181101221261301341381421461501541581621661701741781821861901941982022062102144101418[Jour],$B5,Horodateur1123353819223134374346495255586164698522263438465058546266707478829098941021061141181101221261301341381421461501541581621661701741781821861901941982022062102144101418[Durée (100)])</f>
        <v>8</v>
      </c>
      <c r="K5" s="335"/>
      <c r="L5" s="188" t="s">
        <v>31</v>
      </c>
      <c r="M5" s="272" t="n">
        <f aca="false">IF(Horodateur1123353819223134374346495255586164698522263438465058546266707478829098941021061141181101221261301341381421461501541581621661701741781821861901941982022062102144101418[[#This Row],[O]]="o",Horodateur1123353819223134374346495255586164698522263438465058546266707478829098941021061141181101221261301341381421461501541581621661701741781821861901941982022062102144101418[[#This Row],[Durée (100)]],".")</f>
        <v>0.500000000000001</v>
      </c>
      <c r="N5" s="187"/>
      <c r="O5" s="71"/>
      <c r="P5" s="71"/>
      <c r="Q5" s="71"/>
      <c r="R5" s="71"/>
      <c r="S5" s="71"/>
      <c r="T5" s="71"/>
      <c r="U5" s="71"/>
      <c r="V5" s="71"/>
      <c r="W5" s="71"/>
      <c r="X5" s="71"/>
      <c r="Y5" s="71"/>
      <c r="Z5" s="71"/>
      <c r="AA5" s="71"/>
      <c r="AB5" s="71"/>
      <c r="AC5" s="71"/>
      <c r="AD5" s="71"/>
      <c r="AE5" s="71"/>
      <c r="AF5" s="71"/>
      <c r="AG5" s="71"/>
    </row>
    <row r="6" customFormat="false" ht="15" hidden="false" customHeight="false" outlineLevel="0" collapsed="false">
      <c r="A6" s="256" t="n">
        <f aca="false">IF(Horodateur1123353819223134374346495255586164698522263438465058546266707478829098941021061141181101221261301341381421461501541581621661701741781821861901941982022062102144101418[[#This Row],[Jour]]="1- Lundi",$B$1+1, IF(Horodateur1123353819223134374346495255586164698522263438465058546266707478829098941021061141181101221261301341381421461501541581621661701741781821861901941982022062102144101418[[#This Row],[Jour]]="2- Mardi",$B$1+2, IF(Horodateur1123353819223134374346495255586164698522263438465058546266707478829098941021061141181101221261301341381421461501541581621661701741781821861901941982022062102144101418[[#This Row],[Jour]]="3- Mercredi",$B$1+3, IF(Horodateur1123353819223134374346495255586164698522263438465058546266707478829098941021061141181101221261301341381421461501541581621661701741781821861901941982022062102144101418[[#This Row],[Jour]]="4- Jeudi",$B$1+4, IF(Horodateur1123353819223134374346495255586164698522263438465058546266707478829098941021061141181101221261301341381421461501541581621661701741781821861901941982022062102144101418[[#This Row],[Jour]]="5- Vendredi",$B$1+5, IF(Horodateur1123353819223134374346495255586164698522263438465058546266707478829098941021061141181101221261301341381421461501541581621661701741781821861901941982022062102144101418[[#This Row],[Jour]]="6- Samedi",$B$1+6, IF(Horodateur1123353819223134374346495255586164698522263438465058546266707478829098941021061141181101221261301341381421461501541581621661701741781821861901941982022062102144101418[[#This Row],[Jour]]="7- Dimanche",$B$1, )))))))</f>
        <v>44229</v>
      </c>
      <c r="B6" s="257" t="s">
        <v>312</v>
      </c>
      <c r="C6" s="258" t="n">
        <v>0.385416666666667</v>
      </c>
      <c r="D6" s="258" t="n">
        <v>0.395833333333333</v>
      </c>
      <c r="E6" s="71" t="s">
        <v>74</v>
      </c>
      <c r="F6" s="71" t="s">
        <v>378</v>
      </c>
      <c r="G6" s="259" t="s">
        <v>620</v>
      </c>
      <c r="H6" s="258" t="n">
        <f aca="false">IF($C6=0,"",$D6-$C6)</f>
        <v>0.0104166666666666</v>
      </c>
      <c r="I6" s="260" t="n">
        <f aca="false">IF($C6=0,"",($H6-INT($H6))*24)</f>
        <v>0.249999999999999</v>
      </c>
      <c r="J6" s="303" t="n">
        <f aca="false">SUMIF(Horodateur1123353819223134374346495255586164698522263438465058546266707478829098941021061141181101221261301341381421461501541581621661701741781821861901941982022062102144101418[Jour],$B6,Horodateur1123353819223134374346495255586164698522263438465058546266707478829098941021061141181101221261301341381421461501541581621661701741781821861901941982022062102144101418[Durée (100)])</f>
        <v>8</v>
      </c>
      <c r="K6" s="335"/>
      <c r="L6" s="188" t="s">
        <v>31</v>
      </c>
      <c r="M6" s="272" t="n">
        <f aca="false">IF(Horodateur1123353819223134374346495255586164698522263438465058546266707478829098941021061141181101221261301341381421461501541581621661701741781821861901941982022062102144101418[[#This Row],[O]]="o",Horodateur1123353819223134374346495255586164698522263438465058546266707478829098941021061141181101221261301341381421461501541581621661701741781821861901941982022062102144101418[[#This Row],[Durée (100)]],".")</f>
        <v>0.249999999999999</v>
      </c>
      <c r="N6" s="187"/>
      <c r="O6" s="71"/>
      <c r="P6" s="71"/>
      <c r="Q6" s="71"/>
      <c r="R6" s="71"/>
      <c r="S6" s="71"/>
      <c r="T6" s="71"/>
      <c r="U6" s="71"/>
      <c r="V6" s="71"/>
      <c r="W6" s="71"/>
      <c r="X6" s="71"/>
      <c r="Y6" s="71"/>
      <c r="Z6" s="71"/>
      <c r="AA6" s="71"/>
      <c r="AB6" s="71"/>
      <c r="AC6" s="71"/>
      <c r="AD6" s="71"/>
      <c r="AE6" s="71"/>
      <c r="AF6" s="71"/>
      <c r="AG6" s="71"/>
    </row>
    <row r="7" customFormat="false" ht="15" hidden="false" customHeight="false" outlineLevel="0" collapsed="false">
      <c r="A7" s="256" t="n">
        <f aca="false">IF(Horodateur1123353819223134374346495255586164698522263438465058546266707478829098941021061141181101221261301341381421461501541581621661701741781821861901941982022062102144101418[[#This Row],[Jour]]="1- Lundi",$B$1+1, IF(Horodateur1123353819223134374346495255586164698522263438465058546266707478829098941021061141181101221261301341381421461501541581621661701741781821861901941982022062102144101418[[#This Row],[Jour]]="2- Mardi",$B$1+2, IF(Horodateur1123353819223134374346495255586164698522263438465058546266707478829098941021061141181101221261301341381421461501541581621661701741781821861901941982022062102144101418[[#This Row],[Jour]]="3- Mercredi",$B$1+3, IF(Horodateur1123353819223134374346495255586164698522263438465058546266707478829098941021061141181101221261301341381421461501541581621661701741781821861901941982022062102144101418[[#This Row],[Jour]]="4- Jeudi",$B$1+4, IF(Horodateur1123353819223134374346495255586164698522263438465058546266707478829098941021061141181101221261301341381421461501541581621661701741781821861901941982022062102144101418[[#This Row],[Jour]]="5- Vendredi",$B$1+5, IF(Horodateur1123353819223134374346495255586164698522263438465058546266707478829098941021061141181101221261301341381421461501541581621661701741781821861901941982022062102144101418[[#This Row],[Jour]]="6- Samedi",$B$1+6, IF(Horodateur1123353819223134374346495255586164698522263438465058546266707478829098941021061141181101221261301341381421461501541581621661701741781821861901941982022062102144101418[[#This Row],[Jour]]="7- Dimanche",$B$1, )))))))</f>
        <v>44229</v>
      </c>
      <c r="B7" s="257" t="s">
        <v>312</v>
      </c>
      <c r="C7" s="258" t="n">
        <v>0.395833333333333</v>
      </c>
      <c r="D7" s="258" t="n">
        <v>0.40625</v>
      </c>
      <c r="E7" s="71" t="s">
        <v>37</v>
      </c>
      <c r="F7" s="71" t="s">
        <v>379</v>
      </c>
      <c r="G7" s="259" t="s">
        <v>55</v>
      </c>
      <c r="H7" s="258" t="n">
        <f aca="false">IF($C7=0,"",$D7-$C7)</f>
        <v>0.0104166666666667</v>
      </c>
      <c r="I7" s="260" t="n">
        <f aca="false">IF($C7=0,"",($H7-INT($H7))*24)</f>
        <v>0.25</v>
      </c>
      <c r="J7" s="303" t="n">
        <f aca="false">SUMIF(Horodateur1123353819223134374346495255586164698522263438465058546266707478829098941021061141181101221261301341381421461501541581621661701741781821861901941982022062102144101418[Jour],$B7,Horodateur1123353819223134374346495255586164698522263438465058546266707478829098941021061141181101221261301341381421461501541581621661701741781821861901941982022062102144101418[Durée (100)])</f>
        <v>8</v>
      </c>
      <c r="K7" s="335"/>
      <c r="L7" s="188" t="s">
        <v>31</v>
      </c>
      <c r="M7" s="272" t="n">
        <f aca="false">IF(Horodateur1123353819223134374346495255586164698522263438465058546266707478829098941021061141181101221261301341381421461501541581621661701741781821861901941982022062102144101418[[#This Row],[O]]="o",Horodateur1123353819223134374346495255586164698522263438465058546266707478829098941021061141181101221261301341381421461501541581621661701741781821861901941982022062102144101418[[#This Row],[Durée (100)]],".")</f>
        <v>0.25</v>
      </c>
      <c r="N7" s="187"/>
      <c r="O7" s="71"/>
      <c r="P7" s="71"/>
      <c r="Q7" s="71"/>
      <c r="R7" s="71"/>
      <c r="S7" s="71"/>
      <c r="T7" s="71"/>
      <c r="U7" s="71"/>
      <c r="V7" s="71"/>
      <c r="W7" s="71"/>
      <c r="X7" s="71"/>
      <c r="Y7" s="71"/>
      <c r="Z7" s="71"/>
      <c r="AA7" s="71"/>
      <c r="AB7" s="71"/>
      <c r="AC7" s="71"/>
      <c r="AD7" s="71"/>
      <c r="AE7" s="71"/>
      <c r="AF7" s="71"/>
      <c r="AG7" s="71"/>
    </row>
    <row r="8" customFormat="false" ht="15" hidden="false" customHeight="false" outlineLevel="0" collapsed="false">
      <c r="A8" s="256" t="n">
        <f aca="false">IF(Horodateur1123353819223134374346495255586164698522263438465058546266707478829098941021061141181101221261301341381421461501541581621661701741781821861901941982022062102144101418[[#This Row],[Jour]]="1- Lundi",$B$1+1, IF(Horodateur1123353819223134374346495255586164698522263438465058546266707478829098941021061141181101221261301341381421461501541581621661701741781821861901941982022062102144101418[[#This Row],[Jour]]="2- Mardi",$B$1+2, IF(Horodateur1123353819223134374346495255586164698522263438465058546266707478829098941021061141181101221261301341381421461501541581621661701741781821861901941982022062102144101418[[#This Row],[Jour]]="3- Mercredi",$B$1+3, IF(Horodateur1123353819223134374346495255586164698522263438465058546266707478829098941021061141181101221261301341381421461501541581621661701741781821861901941982022062102144101418[[#This Row],[Jour]]="4- Jeudi",$B$1+4, IF(Horodateur1123353819223134374346495255586164698522263438465058546266707478829098941021061141181101221261301341381421461501541581621661701741781821861901941982022062102144101418[[#This Row],[Jour]]="5- Vendredi",$B$1+5, IF(Horodateur1123353819223134374346495255586164698522263438465058546266707478829098941021061141181101221261301341381421461501541581621661701741781821861901941982022062102144101418[[#This Row],[Jour]]="6- Samedi",$B$1+6, IF(Horodateur1123353819223134374346495255586164698522263438465058546266707478829098941021061141181101221261301341381421461501541581621661701741781821861901941982022062102144101418[[#This Row],[Jour]]="7- Dimanche",$B$1, )))))))</f>
        <v>44229</v>
      </c>
      <c r="B8" s="257" t="s">
        <v>312</v>
      </c>
      <c r="C8" s="258" t="n">
        <v>0.40625</v>
      </c>
      <c r="D8" s="258" t="n">
        <v>0.416666666666667</v>
      </c>
      <c r="E8" s="71" t="s">
        <v>74</v>
      </c>
      <c r="F8" s="71" t="s">
        <v>378</v>
      </c>
      <c r="G8" s="259" t="s">
        <v>620</v>
      </c>
      <c r="H8" s="258" t="n">
        <f aca="false">IF($C8=0,"",$D8-$C8)</f>
        <v>0.0104166666666667</v>
      </c>
      <c r="I8" s="260" t="n">
        <f aca="false">IF($C8=0,"",($H8-INT($H8))*24)</f>
        <v>0.25</v>
      </c>
      <c r="J8" s="303" t="n">
        <f aca="false">SUMIF(Horodateur1123353819223134374346495255586164698522263438465058546266707478829098941021061141181101221261301341381421461501541581621661701741781821861901941982022062102144101418[Jour],$B8,Horodateur1123353819223134374346495255586164698522263438465058546266707478829098941021061141181101221261301341381421461501541581621661701741781821861901941982022062102144101418[Durée (100)])</f>
        <v>8</v>
      </c>
      <c r="K8" s="335"/>
      <c r="L8" s="188" t="s">
        <v>31</v>
      </c>
      <c r="M8" s="272" t="n">
        <f aca="false">IF(Horodateur1123353819223134374346495255586164698522263438465058546266707478829098941021061141181101221261301341381421461501541581621661701741781821861901941982022062102144101418[[#This Row],[O]]="o",Horodateur1123353819223134374346495255586164698522263438465058546266707478829098941021061141181101221261301341381421461501541581621661701741781821861901941982022062102144101418[[#This Row],[Durée (100)]],".")</f>
        <v>0.25</v>
      </c>
      <c r="N8" s="187"/>
      <c r="O8" s="71"/>
      <c r="P8" s="71"/>
      <c r="Q8" s="71"/>
      <c r="R8" s="71"/>
      <c r="S8" s="71"/>
      <c r="T8" s="71"/>
      <c r="U8" s="71"/>
      <c r="V8" s="71"/>
      <c r="W8" s="71"/>
      <c r="X8" s="71"/>
      <c r="Y8" s="71"/>
      <c r="Z8" s="71"/>
      <c r="AA8" s="71"/>
      <c r="AB8" s="71"/>
      <c r="AC8" s="71"/>
      <c r="AD8" s="71"/>
      <c r="AE8" s="71"/>
      <c r="AF8" s="71"/>
      <c r="AG8" s="71"/>
    </row>
    <row r="9" customFormat="false" ht="15" hidden="false" customHeight="false" outlineLevel="0" collapsed="false">
      <c r="A9" s="256" t="n">
        <f aca="false">IF(Horodateur1123353819223134374346495255586164698522263438465058546266707478829098941021061141181101221261301341381421461501541581621661701741781821861901941982022062102144101418[[#This Row],[Jour]]="1- Lundi",$B$1+1, IF(Horodateur1123353819223134374346495255586164698522263438465058546266707478829098941021061141181101221261301341381421461501541581621661701741781821861901941982022062102144101418[[#This Row],[Jour]]="2- Mardi",$B$1+2, IF(Horodateur1123353819223134374346495255586164698522263438465058546266707478829098941021061141181101221261301341381421461501541581621661701741781821861901941982022062102144101418[[#This Row],[Jour]]="3- Mercredi",$B$1+3, IF(Horodateur1123353819223134374346495255586164698522263438465058546266707478829098941021061141181101221261301341381421461501541581621661701741781821861901941982022062102144101418[[#This Row],[Jour]]="4- Jeudi",$B$1+4, IF(Horodateur1123353819223134374346495255586164698522263438465058546266707478829098941021061141181101221261301341381421461501541581621661701741781821861901941982022062102144101418[[#This Row],[Jour]]="5- Vendredi",$B$1+5, IF(Horodateur1123353819223134374346495255586164698522263438465058546266707478829098941021061141181101221261301341381421461501541581621661701741781821861901941982022062102144101418[[#This Row],[Jour]]="6- Samedi",$B$1+6, IF(Horodateur1123353819223134374346495255586164698522263438465058546266707478829098941021061141181101221261301341381421461501541581621661701741781821861901941982022062102144101418[[#This Row],[Jour]]="7- Dimanche",$B$1, )))))))</f>
        <v>44229</v>
      </c>
      <c r="B9" s="257" t="s">
        <v>312</v>
      </c>
      <c r="C9" s="258" t="n">
        <v>0.416666666666667</v>
      </c>
      <c r="D9" s="258" t="n">
        <v>0.458333333333333</v>
      </c>
      <c r="E9" s="71" t="s">
        <v>74</v>
      </c>
      <c r="F9" s="71" t="s">
        <v>22</v>
      </c>
      <c r="G9" s="259" t="s">
        <v>621</v>
      </c>
      <c r="H9" s="258" t="n">
        <f aca="false">IF($C9=0,"",$D9-$C9)</f>
        <v>0.0416666666666666</v>
      </c>
      <c r="I9" s="260" t="n">
        <f aca="false">IF($C9=0,"",($H9-INT($H9))*24)</f>
        <v>0.999999999999999</v>
      </c>
      <c r="J9" s="303" t="n">
        <f aca="false">SUMIF(Horodateur1123353819223134374346495255586164698522263438465058546266707478829098941021061141181101221261301341381421461501541581621661701741781821861901941982022062102144101418[Jour],$B9,Horodateur1123353819223134374346495255586164698522263438465058546266707478829098941021061141181101221261301341381421461501541581621661701741781821861901941982022062102144101418[Durée (100)])</f>
        <v>8</v>
      </c>
      <c r="K9" s="335"/>
      <c r="L9" s="188" t="s">
        <v>31</v>
      </c>
      <c r="M9" s="272" t="n">
        <f aca="false">IF(Horodateur1123353819223134374346495255586164698522263438465058546266707478829098941021061141181101221261301341381421461501541581621661701741781821861901941982022062102144101418[[#This Row],[O]]="o",Horodateur1123353819223134374346495255586164698522263438465058546266707478829098941021061141181101221261301341381421461501541581621661701741781821861901941982022062102144101418[[#This Row],[Durée (100)]],".")</f>
        <v>0.999999999999999</v>
      </c>
      <c r="N9" s="187"/>
      <c r="O9" s="71"/>
      <c r="P9" s="71"/>
      <c r="Q9" s="71"/>
      <c r="R9" s="71"/>
      <c r="S9" s="71"/>
      <c r="T9" s="71"/>
      <c r="U9" s="71"/>
      <c r="V9" s="71"/>
      <c r="W9" s="71"/>
      <c r="X9" s="71"/>
      <c r="Y9" s="71"/>
      <c r="Z9" s="71"/>
      <c r="AA9" s="71"/>
      <c r="AB9" s="71"/>
      <c r="AC9" s="71"/>
      <c r="AD9" s="71"/>
      <c r="AE9" s="71"/>
      <c r="AF9" s="71"/>
      <c r="AG9" s="71"/>
    </row>
    <row r="10" customFormat="false" ht="15" hidden="false" customHeight="false" outlineLevel="0" collapsed="false">
      <c r="A10" s="256" t="n">
        <f aca="false">IF(Horodateur1123353819223134374346495255586164698522263438465058546266707478829098941021061141181101221261301341381421461501541581621661701741781821861901941982022062102144101418[[#This Row],[Jour]]="1- Lundi",$B$1+1, IF(Horodateur1123353819223134374346495255586164698522263438465058546266707478829098941021061141181101221261301341381421461501541581621661701741781821861901941982022062102144101418[[#This Row],[Jour]]="2- Mardi",$B$1+2, IF(Horodateur1123353819223134374346495255586164698522263438465058546266707478829098941021061141181101221261301341381421461501541581621661701741781821861901941982022062102144101418[[#This Row],[Jour]]="3- Mercredi",$B$1+3, IF(Horodateur1123353819223134374346495255586164698522263438465058546266707478829098941021061141181101221261301341381421461501541581621661701741781821861901941982022062102144101418[[#This Row],[Jour]]="4- Jeudi",$B$1+4, IF(Horodateur1123353819223134374346495255586164698522263438465058546266707478829098941021061141181101221261301341381421461501541581621661701741781821861901941982022062102144101418[[#This Row],[Jour]]="5- Vendredi",$B$1+5, IF(Horodateur1123353819223134374346495255586164698522263438465058546266707478829098941021061141181101221261301341381421461501541581621661701741781821861901941982022062102144101418[[#This Row],[Jour]]="6- Samedi",$B$1+6, IF(Horodateur1123353819223134374346495255586164698522263438465058546266707478829098941021061141181101221261301341381421461501541581621661701741781821861901941982022062102144101418[[#This Row],[Jour]]="7- Dimanche",$B$1, )))))))</f>
        <v>44229</v>
      </c>
      <c r="B10" s="257" t="s">
        <v>312</v>
      </c>
      <c r="C10" s="258" t="n">
        <v>0.458333333333333</v>
      </c>
      <c r="D10" s="258" t="n">
        <v>0.479166666666667</v>
      </c>
      <c r="E10" s="71" t="s">
        <v>32</v>
      </c>
      <c r="F10" s="71" t="s">
        <v>21</v>
      </c>
      <c r="G10" s="259" t="s">
        <v>622</v>
      </c>
      <c r="H10" s="258" t="n">
        <f aca="false">IF($C10=0,"",$D10-$C10)</f>
        <v>0.0208333333333334</v>
      </c>
      <c r="I10" s="260" t="n">
        <f aca="false">IF($C10=0,"",($H10-INT($H10))*24)</f>
        <v>0.500000000000001</v>
      </c>
      <c r="J10" s="303" t="n">
        <f aca="false">SUMIF(Horodateur1123353819223134374346495255586164698522263438465058546266707478829098941021061141181101221261301341381421461501541581621661701741781821861901941982022062102144101418[Jour],$B10,Horodateur1123353819223134374346495255586164698522263438465058546266707478829098941021061141181101221261301341381421461501541581621661701741781821861901941982022062102144101418[Durée (100)])</f>
        <v>8</v>
      </c>
      <c r="K10" s="335"/>
      <c r="L10" s="188" t="s">
        <v>31</v>
      </c>
      <c r="M10" s="272" t="n">
        <f aca="false">IF(Horodateur1123353819223134374346495255586164698522263438465058546266707478829098941021061141181101221261301341381421461501541581621661701741781821861901941982022062102144101418[[#This Row],[O]]="o",Horodateur1123353819223134374346495255586164698522263438465058546266707478829098941021061141181101221261301341381421461501541581621661701741781821861901941982022062102144101418[[#This Row],[Durée (100)]],".")</f>
        <v>0.500000000000001</v>
      </c>
      <c r="N10" s="187"/>
      <c r="O10" s="71"/>
      <c r="P10" s="71"/>
      <c r="Q10" s="71"/>
      <c r="R10" s="71"/>
      <c r="S10" s="71"/>
      <c r="T10" s="71"/>
      <c r="U10" s="71"/>
      <c r="V10" s="71"/>
      <c r="W10" s="71"/>
      <c r="X10" s="71"/>
      <c r="Y10" s="71"/>
      <c r="Z10" s="71"/>
      <c r="AA10" s="71"/>
      <c r="AB10" s="71"/>
      <c r="AC10" s="71"/>
      <c r="AD10" s="71"/>
      <c r="AE10" s="71"/>
      <c r="AF10" s="71"/>
      <c r="AG10" s="71"/>
    </row>
    <row r="11" customFormat="false" ht="15" hidden="false" customHeight="false" outlineLevel="0" collapsed="false">
      <c r="A11" s="256" t="n">
        <f aca="false">IF(Horodateur1123353819223134374346495255586164698522263438465058546266707478829098941021061141181101221261301341381421461501541581621661701741781821861901941982022062102144101418[[#This Row],[Jour]]="1- Lundi",$B$1+1, IF(Horodateur1123353819223134374346495255586164698522263438465058546266707478829098941021061141181101221261301341381421461501541581621661701741781821861901941982022062102144101418[[#This Row],[Jour]]="2- Mardi",$B$1+2, IF(Horodateur1123353819223134374346495255586164698522263438465058546266707478829098941021061141181101221261301341381421461501541581621661701741781821861901941982022062102144101418[[#This Row],[Jour]]="3- Mercredi",$B$1+3, IF(Horodateur1123353819223134374346495255586164698522263438465058546266707478829098941021061141181101221261301341381421461501541581621661701741781821861901941982022062102144101418[[#This Row],[Jour]]="4- Jeudi",$B$1+4, IF(Horodateur1123353819223134374346495255586164698522263438465058546266707478829098941021061141181101221261301341381421461501541581621661701741781821861901941982022062102144101418[[#This Row],[Jour]]="5- Vendredi",$B$1+5, IF(Horodateur1123353819223134374346495255586164698522263438465058546266707478829098941021061141181101221261301341381421461501541581621661701741781821861901941982022062102144101418[[#This Row],[Jour]]="6- Samedi",$B$1+6, IF(Horodateur1123353819223134374346495255586164698522263438465058546266707478829098941021061141181101221261301341381421461501541581621661701741781821861901941982022062102144101418[[#This Row],[Jour]]="7- Dimanche",$B$1, )))))))</f>
        <v>44229</v>
      </c>
      <c r="B11" s="257" t="s">
        <v>312</v>
      </c>
      <c r="C11" s="258" t="n">
        <v>0.479166666666667</v>
      </c>
      <c r="D11" s="258" t="n">
        <v>0.5</v>
      </c>
      <c r="E11" s="71" t="s">
        <v>74</v>
      </c>
      <c r="F11" s="71" t="s">
        <v>378</v>
      </c>
      <c r="G11" s="259" t="s">
        <v>623</v>
      </c>
      <c r="H11" s="258" t="n">
        <f aca="false">IF($C11=0,"",$D11-$C11)</f>
        <v>0.0208333333333333</v>
      </c>
      <c r="I11" s="260" t="n">
        <f aca="false">IF($C11=0,"",($H11-INT($H11))*24)</f>
        <v>0.5</v>
      </c>
      <c r="J11" s="303" t="n">
        <f aca="false">SUMIF(Horodateur1123353819223134374346495255586164698522263438465058546266707478829098941021061141181101221261301341381421461501541581621661701741781821861901941982022062102144101418[Jour],$B11,Horodateur1123353819223134374346495255586164698522263438465058546266707478829098941021061141181101221261301341381421461501541581621661701741781821861901941982022062102144101418[Durée (100)])</f>
        <v>8</v>
      </c>
      <c r="K11" s="335"/>
      <c r="L11" s="188" t="s">
        <v>31</v>
      </c>
      <c r="M11" s="272" t="n">
        <f aca="false">IF(Horodateur1123353819223134374346495255586164698522263438465058546266707478829098941021061141181101221261301341381421461501541581621661701741781821861901941982022062102144101418[[#This Row],[O]]="o",Horodateur1123353819223134374346495255586164698522263438465058546266707478829098941021061141181101221261301341381421461501541581621661701741781821861901941982022062102144101418[[#This Row],[Durée (100)]],".")</f>
        <v>0.5</v>
      </c>
      <c r="N11" s="187"/>
      <c r="O11" s="71"/>
      <c r="P11" s="71"/>
      <c r="Q11" s="71"/>
      <c r="R11" s="71"/>
      <c r="S11" s="71"/>
      <c r="T11" s="71"/>
      <c r="U11" s="71"/>
      <c r="V11" s="71"/>
      <c r="W11" s="71"/>
      <c r="X11" s="71"/>
      <c r="Y11" s="71"/>
      <c r="Z11" s="71"/>
      <c r="AA11" s="71"/>
      <c r="AB11" s="71"/>
      <c r="AC11" s="71"/>
      <c r="AD11" s="71"/>
      <c r="AE11" s="71"/>
      <c r="AF11" s="71"/>
      <c r="AG11" s="71"/>
    </row>
    <row r="12" customFormat="false" ht="15" hidden="false" customHeight="false" outlineLevel="0" collapsed="false">
      <c r="A12" s="256" t="n">
        <f aca="false">IF(Horodateur1123353819223134374346495255586164698522263438465058546266707478829098941021061141181101221261301341381421461501541581621661701741781821861901941982022062102144101418[[#This Row],[Jour]]="1- Lundi",$B$1+1, IF(Horodateur1123353819223134374346495255586164698522263438465058546266707478829098941021061141181101221261301341381421461501541581621661701741781821861901941982022062102144101418[[#This Row],[Jour]]="2- Mardi",$B$1+2, IF(Horodateur1123353819223134374346495255586164698522263438465058546266707478829098941021061141181101221261301341381421461501541581621661701741781821861901941982022062102144101418[[#This Row],[Jour]]="3- Mercredi",$B$1+3, IF(Horodateur1123353819223134374346495255586164698522263438465058546266707478829098941021061141181101221261301341381421461501541581621661701741781821861901941982022062102144101418[[#This Row],[Jour]]="4- Jeudi",$B$1+4, IF(Horodateur1123353819223134374346495255586164698522263438465058546266707478829098941021061141181101221261301341381421461501541581621661701741781821861901941982022062102144101418[[#This Row],[Jour]]="5- Vendredi",$B$1+5, IF(Horodateur1123353819223134374346495255586164698522263438465058546266707478829098941021061141181101221261301341381421461501541581621661701741781821861901941982022062102144101418[[#This Row],[Jour]]="6- Samedi",$B$1+6, IF(Horodateur1123353819223134374346495255586164698522263438465058546266707478829098941021061141181101221261301341381421461501541581621661701741781821861901941982022062102144101418[[#This Row],[Jour]]="7- Dimanche",$B$1, )))))))</f>
        <v>44229</v>
      </c>
      <c r="B12" s="257" t="s">
        <v>312</v>
      </c>
      <c r="C12" s="258" t="n">
        <v>0.541666666666667</v>
      </c>
      <c r="D12" s="258" t="n">
        <v>0.5625</v>
      </c>
      <c r="E12" s="71" t="s">
        <v>63</v>
      </c>
      <c r="F12" s="71" t="s">
        <v>379</v>
      </c>
      <c r="G12" s="259" t="s">
        <v>624</v>
      </c>
      <c r="H12" s="258" t="n">
        <f aca="false">IF($C12=0,"",$D12-$C12)</f>
        <v>0.0208333333333334</v>
      </c>
      <c r="I12" s="260" t="n">
        <f aca="false">IF($C12=0,"",($H12-INT($H12))*24)</f>
        <v>0.500000000000001</v>
      </c>
      <c r="J12" s="303" t="n">
        <f aca="false">SUMIF(Horodateur1123353819223134374346495255586164698522263438465058546266707478829098941021061141181101221261301341381421461501541581621661701741781821861901941982022062102144101418[Jour],$B12,Horodateur1123353819223134374346495255586164698522263438465058546266707478829098941021061141181101221261301341381421461501541581621661701741781821861901941982022062102144101418[Durée (100)])</f>
        <v>8</v>
      </c>
      <c r="K12" s="335"/>
      <c r="L12" s="188" t="s">
        <v>31</v>
      </c>
      <c r="M12" s="272" t="n">
        <f aca="false">IF(Horodateur1123353819223134374346495255586164698522263438465058546266707478829098941021061141181101221261301341381421461501541581621661701741781821861901941982022062102144101418[[#This Row],[O]]="o",Horodateur1123353819223134374346495255586164698522263438465058546266707478829098941021061141181101221261301341381421461501541581621661701741781821861901941982022062102144101418[[#This Row],[Durée (100)]],".")</f>
        <v>0.500000000000001</v>
      </c>
      <c r="N12" s="187"/>
      <c r="O12" s="71"/>
      <c r="P12" s="71"/>
      <c r="Q12" s="71"/>
      <c r="R12" s="71"/>
      <c r="S12" s="71"/>
      <c r="T12" s="71"/>
      <c r="U12" s="71"/>
      <c r="V12" s="71"/>
      <c r="W12" s="71"/>
      <c r="X12" s="71"/>
      <c r="Y12" s="71"/>
      <c r="Z12" s="71"/>
      <c r="AA12" s="71"/>
      <c r="AB12" s="71"/>
      <c r="AC12" s="71"/>
      <c r="AD12" s="71"/>
      <c r="AE12" s="71"/>
      <c r="AF12" s="71"/>
      <c r="AG12" s="71"/>
    </row>
    <row r="13" customFormat="false" ht="15" hidden="false" customHeight="false" outlineLevel="0" collapsed="false">
      <c r="A13" s="256" t="n">
        <f aca="false">IF(Horodateur1123353819223134374346495255586164698522263438465058546266707478829098941021061141181101221261301341381421461501541581621661701741781821861901941982022062102144101418[[#This Row],[Jour]]="1- Lundi",$B$1+1, IF(Horodateur1123353819223134374346495255586164698522263438465058546266707478829098941021061141181101221261301341381421461501541581621661701741781821861901941982022062102144101418[[#This Row],[Jour]]="2- Mardi",$B$1+2, IF(Horodateur1123353819223134374346495255586164698522263438465058546266707478829098941021061141181101221261301341381421461501541581621661701741781821861901941982022062102144101418[[#This Row],[Jour]]="3- Mercredi",$B$1+3, IF(Horodateur1123353819223134374346495255586164698522263438465058546266707478829098941021061141181101221261301341381421461501541581621661701741781821861901941982022062102144101418[[#This Row],[Jour]]="4- Jeudi",$B$1+4, IF(Horodateur1123353819223134374346495255586164698522263438465058546266707478829098941021061141181101221261301341381421461501541581621661701741781821861901941982022062102144101418[[#This Row],[Jour]]="5- Vendredi",$B$1+5, IF(Horodateur1123353819223134374346495255586164698522263438465058546266707478829098941021061141181101221261301341381421461501541581621661701741781821861901941982022062102144101418[[#This Row],[Jour]]="6- Samedi",$B$1+6, IF(Horodateur1123353819223134374346495255586164698522263438465058546266707478829098941021061141181101221261301341381421461501541581621661701741781821861901941982022062102144101418[[#This Row],[Jour]]="7- Dimanche",$B$1, )))))))</f>
        <v>44229</v>
      </c>
      <c r="B13" s="257" t="s">
        <v>312</v>
      </c>
      <c r="C13" s="258" t="n">
        <v>0.5625</v>
      </c>
      <c r="D13" s="258" t="n">
        <v>0.635416666666667</v>
      </c>
      <c r="E13" s="71" t="s">
        <v>63</v>
      </c>
      <c r="F13" s="71" t="s">
        <v>378</v>
      </c>
      <c r="G13" s="259" t="s">
        <v>625</v>
      </c>
      <c r="H13" s="258" t="n">
        <f aca="false">IF($C13=0,"",$D13-$C13)</f>
        <v>0.0729166666666667</v>
      </c>
      <c r="I13" s="260" t="n">
        <f aca="false">IF($C13=0,"",($H13-INT($H13))*24)</f>
        <v>1.75</v>
      </c>
      <c r="J13" s="303" t="n">
        <f aca="false">SUMIF(Horodateur1123353819223134374346495255586164698522263438465058546266707478829098941021061141181101221261301341381421461501541581621661701741781821861901941982022062102144101418[Jour],$B13,Horodateur1123353819223134374346495255586164698522263438465058546266707478829098941021061141181101221261301341381421461501541581621661701741781821861901941982022062102144101418[Durée (100)])</f>
        <v>8</v>
      </c>
      <c r="K13" s="335"/>
      <c r="L13" s="188" t="s">
        <v>31</v>
      </c>
      <c r="M13" s="272" t="n">
        <f aca="false">IF(Horodateur1123353819223134374346495255586164698522263438465058546266707478829098941021061141181101221261301341381421461501541581621661701741781821861901941982022062102144101418[[#This Row],[O]]="o",Horodateur1123353819223134374346495255586164698522263438465058546266707478829098941021061141181101221261301341381421461501541581621661701741781821861901941982022062102144101418[[#This Row],[Durée (100)]],".")</f>
        <v>1.75</v>
      </c>
      <c r="N13" s="187"/>
      <c r="O13" s="71"/>
      <c r="P13" s="71"/>
      <c r="Q13" s="71"/>
      <c r="R13" s="71"/>
      <c r="S13" s="71"/>
      <c r="T13" s="71"/>
      <c r="U13" s="71"/>
      <c r="V13" s="71"/>
      <c r="W13" s="71"/>
      <c r="X13" s="71"/>
      <c r="Y13" s="71"/>
      <c r="Z13" s="71"/>
      <c r="AA13" s="71"/>
      <c r="AB13" s="71"/>
      <c r="AC13" s="71"/>
      <c r="AD13" s="71"/>
      <c r="AE13" s="71"/>
      <c r="AF13" s="71"/>
      <c r="AG13" s="71"/>
    </row>
    <row r="14" customFormat="false" ht="15" hidden="false" customHeight="false" outlineLevel="0" collapsed="false">
      <c r="A14" s="256" t="n">
        <f aca="false">IF(Horodateur1123353819223134374346495255586164698522263438465058546266707478829098941021061141181101221261301341381421461501541581621661701741781821861901941982022062102144101418[[#This Row],[Jour]]="1- Lundi",$B$1+1, IF(Horodateur1123353819223134374346495255586164698522263438465058546266707478829098941021061141181101221261301341381421461501541581621661701741781821861901941982022062102144101418[[#This Row],[Jour]]="2- Mardi",$B$1+2, IF(Horodateur1123353819223134374346495255586164698522263438465058546266707478829098941021061141181101221261301341381421461501541581621661701741781821861901941982022062102144101418[[#This Row],[Jour]]="3- Mercredi",$B$1+3, IF(Horodateur1123353819223134374346495255586164698522263438465058546266707478829098941021061141181101221261301341381421461501541581621661701741781821861901941982022062102144101418[[#This Row],[Jour]]="4- Jeudi",$B$1+4, IF(Horodateur1123353819223134374346495255586164698522263438465058546266707478829098941021061141181101221261301341381421461501541581621661701741781821861901941982022062102144101418[[#This Row],[Jour]]="5- Vendredi",$B$1+5, IF(Horodateur1123353819223134374346495255586164698522263438465058546266707478829098941021061141181101221261301341381421461501541581621661701741781821861901941982022062102144101418[[#This Row],[Jour]]="6- Samedi",$B$1+6, IF(Horodateur1123353819223134374346495255586164698522263438465058546266707478829098941021061141181101221261301341381421461501541581621661701741781821861901941982022062102144101418[[#This Row],[Jour]]="7- Dimanche",$B$1, )))))))</f>
        <v>44229</v>
      </c>
      <c r="B14" s="257" t="s">
        <v>312</v>
      </c>
      <c r="C14" s="258" t="n">
        <v>0.645833333333333</v>
      </c>
      <c r="D14" s="258" t="n">
        <v>0.65625</v>
      </c>
      <c r="E14" s="71" t="s">
        <v>74</v>
      </c>
      <c r="F14" s="71" t="s">
        <v>379</v>
      </c>
      <c r="G14" s="259" t="s">
        <v>507</v>
      </c>
      <c r="H14" s="258" t="n">
        <f aca="false">IF($C14=0,"",$D14-$C14)</f>
        <v>0.0104166666666666</v>
      </c>
      <c r="I14" s="260" t="n">
        <f aca="false">IF($C14=0,"",($H14-INT($H14))*24)</f>
        <v>0.249999999999999</v>
      </c>
      <c r="J14" s="303" t="n">
        <f aca="false">SUMIF(Horodateur1123353819223134374346495255586164698522263438465058546266707478829098941021061141181101221261301341381421461501541581621661701741781821861901941982022062102144101418[Jour],$B14,Horodateur1123353819223134374346495255586164698522263438465058546266707478829098941021061141181101221261301341381421461501541581621661701741781821861901941982022062102144101418[Durée (100)])</f>
        <v>8</v>
      </c>
      <c r="K14" s="335"/>
      <c r="L14" s="188" t="s">
        <v>31</v>
      </c>
      <c r="M14" s="272" t="n">
        <f aca="false">IF(Horodateur1123353819223134374346495255586164698522263438465058546266707478829098941021061141181101221261301341381421461501541581621661701741781821861901941982022062102144101418[[#This Row],[O]]="o",Horodateur1123353819223134374346495255586164698522263438465058546266707478829098941021061141181101221261301341381421461501541581621661701741781821861901941982022062102144101418[[#This Row],[Durée (100)]],".")</f>
        <v>0.249999999999999</v>
      </c>
      <c r="N14" s="187"/>
      <c r="O14" s="71"/>
      <c r="P14" s="71"/>
      <c r="Q14" s="71"/>
      <c r="R14" s="71"/>
      <c r="S14" s="71"/>
      <c r="T14" s="71"/>
      <c r="U14" s="71"/>
      <c r="V14" s="71"/>
      <c r="W14" s="71"/>
      <c r="X14" s="71"/>
      <c r="Y14" s="71"/>
      <c r="Z14" s="71"/>
      <c r="AA14" s="71"/>
      <c r="AB14" s="71"/>
      <c r="AC14" s="71"/>
      <c r="AD14" s="71"/>
      <c r="AE14" s="71"/>
      <c r="AF14" s="71"/>
      <c r="AG14" s="71"/>
    </row>
    <row r="15" customFormat="false" ht="15" hidden="false" customHeight="false" outlineLevel="0" collapsed="false">
      <c r="A15" s="256" t="n">
        <f aca="false">IF(Horodateur1123353819223134374346495255586164698522263438465058546266707478829098941021061141181101221261301341381421461501541581621661701741781821861901941982022062102144101418[[#This Row],[Jour]]="1- Lundi",$B$1+1, IF(Horodateur1123353819223134374346495255586164698522263438465058546266707478829098941021061141181101221261301341381421461501541581621661701741781821861901941982022062102144101418[[#This Row],[Jour]]="2- Mardi",$B$1+2, IF(Horodateur1123353819223134374346495255586164698522263438465058546266707478829098941021061141181101221261301341381421461501541581621661701741781821861901941982022062102144101418[[#This Row],[Jour]]="3- Mercredi",$B$1+3, IF(Horodateur1123353819223134374346495255586164698522263438465058546266707478829098941021061141181101221261301341381421461501541581621661701741781821861901941982022062102144101418[[#This Row],[Jour]]="4- Jeudi",$B$1+4, IF(Horodateur1123353819223134374346495255586164698522263438465058546266707478829098941021061141181101221261301341381421461501541581621661701741781821861901941982022062102144101418[[#This Row],[Jour]]="5- Vendredi",$B$1+5, IF(Horodateur1123353819223134374346495255586164698522263438465058546266707478829098941021061141181101221261301341381421461501541581621661701741781821861901941982022062102144101418[[#This Row],[Jour]]="6- Samedi",$B$1+6, IF(Horodateur1123353819223134374346495255586164698522263438465058546266707478829098941021061141181101221261301341381421461501541581621661701741781821861901941982022062102144101418[[#This Row],[Jour]]="7- Dimanche",$B$1, )))))))</f>
        <v>44229</v>
      </c>
      <c r="B15" s="257" t="s">
        <v>312</v>
      </c>
      <c r="C15" s="258" t="n">
        <v>0.666666666666667</v>
      </c>
      <c r="D15" s="258" t="n">
        <v>0.708333333333333</v>
      </c>
      <c r="E15" s="71" t="s">
        <v>32</v>
      </c>
      <c r="F15" s="71" t="s">
        <v>22</v>
      </c>
      <c r="G15" s="259"/>
      <c r="H15" s="258" t="n">
        <f aca="false">IF($C15=0,"",$D15-$C15)</f>
        <v>0.0416666666666667</v>
      </c>
      <c r="I15" s="260" t="n">
        <f aca="false">IF($C15=0,"",($H15-INT($H15))*24)</f>
        <v>1</v>
      </c>
      <c r="J15" s="303" t="n">
        <f aca="false">SUMIF(Horodateur1123353819223134374346495255586164698522263438465058546266707478829098941021061141181101221261301341381421461501541581621661701741781821861901941982022062102144101418[Jour],$B15,Horodateur1123353819223134374346495255586164698522263438465058546266707478829098941021061141181101221261301341381421461501541581621661701741781821861901941982022062102144101418[Durée (100)])</f>
        <v>8</v>
      </c>
      <c r="K15" s="335"/>
      <c r="L15" s="188" t="s">
        <v>31</v>
      </c>
      <c r="M15" s="272" t="n">
        <f aca="false">IF(Horodateur1123353819223134374346495255586164698522263438465058546266707478829098941021061141181101221261301341381421461501541581621661701741781821861901941982022062102144101418[[#This Row],[O]]="o",Horodateur1123353819223134374346495255586164698522263438465058546266707478829098941021061141181101221261301341381421461501541581621661701741781821861901941982022062102144101418[[#This Row],[Durée (100)]],".")</f>
        <v>1</v>
      </c>
      <c r="N15" s="187"/>
      <c r="O15" s="71"/>
      <c r="P15" s="71"/>
      <c r="Q15" s="71"/>
      <c r="R15" s="71"/>
      <c r="S15" s="71"/>
      <c r="T15" s="71"/>
      <c r="U15" s="71"/>
      <c r="V15" s="71"/>
      <c r="W15" s="71"/>
      <c r="X15" s="71"/>
      <c r="Y15" s="71"/>
      <c r="Z15" s="71"/>
      <c r="AA15" s="71"/>
      <c r="AB15" s="71"/>
      <c r="AC15" s="71"/>
      <c r="AD15" s="71"/>
      <c r="AE15" s="71"/>
      <c r="AF15" s="71"/>
      <c r="AG15" s="71"/>
    </row>
    <row r="16" customFormat="false" ht="15" hidden="false" customHeight="false" outlineLevel="0" collapsed="false">
      <c r="A16" s="256" t="n">
        <f aca="false">IF(Horodateur1123353819223134374346495255586164698522263438465058546266707478829098941021061141181101221261301341381421461501541581621661701741781821861901941982022062102144101418[[#This Row],[Jour]]="1- Lundi",$B$1+1, IF(Horodateur1123353819223134374346495255586164698522263438465058546266707478829098941021061141181101221261301341381421461501541581621661701741781821861901941982022062102144101418[[#This Row],[Jour]]="2- Mardi",$B$1+2, IF(Horodateur1123353819223134374346495255586164698522263438465058546266707478829098941021061141181101221261301341381421461501541581621661701741781821861901941982022062102144101418[[#This Row],[Jour]]="3- Mercredi",$B$1+3, IF(Horodateur1123353819223134374346495255586164698522263438465058546266707478829098941021061141181101221261301341381421461501541581621661701741781821861901941982022062102144101418[[#This Row],[Jour]]="4- Jeudi",$B$1+4, IF(Horodateur1123353819223134374346495255586164698522263438465058546266707478829098941021061141181101221261301341381421461501541581621661701741781821861901941982022062102144101418[[#This Row],[Jour]]="5- Vendredi",$B$1+5, IF(Horodateur1123353819223134374346495255586164698522263438465058546266707478829098941021061141181101221261301341381421461501541581621661701741781821861901941982022062102144101418[[#This Row],[Jour]]="6- Samedi",$B$1+6, IF(Horodateur1123353819223134374346495255586164698522263438465058546266707478829098941021061141181101221261301341381421461501541581621661701741781821861901941982022062102144101418[[#This Row],[Jour]]="7- Dimanche",$B$1, )))))))</f>
        <v>44230</v>
      </c>
      <c r="B16" s="257" t="s">
        <v>319</v>
      </c>
      <c r="C16" s="258" t="n">
        <v>0.3125</v>
      </c>
      <c r="D16" s="258" t="n">
        <v>0.395833333333333</v>
      </c>
      <c r="E16" s="71" t="s">
        <v>32</v>
      </c>
      <c r="F16" s="71" t="s">
        <v>23</v>
      </c>
      <c r="G16" s="259"/>
      <c r="H16" s="258" t="n">
        <f aca="false">IF($C16=0,"",$D16-$C16)</f>
        <v>0.0833333333333333</v>
      </c>
      <c r="I16" s="260" t="n">
        <f aca="false">IF($C16=0,"",($H16-INT($H16))*24)</f>
        <v>2</v>
      </c>
      <c r="J16" s="303" t="n">
        <f aca="false">SUMIF(Horodateur1123353819223134374346495255586164698522263438465058546266707478829098941021061141181101221261301341381421461501541581621661701741781821861901941982022062102144101418[Jour],$B16,Horodateur1123353819223134374346495255586164698522263438465058546266707478829098941021061141181101221261301341381421461501541581621661701741781821861901941982022062102144101418[Durée (100)])</f>
        <v>6.5</v>
      </c>
      <c r="K16" s="335"/>
      <c r="L16" s="188" t="s">
        <v>31</v>
      </c>
      <c r="M16" s="272" t="n">
        <f aca="false">IF(Horodateur1123353819223134374346495255586164698522263438465058546266707478829098941021061141181101221261301341381421461501541581621661701741781821861901941982022062102144101418[[#This Row],[O]]="o",Horodateur1123353819223134374346495255586164698522263438465058546266707478829098941021061141181101221261301341381421461501541581621661701741781821861901941982022062102144101418[[#This Row],[Durée (100)]],".")</f>
        <v>2</v>
      </c>
      <c r="N16" s="187"/>
      <c r="O16" s="71"/>
      <c r="P16" s="71"/>
      <c r="Q16" s="71"/>
      <c r="R16" s="71"/>
      <c r="S16" s="71"/>
      <c r="T16" s="71"/>
      <c r="U16" s="71"/>
      <c r="V16" s="71"/>
      <c r="W16" s="71"/>
      <c r="X16" s="71"/>
      <c r="Y16" s="71"/>
      <c r="Z16" s="71"/>
      <c r="AA16" s="71"/>
      <c r="AB16" s="71"/>
      <c r="AC16" s="71"/>
      <c r="AD16" s="71"/>
      <c r="AE16" s="71"/>
      <c r="AF16" s="71"/>
      <c r="AG16" s="71"/>
    </row>
    <row r="17" customFormat="false" ht="15" hidden="false" customHeight="false" outlineLevel="0" collapsed="false">
      <c r="A17" s="256" t="n">
        <f aca="false">IF(Horodateur1123353819223134374346495255586164698522263438465058546266707478829098941021061141181101221261301341381421461501541581621661701741781821861901941982022062102144101418[[#This Row],[Jour]]="1- Lundi",$B$1+1, IF(Horodateur1123353819223134374346495255586164698522263438465058546266707478829098941021061141181101221261301341381421461501541581621661701741781821861901941982022062102144101418[[#This Row],[Jour]]="2- Mardi",$B$1+2, IF(Horodateur1123353819223134374346495255586164698522263438465058546266707478829098941021061141181101221261301341381421461501541581621661701741781821861901941982022062102144101418[[#This Row],[Jour]]="3- Mercredi",$B$1+3, IF(Horodateur1123353819223134374346495255586164698522263438465058546266707478829098941021061141181101221261301341381421461501541581621661701741781821861901941982022062102144101418[[#This Row],[Jour]]="4- Jeudi",$B$1+4, IF(Horodateur1123353819223134374346495255586164698522263438465058546266707478829098941021061141181101221261301341381421461501541581621661701741781821861901941982022062102144101418[[#This Row],[Jour]]="5- Vendredi",$B$1+5, IF(Horodateur1123353819223134374346495255586164698522263438465058546266707478829098941021061141181101221261301341381421461501541581621661701741781821861901941982022062102144101418[[#This Row],[Jour]]="6- Samedi",$B$1+6, IF(Horodateur1123353819223134374346495255586164698522263438465058546266707478829098941021061141181101221261301341381421461501541581621661701741781821861901941982022062102144101418[[#This Row],[Jour]]="7- Dimanche",$B$1, )))))))</f>
        <v>44230</v>
      </c>
      <c r="B17" s="257" t="s">
        <v>319</v>
      </c>
      <c r="C17" s="258" t="n">
        <v>0.395833333333333</v>
      </c>
      <c r="D17" s="258" t="n">
        <v>0.479166666666667</v>
      </c>
      <c r="E17" s="71" t="s">
        <v>363</v>
      </c>
      <c r="F17" s="71" t="s">
        <v>378</v>
      </c>
      <c r="G17" s="259" t="s">
        <v>626</v>
      </c>
      <c r="H17" s="258" t="n">
        <f aca="false">IF($C17=0,"",$D17-$C17)</f>
        <v>0.0833333333333333</v>
      </c>
      <c r="I17" s="260" t="n">
        <f aca="false">IF($C17=0,"",($H17-INT($H17))*24)</f>
        <v>2</v>
      </c>
      <c r="J17" s="303" t="n">
        <f aca="false">SUMIF(Horodateur1123353819223134374346495255586164698522263438465058546266707478829098941021061141181101221261301341381421461501541581621661701741781821861901941982022062102144101418[Jour],$B17,Horodateur1123353819223134374346495255586164698522263438465058546266707478829098941021061141181101221261301341381421461501541581621661701741781821861901941982022062102144101418[Durée (100)])</f>
        <v>6.5</v>
      </c>
      <c r="K17" s="335"/>
      <c r="L17" s="188" t="s">
        <v>31</v>
      </c>
      <c r="M17" s="272" t="n">
        <f aca="false">IF(Horodateur1123353819223134374346495255586164698522263438465058546266707478829098941021061141181101221261301341381421461501541581621661701741781821861901941982022062102144101418[[#This Row],[O]]="o",Horodateur1123353819223134374346495255586164698522263438465058546266707478829098941021061141181101221261301341381421461501541581621661701741781821861901941982022062102144101418[[#This Row],[Durée (100)]],".")</f>
        <v>2</v>
      </c>
      <c r="N17" s="187"/>
      <c r="O17" s="71"/>
      <c r="P17" s="71"/>
      <c r="Q17" s="71"/>
      <c r="R17" s="71"/>
      <c r="S17" s="71"/>
      <c r="T17" s="71"/>
      <c r="U17" s="71"/>
      <c r="V17" s="71"/>
      <c r="W17" s="71"/>
      <c r="X17" s="71"/>
      <c r="Y17" s="71"/>
      <c r="Z17" s="71"/>
      <c r="AA17" s="71"/>
      <c r="AB17" s="71"/>
      <c r="AC17" s="71"/>
      <c r="AD17" s="71"/>
      <c r="AE17" s="71"/>
      <c r="AF17" s="71"/>
      <c r="AG17" s="71"/>
    </row>
    <row r="18" customFormat="false" ht="15" hidden="false" customHeight="false" outlineLevel="0" collapsed="false">
      <c r="A18" s="256" t="n">
        <f aca="false">IF(Horodateur1123353819223134374346495255586164698522263438465058546266707478829098941021061141181101221261301341381421461501541581621661701741781821861901941982022062102144101418[[#This Row],[Jour]]="1- Lundi",$B$1+1, IF(Horodateur1123353819223134374346495255586164698522263438465058546266707478829098941021061141181101221261301341381421461501541581621661701741781821861901941982022062102144101418[[#This Row],[Jour]]="2- Mardi",$B$1+2, IF(Horodateur1123353819223134374346495255586164698522263438465058546266707478829098941021061141181101221261301341381421461501541581621661701741781821861901941982022062102144101418[[#This Row],[Jour]]="3- Mercredi",$B$1+3, IF(Horodateur1123353819223134374346495255586164698522263438465058546266707478829098941021061141181101221261301341381421461501541581621661701741781821861901941982022062102144101418[[#This Row],[Jour]]="4- Jeudi",$B$1+4, IF(Horodateur1123353819223134374346495255586164698522263438465058546266707478829098941021061141181101221261301341381421461501541581621661701741781821861901941982022062102144101418[[#This Row],[Jour]]="5- Vendredi",$B$1+5, IF(Horodateur1123353819223134374346495255586164698522263438465058546266707478829098941021061141181101221261301341381421461501541581621661701741781821861901941982022062102144101418[[#This Row],[Jour]]="6- Samedi",$B$1+6, IF(Horodateur1123353819223134374346495255586164698522263438465058546266707478829098941021061141181101221261301341381421461501541581621661701741781821861901941982022062102144101418[[#This Row],[Jour]]="7- Dimanche",$B$1, )))))))</f>
        <v>44230</v>
      </c>
      <c r="B18" s="257" t="s">
        <v>319</v>
      </c>
      <c r="C18" s="258" t="n">
        <v>0.5625</v>
      </c>
      <c r="D18" s="258" t="n">
        <v>0.666666666666667</v>
      </c>
      <c r="E18" s="71" t="s">
        <v>59</v>
      </c>
      <c r="F18" s="71" t="s">
        <v>378</v>
      </c>
      <c r="G18" s="259" t="s">
        <v>627</v>
      </c>
      <c r="H18" s="258" t="n">
        <f aca="false">IF($C18=0,"",$D18-$C18)</f>
        <v>0.104166666666667</v>
      </c>
      <c r="I18" s="260" t="n">
        <f aca="false">IF($C18=0,"",($H18-INT($H18))*24)</f>
        <v>2.5</v>
      </c>
      <c r="J18" s="303" t="n">
        <f aca="false">SUMIF(Horodateur1123353819223134374346495255586164698522263438465058546266707478829098941021061141181101221261301341381421461501541581621661701741781821861901941982022062102144101418[Jour],$B18,Horodateur1123353819223134374346495255586164698522263438465058546266707478829098941021061141181101221261301341381421461501541581621661701741781821861901941982022062102144101418[Durée (100)])</f>
        <v>6.5</v>
      </c>
      <c r="K18" s="335"/>
      <c r="L18" s="188" t="s">
        <v>31</v>
      </c>
      <c r="M18" s="272" t="n">
        <f aca="false">IF(Horodateur1123353819223134374346495255586164698522263438465058546266707478829098941021061141181101221261301341381421461501541581621661701741781821861901941982022062102144101418[[#This Row],[O]]="o",Horodateur1123353819223134374346495255586164698522263438465058546266707478829098941021061141181101221261301341381421461501541581621661701741781821861901941982022062102144101418[[#This Row],[Durée (100)]],".")</f>
        <v>2.5</v>
      </c>
      <c r="N18" s="187"/>
      <c r="O18" s="71"/>
      <c r="P18" s="71"/>
      <c r="Q18" s="71"/>
      <c r="R18" s="71"/>
      <c r="S18" s="71"/>
      <c r="T18" s="71"/>
      <c r="U18" s="71"/>
      <c r="V18" s="71"/>
      <c r="W18" s="71"/>
      <c r="X18" s="71"/>
      <c r="Y18" s="71"/>
      <c r="Z18" s="71"/>
      <c r="AA18" s="71"/>
      <c r="AB18" s="71"/>
      <c r="AC18" s="71"/>
      <c r="AD18" s="71"/>
      <c r="AE18" s="71"/>
      <c r="AF18" s="71"/>
      <c r="AG18" s="71"/>
    </row>
    <row r="19" customFormat="false" ht="15" hidden="false" customHeight="false" outlineLevel="0" collapsed="false">
      <c r="A19" s="256" t="n">
        <f aca="false">IF(Horodateur1123353819223134374346495255586164698522263438465058546266707478829098941021061141181101221261301341381421461501541581621661701741781821861901941982022062102144101418[[#This Row],[Jour]]="1- Lundi",$B$1+1, IF(Horodateur1123353819223134374346495255586164698522263438465058546266707478829098941021061141181101221261301341381421461501541581621661701741781821861901941982022062102144101418[[#This Row],[Jour]]="2- Mardi",$B$1+2, IF(Horodateur1123353819223134374346495255586164698522263438465058546266707478829098941021061141181101221261301341381421461501541581621661701741781821861901941982022062102144101418[[#This Row],[Jour]]="3- Mercredi",$B$1+3, IF(Horodateur1123353819223134374346495255586164698522263438465058546266707478829098941021061141181101221261301341381421461501541581621661701741781821861901941982022062102144101418[[#This Row],[Jour]]="4- Jeudi",$B$1+4, IF(Horodateur1123353819223134374346495255586164698522263438465058546266707478829098941021061141181101221261301341381421461501541581621661701741781821861901941982022062102144101418[[#This Row],[Jour]]="5- Vendredi",$B$1+5, IF(Horodateur1123353819223134374346495255586164698522263438465058546266707478829098941021061141181101221261301341381421461501541581621661701741781821861901941982022062102144101418[[#This Row],[Jour]]="6- Samedi",$B$1+6, IF(Horodateur1123353819223134374346495255586164698522263438465058546266707478829098941021061141181101221261301341381421461501541581621661701741781821861901941982022062102144101418[[#This Row],[Jour]]="7- Dimanche",$B$1, )))))))</f>
        <v>44231</v>
      </c>
      <c r="B19" s="257" t="s">
        <v>324</v>
      </c>
      <c r="C19" s="258" t="n">
        <v>0.322916666666667</v>
      </c>
      <c r="D19" s="258" t="n">
        <v>0.333333333333333</v>
      </c>
      <c r="E19" s="71" t="s">
        <v>32</v>
      </c>
      <c r="F19" s="71" t="s">
        <v>21</v>
      </c>
      <c r="G19" s="259"/>
      <c r="H19" s="258" t="n">
        <f aca="false">IF($C19=0,"",$D19-$C19)</f>
        <v>0.0104166666666667</v>
      </c>
      <c r="I19" s="260" t="n">
        <f aca="false">IF($C19=0,"",($H19-INT($H19))*24)</f>
        <v>0.25</v>
      </c>
      <c r="J19" s="303" t="n">
        <f aca="false">SUMIF(Horodateur1123353819223134374346495255586164698522263438465058546266707478829098941021061141181101221261301341381421461501541581621661701741781821861901941982022062102144101418[Jour],$B19,Horodateur1123353819223134374346495255586164698522263438465058546266707478829098941021061141181101221261301341381421461501541581621661701741781821861901941982022062102144101418[Durée (100)])</f>
        <v>8.5</v>
      </c>
      <c r="K19" s="335"/>
      <c r="L19" s="188" t="s">
        <v>31</v>
      </c>
      <c r="M19" s="272" t="n">
        <f aca="false">IF(Horodateur1123353819223134374346495255586164698522263438465058546266707478829098941021061141181101221261301341381421461501541581621661701741781821861901941982022062102144101418[[#This Row],[O]]="o",Horodateur1123353819223134374346495255586164698522263438465058546266707478829098941021061141181101221261301341381421461501541581621661701741781821861901941982022062102144101418[[#This Row],[Durée (100)]],".")</f>
        <v>0.249999999999999</v>
      </c>
      <c r="N19" s="187"/>
      <c r="O19" s="71"/>
      <c r="P19" s="71"/>
      <c r="Q19" s="71"/>
      <c r="R19" s="71"/>
      <c r="S19" s="71"/>
      <c r="T19" s="71"/>
      <c r="U19" s="71"/>
      <c r="V19" s="71"/>
      <c r="W19" s="71"/>
      <c r="X19" s="71"/>
      <c r="Y19" s="71"/>
      <c r="Z19" s="71"/>
      <c r="AA19" s="71"/>
      <c r="AB19" s="71"/>
      <c r="AC19" s="71"/>
      <c r="AD19" s="71"/>
      <c r="AE19" s="71"/>
      <c r="AF19" s="71"/>
      <c r="AG19" s="71"/>
    </row>
    <row r="20" customFormat="false" ht="15" hidden="false" customHeight="false" outlineLevel="0" collapsed="false">
      <c r="A20" s="256" t="n">
        <f aca="false">IF(Horodateur1123353819223134374346495255586164698522263438465058546266707478829098941021061141181101221261301341381421461501541581621661701741781821861901941982022062102144101418[[#This Row],[Jour]]="1- Lundi",$B$1+1, IF(Horodateur1123353819223134374346495255586164698522263438465058546266707478829098941021061141181101221261301341381421461501541581621661701741781821861901941982022062102144101418[[#This Row],[Jour]]="2- Mardi",$B$1+2, IF(Horodateur1123353819223134374346495255586164698522263438465058546266707478829098941021061141181101221261301341381421461501541581621661701741781821861901941982022062102144101418[[#This Row],[Jour]]="3- Mercredi",$B$1+3, IF(Horodateur1123353819223134374346495255586164698522263438465058546266707478829098941021061141181101221261301341381421461501541581621661701741781821861901941982022062102144101418[[#This Row],[Jour]]="4- Jeudi",$B$1+4, IF(Horodateur1123353819223134374346495255586164698522263438465058546266707478829098941021061141181101221261301341381421461501541581621661701741781821861901941982022062102144101418[[#This Row],[Jour]]="5- Vendredi",$B$1+5, IF(Horodateur1123353819223134374346495255586164698522263438465058546266707478829098941021061141181101221261301341381421461501541581621661701741781821861901941982022062102144101418[[#This Row],[Jour]]="6- Samedi",$B$1+6, IF(Horodateur1123353819223134374346495255586164698522263438465058546266707478829098941021061141181101221261301341381421461501541581621661701741781821861901941982022062102144101418[[#This Row],[Jour]]="7- Dimanche",$B$1, )))))))</f>
        <v>44231</v>
      </c>
      <c r="B20" s="257" t="s">
        <v>324</v>
      </c>
      <c r="C20" s="258" t="n">
        <v>0.333333333333333</v>
      </c>
      <c r="D20" s="258" t="n">
        <v>0.354166666666667</v>
      </c>
      <c r="E20" s="71" t="s">
        <v>59</v>
      </c>
      <c r="F20" s="71" t="s">
        <v>378</v>
      </c>
      <c r="G20" s="259" t="s">
        <v>628</v>
      </c>
      <c r="H20" s="258" t="n">
        <f aca="false">IF($C20=0,"",$D20-$C20)</f>
        <v>0.0208333333333333</v>
      </c>
      <c r="I20" s="260" t="n">
        <f aca="false">IF($C20=0,"",($H20-INT($H20))*24)</f>
        <v>0.5</v>
      </c>
      <c r="J20" s="303" t="n">
        <f aca="false">SUMIF(Horodateur1123353819223134374346495255586164698522263438465058546266707478829098941021061141181101221261301341381421461501541581621661701741781821861901941982022062102144101418[Jour],$B20,Horodateur1123353819223134374346495255586164698522263438465058546266707478829098941021061141181101221261301341381421461501541581621661701741781821861901941982022062102144101418[Durée (100)])</f>
        <v>8.5</v>
      </c>
      <c r="K20" s="335"/>
      <c r="L20" s="188" t="s">
        <v>31</v>
      </c>
      <c r="M20" s="272" t="n">
        <f aca="false">IF(Horodateur1123353819223134374346495255586164698522263438465058546266707478829098941021061141181101221261301341381421461501541581621661701741781821861901941982022062102144101418[[#This Row],[O]]="o",Horodateur1123353819223134374346495255586164698522263438465058546266707478829098941021061141181101221261301341381421461501541581621661701741781821861901941982022062102144101418[[#This Row],[Durée (100)]],".")</f>
        <v>0.500000000000001</v>
      </c>
      <c r="N20" s="187"/>
      <c r="O20" s="71"/>
      <c r="P20" s="71"/>
      <c r="Q20" s="71"/>
      <c r="R20" s="71"/>
      <c r="S20" s="71"/>
      <c r="T20" s="71"/>
      <c r="U20" s="71"/>
      <c r="V20" s="71"/>
      <c r="W20" s="71"/>
      <c r="X20" s="71"/>
      <c r="Y20" s="71"/>
      <c r="Z20" s="71"/>
      <c r="AA20" s="71"/>
      <c r="AB20" s="71"/>
      <c r="AC20" s="71"/>
      <c r="AD20" s="71"/>
      <c r="AE20" s="71"/>
      <c r="AF20" s="71"/>
      <c r="AG20" s="71"/>
    </row>
    <row r="21" customFormat="false" ht="15" hidden="false" customHeight="false" outlineLevel="0" collapsed="false">
      <c r="A21" s="256" t="n">
        <f aca="false">IF(Horodateur1123353819223134374346495255586164698522263438465058546266707478829098941021061141181101221261301341381421461501541581621661701741781821861901941982022062102144101418[[#This Row],[Jour]]="1- Lundi",$B$1+1, IF(Horodateur1123353819223134374346495255586164698522263438465058546266707478829098941021061141181101221261301341381421461501541581621661701741781821861901941982022062102144101418[[#This Row],[Jour]]="2- Mardi",$B$1+2, IF(Horodateur1123353819223134374346495255586164698522263438465058546266707478829098941021061141181101221261301341381421461501541581621661701741781821861901941982022062102144101418[[#This Row],[Jour]]="3- Mercredi",$B$1+3, IF(Horodateur1123353819223134374346495255586164698522263438465058546266707478829098941021061141181101221261301341381421461501541581621661701741781821861901941982022062102144101418[[#This Row],[Jour]]="4- Jeudi",$B$1+4, IF(Horodateur1123353819223134374346495255586164698522263438465058546266707478829098941021061141181101221261301341381421461501541581621661701741781821861901941982022062102144101418[[#This Row],[Jour]]="5- Vendredi",$B$1+5, IF(Horodateur1123353819223134374346495255586164698522263438465058546266707478829098941021061141181101221261301341381421461501541581621661701741781821861901941982022062102144101418[[#This Row],[Jour]]="6- Samedi",$B$1+6, IF(Horodateur1123353819223134374346495255586164698522263438465058546266707478829098941021061141181101221261301341381421461501541581621661701741781821861901941982022062102144101418[[#This Row],[Jour]]="7- Dimanche",$B$1, )))))))</f>
        <v>44231</v>
      </c>
      <c r="B21" s="257" t="s">
        <v>324</v>
      </c>
      <c r="C21" s="258" t="n">
        <v>0.354166666666667</v>
      </c>
      <c r="D21" s="258" t="n">
        <v>0.375</v>
      </c>
      <c r="E21" s="71" t="s">
        <v>37</v>
      </c>
      <c r="F21" s="71" t="s">
        <v>22</v>
      </c>
      <c r="G21" s="259"/>
      <c r="H21" s="258" t="n">
        <f aca="false">IF($C21=0,"",$D21-$C21)</f>
        <v>0.0208333333333333</v>
      </c>
      <c r="I21" s="260" t="n">
        <f aca="false">IF($C21=0,"",($H21-INT($H21))*24)</f>
        <v>0.5</v>
      </c>
      <c r="J21" s="303" t="n">
        <f aca="false">SUMIF(Horodateur1123353819223134374346495255586164698522263438465058546266707478829098941021061141181101221261301341381421461501541581621661701741781821861901941982022062102144101418[Jour],$B21,Horodateur1123353819223134374346495255586164698522263438465058546266707478829098941021061141181101221261301341381421461501541581621661701741781821861901941982022062102144101418[Durée (100)])</f>
        <v>8.5</v>
      </c>
      <c r="K21" s="335"/>
      <c r="L21" s="188" t="s">
        <v>31</v>
      </c>
      <c r="M21" s="272" t="n">
        <f aca="false">IF(Horodateur1123353819223134374346495255586164698522263438465058546266707478829098941021061141181101221261301341381421461501541581621661701741781821861901941982022062102144101418[[#This Row],[O]]="o",Horodateur1123353819223134374346495255586164698522263438465058546266707478829098941021061141181101221261301341381421461501541581621661701741781821861901941982022062102144101418[[#This Row],[Durée (100)]],".")</f>
        <v>0.5</v>
      </c>
      <c r="N21" s="187"/>
      <c r="O21" s="71"/>
      <c r="P21" s="71"/>
      <c r="Q21" s="71"/>
      <c r="R21" s="71"/>
      <c r="S21" s="71"/>
      <c r="T21" s="71"/>
      <c r="U21" s="71"/>
      <c r="V21" s="71"/>
      <c r="W21" s="71"/>
      <c r="X21" s="71"/>
      <c r="Y21" s="71"/>
      <c r="Z21" s="71"/>
      <c r="AA21" s="71"/>
      <c r="AB21" s="71"/>
      <c r="AC21" s="71"/>
      <c r="AD21" s="71"/>
      <c r="AE21" s="71"/>
      <c r="AF21" s="71"/>
      <c r="AG21" s="71"/>
    </row>
    <row r="22" customFormat="false" ht="15" hidden="false" customHeight="false" outlineLevel="0" collapsed="false">
      <c r="A22" s="256" t="n">
        <f aca="false">IF(Horodateur1123353819223134374346495255586164698522263438465058546266707478829098941021061141181101221261301341381421461501541581621661701741781821861901941982022062102144101418[[#This Row],[Jour]]="1- Lundi",$B$1+1, IF(Horodateur1123353819223134374346495255586164698522263438465058546266707478829098941021061141181101221261301341381421461501541581621661701741781821861901941982022062102144101418[[#This Row],[Jour]]="2- Mardi",$B$1+2, IF(Horodateur1123353819223134374346495255586164698522263438465058546266707478829098941021061141181101221261301341381421461501541581621661701741781821861901941982022062102144101418[[#This Row],[Jour]]="3- Mercredi",$B$1+3, IF(Horodateur1123353819223134374346495255586164698522263438465058546266707478829098941021061141181101221261301341381421461501541581621661701741781821861901941982022062102144101418[[#This Row],[Jour]]="4- Jeudi",$B$1+4, IF(Horodateur1123353819223134374346495255586164698522263438465058546266707478829098941021061141181101221261301341381421461501541581621661701741781821861901941982022062102144101418[[#This Row],[Jour]]="5- Vendredi",$B$1+5, IF(Horodateur1123353819223134374346495255586164698522263438465058546266707478829098941021061141181101221261301341381421461501541581621661701741781821861901941982022062102144101418[[#This Row],[Jour]]="6- Samedi",$B$1+6, IF(Horodateur1123353819223134374346495255586164698522263438465058546266707478829098941021061141181101221261301341381421461501541581621661701741781821861901941982022062102144101418[[#This Row],[Jour]]="7- Dimanche",$B$1, )))))))</f>
        <v>44231</v>
      </c>
      <c r="B22" s="257" t="s">
        <v>324</v>
      </c>
      <c r="C22" s="258" t="n">
        <v>0.375</v>
      </c>
      <c r="D22" s="258" t="n">
        <v>0.46875</v>
      </c>
      <c r="E22" s="71" t="s">
        <v>59</v>
      </c>
      <c r="F22" s="71" t="s">
        <v>379</v>
      </c>
      <c r="G22" s="259" t="s">
        <v>629</v>
      </c>
      <c r="H22" s="258" t="n">
        <f aca="false">IF($C22=0,"",$D22-$C22)</f>
        <v>0.09375</v>
      </c>
      <c r="I22" s="260" t="n">
        <f aca="false">IF($C22=0,"",($H22-INT($H22))*24)</f>
        <v>2.25</v>
      </c>
      <c r="J22" s="303" t="n">
        <f aca="false">SUMIF(Horodateur1123353819223134374346495255586164698522263438465058546266707478829098941021061141181101221261301341381421461501541581621661701741781821861901941982022062102144101418[Jour],$B22,Horodateur1123353819223134374346495255586164698522263438465058546266707478829098941021061141181101221261301341381421461501541581621661701741781821861901941982022062102144101418[Durée (100)])</f>
        <v>8.5</v>
      </c>
      <c r="K22" s="335"/>
      <c r="L22" s="188" t="s">
        <v>31</v>
      </c>
      <c r="M22" s="272" t="n">
        <f aca="false">IF(Horodateur1123353819223134374346495255586164698522263438465058546266707478829098941021061141181101221261301341381421461501541581621661701741781821861901941982022062102144101418[[#This Row],[O]]="o",Horodateur1123353819223134374346495255586164698522263438465058546266707478829098941021061141181101221261301341381421461501541581621661701741781821861901941982022062102144101418[[#This Row],[Durée (100)]],".")</f>
        <v>2.25</v>
      </c>
      <c r="N22" s="187"/>
      <c r="O22" s="71"/>
      <c r="P22" s="71"/>
      <c r="Q22" s="71"/>
      <c r="R22" s="71"/>
      <c r="S22" s="71"/>
      <c r="T22" s="71"/>
      <c r="U22" s="71"/>
      <c r="V22" s="71"/>
      <c r="W22" s="71"/>
      <c r="X22" s="71"/>
      <c r="Y22" s="71"/>
      <c r="Z22" s="71"/>
      <c r="AA22" s="71"/>
      <c r="AB22" s="71"/>
      <c r="AC22" s="71"/>
      <c r="AD22" s="71"/>
      <c r="AE22" s="71"/>
      <c r="AF22" s="71"/>
      <c r="AG22" s="71"/>
    </row>
    <row r="23" customFormat="false" ht="15" hidden="false" customHeight="false" outlineLevel="0" collapsed="false">
      <c r="A23" s="256" t="n">
        <f aca="false">IF(Horodateur1123353819223134374346495255586164698522263438465058546266707478829098941021061141181101221261301341381421461501541581621661701741781821861901941982022062102144101418[[#This Row],[Jour]]="1- Lundi",$B$1+1, IF(Horodateur1123353819223134374346495255586164698522263438465058546266707478829098941021061141181101221261301341381421461501541581621661701741781821861901941982022062102144101418[[#This Row],[Jour]]="2- Mardi",$B$1+2, IF(Horodateur1123353819223134374346495255586164698522263438465058546266707478829098941021061141181101221261301341381421461501541581621661701741781821861901941982022062102144101418[[#This Row],[Jour]]="3- Mercredi",$B$1+3, IF(Horodateur1123353819223134374346495255586164698522263438465058546266707478829098941021061141181101221261301341381421461501541581621661701741781821861901941982022062102144101418[[#This Row],[Jour]]="4- Jeudi",$B$1+4, IF(Horodateur1123353819223134374346495255586164698522263438465058546266707478829098941021061141181101221261301341381421461501541581621661701741781821861901941982022062102144101418[[#This Row],[Jour]]="5- Vendredi",$B$1+5, IF(Horodateur1123353819223134374346495255586164698522263438465058546266707478829098941021061141181101221261301341381421461501541581621661701741781821861901941982022062102144101418[[#This Row],[Jour]]="6- Samedi",$B$1+6, IF(Horodateur1123353819223134374346495255586164698522263438465058546266707478829098941021061141181101221261301341381421461501541581621661701741781821861901941982022062102144101418[[#This Row],[Jour]]="7- Dimanche",$B$1, )))))))</f>
        <v>44231</v>
      </c>
      <c r="B23" s="257" t="s">
        <v>324</v>
      </c>
      <c r="C23" s="258" t="n">
        <v>0.46875</v>
      </c>
      <c r="D23" s="258" t="n">
        <v>0.489583333333333</v>
      </c>
      <c r="E23" s="71" t="s">
        <v>59</v>
      </c>
      <c r="F23" s="71" t="s">
        <v>378</v>
      </c>
      <c r="G23" s="259" t="s">
        <v>628</v>
      </c>
      <c r="H23" s="258" t="n">
        <f aca="false">IF($C23=0,"",$D23-$C23)</f>
        <v>0.0208333333333333</v>
      </c>
      <c r="I23" s="260" t="n">
        <f aca="false">IF($C23=0,"",($H23-INT($H23))*24)</f>
        <v>0.5</v>
      </c>
      <c r="J23" s="303" t="n">
        <f aca="false">SUMIF(Horodateur1123353819223134374346495255586164698522263438465058546266707478829098941021061141181101221261301341381421461501541581621661701741781821861901941982022062102144101418[Jour],$B23,Horodateur1123353819223134374346495255586164698522263438465058546266707478829098941021061141181101221261301341381421461501541581621661701741781821861901941982022062102144101418[Durée (100)])</f>
        <v>8.5</v>
      </c>
      <c r="K23" s="335"/>
      <c r="L23" s="188" t="s">
        <v>31</v>
      </c>
      <c r="M23" s="272" t="n">
        <f aca="false">IF(Horodateur1123353819223134374346495255586164698522263438465058546266707478829098941021061141181101221261301341381421461501541581621661701741781821861901941982022062102144101418[[#This Row],[O]]="o",Horodateur1123353819223134374346495255586164698522263438465058546266707478829098941021061141181101221261301341381421461501541581621661701741781821861901941982022062102144101418[[#This Row],[Durée (100)]],".")</f>
        <v>0.5</v>
      </c>
      <c r="N23" s="187"/>
      <c r="O23" s="71"/>
      <c r="P23" s="71"/>
      <c r="Q23" s="71"/>
      <c r="R23" s="71"/>
      <c r="S23" s="71"/>
      <c r="T23" s="71"/>
      <c r="U23" s="71"/>
      <c r="V23" s="71"/>
      <c r="W23" s="71"/>
      <c r="X23" s="71"/>
      <c r="Y23" s="71"/>
      <c r="Z23" s="71"/>
      <c r="AA23" s="71"/>
      <c r="AB23" s="71"/>
      <c r="AC23" s="71"/>
      <c r="AD23" s="71"/>
      <c r="AE23" s="71"/>
      <c r="AF23" s="71"/>
      <c r="AG23" s="71"/>
    </row>
    <row r="24" customFormat="false" ht="15" hidden="false" customHeight="false" outlineLevel="0" collapsed="false">
      <c r="A24" s="256" t="n">
        <f aca="false">IF(Horodateur1123353819223134374346495255586164698522263438465058546266707478829098941021061141181101221261301341381421461501541581621661701741781821861901941982022062102144101418[[#This Row],[Jour]]="1- Lundi",$B$1+1, IF(Horodateur1123353819223134374346495255586164698522263438465058546266707478829098941021061141181101221261301341381421461501541581621661701741781821861901941982022062102144101418[[#This Row],[Jour]]="2- Mardi",$B$1+2, IF(Horodateur1123353819223134374346495255586164698522263438465058546266707478829098941021061141181101221261301341381421461501541581621661701741781821861901941982022062102144101418[[#This Row],[Jour]]="3- Mercredi",$B$1+3, IF(Horodateur1123353819223134374346495255586164698522263438465058546266707478829098941021061141181101221261301341381421461501541581621661701741781821861901941982022062102144101418[[#This Row],[Jour]]="4- Jeudi",$B$1+4, IF(Horodateur1123353819223134374346495255586164698522263438465058546266707478829098941021061141181101221261301341381421461501541581621661701741781821861901941982022062102144101418[[#This Row],[Jour]]="5- Vendredi",$B$1+5, IF(Horodateur1123353819223134374346495255586164698522263438465058546266707478829098941021061141181101221261301341381421461501541581621661701741781821861901941982022062102144101418[[#This Row],[Jour]]="6- Samedi",$B$1+6, IF(Horodateur1123353819223134374346495255586164698522263438465058546266707478829098941021061141181101221261301341381421461501541581621661701741781821861901941982022062102144101418[[#This Row],[Jour]]="7- Dimanche",$B$1, )))))))</f>
        <v>44231</v>
      </c>
      <c r="B24" s="257" t="s">
        <v>324</v>
      </c>
      <c r="C24" s="258" t="n">
        <v>0.489583333333333</v>
      </c>
      <c r="D24" s="258" t="n">
        <v>0.5</v>
      </c>
      <c r="E24" s="71" t="s">
        <v>63</v>
      </c>
      <c r="F24" s="71" t="s">
        <v>378</v>
      </c>
      <c r="G24" s="259" t="s">
        <v>628</v>
      </c>
      <c r="H24" s="258" t="n">
        <f aca="false">IF($C24=0,"",$D24-$C24)</f>
        <v>0.0104166666666667</v>
      </c>
      <c r="I24" s="260" t="n">
        <f aca="false">IF($C24=0,"",($H24-INT($H24))*24)</f>
        <v>0.25</v>
      </c>
      <c r="J24" s="303" t="n">
        <f aca="false">SUMIF(Horodateur1123353819223134374346495255586164698522263438465058546266707478829098941021061141181101221261301341381421461501541581621661701741781821861901941982022062102144101418[Jour],$B24,Horodateur1123353819223134374346495255586164698522263438465058546266707478829098941021061141181101221261301341381421461501541581621661701741781821861901941982022062102144101418[Durée (100)])</f>
        <v>8.5</v>
      </c>
      <c r="K24" s="335"/>
      <c r="L24" s="188" t="s">
        <v>31</v>
      </c>
      <c r="M24" s="272" t="n">
        <f aca="false">IF(Horodateur1123353819223134374346495255586164698522263438465058546266707478829098941021061141181101221261301341381421461501541581621661701741781821861901941982022062102144101418[[#This Row],[O]]="o",Horodateur1123353819223134374346495255586164698522263438465058546266707478829098941021061141181101221261301341381421461501541581621661701741781821861901941982022062102144101418[[#This Row],[Durée (100)]],".")</f>
        <v>0.25</v>
      </c>
      <c r="N24" s="187"/>
      <c r="O24" s="71"/>
      <c r="P24" s="71"/>
      <c r="Q24" s="71"/>
      <c r="R24" s="71"/>
      <c r="S24" s="71"/>
      <c r="T24" s="71"/>
      <c r="U24" s="71"/>
      <c r="V24" s="71"/>
      <c r="W24" s="71"/>
      <c r="X24" s="71"/>
      <c r="Y24" s="71"/>
      <c r="Z24" s="71"/>
      <c r="AA24" s="71"/>
      <c r="AB24" s="71"/>
      <c r="AC24" s="71"/>
      <c r="AD24" s="71"/>
      <c r="AE24" s="71"/>
      <c r="AF24" s="71"/>
      <c r="AG24" s="71"/>
    </row>
    <row r="25" customFormat="false" ht="15" hidden="false" customHeight="false" outlineLevel="0" collapsed="false">
      <c r="A25" s="256" t="n">
        <f aca="false">IF(Horodateur1123353819223134374346495255586164698522263438465058546266707478829098941021061141181101221261301341381421461501541581621661701741781821861901941982022062102144101418[[#This Row],[Jour]]="1- Lundi",$B$1+1, IF(Horodateur1123353819223134374346495255586164698522263438465058546266707478829098941021061141181101221261301341381421461501541581621661701741781821861901941982022062102144101418[[#This Row],[Jour]]="2- Mardi",$B$1+2, IF(Horodateur1123353819223134374346495255586164698522263438465058546266707478829098941021061141181101221261301341381421461501541581621661701741781821861901941982022062102144101418[[#This Row],[Jour]]="3- Mercredi",$B$1+3, IF(Horodateur1123353819223134374346495255586164698522263438465058546266707478829098941021061141181101221261301341381421461501541581621661701741781821861901941982022062102144101418[[#This Row],[Jour]]="4- Jeudi",$B$1+4, IF(Horodateur1123353819223134374346495255586164698522263438465058546266707478829098941021061141181101221261301341381421461501541581621661701741781821861901941982022062102144101418[[#This Row],[Jour]]="5- Vendredi",$B$1+5, IF(Horodateur1123353819223134374346495255586164698522263438465058546266707478829098941021061141181101221261301341381421461501541581621661701741781821861901941982022062102144101418[[#This Row],[Jour]]="6- Samedi",$B$1+6, IF(Horodateur1123353819223134374346495255586164698522263438465058546266707478829098941021061141181101221261301341381421461501541581621661701741781821861901941982022062102144101418[[#This Row],[Jour]]="7- Dimanche",$B$1, )))))))</f>
        <v>44231</v>
      </c>
      <c r="B25" s="257" t="s">
        <v>324</v>
      </c>
      <c r="C25" s="258" t="n">
        <v>0.5625</v>
      </c>
      <c r="D25" s="258" t="n">
        <v>0.604166666666667</v>
      </c>
      <c r="E25" s="71" t="s">
        <v>59</v>
      </c>
      <c r="F25" s="71" t="s">
        <v>378</v>
      </c>
      <c r="G25" s="259" t="s">
        <v>630</v>
      </c>
      <c r="H25" s="258" t="n">
        <f aca="false">IF($C25=0,"",$D25-$C25)</f>
        <v>0.0416666666666666</v>
      </c>
      <c r="I25" s="260" t="n">
        <f aca="false">IF($C25=0,"",($H25-INT($H25))*24)</f>
        <v>0.999999999999999</v>
      </c>
      <c r="J25" s="303" t="n">
        <f aca="false">SUMIF(Horodateur1123353819223134374346495255586164698522263438465058546266707478829098941021061141181101221261301341381421461501541581621661701741781821861901941982022062102144101418[Jour],$B25,Horodateur1123353819223134374346495255586164698522263438465058546266707478829098941021061141181101221261301341381421461501541581621661701741781821861901941982022062102144101418[Durée (100)])</f>
        <v>8.5</v>
      </c>
      <c r="K25" s="335"/>
      <c r="L25" s="188" t="s">
        <v>31</v>
      </c>
      <c r="M25" s="272" t="n">
        <f aca="false">IF(Horodateur1123353819223134374346495255586164698522263438465058546266707478829098941021061141181101221261301341381421461501541581621661701741781821861901941982022062102144101418[[#This Row],[O]]="o",Horodateur1123353819223134374346495255586164698522263438465058546266707478829098941021061141181101221261301341381421461501541581621661701741781821861901941982022062102144101418[[#This Row],[Durée (100)]],".")</f>
        <v>0.999999999999999</v>
      </c>
      <c r="N25" s="187"/>
      <c r="O25" s="71"/>
      <c r="P25" s="71"/>
      <c r="Q25" s="71"/>
      <c r="R25" s="71"/>
      <c r="S25" s="71"/>
      <c r="T25" s="71"/>
      <c r="U25" s="71"/>
      <c r="V25" s="71"/>
      <c r="W25" s="71"/>
      <c r="X25" s="71"/>
      <c r="Y25" s="71"/>
      <c r="Z25" s="71"/>
      <c r="AA25" s="71"/>
      <c r="AB25" s="71"/>
      <c r="AC25" s="71"/>
      <c r="AD25" s="71"/>
      <c r="AE25" s="71"/>
      <c r="AF25" s="71"/>
      <c r="AG25" s="71"/>
    </row>
    <row r="26" customFormat="false" ht="15" hidden="false" customHeight="false" outlineLevel="0" collapsed="false">
      <c r="A26" s="256" t="n">
        <f aca="false">IF(Horodateur1123353819223134374346495255586164698522263438465058546266707478829098941021061141181101221261301341381421461501541581621661701741781821861901941982022062102144101418[[#This Row],[Jour]]="1- Lundi",$B$1+1, IF(Horodateur1123353819223134374346495255586164698522263438465058546266707478829098941021061141181101221261301341381421461501541581621661701741781821861901941982022062102144101418[[#This Row],[Jour]]="2- Mardi",$B$1+2, IF(Horodateur1123353819223134374346495255586164698522263438465058546266707478829098941021061141181101221261301341381421461501541581621661701741781821861901941982022062102144101418[[#This Row],[Jour]]="3- Mercredi",$B$1+3, IF(Horodateur1123353819223134374346495255586164698522263438465058546266707478829098941021061141181101221261301341381421461501541581621661701741781821861901941982022062102144101418[[#This Row],[Jour]]="4- Jeudi",$B$1+4, IF(Horodateur1123353819223134374346495255586164698522263438465058546266707478829098941021061141181101221261301341381421461501541581621661701741781821861901941982022062102144101418[[#This Row],[Jour]]="5- Vendredi",$B$1+5, IF(Horodateur1123353819223134374346495255586164698522263438465058546266707478829098941021061141181101221261301341381421461501541581621661701741781821861901941982022062102144101418[[#This Row],[Jour]]="6- Samedi",$B$1+6, IF(Horodateur1123353819223134374346495255586164698522263438465058546266707478829098941021061141181101221261301341381421461501541581621661701741781821861901941982022062102144101418[[#This Row],[Jour]]="7- Dimanche",$B$1, )))))))</f>
        <v>44231</v>
      </c>
      <c r="B26" s="257" t="s">
        <v>324</v>
      </c>
      <c r="C26" s="258" t="n">
        <v>0.604166666666667</v>
      </c>
      <c r="D26" s="258" t="n">
        <v>0.614583333333333</v>
      </c>
      <c r="E26" s="71" t="s">
        <v>78</v>
      </c>
      <c r="F26" s="71" t="s">
        <v>379</v>
      </c>
      <c r="G26" s="259" t="s">
        <v>507</v>
      </c>
      <c r="H26" s="258" t="n">
        <f aca="false">IF($C26=0,"",$D26-$C26)</f>
        <v>0.0104166666666667</v>
      </c>
      <c r="I26" s="260" t="n">
        <f aca="false">IF($C26=0,"",($H26-INT($H26))*24)</f>
        <v>0.25</v>
      </c>
      <c r="J26" s="303" t="n">
        <f aca="false">SUMIF(Horodateur1123353819223134374346495255586164698522263438465058546266707478829098941021061141181101221261301341381421461501541581621661701741781821861901941982022062102144101418[Jour],$B26,Horodateur1123353819223134374346495255586164698522263438465058546266707478829098941021061141181101221261301341381421461501541581621661701741781821861901941982022062102144101418[Durée (100)])</f>
        <v>8.5</v>
      </c>
      <c r="K26" s="335"/>
      <c r="L26" s="188" t="s">
        <v>31</v>
      </c>
      <c r="M26" s="272" t="n">
        <f aca="false">IF(Horodateur1123353819223134374346495255586164698522263438465058546266707478829098941021061141181101221261301341381421461501541581621661701741781821861901941982022062102144101418[[#This Row],[O]]="o",Horodateur1123353819223134374346495255586164698522263438465058546266707478829098941021061141181101221261301341381421461501541581621661701741781821861901941982022062102144101418[[#This Row],[Durée (100)]],".")</f>
        <v>0.250000000000002</v>
      </c>
      <c r="N26" s="187"/>
      <c r="O26" s="71"/>
      <c r="P26" s="71"/>
      <c r="Q26" s="71"/>
      <c r="R26" s="71"/>
      <c r="S26" s="71"/>
      <c r="T26" s="71"/>
      <c r="U26" s="71"/>
      <c r="V26" s="71"/>
      <c r="W26" s="71"/>
      <c r="X26" s="71"/>
      <c r="Y26" s="71"/>
      <c r="Z26" s="71"/>
      <c r="AA26" s="71"/>
      <c r="AB26" s="71"/>
      <c r="AC26" s="71"/>
      <c r="AD26" s="71"/>
      <c r="AE26" s="71"/>
      <c r="AF26" s="71"/>
      <c r="AG26" s="71"/>
    </row>
    <row r="27" customFormat="false" ht="15" hidden="false" customHeight="false" outlineLevel="0" collapsed="false">
      <c r="A27" s="256" t="n">
        <f aca="false">IF(Horodateur1123353819223134374346495255586164698522263438465058546266707478829098941021061141181101221261301341381421461501541581621661701741781821861901941982022062102144101418[[#This Row],[Jour]]="1- Lundi",$B$1+1, IF(Horodateur1123353819223134374346495255586164698522263438465058546266707478829098941021061141181101221261301341381421461501541581621661701741781821861901941982022062102144101418[[#This Row],[Jour]]="2- Mardi",$B$1+2, IF(Horodateur1123353819223134374346495255586164698522263438465058546266707478829098941021061141181101221261301341381421461501541581621661701741781821861901941982022062102144101418[[#This Row],[Jour]]="3- Mercredi",$B$1+3, IF(Horodateur1123353819223134374346495255586164698522263438465058546266707478829098941021061141181101221261301341381421461501541581621661701741781821861901941982022062102144101418[[#This Row],[Jour]]="4- Jeudi",$B$1+4, IF(Horodateur1123353819223134374346495255586164698522263438465058546266707478829098941021061141181101221261301341381421461501541581621661701741781821861901941982022062102144101418[[#This Row],[Jour]]="5- Vendredi",$B$1+5, IF(Horodateur1123353819223134374346495255586164698522263438465058546266707478829098941021061141181101221261301341381421461501541581621661701741781821861901941982022062102144101418[[#This Row],[Jour]]="6- Samedi",$B$1+6, IF(Horodateur1123353819223134374346495255586164698522263438465058546266707478829098941021061141181101221261301341381421461501541581621661701741781821861901941982022062102144101418[[#This Row],[Jour]]="7- Dimanche",$B$1, )))))))</f>
        <v>44231</v>
      </c>
      <c r="B27" s="257" t="s">
        <v>324</v>
      </c>
      <c r="C27" s="258" t="n">
        <v>0.625</v>
      </c>
      <c r="D27" s="258" t="n">
        <v>0.6875</v>
      </c>
      <c r="E27" s="71" t="s">
        <v>59</v>
      </c>
      <c r="F27" s="71" t="s">
        <v>23</v>
      </c>
      <c r="G27" s="259" t="s">
        <v>631</v>
      </c>
      <c r="H27" s="258" t="n">
        <f aca="false">IF($C27=0,"",$D27-$C27)</f>
        <v>0.0625</v>
      </c>
      <c r="I27" s="260" t="n">
        <f aca="false">IF($C27=0,"",($H27-INT($H27))*24)</f>
        <v>1.5</v>
      </c>
      <c r="J27" s="303" t="n">
        <f aca="false">SUMIF(Horodateur1123353819223134374346495255586164698522263438465058546266707478829098941021061141181101221261301341381421461501541581621661701741781821861901941982022062102144101418[Jour],$B27,Horodateur1123353819223134374346495255586164698522263438465058546266707478829098941021061141181101221261301341381421461501541581621661701741781821861901941982022062102144101418[Durée (100)])</f>
        <v>8.5</v>
      </c>
      <c r="K27" s="335"/>
      <c r="L27" s="188" t="s">
        <v>33</v>
      </c>
      <c r="M27" s="272" t="str">
        <f aca="false">IF(Horodateur1123353819223134374346495255586164698522263438465058546266707478829098941021061141181101221261301341381421461501541581621661701741781821861901941982022062102144101418[[#This Row],[O]]="o",Horodateur1123353819223134374346495255586164698522263438465058546266707478829098941021061141181101221261301341381421461501541581621661701741781821861901941982022062102144101418[[#This Row],[Durée (100)]],".")</f>
        <v>.</v>
      </c>
      <c r="N27" s="187"/>
      <c r="O27" s="71"/>
      <c r="P27" s="71"/>
      <c r="Q27" s="71"/>
      <c r="R27" s="71"/>
      <c r="S27" s="71"/>
      <c r="T27" s="71"/>
      <c r="U27" s="71"/>
      <c r="V27" s="71"/>
      <c r="W27" s="71"/>
      <c r="X27" s="71"/>
      <c r="Y27" s="71"/>
      <c r="Z27" s="71"/>
      <c r="AA27" s="71"/>
      <c r="AB27" s="71"/>
      <c r="AC27" s="71"/>
      <c r="AD27" s="71"/>
      <c r="AE27" s="71"/>
      <c r="AF27" s="71"/>
      <c r="AG27" s="71"/>
    </row>
    <row r="28" customFormat="false" ht="15" hidden="false" customHeight="false" outlineLevel="0" collapsed="false">
      <c r="A28" s="256" t="n">
        <f aca="false">IF(Horodateur1123353819223134374346495255586164698522263438465058546266707478829098941021061141181101221261301341381421461501541581621661701741781821861901941982022062102144101418[[#This Row],[Jour]]="1- Lundi",$B$1+1, IF(Horodateur1123353819223134374346495255586164698522263438465058546266707478829098941021061141181101221261301341381421461501541581621661701741781821861901941982022062102144101418[[#This Row],[Jour]]="2- Mardi",$B$1+2, IF(Horodateur1123353819223134374346495255586164698522263438465058546266707478829098941021061141181101221261301341381421461501541581621661701741781821861901941982022062102144101418[[#This Row],[Jour]]="3- Mercredi",$B$1+3, IF(Horodateur1123353819223134374346495255586164698522263438465058546266707478829098941021061141181101221261301341381421461501541581621661701741781821861901941982022062102144101418[[#This Row],[Jour]]="4- Jeudi",$B$1+4, IF(Horodateur1123353819223134374346495255586164698522263438465058546266707478829098941021061141181101221261301341381421461501541581621661701741781821861901941982022062102144101418[[#This Row],[Jour]]="5- Vendredi",$B$1+5, IF(Horodateur1123353819223134374346495255586164698522263438465058546266707478829098941021061141181101221261301341381421461501541581621661701741781821861901941982022062102144101418[[#This Row],[Jour]]="6- Samedi",$B$1+6, IF(Horodateur1123353819223134374346495255586164698522263438465058546266707478829098941021061141181101221261301341381421461501541581621661701741781821861901941982022062102144101418[[#This Row],[Jour]]="7- Dimanche",$B$1, )))))))</f>
        <v>44231</v>
      </c>
      <c r="B28" s="257" t="s">
        <v>324</v>
      </c>
      <c r="C28" s="258" t="n">
        <v>0.6875</v>
      </c>
      <c r="D28" s="258" t="n">
        <v>0.75</v>
      </c>
      <c r="E28" s="71" t="s">
        <v>59</v>
      </c>
      <c r="F28" s="71" t="s">
        <v>378</v>
      </c>
      <c r="G28" s="259" t="s">
        <v>631</v>
      </c>
      <c r="H28" s="258" t="n">
        <f aca="false">IF($C28=0,"",$D28-$C28)</f>
        <v>0.0625</v>
      </c>
      <c r="I28" s="260" t="n">
        <f aca="false">IF($C28=0,"",($H28-INT($H28))*24)</f>
        <v>1.5</v>
      </c>
      <c r="J28" s="303" t="n">
        <f aca="false">SUMIF(Horodateur1123353819223134374346495255586164698522263438465058546266707478829098941021061141181101221261301341381421461501541581621661701741781821861901941982022062102144101418[Jour],$B28,Horodateur1123353819223134374346495255586164698522263438465058546266707478829098941021061141181101221261301341381421461501541581621661701741781821861901941982022062102144101418[Durée (100)])</f>
        <v>8.5</v>
      </c>
      <c r="K28" s="335"/>
      <c r="L28" s="188" t="s">
        <v>31</v>
      </c>
      <c r="M28" s="272" t="n">
        <f aca="false">IF(Horodateur1123353819223134374346495255586164698522263438465058546266707478829098941021061141181101221261301341381421461501541581621661701741781821861901941982022062102144101418[[#This Row],[O]]="o",Horodateur1123353819223134374346495255586164698522263438465058546266707478829098941021061141181101221261301341381421461501541581621661701741781821861901941982022062102144101418[[#This Row],[Durée (100)]],".")</f>
        <v>1.5</v>
      </c>
      <c r="N28" s="187"/>
      <c r="O28" s="71"/>
      <c r="P28" s="71"/>
      <c r="Q28" s="71"/>
      <c r="R28" s="71"/>
      <c r="S28" s="71"/>
      <c r="T28" s="71"/>
      <c r="U28" s="71"/>
      <c r="V28" s="71"/>
      <c r="W28" s="71"/>
      <c r="X28" s="71"/>
      <c r="Y28" s="71"/>
      <c r="Z28" s="71"/>
      <c r="AA28" s="71"/>
      <c r="AB28" s="71"/>
      <c r="AC28" s="71"/>
      <c r="AD28" s="71"/>
      <c r="AE28" s="71"/>
      <c r="AF28" s="71"/>
      <c r="AG28" s="71"/>
    </row>
    <row r="29" customFormat="false" ht="15" hidden="false" customHeight="false" outlineLevel="0" collapsed="false">
      <c r="A29" s="256" t="n">
        <f aca="false">IF(Horodateur1123353819223134374346495255586164698522263438465058546266707478829098941021061141181101221261301341381421461501541581621661701741781821861901941982022062102144101418[[#This Row],[Jour]]="1- Lundi",$B$1+1, IF(Horodateur1123353819223134374346495255586164698522263438465058546266707478829098941021061141181101221261301341381421461501541581621661701741781821861901941982022062102144101418[[#This Row],[Jour]]="2- Mardi",$B$1+2, IF(Horodateur1123353819223134374346495255586164698522263438465058546266707478829098941021061141181101221261301341381421461501541581621661701741781821861901941982022062102144101418[[#This Row],[Jour]]="3- Mercredi",$B$1+3, IF(Horodateur1123353819223134374346495255586164698522263438465058546266707478829098941021061141181101221261301341381421461501541581621661701741781821861901941982022062102144101418[[#This Row],[Jour]]="4- Jeudi",$B$1+4, IF(Horodateur1123353819223134374346495255586164698522263438465058546266707478829098941021061141181101221261301341381421461501541581621661701741781821861901941982022062102144101418[[#This Row],[Jour]]="5- Vendredi",$B$1+5, IF(Horodateur1123353819223134374346495255586164698522263438465058546266707478829098941021061141181101221261301341381421461501541581621661701741781821861901941982022062102144101418[[#This Row],[Jour]]="6- Samedi",$B$1+6, IF(Horodateur1123353819223134374346495255586164698522263438465058546266707478829098941021061141181101221261301341381421461501541581621661701741781821861901941982022062102144101418[[#This Row],[Jour]]="7- Dimanche",$B$1, )))))))</f>
        <v>44232</v>
      </c>
      <c r="B29" s="257" t="s">
        <v>332</v>
      </c>
      <c r="C29" s="258" t="n">
        <v>0.302083333333333</v>
      </c>
      <c r="D29" s="258" t="n">
        <v>0.322916666666667</v>
      </c>
      <c r="E29" s="71" t="s">
        <v>32</v>
      </c>
      <c r="F29" s="71" t="s">
        <v>22</v>
      </c>
      <c r="G29" s="259"/>
      <c r="H29" s="258" t="n">
        <f aca="false">IF($C29=0,"",$D29-$C29)</f>
        <v>0.0208333333333334</v>
      </c>
      <c r="I29" s="260" t="n">
        <f aca="false">IF($C29=0,"",($H29-INT($H29))*24)</f>
        <v>0.500000000000001</v>
      </c>
      <c r="J29" s="303" t="n">
        <f aca="false">SUMIF(Horodateur1123353819223134374346495255586164698522263438465058546266707478829098941021061141181101221261301341381421461501541581621661701741781821861901941982022062102144101418[Jour],$B29,Horodateur1123353819223134374346495255586164698522263438465058546266707478829098941021061141181101221261301341381421461501541581621661701741781821861901941982022062102144101418[Durée (100)])</f>
        <v>8.25</v>
      </c>
      <c r="K29" s="335"/>
      <c r="L29" s="188" t="s">
        <v>31</v>
      </c>
      <c r="M29" s="272" t="n">
        <f aca="false">IF(Horodateur1123353819223134374346495255586164698522263438465058546266707478829098941021061141181101221261301341381421461501541581621661701741781821861901941982022062102144101418[[#This Row],[O]]="o",Horodateur1123353819223134374346495255586164698522263438465058546266707478829098941021061141181101221261301341381421461501541581621661701741781821861901941982022062102144101418[[#This Row],[Durée (100)]],".")</f>
        <v>0.500000000000001</v>
      </c>
      <c r="N29" s="187"/>
      <c r="O29" s="71"/>
      <c r="P29" s="71"/>
      <c r="Q29" s="71"/>
      <c r="R29" s="71"/>
      <c r="S29" s="71"/>
      <c r="T29" s="71"/>
      <c r="U29" s="71"/>
      <c r="V29" s="71"/>
      <c r="W29" s="71"/>
      <c r="X29" s="71"/>
      <c r="Y29" s="71"/>
      <c r="Z29" s="71"/>
      <c r="AA29" s="71"/>
      <c r="AB29" s="71"/>
      <c r="AC29" s="71"/>
      <c r="AD29" s="71"/>
      <c r="AE29" s="71"/>
      <c r="AF29" s="71"/>
      <c r="AG29" s="71"/>
    </row>
    <row r="30" customFormat="false" ht="15" hidden="false" customHeight="false" outlineLevel="0" collapsed="false">
      <c r="A30" s="256" t="n">
        <f aca="false">IF(Horodateur1123353819223134374346495255586164698522263438465058546266707478829098941021061141181101221261301341381421461501541581621661701741781821861901941982022062102144101418[[#This Row],[Jour]]="1- Lundi",$B$1+1, IF(Horodateur1123353819223134374346495255586164698522263438465058546266707478829098941021061141181101221261301341381421461501541581621661701741781821861901941982022062102144101418[[#This Row],[Jour]]="2- Mardi",$B$1+2, IF(Horodateur1123353819223134374346495255586164698522263438465058546266707478829098941021061141181101221261301341381421461501541581621661701741781821861901941982022062102144101418[[#This Row],[Jour]]="3- Mercredi",$B$1+3, IF(Horodateur1123353819223134374346495255586164698522263438465058546266707478829098941021061141181101221261301341381421461501541581621661701741781821861901941982022062102144101418[[#This Row],[Jour]]="4- Jeudi",$B$1+4, IF(Horodateur1123353819223134374346495255586164698522263438465058546266707478829098941021061141181101221261301341381421461501541581621661701741781821861901941982022062102144101418[[#This Row],[Jour]]="5- Vendredi",$B$1+5, IF(Horodateur1123353819223134374346495255586164698522263438465058546266707478829098941021061141181101221261301341381421461501541581621661701741781821861901941982022062102144101418[[#This Row],[Jour]]="6- Samedi",$B$1+6, IF(Horodateur1123353819223134374346495255586164698522263438465058546266707478829098941021061141181101221261301341381421461501541581621661701741781821861901941982022062102144101418[[#This Row],[Jour]]="7- Dimanche",$B$1, )))))))</f>
        <v>44232</v>
      </c>
      <c r="B30" s="257" t="s">
        <v>332</v>
      </c>
      <c r="C30" s="258" t="n">
        <v>0.322916666666667</v>
      </c>
      <c r="D30" s="258" t="n">
        <v>0.385416666666667</v>
      </c>
      <c r="E30" s="71" t="s">
        <v>45</v>
      </c>
      <c r="F30" s="71" t="s">
        <v>378</v>
      </c>
      <c r="G30" s="259" t="s">
        <v>632</v>
      </c>
      <c r="H30" s="258" t="n">
        <f aca="false">IF($C30=0,"",$D30-$C30)</f>
        <v>0.0625</v>
      </c>
      <c r="I30" s="260" t="n">
        <f aca="false">IF($C30=0,"",($H30-INT($H30))*24)</f>
        <v>1.5</v>
      </c>
      <c r="J30" s="303" t="n">
        <f aca="false">SUMIF(Horodateur1123353819223134374346495255586164698522263438465058546266707478829098941021061141181101221261301341381421461501541581621661701741781821861901941982022062102144101418[Jour],$B30,Horodateur1123353819223134374346495255586164698522263438465058546266707478829098941021061141181101221261301341381421461501541581621661701741781821861901941982022062102144101418[Durée (100)])</f>
        <v>8.25</v>
      </c>
      <c r="K30" s="335"/>
      <c r="L30" s="188" t="s">
        <v>31</v>
      </c>
      <c r="M30" s="272" t="n">
        <f aca="false">IF(Horodateur1123353819223134374346495255586164698522263438465058546266707478829098941021061141181101221261301341381421461501541581621661701741781821861901941982022062102144101418[[#This Row],[O]]="o",Horodateur1123353819223134374346495255586164698522263438465058546266707478829098941021061141181101221261301341381421461501541581621661701741781821861901941982022062102144101418[[#This Row],[Durée (100)]],".")</f>
        <v>1.5</v>
      </c>
      <c r="N30" s="187"/>
      <c r="O30" s="71"/>
      <c r="P30" s="71"/>
      <c r="Q30" s="71"/>
      <c r="R30" s="71"/>
      <c r="S30" s="71"/>
      <c r="T30" s="71"/>
      <c r="U30" s="71"/>
      <c r="V30" s="71"/>
      <c r="W30" s="71"/>
      <c r="X30" s="71"/>
      <c r="Y30" s="71"/>
      <c r="Z30" s="71"/>
      <c r="AA30" s="71"/>
      <c r="AB30" s="71"/>
      <c r="AC30" s="71"/>
      <c r="AD30" s="71"/>
      <c r="AE30" s="71"/>
      <c r="AF30" s="71"/>
      <c r="AG30" s="71"/>
    </row>
    <row r="31" customFormat="false" ht="15" hidden="false" customHeight="false" outlineLevel="0" collapsed="false">
      <c r="A31" s="256" t="n">
        <f aca="false">IF(Horodateur1123353819223134374346495255586164698522263438465058546266707478829098941021061141181101221261301341381421461501541581621661701741781821861901941982022062102144101418[[#This Row],[Jour]]="1- Lundi",$B$1+1, IF(Horodateur1123353819223134374346495255586164698522263438465058546266707478829098941021061141181101221261301341381421461501541581621661701741781821861901941982022062102144101418[[#This Row],[Jour]]="2- Mardi",$B$1+2, IF(Horodateur1123353819223134374346495255586164698522263438465058546266707478829098941021061141181101221261301341381421461501541581621661701741781821861901941982022062102144101418[[#This Row],[Jour]]="3- Mercredi",$B$1+3, IF(Horodateur1123353819223134374346495255586164698522263438465058546266707478829098941021061141181101221261301341381421461501541581621661701741781821861901941982022062102144101418[[#This Row],[Jour]]="4- Jeudi",$B$1+4, IF(Horodateur1123353819223134374346495255586164698522263438465058546266707478829098941021061141181101221261301341381421461501541581621661701741781821861901941982022062102144101418[[#This Row],[Jour]]="5- Vendredi",$B$1+5, IF(Horodateur1123353819223134374346495255586164698522263438465058546266707478829098941021061141181101221261301341381421461501541581621661701741781821861901941982022062102144101418[[#This Row],[Jour]]="6- Samedi",$B$1+6, IF(Horodateur1123353819223134374346495255586164698522263438465058546266707478829098941021061141181101221261301341381421461501541581621661701741781821861901941982022062102144101418[[#This Row],[Jour]]="7- Dimanche",$B$1, )))))))</f>
        <v>44232</v>
      </c>
      <c r="B31" s="257" t="s">
        <v>332</v>
      </c>
      <c r="C31" s="258" t="n">
        <v>0.385416666666667</v>
      </c>
      <c r="D31" s="258" t="n">
        <v>0.416666666666667</v>
      </c>
      <c r="E31" s="71" t="s">
        <v>59</v>
      </c>
      <c r="F31" s="71" t="s">
        <v>378</v>
      </c>
      <c r="G31" s="259" t="s">
        <v>633</v>
      </c>
      <c r="H31" s="258" t="n">
        <f aca="false">IF($C31=0,"",$D31-$C31)</f>
        <v>0.03125</v>
      </c>
      <c r="I31" s="260" t="n">
        <f aca="false">IF($C31=0,"",($H31-INT($H31))*24)</f>
        <v>0.75</v>
      </c>
      <c r="J31" s="303" t="n">
        <f aca="false">SUMIF(Horodateur1123353819223134374346495255586164698522263438465058546266707478829098941021061141181101221261301341381421461501541581621661701741781821861901941982022062102144101418[Jour],$B31,Horodateur1123353819223134374346495255586164698522263438465058546266707478829098941021061141181101221261301341381421461501541581621661701741781821861901941982022062102144101418[Durée (100)])</f>
        <v>8.25</v>
      </c>
      <c r="K31" s="335"/>
      <c r="L31" s="188" t="s">
        <v>33</v>
      </c>
      <c r="M31" s="272" t="str">
        <f aca="false">IF(Horodateur1123353819223134374346495255586164698522263438465058546266707478829098941021061141181101221261301341381421461501541581621661701741781821861901941982022062102144101418[[#This Row],[O]]="o",Horodateur1123353819223134374346495255586164698522263438465058546266707478829098941021061141181101221261301341381421461501541581621661701741781821861901941982022062102144101418[[#This Row],[Durée (100)]],".")</f>
        <v>.</v>
      </c>
      <c r="N31" s="187"/>
      <c r="O31" s="71"/>
      <c r="P31" s="71"/>
      <c r="Q31" s="71"/>
      <c r="R31" s="71"/>
      <c r="S31" s="71"/>
      <c r="T31" s="71"/>
      <c r="U31" s="71"/>
      <c r="V31" s="71"/>
      <c r="W31" s="71"/>
      <c r="X31" s="71"/>
      <c r="Y31" s="71"/>
      <c r="Z31" s="71"/>
      <c r="AA31" s="71"/>
      <c r="AB31" s="71"/>
      <c r="AC31" s="71"/>
      <c r="AD31" s="71"/>
      <c r="AE31" s="71"/>
      <c r="AF31" s="71"/>
      <c r="AG31" s="71"/>
    </row>
    <row r="32" customFormat="false" ht="15" hidden="false" customHeight="false" outlineLevel="0" collapsed="false">
      <c r="A32" s="256" t="n">
        <f aca="false">IF(Horodateur1123353819223134374346495255586164698522263438465058546266707478829098941021061141181101221261301341381421461501541581621661701741781821861901941982022062102144101418[[#This Row],[Jour]]="1- Lundi",$B$1+1, IF(Horodateur1123353819223134374346495255586164698522263438465058546266707478829098941021061141181101221261301341381421461501541581621661701741781821861901941982022062102144101418[[#This Row],[Jour]]="2- Mardi",$B$1+2, IF(Horodateur1123353819223134374346495255586164698522263438465058546266707478829098941021061141181101221261301341381421461501541581621661701741781821861901941982022062102144101418[[#This Row],[Jour]]="3- Mercredi",$B$1+3, IF(Horodateur1123353819223134374346495255586164698522263438465058546266707478829098941021061141181101221261301341381421461501541581621661701741781821861901941982022062102144101418[[#This Row],[Jour]]="4- Jeudi",$B$1+4, IF(Horodateur1123353819223134374346495255586164698522263438465058546266707478829098941021061141181101221261301341381421461501541581621661701741781821861901941982022062102144101418[[#This Row],[Jour]]="5- Vendredi",$B$1+5, IF(Horodateur1123353819223134374346495255586164698522263438465058546266707478829098941021061141181101221261301341381421461501541581621661701741781821861901941982022062102144101418[[#This Row],[Jour]]="6- Samedi",$B$1+6, IF(Horodateur1123353819223134374346495255586164698522263438465058546266707478829098941021061141181101221261301341381421461501541581621661701741781821861901941982022062102144101418[[#This Row],[Jour]]="7- Dimanche",$B$1, )))))))</f>
        <v>44232</v>
      </c>
      <c r="B32" s="257" t="s">
        <v>332</v>
      </c>
      <c r="C32" s="258" t="n">
        <v>0.416666666666667</v>
      </c>
      <c r="D32" s="258" t="n">
        <v>0.458333333333333</v>
      </c>
      <c r="E32" s="71" t="s">
        <v>59</v>
      </c>
      <c r="F32" s="71" t="s">
        <v>378</v>
      </c>
      <c r="G32" s="259" t="s">
        <v>633</v>
      </c>
      <c r="H32" s="258" t="n">
        <f aca="false">IF($C32=0,"",$D32-$C32)</f>
        <v>0.0416666666666666</v>
      </c>
      <c r="I32" s="260" t="n">
        <f aca="false">IF($C32=0,"",($H32-INT($H32))*24)</f>
        <v>0.999999999999999</v>
      </c>
      <c r="J32" s="303" t="n">
        <f aca="false">SUMIF(Horodateur1123353819223134374346495255586164698522263438465058546266707478829098941021061141181101221261301341381421461501541581621661701741781821861901941982022062102144101418[Jour],$B32,Horodateur1123353819223134374346495255586164698522263438465058546266707478829098941021061141181101221261301341381421461501541581621661701741781821861901941982022062102144101418[Durée (100)])</f>
        <v>8.25</v>
      </c>
      <c r="K32" s="335"/>
      <c r="L32" s="188" t="s">
        <v>33</v>
      </c>
      <c r="M32" s="272" t="str">
        <f aca="false">IF(Horodateur1123353819223134374346495255586164698522263438465058546266707478829098941021061141181101221261301341381421461501541581621661701741781821861901941982022062102144101418[[#This Row],[O]]="o",Horodateur1123353819223134374346495255586164698522263438465058546266707478829098941021061141181101221261301341381421461501541581621661701741781821861901941982022062102144101418[[#This Row],[Durée (100)]],".")</f>
        <v>.</v>
      </c>
      <c r="N32" s="187"/>
      <c r="O32" s="71"/>
      <c r="P32" s="71"/>
      <c r="Q32" s="71"/>
      <c r="R32" s="71"/>
      <c r="S32" s="71"/>
      <c r="T32" s="71"/>
      <c r="U32" s="71"/>
      <c r="V32" s="71"/>
      <c r="W32" s="71"/>
      <c r="X32" s="71"/>
      <c r="Y32" s="71"/>
      <c r="Z32" s="71"/>
      <c r="AA32" s="71"/>
      <c r="AB32" s="71"/>
      <c r="AC32" s="71"/>
      <c r="AD32" s="71"/>
      <c r="AE32" s="71"/>
      <c r="AF32" s="71"/>
      <c r="AG32" s="71"/>
    </row>
    <row r="33" customFormat="false" ht="15" hidden="false" customHeight="false" outlineLevel="0" collapsed="false">
      <c r="A33" s="256" t="n">
        <f aca="false">IF(Horodateur1123353819223134374346495255586164698522263438465058546266707478829098941021061141181101221261301341381421461501541581621661701741781821861901941982022062102144101418[[#This Row],[Jour]]="1- Lundi",$B$1+1, IF(Horodateur1123353819223134374346495255586164698522263438465058546266707478829098941021061141181101221261301341381421461501541581621661701741781821861901941982022062102144101418[[#This Row],[Jour]]="2- Mardi",$B$1+2, IF(Horodateur1123353819223134374346495255586164698522263438465058546266707478829098941021061141181101221261301341381421461501541581621661701741781821861901941982022062102144101418[[#This Row],[Jour]]="3- Mercredi",$B$1+3, IF(Horodateur1123353819223134374346495255586164698522263438465058546266707478829098941021061141181101221261301341381421461501541581621661701741781821861901941982022062102144101418[[#This Row],[Jour]]="4- Jeudi",$B$1+4, IF(Horodateur1123353819223134374346495255586164698522263438465058546266707478829098941021061141181101221261301341381421461501541581621661701741781821861901941982022062102144101418[[#This Row],[Jour]]="5- Vendredi",$B$1+5, IF(Horodateur1123353819223134374346495255586164698522263438465058546266707478829098941021061141181101221261301341381421461501541581621661701741781821861901941982022062102144101418[[#This Row],[Jour]]="6- Samedi",$B$1+6, IF(Horodateur1123353819223134374346495255586164698522263438465058546266707478829098941021061141181101221261301341381421461501541581621661701741781821861901941982022062102144101418[[#This Row],[Jour]]="7- Dimanche",$B$1, )))))))</f>
        <v>44232</v>
      </c>
      <c r="B33" s="257" t="s">
        <v>332</v>
      </c>
      <c r="C33" s="258" t="n">
        <v>0.458333333333333</v>
      </c>
      <c r="D33" s="258" t="n">
        <v>0.5</v>
      </c>
      <c r="E33" s="71" t="s">
        <v>59</v>
      </c>
      <c r="F33" s="71" t="s">
        <v>378</v>
      </c>
      <c r="G33" s="259" t="s">
        <v>634</v>
      </c>
      <c r="H33" s="258" t="n">
        <f aca="false">IF($C33=0,"",$D33-$C33)</f>
        <v>0.0416666666666667</v>
      </c>
      <c r="I33" s="260" t="n">
        <f aca="false">IF($C33=0,"",($H33-INT($H33))*24)</f>
        <v>1</v>
      </c>
      <c r="J33" s="303" t="n">
        <f aca="false">SUMIF(Horodateur1123353819223134374346495255586164698522263438465058546266707478829098941021061141181101221261301341381421461501541581621661701741781821861901941982022062102144101418[Jour],$B33,Horodateur1123353819223134374346495255586164698522263438465058546266707478829098941021061141181101221261301341381421461501541581621661701741781821861901941982022062102144101418[Durée (100)])</f>
        <v>8.25</v>
      </c>
      <c r="K33" s="335"/>
      <c r="L33" s="188" t="s">
        <v>31</v>
      </c>
      <c r="M33" s="272" t="n">
        <f aca="false">IF(Horodateur1123353819223134374346495255586164698522263438465058546266707478829098941021061141181101221261301341381421461501541581621661701741781821861901941982022062102144101418[[#This Row],[O]]="o",Horodateur1123353819223134374346495255586164698522263438465058546266707478829098941021061141181101221261301341381421461501541581621661701741781821861901941982022062102144101418[[#This Row],[Durée (100)]],".")</f>
        <v>1</v>
      </c>
      <c r="N33" s="187"/>
      <c r="O33" s="71"/>
      <c r="P33" s="71"/>
      <c r="Q33" s="71"/>
      <c r="R33" s="71"/>
      <c r="S33" s="71"/>
      <c r="T33" s="71"/>
      <c r="U33" s="71"/>
      <c r="V33" s="71"/>
      <c r="W33" s="71"/>
      <c r="X33" s="71"/>
      <c r="Y33" s="71"/>
      <c r="Z33" s="71"/>
      <c r="AA33" s="71"/>
      <c r="AB33" s="71"/>
      <c r="AC33" s="71"/>
      <c r="AD33" s="71"/>
      <c r="AE33" s="71"/>
      <c r="AF33" s="71"/>
      <c r="AG33" s="71"/>
    </row>
    <row r="34" customFormat="false" ht="15" hidden="false" customHeight="false" outlineLevel="0" collapsed="false">
      <c r="A34" s="256" t="n">
        <f aca="false">IF(Horodateur1123353819223134374346495255586164698522263438465058546266707478829098941021061141181101221261301341381421461501541581621661701741781821861901941982022062102144101418[[#This Row],[Jour]]="1- Lundi",$B$1+1, IF(Horodateur1123353819223134374346495255586164698522263438465058546266707478829098941021061141181101221261301341381421461501541581621661701741781821861901941982022062102144101418[[#This Row],[Jour]]="2- Mardi",$B$1+2, IF(Horodateur1123353819223134374346495255586164698522263438465058546266707478829098941021061141181101221261301341381421461501541581621661701741781821861901941982022062102144101418[[#This Row],[Jour]]="3- Mercredi",$B$1+3, IF(Horodateur1123353819223134374346495255586164698522263438465058546266707478829098941021061141181101221261301341381421461501541581621661701741781821861901941982022062102144101418[[#This Row],[Jour]]="4- Jeudi",$B$1+4, IF(Horodateur1123353819223134374346495255586164698522263438465058546266707478829098941021061141181101221261301341381421461501541581621661701741781821861901941982022062102144101418[[#This Row],[Jour]]="5- Vendredi",$B$1+5, IF(Horodateur1123353819223134374346495255586164698522263438465058546266707478829098941021061141181101221261301341381421461501541581621661701741781821861901941982022062102144101418[[#This Row],[Jour]]="6- Samedi",$B$1+6, IF(Horodateur1123353819223134374346495255586164698522263438465058546266707478829098941021061141181101221261301341381421461501541581621661701741781821861901941982022062102144101418[[#This Row],[Jour]]="7- Dimanche",$B$1, )))))))</f>
        <v>44232</v>
      </c>
      <c r="B34" s="257" t="s">
        <v>332</v>
      </c>
      <c r="C34" s="258" t="n">
        <v>0.5625</v>
      </c>
      <c r="D34" s="258" t="n">
        <v>0.645833333333333</v>
      </c>
      <c r="E34" s="71" t="s">
        <v>63</v>
      </c>
      <c r="F34" s="71" t="s">
        <v>378</v>
      </c>
      <c r="G34" s="259" t="s">
        <v>635</v>
      </c>
      <c r="H34" s="258" t="n">
        <f aca="false">IF($C34=0,"",$D34-$C34)</f>
        <v>0.0833333333333333</v>
      </c>
      <c r="I34" s="260" t="n">
        <f aca="false">IF($C34=0,"",($H34-INT($H34))*24)</f>
        <v>2</v>
      </c>
      <c r="J34" s="303" t="n">
        <f aca="false">SUMIF(Horodateur1123353819223134374346495255586164698522263438465058546266707478829098941021061141181101221261301341381421461501541581621661701741781821861901941982022062102144101418[Jour],$B34,Horodateur1123353819223134374346495255586164698522263438465058546266707478829098941021061141181101221261301341381421461501541581621661701741781821861901941982022062102144101418[Durée (100)])</f>
        <v>8.25</v>
      </c>
      <c r="K34" s="335"/>
      <c r="L34" s="188" t="s">
        <v>31</v>
      </c>
      <c r="M34" s="272" t="n">
        <f aca="false">IF(Horodateur1123353819223134374346495255586164698522263438465058546266707478829098941021061141181101221261301341381421461501541581621661701741781821861901941982022062102144101418[[#This Row],[O]]="o",Horodateur1123353819223134374346495255586164698522263438465058546266707478829098941021061141181101221261301341381421461501541581621661701741781821861901941982022062102144101418[[#This Row],[Durée (100)]],".")</f>
        <v>2</v>
      </c>
      <c r="N34" s="187"/>
      <c r="O34" s="71"/>
      <c r="P34" s="71"/>
      <c r="Q34" s="71"/>
      <c r="R34" s="71"/>
      <c r="S34" s="71"/>
      <c r="T34" s="71"/>
      <c r="U34" s="71"/>
      <c r="V34" s="71"/>
      <c r="W34" s="71"/>
      <c r="X34" s="71"/>
      <c r="Y34" s="71"/>
      <c r="Z34" s="71"/>
      <c r="AA34" s="71"/>
      <c r="AB34" s="71"/>
      <c r="AC34" s="71"/>
      <c r="AD34" s="71"/>
      <c r="AE34" s="71"/>
      <c r="AF34" s="71"/>
      <c r="AG34" s="71"/>
    </row>
    <row r="35" customFormat="false" ht="15" hidden="false" customHeight="false" outlineLevel="0" collapsed="false">
      <c r="A35" s="256" t="n">
        <f aca="false">IF(Horodateur1123353819223134374346495255586164698522263438465058546266707478829098941021061141181101221261301341381421461501541581621661701741781821861901941982022062102144101418[[#This Row],[Jour]]="1- Lundi",$B$1+1, IF(Horodateur1123353819223134374346495255586164698522263438465058546266707478829098941021061141181101221261301341381421461501541581621661701741781821861901941982022062102144101418[[#This Row],[Jour]]="2- Mardi",$B$1+2, IF(Horodateur1123353819223134374346495255586164698522263438465058546266707478829098941021061141181101221261301341381421461501541581621661701741781821861901941982022062102144101418[[#This Row],[Jour]]="3- Mercredi",$B$1+3, IF(Horodateur1123353819223134374346495255586164698522263438465058546266707478829098941021061141181101221261301341381421461501541581621661701741781821861901941982022062102144101418[[#This Row],[Jour]]="4- Jeudi",$B$1+4, IF(Horodateur1123353819223134374346495255586164698522263438465058546266707478829098941021061141181101221261301341381421461501541581621661701741781821861901941982022062102144101418[[#This Row],[Jour]]="5- Vendredi",$B$1+5, IF(Horodateur1123353819223134374346495255586164698522263438465058546266707478829098941021061141181101221261301341381421461501541581621661701741781821861901941982022062102144101418[[#This Row],[Jour]]="6- Samedi",$B$1+6, IF(Horodateur1123353819223134374346495255586164698522263438465058546266707478829098941021061141181101221261301341381421461501541581621661701741781821861901941982022062102144101418[[#This Row],[Jour]]="7- Dimanche",$B$1, )))))))</f>
        <v>44232</v>
      </c>
      <c r="B35" s="257" t="s">
        <v>332</v>
      </c>
      <c r="C35" s="258" t="n">
        <v>0.645833333333333</v>
      </c>
      <c r="D35" s="258" t="n">
        <v>0.708333333333333</v>
      </c>
      <c r="E35" s="71" t="s">
        <v>59</v>
      </c>
      <c r="F35" s="71" t="s">
        <v>378</v>
      </c>
      <c r="G35" s="259" t="s">
        <v>633</v>
      </c>
      <c r="H35" s="258" t="n">
        <f aca="false">IF($C35=0,"",$D35-$C35)</f>
        <v>0.0625</v>
      </c>
      <c r="I35" s="260" t="n">
        <f aca="false">IF($C35=0,"",($H35-INT($H35))*24)</f>
        <v>1.5</v>
      </c>
      <c r="J35" s="303" t="n">
        <f aca="false">SUMIF(Horodateur1123353819223134374346495255586164698522263438465058546266707478829098941021061141181101221261301341381421461501541581621661701741781821861901941982022062102144101418[Jour],$B35,Horodateur1123353819223134374346495255586164698522263438465058546266707478829098941021061141181101221261301341381421461501541581621661701741781821861901941982022062102144101418[Durée (100)])</f>
        <v>8.25</v>
      </c>
      <c r="K35" s="335"/>
      <c r="L35" s="188" t="s">
        <v>31</v>
      </c>
      <c r="M35" s="272" t="n">
        <f aca="false">IF(Horodateur1123353819223134374346495255586164698522263438465058546266707478829098941021061141181101221261301341381421461501541581621661701741781821861901941982022062102144101418[[#This Row],[O]]="o",Horodateur1123353819223134374346495255586164698522263438465058546266707478829098941021061141181101221261301341381421461501541581621661701741781821861901941982022062102144101418[[#This Row],[Durée (100)]],".")</f>
        <v>1.5</v>
      </c>
      <c r="N35" s="187"/>
      <c r="O35" s="71"/>
      <c r="P35" s="71"/>
      <c r="Q35" s="71"/>
      <c r="R35" s="71"/>
      <c r="S35" s="71"/>
      <c r="T35" s="71"/>
      <c r="U35" s="71"/>
      <c r="V35" s="71"/>
      <c r="W35" s="71"/>
      <c r="X35" s="71"/>
      <c r="Y35" s="71"/>
      <c r="Z35" s="71"/>
      <c r="AA35" s="71"/>
      <c r="AB35" s="71"/>
      <c r="AC35" s="71"/>
      <c r="AD35" s="71"/>
      <c r="AE35" s="71"/>
      <c r="AF35" s="71"/>
      <c r="AG35" s="71"/>
    </row>
    <row r="36" customFormat="false" ht="15" hidden="false" customHeight="false" outlineLevel="0" collapsed="false">
      <c r="A36" s="256" t="n">
        <f aca="false">IF(Horodateur1123353819223134374346495255586164698522263438465058546266707478829098941021061141181101221261301341381421461501541581621661701741781821861901941982022062102144101418[[#This Row],[Jour]]="1- Lundi",$B$1+1, IF(Horodateur1123353819223134374346495255586164698522263438465058546266707478829098941021061141181101221261301341381421461501541581621661701741781821861901941982022062102144101418[[#This Row],[Jour]]="2- Mardi",$B$1+2, IF(Horodateur1123353819223134374346495255586164698522263438465058546266707478829098941021061141181101221261301341381421461501541581621661701741781821861901941982022062102144101418[[#This Row],[Jour]]="3- Mercredi",$B$1+3, IF(Horodateur1123353819223134374346495255586164698522263438465058546266707478829098941021061141181101221261301341381421461501541581621661701741781821861901941982022062102144101418[[#This Row],[Jour]]="4- Jeudi",$B$1+4, IF(Horodateur1123353819223134374346495255586164698522263438465058546266707478829098941021061141181101221261301341381421461501541581621661701741781821861901941982022062102144101418[[#This Row],[Jour]]="5- Vendredi",$B$1+5, IF(Horodateur1123353819223134374346495255586164698522263438465058546266707478829098941021061141181101221261301341381421461501541581621661701741781821861901941982022062102144101418[[#This Row],[Jour]]="6- Samedi",$B$1+6, IF(Horodateur1123353819223134374346495255586164698522263438465058546266707478829098941021061141181101221261301341381421461501541581621661701741781821861901941982022062102144101418[[#This Row],[Jour]]="7- Dimanche",$B$1, )))))))</f>
        <v>44233</v>
      </c>
      <c r="B36" s="257" t="s">
        <v>335</v>
      </c>
      <c r="C36" s="258" t="n">
        <v>0.3125</v>
      </c>
      <c r="D36" s="258" t="n">
        <v>0.375</v>
      </c>
      <c r="E36" s="71" t="s">
        <v>32</v>
      </c>
      <c r="F36" s="71" t="s">
        <v>21</v>
      </c>
      <c r="G36" s="259"/>
      <c r="H36" s="258" t="n">
        <f aca="false">IF($C36=0,"",$D36-$C36)</f>
        <v>0.0625</v>
      </c>
      <c r="I36" s="260" t="n">
        <f aca="false">IF($C36=0,"",($H36-INT($H36))*24)</f>
        <v>1.5</v>
      </c>
      <c r="J36" s="303" t="n">
        <f aca="false">SUMIF(Horodateur1123353819223134374346495255586164698522263438465058546266707478829098941021061141181101221261301341381421461501541581621661701741781821861901941982022062102144101418[Jour],$B36,Horodateur1123353819223134374346495255586164698522263438465058546266707478829098941021061141181101221261301341381421461501541581621661701741781821861901941982022062102144101418[Durée (100)])</f>
        <v>7</v>
      </c>
      <c r="K36" s="335"/>
      <c r="L36" s="188" t="s">
        <v>31</v>
      </c>
      <c r="M36" s="272" t="n">
        <f aca="false">IF(Horodateur1123353819223134374346495255586164698522263438465058546266707478829098941021061141181101221261301341381421461501541581621661701741781821861901941982022062102144101418[[#This Row],[O]]="o",Horodateur1123353819223134374346495255586164698522263438465058546266707478829098941021061141181101221261301341381421461501541581621661701741781821861901941982022062102144101418[[#This Row],[Durée (100)]],".")</f>
        <v>1.5</v>
      </c>
      <c r="N36" s="187"/>
      <c r="O36" s="71"/>
      <c r="P36" s="71"/>
      <c r="Q36" s="71"/>
      <c r="R36" s="71"/>
      <c r="S36" s="71"/>
      <c r="T36" s="71"/>
      <c r="U36" s="71"/>
      <c r="V36" s="71"/>
      <c r="W36" s="71"/>
      <c r="X36" s="71"/>
      <c r="Y36" s="71"/>
      <c r="Z36" s="71"/>
      <c r="AA36" s="71"/>
      <c r="AB36" s="71"/>
      <c r="AC36" s="71"/>
      <c r="AD36" s="71"/>
      <c r="AE36" s="71"/>
      <c r="AF36" s="71"/>
      <c r="AG36" s="71"/>
    </row>
    <row r="37" customFormat="false" ht="15" hidden="false" customHeight="false" outlineLevel="0" collapsed="false">
      <c r="A37" s="256" t="n">
        <f aca="false">IF(Horodateur1123353819223134374346495255586164698522263438465058546266707478829098941021061141181101221261301341381421461501541581621661701741781821861901941982022062102144101418[[#This Row],[Jour]]="1- Lundi",$B$1+1, IF(Horodateur1123353819223134374346495255586164698522263438465058546266707478829098941021061141181101221261301341381421461501541581621661701741781821861901941982022062102144101418[[#This Row],[Jour]]="2- Mardi",$B$1+2, IF(Horodateur1123353819223134374346495255586164698522263438465058546266707478829098941021061141181101221261301341381421461501541581621661701741781821861901941982022062102144101418[[#This Row],[Jour]]="3- Mercredi",$B$1+3, IF(Horodateur1123353819223134374346495255586164698522263438465058546266707478829098941021061141181101221261301341381421461501541581621661701741781821861901941982022062102144101418[[#This Row],[Jour]]="4- Jeudi",$B$1+4, IF(Horodateur1123353819223134374346495255586164698522263438465058546266707478829098941021061141181101221261301341381421461501541581621661701741781821861901941982022062102144101418[[#This Row],[Jour]]="5- Vendredi",$B$1+5, IF(Horodateur1123353819223134374346495255586164698522263438465058546266707478829098941021061141181101221261301341381421461501541581621661701741781821861901941982022062102144101418[[#This Row],[Jour]]="6- Samedi",$B$1+6, IF(Horodateur1123353819223134374346495255586164698522263438465058546266707478829098941021061141181101221261301341381421461501541581621661701741781821861901941982022062102144101418[[#This Row],[Jour]]="7- Dimanche",$B$1, )))))))</f>
        <v>44233</v>
      </c>
      <c r="B37" s="257" t="s">
        <v>335</v>
      </c>
      <c r="C37" s="258" t="n">
        <v>0.375</v>
      </c>
      <c r="D37" s="258" t="n">
        <v>0.5</v>
      </c>
      <c r="E37" s="71" t="s">
        <v>32</v>
      </c>
      <c r="F37" s="71" t="s">
        <v>23</v>
      </c>
      <c r="G37" s="259" t="s">
        <v>636</v>
      </c>
      <c r="H37" s="258" t="n">
        <f aca="false">IF($C37=0,"",$D37-$C37)</f>
        <v>0.125</v>
      </c>
      <c r="I37" s="260" t="n">
        <f aca="false">IF($C37=0,"",($H37-INT($H37))*24)</f>
        <v>3</v>
      </c>
      <c r="J37" s="303" t="n">
        <f aca="false">SUMIF(Horodateur1123353819223134374346495255586164698522263438465058546266707478829098941021061141181101221261301341381421461501541581621661701741781821861901941982022062102144101418[Jour],$B37,Horodateur1123353819223134374346495255586164698522263438465058546266707478829098941021061141181101221261301341381421461501541581621661701741781821861901941982022062102144101418[Durée (100)])</f>
        <v>7</v>
      </c>
      <c r="K37" s="335"/>
      <c r="L37" s="188" t="s">
        <v>31</v>
      </c>
      <c r="M37" s="272" t="n">
        <f aca="false">IF(Horodateur1123353819223134374346495255586164698522263438465058546266707478829098941021061141181101221261301341381421461501541581621661701741781821861901941982022062102144101418[[#This Row],[O]]="o",Horodateur1123353819223134374346495255586164698522263438465058546266707478829098941021061141181101221261301341381421461501541581621661701741781821861901941982022062102144101418[[#This Row],[Durée (100)]],".")</f>
        <v>3</v>
      </c>
      <c r="N37" s="187"/>
      <c r="O37" s="71"/>
      <c r="P37" s="71"/>
      <c r="Q37" s="71"/>
      <c r="R37" s="71"/>
      <c r="S37" s="71"/>
      <c r="T37" s="71"/>
      <c r="U37" s="71"/>
      <c r="V37" s="71"/>
      <c r="W37" s="71"/>
      <c r="X37" s="71"/>
      <c r="Y37" s="71"/>
      <c r="Z37" s="71"/>
      <c r="AA37" s="71"/>
      <c r="AB37" s="71"/>
      <c r="AC37" s="71"/>
      <c r="AD37" s="71"/>
      <c r="AE37" s="71"/>
      <c r="AF37" s="71"/>
      <c r="AG37" s="71"/>
    </row>
    <row r="38" customFormat="false" ht="15" hidden="false" customHeight="false" outlineLevel="0" collapsed="false">
      <c r="A38" s="256" t="n">
        <f aca="false">IF(Horodateur1123353819223134374346495255586164698522263438465058546266707478829098941021061141181101221261301341381421461501541581621661701741781821861901941982022062102144101418[[#This Row],[Jour]]="1- Lundi",$B$1+1, IF(Horodateur1123353819223134374346495255586164698522263438465058546266707478829098941021061141181101221261301341381421461501541581621661701741781821861901941982022062102144101418[[#This Row],[Jour]]="2- Mardi",$B$1+2, IF(Horodateur1123353819223134374346495255586164698522263438465058546266707478829098941021061141181101221261301341381421461501541581621661701741781821861901941982022062102144101418[[#This Row],[Jour]]="3- Mercredi",$B$1+3, IF(Horodateur1123353819223134374346495255586164698522263438465058546266707478829098941021061141181101221261301341381421461501541581621661701741781821861901941982022062102144101418[[#This Row],[Jour]]="4- Jeudi",$B$1+4, IF(Horodateur1123353819223134374346495255586164698522263438465058546266707478829098941021061141181101221261301341381421461501541581621661701741781821861901941982022062102144101418[[#This Row],[Jour]]="5- Vendredi",$B$1+5, IF(Horodateur1123353819223134374346495255586164698522263438465058546266707478829098941021061141181101221261301341381421461501541581621661701741781821861901941982022062102144101418[[#This Row],[Jour]]="6- Samedi",$B$1+6, IF(Horodateur1123353819223134374346495255586164698522263438465058546266707478829098941021061141181101221261301341381421461501541581621661701741781821861901941982022062102144101418[[#This Row],[Jour]]="7- Dimanche",$B$1, )))))))</f>
        <v>44233</v>
      </c>
      <c r="B38" s="257" t="s">
        <v>335</v>
      </c>
      <c r="C38" s="258" t="n">
        <v>0.5625</v>
      </c>
      <c r="D38" s="258" t="n">
        <v>0.666666666666667</v>
      </c>
      <c r="E38" s="71" t="s">
        <v>363</v>
      </c>
      <c r="F38" s="71" t="s">
        <v>378</v>
      </c>
      <c r="G38" s="259" t="s">
        <v>637</v>
      </c>
      <c r="H38" s="258" t="n">
        <f aca="false">IF($C38=0,"",$D38-$C38)</f>
        <v>0.104166666666667</v>
      </c>
      <c r="I38" s="260" t="n">
        <f aca="false">IF($C38=0,"",($H38-INT($H38))*24)</f>
        <v>2.5</v>
      </c>
      <c r="J38" s="303" t="n">
        <f aca="false">SUMIF(Horodateur1123353819223134374346495255586164698522263438465058546266707478829098941021061141181101221261301341381421461501541581621661701741781821861901941982022062102144101418[Jour],$B38,Horodateur1123353819223134374346495255586164698522263438465058546266707478829098941021061141181101221261301341381421461501541581621661701741781821861901941982022062102144101418[Durée (100)])</f>
        <v>7</v>
      </c>
      <c r="K38" s="335"/>
      <c r="L38" s="188" t="s">
        <v>31</v>
      </c>
      <c r="M38" s="272" t="n">
        <f aca="false">IF(Horodateur1123353819223134374346495255586164698522263438465058546266707478829098941021061141181101221261301341381421461501541581621661701741781821861901941982022062102144101418[[#This Row],[O]]="o",Horodateur1123353819223134374346495255586164698522263438465058546266707478829098941021061141181101221261301341381421461501541581621661701741781821861901941982022062102144101418[[#This Row],[Durée (100)]],".")</f>
        <v>2.5</v>
      </c>
      <c r="N38" s="187"/>
      <c r="O38" s="71"/>
      <c r="P38" s="71"/>
      <c r="Q38" s="71"/>
      <c r="R38" s="71"/>
      <c r="S38" s="71"/>
      <c r="T38" s="71"/>
      <c r="U38" s="71"/>
      <c r="V38" s="71"/>
      <c r="W38" s="71"/>
      <c r="X38" s="71"/>
      <c r="Y38" s="71"/>
      <c r="Z38" s="71"/>
      <c r="AA38" s="71"/>
      <c r="AB38" s="71"/>
      <c r="AC38" s="71"/>
      <c r="AD38" s="71"/>
      <c r="AE38" s="71"/>
      <c r="AF38" s="71"/>
      <c r="AG38" s="71"/>
    </row>
    <row r="39" customFormat="false" ht="15" hidden="false" customHeight="false" outlineLevel="0" collapsed="false">
      <c r="A39" s="256" t="n">
        <f aca="false">IF(Horodateur1123353819223134374346495255586164698522263438465058546266707478829098941021061141181101221261301341381421461501541581621661701741781821861901941982022062102144101418[[#This Row],[Jour]]="1- Lundi",$B$1+1, IF(Horodateur1123353819223134374346495255586164698522263438465058546266707478829098941021061141181101221261301341381421461501541581621661701741781821861901941982022062102144101418[[#This Row],[Jour]]="2- Mardi",$B$1+2, IF(Horodateur1123353819223134374346495255586164698522263438465058546266707478829098941021061141181101221261301341381421461501541581621661701741781821861901941982022062102144101418[[#This Row],[Jour]]="3- Mercredi",$B$1+3, IF(Horodateur1123353819223134374346495255586164698522263438465058546266707478829098941021061141181101221261301341381421461501541581621661701741781821861901941982022062102144101418[[#This Row],[Jour]]="4- Jeudi",$B$1+4, IF(Horodateur1123353819223134374346495255586164698522263438465058546266707478829098941021061141181101221261301341381421461501541581621661701741781821861901941982022062102144101418[[#This Row],[Jour]]="5- Vendredi",$B$1+5, IF(Horodateur1123353819223134374346495255586164698522263438465058546266707478829098941021061141181101221261301341381421461501541581621661701741781821861901941982022062102144101418[[#This Row],[Jour]]="6- Samedi",$B$1+6, IF(Horodateur1123353819223134374346495255586164698522263438465058546266707478829098941021061141181101221261301341381421461501541581621661701741781821861901941982022062102144101418[[#This Row],[Jour]]="7- Dimanche",$B$1, )))))))</f>
        <v>44234</v>
      </c>
      <c r="B39" s="257" t="s">
        <v>341</v>
      </c>
      <c r="C39" s="258" t="n">
        <v>0.333333333333333</v>
      </c>
      <c r="D39" s="258" t="n">
        <v>0.5</v>
      </c>
      <c r="E39" s="71" t="s">
        <v>362</v>
      </c>
      <c r="F39" s="71" t="s">
        <v>380</v>
      </c>
      <c r="G39" s="259" t="s">
        <v>638</v>
      </c>
      <c r="H39" s="258" t="n">
        <f aca="false">IF($C39=0,"",$D39-$C39)</f>
        <v>0.166666666666667</v>
      </c>
      <c r="I39" s="260" t="n">
        <f aca="false">IF($C39=0,"",($H39-INT($H39))*24)</f>
        <v>4</v>
      </c>
      <c r="J39" s="303" t="n">
        <f aca="false">SUMIF(Horodateur1123353819223134374346495255586164698522263438465058546266707478829098941021061141181101221261301341381421461501541581621661701741781821861901941982022062102144101418[Jour],$B39,Horodateur1123353819223134374346495255586164698522263438465058546266707478829098941021061141181101221261301341381421461501541581621661701741781821861901941982022062102144101418[Durée (100)])</f>
        <v>4</v>
      </c>
      <c r="K39" s="335"/>
      <c r="L39" s="188" t="s">
        <v>31</v>
      </c>
      <c r="M39" s="272" t="n">
        <f aca="false">IF(Horodateur1123353819223134374346495255586164698522263438465058546266707478829098941021061141181101221261301341381421461501541581621661701741781821861901941982022062102144101418[[#This Row],[O]]="o",Horodateur1123353819223134374346495255586164698522263438465058546266707478829098941021061141181101221261301341381421461501541581621661701741781821861901941982022062102144101418[[#This Row],[Durée (100)]],".")</f>
        <v>4</v>
      </c>
      <c r="N39" s="187"/>
      <c r="O39" s="71"/>
      <c r="P39" s="71"/>
      <c r="Q39" s="71"/>
      <c r="R39" s="71"/>
      <c r="S39" s="71"/>
      <c r="T39" s="71"/>
      <c r="U39" s="71"/>
      <c r="V39" s="71"/>
      <c r="W39" s="71"/>
      <c r="X39" s="71"/>
      <c r="Y39" s="71"/>
      <c r="Z39" s="71"/>
      <c r="AA39" s="71"/>
      <c r="AB39" s="71"/>
      <c r="AC39" s="71"/>
      <c r="AD39" s="71"/>
      <c r="AE39" s="71"/>
      <c r="AF39" s="71"/>
      <c r="AG39" s="71"/>
    </row>
    <row r="40" customFormat="false" ht="15" hidden="false" customHeight="false" outlineLevel="0" collapsed="false">
      <c r="A40" s="137"/>
      <c r="B40" s="187"/>
      <c r="C40" s="71"/>
      <c r="D40" s="1"/>
      <c r="E40" s="1"/>
      <c r="F40" s="71"/>
      <c r="G40" s="340"/>
      <c r="H40" s="1"/>
      <c r="I40" s="119"/>
      <c r="J40" s="271"/>
      <c r="K40" s="1"/>
      <c r="L40" s="188"/>
      <c r="M40" s="272"/>
      <c r="N40" s="187"/>
      <c r="O40" s="71"/>
      <c r="P40" s="71"/>
      <c r="Q40" s="71"/>
      <c r="R40" s="71"/>
      <c r="S40" s="71"/>
      <c r="T40" s="71"/>
      <c r="U40" s="71"/>
      <c r="V40" s="71"/>
      <c r="W40" s="71"/>
      <c r="X40" s="71"/>
      <c r="Y40" s="71"/>
      <c r="Z40" s="71"/>
      <c r="AA40" s="71"/>
      <c r="AB40" s="71"/>
      <c r="AC40" s="71"/>
      <c r="AD40" s="71"/>
      <c r="AE40" s="71"/>
      <c r="AF40" s="71"/>
      <c r="AG40" s="71"/>
    </row>
    <row r="41" customFormat="false" ht="15" hidden="false" customHeight="false" outlineLevel="0" collapsed="false">
      <c r="A41" s="137"/>
      <c r="B41" s="187"/>
      <c r="C41" s="71"/>
      <c r="D41" s="1"/>
      <c r="E41" s="1"/>
      <c r="F41" s="71"/>
      <c r="G41" s="1"/>
      <c r="H41" s="1"/>
      <c r="I41" s="119"/>
      <c r="J41" s="271"/>
      <c r="K41" s="1"/>
      <c r="L41" s="188"/>
      <c r="M41" s="272"/>
      <c r="N41" s="187"/>
      <c r="O41" s="71"/>
      <c r="P41" s="71"/>
      <c r="Q41" s="71"/>
      <c r="R41" s="71"/>
      <c r="S41" s="71"/>
      <c r="T41" s="71"/>
      <c r="U41" s="71"/>
      <c r="V41" s="71"/>
      <c r="W41" s="71"/>
      <c r="X41" s="71"/>
      <c r="Y41" s="71"/>
      <c r="Z41" s="71"/>
      <c r="AA41" s="71"/>
      <c r="AB41" s="71"/>
      <c r="AC41" s="71"/>
      <c r="AD41" s="71"/>
      <c r="AE41" s="71"/>
      <c r="AF41" s="71"/>
      <c r="AG41" s="71"/>
    </row>
    <row r="42" customFormat="false" ht="15" hidden="false" customHeight="false" outlineLevel="0" collapsed="false">
      <c r="A42" s="137"/>
      <c r="B42" s="187"/>
      <c r="C42" s="71"/>
      <c r="D42" s="1"/>
      <c r="E42" s="1"/>
      <c r="F42" s="71"/>
      <c r="G42" s="1"/>
      <c r="H42" s="1"/>
      <c r="I42" s="119"/>
      <c r="J42" s="271"/>
      <c r="K42" s="1"/>
      <c r="L42" s="188"/>
      <c r="N42" s="187"/>
      <c r="O42" s="71"/>
      <c r="P42" s="71"/>
      <c r="Q42" s="71"/>
      <c r="R42" s="71"/>
      <c r="S42" s="71"/>
      <c r="T42" s="71"/>
      <c r="U42" s="71"/>
      <c r="V42" s="71"/>
      <c r="W42" s="71"/>
      <c r="X42" s="71"/>
      <c r="Y42" s="71"/>
      <c r="Z42" s="71"/>
      <c r="AA42" s="71"/>
      <c r="AB42" s="71"/>
      <c r="AC42" s="71"/>
      <c r="AD42" s="71"/>
      <c r="AE42" s="71"/>
      <c r="AF42" s="71"/>
      <c r="AG42" s="71"/>
    </row>
    <row r="43" customFormat="false" ht="15" hidden="false" customHeight="false" outlineLevel="0" collapsed="false">
      <c r="A43" s="274" t="s">
        <v>377</v>
      </c>
      <c r="B43" s="275" t="str">
        <f aca="false">SUM($A$89:$A$519) &amp; " heures"</f>
        <v>26.75 heures</v>
      </c>
      <c r="C43" s="276" t="str">
        <f aca="false">SUM($A$89:$A$510) / 8 &amp; " Jours"</f>
        <v>3.34375 Jours</v>
      </c>
      <c r="D43" s="277"/>
      <c r="E43" s="277" t="n">
        <v>33.25</v>
      </c>
      <c r="F43" s="278" t="n">
        <f aca="false">E43/8</f>
        <v>4.15625</v>
      </c>
      <c r="G43" s="277"/>
      <c r="H43" s="277"/>
      <c r="I43" s="279"/>
      <c r="J43" s="280"/>
      <c r="K43" s="277"/>
      <c r="L43" s="281"/>
      <c r="M43" s="282"/>
      <c r="N43" s="283"/>
      <c r="O43" s="277"/>
      <c r="P43" s="277"/>
      <c r="Q43" s="277"/>
      <c r="R43" s="277"/>
      <c r="S43" s="277"/>
      <c r="T43" s="277"/>
      <c r="U43" s="278"/>
      <c r="V43" s="278"/>
      <c r="W43" s="278"/>
      <c r="X43" s="278"/>
      <c r="Y43" s="278"/>
      <c r="Z43" s="278"/>
      <c r="AA43" s="278"/>
      <c r="AB43" s="278"/>
      <c r="AC43" s="278"/>
      <c r="AD43" s="278"/>
      <c r="AE43" s="278"/>
      <c r="AF43" s="278"/>
      <c r="AG43" s="278"/>
    </row>
    <row r="44" customFormat="false" ht="15" hidden="false" customHeight="false" outlineLevel="0" collapsed="false">
      <c r="A44" s="137"/>
      <c r="B44" s="187"/>
      <c r="C44" s="71"/>
      <c r="D44" s="1"/>
      <c r="E44" s="1"/>
      <c r="F44" s="71"/>
      <c r="G44" s="1"/>
      <c r="H44" s="1"/>
      <c r="I44" s="119"/>
      <c r="J44" s="271"/>
      <c r="K44" s="1"/>
      <c r="L44" s="188"/>
      <c r="M44" s="272"/>
      <c r="N44" s="187"/>
      <c r="O44" s="1"/>
      <c r="P44" s="1"/>
      <c r="Q44" s="1"/>
      <c r="R44" s="1"/>
      <c r="S44" s="1"/>
      <c r="T44" s="1"/>
      <c r="U44" s="71"/>
      <c r="V44" s="71"/>
      <c r="W44" s="71"/>
      <c r="X44" s="71"/>
      <c r="Y44" s="71"/>
      <c r="Z44" s="71"/>
      <c r="AA44" s="71"/>
      <c r="AB44" s="71"/>
      <c r="AC44" s="71"/>
      <c r="AD44" s="71"/>
      <c r="AE44" s="71"/>
      <c r="AF44" s="71"/>
      <c r="AG44" s="71"/>
    </row>
    <row r="45" customFormat="false" ht="15" hidden="true" customHeight="false" outlineLevel="1" collapsed="false">
      <c r="A45" s="137"/>
      <c r="B45" s="137"/>
      <c r="C45" s="137"/>
      <c r="D45" s="137"/>
      <c r="E45" s="1"/>
      <c r="F45" s="71"/>
      <c r="G45" s="1"/>
      <c r="H45" s="1"/>
      <c r="I45" s="119"/>
      <c r="J45" s="271"/>
      <c r="K45" s="1"/>
      <c r="L45" s="188"/>
      <c r="M45" s="272"/>
      <c r="N45" s="187"/>
      <c r="O45" s="1"/>
      <c r="P45" s="1"/>
      <c r="Q45" s="1"/>
      <c r="R45" s="1"/>
      <c r="S45" s="1"/>
      <c r="T45" s="1"/>
      <c r="U45" s="71"/>
      <c r="V45" s="71"/>
      <c r="W45" s="71"/>
      <c r="X45" s="71"/>
      <c r="Y45" s="71"/>
      <c r="Z45" s="71"/>
      <c r="AA45" s="71"/>
      <c r="AB45" s="71"/>
      <c r="AC45" s="71"/>
      <c r="AD45" s="71"/>
      <c r="AE45" s="71"/>
      <c r="AF45" s="71"/>
      <c r="AG45" s="71"/>
    </row>
    <row r="46" customFormat="false" ht="15" hidden="true" customHeight="false" outlineLevel="1" collapsed="false">
      <c r="A46" s="284" t="s">
        <v>84</v>
      </c>
      <c r="B46" s="285" t="s">
        <v>21</v>
      </c>
      <c r="C46" s="285" t="s">
        <v>20</v>
      </c>
      <c r="D46" s="285" t="s">
        <v>23</v>
      </c>
      <c r="E46" s="285" t="s">
        <v>25</v>
      </c>
      <c r="F46" s="285" t="s">
        <v>26</v>
      </c>
      <c r="G46" s="285" t="s">
        <v>378</v>
      </c>
      <c r="H46" s="285" t="s">
        <v>379</v>
      </c>
      <c r="I46" s="285" t="s">
        <v>380</v>
      </c>
      <c r="J46" s="286" t="s">
        <v>58</v>
      </c>
      <c r="K46" s="287"/>
      <c r="L46" s="288"/>
      <c r="M46" s="289"/>
      <c r="N46" s="187"/>
      <c r="O46" s="1"/>
      <c r="P46" s="1"/>
      <c r="Q46" s="1"/>
      <c r="R46" s="1"/>
      <c r="S46" s="1"/>
      <c r="T46" s="71"/>
      <c r="U46" s="71"/>
      <c r="V46" s="71"/>
      <c r="W46" s="71"/>
      <c r="X46" s="71"/>
      <c r="Y46" s="71"/>
      <c r="Z46" s="71"/>
      <c r="AA46" s="71"/>
      <c r="AB46" s="71"/>
      <c r="AC46" s="71"/>
      <c r="AD46" s="71"/>
      <c r="AE46" s="71"/>
      <c r="AF46" s="71"/>
    </row>
    <row r="47" customFormat="false" ht="15" hidden="true" customHeight="false" outlineLevel="1" collapsed="false">
      <c r="A47" s="187" t="s">
        <v>312</v>
      </c>
      <c r="B47" s="71" t="n">
        <f aca="false">SUMIFS(Horodateur1123353819223134374346495255586164698522263438465058546266707478829098941021061141181101221261301341381421461501541581621661701741781821861901941982022062102144101418[Durée (100)],Horodateur1123353819223134374346495255586164698522263438465058546266707478829098941021061141181101221261301341381421461501541581621661701741781821861901941982022062102144101418[Tâche],Taches_Jours122436391720293235414447505356596267832024323644485652606468727680889692100104112116108120124128132136140144148152156160164168172176180184188192196200204208212261216[[#Headers],[GB]],Horodateur1123353819223134374346495255586164698522263438465058546266707478829098941021061141181101221261301341381421461501541581621661701741781821861901941982022062102144101418[Jour],Taches_Jours122436391720293235414447505356596267832024323644485652606468727680889692100104112116108120124128132136140144148152156160164168172176180184188192196200204208212261216[[#This Row],[Jours]])</f>
        <v>1.75</v>
      </c>
      <c r="C47" s="71" t="n">
        <f aca="false">SUMIFS(Horodateur1123353819223134374346495255586164698522263438465058546266707478829098941021061141181101221261301341381421461501541581621661701741781821861901941982022062102144101418[Durée (100)],Horodateur1123353819223134374346495255586164698522263438465058546266707478829098941021061141181101221261301341381421461501541581621661701741781821861901941982022062102144101418[Tâche],Taches_Jours122436391720293235414447505356596267832024323644485652606468727680889692100104112116108120124128132136140144148152156160164168172176180184188192196200204208212261216[[#Headers],[RI]],Horodateur1123353819223134374346495255586164698522263438465058546266707478829098941021061141181101221261301341381421461501541581621661701741781821861901941982022062102144101418[Jour],Taches_Jours122436391720293235414447505356596267832024323644485652606468727680889692100104112116108120124128132136140144148152156160164168172176180184188192196200204208212261216[[#This Row],[Jours]])</f>
        <v>0.500000000000001</v>
      </c>
      <c r="D47" s="71" t="n">
        <f aca="false">SUMIFS(Horodateur1123353819223134374346495255586164698522263438465058546266707478829098941021061141181101221261301341381421461501541581621661701741781821861901941982022062102144101418[Durée (100)],Horodateur1123353819223134374346495255586164698522263438465058546266707478829098941021061141181101221261301341381421461501541581621661701741781821861901941982022062102144101418[Tâche],Taches_Jours122436391720293235414447505356596267832024323644485652606468727680889692100104112116108120124128132136140144148152156160164168172176180184188192196200204208212261216[[#Headers],[FG]],Horodateur1123353819223134374346495255586164698522263438465058546266707478829098941021061141181101221261301341381421461501541581621661701741781821861901941982022062102144101418[Jour],Taches_Jours122436391720293235414447505356596267832024323644485652606468727680889692100104112116108120124128132136140144148152156160164168172176180184188192196200204208212261216[[#This Row],[Jours]])</f>
        <v>0</v>
      </c>
      <c r="E47" s="71" t="n">
        <f aca="false">SUMIFS(Horodateur1123353819223134374346495255586164698522263438465058546266707478829098941021061141181101221261301341381421461501541581621661701741781821861901941982022062102144101418[Durée (100)],Horodateur1123353819223134374346495255586164698522263438465058546266707478829098941021061141181101221261301341381421461501541581621661701741781821861901941982022062102144101418[Tâche],Taches_Jours122436391720293235414447505356596267832024323644485652606468727680889692100104112116108120124128132136140144148152156160164168172176180184188192196200204208212261216[[#Headers],[PS]],Horodateur1123353819223134374346495255586164698522263438465058546266707478829098941021061141181101221261301341381421461501541581621661701741781821861901941982022062102144101418[Jour],Taches_Jours122436391720293235414447505356596267832024323644485652606468727680889692100104112116108120124128132136140144148152156160164168172176180184188192196200204208212261216[[#This Row],[Jours]])</f>
        <v>0</v>
      </c>
      <c r="F47" s="71" t="n">
        <f aca="false">SUMIFS(Horodateur1123353819223134374346495255586164698522263438465058546266707478829098941021061141181101221261301341381421461501541581621661701741781821861901941982022062102144101418[Durée (100)],Horodateur1123353819223134374346495255586164698522263438465058546266707478829098941021061141181101221261301341381421461501541581621661701741781821861901941982022062102144101418[Tâche],Taches_Jours122436391720293235414447505356596267832024323644485652606468727680889692100104112116108120124128132136140144148152156160164168172176180184188192196200204208212261216[[#Headers],[TD]],Horodateur1123353819223134374346495255586164698522263438465058546266707478829098941021061141181101221261301341381421461501541581621661701741781821861901941982022062102144101418[Jour],Taches_Jours122436391720293235414447505356596267832024323644485652606468727680889692100104112116108120124128132136140144148152156160164168172176180184188192196200204208212261216[[#This Row],[Jours]])</f>
        <v>0</v>
      </c>
      <c r="G47" s="71" t="n">
        <f aca="false">SUMIFS(Horodateur1123353819223134374346495255586164698522263438465058546266707478829098941021061141181101221261301341381421461501541581621661701741781821861901941982022062102144101418[Durée (100)],Horodateur1123353819223134374346495255586164698522263438465058546266707478829098941021061141181101221261301341381421461501541581621661701741781821861901941982022062102144101418[Tâche],Taches_Jours122436391720293235414447505356596267832024323644485652606468727680889692100104112116108120124128132136140144148152156160164168172176180184188192196200204208212261216[[#Headers],[GP]],Horodateur1123353819223134374346495255586164698522263438465058546266707478829098941021061141181101221261301341381421461501541581621661701741781821861901941982022062102144101418[Jour],Taches_Jours122436391720293235414447505356596267832024323644485652606468727680889692100104112116108120124128132136140144148152156160164168172176180184188192196200204208212261216[[#This Row],[Jours]])</f>
        <v>2.75</v>
      </c>
      <c r="H47" s="71" t="n">
        <f aca="false">SUMIFS(Horodateur1123353819223134374346495255586164698522263438465058546266707478829098941021061141181101221261301341381421461501541581621661701741781821861901941982022062102144101418[Durée (100)],Horodateur1123353819223134374346495255586164698522263438465058546266707478829098941021061141181101221261301341381421461501541581621661701741781821861901941982022062102144101418[Tâche],Taches_Jours122436391720293235414447505356596267832024323644485652606468727680889692100104112116108120124128132136140144148152156160164168172176180184188192196200204208212261216[[#Headers],[GP / SP]],Horodateur1123353819223134374346495255586164698522263438465058546266707478829098941021061141181101221261301341381421461501541581621661701741781821861901941982022062102144101418[Jour],Taches_Jours122436391720293235414447505356596267832024323644485652606468727680889692100104112116108120124128132136140144148152156160164168172176180184188192196200204208212261216[[#This Row],[Jours]])</f>
        <v>1</v>
      </c>
      <c r="I47" s="71" t="n">
        <f aca="false">SUMIFS(Horodateur1123353819223134374346495255586164698522263438465058546266707478829098941021061141181101221261301341381421461501541581621661701741781821861901941982022062102144101418[Durée (100)],Horodateur1123353819223134374346495255586164698522263438465058546266707478829098941021061141181101221261301341381421461501541581621661701741781821861901941982022062102144101418[Tâche],Taches_Jours122436391720293235414447505356596267832024323644485652606468727680889692100104112116108120124128132136140144148152156160164168172176180184188192196200204208212261216[[#Headers],[GP / SP]],Horodateur1123353819223134374346495255586164698522263438465058546266707478829098941021061141181101221261301341381421461501541581621661701741781821861901941982022062102144101418[Jour],Taches_Jours122436391720293235414447505356596267832024323644485652606468727680889692100104112116108120124128132136140144148152156160164168172176180184188192196200204208212261216[[#This Row],[Jours]])</f>
        <v>1</v>
      </c>
      <c r="J47" s="290" t="n">
        <f aca="false">SUM(Taches_Jours122436391720293235414447505356596267832024323644485652606468727680889692100104112116108120124128132136140144148152156160164168172176180184188192196200204208212261216[[#This Row],[GB]:[GP / SP]])</f>
        <v>6</v>
      </c>
      <c r="K47" s="188"/>
      <c r="L47" s="288"/>
      <c r="M47" s="289"/>
      <c r="N47" s="187"/>
      <c r="O47" s="1"/>
      <c r="P47" s="1"/>
      <c r="Q47" s="1"/>
      <c r="R47" s="1"/>
      <c r="S47" s="1"/>
      <c r="T47" s="71"/>
      <c r="U47" s="71"/>
      <c r="V47" s="71"/>
      <c r="W47" s="71"/>
      <c r="X47" s="71"/>
      <c r="Y47" s="71"/>
      <c r="Z47" s="71"/>
      <c r="AA47" s="71"/>
      <c r="AB47" s="71"/>
      <c r="AC47" s="71"/>
      <c r="AD47" s="71"/>
      <c r="AE47" s="71"/>
      <c r="AF47" s="71"/>
    </row>
    <row r="48" customFormat="false" ht="15" hidden="true" customHeight="false" outlineLevel="1" collapsed="false">
      <c r="A48" s="187" t="s">
        <v>319</v>
      </c>
      <c r="B48" s="71" t="n">
        <f aca="false">SUMIFS(Horodateur1123353819223134374346495255586164698522263438465058546266707478829098941021061141181101221261301341381421461501541581621661701741781821861901941982022062102144101418[Durée (100)],Horodateur1123353819223134374346495255586164698522263438465058546266707478829098941021061141181101221261301341381421461501541581621661701741781821861901941982022062102144101418[Tâche],Taches_Jours122436391720293235414447505356596267832024323644485652606468727680889692100104112116108120124128132136140144148152156160164168172176180184188192196200204208212261216[[#Headers],[GB]],Horodateur1123353819223134374346495255586164698522263438465058546266707478829098941021061141181101221261301341381421461501541581621661701741781821861901941982022062102144101418[Jour],Taches_Jours122436391720293235414447505356596267832024323644485652606468727680889692100104112116108120124128132136140144148152156160164168172176180184188192196200204208212261216[[#This Row],[Jours]])</f>
        <v>0</v>
      </c>
      <c r="C48" s="71" t="n">
        <f aca="false">SUMIFS(Horodateur1123353819223134374346495255586164698522263438465058546266707478829098941021061141181101221261301341381421461501541581621661701741781821861901941982022062102144101418[Durée (100)],Horodateur1123353819223134374346495255586164698522263438465058546266707478829098941021061141181101221261301341381421461501541581621661701741781821861901941982022062102144101418[Tâche],Taches_Jours122436391720293235414447505356596267832024323644485652606468727680889692100104112116108120124128132136140144148152156160164168172176180184188192196200204208212261216[[#Headers],[RI]],Horodateur1123353819223134374346495255586164698522263438465058546266707478829098941021061141181101221261301341381421461501541581621661701741781821861901941982022062102144101418[Jour],Taches_Jours122436391720293235414447505356596267832024323644485652606468727680889692100104112116108120124128132136140144148152156160164168172176180184188192196200204208212261216[[#This Row],[Jours]])</f>
        <v>0</v>
      </c>
      <c r="D48" s="71" t="n">
        <f aca="false">SUMIFS(Horodateur1123353819223134374346495255586164698522263438465058546266707478829098941021061141181101221261301341381421461501541581621661701741781821861901941982022062102144101418[Durée (100)],Horodateur1123353819223134374346495255586164698522263438465058546266707478829098941021061141181101221261301341381421461501541581621661701741781821861901941982022062102144101418[Tâche],Taches_Jours122436391720293235414447505356596267832024323644485652606468727680889692100104112116108120124128132136140144148152156160164168172176180184188192196200204208212261216[[#Headers],[FG]],Horodateur1123353819223134374346495255586164698522263438465058546266707478829098941021061141181101221261301341381421461501541581621661701741781821861901941982022062102144101418[Jour],Taches_Jours122436391720293235414447505356596267832024323644485652606468727680889692100104112116108120124128132136140144148152156160164168172176180184188192196200204208212261216[[#This Row],[Jours]])</f>
        <v>2</v>
      </c>
      <c r="E48" s="71" t="n">
        <f aca="false">SUMIFS(Horodateur1123353819223134374346495255586164698522263438465058546266707478829098941021061141181101221261301341381421461501541581621661701741781821861901941982022062102144101418[Durée (100)],Horodateur1123353819223134374346495255586164698522263438465058546266707478829098941021061141181101221261301341381421461501541581621661701741781821861901941982022062102144101418[Tâche],Taches_Jours122436391720293235414447505356596267832024323644485652606468727680889692100104112116108120124128132136140144148152156160164168172176180184188192196200204208212261216[[#Headers],[PS]],Horodateur1123353819223134374346495255586164698522263438465058546266707478829098941021061141181101221261301341381421461501541581621661701741781821861901941982022062102144101418[Jour],Taches_Jours122436391720293235414447505356596267832024323644485652606468727680889692100104112116108120124128132136140144148152156160164168172176180184188192196200204208212261216[[#This Row],[Jours]])</f>
        <v>0</v>
      </c>
      <c r="F48" s="71" t="n">
        <f aca="false">SUMIFS(Horodateur1123353819223134374346495255586164698522263438465058546266707478829098941021061141181101221261301341381421461501541581621661701741781821861901941982022062102144101418[Durée (100)],Horodateur1123353819223134374346495255586164698522263438465058546266707478829098941021061141181101221261301341381421461501541581621661701741781821861901941982022062102144101418[Tâche],Taches_Jours122436391720293235414447505356596267832024323644485652606468727680889692100104112116108120124128132136140144148152156160164168172176180184188192196200204208212261216[[#Headers],[TD]],Horodateur1123353819223134374346495255586164698522263438465058546266707478829098941021061141181101221261301341381421461501541581621661701741781821861901941982022062102144101418[Jour],Taches_Jours122436391720293235414447505356596267832024323644485652606468727680889692100104112116108120124128132136140144148152156160164168172176180184188192196200204208212261216[[#This Row],[Jours]])</f>
        <v>0</v>
      </c>
      <c r="G48" s="71" t="n">
        <f aca="false">SUMIFS(Horodateur1123353819223134374346495255586164698522263438465058546266707478829098941021061141181101221261301341381421461501541581621661701741781821861901941982022062102144101418[Durée (100)],Horodateur1123353819223134374346495255586164698522263438465058546266707478829098941021061141181101221261301341381421461501541581621661701741781821861901941982022062102144101418[Tâche],Taches_Jours122436391720293235414447505356596267832024323644485652606468727680889692100104112116108120124128132136140144148152156160164168172176180184188192196200204208212261216[[#Headers],[GP]],Horodateur1123353819223134374346495255586164698522263438465058546266707478829098941021061141181101221261301341381421461501541581621661701741781821861901941982022062102144101418[Jour],Taches_Jours122436391720293235414447505356596267832024323644485652606468727680889692100104112116108120124128132136140144148152156160164168172176180184188192196200204208212261216[[#This Row],[Jours]])</f>
        <v>4.5</v>
      </c>
      <c r="H48" s="71" t="n">
        <f aca="false">SUMIFS(Horodateur1123353819223134374346495255586164698522263438465058546266707478829098941021061141181101221261301341381421461501541581621661701741781821861901941982022062102144101418[Durée (100)],Horodateur1123353819223134374346495255586164698522263438465058546266707478829098941021061141181101221261301341381421461501541581621661701741781821861901941982022062102144101418[Tâche],Taches_Jours122436391720293235414447505356596267832024323644485652606468727680889692100104112116108120124128132136140144148152156160164168172176180184188192196200204208212261216[[#Headers],[GP / SP]],Horodateur1123353819223134374346495255586164698522263438465058546266707478829098941021061141181101221261301341381421461501541581621661701741781821861901941982022062102144101418[Jour],Taches_Jours122436391720293235414447505356596267832024323644485652606468727680889692100104112116108120124128132136140144148152156160164168172176180184188192196200204208212261216[[#This Row],[Jours]])</f>
        <v>0</v>
      </c>
      <c r="I48" s="71" t="n">
        <f aca="false">SUMIFS(Horodateur1123353819223134374346495255586164698522263438465058546266707478829098941021061141181101221261301341381421461501541581621661701741781821861901941982022062102144101418[Durée (100)],Horodateur1123353819223134374346495255586164698522263438465058546266707478829098941021061141181101221261301341381421461501541581621661701741781821861901941982022062102144101418[Tâche],Taches_Jours122436391720293235414447505356596267832024323644485652606468727680889692100104112116108120124128132136140144148152156160164168172176180184188192196200204208212261216[[#Headers],[GP / SP]],Horodateur1123353819223134374346495255586164698522263438465058546266707478829098941021061141181101221261301341381421461501541581621661701741781821861901941982022062102144101418[Jour],Taches_Jours122436391720293235414447505356596267832024323644485652606468727680889692100104112116108120124128132136140144148152156160164168172176180184188192196200204208212261216[[#This Row],[Jours]])</f>
        <v>0</v>
      </c>
      <c r="J48" s="290" t="n">
        <f aca="false">SUM(Taches_Jours122436391720293235414447505356596267832024323644485652606468727680889692100104112116108120124128132136140144148152156160164168172176180184188192196200204208212261216[[#This Row],[GB]:[GP / SP]])</f>
        <v>6.5</v>
      </c>
      <c r="K48" s="188"/>
      <c r="L48" s="288"/>
      <c r="M48" s="289"/>
      <c r="N48" s="187"/>
      <c r="O48" s="1"/>
      <c r="P48" s="1"/>
      <c r="Q48" s="1"/>
      <c r="R48" s="1"/>
      <c r="S48" s="1"/>
      <c r="T48" s="71"/>
      <c r="U48" s="71"/>
      <c r="V48" s="71"/>
      <c r="W48" s="71"/>
      <c r="X48" s="71"/>
      <c r="Y48" s="71"/>
      <c r="Z48" s="71"/>
      <c r="AA48" s="71"/>
      <c r="AB48" s="71"/>
      <c r="AC48" s="71"/>
      <c r="AD48" s="71"/>
      <c r="AE48" s="71"/>
      <c r="AF48" s="71"/>
    </row>
    <row r="49" customFormat="false" ht="15" hidden="true" customHeight="false" outlineLevel="1" collapsed="false">
      <c r="A49" s="187" t="s">
        <v>324</v>
      </c>
      <c r="B49" s="71" t="n">
        <f aca="false">SUMIFS(Horodateur1123353819223134374346495255586164698522263438465058546266707478829098941021061141181101221261301341381421461501541581621661701741781821861901941982022062102144101418[Durée (100)],Horodateur1123353819223134374346495255586164698522263438465058546266707478829098941021061141181101221261301341381421461501541581621661701741781821861901941982022062102144101418[Tâche],Taches_Jours122436391720293235414447505356596267832024323644485652606468727680889692100104112116108120124128132136140144148152156160164168172176180184188192196200204208212261216[[#Headers],[GB]],Horodateur1123353819223134374346495255586164698522263438465058546266707478829098941021061141181101221261301341381421461501541581621661701741781821861901941982022062102144101418[Jour],Taches_Jours122436391720293235414447505356596267832024323644485652606468727680889692100104112116108120124128132136140144148152156160164168172176180184188192196200204208212261216[[#This Row],[Jours]])</f>
        <v>0.249999999999999</v>
      </c>
      <c r="C49" s="71" t="n">
        <f aca="false">SUMIFS(Horodateur1123353819223134374346495255586164698522263438465058546266707478829098941021061141181101221261301341381421461501541581621661701741781821861901941982022062102144101418[Durée (100)],Horodateur1123353819223134374346495255586164698522263438465058546266707478829098941021061141181101221261301341381421461501541581621661701741781821861901941982022062102144101418[Tâche],Taches_Jours122436391720293235414447505356596267832024323644485652606468727680889692100104112116108120124128132136140144148152156160164168172176180184188192196200204208212261216[[#Headers],[RI]],Horodateur1123353819223134374346495255586164698522263438465058546266707478829098941021061141181101221261301341381421461501541581621661701741781821861901941982022062102144101418[Jour],Taches_Jours122436391720293235414447505356596267832024323644485652606468727680889692100104112116108120124128132136140144148152156160164168172176180184188192196200204208212261216[[#This Row],[Jours]])</f>
        <v>0</v>
      </c>
      <c r="D49" s="71" t="n">
        <f aca="false">SUMIFS(Horodateur1123353819223134374346495255586164698522263438465058546266707478829098941021061141181101221261301341381421461501541581621661701741781821861901941982022062102144101418[Durée (100)],Horodateur1123353819223134374346495255586164698522263438465058546266707478829098941021061141181101221261301341381421461501541581621661701741781821861901941982022062102144101418[Tâche],Taches_Jours122436391720293235414447505356596267832024323644485652606468727680889692100104112116108120124128132136140144148152156160164168172176180184188192196200204208212261216[[#Headers],[FG]],Horodateur1123353819223134374346495255586164698522263438465058546266707478829098941021061141181101221261301341381421461501541581621661701741781821861901941982022062102144101418[Jour],Taches_Jours122436391720293235414447505356596267832024323644485652606468727680889692100104112116108120124128132136140144148152156160164168172176180184188192196200204208212261216[[#This Row],[Jours]])</f>
        <v>1.5</v>
      </c>
      <c r="E49" s="71" t="n">
        <f aca="false">SUMIFS(Horodateur1123353819223134374346495255586164698522263438465058546266707478829098941021061141181101221261301341381421461501541581621661701741781821861901941982022062102144101418[Durée (100)],Horodateur1123353819223134374346495255586164698522263438465058546266707478829098941021061141181101221261301341381421461501541581621661701741781821861901941982022062102144101418[Tâche],Taches_Jours122436391720293235414447505356596267832024323644485652606468727680889692100104112116108120124128132136140144148152156160164168172176180184188192196200204208212261216[[#Headers],[PS]],Horodateur1123353819223134374346495255586164698522263438465058546266707478829098941021061141181101221261301341381421461501541581621661701741781821861901941982022062102144101418[Jour],Taches_Jours122436391720293235414447505356596267832024323644485652606468727680889692100104112116108120124128132136140144148152156160164168172176180184188192196200204208212261216[[#This Row],[Jours]])</f>
        <v>0</v>
      </c>
      <c r="F49" s="71" t="n">
        <f aca="false">SUMIFS(Horodateur1123353819223134374346495255586164698522263438465058546266707478829098941021061141181101221261301341381421461501541581621661701741781821861901941982022062102144101418[Durée (100)],Horodateur1123353819223134374346495255586164698522263438465058546266707478829098941021061141181101221261301341381421461501541581621661701741781821861901941982022062102144101418[Tâche],Taches_Jours122436391720293235414447505356596267832024323644485652606468727680889692100104112116108120124128132136140144148152156160164168172176180184188192196200204208212261216[[#Headers],[TD]],Horodateur1123353819223134374346495255586164698522263438465058546266707478829098941021061141181101221261301341381421461501541581621661701741781821861901941982022062102144101418[Jour],Taches_Jours122436391720293235414447505356596267832024323644485652606468727680889692100104112116108120124128132136140144148152156160164168172176180184188192196200204208212261216[[#This Row],[Jours]])</f>
        <v>0</v>
      </c>
      <c r="G49" s="71" t="n">
        <f aca="false">SUMIFS(Horodateur1123353819223134374346495255586164698522263438465058546266707478829098941021061141181101221261301341381421461501541581621661701741781821861901941982022062102144101418[Durée (100)],Horodateur1123353819223134374346495255586164698522263438465058546266707478829098941021061141181101221261301341381421461501541581621661701741781821861901941982022062102144101418[Tâche],Taches_Jours122436391720293235414447505356596267832024323644485652606468727680889692100104112116108120124128132136140144148152156160164168172176180184188192196200204208212261216[[#Headers],[GP]],Horodateur1123353819223134374346495255586164698522263438465058546266707478829098941021061141181101221261301341381421461501541581621661701741781821861901941982022062102144101418[Jour],Taches_Jours122436391720293235414447505356596267832024323644485652606468727680889692100104112116108120124128132136140144148152156160164168172176180184188192196200204208212261216[[#This Row],[Jours]])</f>
        <v>3.75</v>
      </c>
      <c r="H49" s="71" t="n">
        <f aca="false">SUMIFS(Horodateur1123353819223134374346495255586164698522263438465058546266707478829098941021061141181101221261301341381421461501541581621661701741781821861901941982022062102144101418[Durée (100)],Horodateur1123353819223134374346495255586164698522263438465058546266707478829098941021061141181101221261301341381421461501541581621661701741781821861901941982022062102144101418[Tâche],Taches_Jours122436391720293235414447505356596267832024323644485652606468727680889692100104112116108120124128132136140144148152156160164168172176180184188192196200204208212261216[[#Headers],[GP / SP]],Horodateur1123353819223134374346495255586164698522263438465058546266707478829098941021061141181101221261301341381421461501541581621661701741781821861901941982022062102144101418[Jour],Taches_Jours122436391720293235414447505356596267832024323644485652606468727680889692100104112116108120124128132136140144148152156160164168172176180184188192196200204208212261216[[#This Row],[Jours]])</f>
        <v>2.5</v>
      </c>
      <c r="I49" s="71" t="n">
        <f aca="false">SUMIFS(Horodateur1123353819223134374346495255586164698522263438465058546266707478829098941021061141181101221261301341381421461501541581621661701741781821861901941982022062102144101418[Durée (100)],Horodateur1123353819223134374346495255586164698522263438465058546266707478829098941021061141181101221261301341381421461501541581621661701741781821861901941982022062102144101418[Tâche],Taches_Jours122436391720293235414447505356596267832024323644485652606468727680889692100104112116108120124128132136140144148152156160164168172176180184188192196200204208212261216[[#Headers],[GP / SP]],Horodateur1123353819223134374346495255586164698522263438465058546266707478829098941021061141181101221261301341381421461501541581621661701741781821861901941982022062102144101418[Jour],Taches_Jours122436391720293235414447505356596267832024323644485652606468727680889692100104112116108120124128132136140144148152156160164168172176180184188192196200204208212261216[[#This Row],[Jours]])</f>
        <v>2.5</v>
      </c>
      <c r="J49" s="290" t="n">
        <f aca="false">SUM(Taches_Jours122436391720293235414447505356596267832024323644485652606468727680889692100104112116108120124128132136140144148152156160164168172176180184188192196200204208212261216[[#This Row],[GB]:[GP / SP]])</f>
        <v>8</v>
      </c>
      <c r="K49" s="188"/>
      <c r="L49" s="288"/>
      <c r="M49" s="289"/>
      <c r="N49" s="187"/>
      <c r="O49" s="1"/>
      <c r="P49" s="1"/>
      <c r="Q49" s="1"/>
      <c r="R49" s="1"/>
      <c r="S49" s="1"/>
      <c r="T49" s="71"/>
      <c r="U49" s="71"/>
      <c r="V49" s="71"/>
      <c r="W49" s="71"/>
      <c r="X49" s="71"/>
      <c r="Y49" s="71"/>
      <c r="Z49" s="71"/>
      <c r="AA49" s="71"/>
      <c r="AB49" s="71"/>
      <c r="AC49" s="71"/>
      <c r="AD49" s="71"/>
      <c r="AE49" s="71"/>
      <c r="AF49" s="71"/>
    </row>
    <row r="50" customFormat="false" ht="15" hidden="true" customHeight="false" outlineLevel="1" collapsed="false">
      <c r="A50" s="187" t="s">
        <v>332</v>
      </c>
      <c r="B50" s="71" t="n">
        <f aca="false">SUMIFS(Horodateur1123353819223134374346495255586164698522263438465058546266707478829098941021061141181101221261301341381421461501541581621661701741781821861901941982022062102144101418[Durée (100)],Horodateur1123353819223134374346495255586164698522263438465058546266707478829098941021061141181101221261301341381421461501541581621661701741781821861901941982022062102144101418[Tâche],Taches_Jours122436391720293235414447505356596267832024323644485652606468727680889692100104112116108120124128132136140144148152156160164168172176180184188192196200204208212261216[[#Headers],[GB]],Horodateur1123353819223134374346495255586164698522263438465058546266707478829098941021061141181101221261301341381421461501541581621661701741781821861901941982022062102144101418[Jour],Taches_Jours122436391720293235414447505356596267832024323644485652606468727680889692100104112116108120124128132136140144148152156160164168172176180184188192196200204208212261216[[#This Row],[Jours]])</f>
        <v>0</v>
      </c>
      <c r="C50" s="71" t="n">
        <f aca="false">SUMIFS(Horodateur1123353819223134374346495255586164698522263438465058546266707478829098941021061141181101221261301341381421461501541581621661701741781821861901941982022062102144101418[Durée (100)],Horodateur1123353819223134374346495255586164698522263438465058546266707478829098941021061141181101221261301341381421461501541581621661701741781821861901941982022062102144101418[Tâche],Taches_Jours122436391720293235414447505356596267832024323644485652606468727680889692100104112116108120124128132136140144148152156160164168172176180184188192196200204208212261216[[#Headers],[RI]],Horodateur1123353819223134374346495255586164698522263438465058546266707478829098941021061141181101221261301341381421461501541581621661701741781821861901941982022062102144101418[Jour],Taches_Jours122436391720293235414447505356596267832024323644485652606468727680889692100104112116108120124128132136140144148152156160164168172176180184188192196200204208212261216[[#This Row],[Jours]])</f>
        <v>0</v>
      </c>
      <c r="D50" s="71" t="n">
        <f aca="false">SUMIFS(Horodateur1123353819223134374346495255586164698522263438465058546266707478829098941021061141181101221261301341381421461501541581621661701741781821861901941982022062102144101418[Durée (100)],Horodateur1123353819223134374346495255586164698522263438465058546266707478829098941021061141181101221261301341381421461501541581621661701741781821861901941982022062102144101418[Tâche],Taches_Jours122436391720293235414447505356596267832024323644485652606468727680889692100104112116108120124128132136140144148152156160164168172176180184188192196200204208212261216[[#Headers],[FG]],Horodateur1123353819223134374346495255586164698522263438465058546266707478829098941021061141181101221261301341381421461501541581621661701741781821861901941982022062102144101418[Jour],Taches_Jours122436391720293235414447505356596267832024323644485652606468727680889692100104112116108120124128132136140144148152156160164168172176180184188192196200204208212261216[[#This Row],[Jours]])</f>
        <v>0</v>
      </c>
      <c r="E50" s="71" t="n">
        <f aca="false">SUMIFS(Horodateur1123353819223134374346495255586164698522263438465058546266707478829098941021061141181101221261301341381421461501541581621661701741781821861901941982022062102144101418[Durée (100)],Horodateur1123353819223134374346495255586164698522263438465058546266707478829098941021061141181101221261301341381421461501541581621661701741781821861901941982022062102144101418[Tâche],Taches_Jours122436391720293235414447505356596267832024323644485652606468727680889692100104112116108120124128132136140144148152156160164168172176180184188192196200204208212261216[[#Headers],[PS]],Horodateur1123353819223134374346495255586164698522263438465058546266707478829098941021061141181101221261301341381421461501541581621661701741781821861901941982022062102144101418[Jour],Taches_Jours122436391720293235414447505356596267832024323644485652606468727680889692100104112116108120124128132136140144148152156160164168172176180184188192196200204208212261216[[#This Row],[Jours]])</f>
        <v>0</v>
      </c>
      <c r="F50" s="71" t="n">
        <f aca="false">SUMIFS(Horodateur1123353819223134374346495255586164698522263438465058546266707478829098941021061141181101221261301341381421461501541581621661701741781821861901941982022062102144101418[Durée (100)],Horodateur1123353819223134374346495255586164698522263438465058546266707478829098941021061141181101221261301341381421461501541581621661701741781821861901941982022062102144101418[Tâche],Taches_Jours122436391720293235414447505356596267832024323644485652606468727680889692100104112116108120124128132136140144148152156160164168172176180184188192196200204208212261216[[#Headers],[TD]],Horodateur1123353819223134374346495255586164698522263438465058546266707478829098941021061141181101221261301341381421461501541581621661701741781821861901941982022062102144101418[Jour],Taches_Jours122436391720293235414447505356596267832024323644485652606468727680889692100104112116108120124128132136140144148152156160164168172176180184188192196200204208212261216[[#This Row],[Jours]])</f>
        <v>0</v>
      </c>
      <c r="G50" s="71" t="n">
        <f aca="false">SUMIFS(Horodateur1123353819223134374346495255586164698522263438465058546266707478829098941021061141181101221261301341381421461501541581621661701741781821861901941982022062102144101418[Durée (100)],Horodateur1123353819223134374346495255586164698522263438465058546266707478829098941021061141181101221261301341381421461501541581621661701741781821861901941982022062102144101418[Tâche],Taches_Jours122436391720293235414447505356596267832024323644485652606468727680889692100104112116108120124128132136140144148152156160164168172176180184188192196200204208212261216[[#Headers],[GP]],Horodateur1123353819223134374346495255586164698522263438465058546266707478829098941021061141181101221261301341381421461501541581621661701741781821861901941982022062102144101418[Jour],Taches_Jours122436391720293235414447505356596267832024323644485652606468727680889692100104112116108120124128132136140144148152156160164168172176180184188192196200204208212261216[[#This Row],[Jours]])</f>
        <v>7.75</v>
      </c>
      <c r="H50" s="71" t="n">
        <f aca="false">SUMIFS(Horodateur1123353819223134374346495255586164698522263438465058546266707478829098941021061141181101221261301341381421461501541581621661701741781821861901941982022062102144101418[Durée (100)],Horodateur1123353819223134374346495255586164698522263438465058546266707478829098941021061141181101221261301341381421461501541581621661701741781821861901941982022062102144101418[Tâche],Taches_Jours122436391720293235414447505356596267832024323644485652606468727680889692100104112116108120124128132136140144148152156160164168172176180184188192196200204208212261216[[#Headers],[GP / SP]],Horodateur1123353819223134374346495255586164698522263438465058546266707478829098941021061141181101221261301341381421461501541581621661701741781821861901941982022062102144101418[Jour],Taches_Jours122436391720293235414447505356596267832024323644485652606468727680889692100104112116108120124128132136140144148152156160164168172176180184188192196200204208212261216[[#This Row],[Jours]])</f>
        <v>0</v>
      </c>
      <c r="I50" s="71" t="n">
        <f aca="false">SUMIFS(Horodateur1123353819223134374346495255586164698522263438465058546266707478829098941021061141181101221261301341381421461501541581621661701741781821861901941982022062102144101418[Durée (100)],Horodateur1123353819223134374346495255586164698522263438465058546266707478829098941021061141181101221261301341381421461501541581621661701741781821861901941982022062102144101418[Tâche],Taches_Jours122436391720293235414447505356596267832024323644485652606468727680889692100104112116108120124128132136140144148152156160164168172176180184188192196200204208212261216[[#Headers],[GP / SP]],Horodateur1123353819223134374346495255586164698522263438465058546266707478829098941021061141181101221261301341381421461501541581621661701741781821861901941982022062102144101418[Jour],Taches_Jours122436391720293235414447505356596267832024323644485652606468727680889692100104112116108120124128132136140144148152156160164168172176180184188192196200204208212261216[[#This Row],[Jours]])</f>
        <v>0</v>
      </c>
      <c r="J50" s="290" t="n">
        <f aca="false">SUM(Taches_Jours122436391720293235414447505356596267832024323644485652606468727680889692100104112116108120124128132136140144148152156160164168172176180184188192196200204208212261216[[#This Row],[GB]:[GP / SP]])</f>
        <v>7.75</v>
      </c>
      <c r="K50" s="188"/>
      <c r="L50" s="288"/>
      <c r="M50" s="289"/>
      <c r="N50" s="187"/>
      <c r="O50" s="71"/>
      <c r="P50" s="71"/>
      <c r="Q50" s="71"/>
      <c r="R50" s="71"/>
      <c r="S50" s="71"/>
      <c r="T50" s="71"/>
      <c r="U50" s="71"/>
      <c r="V50" s="71"/>
      <c r="W50" s="71"/>
      <c r="X50" s="71"/>
      <c r="Y50" s="71"/>
      <c r="Z50" s="71"/>
      <c r="AA50" s="71"/>
      <c r="AB50" s="71"/>
      <c r="AC50" s="71"/>
      <c r="AD50" s="71"/>
      <c r="AE50" s="71"/>
      <c r="AF50" s="71"/>
    </row>
    <row r="51" customFormat="false" ht="15" hidden="true" customHeight="false" outlineLevel="1" collapsed="false">
      <c r="A51" s="187" t="s">
        <v>335</v>
      </c>
      <c r="B51" s="71" t="n">
        <f aca="false">SUMIFS(Horodateur1123353819223134374346495255586164698522263438465058546266707478829098941021061141181101221261301341381421461501541581621661701741781821861901941982022062102144101418[Durée (100)],Horodateur1123353819223134374346495255586164698522263438465058546266707478829098941021061141181101221261301341381421461501541581621661701741781821861901941982022062102144101418[Tâche],Taches_Jours122436391720293235414447505356596267832024323644485652606468727680889692100104112116108120124128132136140144148152156160164168172176180184188192196200204208212261216[[#Headers],[GB]],Horodateur1123353819223134374346495255586164698522263438465058546266707478829098941021061141181101221261301341381421461501541581621661701741781821861901941982022062102144101418[Jour],Taches_Jours122436391720293235414447505356596267832024323644485652606468727680889692100104112116108120124128132136140144148152156160164168172176180184188192196200204208212261216[[#This Row],[Jours]])</f>
        <v>1.5</v>
      </c>
      <c r="C51" s="71" t="n">
        <f aca="false">SUMIFS(Horodateur1123353819223134374346495255586164698522263438465058546266707478829098941021061141181101221261301341381421461501541581621661701741781821861901941982022062102144101418[Durée (100)],Horodateur1123353819223134374346495255586164698522263438465058546266707478829098941021061141181101221261301341381421461501541581621661701741781821861901941982022062102144101418[Tâche],Taches_Jours122436391720293235414447505356596267832024323644485652606468727680889692100104112116108120124128132136140144148152156160164168172176180184188192196200204208212261216[[#Headers],[RI]],Horodateur1123353819223134374346495255586164698522263438465058546266707478829098941021061141181101221261301341381421461501541581621661701741781821861901941982022062102144101418[Jour],Taches_Jours122436391720293235414447505356596267832024323644485652606468727680889692100104112116108120124128132136140144148152156160164168172176180184188192196200204208212261216[[#This Row],[Jours]])</f>
        <v>0</v>
      </c>
      <c r="D51" s="71" t="n">
        <f aca="false">SUMIFS(Horodateur1123353819223134374346495255586164698522263438465058546266707478829098941021061141181101221261301341381421461501541581621661701741781821861901941982022062102144101418[Durée (100)],Horodateur1123353819223134374346495255586164698522263438465058546266707478829098941021061141181101221261301341381421461501541581621661701741781821861901941982022062102144101418[Tâche],Taches_Jours122436391720293235414447505356596267832024323644485652606468727680889692100104112116108120124128132136140144148152156160164168172176180184188192196200204208212261216[[#Headers],[FG]],Horodateur1123353819223134374346495255586164698522263438465058546266707478829098941021061141181101221261301341381421461501541581621661701741781821861901941982022062102144101418[Jour],Taches_Jours122436391720293235414447505356596267832024323644485652606468727680889692100104112116108120124128132136140144148152156160164168172176180184188192196200204208212261216[[#This Row],[Jours]])</f>
        <v>3</v>
      </c>
      <c r="E51" s="71" t="n">
        <f aca="false">SUMIFS(Horodateur1123353819223134374346495255586164698522263438465058546266707478829098941021061141181101221261301341381421461501541581621661701741781821861901941982022062102144101418[Durée (100)],Horodateur1123353819223134374346495255586164698522263438465058546266707478829098941021061141181101221261301341381421461501541581621661701741781821861901941982022062102144101418[Tâche],Taches_Jours122436391720293235414447505356596267832024323644485652606468727680889692100104112116108120124128132136140144148152156160164168172176180184188192196200204208212261216[[#Headers],[PS]],Horodateur1123353819223134374346495255586164698522263438465058546266707478829098941021061141181101221261301341381421461501541581621661701741781821861901941982022062102144101418[Jour],Taches_Jours122436391720293235414447505356596267832024323644485652606468727680889692100104112116108120124128132136140144148152156160164168172176180184188192196200204208212261216[[#This Row],[Jours]])</f>
        <v>0</v>
      </c>
      <c r="F51" s="71" t="n">
        <f aca="false">SUMIFS(Horodateur1123353819223134374346495255586164698522263438465058546266707478829098941021061141181101221261301341381421461501541581621661701741781821861901941982022062102144101418[Durée (100)],Horodateur1123353819223134374346495255586164698522263438465058546266707478829098941021061141181101221261301341381421461501541581621661701741781821861901941982022062102144101418[Tâche],Taches_Jours122436391720293235414447505356596267832024323644485652606468727680889692100104112116108120124128132136140144148152156160164168172176180184188192196200204208212261216[[#Headers],[TD]],Horodateur1123353819223134374346495255586164698522263438465058546266707478829098941021061141181101221261301341381421461501541581621661701741781821861901941982022062102144101418[Jour],Taches_Jours122436391720293235414447505356596267832024323644485652606468727680889692100104112116108120124128132136140144148152156160164168172176180184188192196200204208212261216[[#This Row],[Jours]])</f>
        <v>0</v>
      </c>
      <c r="G51" s="71" t="n">
        <f aca="false">SUMIFS(Horodateur1123353819223134374346495255586164698522263438465058546266707478829098941021061141181101221261301341381421461501541581621661701741781821861901941982022062102144101418[Durée (100)],Horodateur1123353819223134374346495255586164698522263438465058546266707478829098941021061141181101221261301341381421461501541581621661701741781821861901941982022062102144101418[Tâche],Taches_Jours122436391720293235414447505356596267832024323644485652606468727680889692100104112116108120124128132136140144148152156160164168172176180184188192196200204208212261216[[#Headers],[GP]],Horodateur1123353819223134374346495255586164698522263438465058546266707478829098941021061141181101221261301341381421461501541581621661701741781821861901941982022062102144101418[Jour],Taches_Jours122436391720293235414447505356596267832024323644485652606468727680889692100104112116108120124128132136140144148152156160164168172176180184188192196200204208212261216[[#This Row],[Jours]])</f>
        <v>2.5</v>
      </c>
      <c r="H51" s="71" t="n">
        <f aca="false">SUMIFS(Horodateur1123353819223134374346495255586164698522263438465058546266707478829098941021061141181101221261301341381421461501541581621661701741781821861901941982022062102144101418[Durée (100)],Horodateur1123353819223134374346495255586164698522263438465058546266707478829098941021061141181101221261301341381421461501541581621661701741781821861901941982022062102144101418[Tâche],Taches_Jours122436391720293235414447505356596267832024323644485652606468727680889692100104112116108120124128132136140144148152156160164168172176180184188192196200204208212261216[[#Headers],[GP / SP]],Horodateur1123353819223134374346495255586164698522263438465058546266707478829098941021061141181101221261301341381421461501541581621661701741781821861901941982022062102144101418[Jour],Taches_Jours122436391720293235414447505356596267832024323644485652606468727680889692100104112116108120124128132136140144148152156160164168172176180184188192196200204208212261216[[#This Row],[Jours]])</f>
        <v>0</v>
      </c>
      <c r="I51" s="71" t="n">
        <f aca="false">SUMIFS(Horodateur1123353819223134374346495255586164698522263438465058546266707478829098941021061141181101221261301341381421461501541581621661701741781821861901941982022062102144101418[Durée (100)],Horodateur1123353819223134374346495255586164698522263438465058546266707478829098941021061141181101221261301341381421461501541581621661701741781821861901941982022062102144101418[Tâche],Taches_Jours122436391720293235414447505356596267832024323644485652606468727680889692100104112116108120124128132136140144148152156160164168172176180184188192196200204208212261216[[#Headers],[GP / SP]],Horodateur1123353819223134374346495255586164698522263438465058546266707478829098941021061141181101221261301341381421461501541581621661701741781821861901941982022062102144101418[Jour],Taches_Jours122436391720293235414447505356596267832024323644485652606468727680889692100104112116108120124128132136140144148152156160164168172176180184188192196200204208212261216[[#This Row],[Jours]])</f>
        <v>0</v>
      </c>
      <c r="J51" s="290" t="n">
        <f aca="false">SUM(Taches_Jours122436391720293235414447505356596267832024323644485652606468727680889692100104112116108120124128132136140144148152156160164168172176180184188192196200204208212261216[[#This Row],[GB]:[GP / SP]])</f>
        <v>7</v>
      </c>
      <c r="K51" s="188"/>
      <c r="L51" s="288"/>
      <c r="M51" s="289"/>
      <c r="N51" s="187"/>
      <c r="O51" s="1"/>
      <c r="P51" s="1"/>
      <c r="Q51" s="1"/>
      <c r="R51" s="1"/>
      <c r="S51" s="1"/>
      <c r="T51" s="71"/>
      <c r="U51" s="71"/>
      <c r="V51" s="71"/>
      <c r="W51" s="71"/>
      <c r="X51" s="71"/>
      <c r="Y51" s="71"/>
      <c r="Z51" s="71"/>
      <c r="AA51" s="71"/>
      <c r="AB51" s="71"/>
      <c r="AC51" s="71"/>
      <c r="AD51" s="71"/>
      <c r="AE51" s="71"/>
      <c r="AF51" s="71"/>
    </row>
    <row r="52" customFormat="false" ht="15" hidden="true" customHeight="false" outlineLevel="1" collapsed="false">
      <c r="A52" s="187" t="s">
        <v>341</v>
      </c>
      <c r="B52" s="71" t="n">
        <f aca="false">SUMIFS(Horodateur1123353819223134374346495255586164698522263438465058546266707478829098941021061141181101221261301341381421461501541581621661701741781821861901941982022062102144101418[Durée (100)],Horodateur1123353819223134374346495255586164698522263438465058546266707478829098941021061141181101221261301341381421461501541581621661701741781821861901941982022062102144101418[Tâche],Taches_Jours122436391720293235414447505356596267832024323644485652606468727680889692100104112116108120124128132136140144148152156160164168172176180184188192196200204208212261216[[#Headers],[GB]],Horodateur1123353819223134374346495255586164698522263438465058546266707478829098941021061141181101221261301341381421461501541581621661701741781821861901941982022062102144101418[Jour],Taches_Jours122436391720293235414447505356596267832024323644485652606468727680889692100104112116108120124128132136140144148152156160164168172176180184188192196200204208212261216[[#This Row],[Jours]])</f>
        <v>0</v>
      </c>
      <c r="C52" s="71" t="n">
        <f aca="false">SUMIFS(Horodateur1123353819223134374346495255586164698522263438465058546266707478829098941021061141181101221261301341381421461501541581621661701741781821861901941982022062102144101418[Durée (100)],Horodateur1123353819223134374346495255586164698522263438465058546266707478829098941021061141181101221261301341381421461501541581621661701741781821861901941982022062102144101418[Tâche],Taches_Jours122436391720293235414447505356596267832024323644485652606468727680889692100104112116108120124128132136140144148152156160164168172176180184188192196200204208212261216[[#Headers],[RI]],Horodateur1123353819223134374346495255586164698522263438465058546266707478829098941021061141181101221261301341381421461501541581621661701741781821861901941982022062102144101418[Jour],Taches_Jours122436391720293235414447505356596267832024323644485652606468727680889692100104112116108120124128132136140144148152156160164168172176180184188192196200204208212261216[[#This Row],[Jours]])</f>
        <v>0</v>
      </c>
      <c r="D52" s="71" t="n">
        <f aca="false">SUMIFS(Horodateur1123353819223134374346495255586164698522263438465058546266707478829098941021061141181101221261301341381421461501541581621661701741781821861901941982022062102144101418[Durée (100)],Horodateur1123353819223134374346495255586164698522263438465058546266707478829098941021061141181101221261301341381421461501541581621661701741781821861901941982022062102144101418[Tâche],Taches_Jours122436391720293235414447505356596267832024323644485652606468727680889692100104112116108120124128132136140144148152156160164168172176180184188192196200204208212261216[[#Headers],[FG]],Horodateur1123353819223134374346495255586164698522263438465058546266707478829098941021061141181101221261301341381421461501541581621661701741781821861901941982022062102144101418[Jour],Taches_Jours122436391720293235414447505356596267832024323644485652606468727680889692100104112116108120124128132136140144148152156160164168172176180184188192196200204208212261216[[#This Row],[Jours]])</f>
        <v>0</v>
      </c>
      <c r="E52" s="71" t="n">
        <f aca="false">SUMIFS(Horodateur1123353819223134374346495255586164698522263438465058546266707478829098941021061141181101221261301341381421461501541581621661701741781821861901941982022062102144101418[Durée (100)],Horodateur1123353819223134374346495255586164698522263438465058546266707478829098941021061141181101221261301341381421461501541581621661701741781821861901941982022062102144101418[Tâche],Taches_Jours122436391720293235414447505356596267832024323644485652606468727680889692100104112116108120124128132136140144148152156160164168172176180184188192196200204208212261216[[#Headers],[PS]],Horodateur1123353819223134374346495255586164698522263438465058546266707478829098941021061141181101221261301341381421461501541581621661701741781821861901941982022062102144101418[Jour],Taches_Jours122436391720293235414447505356596267832024323644485652606468727680889692100104112116108120124128132136140144148152156160164168172176180184188192196200204208212261216[[#This Row],[Jours]])</f>
        <v>0</v>
      </c>
      <c r="F52" s="71" t="n">
        <f aca="false">SUMIFS(Horodateur1123353819223134374346495255586164698522263438465058546266707478829098941021061141181101221261301341381421461501541581621661701741781821861901941982022062102144101418[Durée (100)],Horodateur1123353819223134374346495255586164698522263438465058546266707478829098941021061141181101221261301341381421461501541581621661701741781821861901941982022062102144101418[Tâche],Taches_Jours122436391720293235414447505356596267832024323644485652606468727680889692100104112116108120124128132136140144148152156160164168172176180184188192196200204208212261216[[#Headers],[TD]],Horodateur1123353819223134374346495255586164698522263438465058546266707478829098941021061141181101221261301341381421461501541581621661701741781821861901941982022062102144101418[Jour],Taches_Jours122436391720293235414447505356596267832024323644485652606468727680889692100104112116108120124128132136140144148152156160164168172176180184188192196200204208212261216[[#This Row],[Jours]])</f>
        <v>0</v>
      </c>
      <c r="G52" s="71" t="n">
        <f aca="false">SUMIFS(Horodateur1123353819223134374346495255586164698522263438465058546266707478829098941021061141181101221261301341381421461501541581621661701741781821861901941982022062102144101418[Durée (100)],Horodateur1123353819223134374346495255586164698522263438465058546266707478829098941021061141181101221261301341381421461501541581621661701741781821861901941982022062102144101418[Tâche],Taches_Jours122436391720293235414447505356596267832024323644485652606468727680889692100104112116108120124128132136140144148152156160164168172176180184188192196200204208212261216[[#Headers],[GP]],Horodateur1123353819223134374346495255586164698522263438465058546266707478829098941021061141181101221261301341381421461501541581621661701741781821861901941982022062102144101418[Jour],Taches_Jours122436391720293235414447505356596267832024323644485652606468727680889692100104112116108120124128132136140144148152156160164168172176180184188192196200204208212261216[[#This Row],[Jours]])</f>
        <v>0</v>
      </c>
      <c r="H52" s="71" t="n">
        <f aca="false">SUMIFS(Horodateur1123353819223134374346495255586164698522263438465058546266707478829098941021061141181101221261301341381421461501541581621661701741781821861901941982022062102144101418[Durée (100)],Horodateur1123353819223134374346495255586164698522263438465058546266707478829098941021061141181101221261301341381421461501541581621661701741781821861901941982022062102144101418[Tâche],Taches_Jours122436391720293235414447505356596267832024323644485652606468727680889692100104112116108120124128132136140144148152156160164168172176180184188192196200204208212261216[[#Headers],[GP / SP]],Horodateur1123353819223134374346495255586164698522263438465058546266707478829098941021061141181101221261301341381421461501541581621661701741781821861901941982022062102144101418[Jour],Taches_Jours122436391720293235414447505356596267832024323644485652606468727680889692100104112116108120124128132136140144148152156160164168172176180184188192196200204208212261216[[#This Row],[Jours]])</f>
        <v>0</v>
      </c>
      <c r="I52" s="290" t="n">
        <f aca="false">SUMIFS(Horodateur1123353819223134374346495255586164698522263438465058546266707478829098941021061141181101221261301341381421461501541581621661701741781821861901941982022062102144101418[Durée (100)],Horodateur1123353819223134374346495255586164698522263438465058546266707478829098941021061141181101221261301341381421461501541581621661701741781821861901941982022062102144101418[Tâche],Taches_Jours122436391720293235414447505356596267832024323644485652606468727680889692100104112116108120124128132136140144148152156160164168172176180184188192196200204208212261216[[#Headers],[GP / SP]],Horodateur1123353819223134374346495255586164698522263438465058546266707478829098941021061141181101221261301341381421461501541581621661701741781821861901941982022062102144101418[Jour],Taches_Jours122436391720293235414447505356596267832024323644485652606468727680889692100104112116108120124128132136140144148152156160164168172176180184188192196200204208212261216[[#This Row],[Jours]])</f>
        <v>0</v>
      </c>
      <c r="J52" s="71" t="n">
        <f aca="false">SUM(Taches_Jours122436391720293235414447505356596267832024323644485652606468727680889692100104112116108120124128132136140144148152156160164168172176180184188192196200204208212261216[[#This Row],[GB]:[GP / SP]])</f>
        <v>0</v>
      </c>
      <c r="K52" s="188"/>
      <c r="L52" s="288"/>
      <c r="M52" s="289"/>
      <c r="N52" s="187"/>
      <c r="O52" s="1"/>
      <c r="P52" s="1"/>
      <c r="Q52" s="1"/>
      <c r="R52" s="1"/>
      <c r="S52" s="1"/>
      <c r="T52" s="71"/>
      <c r="U52" s="71"/>
      <c r="V52" s="71"/>
      <c r="W52" s="71"/>
      <c r="X52" s="71"/>
      <c r="Y52" s="71"/>
      <c r="Z52" s="71"/>
      <c r="AA52" s="71"/>
      <c r="AB52" s="71"/>
      <c r="AC52" s="71"/>
      <c r="AD52" s="71"/>
      <c r="AE52" s="71"/>
      <c r="AF52" s="71"/>
    </row>
    <row r="53" customFormat="false" ht="15" hidden="true" customHeight="false" outlineLevel="1" collapsed="false">
      <c r="A53" s="187" t="s">
        <v>381</v>
      </c>
      <c r="B53" s="71" t="n">
        <f aca="false">SUMIFS(Horodateur1123353819223134374346495255586164698522263438465058546266707478829098941021061141181101221261301341381421461501541581621661701741781821861901941982022062102144101418[Durée (100)],Horodateur1123353819223134374346495255586164698522263438465058546266707478829098941021061141181101221261301341381421461501541581621661701741781821861901941982022062102144101418[Tâche],Taches_Jours122436391720293235414447505356596267832024323644485652606468727680889692100104112116108120124128132136140144148152156160164168172176180184188192196200204208212261216[[#Headers],[GB]],Horodateur1123353819223134374346495255586164698522263438465058546266707478829098941021061141181101221261301341381421461501541581621661701741781821861901941982022062102144101418[Jour],Taches_Jours122436391720293235414447505356596267832024323644485652606468727680889692100104112116108120124128132136140144148152156160164168172176180184188192196200204208212261216[[#This Row],[Jours]])</f>
        <v>0</v>
      </c>
      <c r="C53" s="71" t="n">
        <f aca="false">SUMIFS(Horodateur1123353819223134374346495255586164698522263438465058546266707478829098941021061141181101221261301341381421461501541581621661701741781821861901941982022062102144101418[Durée (100)],Horodateur1123353819223134374346495255586164698522263438465058546266707478829098941021061141181101221261301341381421461501541581621661701741781821861901941982022062102144101418[Tâche],Taches_Jours122436391720293235414447505356596267832024323644485652606468727680889692100104112116108120124128132136140144148152156160164168172176180184188192196200204208212261216[[#Headers],[RI]],Horodateur1123353819223134374346495255586164698522263438465058546266707478829098941021061141181101221261301341381421461501541581621661701741781821861901941982022062102144101418[Jour],Taches_Jours122436391720293235414447505356596267832024323644485652606468727680889692100104112116108120124128132136140144148152156160164168172176180184188192196200204208212261216[[#This Row],[Jours]])</f>
        <v>0</v>
      </c>
      <c r="D53" s="71" t="n">
        <f aca="false">SUMIFS(Horodateur1123353819223134374346495255586164698522263438465058546266707478829098941021061141181101221261301341381421461501541581621661701741781821861901941982022062102144101418[Durée (100)],Horodateur1123353819223134374346495255586164698522263438465058546266707478829098941021061141181101221261301341381421461501541581621661701741781821861901941982022062102144101418[Tâche],Taches_Jours122436391720293235414447505356596267832024323644485652606468727680889692100104112116108120124128132136140144148152156160164168172176180184188192196200204208212261216[[#Headers],[FG]],Horodateur1123353819223134374346495255586164698522263438465058546266707478829098941021061141181101221261301341381421461501541581621661701741781821861901941982022062102144101418[Jour],Taches_Jours122436391720293235414447505356596267832024323644485652606468727680889692100104112116108120124128132136140144148152156160164168172176180184188192196200204208212261216[[#This Row],[Jours]])</f>
        <v>0</v>
      </c>
      <c r="E53" s="71" t="n">
        <f aca="false">SUMIFS(Horodateur1123353819223134374346495255586164698522263438465058546266707478829098941021061141181101221261301341381421461501541581621661701741781821861901941982022062102144101418[Durée (100)],Horodateur1123353819223134374346495255586164698522263438465058546266707478829098941021061141181101221261301341381421461501541581621661701741781821861901941982022062102144101418[Tâche],Taches_Jours122436391720293235414447505356596267832024323644485652606468727680889692100104112116108120124128132136140144148152156160164168172176180184188192196200204208212261216[[#Headers],[PS]],Horodateur1123353819223134374346495255586164698522263438465058546266707478829098941021061141181101221261301341381421461501541581621661701741781821861901941982022062102144101418[Jour],Taches_Jours122436391720293235414447505356596267832024323644485652606468727680889692100104112116108120124128132136140144148152156160164168172176180184188192196200204208212261216[[#This Row],[Jours]])</f>
        <v>0</v>
      </c>
      <c r="F53" s="71" t="n">
        <f aca="false">SUMIFS(Horodateur1123353819223134374346495255586164698522263438465058546266707478829098941021061141181101221261301341381421461501541581621661701741781821861901941982022062102144101418[Durée (100)],Horodateur1123353819223134374346495255586164698522263438465058546266707478829098941021061141181101221261301341381421461501541581621661701741781821861901941982022062102144101418[Tâche],Taches_Jours122436391720293235414447505356596267832024323644485652606468727680889692100104112116108120124128132136140144148152156160164168172176180184188192196200204208212261216[[#Headers],[TD]],Horodateur1123353819223134374346495255586164698522263438465058546266707478829098941021061141181101221261301341381421461501541581621661701741781821861901941982022062102144101418[Jour],Taches_Jours122436391720293235414447505356596267832024323644485652606468727680889692100104112116108120124128132136140144148152156160164168172176180184188192196200204208212261216[[#This Row],[Jours]])</f>
        <v>0</v>
      </c>
      <c r="G53" s="71" t="n">
        <f aca="false">SUMIFS(Horodateur1123353819223134374346495255586164698522263438465058546266707478829098941021061141181101221261301341381421461501541581621661701741781821861901941982022062102144101418[Durée (100)],Horodateur1123353819223134374346495255586164698522263438465058546266707478829098941021061141181101221261301341381421461501541581621661701741781821861901941982022062102144101418[Tâche],Taches_Jours122436391720293235414447505356596267832024323644485652606468727680889692100104112116108120124128132136140144148152156160164168172176180184188192196200204208212261216[[#Headers],[GP]],Horodateur1123353819223134374346495255586164698522263438465058546266707478829098941021061141181101221261301341381421461501541581621661701741781821861901941982022062102144101418[Jour],Taches_Jours122436391720293235414447505356596267832024323644485652606468727680889692100104112116108120124128132136140144148152156160164168172176180184188192196200204208212261216[[#This Row],[Jours]])</f>
        <v>0</v>
      </c>
      <c r="H53" s="71" t="n">
        <f aca="false">SUMIFS(Horodateur1123353819223134374346495255586164698522263438465058546266707478829098941021061141181101221261301341381421461501541581621661701741781821861901941982022062102144101418[Durée (100)],Horodateur1123353819223134374346495255586164698522263438465058546266707478829098941021061141181101221261301341381421461501541581621661701741781821861901941982022062102144101418[Tâche],Taches_Jours122436391720293235414447505356596267832024323644485652606468727680889692100104112116108120124128132136140144148152156160164168172176180184188192196200204208212261216[[#Headers],[GP / SP]],Horodateur1123353819223134374346495255586164698522263438465058546266707478829098941021061141181101221261301341381421461501541581621661701741781821861901941982022062102144101418[Jour],Taches_Jours122436391720293235414447505356596267832024323644485652606468727680889692100104112116108120124128132136140144148152156160164168172176180184188192196200204208212261216[[#This Row],[Jours]])</f>
        <v>0</v>
      </c>
      <c r="I53" s="290" t="n">
        <f aca="false">SUMIFS(Horodateur1123353819223134374346495255586164698522263438465058546266707478829098941021061141181101221261301341381421461501541581621661701741781821861901941982022062102144101418[Durée (100)],Horodateur1123353819223134374346495255586164698522263438465058546266707478829098941021061141181101221261301341381421461501541581621661701741781821861901941982022062102144101418[Tâche],Taches_Jours122436391720293235414447505356596267832024323644485652606468727680889692100104112116108120124128132136140144148152156160164168172176180184188192196200204208212261216[[#Headers],[GP / SP]],Horodateur1123353819223134374346495255586164698522263438465058546266707478829098941021061141181101221261301341381421461501541581621661701741781821861901941982022062102144101418[Jour],Taches_Jours122436391720293235414447505356596267832024323644485652606468727680889692100104112116108120124128132136140144148152156160164168172176180184188192196200204208212261216[[#This Row],[Jours]])</f>
        <v>0</v>
      </c>
      <c r="J53" s="71" t="n">
        <f aca="false">SUM(Taches_Jours122436391720293235414447505356596267832024323644485652606468727680889692100104112116108120124128132136140144148152156160164168172176180184188192196200204208212261216[[#This Row],[GB]:[GP / SP]])</f>
        <v>0</v>
      </c>
      <c r="K53" s="188"/>
      <c r="L53" s="288"/>
      <c r="M53" s="289"/>
      <c r="N53" s="187"/>
      <c r="O53" s="1"/>
      <c r="P53" s="1"/>
      <c r="Q53" s="1"/>
      <c r="R53" s="1"/>
      <c r="S53" s="1"/>
      <c r="T53" s="71"/>
      <c r="U53" s="71"/>
      <c r="V53" s="71"/>
      <c r="W53" s="71"/>
      <c r="X53" s="71"/>
      <c r="Y53" s="71"/>
      <c r="Z53" s="71"/>
      <c r="AA53" s="71"/>
      <c r="AB53" s="71"/>
      <c r="AC53" s="71"/>
      <c r="AD53" s="71"/>
      <c r="AE53" s="71"/>
      <c r="AF53" s="71"/>
    </row>
    <row r="54" customFormat="false" ht="15" hidden="true" customHeight="false" outlineLevel="1" collapsed="false">
      <c r="A54" s="137"/>
      <c r="B54" s="187"/>
      <c r="C54" s="71"/>
      <c r="D54" s="1"/>
      <c r="E54" s="1"/>
      <c r="F54" s="71"/>
      <c r="G54" s="1"/>
      <c r="H54" s="1"/>
      <c r="I54" s="119"/>
      <c r="J54" s="271"/>
      <c r="K54" s="1"/>
      <c r="L54" s="188"/>
      <c r="M54" s="272"/>
      <c r="N54" s="187"/>
      <c r="O54" s="1"/>
      <c r="P54" s="1"/>
      <c r="Q54" s="1"/>
      <c r="R54" s="1"/>
      <c r="S54" s="1"/>
      <c r="T54" s="1"/>
      <c r="U54" s="71"/>
      <c r="V54" s="71"/>
      <c r="W54" s="71"/>
      <c r="X54" s="71"/>
      <c r="Y54" s="71"/>
      <c r="Z54" s="71"/>
      <c r="AA54" s="71"/>
      <c r="AB54" s="71"/>
      <c r="AC54" s="71"/>
      <c r="AD54" s="71"/>
      <c r="AE54" s="71"/>
      <c r="AF54" s="71"/>
      <c r="AG54" s="71"/>
    </row>
    <row r="55" customFormat="false" ht="15" hidden="true" customHeight="false" outlineLevel="1" collapsed="false">
      <c r="A55" s="291" t="s">
        <v>85</v>
      </c>
      <c r="B55" s="292" t="s">
        <v>312</v>
      </c>
      <c r="C55" s="292" t="s">
        <v>319</v>
      </c>
      <c r="D55" s="292" t="s">
        <v>324</v>
      </c>
      <c r="E55" s="292" t="s">
        <v>332</v>
      </c>
      <c r="F55" s="293" t="s">
        <v>335</v>
      </c>
      <c r="G55" s="292" t="s">
        <v>341</v>
      </c>
      <c r="H55" s="292" t="s">
        <v>381</v>
      </c>
      <c r="I55" s="294" t="s">
        <v>58</v>
      </c>
      <c r="J55" s="271"/>
      <c r="K55" s="1"/>
      <c r="L55" s="188"/>
      <c r="M55" s="272"/>
      <c r="N55" s="187"/>
      <c r="O55" s="1"/>
      <c r="P55" s="1"/>
      <c r="Q55" s="1"/>
      <c r="R55" s="1"/>
      <c r="S55" s="1"/>
      <c r="T55" s="1"/>
      <c r="U55" s="71"/>
      <c r="V55" s="71"/>
      <c r="W55" s="71"/>
      <c r="X55" s="71"/>
      <c r="Y55" s="71"/>
      <c r="Z55" s="71"/>
      <c r="AA55" s="71"/>
      <c r="AB55" s="71"/>
      <c r="AC55" s="71"/>
      <c r="AD55" s="71"/>
      <c r="AE55" s="71"/>
      <c r="AF55" s="71"/>
      <c r="AG55" s="71"/>
    </row>
    <row r="56" customFormat="false" ht="15" hidden="true" customHeight="false" outlineLevel="1" collapsed="false">
      <c r="A56" s="137" t="s">
        <v>21</v>
      </c>
      <c r="B56" s="187" t="n">
        <f aca="false">SUMIFS(Horodateur1123353819223134374346495255586164698522263438465058546266707478829098941021061141181101221261301341381421461501541581621661701741781821861901941982022062102144101418[Durée (100)],Horodateur1123353819223134374346495255586164698522263438465058546266707478829098941021061141181101221261301341381421461501541581621661701741781821861901941982022062102144101418[Jour],$B$55,Horodateur1123353819223134374346495255586164698522263438465058546266707478829098941021061141181101221261301341381421461501541581621661701741781821861901941982022062102144101418[Tâche],$A56)</f>
        <v>1.75</v>
      </c>
      <c r="C56" s="187" t="n">
        <f aca="false">SUMIFS(Horodateur1123353819223134374346495255586164698522263438465058546266707478829098941021061141181101221261301341381421461501541581621661701741781821861901941982022062102144101418[Durée (100)],Horodateur1123353819223134374346495255586164698522263438465058546266707478829098941021061141181101221261301341381421461501541581621661701741781821861901941982022062102144101418[Jour],$C$55,Horodateur1123353819223134374346495255586164698522263438465058546266707478829098941021061141181101221261301341381421461501541581621661701741781821861901941982022062102144101418[Tâche],$A56)</f>
        <v>0</v>
      </c>
      <c r="D56" s="187" t="n">
        <f aca="false">SUMIFS(Horodateur1123353819223134374346495255586164698522263438465058546266707478829098941021061141181101221261301341381421461501541581621661701741781821861901941982022062102144101418[Durée (100)],Horodateur1123353819223134374346495255586164698522263438465058546266707478829098941021061141181101221261301341381421461501541581621661701741781821861901941982022062102144101418[Jour],$D$55,Horodateur1123353819223134374346495255586164698522263438465058546266707478829098941021061141181101221261301341381421461501541581621661701741781821861901941982022062102144101418[Tâche],$A56)</f>
        <v>0.249999999999999</v>
      </c>
      <c r="E56" s="187" t="n">
        <f aca="false">SUMIFS(Horodateur1123353819223134374346495255586164698522263438465058546266707478829098941021061141181101221261301341381421461501541581621661701741781821861901941982022062102144101418[Durée (100)],Horodateur1123353819223134374346495255586164698522263438465058546266707478829098941021061141181101221261301341381421461501541581621661701741781821861901941982022062102144101418[Jour],$E$55,Horodateur1123353819223134374346495255586164698522263438465058546266707478829098941021061141181101221261301341381421461501541581621661701741781821861901941982022062102144101418[Tâche],$A56)</f>
        <v>0</v>
      </c>
      <c r="F56" s="71" t="n">
        <f aca="false">SUMIFS(Horodateur1123353819223134374346495255586164698522263438465058546266707478829098941021061141181101221261301341381421461501541581621661701741781821861901941982022062102144101418[Durée (100)],Horodateur1123353819223134374346495255586164698522263438465058546266707478829098941021061141181101221261301341381421461501541581621661701741781821861901941982022062102144101418[Jour],$F$55,Horodateur1123353819223134374346495255586164698522263438465058546266707478829098941021061141181101221261301341381421461501541581621661701741781821861901941982022062102144101418[Tâche],$A56)</f>
        <v>1.5</v>
      </c>
      <c r="G56" s="187" t="n">
        <f aca="false">SUMIFS(Horodateur1123353819223134374346495255586164698522263438465058546266707478829098941021061141181101221261301341381421461501541581621661701741781821861901941982022062102144101418[Durée (100)],Horodateur1123353819223134374346495255586164698522263438465058546266707478829098941021061141181101221261301341381421461501541581621661701741781821861901941982022062102144101418[Jour],$G$55,Horodateur1123353819223134374346495255586164698522263438465058546266707478829098941021061141181101221261301341381421461501541581621661701741781821861901941982022062102144101418[Tâche],$A56)</f>
        <v>0</v>
      </c>
      <c r="H56" s="187" t="n">
        <f aca="false">SUMIFS(Horodateur1123353819223134374346495255586164698522263438465058546266707478829098941021061141181101221261301341381421461501541581621661701741781821861901941982022062102144101418[Durée (100)],Horodateur1123353819223134374346495255586164698522263438465058546266707478829098941021061141181101221261301341381421461501541581621661701741781821861901941982022062102144101418[Jour],$H$55,Horodateur1123353819223134374346495255586164698522263438465058546266707478829098941021061141181101221261301341381421461501541581621661701741781821861901941982022062102144101418[Tâche],$A56)</f>
        <v>0</v>
      </c>
      <c r="I56" s="295" t="n">
        <f aca="false">SUM(Taches_Jour2132537401821303336424548515457606368842125333745495753616569737781899793101105113117109121125129133137141145149153157161165169173177181185189193197201205209213391317[[#This Row],[1- Lundi]:[7- Dimanche]])</f>
        <v>3.5</v>
      </c>
      <c r="J56" s="271"/>
      <c r="K56" s="1"/>
      <c r="L56" s="188"/>
      <c r="M56" s="272"/>
      <c r="N56" s="187"/>
      <c r="O56" s="1"/>
      <c r="P56" s="1"/>
      <c r="Q56" s="1"/>
      <c r="R56" s="1"/>
      <c r="S56" s="1"/>
      <c r="T56" s="1"/>
      <c r="U56" s="71"/>
      <c r="V56" s="71"/>
      <c r="W56" s="71"/>
      <c r="X56" s="71"/>
      <c r="Y56" s="71"/>
      <c r="Z56" s="71"/>
      <c r="AA56" s="71"/>
      <c r="AB56" s="71"/>
      <c r="AC56" s="71"/>
      <c r="AD56" s="71"/>
      <c r="AE56" s="71"/>
      <c r="AF56" s="71"/>
      <c r="AG56" s="71"/>
    </row>
    <row r="57" customFormat="false" ht="15" hidden="true" customHeight="false" outlineLevel="1" collapsed="false">
      <c r="A57" s="137" t="s">
        <v>20</v>
      </c>
      <c r="B57" s="187" t="n">
        <f aca="false">SUMIFS(Horodateur1123353819223134374346495255586164698522263438465058546266707478829098941021061141181101221261301341381421461501541581621661701741781821861901941982022062102144101418[Durée (100)],Horodateur1123353819223134374346495255586164698522263438465058546266707478829098941021061141181101221261301341381421461501541581621661701741781821861901941982022062102144101418[Jour],$B$55,Horodateur1123353819223134374346495255586164698522263438465058546266707478829098941021061141181101221261301341381421461501541581621661701741781821861901941982022062102144101418[Tâche],$A57)</f>
        <v>0.500000000000001</v>
      </c>
      <c r="C57" s="187" t="n">
        <f aca="false">SUMIFS(Horodateur1123353819223134374346495255586164698522263438465058546266707478829098941021061141181101221261301341381421461501541581621661701741781821861901941982022062102144101418[Durée (100)],Horodateur1123353819223134374346495255586164698522263438465058546266707478829098941021061141181101221261301341381421461501541581621661701741781821861901941982022062102144101418[Jour],$C$55,Horodateur1123353819223134374346495255586164698522263438465058546266707478829098941021061141181101221261301341381421461501541581621661701741781821861901941982022062102144101418[Tâche],$A57)</f>
        <v>0</v>
      </c>
      <c r="D57" s="187" t="n">
        <f aca="false">SUMIFS(Horodateur1123353819223134374346495255586164698522263438465058546266707478829098941021061141181101221261301341381421461501541581621661701741781821861901941982022062102144101418[Durée (100)],Horodateur1123353819223134374346495255586164698522263438465058546266707478829098941021061141181101221261301341381421461501541581621661701741781821861901941982022062102144101418[Jour],$D$55,Horodateur1123353819223134374346495255586164698522263438465058546266707478829098941021061141181101221261301341381421461501541581621661701741781821861901941982022062102144101418[Tâche],$A57)</f>
        <v>0</v>
      </c>
      <c r="E57" s="187" t="n">
        <f aca="false">SUMIFS(Horodateur1123353819223134374346495255586164698522263438465058546266707478829098941021061141181101221261301341381421461501541581621661701741781821861901941982022062102144101418[Durée (100)],Horodateur1123353819223134374346495255586164698522263438465058546266707478829098941021061141181101221261301341381421461501541581621661701741781821861901941982022062102144101418[Jour],$E$55,Horodateur1123353819223134374346495255586164698522263438465058546266707478829098941021061141181101221261301341381421461501541581621661701741781821861901941982022062102144101418[Tâche],$A57)</f>
        <v>0</v>
      </c>
      <c r="F57" s="71" t="n">
        <f aca="false">SUMIFS(Horodateur1123353819223134374346495255586164698522263438465058546266707478829098941021061141181101221261301341381421461501541581621661701741781821861901941982022062102144101418[Durée (100)],Horodateur1123353819223134374346495255586164698522263438465058546266707478829098941021061141181101221261301341381421461501541581621661701741781821861901941982022062102144101418[Jour],$F$55,Horodateur1123353819223134374346495255586164698522263438465058546266707478829098941021061141181101221261301341381421461501541581621661701741781821861901941982022062102144101418[Tâche],$A57)</f>
        <v>0</v>
      </c>
      <c r="G57" s="187" t="n">
        <f aca="false">SUMIFS(Horodateur1123353819223134374346495255586164698522263438465058546266707478829098941021061141181101221261301341381421461501541581621661701741781821861901941982022062102144101418[Durée (100)],Horodateur1123353819223134374346495255586164698522263438465058546266707478829098941021061141181101221261301341381421461501541581621661701741781821861901941982022062102144101418[Jour],$G$55,Horodateur1123353819223134374346495255586164698522263438465058546266707478829098941021061141181101221261301341381421461501541581621661701741781821861901941982022062102144101418[Tâche],$A57)</f>
        <v>0</v>
      </c>
      <c r="H57" s="187" t="n">
        <f aca="false">SUMIFS(Horodateur1123353819223134374346495255586164698522263438465058546266707478829098941021061141181101221261301341381421461501541581621661701741781821861901941982022062102144101418[Durée (100)],Horodateur1123353819223134374346495255586164698522263438465058546266707478829098941021061141181101221261301341381421461501541581621661701741781821861901941982022062102144101418[Jour],$H$55,Horodateur1123353819223134374346495255586164698522263438465058546266707478829098941021061141181101221261301341381421461501541581621661701741781821861901941982022062102144101418[Tâche],$A57)</f>
        <v>0</v>
      </c>
      <c r="I57" s="295" t="n">
        <f aca="false">SUM(Taches_Jour2132537401821303336424548515457606368842125333745495753616569737781899793101105113117109121125129133137141145149153157161165169173177181185189193197201205209213391317[[#This Row],[1- Lundi]:[7- Dimanche]])</f>
        <v>0.500000000000001</v>
      </c>
      <c r="J57" s="271"/>
      <c r="K57" s="1"/>
      <c r="L57" s="188"/>
      <c r="M57" s="272"/>
      <c r="N57" s="187"/>
      <c r="O57" s="1"/>
      <c r="P57" s="1"/>
      <c r="Q57" s="1"/>
      <c r="R57" s="1"/>
      <c r="S57" s="1"/>
      <c r="T57" s="1"/>
      <c r="U57" s="71"/>
      <c r="V57" s="71"/>
      <c r="W57" s="71"/>
      <c r="X57" s="71"/>
      <c r="Y57" s="71"/>
      <c r="Z57" s="71"/>
      <c r="AA57" s="71"/>
      <c r="AB57" s="71"/>
      <c r="AC57" s="71"/>
      <c r="AD57" s="71"/>
      <c r="AE57" s="71"/>
      <c r="AF57" s="71"/>
      <c r="AG57" s="71"/>
    </row>
    <row r="58" customFormat="false" ht="15" hidden="true" customHeight="false" outlineLevel="1" collapsed="false">
      <c r="A58" s="137" t="s">
        <v>23</v>
      </c>
      <c r="B58" s="187" t="n">
        <f aca="false">SUMIFS(Horodateur1123353819223134374346495255586164698522263438465058546266707478829098941021061141181101221261301341381421461501541581621661701741781821861901941982022062102144101418[Durée (100)],Horodateur1123353819223134374346495255586164698522263438465058546266707478829098941021061141181101221261301341381421461501541581621661701741781821861901941982022062102144101418[Jour],$B$55,Horodateur1123353819223134374346495255586164698522263438465058546266707478829098941021061141181101221261301341381421461501541581621661701741781821861901941982022062102144101418[Tâche],$A58)</f>
        <v>0</v>
      </c>
      <c r="C58" s="187" t="n">
        <f aca="false">SUMIFS(Horodateur1123353819223134374346495255586164698522263438465058546266707478829098941021061141181101221261301341381421461501541581621661701741781821861901941982022062102144101418[Durée (100)],Horodateur1123353819223134374346495255586164698522263438465058546266707478829098941021061141181101221261301341381421461501541581621661701741781821861901941982022062102144101418[Jour],$C$55,Horodateur1123353819223134374346495255586164698522263438465058546266707478829098941021061141181101221261301341381421461501541581621661701741781821861901941982022062102144101418[Tâche],$A58)</f>
        <v>2</v>
      </c>
      <c r="D58" s="187" t="n">
        <f aca="false">SUMIFS(Horodateur1123353819223134374346495255586164698522263438465058546266707478829098941021061141181101221261301341381421461501541581621661701741781821861901941982022062102144101418[Durée (100)],Horodateur1123353819223134374346495255586164698522263438465058546266707478829098941021061141181101221261301341381421461501541581621661701741781821861901941982022062102144101418[Jour],$D$55,Horodateur1123353819223134374346495255586164698522263438465058546266707478829098941021061141181101221261301341381421461501541581621661701741781821861901941982022062102144101418[Tâche],$A58)</f>
        <v>1.5</v>
      </c>
      <c r="E58" s="187" t="n">
        <f aca="false">SUMIFS(Horodateur1123353819223134374346495255586164698522263438465058546266707478829098941021061141181101221261301341381421461501541581621661701741781821861901941982022062102144101418[Durée (100)],Horodateur1123353819223134374346495255586164698522263438465058546266707478829098941021061141181101221261301341381421461501541581621661701741781821861901941982022062102144101418[Jour],$E$55,Horodateur1123353819223134374346495255586164698522263438465058546266707478829098941021061141181101221261301341381421461501541581621661701741781821861901941982022062102144101418[Tâche],$A58)</f>
        <v>0</v>
      </c>
      <c r="F58" s="71" t="n">
        <f aca="false">SUMIFS(Horodateur1123353819223134374346495255586164698522263438465058546266707478829098941021061141181101221261301341381421461501541581621661701741781821861901941982022062102144101418[Durée (100)],Horodateur1123353819223134374346495255586164698522263438465058546266707478829098941021061141181101221261301341381421461501541581621661701741781821861901941982022062102144101418[Jour],$F$55,Horodateur1123353819223134374346495255586164698522263438465058546266707478829098941021061141181101221261301341381421461501541581621661701741781821861901941982022062102144101418[Tâche],$A58)</f>
        <v>3</v>
      </c>
      <c r="G58" s="187" t="n">
        <f aca="false">SUMIFS(Horodateur1123353819223134374346495255586164698522263438465058546266707478829098941021061141181101221261301341381421461501541581621661701741781821861901941982022062102144101418[Durée (100)],Horodateur1123353819223134374346495255586164698522263438465058546266707478829098941021061141181101221261301341381421461501541581621661701741781821861901941982022062102144101418[Jour],$G$55,Horodateur1123353819223134374346495255586164698522263438465058546266707478829098941021061141181101221261301341381421461501541581621661701741781821861901941982022062102144101418[Tâche],$A58)</f>
        <v>0</v>
      </c>
      <c r="H58" s="187" t="n">
        <f aca="false">SUMIFS(Horodateur1123353819223134374346495255586164698522263438465058546266707478829098941021061141181101221261301341381421461501541581621661701741781821861901941982022062102144101418[Durée (100)],Horodateur1123353819223134374346495255586164698522263438465058546266707478829098941021061141181101221261301341381421461501541581621661701741781821861901941982022062102144101418[Jour],$H$55,Horodateur1123353819223134374346495255586164698522263438465058546266707478829098941021061141181101221261301341381421461501541581621661701741781821861901941982022062102144101418[Tâche],$A58)</f>
        <v>0</v>
      </c>
      <c r="I58" s="295" t="n">
        <f aca="false">SUM(Taches_Jour2132537401821303336424548515457606368842125333745495753616569737781899793101105113117109121125129133137141145149153157161165169173177181185189193197201205209213391317[[#This Row],[1- Lundi]:[7- Dimanche]])</f>
        <v>6.5</v>
      </c>
      <c r="J58" s="271"/>
      <c r="K58" s="1"/>
      <c r="L58" s="188"/>
      <c r="M58" s="272"/>
      <c r="N58" s="187"/>
      <c r="O58" s="1"/>
      <c r="P58" s="1"/>
      <c r="Q58" s="1"/>
      <c r="R58" s="1"/>
      <c r="S58" s="1"/>
      <c r="T58" s="1"/>
      <c r="U58" s="71"/>
      <c r="V58" s="71"/>
      <c r="W58" s="71"/>
      <c r="X58" s="71"/>
      <c r="Y58" s="71"/>
      <c r="Z58" s="71"/>
      <c r="AA58" s="71"/>
      <c r="AB58" s="71"/>
      <c r="AC58" s="71"/>
      <c r="AD58" s="71"/>
      <c r="AE58" s="71"/>
      <c r="AF58" s="71"/>
      <c r="AG58" s="71"/>
    </row>
    <row r="59" customFormat="false" ht="15" hidden="true" customHeight="false" outlineLevel="1" collapsed="false">
      <c r="A59" s="137" t="s">
        <v>25</v>
      </c>
      <c r="B59" s="187" t="n">
        <f aca="false">SUMIFS(Horodateur1123353819223134374346495255586164698522263438465058546266707478829098941021061141181101221261301341381421461501541581621661701741781821861901941982022062102144101418[Durée (100)],Horodateur1123353819223134374346495255586164698522263438465058546266707478829098941021061141181101221261301341381421461501541581621661701741781821861901941982022062102144101418[Jour],$B$55,Horodateur1123353819223134374346495255586164698522263438465058546266707478829098941021061141181101221261301341381421461501541581621661701741781821861901941982022062102144101418[Tâche],$A59)</f>
        <v>0</v>
      </c>
      <c r="C59" s="187" t="n">
        <f aca="false">SUMIFS(Horodateur1123353819223134374346495255586164698522263438465058546266707478829098941021061141181101221261301341381421461501541581621661701741781821861901941982022062102144101418[Durée (100)],Horodateur1123353819223134374346495255586164698522263438465058546266707478829098941021061141181101221261301341381421461501541581621661701741781821861901941982022062102144101418[Jour],$C$55,Horodateur1123353819223134374346495255586164698522263438465058546266707478829098941021061141181101221261301341381421461501541581621661701741781821861901941982022062102144101418[Tâche],$A59)</f>
        <v>0</v>
      </c>
      <c r="D59" s="187" t="n">
        <f aca="false">SUMIFS(Horodateur1123353819223134374346495255586164698522263438465058546266707478829098941021061141181101221261301341381421461501541581621661701741781821861901941982022062102144101418[Durée (100)],Horodateur1123353819223134374346495255586164698522263438465058546266707478829098941021061141181101221261301341381421461501541581621661701741781821861901941982022062102144101418[Jour],$D$55,Horodateur1123353819223134374346495255586164698522263438465058546266707478829098941021061141181101221261301341381421461501541581621661701741781821861901941982022062102144101418[Tâche],$A59)</f>
        <v>0</v>
      </c>
      <c r="E59" s="187" t="n">
        <f aca="false">SUMIFS(Horodateur1123353819223134374346495255586164698522263438465058546266707478829098941021061141181101221261301341381421461501541581621661701741781821861901941982022062102144101418[Durée (100)],Horodateur1123353819223134374346495255586164698522263438465058546266707478829098941021061141181101221261301341381421461501541581621661701741781821861901941982022062102144101418[Jour],$E$55,Horodateur1123353819223134374346495255586164698522263438465058546266707478829098941021061141181101221261301341381421461501541581621661701741781821861901941982022062102144101418[Tâche],$A59)</f>
        <v>0</v>
      </c>
      <c r="F59" s="71" t="n">
        <f aca="false">SUMIFS(Horodateur1123353819223134374346495255586164698522263438465058546266707478829098941021061141181101221261301341381421461501541581621661701741781821861901941982022062102144101418[Durée (100)],Horodateur1123353819223134374346495255586164698522263438465058546266707478829098941021061141181101221261301341381421461501541581621661701741781821861901941982022062102144101418[Jour],$F$55,Horodateur1123353819223134374346495255586164698522263438465058546266707478829098941021061141181101221261301341381421461501541581621661701741781821861901941982022062102144101418[Tâche],$A59)</f>
        <v>0</v>
      </c>
      <c r="G59" s="187" t="n">
        <f aca="false">SUMIFS(Horodateur1123353819223134374346495255586164698522263438465058546266707478829098941021061141181101221261301341381421461501541581621661701741781821861901941982022062102144101418[Durée (100)],Horodateur1123353819223134374346495255586164698522263438465058546266707478829098941021061141181101221261301341381421461501541581621661701741781821861901941982022062102144101418[Jour],$G$55,Horodateur1123353819223134374346495255586164698522263438465058546266707478829098941021061141181101221261301341381421461501541581621661701741781821861901941982022062102144101418[Tâche],$A59)</f>
        <v>0</v>
      </c>
      <c r="H59" s="187" t="n">
        <f aca="false">SUMIFS(Horodateur1123353819223134374346495255586164698522263438465058546266707478829098941021061141181101221261301341381421461501541581621661701741781821861901941982022062102144101418[Durée (100)],Horodateur1123353819223134374346495255586164698522263438465058546266707478829098941021061141181101221261301341381421461501541581621661701741781821861901941982022062102144101418[Jour],$H$55,Horodateur1123353819223134374346495255586164698522263438465058546266707478829098941021061141181101221261301341381421461501541581621661701741781821861901941982022062102144101418[Tâche],$A59)</f>
        <v>0</v>
      </c>
      <c r="I59" s="295" t="n">
        <f aca="false">SUM(Taches_Jour2132537401821303336424548515457606368842125333745495753616569737781899793101105113117109121125129133137141145149153157161165169173177181185189193197201205209213391317[[#This Row],[1- Lundi]:[7- Dimanche]])</f>
        <v>0</v>
      </c>
      <c r="J59" s="271"/>
      <c r="K59" s="1"/>
      <c r="L59" s="188"/>
      <c r="M59" s="272"/>
      <c r="N59" s="187"/>
      <c r="O59" s="1"/>
      <c r="P59" s="1"/>
      <c r="Q59" s="1"/>
      <c r="R59" s="1"/>
      <c r="S59" s="1"/>
      <c r="T59" s="1"/>
      <c r="U59" s="71"/>
      <c r="V59" s="71"/>
      <c r="W59" s="71"/>
      <c r="X59" s="71"/>
      <c r="Y59" s="71"/>
      <c r="Z59" s="71"/>
      <c r="AA59" s="71"/>
      <c r="AB59" s="71"/>
      <c r="AC59" s="71"/>
      <c r="AD59" s="71"/>
      <c r="AE59" s="71"/>
      <c r="AF59" s="71"/>
      <c r="AG59" s="71"/>
    </row>
    <row r="60" customFormat="false" ht="15" hidden="true" customHeight="false" outlineLevel="1" collapsed="false">
      <c r="A60" s="137" t="s">
        <v>26</v>
      </c>
      <c r="B60" s="187" t="n">
        <f aca="false">SUMIFS(Horodateur1123353819223134374346495255586164698522263438465058546266707478829098941021061141181101221261301341381421461501541581621661701741781821861901941982022062102144101418[Durée (100)],Horodateur1123353819223134374346495255586164698522263438465058546266707478829098941021061141181101221261301341381421461501541581621661701741781821861901941982022062102144101418[Jour],$B$55,Horodateur1123353819223134374346495255586164698522263438465058546266707478829098941021061141181101221261301341381421461501541581621661701741781821861901941982022062102144101418[Tâche],$A60)</f>
        <v>0</v>
      </c>
      <c r="C60" s="187" t="n">
        <f aca="false">SUMIFS(Horodateur1123353819223134374346495255586164698522263438465058546266707478829098941021061141181101221261301341381421461501541581621661701741781821861901941982022062102144101418[Durée (100)],Horodateur1123353819223134374346495255586164698522263438465058546266707478829098941021061141181101221261301341381421461501541581621661701741781821861901941982022062102144101418[Jour],$C$55,Horodateur1123353819223134374346495255586164698522263438465058546266707478829098941021061141181101221261301341381421461501541581621661701741781821861901941982022062102144101418[Tâche],$A60)</f>
        <v>0</v>
      </c>
      <c r="D60" s="187" t="n">
        <f aca="false">SUMIFS(Horodateur1123353819223134374346495255586164698522263438465058546266707478829098941021061141181101221261301341381421461501541581621661701741781821861901941982022062102144101418[Durée (100)],Horodateur1123353819223134374346495255586164698522263438465058546266707478829098941021061141181101221261301341381421461501541581621661701741781821861901941982022062102144101418[Jour],$D$55,Horodateur1123353819223134374346495255586164698522263438465058546266707478829098941021061141181101221261301341381421461501541581621661701741781821861901941982022062102144101418[Tâche],$A60)</f>
        <v>0</v>
      </c>
      <c r="E60" s="187" t="n">
        <f aca="false">SUMIFS(Horodateur1123353819223134374346495255586164698522263438465058546266707478829098941021061141181101221261301341381421461501541581621661701741781821861901941982022062102144101418[Durée (100)],Horodateur1123353819223134374346495255586164698522263438465058546266707478829098941021061141181101221261301341381421461501541581621661701741781821861901941982022062102144101418[Jour],$E$55,Horodateur1123353819223134374346495255586164698522263438465058546266707478829098941021061141181101221261301341381421461501541581621661701741781821861901941982022062102144101418[Tâche],$A60)</f>
        <v>0</v>
      </c>
      <c r="F60" s="71" t="n">
        <f aca="false">SUMIFS(Horodateur1123353819223134374346495255586164698522263438465058546266707478829098941021061141181101221261301341381421461501541581621661701741781821861901941982022062102144101418[Durée (100)],Horodateur1123353819223134374346495255586164698522263438465058546266707478829098941021061141181101221261301341381421461501541581621661701741781821861901941982022062102144101418[Jour],$F$55,Horodateur1123353819223134374346495255586164698522263438465058546266707478829098941021061141181101221261301341381421461501541581621661701741781821861901941982022062102144101418[Tâche],$A60)</f>
        <v>0</v>
      </c>
      <c r="G60" s="187" t="n">
        <f aca="false">SUMIFS(Horodateur1123353819223134374346495255586164698522263438465058546266707478829098941021061141181101221261301341381421461501541581621661701741781821861901941982022062102144101418[Durée (100)],Horodateur1123353819223134374346495255586164698522263438465058546266707478829098941021061141181101221261301341381421461501541581621661701741781821861901941982022062102144101418[Jour],$G$55,Horodateur1123353819223134374346495255586164698522263438465058546266707478829098941021061141181101221261301341381421461501541581621661701741781821861901941982022062102144101418[Tâche],$A60)</f>
        <v>0</v>
      </c>
      <c r="H60" s="187" t="n">
        <f aca="false">SUMIFS(Horodateur1123353819223134374346495255586164698522263438465058546266707478829098941021061141181101221261301341381421461501541581621661701741781821861901941982022062102144101418[Durée (100)],Horodateur1123353819223134374346495255586164698522263438465058546266707478829098941021061141181101221261301341381421461501541581621661701741781821861901941982022062102144101418[Jour],$H$55,Horodateur1123353819223134374346495255586164698522263438465058546266707478829098941021061141181101221261301341381421461501541581621661701741781821861901941982022062102144101418[Tâche],$A60)</f>
        <v>0</v>
      </c>
      <c r="I60" s="295" t="n">
        <f aca="false">SUM(Taches_Jour2132537401821303336424548515457606368842125333745495753616569737781899793101105113117109121125129133137141145149153157161165169173177181185189193197201205209213391317[[#This Row],[1- Lundi]:[7- Dimanche]])</f>
        <v>0</v>
      </c>
      <c r="J60" s="271"/>
      <c r="K60" s="1"/>
      <c r="L60" s="188"/>
      <c r="M60" s="272"/>
      <c r="N60" s="187"/>
      <c r="O60" s="1"/>
      <c r="P60" s="1"/>
      <c r="Q60" s="1"/>
      <c r="R60" s="1"/>
      <c r="S60" s="1"/>
      <c r="T60" s="1"/>
      <c r="U60" s="71"/>
      <c r="V60" s="71"/>
      <c r="W60" s="71"/>
      <c r="X60" s="71"/>
      <c r="Y60" s="71"/>
      <c r="Z60" s="71"/>
      <c r="AA60" s="71"/>
      <c r="AB60" s="71"/>
      <c r="AC60" s="71"/>
      <c r="AD60" s="71"/>
      <c r="AE60" s="71"/>
      <c r="AF60" s="71"/>
      <c r="AG60" s="71"/>
    </row>
    <row r="61" customFormat="false" ht="15" hidden="true" customHeight="false" outlineLevel="1" collapsed="false">
      <c r="A61" s="137" t="s">
        <v>378</v>
      </c>
      <c r="B61" s="187" t="n">
        <f aca="false">SUMIFS(Horodateur1123353819223134374346495255586164698522263438465058546266707478829098941021061141181101221261301341381421461501541581621661701741781821861901941982022062102144101418[Durée (100)],Horodateur1123353819223134374346495255586164698522263438465058546266707478829098941021061141181101221261301341381421461501541581621661701741781821861901941982022062102144101418[Jour],$B$55,Horodateur1123353819223134374346495255586164698522263438465058546266707478829098941021061141181101221261301341381421461501541581621661701741781821861901941982022062102144101418[Tâche],$A61)</f>
        <v>2.75</v>
      </c>
      <c r="C61" s="187" t="n">
        <f aca="false">SUMIFS(Horodateur1123353819223134374346495255586164698522263438465058546266707478829098941021061141181101221261301341381421461501541581621661701741781821861901941982022062102144101418[Durée (100)],Horodateur1123353819223134374346495255586164698522263438465058546266707478829098941021061141181101221261301341381421461501541581621661701741781821861901941982022062102144101418[Jour],$C$55,Horodateur1123353819223134374346495255586164698522263438465058546266707478829098941021061141181101221261301341381421461501541581621661701741781821861901941982022062102144101418[Tâche],$A61)</f>
        <v>4.5</v>
      </c>
      <c r="D61" s="187" t="n">
        <f aca="false">SUMIFS(Horodateur1123353819223134374346495255586164698522263438465058546266707478829098941021061141181101221261301341381421461501541581621661701741781821861901941982022062102144101418[Durée (100)],Horodateur1123353819223134374346495255586164698522263438465058546266707478829098941021061141181101221261301341381421461501541581621661701741781821861901941982022062102144101418[Jour],$D$55,Horodateur1123353819223134374346495255586164698522263438465058546266707478829098941021061141181101221261301341381421461501541581621661701741781821861901941982022062102144101418[Tâche],$A61)</f>
        <v>3.75</v>
      </c>
      <c r="E61" s="187" t="n">
        <f aca="false">SUMIFS(Horodateur1123353819223134374346495255586164698522263438465058546266707478829098941021061141181101221261301341381421461501541581621661701741781821861901941982022062102144101418[Durée (100)],Horodateur1123353819223134374346495255586164698522263438465058546266707478829098941021061141181101221261301341381421461501541581621661701741781821861901941982022062102144101418[Jour],$E$55,Horodateur1123353819223134374346495255586164698522263438465058546266707478829098941021061141181101221261301341381421461501541581621661701741781821861901941982022062102144101418[Tâche],$A61)</f>
        <v>7.75</v>
      </c>
      <c r="F61" s="71" t="n">
        <f aca="false">SUMIFS(Horodateur1123353819223134374346495255586164698522263438465058546266707478829098941021061141181101221261301341381421461501541581621661701741781821861901941982022062102144101418[Durée (100)],Horodateur1123353819223134374346495255586164698522263438465058546266707478829098941021061141181101221261301341381421461501541581621661701741781821861901941982022062102144101418[Jour],$F$55,Horodateur1123353819223134374346495255586164698522263438465058546266707478829098941021061141181101221261301341381421461501541581621661701741781821861901941982022062102144101418[Tâche],$A61)</f>
        <v>2.5</v>
      </c>
      <c r="G61" s="187" t="n">
        <f aca="false">SUMIFS(Horodateur1123353819223134374346495255586164698522263438465058546266707478829098941021061141181101221261301341381421461501541581621661701741781821861901941982022062102144101418[Durée (100)],Horodateur1123353819223134374346495255586164698522263438465058546266707478829098941021061141181101221261301341381421461501541581621661701741781821861901941982022062102144101418[Jour],$G$55,Horodateur1123353819223134374346495255586164698522263438465058546266707478829098941021061141181101221261301341381421461501541581621661701741781821861901941982022062102144101418[Tâche],$A61)</f>
        <v>0</v>
      </c>
      <c r="H61" s="187" t="n">
        <f aca="false">SUMIFS(Horodateur1123353819223134374346495255586164698522263438465058546266707478829098941021061141181101221261301341381421461501541581621661701741781821861901941982022062102144101418[Durée (100)],Horodateur1123353819223134374346495255586164698522263438465058546266707478829098941021061141181101221261301341381421461501541581621661701741781821861901941982022062102144101418[Jour],$H$55,Horodateur1123353819223134374346495255586164698522263438465058546266707478829098941021061141181101221261301341381421461501541581621661701741781821861901941982022062102144101418[Tâche],$A61)</f>
        <v>0</v>
      </c>
      <c r="I61" s="295" t="n">
        <f aca="false">SUM(Taches_Jour2132537401821303336424548515457606368842125333745495753616569737781899793101105113117109121125129133137141145149153157161165169173177181185189193197201205209213391317[[#This Row],[1- Lundi]:[7- Dimanche]])</f>
        <v>21.25</v>
      </c>
      <c r="J61" s="271"/>
      <c r="K61" s="1"/>
      <c r="L61" s="188"/>
      <c r="M61" s="272"/>
      <c r="N61" s="187"/>
      <c r="O61" s="1"/>
      <c r="P61" s="1"/>
      <c r="Q61" s="1"/>
      <c r="R61" s="1"/>
      <c r="S61" s="1"/>
      <c r="T61" s="1"/>
      <c r="U61" s="71"/>
      <c r="V61" s="71"/>
      <c r="W61" s="71"/>
      <c r="X61" s="71"/>
      <c r="Y61" s="71"/>
      <c r="Z61" s="71"/>
      <c r="AA61" s="71"/>
      <c r="AB61" s="71"/>
      <c r="AC61" s="71"/>
      <c r="AD61" s="71"/>
      <c r="AE61" s="71"/>
      <c r="AF61" s="71"/>
      <c r="AG61" s="71"/>
    </row>
    <row r="62" customFormat="false" ht="15" hidden="true" customHeight="false" outlineLevel="1" collapsed="false">
      <c r="A62" s="137" t="s">
        <v>382</v>
      </c>
      <c r="B62" s="187" t="n">
        <f aca="false">SUMIFS(Horodateur1123353819223134374346495255586164698522263438465058546266707478829098941021061141181101221261301341381421461501541581621661701741781821861901941982022062102144101418[Durée (100)],Horodateur1123353819223134374346495255586164698522263438465058546266707478829098941021061141181101221261301341381421461501541581621661701741781821861901941982022062102144101418[Jour],$B$55,Horodateur1123353819223134374346495255586164698522263438465058546266707478829098941021061141181101221261301341381421461501541581621661701741781821861901941982022062102144101418[Tâche],$A62)</f>
        <v>0</v>
      </c>
      <c r="C62" s="187" t="n">
        <f aca="false">SUMIFS(Horodateur1123353819223134374346495255586164698522263438465058546266707478829098941021061141181101221261301341381421461501541581621661701741781821861901941982022062102144101418[Durée (100)],Horodateur1123353819223134374346495255586164698522263438465058546266707478829098941021061141181101221261301341381421461501541581621661701741781821861901941982022062102144101418[Jour],$C$55,Horodateur1123353819223134374346495255586164698522263438465058546266707478829098941021061141181101221261301341381421461501541581621661701741781821861901941982022062102144101418[Tâche],$A62)</f>
        <v>0</v>
      </c>
      <c r="D62" s="187" t="n">
        <f aca="false">SUMIFS(Horodateur1123353819223134374346495255586164698522263438465058546266707478829098941021061141181101221261301341381421461501541581621661701741781821861901941982022062102144101418[Durée (100)],Horodateur1123353819223134374346495255586164698522263438465058546266707478829098941021061141181101221261301341381421461501541581621661701741781821861901941982022062102144101418[Jour],$D$55,Horodateur1123353819223134374346495255586164698522263438465058546266707478829098941021061141181101221261301341381421461501541581621661701741781821861901941982022062102144101418[Tâche],$A62)</f>
        <v>0</v>
      </c>
      <c r="E62" s="187" t="n">
        <f aca="false">SUMIFS(Horodateur1123353819223134374346495255586164698522263438465058546266707478829098941021061141181101221261301341381421461501541581621661701741781821861901941982022062102144101418[Durée (100)],Horodateur1123353819223134374346495255586164698522263438465058546266707478829098941021061141181101221261301341381421461501541581621661701741781821861901941982022062102144101418[Jour],$E$55,Horodateur1123353819223134374346495255586164698522263438465058546266707478829098941021061141181101221261301341381421461501541581621661701741781821861901941982022062102144101418[Tâche],$A62)</f>
        <v>0</v>
      </c>
      <c r="F62" s="71" t="n">
        <f aca="false">SUMIFS(Horodateur1123353819223134374346495255586164698522263438465058546266707478829098941021061141181101221261301341381421461501541581621661701741781821861901941982022062102144101418[Durée (100)],Horodateur1123353819223134374346495255586164698522263438465058546266707478829098941021061141181101221261301341381421461501541581621661701741781821861901941982022062102144101418[Jour],$F$55,Horodateur1123353819223134374346495255586164698522263438465058546266707478829098941021061141181101221261301341381421461501541581621661701741781821861901941982022062102144101418[Tâche],$A62)</f>
        <v>0</v>
      </c>
      <c r="G62" s="187" t="n">
        <f aca="false">SUMIFS(Horodateur1123353819223134374346495255586164698522263438465058546266707478829098941021061141181101221261301341381421461501541581621661701741781821861901941982022062102144101418[Durée (100)],Horodateur1123353819223134374346495255586164698522263438465058546266707478829098941021061141181101221261301341381421461501541581621661701741781821861901941982022062102144101418[Jour],$G$55,Horodateur1123353819223134374346495255586164698522263438465058546266707478829098941021061141181101221261301341381421461501541581621661701741781821861901941982022062102144101418[Tâche],$A62)</f>
        <v>0</v>
      </c>
      <c r="H62" s="187" t="n">
        <f aca="false">SUMIFS(Horodateur1123353819223134374346495255586164698522263438465058546266707478829098941021061141181101221261301341381421461501541581621661701741781821861901941982022062102144101418[Durée (100)],Horodateur1123353819223134374346495255586164698522263438465058546266707478829098941021061141181101221261301341381421461501541581621661701741781821861901941982022062102144101418[Jour],$H$55,Horodateur1123353819223134374346495255586164698522263438465058546266707478829098941021061141181101221261301341381421461501541581621661701741781821861901941982022062102144101418[Tâche],$A62)</f>
        <v>0</v>
      </c>
      <c r="I62" s="295" t="n">
        <f aca="false">SUM(Taches_Jour2132537401821303336424548515457606368842125333745495753616569737781899793101105113117109121125129133137141145149153157161165169173177181185189193197201205209213391317[[#This Row],[1- Lundi]:[7- Dimanche]])</f>
        <v>0</v>
      </c>
      <c r="J62" s="271"/>
      <c r="K62" s="1"/>
      <c r="L62" s="188"/>
      <c r="M62" s="272"/>
      <c r="N62" s="187"/>
      <c r="O62" s="1"/>
      <c r="P62" s="1"/>
      <c r="Q62" s="1"/>
      <c r="R62" s="1"/>
      <c r="S62" s="1"/>
      <c r="T62" s="1"/>
      <c r="U62" s="71"/>
      <c r="V62" s="71"/>
      <c r="W62" s="71"/>
      <c r="X62" s="71"/>
      <c r="Y62" s="71"/>
      <c r="Z62" s="71"/>
      <c r="AA62" s="71"/>
      <c r="AB62" s="71"/>
      <c r="AC62" s="71"/>
      <c r="AD62" s="71"/>
      <c r="AE62" s="71"/>
      <c r="AF62" s="71"/>
      <c r="AG62" s="71"/>
    </row>
    <row r="63" customFormat="false" ht="15" hidden="true" customHeight="false" outlineLevel="1" collapsed="false">
      <c r="A63" s="137" t="s">
        <v>380</v>
      </c>
      <c r="B63" s="187" t="n">
        <f aca="false">SUMIFS(Horodateur1123353819223134374346495255586164698522263438465058546266707478829098941021061141181101221261301341381421461501541581621661701741781821861901941982022062102144101418[Durée (100)],Horodateur1123353819223134374346495255586164698522263438465058546266707478829098941021061141181101221261301341381421461501541581621661701741781821861901941982022062102144101418[Jour],$B$55,Horodateur1123353819223134374346495255586164698522263438465058546266707478829098941021061141181101221261301341381421461501541581621661701741781821861901941982022062102144101418[Tâche],$A63)</f>
        <v>0</v>
      </c>
      <c r="C63" s="187" t="n">
        <f aca="false">SUMIFS(Horodateur1123353819223134374346495255586164698522263438465058546266707478829098941021061141181101221261301341381421461501541581621661701741781821861901941982022062102144101418[Durée (100)],Horodateur1123353819223134374346495255586164698522263438465058546266707478829098941021061141181101221261301341381421461501541581621661701741781821861901941982022062102144101418[Jour],$C$55,Horodateur1123353819223134374346495255586164698522263438465058546266707478829098941021061141181101221261301341381421461501541581621661701741781821861901941982022062102144101418[Tâche],$A63)</f>
        <v>0</v>
      </c>
      <c r="D63" s="187" t="n">
        <f aca="false">SUMIFS(Horodateur1123353819223134374346495255586164698522263438465058546266707478829098941021061141181101221261301341381421461501541581621661701741781821861901941982022062102144101418[Durée (100)],Horodateur1123353819223134374346495255586164698522263438465058546266707478829098941021061141181101221261301341381421461501541581621661701741781821861901941982022062102144101418[Jour],$D$55,Horodateur1123353819223134374346495255586164698522263438465058546266707478829098941021061141181101221261301341381421461501541581621661701741781821861901941982022062102144101418[Tâche],$A63)</f>
        <v>0</v>
      </c>
      <c r="E63" s="187" t="n">
        <f aca="false">SUMIFS(Horodateur1123353819223134374346495255586164698522263438465058546266707478829098941021061141181101221261301341381421461501541581621661701741781821861901941982022062102144101418[Durée (100)],Horodateur1123353819223134374346495255586164698522263438465058546266707478829098941021061141181101221261301341381421461501541581621661701741781821861901941982022062102144101418[Jour],$E$55,Horodateur1123353819223134374346495255586164698522263438465058546266707478829098941021061141181101221261301341381421461501541581621661701741781821861901941982022062102144101418[Tâche],$A63)</f>
        <v>0</v>
      </c>
      <c r="F63" s="71" t="n">
        <f aca="false">SUMIFS(Horodateur1123353819223134374346495255586164698522263438465058546266707478829098941021061141181101221261301341381421461501541581621661701741781821861901941982022062102144101418[Durée (100)],Horodateur1123353819223134374346495255586164698522263438465058546266707478829098941021061141181101221261301341381421461501541581621661701741781821861901941982022062102144101418[Jour],$F$55,Horodateur1123353819223134374346495255586164698522263438465058546266707478829098941021061141181101221261301341381421461501541581621661701741781821861901941982022062102144101418[Tâche],$A63)</f>
        <v>0</v>
      </c>
      <c r="G63" s="187" t="n">
        <f aca="false">SUMIFS(Horodateur1123353819223134374346495255586164698522263438465058546266707478829098941021061141181101221261301341381421461501541581621661701741781821861901941982022062102144101418[Durée (100)],Horodateur1123353819223134374346495255586164698522263438465058546266707478829098941021061141181101221261301341381421461501541581621661701741781821861901941982022062102144101418[Jour],$G$55,Horodateur1123353819223134374346495255586164698522263438465058546266707478829098941021061141181101221261301341381421461501541581621661701741781821861901941982022062102144101418[Tâche],$A63)</f>
        <v>4</v>
      </c>
      <c r="H63" s="187" t="n">
        <f aca="false">SUMIFS(Horodateur1123353819223134374346495255586164698522263438465058546266707478829098941021061141181101221261301341381421461501541581621661701741781821861901941982022062102144101418[Durée (100)],Horodateur1123353819223134374346495255586164698522263438465058546266707478829098941021061141181101221261301341381421461501541581621661701741781821861901941982022062102144101418[Jour],$H$55,Horodateur1123353819223134374346495255586164698522263438465058546266707478829098941021061141181101221261301341381421461501541581621661701741781821861901941982022062102144101418[Tâche],$A63)</f>
        <v>0</v>
      </c>
      <c r="I63" s="295" t="n">
        <f aca="false">SUM(Taches_Jour2132537401821303336424548515457606368842125333745495753616569737781899793101105113117109121125129133137141145149153157161165169173177181185189193197201205209213391317[[#This Row],[1- Lundi]:[7- Dimanche]])</f>
        <v>4</v>
      </c>
      <c r="J63" s="271"/>
      <c r="K63" s="1"/>
      <c r="L63" s="188"/>
      <c r="M63" s="272"/>
      <c r="N63" s="76"/>
    </row>
    <row r="64" customFormat="false" ht="15" hidden="true" customHeight="false" outlineLevel="1" collapsed="false">
      <c r="N64" s="76"/>
    </row>
    <row r="65" customFormat="false" ht="15" hidden="false" customHeight="false" outlineLevel="1" collapsed="false">
      <c r="G65" s="0" t="s">
        <v>383</v>
      </c>
      <c r="N65" s="76"/>
    </row>
    <row r="66" customFormat="false" ht="15" hidden="false" customHeight="false" outlineLevel="0" collapsed="false">
      <c r="N66" s="76"/>
    </row>
    <row r="67" customFormat="false" ht="15" hidden="false" customHeight="false" outlineLevel="0" collapsed="false">
      <c r="G67" s="76"/>
      <c r="N67" s="76"/>
    </row>
    <row r="68" customFormat="false" ht="15" hidden="false" customHeight="false" outlineLevel="0" collapsed="false">
      <c r="N68" s="76"/>
    </row>
    <row r="69" customFormat="false" ht="15" hidden="false" customHeight="false" outlineLevel="0" collapsed="false">
      <c r="N69" s="76"/>
    </row>
    <row r="70" customFormat="false" ht="15" hidden="false" customHeight="false" outlineLevel="0" collapsed="false">
      <c r="N70" s="76"/>
    </row>
    <row r="71" customFormat="false" ht="15" hidden="false" customHeight="false" outlineLevel="0" collapsed="false">
      <c r="N71" s="76"/>
    </row>
    <row r="72" customFormat="false" ht="15" hidden="false" customHeight="false" outlineLevel="0" collapsed="false">
      <c r="N72" s="76"/>
    </row>
    <row r="73" customFormat="false" ht="15" hidden="false" customHeight="false" outlineLevel="0" collapsed="false">
      <c r="N73" s="76"/>
    </row>
    <row r="74" customFormat="false" ht="15" hidden="false" customHeight="false" outlineLevel="0" collapsed="false">
      <c r="N74" s="76"/>
    </row>
    <row r="75" customFormat="false" ht="15" hidden="false" customHeight="false" outlineLevel="0" collapsed="false">
      <c r="N75" s="76"/>
    </row>
    <row r="76" customFormat="false" ht="15" hidden="false" customHeight="false" outlineLevel="0" collapsed="false">
      <c r="N76" s="76"/>
    </row>
    <row r="77" customFormat="false" ht="15" hidden="false" customHeight="false" outlineLevel="0" collapsed="false">
      <c r="N77" s="76"/>
    </row>
    <row r="78" customFormat="false" ht="15" hidden="false" customHeight="false" outlineLevel="0" collapsed="false">
      <c r="N78" s="76"/>
    </row>
    <row r="79" customFormat="false" ht="15" hidden="false" customHeight="false" outlineLevel="0" collapsed="false">
      <c r="N79" s="76"/>
    </row>
    <row r="80" customFormat="false" ht="15" hidden="false" customHeight="false" outlineLevel="0" collapsed="false">
      <c r="N80" s="76"/>
    </row>
    <row r="81" customFormat="false" ht="15" hidden="false" customHeight="false" outlineLevel="0" collapsed="false">
      <c r="N81" s="76"/>
    </row>
    <row r="82" customFormat="false" ht="15" hidden="false" customHeight="false" outlineLevel="0" collapsed="false">
      <c r="N82" s="76"/>
    </row>
    <row r="83" customFormat="false" ht="15" hidden="false" customHeight="false" outlineLevel="0" collapsed="false">
      <c r="N83" s="76"/>
    </row>
    <row r="84" customFormat="false" ht="15" hidden="false" customHeight="false" outlineLevel="0" collapsed="false">
      <c r="N84" s="76"/>
    </row>
    <row r="85" customFormat="false" ht="15" hidden="false" customHeight="false" outlineLevel="0" collapsed="false">
      <c r="N85" s="76"/>
    </row>
    <row r="86" customFormat="false" ht="15" hidden="false" customHeight="false" outlineLevel="0" collapsed="false">
      <c r="N86" s="76"/>
    </row>
    <row r="87" customFormat="false" ht="15" hidden="false" customHeight="false" outlineLevel="0" collapsed="false">
      <c r="A87" s="296" t="s">
        <v>384</v>
      </c>
      <c r="B87" s="296"/>
      <c r="N87" s="76"/>
    </row>
    <row r="88" customFormat="false" ht="15" hidden="false" customHeight="false" outlineLevel="0" collapsed="false">
      <c r="A88" s="297" t="s">
        <v>385</v>
      </c>
      <c r="B88" s="297" t="s">
        <v>8</v>
      </c>
      <c r="N88" s="76"/>
    </row>
    <row r="89" customFormat="false" ht="15" hidden="false" customHeight="false" outlineLevel="0" collapsed="false">
      <c r="A89" s="298" t="n">
        <v>0</v>
      </c>
      <c r="B89" s="299" t="s">
        <v>386</v>
      </c>
      <c r="N89" s="76"/>
    </row>
    <row r="90" customFormat="false" ht="15" hidden="false" customHeight="false" outlineLevel="0" collapsed="false">
      <c r="A90" s="298" t="n">
        <v>-2</v>
      </c>
      <c r="B90" s="299" t="s">
        <v>387</v>
      </c>
      <c r="N90" s="76"/>
    </row>
    <row r="91" customFormat="false" ht="15" hidden="false" customHeight="false" outlineLevel="0" collapsed="false">
      <c r="A91" s="298" t="n">
        <v>8.5</v>
      </c>
      <c r="B91" s="299" t="s">
        <v>388</v>
      </c>
      <c r="N91" s="76"/>
    </row>
    <row r="92" customFormat="false" ht="15" hidden="false" customHeight="false" outlineLevel="0" collapsed="false">
      <c r="A92" s="298" t="n">
        <v>14.5</v>
      </c>
      <c r="B92" s="299" t="s">
        <v>389</v>
      </c>
      <c r="N92" s="76"/>
    </row>
    <row r="93" customFormat="false" ht="15" hidden="false" customHeight="false" outlineLevel="0" collapsed="false">
      <c r="A93" s="298" t="n">
        <v>8.5</v>
      </c>
      <c r="B93" s="299" t="s">
        <v>390</v>
      </c>
      <c r="N93" s="76"/>
    </row>
    <row r="94" customFormat="false" ht="15" hidden="false" customHeight="false" outlineLevel="0" collapsed="false">
      <c r="A94" s="298" t="n">
        <v>10</v>
      </c>
      <c r="B94" s="299" t="s">
        <v>391</v>
      </c>
      <c r="N94" s="76"/>
    </row>
    <row r="95" customFormat="false" ht="15" hidden="false" customHeight="false" outlineLevel="0" collapsed="false">
      <c r="A95" s="298" t="n">
        <v>-7.5</v>
      </c>
      <c r="B95" s="299" t="s">
        <v>392</v>
      </c>
      <c r="N95" s="76"/>
    </row>
    <row r="96" customFormat="false" ht="15" hidden="false" customHeight="false" outlineLevel="0" collapsed="false">
      <c r="A96" s="298" t="n">
        <v>2</v>
      </c>
      <c r="B96" s="299" t="s">
        <v>393</v>
      </c>
      <c r="N96" s="76"/>
    </row>
    <row r="97" customFormat="false" ht="15" hidden="false" customHeight="false" outlineLevel="0" collapsed="false">
      <c r="A97" s="300" t="n">
        <v>2</v>
      </c>
      <c r="B97" s="301" t="s">
        <v>394</v>
      </c>
      <c r="N97" s="76"/>
    </row>
    <row r="98" customFormat="false" ht="15" hidden="false" customHeight="false" outlineLevel="0" collapsed="false">
      <c r="A98" s="300" t="n">
        <v>2.25</v>
      </c>
      <c r="B98" s="301" t="s">
        <v>395</v>
      </c>
    </row>
    <row r="99" customFormat="false" ht="15" hidden="false" customHeight="false" outlineLevel="0" collapsed="false">
      <c r="A99" s="300" t="n">
        <v>-4</v>
      </c>
      <c r="B99" s="302" t="s">
        <v>396</v>
      </c>
    </row>
    <row r="100" customFormat="false" ht="15" hidden="false" customHeight="false" outlineLevel="0" collapsed="false">
      <c r="A100" s="300" t="n">
        <v>-7.5</v>
      </c>
      <c r="B100" s="301" t="s">
        <v>397</v>
      </c>
    </row>
  </sheetData>
  <mergeCells count="1">
    <mergeCell ref="A87:B87"/>
  </mergeCells>
  <conditionalFormatting sqref="G4:G39">
    <cfRule type="expression" priority="2" aboveAverage="0" equalAverage="0" bottom="0" percent="0" rank="0" text="" dxfId="894">
      <formula>L4="O"</formula>
    </cfRule>
    <cfRule type="expression" priority="3" aboveAverage="0" equalAverage="0" bottom="0" percent="0" rank="0" text="" dxfId="895">
      <formula>H4=0</formula>
    </cfRule>
  </conditionalFormatting>
  <conditionalFormatting sqref="F4:F39">
    <cfRule type="expression" priority="4" aboveAverage="0" equalAverage="0" bottom="0" percent="0" rank="0" text="" dxfId="896">
      <formula>L4="O"</formula>
    </cfRule>
  </conditionalFormatting>
  <conditionalFormatting sqref="E4:E39">
    <cfRule type="expression" priority="5" aboveAverage="0" equalAverage="0" bottom="0" percent="0" rank="0" text="" dxfId="897">
      <formula>L4="O"</formula>
    </cfRule>
  </conditionalFormatting>
  <conditionalFormatting sqref="C4:I39 K4:K39">
    <cfRule type="containsText" priority="6" operator="containsText" aboveAverage="0" equalAverage="0" bottom="0" percent="0" rank="0" text="Lundi" dxfId="693">
      <formula>NOT(ISERROR(SEARCH("Lundi",C4)))</formula>
    </cfRule>
  </conditionalFormatting>
  <conditionalFormatting sqref="D4:D39">
    <cfRule type="expression" priority="7" aboveAverage="0" equalAverage="0" bottom="0" percent="0" rank="0" text="" dxfId="898">
      <formula>L4="O"</formula>
    </cfRule>
  </conditionalFormatting>
  <conditionalFormatting sqref="C4:C39">
    <cfRule type="expression" priority="8" aboveAverage="0" equalAverage="0" bottom="0" percent="0" rank="0" text="" dxfId="899">
      <formula>L4="O"</formula>
    </cfRule>
  </conditionalFormatting>
  <conditionalFormatting sqref="K4:K39">
    <cfRule type="expression" priority="9" aboveAverage="0" equalAverage="0" bottom="0" percent="0" rank="0" text="" dxfId="900">
      <formula>L4="O"</formula>
    </cfRule>
  </conditionalFormatting>
  <conditionalFormatting sqref="I4:I39">
    <cfRule type="expression" priority="10" aboveAverage="0" equalAverage="0" bottom="0" percent="0" rank="0" text="" dxfId="901">
      <formula>L4="O"</formula>
    </cfRule>
  </conditionalFormatting>
  <conditionalFormatting sqref="H4:H39">
    <cfRule type="expression" priority="11" aboveAverage="0" equalAverage="0" bottom="0" percent="0" rank="0" text="" dxfId="902">
      <formula>L4="O"</formula>
    </cfRule>
  </conditionalFormatting>
  <conditionalFormatting sqref="F2:J2">
    <cfRule type="iconSet" priority="12">
      <iconSet iconSet="3TrafficLights1">
        <cfvo type="percent" val="0"/>
        <cfvo type="percent" val="33"/>
        <cfvo type="percent" val="67"/>
      </iconSet>
    </cfRule>
  </conditionalFormatting>
  <conditionalFormatting sqref="B4:B39">
    <cfRule type="containsText" priority="13" operator="containsText" aboveAverage="0" equalAverage="0" bottom="0" percent="0" rank="0" text="5" dxfId="903">
      <formula>NOT(ISERROR(SEARCH("5",B4)))</formula>
    </cfRule>
    <cfRule type="containsText" priority="14" operator="containsText" aboveAverage="0" equalAverage="0" bottom="0" percent="0" rank="0" text="4" dxfId="904">
      <formula>NOT(ISERROR(SEARCH("4",B4)))</formula>
    </cfRule>
    <cfRule type="containsText" priority="15" operator="containsText" aboveAverage="0" equalAverage="0" bottom="0" percent="0" rank="0" text="3" dxfId="905">
      <formula>NOT(ISERROR(SEARCH("3",B4)))</formula>
    </cfRule>
    <cfRule type="containsText" priority="16" operator="containsText" aboveAverage="0" equalAverage="0" bottom="0" percent="0" rank="0" text="2" dxfId="906">
      <formula>NOT(ISERROR(SEARCH("2",B4)))</formula>
    </cfRule>
    <cfRule type="containsText" priority="17" operator="containsText" aboveAverage="0" equalAverage="0" bottom="0" percent="0" rank="0" text="1" dxfId="907">
      <formula>NOT(ISERROR(SEARCH("1",B4)))</formula>
    </cfRule>
  </conditionalFormatting>
  <conditionalFormatting sqref="I56:I63">
    <cfRule type="dataBar" priority="18">
      <dataBar showValue="1" minLength="10" maxLength="90">
        <cfvo type="min" val="0"/>
        <cfvo type="max" val="0"/>
        <color rgb="FFFFB628"/>
      </dataBar>
      <extLst>
        <ext xmlns:x14="http://schemas.microsoft.com/office/spreadsheetml/2009/9/main" uri="{B025F937-C7B1-47D3-B67F-A62EFF666E3E}">
          <x14:id>{ECFAA0A5-29F0-4BDF-9A35-FED441F591D0}</x14:id>
        </ext>
      </extLst>
    </cfRule>
  </conditionalFormatting>
  <conditionalFormatting sqref="I52:I53 J47:J51">
    <cfRule type="dataBar" priority="19">
      <dataBar showValue="1" minLength="10" maxLength="90">
        <cfvo type="min" val="0"/>
        <cfvo type="max" val="0"/>
        <color rgb="FFFFB628"/>
      </dataBar>
      <extLst>
        <ext xmlns:x14="http://schemas.microsoft.com/office/spreadsheetml/2009/9/main" uri="{B025F937-C7B1-47D3-B67F-A62EFF666E3E}">
          <x14:id>{6DB1393A-588E-4711-B25C-7D2210561653}</x14:id>
        </ext>
      </extLst>
    </cfRule>
  </conditionalFormatting>
  <conditionalFormatting sqref="U2:AG2">
    <cfRule type="dataBar" priority="20">
      <dataBar showValue="1" minLength="10" maxLength="90">
        <cfvo type="min" val="0"/>
        <cfvo type="max" val="0"/>
        <color rgb="FF63C384"/>
      </dataBar>
      <extLst>
        <ext xmlns:x14="http://schemas.microsoft.com/office/spreadsheetml/2009/9/main" uri="{B025F937-C7B1-47D3-B67F-A62EFF666E3E}">
          <x14:id>{6EFC473E-5A83-45B8-BEF1-2F67873015E5}</x14:id>
        </ext>
      </extLst>
    </cfRule>
  </conditionalFormatting>
  <conditionalFormatting sqref="N2:T2">
    <cfRule type="dataBar" priority="21">
      <dataBar showValue="1" minLength="10" maxLength="90">
        <cfvo type="min" val="0"/>
        <cfvo type="max" val="0"/>
        <color rgb="FFFFB628"/>
      </dataBar>
      <extLst>
        <ext xmlns:x14="http://schemas.microsoft.com/office/spreadsheetml/2009/9/main" uri="{B025F937-C7B1-47D3-B67F-A62EFF666E3E}">
          <x14:id>{C8ACCA7A-E4EB-47A6-8EC8-33BC45D05ED3}</x14:id>
        </ext>
      </extLst>
    </cfRule>
  </conditionalFormatting>
  <conditionalFormatting sqref="N2:AG2">
    <cfRule type="dataBar" priority="22">
      <dataBar showValue="1" minLength="10" maxLength="90">
        <cfvo type="min" val="0"/>
        <cfvo type="max" val="0"/>
        <color rgb="FFFFB628"/>
      </dataBar>
      <extLst>
        <ext xmlns:x14="http://schemas.microsoft.com/office/spreadsheetml/2009/9/main" uri="{B025F937-C7B1-47D3-B67F-A62EFF666E3E}">
          <x14:id>{616ABD26-97DF-4CD2-ADC1-A6405A4F6331}</x14:id>
        </ext>
      </extLst>
    </cfRule>
  </conditionalFormatting>
  <conditionalFormatting sqref="N2:S2">
    <cfRule type="dataBar" priority="23">
      <dataBar showValue="1" minLength="10" maxLength="90">
        <cfvo type="min" val="0"/>
        <cfvo type="max" val="0"/>
        <color rgb="FF638EC6"/>
      </dataBar>
      <extLst>
        <ext xmlns:x14="http://schemas.microsoft.com/office/spreadsheetml/2009/9/main" uri="{B025F937-C7B1-47D3-B67F-A62EFF666E3E}">
          <x14:id>{AAB68041-7ABE-49EE-815F-30D948637155}</x14:id>
        </ext>
      </extLst>
    </cfRule>
  </conditionalFormatting>
  <conditionalFormatting sqref="T2">
    <cfRule type="dataBar" priority="24">
      <dataBar showValue="1" minLength="10" maxLength="90">
        <cfvo type="min" val="0"/>
        <cfvo type="max" val="0"/>
        <color rgb="FF63C384"/>
      </dataBar>
      <extLst>
        <ext xmlns:x14="http://schemas.microsoft.com/office/spreadsheetml/2009/9/main" uri="{B025F937-C7B1-47D3-B67F-A62EFF666E3E}">
          <x14:id>{C8B5D42B-C5B0-4F97-9C4B-E0B846E730A6}</x14:id>
        </ext>
      </extLst>
    </cfRule>
  </conditionalFormatting>
  <conditionalFormatting sqref="A4:A39">
    <cfRule type="colorScale" priority="25">
      <colorScale>
        <cfvo type="min" val="0"/>
        <cfvo type="percentile" val="50"/>
        <cfvo type="max" val="0"/>
        <color rgb="FFFFCC99"/>
        <color rgb="FFFFD966"/>
        <color rgb="FFFFF2CC"/>
      </colorScale>
    </cfRule>
  </conditionalFormatting>
  <conditionalFormatting sqref="J4:J39">
    <cfRule type="iconSet" priority="26">
      <iconSet iconSet="3TrafficLights1">
        <cfvo type="percent" val="0"/>
        <cfvo type="percent" val="33"/>
        <cfvo type="percent" val="67"/>
      </iconSet>
    </cfRule>
  </conditionalFormatting>
  <dataValidations count="4">
    <dataValidation allowBlank="true" errorStyle="stop" operator="between" showDropDown="false" showErrorMessage="true" showInputMessage="true" sqref="B1" type="list">
      <formula1>Data!$A$2:$A$106</formula1>
      <formula2>0</formula2>
    </dataValidation>
    <dataValidation allowBlank="true" errorStyle="information" errorTitle="OK ?" operator="between" showDropDown="false" showErrorMessage="true" showInputMessage="true" sqref="F4:F39" type="list">
      <formula1>Data!$D$2:$D$16</formula1>
      <formula2>0</formula2>
    </dataValidation>
    <dataValidation allowBlank="false" errorStyle="stop" operator="between" showDropDown="false" showErrorMessage="true" showInputMessage="true" sqref="E4:E39" type="list">
      <formula1>Data!$E$2:$E$30</formula1>
      <formula2>0</formula2>
    </dataValidation>
    <dataValidation allowBlank="true" errorStyle="stop" operator="between" showDropDown="false" showErrorMessage="true" showInputMessage="true" sqref="B4:B39" type="list">
      <formula1>Data!$C$2:$C$8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  <tableParts>
    <tablePart r:id="rId4"/>
    <tablePart r:id="rId5"/>
    <tablePart r:id="rId6"/>
    <tablePart r:id="rId7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ECFAA0A5-29F0-4BDF-9A35-FED441F591D0}">
            <x14:dataBar minLength="10" maxLength="90" axisPosition="automatic" gradient="true">
              <x14:cfvo type="autoMin"/>
              <x14:cfvo type="autoMax"/>
              <x14:negativeFillColor rgb="FFFF0000"/>
              <x14:axisColor rgb="FF000000"/>
            </x14:dataBar>
          </x14:cfRule>
          <xm:sqref>I56:I63</xm:sqref>
        </x14:conditionalFormatting>
        <x14:conditionalFormatting xmlns:xm="http://schemas.microsoft.com/office/excel/2006/main">
          <x14:cfRule type="dataBar" id="{6DB1393A-588E-4711-B25C-7D2210561653}">
            <x14:dataBar minLength="10" maxLength="90" axisPosition="automatic" gradient="true">
              <x14:cfvo type="autoMin"/>
              <x14:cfvo type="autoMax"/>
              <x14:negativeFillColor rgb="FFFF0000"/>
              <x14:axisColor rgb="FF000000"/>
            </x14:dataBar>
          </x14:cfRule>
          <xm:sqref>I52:I53 J47:J51</xm:sqref>
        </x14:conditionalFormatting>
        <x14:conditionalFormatting xmlns:xm="http://schemas.microsoft.com/office/excel/2006/main">
          <x14:cfRule type="dataBar" id="{6EFC473E-5A83-45B8-BEF1-2F67873015E5}">
            <x14:dataBar minLength="10" maxLength="90" axisPosition="automatic" gradient="true">
              <x14:cfvo type="autoMin"/>
              <x14:cfvo type="autoMax"/>
              <x14:negativeFillColor rgb="FFFF0000"/>
              <x14:axisColor rgb="FF000000"/>
            </x14:dataBar>
          </x14:cfRule>
          <xm:sqref>U2:AG2</xm:sqref>
        </x14:conditionalFormatting>
        <x14:conditionalFormatting xmlns:xm="http://schemas.microsoft.com/office/excel/2006/main">
          <x14:cfRule type="dataBar" id="{C8ACCA7A-E4EB-47A6-8EC8-33BC45D05ED3}">
            <x14:dataBar minLength="10" maxLength="90" axisPosition="automatic" gradient="true">
              <x14:cfvo type="autoMin"/>
              <x14:cfvo type="autoMax"/>
              <x14:negativeFillColor rgb="FFFF0000"/>
              <x14:axisColor rgb="FF000000"/>
            </x14:dataBar>
          </x14:cfRule>
          <xm:sqref>N2:T2</xm:sqref>
        </x14:conditionalFormatting>
        <x14:conditionalFormatting xmlns:xm="http://schemas.microsoft.com/office/excel/2006/main">
          <x14:cfRule type="dataBar" id="{616ABD26-97DF-4CD2-ADC1-A6405A4F6331}">
            <x14:dataBar minLength="10" maxLength="90" axisPosition="automatic" gradient="false">
              <x14:cfvo type="autoMin"/>
              <x14:cfvo type="autoMax"/>
              <x14:negativeFillColor rgb="FFFF0000"/>
              <x14:axisColor rgb="FF000000"/>
            </x14:dataBar>
          </x14:cfRule>
          <xm:sqref>N2:AG2</xm:sqref>
        </x14:conditionalFormatting>
        <x14:conditionalFormatting xmlns:xm="http://schemas.microsoft.com/office/excel/2006/main">
          <x14:cfRule type="dataBar" id="{AAB68041-7ABE-49EE-815F-30D948637155}">
            <x14:dataBar minLength="10" maxLength="90" axisPosition="automatic" gradient="false">
              <x14:cfvo type="autoMin"/>
              <x14:cfvo type="autoMax"/>
              <x14:negativeFillColor rgb="FFFF0000"/>
              <x14:axisColor rgb="FF000000"/>
            </x14:dataBar>
          </x14:cfRule>
          <xm:sqref>N2:S2</xm:sqref>
        </x14:conditionalFormatting>
        <x14:conditionalFormatting xmlns:xm="http://schemas.microsoft.com/office/excel/2006/main">
          <x14:cfRule type="dataBar" id="{C8B5D42B-C5B0-4F97-9C4B-E0B846E730A6}">
            <x14:dataBar minLength="10" maxLength="90" axisPosition="automatic" gradient="false">
              <x14:cfvo type="autoMin"/>
              <x14:cfvo type="autoMax"/>
              <x14:negativeFillColor rgb="FFFF0000"/>
              <x14:axisColor rgb="FF000000"/>
            </x14:dataBar>
          </x14:cfRule>
          <xm:sqref>T2</xm:sqref>
        </x14:conditionalFormatting>
      </x14:conditionalFormattings>
    </ext>
  </extLst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10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28" activePane="bottomLeft" state="frozen"/>
      <selection pane="topLeft" activeCell="A1" activeCellId="0" sqref="A1"/>
      <selection pane="bottomLeft" activeCell="G22" activeCellId="0" sqref="G22"/>
    </sheetView>
  </sheetViews>
  <sheetFormatPr defaultColWidth="8.6796875" defaultRowHeight="15" zeroHeight="false" outlineLevelRow="1" outlineLevelCol="1"/>
  <cols>
    <col collapsed="false" customWidth="true" hidden="false" outlineLevel="0" max="1" min="1" style="0" width="16.57"/>
    <col collapsed="false" customWidth="true" hidden="false" outlineLevel="0" max="2" min="2" style="0" width="17.71"/>
    <col collapsed="false" customWidth="true" hidden="false" outlineLevel="0" max="3" min="3" style="0" width="11"/>
    <col collapsed="false" customWidth="true" hidden="false" outlineLevel="0" max="4" min="4" style="0" width="10.57"/>
    <col collapsed="false" customWidth="true" hidden="false" outlineLevel="0" max="5" min="5" style="0" width="25.42"/>
    <col collapsed="false" customWidth="true" hidden="false" outlineLevel="0" max="6" min="6" style="0" width="24.71"/>
    <col collapsed="false" customWidth="true" hidden="false" outlineLevel="0" max="7" min="7" style="0" width="22.29"/>
    <col collapsed="false" customWidth="true" hidden="false" outlineLevel="0" max="8" min="8" style="0" width="16"/>
    <col collapsed="false" customWidth="true" hidden="false" outlineLevel="0" max="9" min="9" style="0" width="12.71"/>
    <col collapsed="false" customWidth="true" hidden="false" outlineLevel="0" max="10" min="10" style="0" width="10.57"/>
    <col collapsed="false" customWidth="true" hidden="false" outlineLevel="0" max="11" min="11" style="0" width="16.14"/>
    <col collapsed="false" customWidth="true" hidden="false" outlineLevel="0" max="12" min="12" style="0" width="7.71"/>
    <col collapsed="false" customWidth="true" hidden="false" outlineLevel="0" max="13" min="13" style="224" width="9.86"/>
    <col collapsed="false" customWidth="true" hidden="false" outlineLevel="1" max="14" min="14" style="0" width="10.29"/>
    <col collapsed="false" customWidth="true" hidden="false" outlineLevel="1" max="15" min="15" style="0" width="9.57"/>
    <col collapsed="false" customWidth="true" hidden="false" outlineLevel="1" max="16" min="16" style="0" width="8.57"/>
    <col collapsed="false" customWidth="true" hidden="false" outlineLevel="1" max="18" min="17" style="0" width="7.29"/>
    <col collapsed="false" customWidth="true" hidden="false" outlineLevel="1" max="19" min="19" style="0" width="8.57"/>
    <col collapsed="false" customWidth="true" hidden="false" outlineLevel="1" max="20" min="20" style="0" width="7.71"/>
    <col collapsed="false" customWidth="true" hidden="false" outlineLevel="1" max="21" min="21" style="0" width="12"/>
    <col collapsed="false" customWidth="true" hidden="false" outlineLevel="1" max="22" min="22" style="0" width="10.14"/>
    <col collapsed="false" customWidth="true" hidden="false" outlineLevel="1" max="23" min="23" style="0" width="11.71"/>
    <col collapsed="false" customWidth="true" hidden="false" outlineLevel="1" max="24" min="24" style="0" width="12.71"/>
    <col collapsed="false" customWidth="true" hidden="false" outlineLevel="1" max="25" min="25" style="0" width="8.57"/>
    <col collapsed="false" customWidth="true" hidden="false" outlineLevel="1" max="26" min="26" style="0" width="7.29"/>
    <col collapsed="false" customWidth="true" hidden="false" outlineLevel="1" max="27" min="27" style="0" width="9.71"/>
    <col collapsed="false" customWidth="true" hidden="false" outlineLevel="1" max="28" min="28" style="0" width="11.43"/>
    <col collapsed="false" customWidth="true" hidden="false" outlineLevel="1" max="29" min="29" style="0" width="10"/>
    <col collapsed="false" customWidth="true" hidden="false" outlineLevel="1" max="30" min="30" style="0" width="9.86"/>
    <col collapsed="false" customWidth="true" hidden="false" outlineLevel="1" max="31" min="31" style="0" width="7.86"/>
    <col collapsed="false" customWidth="true" hidden="false" outlineLevel="1" max="32" min="32" style="0" width="18.71"/>
    <col collapsed="false" customWidth="true" hidden="false" outlineLevel="1" max="33" min="33" style="0" width="27.15"/>
    <col collapsed="false" customWidth="true" hidden="false" outlineLevel="1" max="34" min="34" style="0" width="5.42"/>
  </cols>
  <sheetData>
    <row r="1" customFormat="false" ht="22.05" hidden="false" customHeight="false" outlineLevel="0" collapsed="false">
      <c r="A1" s="225" t="str">
        <f aca="false">"Semaine du " &amp; Data!D41</f>
        <v>Semaine du </v>
      </c>
      <c r="B1" s="226" t="n">
        <v>44221</v>
      </c>
      <c r="C1" s="227"/>
      <c r="D1" s="321" t="s">
        <v>361</v>
      </c>
      <c r="E1" s="322" t="n">
        <f aca="false">AVERAGE(F2:J2)</f>
        <v>7.6</v>
      </c>
      <c r="F1" s="323" t="s">
        <v>0</v>
      </c>
      <c r="G1" s="324" t="s">
        <v>1</v>
      </c>
      <c r="H1" s="324" t="s">
        <v>2</v>
      </c>
      <c r="I1" s="324" t="s">
        <v>3</v>
      </c>
      <c r="J1" s="324" t="s">
        <v>4</v>
      </c>
      <c r="K1" s="325" t="s">
        <v>401</v>
      </c>
      <c r="L1" s="234" t="n">
        <f aca="false">COUNTIF(Horodateur11233538192231343743464952555861646985222634384650585462667074788290989410210611411811012212613013413814214615015415816216617017417818218619019419820220621021441014[O],"o")+ COUNTIF(Horodateur11233538192231343743464952555861646985222634384650585462667074788290989410210611411811012212613013413814214615015415816216617017417818218619019419820220621021441014[O],".")</f>
        <v>40</v>
      </c>
      <c r="M1" s="128" t="n">
        <f aca="false">B2</f>
        <v>38</v>
      </c>
      <c r="N1" s="131" t="s">
        <v>21</v>
      </c>
      <c r="O1" s="130" t="s">
        <v>20</v>
      </c>
      <c r="P1" s="130" t="s">
        <v>23</v>
      </c>
      <c r="Q1" s="130" t="s">
        <v>25</v>
      </c>
      <c r="R1" s="130" t="s">
        <v>26</v>
      </c>
      <c r="S1" s="130" t="s">
        <v>378</v>
      </c>
      <c r="T1" s="130" t="s">
        <v>380</v>
      </c>
      <c r="U1" s="136" t="s">
        <v>32</v>
      </c>
      <c r="V1" s="136" t="s">
        <v>69</v>
      </c>
      <c r="W1" s="136" t="s">
        <v>66</v>
      </c>
      <c r="X1" s="136" t="s">
        <v>47</v>
      </c>
      <c r="Y1" s="136" t="s">
        <v>68</v>
      </c>
      <c r="Z1" s="136" t="s">
        <v>41</v>
      </c>
      <c r="AA1" s="136" t="s">
        <v>61</v>
      </c>
      <c r="AB1" s="136" t="s">
        <v>74</v>
      </c>
      <c r="AC1" s="136" t="s">
        <v>37</v>
      </c>
      <c r="AD1" s="136" t="s">
        <v>77</v>
      </c>
      <c r="AE1" s="136" t="s">
        <v>45</v>
      </c>
      <c r="AF1" s="136" t="s">
        <v>78</v>
      </c>
      <c r="AG1" s="136" t="s">
        <v>79</v>
      </c>
      <c r="AH1" s="87" t="str">
        <f aca="false">SUM(M4:M43) &amp; " / " &amp; B2-SUM(M4:M43)</f>
        <v>37 / 0,999999999999993</v>
      </c>
    </row>
    <row r="2" customFormat="false" ht="22.05" hidden="false" customHeight="false" outlineLevel="0" collapsed="false">
      <c r="A2" s="327" t="n">
        <f aca="false">SUM(Horodateur11233538192231343743464952555861646985222634384650585462667074788290989410210611411811012212613013413814214615015415816216617017417818218619019419820220621021441014[Durée (60)])</f>
        <v>1.58333333333333</v>
      </c>
      <c r="B2" s="328" t="n">
        <f aca="false">SUM(Horodateur11233538192231343743464952555861646985222634384650585462667074788290989410210611411811012212613013413814214615015415816216617017417818218619019419820220621021441014[Durée (100)])</f>
        <v>38</v>
      </c>
      <c r="C2" s="339" t="str">
        <f aca="false">M2</f>
        <v>37 / 0,999999999999993</v>
      </c>
      <c r="D2" s="238"/>
      <c r="E2" s="239"/>
      <c r="F2" s="329" t="n">
        <f aca="false">SUMIF(Horodateur11233538192231343743464952555861646985222634384650585462667074788290989410210611411811012212613013413814214615015415816216617017417818218619019419820220621021441014[Jour],"1- Lundi",Horodateur11233538192231343743464952555861646985222634384650585462667074788290989410210611411811012212613013413814214615015415816216617017417818218619019419820220621021441014[Durée (100)])</f>
        <v>7.5</v>
      </c>
      <c r="G2" s="330" t="n">
        <f aca="false">SUMIF(Horodateur11233538192231343743464952555861646985222634384650585462667074788290989410210611411811012212613013413814214615015415816216617017417818218619019419820220621021441014[Jour],"2- Mardi",Horodateur11233538192231343743464952555861646985222634384650585462667074788290989410210611411811012212613013413814214615015415816216617017417818218619019419820220621021441014[Durée (100)])</f>
        <v>8</v>
      </c>
      <c r="H2" s="330" t="n">
        <f aca="false">SUMIF(Horodateur11233538192231343743464952555861646985222634384650585462667074788290989410210611411811012212613013413814214615015415816216617017417818218619019419820220621021441014[Jour],"3- Mercredi",Horodateur11233538192231343743464952555861646985222634384650585462667074788290989410210611411811012212613013413814214615015415816216617017417818218619019419820220621021441014[Durée (100)])</f>
        <v>9</v>
      </c>
      <c r="I2" s="330" t="n">
        <f aca="false">SUMIF(Horodateur11233538192231343743464952555861646985222634384650585462667074788290989410210611411811012212613013413814214615015415816216617017417818218619019419820220621021441014[Jour],"4- Jeudi",Horodateur11233538192231343743464952555861646985222634384650585462667074788290989410210611411811012212613013413814214615015415816216617017417818218619019419820220621021441014[Durée (100)])</f>
        <v>8.5</v>
      </c>
      <c r="J2" s="330" t="n">
        <f aca="false">SUMIF(Horodateur11233538192231343743464952555861646985222634384650585462667074788290989410210611411811012212613013413814214615015415816216617017417818218619019419820220621021441014[Jour],"5- Vendredi",Horodateur11233538192231343743464952555861646985222634384650585462667074788290989410210611411811012212613013413814214615015415816216617017417818218619019419820220621021441014[Durée (100)])</f>
        <v>5</v>
      </c>
      <c r="K2" s="331" t="str">
        <f aca="false">ROUND(SUMIF(Horodateur11233538192231343743464952555861646985222634384650585462667074788290989410210611411811012212613013413814214615015415816216617017417818218619019419820220621021441014[Jour],"6- Samedi",Horodateur11233538192231343743464952555861646985222634384650585462667074788290989410210611411811012212613013413814214615015415816216617017417818218619019419820220621021441014[Durée (100)]),2) &amp;  "   /    " &amp;  ROUND(SUMIF(Horodateur11233538192231343743464952555861646985222634384650585462667074788290989410210611411811012212613013413814214615015415816216617017417818218619019419820220621021441014[Jour],"7- Dimanche",Horodateur11233538192231343743464952555861646985222634384650585462667074788290989410210611411811012212613013413814214615015415816216617017417818218619019419820220621021441014[Durée (100)]),2)</f>
        <v>0   /    0</v>
      </c>
      <c r="L2" s="244" t="str">
        <f aca="false">COUNTIF(Horodateur11233538192231343743464952555861646985222634384650585462667074788290989410210611411811012212613013413814214615015415816216617017417818218619019419820220621021441014[O],"o")&amp;" / " &amp;  COUNTIF(Horodateur11233538192231343743464952555861646985222634384650585462667074788290989410210611411811012212613013413814214615015415816216617017417818218619019419820220621021441014[O],".")</f>
        <v>37 / 3</v>
      </c>
      <c r="M2" s="143" t="str">
        <f aca="false">SUM(M4:M43) &amp; " / " &amp; B2-SUM(M4:M43)</f>
        <v>37 / 0,999999999999993</v>
      </c>
      <c r="N2" s="248" t="n">
        <f aca="false">SUMIF(Horodateur11233538192231343743464952555861646985222634384650585462667074788290989410210611411811012212613013413814214615015415816216617017417818218619019419820220621021441014[Tâche],N$1,Horodateur11233538192231343743464952555861646985222634384650585462667074788290989410210611411811012212613013413814214615015415816216617017417818218619019419820220621021441014[Durée (100)])</f>
        <v>3.5</v>
      </c>
      <c r="O2" s="247" t="n">
        <f aca="false">SUMIF(Horodateur11233538192231343743464952555861646985222634384650585462667074788290989410210611411811012212613013413814214615015415816216617017417818218619019419820220621021441014[Tâche],O$1,Horodateur11233538192231343743464952555861646985222634384650585462667074788290989410210611411811012212613013413814214615015415816216617017417818218619019419820220621021441014[Durée (100)])</f>
        <v>0.5</v>
      </c>
      <c r="P2" s="247" t="n">
        <f aca="false">SUMIF(Horodateur11233538192231343743464952555861646985222634384650585462667074788290989410210611411811012212613013413814214615015415816216617017417818218619019419820220621021441014[Tâche],P$1,Horodateur11233538192231343743464952555861646985222634384650585462667074788290989410210611411811012212613013413814214615015415816216617017417818218619019419820220621021441014[Durée (100)])</f>
        <v>4</v>
      </c>
      <c r="Q2" s="247" t="n">
        <f aca="false">SUMIF(Horodateur11233538192231343743464952555861646985222634384650585462667074788290989410210611411811012212613013413814214615015415816216617017417818218619019419820220621021441014[Tâche],Q$1,Horodateur11233538192231343743464952555861646985222634384650585462667074788290989410210611411811012212613013413814214615015415816216617017417818218619019419820220621021441014[Durée (100)])</f>
        <v>0</v>
      </c>
      <c r="R2" s="247" t="n">
        <f aca="false">SUMIF(Horodateur11233538192231343743464952555861646985222634384650585462667074788290989410210611411811012212613013413814214615015415816216617017417818218619019419820220621021441014[Tâche],R$1,Horodateur11233538192231343743464952555861646985222634384650585462667074788290989410210611411811012212613013413814214615015415816216617017417818218619019419820220621021441014[Durée (100)])</f>
        <v>0</v>
      </c>
      <c r="S2" s="247" t="n">
        <f aca="false">SUMIF(Horodateur11233538192231343743464952555861646985222634384650585462667074788290989410210611411811012212613013413814214615015415816216617017417818218619019419820220621021441014[Tâche],S$1,Horodateur11233538192231343743464952555861646985222634384650585462667074788290989410210611411811012212613013413814214615015415816216617017417818218619019419820220621021441014[Durée (100)])</f>
        <v>17.5</v>
      </c>
      <c r="T2" s="247" t="n">
        <f aca="false">SUMIF(Horodateur11233538192231343743464952555861646985222634384650585462667074788290989410210611411811012212613013413814214615015415816216617017417818218619019419820220621021441014[Tâche],T$1,Horodateur11233538192231343743464952555861646985222634384650585462667074788290989410210611411811012212613013413814214615015415816216617017417818218619019419820220621021441014[Durée (100)])</f>
        <v>0</v>
      </c>
      <c r="U2" s="151" t="n">
        <f aca="false">SUMIF(Horodateur11233538192231343743464952555861646985222634384650585462667074788290989410210611411811012212613013413814214615015415816216617017417818218619019419820220621021441014[Client],U$1,Horodateur11233538192231343743464952555861646985222634384650585462667074788290989410210611411811012212613013413814214615015415816216617017417818218619019419820220621021441014[Durée (100)])</f>
        <v>9.75</v>
      </c>
      <c r="V2" s="151" t="n">
        <f aca="false">SUMIF(Horodateur11233538192231343743464952555861646985222634384650585462667074788290989410210611411811012212613013413814214615015415816216617017417818218619019419820220621021441014[Client],V$1,Horodateur11233538192231343743464952555861646985222634384650585462667074788290989410210611411811012212613013413814214615015415816216617017417818218619019419820220621021441014[Durée (100)])</f>
        <v>0</v>
      </c>
      <c r="W2" s="151" t="n">
        <f aca="false">SUMIF(Horodateur11233538192231343743464952555861646985222634384650585462667074788290989410210611411811012212613013413814214615015415816216617017417818218619019419820220621021441014[Client],W$1,Horodateur11233538192231343743464952555861646985222634384650585462667074788290989410210611411811012212613013413814214615015415816216617017417818218619019419820220621021441014[Durée (100)])</f>
        <v>2</v>
      </c>
      <c r="X2" s="151" t="n">
        <f aca="false">SUMIF(Horodateur11233538192231343743464952555861646985222634384650585462667074788290989410210611411811012212613013413814214615015415816216617017417818218619019419820220621021441014[Client],X$1,Horodateur11233538192231343743464952555861646985222634384650585462667074788290989410210611411811012212613013413814214615015415816216617017417818218619019419820220621021441014[Durée (100)])</f>
        <v>0</v>
      </c>
      <c r="Y2" s="151" t="n">
        <f aca="false">SUMIF(Horodateur11233538192231343743464952555861646985222634384650585462667074788290989410210611411811012212613013413814214615015415816216617017417818218619019419820220621021441014[Client],Y$1,Horodateur11233538192231343743464952555861646985222634384650585462667074788290989410210611411811012212613013413814214615015415816216617017417818218619019419820220621021441014[Durée (100)])</f>
        <v>0</v>
      </c>
      <c r="Z2" s="151" t="n">
        <f aca="false">SUMIF(Horodateur11233538192231343743464952555861646985222634384650585462667074788290989410210611411811012212613013413814214615015415816216617017417818218619019419820220621021441014[Client],Z$1,Horodateur11233538192231343743464952555861646985222634384650585462667074788290989410210611411811012212613013413814214615015415816216617017417818218619019419820220621021441014[Durée (100)])</f>
        <v>0</v>
      </c>
      <c r="AA2" s="151" t="n">
        <f aca="false">SUMIF(Horodateur11233538192231343743464952555861646985222634384650585462667074788290989410210611411811012212613013413814214615015415816216617017417818218619019419820220621021441014[Client],AA$1,Horodateur11233538192231343743464952555861646985222634384650585462667074788290989410210611411811012212613013413814214615015415816216617017417818218619019419820220621021441014[Durée (100)])</f>
        <v>0</v>
      </c>
      <c r="AB2" s="151" t="n">
        <f aca="false">SUMIF(Horodateur11233538192231343743464952555861646985222634384650585462667074788290989410210611411811012212613013413814214615015415816216617017417818218619019419820220621021441014[Client],AB$1,Horodateur11233538192231343743464952555861646985222634384650585462667074788290989410210611411811012212613013413814214615015415816216617017417818218619019419820220621021441014[Durée (100)])</f>
        <v>10.75</v>
      </c>
      <c r="AC2" s="151" t="n">
        <f aca="false">SUMIF(Horodateur11233538192231343743464952555861646985222634384650585462667074788290989410210611411811012212613013413814214615015415816216617017417818218619019419820220621021441014[Client],AC$1,Horodateur11233538192231343743464952555861646985222634384650585462667074788290989410210611411811012212613013413814214615015415816216617017417818218619019419820220621021441014[Durée (100)])</f>
        <v>1.25</v>
      </c>
      <c r="AD2" s="151" t="n">
        <f aca="false">SUMIF(Horodateur11233538192231343743464952555861646985222634384650585462667074788290989410210611411811012212613013413814214615015415816216617017417818218619019419820220621021441014[Client],AD$1,Horodateur11233538192231343743464952555861646985222634384650585462667074788290989410210611411811012212613013413814214615015415816216617017417818218619019419820220621021441014[Durée (100)])</f>
        <v>0</v>
      </c>
      <c r="AE2" s="151" t="n">
        <f aca="false">SUMIF(Horodateur11233538192231343743464952555861646985222634384650585462667074788290989410210611411811012212613013413814214615015415816216617017417818218619019419820220621021441014[Client],AE$1,Horodateur11233538192231343743464952555861646985222634384650585462667074788290989410210611411811012212613013413814214615015415816216617017417818218619019419820220621021441014[Durée (100)])</f>
        <v>1</v>
      </c>
      <c r="AF2" s="151" t="n">
        <f aca="false">SUMIF(Horodateur11233538192231343743464952555861646985222634384650585462667074788290989410210611411811012212613013413814214615015415816216617017417818218619019419820220621021441014[Client],AF$1,Horodateur11233538192231343743464952555861646985222634384650585462667074788290989410210611411811012212613013413814214615015415816216617017417818218619019419820220621021441014[Durée (100)])</f>
        <v>0</v>
      </c>
      <c r="AG2" s="151" t="n">
        <f aca="false">SUMIF(Horodateur11233538192231343743464952555861646985222634384650585462667074788290989410210611411811012212613013413814214615015415816216617017417818218619019419820220621021441014[Client],AG$1,Horodateur11233538192231343743464952555861646985222634384650585462667074788290989410210611411811012212613013413814214615015415816216617017417818218619019419820220621021441014[Durée (100)])</f>
        <v>0</v>
      </c>
    </row>
    <row r="3" s="137" customFormat="true" ht="15" hidden="false" customHeight="false" outlineLevel="0" collapsed="false">
      <c r="A3" s="249" t="s">
        <v>8</v>
      </c>
      <c r="B3" s="249" t="s">
        <v>9</v>
      </c>
      <c r="C3" s="193" t="s">
        <v>10</v>
      </c>
      <c r="D3" s="193" t="s">
        <v>11</v>
      </c>
      <c r="E3" s="250" t="s">
        <v>12</v>
      </c>
      <c r="F3" s="250" t="s">
        <v>13</v>
      </c>
      <c r="G3" s="250" t="s">
        <v>14</v>
      </c>
      <c r="H3" s="193" t="s">
        <v>302</v>
      </c>
      <c r="I3" s="252" t="s">
        <v>364</v>
      </c>
      <c r="J3" s="253" t="s">
        <v>365</v>
      </c>
      <c r="K3" s="250" t="s">
        <v>402</v>
      </c>
      <c r="L3" s="255" t="s">
        <v>7</v>
      </c>
      <c r="M3" s="254" t="s">
        <v>29</v>
      </c>
      <c r="N3" s="153" t="n">
        <f aca="false">N2/$B$2</f>
        <v>0.0921052631578948</v>
      </c>
      <c r="O3" s="153" t="n">
        <f aca="false">O2/$B$2</f>
        <v>0.0131578947368421</v>
      </c>
      <c r="P3" s="153" t="n">
        <f aca="false">P2/$B$2</f>
        <v>0.105263157894737</v>
      </c>
      <c r="Q3" s="153" t="n">
        <f aca="false">Q2/$B$2</f>
        <v>0</v>
      </c>
      <c r="R3" s="153" t="n">
        <f aca="false">R2/$B$2</f>
        <v>0</v>
      </c>
      <c r="S3" s="153" t="n">
        <f aca="false">S2/$B$2</f>
        <v>0.460526315789474</v>
      </c>
      <c r="T3" s="153" t="n">
        <f aca="false">T2/$B$2</f>
        <v>0</v>
      </c>
      <c r="U3" s="153" t="n">
        <f aca="false">U2/$B$2</f>
        <v>0.256578947368421</v>
      </c>
      <c r="V3" s="153" t="n">
        <f aca="false">V2/$B$2</f>
        <v>0</v>
      </c>
      <c r="W3" s="153" t="n">
        <f aca="false">W2/$B$2</f>
        <v>0.0526315789473684</v>
      </c>
      <c r="X3" s="153" t="n">
        <f aca="false">X2/$B$2</f>
        <v>0</v>
      </c>
      <c r="Y3" s="153" t="n">
        <f aca="false">Y2/$B$2</f>
        <v>0</v>
      </c>
      <c r="Z3" s="153" t="n">
        <f aca="false">Z2/$B$2</f>
        <v>0</v>
      </c>
      <c r="AA3" s="153" t="n">
        <f aca="false">AA2/$B$2</f>
        <v>0</v>
      </c>
      <c r="AB3" s="153" t="n">
        <f aca="false">AB2/$B$2</f>
        <v>0.282894736842105</v>
      </c>
      <c r="AC3" s="153" t="n">
        <f aca="false">AC2/$B$2</f>
        <v>0.0328947368421052</v>
      </c>
      <c r="AD3" s="153" t="n">
        <f aca="false">AD2/$B$2</f>
        <v>0</v>
      </c>
      <c r="AE3" s="153" t="n">
        <f aca="false">AE2/$B$2</f>
        <v>0.0263157894736842</v>
      </c>
      <c r="AF3" s="153" t="n">
        <f aca="false">AF2/$B$2</f>
        <v>0</v>
      </c>
      <c r="AG3" s="153" t="n">
        <f aca="false">AG2/$B$2</f>
        <v>0</v>
      </c>
    </row>
    <row r="4" customFormat="false" ht="15" hidden="false" customHeight="false" outlineLevel="0" collapsed="false">
      <c r="A4" s="256" t="n">
        <f aca="false">IF(Horodateur11233538192231343743464952555861646985222634384650585462667074788290989410210611411811012212613013413814214615015415816216617017417818218619019419820220621021441014[[#This Row],[Jour]]="1- Lundi",$B$1+1, IF(Horodateur11233538192231343743464952555861646985222634384650585462667074788290989410210611411811012212613013413814214615015415816216617017417818218619019419820220621021441014[[#This Row],[Jour]]="2- Mardi",$B$1+2, IF(Horodateur11233538192231343743464952555861646985222634384650585462667074788290989410210611411811012212613013413814214615015415816216617017417818218619019419820220621021441014[[#This Row],[Jour]]="3- Mercredi",$B$1+3, IF(Horodateur11233538192231343743464952555861646985222634384650585462667074788290989410210611411811012212613013413814214615015415816216617017417818218619019419820220621021441014[[#This Row],[Jour]]="4- Jeudi",$B$1+4, IF(Horodateur11233538192231343743464952555861646985222634384650585462667074788290989410210611411811012212613013413814214615015415816216617017417818218619019419820220621021441014[[#This Row],[Jour]]="5- Vendredi",$B$1+5, IF(Horodateur11233538192231343743464952555861646985222634384650585462667074788290989410210611411811012212613013413814214615015415816216617017417818218619019419820220621021441014[[#This Row],[Jour]]="6- Samedi",$B$1+6, IF(Horodateur11233538192231343743464952555861646985222634384650585462667074788290989410210611411811012212613013413814214615015415816216617017417818218619019419820220621021441014[[#This Row],[Jour]]="7- Dimanche",$B$1, )))))))</f>
        <v>44222</v>
      </c>
      <c r="B4" s="257" t="s">
        <v>312</v>
      </c>
      <c r="C4" s="258" t="n">
        <v>0.333333333333333</v>
      </c>
      <c r="D4" s="258" t="n">
        <v>0.364583333333333</v>
      </c>
      <c r="E4" s="71" t="s">
        <v>32</v>
      </c>
      <c r="F4" s="71" t="s">
        <v>21</v>
      </c>
      <c r="G4" s="259" t="s">
        <v>94</v>
      </c>
      <c r="H4" s="258" t="n">
        <f aca="false">IF($C4=0,"",$D4-$C4)</f>
        <v>0.03125</v>
      </c>
      <c r="I4" s="260" t="n">
        <f aca="false">IF($C4=0,"",($H4-INT($H4))*24)</f>
        <v>0.75</v>
      </c>
      <c r="J4" s="303" t="n">
        <f aca="false">SUMIF(Horodateur11233538192231343743464952555861646985222634384650585462667074788290989410210611411811012212613013413814214615015415816216617017417818218619019419820220621021441014[Jour],$B4,Horodateur11233538192231343743464952555861646985222634384650585462667074788290989410210611411811012212613013413814214615015415816216617017417818218619019419820220621021441014[Durée (100)])</f>
        <v>7.5</v>
      </c>
      <c r="K4" s="335"/>
      <c r="L4" s="188" t="s">
        <v>31</v>
      </c>
      <c r="M4" s="272" t="n">
        <f aca="false">IF(Horodateur11233538192231343743464952555861646985222634384650585462667074788290989410210611411811012212613013413814214615015415816216617017417818218619019419820220621021441014[[#This Row],[O]]="o",Horodateur11233538192231343743464952555861646985222634384650585462667074788290989410210611411811012212613013413814214615015415816216617017417818218619019419820220621021441014[[#This Row],[Durée (100)]],".")</f>
        <v>0.75</v>
      </c>
      <c r="N4" s="187"/>
      <c r="O4" s="71"/>
      <c r="P4" s="71"/>
      <c r="Q4" s="71"/>
      <c r="R4" s="71"/>
      <c r="S4" s="71"/>
      <c r="T4" s="71"/>
      <c r="U4" s="71"/>
      <c r="V4" s="71"/>
      <c r="W4" s="71"/>
      <c r="X4" s="71"/>
      <c r="Y4" s="71"/>
      <c r="Z4" s="71"/>
      <c r="AA4" s="71"/>
      <c r="AB4" s="71"/>
      <c r="AC4" s="71"/>
      <c r="AD4" s="71"/>
      <c r="AE4" s="71"/>
      <c r="AF4" s="71"/>
      <c r="AG4" s="71"/>
    </row>
    <row r="5" customFormat="false" ht="15" hidden="false" customHeight="false" outlineLevel="0" collapsed="false">
      <c r="A5" s="256" t="n">
        <f aca="false">IF(Horodateur11233538192231343743464952555861646985222634384650585462667074788290989410210611411811012212613013413814214615015415816216617017417818218619019419820220621021441014[[#This Row],[Jour]]="1- Lundi",$B$1+1, IF(Horodateur11233538192231343743464952555861646985222634384650585462667074788290989410210611411811012212613013413814214615015415816216617017417818218619019419820220621021441014[[#This Row],[Jour]]="2- Mardi",$B$1+2, IF(Horodateur11233538192231343743464952555861646985222634384650585462667074788290989410210611411811012212613013413814214615015415816216617017417818218619019419820220621021441014[[#This Row],[Jour]]="3- Mercredi",$B$1+3, IF(Horodateur11233538192231343743464952555861646985222634384650585462667074788290989410210611411811012212613013413814214615015415816216617017417818218619019419820220621021441014[[#This Row],[Jour]]="4- Jeudi",$B$1+4, IF(Horodateur11233538192231343743464952555861646985222634384650585462667074788290989410210611411811012212613013413814214615015415816216617017417818218619019419820220621021441014[[#This Row],[Jour]]="5- Vendredi",$B$1+5, IF(Horodateur11233538192231343743464952555861646985222634384650585462667074788290989410210611411811012212613013413814214615015415816216617017417818218619019419820220621021441014[[#This Row],[Jour]]="6- Samedi",$B$1+6, IF(Horodateur11233538192231343743464952555861646985222634384650585462667074788290989410210611411811012212613013413814214615015415816216617017417818218619019419820220621021441014[[#This Row],[Jour]]="7- Dimanche",$B$1, )))))))</f>
        <v>44222</v>
      </c>
      <c r="B5" s="257" t="s">
        <v>312</v>
      </c>
      <c r="C5" s="258" t="n">
        <v>0.364583333333333</v>
      </c>
      <c r="D5" s="258" t="n">
        <v>0.385416666666667</v>
      </c>
      <c r="E5" s="71" t="s">
        <v>32</v>
      </c>
      <c r="F5" s="71" t="s">
        <v>20</v>
      </c>
      <c r="G5" s="259" t="s">
        <v>121</v>
      </c>
      <c r="H5" s="258" t="n">
        <f aca="false">IF($C5=0,"",$D5-$C5)</f>
        <v>0.0208333333333333</v>
      </c>
      <c r="I5" s="260" t="n">
        <f aca="false">IF($C5=0,"",($H5-INT($H5))*24)</f>
        <v>0.5</v>
      </c>
      <c r="J5" s="303" t="n">
        <f aca="false">SUMIF(Horodateur11233538192231343743464952555861646985222634384650585462667074788290989410210611411811012212613013413814214615015415816216617017417818218619019419820220621021441014[Jour],$B5,Horodateur11233538192231343743464952555861646985222634384650585462667074788290989410210611411811012212613013413814214615015415816216617017417818218619019419820220621021441014[Durée (100)])</f>
        <v>7.5</v>
      </c>
      <c r="K5" s="335"/>
      <c r="L5" s="188" t="s">
        <v>31</v>
      </c>
      <c r="M5" s="272" t="n">
        <f aca="false">IF(Horodateur11233538192231343743464952555861646985222634384650585462667074788290989410210611411811012212613013413814214615015415816216617017417818218619019419820220621021441014[[#This Row],[O]]="o",Horodateur11233538192231343743464952555861646985222634384650585462667074788290989410210611411811012212613013413814214615015415816216617017417818218619019419820220621021441014[[#This Row],[Durée (100)]],".")</f>
        <v>0.500000000000001</v>
      </c>
      <c r="N5" s="187"/>
      <c r="O5" s="71"/>
      <c r="P5" s="71"/>
      <c r="Q5" s="71"/>
      <c r="R5" s="71"/>
      <c r="S5" s="71"/>
      <c r="T5" s="71"/>
      <c r="U5" s="71"/>
      <c r="V5" s="71"/>
      <c r="W5" s="71"/>
      <c r="X5" s="71"/>
      <c r="Y5" s="71"/>
      <c r="Z5" s="71"/>
      <c r="AA5" s="71"/>
      <c r="AB5" s="71"/>
      <c r="AC5" s="71"/>
      <c r="AD5" s="71"/>
      <c r="AE5" s="71"/>
      <c r="AF5" s="71"/>
      <c r="AG5" s="71"/>
    </row>
    <row r="6" customFormat="false" ht="15" hidden="false" customHeight="false" outlineLevel="0" collapsed="false">
      <c r="A6" s="256" t="n">
        <f aca="false">IF(Horodateur11233538192231343743464952555861646985222634384650585462667074788290989410210611411811012212613013413814214615015415816216617017417818218619019419820220621021441014[[#This Row],[Jour]]="1- Lundi",$B$1+1, IF(Horodateur11233538192231343743464952555861646985222634384650585462667074788290989410210611411811012212613013413814214615015415816216617017417818218619019419820220621021441014[[#This Row],[Jour]]="2- Mardi",$B$1+2, IF(Horodateur11233538192231343743464952555861646985222634384650585462667074788290989410210611411811012212613013413814214615015415816216617017417818218619019419820220621021441014[[#This Row],[Jour]]="3- Mercredi",$B$1+3, IF(Horodateur11233538192231343743464952555861646985222634384650585462667074788290989410210611411811012212613013413814214615015415816216617017417818218619019419820220621021441014[[#This Row],[Jour]]="4- Jeudi",$B$1+4, IF(Horodateur11233538192231343743464952555861646985222634384650585462667074788290989410210611411811012212613013413814214615015415816216617017417818218619019419820220621021441014[[#This Row],[Jour]]="5- Vendredi",$B$1+5, IF(Horodateur11233538192231343743464952555861646985222634384650585462667074788290989410210611411811012212613013413814214615015415816216617017417818218619019419820220621021441014[[#This Row],[Jour]]="6- Samedi",$B$1+6, IF(Horodateur11233538192231343743464952555861646985222634384650585462667074788290989410210611411811012212613013413814214615015415816216617017417818218619019419820220621021441014[[#This Row],[Jour]]="7- Dimanche",$B$1, )))))))</f>
        <v>44222</v>
      </c>
      <c r="B6" s="257" t="s">
        <v>312</v>
      </c>
      <c r="C6" s="258" t="n">
        <v>0.395833333333333</v>
      </c>
      <c r="D6" s="258" t="n">
        <v>0.416666666666667</v>
      </c>
      <c r="E6" s="71" t="s">
        <v>37</v>
      </c>
      <c r="F6" s="71" t="s">
        <v>379</v>
      </c>
      <c r="G6" s="259" t="s">
        <v>55</v>
      </c>
      <c r="H6" s="258" t="n">
        <f aca="false">IF($C6=0,"",$D6-$C6)</f>
        <v>0.0208333333333333</v>
      </c>
      <c r="I6" s="260" t="n">
        <f aca="false">IF($C6=0,"",($H6-INT($H6))*24)</f>
        <v>0.5</v>
      </c>
      <c r="J6" s="303" t="n">
        <f aca="false">SUMIF(Horodateur11233538192231343743464952555861646985222634384650585462667074788290989410210611411811012212613013413814214615015415816216617017417818218619019419820220621021441014[Jour],$B6,Horodateur11233538192231343743464952555861646985222634384650585462667074788290989410210611411811012212613013413814214615015415816216617017417818218619019419820220621021441014[Durée (100)])</f>
        <v>7.5</v>
      </c>
      <c r="K6" s="335"/>
      <c r="L6" s="188" t="s">
        <v>31</v>
      </c>
      <c r="M6" s="272" t="n">
        <f aca="false">IF(Horodateur11233538192231343743464952555861646985222634384650585462667074788290989410210611411811012212613013413814214615015415816216617017417818218619019419820220621021441014[[#This Row],[O]]="o",Horodateur11233538192231343743464952555861646985222634384650585462667074788290989410210611411811012212613013413814214615015415816216617017417818218619019419820220621021441014[[#This Row],[Durée (100)]],".")</f>
        <v>0.500000000000001</v>
      </c>
      <c r="N6" s="187"/>
      <c r="O6" s="71"/>
      <c r="P6" s="71"/>
      <c r="Q6" s="71"/>
      <c r="R6" s="71"/>
      <c r="S6" s="71"/>
      <c r="T6" s="71"/>
      <c r="U6" s="71"/>
      <c r="V6" s="71"/>
      <c r="W6" s="71"/>
      <c r="X6" s="71"/>
      <c r="Y6" s="71"/>
      <c r="Z6" s="71"/>
      <c r="AA6" s="71"/>
      <c r="AB6" s="71"/>
      <c r="AC6" s="71"/>
      <c r="AD6" s="71"/>
      <c r="AE6" s="71"/>
      <c r="AF6" s="71"/>
      <c r="AG6" s="71"/>
    </row>
    <row r="7" customFormat="false" ht="15" hidden="false" customHeight="false" outlineLevel="0" collapsed="false">
      <c r="A7" s="256" t="n">
        <f aca="false">IF(Horodateur11233538192231343743464952555861646985222634384650585462667074788290989410210611411811012212613013413814214615015415816216617017417818218619019419820220621021441014[[#This Row],[Jour]]="1- Lundi",$B$1+1, IF(Horodateur11233538192231343743464952555861646985222634384650585462667074788290989410210611411811012212613013413814214615015415816216617017417818218619019419820220621021441014[[#This Row],[Jour]]="2- Mardi",$B$1+2, IF(Horodateur11233538192231343743464952555861646985222634384650585462667074788290989410210611411811012212613013413814214615015415816216617017417818218619019419820220621021441014[[#This Row],[Jour]]="3- Mercredi",$B$1+3, IF(Horodateur11233538192231343743464952555861646985222634384650585462667074788290989410210611411811012212613013413814214615015415816216617017417818218619019419820220621021441014[[#This Row],[Jour]]="4- Jeudi",$B$1+4, IF(Horodateur11233538192231343743464952555861646985222634384650585462667074788290989410210611411811012212613013413814214615015415816216617017417818218619019419820220621021441014[[#This Row],[Jour]]="5- Vendredi",$B$1+5, IF(Horodateur11233538192231343743464952555861646985222634384650585462667074788290989410210611411811012212613013413814214615015415816216617017417818218619019419820220621021441014[[#This Row],[Jour]]="6- Samedi",$B$1+6, IF(Horodateur11233538192231343743464952555861646985222634384650585462667074788290989410210611411811012212613013413814214615015415816216617017417818218619019419820220621021441014[[#This Row],[Jour]]="7- Dimanche",$B$1, )))))))</f>
        <v>44222</v>
      </c>
      <c r="B7" s="257" t="s">
        <v>312</v>
      </c>
      <c r="C7" s="258" t="n">
        <v>0.4375</v>
      </c>
      <c r="D7" s="258" t="n">
        <v>0.458333333333333</v>
      </c>
      <c r="E7" s="71" t="s">
        <v>66</v>
      </c>
      <c r="F7" s="71" t="s">
        <v>378</v>
      </c>
      <c r="G7" s="259" t="s">
        <v>639</v>
      </c>
      <c r="H7" s="258" t="n">
        <f aca="false">IF($C7=0,"",$D7-$C7)</f>
        <v>0.0208333333333333</v>
      </c>
      <c r="I7" s="260" t="n">
        <f aca="false">IF($C7=0,"",($H7-INT($H7))*24)</f>
        <v>0.5</v>
      </c>
      <c r="J7" s="303" t="n">
        <f aca="false">SUMIF(Horodateur11233538192231343743464952555861646985222634384650585462667074788290989410210611411811012212613013413814214615015415816216617017417818218619019419820220621021441014[Jour],$B7,Horodateur11233538192231343743464952555861646985222634384650585462667074788290989410210611411811012212613013413814214615015415816216617017417818218619019419820220621021441014[Durée (100)])</f>
        <v>7.5</v>
      </c>
      <c r="K7" s="335"/>
      <c r="L7" s="188" t="s">
        <v>31</v>
      </c>
      <c r="M7" s="272" t="n">
        <f aca="false">IF(Horodateur11233538192231343743464952555861646985222634384650585462667074788290989410210611411811012212613013413814214615015415816216617017417818218619019419820220621021441014[[#This Row],[O]]="o",Horodateur11233538192231343743464952555861646985222634384650585462667074788290989410210611411811012212613013413814214615015415816216617017417818218619019419820220621021441014[[#This Row],[Durée (100)]],".")</f>
        <v>0.5</v>
      </c>
      <c r="N7" s="187"/>
      <c r="O7" s="71"/>
      <c r="P7" s="71"/>
      <c r="Q7" s="71"/>
      <c r="R7" s="71"/>
      <c r="S7" s="71"/>
      <c r="T7" s="71"/>
      <c r="U7" s="71"/>
      <c r="V7" s="71"/>
      <c r="W7" s="71"/>
      <c r="X7" s="71"/>
      <c r="Y7" s="71"/>
      <c r="Z7" s="71"/>
      <c r="AA7" s="71"/>
      <c r="AB7" s="71"/>
      <c r="AC7" s="71"/>
      <c r="AD7" s="71"/>
      <c r="AE7" s="71"/>
      <c r="AF7" s="71"/>
      <c r="AG7" s="71"/>
    </row>
    <row r="8" customFormat="false" ht="15" hidden="false" customHeight="false" outlineLevel="0" collapsed="false">
      <c r="A8" s="256" t="n">
        <f aca="false">IF(Horodateur11233538192231343743464952555861646985222634384650585462667074788290989410210611411811012212613013413814214615015415816216617017417818218619019419820220621021441014[[#This Row],[Jour]]="1- Lundi",$B$1+1, IF(Horodateur11233538192231343743464952555861646985222634384650585462667074788290989410210611411811012212613013413814214615015415816216617017417818218619019419820220621021441014[[#This Row],[Jour]]="2- Mardi",$B$1+2, IF(Horodateur11233538192231343743464952555861646985222634384650585462667074788290989410210611411811012212613013413814214615015415816216617017417818218619019419820220621021441014[[#This Row],[Jour]]="3- Mercredi",$B$1+3, IF(Horodateur11233538192231343743464952555861646985222634384650585462667074788290989410210611411811012212613013413814214615015415816216617017417818218619019419820220621021441014[[#This Row],[Jour]]="4- Jeudi",$B$1+4, IF(Horodateur11233538192231343743464952555861646985222634384650585462667074788290989410210611411811012212613013413814214615015415816216617017417818218619019419820220621021441014[[#This Row],[Jour]]="5- Vendredi",$B$1+5, IF(Horodateur11233538192231343743464952555861646985222634384650585462667074788290989410210611411811012212613013413814214615015415816216617017417818218619019419820220621021441014[[#This Row],[Jour]]="6- Samedi",$B$1+6, IF(Horodateur11233538192231343743464952555861646985222634384650585462667074788290989410210611411811012212613013413814214615015415816216617017417818218619019419820220621021441014[[#This Row],[Jour]]="7- Dimanche",$B$1, )))))))</f>
        <v>44222</v>
      </c>
      <c r="B8" s="257" t="s">
        <v>312</v>
      </c>
      <c r="C8" s="258" t="n">
        <v>0.458333333333333</v>
      </c>
      <c r="D8" s="258" t="n">
        <v>0.5</v>
      </c>
      <c r="E8" s="71" t="s">
        <v>74</v>
      </c>
      <c r="F8" s="71" t="s">
        <v>22</v>
      </c>
      <c r="G8" s="259" t="s">
        <v>640</v>
      </c>
      <c r="H8" s="258" t="n">
        <f aca="false">IF($C8=0,"",$D8-$C8)</f>
        <v>0.0416666666666667</v>
      </c>
      <c r="I8" s="260" t="n">
        <f aca="false">IF($C8=0,"",($H8-INT($H8))*24)</f>
        <v>1</v>
      </c>
      <c r="J8" s="303" t="n">
        <f aca="false">SUMIF(Horodateur11233538192231343743464952555861646985222634384650585462667074788290989410210611411811012212613013413814214615015415816216617017417818218619019419820220621021441014[Jour],$B8,Horodateur11233538192231343743464952555861646985222634384650585462667074788290989410210611411811012212613013413814214615015415816216617017417818218619019419820220621021441014[Durée (100)])</f>
        <v>7.5</v>
      </c>
      <c r="K8" s="335"/>
      <c r="L8" s="188" t="s">
        <v>31</v>
      </c>
      <c r="M8" s="272" t="n">
        <f aca="false">IF(Horodateur11233538192231343743464952555861646985222634384650585462667074788290989410210611411811012212613013413814214615015415816216617017417818218619019419820220621021441014[[#This Row],[O]]="o",Horodateur11233538192231343743464952555861646985222634384650585462667074788290989410210611411811012212613013413814214615015415816216617017417818218619019419820220621021441014[[#This Row],[Durée (100)]],".")</f>
        <v>1</v>
      </c>
      <c r="N8" s="187"/>
      <c r="O8" s="71"/>
      <c r="P8" s="71"/>
      <c r="Q8" s="71"/>
      <c r="R8" s="71"/>
      <c r="S8" s="71"/>
      <c r="T8" s="71"/>
      <c r="U8" s="71"/>
      <c r="V8" s="71"/>
      <c r="W8" s="71"/>
      <c r="X8" s="71"/>
      <c r="Y8" s="71"/>
      <c r="Z8" s="71"/>
      <c r="AA8" s="71"/>
      <c r="AB8" s="71"/>
      <c r="AC8" s="71"/>
      <c r="AD8" s="71"/>
      <c r="AE8" s="71"/>
      <c r="AF8" s="71"/>
      <c r="AG8" s="71"/>
    </row>
    <row r="9" customFormat="false" ht="15" hidden="false" customHeight="false" outlineLevel="0" collapsed="false">
      <c r="A9" s="256" t="n">
        <f aca="false">IF(Horodateur11233538192231343743464952555861646985222634384650585462667074788290989410210611411811012212613013413814214615015415816216617017417818218619019419820220621021441014[[#This Row],[Jour]]="1- Lundi",$B$1+1, IF(Horodateur11233538192231343743464952555861646985222634384650585462667074788290989410210611411811012212613013413814214615015415816216617017417818218619019419820220621021441014[[#This Row],[Jour]]="2- Mardi",$B$1+2, IF(Horodateur11233538192231343743464952555861646985222634384650585462667074788290989410210611411811012212613013413814214615015415816216617017417818218619019419820220621021441014[[#This Row],[Jour]]="3- Mercredi",$B$1+3, IF(Horodateur11233538192231343743464952555861646985222634384650585462667074788290989410210611411811012212613013413814214615015415816216617017417818218619019419820220621021441014[[#This Row],[Jour]]="4- Jeudi",$B$1+4, IF(Horodateur11233538192231343743464952555861646985222634384650585462667074788290989410210611411811012212613013413814214615015415816216617017417818218619019419820220621021441014[[#This Row],[Jour]]="5- Vendredi",$B$1+5, IF(Horodateur11233538192231343743464952555861646985222634384650585462667074788290989410210611411811012212613013413814214615015415816216617017417818218619019419820220621021441014[[#This Row],[Jour]]="6- Samedi",$B$1+6, IF(Horodateur11233538192231343743464952555861646985222634384650585462667074788290989410210611411811012212613013413814214615015415816216617017417818218619019419820220621021441014[[#This Row],[Jour]]="7- Dimanche",$B$1, )))))))</f>
        <v>44222</v>
      </c>
      <c r="B9" s="257" t="s">
        <v>312</v>
      </c>
      <c r="C9" s="258" t="n">
        <v>0.5625</v>
      </c>
      <c r="D9" s="258" t="n">
        <v>0.645833333333333</v>
      </c>
      <c r="E9" s="71" t="s">
        <v>63</v>
      </c>
      <c r="F9" s="71" t="s">
        <v>378</v>
      </c>
      <c r="G9" s="259" t="s">
        <v>641</v>
      </c>
      <c r="H9" s="258" t="n">
        <f aca="false">IF($C9=0,"",$D9-$C9)</f>
        <v>0.0833333333333333</v>
      </c>
      <c r="I9" s="260" t="n">
        <f aca="false">IF($C9=0,"",($H9-INT($H9))*24)</f>
        <v>2</v>
      </c>
      <c r="J9" s="303" t="n">
        <f aca="false">SUMIF(Horodateur11233538192231343743464952555861646985222634384650585462667074788290989410210611411811012212613013413814214615015415816216617017417818218619019419820220621021441014[Jour],$B9,Horodateur11233538192231343743464952555861646985222634384650585462667074788290989410210611411811012212613013413814214615015415816216617017417818218619019419820220621021441014[Durée (100)])</f>
        <v>7.5</v>
      </c>
      <c r="K9" s="335"/>
      <c r="L9" s="188" t="s">
        <v>31</v>
      </c>
      <c r="M9" s="272" t="n">
        <f aca="false">IF(Horodateur11233538192231343743464952555861646985222634384650585462667074788290989410210611411811012212613013413814214615015415816216617017417818218619019419820220621021441014[[#This Row],[O]]="o",Horodateur11233538192231343743464952555861646985222634384650585462667074788290989410210611411811012212613013413814214615015415816216617017417818218619019419820220621021441014[[#This Row],[Durée (100)]],".")</f>
        <v>2</v>
      </c>
      <c r="N9" s="187"/>
      <c r="O9" s="71"/>
      <c r="P9" s="71"/>
      <c r="Q9" s="71"/>
      <c r="R9" s="71"/>
      <c r="S9" s="71"/>
      <c r="T9" s="71"/>
      <c r="U9" s="71"/>
      <c r="V9" s="71"/>
      <c r="W9" s="71"/>
      <c r="X9" s="71"/>
      <c r="Y9" s="71"/>
      <c r="Z9" s="71"/>
      <c r="AA9" s="71"/>
      <c r="AB9" s="71"/>
      <c r="AC9" s="71"/>
      <c r="AD9" s="71"/>
      <c r="AE9" s="71"/>
      <c r="AF9" s="71"/>
      <c r="AG9" s="71"/>
    </row>
    <row r="10" customFormat="false" ht="15" hidden="false" customHeight="false" outlineLevel="0" collapsed="false">
      <c r="A10" s="256" t="n">
        <f aca="false">IF(Horodateur11233538192231343743464952555861646985222634384650585462667074788290989410210611411811012212613013413814214615015415816216617017417818218619019419820220621021441014[[#This Row],[Jour]]="1- Lundi",$B$1+1, IF(Horodateur11233538192231343743464952555861646985222634384650585462667074788290989410210611411811012212613013413814214615015415816216617017417818218619019419820220621021441014[[#This Row],[Jour]]="2- Mardi",$B$1+2, IF(Horodateur11233538192231343743464952555861646985222634384650585462667074788290989410210611411811012212613013413814214615015415816216617017417818218619019419820220621021441014[[#This Row],[Jour]]="3- Mercredi",$B$1+3, IF(Horodateur11233538192231343743464952555861646985222634384650585462667074788290989410210611411811012212613013413814214615015415816216617017417818218619019419820220621021441014[[#This Row],[Jour]]="4- Jeudi",$B$1+4, IF(Horodateur11233538192231343743464952555861646985222634384650585462667074788290989410210611411811012212613013413814214615015415816216617017417818218619019419820220621021441014[[#This Row],[Jour]]="5- Vendredi",$B$1+5, IF(Horodateur11233538192231343743464952555861646985222634384650585462667074788290989410210611411811012212613013413814214615015415816216617017417818218619019419820220621021441014[[#This Row],[Jour]]="6- Samedi",$B$1+6, IF(Horodateur11233538192231343743464952555861646985222634384650585462667074788290989410210611411811012212613013413814214615015415816216617017417818218619019419820220621021441014[[#This Row],[Jour]]="7- Dimanche",$B$1, )))))))</f>
        <v>44222</v>
      </c>
      <c r="B10" s="257" t="s">
        <v>312</v>
      </c>
      <c r="C10" s="258" t="n">
        <v>0.645833333333333</v>
      </c>
      <c r="D10" s="258" t="n">
        <v>0.65625</v>
      </c>
      <c r="E10" s="71" t="s">
        <v>74</v>
      </c>
      <c r="F10" s="71" t="s">
        <v>379</v>
      </c>
      <c r="G10" s="259" t="s">
        <v>124</v>
      </c>
      <c r="H10" s="258" t="n">
        <f aca="false">IF($C10=0,"",$D10-$C10)</f>
        <v>0.0104166666666667</v>
      </c>
      <c r="I10" s="260" t="n">
        <f aca="false">IF($C10=0,"",($H10-INT($H10))*24)</f>
        <v>0.25</v>
      </c>
      <c r="J10" s="303" t="n">
        <f aca="false">SUMIF(Horodateur11233538192231343743464952555861646985222634384650585462667074788290989410210611411811012212613013413814214615015415816216617017417818218619019419820220621021441014[Jour],$B10,Horodateur11233538192231343743464952555861646985222634384650585462667074788290989410210611411811012212613013413814214615015415816216617017417818218619019419820220621021441014[Durée (100)])</f>
        <v>7.5</v>
      </c>
      <c r="K10" s="335"/>
      <c r="L10" s="188" t="s">
        <v>31</v>
      </c>
      <c r="M10" s="272" t="n">
        <f aca="false">IF(Horodateur11233538192231343743464952555861646985222634384650585462667074788290989410210611411811012212613013413814214615015415816216617017417818218619019419820220621021441014[[#This Row],[O]]="o",Horodateur11233538192231343743464952555861646985222634384650585462667074788290989410210611411811012212613013413814214615015415816216617017417818218619019419820220621021441014[[#This Row],[Durée (100)]],".")</f>
        <v>0.249999999999999</v>
      </c>
      <c r="N10" s="187"/>
      <c r="O10" s="71"/>
      <c r="P10" s="71"/>
      <c r="Q10" s="71"/>
      <c r="R10" s="71"/>
      <c r="S10" s="71"/>
      <c r="T10" s="71"/>
      <c r="U10" s="71"/>
      <c r="V10" s="71"/>
      <c r="W10" s="71"/>
      <c r="X10" s="71"/>
      <c r="Y10" s="71"/>
      <c r="Z10" s="71"/>
      <c r="AA10" s="71"/>
      <c r="AB10" s="71"/>
      <c r="AC10" s="71"/>
      <c r="AD10" s="71"/>
      <c r="AE10" s="71"/>
      <c r="AF10" s="71"/>
      <c r="AG10" s="71"/>
    </row>
    <row r="11" customFormat="false" ht="15" hidden="false" customHeight="false" outlineLevel="0" collapsed="false">
      <c r="A11" s="256" t="n">
        <f aca="false">IF(Horodateur11233538192231343743464952555861646985222634384650585462667074788290989410210611411811012212613013413814214615015415816216617017417818218619019419820220621021441014[[#This Row],[Jour]]="1- Lundi",$B$1+1, IF(Horodateur11233538192231343743464952555861646985222634384650585462667074788290989410210611411811012212613013413814214615015415816216617017417818218619019419820220621021441014[[#This Row],[Jour]]="2- Mardi",$B$1+2, IF(Horodateur11233538192231343743464952555861646985222634384650585462667074788290989410210611411811012212613013413814214615015415816216617017417818218619019419820220621021441014[[#This Row],[Jour]]="3- Mercredi",$B$1+3, IF(Horodateur11233538192231343743464952555861646985222634384650585462667074788290989410210611411811012212613013413814214615015415816216617017417818218619019419820220621021441014[[#This Row],[Jour]]="4- Jeudi",$B$1+4, IF(Horodateur11233538192231343743464952555861646985222634384650585462667074788290989410210611411811012212613013413814214615015415816216617017417818218619019419820220621021441014[[#This Row],[Jour]]="5- Vendredi",$B$1+5, IF(Horodateur11233538192231343743464952555861646985222634384650585462667074788290989410210611411811012212613013413814214615015415816216617017417818218619019419820220621021441014[[#This Row],[Jour]]="6- Samedi",$B$1+6, IF(Horodateur11233538192231343743464952555861646985222634384650585462667074788290989410210611411811012212613013413814214615015415816216617017417818218619019419820220621021441014[[#This Row],[Jour]]="7- Dimanche",$B$1, )))))))</f>
        <v>44222</v>
      </c>
      <c r="B11" s="257" t="s">
        <v>312</v>
      </c>
      <c r="C11" s="258" t="n">
        <v>0.666666666666667</v>
      </c>
      <c r="D11" s="258" t="n">
        <v>0.708333333333333</v>
      </c>
      <c r="E11" s="71" t="s">
        <v>66</v>
      </c>
      <c r="F11" s="71" t="s">
        <v>378</v>
      </c>
      <c r="G11" s="259" t="s">
        <v>642</v>
      </c>
      <c r="H11" s="258" t="n">
        <f aca="false">IF($C11=0,"",$D11-$C11)</f>
        <v>0.0416666666666667</v>
      </c>
      <c r="I11" s="260" t="n">
        <f aca="false">IF($C11=0,"",($H11-INT($H11))*24)</f>
        <v>1</v>
      </c>
      <c r="J11" s="303" t="n">
        <f aca="false">SUMIF(Horodateur11233538192231343743464952555861646985222634384650585462667074788290989410210611411811012212613013413814214615015415816216617017417818218619019419820220621021441014[Jour],$B11,Horodateur11233538192231343743464952555861646985222634384650585462667074788290989410210611411811012212613013413814214615015415816216617017417818218619019419820220621021441014[Durée (100)])</f>
        <v>7.5</v>
      </c>
      <c r="K11" s="335"/>
      <c r="L11" s="188" t="s">
        <v>31</v>
      </c>
      <c r="M11" s="272" t="n">
        <f aca="false">IF(Horodateur11233538192231343743464952555861646985222634384650585462667074788290989410210611411811012212613013413814214615015415816216617017417818218619019419820220621021441014[[#This Row],[O]]="o",Horodateur11233538192231343743464952555861646985222634384650585462667074788290989410210611411811012212613013413814214615015415816216617017417818218619019419820220621021441014[[#This Row],[Durée (100)]],".")</f>
        <v>1</v>
      </c>
      <c r="N11" s="187"/>
      <c r="O11" s="71"/>
      <c r="P11" s="71"/>
      <c r="Q11" s="71"/>
      <c r="R11" s="71"/>
      <c r="S11" s="71"/>
      <c r="T11" s="71"/>
      <c r="U11" s="71"/>
      <c r="V11" s="71"/>
      <c r="W11" s="71"/>
      <c r="X11" s="71"/>
      <c r="Y11" s="71"/>
      <c r="Z11" s="71"/>
      <c r="AA11" s="71"/>
      <c r="AB11" s="71"/>
      <c r="AC11" s="71"/>
      <c r="AD11" s="71"/>
      <c r="AE11" s="71"/>
      <c r="AF11" s="71"/>
      <c r="AG11" s="71"/>
    </row>
    <row r="12" customFormat="false" ht="15" hidden="false" customHeight="false" outlineLevel="0" collapsed="false">
      <c r="A12" s="256" t="n">
        <f aca="false">IF(Horodateur11233538192231343743464952555861646985222634384650585462667074788290989410210611411811012212613013413814214615015415816216617017417818218619019419820220621021441014[[#This Row],[Jour]]="1- Lundi",$B$1+1, IF(Horodateur11233538192231343743464952555861646985222634384650585462667074788290989410210611411811012212613013413814214615015415816216617017417818218619019419820220621021441014[[#This Row],[Jour]]="2- Mardi",$B$1+2, IF(Horodateur11233538192231343743464952555861646985222634384650585462667074788290989410210611411811012212613013413814214615015415816216617017417818218619019419820220621021441014[[#This Row],[Jour]]="3- Mercredi",$B$1+3, IF(Horodateur11233538192231343743464952555861646985222634384650585462667074788290989410210611411811012212613013413814214615015415816216617017417818218619019419820220621021441014[[#This Row],[Jour]]="4- Jeudi",$B$1+4, IF(Horodateur11233538192231343743464952555861646985222634384650585462667074788290989410210611411811012212613013413814214615015415816216617017417818218619019419820220621021441014[[#This Row],[Jour]]="5- Vendredi",$B$1+5, IF(Horodateur11233538192231343743464952555861646985222634384650585462667074788290989410210611411811012212613013413814214615015415816216617017417818218619019419820220621021441014[[#This Row],[Jour]]="6- Samedi",$B$1+6, IF(Horodateur11233538192231343743464952555861646985222634384650585462667074788290989410210611411811012212613013413814214615015415816216617017417818218619019419820220621021441014[[#This Row],[Jour]]="7- Dimanche",$B$1, )))))))</f>
        <v>44222</v>
      </c>
      <c r="B12" s="257" t="s">
        <v>312</v>
      </c>
      <c r="C12" s="258" t="n">
        <v>0.708333333333333</v>
      </c>
      <c r="D12" s="258" t="n">
        <v>0.75</v>
      </c>
      <c r="E12" s="71" t="s">
        <v>32</v>
      </c>
      <c r="F12" s="71" t="s">
        <v>23</v>
      </c>
      <c r="G12" s="259"/>
      <c r="H12" s="258" t="n">
        <f aca="false">IF($C12=0,"",$D12-$C12)</f>
        <v>0.0416666666666666</v>
      </c>
      <c r="I12" s="260" t="n">
        <f aca="false">IF($C12=0,"",($H12-INT($H12))*24)</f>
        <v>0.999999999999999</v>
      </c>
      <c r="J12" s="303" t="n">
        <f aca="false">SUMIF(Horodateur11233538192231343743464952555861646985222634384650585462667074788290989410210611411811012212613013413814214615015415816216617017417818218619019419820220621021441014[Jour],$B12,Horodateur11233538192231343743464952555861646985222634384650585462667074788290989410210611411811012212613013413814214615015415816216617017417818218619019419820220621021441014[Durée (100)])</f>
        <v>7.5</v>
      </c>
      <c r="K12" s="335"/>
      <c r="L12" s="188" t="s">
        <v>31</v>
      </c>
      <c r="M12" s="272" t="n">
        <f aca="false">IF(Horodateur11233538192231343743464952555861646985222634384650585462667074788290989410210611411811012212613013413814214615015415816216617017417818218619019419820220621021441014[[#This Row],[O]]="o",Horodateur11233538192231343743464952555861646985222634384650585462667074788290989410210611411811012212613013413814214615015415816216617017417818218619019419820220621021441014[[#This Row],[Durée (100)]],".")</f>
        <v>0.999999999999999</v>
      </c>
      <c r="N12" s="187"/>
      <c r="O12" s="71"/>
      <c r="P12" s="71"/>
      <c r="Q12" s="71"/>
      <c r="R12" s="71"/>
      <c r="S12" s="71"/>
      <c r="T12" s="71"/>
      <c r="U12" s="71"/>
      <c r="V12" s="71"/>
      <c r="W12" s="71"/>
      <c r="X12" s="71"/>
      <c r="Y12" s="71"/>
      <c r="Z12" s="71"/>
      <c r="AA12" s="71"/>
      <c r="AB12" s="71"/>
      <c r="AC12" s="71"/>
      <c r="AD12" s="71"/>
      <c r="AE12" s="71"/>
      <c r="AF12" s="71"/>
      <c r="AG12" s="71"/>
    </row>
    <row r="13" customFormat="false" ht="15" hidden="false" customHeight="false" outlineLevel="0" collapsed="false">
      <c r="A13" s="256" t="n">
        <f aca="false">IF(Horodateur11233538192231343743464952555861646985222634384650585462667074788290989410210611411811012212613013413814214615015415816216617017417818218619019419820220621021441014[[#This Row],[Jour]]="1- Lundi",$B$1+1, IF(Horodateur11233538192231343743464952555861646985222634384650585462667074788290989410210611411811012212613013413814214615015415816216617017417818218619019419820220621021441014[[#This Row],[Jour]]="2- Mardi",$B$1+2, IF(Horodateur11233538192231343743464952555861646985222634384650585462667074788290989410210611411811012212613013413814214615015415816216617017417818218619019419820220621021441014[[#This Row],[Jour]]="3- Mercredi",$B$1+3, IF(Horodateur11233538192231343743464952555861646985222634384650585462667074788290989410210611411811012212613013413814214615015415816216617017417818218619019419820220621021441014[[#This Row],[Jour]]="4- Jeudi",$B$1+4, IF(Horodateur11233538192231343743464952555861646985222634384650585462667074788290989410210611411811012212613013413814214615015415816216617017417818218619019419820220621021441014[[#This Row],[Jour]]="5- Vendredi",$B$1+5, IF(Horodateur11233538192231343743464952555861646985222634384650585462667074788290989410210611411811012212613013413814214615015415816216617017417818218619019419820220621021441014[[#This Row],[Jour]]="6- Samedi",$B$1+6, IF(Horodateur11233538192231343743464952555861646985222634384650585462667074788290989410210611411811012212613013413814214615015415816216617017417818218619019419820220621021441014[[#This Row],[Jour]]="7- Dimanche",$B$1, )))))))</f>
        <v>44223</v>
      </c>
      <c r="B13" s="257" t="s">
        <v>319</v>
      </c>
      <c r="C13" s="258" t="n">
        <v>0.333333333333333</v>
      </c>
      <c r="D13" s="258" t="n">
        <v>0.354166666666667</v>
      </c>
      <c r="E13" s="71" t="s">
        <v>32</v>
      </c>
      <c r="F13" s="71" t="s">
        <v>21</v>
      </c>
      <c r="G13" s="259"/>
      <c r="H13" s="258" t="n">
        <f aca="false">IF($C13=0,"",$D13-$C13)</f>
        <v>0.0208333333333333</v>
      </c>
      <c r="I13" s="260" t="n">
        <f aca="false">IF($C13=0,"",($H13-INT($H13))*24)</f>
        <v>0.5</v>
      </c>
      <c r="J13" s="303" t="n">
        <f aca="false">SUMIF(Horodateur11233538192231343743464952555861646985222634384650585462667074788290989410210611411811012212613013413814214615015415816216617017417818218619019419820220621021441014[Jour],$B13,Horodateur11233538192231343743464952555861646985222634384650585462667074788290989410210611411811012212613013413814214615015415816216617017417818218619019419820220621021441014[Durée (100)])</f>
        <v>8</v>
      </c>
      <c r="K13" s="335"/>
      <c r="L13" s="188" t="s">
        <v>31</v>
      </c>
      <c r="M13" s="272" t="n">
        <f aca="false">IF(Horodateur11233538192231343743464952555861646985222634384650585462667074788290989410210611411811012212613013413814214615015415816216617017417818218619019419820220621021441014[[#This Row],[O]]="o",Horodateur11233538192231343743464952555861646985222634384650585462667074788290989410210611411811012212613013413814214615015415816216617017417818218619019419820220621021441014[[#This Row],[Durée (100)]],".")</f>
        <v>0.500000000000001</v>
      </c>
      <c r="N13" s="187"/>
      <c r="O13" s="71"/>
      <c r="P13" s="71"/>
      <c r="Q13" s="71"/>
      <c r="R13" s="71"/>
      <c r="S13" s="71"/>
      <c r="T13" s="71"/>
      <c r="U13" s="71"/>
      <c r="V13" s="71"/>
      <c r="W13" s="71"/>
      <c r="X13" s="71"/>
      <c r="Y13" s="71"/>
      <c r="Z13" s="71"/>
      <c r="AA13" s="71"/>
      <c r="AB13" s="71"/>
      <c r="AC13" s="71"/>
      <c r="AD13" s="71"/>
      <c r="AE13" s="71"/>
      <c r="AF13" s="71"/>
      <c r="AG13" s="71"/>
    </row>
    <row r="14" customFormat="false" ht="15" hidden="false" customHeight="false" outlineLevel="0" collapsed="false">
      <c r="A14" s="256" t="n">
        <f aca="false">IF(Horodateur11233538192231343743464952555861646985222634384650585462667074788290989410210611411811012212613013413814214615015415816216617017417818218619019419820220621021441014[[#This Row],[Jour]]="1- Lundi",$B$1+1, IF(Horodateur11233538192231343743464952555861646985222634384650585462667074788290989410210611411811012212613013413814214615015415816216617017417818218619019419820220621021441014[[#This Row],[Jour]]="2- Mardi",$B$1+2, IF(Horodateur11233538192231343743464952555861646985222634384650585462667074788290989410210611411811012212613013413814214615015415816216617017417818218619019419820220621021441014[[#This Row],[Jour]]="3- Mercredi",$B$1+3, IF(Horodateur11233538192231343743464952555861646985222634384650585462667074788290989410210611411811012212613013413814214615015415816216617017417818218619019419820220621021441014[[#This Row],[Jour]]="4- Jeudi",$B$1+4, IF(Horodateur11233538192231343743464952555861646985222634384650585462667074788290989410210611411811012212613013413814214615015415816216617017417818218619019419820220621021441014[[#This Row],[Jour]]="5- Vendredi",$B$1+5, IF(Horodateur11233538192231343743464952555861646985222634384650585462667074788290989410210611411811012212613013413814214615015415816216617017417818218619019419820220621021441014[[#This Row],[Jour]]="6- Samedi",$B$1+6, IF(Horodateur11233538192231343743464952555861646985222634384650585462667074788290989410210611411811012212613013413814214615015415816216617017417818218619019419820220621021441014[[#This Row],[Jour]]="7- Dimanche",$B$1, )))))))</f>
        <v>44223</v>
      </c>
      <c r="B14" s="257" t="s">
        <v>319</v>
      </c>
      <c r="C14" s="258" t="n">
        <v>0.354166666666667</v>
      </c>
      <c r="D14" s="258" t="n">
        <v>0.395833333333333</v>
      </c>
      <c r="E14" s="71" t="s">
        <v>74</v>
      </c>
      <c r="F14" s="71" t="s">
        <v>22</v>
      </c>
      <c r="G14" s="259" t="s">
        <v>643</v>
      </c>
      <c r="H14" s="258" t="n">
        <f aca="false">IF($C14=0,"",$D14-$C14)</f>
        <v>0.0416666666666666</v>
      </c>
      <c r="I14" s="260" t="n">
        <f aca="false">IF($C14=0,"",($H14-INT($H14))*24)</f>
        <v>0.999999999999999</v>
      </c>
      <c r="J14" s="303" t="n">
        <f aca="false">SUMIF(Horodateur11233538192231343743464952555861646985222634384650585462667074788290989410210611411811012212613013413814214615015415816216617017417818218619019419820220621021441014[Jour],$B14,Horodateur11233538192231343743464952555861646985222634384650585462667074788290989410210611411811012212613013413814214615015415816216617017417818218619019419820220621021441014[Durée (100)])</f>
        <v>8</v>
      </c>
      <c r="K14" s="335"/>
      <c r="L14" s="188" t="s">
        <v>31</v>
      </c>
      <c r="M14" s="272" t="n">
        <f aca="false">IF(Horodateur11233538192231343743464952555861646985222634384650585462667074788290989410210611411811012212613013413814214615015415816216617017417818218619019419820220621021441014[[#This Row],[O]]="o",Horodateur11233538192231343743464952555861646985222634384650585462667074788290989410210611411811012212613013413814214615015415816216617017417818218619019419820220621021441014[[#This Row],[Durée (100)]],".")</f>
        <v>0.999999999999999</v>
      </c>
      <c r="N14" s="187"/>
      <c r="O14" s="71"/>
      <c r="P14" s="71"/>
      <c r="Q14" s="71"/>
      <c r="R14" s="71"/>
      <c r="S14" s="71"/>
      <c r="T14" s="71"/>
      <c r="U14" s="71"/>
      <c r="V14" s="71"/>
      <c r="W14" s="71"/>
      <c r="X14" s="71"/>
      <c r="Y14" s="71"/>
      <c r="Z14" s="71"/>
      <c r="AA14" s="71"/>
      <c r="AB14" s="71"/>
      <c r="AC14" s="71"/>
      <c r="AD14" s="71"/>
      <c r="AE14" s="71"/>
      <c r="AF14" s="71"/>
      <c r="AG14" s="71"/>
    </row>
    <row r="15" customFormat="false" ht="15" hidden="false" customHeight="false" outlineLevel="0" collapsed="false">
      <c r="A15" s="256" t="n">
        <f aca="false">IF(Horodateur11233538192231343743464952555861646985222634384650585462667074788290989410210611411811012212613013413814214615015415816216617017417818218619019419820220621021441014[[#This Row],[Jour]]="1- Lundi",$B$1+1, IF(Horodateur11233538192231343743464952555861646985222634384650585462667074788290989410210611411811012212613013413814214615015415816216617017417818218619019419820220621021441014[[#This Row],[Jour]]="2- Mardi",$B$1+2, IF(Horodateur11233538192231343743464952555861646985222634384650585462667074788290989410210611411811012212613013413814214615015415816216617017417818218619019419820220621021441014[[#This Row],[Jour]]="3- Mercredi",$B$1+3, IF(Horodateur11233538192231343743464952555861646985222634384650585462667074788290989410210611411811012212613013413814214615015415816216617017417818218619019419820220621021441014[[#This Row],[Jour]]="4- Jeudi",$B$1+4, IF(Horodateur11233538192231343743464952555861646985222634384650585462667074788290989410210611411811012212613013413814214615015415816216617017417818218619019419820220621021441014[[#This Row],[Jour]]="5- Vendredi",$B$1+5, IF(Horodateur11233538192231343743464952555861646985222634384650585462667074788290989410210611411811012212613013413814214615015415816216617017417818218619019419820220621021441014[[#This Row],[Jour]]="6- Samedi",$B$1+6, IF(Horodateur11233538192231343743464952555861646985222634384650585462667074788290989410210611411811012212613013413814214615015415816216617017417818218619019419820220621021441014[[#This Row],[Jour]]="7- Dimanche",$B$1, )))))))</f>
        <v>44223</v>
      </c>
      <c r="B15" s="257" t="s">
        <v>319</v>
      </c>
      <c r="C15" s="258" t="n">
        <v>0.395833333333333</v>
      </c>
      <c r="D15" s="258" t="n">
        <v>0.40625</v>
      </c>
      <c r="E15" s="71" t="s">
        <v>32</v>
      </c>
      <c r="F15" s="71" t="s">
        <v>21</v>
      </c>
      <c r="G15" s="259"/>
      <c r="H15" s="258" t="n">
        <f aca="false">IF($C15=0,"",$D15-$C15)</f>
        <v>0.0104166666666667</v>
      </c>
      <c r="I15" s="260" t="n">
        <f aca="false">IF($C15=0,"",($H15-INT($H15))*24)</f>
        <v>0.25</v>
      </c>
      <c r="J15" s="303" t="n">
        <f aca="false">SUMIF(Horodateur11233538192231343743464952555861646985222634384650585462667074788290989410210611411811012212613013413814214615015415816216617017417818218619019419820220621021441014[Jour],$B15,Horodateur11233538192231343743464952555861646985222634384650585462667074788290989410210611411811012212613013413814214615015415816216617017417818218619019419820220621021441014[Durée (100)])</f>
        <v>8</v>
      </c>
      <c r="K15" s="335"/>
      <c r="L15" s="188" t="s">
        <v>31</v>
      </c>
      <c r="M15" s="272" t="n">
        <f aca="false">IF(Horodateur11233538192231343743464952555861646985222634384650585462667074788290989410210611411811012212613013413814214615015415816216617017417818218619019419820220621021441014[[#This Row],[O]]="o",Horodateur11233538192231343743464952555861646985222634384650585462667074788290989410210611411811012212613013413814214615015415816216617017417818218619019419820220621021441014[[#This Row],[Durée (100)]],".")</f>
        <v>0.25</v>
      </c>
      <c r="N15" s="187"/>
      <c r="O15" s="71"/>
      <c r="P15" s="71"/>
      <c r="Q15" s="71"/>
      <c r="R15" s="71"/>
      <c r="S15" s="71"/>
      <c r="T15" s="71"/>
      <c r="U15" s="71"/>
      <c r="V15" s="71"/>
      <c r="W15" s="71"/>
      <c r="X15" s="71"/>
      <c r="Y15" s="71"/>
      <c r="Z15" s="71"/>
      <c r="AA15" s="71"/>
      <c r="AB15" s="71"/>
      <c r="AC15" s="71"/>
      <c r="AD15" s="71"/>
      <c r="AE15" s="71"/>
      <c r="AF15" s="71"/>
      <c r="AG15" s="71"/>
    </row>
    <row r="16" customFormat="false" ht="15" hidden="false" customHeight="false" outlineLevel="0" collapsed="false">
      <c r="A16" s="256" t="n">
        <f aca="false">IF(Horodateur11233538192231343743464952555861646985222634384650585462667074788290989410210611411811012212613013413814214615015415816216617017417818218619019419820220621021441014[[#This Row],[Jour]]="1- Lundi",$B$1+1, IF(Horodateur11233538192231343743464952555861646985222634384650585462667074788290989410210611411811012212613013413814214615015415816216617017417818218619019419820220621021441014[[#This Row],[Jour]]="2- Mardi",$B$1+2, IF(Horodateur11233538192231343743464952555861646985222634384650585462667074788290989410210611411811012212613013413814214615015415816216617017417818218619019419820220621021441014[[#This Row],[Jour]]="3- Mercredi",$B$1+3, IF(Horodateur11233538192231343743464952555861646985222634384650585462667074788290989410210611411811012212613013413814214615015415816216617017417818218619019419820220621021441014[[#This Row],[Jour]]="4- Jeudi",$B$1+4, IF(Horodateur11233538192231343743464952555861646985222634384650585462667074788290989410210611411811012212613013413814214615015415816216617017417818218619019419820220621021441014[[#This Row],[Jour]]="5- Vendredi",$B$1+5, IF(Horodateur11233538192231343743464952555861646985222634384650585462667074788290989410210611411811012212613013413814214615015415816216617017417818218619019419820220621021441014[[#This Row],[Jour]]="6- Samedi",$B$1+6, IF(Horodateur11233538192231343743464952555861646985222634384650585462667074788290989410210611411811012212613013413814214615015415816216617017417818218619019419820220621021441014[[#This Row],[Jour]]="7- Dimanche",$B$1, )))))))</f>
        <v>44223</v>
      </c>
      <c r="B16" s="257" t="s">
        <v>319</v>
      </c>
      <c r="C16" s="258" t="n">
        <v>0.40625</v>
      </c>
      <c r="D16" s="258" t="n">
        <v>0.4375</v>
      </c>
      <c r="E16" s="71" t="s">
        <v>32</v>
      </c>
      <c r="F16" s="71" t="s">
        <v>23</v>
      </c>
      <c r="G16" s="259"/>
      <c r="H16" s="258" t="n">
        <f aca="false">IF($C16=0,"",$D16-$C16)</f>
        <v>0.03125</v>
      </c>
      <c r="I16" s="260" t="n">
        <f aca="false">IF($C16=0,"",($H16-INT($H16))*24)</f>
        <v>0.75</v>
      </c>
      <c r="J16" s="303" t="n">
        <f aca="false">SUMIF(Horodateur11233538192231343743464952555861646985222634384650585462667074788290989410210611411811012212613013413814214615015415816216617017417818218619019419820220621021441014[Jour],$B16,Horodateur11233538192231343743464952555861646985222634384650585462667074788290989410210611411811012212613013413814214615015415816216617017417818218619019419820220621021441014[Durée (100)])</f>
        <v>8</v>
      </c>
      <c r="K16" s="335"/>
      <c r="L16" s="188" t="s">
        <v>31</v>
      </c>
      <c r="M16" s="272" t="n">
        <f aca="false">IF(Horodateur11233538192231343743464952555861646985222634384650585462667074788290989410210611411811012212613013413814214615015415816216617017417818218619019419820220621021441014[[#This Row],[O]]="o",Horodateur11233538192231343743464952555861646985222634384650585462667074788290989410210611411811012212613013413814214615015415816216617017417818218619019419820220621021441014[[#This Row],[Durée (100)]],".")</f>
        <v>0.75</v>
      </c>
      <c r="N16" s="187"/>
      <c r="O16" s="71"/>
      <c r="P16" s="71"/>
      <c r="Q16" s="71"/>
      <c r="R16" s="71"/>
      <c r="S16" s="71"/>
      <c r="T16" s="71"/>
      <c r="U16" s="71"/>
      <c r="V16" s="71"/>
      <c r="W16" s="71"/>
      <c r="X16" s="71"/>
      <c r="Y16" s="71"/>
      <c r="Z16" s="71"/>
      <c r="AA16" s="71"/>
      <c r="AB16" s="71"/>
      <c r="AC16" s="71"/>
      <c r="AD16" s="71"/>
      <c r="AE16" s="71"/>
      <c r="AF16" s="71"/>
      <c r="AG16" s="71"/>
    </row>
    <row r="17" customFormat="false" ht="15" hidden="false" customHeight="false" outlineLevel="0" collapsed="false">
      <c r="A17" s="256" t="n">
        <f aca="false">IF(Horodateur11233538192231343743464952555861646985222634384650585462667074788290989410210611411811012212613013413814214615015415816216617017417818218619019419820220621021441014[[#This Row],[Jour]]="1- Lundi",$B$1+1, IF(Horodateur11233538192231343743464952555861646985222634384650585462667074788290989410210611411811012212613013413814214615015415816216617017417818218619019419820220621021441014[[#This Row],[Jour]]="2- Mardi",$B$1+2, IF(Horodateur11233538192231343743464952555861646985222634384650585462667074788290989410210611411811012212613013413814214615015415816216617017417818218619019419820220621021441014[[#This Row],[Jour]]="3- Mercredi",$B$1+3, IF(Horodateur11233538192231343743464952555861646985222634384650585462667074788290989410210611411811012212613013413814214615015415816216617017417818218619019419820220621021441014[[#This Row],[Jour]]="4- Jeudi",$B$1+4, IF(Horodateur11233538192231343743464952555861646985222634384650585462667074788290989410210611411811012212613013413814214615015415816216617017417818218619019419820220621021441014[[#This Row],[Jour]]="5- Vendredi",$B$1+5, IF(Horodateur11233538192231343743464952555861646985222634384650585462667074788290989410210611411811012212613013413814214615015415816216617017417818218619019419820220621021441014[[#This Row],[Jour]]="6- Samedi",$B$1+6, IF(Horodateur11233538192231343743464952555861646985222634384650585462667074788290989410210611411811012212613013413814214615015415816216617017417818218619019419820220621021441014[[#This Row],[Jour]]="7- Dimanche",$B$1, )))))))</f>
        <v>44223</v>
      </c>
      <c r="B17" s="257" t="s">
        <v>319</v>
      </c>
      <c r="C17" s="258" t="n">
        <v>0.4375</v>
      </c>
      <c r="D17" s="258" t="n">
        <v>0.5</v>
      </c>
      <c r="E17" s="71" t="s">
        <v>363</v>
      </c>
      <c r="F17" s="71" t="s">
        <v>378</v>
      </c>
      <c r="G17" s="259" t="s">
        <v>644</v>
      </c>
      <c r="H17" s="258" t="n">
        <f aca="false">IF($C17=0,"",$D17-$C17)</f>
        <v>0.0625</v>
      </c>
      <c r="I17" s="260" t="n">
        <f aca="false">IF($C17=0,"",($H17-INT($H17))*24)</f>
        <v>1.5</v>
      </c>
      <c r="J17" s="303" t="n">
        <f aca="false">SUMIF(Horodateur11233538192231343743464952555861646985222634384650585462667074788290989410210611411811012212613013413814214615015415816216617017417818218619019419820220621021441014[Jour],$B17,Horodateur11233538192231343743464952555861646985222634384650585462667074788290989410210611411811012212613013413814214615015415816216617017417818218619019419820220621021441014[Durée (100)])</f>
        <v>8</v>
      </c>
      <c r="K17" s="335"/>
      <c r="L17" s="188" t="s">
        <v>31</v>
      </c>
      <c r="M17" s="272" t="n">
        <f aca="false">IF(Horodateur11233538192231343743464952555861646985222634384650585462667074788290989410210611411811012212613013413814214615015415816216617017417818218619019419820220621021441014[[#This Row],[O]]="o",Horodateur11233538192231343743464952555861646985222634384650585462667074788290989410210611411811012212613013413814214615015415816216617017417818218619019419820220621021441014[[#This Row],[Durée (100)]],".")</f>
        <v>1.5</v>
      </c>
      <c r="N17" s="187"/>
      <c r="O17" s="71"/>
      <c r="P17" s="71"/>
      <c r="Q17" s="71"/>
      <c r="R17" s="71"/>
      <c r="S17" s="71"/>
      <c r="T17" s="71"/>
      <c r="U17" s="71"/>
      <c r="V17" s="71"/>
      <c r="W17" s="71"/>
      <c r="X17" s="71"/>
      <c r="Y17" s="71"/>
      <c r="Z17" s="71"/>
      <c r="AA17" s="71"/>
      <c r="AB17" s="71"/>
      <c r="AC17" s="71"/>
      <c r="AD17" s="71"/>
      <c r="AE17" s="71"/>
      <c r="AF17" s="71"/>
      <c r="AG17" s="71"/>
    </row>
    <row r="18" customFormat="false" ht="15" hidden="false" customHeight="false" outlineLevel="0" collapsed="false">
      <c r="A18" s="256" t="n">
        <f aca="false">IF(Horodateur11233538192231343743464952555861646985222634384650585462667074788290989410210611411811012212613013413814214615015415816216617017417818218619019419820220621021441014[[#This Row],[Jour]]="1- Lundi",$B$1+1, IF(Horodateur11233538192231343743464952555861646985222634384650585462667074788290989410210611411811012212613013413814214615015415816216617017417818218619019419820220621021441014[[#This Row],[Jour]]="2- Mardi",$B$1+2, IF(Horodateur11233538192231343743464952555861646985222634384650585462667074788290989410210611411811012212613013413814214615015415816216617017417818218619019419820220621021441014[[#This Row],[Jour]]="3- Mercredi",$B$1+3, IF(Horodateur11233538192231343743464952555861646985222634384650585462667074788290989410210611411811012212613013413814214615015415816216617017417818218619019419820220621021441014[[#This Row],[Jour]]="4- Jeudi",$B$1+4, IF(Horodateur11233538192231343743464952555861646985222634384650585462667074788290989410210611411811012212613013413814214615015415816216617017417818218619019419820220621021441014[[#This Row],[Jour]]="5- Vendredi",$B$1+5, IF(Horodateur11233538192231343743464952555861646985222634384650585462667074788290989410210611411811012212613013413814214615015415816216617017417818218619019419820220621021441014[[#This Row],[Jour]]="6- Samedi",$B$1+6, IF(Horodateur11233538192231343743464952555861646985222634384650585462667074788290989410210611411811012212613013413814214615015415816216617017417818218619019419820220621021441014[[#This Row],[Jour]]="7- Dimanche",$B$1, )))))))</f>
        <v>44223</v>
      </c>
      <c r="B18" s="257" t="s">
        <v>319</v>
      </c>
      <c r="C18" s="258" t="n">
        <v>0.5625</v>
      </c>
      <c r="D18" s="258" t="n">
        <v>0.604166666666667</v>
      </c>
      <c r="E18" s="71" t="s">
        <v>59</v>
      </c>
      <c r="F18" s="71" t="s">
        <v>379</v>
      </c>
      <c r="G18" s="259" t="s">
        <v>645</v>
      </c>
      <c r="H18" s="258" t="n">
        <f aca="false">IF($C18=0,"",$D18-$C18)</f>
        <v>0.0416666666666666</v>
      </c>
      <c r="I18" s="260" t="n">
        <f aca="false">IF($C18=0,"",($H18-INT($H18))*24)</f>
        <v>0.999999999999999</v>
      </c>
      <c r="J18" s="303" t="n">
        <f aca="false">SUMIF(Horodateur11233538192231343743464952555861646985222634384650585462667074788290989410210611411811012212613013413814214615015415816216617017417818218619019419820220621021441014[Jour],$B18,Horodateur11233538192231343743464952555861646985222634384650585462667074788290989410210611411811012212613013413814214615015415816216617017417818218619019419820220621021441014[Durée (100)])</f>
        <v>8</v>
      </c>
      <c r="K18" s="335"/>
      <c r="L18" s="188" t="s">
        <v>31</v>
      </c>
      <c r="M18" s="272" t="n">
        <f aca="false">IF(Horodateur11233538192231343743464952555861646985222634384650585462667074788290989410210611411811012212613013413814214615015415816216617017417818218619019419820220621021441014[[#This Row],[O]]="o",Horodateur11233538192231343743464952555861646985222634384650585462667074788290989410210611411811012212613013413814214615015415816216617017417818218619019419820220621021441014[[#This Row],[Durée (100)]],".")</f>
        <v>0.999999999999999</v>
      </c>
      <c r="N18" s="187"/>
      <c r="O18" s="71"/>
      <c r="P18" s="71"/>
      <c r="Q18" s="71"/>
      <c r="R18" s="71"/>
      <c r="S18" s="71"/>
      <c r="T18" s="71"/>
      <c r="U18" s="71"/>
      <c r="V18" s="71"/>
      <c r="W18" s="71"/>
      <c r="X18" s="71"/>
      <c r="Y18" s="71"/>
      <c r="Z18" s="71"/>
      <c r="AA18" s="71"/>
      <c r="AB18" s="71"/>
      <c r="AC18" s="71"/>
      <c r="AD18" s="71"/>
      <c r="AE18" s="71"/>
      <c r="AF18" s="71"/>
      <c r="AG18" s="71"/>
    </row>
    <row r="19" customFormat="false" ht="15" hidden="false" customHeight="false" outlineLevel="0" collapsed="false">
      <c r="A19" s="256" t="n">
        <f aca="false">IF(Horodateur11233538192231343743464952555861646985222634384650585462667074788290989410210611411811012212613013413814214615015415816216617017417818218619019419820220621021441014[[#This Row],[Jour]]="1- Lundi",$B$1+1, IF(Horodateur11233538192231343743464952555861646985222634384650585462667074788290989410210611411811012212613013413814214615015415816216617017417818218619019419820220621021441014[[#This Row],[Jour]]="2- Mardi",$B$1+2, IF(Horodateur11233538192231343743464952555861646985222634384650585462667074788290989410210611411811012212613013413814214615015415816216617017417818218619019419820220621021441014[[#This Row],[Jour]]="3- Mercredi",$B$1+3, IF(Horodateur11233538192231343743464952555861646985222634384650585462667074788290989410210611411811012212613013413814214615015415816216617017417818218619019419820220621021441014[[#This Row],[Jour]]="4- Jeudi",$B$1+4, IF(Horodateur11233538192231343743464952555861646985222634384650585462667074788290989410210611411811012212613013413814214615015415816216617017417818218619019419820220621021441014[[#This Row],[Jour]]="5- Vendredi",$B$1+5, IF(Horodateur11233538192231343743464952555861646985222634384650585462667074788290989410210611411811012212613013413814214615015415816216617017417818218619019419820220621021441014[[#This Row],[Jour]]="6- Samedi",$B$1+6, IF(Horodateur11233538192231343743464952555861646985222634384650585462667074788290989410210611411811012212613013413814214615015415816216617017417818218619019419820220621021441014[[#This Row],[Jour]]="7- Dimanche",$B$1, )))))))</f>
        <v>44223</v>
      </c>
      <c r="B19" s="257" t="s">
        <v>319</v>
      </c>
      <c r="C19" s="258" t="n">
        <v>0.604166666666667</v>
      </c>
      <c r="D19" s="258" t="n">
        <v>0.635416666666667</v>
      </c>
      <c r="E19" s="71" t="s">
        <v>363</v>
      </c>
      <c r="F19" s="71" t="s">
        <v>378</v>
      </c>
      <c r="G19" s="259" t="s">
        <v>646</v>
      </c>
      <c r="H19" s="258" t="n">
        <f aca="false">IF($C19=0,"",$D19-$C19)</f>
        <v>0.03125</v>
      </c>
      <c r="I19" s="260" t="n">
        <f aca="false">IF($C19=0,"",($H19-INT($H19))*24)</f>
        <v>0.75</v>
      </c>
      <c r="J19" s="303" t="n">
        <f aca="false">SUMIF(Horodateur11233538192231343743464952555861646985222634384650585462667074788290989410210611411811012212613013413814214615015415816216617017417818218619019419820220621021441014[Jour],$B19,Horodateur11233538192231343743464952555861646985222634384650585462667074788290989410210611411811012212613013413814214615015415816216617017417818218619019419820220621021441014[Durée (100)])</f>
        <v>8</v>
      </c>
      <c r="K19" s="335"/>
      <c r="L19" s="188" t="s">
        <v>31</v>
      </c>
      <c r="M19" s="272" t="n">
        <f aca="false">IF(Horodateur11233538192231343743464952555861646985222634384650585462667074788290989410210611411811012212613013413814214615015415816216617017417818218619019419820220621021441014[[#This Row],[O]]="o",Horodateur11233538192231343743464952555861646985222634384650585462667074788290989410210611411811012212613013413814214615015415816216617017417818218619019419820220621021441014[[#This Row],[Durée (100)]],".")</f>
        <v>0.75</v>
      </c>
      <c r="N19" s="187"/>
      <c r="O19" s="71"/>
      <c r="P19" s="71"/>
      <c r="Q19" s="71"/>
      <c r="R19" s="71"/>
      <c r="S19" s="71"/>
      <c r="T19" s="71"/>
      <c r="U19" s="71"/>
      <c r="V19" s="71"/>
      <c r="W19" s="71"/>
      <c r="X19" s="71"/>
      <c r="Y19" s="71"/>
      <c r="Z19" s="71"/>
      <c r="AA19" s="71"/>
      <c r="AB19" s="71"/>
      <c r="AC19" s="71"/>
      <c r="AD19" s="71"/>
      <c r="AE19" s="71"/>
      <c r="AF19" s="71"/>
      <c r="AG19" s="71"/>
    </row>
    <row r="20" customFormat="false" ht="15" hidden="false" customHeight="false" outlineLevel="0" collapsed="false">
      <c r="A20" s="256" t="n">
        <f aca="false">IF(Horodateur11233538192231343743464952555861646985222634384650585462667074788290989410210611411811012212613013413814214615015415816216617017417818218619019419820220621021441014[[#This Row],[Jour]]="1- Lundi",$B$1+1, IF(Horodateur11233538192231343743464952555861646985222634384650585462667074788290989410210611411811012212613013413814214615015415816216617017417818218619019419820220621021441014[[#This Row],[Jour]]="2- Mardi",$B$1+2, IF(Horodateur11233538192231343743464952555861646985222634384650585462667074788290989410210611411811012212613013413814214615015415816216617017417818218619019419820220621021441014[[#This Row],[Jour]]="3- Mercredi",$B$1+3, IF(Horodateur11233538192231343743464952555861646985222634384650585462667074788290989410210611411811012212613013413814214615015415816216617017417818218619019419820220621021441014[[#This Row],[Jour]]="4- Jeudi",$B$1+4, IF(Horodateur11233538192231343743464952555861646985222634384650585462667074788290989410210611411811012212613013413814214615015415816216617017417818218619019419820220621021441014[[#This Row],[Jour]]="5- Vendredi",$B$1+5, IF(Horodateur11233538192231343743464952555861646985222634384650585462667074788290989410210611411811012212613013413814214615015415816216617017417818218619019419820220621021441014[[#This Row],[Jour]]="6- Samedi",$B$1+6, IF(Horodateur11233538192231343743464952555861646985222634384650585462667074788290989410210611411811012212613013413814214615015415816216617017417818218619019419820220621021441014[[#This Row],[Jour]]="7- Dimanche",$B$1, )))))))</f>
        <v>44223</v>
      </c>
      <c r="B20" s="257" t="s">
        <v>319</v>
      </c>
      <c r="C20" s="258" t="n">
        <v>0.635416666666667</v>
      </c>
      <c r="D20" s="258" t="n">
        <v>0.645833333333333</v>
      </c>
      <c r="E20" s="71" t="s">
        <v>363</v>
      </c>
      <c r="F20" s="71" t="s">
        <v>378</v>
      </c>
      <c r="G20" s="259" t="s">
        <v>647</v>
      </c>
      <c r="H20" s="258" t="n">
        <f aca="false">IF($C20=0,"",$D20-$C20)</f>
        <v>0.0104166666666667</v>
      </c>
      <c r="I20" s="260" t="n">
        <f aca="false">IF($C20=0,"",($H20-INT($H20))*24)</f>
        <v>0.250000000000002</v>
      </c>
      <c r="J20" s="303" t="n">
        <f aca="false">SUMIF(Horodateur11233538192231343743464952555861646985222634384650585462667074788290989410210611411811012212613013413814214615015415816216617017417818218619019419820220621021441014[Jour],$B20,Horodateur11233538192231343743464952555861646985222634384650585462667074788290989410210611411811012212613013413814214615015415816216617017417818218619019419820220621021441014[Durée (100)])</f>
        <v>8</v>
      </c>
      <c r="K20" s="335"/>
      <c r="L20" s="188" t="s">
        <v>31</v>
      </c>
      <c r="M20" s="272" t="n">
        <f aca="false">IF(Horodateur11233538192231343743464952555861646985222634384650585462667074788290989410210611411811012212613013413814214615015415816216617017417818218619019419820220621021441014[[#This Row],[O]]="o",Horodateur11233538192231343743464952555861646985222634384650585462667074788290989410210611411811012212613013413814214615015415816216617017417818218619019419820220621021441014[[#This Row],[Durée (100)]],".")</f>
        <v>0.250000000000002</v>
      </c>
      <c r="N20" s="187"/>
      <c r="O20" s="71"/>
      <c r="P20" s="71"/>
      <c r="Q20" s="71"/>
      <c r="R20" s="71"/>
      <c r="S20" s="71"/>
      <c r="T20" s="71"/>
      <c r="U20" s="71"/>
      <c r="V20" s="71"/>
      <c r="W20" s="71"/>
      <c r="X20" s="71"/>
      <c r="Y20" s="71"/>
      <c r="Z20" s="71"/>
      <c r="AA20" s="71"/>
      <c r="AB20" s="71"/>
      <c r="AC20" s="71"/>
      <c r="AD20" s="71"/>
      <c r="AE20" s="71"/>
      <c r="AF20" s="71"/>
      <c r="AG20" s="71"/>
    </row>
    <row r="21" customFormat="false" ht="15" hidden="false" customHeight="false" outlineLevel="0" collapsed="false">
      <c r="A21" s="256" t="n">
        <f aca="false">IF(Horodateur11233538192231343743464952555861646985222634384650585462667074788290989410210611411811012212613013413814214615015415816216617017417818218619019419820220621021441014[[#This Row],[Jour]]="1- Lundi",$B$1+1, IF(Horodateur11233538192231343743464952555861646985222634384650585462667074788290989410210611411811012212613013413814214615015415816216617017417818218619019419820220621021441014[[#This Row],[Jour]]="2- Mardi",$B$1+2, IF(Horodateur11233538192231343743464952555861646985222634384650585462667074788290989410210611411811012212613013413814214615015415816216617017417818218619019419820220621021441014[[#This Row],[Jour]]="3- Mercredi",$B$1+3, IF(Horodateur11233538192231343743464952555861646985222634384650585462667074788290989410210611411811012212613013413814214615015415816216617017417818218619019419820220621021441014[[#This Row],[Jour]]="4- Jeudi",$B$1+4, IF(Horodateur11233538192231343743464952555861646985222634384650585462667074788290989410210611411811012212613013413814214615015415816216617017417818218619019419820220621021441014[[#This Row],[Jour]]="5- Vendredi",$B$1+5, IF(Horodateur11233538192231343743464952555861646985222634384650585462667074788290989410210611411811012212613013413814214615015415816216617017417818218619019419820220621021441014[[#This Row],[Jour]]="6- Samedi",$B$1+6, IF(Horodateur11233538192231343743464952555861646985222634384650585462667074788290989410210611411811012212613013413814214615015415816216617017417818218619019419820220621021441014[[#This Row],[Jour]]="7- Dimanche",$B$1, )))))))</f>
        <v>44223</v>
      </c>
      <c r="B21" s="257" t="s">
        <v>319</v>
      </c>
      <c r="C21" s="258" t="n">
        <v>0.645833333333333</v>
      </c>
      <c r="D21" s="258" t="n">
        <v>0.677083333333333</v>
      </c>
      <c r="E21" s="71" t="s">
        <v>32</v>
      </c>
      <c r="F21" s="71" t="s">
        <v>23</v>
      </c>
      <c r="G21" s="259"/>
      <c r="H21" s="258" t="n">
        <f aca="false">IF($C21=0,"",$D21-$C21)</f>
        <v>0.03125</v>
      </c>
      <c r="I21" s="260" t="n">
        <f aca="false">IF($C21=0,"",($H21-INT($H21))*24)</f>
        <v>0.75</v>
      </c>
      <c r="J21" s="303" t="n">
        <f aca="false">SUMIF(Horodateur11233538192231343743464952555861646985222634384650585462667074788290989410210611411811012212613013413814214615015415816216617017417818218619019419820220621021441014[Jour],$B21,Horodateur11233538192231343743464952555861646985222634384650585462667074788290989410210611411811012212613013413814214615015415816216617017417818218619019419820220621021441014[Durée (100)])</f>
        <v>8</v>
      </c>
      <c r="K21" s="335"/>
      <c r="L21" s="188" t="s">
        <v>31</v>
      </c>
      <c r="M21" s="272" t="n">
        <f aca="false">IF(Horodateur11233538192231343743464952555861646985222634384650585462667074788290989410210611411811012212613013413814214615015415816216617017417818218619019419820220621021441014[[#This Row],[O]]="o",Horodateur11233538192231343743464952555861646985222634384650585462667074788290989410210611411811012212613013413814214615015415816216617017417818218619019419820220621021441014[[#This Row],[Durée (100)]],".")</f>
        <v>0.75</v>
      </c>
      <c r="N21" s="187"/>
      <c r="O21" s="71"/>
      <c r="P21" s="71"/>
      <c r="Q21" s="71"/>
      <c r="R21" s="71"/>
      <c r="S21" s="71"/>
      <c r="T21" s="71"/>
      <c r="U21" s="71"/>
      <c r="V21" s="71"/>
      <c r="W21" s="71"/>
      <c r="X21" s="71"/>
      <c r="Y21" s="71"/>
      <c r="Z21" s="71"/>
      <c r="AA21" s="71"/>
      <c r="AB21" s="71"/>
      <c r="AC21" s="71"/>
      <c r="AD21" s="71"/>
      <c r="AE21" s="71"/>
      <c r="AF21" s="71"/>
      <c r="AG21" s="71"/>
    </row>
    <row r="22" customFormat="false" ht="15" hidden="false" customHeight="false" outlineLevel="0" collapsed="false">
      <c r="A22" s="256" t="n">
        <f aca="false">IF(Horodateur11233538192231343743464952555861646985222634384650585462667074788290989410210611411811012212613013413814214615015415816216617017417818218619019419820220621021441014[[#This Row],[Jour]]="1- Lundi",$B$1+1, IF(Horodateur11233538192231343743464952555861646985222634384650585462667074788290989410210611411811012212613013413814214615015415816216617017417818218619019419820220621021441014[[#This Row],[Jour]]="2- Mardi",$B$1+2, IF(Horodateur11233538192231343743464952555861646985222634384650585462667074788290989410210611411811012212613013413814214615015415816216617017417818218619019419820220621021441014[[#This Row],[Jour]]="3- Mercredi",$B$1+3, IF(Horodateur11233538192231343743464952555861646985222634384650585462667074788290989410210611411811012212613013413814214615015415816216617017417818218619019419820220621021441014[[#This Row],[Jour]]="4- Jeudi",$B$1+4, IF(Horodateur11233538192231343743464952555861646985222634384650585462667074788290989410210611411811012212613013413814214615015415816216617017417818218619019419820220621021441014[[#This Row],[Jour]]="5- Vendredi",$B$1+5, IF(Horodateur11233538192231343743464952555861646985222634384650585462667074788290989410210611411811012212613013413814214615015415816216617017417818218619019419820220621021441014[[#This Row],[Jour]]="6- Samedi",$B$1+6, IF(Horodateur11233538192231343743464952555861646985222634384650585462667074788290989410210611411811012212613013413814214615015415816216617017417818218619019419820220621021441014[[#This Row],[Jour]]="7- Dimanche",$B$1, )))))))</f>
        <v>44223</v>
      </c>
      <c r="B22" s="257" t="s">
        <v>319</v>
      </c>
      <c r="C22" s="258" t="n">
        <v>0.677083333333333</v>
      </c>
      <c r="D22" s="258" t="n">
        <v>0.6875</v>
      </c>
      <c r="E22" s="71" t="s">
        <v>37</v>
      </c>
      <c r="F22" s="71" t="s">
        <v>378</v>
      </c>
      <c r="G22" s="259" t="s">
        <v>648</v>
      </c>
      <c r="H22" s="258" t="n">
        <f aca="false">IF($C22=0,"",$D22-$C22)</f>
        <v>0.0104166666666666</v>
      </c>
      <c r="I22" s="260" t="n">
        <f aca="false">IF($C22=0,"",($H22-INT($H22))*24)</f>
        <v>0.249999999999999</v>
      </c>
      <c r="J22" s="303" t="n">
        <f aca="false">SUMIF(Horodateur11233538192231343743464952555861646985222634384650585462667074788290989410210611411811012212613013413814214615015415816216617017417818218619019419820220621021441014[Jour],$B22,Horodateur11233538192231343743464952555861646985222634384650585462667074788290989410210611411811012212613013413814214615015415816216617017417818218619019419820220621021441014[Durée (100)])</f>
        <v>8</v>
      </c>
      <c r="K22" s="335"/>
      <c r="L22" s="188" t="s">
        <v>31</v>
      </c>
      <c r="M22" s="272" t="n">
        <f aca="false">IF(Horodateur11233538192231343743464952555861646985222634384650585462667074788290989410210611411811012212613013413814214615015415816216617017417818218619019419820220621021441014[[#This Row],[O]]="o",Horodateur11233538192231343743464952555861646985222634384650585462667074788290989410210611411811012212613013413814214615015415816216617017417818218619019419820220621021441014[[#This Row],[Durée (100)]],".")</f>
        <v>0.249999999999999</v>
      </c>
      <c r="N22" s="187"/>
      <c r="O22" s="71"/>
      <c r="P22" s="71"/>
      <c r="Q22" s="71"/>
      <c r="R22" s="71"/>
      <c r="S22" s="71"/>
      <c r="T22" s="71"/>
      <c r="U22" s="71"/>
      <c r="V22" s="71"/>
      <c r="W22" s="71"/>
      <c r="X22" s="71"/>
      <c r="Y22" s="71"/>
      <c r="Z22" s="71"/>
      <c r="AA22" s="71"/>
      <c r="AB22" s="71"/>
      <c r="AC22" s="71"/>
      <c r="AD22" s="71"/>
      <c r="AE22" s="71"/>
      <c r="AF22" s="71"/>
      <c r="AG22" s="71"/>
    </row>
    <row r="23" customFormat="false" ht="15" hidden="false" customHeight="false" outlineLevel="0" collapsed="false">
      <c r="A23" s="256" t="n">
        <f aca="false">IF(Horodateur11233538192231343743464952555861646985222634384650585462667074788290989410210611411811012212613013413814214615015415816216617017417818218619019419820220621021441014[[#This Row],[Jour]]="1- Lundi",$B$1+1, IF(Horodateur11233538192231343743464952555861646985222634384650585462667074788290989410210611411811012212613013413814214615015415816216617017417818218619019419820220621021441014[[#This Row],[Jour]]="2- Mardi",$B$1+2, IF(Horodateur11233538192231343743464952555861646985222634384650585462667074788290989410210611411811012212613013413814214615015415816216617017417818218619019419820220621021441014[[#This Row],[Jour]]="3- Mercredi",$B$1+3, IF(Horodateur11233538192231343743464952555861646985222634384650585462667074788290989410210611411811012212613013413814214615015415816216617017417818218619019419820220621021441014[[#This Row],[Jour]]="4- Jeudi",$B$1+4, IF(Horodateur11233538192231343743464952555861646985222634384650585462667074788290989410210611411811012212613013413814214615015415816216617017417818218619019419820220621021441014[[#This Row],[Jour]]="5- Vendredi",$B$1+5, IF(Horodateur11233538192231343743464952555861646985222634384650585462667074788290989410210611411811012212613013413814214615015415816216617017417818218619019419820220621021441014[[#This Row],[Jour]]="6- Samedi",$B$1+6, IF(Horodateur11233538192231343743464952555861646985222634384650585462667074788290989410210611411811012212613013413814214615015415816216617017417818218619019419820220621021441014[[#This Row],[Jour]]="7- Dimanche",$B$1, )))))))</f>
        <v>44223</v>
      </c>
      <c r="B23" s="257" t="s">
        <v>319</v>
      </c>
      <c r="C23" s="258" t="n">
        <v>0.708333333333333</v>
      </c>
      <c r="D23" s="258" t="n">
        <v>0.75</v>
      </c>
      <c r="E23" s="71" t="s">
        <v>32</v>
      </c>
      <c r="F23" s="71" t="s">
        <v>23</v>
      </c>
      <c r="G23" s="259"/>
      <c r="H23" s="258" t="n">
        <f aca="false">IF($C23=0,"",$D23-$C23)</f>
        <v>0.0416666666666666</v>
      </c>
      <c r="I23" s="260" t="n">
        <f aca="false">IF($C23=0,"",($H23-INT($H23))*24)</f>
        <v>0.999999999999999</v>
      </c>
      <c r="J23" s="303" t="n">
        <f aca="false">SUMIF(Horodateur11233538192231343743464952555861646985222634384650585462667074788290989410210611411811012212613013413814214615015415816216617017417818218619019419820220621021441014[Jour],$B23,Horodateur11233538192231343743464952555861646985222634384650585462667074788290989410210611411811012212613013413814214615015415816216617017417818218619019419820220621021441014[Durée (100)])</f>
        <v>8</v>
      </c>
      <c r="K23" s="335"/>
      <c r="L23" s="188" t="s">
        <v>31</v>
      </c>
      <c r="M23" s="272" t="n">
        <f aca="false">IF(Horodateur11233538192231343743464952555861646985222634384650585462667074788290989410210611411811012212613013413814214615015415816216617017417818218619019419820220621021441014[[#This Row],[O]]="o",Horodateur11233538192231343743464952555861646985222634384650585462667074788290989410210611411811012212613013413814214615015415816216617017417818218619019419820220621021441014[[#This Row],[Durée (100)]],".")</f>
        <v>0.999999999999999</v>
      </c>
      <c r="N23" s="187"/>
      <c r="O23" s="71"/>
      <c r="P23" s="71"/>
      <c r="Q23" s="71"/>
      <c r="R23" s="71"/>
      <c r="S23" s="71"/>
      <c r="T23" s="71"/>
      <c r="U23" s="71"/>
      <c r="V23" s="71"/>
      <c r="W23" s="71"/>
      <c r="X23" s="71"/>
      <c r="Y23" s="71"/>
      <c r="Z23" s="71"/>
      <c r="AA23" s="71"/>
      <c r="AB23" s="71"/>
      <c r="AC23" s="71"/>
      <c r="AD23" s="71"/>
      <c r="AE23" s="71"/>
      <c r="AF23" s="71"/>
      <c r="AG23" s="71"/>
    </row>
    <row r="24" customFormat="false" ht="15" hidden="false" customHeight="false" outlineLevel="0" collapsed="false">
      <c r="A24" s="256" t="n">
        <f aca="false">IF(Horodateur11233538192231343743464952555861646985222634384650585462667074788290989410210611411811012212613013413814214615015415816216617017417818218619019419820220621021441014[[#This Row],[Jour]]="1- Lundi",$B$1+1, IF(Horodateur11233538192231343743464952555861646985222634384650585462667074788290989410210611411811012212613013413814214615015415816216617017417818218619019419820220621021441014[[#This Row],[Jour]]="2- Mardi",$B$1+2, IF(Horodateur11233538192231343743464952555861646985222634384650585462667074788290989410210611411811012212613013413814214615015415816216617017417818218619019419820220621021441014[[#This Row],[Jour]]="3- Mercredi",$B$1+3, IF(Horodateur11233538192231343743464952555861646985222634384650585462667074788290989410210611411811012212613013413814214615015415816216617017417818218619019419820220621021441014[[#This Row],[Jour]]="4- Jeudi",$B$1+4, IF(Horodateur11233538192231343743464952555861646985222634384650585462667074788290989410210611411811012212613013413814214615015415816216617017417818218619019419820220621021441014[[#This Row],[Jour]]="5- Vendredi",$B$1+5, IF(Horodateur11233538192231343743464952555861646985222634384650585462667074788290989410210611411811012212613013413814214615015415816216617017417818218619019419820220621021441014[[#This Row],[Jour]]="6- Samedi",$B$1+6, IF(Horodateur11233538192231343743464952555861646985222634384650585462667074788290989410210611411811012212613013413814214615015415816216617017417818218619019419820220621021441014[[#This Row],[Jour]]="7- Dimanche",$B$1, )))))))</f>
        <v>44224</v>
      </c>
      <c r="B24" s="257" t="s">
        <v>324</v>
      </c>
      <c r="C24" s="258" t="n">
        <v>0.333333333333333</v>
      </c>
      <c r="D24" s="258" t="n">
        <v>0.354166666666667</v>
      </c>
      <c r="E24" s="71" t="s">
        <v>32</v>
      </c>
      <c r="F24" s="71" t="s">
        <v>23</v>
      </c>
      <c r="G24" s="259"/>
      <c r="H24" s="258" t="n">
        <f aca="false">IF($C24=0,"",$D24-$C24)</f>
        <v>0.0208333333333333</v>
      </c>
      <c r="I24" s="260" t="n">
        <f aca="false">IF($C24=0,"",($H24-INT($H24))*24)</f>
        <v>0.5</v>
      </c>
      <c r="J24" s="303" t="n">
        <f aca="false">SUMIF(Horodateur11233538192231343743464952555861646985222634384650585462667074788290989410210611411811012212613013413814214615015415816216617017417818218619019419820220621021441014[Jour],$B24,Horodateur11233538192231343743464952555861646985222634384650585462667074788290989410210611411811012212613013413814214615015415816216617017417818218619019419820220621021441014[Durée (100)])</f>
        <v>9</v>
      </c>
      <c r="K24" s="335"/>
      <c r="L24" s="188" t="s">
        <v>31</v>
      </c>
      <c r="M24" s="272" t="n">
        <f aca="false">IF(Horodateur11233538192231343743464952555861646985222634384650585462667074788290989410210611411811012212613013413814214615015415816216617017417818218619019419820220621021441014[[#This Row],[O]]="o",Horodateur11233538192231343743464952555861646985222634384650585462667074788290989410210611411811012212613013413814214615015415816216617017417818218619019419820220621021441014[[#This Row],[Durée (100)]],".")</f>
        <v>0.500000000000001</v>
      </c>
      <c r="N24" s="187"/>
      <c r="O24" s="71"/>
      <c r="P24" s="71"/>
      <c r="Q24" s="71"/>
      <c r="R24" s="71"/>
      <c r="S24" s="71"/>
      <c r="T24" s="71"/>
      <c r="U24" s="71"/>
      <c r="V24" s="71"/>
      <c r="W24" s="71"/>
      <c r="X24" s="71"/>
      <c r="Y24" s="71"/>
      <c r="Z24" s="71"/>
      <c r="AA24" s="71"/>
      <c r="AB24" s="71"/>
      <c r="AC24" s="71"/>
      <c r="AD24" s="71"/>
      <c r="AE24" s="71"/>
      <c r="AF24" s="71"/>
      <c r="AG24" s="71"/>
    </row>
    <row r="25" customFormat="false" ht="15" hidden="false" customHeight="false" outlineLevel="0" collapsed="false">
      <c r="A25" s="256" t="n">
        <f aca="false">IF(Horodateur11233538192231343743464952555861646985222634384650585462667074788290989410210611411811012212613013413814214615015415816216617017417818218619019419820220621021441014[[#This Row],[Jour]]="1- Lundi",$B$1+1, IF(Horodateur11233538192231343743464952555861646985222634384650585462667074788290989410210611411811012212613013413814214615015415816216617017417818218619019419820220621021441014[[#This Row],[Jour]]="2- Mardi",$B$1+2, IF(Horodateur11233538192231343743464952555861646985222634384650585462667074788290989410210611411811012212613013413814214615015415816216617017417818218619019419820220621021441014[[#This Row],[Jour]]="3- Mercredi",$B$1+3, IF(Horodateur11233538192231343743464952555861646985222634384650585462667074788290989410210611411811012212613013413814214615015415816216617017417818218619019419820220621021441014[[#This Row],[Jour]]="4- Jeudi",$B$1+4, IF(Horodateur11233538192231343743464952555861646985222634384650585462667074788290989410210611411811012212613013413814214615015415816216617017417818218619019419820220621021441014[[#This Row],[Jour]]="5- Vendredi",$B$1+5, IF(Horodateur11233538192231343743464952555861646985222634384650585462667074788290989410210611411811012212613013413814214615015415816216617017417818218619019419820220621021441014[[#This Row],[Jour]]="6- Samedi",$B$1+6, IF(Horodateur11233538192231343743464952555861646985222634384650585462667074788290989410210611411811012212613013413814214615015415816216617017417818218619019419820220621021441014[[#This Row],[Jour]]="7- Dimanche",$B$1, )))))))</f>
        <v>44224</v>
      </c>
      <c r="B25" s="257" t="s">
        <v>324</v>
      </c>
      <c r="C25" s="258" t="n">
        <v>0.354166666666667</v>
      </c>
      <c r="D25" s="258" t="n">
        <v>0.416666666666667</v>
      </c>
      <c r="E25" s="71" t="s">
        <v>74</v>
      </c>
      <c r="F25" s="71" t="s">
        <v>378</v>
      </c>
      <c r="G25" s="259" t="s">
        <v>643</v>
      </c>
      <c r="H25" s="258" t="n">
        <f aca="false">IF($C25=0,"",$D25-$C25)</f>
        <v>0.0625</v>
      </c>
      <c r="I25" s="260" t="n">
        <f aca="false">IF($C25=0,"",($H25-INT($H25))*24)</f>
        <v>1.5</v>
      </c>
      <c r="J25" s="303" t="n">
        <f aca="false">SUMIF(Horodateur11233538192231343743464952555861646985222634384650585462667074788290989410210611411811012212613013413814214615015415816216617017417818218619019419820220621021441014[Jour],$B25,Horodateur11233538192231343743464952555861646985222634384650585462667074788290989410210611411811012212613013413814214615015415816216617017417818218619019419820220621021441014[Durée (100)])</f>
        <v>9</v>
      </c>
      <c r="K25" s="335"/>
      <c r="L25" s="188" t="s">
        <v>31</v>
      </c>
      <c r="M25" s="272" t="n">
        <f aca="false">IF(Horodateur11233538192231343743464952555861646985222634384650585462667074788290989410210611411811012212613013413814214615015415816216617017417818218619019419820220621021441014[[#This Row],[O]]="o",Horodateur11233538192231343743464952555861646985222634384650585462667074788290989410210611411811012212613013413814214615015415816216617017417818218619019419820220621021441014[[#This Row],[Durée (100)]],".")</f>
        <v>1.5</v>
      </c>
      <c r="N25" s="187"/>
      <c r="O25" s="71"/>
      <c r="P25" s="71"/>
      <c r="Q25" s="71"/>
      <c r="R25" s="71"/>
      <c r="S25" s="71"/>
      <c r="T25" s="71"/>
      <c r="U25" s="71"/>
      <c r="V25" s="71"/>
      <c r="W25" s="71"/>
      <c r="X25" s="71"/>
      <c r="Y25" s="71"/>
      <c r="Z25" s="71"/>
      <c r="AA25" s="71"/>
      <c r="AB25" s="71"/>
      <c r="AC25" s="71"/>
      <c r="AD25" s="71"/>
      <c r="AE25" s="71"/>
      <c r="AF25" s="71"/>
      <c r="AG25" s="71"/>
    </row>
    <row r="26" customFormat="false" ht="15" hidden="false" customHeight="false" outlineLevel="0" collapsed="false">
      <c r="A26" s="256" t="n">
        <f aca="false">IF(Horodateur11233538192231343743464952555861646985222634384650585462667074788290989410210611411811012212613013413814214615015415816216617017417818218619019419820220621021441014[[#This Row],[Jour]]="1- Lundi",$B$1+1, IF(Horodateur11233538192231343743464952555861646985222634384650585462667074788290989410210611411811012212613013413814214615015415816216617017417818218619019419820220621021441014[[#This Row],[Jour]]="2- Mardi",$B$1+2, IF(Horodateur11233538192231343743464952555861646985222634384650585462667074788290989410210611411811012212613013413814214615015415816216617017417818218619019419820220621021441014[[#This Row],[Jour]]="3- Mercredi",$B$1+3, IF(Horodateur11233538192231343743464952555861646985222634384650585462667074788290989410210611411811012212613013413814214615015415816216617017417818218619019419820220621021441014[[#This Row],[Jour]]="4- Jeudi",$B$1+4, IF(Horodateur11233538192231343743464952555861646985222634384650585462667074788290989410210611411811012212613013413814214615015415816216617017417818218619019419820220621021441014[[#This Row],[Jour]]="5- Vendredi",$B$1+5, IF(Horodateur11233538192231343743464952555861646985222634384650585462667074788290989410210611411811012212613013413814214615015415816216617017417818218619019419820220621021441014[[#This Row],[Jour]]="6- Samedi",$B$1+6, IF(Horodateur11233538192231343743464952555861646985222634384650585462667074788290989410210611411811012212613013413814214615015415816216617017417818218619019419820220621021441014[[#This Row],[Jour]]="7- Dimanche",$B$1, )))))))</f>
        <v>44224</v>
      </c>
      <c r="B26" s="257" t="s">
        <v>324</v>
      </c>
      <c r="C26" s="258" t="n">
        <v>0.416666666666667</v>
      </c>
      <c r="D26" s="258" t="n">
        <v>0.4375</v>
      </c>
      <c r="E26" s="71" t="s">
        <v>32</v>
      </c>
      <c r="F26" s="71" t="s">
        <v>21</v>
      </c>
      <c r="G26" s="259"/>
      <c r="H26" s="258" t="n">
        <f aca="false">IF($C26=0,"",$D26-$C26)</f>
        <v>0.0208333333333333</v>
      </c>
      <c r="I26" s="260" t="n">
        <f aca="false">IF($C26=0,"",($H26-INT($H26))*24)</f>
        <v>0.5</v>
      </c>
      <c r="J26" s="303" t="n">
        <f aca="false">SUMIF(Horodateur11233538192231343743464952555861646985222634384650585462667074788290989410210611411811012212613013413814214615015415816216617017417818218619019419820220621021441014[Jour],$B26,Horodateur11233538192231343743464952555861646985222634384650585462667074788290989410210611411811012212613013413814214615015415816216617017417818218619019419820220621021441014[Durée (100)])</f>
        <v>9</v>
      </c>
      <c r="K26" s="335"/>
      <c r="L26" s="188" t="s">
        <v>31</v>
      </c>
      <c r="M26" s="272" t="n">
        <f aca="false">IF(Horodateur11233538192231343743464952555861646985222634384650585462667074788290989410210611411811012212613013413814214615015415816216617017417818218619019419820220621021441014[[#This Row],[O]]="o",Horodateur11233538192231343743464952555861646985222634384650585462667074788290989410210611411811012212613013413814214615015415816216617017417818218619019419820220621021441014[[#This Row],[Durée (100)]],".")</f>
        <v>0.5</v>
      </c>
      <c r="N26" s="187"/>
      <c r="O26" s="71"/>
      <c r="P26" s="71"/>
      <c r="Q26" s="71"/>
      <c r="R26" s="71"/>
      <c r="S26" s="71"/>
      <c r="T26" s="71"/>
      <c r="U26" s="71"/>
      <c r="V26" s="71"/>
      <c r="W26" s="71"/>
      <c r="X26" s="71"/>
      <c r="Y26" s="71"/>
      <c r="Z26" s="71"/>
      <c r="AA26" s="71"/>
      <c r="AB26" s="71"/>
      <c r="AC26" s="71"/>
      <c r="AD26" s="71"/>
      <c r="AE26" s="71"/>
      <c r="AF26" s="71"/>
      <c r="AG26" s="71"/>
    </row>
    <row r="27" customFormat="false" ht="15" hidden="false" customHeight="false" outlineLevel="0" collapsed="false">
      <c r="A27" s="256" t="n">
        <f aca="false">IF(Horodateur11233538192231343743464952555861646985222634384650585462667074788290989410210611411811012212613013413814214615015415816216617017417818218619019419820220621021441014[[#This Row],[Jour]]="1- Lundi",$B$1+1, IF(Horodateur11233538192231343743464952555861646985222634384650585462667074788290989410210611411811012212613013413814214615015415816216617017417818218619019419820220621021441014[[#This Row],[Jour]]="2- Mardi",$B$1+2, IF(Horodateur11233538192231343743464952555861646985222634384650585462667074788290989410210611411811012212613013413814214615015415816216617017417818218619019419820220621021441014[[#This Row],[Jour]]="3- Mercredi",$B$1+3, IF(Horodateur11233538192231343743464952555861646985222634384650585462667074788290989410210611411811012212613013413814214615015415816216617017417818218619019419820220621021441014[[#This Row],[Jour]]="4- Jeudi",$B$1+4, IF(Horodateur11233538192231343743464952555861646985222634384650585462667074788290989410210611411811012212613013413814214615015415816216617017417818218619019419820220621021441014[[#This Row],[Jour]]="5- Vendredi",$B$1+5, IF(Horodateur11233538192231343743464952555861646985222634384650585462667074788290989410210611411811012212613013413814214615015415816216617017417818218619019419820220621021441014[[#This Row],[Jour]]="6- Samedi",$B$1+6, IF(Horodateur11233538192231343743464952555861646985222634384650585462667074788290989410210611411811012212613013413814214615015415816216617017417818218619019419820220621021441014[[#This Row],[Jour]]="7- Dimanche",$B$1, )))))))</f>
        <v>44224</v>
      </c>
      <c r="B27" s="257" t="s">
        <v>324</v>
      </c>
      <c r="C27" s="258" t="n">
        <v>0.4375</v>
      </c>
      <c r="D27" s="258" t="n">
        <v>0.458333333333333</v>
      </c>
      <c r="E27" s="71" t="s">
        <v>363</v>
      </c>
      <c r="F27" s="71" t="s">
        <v>378</v>
      </c>
      <c r="G27" s="259" t="s">
        <v>649</v>
      </c>
      <c r="H27" s="258" t="n">
        <f aca="false">IF($C27=0,"",$D27-$C27)</f>
        <v>0.0208333333333333</v>
      </c>
      <c r="I27" s="260" t="n">
        <f aca="false">IF($C27=0,"",($H27-INT($H27))*24)</f>
        <v>0.5</v>
      </c>
      <c r="J27" s="303" t="n">
        <f aca="false">SUMIF(Horodateur11233538192231343743464952555861646985222634384650585462667074788290989410210611411811012212613013413814214615015415816216617017417818218619019419820220621021441014[Jour],$B27,Horodateur11233538192231343743464952555861646985222634384650585462667074788290989410210611411811012212613013413814214615015415816216617017417818218619019419820220621021441014[Durée (100)])</f>
        <v>9</v>
      </c>
      <c r="K27" s="335"/>
      <c r="L27" s="188" t="s">
        <v>31</v>
      </c>
      <c r="M27" s="272" t="n">
        <f aca="false">IF(Horodateur11233538192231343743464952555861646985222634384650585462667074788290989410210611411811012212613013413814214615015415816216617017417818218619019419820220621021441014[[#This Row],[O]]="o",Horodateur11233538192231343743464952555861646985222634384650585462667074788290989410210611411811012212613013413814214615015415816216617017417818218619019419820220621021441014[[#This Row],[Durée (100)]],".")</f>
        <v>0.5</v>
      </c>
      <c r="N27" s="187"/>
      <c r="O27" s="71"/>
      <c r="P27" s="71"/>
      <c r="Q27" s="71"/>
      <c r="R27" s="71"/>
      <c r="S27" s="71"/>
      <c r="T27" s="71"/>
      <c r="U27" s="71"/>
      <c r="V27" s="71"/>
      <c r="W27" s="71"/>
      <c r="X27" s="71"/>
      <c r="Y27" s="71"/>
      <c r="Z27" s="71"/>
      <c r="AA27" s="71"/>
      <c r="AB27" s="71"/>
      <c r="AC27" s="71"/>
      <c r="AD27" s="71"/>
      <c r="AE27" s="71"/>
      <c r="AF27" s="71"/>
      <c r="AG27" s="71"/>
    </row>
    <row r="28" customFormat="false" ht="15" hidden="false" customHeight="false" outlineLevel="0" collapsed="false">
      <c r="A28" s="256" t="n">
        <f aca="false">IF(Horodateur11233538192231343743464952555861646985222634384650585462667074788290989410210611411811012212613013413814214615015415816216617017417818218619019419820220621021441014[[#This Row],[Jour]]="1- Lundi",$B$1+1, IF(Horodateur11233538192231343743464952555861646985222634384650585462667074788290989410210611411811012212613013413814214615015415816216617017417818218619019419820220621021441014[[#This Row],[Jour]]="2- Mardi",$B$1+2, IF(Horodateur11233538192231343743464952555861646985222634384650585462667074788290989410210611411811012212613013413814214615015415816216617017417818218619019419820220621021441014[[#This Row],[Jour]]="3- Mercredi",$B$1+3, IF(Horodateur11233538192231343743464952555861646985222634384650585462667074788290989410210611411811012212613013413814214615015415816216617017417818218619019419820220621021441014[[#This Row],[Jour]]="4- Jeudi",$B$1+4, IF(Horodateur11233538192231343743464952555861646985222634384650585462667074788290989410210611411811012212613013413814214615015415816216617017417818218619019419820220621021441014[[#This Row],[Jour]]="5- Vendredi",$B$1+5, IF(Horodateur11233538192231343743464952555861646985222634384650585462667074788290989410210611411811012212613013413814214615015415816216617017417818218619019419820220621021441014[[#This Row],[Jour]]="6- Samedi",$B$1+6, IF(Horodateur11233538192231343743464952555861646985222634384650585462667074788290989410210611411811012212613013413814214615015415816216617017417818218619019419820220621021441014[[#This Row],[Jour]]="7- Dimanche",$B$1, )))))))</f>
        <v>44224</v>
      </c>
      <c r="B28" s="257" t="s">
        <v>324</v>
      </c>
      <c r="C28" s="258" t="n">
        <v>0.458333333333333</v>
      </c>
      <c r="D28" s="258" t="n">
        <v>0.479166666666667</v>
      </c>
      <c r="E28" s="71" t="s">
        <v>37</v>
      </c>
      <c r="F28" s="71" t="s">
        <v>378</v>
      </c>
      <c r="G28" s="259" t="s">
        <v>650</v>
      </c>
      <c r="H28" s="258" t="n">
        <f aca="false">IF($C28=0,"",$D28-$C28)</f>
        <v>0.0208333333333333</v>
      </c>
      <c r="I28" s="260" t="n">
        <f aca="false">IF($C28=0,"",($H28-INT($H28))*24)</f>
        <v>0.5</v>
      </c>
      <c r="J28" s="303" t="n">
        <f aca="false">SUMIF(Horodateur11233538192231343743464952555861646985222634384650585462667074788290989410210611411811012212613013413814214615015415816216617017417818218619019419820220621021441014[Jour],$B28,Horodateur11233538192231343743464952555861646985222634384650585462667074788290989410210611411811012212613013413814214615015415816216617017417818218619019419820220621021441014[Durée (100)])</f>
        <v>9</v>
      </c>
      <c r="K28" s="335"/>
      <c r="L28" s="188" t="s">
        <v>31</v>
      </c>
      <c r="M28" s="272" t="n">
        <f aca="false">IF(Horodateur11233538192231343743464952555861646985222634384650585462667074788290989410210611411811012212613013413814214615015415816216617017417818218619019419820220621021441014[[#This Row],[O]]="o",Horodateur11233538192231343743464952555861646985222634384650585462667074788290989410210611411811012212613013413814214615015415816216617017417818218619019419820220621021441014[[#This Row],[Durée (100)]],".")</f>
        <v>0.500000000000001</v>
      </c>
      <c r="N28" s="187"/>
      <c r="O28" s="71"/>
      <c r="P28" s="71"/>
      <c r="Q28" s="71"/>
      <c r="R28" s="71"/>
      <c r="S28" s="71"/>
      <c r="T28" s="71"/>
      <c r="U28" s="71"/>
      <c r="V28" s="71"/>
      <c r="W28" s="71"/>
      <c r="X28" s="71"/>
      <c r="Y28" s="71"/>
      <c r="Z28" s="71"/>
      <c r="AA28" s="71"/>
      <c r="AB28" s="71"/>
      <c r="AC28" s="71"/>
      <c r="AD28" s="71"/>
      <c r="AE28" s="71"/>
      <c r="AF28" s="71"/>
      <c r="AG28" s="71"/>
    </row>
    <row r="29" customFormat="false" ht="15" hidden="false" customHeight="false" outlineLevel="0" collapsed="false">
      <c r="A29" s="256" t="n">
        <f aca="false">IF(Horodateur11233538192231343743464952555861646985222634384650585462667074788290989410210611411811012212613013413814214615015415816216617017417818218619019419820220621021441014[[#This Row],[Jour]]="1- Lundi",$B$1+1, IF(Horodateur11233538192231343743464952555861646985222634384650585462667074788290989410210611411811012212613013413814214615015415816216617017417818218619019419820220621021441014[[#This Row],[Jour]]="2- Mardi",$B$1+2, IF(Horodateur11233538192231343743464952555861646985222634384650585462667074788290989410210611411811012212613013413814214615015415816216617017417818218619019419820220621021441014[[#This Row],[Jour]]="3- Mercredi",$B$1+3, IF(Horodateur11233538192231343743464952555861646985222634384650585462667074788290989410210611411811012212613013413814214615015415816216617017417818218619019419820220621021441014[[#This Row],[Jour]]="4- Jeudi",$B$1+4, IF(Horodateur11233538192231343743464952555861646985222634384650585462667074788290989410210611411811012212613013413814214615015415816216617017417818218619019419820220621021441014[[#This Row],[Jour]]="5- Vendredi",$B$1+5, IF(Horodateur11233538192231343743464952555861646985222634384650585462667074788290989410210611411811012212613013413814214615015415816216617017417818218619019419820220621021441014[[#This Row],[Jour]]="6- Samedi",$B$1+6, IF(Horodateur11233538192231343743464952555861646985222634384650585462667074788290989410210611411811012212613013413814214615015415816216617017417818218619019419820220621021441014[[#This Row],[Jour]]="7- Dimanche",$B$1, )))))))</f>
        <v>44224</v>
      </c>
      <c r="B29" s="257" t="s">
        <v>324</v>
      </c>
      <c r="C29" s="258" t="n">
        <v>0.479166666666667</v>
      </c>
      <c r="D29" s="258" t="n">
        <v>0.5</v>
      </c>
      <c r="E29" s="71" t="s">
        <v>32</v>
      </c>
      <c r="F29" s="71" t="s">
        <v>21</v>
      </c>
      <c r="G29" s="259"/>
      <c r="H29" s="258" t="n">
        <f aca="false">IF($C29=0,"",$D29-$C29)</f>
        <v>0.0208333333333333</v>
      </c>
      <c r="I29" s="260" t="n">
        <f aca="false">IF($C29=0,"",($H29-INT($H29))*24)</f>
        <v>0.5</v>
      </c>
      <c r="J29" s="303" t="n">
        <f aca="false">SUMIF(Horodateur11233538192231343743464952555861646985222634384650585462667074788290989410210611411811012212613013413814214615015415816216617017417818218619019419820220621021441014[Jour],$B29,Horodateur11233538192231343743464952555861646985222634384650585462667074788290989410210611411811012212613013413814214615015415816216617017417818218619019419820220621021441014[Durée (100)])</f>
        <v>9</v>
      </c>
      <c r="K29" s="335"/>
      <c r="L29" s="188" t="s">
        <v>31</v>
      </c>
      <c r="M29" s="272" t="n">
        <f aca="false">IF(Horodateur11233538192231343743464952555861646985222634384650585462667074788290989410210611411811012212613013413814214615015415816216617017417818218619019419820220621021441014[[#This Row],[O]]="o",Horodateur11233538192231343743464952555861646985222634384650585462667074788290989410210611411811012212613013413814214615015415816216617017417818218619019419820220621021441014[[#This Row],[Durée (100)]],".")</f>
        <v>0.5</v>
      </c>
      <c r="N29" s="187"/>
      <c r="O29" s="71"/>
      <c r="P29" s="71"/>
      <c r="Q29" s="71"/>
      <c r="R29" s="71"/>
      <c r="S29" s="71"/>
      <c r="T29" s="71"/>
      <c r="U29" s="71"/>
      <c r="V29" s="71"/>
      <c r="W29" s="71"/>
      <c r="X29" s="71"/>
      <c r="Y29" s="71"/>
      <c r="Z29" s="71"/>
      <c r="AA29" s="71"/>
      <c r="AB29" s="71"/>
      <c r="AC29" s="71"/>
      <c r="AD29" s="71"/>
      <c r="AE29" s="71"/>
      <c r="AF29" s="71"/>
      <c r="AG29" s="71"/>
    </row>
    <row r="30" customFormat="false" ht="15" hidden="false" customHeight="false" outlineLevel="0" collapsed="false">
      <c r="A30" s="256" t="n">
        <f aca="false">IF(Horodateur11233538192231343743464952555861646985222634384650585462667074788290989410210611411811012212613013413814214615015415816216617017417818218619019419820220621021441014[[#This Row],[Jour]]="1- Lundi",$B$1+1, IF(Horodateur11233538192231343743464952555861646985222634384650585462667074788290989410210611411811012212613013413814214615015415816216617017417818218619019419820220621021441014[[#This Row],[Jour]]="2- Mardi",$B$1+2, IF(Horodateur11233538192231343743464952555861646985222634384650585462667074788290989410210611411811012212613013413814214615015415816216617017417818218619019419820220621021441014[[#This Row],[Jour]]="3- Mercredi",$B$1+3, IF(Horodateur11233538192231343743464952555861646985222634384650585462667074788290989410210611411811012212613013413814214615015415816216617017417818218619019419820220621021441014[[#This Row],[Jour]]="4- Jeudi",$B$1+4, IF(Horodateur11233538192231343743464952555861646985222634384650585462667074788290989410210611411811012212613013413814214615015415816216617017417818218619019419820220621021441014[[#This Row],[Jour]]="5- Vendredi",$B$1+5, IF(Horodateur11233538192231343743464952555861646985222634384650585462667074788290989410210611411811012212613013413814214615015415816216617017417818218619019419820220621021441014[[#This Row],[Jour]]="6- Samedi",$B$1+6, IF(Horodateur11233538192231343743464952555861646985222634384650585462667074788290989410210611411811012212613013413814214615015415816216617017417818218619019419820220621021441014[[#This Row],[Jour]]="7- Dimanche",$B$1, )))))))</f>
        <v>44224</v>
      </c>
      <c r="B30" s="257" t="s">
        <v>324</v>
      </c>
      <c r="C30" s="258" t="n">
        <v>0.5625</v>
      </c>
      <c r="D30" s="258" t="n">
        <v>0.697916666666667</v>
      </c>
      <c r="E30" s="71" t="s">
        <v>63</v>
      </c>
      <c r="F30" s="71" t="s">
        <v>378</v>
      </c>
      <c r="G30" s="259" t="s">
        <v>651</v>
      </c>
      <c r="H30" s="258" t="n">
        <f aca="false">IF($C30=0,"",$D30-$C30)</f>
        <v>0.135416666666667</v>
      </c>
      <c r="I30" s="260" t="n">
        <f aca="false">IF($C30=0,"",($H30-INT($H30))*24)</f>
        <v>3.25</v>
      </c>
      <c r="J30" s="303" t="n">
        <f aca="false">SUMIF(Horodateur11233538192231343743464952555861646985222634384650585462667074788290989410210611411811012212613013413814214615015415816216617017417818218619019419820220621021441014[Jour],$B30,Horodateur11233538192231343743464952555861646985222634384650585462667074788290989410210611411811012212613013413814214615015415816216617017417818218619019419820220621021441014[Durée (100)])</f>
        <v>9</v>
      </c>
      <c r="K30" s="335"/>
      <c r="L30" s="188" t="s">
        <v>31</v>
      </c>
      <c r="M30" s="272" t="n">
        <f aca="false">IF(Horodateur11233538192231343743464952555861646985222634384650585462667074788290989410210611411811012212613013413814214615015415816216617017417818218619019419820220621021441014[[#This Row],[O]]="o",Horodateur11233538192231343743464952555861646985222634384650585462667074788290989410210611411811012212613013413814214615015415816216617017417818218619019419820220621021441014[[#This Row],[Durée (100)]],".")</f>
        <v>3.25</v>
      </c>
      <c r="N30" s="187"/>
      <c r="O30" s="71"/>
      <c r="P30" s="71"/>
      <c r="Q30" s="71"/>
      <c r="R30" s="71"/>
      <c r="S30" s="71"/>
      <c r="T30" s="71"/>
      <c r="U30" s="71"/>
      <c r="V30" s="71"/>
      <c r="W30" s="71"/>
      <c r="X30" s="71"/>
      <c r="Y30" s="71"/>
      <c r="Z30" s="71"/>
      <c r="AA30" s="71"/>
      <c r="AB30" s="71"/>
      <c r="AC30" s="71"/>
      <c r="AD30" s="71"/>
      <c r="AE30" s="71"/>
      <c r="AF30" s="71"/>
      <c r="AG30" s="71"/>
    </row>
    <row r="31" customFormat="false" ht="15" hidden="false" customHeight="false" outlineLevel="0" collapsed="false">
      <c r="A31" s="256" t="n">
        <f aca="false">IF(Horodateur11233538192231343743464952555861646985222634384650585462667074788290989410210611411811012212613013413814214615015415816216617017417818218619019419820220621021441014[[#This Row],[Jour]]="1- Lundi",$B$1+1, IF(Horodateur11233538192231343743464952555861646985222634384650585462667074788290989410210611411811012212613013413814214615015415816216617017417818218619019419820220621021441014[[#This Row],[Jour]]="2- Mardi",$B$1+2, IF(Horodateur11233538192231343743464952555861646985222634384650585462667074788290989410210611411811012212613013413814214615015415816216617017417818218619019419820220621021441014[[#This Row],[Jour]]="3- Mercredi",$B$1+3, IF(Horodateur11233538192231343743464952555861646985222634384650585462667074788290989410210611411811012212613013413814214615015415816216617017417818218619019419820220621021441014[[#This Row],[Jour]]="4- Jeudi",$B$1+4, IF(Horodateur11233538192231343743464952555861646985222634384650585462667074788290989410210611411811012212613013413814214615015415816216617017417818218619019419820220621021441014[[#This Row],[Jour]]="5- Vendredi",$B$1+5, IF(Horodateur11233538192231343743464952555861646985222634384650585462667074788290989410210611411811012212613013413814214615015415816216617017417818218619019419820220621021441014[[#This Row],[Jour]]="6- Samedi",$B$1+6, IF(Horodateur11233538192231343743464952555861646985222634384650585462667074788290989410210611411811012212613013413814214615015415816216617017417818218619019419820220621021441014[[#This Row],[Jour]]="7- Dimanche",$B$1, )))))))</f>
        <v>44224</v>
      </c>
      <c r="B31" s="257" t="s">
        <v>324</v>
      </c>
      <c r="C31" s="258" t="n">
        <v>0.697916666666667</v>
      </c>
      <c r="D31" s="258" t="n">
        <v>0.770833333333333</v>
      </c>
      <c r="E31" s="71" t="s">
        <v>32</v>
      </c>
      <c r="F31" s="71" t="s">
        <v>22</v>
      </c>
      <c r="G31" s="259" t="s">
        <v>118</v>
      </c>
      <c r="H31" s="258" t="n">
        <f aca="false">IF($C31=0,"",$D31-$C31)</f>
        <v>0.0729166666666667</v>
      </c>
      <c r="I31" s="260" t="n">
        <f aca="false">IF($C31=0,"",($H31-INT($H31))*24)</f>
        <v>1.75</v>
      </c>
      <c r="J31" s="303" t="n">
        <f aca="false">SUMIF(Horodateur11233538192231343743464952555861646985222634384650585462667074788290989410210611411811012212613013413814214615015415816216617017417818218619019419820220621021441014[Jour],$B31,Horodateur11233538192231343743464952555861646985222634384650585462667074788290989410210611411811012212613013413814214615015415816216617017417818218619019419820220621021441014[Durée (100)])</f>
        <v>9</v>
      </c>
      <c r="K31" s="335"/>
      <c r="L31" s="188" t="s">
        <v>31</v>
      </c>
      <c r="M31" s="272" t="n">
        <f aca="false">IF(Horodateur11233538192231343743464952555861646985222634384650585462667074788290989410210611411811012212613013413814214615015415816216617017417818218619019419820220621021441014[[#This Row],[O]]="o",Horodateur11233538192231343743464952555861646985222634384650585462667074788290989410210611411811012212613013413814214615015415816216617017417818218619019419820220621021441014[[#This Row],[Durée (100)]],".")</f>
        <v>1.75</v>
      </c>
      <c r="N31" s="187"/>
      <c r="O31" s="71"/>
      <c r="P31" s="71"/>
      <c r="Q31" s="71"/>
      <c r="R31" s="71"/>
      <c r="S31" s="71"/>
      <c r="T31" s="71"/>
      <c r="U31" s="71"/>
      <c r="V31" s="71"/>
      <c r="W31" s="71"/>
      <c r="X31" s="71"/>
      <c r="Y31" s="71"/>
      <c r="Z31" s="71"/>
      <c r="AA31" s="71"/>
      <c r="AB31" s="71"/>
      <c r="AC31" s="71"/>
      <c r="AD31" s="71"/>
      <c r="AE31" s="71"/>
      <c r="AF31" s="71"/>
      <c r="AG31" s="71"/>
    </row>
    <row r="32" customFormat="false" ht="15" hidden="false" customHeight="false" outlineLevel="0" collapsed="false">
      <c r="A32" s="256" t="n">
        <f aca="false">IF(Horodateur11233538192231343743464952555861646985222634384650585462667074788290989410210611411811012212613013413814214615015415816216617017417818218619019419820220621021441014[[#This Row],[Jour]]="1- Lundi",$B$1+1, IF(Horodateur11233538192231343743464952555861646985222634384650585462667074788290989410210611411811012212613013413814214615015415816216617017417818218619019419820220621021441014[[#This Row],[Jour]]="2- Mardi",$B$1+2, IF(Horodateur11233538192231343743464952555861646985222634384650585462667074788290989410210611411811012212613013413814214615015415816216617017417818218619019419820220621021441014[[#This Row],[Jour]]="3- Mercredi",$B$1+3, IF(Horodateur11233538192231343743464952555861646985222634384650585462667074788290989410210611411811012212613013413814214615015415816216617017417818218619019419820220621021441014[[#This Row],[Jour]]="4- Jeudi",$B$1+4, IF(Horodateur11233538192231343743464952555861646985222634384650585462667074788290989410210611411811012212613013413814214615015415816216617017417818218619019419820220621021441014[[#This Row],[Jour]]="5- Vendredi",$B$1+5, IF(Horodateur11233538192231343743464952555861646985222634384650585462667074788290989410210611411811012212613013413814214615015415816216617017417818218619019419820220621021441014[[#This Row],[Jour]]="6- Samedi",$B$1+6, IF(Horodateur11233538192231343743464952555861646985222634384650585462667074788290989410210611411811012212613013413814214615015415816216617017417818218619019419820220621021441014[[#This Row],[Jour]]="7- Dimanche",$B$1, )))))))</f>
        <v>44225</v>
      </c>
      <c r="B32" s="257" t="s">
        <v>332</v>
      </c>
      <c r="C32" s="258" t="n">
        <v>0.333333333333333</v>
      </c>
      <c r="D32" s="258" t="n">
        <v>0.354166666666667</v>
      </c>
      <c r="E32" s="71" t="s">
        <v>32</v>
      </c>
      <c r="F32" s="71" t="s">
        <v>21</v>
      </c>
      <c r="G32" s="259"/>
      <c r="H32" s="258" t="n">
        <f aca="false">IF($C32=0,"",$D32-$C32)</f>
        <v>0.0208333333333333</v>
      </c>
      <c r="I32" s="260" t="n">
        <f aca="false">IF($C32=0,"",($H32-INT($H32))*24)</f>
        <v>0.5</v>
      </c>
      <c r="J32" s="303" t="n">
        <f aca="false">SUMIF(Horodateur11233538192231343743464952555861646985222634384650585462667074788290989410210611411811012212613013413814214615015415816216617017417818218619019419820220621021441014[Jour],$B32,Horodateur11233538192231343743464952555861646985222634384650585462667074788290989410210611411811012212613013413814214615015415816216617017417818218619019419820220621021441014[Durée (100)])</f>
        <v>8.5</v>
      </c>
      <c r="K32" s="335"/>
      <c r="L32" s="188" t="s">
        <v>31</v>
      </c>
      <c r="M32" s="272" t="n">
        <f aca="false">IF(Horodateur11233538192231343743464952555861646985222634384650585462667074788290989410210611411811012212613013413814214615015415816216617017417818218619019419820220621021441014[[#This Row],[O]]="o",Horodateur11233538192231343743464952555861646985222634384650585462667074788290989410210611411811012212613013413814214615015415816216617017417818218619019419820220621021441014[[#This Row],[Durée (100)]],".")</f>
        <v>0.500000000000001</v>
      </c>
      <c r="N32" s="187"/>
      <c r="O32" s="71"/>
      <c r="P32" s="71"/>
      <c r="Q32" s="71"/>
      <c r="R32" s="71"/>
      <c r="S32" s="71"/>
      <c r="T32" s="71"/>
      <c r="U32" s="71"/>
      <c r="V32" s="71"/>
      <c r="W32" s="71"/>
      <c r="X32" s="71"/>
      <c r="Y32" s="71"/>
      <c r="Z32" s="71"/>
      <c r="AA32" s="71"/>
      <c r="AB32" s="71"/>
      <c r="AC32" s="71"/>
      <c r="AD32" s="71"/>
      <c r="AE32" s="71"/>
      <c r="AF32" s="71"/>
      <c r="AG32" s="71"/>
    </row>
    <row r="33" customFormat="false" ht="15" hidden="false" customHeight="false" outlineLevel="0" collapsed="false">
      <c r="A33" s="256" t="n">
        <f aca="false">IF(Horodateur11233538192231343743464952555861646985222634384650585462667074788290989410210611411811012212613013413814214615015415816216617017417818218619019419820220621021441014[[#This Row],[Jour]]="1- Lundi",$B$1+1, IF(Horodateur11233538192231343743464952555861646985222634384650585462667074788290989410210611411811012212613013413814214615015415816216617017417818218619019419820220621021441014[[#This Row],[Jour]]="2- Mardi",$B$1+2, IF(Horodateur11233538192231343743464952555861646985222634384650585462667074788290989410210611411811012212613013413814214615015415816216617017417818218619019419820220621021441014[[#This Row],[Jour]]="3- Mercredi",$B$1+3, IF(Horodateur11233538192231343743464952555861646985222634384650585462667074788290989410210611411811012212613013413814214615015415816216617017417818218619019419820220621021441014[[#This Row],[Jour]]="4- Jeudi",$B$1+4, IF(Horodateur11233538192231343743464952555861646985222634384650585462667074788290989410210611411811012212613013413814214615015415816216617017417818218619019419820220621021441014[[#This Row],[Jour]]="5- Vendredi",$B$1+5, IF(Horodateur11233538192231343743464952555861646985222634384650585462667074788290989410210611411811012212613013413814214615015415816216617017417818218619019419820220621021441014[[#This Row],[Jour]]="6- Samedi",$B$1+6, IF(Horodateur11233538192231343743464952555861646985222634384650585462667074788290989410210611411811012212613013413814214615015415816216617017417818218619019419820220621021441014[[#This Row],[Jour]]="7- Dimanche",$B$1, )))))))</f>
        <v>44225</v>
      </c>
      <c r="B33" s="257" t="s">
        <v>332</v>
      </c>
      <c r="C33" s="258" t="n">
        <v>0.354166666666667</v>
      </c>
      <c r="D33" s="258" t="n">
        <v>0.416666666666667</v>
      </c>
      <c r="E33" s="71" t="s">
        <v>74</v>
      </c>
      <c r="F33" s="71" t="s">
        <v>378</v>
      </c>
      <c r="G33" s="259" t="s">
        <v>652</v>
      </c>
      <c r="H33" s="258" t="n">
        <f aca="false">IF($C33=0,"",$D33-$C33)</f>
        <v>0.0625</v>
      </c>
      <c r="I33" s="260" t="n">
        <f aca="false">IF($C33=0,"",($H33-INT($H33))*24)</f>
        <v>1.5</v>
      </c>
      <c r="J33" s="303" t="n">
        <f aca="false">SUMIF(Horodateur11233538192231343743464952555861646985222634384650585462667074788290989410210611411811012212613013413814214615015415816216617017417818218619019419820220621021441014[Jour],$B33,Horodateur11233538192231343743464952555861646985222634384650585462667074788290989410210611411811012212613013413814214615015415816216617017417818218619019419820220621021441014[Durée (100)])</f>
        <v>8.5</v>
      </c>
      <c r="K33" s="335"/>
      <c r="L33" s="188" t="s">
        <v>31</v>
      </c>
      <c r="M33" s="272" t="n">
        <f aca="false">IF(Horodateur11233538192231343743464952555861646985222634384650585462667074788290989410210611411811012212613013413814214615015415816216617017417818218619019419820220621021441014[[#This Row],[O]]="o",Horodateur11233538192231343743464952555861646985222634384650585462667074788290989410210611411811012212613013413814214615015415816216617017417818218619019419820220621021441014[[#This Row],[Durée (100)]],".")</f>
        <v>1.5</v>
      </c>
      <c r="N33" s="187"/>
      <c r="O33" s="71"/>
      <c r="P33" s="71"/>
      <c r="Q33" s="71"/>
      <c r="R33" s="71"/>
      <c r="S33" s="71"/>
      <c r="T33" s="71"/>
      <c r="U33" s="71"/>
      <c r="V33" s="71"/>
      <c r="W33" s="71"/>
      <c r="X33" s="71"/>
      <c r="Y33" s="71"/>
      <c r="Z33" s="71"/>
      <c r="AA33" s="71"/>
      <c r="AB33" s="71"/>
      <c r="AC33" s="71"/>
      <c r="AD33" s="71"/>
      <c r="AE33" s="71"/>
      <c r="AF33" s="71"/>
      <c r="AG33" s="71"/>
    </row>
    <row r="34" customFormat="false" ht="15" hidden="false" customHeight="false" outlineLevel="0" collapsed="false">
      <c r="A34" s="256" t="n">
        <f aca="false">IF(Horodateur11233538192231343743464952555861646985222634384650585462667074788290989410210611411811012212613013413814214615015415816216617017417818218619019419820220621021441014[[#This Row],[Jour]]="1- Lundi",$B$1+1, IF(Horodateur11233538192231343743464952555861646985222634384650585462667074788290989410210611411811012212613013413814214615015415816216617017417818218619019419820220621021441014[[#This Row],[Jour]]="2- Mardi",$B$1+2, IF(Horodateur11233538192231343743464952555861646985222634384650585462667074788290989410210611411811012212613013413814214615015415816216617017417818218619019419820220621021441014[[#This Row],[Jour]]="3- Mercredi",$B$1+3, IF(Horodateur11233538192231343743464952555861646985222634384650585462667074788290989410210611411811012212613013413814214615015415816216617017417818218619019419820220621021441014[[#This Row],[Jour]]="4- Jeudi",$B$1+4, IF(Horodateur11233538192231343743464952555861646985222634384650585462667074788290989410210611411811012212613013413814214615015415816216617017417818218619019419820220621021441014[[#This Row],[Jour]]="5- Vendredi",$B$1+5, IF(Horodateur11233538192231343743464952555861646985222634384650585462667074788290989410210611411811012212613013413814214615015415816216617017417818218619019419820220621021441014[[#This Row],[Jour]]="6- Samedi",$B$1+6, IF(Horodateur11233538192231343743464952555861646985222634384650585462667074788290989410210611411811012212613013413814214615015415816216617017417818218619019419820220621021441014[[#This Row],[Jour]]="7- Dimanche",$B$1, )))))))</f>
        <v>44225</v>
      </c>
      <c r="B34" s="257" t="s">
        <v>332</v>
      </c>
      <c r="C34" s="258" t="n">
        <v>0.416666666666667</v>
      </c>
      <c r="D34" s="258" t="n">
        <v>0.5</v>
      </c>
      <c r="E34" s="71" t="s">
        <v>63</v>
      </c>
      <c r="F34" s="71" t="s">
        <v>378</v>
      </c>
      <c r="G34" s="259" t="s">
        <v>653</v>
      </c>
      <c r="H34" s="258" t="n">
        <f aca="false">IF($C34=0,"",$D34-$C34)</f>
        <v>0.0833333333333333</v>
      </c>
      <c r="I34" s="260" t="n">
        <f aca="false">IF($C34=0,"",($H34-INT($H34))*24)</f>
        <v>2</v>
      </c>
      <c r="J34" s="303" t="n">
        <f aca="false">SUMIF(Horodateur11233538192231343743464952555861646985222634384650585462667074788290989410210611411811012212613013413814214615015415816216617017417818218619019419820220621021441014[Jour],$B34,Horodateur11233538192231343743464952555861646985222634384650585462667074788290989410210611411811012212613013413814214615015415816216617017417818218619019419820220621021441014[Durée (100)])</f>
        <v>8.5</v>
      </c>
      <c r="K34" s="335"/>
      <c r="L34" s="188" t="s">
        <v>31</v>
      </c>
      <c r="M34" s="272" t="n">
        <f aca="false">IF(Horodateur11233538192231343743464952555861646985222634384650585462667074788290989410210611411811012212613013413814214615015415816216617017417818218619019419820220621021441014[[#This Row],[O]]="o",Horodateur11233538192231343743464952555861646985222634384650585462667074788290989410210611411811012212613013413814214615015415816216617017417818218619019419820220621021441014[[#This Row],[Durée (100)]],".")</f>
        <v>2</v>
      </c>
      <c r="N34" s="187"/>
      <c r="O34" s="71"/>
      <c r="P34" s="71"/>
      <c r="Q34" s="71"/>
      <c r="R34" s="71"/>
      <c r="S34" s="71"/>
      <c r="T34" s="71"/>
      <c r="U34" s="71"/>
      <c r="V34" s="71"/>
      <c r="W34" s="71"/>
      <c r="X34" s="71"/>
      <c r="Y34" s="71"/>
      <c r="Z34" s="71"/>
      <c r="AA34" s="71"/>
      <c r="AB34" s="71"/>
      <c r="AC34" s="71"/>
      <c r="AD34" s="71"/>
      <c r="AE34" s="71"/>
      <c r="AF34" s="71"/>
      <c r="AG34" s="71"/>
    </row>
    <row r="35" customFormat="false" ht="15" hidden="false" customHeight="false" outlineLevel="0" collapsed="false">
      <c r="A35" s="256" t="n">
        <f aca="false">IF(Horodateur11233538192231343743464952555861646985222634384650585462667074788290989410210611411811012212613013413814214615015415816216617017417818218619019419820220621021441014[[#This Row],[Jour]]="1- Lundi",$B$1+1, IF(Horodateur11233538192231343743464952555861646985222634384650585462667074788290989410210611411811012212613013413814214615015415816216617017417818218619019419820220621021441014[[#This Row],[Jour]]="2- Mardi",$B$1+2, IF(Horodateur11233538192231343743464952555861646985222634384650585462667074788290989410210611411811012212613013413814214615015415816216617017417818218619019419820220621021441014[[#This Row],[Jour]]="3- Mercredi",$B$1+3, IF(Horodateur11233538192231343743464952555861646985222634384650585462667074788290989410210611411811012212613013413814214615015415816216617017417818218619019419820220621021441014[[#This Row],[Jour]]="4- Jeudi",$B$1+4, IF(Horodateur11233538192231343743464952555861646985222634384650585462667074788290989410210611411811012212613013413814214615015415816216617017417818218619019419820220621021441014[[#This Row],[Jour]]="5- Vendredi",$B$1+5, IF(Horodateur11233538192231343743464952555861646985222634384650585462667074788290989410210611411811012212613013413814214615015415816216617017417818218619019419820220621021441014[[#This Row],[Jour]]="6- Samedi",$B$1+6, IF(Horodateur11233538192231343743464952555861646985222634384650585462667074788290989410210611411811012212613013413814214615015415816216617017417818218619019419820220621021441014[[#This Row],[Jour]]="7- Dimanche",$B$1, )))))))</f>
        <v>44225</v>
      </c>
      <c r="B35" s="257" t="s">
        <v>332</v>
      </c>
      <c r="C35" s="258" t="n">
        <v>0.583333333333333</v>
      </c>
      <c r="D35" s="258" t="n">
        <v>0.625</v>
      </c>
      <c r="E35" s="71" t="s">
        <v>45</v>
      </c>
      <c r="F35" s="71" t="s">
        <v>378</v>
      </c>
      <c r="G35" s="259" t="s">
        <v>654</v>
      </c>
      <c r="H35" s="258" t="n">
        <f aca="false">IF($C35=0,"",$D35-$C35)</f>
        <v>0.0416666666666667</v>
      </c>
      <c r="I35" s="260" t="n">
        <f aca="false">IF($C35=0,"",($H35-INT($H35))*24)</f>
        <v>1</v>
      </c>
      <c r="J35" s="303" t="n">
        <f aca="false">SUMIF(Horodateur11233538192231343743464952555861646985222634384650585462667074788290989410210611411811012212613013413814214615015415816216617017417818218619019419820220621021441014[Jour],$B35,Horodateur11233538192231343743464952555861646985222634384650585462667074788290989410210611411811012212613013413814214615015415816216617017417818218619019419820220621021441014[Durée (100)])</f>
        <v>8.5</v>
      </c>
      <c r="K35" s="335"/>
      <c r="L35" s="188" t="s">
        <v>33</v>
      </c>
      <c r="M35" s="272" t="str">
        <f aca="false">IF(Horodateur11233538192231343743464952555861646985222634384650585462667074788290989410210611411811012212613013413814214615015415816216617017417818218619019419820220621021441014[[#This Row],[O]]="o",Horodateur11233538192231343743464952555861646985222634384650585462667074788290989410210611411811012212613013413814214615015415816216617017417818218619019419820220621021441014[[#This Row],[Durée (100)]],".")</f>
        <v>.</v>
      </c>
      <c r="N35" s="187"/>
      <c r="O35" s="71"/>
      <c r="P35" s="71"/>
      <c r="Q35" s="71"/>
      <c r="R35" s="71"/>
      <c r="S35" s="71"/>
      <c r="T35" s="71"/>
      <c r="U35" s="71"/>
      <c r="V35" s="71"/>
      <c r="W35" s="71"/>
      <c r="X35" s="71"/>
      <c r="Y35" s="71"/>
      <c r="Z35" s="71"/>
      <c r="AA35" s="71"/>
      <c r="AB35" s="71"/>
      <c r="AC35" s="71"/>
      <c r="AD35" s="71"/>
      <c r="AE35" s="71"/>
      <c r="AF35" s="71"/>
      <c r="AG35" s="71"/>
    </row>
    <row r="36" customFormat="false" ht="15" hidden="false" customHeight="false" outlineLevel="0" collapsed="false">
      <c r="A36" s="256" t="n">
        <f aca="false">IF(Horodateur11233538192231343743464952555861646985222634384650585462667074788290989410210611411811012212613013413814214615015415816216617017417818218619019419820220621021441014[[#This Row],[Jour]]="1- Lundi",$B$1+1, IF(Horodateur11233538192231343743464952555861646985222634384650585462667074788290989410210611411811012212613013413814214615015415816216617017417818218619019419820220621021441014[[#This Row],[Jour]]="2- Mardi",$B$1+2, IF(Horodateur11233538192231343743464952555861646985222634384650585462667074788290989410210611411811012212613013413814214615015415816216617017417818218619019419820220621021441014[[#This Row],[Jour]]="3- Mercredi",$B$1+3, IF(Horodateur11233538192231343743464952555861646985222634384650585462667074788290989410210611411811012212613013413814214615015415816216617017417818218619019419820220621021441014[[#This Row],[Jour]]="4- Jeudi",$B$1+4, IF(Horodateur11233538192231343743464952555861646985222634384650585462667074788290989410210611411811012212613013413814214615015415816216617017417818218619019419820220621021441014[[#This Row],[Jour]]="5- Vendredi",$B$1+5, IF(Horodateur11233538192231343743464952555861646985222634384650585462667074788290989410210611411811012212613013413814214615015415816216617017417818218619019419820220621021441014[[#This Row],[Jour]]="6- Samedi",$B$1+6, IF(Horodateur11233538192231343743464952555861646985222634384650585462667074788290989410210611411811012212613013413814214615015415816216617017417818218619019419820220621021441014[[#This Row],[Jour]]="7- Dimanche",$B$1, )))))))</f>
        <v>44225</v>
      </c>
      <c r="B36" s="257" t="s">
        <v>332</v>
      </c>
      <c r="C36" s="258" t="n">
        <v>0.625</v>
      </c>
      <c r="D36" s="258" t="n">
        <v>0.770833333333333</v>
      </c>
      <c r="E36" s="71" t="s">
        <v>74</v>
      </c>
      <c r="F36" s="71" t="s">
        <v>22</v>
      </c>
      <c r="G36" s="259" t="s">
        <v>652</v>
      </c>
      <c r="H36" s="258" t="n">
        <f aca="false">IF($C36=0,"",$D36-$C36)</f>
        <v>0.145833333333333</v>
      </c>
      <c r="I36" s="260" t="n">
        <f aca="false">IF($C36=0,"",($H36-INT($H36))*24)</f>
        <v>3.5</v>
      </c>
      <c r="J36" s="303" t="n">
        <f aca="false">SUMIF(Horodateur11233538192231343743464952555861646985222634384650585462667074788290989410210611411811012212613013413814214615015415816216617017417818218619019419820220621021441014[Jour],$B36,Horodateur11233538192231343743464952555861646985222634384650585462667074788290989410210611411811012212613013413814214615015415816216617017417818218619019419820220621021441014[Durée (100)])</f>
        <v>8.5</v>
      </c>
      <c r="K36" s="335"/>
      <c r="L36" s="188" t="s">
        <v>31</v>
      </c>
      <c r="M36" s="272" t="n">
        <f aca="false">IF(Horodateur11233538192231343743464952555861646985222634384650585462667074788290989410210611411811012212613013413814214615015415816216617017417818218619019419820220621021441014[[#This Row],[O]]="o",Horodateur11233538192231343743464952555861646985222634384650585462667074788290989410210611411811012212613013413814214615015415816216617017417818218619019419820220621021441014[[#This Row],[Durée (100)]],".")</f>
        <v>3.5</v>
      </c>
      <c r="N36" s="187"/>
      <c r="O36" s="71"/>
      <c r="P36" s="71"/>
      <c r="Q36" s="71"/>
      <c r="R36" s="71"/>
      <c r="S36" s="71"/>
      <c r="T36" s="71"/>
      <c r="U36" s="71"/>
      <c r="V36" s="71"/>
      <c r="W36" s="71"/>
      <c r="X36" s="71"/>
      <c r="Y36" s="71"/>
      <c r="Z36" s="71"/>
      <c r="AA36" s="71"/>
      <c r="AB36" s="71"/>
      <c r="AC36" s="71"/>
      <c r="AD36" s="71"/>
      <c r="AE36" s="71"/>
      <c r="AF36" s="71"/>
      <c r="AG36" s="71"/>
    </row>
    <row r="37" customFormat="false" ht="15" hidden="false" customHeight="false" outlineLevel="0" collapsed="false">
      <c r="A37" s="256" t="n">
        <f aca="false">IF(Horodateur11233538192231343743464952555861646985222634384650585462667074788290989410210611411811012212613013413814214615015415816216617017417818218619019419820220621021441014[[#This Row],[Jour]]="1- Lundi",$B$1+1, IF(Horodateur11233538192231343743464952555861646985222634384650585462667074788290989410210611411811012212613013413814214615015415816216617017417818218619019419820220621021441014[[#This Row],[Jour]]="2- Mardi",$B$1+2, IF(Horodateur11233538192231343743464952555861646985222634384650585462667074788290989410210611411811012212613013413814214615015415816216617017417818218619019419820220621021441014[[#This Row],[Jour]]="3- Mercredi",$B$1+3, IF(Horodateur11233538192231343743464952555861646985222634384650585462667074788290989410210611411811012212613013413814214615015415816216617017417818218619019419820220621021441014[[#This Row],[Jour]]="4- Jeudi",$B$1+4, IF(Horodateur11233538192231343743464952555861646985222634384650585462667074788290989410210611411811012212613013413814214615015415816216617017417818218619019419820220621021441014[[#This Row],[Jour]]="5- Vendredi",$B$1+5, IF(Horodateur11233538192231343743464952555861646985222634384650585462667074788290989410210611411811012212613013413814214615015415816216617017417818218619019419820220621021441014[[#This Row],[Jour]]="6- Samedi",$B$1+6, IF(Horodateur11233538192231343743464952555861646985222634384650585462667074788290989410210611411811012212613013413814214615015415816216617017417818218619019419820220621021441014[[#This Row],[Jour]]="7- Dimanche",$B$1, )))))))</f>
        <v>44226</v>
      </c>
      <c r="B37" s="257" t="s">
        <v>335</v>
      </c>
      <c r="C37" s="258" t="n">
        <v>0.333333333333333</v>
      </c>
      <c r="D37" s="258" t="n">
        <v>0.354166666666667</v>
      </c>
      <c r="E37" s="71" t="s">
        <v>32</v>
      </c>
      <c r="F37" s="71" t="s">
        <v>21</v>
      </c>
      <c r="G37" s="259"/>
      <c r="H37" s="258" t="n">
        <f aca="false">IF($C37=0,"",$D37-$C37)</f>
        <v>0.0208333333333333</v>
      </c>
      <c r="I37" s="260" t="n">
        <f aca="false">IF($C37=0,"",($H37-INT($H37))*24)</f>
        <v>0.5</v>
      </c>
      <c r="J37" s="303" t="n">
        <f aca="false">SUMIF(Horodateur11233538192231343743464952555861646985222634384650585462667074788290989410210611411811012212613013413814214615015415816216617017417818218619019419820220621021441014[Jour],$B37,Horodateur11233538192231343743464952555861646985222634384650585462667074788290989410210611411811012212613013413814214615015415816216617017417818218619019419820220621021441014[Durée (100)])</f>
        <v>5</v>
      </c>
      <c r="K37" s="335"/>
      <c r="L37" s="188" t="s">
        <v>31</v>
      </c>
      <c r="M37" s="272" t="n">
        <f aca="false">IF(Horodateur11233538192231343743464952555861646985222634384650585462667074788290989410210611411811012212613013413814214615015415816216617017417818218619019419820220621021441014[[#This Row],[O]]="o",Horodateur11233538192231343743464952555861646985222634384650585462667074788290989410210611411811012212613013413814214615015415816216617017417818218619019419820220621021441014[[#This Row],[Durée (100)]],".")</f>
        <v>0.500000000000001</v>
      </c>
      <c r="N37" s="187"/>
      <c r="O37" s="71"/>
      <c r="P37" s="71"/>
      <c r="Q37" s="71"/>
      <c r="R37" s="71"/>
      <c r="S37" s="71"/>
      <c r="T37" s="71"/>
      <c r="U37" s="71"/>
      <c r="V37" s="71"/>
      <c r="W37" s="71"/>
      <c r="X37" s="71"/>
      <c r="Y37" s="71"/>
      <c r="Z37" s="71"/>
      <c r="AA37" s="71"/>
      <c r="AB37" s="71"/>
      <c r="AC37" s="71"/>
      <c r="AD37" s="71"/>
      <c r="AE37" s="71"/>
      <c r="AF37" s="71"/>
      <c r="AG37" s="71"/>
    </row>
    <row r="38" customFormat="false" ht="15" hidden="false" customHeight="false" outlineLevel="0" collapsed="false">
      <c r="A38" s="256" t="n">
        <f aca="false">IF(Horodateur11233538192231343743464952555861646985222634384650585462667074788290989410210611411811012212613013413814214615015415816216617017417818218619019419820220621021441014[[#This Row],[Jour]]="1- Lundi",$B$1+1, IF(Horodateur11233538192231343743464952555861646985222634384650585462667074788290989410210611411811012212613013413814214615015415816216617017417818218619019419820220621021441014[[#This Row],[Jour]]="2- Mardi",$B$1+2, IF(Horodateur11233538192231343743464952555861646985222634384650585462667074788290989410210611411811012212613013413814214615015415816216617017417818218619019419820220621021441014[[#This Row],[Jour]]="3- Mercredi",$B$1+3, IF(Horodateur11233538192231343743464952555861646985222634384650585462667074788290989410210611411811012212613013413814214615015415816216617017417818218619019419820220621021441014[[#This Row],[Jour]]="4- Jeudi",$B$1+4, IF(Horodateur11233538192231343743464952555861646985222634384650585462667074788290989410210611411811012212613013413814214615015415816216617017417818218619019419820220621021441014[[#This Row],[Jour]]="5- Vendredi",$B$1+5, IF(Horodateur11233538192231343743464952555861646985222634384650585462667074788290989410210611411811012212613013413814214615015415816216617017417818218619019419820220621021441014[[#This Row],[Jour]]="6- Samedi",$B$1+6, IF(Horodateur11233538192231343743464952555861646985222634384650585462667074788290989410210611411811012212613013413814214615015415816216617017417818218619019419820220621021441014[[#This Row],[Jour]]="7- Dimanche",$B$1, )))))))</f>
        <v>44226</v>
      </c>
      <c r="B38" s="257" t="s">
        <v>335</v>
      </c>
      <c r="C38" s="258" t="n">
        <v>0.354166666666667</v>
      </c>
      <c r="D38" s="258" t="n">
        <v>0.4375</v>
      </c>
      <c r="E38" s="71" t="s">
        <v>74</v>
      </c>
      <c r="F38" s="71" t="s">
        <v>22</v>
      </c>
      <c r="G38" s="259" t="s">
        <v>655</v>
      </c>
      <c r="H38" s="258" t="n">
        <f aca="false">IF($C38=0,"",$D38-$C38)</f>
        <v>0.0833333333333333</v>
      </c>
      <c r="I38" s="260" t="n">
        <f aca="false">IF($C38=0,"",($H38-INT($H38))*24)</f>
        <v>2</v>
      </c>
      <c r="J38" s="303" t="n">
        <f aca="false">SUMIF(Horodateur11233538192231343743464952555861646985222634384650585462667074788290989410210611411811012212613013413814214615015415816216617017417818218619019419820220621021441014[Jour],$B38,Horodateur11233538192231343743464952555861646985222634384650585462667074788290989410210611411811012212613013413814214615015415816216617017417818218619019419820220621021441014[Durée (100)])</f>
        <v>5</v>
      </c>
      <c r="K38" s="335"/>
      <c r="L38" s="188" t="s">
        <v>31</v>
      </c>
      <c r="M38" s="272" t="n">
        <f aca="false">IF(Horodateur11233538192231343743464952555861646985222634384650585462667074788290989410210611411811012212613013413814214615015415816216617017417818218619019419820220621021441014[[#This Row],[O]]="o",Horodateur11233538192231343743464952555861646985222634384650585462667074788290989410210611411811012212613013413814214615015415816216617017417818218619019419820220621021441014[[#This Row],[Durée (100)]],".")</f>
        <v>2</v>
      </c>
      <c r="N38" s="187"/>
      <c r="O38" s="71"/>
      <c r="P38" s="71"/>
      <c r="Q38" s="71"/>
      <c r="R38" s="71"/>
      <c r="S38" s="71"/>
      <c r="T38" s="71"/>
      <c r="U38" s="71"/>
      <c r="V38" s="71"/>
      <c r="W38" s="71"/>
      <c r="X38" s="71"/>
      <c r="Y38" s="71"/>
      <c r="Z38" s="71"/>
      <c r="AA38" s="71"/>
      <c r="AB38" s="71"/>
      <c r="AC38" s="71"/>
      <c r="AD38" s="71"/>
      <c r="AE38" s="71"/>
      <c r="AF38" s="71"/>
      <c r="AG38" s="71"/>
    </row>
    <row r="39" customFormat="false" ht="15" hidden="false" customHeight="false" outlineLevel="0" collapsed="false">
      <c r="A39" s="256" t="n">
        <f aca="false">IF(Horodateur11233538192231343743464952555861646985222634384650585462667074788290989410210611411811012212613013413814214615015415816216617017417818218619019419820220621021441014[[#This Row],[Jour]]="1- Lundi",$B$1+1, IF(Horodateur11233538192231343743464952555861646985222634384650585462667074788290989410210611411811012212613013413814214615015415816216617017417818218619019419820220621021441014[[#This Row],[Jour]]="2- Mardi",$B$1+2, IF(Horodateur11233538192231343743464952555861646985222634384650585462667074788290989410210611411811012212613013413814214615015415816216617017417818218619019419820220621021441014[[#This Row],[Jour]]="3- Mercredi",$B$1+3, IF(Horodateur11233538192231343743464952555861646985222634384650585462667074788290989410210611411811012212613013413814214615015415816216617017417818218619019419820220621021441014[[#This Row],[Jour]]="4- Jeudi",$B$1+4, IF(Horodateur11233538192231343743464952555861646985222634384650585462667074788290989410210611411811012212613013413814214615015415816216617017417818218619019419820220621021441014[[#This Row],[Jour]]="5- Vendredi",$B$1+5, IF(Horodateur11233538192231343743464952555861646985222634384650585462667074788290989410210611411811012212613013413814214615015415816216617017417818218619019419820220621021441014[[#This Row],[Jour]]="6- Samedi",$B$1+6, IF(Horodateur11233538192231343743464952555861646985222634384650585462667074788290989410210611411811012212613013413814214615015415816216617017417818218619019419820220621021441014[[#This Row],[Jour]]="7- Dimanche",$B$1, )))))))</f>
        <v>44226</v>
      </c>
      <c r="B39" s="257" t="s">
        <v>335</v>
      </c>
      <c r="C39" s="258" t="n">
        <v>0.4375</v>
      </c>
      <c r="D39" s="258" t="n">
        <v>0.458333333333333</v>
      </c>
      <c r="E39" s="71" t="s">
        <v>66</v>
      </c>
      <c r="F39" s="71" t="s">
        <v>379</v>
      </c>
      <c r="G39" s="259" t="s">
        <v>124</v>
      </c>
      <c r="H39" s="258" t="n">
        <f aca="false">IF($C39=0,"",$D39-$C39)</f>
        <v>0.0208333333333333</v>
      </c>
      <c r="I39" s="260" t="n">
        <f aca="false">IF($C39=0,"",($H39-INT($H39))*24)</f>
        <v>0.5</v>
      </c>
      <c r="J39" s="303" t="n">
        <f aca="false">SUMIF(Horodateur11233538192231343743464952555861646985222634384650585462667074788290989410210611411811012212613013413814214615015415816216617017417818218619019419820220621021441014[Jour],$B39,Horodateur11233538192231343743464952555861646985222634384650585462667074788290989410210611411811012212613013413814214615015415816216617017417818218619019419820220621021441014[Durée (100)])</f>
        <v>5</v>
      </c>
      <c r="K39" s="335"/>
      <c r="L39" s="188" t="s">
        <v>31</v>
      </c>
      <c r="M39" s="272" t="n">
        <f aca="false">IF(Horodateur11233538192231343743464952555861646985222634384650585462667074788290989410210611411811012212613013413814214615015415816216617017417818218619019419820220621021441014[[#This Row],[O]]="o",Horodateur11233538192231343743464952555861646985222634384650585462667074788290989410210611411811012212613013413814214615015415816216617017417818218619019419820220621021441014[[#This Row],[Durée (100)]],".")</f>
        <v>0.5</v>
      </c>
      <c r="N39" s="187"/>
      <c r="O39" s="71"/>
      <c r="P39" s="71"/>
      <c r="Q39" s="71"/>
      <c r="R39" s="71"/>
      <c r="S39" s="71"/>
      <c r="T39" s="71"/>
      <c r="U39" s="71"/>
      <c r="V39" s="71"/>
      <c r="W39" s="71"/>
      <c r="X39" s="71"/>
      <c r="Y39" s="71"/>
      <c r="Z39" s="71"/>
      <c r="AA39" s="71"/>
      <c r="AB39" s="71"/>
      <c r="AC39" s="71"/>
      <c r="AD39" s="71"/>
      <c r="AE39" s="71"/>
      <c r="AF39" s="71"/>
      <c r="AG39" s="71"/>
    </row>
    <row r="40" customFormat="false" ht="15" hidden="false" customHeight="false" outlineLevel="0" collapsed="false">
      <c r="A40" s="256" t="n">
        <f aca="false">IF(Horodateur11233538192231343743464952555861646985222634384650585462667074788290989410210611411811012212613013413814214615015415816216617017417818218619019419820220621021441014[[#This Row],[Jour]]="1- Lundi",$B$1+1, IF(Horodateur11233538192231343743464952555861646985222634384650585462667074788290989410210611411811012212613013413814214615015415816216617017417818218619019419820220621021441014[[#This Row],[Jour]]="2- Mardi",$B$1+2, IF(Horodateur11233538192231343743464952555861646985222634384650585462667074788290989410210611411811012212613013413814214615015415816216617017417818218619019419820220621021441014[[#This Row],[Jour]]="3- Mercredi",$B$1+3, IF(Horodateur11233538192231343743464952555861646985222634384650585462667074788290989410210611411811012212613013413814214615015415816216617017417818218619019419820220621021441014[[#This Row],[Jour]]="4- Jeudi",$B$1+4, IF(Horodateur11233538192231343743464952555861646985222634384650585462667074788290989410210611411811012212613013413814214615015415816216617017417818218619019419820220621021441014[[#This Row],[Jour]]="5- Vendredi",$B$1+5, IF(Horodateur11233538192231343743464952555861646985222634384650585462667074788290989410210611411811012212613013413814214615015415816216617017417818218619019419820220621021441014[[#This Row],[Jour]]="6- Samedi",$B$1+6, IF(Horodateur11233538192231343743464952555861646985222634384650585462667074788290989410210611411811012212613013413814214615015415816216617017417818218619019419820220621021441014[[#This Row],[Jour]]="7- Dimanche",$B$1, )))))))</f>
        <v>44226</v>
      </c>
      <c r="B40" s="257" t="s">
        <v>335</v>
      </c>
      <c r="C40" s="258" t="n">
        <v>0.458333333333333</v>
      </c>
      <c r="D40" s="258" t="n">
        <v>0.5</v>
      </c>
      <c r="E40" s="71" t="s">
        <v>71</v>
      </c>
      <c r="F40" s="71" t="s">
        <v>399</v>
      </c>
      <c r="G40" s="259" t="s">
        <v>656</v>
      </c>
      <c r="H40" s="258" t="n">
        <f aca="false">IF($C40=0,"",$D40-$C40)</f>
        <v>0.0416666666666667</v>
      </c>
      <c r="I40" s="260" t="n">
        <f aca="false">IF($C40=0,"",($H40-INT($H40))*24)</f>
        <v>1</v>
      </c>
      <c r="J40" s="303" t="n">
        <f aca="false">SUMIF(Horodateur11233538192231343743464952555861646985222634384650585462667074788290989410210611411811012212613013413814214615015415816216617017417818218619019419820220621021441014[Jour],$B40,Horodateur11233538192231343743464952555861646985222634384650585462667074788290989410210611411811012212613013413814214615015415816216617017417818218619019419820220621021441014[Durée (100)])</f>
        <v>5</v>
      </c>
      <c r="K40" s="335"/>
      <c r="L40" s="188" t="s">
        <v>31</v>
      </c>
      <c r="M40" s="272" t="n">
        <f aca="false">IF(Horodateur11233538192231343743464952555861646985222634384650585462667074788290989410210611411811012212613013413814214615015415816216617017417818218619019419820220621021441014[[#This Row],[O]]="o",Horodateur11233538192231343743464952555861646985222634384650585462667074788290989410210611411811012212613013413814214615015415816216617017417818218619019419820220621021441014[[#This Row],[Durée (100)]],".")</f>
        <v>1</v>
      </c>
      <c r="N40" s="187"/>
      <c r="O40" s="71"/>
      <c r="P40" s="71"/>
      <c r="Q40" s="71"/>
      <c r="R40" s="71"/>
      <c r="S40" s="71"/>
      <c r="T40" s="71"/>
      <c r="U40" s="71"/>
      <c r="V40" s="71"/>
      <c r="W40" s="71"/>
      <c r="X40" s="71"/>
      <c r="Y40" s="71"/>
      <c r="Z40" s="71"/>
      <c r="AA40" s="71"/>
      <c r="AB40" s="71"/>
      <c r="AC40" s="71"/>
      <c r="AD40" s="71"/>
      <c r="AE40" s="71"/>
      <c r="AF40" s="71"/>
      <c r="AG40" s="71"/>
    </row>
    <row r="41" customFormat="false" ht="15" hidden="false" customHeight="false" outlineLevel="0" collapsed="false">
      <c r="A41" s="256" t="n">
        <f aca="false">IF(Horodateur11233538192231343743464952555861646985222634384650585462667074788290989410210611411811012212613013413814214615015415816216617017417818218619019419820220621021441014[[#This Row],[Jour]]="1- Lundi",$B$1+1, IF(Horodateur11233538192231343743464952555861646985222634384650585462667074788290989410210611411811012212613013413814214615015415816216617017417818218619019419820220621021441014[[#This Row],[Jour]]="2- Mardi",$B$1+2, IF(Horodateur11233538192231343743464952555861646985222634384650585462667074788290989410210611411811012212613013413814214615015415816216617017417818218619019419820220621021441014[[#This Row],[Jour]]="3- Mercredi",$B$1+3, IF(Horodateur11233538192231343743464952555861646985222634384650585462667074788290989410210611411811012212613013413814214615015415816216617017417818218619019419820220621021441014[[#This Row],[Jour]]="4- Jeudi",$B$1+4, IF(Horodateur11233538192231343743464952555861646985222634384650585462667074788290989410210611411811012212613013413814214615015415816216617017417818218619019419820220621021441014[[#This Row],[Jour]]="5- Vendredi",$B$1+5, IF(Horodateur11233538192231343743464952555861646985222634384650585462667074788290989410210611411811012212613013413814214615015415816216617017417818218619019419820220621021441014[[#This Row],[Jour]]="6- Samedi",$B$1+6, IF(Horodateur11233538192231343743464952555861646985222634384650585462667074788290989410210611411811012212613013413814214615015415816216617017417818218619019419820220621021441014[[#This Row],[Jour]]="7- Dimanche",$B$1, )))))))</f>
        <v>44226</v>
      </c>
      <c r="B41" s="257" t="s">
        <v>335</v>
      </c>
      <c r="C41" s="258" t="n">
        <v>0.625</v>
      </c>
      <c r="D41" s="258" t="n">
        <v>0.666666666666667</v>
      </c>
      <c r="E41" s="71" t="s">
        <v>63</v>
      </c>
      <c r="F41" s="71" t="s">
        <v>378</v>
      </c>
      <c r="G41" s="259" t="s">
        <v>657</v>
      </c>
      <c r="H41" s="258" t="n">
        <f aca="false">IF($C41=0,"",$D41-$C41)</f>
        <v>0.0416666666666666</v>
      </c>
      <c r="I41" s="260" t="n">
        <f aca="false">IF($C41=0,"",($H41-INT($H41))*24)</f>
        <v>0.999999999999999</v>
      </c>
      <c r="J41" s="303" t="n">
        <f aca="false">SUMIF(Horodateur11233538192231343743464952555861646985222634384650585462667074788290989410210611411811012212613013413814214615015415816216617017417818218619019419820220621021441014[Jour],$B41,Horodateur11233538192231343743464952555861646985222634384650585462667074788290989410210611411811012212613013413814214615015415816216617017417818218619019419820220621021441014[Durée (100)])</f>
        <v>5</v>
      </c>
      <c r="K41" s="335"/>
      <c r="L41" s="188" t="s">
        <v>31</v>
      </c>
      <c r="M41" s="272" t="n">
        <f aca="false">IF(Horodateur11233538192231343743464952555861646985222634384650585462667074788290989410210611411811012212613013413814214615015415816216617017417818218619019419820220621021441014[[#This Row],[O]]="o",Horodateur11233538192231343743464952555861646985222634384650585462667074788290989410210611411811012212613013413814214615015415816216617017417818218619019419820220621021441014[[#This Row],[Durée (100)]],".")</f>
        <v>0.999999999999999</v>
      </c>
      <c r="N41" s="187"/>
      <c r="O41" s="71"/>
      <c r="P41" s="71"/>
      <c r="Q41" s="71"/>
      <c r="R41" s="71"/>
      <c r="S41" s="71"/>
      <c r="T41" s="71"/>
      <c r="U41" s="71"/>
      <c r="V41" s="71"/>
      <c r="W41" s="71"/>
      <c r="X41" s="71"/>
      <c r="Y41" s="71"/>
      <c r="Z41" s="71"/>
      <c r="AA41" s="71"/>
      <c r="AB41" s="71"/>
      <c r="AC41" s="71"/>
      <c r="AD41" s="71"/>
      <c r="AE41" s="71"/>
      <c r="AF41" s="71"/>
      <c r="AG41" s="71"/>
    </row>
    <row r="42" customFormat="false" ht="15" hidden="false" customHeight="false" outlineLevel="0" collapsed="false">
      <c r="A42" s="256" t="n">
        <f aca="false">IF(Horodateur11233538192231343743464952555861646985222634384650585462667074788290989410210611411811012212613013413814214615015415816216617017417818218619019419820220621021441014[[#This Row],[Jour]]="1- Lundi",$B$1+1, IF(Horodateur11233538192231343743464952555861646985222634384650585462667074788290989410210611411811012212613013413814214615015415816216617017417818218619019419820220621021441014[[#This Row],[Jour]]="2- Mardi",$B$1+2, IF(Horodateur11233538192231343743464952555861646985222634384650585462667074788290989410210611411811012212613013413814214615015415816216617017417818218619019419820220621021441014[[#This Row],[Jour]]="3- Mercredi",$B$1+3, IF(Horodateur11233538192231343743464952555861646985222634384650585462667074788290989410210611411811012212613013413814214615015415816216617017417818218619019419820220621021441014[[#This Row],[Jour]]="4- Jeudi",$B$1+4, IF(Horodateur11233538192231343743464952555861646985222634384650585462667074788290989410210611411811012212613013413814214615015415816216617017417818218619019419820220621021441014[[#This Row],[Jour]]="5- Vendredi",$B$1+5, IF(Horodateur11233538192231343743464952555861646985222634384650585462667074788290989410210611411811012212613013413814214615015415816216617017417818218619019419820220621021441014[[#This Row],[Jour]]="6- Samedi",$B$1+6, IF(Horodateur11233538192231343743464952555861646985222634384650585462667074788290989410210611411811012212613013413814214615015415816216617017417818218619019419820220621021441014[[#This Row],[Jour]]="7- Dimanche",$B$1, )))))))</f>
        <v>44226</v>
      </c>
      <c r="B42" s="257" t="s">
        <v>335</v>
      </c>
      <c r="C42" s="258"/>
      <c r="D42" s="258"/>
      <c r="E42" s="71"/>
      <c r="F42" s="71"/>
      <c r="G42" s="259"/>
      <c r="H42" s="258" t="str">
        <f aca="false">IF($C42=0,"",$D42-$C42)</f>
        <v/>
      </c>
      <c r="I42" s="260" t="str">
        <f aca="false">IF($C42=0,"",($H42-INT($H42))*24)</f>
        <v/>
      </c>
      <c r="J42" s="303" t="n">
        <f aca="false">SUMIF(Horodateur11233538192231343743464952555861646985222634384650585462667074788290989410210611411811012212613013413814214615015415816216617017417818218619019419820220621021441014[Jour],$B42,Horodateur11233538192231343743464952555861646985222634384650585462667074788290989410210611411811012212613013413814214615015415816216617017417818218619019419820220621021441014[Durée (100)])</f>
        <v>5</v>
      </c>
      <c r="K42" s="335"/>
      <c r="L42" s="188" t="s">
        <v>33</v>
      </c>
      <c r="M42" s="272" t="str">
        <f aca="false">IF(Horodateur11233538192231343743464952555861646985222634384650585462667074788290989410210611411811012212613013413814214615015415816216617017417818218619019419820220621021441014[[#This Row],[O]]="o",Horodateur11233538192231343743464952555861646985222634384650585462667074788290989410210611411811012212613013413814214615015415816216617017417818218619019419820220621021441014[[#This Row],[Durée (100)]],".")</f>
        <v>.</v>
      </c>
      <c r="N42" s="187"/>
      <c r="O42" s="71"/>
      <c r="P42" s="71"/>
      <c r="Q42" s="71"/>
      <c r="R42" s="71"/>
      <c r="S42" s="71"/>
      <c r="T42" s="71"/>
      <c r="U42" s="71"/>
      <c r="V42" s="71"/>
      <c r="W42" s="71"/>
      <c r="X42" s="71"/>
      <c r="Y42" s="71"/>
      <c r="Z42" s="71"/>
      <c r="AA42" s="71"/>
      <c r="AB42" s="71"/>
      <c r="AC42" s="71"/>
      <c r="AD42" s="71"/>
      <c r="AE42" s="71"/>
      <c r="AF42" s="71"/>
      <c r="AG42" s="71"/>
    </row>
    <row r="43" customFormat="false" ht="15" hidden="false" customHeight="false" outlineLevel="0" collapsed="false">
      <c r="A43" s="256" t="n">
        <f aca="false">IF(Horodateur11233538192231343743464952555861646985222634384650585462667074788290989410210611411811012212613013413814214615015415816216617017417818218619019419820220621021441014[[#This Row],[Jour]]="1- Lundi",$B$1+1, IF(Horodateur11233538192231343743464952555861646985222634384650585462667074788290989410210611411811012212613013413814214615015415816216617017417818218619019419820220621021441014[[#This Row],[Jour]]="2- Mardi",$B$1+2, IF(Horodateur11233538192231343743464952555861646985222634384650585462667074788290989410210611411811012212613013413814214615015415816216617017417818218619019419820220621021441014[[#This Row],[Jour]]="3- Mercredi",$B$1+3, IF(Horodateur11233538192231343743464952555861646985222634384650585462667074788290989410210611411811012212613013413814214615015415816216617017417818218619019419820220621021441014[[#This Row],[Jour]]="4- Jeudi",$B$1+4, IF(Horodateur11233538192231343743464952555861646985222634384650585462667074788290989410210611411811012212613013413814214615015415816216617017417818218619019419820220621021441014[[#This Row],[Jour]]="5- Vendredi",$B$1+5, IF(Horodateur11233538192231343743464952555861646985222634384650585462667074788290989410210611411811012212613013413814214615015415816216617017417818218619019419820220621021441014[[#This Row],[Jour]]="6- Samedi",$B$1+6, IF(Horodateur11233538192231343743464952555861646985222634384650585462667074788290989410210611411811012212613013413814214615015415816216617017417818218619019419820220621021441014[[#This Row],[Jour]]="7- Dimanche",$B$1, )))))))</f>
        <v>44227</v>
      </c>
      <c r="B43" s="257" t="s">
        <v>341</v>
      </c>
      <c r="C43" s="258"/>
      <c r="D43" s="258"/>
      <c r="E43" s="71"/>
      <c r="F43" s="71"/>
      <c r="G43" s="259"/>
      <c r="H43" s="258" t="str">
        <f aca="false">IF($C43=0,"",$D43-$C43)</f>
        <v/>
      </c>
      <c r="I43" s="260" t="str">
        <f aca="false">IF($C43=0,"",($H43-INT($H43))*24)</f>
        <v/>
      </c>
      <c r="J43" s="303" t="n">
        <f aca="false">SUMIF(Horodateur11233538192231343743464952555861646985222634384650585462667074788290989410210611411811012212613013413814214615015415816216617017417818218619019419820220621021441014[Jour],$B43,Horodateur11233538192231343743464952555861646985222634384650585462667074788290989410210611411811012212613013413814214615015415816216617017417818218619019419820220621021441014[Durée (100)])</f>
        <v>0</v>
      </c>
      <c r="K43" s="335"/>
      <c r="L43" s="188" t="s">
        <v>33</v>
      </c>
      <c r="M43" s="272" t="str">
        <f aca="false">IF(Horodateur11233538192231343743464952555861646985222634384650585462667074788290989410210611411811012212613013413814214615015415816216617017417818218619019419820220621021441014[[#This Row],[O]]="o",Horodateur11233538192231343743464952555861646985222634384650585462667074788290989410210611411811012212613013413814214615015415816216617017417818218619019419820220621021441014[[#This Row],[Durée (100)]],".")</f>
        <v>.</v>
      </c>
      <c r="N43" s="187"/>
      <c r="O43" s="71"/>
      <c r="P43" s="71"/>
      <c r="Q43" s="71"/>
      <c r="R43" s="71"/>
      <c r="S43" s="71"/>
      <c r="T43" s="71"/>
      <c r="U43" s="71"/>
      <c r="V43" s="71"/>
      <c r="W43" s="71"/>
      <c r="X43" s="71"/>
      <c r="Y43" s="71"/>
      <c r="Z43" s="71"/>
      <c r="AA43" s="71"/>
      <c r="AB43" s="71"/>
      <c r="AC43" s="71"/>
      <c r="AD43" s="71"/>
      <c r="AE43" s="71"/>
      <c r="AF43" s="71"/>
      <c r="AG43" s="71"/>
    </row>
    <row r="44" customFormat="false" ht="15" hidden="false" customHeight="false" outlineLevel="0" collapsed="false">
      <c r="A44" s="137"/>
      <c r="B44" s="187"/>
      <c r="C44" s="71"/>
      <c r="D44" s="1"/>
      <c r="E44" s="1"/>
      <c r="F44" s="71"/>
      <c r="G44" s="340"/>
      <c r="H44" s="1"/>
      <c r="I44" s="119"/>
      <c r="J44" s="271"/>
      <c r="K44" s="1"/>
      <c r="L44" s="188"/>
      <c r="M44" s="272"/>
      <c r="N44" s="187"/>
      <c r="O44" s="71"/>
      <c r="P44" s="71"/>
      <c r="Q44" s="71"/>
      <c r="R44" s="71"/>
      <c r="S44" s="71"/>
      <c r="T44" s="71"/>
      <c r="U44" s="71"/>
      <c r="V44" s="71"/>
      <c r="W44" s="71"/>
      <c r="X44" s="71"/>
      <c r="Y44" s="71"/>
      <c r="Z44" s="71"/>
      <c r="AA44" s="71"/>
      <c r="AB44" s="71"/>
      <c r="AC44" s="71"/>
      <c r="AD44" s="71"/>
      <c r="AE44" s="71"/>
      <c r="AF44" s="71"/>
      <c r="AG44" s="71"/>
    </row>
    <row r="45" customFormat="false" ht="15" hidden="false" customHeight="false" outlineLevel="0" collapsed="false">
      <c r="A45" s="137"/>
      <c r="B45" s="187"/>
      <c r="C45" s="71"/>
      <c r="D45" s="1"/>
      <c r="E45" s="1"/>
      <c r="F45" s="71"/>
      <c r="G45" s="1"/>
      <c r="H45" s="1"/>
      <c r="I45" s="119"/>
      <c r="J45" s="271"/>
      <c r="K45" s="1"/>
      <c r="L45" s="188"/>
      <c r="M45" s="272"/>
      <c r="N45" s="187"/>
      <c r="O45" s="71"/>
      <c r="P45" s="71"/>
      <c r="Q45" s="71"/>
      <c r="R45" s="71"/>
      <c r="S45" s="71"/>
      <c r="T45" s="71"/>
      <c r="U45" s="71"/>
      <c r="V45" s="71"/>
      <c r="W45" s="71"/>
      <c r="X45" s="71"/>
      <c r="Y45" s="71"/>
      <c r="Z45" s="71"/>
      <c r="AA45" s="71"/>
      <c r="AB45" s="71"/>
      <c r="AC45" s="71"/>
      <c r="AD45" s="71"/>
      <c r="AE45" s="71"/>
      <c r="AF45" s="71"/>
      <c r="AG45" s="71"/>
    </row>
    <row r="46" customFormat="false" ht="15" hidden="false" customHeight="false" outlineLevel="0" collapsed="false">
      <c r="A46" s="137"/>
      <c r="B46" s="187"/>
      <c r="C46" s="71"/>
      <c r="D46" s="1"/>
      <c r="E46" s="1"/>
      <c r="F46" s="71"/>
      <c r="G46" s="1"/>
      <c r="H46" s="1"/>
      <c r="I46" s="119"/>
      <c r="J46" s="271"/>
      <c r="K46" s="1"/>
      <c r="L46" s="188"/>
      <c r="N46" s="187"/>
      <c r="O46" s="71"/>
      <c r="P46" s="71"/>
      <c r="Q46" s="71"/>
      <c r="R46" s="71"/>
      <c r="S46" s="71"/>
      <c r="T46" s="71"/>
      <c r="U46" s="71"/>
      <c r="V46" s="71"/>
      <c r="W46" s="71"/>
      <c r="X46" s="71"/>
      <c r="Y46" s="71"/>
      <c r="Z46" s="71"/>
      <c r="AA46" s="71"/>
      <c r="AB46" s="71"/>
      <c r="AC46" s="71"/>
      <c r="AD46" s="71"/>
      <c r="AE46" s="71"/>
      <c r="AF46" s="71"/>
      <c r="AG46" s="71"/>
    </row>
    <row r="47" customFormat="false" ht="15" hidden="false" customHeight="false" outlineLevel="0" collapsed="false">
      <c r="A47" s="274" t="s">
        <v>377</v>
      </c>
      <c r="B47" s="275" t="str">
        <f aca="false">SUM($A$93:$A$523) &amp; " heures"</f>
        <v>26.75 heures</v>
      </c>
      <c r="C47" s="276" t="str">
        <f aca="false">SUM($A$93:$A$514) / 8 &amp; " Jours"</f>
        <v>3.34375 Jours</v>
      </c>
      <c r="D47" s="277"/>
      <c r="E47" s="277" t="n">
        <v>33.25</v>
      </c>
      <c r="F47" s="278" t="n">
        <f aca="false">E47/8</f>
        <v>4.15625</v>
      </c>
      <c r="G47" s="277"/>
      <c r="H47" s="277"/>
      <c r="I47" s="279"/>
      <c r="J47" s="280"/>
      <c r="K47" s="277"/>
      <c r="L47" s="281"/>
      <c r="M47" s="282"/>
      <c r="N47" s="283"/>
      <c r="O47" s="277"/>
      <c r="P47" s="277"/>
      <c r="Q47" s="277"/>
      <c r="R47" s="277"/>
      <c r="S47" s="277"/>
      <c r="T47" s="277"/>
      <c r="U47" s="278"/>
      <c r="V47" s="278"/>
      <c r="W47" s="278"/>
      <c r="X47" s="278"/>
      <c r="Y47" s="278"/>
      <c r="Z47" s="278"/>
      <c r="AA47" s="278"/>
      <c r="AB47" s="278"/>
      <c r="AC47" s="278"/>
      <c r="AD47" s="278"/>
      <c r="AE47" s="278"/>
      <c r="AF47" s="278"/>
      <c r="AG47" s="278"/>
    </row>
    <row r="48" customFormat="false" ht="15" hidden="false" customHeight="false" outlineLevel="0" collapsed="false">
      <c r="A48" s="137"/>
      <c r="B48" s="187"/>
      <c r="C48" s="71"/>
      <c r="D48" s="1"/>
      <c r="E48" s="1"/>
      <c r="F48" s="71"/>
      <c r="G48" s="1"/>
      <c r="H48" s="1"/>
      <c r="I48" s="119"/>
      <c r="J48" s="271"/>
      <c r="K48" s="1"/>
      <c r="L48" s="188"/>
      <c r="M48" s="272"/>
      <c r="N48" s="187"/>
      <c r="O48" s="1"/>
      <c r="P48" s="1"/>
      <c r="Q48" s="1"/>
      <c r="R48" s="1"/>
      <c r="S48" s="1"/>
      <c r="T48" s="1"/>
      <c r="U48" s="71"/>
      <c r="V48" s="71"/>
      <c r="W48" s="71"/>
      <c r="X48" s="71"/>
      <c r="Y48" s="71"/>
      <c r="Z48" s="71"/>
      <c r="AA48" s="71"/>
      <c r="AB48" s="71"/>
      <c r="AC48" s="71"/>
      <c r="AD48" s="71"/>
      <c r="AE48" s="71"/>
      <c r="AF48" s="71"/>
      <c r="AG48" s="71"/>
    </row>
    <row r="49" customFormat="false" ht="15" hidden="true" customHeight="false" outlineLevel="1" collapsed="false">
      <c r="A49" s="137"/>
      <c r="B49" s="137"/>
      <c r="C49" s="137"/>
      <c r="D49" s="137"/>
      <c r="E49" s="1"/>
      <c r="F49" s="71"/>
      <c r="G49" s="1"/>
      <c r="H49" s="1"/>
      <c r="I49" s="119"/>
      <c r="J49" s="271"/>
      <c r="K49" s="1"/>
      <c r="L49" s="188"/>
      <c r="M49" s="272"/>
      <c r="N49" s="187"/>
      <c r="O49" s="1"/>
      <c r="P49" s="1"/>
      <c r="Q49" s="1"/>
      <c r="R49" s="1"/>
      <c r="S49" s="1"/>
      <c r="T49" s="1"/>
      <c r="U49" s="71"/>
      <c r="V49" s="71"/>
      <c r="W49" s="71"/>
      <c r="X49" s="71"/>
      <c r="Y49" s="71"/>
      <c r="Z49" s="71"/>
      <c r="AA49" s="71"/>
      <c r="AB49" s="71"/>
      <c r="AC49" s="71"/>
      <c r="AD49" s="71"/>
      <c r="AE49" s="71"/>
      <c r="AF49" s="71"/>
      <c r="AG49" s="71"/>
    </row>
    <row r="50" customFormat="false" ht="15" hidden="true" customHeight="false" outlineLevel="1" collapsed="false">
      <c r="A50" s="284" t="s">
        <v>84</v>
      </c>
      <c r="B50" s="285" t="s">
        <v>21</v>
      </c>
      <c r="C50" s="285" t="s">
        <v>20</v>
      </c>
      <c r="D50" s="285" t="s">
        <v>23</v>
      </c>
      <c r="E50" s="285" t="s">
        <v>25</v>
      </c>
      <c r="F50" s="285" t="s">
        <v>26</v>
      </c>
      <c r="G50" s="285" t="s">
        <v>378</v>
      </c>
      <c r="H50" s="285" t="s">
        <v>379</v>
      </c>
      <c r="I50" s="285" t="s">
        <v>380</v>
      </c>
      <c r="J50" s="286" t="s">
        <v>58</v>
      </c>
      <c r="K50" s="287"/>
      <c r="L50" s="288"/>
      <c r="M50" s="289"/>
      <c r="N50" s="187"/>
      <c r="O50" s="1"/>
      <c r="P50" s="1"/>
      <c r="Q50" s="1"/>
      <c r="R50" s="1"/>
      <c r="S50" s="1"/>
      <c r="T50" s="71"/>
      <c r="U50" s="71"/>
      <c r="V50" s="71"/>
      <c r="W50" s="71"/>
      <c r="X50" s="71"/>
      <c r="Y50" s="71"/>
      <c r="Z50" s="71"/>
      <c r="AA50" s="71"/>
      <c r="AB50" s="71"/>
      <c r="AC50" s="71"/>
      <c r="AD50" s="71"/>
      <c r="AE50" s="71"/>
      <c r="AF50" s="71"/>
    </row>
    <row r="51" customFormat="false" ht="15" hidden="true" customHeight="false" outlineLevel="1" collapsed="false">
      <c r="A51" s="187" t="s">
        <v>312</v>
      </c>
      <c r="B51" s="71" t="n">
        <f aca="false">SUMIFS(Horodateur11233538192231343743464952555861646985222634384650585462667074788290989410210611411811012212613013413814214615015415816216617017417818218619019419820220621021441014[Durée (100)],Horodateur11233538192231343743464952555861646985222634384650585462667074788290989410210611411811012212613013413814214615015415816216617017417818218619019419820220621021441014[Tâche],Taches_Jours1224363917202932354144475053565962678320243236444856526064687276808896921001041121161081201241281321361401441481521561601641681721761801841881921962002042082122612[[#Headers],[GB]],Horodateur11233538192231343743464952555861646985222634384650585462667074788290989410210611411811012212613013413814214615015415816216617017417818218619019419820220621021441014[Jour],Taches_Jours1224363917202932354144475053565962678320243236444856526064687276808896921001041121161081201241281321361401441481521561601641681721761801841881921962002042082122612[[#This Row],[Jours]])</f>
        <v>0.75</v>
      </c>
      <c r="C51" s="71" t="n">
        <f aca="false">SUMIFS(Horodateur11233538192231343743464952555861646985222634384650585462667074788290989410210611411811012212613013413814214615015415816216617017417818218619019419820220621021441014[Durée (100)],Horodateur11233538192231343743464952555861646985222634384650585462667074788290989410210611411811012212613013413814214615015415816216617017417818218619019419820220621021441014[Tâche],Taches_Jours1224363917202932354144475053565962678320243236444856526064687276808896921001041121161081201241281321361401441481521561601641681721761801841881921962002042082122612[[#Headers],[RI]],Horodateur11233538192231343743464952555861646985222634384650585462667074788290989410210611411811012212613013413814214615015415816216617017417818218619019419820220621021441014[Jour],Taches_Jours1224363917202932354144475053565962678320243236444856526064687276808896921001041121161081201241281321361401441481521561601641681721761801841881921962002042082122612[[#This Row],[Jours]])</f>
        <v>0.5</v>
      </c>
      <c r="D51" s="71" t="n">
        <f aca="false">SUMIFS(Horodateur11233538192231343743464952555861646985222634384650585462667074788290989410210611411811012212613013413814214615015415816216617017417818218619019419820220621021441014[Durée (100)],Horodateur11233538192231343743464952555861646985222634384650585462667074788290989410210611411811012212613013413814214615015415816216617017417818218619019419820220621021441014[Tâche],Taches_Jours1224363917202932354144475053565962678320243236444856526064687276808896921001041121161081201241281321361401441481521561601641681721761801841881921962002042082122612[[#Headers],[FG]],Horodateur11233538192231343743464952555861646985222634384650585462667074788290989410210611411811012212613013413814214615015415816216617017417818218619019419820220621021441014[Jour],Taches_Jours1224363917202932354144475053565962678320243236444856526064687276808896921001041121161081201241281321361401441481521561601641681721761801841881921962002042082122612[[#This Row],[Jours]])</f>
        <v>0.999999999999999</v>
      </c>
      <c r="E51" s="71" t="n">
        <f aca="false">SUMIFS(Horodateur11233538192231343743464952555861646985222634384650585462667074788290989410210611411811012212613013413814214615015415816216617017417818218619019419820220621021441014[Durée (100)],Horodateur11233538192231343743464952555861646985222634384650585462667074788290989410210611411811012212613013413814214615015415816216617017417818218619019419820220621021441014[Tâche],Taches_Jours1224363917202932354144475053565962678320243236444856526064687276808896921001041121161081201241281321361401441481521561601641681721761801841881921962002042082122612[[#Headers],[PS]],Horodateur11233538192231343743464952555861646985222634384650585462667074788290989410210611411811012212613013413814214615015415816216617017417818218619019419820220621021441014[Jour],Taches_Jours1224363917202932354144475053565962678320243236444856526064687276808896921001041121161081201241281321361401441481521561601641681721761801841881921962002042082122612[[#This Row],[Jours]])</f>
        <v>0</v>
      </c>
      <c r="F51" s="71" t="n">
        <f aca="false">SUMIFS(Horodateur11233538192231343743464952555861646985222634384650585462667074788290989410210611411811012212613013413814214615015415816216617017417818218619019419820220621021441014[Durée (100)],Horodateur11233538192231343743464952555861646985222634384650585462667074788290989410210611411811012212613013413814214615015415816216617017417818218619019419820220621021441014[Tâche],Taches_Jours1224363917202932354144475053565962678320243236444856526064687276808896921001041121161081201241281321361401441481521561601641681721761801841881921962002042082122612[[#Headers],[TD]],Horodateur11233538192231343743464952555861646985222634384650585462667074788290989410210611411811012212613013413814214615015415816216617017417818218619019419820220621021441014[Jour],Taches_Jours1224363917202932354144475053565962678320243236444856526064687276808896921001041121161081201241281321361401441481521561601641681721761801841881921962002042082122612[[#This Row],[Jours]])</f>
        <v>0</v>
      </c>
      <c r="G51" s="71" t="n">
        <f aca="false">SUMIFS(Horodateur11233538192231343743464952555861646985222634384650585462667074788290989410210611411811012212613013413814214615015415816216617017417818218619019419820220621021441014[Durée (100)],Horodateur11233538192231343743464952555861646985222634384650585462667074788290989410210611411811012212613013413814214615015415816216617017417818218619019419820220621021441014[Tâche],Taches_Jours1224363917202932354144475053565962678320243236444856526064687276808896921001041121161081201241281321361401441481521561601641681721761801841881921962002042082122612[[#Headers],[GP]],Horodateur11233538192231343743464952555861646985222634384650585462667074788290989410210611411811012212613013413814214615015415816216617017417818218619019419820220621021441014[Jour],Taches_Jours1224363917202932354144475053565962678320243236444856526064687276808896921001041121161081201241281321361401441481521561601641681721761801841881921962002042082122612[[#This Row],[Jours]])</f>
        <v>3.5</v>
      </c>
      <c r="H51" s="71" t="n">
        <f aca="false">SUMIFS(Horodateur11233538192231343743464952555861646985222634384650585462667074788290989410210611411811012212613013413814214615015415816216617017417818218619019419820220621021441014[Durée (100)],Horodateur11233538192231343743464952555861646985222634384650585462667074788290989410210611411811012212613013413814214615015415816216617017417818218619019419820220621021441014[Tâche],Taches_Jours1224363917202932354144475053565962678320243236444856526064687276808896921001041121161081201241281321361401441481521561601641681721761801841881921962002042082122612[[#Headers],[GP / SP]],Horodateur11233538192231343743464952555861646985222634384650585462667074788290989410210611411811012212613013413814214615015415816216617017417818218619019419820220621021441014[Jour],Taches_Jours1224363917202932354144475053565962678320243236444856526064687276808896921001041121161081201241281321361401441481521561601641681721761801841881921962002042082122612[[#This Row],[Jours]])</f>
        <v>0.75</v>
      </c>
      <c r="I51" s="71" t="n">
        <f aca="false">SUMIFS(Horodateur11233538192231343743464952555861646985222634384650585462667074788290989410210611411811012212613013413814214615015415816216617017417818218619019419820220621021441014[Durée (100)],Horodateur11233538192231343743464952555861646985222634384650585462667074788290989410210611411811012212613013413814214615015415816216617017417818218619019419820220621021441014[Tâche],Taches_Jours1224363917202932354144475053565962678320243236444856526064687276808896921001041121161081201241281321361401441481521561601641681721761801841881921962002042082122612[[#Headers],[GP / SP]],Horodateur11233538192231343743464952555861646985222634384650585462667074788290989410210611411811012212613013413814214615015415816216617017417818218619019419820220621021441014[Jour],Taches_Jours1224363917202932354144475053565962678320243236444856526064687276808896921001041121161081201241281321361401441481521561601641681721761801841881921962002042082122612[[#This Row],[Jours]])</f>
        <v>0.75</v>
      </c>
      <c r="J51" s="290" t="n">
        <f aca="false">SUM(Taches_Jours1224363917202932354144475053565962678320243236444856526064687276808896921001041121161081201241281321361401441481521561601641681721761801841881921962002042082122612[[#This Row],[GB]:[GP / SP]])</f>
        <v>6.5</v>
      </c>
      <c r="K51" s="188"/>
      <c r="L51" s="288"/>
      <c r="M51" s="289"/>
      <c r="N51" s="187"/>
      <c r="O51" s="1"/>
      <c r="P51" s="1"/>
      <c r="Q51" s="1"/>
      <c r="R51" s="1"/>
      <c r="S51" s="1"/>
      <c r="T51" s="71"/>
      <c r="U51" s="71"/>
      <c r="V51" s="71"/>
      <c r="W51" s="71"/>
      <c r="X51" s="71"/>
      <c r="Y51" s="71"/>
      <c r="Z51" s="71"/>
      <c r="AA51" s="71"/>
      <c r="AB51" s="71"/>
      <c r="AC51" s="71"/>
      <c r="AD51" s="71"/>
      <c r="AE51" s="71"/>
      <c r="AF51" s="71"/>
    </row>
    <row r="52" customFormat="false" ht="15" hidden="true" customHeight="false" outlineLevel="1" collapsed="false">
      <c r="A52" s="187" t="s">
        <v>319</v>
      </c>
      <c r="B52" s="71" t="n">
        <f aca="false">SUMIFS(Horodateur11233538192231343743464952555861646985222634384650585462667074788290989410210611411811012212613013413814214615015415816216617017417818218619019419820220621021441014[Durée (100)],Horodateur11233538192231343743464952555861646985222634384650585462667074788290989410210611411811012212613013413814214615015415816216617017417818218619019419820220621021441014[Tâche],Taches_Jours1224363917202932354144475053565962678320243236444856526064687276808896921001041121161081201241281321361401441481521561601641681721761801841881921962002042082122612[[#Headers],[GB]],Horodateur11233538192231343743464952555861646985222634384650585462667074788290989410210611411811012212613013413814214615015415816216617017417818218619019419820220621021441014[Jour],Taches_Jours1224363917202932354144475053565962678320243236444856526064687276808896921001041121161081201241281321361401441481521561601641681721761801841881921962002042082122612[[#This Row],[Jours]])</f>
        <v>0.75</v>
      </c>
      <c r="C52" s="71" t="n">
        <f aca="false">SUMIFS(Horodateur11233538192231343743464952555861646985222634384650585462667074788290989410210611411811012212613013413814214615015415816216617017417818218619019419820220621021441014[Durée (100)],Horodateur11233538192231343743464952555861646985222634384650585462667074788290989410210611411811012212613013413814214615015415816216617017417818218619019419820220621021441014[Tâche],Taches_Jours1224363917202932354144475053565962678320243236444856526064687276808896921001041121161081201241281321361401441481521561601641681721761801841881921962002042082122612[[#Headers],[RI]],Horodateur11233538192231343743464952555861646985222634384650585462667074788290989410210611411811012212613013413814214615015415816216617017417818218619019419820220621021441014[Jour],Taches_Jours1224363917202932354144475053565962678320243236444856526064687276808896921001041121161081201241281321361401441481521561601641681721761801841881921962002042082122612[[#This Row],[Jours]])</f>
        <v>0</v>
      </c>
      <c r="D52" s="71" t="n">
        <f aca="false">SUMIFS(Horodateur11233538192231343743464952555861646985222634384650585462667074788290989410210611411811012212613013413814214615015415816216617017417818218619019419820220621021441014[Durée (100)],Horodateur11233538192231343743464952555861646985222634384650585462667074788290989410210611411811012212613013413814214615015415816216617017417818218619019419820220621021441014[Tâche],Taches_Jours1224363917202932354144475053565962678320243236444856526064687276808896921001041121161081201241281321361401441481521561601641681721761801841881921962002042082122612[[#Headers],[FG]],Horodateur11233538192231343743464952555861646985222634384650585462667074788290989410210611411811012212613013413814214615015415816216617017417818218619019419820220621021441014[Jour],Taches_Jours1224363917202932354144475053565962678320243236444856526064687276808896921001041121161081201241281321361401441481521561601641681721761801841881921962002042082122612[[#This Row],[Jours]])</f>
        <v>2.5</v>
      </c>
      <c r="E52" s="71" t="n">
        <f aca="false">SUMIFS(Horodateur11233538192231343743464952555861646985222634384650585462667074788290989410210611411811012212613013413814214615015415816216617017417818218619019419820220621021441014[Durée (100)],Horodateur11233538192231343743464952555861646985222634384650585462667074788290989410210611411811012212613013413814214615015415816216617017417818218619019419820220621021441014[Tâche],Taches_Jours1224363917202932354144475053565962678320243236444856526064687276808896921001041121161081201241281321361401441481521561601641681721761801841881921962002042082122612[[#Headers],[PS]],Horodateur11233538192231343743464952555861646985222634384650585462667074788290989410210611411811012212613013413814214615015415816216617017417818218619019419820220621021441014[Jour],Taches_Jours1224363917202932354144475053565962678320243236444856526064687276808896921001041121161081201241281321361401441481521561601641681721761801841881921962002042082122612[[#This Row],[Jours]])</f>
        <v>0</v>
      </c>
      <c r="F52" s="71" t="n">
        <f aca="false">SUMIFS(Horodateur11233538192231343743464952555861646985222634384650585462667074788290989410210611411811012212613013413814214615015415816216617017417818218619019419820220621021441014[Durée (100)],Horodateur11233538192231343743464952555861646985222634384650585462667074788290989410210611411811012212613013413814214615015415816216617017417818218619019419820220621021441014[Tâche],Taches_Jours1224363917202932354144475053565962678320243236444856526064687276808896921001041121161081201241281321361401441481521561601641681721761801841881921962002042082122612[[#Headers],[TD]],Horodateur11233538192231343743464952555861646985222634384650585462667074788290989410210611411811012212613013413814214615015415816216617017417818218619019419820220621021441014[Jour],Taches_Jours1224363917202932354144475053565962678320243236444856526064687276808896921001041121161081201241281321361401441481521561601641681721761801841881921962002042082122612[[#This Row],[Jours]])</f>
        <v>0</v>
      </c>
      <c r="G52" s="71" t="n">
        <f aca="false">SUMIFS(Horodateur11233538192231343743464952555861646985222634384650585462667074788290989410210611411811012212613013413814214615015415816216617017417818218619019419820220621021441014[Durée (100)],Horodateur11233538192231343743464952555861646985222634384650585462667074788290989410210611411811012212613013413814214615015415816216617017417818218619019419820220621021441014[Tâche],Taches_Jours1224363917202932354144475053565962678320243236444856526064687276808896921001041121161081201241281321361401441481521561601641681721761801841881921962002042082122612[[#Headers],[GP]],Horodateur11233538192231343743464952555861646985222634384650585462667074788290989410210611411811012212613013413814214615015415816216617017417818218619019419820220621021441014[Jour],Taches_Jours1224363917202932354144475053565962678320243236444856526064687276808896921001041121161081201241281321361401441481521561601641681721761801841881921962002042082122612[[#This Row],[Jours]])</f>
        <v>2.75</v>
      </c>
      <c r="H52" s="71" t="n">
        <f aca="false">SUMIFS(Horodateur11233538192231343743464952555861646985222634384650585462667074788290989410210611411811012212613013413814214615015415816216617017417818218619019419820220621021441014[Durée (100)],Horodateur11233538192231343743464952555861646985222634384650585462667074788290989410210611411811012212613013413814214615015415816216617017417818218619019419820220621021441014[Tâche],Taches_Jours1224363917202932354144475053565962678320243236444856526064687276808896921001041121161081201241281321361401441481521561601641681721761801841881921962002042082122612[[#Headers],[GP / SP]],Horodateur11233538192231343743464952555861646985222634384650585462667074788290989410210611411811012212613013413814214615015415816216617017417818218619019419820220621021441014[Jour],Taches_Jours1224363917202932354144475053565962678320243236444856526064687276808896921001041121161081201241281321361401441481521561601641681721761801841881921962002042082122612[[#This Row],[Jours]])</f>
        <v>0.999999999999999</v>
      </c>
      <c r="I52" s="71" t="n">
        <f aca="false">SUMIFS(Horodateur11233538192231343743464952555861646985222634384650585462667074788290989410210611411811012212613013413814214615015415816216617017417818218619019419820220621021441014[Durée (100)],Horodateur11233538192231343743464952555861646985222634384650585462667074788290989410210611411811012212613013413814214615015415816216617017417818218619019419820220621021441014[Tâche],Taches_Jours1224363917202932354144475053565962678320243236444856526064687276808896921001041121161081201241281321361401441481521561601641681721761801841881921962002042082122612[[#Headers],[GP / SP]],Horodateur11233538192231343743464952555861646985222634384650585462667074788290989410210611411811012212613013413814214615015415816216617017417818218619019419820220621021441014[Jour],Taches_Jours1224363917202932354144475053565962678320243236444856526064687276808896921001041121161081201241281321361401441481521561601641681721761801841881921962002042082122612[[#This Row],[Jours]])</f>
        <v>0.999999999999999</v>
      </c>
      <c r="J52" s="290" t="n">
        <f aca="false">SUM(Taches_Jours1224363917202932354144475053565962678320243236444856526064687276808896921001041121161081201241281321361401441481521561601641681721761801841881921962002042082122612[[#This Row],[GB]:[GP / SP]])</f>
        <v>7</v>
      </c>
      <c r="K52" s="188"/>
      <c r="L52" s="288"/>
      <c r="M52" s="289"/>
      <c r="N52" s="187"/>
      <c r="O52" s="1"/>
      <c r="P52" s="1"/>
      <c r="Q52" s="1"/>
      <c r="R52" s="1"/>
      <c r="S52" s="1"/>
      <c r="T52" s="71"/>
      <c r="U52" s="71"/>
      <c r="V52" s="71"/>
      <c r="W52" s="71"/>
      <c r="X52" s="71"/>
      <c r="Y52" s="71"/>
      <c r="Z52" s="71"/>
      <c r="AA52" s="71"/>
      <c r="AB52" s="71"/>
      <c r="AC52" s="71"/>
      <c r="AD52" s="71"/>
      <c r="AE52" s="71"/>
      <c r="AF52" s="71"/>
    </row>
    <row r="53" customFormat="false" ht="15" hidden="true" customHeight="false" outlineLevel="1" collapsed="false">
      <c r="A53" s="187" t="s">
        <v>324</v>
      </c>
      <c r="B53" s="71" t="n">
        <f aca="false">SUMIFS(Horodateur11233538192231343743464952555861646985222634384650585462667074788290989410210611411811012212613013413814214615015415816216617017417818218619019419820220621021441014[Durée (100)],Horodateur11233538192231343743464952555861646985222634384650585462667074788290989410210611411811012212613013413814214615015415816216617017417818218619019419820220621021441014[Tâche],Taches_Jours1224363917202932354144475053565962678320243236444856526064687276808896921001041121161081201241281321361401441481521561601641681721761801841881921962002042082122612[[#Headers],[GB]],Horodateur11233538192231343743464952555861646985222634384650585462667074788290989410210611411811012212613013413814214615015415816216617017417818218619019419820220621021441014[Jour],Taches_Jours1224363917202932354144475053565962678320243236444856526064687276808896921001041121161081201241281321361401441481521561601641681721761801841881921962002042082122612[[#This Row],[Jours]])</f>
        <v>1</v>
      </c>
      <c r="C53" s="71" t="n">
        <f aca="false">SUMIFS(Horodateur11233538192231343743464952555861646985222634384650585462667074788290989410210611411811012212613013413814214615015415816216617017417818218619019419820220621021441014[Durée (100)],Horodateur11233538192231343743464952555861646985222634384650585462667074788290989410210611411811012212613013413814214615015415816216617017417818218619019419820220621021441014[Tâche],Taches_Jours1224363917202932354144475053565962678320243236444856526064687276808896921001041121161081201241281321361401441481521561601641681721761801841881921962002042082122612[[#Headers],[RI]],Horodateur11233538192231343743464952555861646985222634384650585462667074788290989410210611411811012212613013413814214615015415816216617017417818218619019419820220621021441014[Jour],Taches_Jours1224363917202932354144475053565962678320243236444856526064687276808896921001041121161081201241281321361401441481521561601641681721761801841881921962002042082122612[[#This Row],[Jours]])</f>
        <v>0</v>
      </c>
      <c r="D53" s="71" t="n">
        <f aca="false">SUMIFS(Horodateur11233538192231343743464952555861646985222634384650585462667074788290989410210611411811012212613013413814214615015415816216617017417818218619019419820220621021441014[Durée (100)],Horodateur11233538192231343743464952555861646985222634384650585462667074788290989410210611411811012212613013413814214615015415816216617017417818218619019419820220621021441014[Tâche],Taches_Jours1224363917202932354144475053565962678320243236444856526064687276808896921001041121161081201241281321361401441481521561601641681721761801841881921962002042082122612[[#Headers],[FG]],Horodateur11233538192231343743464952555861646985222634384650585462667074788290989410210611411811012212613013413814214615015415816216617017417818218619019419820220621021441014[Jour],Taches_Jours1224363917202932354144475053565962678320243236444856526064687276808896921001041121161081201241281321361401441481521561601641681721761801841881921962002042082122612[[#This Row],[Jours]])</f>
        <v>0.5</v>
      </c>
      <c r="E53" s="71" t="n">
        <f aca="false">SUMIFS(Horodateur11233538192231343743464952555861646985222634384650585462667074788290989410210611411811012212613013413814214615015415816216617017417818218619019419820220621021441014[Durée (100)],Horodateur11233538192231343743464952555861646985222634384650585462667074788290989410210611411811012212613013413814214615015415816216617017417818218619019419820220621021441014[Tâche],Taches_Jours1224363917202932354144475053565962678320243236444856526064687276808896921001041121161081201241281321361401441481521561601641681721761801841881921962002042082122612[[#Headers],[PS]],Horodateur11233538192231343743464952555861646985222634384650585462667074788290989410210611411811012212613013413814214615015415816216617017417818218619019419820220621021441014[Jour],Taches_Jours1224363917202932354144475053565962678320243236444856526064687276808896921001041121161081201241281321361401441481521561601641681721761801841881921962002042082122612[[#This Row],[Jours]])</f>
        <v>0</v>
      </c>
      <c r="F53" s="71" t="n">
        <f aca="false">SUMIFS(Horodateur11233538192231343743464952555861646985222634384650585462667074788290989410210611411811012212613013413814214615015415816216617017417818218619019419820220621021441014[Durée (100)],Horodateur11233538192231343743464952555861646985222634384650585462667074788290989410210611411811012212613013413814214615015415816216617017417818218619019419820220621021441014[Tâche],Taches_Jours1224363917202932354144475053565962678320243236444856526064687276808896921001041121161081201241281321361401441481521561601641681721761801841881921962002042082122612[[#Headers],[TD]],Horodateur11233538192231343743464952555861646985222634384650585462667074788290989410210611411811012212613013413814214615015415816216617017417818218619019419820220621021441014[Jour],Taches_Jours1224363917202932354144475053565962678320243236444856526064687276808896921001041121161081201241281321361401441481521561601641681721761801841881921962002042082122612[[#This Row],[Jours]])</f>
        <v>0</v>
      </c>
      <c r="G53" s="71" t="n">
        <f aca="false">SUMIFS(Horodateur11233538192231343743464952555861646985222634384650585462667074788290989410210611411811012212613013413814214615015415816216617017417818218619019419820220621021441014[Durée (100)],Horodateur11233538192231343743464952555861646985222634384650585462667074788290989410210611411811012212613013413814214615015415816216617017417818218619019419820220621021441014[Tâche],Taches_Jours1224363917202932354144475053565962678320243236444856526064687276808896921001041121161081201241281321361401441481521561601641681721761801841881921962002042082122612[[#Headers],[GP]],Horodateur11233538192231343743464952555861646985222634384650585462667074788290989410210611411811012212613013413814214615015415816216617017417818218619019419820220621021441014[Jour],Taches_Jours1224363917202932354144475053565962678320243236444856526064687276808896921001041121161081201241281321361401441481521561601641681721761801841881921962002042082122612[[#This Row],[Jours]])</f>
        <v>5.75</v>
      </c>
      <c r="H53" s="71" t="n">
        <f aca="false">SUMIFS(Horodateur11233538192231343743464952555861646985222634384650585462667074788290989410210611411811012212613013413814214615015415816216617017417818218619019419820220621021441014[Durée (100)],Horodateur11233538192231343743464952555861646985222634384650585462667074788290989410210611411811012212613013413814214615015415816216617017417818218619019419820220621021441014[Tâche],Taches_Jours1224363917202932354144475053565962678320243236444856526064687276808896921001041121161081201241281321361401441481521561601641681721761801841881921962002042082122612[[#Headers],[GP / SP]],Horodateur11233538192231343743464952555861646985222634384650585462667074788290989410210611411811012212613013413814214615015415816216617017417818218619019419820220621021441014[Jour],Taches_Jours1224363917202932354144475053565962678320243236444856526064687276808896921001041121161081201241281321361401441481521561601641681721761801841881921962002042082122612[[#This Row],[Jours]])</f>
        <v>0</v>
      </c>
      <c r="I53" s="71" t="n">
        <f aca="false">SUMIFS(Horodateur11233538192231343743464952555861646985222634384650585462667074788290989410210611411811012212613013413814214615015415816216617017417818218619019419820220621021441014[Durée (100)],Horodateur11233538192231343743464952555861646985222634384650585462667074788290989410210611411811012212613013413814214615015415816216617017417818218619019419820220621021441014[Tâche],Taches_Jours1224363917202932354144475053565962678320243236444856526064687276808896921001041121161081201241281321361401441481521561601641681721761801841881921962002042082122612[[#Headers],[GP / SP]],Horodateur11233538192231343743464952555861646985222634384650585462667074788290989410210611411811012212613013413814214615015415816216617017417818218619019419820220621021441014[Jour],Taches_Jours1224363917202932354144475053565962678320243236444856526064687276808896921001041121161081201241281321361401441481521561601641681721761801841881921962002042082122612[[#This Row],[Jours]])</f>
        <v>0</v>
      </c>
      <c r="J53" s="290" t="n">
        <f aca="false">SUM(Taches_Jours1224363917202932354144475053565962678320243236444856526064687276808896921001041121161081201241281321361401441481521561601641681721761801841881921962002042082122612[[#This Row],[GB]:[GP / SP]])</f>
        <v>7.25</v>
      </c>
      <c r="K53" s="188"/>
      <c r="L53" s="288"/>
      <c r="M53" s="289"/>
      <c r="N53" s="187"/>
      <c r="O53" s="1"/>
      <c r="P53" s="1"/>
      <c r="Q53" s="1"/>
      <c r="R53" s="1"/>
      <c r="S53" s="1"/>
      <c r="T53" s="71"/>
      <c r="U53" s="71"/>
      <c r="V53" s="71"/>
      <c r="W53" s="71"/>
      <c r="X53" s="71"/>
      <c r="Y53" s="71"/>
      <c r="Z53" s="71"/>
      <c r="AA53" s="71"/>
      <c r="AB53" s="71"/>
      <c r="AC53" s="71"/>
      <c r="AD53" s="71"/>
      <c r="AE53" s="71"/>
      <c r="AF53" s="71"/>
    </row>
    <row r="54" customFormat="false" ht="15" hidden="true" customHeight="false" outlineLevel="1" collapsed="false">
      <c r="A54" s="187" t="s">
        <v>332</v>
      </c>
      <c r="B54" s="71" t="n">
        <f aca="false">SUMIFS(Horodateur11233538192231343743464952555861646985222634384650585462667074788290989410210611411811012212613013413814214615015415816216617017417818218619019419820220621021441014[Durée (100)],Horodateur11233538192231343743464952555861646985222634384650585462667074788290989410210611411811012212613013413814214615015415816216617017417818218619019419820220621021441014[Tâche],Taches_Jours1224363917202932354144475053565962678320243236444856526064687276808896921001041121161081201241281321361401441481521561601641681721761801841881921962002042082122612[[#Headers],[GB]],Horodateur11233538192231343743464952555861646985222634384650585462667074788290989410210611411811012212613013413814214615015415816216617017417818218619019419820220621021441014[Jour],Taches_Jours1224363917202932354144475053565962678320243236444856526064687276808896921001041121161081201241281321361401441481521561601641681721761801841881921962002042082122612[[#This Row],[Jours]])</f>
        <v>0.5</v>
      </c>
      <c r="C54" s="71" t="n">
        <f aca="false">SUMIFS(Horodateur11233538192231343743464952555861646985222634384650585462667074788290989410210611411811012212613013413814214615015415816216617017417818218619019419820220621021441014[Durée (100)],Horodateur11233538192231343743464952555861646985222634384650585462667074788290989410210611411811012212613013413814214615015415816216617017417818218619019419820220621021441014[Tâche],Taches_Jours1224363917202932354144475053565962678320243236444856526064687276808896921001041121161081201241281321361401441481521561601641681721761801841881921962002042082122612[[#Headers],[RI]],Horodateur11233538192231343743464952555861646985222634384650585462667074788290989410210611411811012212613013413814214615015415816216617017417818218619019419820220621021441014[Jour],Taches_Jours1224363917202932354144475053565962678320243236444856526064687276808896921001041121161081201241281321361401441481521561601641681721761801841881921962002042082122612[[#This Row],[Jours]])</f>
        <v>0</v>
      </c>
      <c r="D54" s="71" t="n">
        <f aca="false">SUMIFS(Horodateur11233538192231343743464952555861646985222634384650585462667074788290989410210611411811012212613013413814214615015415816216617017417818218619019419820220621021441014[Durée (100)],Horodateur11233538192231343743464952555861646985222634384650585462667074788290989410210611411811012212613013413814214615015415816216617017417818218619019419820220621021441014[Tâche],Taches_Jours1224363917202932354144475053565962678320243236444856526064687276808896921001041121161081201241281321361401441481521561601641681721761801841881921962002042082122612[[#Headers],[FG]],Horodateur11233538192231343743464952555861646985222634384650585462667074788290989410210611411811012212613013413814214615015415816216617017417818218619019419820220621021441014[Jour],Taches_Jours1224363917202932354144475053565962678320243236444856526064687276808896921001041121161081201241281321361401441481521561601641681721761801841881921962002042082122612[[#This Row],[Jours]])</f>
        <v>0</v>
      </c>
      <c r="E54" s="71" t="n">
        <f aca="false">SUMIFS(Horodateur11233538192231343743464952555861646985222634384650585462667074788290989410210611411811012212613013413814214615015415816216617017417818218619019419820220621021441014[Durée (100)],Horodateur11233538192231343743464952555861646985222634384650585462667074788290989410210611411811012212613013413814214615015415816216617017417818218619019419820220621021441014[Tâche],Taches_Jours1224363917202932354144475053565962678320243236444856526064687276808896921001041121161081201241281321361401441481521561601641681721761801841881921962002042082122612[[#Headers],[PS]],Horodateur11233538192231343743464952555861646985222634384650585462667074788290989410210611411811012212613013413814214615015415816216617017417818218619019419820220621021441014[Jour],Taches_Jours1224363917202932354144475053565962678320243236444856526064687276808896921001041121161081201241281321361401441481521561601641681721761801841881921962002042082122612[[#This Row],[Jours]])</f>
        <v>0</v>
      </c>
      <c r="F54" s="71" t="n">
        <f aca="false">SUMIFS(Horodateur11233538192231343743464952555861646985222634384650585462667074788290989410210611411811012212613013413814214615015415816216617017417818218619019419820220621021441014[Durée (100)],Horodateur11233538192231343743464952555861646985222634384650585462667074788290989410210611411811012212613013413814214615015415816216617017417818218619019419820220621021441014[Tâche],Taches_Jours1224363917202932354144475053565962678320243236444856526064687276808896921001041121161081201241281321361401441481521561601641681721761801841881921962002042082122612[[#Headers],[TD]],Horodateur11233538192231343743464952555861646985222634384650585462667074788290989410210611411811012212613013413814214615015415816216617017417818218619019419820220621021441014[Jour],Taches_Jours1224363917202932354144475053565962678320243236444856526064687276808896921001041121161081201241281321361401441481521561601641681721761801841881921962002042082122612[[#This Row],[Jours]])</f>
        <v>0</v>
      </c>
      <c r="G54" s="71" t="n">
        <f aca="false">SUMIFS(Horodateur11233538192231343743464952555861646985222634384650585462667074788290989410210611411811012212613013413814214615015415816216617017417818218619019419820220621021441014[Durée (100)],Horodateur11233538192231343743464952555861646985222634384650585462667074788290989410210611411811012212613013413814214615015415816216617017417818218619019419820220621021441014[Tâche],Taches_Jours1224363917202932354144475053565962678320243236444856526064687276808896921001041121161081201241281321361401441481521561601641681721761801841881921962002042082122612[[#Headers],[GP]],Horodateur11233538192231343743464952555861646985222634384650585462667074788290989410210611411811012212613013413814214615015415816216617017417818218619019419820220621021441014[Jour],Taches_Jours1224363917202932354144475053565962678320243236444856526064687276808896921001041121161081201241281321361401441481521561601641681721761801841881921962002042082122612[[#This Row],[Jours]])</f>
        <v>4.5</v>
      </c>
      <c r="H54" s="71" t="n">
        <f aca="false">SUMIFS(Horodateur11233538192231343743464952555861646985222634384650585462667074788290989410210611411811012212613013413814214615015415816216617017417818218619019419820220621021441014[Durée (100)],Horodateur11233538192231343743464952555861646985222634384650585462667074788290989410210611411811012212613013413814214615015415816216617017417818218619019419820220621021441014[Tâche],Taches_Jours1224363917202932354144475053565962678320243236444856526064687276808896921001041121161081201241281321361401441481521561601641681721761801841881921962002042082122612[[#Headers],[GP / SP]],Horodateur11233538192231343743464952555861646985222634384650585462667074788290989410210611411811012212613013413814214615015415816216617017417818218619019419820220621021441014[Jour],Taches_Jours1224363917202932354144475053565962678320243236444856526064687276808896921001041121161081201241281321361401441481521561601641681721761801841881921962002042082122612[[#This Row],[Jours]])</f>
        <v>0</v>
      </c>
      <c r="I54" s="71" t="n">
        <f aca="false">SUMIFS(Horodateur11233538192231343743464952555861646985222634384650585462667074788290989410210611411811012212613013413814214615015415816216617017417818218619019419820220621021441014[Durée (100)],Horodateur11233538192231343743464952555861646985222634384650585462667074788290989410210611411811012212613013413814214615015415816216617017417818218619019419820220621021441014[Tâche],Taches_Jours1224363917202932354144475053565962678320243236444856526064687276808896921001041121161081201241281321361401441481521561601641681721761801841881921962002042082122612[[#Headers],[GP / SP]],Horodateur11233538192231343743464952555861646985222634384650585462667074788290989410210611411811012212613013413814214615015415816216617017417818218619019419820220621021441014[Jour],Taches_Jours1224363917202932354144475053565962678320243236444856526064687276808896921001041121161081201241281321361401441481521561601641681721761801841881921962002042082122612[[#This Row],[Jours]])</f>
        <v>0</v>
      </c>
      <c r="J54" s="290" t="n">
        <f aca="false">SUM(Taches_Jours1224363917202932354144475053565962678320243236444856526064687276808896921001041121161081201241281321361401441481521561601641681721761801841881921962002042082122612[[#This Row],[GB]:[GP / SP]])</f>
        <v>5</v>
      </c>
      <c r="K54" s="188"/>
      <c r="L54" s="288"/>
      <c r="M54" s="289"/>
      <c r="N54" s="187"/>
      <c r="O54" s="71"/>
      <c r="P54" s="71"/>
      <c r="Q54" s="71"/>
      <c r="R54" s="71"/>
      <c r="S54" s="71"/>
      <c r="T54" s="71"/>
      <c r="U54" s="71"/>
      <c r="V54" s="71"/>
      <c r="W54" s="71"/>
      <c r="X54" s="71"/>
      <c r="Y54" s="71"/>
      <c r="Z54" s="71"/>
      <c r="AA54" s="71"/>
      <c r="AB54" s="71"/>
      <c r="AC54" s="71"/>
      <c r="AD54" s="71"/>
      <c r="AE54" s="71"/>
      <c r="AF54" s="71"/>
    </row>
    <row r="55" customFormat="false" ht="15" hidden="true" customHeight="false" outlineLevel="1" collapsed="false">
      <c r="A55" s="187" t="s">
        <v>335</v>
      </c>
      <c r="B55" s="71" t="n">
        <f aca="false">SUMIFS(Horodateur11233538192231343743464952555861646985222634384650585462667074788290989410210611411811012212613013413814214615015415816216617017417818218619019419820220621021441014[Durée (100)],Horodateur11233538192231343743464952555861646985222634384650585462667074788290989410210611411811012212613013413814214615015415816216617017417818218619019419820220621021441014[Tâche],Taches_Jours1224363917202932354144475053565962678320243236444856526064687276808896921001041121161081201241281321361401441481521561601641681721761801841881921962002042082122612[[#Headers],[GB]],Horodateur11233538192231343743464952555861646985222634384650585462667074788290989410210611411811012212613013413814214615015415816216617017417818218619019419820220621021441014[Jour],Taches_Jours1224363917202932354144475053565962678320243236444856526064687276808896921001041121161081201241281321361401441481521561601641681721761801841881921962002042082122612[[#This Row],[Jours]])</f>
        <v>0.5</v>
      </c>
      <c r="C55" s="71" t="n">
        <f aca="false">SUMIFS(Horodateur11233538192231343743464952555861646985222634384650585462667074788290989410210611411811012212613013413814214615015415816216617017417818218619019419820220621021441014[Durée (100)],Horodateur11233538192231343743464952555861646985222634384650585462667074788290989410210611411811012212613013413814214615015415816216617017417818218619019419820220621021441014[Tâche],Taches_Jours1224363917202932354144475053565962678320243236444856526064687276808896921001041121161081201241281321361401441481521561601641681721761801841881921962002042082122612[[#Headers],[RI]],Horodateur11233538192231343743464952555861646985222634384650585462667074788290989410210611411811012212613013413814214615015415816216617017417818218619019419820220621021441014[Jour],Taches_Jours1224363917202932354144475053565962678320243236444856526064687276808896921001041121161081201241281321361401441481521561601641681721761801841881921962002042082122612[[#This Row],[Jours]])</f>
        <v>0</v>
      </c>
      <c r="D55" s="71" t="n">
        <f aca="false">SUMIFS(Horodateur11233538192231343743464952555861646985222634384650585462667074788290989410210611411811012212613013413814214615015415816216617017417818218619019419820220621021441014[Durée (100)],Horodateur11233538192231343743464952555861646985222634384650585462667074788290989410210611411811012212613013413814214615015415816216617017417818218619019419820220621021441014[Tâche],Taches_Jours1224363917202932354144475053565962678320243236444856526064687276808896921001041121161081201241281321361401441481521561601641681721761801841881921962002042082122612[[#Headers],[FG]],Horodateur11233538192231343743464952555861646985222634384650585462667074788290989410210611411811012212613013413814214615015415816216617017417818218619019419820220621021441014[Jour],Taches_Jours1224363917202932354144475053565962678320243236444856526064687276808896921001041121161081201241281321361401441481521561601641681721761801841881921962002042082122612[[#This Row],[Jours]])</f>
        <v>0</v>
      </c>
      <c r="E55" s="71" t="n">
        <f aca="false">SUMIFS(Horodateur11233538192231343743464952555861646985222634384650585462667074788290989410210611411811012212613013413814214615015415816216617017417818218619019419820220621021441014[Durée (100)],Horodateur11233538192231343743464952555861646985222634384650585462667074788290989410210611411811012212613013413814214615015415816216617017417818218619019419820220621021441014[Tâche],Taches_Jours1224363917202932354144475053565962678320243236444856526064687276808896921001041121161081201241281321361401441481521561601641681721761801841881921962002042082122612[[#Headers],[PS]],Horodateur11233538192231343743464952555861646985222634384650585462667074788290989410210611411811012212613013413814214615015415816216617017417818218619019419820220621021441014[Jour],Taches_Jours1224363917202932354144475053565962678320243236444856526064687276808896921001041121161081201241281321361401441481521561601641681721761801841881921962002042082122612[[#This Row],[Jours]])</f>
        <v>0</v>
      </c>
      <c r="F55" s="71" t="n">
        <f aca="false">SUMIFS(Horodateur11233538192231343743464952555861646985222634384650585462667074788290989410210611411811012212613013413814214615015415816216617017417818218619019419820220621021441014[Durée (100)],Horodateur11233538192231343743464952555861646985222634384650585462667074788290989410210611411811012212613013413814214615015415816216617017417818218619019419820220621021441014[Tâche],Taches_Jours1224363917202932354144475053565962678320243236444856526064687276808896921001041121161081201241281321361401441481521561601641681721761801841881921962002042082122612[[#Headers],[TD]],Horodateur11233538192231343743464952555861646985222634384650585462667074788290989410210611411811012212613013413814214615015415816216617017417818218619019419820220621021441014[Jour],Taches_Jours1224363917202932354144475053565962678320243236444856526064687276808896921001041121161081201241281321361401441481521561601641681721761801841881921962002042082122612[[#This Row],[Jours]])</f>
        <v>0</v>
      </c>
      <c r="G55" s="71" t="n">
        <f aca="false">SUMIFS(Horodateur11233538192231343743464952555861646985222634384650585462667074788290989410210611411811012212613013413814214615015415816216617017417818218619019419820220621021441014[Durée (100)],Horodateur11233538192231343743464952555861646985222634384650585462667074788290989410210611411811012212613013413814214615015415816216617017417818218619019419820220621021441014[Tâche],Taches_Jours1224363917202932354144475053565962678320243236444856526064687276808896921001041121161081201241281321361401441481521561601641681721761801841881921962002042082122612[[#Headers],[GP]],Horodateur11233538192231343743464952555861646985222634384650585462667074788290989410210611411811012212613013413814214615015415816216617017417818218619019419820220621021441014[Jour],Taches_Jours1224363917202932354144475053565962678320243236444856526064687276808896921001041121161081201241281321361401441481521561601641681721761801841881921962002042082122612[[#This Row],[Jours]])</f>
        <v>0.999999999999999</v>
      </c>
      <c r="H55" s="71" t="n">
        <f aca="false">SUMIFS(Horodateur11233538192231343743464952555861646985222634384650585462667074788290989410210611411811012212613013413814214615015415816216617017417818218619019419820220621021441014[Durée (100)],Horodateur11233538192231343743464952555861646985222634384650585462667074788290989410210611411811012212613013413814214615015415816216617017417818218619019419820220621021441014[Tâche],Taches_Jours1224363917202932354144475053565962678320243236444856526064687276808896921001041121161081201241281321361401441481521561601641681721761801841881921962002042082122612[[#Headers],[GP / SP]],Horodateur11233538192231343743464952555861646985222634384650585462667074788290989410210611411811012212613013413814214615015415816216617017417818218619019419820220621021441014[Jour],Taches_Jours1224363917202932354144475053565962678320243236444856526064687276808896921001041121161081201241281321361401441481521561601641681721761801841881921962002042082122612[[#This Row],[Jours]])</f>
        <v>0.5</v>
      </c>
      <c r="I55" s="71" t="n">
        <f aca="false">SUMIFS(Horodateur11233538192231343743464952555861646985222634384650585462667074788290989410210611411811012212613013413814214615015415816216617017417818218619019419820220621021441014[Durée (100)],Horodateur11233538192231343743464952555861646985222634384650585462667074788290989410210611411811012212613013413814214615015415816216617017417818218619019419820220621021441014[Tâche],Taches_Jours1224363917202932354144475053565962678320243236444856526064687276808896921001041121161081201241281321361401441481521561601641681721761801841881921962002042082122612[[#Headers],[GP / SP]],Horodateur11233538192231343743464952555861646985222634384650585462667074788290989410210611411811012212613013413814214615015415816216617017417818218619019419820220621021441014[Jour],Taches_Jours1224363917202932354144475053565962678320243236444856526064687276808896921001041121161081201241281321361401441481521561601641681721761801841881921962002042082122612[[#This Row],[Jours]])</f>
        <v>0.5</v>
      </c>
      <c r="J55" s="290" t="n">
        <f aca="false">SUM(Taches_Jours1224363917202932354144475053565962678320243236444856526064687276808896921001041121161081201241281321361401441481521561601641681721761801841881921962002042082122612[[#This Row],[GB]:[GP / SP]])</f>
        <v>2</v>
      </c>
      <c r="K55" s="188"/>
      <c r="L55" s="288"/>
      <c r="M55" s="289"/>
      <c r="N55" s="187"/>
      <c r="O55" s="1"/>
      <c r="P55" s="1"/>
      <c r="Q55" s="1"/>
      <c r="R55" s="1"/>
      <c r="S55" s="1"/>
      <c r="T55" s="71"/>
      <c r="U55" s="71"/>
      <c r="V55" s="71"/>
      <c r="W55" s="71"/>
      <c r="X55" s="71"/>
      <c r="Y55" s="71"/>
      <c r="Z55" s="71"/>
      <c r="AA55" s="71"/>
      <c r="AB55" s="71"/>
      <c r="AC55" s="71"/>
      <c r="AD55" s="71"/>
      <c r="AE55" s="71"/>
      <c r="AF55" s="71"/>
    </row>
    <row r="56" customFormat="false" ht="15" hidden="true" customHeight="false" outlineLevel="1" collapsed="false">
      <c r="A56" s="187" t="s">
        <v>341</v>
      </c>
      <c r="B56" s="71" t="n">
        <f aca="false">SUMIFS(Horodateur11233538192231343743464952555861646985222634384650585462667074788290989410210611411811012212613013413814214615015415816216617017417818218619019419820220621021441014[Durée (100)],Horodateur11233538192231343743464952555861646985222634384650585462667074788290989410210611411811012212613013413814214615015415816216617017417818218619019419820220621021441014[Tâche],Taches_Jours1224363917202932354144475053565962678320243236444856526064687276808896921001041121161081201241281321361401441481521561601641681721761801841881921962002042082122612[[#Headers],[GB]],Horodateur11233538192231343743464952555861646985222634384650585462667074788290989410210611411811012212613013413814214615015415816216617017417818218619019419820220621021441014[Jour],Taches_Jours1224363917202932354144475053565962678320243236444856526064687276808896921001041121161081201241281321361401441481521561601641681721761801841881921962002042082122612[[#This Row],[Jours]])</f>
        <v>0</v>
      </c>
      <c r="C56" s="71" t="n">
        <f aca="false">SUMIFS(Horodateur11233538192231343743464952555861646985222634384650585462667074788290989410210611411811012212613013413814214615015415816216617017417818218619019419820220621021441014[Durée (100)],Horodateur11233538192231343743464952555861646985222634384650585462667074788290989410210611411811012212613013413814214615015415816216617017417818218619019419820220621021441014[Tâche],Taches_Jours1224363917202932354144475053565962678320243236444856526064687276808896921001041121161081201241281321361401441481521561601641681721761801841881921962002042082122612[[#Headers],[RI]],Horodateur11233538192231343743464952555861646985222634384650585462667074788290989410210611411811012212613013413814214615015415816216617017417818218619019419820220621021441014[Jour],Taches_Jours1224363917202932354144475053565962678320243236444856526064687276808896921001041121161081201241281321361401441481521561601641681721761801841881921962002042082122612[[#This Row],[Jours]])</f>
        <v>0</v>
      </c>
      <c r="D56" s="71" t="n">
        <f aca="false">SUMIFS(Horodateur11233538192231343743464952555861646985222634384650585462667074788290989410210611411811012212613013413814214615015415816216617017417818218619019419820220621021441014[Durée (100)],Horodateur11233538192231343743464952555861646985222634384650585462667074788290989410210611411811012212613013413814214615015415816216617017417818218619019419820220621021441014[Tâche],Taches_Jours1224363917202932354144475053565962678320243236444856526064687276808896921001041121161081201241281321361401441481521561601641681721761801841881921962002042082122612[[#Headers],[FG]],Horodateur11233538192231343743464952555861646985222634384650585462667074788290989410210611411811012212613013413814214615015415816216617017417818218619019419820220621021441014[Jour],Taches_Jours1224363917202932354144475053565962678320243236444856526064687276808896921001041121161081201241281321361401441481521561601641681721761801841881921962002042082122612[[#This Row],[Jours]])</f>
        <v>0</v>
      </c>
      <c r="E56" s="71" t="n">
        <f aca="false">SUMIFS(Horodateur11233538192231343743464952555861646985222634384650585462667074788290989410210611411811012212613013413814214615015415816216617017417818218619019419820220621021441014[Durée (100)],Horodateur11233538192231343743464952555861646985222634384650585462667074788290989410210611411811012212613013413814214615015415816216617017417818218619019419820220621021441014[Tâche],Taches_Jours1224363917202932354144475053565962678320243236444856526064687276808896921001041121161081201241281321361401441481521561601641681721761801841881921962002042082122612[[#Headers],[PS]],Horodateur11233538192231343743464952555861646985222634384650585462667074788290989410210611411811012212613013413814214615015415816216617017417818218619019419820220621021441014[Jour],Taches_Jours1224363917202932354144475053565962678320243236444856526064687276808896921001041121161081201241281321361401441481521561601641681721761801841881921962002042082122612[[#This Row],[Jours]])</f>
        <v>0</v>
      </c>
      <c r="F56" s="71" t="n">
        <f aca="false">SUMIFS(Horodateur11233538192231343743464952555861646985222634384650585462667074788290989410210611411811012212613013413814214615015415816216617017417818218619019419820220621021441014[Durée (100)],Horodateur11233538192231343743464952555861646985222634384650585462667074788290989410210611411811012212613013413814214615015415816216617017417818218619019419820220621021441014[Tâche],Taches_Jours1224363917202932354144475053565962678320243236444856526064687276808896921001041121161081201241281321361401441481521561601641681721761801841881921962002042082122612[[#Headers],[TD]],Horodateur11233538192231343743464952555861646985222634384650585462667074788290989410210611411811012212613013413814214615015415816216617017417818218619019419820220621021441014[Jour],Taches_Jours1224363917202932354144475053565962678320243236444856526064687276808896921001041121161081201241281321361401441481521561601641681721761801841881921962002042082122612[[#This Row],[Jours]])</f>
        <v>0</v>
      </c>
      <c r="G56" s="71" t="n">
        <f aca="false">SUMIFS(Horodateur11233538192231343743464952555861646985222634384650585462667074788290989410210611411811012212613013413814214615015415816216617017417818218619019419820220621021441014[Durée (100)],Horodateur11233538192231343743464952555861646985222634384650585462667074788290989410210611411811012212613013413814214615015415816216617017417818218619019419820220621021441014[Tâche],Taches_Jours1224363917202932354144475053565962678320243236444856526064687276808896921001041121161081201241281321361401441481521561601641681721761801841881921962002042082122612[[#Headers],[GP]],Horodateur11233538192231343743464952555861646985222634384650585462667074788290989410210611411811012212613013413814214615015415816216617017417818218619019419820220621021441014[Jour],Taches_Jours1224363917202932354144475053565962678320243236444856526064687276808896921001041121161081201241281321361401441481521561601641681721761801841881921962002042082122612[[#This Row],[Jours]])</f>
        <v>0</v>
      </c>
      <c r="H56" s="71" t="n">
        <f aca="false">SUMIFS(Horodateur11233538192231343743464952555861646985222634384650585462667074788290989410210611411811012212613013413814214615015415816216617017417818218619019419820220621021441014[Durée (100)],Horodateur11233538192231343743464952555861646985222634384650585462667074788290989410210611411811012212613013413814214615015415816216617017417818218619019419820220621021441014[Tâche],Taches_Jours1224363917202932354144475053565962678320243236444856526064687276808896921001041121161081201241281321361401441481521561601641681721761801841881921962002042082122612[[#Headers],[GP / SP]],Horodateur11233538192231343743464952555861646985222634384650585462667074788290989410210611411811012212613013413814214615015415816216617017417818218619019419820220621021441014[Jour],Taches_Jours1224363917202932354144475053565962678320243236444856526064687276808896921001041121161081201241281321361401441481521561601641681721761801841881921962002042082122612[[#This Row],[Jours]])</f>
        <v>0</v>
      </c>
      <c r="I56" s="290" t="n">
        <f aca="false">SUMIFS(Horodateur11233538192231343743464952555861646985222634384650585462667074788290989410210611411811012212613013413814214615015415816216617017417818218619019419820220621021441014[Durée (100)],Horodateur11233538192231343743464952555861646985222634384650585462667074788290989410210611411811012212613013413814214615015415816216617017417818218619019419820220621021441014[Tâche],Taches_Jours1224363917202932354144475053565962678320243236444856526064687276808896921001041121161081201241281321361401441481521561601641681721761801841881921962002042082122612[[#Headers],[GP / SP]],Horodateur11233538192231343743464952555861646985222634384650585462667074788290989410210611411811012212613013413814214615015415816216617017417818218619019419820220621021441014[Jour],Taches_Jours1224363917202932354144475053565962678320243236444856526064687276808896921001041121161081201241281321361401441481521561601641681721761801841881921962002042082122612[[#This Row],[Jours]])</f>
        <v>0</v>
      </c>
      <c r="J56" s="71" t="n">
        <f aca="false">SUM(Taches_Jours1224363917202932354144475053565962678320243236444856526064687276808896921001041121161081201241281321361401441481521561601641681721761801841881921962002042082122612[[#This Row],[GB]:[GP / SP]])</f>
        <v>0</v>
      </c>
      <c r="K56" s="188"/>
      <c r="L56" s="288"/>
      <c r="M56" s="289"/>
      <c r="N56" s="187"/>
      <c r="O56" s="1"/>
      <c r="P56" s="1"/>
      <c r="Q56" s="1"/>
      <c r="R56" s="1"/>
      <c r="S56" s="1"/>
      <c r="T56" s="71"/>
      <c r="U56" s="71"/>
      <c r="V56" s="71"/>
      <c r="W56" s="71"/>
      <c r="X56" s="71"/>
      <c r="Y56" s="71"/>
      <c r="Z56" s="71"/>
      <c r="AA56" s="71"/>
      <c r="AB56" s="71"/>
      <c r="AC56" s="71"/>
      <c r="AD56" s="71"/>
      <c r="AE56" s="71"/>
      <c r="AF56" s="71"/>
    </row>
    <row r="57" customFormat="false" ht="15" hidden="true" customHeight="false" outlineLevel="1" collapsed="false">
      <c r="A57" s="187" t="s">
        <v>381</v>
      </c>
      <c r="B57" s="71" t="n">
        <f aca="false">SUMIFS(Horodateur11233538192231343743464952555861646985222634384650585462667074788290989410210611411811012212613013413814214615015415816216617017417818218619019419820220621021441014[Durée (100)],Horodateur11233538192231343743464952555861646985222634384650585462667074788290989410210611411811012212613013413814214615015415816216617017417818218619019419820220621021441014[Tâche],Taches_Jours1224363917202932354144475053565962678320243236444856526064687276808896921001041121161081201241281321361401441481521561601641681721761801841881921962002042082122612[[#Headers],[GB]],Horodateur11233538192231343743464952555861646985222634384650585462667074788290989410210611411811012212613013413814214615015415816216617017417818218619019419820220621021441014[Jour],Taches_Jours1224363917202932354144475053565962678320243236444856526064687276808896921001041121161081201241281321361401441481521561601641681721761801841881921962002042082122612[[#This Row],[Jours]])</f>
        <v>0</v>
      </c>
      <c r="C57" s="71" t="n">
        <f aca="false">SUMIFS(Horodateur11233538192231343743464952555861646985222634384650585462667074788290989410210611411811012212613013413814214615015415816216617017417818218619019419820220621021441014[Durée (100)],Horodateur11233538192231343743464952555861646985222634384650585462667074788290989410210611411811012212613013413814214615015415816216617017417818218619019419820220621021441014[Tâche],Taches_Jours1224363917202932354144475053565962678320243236444856526064687276808896921001041121161081201241281321361401441481521561601641681721761801841881921962002042082122612[[#Headers],[RI]],Horodateur11233538192231343743464952555861646985222634384650585462667074788290989410210611411811012212613013413814214615015415816216617017417818218619019419820220621021441014[Jour],Taches_Jours1224363917202932354144475053565962678320243236444856526064687276808896921001041121161081201241281321361401441481521561601641681721761801841881921962002042082122612[[#This Row],[Jours]])</f>
        <v>0</v>
      </c>
      <c r="D57" s="71" t="n">
        <f aca="false">SUMIFS(Horodateur11233538192231343743464952555861646985222634384650585462667074788290989410210611411811012212613013413814214615015415816216617017417818218619019419820220621021441014[Durée (100)],Horodateur11233538192231343743464952555861646985222634384650585462667074788290989410210611411811012212613013413814214615015415816216617017417818218619019419820220621021441014[Tâche],Taches_Jours1224363917202932354144475053565962678320243236444856526064687276808896921001041121161081201241281321361401441481521561601641681721761801841881921962002042082122612[[#Headers],[FG]],Horodateur11233538192231343743464952555861646985222634384650585462667074788290989410210611411811012212613013413814214615015415816216617017417818218619019419820220621021441014[Jour],Taches_Jours1224363917202932354144475053565962678320243236444856526064687276808896921001041121161081201241281321361401441481521561601641681721761801841881921962002042082122612[[#This Row],[Jours]])</f>
        <v>0</v>
      </c>
      <c r="E57" s="71" t="n">
        <f aca="false">SUMIFS(Horodateur11233538192231343743464952555861646985222634384650585462667074788290989410210611411811012212613013413814214615015415816216617017417818218619019419820220621021441014[Durée (100)],Horodateur11233538192231343743464952555861646985222634384650585462667074788290989410210611411811012212613013413814214615015415816216617017417818218619019419820220621021441014[Tâche],Taches_Jours1224363917202932354144475053565962678320243236444856526064687276808896921001041121161081201241281321361401441481521561601641681721761801841881921962002042082122612[[#Headers],[PS]],Horodateur11233538192231343743464952555861646985222634384650585462667074788290989410210611411811012212613013413814214615015415816216617017417818218619019419820220621021441014[Jour],Taches_Jours1224363917202932354144475053565962678320243236444856526064687276808896921001041121161081201241281321361401441481521561601641681721761801841881921962002042082122612[[#This Row],[Jours]])</f>
        <v>0</v>
      </c>
      <c r="F57" s="71" t="n">
        <f aca="false">SUMIFS(Horodateur11233538192231343743464952555861646985222634384650585462667074788290989410210611411811012212613013413814214615015415816216617017417818218619019419820220621021441014[Durée (100)],Horodateur11233538192231343743464952555861646985222634384650585462667074788290989410210611411811012212613013413814214615015415816216617017417818218619019419820220621021441014[Tâche],Taches_Jours1224363917202932354144475053565962678320243236444856526064687276808896921001041121161081201241281321361401441481521561601641681721761801841881921962002042082122612[[#Headers],[TD]],Horodateur11233538192231343743464952555861646985222634384650585462667074788290989410210611411811012212613013413814214615015415816216617017417818218619019419820220621021441014[Jour],Taches_Jours1224363917202932354144475053565962678320243236444856526064687276808896921001041121161081201241281321361401441481521561601641681721761801841881921962002042082122612[[#This Row],[Jours]])</f>
        <v>0</v>
      </c>
      <c r="G57" s="71" t="n">
        <f aca="false">SUMIFS(Horodateur11233538192231343743464952555861646985222634384650585462667074788290989410210611411811012212613013413814214615015415816216617017417818218619019419820220621021441014[Durée (100)],Horodateur11233538192231343743464952555861646985222634384650585462667074788290989410210611411811012212613013413814214615015415816216617017417818218619019419820220621021441014[Tâche],Taches_Jours1224363917202932354144475053565962678320243236444856526064687276808896921001041121161081201241281321361401441481521561601641681721761801841881921962002042082122612[[#Headers],[GP]],Horodateur11233538192231343743464952555861646985222634384650585462667074788290989410210611411811012212613013413814214615015415816216617017417818218619019419820220621021441014[Jour],Taches_Jours1224363917202932354144475053565962678320243236444856526064687276808896921001041121161081201241281321361401441481521561601641681721761801841881921962002042082122612[[#This Row],[Jours]])</f>
        <v>0</v>
      </c>
      <c r="H57" s="71" t="n">
        <f aca="false">SUMIFS(Horodateur11233538192231343743464952555861646985222634384650585462667074788290989410210611411811012212613013413814214615015415816216617017417818218619019419820220621021441014[Durée (100)],Horodateur11233538192231343743464952555861646985222634384650585462667074788290989410210611411811012212613013413814214615015415816216617017417818218619019419820220621021441014[Tâche],Taches_Jours1224363917202932354144475053565962678320243236444856526064687276808896921001041121161081201241281321361401441481521561601641681721761801841881921962002042082122612[[#Headers],[GP / SP]],Horodateur11233538192231343743464952555861646985222634384650585462667074788290989410210611411811012212613013413814214615015415816216617017417818218619019419820220621021441014[Jour],Taches_Jours1224363917202932354144475053565962678320243236444856526064687276808896921001041121161081201241281321361401441481521561601641681721761801841881921962002042082122612[[#This Row],[Jours]])</f>
        <v>0</v>
      </c>
      <c r="I57" s="290" t="n">
        <f aca="false">SUMIFS(Horodateur11233538192231343743464952555861646985222634384650585462667074788290989410210611411811012212613013413814214615015415816216617017417818218619019419820220621021441014[Durée (100)],Horodateur11233538192231343743464952555861646985222634384650585462667074788290989410210611411811012212613013413814214615015415816216617017417818218619019419820220621021441014[Tâche],Taches_Jours1224363917202932354144475053565962678320243236444856526064687276808896921001041121161081201241281321361401441481521561601641681721761801841881921962002042082122612[[#Headers],[GP / SP]],Horodateur11233538192231343743464952555861646985222634384650585462667074788290989410210611411811012212613013413814214615015415816216617017417818218619019419820220621021441014[Jour],Taches_Jours1224363917202932354144475053565962678320243236444856526064687276808896921001041121161081201241281321361401441481521561601641681721761801841881921962002042082122612[[#This Row],[Jours]])</f>
        <v>0</v>
      </c>
      <c r="J57" s="71" t="n">
        <f aca="false">SUM(Taches_Jours1224363917202932354144475053565962678320243236444856526064687276808896921001041121161081201241281321361401441481521561601641681721761801841881921962002042082122612[[#This Row],[GB]:[GP / SP]])</f>
        <v>0</v>
      </c>
      <c r="K57" s="188"/>
      <c r="L57" s="288"/>
      <c r="M57" s="289"/>
      <c r="N57" s="187"/>
      <c r="O57" s="1"/>
      <c r="P57" s="1"/>
      <c r="Q57" s="1"/>
      <c r="R57" s="1"/>
      <c r="S57" s="1"/>
      <c r="T57" s="71"/>
      <c r="U57" s="71"/>
      <c r="V57" s="71"/>
      <c r="W57" s="71"/>
      <c r="X57" s="71"/>
      <c r="Y57" s="71"/>
      <c r="Z57" s="71"/>
      <c r="AA57" s="71"/>
      <c r="AB57" s="71"/>
      <c r="AC57" s="71"/>
      <c r="AD57" s="71"/>
      <c r="AE57" s="71"/>
      <c r="AF57" s="71"/>
    </row>
    <row r="58" customFormat="false" ht="15" hidden="true" customHeight="false" outlineLevel="1" collapsed="false">
      <c r="A58" s="137"/>
      <c r="B58" s="187"/>
      <c r="C58" s="71"/>
      <c r="D58" s="1"/>
      <c r="E58" s="1"/>
      <c r="F58" s="71"/>
      <c r="G58" s="1"/>
      <c r="H58" s="1"/>
      <c r="I58" s="119"/>
      <c r="J58" s="271"/>
      <c r="K58" s="1"/>
      <c r="L58" s="188"/>
      <c r="M58" s="272"/>
      <c r="N58" s="187"/>
      <c r="O58" s="1"/>
      <c r="P58" s="1"/>
      <c r="Q58" s="1"/>
      <c r="R58" s="1"/>
      <c r="S58" s="1"/>
      <c r="T58" s="1"/>
      <c r="U58" s="71"/>
      <c r="V58" s="71"/>
      <c r="W58" s="71"/>
      <c r="X58" s="71"/>
      <c r="Y58" s="71"/>
      <c r="Z58" s="71"/>
      <c r="AA58" s="71"/>
      <c r="AB58" s="71"/>
      <c r="AC58" s="71"/>
      <c r="AD58" s="71"/>
      <c r="AE58" s="71"/>
      <c r="AF58" s="71"/>
      <c r="AG58" s="71"/>
    </row>
    <row r="59" customFormat="false" ht="15" hidden="true" customHeight="false" outlineLevel="1" collapsed="false">
      <c r="A59" s="291" t="s">
        <v>85</v>
      </c>
      <c r="B59" s="292" t="s">
        <v>312</v>
      </c>
      <c r="C59" s="292" t="s">
        <v>319</v>
      </c>
      <c r="D59" s="292" t="s">
        <v>324</v>
      </c>
      <c r="E59" s="292" t="s">
        <v>332</v>
      </c>
      <c r="F59" s="293" t="s">
        <v>335</v>
      </c>
      <c r="G59" s="292" t="s">
        <v>341</v>
      </c>
      <c r="H59" s="292" t="s">
        <v>381</v>
      </c>
      <c r="I59" s="294" t="s">
        <v>58</v>
      </c>
      <c r="J59" s="271"/>
      <c r="K59" s="1"/>
      <c r="L59" s="188"/>
      <c r="M59" s="272"/>
      <c r="N59" s="187"/>
      <c r="O59" s="1"/>
      <c r="P59" s="1"/>
      <c r="Q59" s="1"/>
      <c r="R59" s="1"/>
      <c r="S59" s="1"/>
      <c r="T59" s="1"/>
      <c r="U59" s="71"/>
      <c r="V59" s="71"/>
      <c r="W59" s="71"/>
      <c r="X59" s="71"/>
      <c r="Y59" s="71"/>
      <c r="Z59" s="71"/>
      <c r="AA59" s="71"/>
      <c r="AB59" s="71"/>
      <c r="AC59" s="71"/>
      <c r="AD59" s="71"/>
      <c r="AE59" s="71"/>
      <c r="AF59" s="71"/>
      <c r="AG59" s="71"/>
    </row>
    <row r="60" customFormat="false" ht="15" hidden="true" customHeight="false" outlineLevel="1" collapsed="false">
      <c r="A60" s="137" t="s">
        <v>21</v>
      </c>
      <c r="B60" s="187" t="n">
        <f aca="false">SUMIFS(Horodateur11233538192231343743464952555861646985222634384650585462667074788290989410210611411811012212613013413814214615015415816216617017417818218619019419820220621021441014[Durée (100)],Horodateur11233538192231343743464952555861646985222634384650585462667074788290989410210611411811012212613013413814214615015415816216617017417818218619019419820220621021441014[Jour],$B$59,Horodateur11233538192231343743464952555861646985222634384650585462667074788290989410210611411811012212613013413814214615015415816216617017417818218619019419820220621021441014[Tâche],$A60)</f>
        <v>0.75</v>
      </c>
      <c r="C60" s="187" t="n">
        <f aca="false">SUMIFS(Horodateur11233538192231343743464952555861646985222634384650585462667074788290989410210611411811012212613013413814214615015415816216617017417818218619019419820220621021441014[Durée (100)],Horodateur11233538192231343743464952555861646985222634384650585462667074788290989410210611411811012212613013413814214615015415816216617017417818218619019419820220621021441014[Jour],$C$59,Horodateur11233538192231343743464952555861646985222634384650585462667074788290989410210611411811012212613013413814214615015415816216617017417818218619019419820220621021441014[Tâche],$A60)</f>
        <v>0.75</v>
      </c>
      <c r="D60" s="187" t="n">
        <f aca="false">SUMIFS(Horodateur11233538192231343743464952555861646985222634384650585462667074788290989410210611411811012212613013413814214615015415816216617017417818218619019419820220621021441014[Durée (100)],Horodateur11233538192231343743464952555861646985222634384650585462667074788290989410210611411811012212613013413814214615015415816216617017417818218619019419820220621021441014[Jour],$D$59,Horodateur11233538192231343743464952555861646985222634384650585462667074788290989410210611411811012212613013413814214615015415816216617017417818218619019419820220621021441014[Tâche],$A60)</f>
        <v>1</v>
      </c>
      <c r="E60" s="187" t="n">
        <f aca="false">SUMIFS(Horodateur11233538192231343743464952555861646985222634384650585462667074788290989410210611411811012212613013413814214615015415816216617017417818218619019419820220621021441014[Durée (100)],Horodateur11233538192231343743464952555861646985222634384650585462667074788290989410210611411811012212613013413814214615015415816216617017417818218619019419820220621021441014[Jour],$E$59,Horodateur11233538192231343743464952555861646985222634384650585462667074788290989410210611411811012212613013413814214615015415816216617017417818218619019419820220621021441014[Tâche],$A60)</f>
        <v>0.5</v>
      </c>
      <c r="F60" s="71" t="n">
        <f aca="false">SUMIFS(Horodateur11233538192231343743464952555861646985222634384650585462667074788290989410210611411811012212613013413814214615015415816216617017417818218619019419820220621021441014[Durée (100)],Horodateur11233538192231343743464952555861646985222634384650585462667074788290989410210611411811012212613013413814214615015415816216617017417818218619019419820220621021441014[Jour],$F$59,Horodateur11233538192231343743464952555861646985222634384650585462667074788290989410210611411811012212613013413814214615015415816216617017417818218619019419820220621021441014[Tâche],$A60)</f>
        <v>0.5</v>
      </c>
      <c r="G60" s="187" t="n">
        <f aca="false">SUMIFS(Horodateur11233538192231343743464952555861646985222634384650585462667074788290989410210611411811012212613013413814214615015415816216617017417818218619019419820220621021441014[Durée (100)],Horodateur11233538192231343743464952555861646985222634384650585462667074788290989410210611411811012212613013413814214615015415816216617017417818218619019419820220621021441014[Jour],$G$59,Horodateur11233538192231343743464952555861646985222634384650585462667074788290989410210611411811012212613013413814214615015415816216617017417818218619019419820220621021441014[Tâche],$A60)</f>
        <v>0</v>
      </c>
      <c r="H60" s="187" t="n">
        <f aca="false">SUMIFS(Horodateur11233538192231343743464952555861646985222634384650585462667074788290989410210611411811012212613013413814214615015415816216617017417818218619019419820220621021441014[Durée (100)],Horodateur11233538192231343743464952555861646985222634384650585462667074788290989410210611411811012212613013413814214615015415816216617017417818218619019419820220621021441014[Jour],$H$59,Horodateur11233538192231343743464952555861646985222634384650585462667074788290989410210611411811012212613013413814214615015415816216617017417818218619019419820220621021441014[Tâche],$A60)</f>
        <v>0</v>
      </c>
      <c r="I60" s="295" t="n">
        <f aca="false">SUM(Taches_Jour21325374018213033364245485154576063688421253337454957536165697377818997931011051131171091211251291331371411451491531571611651691731771811851891931972012052092133913[[#This Row],[1- Lundi]:[7- Dimanche]])</f>
        <v>3.5</v>
      </c>
      <c r="J60" s="271"/>
      <c r="K60" s="1"/>
      <c r="L60" s="188"/>
      <c r="M60" s="272"/>
      <c r="N60" s="187"/>
      <c r="O60" s="1"/>
      <c r="P60" s="1"/>
      <c r="Q60" s="1"/>
      <c r="R60" s="1"/>
      <c r="S60" s="1"/>
      <c r="T60" s="1"/>
      <c r="U60" s="71"/>
      <c r="V60" s="71"/>
      <c r="W60" s="71"/>
      <c r="X60" s="71"/>
      <c r="Y60" s="71"/>
      <c r="Z60" s="71"/>
      <c r="AA60" s="71"/>
      <c r="AB60" s="71"/>
      <c r="AC60" s="71"/>
      <c r="AD60" s="71"/>
      <c r="AE60" s="71"/>
      <c r="AF60" s="71"/>
      <c r="AG60" s="71"/>
    </row>
    <row r="61" customFormat="false" ht="15" hidden="true" customHeight="false" outlineLevel="1" collapsed="false">
      <c r="A61" s="137" t="s">
        <v>20</v>
      </c>
      <c r="B61" s="187" t="n">
        <f aca="false">SUMIFS(Horodateur11233538192231343743464952555861646985222634384650585462667074788290989410210611411811012212613013413814214615015415816216617017417818218619019419820220621021441014[Durée (100)],Horodateur11233538192231343743464952555861646985222634384650585462667074788290989410210611411811012212613013413814214615015415816216617017417818218619019419820220621021441014[Jour],$B$59,Horodateur11233538192231343743464952555861646985222634384650585462667074788290989410210611411811012212613013413814214615015415816216617017417818218619019419820220621021441014[Tâche],$A61)</f>
        <v>0.5</v>
      </c>
      <c r="C61" s="187" t="n">
        <f aca="false">SUMIFS(Horodateur11233538192231343743464952555861646985222634384650585462667074788290989410210611411811012212613013413814214615015415816216617017417818218619019419820220621021441014[Durée (100)],Horodateur11233538192231343743464952555861646985222634384650585462667074788290989410210611411811012212613013413814214615015415816216617017417818218619019419820220621021441014[Jour],$C$59,Horodateur11233538192231343743464952555861646985222634384650585462667074788290989410210611411811012212613013413814214615015415816216617017417818218619019419820220621021441014[Tâche],$A61)</f>
        <v>0</v>
      </c>
      <c r="D61" s="187" t="n">
        <f aca="false">SUMIFS(Horodateur11233538192231343743464952555861646985222634384650585462667074788290989410210611411811012212613013413814214615015415816216617017417818218619019419820220621021441014[Durée (100)],Horodateur11233538192231343743464952555861646985222634384650585462667074788290989410210611411811012212613013413814214615015415816216617017417818218619019419820220621021441014[Jour],$D$59,Horodateur11233538192231343743464952555861646985222634384650585462667074788290989410210611411811012212613013413814214615015415816216617017417818218619019419820220621021441014[Tâche],$A61)</f>
        <v>0</v>
      </c>
      <c r="E61" s="187" t="n">
        <f aca="false">SUMIFS(Horodateur11233538192231343743464952555861646985222634384650585462667074788290989410210611411811012212613013413814214615015415816216617017417818218619019419820220621021441014[Durée (100)],Horodateur11233538192231343743464952555861646985222634384650585462667074788290989410210611411811012212613013413814214615015415816216617017417818218619019419820220621021441014[Jour],$E$59,Horodateur11233538192231343743464952555861646985222634384650585462667074788290989410210611411811012212613013413814214615015415816216617017417818218619019419820220621021441014[Tâche],$A61)</f>
        <v>0</v>
      </c>
      <c r="F61" s="71" t="n">
        <f aca="false">SUMIFS(Horodateur11233538192231343743464952555861646985222634384650585462667074788290989410210611411811012212613013413814214615015415816216617017417818218619019419820220621021441014[Durée (100)],Horodateur11233538192231343743464952555861646985222634384650585462667074788290989410210611411811012212613013413814214615015415816216617017417818218619019419820220621021441014[Jour],$F$59,Horodateur11233538192231343743464952555861646985222634384650585462667074788290989410210611411811012212613013413814214615015415816216617017417818218619019419820220621021441014[Tâche],$A61)</f>
        <v>0</v>
      </c>
      <c r="G61" s="187" t="n">
        <f aca="false">SUMIFS(Horodateur11233538192231343743464952555861646985222634384650585462667074788290989410210611411811012212613013413814214615015415816216617017417818218619019419820220621021441014[Durée (100)],Horodateur11233538192231343743464952555861646985222634384650585462667074788290989410210611411811012212613013413814214615015415816216617017417818218619019419820220621021441014[Jour],$G$59,Horodateur11233538192231343743464952555861646985222634384650585462667074788290989410210611411811012212613013413814214615015415816216617017417818218619019419820220621021441014[Tâche],$A61)</f>
        <v>0</v>
      </c>
      <c r="H61" s="187" t="n">
        <f aca="false">SUMIFS(Horodateur11233538192231343743464952555861646985222634384650585462667074788290989410210611411811012212613013413814214615015415816216617017417818218619019419820220621021441014[Durée (100)],Horodateur11233538192231343743464952555861646985222634384650585462667074788290989410210611411811012212613013413814214615015415816216617017417818218619019419820220621021441014[Jour],$H$59,Horodateur11233538192231343743464952555861646985222634384650585462667074788290989410210611411811012212613013413814214615015415816216617017417818218619019419820220621021441014[Tâche],$A61)</f>
        <v>0</v>
      </c>
      <c r="I61" s="295" t="n">
        <f aca="false">SUM(Taches_Jour21325374018213033364245485154576063688421253337454957536165697377818997931011051131171091211251291331371411451491531571611651691731771811851891931972012052092133913[[#This Row],[1- Lundi]:[7- Dimanche]])</f>
        <v>0.5</v>
      </c>
      <c r="J61" s="271"/>
      <c r="K61" s="1"/>
      <c r="L61" s="188"/>
      <c r="M61" s="272"/>
      <c r="N61" s="187"/>
      <c r="O61" s="1"/>
      <c r="P61" s="1"/>
      <c r="Q61" s="1"/>
      <c r="R61" s="1"/>
      <c r="S61" s="1"/>
      <c r="T61" s="1"/>
      <c r="U61" s="71"/>
      <c r="V61" s="71"/>
      <c r="W61" s="71"/>
      <c r="X61" s="71"/>
      <c r="Y61" s="71"/>
      <c r="Z61" s="71"/>
      <c r="AA61" s="71"/>
      <c r="AB61" s="71"/>
      <c r="AC61" s="71"/>
      <c r="AD61" s="71"/>
      <c r="AE61" s="71"/>
      <c r="AF61" s="71"/>
      <c r="AG61" s="71"/>
    </row>
    <row r="62" customFormat="false" ht="15" hidden="true" customHeight="false" outlineLevel="1" collapsed="false">
      <c r="A62" s="137" t="s">
        <v>23</v>
      </c>
      <c r="B62" s="187" t="n">
        <f aca="false">SUMIFS(Horodateur11233538192231343743464952555861646985222634384650585462667074788290989410210611411811012212613013413814214615015415816216617017417818218619019419820220621021441014[Durée (100)],Horodateur11233538192231343743464952555861646985222634384650585462667074788290989410210611411811012212613013413814214615015415816216617017417818218619019419820220621021441014[Jour],$B$59,Horodateur11233538192231343743464952555861646985222634384650585462667074788290989410210611411811012212613013413814214615015415816216617017417818218619019419820220621021441014[Tâche],$A62)</f>
        <v>0.999999999999999</v>
      </c>
      <c r="C62" s="187" t="n">
        <f aca="false">SUMIFS(Horodateur11233538192231343743464952555861646985222634384650585462667074788290989410210611411811012212613013413814214615015415816216617017417818218619019419820220621021441014[Durée (100)],Horodateur11233538192231343743464952555861646985222634384650585462667074788290989410210611411811012212613013413814214615015415816216617017417818218619019419820220621021441014[Jour],$C$59,Horodateur11233538192231343743464952555861646985222634384650585462667074788290989410210611411811012212613013413814214615015415816216617017417818218619019419820220621021441014[Tâche],$A62)</f>
        <v>2.5</v>
      </c>
      <c r="D62" s="187" t="n">
        <f aca="false">SUMIFS(Horodateur11233538192231343743464952555861646985222634384650585462667074788290989410210611411811012212613013413814214615015415816216617017417818218619019419820220621021441014[Durée (100)],Horodateur11233538192231343743464952555861646985222634384650585462667074788290989410210611411811012212613013413814214615015415816216617017417818218619019419820220621021441014[Jour],$D$59,Horodateur11233538192231343743464952555861646985222634384650585462667074788290989410210611411811012212613013413814214615015415816216617017417818218619019419820220621021441014[Tâche],$A62)</f>
        <v>0.5</v>
      </c>
      <c r="E62" s="187" t="n">
        <f aca="false">SUMIFS(Horodateur11233538192231343743464952555861646985222634384650585462667074788290989410210611411811012212613013413814214615015415816216617017417818218619019419820220621021441014[Durée (100)],Horodateur11233538192231343743464952555861646985222634384650585462667074788290989410210611411811012212613013413814214615015415816216617017417818218619019419820220621021441014[Jour],$E$59,Horodateur11233538192231343743464952555861646985222634384650585462667074788290989410210611411811012212613013413814214615015415816216617017417818218619019419820220621021441014[Tâche],$A62)</f>
        <v>0</v>
      </c>
      <c r="F62" s="71" t="n">
        <f aca="false">SUMIFS(Horodateur11233538192231343743464952555861646985222634384650585462667074788290989410210611411811012212613013413814214615015415816216617017417818218619019419820220621021441014[Durée (100)],Horodateur11233538192231343743464952555861646985222634384650585462667074788290989410210611411811012212613013413814214615015415816216617017417818218619019419820220621021441014[Jour],$F$59,Horodateur11233538192231343743464952555861646985222634384650585462667074788290989410210611411811012212613013413814214615015415816216617017417818218619019419820220621021441014[Tâche],$A62)</f>
        <v>0</v>
      </c>
      <c r="G62" s="187" t="n">
        <f aca="false">SUMIFS(Horodateur11233538192231343743464952555861646985222634384650585462667074788290989410210611411811012212613013413814214615015415816216617017417818218619019419820220621021441014[Durée (100)],Horodateur11233538192231343743464952555861646985222634384650585462667074788290989410210611411811012212613013413814214615015415816216617017417818218619019419820220621021441014[Jour],$G$59,Horodateur11233538192231343743464952555861646985222634384650585462667074788290989410210611411811012212613013413814214615015415816216617017417818218619019419820220621021441014[Tâche],$A62)</f>
        <v>0</v>
      </c>
      <c r="H62" s="187" t="n">
        <f aca="false">SUMIFS(Horodateur11233538192231343743464952555861646985222634384650585462667074788290989410210611411811012212613013413814214615015415816216617017417818218619019419820220621021441014[Durée (100)],Horodateur11233538192231343743464952555861646985222634384650585462667074788290989410210611411811012212613013413814214615015415816216617017417818218619019419820220621021441014[Jour],$H$59,Horodateur11233538192231343743464952555861646985222634384650585462667074788290989410210611411811012212613013413814214615015415816216617017417818218619019419820220621021441014[Tâche],$A62)</f>
        <v>0</v>
      </c>
      <c r="I62" s="295" t="n">
        <f aca="false">SUM(Taches_Jour21325374018213033364245485154576063688421253337454957536165697377818997931011051131171091211251291331371411451491531571611651691731771811851891931972012052092133913[[#This Row],[1- Lundi]:[7- Dimanche]])</f>
        <v>4</v>
      </c>
      <c r="J62" s="271"/>
      <c r="K62" s="1"/>
      <c r="L62" s="188"/>
      <c r="M62" s="272"/>
      <c r="N62" s="187"/>
      <c r="O62" s="1"/>
      <c r="P62" s="1"/>
      <c r="Q62" s="1"/>
      <c r="R62" s="1"/>
      <c r="S62" s="1"/>
      <c r="T62" s="1"/>
      <c r="U62" s="71"/>
      <c r="V62" s="71"/>
      <c r="W62" s="71"/>
      <c r="X62" s="71"/>
      <c r="Y62" s="71"/>
      <c r="Z62" s="71"/>
      <c r="AA62" s="71"/>
      <c r="AB62" s="71"/>
      <c r="AC62" s="71"/>
      <c r="AD62" s="71"/>
      <c r="AE62" s="71"/>
      <c r="AF62" s="71"/>
      <c r="AG62" s="71"/>
    </row>
    <row r="63" customFormat="false" ht="15" hidden="true" customHeight="false" outlineLevel="1" collapsed="false">
      <c r="A63" s="137" t="s">
        <v>25</v>
      </c>
      <c r="B63" s="187" t="n">
        <f aca="false">SUMIFS(Horodateur11233538192231343743464952555861646985222634384650585462667074788290989410210611411811012212613013413814214615015415816216617017417818218619019419820220621021441014[Durée (100)],Horodateur11233538192231343743464952555861646985222634384650585462667074788290989410210611411811012212613013413814214615015415816216617017417818218619019419820220621021441014[Jour],$B$59,Horodateur11233538192231343743464952555861646985222634384650585462667074788290989410210611411811012212613013413814214615015415816216617017417818218619019419820220621021441014[Tâche],$A63)</f>
        <v>0</v>
      </c>
      <c r="C63" s="187" t="n">
        <f aca="false">SUMIFS(Horodateur11233538192231343743464952555861646985222634384650585462667074788290989410210611411811012212613013413814214615015415816216617017417818218619019419820220621021441014[Durée (100)],Horodateur11233538192231343743464952555861646985222634384650585462667074788290989410210611411811012212613013413814214615015415816216617017417818218619019419820220621021441014[Jour],$C$59,Horodateur11233538192231343743464952555861646985222634384650585462667074788290989410210611411811012212613013413814214615015415816216617017417818218619019419820220621021441014[Tâche],$A63)</f>
        <v>0</v>
      </c>
      <c r="D63" s="187" t="n">
        <f aca="false">SUMIFS(Horodateur11233538192231343743464952555861646985222634384650585462667074788290989410210611411811012212613013413814214615015415816216617017417818218619019419820220621021441014[Durée (100)],Horodateur11233538192231343743464952555861646985222634384650585462667074788290989410210611411811012212613013413814214615015415816216617017417818218619019419820220621021441014[Jour],$D$59,Horodateur11233538192231343743464952555861646985222634384650585462667074788290989410210611411811012212613013413814214615015415816216617017417818218619019419820220621021441014[Tâche],$A63)</f>
        <v>0</v>
      </c>
      <c r="E63" s="187" t="n">
        <f aca="false">SUMIFS(Horodateur11233538192231343743464952555861646985222634384650585462667074788290989410210611411811012212613013413814214615015415816216617017417818218619019419820220621021441014[Durée (100)],Horodateur11233538192231343743464952555861646985222634384650585462667074788290989410210611411811012212613013413814214615015415816216617017417818218619019419820220621021441014[Jour],$E$59,Horodateur11233538192231343743464952555861646985222634384650585462667074788290989410210611411811012212613013413814214615015415816216617017417818218619019419820220621021441014[Tâche],$A63)</f>
        <v>0</v>
      </c>
      <c r="F63" s="71" t="n">
        <f aca="false">SUMIFS(Horodateur11233538192231343743464952555861646985222634384650585462667074788290989410210611411811012212613013413814214615015415816216617017417818218619019419820220621021441014[Durée (100)],Horodateur11233538192231343743464952555861646985222634384650585462667074788290989410210611411811012212613013413814214615015415816216617017417818218619019419820220621021441014[Jour],$F$59,Horodateur11233538192231343743464952555861646985222634384650585462667074788290989410210611411811012212613013413814214615015415816216617017417818218619019419820220621021441014[Tâche],$A63)</f>
        <v>0</v>
      </c>
      <c r="G63" s="187" t="n">
        <f aca="false">SUMIFS(Horodateur11233538192231343743464952555861646985222634384650585462667074788290989410210611411811012212613013413814214615015415816216617017417818218619019419820220621021441014[Durée (100)],Horodateur11233538192231343743464952555861646985222634384650585462667074788290989410210611411811012212613013413814214615015415816216617017417818218619019419820220621021441014[Jour],$G$59,Horodateur11233538192231343743464952555861646985222634384650585462667074788290989410210611411811012212613013413814214615015415816216617017417818218619019419820220621021441014[Tâche],$A63)</f>
        <v>0</v>
      </c>
      <c r="H63" s="187" t="n">
        <f aca="false">SUMIFS(Horodateur11233538192231343743464952555861646985222634384650585462667074788290989410210611411811012212613013413814214615015415816216617017417818218619019419820220621021441014[Durée (100)],Horodateur11233538192231343743464952555861646985222634384650585462667074788290989410210611411811012212613013413814214615015415816216617017417818218619019419820220621021441014[Jour],$H$59,Horodateur11233538192231343743464952555861646985222634384650585462667074788290989410210611411811012212613013413814214615015415816216617017417818218619019419820220621021441014[Tâche],$A63)</f>
        <v>0</v>
      </c>
      <c r="I63" s="295" t="n">
        <f aca="false">SUM(Taches_Jour21325374018213033364245485154576063688421253337454957536165697377818997931011051131171091211251291331371411451491531571611651691731771811851891931972012052092133913[[#This Row],[1- Lundi]:[7- Dimanche]])</f>
        <v>0</v>
      </c>
      <c r="J63" s="271"/>
      <c r="K63" s="1"/>
      <c r="L63" s="188"/>
      <c r="M63" s="272"/>
      <c r="N63" s="187"/>
      <c r="O63" s="1"/>
      <c r="P63" s="1"/>
      <c r="Q63" s="1"/>
      <c r="R63" s="1"/>
      <c r="S63" s="1"/>
      <c r="T63" s="1"/>
      <c r="U63" s="71"/>
      <c r="V63" s="71"/>
      <c r="W63" s="71"/>
      <c r="X63" s="71"/>
      <c r="Y63" s="71"/>
      <c r="Z63" s="71"/>
      <c r="AA63" s="71"/>
      <c r="AB63" s="71"/>
      <c r="AC63" s="71"/>
      <c r="AD63" s="71"/>
      <c r="AE63" s="71"/>
      <c r="AF63" s="71"/>
      <c r="AG63" s="71"/>
    </row>
    <row r="64" customFormat="false" ht="15" hidden="true" customHeight="false" outlineLevel="1" collapsed="false">
      <c r="A64" s="137" t="s">
        <v>26</v>
      </c>
      <c r="B64" s="187" t="n">
        <f aca="false">SUMIFS(Horodateur11233538192231343743464952555861646985222634384650585462667074788290989410210611411811012212613013413814214615015415816216617017417818218619019419820220621021441014[Durée (100)],Horodateur11233538192231343743464952555861646985222634384650585462667074788290989410210611411811012212613013413814214615015415816216617017417818218619019419820220621021441014[Jour],$B$59,Horodateur11233538192231343743464952555861646985222634384650585462667074788290989410210611411811012212613013413814214615015415816216617017417818218619019419820220621021441014[Tâche],$A64)</f>
        <v>0</v>
      </c>
      <c r="C64" s="187" t="n">
        <f aca="false">SUMIFS(Horodateur11233538192231343743464952555861646985222634384650585462667074788290989410210611411811012212613013413814214615015415816216617017417818218619019419820220621021441014[Durée (100)],Horodateur11233538192231343743464952555861646985222634384650585462667074788290989410210611411811012212613013413814214615015415816216617017417818218619019419820220621021441014[Jour],$C$59,Horodateur11233538192231343743464952555861646985222634384650585462667074788290989410210611411811012212613013413814214615015415816216617017417818218619019419820220621021441014[Tâche],$A64)</f>
        <v>0</v>
      </c>
      <c r="D64" s="187" t="n">
        <f aca="false">SUMIFS(Horodateur11233538192231343743464952555861646985222634384650585462667074788290989410210611411811012212613013413814214615015415816216617017417818218619019419820220621021441014[Durée (100)],Horodateur11233538192231343743464952555861646985222634384650585462667074788290989410210611411811012212613013413814214615015415816216617017417818218619019419820220621021441014[Jour],$D$59,Horodateur11233538192231343743464952555861646985222634384650585462667074788290989410210611411811012212613013413814214615015415816216617017417818218619019419820220621021441014[Tâche],$A64)</f>
        <v>0</v>
      </c>
      <c r="E64" s="187" t="n">
        <f aca="false">SUMIFS(Horodateur11233538192231343743464952555861646985222634384650585462667074788290989410210611411811012212613013413814214615015415816216617017417818218619019419820220621021441014[Durée (100)],Horodateur11233538192231343743464952555861646985222634384650585462667074788290989410210611411811012212613013413814214615015415816216617017417818218619019419820220621021441014[Jour],$E$59,Horodateur11233538192231343743464952555861646985222634384650585462667074788290989410210611411811012212613013413814214615015415816216617017417818218619019419820220621021441014[Tâche],$A64)</f>
        <v>0</v>
      </c>
      <c r="F64" s="71" t="n">
        <f aca="false">SUMIFS(Horodateur11233538192231343743464952555861646985222634384650585462667074788290989410210611411811012212613013413814214615015415816216617017417818218619019419820220621021441014[Durée (100)],Horodateur11233538192231343743464952555861646985222634384650585462667074788290989410210611411811012212613013413814214615015415816216617017417818218619019419820220621021441014[Jour],$F$59,Horodateur11233538192231343743464952555861646985222634384650585462667074788290989410210611411811012212613013413814214615015415816216617017417818218619019419820220621021441014[Tâche],$A64)</f>
        <v>0</v>
      </c>
      <c r="G64" s="187" t="n">
        <f aca="false">SUMIFS(Horodateur11233538192231343743464952555861646985222634384650585462667074788290989410210611411811012212613013413814214615015415816216617017417818218619019419820220621021441014[Durée (100)],Horodateur11233538192231343743464952555861646985222634384650585462667074788290989410210611411811012212613013413814214615015415816216617017417818218619019419820220621021441014[Jour],$G$59,Horodateur11233538192231343743464952555861646985222634384650585462667074788290989410210611411811012212613013413814214615015415816216617017417818218619019419820220621021441014[Tâche],$A64)</f>
        <v>0</v>
      </c>
      <c r="H64" s="187" t="n">
        <f aca="false">SUMIFS(Horodateur11233538192231343743464952555861646985222634384650585462667074788290989410210611411811012212613013413814214615015415816216617017417818218619019419820220621021441014[Durée (100)],Horodateur11233538192231343743464952555861646985222634384650585462667074788290989410210611411811012212613013413814214615015415816216617017417818218619019419820220621021441014[Jour],$H$59,Horodateur11233538192231343743464952555861646985222634384650585462667074788290989410210611411811012212613013413814214615015415816216617017417818218619019419820220621021441014[Tâche],$A64)</f>
        <v>0</v>
      </c>
      <c r="I64" s="295" t="n">
        <f aca="false">SUM(Taches_Jour21325374018213033364245485154576063688421253337454957536165697377818997931011051131171091211251291331371411451491531571611651691731771811851891931972012052092133913[[#This Row],[1- Lundi]:[7- Dimanche]])</f>
        <v>0</v>
      </c>
      <c r="J64" s="271"/>
      <c r="K64" s="1"/>
      <c r="L64" s="188"/>
      <c r="M64" s="272"/>
      <c r="N64" s="187"/>
      <c r="O64" s="1"/>
      <c r="P64" s="1"/>
      <c r="Q64" s="1"/>
      <c r="R64" s="1"/>
      <c r="S64" s="1"/>
      <c r="T64" s="1"/>
      <c r="U64" s="71"/>
      <c r="V64" s="71"/>
      <c r="W64" s="71"/>
      <c r="X64" s="71"/>
      <c r="Y64" s="71"/>
      <c r="Z64" s="71"/>
      <c r="AA64" s="71"/>
      <c r="AB64" s="71"/>
      <c r="AC64" s="71"/>
      <c r="AD64" s="71"/>
      <c r="AE64" s="71"/>
      <c r="AF64" s="71"/>
      <c r="AG64" s="71"/>
    </row>
    <row r="65" customFormat="false" ht="15" hidden="true" customHeight="false" outlineLevel="1" collapsed="false">
      <c r="A65" s="137" t="s">
        <v>378</v>
      </c>
      <c r="B65" s="187" t="n">
        <f aca="false">SUMIFS(Horodateur11233538192231343743464952555861646985222634384650585462667074788290989410210611411811012212613013413814214615015415816216617017417818218619019419820220621021441014[Durée (100)],Horodateur11233538192231343743464952555861646985222634384650585462667074788290989410210611411811012212613013413814214615015415816216617017417818218619019419820220621021441014[Jour],$B$59,Horodateur11233538192231343743464952555861646985222634384650585462667074788290989410210611411811012212613013413814214615015415816216617017417818218619019419820220621021441014[Tâche],$A65)</f>
        <v>3.5</v>
      </c>
      <c r="C65" s="187" t="n">
        <f aca="false">SUMIFS(Horodateur11233538192231343743464952555861646985222634384650585462667074788290989410210611411811012212613013413814214615015415816216617017417818218619019419820220621021441014[Durée (100)],Horodateur11233538192231343743464952555861646985222634384650585462667074788290989410210611411811012212613013413814214615015415816216617017417818218619019419820220621021441014[Jour],$C$59,Horodateur11233538192231343743464952555861646985222634384650585462667074788290989410210611411811012212613013413814214615015415816216617017417818218619019419820220621021441014[Tâche],$A65)</f>
        <v>2.75</v>
      </c>
      <c r="D65" s="187" t="n">
        <f aca="false">SUMIFS(Horodateur11233538192231343743464952555861646985222634384650585462667074788290989410210611411811012212613013413814214615015415816216617017417818218619019419820220621021441014[Durée (100)],Horodateur11233538192231343743464952555861646985222634384650585462667074788290989410210611411811012212613013413814214615015415816216617017417818218619019419820220621021441014[Jour],$D$59,Horodateur11233538192231343743464952555861646985222634384650585462667074788290989410210611411811012212613013413814214615015415816216617017417818218619019419820220621021441014[Tâche],$A65)</f>
        <v>5.75</v>
      </c>
      <c r="E65" s="187" t="n">
        <f aca="false">SUMIFS(Horodateur11233538192231343743464952555861646985222634384650585462667074788290989410210611411811012212613013413814214615015415816216617017417818218619019419820220621021441014[Durée (100)],Horodateur11233538192231343743464952555861646985222634384650585462667074788290989410210611411811012212613013413814214615015415816216617017417818218619019419820220621021441014[Jour],$E$59,Horodateur11233538192231343743464952555861646985222634384650585462667074788290989410210611411811012212613013413814214615015415816216617017417818218619019419820220621021441014[Tâche],$A65)</f>
        <v>4.5</v>
      </c>
      <c r="F65" s="71" t="n">
        <f aca="false">SUMIFS(Horodateur11233538192231343743464952555861646985222634384650585462667074788290989410210611411811012212613013413814214615015415816216617017417818218619019419820220621021441014[Durée (100)],Horodateur11233538192231343743464952555861646985222634384650585462667074788290989410210611411811012212613013413814214615015415816216617017417818218619019419820220621021441014[Jour],$F$59,Horodateur11233538192231343743464952555861646985222634384650585462667074788290989410210611411811012212613013413814214615015415816216617017417818218619019419820220621021441014[Tâche],$A65)</f>
        <v>0.999999999999999</v>
      </c>
      <c r="G65" s="187" t="n">
        <f aca="false">SUMIFS(Horodateur11233538192231343743464952555861646985222634384650585462667074788290989410210611411811012212613013413814214615015415816216617017417818218619019419820220621021441014[Durée (100)],Horodateur11233538192231343743464952555861646985222634384650585462667074788290989410210611411811012212613013413814214615015415816216617017417818218619019419820220621021441014[Jour],$G$59,Horodateur11233538192231343743464952555861646985222634384650585462667074788290989410210611411811012212613013413814214615015415816216617017417818218619019419820220621021441014[Tâche],$A65)</f>
        <v>0</v>
      </c>
      <c r="H65" s="187" t="n">
        <f aca="false">SUMIFS(Horodateur11233538192231343743464952555861646985222634384650585462667074788290989410210611411811012212613013413814214615015415816216617017417818218619019419820220621021441014[Durée (100)],Horodateur11233538192231343743464952555861646985222634384650585462667074788290989410210611411811012212613013413814214615015415816216617017417818218619019419820220621021441014[Jour],$H$59,Horodateur11233538192231343743464952555861646985222634384650585462667074788290989410210611411811012212613013413814214615015415816216617017417818218619019419820220621021441014[Tâche],$A65)</f>
        <v>0</v>
      </c>
      <c r="I65" s="295" t="n">
        <f aca="false">SUM(Taches_Jour21325374018213033364245485154576063688421253337454957536165697377818997931011051131171091211251291331371411451491531571611651691731771811851891931972012052092133913[[#This Row],[1- Lundi]:[7- Dimanche]])</f>
        <v>17.5</v>
      </c>
      <c r="J65" s="271"/>
      <c r="K65" s="1"/>
      <c r="L65" s="188"/>
      <c r="M65" s="272"/>
      <c r="N65" s="187"/>
      <c r="O65" s="1"/>
      <c r="P65" s="1"/>
      <c r="Q65" s="1"/>
      <c r="R65" s="1"/>
      <c r="S65" s="1"/>
      <c r="T65" s="1"/>
      <c r="U65" s="71"/>
      <c r="V65" s="71"/>
      <c r="W65" s="71"/>
      <c r="X65" s="71"/>
      <c r="Y65" s="71"/>
      <c r="Z65" s="71"/>
      <c r="AA65" s="71"/>
      <c r="AB65" s="71"/>
      <c r="AC65" s="71"/>
      <c r="AD65" s="71"/>
      <c r="AE65" s="71"/>
      <c r="AF65" s="71"/>
      <c r="AG65" s="71"/>
    </row>
    <row r="66" customFormat="false" ht="15" hidden="true" customHeight="false" outlineLevel="1" collapsed="false">
      <c r="A66" s="137" t="s">
        <v>382</v>
      </c>
      <c r="B66" s="187" t="n">
        <f aca="false">SUMIFS(Horodateur11233538192231343743464952555861646985222634384650585462667074788290989410210611411811012212613013413814214615015415816216617017417818218619019419820220621021441014[Durée (100)],Horodateur11233538192231343743464952555861646985222634384650585462667074788290989410210611411811012212613013413814214615015415816216617017417818218619019419820220621021441014[Jour],$B$59,Horodateur11233538192231343743464952555861646985222634384650585462667074788290989410210611411811012212613013413814214615015415816216617017417818218619019419820220621021441014[Tâche],$A66)</f>
        <v>0</v>
      </c>
      <c r="C66" s="187" t="n">
        <f aca="false">SUMIFS(Horodateur11233538192231343743464952555861646985222634384650585462667074788290989410210611411811012212613013413814214615015415816216617017417818218619019419820220621021441014[Durée (100)],Horodateur11233538192231343743464952555861646985222634384650585462667074788290989410210611411811012212613013413814214615015415816216617017417818218619019419820220621021441014[Jour],$C$59,Horodateur11233538192231343743464952555861646985222634384650585462667074788290989410210611411811012212613013413814214615015415816216617017417818218619019419820220621021441014[Tâche],$A66)</f>
        <v>0</v>
      </c>
      <c r="D66" s="187" t="n">
        <f aca="false">SUMIFS(Horodateur11233538192231343743464952555861646985222634384650585462667074788290989410210611411811012212613013413814214615015415816216617017417818218619019419820220621021441014[Durée (100)],Horodateur11233538192231343743464952555861646985222634384650585462667074788290989410210611411811012212613013413814214615015415816216617017417818218619019419820220621021441014[Jour],$D$59,Horodateur11233538192231343743464952555861646985222634384650585462667074788290989410210611411811012212613013413814214615015415816216617017417818218619019419820220621021441014[Tâche],$A66)</f>
        <v>0</v>
      </c>
      <c r="E66" s="187" t="n">
        <f aca="false">SUMIFS(Horodateur11233538192231343743464952555861646985222634384650585462667074788290989410210611411811012212613013413814214615015415816216617017417818218619019419820220621021441014[Durée (100)],Horodateur11233538192231343743464952555861646985222634384650585462667074788290989410210611411811012212613013413814214615015415816216617017417818218619019419820220621021441014[Jour],$E$59,Horodateur11233538192231343743464952555861646985222634384650585462667074788290989410210611411811012212613013413814214615015415816216617017417818218619019419820220621021441014[Tâche],$A66)</f>
        <v>0</v>
      </c>
      <c r="F66" s="71" t="n">
        <f aca="false">SUMIFS(Horodateur11233538192231343743464952555861646985222634384650585462667074788290989410210611411811012212613013413814214615015415816216617017417818218619019419820220621021441014[Durée (100)],Horodateur11233538192231343743464952555861646985222634384650585462667074788290989410210611411811012212613013413814214615015415816216617017417818218619019419820220621021441014[Jour],$F$59,Horodateur11233538192231343743464952555861646985222634384650585462667074788290989410210611411811012212613013413814214615015415816216617017417818218619019419820220621021441014[Tâche],$A66)</f>
        <v>0</v>
      </c>
      <c r="G66" s="187" t="n">
        <f aca="false">SUMIFS(Horodateur11233538192231343743464952555861646985222634384650585462667074788290989410210611411811012212613013413814214615015415816216617017417818218619019419820220621021441014[Durée (100)],Horodateur11233538192231343743464952555861646985222634384650585462667074788290989410210611411811012212613013413814214615015415816216617017417818218619019419820220621021441014[Jour],$G$59,Horodateur11233538192231343743464952555861646985222634384650585462667074788290989410210611411811012212613013413814214615015415816216617017417818218619019419820220621021441014[Tâche],$A66)</f>
        <v>0</v>
      </c>
      <c r="H66" s="187" t="n">
        <f aca="false">SUMIFS(Horodateur11233538192231343743464952555861646985222634384650585462667074788290989410210611411811012212613013413814214615015415816216617017417818218619019419820220621021441014[Durée (100)],Horodateur11233538192231343743464952555861646985222634384650585462667074788290989410210611411811012212613013413814214615015415816216617017417818218619019419820220621021441014[Jour],$H$59,Horodateur11233538192231343743464952555861646985222634384650585462667074788290989410210611411811012212613013413814214615015415816216617017417818218619019419820220621021441014[Tâche],$A66)</f>
        <v>0</v>
      </c>
      <c r="I66" s="295" t="n">
        <f aca="false">SUM(Taches_Jour21325374018213033364245485154576063688421253337454957536165697377818997931011051131171091211251291331371411451491531571611651691731771811851891931972012052092133913[[#This Row],[1- Lundi]:[7- Dimanche]])</f>
        <v>0</v>
      </c>
      <c r="J66" s="271"/>
      <c r="K66" s="1"/>
      <c r="L66" s="188"/>
      <c r="M66" s="272"/>
      <c r="N66" s="187"/>
      <c r="O66" s="1"/>
      <c r="P66" s="1"/>
      <c r="Q66" s="1"/>
      <c r="R66" s="1"/>
      <c r="S66" s="1"/>
      <c r="T66" s="1"/>
      <c r="U66" s="71"/>
      <c r="V66" s="71"/>
      <c r="W66" s="71"/>
      <c r="X66" s="71"/>
      <c r="Y66" s="71"/>
      <c r="Z66" s="71"/>
      <c r="AA66" s="71"/>
      <c r="AB66" s="71"/>
      <c r="AC66" s="71"/>
      <c r="AD66" s="71"/>
      <c r="AE66" s="71"/>
      <c r="AF66" s="71"/>
      <c r="AG66" s="71"/>
    </row>
    <row r="67" customFormat="false" ht="15" hidden="true" customHeight="false" outlineLevel="1" collapsed="false">
      <c r="A67" s="137" t="s">
        <v>380</v>
      </c>
      <c r="B67" s="187" t="n">
        <f aca="false">SUMIFS(Horodateur11233538192231343743464952555861646985222634384650585462667074788290989410210611411811012212613013413814214615015415816216617017417818218619019419820220621021441014[Durée (100)],Horodateur11233538192231343743464952555861646985222634384650585462667074788290989410210611411811012212613013413814214615015415816216617017417818218619019419820220621021441014[Jour],$B$59,Horodateur11233538192231343743464952555861646985222634384650585462667074788290989410210611411811012212613013413814214615015415816216617017417818218619019419820220621021441014[Tâche],$A67)</f>
        <v>0</v>
      </c>
      <c r="C67" s="187" t="n">
        <f aca="false">SUMIFS(Horodateur11233538192231343743464952555861646985222634384650585462667074788290989410210611411811012212613013413814214615015415816216617017417818218619019419820220621021441014[Durée (100)],Horodateur11233538192231343743464952555861646985222634384650585462667074788290989410210611411811012212613013413814214615015415816216617017417818218619019419820220621021441014[Jour],$C$59,Horodateur11233538192231343743464952555861646985222634384650585462667074788290989410210611411811012212613013413814214615015415816216617017417818218619019419820220621021441014[Tâche],$A67)</f>
        <v>0</v>
      </c>
      <c r="D67" s="187" t="n">
        <f aca="false">SUMIFS(Horodateur11233538192231343743464952555861646985222634384650585462667074788290989410210611411811012212613013413814214615015415816216617017417818218619019419820220621021441014[Durée (100)],Horodateur11233538192231343743464952555861646985222634384650585462667074788290989410210611411811012212613013413814214615015415816216617017417818218619019419820220621021441014[Jour],$D$59,Horodateur11233538192231343743464952555861646985222634384650585462667074788290989410210611411811012212613013413814214615015415816216617017417818218619019419820220621021441014[Tâche],$A67)</f>
        <v>0</v>
      </c>
      <c r="E67" s="187" t="n">
        <f aca="false">SUMIFS(Horodateur11233538192231343743464952555861646985222634384650585462667074788290989410210611411811012212613013413814214615015415816216617017417818218619019419820220621021441014[Durée (100)],Horodateur11233538192231343743464952555861646985222634384650585462667074788290989410210611411811012212613013413814214615015415816216617017417818218619019419820220621021441014[Jour],$E$59,Horodateur11233538192231343743464952555861646985222634384650585462667074788290989410210611411811012212613013413814214615015415816216617017417818218619019419820220621021441014[Tâche],$A67)</f>
        <v>0</v>
      </c>
      <c r="F67" s="71" t="n">
        <f aca="false">SUMIFS(Horodateur11233538192231343743464952555861646985222634384650585462667074788290989410210611411811012212613013413814214615015415816216617017417818218619019419820220621021441014[Durée (100)],Horodateur11233538192231343743464952555861646985222634384650585462667074788290989410210611411811012212613013413814214615015415816216617017417818218619019419820220621021441014[Jour],$F$59,Horodateur11233538192231343743464952555861646985222634384650585462667074788290989410210611411811012212613013413814214615015415816216617017417818218619019419820220621021441014[Tâche],$A67)</f>
        <v>0</v>
      </c>
      <c r="G67" s="187" t="n">
        <f aca="false">SUMIFS(Horodateur11233538192231343743464952555861646985222634384650585462667074788290989410210611411811012212613013413814214615015415816216617017417818218619019419820220621021441014[Durée (100)],Horodateur11233538192231343743464952555861646985222634384650585462667074788290989410210611411811012212613013413814214615015415816216617017417818218619019419820220621021441014[Jour],$G$59,Horodateur11233538192231343743464952555861646985222634384650585462667074788290989410210611411811012212613013413814214615015415816216617017417818218619019419820220621021441014[Tâche],$A67)</f>
        <v>0</v>
      </c>
      <c r="H67" s="187" t="n">
        <f aca="false">SUMIFS(Horodateur11233538192231343743464952555861646985222634384650585462667074788290989410210611411811012212613013413814214615015415816216617017417818218619019419820220621021441014[Durée (100)],Horodateur11233538192231343743464952555861646985222634384650585462667074788290989410210611411811012212613013413814214615015415816216617017417818218619019419820220621021441014[Jour],$H$59,Horodateur11233538192231343743464952555861646985222634384650585462667074788290989410210611411811012212613013413814214615015415816216617017417818218619019419820220621021441014[Tâche],$A67)</f>
        <v>0</v>
      </c>
      <c r="I67" s="295" t="n">
        <f aca="false">SUM(Taches_Jour21325374018213033364245485154576063688421253337454957536165697377818997931011051131171091211251291331371411451491531571611651691731771811851891931972012052092133913[[#This Row],[1- Lundi]:[7- Dimanche]])</f>
        <v>0</v>
      </c>
      <c r="J67" s="271"/>
      <c r="K67" s="1"/>
      <c r="L67" s="188"/>
      <c r="M67" s="272"/>
      <c r="N67" s="76"/>
    </row>
    <row r="68" customFormat="false" ht="15" hidden="true" customHeight="false" outlineLevel="1" collapsed="false">
      <c r="N68" s="76"/>
    </row>
    <row r="69" customFormat="false" ht="15" hidden="false" customHeight="false" outlineLevel="1" collapsed="false">
      <c r="G69" s="0" t="s">
        <v>383</v>
      </c>
      <c r="N69" s="76"/>
    </row>
    <row r="70" customFormat="false" ht="15" hidden="false" customHeight="false" outlineLevel="0" collapsed="false">
      <c r="N70" s="76"/>
    </row>
    <row r="71" customFormat="false" ht="15" hidden="false" customHeight="false" outlineLevel="0" collapsed="false">
      <c r="G71" s="76"/>
      <c r="N71" s="76"/>
    </row>
    <row r="72" customFormat="false" ht="15" hidden="false" customHeight="false" outlineLevel="0" collapsed="false">
      <c r="N72" s="76"/>
    </row>
    <row r="73" customFormat="false" ht="15" hidden="false" customHeight="false" outlineLevel="0" collapsed="false">
      <c r="N73" s="76"/>
    </row>
    <row r="74" customFormat="false" ht="15" hidden="false" customHeight="false" outlineLevel="0" collapsed="false">
      <c r="N74" s="76"/>
    </row>
    <row r="75" customFormat="false" ht="15" hidden="false" customHeight="false" outlineLevel="0" collapsed="false">
      <c r="N75" s="76"/>
    </row>
    <row r="76" customFormat="false" ht="15" hidden="false" customHeight="false" outlineLevel="0" collapsed="false">
      <c r="N76" s="76"/>
    </row>
    <row r="77" customFormat="false" ht="15" hidden="false" customHeight="false" outlineLevel="0" collapsed="false">
      <c r="N77" s="76"/>
    </row>
    <row r="78" customFormat="false" ht="15" hidden="false" customHeight="false" outlineLevel="0" collapsed="false">
      <c r="N78" s="76"/>
    </row>
    <row r="79" customFormat="false" ht="15" hidden="false" customHeight="false" outlineLevel="0" collapsed="false">
      <c r="N79" s="76"/>
    </row>
    <row r="80" customFormat="false" ht="15" hidden="false" customHeight="false" outlineLevel="0" collapsed="false">
      <c r="N80" s="76"/>
    </row>
    <row r="81" customFormat="false" ht="15" hidden="false" customHeight="false" outlineLevel="0" collapsed="false">
      <c r="N81" s="76"/>
    </row>
    <row r="82" customFormat="false" ht="15" hidden="false" customHeight="false" outlineLevel="0" collapsed="false">
      <c r="N82" s="76"/>
    </row>
    <row r="83" customFormat="false" ht="15" hidden="false" customHeight="false" outlineLevel="0" collapsed="false">
      <c r="N83" s="76"/>
    </row>
    <row r="84" customFormat="false" ht="15" hidden="false" customHeight="false" outlineLevel="0" collapsed="false">
      <c r="N84" s="76"/>
    </row>
    <row r="85" customFormat="false" ht="15" hidden="false" customHeight="false" outlineLevel="0" collapsed="false">
      <c r="N85" s="76"/>
    </row>
    <row r="86" customFormat="false" ht="15" hidden="false" customHeight="false" outlineLevel="0" collapsed="false">
      <c r="N86" s="76"/>
    </row>
    <row r="87" customFormat="false" ht="15" hidden="false" customHeight="false" outlineLevel="0" collapsed="false">
      <c r="N87" s="76"/>
    </row>
    <row r="88" customFormat="false" ht="15" hidden="false" customHeight="false" outlineLevel="0" collapsed="false">
      <c r="N88" s="76"/>
    </row>
    <row r="89" customFormat="false" ht="15" hidden="false" customHeight="false" outlineLevel="0" collapsed="false">
      <c r="N89" s="76"/>
    </row>
    <row r="90" customFormat="false" ht="15" hidden="false" customHeight="false" outlineLevel="0" collapsed="false">
      <c r="N90" s="76"/>
    </row>
    <row r="91" customFormat="false" ht="15" hidden="false" customHeight="false" outlineLevel="0" collapsed="false">
      <c r="A91" s="296" t="s">
        <v>384</v>
      </c>
      <c r="B91" s="296"/>
      <c r="N91" s="76"/>
    </row>
    <row r="92" customFormat="false" ht="15" hidden="false" customHeight="false" outlineLevel="0" collapsed="false">
      <c r="A92" s="297" t="s">
        <v>385</v>
      </c>
      <c r="B92" s="297" t="s">
        <v>8</v>
      </c>
      <c r="N92" s="76"/>
    </row>
    <row r="93" customFormat="false" ht="15" hidden="false" customHeight="false" outlineLevel="0" collapsed="false">
      <c r="A93" s="298" t="n">
        <v>0</v>
      </c>
      <c r="B93" s="299" t="s">
        <v>386</v>
      </c>
      <c r="N93" s="76"/>
    </row>
    <row r="94" customFormat="false" ht="15" hidden="false" customHeight="false" outlineLevel="0" collapsed="false">
      <c r="A94" s="298" t="n">
        <v>-2</v>
      </c>
      <c r="B94" s="299" t="s">
        <v>387</v>
      </c>
      <c r="N94" s="76"/>
    </row>
    <row r="95" customFormat="false" ht="15" hidden="false" customHeight="false" outlineLevel="0" collapsed="false">
      <c r="A95" s="298" t="n">
        <v>8.5</v>
      </c>
      <c r="B95" s="299" t="s">
        <v>388</v>
      </c>
      <c r="N95" s="76"/>
    </row>
    <row r="96" customFormat="false" ht="15" hidden="false" customHeight="false" outlineLevel="0" collapsed="false">
      <c r="A96" s="298" t="n">
        <v>14.5</v>
      </c>
      <c r="B96" s="299" t="s">
        <v>389</v>
      </c>
      <c r="N96" s="76"/>
    </row>
    <row r="97" customFormat="false" ht="15" hidden="false" customHeight="false" outlineLevel="0" collapsed="false">
      <c r="A97" s="298" t="n">
        <v>8.5</v>
      </c>
      <c r="B97" s="299" t="s">
        <v>390</v>
      </c>
      <c r="N97" s="76"/>
    </row>
    <row r="98" customFormat="false" ht="15" hidden="false" customHeight="false" outlineLevel="0" collapsed="false">
      <c r="A98" s="298" t="n">
        <v>10</v>
      </c>
      <c r="B98" s="299" t="s">
        <v>391</v>
      </c>
      <c r="N98" s="76"/>
    </row>
    <row r="99" customFormat="false" ht="15" hidden="false" customHeight="false" outlineLevel="0" collapsed="false">
      <c r="A99" s="298" t="n">
        <v>-7.5</v>
      </c>
      <c r="B99" s="299" t="s">
        <v>392</v>
      </c>
      <c r="N99" s="76"/>
    </row>
    <row r="100" customFormat="false" ht="15" hidden="false" customHeight="false" outlineLevel="0" collapsed="false">
      <c r="A100" s="298" t="n">
        <v>2</v>
      </c>
      <c r="B100" s="299" t="s">
        <v>393</v>
      </c>
      <c r="N100" s="76"/>
    </row>
    <row r="101" customFormat="false" ht="15" hidden="false" customHeight="false" outlineLevel="0" collapsed="false">
      <c r="A101" s="300" t="n">
        <v>2</v>
      </c>
      <c r="B101" s="301" t="s">
        <v>394</v>
      </c>
      <c r="N101" s="76"/>
    </row>
    <row r="102" customFormat="false" ht="15" hidden="false" customHeight="false" outlineLevel="0" collapsed="false">
      <c r="A102" s="300" t="n">
        <v>2.25</v>
      </c>
      <c r="B102" s="301" t="s">
        <v>395</v>
      </c>
    </row>
    <row r="103" customFormat="false" ht="15" hidden="false" customHeight="false" outlineLevel="0" collapsed="false">
      <c r="A103" s="300" t="n">
        <v>-4</v>
      </c>
      <c r="B103" s="302" t="s">
        <v>396</v>
      </c>
    </row>
    <row r="104" customFormat="false" ht="15" hidden="false" customHeight="false" outlineLevel="0" collapsed="false">
      <c r="A104" s="300" t="n">
        <v>-7.5</v>
      </c>
      <c r="B104" s="301" t="s">
        <v>397</v>
      </c>
    </row>
  </sheetData>
  <mergeCells count="1">
    <mergeCell ref="A91:B91"/>
  </mergeCells>
  <conditionalFormatting sqref="G4:G43">
    <cfRule type="expression" priority="2" aboveAverage="0" equalAverage="0" bottom="0" percent="0" rank="0" text="" dxfId="912">
      <formula>L4="O"</formula>
    </cfRule>
    <cfRule type="expression" priority="3" aboveAverage="0" equalAverage="0" bottom="0" percent="0" rank="0" text="" dxfId="913">
      <formula>H4=0</formula>
    </cfRule>
  </conditionalFormatting>
  <conditionalFormatting sqref="F4:F43">
    <cfRule type="expression" priority="4" aboveAverage="0" equalAverage="0" bottom="0" percent="0" rank="0" text="" dxfId="914">
      <formula>L4="O"</formula>
    </cfRule>
  </conditionalFormatting>
  <conditionalFormatting sqref="E4:E43">
    <cfRule type="expression" priority="5" aboveAverage="0" equalAverage="0" bottom="0" percent="0" rank="0" text="" dxfId="915">
      <formula>L4="O"</formula>
    </cfRule>
  </conditionalFormatting>
  <conditionalFormatting sqref="C4:I43 K4:K43">
    <cfRule type="containsText" priority="6" operator="containsText" aboveAverage="0" equalAverage="0" bottom="0" percent="0" rank="0" text="Lundi" dxfId="693">
      <formula>NOT(ISERROR(SEARCH("Lundi",C4)))</formula>
    </cfRule>
  </conditionalFormatting>
  <conditionalFormatting sqref="D4:D43">
    <cfRule type="expression" priority="7" aboveAverage="0" equalAverage="0" bottom="0" percent="0" rank="0" text="" dxfId="916">
      <formula>L4="O"</formula>
    </cfRule>
  </conditionalFormatting>
  <conditionalFormatting sqref="C4:C43 D20:D22">
    <cfRule type="expression" priority="8" aboveAverage="0" equalAverage="0" bottom="0" percent="0" rank="0" text="" dxfId="917">
      <formula>L4="O"</formula>
    </cfRule>
  </conditionalFormatting>
  <conditionalFormatting sqref="K4:K43">
    <cfRule type="expression" priority="9" aboveAverage="0" equalAverage="0" bottom="0" percent="0" rank="0" text="" dxfId="918">
      <formula>L4="O"</formula>
    </cfRule>
  </conditionalFormatting>
  <conditionalFormatting sqref="I4:I43">
    <cfRule type="expression" priority="10" aboveAverage="0" equalAverage="0" bottom="0" percent="0" rank="0" text="" dxfId="919">
      <formula>L4="O"</formula>
    </cfRule>
  </conditionalFormatting>
  <conditionalFormatting sqref="H4:H43">
    <cfRule type="expression" priority="11" aboveAverage="0" equalAverage="0" bottom="0" percent="0" rank="0" text="" dxfId="920">
      <formula>L4="O"</formula>
    </cfRule>
  </conditionalFormatting>
  <conditionalFormatting sqref="F2:J2">
    <cfRule type="iconSet" priority="12">
      <iconSet iconSet="3TrafficLights1">
        <cfvo type="percent" val="0"/>
        <cfvo type="percent" val="33"/>
        <cfvo type="percent" val="67"/>
      </iconSet>
    </cfRule>
  </conditionalFormatting>
  <conditionalFormatting sqref="B4:B43">
    <cfRule type="containsText" priority="13" operator="containsText" aboveAverage="0" equalAverage="0" bottom="0" percent="0" rank="0" text="5" dxfId="921">
      <formula>NOT(ISERROR(SEARCH("5",B4)))</formula>
    </cfRule>
    <cfRule type="containsText" priority="14" operator="containsText" aboveAverage="0" equalAverage="0" bottom="0" percent="0" rank="0" text="4" dxfId="922">
      <formula>NOT(ISERROR(SEARCH("4",B4)))</formula>
    </cfRule>
    <cfRule type="containsText" priority="15" operator="containsText" aboveAverage="0" equalAverage="0" bottom="0" percent="0" rank="0" text="3" dxfId="923">
      <formula>NOT(ISERROR(SEARCH("3",B4)))</formula>
    </cfRule>
    <cfRule type="containsText" priority="16" operator="containsText" aboveAverage="0" equalAverage="0" bottom="0" percent="0" rank="0" text="2" dxfId="924">
      <formula>NOT(ISERROR(SEARCH("2",B4)))</formula>
    </cfRule>
    <cfRule type="containsText" priority="17" operator="containsText" aboveAverage="0" equalAverage="0" bottom="0" percent="0" rank="0" text="1" dxfId="925">
      <formula>NOT(ISERROR(SEARCH("1",B4)))</formula>
    </cfRule>
  </conditionalFormatting>
  <conditionalFormatting sqref="I60:I67">
    <cfRule type="dataBar" priority="18">
      <dataBar showValue="1" minLength="10" maxLength="90">
        <cfvo type="min" val="0"/>
        <cfvo type="max" val="0"/>
        <color rgb="FFFFB628"/>
      </dataBar>
      <extLst>
        <ext xmlns:x14="http://schemas.microsoft.com/office/spreadsheetml/2009/9/main" uri="{B025F937-C7B1-47D3-B67F-A62EFF666E3E}">
          <x14:id>{D239FD4A-A33E-4D53-AD1C-A0EA7114F050}</x14:id>
        </ext>
      </extLst>
    </cfRule>
  </conditionalFormatting>
  <conditionalFormatting sqref="I56:I57 J51:J55">
    <cfRule type="dataBar" priority="19">
      <dataBar showValue="1" minLength="10" maxLength="90">
        <cfvo type="min" val="0"/>
        <cfvo type="max" val="0"/>
        <color rgb="FFFFB628"/>
      </dataBar>
      <extLst>
        <ext xmlns:x14="http://schemas.microsoft.com/office/spreadsheetml/2009/9/main" uri="{B025F937-C7B1-47D3-B67F-A62EFF666E3E}">
          <x14:id>{956EEB2B-14E4-44A0-9B4A-C4B5623F40AD}</x14:id>
        </ext>
      </extLst>
    </cfRule>
  </conditionalFormatting>
  <conditionalFormatting sqref="U2:AG2">
    <cfRule type="dataBar" priority="20">
      <dataBar showValue="1" minLength="10" maxLength="90">
        <cfvo type="min" val="0"/>
        <cfvo type="max" val="0"/>
        <color rgb="FF63C384"/>
      </dataBar>
      <extLst>
        <ext xmlns:x14="http://schemas.microsoft.com/office/spreadsheetml/2009/9/main" uri="{B025F937-C7B1-47D3-B67F-A62EFF666E3E}">
          <x14:id>{24949DEE-B162-4D2E-B380-D070C57D2C87}</x14:id>
        </ext>
      </extLst>
    </cfRule>
  </conditionalFormatting>
  <conditionalFormatting sqref="N2:T2">
    <cfRule type="dataBar" priority="21">
      <dataBar showValue="1" minLength="10" maxLength="90">
        <cfvo type="min" val="0"/>
        <cfvo type="max" val="0"/>
        <color rgb="FFFFB628"/>
      </dataBar>
      <extLst>
        <ext xmlns:x14="http://schemas.microsoft.com/office/spreadsheetml/2009/9/main" uri="{B025F937-C7B1-47D3-B67F-A62EFF666E3E}">
          <x14:id>{267271A3-D751-4C24-AFAD-37AAF7A6F372}</x14:id>
        </ext>
      </extLst>
    </cfRule>
  </conditionalFormatting>
  <conditionalFormatting sqref="N2:AG2">
    <cfRule type="dataBar" priority="22">
      <dataBar showValue="1" minLength="10" maxLength="90">
        <cfvo type="min" val="0"/>
        <cfvo type="max" val="0"/>
        <color rgb="FFFFB628"/>
      </dataBar>
      <extLst>
        <ext xmlns:x14="http://schemas.microsoft.com/office/spreadsheetml/2009/9/main" uri="{B025F937-C7B1-47D3-B67F-A62EFF666E3E}">
          <x14:id>{70223500-E14D-40EF-BDFA-38E5E35B7D7B}</x14:id>
        </ext>
      </extLst>
    </cfRule>
  </conditionalFormatting>
  <conditionalFormatting sqref="N2:S2">
    <cfRule type="dataBar" priority="23">
      <dataBar showValue="1" minLength="10" maxLength="90">
        <cfvo type="min" val="0"/>
        <cfvo type="max" val="0"/>
        <color rgb="FF638EC6"/>
      </dataBar>
      <extLst>
        <ext xmlns:x14="http://schemas.microsoft.com/office/spreadsheetml/2009/9/main" uri="{B025F937-C7B1-47D3-B67F-A62EFF666E3E}">
          <x14:id>{953DE4EF-78C3-4EDE-A5EE-47384FE71C5B}</x14:id>
        </ext>
      </extLst>
    </cfRule>
  </conditionalFormatting>
  <conditionalFormatting sqref="T2">
    <cfRule type="dataBar" priority="24">
      <dataBar showValue="1" minLength="10" maxLength="90">
        <cfvo type="min" val="0"/>
        <cfvo type="max" val="0"/>
        <color rgb="FF63C384"/>
      </dataBar>
      <extLst>
        <ext xmlns:x14="http://schemas.microsoft.com/office/spreadsheetml/2009/9/main" uri="{B025F937-C7B1-47D3-B67F-A62EFF666E3E}">
          <x14:id>{D4105EAB-E850-46EE-A264-A3B640B13AB0}</x14:id>
        </ext>
      </extLst>
    </cfRule>
  </conditionalFormatting>
  <conditionalFormatting sqref="A4:A43">
    <cfRule type="colorScale" priority="25">
      <colorScale>
        <cfvo type="min" val="0"/>
        <cfvo type="percentile" val="50"/>
        <cfvo type="max" val="0"/>
        <color rgb="FFFFCC99"/>
        <color rgb="FFFFD966"/>
        <color rgb="FFFFF2CC"/>
      </colorScale>
    </cfRule>
  </conditionalFormatting>
  <conditionalFormatting sqref="J4:J43">
    <cfRule type="iconSet" priority="26">
      <iconSet iconSet="3TrafficLights1">
        <cfvo type="percent" val="0"/>
        <cfvo type="percent" val="33"/>
        <cfvo type="percent" val="67"/>
      </iconSet>
    </cfRule>
  </conditionalFormatting>
  <dataValidations count="4">
    <dataValidation allowBlank="true" errorStyle="stop" operator="between" showDropDown="false" showErrorMessage="true" showInputMessage="true" sqref="B1" type="list">
      <formula1>Data!$A$2:$A$106</formula1>
      <formula2>0</formula2>
    </dataValidation>
    <dataValidation allowBlank="true" errorStyle="information" errorTitle="OK ?" operator="between" showDropDown="false" showErrorMessage="true" showInputMessage="true" sqref="F4:F43" type="list">
      <formula1>Data!$D$2:$D$16</formula1>
      <formula2>0</formula2>
    </dataValidation>
    <dataValidation allowBlank="false" errorStyle="stop" operator="between" showDropDown="false" showErrorMessage="true" showInputMessage="true" sqref="E4:E43" type="list">
      <formula1>Data!$E$2:$E$30</formula1>
      <formula2>0</formula2>
    </dataValidation>
    <dataValidation allowBlank="true" errorStyle="stop" operator="between" showDropDown="false" showErrorMessage="true" showInputMessage="true" sqref="B4:B43" type="list">
      <formula1>Data!$C$2:$C$8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  <tableParts>
    <tablePart r:id="rId4"/>
    <tablePart r:id="rId5"/>
    <tablePart r:id="rId6"/>
    <tablePart r:id="rId7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239FD4A-A33E-4D53-AD1C-A0EA7114F050}">
            <x14:dataBar minLength="10" maxLength="90" axisPosition="automatic" gradient="true">
              <x14:cfvo type="autoMin"/>
              <x14:cfvo type="autoMax"/>
              <x14:negativeFillColor rgb="FFFF0000"/>
              <x14:axisColor rgb="FF000000"/>
            </x14:dataBar>
          </x14:cfRule>
          <xm:sqref>I60:I67</xm:sqref>
        </x14:conditionalFormatting>
        <x14:conditionalFormatting xmlns:xm="http://schemas.microsoft.com/office/excel/2006/main">
          <x14:cfRule type="dataBar" id="{956EEB2B-14E4-44A0-9B4A-C4B5623F40AD}">
            <x14:dataBar minLength="10" maxLength="90" axisPosition="automatic" gradient="true">
              <x14:cfvo type="autoMin"/>
              <x14:cfvo type="autoMax"/>
              <x14:negativeFillColor rgb="FFFF0000"/>
              <x14:axisColor rgb="FF000000"/>
            </x14:dataBar>
          </x14:cfRule>
          <xm:sqref>I56:I57 J51:J55</xm:sqref>
        </x14:conditionalFormatting>
        <x14:conditionalFormatting xmlns:xm="http://schemas.microsoft.com/office/excel/2006/main">
          <x14:cfRule type="dataBar" id="{24949DEE-B162-4D2E-B380-D070C57D2C87}">
            <x14:dataBar minLength="10" maxLength="90" axisPosition="automatic" gradient="true">
              <x14:cfvo type="autoMin"/>
              <x14:cfvo type="autoMax"/>
              <x14:negativeFillColor rgb="FFFF0000"/>
              <x14:axisColor rgb="FF000000"/>
            </x14:dataBar>
          </x14:cfRule>
          <xm:sqref>U2:AG2</xm:sqref>
        </x14:conditionalFormatting>
        <x14:conditionalFormatting xmlns:xm="http://schemas.microsoft.com/office/excel/2006/main">
          <x14:cfRule type="dataBar" id="{267271A3-D751-4C24-AFAD-37AAF7A6F372}">
            <x14:dataBar minLength="10" maxLength="90" axisPosition="automatic" gradient="true">
              <x14:cfvo type="autoMin"/>
              <x14:cfvo type="autoMax"/>
              <x14:negativeFillColor rgb="FFFF0000"/>
              <x14:axisColor rgb="FF000000"/>
            </x14:dataBar>
          </x14:cfRule>
          <xm:sqref>N2:T2</xm:sqref>
        </x14:conditionalFormatting>
        <x14:conditionalFormatting xmlns:xm="http://schemas.microsoft.com/office/excel/2006/main">
          <x14:cfRule type="dataBar" id="{70223500-E14D-40EF-BDFA-38E5E35B7D7B}">
            <x14:dataBar minLength="10" maxLength="90" axisPosition="automatic" gradient="false">
              <x14:cfvo type="autoMin"/>
              <x14:cfvo type="autoMax"/>
              <x14:negativeFillColor rgb="FFFF0000"/>
              <x14:axisColor rgb="FF000000"/>
            </x14:dataBar>
          </x14:cfRule>
          <xm:sqref>N2:AG2</xm:sqref>
        </x14:conditionalFormatting>
        <x14:conditionalFormatting xmlns:xm="http://schemas.microsoft.com/office/excel/2006/main">
          <x14:cfRule type="dataBar" id="{953DE4EF-78C3-4EDE-A5EE-47384FE71C5B}">
            <x14:dataBar minLength="10" maxLength="90" axisPosition="automatic" gradient="false">
              <x14:cfvo type="autoMin"/>
              <x14:cfvo type="autoMax"/>
              <x14:negativeFillColor rgb="FFFF0000"/>
              <x14:axisColor rgb="FF000000"/>
            </x14:dataBar>
          </x14:cfRule>
          <xm:sqref>N2:S2</xm:sqref>
        </x14:conditionalFormatting>
        <x14:conditionalFormatting xmlns:xm="http://schemas.microsoft.com/office/excel/2006/main">
          <x14:cfRule type="dataBar" id="{D4105EAB-E850-46EE-A264-A3B640B13AB0}">
            <x14:dataBar minLength="10" maxLength="90" axisPosition="automatic" gradient="false">
              <x14:cfvo type="autoMin"/>
              <x14:cfvo type="autoMax"/>
              <x14:negativeFillColor rgb="FFFF0000"/>
              <x14:axisColor rgb="FF000000"/>
            </x14:dataBar>
          </x14:cfRule>
          <xm:sqref>T2</xm:sqref>
        </x14:conditionalFormatting>
      </x14:conditionalFormattings>
    </ext>
  </extLst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1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37" activePane="bottomLeft" state="frozen"/>
      <selection pane="topLeft" activeCell="A1" activeCellId="0" sqref="A1"/>
      <selection pane="bottomLeft" activeCell="G20" activeCellId="0" sqref="G20"/>
    </sheetView>
  </sheetViews>
  <sheetFormatPr defaultColWidth="8.6796875" defaultRowHeight="15" zeroHeight="false" outlineLevelRow="1" outlineLevelCol="1"/>
  <cols>
    <col collapsed="false" customWidth="true" hidden="false" outlineLevel="0" max="1" min="1" style="0" width="16.57"/>
    <col collapsed="false" customWidth="true" hidden="false" outlineLevel="0" max="2" min="2" style="0" width="17.71"/>
    <col collapsed="false" customWidth="true" hidden="false" outlineLevel="0" max="3" min="3" style="0" width="17"/>
    <col collapsed="false" customWidth="true" hidden="false" outlineLevel="0" max="4" min="4" style="0" width="14.71"/>
    <col collapsed="false" customWidth="true" hidden="false" outlineLevel="0" max="5" min="5" style="0" width="26.29"/>
    <col collapsed="false" customWidth="true" hidden="false" outlineLevel="0" max="6" min="6" style="0" width="20.14"/>
    <col collapsed="false" customWidth="true" hidden="false" outlineLevel="0" max="7" min="7" style="0" width="22.29"/>
    <col collapsed="false" customWidth="true" hidden="false" outlineLevel="0" max="8" min="8" style="0" width="12.71"/>
    <col collapsed="false" customWidth="true" hidden="false" outlineLevel="0" max="9" min="9" style="0" width="12.42"/>
    <col collapsed="false" customWidth="true" hidden="false" outlineLevel="0" max="10" min="10" style="0" width="13"/>
    <col collapsed="false" customWidth="true" hidden="false" outlineLevel="0" max="11" min="11" style="0" width="19"/>
    <col collapsed="false" customWidth="true" hidden="false" outlineLevel="0" max="12" min="12" style="0" width="7.71"/>
    <col collapsed="false" customWidth="true" hidden="false" outlineLevel="0" max="13" min="13" style="224" width="9.86"/>
    <col collapsed="false" customWidth="true" hidden="false" outlineLevel="1" max="14" min="14" style="0" width="10.29"/>
    <col collapsed="false" customWidth="true" hidden="false" outlineLevel="1" max="15" min="15" style="0" width="9.57"/>
    <col collapsed="false" customWidth="true" hidden="false" outlineLevel="1" max="16" min="16" style="0" width="8.57"/>
    <col collapsed="false" customWidth="true" hidden="false" outlineLevel="1" max="18" min="17" style="0" width="7.29"/>
    <col collapsed="false" customWidth="true" hidden="false" outlineLevel="1" max="19" min="19" style="0" width="8.57"/>
    <col collapsed="false" customWidth="true" hidden="false" outlineLevel="1" max="20" min="20" style="0" width="7.71"/>
    <col collapsed="false" customWidth="true" hidden="false" outlineLevel="1" max="21" min="21" style="0" width="12"/>
    <col collapsed="false" customWidth="true" hidden="false" outlineLevel="1" max="22" min="22" style="0" width="10.14"/>
    <col collapsed="false" customWidth="true" hidden="false" outlineLevel="1" max="23" min="23" style="0" width="11.71"/>
    <col collapsed="false" customWidth="true" hidden="false" outlineLevel="1" max="24" min="24" style="0" width="12.71"/>
    <col collapsed="false" customWidth="true" hidden="false" outlineLevel="1" max="25" min="25" style="0" width="8.57"/>
    <col collapsed="false" customWidth="true" hidden="false" outlineLevel="1" max="26" min="26" style="0" width="7.29"/>
    <col collapsed="false" customWidth="true" hidden="false" outlineLevel="1" max="27" min="27" style="0" width="9.71"/>
    <col collapsed="false" customWidth="true" hidden="false" outlineLevel="1" max="28" min="28" style="0" width="11.43"/>
    <col collapsed="false" customWidth="true" hidden="false" outlineLevel="1" max="29" min="29" style="0" width="10"/>
    <col collapsed="false" customWidth="true" hidden="false" outlineLevel="1" max="30" min="30" style="0" width="9.86"/>
    <col collapsed="false" customWidth="true" hidden="false" outlineLevel="1" max="31" min="31" style="0" width="7.86"/>
    <col collapsed="false" customWidth="true" hidden="false" outlineLevel="1" max="32" min="32" style="0" width="18.71"/>
    <col collapsed="false" customWidth="true" hidden="false" outlineLevel="1" max="33" min="33" style="0" width="27.15"/>
    <col collapsed="false" customWidth="true" hidden="false" outlineLevel="1" max="34" min="34" style="0" width="5.42"/>
  </cols>
  <sheetData>
    <row r="1" customFormat="false" ht="22.05" hidden="false" customHeight="false" outlineLevel="0" collapsed="false">
      <c r="A1" s="225" t="str">
        <f aca="false">"Semaine du " &amp; Data!D41</f>
        <v>Semaine du </v>
      </c>
      <c r="B1" s="226" t="n">
        <v>44214</v>
      </c>
      <c r="C1" s="227"/>
      <c r="D1" s="321" t="s">
        <v>361</v>
      </c>
      <c r="E1" s="322" t="n">
        <f aca="false">AVERAGE(F2:J2)</f>
        <v>7.3</v>
      </c>
      <c r="F1" s="323" t="s">
        <v>0</v>
      </c>
      <c r="G1" s="324" t="s">
        <v>1</v>
      </c>
      <c r="H1" s="324" t="s">
        <v>2</v>
      </c>
      <c r="I1" s="324" t="s">
        <v>3</v>
      </c>
      <c r="J1" s="324" t="s">
        <v>4</v>
      </c>
      <c r="K1" s="325" t="s">
        <v>401</v>
      </c>
      <c r="L1" s="234" t="n">
        <f aca="false">COUNTIF(Horodateur112335381922313437434649525558616469852226343846505854626670747882909894102106114118110122126130134138142146150154158162166170174178182186190194198202206210214410[O],"o")+ COUNTIF(Horodateur112335381922313437434649525558616469852226343846505854626670747882909894102106114118110122126130134138142146150154158162166170174178182186190194198202206210214410[O],".")</f>
        <v>49</v>
      </c>
      <c r="M1" s="128" t="n">
        <f aca="false">B2</f>
        <v>40</v>
      </c>
      <c r="N1" s="131" t="s">
        <v>21</v>
      </c>
      <c r="O1" s="130" t="s">
        <v>20</v>
      </c>
      <c r="P1" s="130" t="s">
        <v>23</v>
      </c>
      <c r="Q1" s="130" t="s">
        <v>25</v>
      </c>
      <c r="R1" s="130" t="s">
        <v>26</v>
      </c>
      <c r="S1" s="130" t="s">
        <v>378</v>
      </c>
      <c r="T1" s="130" t="s">
        <v>380</v>
      </c>
      <c r="U1" s="136" t="s">
        <v>32</v>
      </c>
      <c r="V1" s="136" t="s">
        <v>69</v>
      </c>
      <c r="W1" s="136" t="s">
        <v>66</v>
      </c>
      <c r="X1" s="136" t="s">
        <v>47</v>
      </c>
      <c r="Y1" s="136" t="s">
        <v>68</v>
      </c>
      <c r="Z1" s="136" t="s">
        <v>41</v>
      </c>
      <c r="AA1" s="136" t="s">
        <v>61</v>
      </c>
      <c r="AB1" s="136" t="s">
        <v>74</v>
      </c>
      <c r="AC1" s="136" t="s">
        <v>37</v>
      </c>
      <c r="AD1" s="136" t="s">
        <v>77</v>
      </c>
      <c r="AE1" s="136" t="s">
        <v>45</v>
      </c>
      <c r="AF1" s="136" t="s">
        <v>78</v>
      </c>
      <c r="AG1" s="136" t="s">
        <v>79</v>
      </c>
      <c r="AH1" s="87" t="str">
        <f aca="false">SUM(M4:M52) &amp; " / " &amp; B2-SUM(M4:M52)</f>
        <v>40 / 0</v>
      </c>
    </row>
    <row r="2" customFormat="false" ht="22.05" hidden="false" customHeight="false" outlineLevel="0" collapsed="false">
      <c r="A2" s="327" t="n">
        <f aca="false">SUM(Horodateur112335381922313437434649525558616469852226343846505854626670747882909894102106114118110122126130134138142146150154158162166170174178182186190194198202206210214410[Durée (60)])</f>
        <v>1.66666666666667</v>
      </c>
      <c r="B2" s="328" t="n">
        <f aca="false">SUM(Horodateur112335381922313437434649525558616469852226343846505854626670747882909894102106114118110122126130134138142146150154158162166170174178182186190194198202206210214410[Durée (100)])</f>
        <v>40</v>
      </c>
      <c r="C2" s="339" t="str">
        <f aca="false">M2</f>
        <v>40 / 0</v>
      </c>
      <c r="D2" s="238"/>
      <c r="E2" s="239"/>
      <c r="F2" s="329" t="n">
        <f aca="false">SUMIF(Horodateur112335381922313437434649525558616469852226343846505854626670747882909894102106114118110122126130134138142146150154158162166170174178182186190194198202206210214410[Jour],"1- Lundi",Horodateur112335381922313437434649525558616469852226343846505854626670747882909894102106114118110122126130134138142146150154158162166170174178182186190194198202206210214410[Durée (100)])</f>
        <v>7</v>
      </c>
      <c r="G2" s="330" t="n">
        <f aca="false">SUMIF(Horodateur112335381922313437434649525558616469852226343846505854626670747882909894102106114118110122126130134138142146150154158162166170174178182186190194198202206210214410[Jour],"2- Mardi",Horodateur112335381922313437434649525558616469852226343846505854626670747882909894102106114118110122126130134138142146150154158162166170174178182186190194198202206210214410[Durée (100)])</f>
        <v>9</v>
      </c>
      <c r="H2" s="330" t="n">
        <f aca="false">SUMIF(Horodateur112335381922313437434649525558616469852226343846505854626670747882909894102106114118110122126130134138142146150154158162166170174178182186190194198202206210214410[Jour],"3- Mercredi",Horodateur112335381922313437434649525558616469852226343846505854626670747882909894102106114118110122126130134138142146150154158162166170174178182186190194198202206210214410[Durée (100)])</f>
        <v>7.25</v>
      </c>
      <c r="I2" s="330" t="n">
        <f aca="false">SUMIF(Horodateur112335381922313437434649525558616469852226343846505854626670747882909894102106114118110122126130134138142146150154158162166170174178182186190194198202206210214410[Jour],"4- Jeudi",Horodateur112335381922313437434649525558616469852226343846505854626670747882909894102106114118110122126130134138142146150154158162166170174178182186190194198202206210214410[Durée (100)])</f>
        <v>8.5</v>
      </c>
      <c r="J2" s="330" t="n">
        <f aca="false">SUMIF(Horodateur112335381922313437434649525558616469852226343846505854626670747882909894102106114118110122126130134138142146150154158162166170174178182186190194198202206210214410[Jour],"5- Vendredi",Horodateur112335381922313437434649525558616469852226343846505854626670747882909894102106114118110122126130134138142146150154158162166170174178182186190194198202206210214410[Durée (100)])</f>
        <v>4.75</v>
      </c>
      <c r="K2" s="331" t="str">
        <f aca="false">ROUND(SUMIF(Horodateur112335381922313437434649525558616469852226343846505854626670747882909894102106114118110122126130134138142146150154158162166170174178182186190194198202206210214410[Jour],"6- Samedi",Horodateur112335381922313437434649525558616469852226343846505854626670747882909894102106114118110122126130134138142146150154158162166170174178182186190194198202206210214410[Durée (100)]),2) &amp;  "   /    " &amp;  ROUND(SUMIF(Horodateur112335381922313437434649525558616469852226343846505854626670747882909894102106114118110122126130134138142146150154158162166170174178182186190194198202206210214410[Jour],"7- Dimanche",Horodateur112335381922313437434649525558616469852226343846505854626670747882909894102106114118110122126130134138142146150154158162166170174178182186190194198202206210214410[Durée (100)]),2)</f>
        <v>3.5   /    0</v>
      </c>
      <c r="L2" s="244" t="str">
        <f aca="false">COUNTIF(Horodateur112335381922313437434649525558616469852226343846505854626670747882909894102106114118110122126130134138142146150154158162166170174178182186190194198202206210214410[O],"o")&amp;" / " &amp;  COUNTIF(Horodateur112335381922313437434649525558616469852226343846505854626670747882909894102106114118110122126130134138142146150154158162166170174178182186190194198202206210214410[O],".")</f>
        <v>49 / 0</v>
      </c>
      <c r="M2" s="143" t="str">
        <f aca="false">SUM(M4:M52) &amp; " / " &amp; B2-SUM(M4:M52)</f>
        <v>40 / 0</v>
      </c>
      <c r="N2" s="248" t="n">
        <f aca="false">SUMIF(Horodateur112335381922313437434649525558616469852226343846505854626670747882909894102106114118110122126130134138142146150154158162166170174178182186190194198202206210214410[Tâche],N$1,Horodateur112335381922313437434649525558616469852226343846505854626670747882909894102106114118110122126130134138142146150154158162166170174178182186190194198202206210214410[Durée (100)])</f>
        <v>3</v>
      </c>
      <c r="O2" s="247" t="n">
        <f aca="false">SUMIF(Horodateur112335381922313437434649525558616469852226343846505854626670747882909894102106114118110122126130134138142146150154158162166170174178182186190194198202206210214410[Tâche],O$1,Horodateur112335381922313437434649525558616469852226343846505854626670747882909894102106114118110122126130134138142146150154158162166170174178182186190194198202206210214410[Durée (100)])</f>
        <v>0.500000000000001</v>
      </c>
      <c r="P2" s="247" t="n">
        <f aca="false">SUMIF(Horodateur112335381922313437434649525558616469852226343846505854626670747882909894102106114118110122126130134138142146150154158162166170174178182186190194198202206210214410[Tâche],P$1,Horodateur112335381922313437434649525558616469852226343846505854626670747882909894102106114118110122126130134138142146150154158162166170174178182186190194198202206210214410[Durée (100)])</f>
        <v>3.5</v>
      </c>
      <c r="Q2" s="247" t="n">
        <f aca="false">SUMIF(Horodateur112335381922313437434649525558616469852226343846505854626670747882909894102106114118110122126130134138142146150154158162166170174178182186190194198202206210214410[Tâche],Q$1,Horodateur112335381922313437434649525558616469852226343846505854626670747882909894102106114118110122126130134138142146150154158162166170174178182186190194198202206210214410[Durée (100)])</f>
        <v>0</v>
      </c>
      <c r="R2" s="247" t="n">
        <f aca="false">SUMIF(Horodateur112335381922313437434649525558616469852226343846505854626670747882909894102106114118110122126130134138142146150154158162166170174178182186190194198202206210214410[Tâche],R$1,Horodateur112335381922313437434649525558616469852226343846505854626670747882909894102106114118110122126130134138142146150154158162166170174178182186190194198202206210214410[Durée (100)])</f>
        <v>0</v>
      </c>
      <c r="S2" s="247" t="n">
        <f aca="false">SUMIF(Horodateur112335381922313437434649525558616469852226343846505854626670747882909894102106114118110122126130134138142146150154158162166170174178182186190194198202206210214410[Tâche],S$1,Horodateur112335381922313437434649525558616469852226343846505854626670747882909894102106114118110122126130134138142146150154158162166170174178182186190194198202206210214410[Durée (100)])</f>
        <v>12</v>
      </c>
      <c r="T2" s="247" t="n">
        <f aca="false">SUMIF(Horodateur112335381922313437434649525558616469852226343846505854626670747882909894102106114118110122126130134138142146150154158162166170174178182186190194198202206210214410[Tâche],T$1,Horodateur112335381922313437434649525558616469852226343846505854626670747882909894102106114118110122126130134138142146150154158162166170174178182186190194198202206210214410[Durée (100)])</f>
        <v>8.25</v>
      </c>
      <c r="U2" s="151" t="n">
        <f aca="false">SUMIF(Horodateur112335381922313437434649525558616469852226343846505854626670747882909894102106114118110122126130134138142146150154158162166170174178182186190194198202206210214410[Client],U$1,Horodateur112335381922313437434649525558616469852226343846505854626670747882909894102106114118110122126130134138142146150154158162166170174178182186190194198202206210214410[Durée (100)])</f>
        <v>14.5</v>
      </c>
      <c r="V2" s="151" t="n">
        <f aca="false">SUMIF(Horodateur112335381922313437434649525558616469852226343846505854626670747882909894102106114118110122126130134138142146150154158162166170174178182186190194198202206210214410[Client],V$1,Horodateur112335381922313437434649525558616469852226343846505854626670747882909894102106114118110122126130134138142146150154158162166170174178182186190194198202206210214410[Durée (100)])</f>
        <v>0</v>
      </c>
      <c r="W2" s="151" t="n">
        <f aca="false">SUMIF(Horodateur112335381922313437434649525558616469852226343846505854626670747882909894102106114118110122126130134138142146150154158162166170174178182186190194198202206210214410[Client],W$1,Horodateur112335381922313437434649525558616469852226343846505854626670747882909894102106114118110122126130134138142146150154158162166170174178182186190194198202206210214410[Durée (100)])</f>
        <v>3.25</v>
      </c>
      <c r="X2" s="151" t="n">
        <f aca="false">SUMIF(Horodateur112335381922313437434649525558616469852226343846505854626670747882909894102106114118110122126130134138142146150154158162166170174178182186190194198202206210214410[Client],X$1,Horodateur112335381922313437434649525558616469852226343846505854626670747882909894102106114118110122126130134138142146150154158162166170174178182186190194198202206210214410[Durée (100)])</f>
        <v>0</v>
      </c>
      <c r="Y2" s="151" t="n">
        <f aca="false">SUMIF(Horodateur112335381922313437434649525558616469852226343846505854626670747882909894102106114118110122126130134138142146150154158162166170174178182186190194198202206210214410[Client],Y$1,Horodateur112335381922313437434649525558616469852226343846505854626670747882909894102106114118110122126130134138142146150154158162166170174178182186190194198202206210214410[Durée (100)])</f>
        <v>0</v>
      </c>
      <c r="Z2" s="151" t="n">
        <f aca="false">SUMIF(Horodateur112335381922313437434649525558616469852226343846505854626670747882909894102106114118110122126130134138142146150154158162166170174178182186190194198202206210214410[Client],Z$1,Horodateur112335381922313437434649525558616469852226343846505854626670747882909894102106114118110122126130134138142146150154158162166170174178182186190194198202206210214410[Durée (100)])</f>
        <v>0</v>
      </c>
      <c r="AA2" s="151" t="n">
        <f aca="false">SUMIF(Horodateur112335381922313437434649525558616469852226343846505854626670747882909894102106114118110122126130134138142146150154158162166170174178182186190194198202206210214410[Client],AA$1,Horodateur112335381922313437434649525558616469852226343846505854626670747882909894102106114118110122126130134138142146150154158162166170174178182186190194198202206210214410[Durée (100)])</f>
        <v>0</v>
      </c>
      <c r="AB2" s="151" t="n">
        <f aca="false">SUMIF(Horodateur112335381922313437434649525558616469852226343846505854626670747882909894102106114118110122126130134138142146150154158162166170174178182186190194198202206210214410[Client],AB$1,Horodateur112335381922313437434649525558616469852226343846505854626670747882909894102106114118110122126130134138142146150154158162166170174178182186190194198202206210214410[Durée (100)])</f>
        <v>3.99999999999999</v>
      </c>
      <c r="AC2" s="151" t="n">
        <f aca="false">SUMIF(Horodateur112335381922313437434649525558616469852226343846505854626670747882909894102106114118110122126130134138142146150154158162166170174178182186190194198202206210214410[Client],AC$1,Horodateur112335381922313437434649525558616469852226343846505854626670747882909894102106114118110122126130134138142146150154158162166170174178182186190194198202206210214410[Durée (100)])</f>
        <v>0</v>
      </c>
      <c r="AD2" s="151" t="n">
        <f aca="false">SUMIF(Horodateur112335381922313437434649525558616469852226343846505854626670747882909894102106114118110122126130134138142146150154158162166170174178182186190194198202206210214410[Client],AD$1,Horodateur112335381922313437434649525558616469852226343846505854626670747882909894102106114118110122126130134138142146150154158162166170174178182186190194198202206210214410[Durée (100)])</f>
        <v>0</v>
      </c>
      <c r="AE2" s="151" t="n">
        <f aca="false">SUMIF(Horodateur112335381922313437434649525558616469852226343846505854626670747882909894102106114118110122126130134138142146150154158162166170174178182186190194198202206210214410[Client],AE$1,Horodateur112335381922313437434649525558616469852226343846505854626670747882909894102106114118110122126130134138142146150154158162166170174178182186190194198202206210214410[Durée (100)])</f>
        <v>0</v>
      </c>
      <c r="AF2" s="151" t="n">
        <f aca="false">SUMIF(Horodateur112335381922313437434649525558616469852226343846505854626670747882909894102106114118110122126130134138142146150154158162166170174178182186190194198202206210214410[Client],AF$1,Horodateur112335381922313437434649525558616469852226343846505854626670747882909894102106114118110122126130134138142146150154158162166170174178182186190194198202206210214410[Durée (100)])</f>
        <v>0.249999999999999</v>
      </c>
      <c r="AG2" s="151" t="n">
        <f aca="false">SUMIF(Horodateur112335381922313437434649525558616469852226343846505854626670747882909894102106114118110122126130134138142146150154158162166170174178182186190194198202206210214410[Client],AG$1,Horodateur112335381922313437434649525558616469852226343846505854626670747882909894102106114118110122126130134138142146150154158162166170174178182186190194198202206210214410[Durée (100)])</f>
        <v>0</v>
      </c>
    </row>
    <row r="3" s="137" customFormat="true" ht="15" hidden="false" customHeight="false" outlineLevel="0" collapsed="false">
      <c r="A3" s="249" t="s">
        <v>8</v>
      </c>
      <c r="B3" s="249" t="s">
        <v>9</v>
      </c>
      <c r="C3" s="193" t="s">
        <v>10</v>
      </c>
      <c r="D3" s="193" t="s">
        <v>11</v>
      </c>
      <c r="E3" s="250" t="s">
        <v>12</v>
      </c>
      <c r="F3" s="250" t="s">
        <v>13</v>
      </c>
      <c r="G3" s="250" t="s">
        <v>14</v>
      </c>
      <c r="H3" s="193" t="s">
        <v>302</v>
      </c>
      <c r="I3" s="252" t="s">
        <v>364</v>
      </c>
      <c r="J3" s="253" t="s">
        <v>365</v>
      </c>
      <c r="K3" s="250" t="s">
        <v>402</v>
      </c>
      <c r="L3" s="255" t="s">
        <v>7</v>
      </c>
      <c r="M3" s="254" t="s">
        <v>29</v>
      </c>
      <c r="N3" s="153" t="n">
        <f aca="false">N2/$B$2</f>
        <v>0.075</v>
      </c>
      <c r="O3" s="153" t="n">
        <f aca="false">O2/$B$2</f>
        <v>0.0125</v>
      </c>
      <c r="P3" s="153" t="n">
        <f aca="false">P2/$B$2</f>
        <v>0.0875000000000001</v>
      </c>
      <c r="Q3" s="153" t="n">
        <f aca="false">Q2/$B$2</f>
        <v>0</v>
      </c>
      <c r="R3" s="153" t="n">
        <f aca="false">R2/$B$2</f>
        <v>0</v>
      </c>
      <c r="S3" s="153" t="n">
        <f aca="false">S2/$B$2</f>
        <v>0.3</v>
      </c>
      <c r="T3" s="153" t="n">
        <f aca="false">T2/$B$2</f>
        <v>0.20625</v>
      </c>
      <c r="U3" s="153" t="n">
        <f aca="false">U2/$B$2</f>
        <v>0.3625</v>
      </c>
      <c r="V3" s="153" t="n">
        <f aca="false">V2/$B$2</f>
        <v>0</v>
      </c>
      <c r="W3" s="153" t="n">
        <f aca="false">W2/$B$2</f>
        <v>0.08125</v>
      </c>
      <c r="X3" s="153" t="n">
        <f aca="false">X2/$B$2</f>
        <v>0</v>
      </c>
      <c r="Y3" s="153" t="n">
        <f aca="false">Y2/$B$2</f>
        <v>0</v>
      </c>
      <c r="Z3" s="153" t="n">
        <f aca="false">Z2/$B$2</f>
        <v>0</v>
      </c>
      <c r="AA3" s="153" t="n">
        <f aca="false">AA2/$B$2</f>
        <v>0</v>
      </c>
      <c r="AB3" s="153" t="n">
        <f aca="false">AB2/$B$2</f>
        <v>0.0999999999999998</v>
      </c>
      <c r="AC3" s="153" t="n">
        <f aca="false">AC2/$B$2</f>
        <v>0</v>
      </c>
      <c r="AD3" s="153" t="n">
        <f aca="false">AD2/$B$2</f>
        <v>0</v>
      </c>
      <c r="AE3" s="153" t="n">
        <f aca="false">AE2/$B$2</f>
        <v>0</v>
      </c>
      <c r="AF3" s="153" t="n">
        <f aca="false">AF2/$B$2</f>
        <v>0.00624999999999998</v>
      </c>
      <c r="AG3" s="153" t="n">
        <f aca="false">AG2/$B$2</f>
        <v>0</v>
      </c>
    </row>
    <row r="4" customFormat="false" ht="15" hidden="false" customHeight="false" outlineLevel="0" collapsed="false">
      <c r="A4" s="256" t="n">
        <f aca="false">IF(Horodateur112335381922313437434649525558616469852226343846505854626670747882909894102106114118110122126130134138142146150154158162166170174178182186190194198202206210214410[[#This Row],[Jour]]="1- Lundi",$B$1+1, IF(Horodateur112335381922313437434649525558616469852226343846505854626670747882909894102106114118110122126130134138142146150154158162166170174178182186190194198202206210214410[[#This Row],[Jour]]="2- Mardi",$B$1+2, IF(Horodateur112335381922313437434649525558616469852226343846505854626670747882909894102106114118110122126130134138142146150154158162166170174178182186190194198202206210214410[[#This Row],[Jour]]="3- Mercredi",$B$1+3, IF(Horodateur112335381922313437434649525558616469852226343846505854626670747882909894102106114118110122126130134138142146150154158162166170174178182186190194198202206210214410[[#This Row],[Jour]]="4- Jeudi",$B$1+4, IF(Horodateur112335381922313437434649525558616469852226343846505854626670747882909894102106114118110122126130134138142146150154158162166170174178182186190194198202206210214410[[#This Row],[Jour]]="5- Vendredi",$B$1+5, IF(Horodateur112335381922313437434649525558616469852226343846505854626670747882909894102106114118110122126130134138142146150154158162166170174178182186190194198202206210214410[[#This Row],[Jour]]="6- Samedi",$B$1+6, IF(Horodateur112335381922313437434649525558616469852226343846505854626670747882909894102106114118110122126130134138142146150154158162166170174178182186190194198202206210214410[[#This Row],[Jour]]="7- Dimanche",$B$1, )))))))</f>
        <v>44215</v>
      </c>
      <c r="B4" s="257" t="s">
        <v>312</v>
      </c>
      <c r="C4" s="258" t="n">
        <v>0.333333333333333</v>
      </c>
      <c r="D4" s="258" t="n">
        <v>0.364583333333333</v>
      </c>
      <c r="E4" s="71" t="s">
        <v>32</v>
      </c>
      <c r="F4" s="71" t="s">
        <v>21</v>
      </c>
      <c r="G4" s="259" t="s">
        <v>94</v>
      </c>
      <c r="H4" s="258" t="n">
        <f aca="false">IF($C4=0,"",$D4-$C4)</f>
        <v>0.03125</v>
      </c>
      <c r="I4" s="260" t="n">
        <f aca="false">IF($C4=0,"",($H4-INT($H4))*24)</f>
        <v>0.75</v>
      </c>
      <c r="J4" s="303" t="n">
        <f aca="false">SUMIF(Horodateur112335381922313437434649525558616469852226343846505854626670747882909894102106114118110122126130134138142146150154158162166170174178182186190194198202206210214410[Jour],$B4,Horodateur112335381922313437434649525558616469852226343846505854626670747882909894102106114118110122126130134138142146150154158162166170174178182186190194198202206210214410[Durée (100)])</f>
        <v>7</v>
      </c>
      <c r="K4" s="335"/>
      <c r="L4" s="188" t="s">
        <v>31</v>
      </c>
      <c r="M4" s="272" t="n">
        <f aca="false">IF(Horodateur112335381922313437434649525558616469852226343846505854626670747882909894102106114118110122126130134138142146150154158162166170174178182186190194198202206210214410[[#This Row],[O]]="o",Horodateur112335381922313437434649525558616469852226343846505854626670747882909894102106114118110122126130134138142146150154158162166170174178182186190194198202206210214410[[#This Row],[Durée (100)]],".")</f>
        <v>0.75</v>
      </c>
      <c r="N4" s="187"/>
      <c r="O4" s="71"/>
      <c r="P4" s="71"/>
      <c r="Q4" s="71"/>
      <c r="R4" s="71"/>
      <c r="S4" s="71"/>
      <c r="T4" s="71"/>
      <c r="U4" s="71"/>
      <c r="V4" s="71"/>
      <c r="W4" s="71"/>
      <c r="X4" s="71"/>
      <c r="Y4" s="71"/>
      <c r="Z4" s="71"/>
      <c r="AA4" s="71"/>
      <c r="AB4" s="71"/>
      <c r="AC4" s="71"/>
      <c r="AD4" s="71"/>
      <c r="AE4" s="71"/>
      <c r="AF4" s="71"/>
      <c r="AG4" s="71"/>
    </row>
    <row r="5" customFormat="false" ht="15" hidden="false" customHeight="false" outlineLevel="0" collapsed="false">
      <c r="A5" s="256" t="n">
        <f aca="false">IF(Horodateur112335381922313437434649525558616469852226343846505854626670747882909894102106114118110122126130134138142146150154158162166170174178182186190194198202206210214410[[#This Row],[Jour]]="1- Lundi",$B$1+1, IF(Horodateur112335381922313437434649525558616469852226343846505854626670747882909894102106114118110122126130134138142146150154158162166170174178182186190194198202206210214410[[#This Row],[Jour]]="2- Mardi",$B$1+2, IF(Horodateur112335381922313437434649525558616469852226343846505854626670747882909894102106114118110122126130134138142146150154158162166170174178182186190194198202206210214410[[#This Row],[Jour]]="3- Mercredi",$B$1+3, IF(Horodateur112335381922313437434649525558616469852226343846505854626670747882909894102106114118110122126130134138142146150154158162166170174178182186190194198202206210214410[[#This Row],[Jour]]="4- Jeudi",$B$1+4, IF(Horodateur112335381922313437434649525558616469852226343846505854626670747882909894102106114118110122126130134138142146150154158162166170174178182186190194198202206210214410[[#This Row],[Jour]]="5- Vendredi",$B$1+5, IF(Horodateur112335381922313437434649525558616469852226343846505854626670747882909894102106114118110122126130134138142146150154158162166170174178182186190194198202206210214410[[#This Row],[Jour]]="6- Samedi",$B$1+6, IF(Horodateur112335381922313437434649525558616469852226343846505854626670747882909894102106114118110122126130134138142146150154158162166170174178182186190194198202206210214410[[#This Row],[Jour]]="7- Dimanche",$B$1, )))))))</f>
        <v>44215</v>
      </c>
      <c r="B5" s="257" t="s">
        <v>312</v>
      </c>
      <c r="C5" s="258" t="n">
        <v>0.364583333333333</v>
      </c>
      <c r="D5" s="258" t="n">
        <v>0.385416666666667</v>
      </c>
      <c r="E5" s="71" t="s">
        <v>32</v>
      </c>
      <c r="F5" s="71" t="s">
        <v>20</v>
      </c>
      <c r="G5" s="259" t="s">
        <v>121</v>
      </c>
      <c r="H5" s="258" t="n">
        <f aca="false">IF($C5=0,"",$D5-$C5)</f>
        <v>0.0208333333333333</v>
      </c>
      <c r="I5" s="260" t="n">
        <f aca="false">IF($C5=0,"",($H5-INT($H5))*24)</f>
        <v>0.5</v>
      </c>
      <c r="J5" s="303" t="n">
        <f aca="false">SUMIF(Horodateur112335381922313437434649525558616469852226343846505854626670747882909894102106114118110122126130134138142146150154158162166170174178182186190194198202206210214410[Jour],$B5,Horodateur112335381922313437434649525558616469852226343846505854626670747882909894102106114118110122126130134138142146150154158162166170174178182186190194198202206210214410[Durée (100)])</f>
        <v>7</v>
      </c>
      <c r="K5" s="335"/>
      <c r="L5" s="188" t="s">
        <v>31</v>
      </c>
      <c r="M5" s="272" t="n">
        <f aca="false">IF(Horodateur112335381922313437434649525558616469852226343846505854626670747882909894102106114118110122126130134138142146150154158162166170174178182186190194198202206210214410[[#This Row],[O]]="o",Horodateur112335381922313437434649525558616469852226343846505854626670747882909894102106114118110122126130134138142146150154158162166170174178182186190194198202206210214410[[#This Row],[Durée (100)]],".")</f>
        <v>0.500000000000001</v>
      </c>
      <c r="N5" s="187"/>
      <c r="O5" s="71"/>
      <c r="P5" s="71"/>
      <c r="Q5" s="71"/>
      <c r="R5" s="71"/>
      <c r="S5" s="71"/>
      <c r="T5" s="71"/>
      <c r="U5" s="71"/>
      <c r="V5" s="71"/>
      <c r="W5" s="71"/>
      <c r="X5" s="71"/>
      <c r="Y5" s="71"/>
      <c r="Z5" s="71"/>
      <c r="AA5" s="71"/>
      <c r="AB5" s="71"/>
      <c r="AC5" s="71"/>
      <c r="AD5" s="71"/>
      <c r="AE5" s="71"/>
      <c r="AF5" s="71"/>
      <c r="AG5" s="71"/>
    </row>
    <row r="6" customFormat="false" ht="15" hidden="false" customHeight="false" outlineLevel="0" collapsed="false">
      <c r="A6" s="256" t="n">
        <f aca="false">IF(Horodateur112335381922313437434649525558616469852226343846505854626670747882909894102106114118110122126130134138142146150154158162166170174178182186190194198202206210214410[[#This Row],[Jour]]="1- Lundi",$B$1+1, IF(Horodateur112335381922313437434649525558616469852226343846505854626670747882909894102106114118110122126130134138142146150154158162166170174178182186190194198202206210214410[[#This Row],[Jour]]="2- Mardi",$B$1+2, IF(Horodateur112335381922313437434649525558616469852226343846505854626670747882909894102106114118110122126130134138142146150154158162166170174178182186190194198202206210214410[[#This Row],[Jour]]="3- Mercredi",$B$1+3, IF(Horodateur112335381922313437434649525558616469852226343846505854626670747882909894102106114118110122126130134138142146150154158162166170174178182186190194198202206210214410[[#This Row],[Jour]]="4- Jeudi",$B$1+4, IF(Horodateur112335381922313437434649525558616469852226343846505854626670747882909894102106114118110122126130134138142146150154158162166170174178182186190194198202206210214410[[#This Row],[Jour]]="5- Vendredi",$B$1+5, IF(Horodateur112335381922313437434649525558616469852226343846505854626670747882909894102106114118110122126130134138142146150154158162166170174178182186190194198202206210214410[[#This Row],[Jour]]="6- Samedi",$B$1+6, IF(Horodateur112335381922313437434649525558616469852226343846505854626670747882909894102106114118110122126130134138142146150154158162166170174178182186190194198202206210214410[[#This Row],[Jour]]="7- Dimanche",$B$1, )))))))</f>
        <v>44215</v>
      </c>
      <c r="B6" s="257" t="s">
        <v>312</v>
      </c>
      <c r="C6" s="258" t="n">
        <v>0.395833333333333</v>
      </c>
      <c r="D6" s="258" t="n">
        <v>0.427083333333333</v>
      </c>
      <c r="E6" s="71" t="s">
        <v>74</v>
      </c>
      <c r="F6" s="71" t="s">
        <v>378</v>
      </c>
      <c r="G6" s="259" t="s">
        <v>658</v>
      </c>
      <c r="H6" s="258" t="n">
        <f aca="false">IF($C6=0,"",$D6-$C6)</f>
        <v>0.03125</v>
      </c>
      <c r="I6" s="260" t="n">
        <f aca="false">IF($C6=0,"",($H6-INT($H6))*24)</f>
        <v>0.75</v>
      </c>
      <c r="J6" s="303" t="n">
        <f aca="false">SUMIF(Horodateur112335381922313437434649525558616469852226343846505854626670747882909894102106114118110122126130134138142146150154158162166170174178182186190194198202206210214410[Jour],$B6,Horodateur112335381922313437434649525558616469852226343846505854626670747882909894102106114118110122126130134138142146150154158162166170174178182186190194198202206210214410[Durée (100)])</f>
        <v>7</v>
      </c>
      <c r="K6" s="335"/>
      <c r="L6" s="188" t="s">
        <v>31</v>
      </c>
      <c r="M6" s="272" t="n">
        <f aca="false">IF(Horodateur112335381922313437434649525558616469852226343846505854626670747882909894102106114118110122126130134138142146150154158162166170174178182186190194198202206210214410[[#This Row],[O]]="o",Horodateur112335381922313437434649525558616469852226343846505854626670747882909894102106114118110122126130134138142146150154158162166170174178182186190194198202206210214410[[#This Row],[Durée (100)]],".")</f>
        <v>0.75</v>
      </c>
      <c r="N6" s="187"/>
      <c r="O6" s="71"/>
      <c r="P6" s="71"/>
      <c r="Q6" s="71"/>
      <c r="R6" s="71"/>
      <c r="S6" s="71"/>
      <c r="T6" s="71"/>
      <c r="U6" s="71"/>
      <c r="V6" s="71"/>
      <c r="W6" s="71"/>
      <c r="X6" s="71"/>
      <c r="Y6" s="71"/>
      <c r="Z6" s="71"/>
      <c r="AA6" s="71"/>
      <c r="AB6" s="71"/>
      <c r="AC6" s="71"/>
      <c r="AD6" s="71"/>
      <c r="AE6" s="71"/>
      <c r="AF6" s="71"/>
      <c r="AG6" s="71"/>
    </row>
    <row r="7" customFormat="false" ht="15" hidden="false" customHeight="false" outlineLevel="0" collapsed="false">
      <c r="A7" s="256" t="n">
        <f aca="false">IF(Horodateur112335381922313437434649525558616469852226343846505854626670747882909894102106114118110122126130134138142146150154158162166170174178182186190194198202206210214410[[#This Row],[Jour]]="1- Lundi",$B$1+1, IF(Horodateur112335381922313437434649525558616469852226343846505854626670747882909894102106114118110122126130134138142146150154158162166170174178182186190194198202206210214410[[#This Row],[Jour]]="2- Mardi",$B$1+2, IF(Horodateur112335381922313437434649525558616469852226343846505854626670747882909894102106114118110122126130134138142146150154158162166170174178182186190194198202206210214410[[#This Row],[Jour]]="3- Mercredi",$B$1+3, IF(Horodateur112335381922313437434649525558616469852226343846505854626670747882909894102106114118110122126130134138142146150154158162166170174178182186190194198202206210214410[[#This Row],[Jour]]="4- Jeudi",$B$1+4, IF(Horodateur112335381922313437434649525558616469852226343846505854626670747882909894102106114118110122126130134138142146150154158162166170174178182186190194198202206210214410[[#This Row],[Jour]]="5- Vendredi",$B$1+5, IF(Horodateur112335381922313437434649525558616469852226343846505854626670747882909894102106114118110122126130134138142146150154158162166170174178182186190194198202206210214410[[#This Row],[Jour]]="6- Samedi",$B$1+6, IF(Horodateur112335381922313437434649525558616469852226343846505854626670747882909894102106114118110122126130134138142146150154158162166170174178182186190194198202206210214410[[#This Row],[Jour]]="7- Dimanche",$B$1, )))))))</f>
        <v>44215</v>
      </c>
      <c r="B7" s="257" t="s">
        <v>312</v>
      </c>
      <c r="C7" s="258" t="n">
        <v>0.427083333333333</v>
      </c>
      <c r="D7" s="258" t="n">
        <v>0.5</v>
      </c>
      <c r="E7" s="71" t="s">
        <v>66</v>
      </c>
      <c r="F7" s="71" t="s">
        <v>378</v>
      </c>
      <c r="G7" s="259" t="s">
        <v>659</v>
      </c>
      <c r="H7" s="258" t="n">
        <f aca="false">IF($C7=0,"",$D7-$C7)</f>
        <v>0.0729166666666667</v>
      </c>
      <c r="I7" s="260" t="n">
        <f aca="false">IF($C7=0,"",($H7-INT($H7))*24)</f>
        <v>1.75</v>
      </c>
      <c r="J7" s="303" t="n">
        <f aca="false">SUMIF(Horodateur112335381922313437434649525558616469852226343846505854626670747882909894102106114118110122126130134138142146150154158162166170174178182186190194198202206210214410[Jour],$B7,Horodateur112335381922313437434649525558616469852226343846505854626670747882909894102106114118110122126130134138142146150154158162166170174178182186190194198202206210214410[Durée (100)])</f>
        <v>7</v>
      </c>
      <c r="K7" s="335"/>
      <c r="L7" s="188" t="s">
        <v>31</v>
      </c>
      <c r="M7" s="272" t="n">
        <f aca="false">IF(Horodateur112335381922313437434649525558616469852226343846505854626670747882909894102106114118110122126130134138142146150154158162166170174178182186190194198202206210214410[[#This Row],[O]]="o",Horodateur112335381922313437434649525558616469852226343846505854626670747882909894102106114118110122126130134138142146150154158162166170174178182186190194198202206210214410[[#This Row],[Durée (100)]],".")</f>
        <v>1.75</v>
      </c>
      <c r="N7" s="187"/>
      <c r="O7" s="71"/>
      <c r="P7" s="71"/>
      <c r="Q7" s="71"/>
      <c r="R7" s="71"/>
      <c r="S7" s="71"/>
      <c r="T7" s="71"/>
      <c r="U7" s="71"/>
      <c r="V7" s="71"/>
      <c r="W7" s="71"/>
      <c r="X7" s="71"/>
      <c r="Y7" s="71"/>
      <c r="Z7" s="71"/>
      <c r="AA7" s="71"/>
      <c r="AB7" s="71"/>
      <c r="AC7" s="71"/>
      <c r="AD7" s="71"/>
      <c r="AE7" s="71"/>
      <c r="AF7" s="71"/>
      <c r="AG7" s="71"/>
    </row>
    <row r="8" customFormat="false" ht="15" hidden="false" customHeight="false" outlineLevel="0" collapsed="false">
      <c r="A8" s="256" t="n">
        <f aca="false">IF(Horodateur112335381922313437434649525558616469852226343846505854626670747882909894102106114118110122126130134138142146150154158162166170174178182186190194198202206210214410[[#This Row],[Jour]]="1- Lundi",$B$1+1, IF(Horodateur112335381922313437434649525558616469852226343846505854626670747882909894102106114118110122126130134138142146150154158162166170174178182186190194198202206210214410[[#This Row],[Jour]]="2- Mardi",$B$1+2, IF(Horodateur112335381922313437434649525558616469852226343846505854626670747882909894102106114118110122126130134138142146150154158162166170174178182186190194198202206210214410[[#This Row],[Jour]]="3- Mercredi",$B$1+3, IF(Horodateur112335381922313437434649525558616469852226343846505854626670747882909894102106114118110122126130134138142146150154158162166170174178182186190194198202206210214410[[#This Row],[Jour]]="4- Jeudi",$B$1+4, IF(Horodateur112335381922313437434649525558616469852226343846505854626670747882909894102106114118110122126130134138142146150154158162166170174178182186190194198202206210214410[[#This Row],[Jour]]="5- Vendredi",$B$1+5, IF(Horodateur112335381922313437434649525558616469852226343846505854626670747882909894102106114118110122126130134138142146150154158162166170174178182186190194198202206210214410[[#This Row],[Jour]]="6- Samedi",$B$1+6, IF(Horodateur112335381922313437434649525558616469852226343846505854626670747882909894102106114118110122126130134138142146150154158162166170174178182186190194198202206210214410[[#This Row],[Jour]]="7- Dimanche",$B$1, )))))))</f>
        <v>44215</v>
      </c>
      <c r="B8" s="257" t="s">
        <v>312</v>
      </c>
      <c r="C8" s="258" t="n">
        <v>0.583333333333333</v>
      </c>
      <c r="D8" s="258" t="n">
        <v>0.604166666666667</v>
      </c>
      <c r="E8" s="71" t="s">
        <v>74</v>
      </c>
      <c r="F8" s="71" t="s">
        <v>378</v>
      </c>
      <c r="G8" s="259" t="s">
        <v>658</v>
      </c>
      <c r="H8" s="258" t="n">
        <f aca="false">IF($C8=0,"",$D8-$C8)</f>
        <v>0.0208333333333333</v>
      </c>
      <c r="I8" s="260" t="n">
        <f aca="false">IF($C8=0,"",($H8-INT($H8))*24)</f>
        <v>0.5</v>
      </c>
      <c r="J8" s="303" t="n">
        <f aca="false">SUMIF(Horodateur112335381922313437434649525558616469852226343846505854626670747882909894102106114118110122126130134138142146150154158162166170174178182186190194198202206210214410[Jour],$B8,Horodateur112335381922313437434649525558616469852226343846505854626670747882909894102106114118110122126130134138142146150154158162166170174178182186190194198202206210214410[Durée (100)])</f>
        <v>7</v>
      </c>
      <c r="K8" s="335"/>
      <c r="L8" s="188" t="s">
        <v>31</v>
      </c>
      <c r="M8" s="272" t="n">
        <f aca="false">IF(Horodateur112335381922313437434649525558616469852226343846505854626670747882909894102106114118110122126130134138142146150154158162166170174178182186190194198202206210214410[[#This Row],[O]]="o",Horodateur112335381922313437434649525558616469852226343846505854626670747882909894102106114118110122126130134138142146150154158162166170174178182186190194198202206210214410[[#This Row],[Durée (100)]],".")</f>
        <v>0.499999999999998</v>
      </c>
      <c r="N8" s="187"/>
      <c r="O8" s="71"/>
      <c r="P8" s="71"/>
      <c r="Q8" s="71"/>
      <c r="R8" s="71"/>
      <c r="S8" s="71"/>
      <c r="T8" s="71"/>
      <c r="U8" s="71"/>
      <c r="V8" s="71"/>
      <c r="W8" s="71"/>
      <c r="X8" s="71"/>
      <c r="Y8" s="71"/>
      <c r="Z8" s="71"/>
      <c r="AA8" s="71"/>
      <c r="AB8" s="71"/>
      <c r="AC8" s="71"/>
      <c r="AD8" s="71"/>
      <c r="AE8" s="71"/>
      <c r="AF8" s="71"/>
      <c r="AG8" s="71"/>
    </row>
    <row r="9" customFormat="false" ht="15" hidden="false" customHeight="false" outlineLevel="0" collapsed="false">
      <c r="A9" s="256" t="n">
        <f aca="false">IF(Horodateur112335381922313437434649525558616469852226343846505854626670747882909894102106114118110122126130134138142146150154158162166170174178182186190194198202206210214410[[#This Row],[Jour]]="1- Lundi",$B$1+1, IF(Horodateur112335381922313437434649525558616469852226343846505854626670747882909894102106114118110122126130134138142146150154158162166170174178182186190194198202206210214410[[#This Row],[Jour]]="2- Mardi",$B$1+2, IF(Horodateur112335381922313437434649525558616469852226343846505854626670747882909894102106114118110122126130134138142146150154158162166170174178182186190194198202206210214410[[#This Row],[Jour]]="3- Mercredi",$B$1+3, IF(Horodateur112335381922313437434649525558616469852226343846505854626670747882909894102106114118110122126130134138142146150154158162166170174178182186190194198202206210214410[[#This Row],[Jour]]="4- Jeudi",$B$1+4, IF(Horodateur112335381922313437434649525558616469852226343846505854626670747882909894102106114118110122126130134138142146150154158162166170174178182186190194198202206210214410[[#This Row],[Jour]]="5- Vendredi",$B$1+5, IF(Horodateur112335381922313437434649525558616469852226343846505854626670747882909894102106114118110122126130134138142146150154158162166170174178182186190194198202206210214410[[#This Row],[Jour]]="6- Samedi",$B$1+6, IF(Horodateur112335381922313437434649525558616469852226343846505854626670747882909894102106114118110122126130134138142146150154158162166170174178182186190194198202206210214410[[#This Row],[Jour]]="7- Dimanche",$B$1, )))))))</f>
        <v>44215</v>
      </c>
      <c r="B9" s="257" t="s">
        <v>312</v>
      </c>
      <c r="C9" s="258" t="n">
        <v>0.614583333333333</v>
      </c>
      <c r="D9" s="258" t="n">
        <v>0.625</v>
      </c>
      <c r="E9" s="71" t="s">
        <v>70</v>
      </c>
      <c r="F9" s="71" t="s">
        <v>23</v>
      </c>
      <c r="G9" s="259" t="s">
        <v>660</v>
      </c>
      <c r="H9" s="258" t="n">
        <f aca="false">IF($C9=0,"",$D9-$C9)</f>
        <v>0.0104166666666667</v>
      </c>
      <c r="I9" s="260" t="n">
        <f aca="false">IF($C9=0,"",($H9-INT($H9))*24)</f>
        <v>0.25</v>
      </c>
      <c r="J9" s="303" t="n">
        <f aca="false">SUMIF(Horodateur112335381922313437434649525558616469852226343846505854626670747882909894102106114118110122126130134138142146150154158162166170174178182186190194198202206210214410[Jour],$B9,Horodateur112335381922313437434649525558616469852226343846505854626670747882909894102106114118110122126130134138142146150154158162166170174178182186190194198202206210214410[Durée (100)])</f>
        <v>7</v>
      </c>
      <c r="K9" s="335"/>
      <c r="L9" s="188" t="s">
        <v>31</v>
      </c>
      <c r="M9" s="272" t="n">
        <f aca="false">IF(Horodateur112335381922313437434649525558616469852226343846505854626670747882909894102106114118110122126130134138142146150154158162166170174178182186190194198202206210214410[[#This Row],[O]]="o",Horodateur112335381922313437434649525558616469852226343846505854626670747882909894102106114118110122126130134138142146150154158162166170174178182186190194198202206210214410[[#This Row],[Durée (100)]],".")</f>
        <v>0.249999999999999</v>
      </c>
      <c r="N9" s="187"/>
      <c r="O9" s="71"/>
      <c r="P9" s="71"/>
      <c r="Q9" s="71"/>
      <c r="R9" s="71"/>
      <c r="S9" s="71"/>
      <c r="T9" s="71"/>
      <c r="U9" s="71"/>
      <c r="V9" s="71"/>
      <c r="W9" s="71"/>
      <c r="X9" s="71"/>
      <c r="Y9" s="71"/>
      <c r="Z9" s="71"/>
      <c r="AA9" s="71"/>
      <c r="AB9" s="71"/>
      <c r="AC9" s="71"/>
      <c r="AD9" s="71"/>
      <c r="AE9" s="71"/>
      <c r="AF9" s="71"/>
      <c r="AG9" s="71"/>
    </row>
    <row r="10" customFormat="false" ht="15" hidden="false" customHeight="false" outlineLevel="0" collapsed="false">
      <c r="A10" s="256" t="n">
        <f aca="false">IF(Horodateur112335381922313437434649525558616469852226343846505854626670747882909894102106114118110122126130134138142146150154158162166170174178182186190194198202206210214410[[#This Row],[Jour]]="1- Lundi",$B$1+1, IF(Horodateur112335381922313437434649525558616469852226343846505854626670747882909894102106114118110122126130134138142146150154158162166170174178182186190194198202206210214410[[#This Row],[Jour]]="2- Mardi",$B$1+2, IF(Horodateur112335381922313437434649525558616469852226343846505854626670747882909894102106114118110122126130134138142146150154158162166170174178182186190194198202206210214410[[#This Row],[Jour]]="3- Mercredi",$B$1+3, IF(Horodateur112335381922313437434649525558616469852226343846505854626670747882909894102106114118110122126130134138142146150154158162166170174178182186190194198202206210214410[[#This Row],[Jour]]="4- Jeudi",$B$1+4, IF(Horodateur112335381922313437434649525558616469852226343846505854626670747882909894102106114118110122126130134138142146150154158162166170174178182186190194198202206210214410[[#This Row],[Jour]]="5- Vendredi",$B$1+5, IF(Horodateur112335381922313437434649525558616469852226343846505854626670747882909894102106114118110122126130134138142146150154158162166170174178182186190194198202206210214410[[#This Row],[Jour]]="6- Samedi",$B$1+6, IF(Horodateur112335381922313437434649525558616469852226343846505854626670747882909894102106114118110122126130134138142146150154158162166170174178182186190194198202206210214410[[#This Row],[Jour]]="7- Dimanche",$B$1, )))))))</f>
        <v>44215</v>
      </c>
      <c r="B10" s="257" t="s">
        <v>312</v>
      </c>
      <c r="C10" s="258" t="n">
        <v>0.625</v>
      </c>
      <c r="D10" s="258" t="n">
        <v>0.645833333333333</v>
      </c>
      <c r="E10" s="71" t="s">
        <v>32</v>
      </c>
      <c r="F10" s="71" t="s">
        <v>22</v>
      </c>
      <c r="G10" s="259"/>
      <c r="H10" s="258" t="n">
        <f aca="false">IF($C10=0,"",$D10-$C10)</f>
        <v>0.0208333333333333</v>
      </c>
      <c r="I10" s="260" t="n">
        <f aca="false">IF($C10=0,"",($H10-INT($H10))*24)</f>
        <v>0.5</v>
      </c>
      <c r="J10" s="303" t="n">
        <f aca="false">SUMIF(Horodateur112335381922313437434649525558616469852226343846505854626670747882909894102106114118110122126130134138142146150154158162166170174178182186190194198202206210214410[Jour],$B10,Horodateur112335381922313437434649525558616469852226343846505854626670747882909894102106114118110122126130134138142146150154158162166170174178182186190194198202206210214410[Durée (100)])</f>
        <v>7</v>
      </c>
      <c r="K10" s="335"/>
      <c r="L10" s="188" t="s">
        <v>31</v>
      </c>
      <c r="M10" s="272" t="n">
        <f aca="false">IF(Horodateur112335381922313437434649525558616469852226343846505854626670747882909894102106114118110122126130134138142146150154158162166170174178182186190194198202206210214410[[#This Row],[O]]="o",Horodateur112335381922313437434649525558616469852226343846505854626670747882909894102106114118110122126130134138142146150154158162166170174178182186190194198202206210214410[[#This Row],[Durée (100)]],".")</f>
        <v>0.500000000000001</v>
      </c>
      <c r="N10" s="187"/>
      <c r="O10" s="71"/>
      <c r="P10" s="71"/>
      <c r="Q10" s="71"/>
      <c r="R10" s="71"/>
      <c r="S10" s="71"/>
      <c r="T10" s="71"/>
      <c r="U10" s="71"/>
      <c r="V10" s="71"/>
      <c r="W10" s="71"/>
      <c r="X10" s="71"/>
      <c r="Y10" s="71"/>
      <c r="Z10" s="71"/>
      <c r="AA10" s="71"/>
      <c r="AB10" s="71"/>
      <c r="AC10" s="71"/>
      <c r="AD10" s="71"/>
      <c r="AE10" s="71"/>
      <c r="AF10" s="71"/>
      <c r="AG10" s="71"/>
    </row>
    <row r="11" customFormat="false" ht="15" hidden="false" customHeight="false" outlineLevel="0" collapsed="false">
      <c r="A11" s="256" t="n">
        <f aca="false">IF(Horodateur112335381922313437434649525558616469852226343846505854626670747882909894102106114118110122126130134138142146150154158162166170174178182186190194198202206210214410[[#This Row],[Jour]]="1- Lundi",$B$1+1, IF(Horodateur112335381922313437434649525558616469852226343846505854626670747882909894102106114118110122126130134138142146150154158162166170174178182186190194198202206210214410[[#This Row],[Jour]]="2- Mardi",$B$1+2, IF(Horodateur112335381922313437434649525558616469852226343846505854626670747882909894102106114118110122126130134138142146150154158162166170174178182186190194198202206210214410[[#This Row],[Jour]]="3- Mercredi",$B$1+3, IF(Horodateur112335381922313437434649525558616469852226343846505854626670747882909894102106114118110122126130134138142146150154158162166170174178182186190194198202206210214410[[#This Row],[Jour]]="4- Jeudi",$B$1+4, IF(Horodateur112335381922313437434649525558616469852226343846505854626670747882909894102106114118110122126130134138142146150154158162166170174178182186190194198202206210214410[[#This Row],[Jour]]="5- Vendredi",$B$1+5, IF(Horodateur112335381922313437434649525558616469852226343846505854626670747882909894102106114118110122126130134138142146150154158162166170174178182186190194198202206210214410[[#This Row],[Jour]]="6- Samedi",$B$1+6, IF(Horodateur112335381922313437434649525558616469852226343846505854626670747882909894102106114118110122126130134138142146150154158162166170174178182186190194198202206210214410[[#This Row],[Jour]]="7- Dimanche",$B$1, )))))))</f>
        <v>44215</v>
      </c>
      <c r="B11" s="257" t="s">
        <v>312</v>
      </c>
      <c r="C11" s="258" t="n">
        <v>0.645833333333333</v>
      </c>
      <c r="D11" s="258" t="n">
        <v>0.65625</v>
      </c>
      <c r="E11" s="71" t="s">
        <v>74</v>
      </c>
      <c r="F11" s="71" t="s">
        <v>379</v>
      </c>
      <c r="G11" s="259" t="s">
        <v>124</v>
      </c>
      <c r="H11" s="258" t="n">
        <f aca="false">IF($C11=0,"",$D11-$C11)</f>
        <v>0.0104166666666667</v>
      </c>
      <c r="I11" s="260" t="n">
        <f aca="false">IF($C11=0,"",($H11-INT($H11))*24)</f>
        <v>0.25</v>
      </c>
      <c r="J11" s="303" t="n">
        <f aca="false">SUMIF(Horodateur112335381922313437434649525558616469852226343846505854626670747882909894102106114118110122126130134138142146150154158162166170174178182186190194198202206210214410[Jour],$B11,Horodateur112335381922313437434649525558616469852226343846505854626670747882909894102106114118110122126130134138142146150154158162166170174178182186190194198202206210214410[Durée (100)])</f>
        <v>7</v>
      </c>
      <c r="K11" s="335"/>
      <c r="L11" s="188" t="s">
        <v>31</v>
      </c>
      <c r="M11" s="272" t="n">
        <f aca="false">IF(Horodateur112335381922313437434649525558616469852226343846505854626670747882909894102106114118110122126130134138142146150154158162166170174178182186190194198202206210214410[[#This Row],[O]]="o",Horodateur112335381922313437434649525558616469852226343846505854626670747882909894102106114118110122126130134138142146150154158162166170174178182186190194198202206210214410[[#This Row],[Durée (100)]],".")</f>
        <v>0.249999999999999</v>
      </c>
      <c r="N11" s="187"/>
      <c r="O11" s="71"/>
      <c r="P11" s="71"/>
      <c r="Q11" s="71"/>
      <c r="R11" s="71"/>
      <c r="S11" s="71"/>
      <c r="T11" s="71"/>
      <c r="U11" s="71"/>
      <c r="V11" s="71"/>
      <c r="W11" s="71"/>
      <c r="X11" s="71"/>
      <c r="Y11" s="71"/>
      <c r="Z11" s="71"/>
      <c r="AA11" s="71"/>
      <c r="AB11" s="71"/>
      <c r="AC11" s="71"/>
      <c r="AD11" s="71"/>
      <c r="AE11" s="71"/>
      <c r="AF11" s="71"/>
      <c r="AG11" s="71"/>
    </row>
    <row r="12" customFormat="false" ht="15" hidden="false" customHeight="false" outlineLevel="0" collapsed="false">
      <c r="A12" s="256" t="n">
        <f aca="false">IF(Horodateur112335381922313437434649525558616469852226343846505854626670747882909894102106114118110122126130134138142146150154158162166170174178182186190194198202206210214410[[#This Row],[Jour]]="1- Lundi",$B$1+1, IF(Horodateur112335381922313437434649525558616469852226343846505854626670747882909894102106114118110122126130134138142146150154158162166170174178182186190194198202206210214410[[#This Row],[Jour]]="2- Mardi",$B$1+2, IF(Horodateur112335381922313437434649525558616469852226343846505854626670747882909894102106114118110122126130134138142146150154158162166170174178182186190194198202206210214410[[#This Row],[Jour]]="3- Mercredi",$B$1+3, IF(Horodateur112335381922313437434649525558616469852226343846505854626670747882909894102106114118110122126130134138142146150154158162166170174178182186190194198202206210214410[[#This Row],[Jour]]="4- Jeudi",$B$1+4, IF(Horodateur112335381922313437434649525558616469852226343846505854626670747882909894102106114118110122126130134138142146150154158162166170174178182186190194198202206210214410[[#This Row],[Jour]]="5- Vendredi",$B$1+5, IF(Horodateur112335381922313437434649525558616469852226343846505854626670747882909894102106114118110122126130134138142146150154158162166170174178182186190194198202206210214410[[#This Row],[Jour]]="6- Samedi",$B$1+6, IF(Horodateur112335381922313437434649525558616469852226343846505854626670747882909894102106114118110122126130134138142146150154158162166170174178182186190194198202206210214410[[#This Row],[Jour]]="7- Dimanche",$B$1, )))))))</f>
        <v>44215</v>
      </c>
      <c r="B12" s="257" t="s">
        <v>312</v>
      </c>
      <c r="C12" s="258" t="n">
        <v>0.65625</v>
      </c>
      <c r="D12" s="258" t="n">
        <v>0.677083333333333</v>
      </c>
      <c r="E12" s="71" t="s">
        <v>74</v>
      </c>
      <c r="F12" s="71" t="s">
        <v>22</v>
      </c>
      <c r="G12" s="259" t="s">
        <v>661</v>
      </c>
      <c r="H12" s="258" t="n">
        <f aca="false">IF($C12=0,"",$D12-$C12)</f>
        <v>0.0208333333333333</v>
      </c>
      <c r="I12" s="260" t="n">
        <f aca="false">IF($C12=0,"",($H12-INT($H12))*24)</f>
        <v>0.5</v>
      </c>
      <c r="J12" s="303" t="n">
        <f aca="false">SUMIF(Horodateur112335381922313437434649525558616469852226343846505854626670747882909894102106114118110122126130134138142146150154158162166170174178182186190194198202206210214410[Jour],$B12,Horodateur112335381922313437434649525558616469852226343846505854626670747882909894102106114118110122126130134138142146150154158162166170174178182186190194198202206210214410[Durée (100)])</f>
        <v>7</v>
      </c>
      <c r="K12" s="335"/>
      <c r="L12" s="188" t="s">
        <v>31</v>
      </c>
      <c r="M12" s="272" t="n">
        <f aca="false">IF(Horodateur112335381922313437434649525558616469852226343846505854626670747882909894102106114118110122126130134138142146150154158162166170174178182186190194198202206210214410[[#This Row],[O]]="o",Horodateur112335381922313437434649525558616469852226343846505854626670747882909894102106114118110122126130134138142146150154158162166170174178182186190194198202206210214410[[#This Row],[Durée (100)]],".")</f>
        <v>0.500000000000001</v>
      </c>
      <c r="N12" s="187"/>
      <c r="O12" s="71"/>
      <c r="P12" s="71"/>
      <c r="Q12" s="71"/>
      <c r="R12" s="71"/>
      <c r="S12" s="71"/>
      <c r="T12" s="71"/>
      <c r="U12" s="71"/>
      <c r="V12" s="71"/>
      <c r="W12" s="71"/>
      <c r="X12" s="71"/>
      <c r="Y12" s="71"/>
      <c r="Z12" s="71"/>
      <c r="AA12" s="71"/>
      <c r="AB12" s="71"/>
      <c r="AC12" s="71"/>
      <c r="AD12" s="71"/>
      <c r="AE12" s="71"/>
      <c r="AF12" s="71"/>
      <c r="AG12" s="71"/>
    </row>
    <row r="13" customFormat="false" ht="15" hidden="false" customHeight="false" outlineLevel="0" collapsed="false">
      <c r="A13" s="256" t="n">
        <f aca="false">IF(Horodateur112335381922313437434649525558616469852226343846505854626670747882909894102106114118110122126130134138142146150154158162166170174178182186190194198202206210214410[[#This Row],[Jour]]="1- Lundi",$B$1+1, IF(Horodateur112335381922313437434649525558616469852226343846505854626670747882909894102106114118110122126130134138142146150154158162166170174178182186190194198202206210214410[[#This Row],[Jour]]="2- Mardi",$B$1+2, IF(Horodateur112335381922313437434649525558616469852226343846505854626670747882909894102106114118110122126130134138142146150154158162166170174178182186190194198202206210214410[[#This Row],[Jour]]="3- Mercredi",$B$1+3, IF(Horodateur112335381922313437434649525558616469852226343846505854626670747882909894102106114118110122126130134138142146150154158162166170174178182186190194198202206210214410[[#This Row],[Jour]]="4- Jeudi",$B$1+4, IF(Horodateur112335381922313437434649525558616469852226343846505854626670747882909894102106114118110122126130134138142146150154158162166170174178182186190194198202206210214410[[#This Row],[Jour]]="5- Vendredi",$B$1+5, IF(Horodateur112335381922313437434649525558616469852226343846505854626670747882909894102106114118110122126130134138142146150154158162166170174178182186190194198202206210214410[[#This Row],[Jour]]="6- Samedi",$B$1+6, IF(Horodateur112335381922313437434649525558616469852226343846505854626670747882909894102106114118110122126130134138142146150154158162166170174178182186190194198202206210214410[[#This Row],[Jour]]="7- Dimanche",$B$1, )))))))</f>
        <v>44215</v>
      </c>
      <c r="B13" s="257" t="s">
        <v>312</v>
      </c>
      <c r="C13" s="258" t="n">
        <v>0.6875</v>
      </c>
      <c r="D13" s="258" t="n">
        <v>0.729166666666667</v>
      </c>
      <c r="E13" s="71" t="s">
        <v>32</v>
      </c>
      <c r="F13" s="71" t="s">
        <v>22</v>
      </c>
      <c r="G13" s="259" t="s">
        <v>662</v>
      </c>
      <c r="H13" s="258" t="n">
        <f aca="false">IF($C13=0,"",$D13-$C13)</f>
        <v>0.0416666666666666</v>
      </c>
      <c r="I13" s="260" t="n">
        <f aca="false">IF($C13=0,"",($H13-INT($H13))*24)</f>
        <v>0.999999999999999</v>
      </c>
      <c r="J13" s="303" t="n">
        <f aca="false">SUMIF(Horodateur112335381922313437434649525558616469852226343846505854626670747882909894102106114118110122126130134138142146150154158162166170174178182186190194198202206210214410[Jour],$B13,Horodateur112335381922313437434649525558616469852226343846505854626670747882909894102106114118110122126130134138142146150154158162166170174178182186190194198202206210214410[Durée (100)])</f>
        <v>7</v>
      </c>
      <c r="K13" s="335"/>
      <c r="L13" s="188" t="s">
        <v>31</v>
      </c>
      <c r="M13" s="272" t="n">
        <f aca="false">IF(Horodateur112335381922313437434649525558616469852226343846505854626670747882909894102106114118110122126130134138142146150154158162166170174178182186190194198202206210214410[[#This Row],[O]]="o",Horodateur112335381922313437434649525558616469852226343846505854626670747882909894102106114118110122126130134138142146150154158162166170174178182186190194198202206210214410[[#This Row],[Durée (100)]],".")</f>
        <v>0.999999999999999</v>
      </c>
      <c r="N13" s="187"/>
      <c r="O13" s="71"/>
      <c r="P13" s="71"/>
      <c r="Q13" s="71"/>
      <c r="R13" s="71"/>
      <c r="S13" s="71"/>
      <c r="T13" s="71"/>
      <c r="U13" s="71"/>
      <c r="V13" s="71"/>
      <c r="W13" s="71"/>
      <c r="X13" s="71"/>
      <c r="Y13" s="71"/>
      <c r="Z13" s="71"/>
      <c r="AA13" s="71"/>
      <c r="AB13" s="71"/>
      <c r="AC13" s="71"/>
      <c r="AD13" s="71"/>
      <c r="AE13" s="71"/>
      <c r="AF13" s="71"/>
      <c r="AG13" s="71"/>
    </row>
    <row r="14" customFormat="false" ht="15" hidden="false" customHeight="false" outlineLevel="0" collapsed="false">
      <c r="A14" s="256" t="n">
        <f aca="false">IF(Horodateur112335381922313437434649525558616469852226343846505854626670747882909894102106114118110122126130134138142146150154158162166170174178182186190194198202206210214410[[#This Row],[Jour]]="1- Lundi",$B$1+1, IF(Horodateur112335381922313437434649525558616469852226343846505854626670747882909894102106114118110122126130134138142146150154158162166170174178182186190194198202206210214410[[#This Row],[Jour]]="2- Mardi",$B$1+2, IF(Horodateur112335381922313437434649525558616469852226343846505854626670747882909894102106114118110122126130134138142146150154158162166170174178182186190194198202206210214410[[#This Row],[Jour]]="3- Mercredi",$B$1+3, IF(Horodateur112335381922313437434649525558616469852226343846505854626670747882909894102106114118110122126130134138142146150154158162166170174178182186190194198202206210214410[[#This Row],[Jour]]="4- Jeudi",$B$1+4, IF(Horodateur112335381922313437434649525558616469852226343846505854626670747882909894102106114118110122126130134138142146150154158162166170174178182186190194198202206210214410[[#This Row],[Jour]]="5- Vendredi",$B$1+5, IF(Horodateur112335381922313437434649525558616469852226343846505854626670747882909894102106114118110122126130134138142146150154158162166170174178182186190194198202206210214410[[#This Row],[Jour]]="6- Samedi",$B$1+6, IF(Horodateur112335381922313437434649525558616469852226343846505854626670747882909894102106114118110122126130134138142146150154158162166170174178182186190194198202206210214410[[#This Row],[Jour]]="7- Dimanche",$B$1, )))))))</f>
        <v>44215</v>
      </c>
      <c r="B14" s="257" t="s">
        <v>312</v>
      </c>
      <c r="C14" s="258" t="n">
        <v>0.822916666666667</v>
      </c>
      <c r="D14" s="258" t="n">
        <v>0.833333333333333</v>
      </c>
      <c r="E14" s="71" t="s">
        <v>32</v>
      </c>
      <c r="F14" s="71" t="s">
        <v>23</v>
      </c>
      <c r="G14" s="259" t="s">
        <v>663</v>
      </c>
      <c r="H14" s="258" t="n">
        <f aca="false">IF($C14=0,"",$D14-$C14)</f>
        <v>0.0104166666666667</v>
      </c>
      <c r="I14" s="260" t="n">
        <f aca="false">IF($C14=0,"",($H14-INT($H14))*24)</f>
        <v>0.250000000000002</v>
      </c>
      <c r="J14" s="303" t="n">
        <f aca="false">SUMIF(Horodateur112335381922313437434649525558616469852226343846505854626670747882909894102106114118110122126130134138142146150154158162166170174178182186190194198202206210214410[Jour],$B14,Horodateur112335381922313437434649525558616469852226343846505854626670747882909894102106114118110122126130134138142146150154158162166170174178182186190194198202206210214410[Durée (100)])</f>
        <v>7</v>
      </c>
      <c r="K14" s="335"/>
      <c r="L14" s="188" t="s">
        <v>31</v>
      </c>
      <c r="M14" s="272" t="n">
        <f aca="false">IF(Horodateur112335381922313437434649525558616469852226343846505854626670747882909894102106114118110122126130134138142146150154158162166170174178182186190194198202206210214410[[#This Row],[O]]="o",Horodateur112335381922313437434649525558616469852226343846505854626670747882909894102106114118110122126130134138142146150154158162166170174178182186190194198202206210214410[[#This Row],[Durée (100)]],".")</f>
        <v>0.250000000000002</v>
      </c>
      <c r="N14" s="187"/>
      <c r="O14" s="71"/>
      <c r="P14" s="71"/>
      <c r="Q14" s="71"/>
      <c r="R14" s="71"/>
      <c r="S14" s="71"/>
      <c r="T14" s="71"/>
      <c r="U14" s="71"/>
      <c r="V14" s="71"/>
      <c r="W14" s="71"/>
      <c r="X14" s="71"/>
      <c r="Y14" s="71"/>
      <c r="Z14" s="71"/>
      <c r="AA14" s="71"/>
      <c r="AB14" s="71"/>
      <c r="AC14" s="71"/>
      <c r="AD14" s="71"/>
      <c r="AE14" s="71"/>
      <c r="AF14" s="71"/>
      <c r="AG14" s="71"/>
    </row>
    <row r="15" customFormat="false" ht="15" hidden="false" customHeight="false" outlineLevel="0" collapsed="false">
      <c r="A15" s="256" t="n">
        <f aca="false">IF(Horodateur112335381922313437434649525558616469852226343846505854626670747882909894102106114118110122126130134138142146150154158162166170174178182186190194198202206210214410[[#This Row],[Jour]]="1- Lundi",$B$1+1, IF(Horodateur112335381922313437434649525558616469852226343846505854626670747882909894102106114118110122126130134138142146150154158162166170174178182186190194198202206210214410[[#This Row],[Jour]]="2- Mardi",$B$1+2, IF(Horodateur112335381922313437434649525558616469852226343846505854626670747882909894102106114118110122126130134138142146150154158162166170174178182186190194198202206210214410[[#This Row],[Jour]]="3- Mercredi",$B$1+3, IF(Horodateur112335381922313437434649525558616469852226343846505854626670747882909894102106114118110122126130134138142146150154158162166170174178182186190194198202206210214410[[#This Row],[Jour]]="4- Jeudi",$B$1+4, IF(Horodateur112335381922313437434649525558616469852226343846505854626670747882909894102106114118110122126130134138142146150154158162166170174178182186190194198202206210214410[[#This Row],[Jour]]="5- Vendredi",$B$1+5, IF(Horodateur112335381922313437434649525558616469852226343846505854626670747882909894102106114118110122126130134138142146150154158162166170174178182186190194198202206210214410[[#This Row],[Jour]]="6- Samedi",$B$1+6, IF(Horodateur112335381922313437434649525558616469852226343846505854626670747882909894102106114118110122126130134138142146150154158162166170174178182186190194198202206210214410[[#This Row],[Jour]]="7- Dimanche",$B$1, )))))))</f>
        <v>44216</v>
      </c>
      <c r="B15" s="257" t="s">
        <v>319</v>
      </c>
      <c r="C15" s="258" t="n">
        <v>0.333333333333333</v>
      </c>
      <c r="D15" s="258" t="n">
        <v>0.354166666666667</v>
      </c>
      <c r="E15" s="71" t="s">
        <v>32</v>
      </c>
      <c r="F15" s="71" t="s">
        <v>23</v>
      </c>
      <c r="G15" s="259"/>
      <c r="H15" s="258" t="n">
        <f aca="false">IF($C15=0,"",$D15-$C15)</f>
        <v>0.0208333333333333</v>
      </c>
      <c r="I15" s="260" t="n">
        <f aca="false">IF($C15=0,"",($H15-INT($H15))*24)</f>
        <v>0.5</v>
      </c>
      <c r="J15" s="303" t="n">
        <f aca="false">SUMIF(Horodateur112335381922313437434649525558616469852226343846505854626670747882909894102106114118110122126130134138142146150154158162166170174178182186190194198202206210214410[Jour],$B15,Horodateur112335381922313437434649525558616469852226343846505854626670747882909894102106114118110122126130134138142146150154158162166170174178182186190194198202206210214410[Durée (100)])</f>
        <v>9</v>
      </c>
      <c r="K15" s="335"/>
      <c r="L15" s="188" t="s">
        <v>31</v>
      </c>
      <c r="M15" s="272" t="n">
        <f aca="false">IF(Horodateur112335381922313437434649525558616469852226343846505854626670747882909894102106114118110122126130134138142146150154158162166170174178182186190194198202206210214410[[#This Row],[O]]="o",Horodateur112335381922313437434649525558616469852226343846505854626670747882909894102106114118110122126130134138142146150154158162166170174178182186190194198202206210214410[[#This Row],[Durée (100)]],".")</f>
        <v>0.500000000000001</v>
      </c>
      <c r="N15" s="187"/>
      <c r="O15" s="71"/>
      <c r="P15" s="71"/>
      <c r="Q15" s="71"/>
      <c r="R15" s="71"/>
      <c r="S15" s="71"/>
      <c r="T15" s="71"/>
      <c r="U15" s="71"/>
      <c r="V15" s="71"/>
      <c r="W15" s="71"/>
      <c r="X15" s="71"/>
      <c r="Y15" s="71"/>
      <c r="Z15" s="71"/>
      <c r="AA15" s="71"/>
      <c r="AB15" s="71"/>
      <c r="AC15" s="71"/>
      <c r="AD15" s="71"/>
      <c r="AE15" s="71"/>
      <c r="AF15" s="71"/>
      <c r="AG15" s="71"/>
    </row>
    <row r="16" customFormat="false" ht="15" hidden="false" customHeight="false" outlineLevel="0" collapsed="false">
      <c r="A16" s="256" t="n">
        <f aca="false">IF(Horodateur112335381922313437434649525558616469852226343846505854626670747882909894102106114118110122126130134138142146150154158162166170174178182186190194198202206210214410[[#This Row],[Jour]]="1- Lundi",$B$1+1, IF(Horodateur112335381922313437434649525558616469852226343846505854626670747882909894102106114118110122126130134138142146150154158162166170174178182186190194198202206210214410[[#This Row],[Jour]]="2- Mardi",$B$1+2, IF(Horodateur112335381922313437434649525558616469852226343846505854626670747882909894102106114118110122126130134138142146150154158162166170174178182186190194198202206210214410[[#This Row],[Jour]]="3- Mercredi",$B$1+3, IF(Horodateur112335381922313437434649525558616469852226343846505854626670747882909894102106114118110122126130134138142146150154158162166170174178182186190194198202206210214410[[#This Row],[Jour]]="4- Jeudi",$B$1+4, IF(Horodateur112335381922313437434649525558616469852226343846505854626670747882909894102106114118110122126130134138142146150154158162166170174178182186190194198202206210214410[[#This Row],[Jour]]="5- Vendredi",$B$1+5, IF(Horodateur112335381922313437434649525558616469852226343846505854626670747882909894102106114118110122126130134138142146150154158162166170174178182186190194198202206210214410[[#This Row],[Jour]]="6- Samedi",$B$1+6, IF(Horodateur112335381922313437434649525558616469852226343846505854626670747882909894102106114118110122126130134138142146150154158162166170174178182186190194198202206210214410[[#This Row],[Jour]]="7- Dimanche",$B$1, )))))))</f>
        <v>44216</v>
      </c>
      <c r="B16" s="257" t="s">
        <v>319</v>
      </c>
      <c r="C16" s="258" t="n">
        <v>0.354166666666667</v>
      </c>
      <c r="D16" s="258" t="n">
        <v>0.416666666666667</v>
      </c>
      <c r="E16" s="71" t="s">
        <v>66</v>
      </c>
      <c r="F16" s="71" t="s">
        <v>378</v>
      </c>
      <c r="G16" s="259" t="s">
        <v>664</v>
      </c>
      <c r="H16" s="258" t="n">
        <f aca="false">IF($C16=0,"",$D16-$C16)</f>
        <v>0.0625</v>
      </c>
      <c r="I16" s="260" t="n">
        <f aca="false">IF($C16=0,"",($H16-INT($H16))*24)</f>
        <v>1.5</v>
      </c>
      <c r="J16" s="303" t="n">
        <f aca="false">SUMIF(Horodateur112335381922313437434649525558616469852226343846505854626670747882909894102106114118110122126130134138142146150154158162166170174178182186190194198202206210214410[Jour],$B16,Horodateur112335381922313437434649525558616469852226343846505854626670747882909894102106114118110122126130134138142146150154158162166170174178182186190194198202206210214410[Durée (100)])</f>
        <v>9</v>
      </c>
      <c r="K16" s="335"/>
      <c r="L16" s="188" t="s">
        <v>31</v>
      </c>
      <c r="M16" s="272" t="n">
        <f aca="false">IF(Horodateur112335381922313437434649525558616469852226343846505854626670747882909894102106114118110122126130134138142146150154158162166170174178182186190194198202206210214410[[#This Row],[O]]="o",Horodateur112335381922313437434649525558616469852226343846505854626670747882909894102106114118110122126130134138142146150154158162166170174178182186190194198202206210214410[[#This Row],[Durée (100)]],".")</f>
        <v>1.5</v>
      </c>
      <c r="N16" s="187"/>
      <c r="O16" s="71"/>
      <c r="P16" s="71"/>
      <c r="Q16" s="71"/>
      <c r="R16" s="71"/>
      <c r="S16" s="71"/>
      <c r="T16" s="71"/>
      <c r="U16" s="71"/>
      <c r="V16" s="71"/>
      <c r="W16" s="71"/>
      <c r="X16" s="71"/>
      <c r="Y16" s="71"/>
      <c r="Z16" s="71"/>
      <c r="AA16" s="71"/>
      <c r="AB16" s="71"/>
      <c r="AC16" s="71"/>
      <c r="AD16" s="71"/>
      <c r="AE16" s="71"/>
      <c r="AF16" s="71"/>
      <c r="AG16" s="71"/>
    </row>
    <row r="17" customFormat="false" ht="15" hidden="false" customHeight="false" outlineLevel="0" collapsed="false">
      <c r="A17" s="256" t="n">
        <f aca="false">IF(Horodateur112335381922313437434649525558616469852226343846505854626670747882909894102106114118110122126130134138142146150154158162166170174178182186190194198202206210214410[[#This Row],[Jour]]="1- Lundi",$B$1+1, IF(Horodateur112335381922313437434649525558616469852226343846505854626670747882909894102106114118110122126130134138142146150154158162166170174178182186190194198202206210214410[[#This Row],[Jour]]="2- Mardi",$B$1+2, IF(Horodateur112335381922313437434649525558616469852226343846505854626670747882909894102106114118110122126130134138142146150154158162166170174178182186190194198202206210214410[[#This Row],[Jour]]="3- Mercredi",$B$1+3, IF(Horodateur112335381922313437434649525558616469852226343846505854626670747882909894102106114118110122126130134138142146150154158162166170174178182186190194198202206210214410[[#This Row],[Jour]]="4- Jeudi",$B$1+4, IF(Horodateur112335381922313437434649525558616469852226343846505854626670747882909894102106114118110122126130134138142146150154158162166170174178182186190194198202206210214410[[#This Row],[Jour]]="5- Vendredi",$B$1+5, IF(Horodateur112335381922313437434649525558616469852226343846505854626670747882909894102106114118110122126130134138142146150154158162166170174178182186190194198202206210214410[[#This Row],[Jour]]="6- Samedi",$B$1+6, IF(Horodateur112335381922313437434649525558616469852226343846505854626670747882909894102106114118110122126130134138142146150154158162166170174178182186190194198202206210214410[[#This Row],[Jour]]="7- Dimanche",$B$1, )))))))</f>
        <v>44216</v>
      </c>
      <c r="B17" s="257" t="s">
        <v>319</v>
      </c>
      <c r="C17" s="258" t="n">
        <v>0.416666666666667</v>
      </c>
      <c r="D17" s="258" t="n">
        <v>0.427083333333333</v>
      </c>
      <c r="E17" s="71" t="s">
        <v>78</v>
      </c>
      <c r="F17" s="71" t="s">
        <v>379</v>
      </c>
      <c r="G17" s="259" t="s">
        <v>124</v>
      </c>
      <c r="H17" s="258" t="n">
        <f aca="false">IF($C17=0,"",$D17-$C17)</f>
        <v>0.0104166666666666</v>
      </c>
      <c r="I17" s="260" t="n">
        <f aca="false">IF($C17=0,"",($H17-INT($H17))*24)</f>
        <v>0.249999999999999</v>
      </c>
      <c r="J17" s="303" t="n">
        <f aca="false">SUMIF(Horodateur112335381922313437434649525558616469852226343846505854626670747882909894102106114118110122126130134138142146150154158162166170174178182186190194198202206210214410[Jour],$B17,Horodateur112335381922313437434649525558616469852226343846505854626670747882909894102106114118110122126130134138142146150154158162166170174178182186190194198202206210214410[Durée (100)])</f>
        <v>9</v>
      </c>
      <c r="K17" s="335"/>
      <c r="L17" s="188" t="s">
        <v>31</v>
      </c>
      <c r="M17" s="272" t="n">
        <f aca="false">IF(Horodateur112335381922313437434649525558616469852226343846505854626670747882909894102106114118110122126130134138142146150154158162166170174178182186190194198202206210214410[[#This Row],[O]]="o",Horodateur112335381922313437434649525558616469852226343846505854626670747882909894102106114118110122126130134138142146150154158162166170174178182186190194198202206210214410[[#This Row],[Durée (100)]],".")</f>
        <v>0.249999999999999</v>
      </c>
      <c r="N17" s="187"/>
      <c r="O17" s="71"/>
      <c r="P17" s="71"/>
      <c r="Q17" s="71"/>
      <c r="R17" s="71"/>
      <c r="S17" s="71"/>
      <c r="T17" s="71"/>
      <c r="U17" s="71"/>
      <c r="V17" s="71"/>
      <c r="W17" s="71"/>
      <c r="X17" s="71"/>
      <c r="Y17" s="71"/>
      <c r="Z17" s="71"/>
      <c r="AA17" s="71"/>
      <c r="AB17" s="71"/>
      <c r="AC17" s="71"/>
      <c r="AD17" s="71"/>
      <c r="AE17" s="71"/>
      <c r="AF17" s="71"/>
      <c r="AG17" s="71"/>
    </row>
    <row r="18" customFormat="false" ht="15" hidden="false" customHeight="false" outlineLevel="0" collapsed="false">
      <c r="A18" s="256" t="n">
        <f aca="false">IF(Horodateur112335381922313437434649525558616469852226343846505854626670747882909894102106114118110122126130134138142146150154158162166170174178182186190194198202206210214410[[#This Row],[Jour]]="1- Lundi",$B$1+1, IF(Horodateur112335381922313437434649525558616469852226343846505854626670747882909894102106114118110122126130134138142146150154158162166170174178182186190194198202206210214410[[#This Row],[Jour]]="2- Mardi",$B$1+2, IF(Horodateur112335381922313437434649525558616469852226343846505854626670747882909894102106114118110122126130134138142146150154158162166170174178182186190194198202206210214410[[#This Row],[Jour]]="3- Mercredi",$B$1+3, IF(Horodateur112335381922313437434649525558616469852226343846505854626670747882909894102106114118110122126130134138142146150154158162166170174178182186190194198202206210214410[[#This Row],[Jour]]="4- Jeudi",$B$1+4, IF(Horodateur112335381922313437434649525558616469852226343846505854626670747882909894102106114118110122126130134138142146150154158162166170174178182186190194198202206210214410[[#This Row],[Jour]]="5- Vendredi",$B$1+5, IF(Horodateur112335381922313437434649525558616469852226343846505854626670747882909894102106114118110122126130134138142146150154158162166170174178182186190194198202206210214410[[#This Row],[Jour]]="6- Samedi",$B$1+6, IF(Horodateur112335381922313437434649525558616469852226343846505854626670747882909894102106114118110122126130134138142146150154158162166170174178182186190194198202206210214410[[#This Row],[Jour]]="7- Dimanche",$B$1, )))))))</f>
        <v>44216</v>
      </c>
      <c r="B18" s="257" t="s">
        <v>319</v>
      </c>
      <c r="C18" s="258" t="n">
        <v>0.427083333333333</v>
      </c>
      <c r="D18" s="258" t="n">
        <v>0.479166666666667</v>
      </c>
      <c r="E18" s="71" t="s">
        <v>362</v>
      </c>
      <c r="F18" s="71" t="s">
        <v>380</v>
      </c>
      <c r="G18" s="259" t="s">
        <v>665</v>
      </c>
      <c r="H18" s="258" t="n">
        <f aca="false">IF($C18=0,"",$D18-$C18)</f>
        <v>0.0520833333333334</v>
      </c>
      <c r="I18" s="260" t="n">
        <f aca="false">IF($C18=0,"",($H18-INT($H18))*24)</f>
        <v>1.25</v>
      </c>
      <c r="J18" s="303" t="n">
        <f aca="false">SUMIF(Horodateur112335381922313437434649525558616469852226343846505854626670747882909894102106114118110122126130134138142146150154158162166170174178182186190194198202206210214410[Jour],$B18,Horodateur112335381922313437434649525558616469852226343846505854626670747882909894102106114118110122126130134138142146150154158162166170174178182186190194198202206210214410[Durée (100)])</f>
        <v>9</v>
      </c>
      <c r="K18" s="335"/>
      <c r="L18" s="188" t="s">
        <v>31</v>
      </c>
      <c r="M18" s="272" t="n">
        <f aca="false">IF(Horodateur112335381922313437434649525558616469852226343846505854626670747882909894102106114118110122126130134138142146150154158162166170174178182186190194198202206210214410[[#This Row],[O]]="o",Horodateur112335381922313437434649525558616469852226343846505854626670747882909894102106114118110122126130134138142146150154158162166170174178182186190194198202206210214410[[#This Row],[Durée (100)]],".")</f>
        <v>1.25</v>
      </c>
      <c r="N18" s="187"/>
      <c r="O18" s="71"/>
      <c r="P18" s="71"/>
      <c r="Q18" s="71"/>
      <c r="R18" s="71"/>
      <c r="S18" s="71"/>
      <c r="T18" s="71"/>
      <c r="U18" s="71"/>
      <c r="V18" s="71"/>
      <c r="W18" s="71"/>
      <c r="X18" s="71"/>
      <c r="Y18" s="71"/>
      <c r="Z18" s="71"/>
      <c r="AA18" s="71"/>
      <c r="AB18" s="71"/>
      <c r="AC18" s="71"/>
      <c r="AD18" s="71"/>
      <c r="AE18" s="71"/>
      <c r="AF18" s="71"/>
      <c r="AG18" s="71"/>
    </row>
    <row r="19" customFormat="false" ht="15" hidden="false" customHeight="false" outlineLevel="0" collapsed="false">
      <c r="A19" s="256" t="n">
        <f aca="false">IF(Horodateur112335381922313437434649525558616469852226343846505854626670747882909894102106114118110122126130134138142146150154158162166170174178182186190194198202206210214410[[#This Row],[Jour]]="1- Lundi",$B$1+1, IF(Horodateur112335381922313437434649525558616469852226343846505854626670747882909894102106114118110122126130134138142146150154158162166170174178182186190194198202206210214410[[#This Row],[Jour]]="2- Mardi",$B$1+2, IF(Horodateur112335381922313437434649525558616469852226343846505854626670747882909894102106114118110122126130134138142146150154158162166170174178182186190194198202206210214410[[#This Row],[Jour]]="3- Mercredi",$B$1+3, IF(Horodateur112335381922313437434649525558616469852226343846505854626670747882909894102106114118110122126130134138142146150154158162166170174178182186190194198202206210214410[[#This Row],[Jour]]="4- Jeudi",$B$1+4, IF(Horodateur112335381922313437434649525558616469852226343846505854626670747882909894102106114118110122126130134138142146150154158162166170174178182186190194198202206210214410[[#This Row],[Jour]]="5- Vendredi",$B$1+5, IF(Horodateur112335381922313437434649525558616469852226343846505854626670747882909894102106114118110122126130134138142146150154158162166170174178182186190194198202206210214410[[#This Row],[Jour]]="6- Samedi",$B$1+6, IF(Horodateur112335381922313437434649525558616469852226343846505854626670747882909894102106114118110122126130134138142146150154158162166170174178182186190194198202206210214410[[#This Row],[Jour]]="7- Dimanche",$B$1, )))))))</f>
        <v>44216</v>
      </c>
      <c r="B19" s="257" t="s">
        <v>319</v>
      </c>
      <c r="C19" s="258" t="n">
        <v>0.479166666666667</v>
      </c>
      <c r="D19" s="258" t="n">
        <v>0.520833333333333</v>
      </c>
      <c r="E19" s="71" t="s">
        <v>70</v>
      </c>
      <c r="F19" s="71" t="s">
        <v>379</v>
      </c>
      <c r="G19" s="259" t="s">
        <v>666</v>
      </c>
      <c r="H19" s="258" t="n">
        <f aca="false">IF($C19=0,"",$D19-$C19)</f>
        <v>0.0416666666666667</v>
      </c>
      <c r="I19" s="260" t="n">
        <f aca="false">IF($C19=0,"",($H19-INT($H19))*24)</f>
        <v>1</v>
      </c>
      <c r="J19" s="303" t="n">
        <f aca="false">SUMIF(Horodateur112335381922313437434649525558616469852226343846505854626670747882909894102106114118110122126130134138142146150154158162166170174178182186190194198202206210214410[Jour],$B19,Horodateur112335381922313437434649525558616469852226343846505854626670747882909894102106114118110122126130134138142146150154158162166170174178182186190194198202206210214410[Durée (100)])</f>
        <v>9</v>
      </c>
      <c r="K19" s="335"/>
      <c r="L19" s="188" t="s">
        <v>31</v>
      </c>
      <c r="M19" s="272" t="n">
        <f aca="false">IF(Horodateur112335381922313437434649525558616469852226343846505854626670747882909894102106114118110122126130134138142146150154158162166170174178182186190194198202206210214410[[#This Row],[O]]="o",Horodateur112335381922313437434649525558616469852226343846505854626670747882909894102106114118110122126130134138142146150154158162166170174178182186190194198202206210214410[[#This Row],[Durée (100)]],".")</f>
        <v>1</v>
      </c>
      <c r="N19" s="187"/>
      <c r="O19" s="71"/>
      <c r="P19" s="71"/>
      <c r="Q19" s="71"/>
      <c r="R19" s="71"/>
      <c r="S19" s="71"/>
      <c r="T19" s="71"/>
      <c r="U19" s="71"/>
      <c r="V19" s="71"/>
      <c r="W19" s="71"/>
      <c r="X19" s="71"/>
      <c r="Y19" s="71"/>
      <c r="Z19" s="71"/>
      <c r="AA19" s="71"/>
      <c r="AB19" s="71"/>
      <c r="AC19" s="71"/>
      <c r="AD19" s="71"/>
      <c r="AE19" s="71"/>
      <c r="AF19" s="71"/>
      <c r="AG19" s="71"/>
    </row>
    <row r="20" customFormat="false" ht="15" hidden="false" customHeight="false" outlineLevel="0" collapsed="false">
      <c r="A20" s="256" t="n">
        <f aca="false">IF(Horodateur112335381922313437434649525558616469852226343846505854626670747882909894102106114118110122126130134138142146150154158162166170174178182186190194198202206210214410[[#This Row],[Jour]]="1- Lundi",$B$1+1, IF(Horodateur112335381922313437434649525558616469852226343846505854626670747882909894102106114118110122126130134138142146150154158162166170174178182186190194198202206210214410[[#This Row],[Jour]]="2- Mardi",$B$1+2, IF(Horodateur112335381922313437434649525558616469852226343846505854626670747882909894102106114118110122126130134138142146150154158162166170174178182186190194198202206210214410[[#This Row],[Jour]]="3- Mercredi",$B$1+3, IF(Horodateur112335381922313437434649525558616469852226343846505854626670747882909894102106114118110122126130134138142146150154158162166170174178182186190194198202206210214410[[#This Row],[Jour]]="4- Jeudi",$B$1+4, IF(Horodateur112335381922313437434649525558616469852226343846505854626670747882909894102106114118110122126130134138142146150154158162166170174178182186190194198202206210214410[[#This Row],[Jour]]="5- Vendredi",$B$1+5, IF(Horodateur112335381922313437434649525558616469852226343846505854626670747882909894102106114118110122126130134138142146150154158162166170174178182186190194198202206210214410[[#This Row],[Jour]]="6- Samedi",$B$1+6, IF(Horodateur112335381922313437434649525558616469852226343846505854626670747882909894102106114118110122126130134138142146150154158162166170174178182186190194198202206210214410[[#This Row],[Jour]]="7- Dimanche",$B$1, )))))))</f>
        <v>44216</v>
      </c>
      <c r="B20" s="257" t="s">
        <v>319</v>
      </c>
      <c r="C20" s="258" t="n">
        <v>0.572916666666667</v>
      </c>
      <c r="D20" s="258" t="n">
        <v>0.583333333333333</v>
      </c>
      <c r="E20" s="71" t="s">
        <v>362</v>
      </c>
      <c r="F20" s="71" t="s">
        <v>380</v>
      </c>
      <c r="G20" s="259" t="s">
        <v>665</v>
      </c>
      <c r="H20" s="258" t="n">
        <f aca="false">IF($C20=0,"",$D20-$C20)</f>
        <v>0.0104166666666667</v>
      </c>
      <c r="I20" s="260" t="n">
        <f aca="false">IF($C20=0,"",($H20-INT($H20))*24)</f>
        <v>0.250000000000002</v>
      </c>
      <c r="J20" s="303" t="n">
        <f aca="false">SUMIF(Horodateur112335381922313437434649525558616469852226343846505854626670747882909894102106114118110122126130134138142146150154158162166170174178182186190194198202206210214410[Jour],$B20,Horodateur112335381922313437434649525558616469852226343846505854626670747882909894102106114118110122126130134138142146150154158162166170174178182186190194198202206210214410[Durée (100)])</f>
        <v>9</v>
      </c>
      <c r="K20" s="335"/>
      <c r="L20" s="188" t="s">
        <v>31</v>
      </c>
      <c r="M20" s="272" t="n">
        <f aca="false">IF(Horodateur112335381922313437434649525558616469852226343846505854626670747882909894102106114118110122126130134138142146150154158162166170174178182186190194198202206210214410[[#This Row],[O]]="o",Horodateur112335381922313437434649525558616469852226343846505854626670747882909894102106114118110122126130134138142146150154158162166170174178182186190194198202206210214410[[#This Row],[Durée (100)]],".")</f>
        <v>0.250000000000002</v>
      </c>
      <c r="N20" s="187"/>
      <c r="O20" s="71"/>
      <c r="P20" s="71"/>
      <c r="Q20" s="71"/>
      <c r="R20" s="71"/>
      <c r="S20" s="71"/>
      <c r="T20" s="71"/>
      <c r="U20" s="71"/>
      <c r="V20" s="71"/>
      <c r="W20" s="71"/>
      <c r="X20" s="71"/>
      <c r="Y20" s="71"/>
      <c r="Z20" s="71"/>
      <c r="AA20" s="71"/>
      <c r="AB20" s="71"/>
      <c r="AC20" s="71"/>
      <c r="AD20" s="71"/>
      <c r="AE20" s="71"/>
      <c r="AF20" s="71"/>
      <c r="AG20" s="71"/>
    </row>
    <row r="21" customFormat="false" ht="15" hidden="false" customHeight="false" outlineLevel="0" collapsed="false">
      <c r="A21" s="256" t="n">
        <f aca="false">IF(Horodateur112335381922313437434649525558616469852226343846505854626670747882909894102106114118110122126130134138142146150154158162166170174178182186190194198202206210214410[[#This Row],[Jour]]="1- Lundi",$B$1+1, IF(Horodateur112335381922313437434649525558616469852226343846505854626670747882909894102106114118110122126130134138142146150154158162166170174178182186190194198202206210214410[[#This Row],[Jour]]="2- Mardi",$B$1+2, IF(Horodateur112335381922313437434649525558616469852226343846505854626670747882909894102106114118110122126130134138142146150154158162166170174178182186190194198202206210214410[[#This Row],[Jour]]="3- Mercredi",$B$1+3, IF(Horodateur112335381922313437434649525558616469852226343846505854626670747882909894102106114118110122126130134138142146150154158162166170174178182186190194198202206210214410[[#This Row],[Jour]]="4- Jeudi",$B$1+4, IF(Horodateur112335381922313437434649525558616469852226343846505854626670747882909894102106114118110122126130134138142146150154158162166170174178182186190194198202206210214410[[#This Row],[Jour]]="5- Vendredi",$B$1+5, IF(Horodateur112335381922313437434649525558616469852226343846505854626670747882909894102106114118110122126130134138142146150154158162166170174178182186190194198202206210214410[[#This Row],[Jour]]="6- Samedi",$B$1+6, IF(Horodateur112335381922313437434649525558616469852226343846505854626670747882909894102106114118110122126130134138142146150154158162166170174178182186190194198202206210214410[[#This Row],[Jour]]="7- Dimanche",$B$1, )))))))</f>
        <v>44216</v>
      </c>
      <c r="B21" s="257" t="s">
        <v>319</v>
      </c>
      <c r="C21" s="258" t="n">
        <v>0.583333333333333</v>
      </c>
      <c r="D21" s="258" t="n">
        <v>0.625</v>
      </c>
      <c r="E21" s="71" t="s">
        <v>32</v>
      </c>
      <c r="F21" s="71" t="s">
        <v>23</v>
      </c>
      <c r="G21" s="259"/>
      <c r="H21" s="258" t="n">
        <f aca="false">IF($C21=0,"",$D21-$C21)</f>
        <v>0.0416666666666667</v>
      </c>
      <c r="I21" s="260" t="n">
        <f aca="false">IF($C21=0,"",($H21-INT($H21))*24)</f>
        <v>1</v>
      </c>
      <c r="J21" s="303" t="n">
        <f aca="false">SUMIF(Horodateur112335381922313437434649525558616469852226343846505854626670747882909894102106114118110122126130134138142146150154158162166170174178182186190194198202206210214410[Jour],$B21,Horodateur112335381922313437434649525558616469852226343846505854626670747882909894102106114118110122126130134138142146150154158162166170174178182186190194198202206210214410[Durée (100)])</f>
        <v>9</v>
      </c>
      <c r="K21" s="335"/>
      <c r="L21" s="188" t="s">
        <v>31</v>
      </c>
      <c r="M21" s="272" t="n">
        <f aca="false">IF(Horodateur112335381922313437434649525558616469852226343846505854626670747882909894102106114118110122126130134138142146150154158162166170174178182186190194198202206210214410[[#This Row],[O]]="o",Horodateur112335381922313437434649525558616469852226343846505854626670747882909894102106114118110122126130134138142146150154158162166170174178182186190194198202206210214410[[#This Row],[Durée (100)]],".")</f>
        <v>0.999999999999999</v>
      </c>
      <c r="N21" s="187"/>
      <c r="O21" s="71"/>
      <c r="P21" s="71"/>
      <c r="Q21" s="71"/>
      <c r="R21" s="71"/>
      <c r="S21" s="71"/>
      <c r="T21" s="71"/>
      <c r="U21" s="71"/>
      <c r="V21" s="71"/>
      <c r="W21" s="71"/>
      <c r="X21" s="71"/>
      <c r="Y21" s="71"/>
      <c r="Z21" s="71"/>
      <c r="AA21" s="71"/>
      <c r="AB21" s="71"/>
      <c r="AC21" s="71"/>
      <c r="AD21" s="71"/>
      <c r="AE21" s="71"/>
      <c r="AF21" s="71"/>
      <c r="AG21" s="71"/>
    </row>
    <row r="22" customFormat="false" ht="15" hidden="false" customHeight="false" outlineLevel="0" collapsed="false">
      <c r="A22" s="256" t="n">
        <f aca="false">IF(Horodateur112335381922313437434649525558616469852226343846505854626670747882909894102106114118110122126130134138142146150154158162166170174178182186190194198202206210214410[[#This Row],[Jour]]="1- Lundi",$B$1+1, IF(Horodateur112335381922313437434649525558616469852226343846505854626670747882909894102106114118110122126130134138142146150154158162166170174178182186190194198202206210214410[[#This Row],[Jour]]="2- Mardi",$B$1+2, IF(Horodateur112335381922313437434649525558616469852226343846505854626670747882909894102106114118110122126130134138142146150154158162166170174178182186190194198202206210214410[[#This Row],[Jour]]="3- Mercredi",$B$1+3, IF(Horodateur112335381922313437434649525558616469852226343846505854626670747882909894102106114118110122126130134138142146150154158162166170174178182186190194198202206210214410[[#This Row],[Jour]]="4- Jeudi",$B$1+4, IF(Horodateur112335381922313437434649525558616469852226343846505854626670747882909894102106114118110122126130134138142146150154158162166170174178182186190194198202206210214410[[#This Row],[Jour]]="5- Vendredi",$B$1+5, IF(Horodateur112335381922313437434649525558616469852226343846505854626670747882909894102106114118110122126130134138142146150154158162166170174178182186190194198202206210214410[[#This Row],[Jour]]="6- Samedi",$B$1+6, IF(Horodateur112335381922313437434649525558616469852226343846505854626670747882909894102106114118110122126130134138142146150154158162166170174178182186190194198202206210214410[[#This Row],[Jour]]="7- Dimanche",$B$1, )))))))</f>
        <v>44216</v>
      </c>
      <c r="B22" s="257" t="s">
        <v>319</v>
      </c>
      <c r="C22" s="258" t="n">
        <v>0.625</v>
      </c>
      <c r="D22" s="258" t="n">
        <v>0.739583333333333</v>
      </c>
      <c r="E22" s="71" t="s">
        <v>362</v>
      </c>
      <c r="F22" s="71" t="s">
        <v>380</v>
      </c>
      <c r="G22" s="259" t="s">
        <v>665</v>
      </c>
      <c r="H22" s="258" t="n">
        <f aca="false">IF($C22=0,"",$D22-$C22)</f>
        <v>0.114583333333333</v>
      </c>
      <c r="I22" s="260" t="n">
        <f aca="false">IF($C22=0,"",($H22-INT($H22))*24)</f>
        <v>2.75</v>
      </c>
      <c r="J22" s="303" t="n">
        <f aca="false">SUMIF(Horodateur112335381922313437434649525558616469852226343846505854626670747882909894102106114118110122126130134138142146150154158162166170174178182186190194198202206210214410[Jour],$B22,Horodateur112335381922313437434649525558616469852226343846505854626670747882909894102106114118110122126130134138142146150154158162166170174178182186190194198202206210214410[Durée (100)])</f>
        <v>9</v>
      </c>
      <c r="K22" s="335"/>
      <c r="L22" s="188" t="s">
        <v>31</v>
      </c>
      <c r="M22" s="272" t="n">
        <f aca="false">IF(Horodateur112335381922313437434649525558616469852226343846505854626670747882909894102106114118110122126130134138142146150154158162166170174178182186190194198202206210214410[[#This Row],[O]]="o",Horodateur112335381922313437434649525558616469852226343846505854626670747882909894102106114118110122126130134138142146150154158162166170174178182186190194198202206210214410[[#This Row],[Durée (100)]],".")</f>
        <v>2.75</v>
      </c>
      <c r="N22" s="187"/>
      <c r="O22" s="71"/>
      <c r="P22" s="71"/>
      <c r="Q22" s="71"/>
      <c r="R22" s="71"/>
      <c r="S22" s="71"/>
      <c r="T22" s="71"/>
      <c r="U22" s="71"/>
      <c r="V22" s="71"/>
      <c r="W22" s="71"/>
      <c r="X22" s="71"/>
      <c r="Y22" s="71"/>
      <c r="Z22" s="71"/>
      <c r="AA22" s="71"/>
      <c r="AB22" s="71"/>
      <c r="AC22" s="71"/>
      <c r="AD22" s="71"/>
      <c r="AE22" s="71"/>
      <c r="AF22" s="71"/>
      <c r="AG22" s="71"/>
    </row>
    <row r="23" customFormat="false" ht="15" hidden="false" customHeight="false" outlineLevel="0" collapsed="false">
      <c r="A23" s="256" t="n">
        <f aca="false">IF(Horodateur112335381922313437434649525558616469852226343846505854626670747882909894102106114118110122126130134138142146150154158162166170174178182186190194198202206210214410[[#This Row],[Jour]]="1- Lundi",$B$1+1, IF(Horodateur112335381922313437434649525558616469852226343846505854626670747882909894102106114118110122126130134138142146150154158162166170174178182186190194198202206210214410[[#This Row],[Jour]]="2- Mardi",$B$1+2, IF(Horodateur112335381922313437434649525558616469852226343846505854626670747882909894102106114118110122126130134138142146150154158162166170174178182186190194198202206210214410[[#This Row],[Jour]]="3- Mercredi",$B$1+3, IF(Horodateur112335381922313437434649525558616469852226343846505854626670747882909894102106114118110122126130134138142146150154158162166170174178182186190194198202206210214410[[#This Row],[Jour]]="4- Jeudi",$B$1+4, IF(Horodateur112335381922313437434649525558616469852226343846505854626670747882909894102106114118110122126130134138142146150154158162166170174178182186190194198202206210214410[[#This Row],[Jour]]="5- Vendredi",$B$1+5, IF(Horodateur112335381922313437434649525558616469852226343846505854626670747882909894102106114118110122126130134138142146150154158162166170174178182186190194198202206210214410[[#This Row],[Jour]]="6- Samedi",$B$1+6, IF(Horodateur112335381922313437434649525558616469852226343846505854626670747882909894102106114118110122126130134138142146150154158162166170174178182186190194198202206210214410[[#This Row],[Jour]]="7- Dimanche",$B$1, )))))))</f>
        <v>44216</v>
      </c>
      <c r="B23" s="257" t="s">
        <v>319</v>
      </c>
      <c r="C23" s="258" t="n">
        <v>0.739583333333333</v>
      </c>
      <c r="D23" s="258" t="n">
        <v>0.760416666666667</v>
      </c>
      <c r="E23" s="71" t="s">
        <v>32</v>
      </c>
      <c r="F23" s="71" t="s">
        <v>22</v>
      </c>
      <c r="G23" s="259"/>
      <c r="H23" s="258" t="n">
        <f aca="false">IF($C23=0,"",$D23-$C23)</f>
        <v>0.0208333333333333</v>
      </c>
      <c r="I23" s="260" t="n">
        <f aca="false">IF($C23=0,"",($H23-INT($H23))*24)</f>
        <v>0.499999999999998</v>
      </c>
      <c r="J23" s="303" t="n">
        <f aca="false">SUMIF(Horodateur112335381922313437434649525558616469852226343846505854626670747882909894102106114118110122126130134138142146150154158162166170174178182186190194198202206210214410[Jour],$B23,Horodateur112335381922313437434649525558616469852226343846505854626670747882909894102106114118110122126130134138142146150154158162166170174178182186190194198202206210214410[Durée (100)])</f>
        <v>9</v>
      </c>
      <c r="K23" s="335"/>
      <c r="L23" s="188" t="s">
        <v>31</v>
      </c>
      <c r="M23" s="272" t="n">
        <f aca="false">IF(Horodateur112335381922313437434649525558616469852226343846505854626670747882909894102106114118110122126130134138142146150154158162166170174178182186190194198202206210214410[[#This Row],[O]]="o",Horodateur112335381922313437434649525558616469852226343846505854626670747882909894102106114118110122126130134138142146150154158162166170174178182186190194198202206210214410[[#This Row],[Durée (100)]],".")</f>
        <v>0.499999999999998</v>
      </c>
      <c r="N23" s="187"/>
      <c r="O23" s="71"/>
      <c r="P23" s="71"/>
      <c r="Q23" s="71"/>
      <c r="R23" s="71"/>
      <c r="S23" s="71"/>
      <c r="T23" s="71"/>
      <c r="U23" s="71"/>
      <c r="V23" s="71"/>
      <c r="W23" s="71"/>
      <c r="X23" s="71"/>
      <c r="Y23" s="71"/>
      <c r="Z23" s="71"/>
      <c r="AA23" s="71"/>
      <c r="AB23" s="71"/>
      <c r="AC23" s="71"/>
      <c r="AD23" s="71"/>
      <c r="AE23" s="71"/>
      <c r="AF23" s="71"/>
      <c r="AG23" s="71"/>
    </row>
    <row r="24" customFormat="false" ht="15" hidden="false" customHeight="false" outlineLevel="0" collapsed="false">
      <c r="A24" s="256" t="n">
        <f aca="false">IF(Horodateur112335381922313437434649525558616469852226343846505854626670747882909894102106114118110122126130134138142146150154158162166170174178182186190194198202206210214410[[#This Row],[Jour]]="1- Lundi",$B$1+1, IF(Horodateur112335381922313437434649525558616469852226343846505854626670747882909894102106114118110122126130134138142146150154158162166170174178182186190194198202206210214410[[#This Row],[Jour]]="2- Mardi",$B$1+2, IF(Horodateur112335381922313437434649525558616469852226343846505854626670747882909894102106114118110122126130134138142146150154158162166170174178182186190194198202206210214410[[#This Row],[Jour]]="3- Mercredi",$B$1+3, IF(Horodateur112335381922313437434649525558616469852226343846505854626670747882909894102106114118110122126130134138142146150154158162166170174178182186190194198202206210214410[[#This Row],[Jour]]="4- Jeudi",$B$1+4, IF(Horodateur112335381922313437434649525558616469852226343846505854626670747882909894102106114118110122126130134138142146150154158162166170174178182186190194198202206210214410[[#This Row],[Jour]]="5- Vendredi",$B$1+5, IF(Horodateur112335381922313437434649525558616469852226343846505854626670747882909894102106114118110122126130134138142146150154158162166170174178182186190194198202206210214410[[#This Row],[Jour]]="6- Samedi",$B$1+6, IF(Horodateur112335381922313437434649525558616469852226343846505854626670747882909894102106114118110122126130134138142146150154158162166170174178182186190194198202206210214410[[#This Row],[Jour]]="7- Dimanche",$B$1, )))))))</f>
        <v>44217</v>
      </c>
      <c r="B24" s="257" t="s">
        <v>324</v>
      </c>
      <c r="C24" s="258" t="n">
        <v>0.333333333333333</v>
      </c>
      <c r="D24" s="258" t="n">
        <v>0.375</v>
      </c>
      <c r="E24" s="71" t="s">
        <v>32</v>
      </c>
      <c r="F24" s="71" t="s">
        <v>23</v>
      </c>
      <c r="G24" s="259"/>
      <c r="H24" s="258" t="n">
        <f aca="false">IF($C24=0,"",$D24-$C24)</f>
        <v>0.0416666666666667</v>
      </c>
      <c r="I24" s="260" t="n">
        <f aca="false">IF($C24=0,"",($H24-INT($H24))*24)</f>
        <v>1</v>
      </c>
      <c r="J24" s="303" t="n">
        <f aca="false">SUMIF(Horodateur112335381922313437434649525558616469852226343846505854626670747882909894102106114118110122126130134138142146150154158162166170174178182186190194198202206210214410[Jour],$B24,Horodateur112335381922313437434649525558616469852226343846505854626670747882909894102106114118110122126130134138142146150154158162166170174178182186190194198202206210214410[Durée (100)])</f>
        <v>7.25</v>
      </c>
      <c r="K24" s="335"/>
      <c r="L24" s="188" t="s">
        <v>31</v>
      </c>
      <c r="M24" s="272" t="n">
        <f aca="false">IF(Horodateur112335381922313437434649525558616469852226343846505854626670747882909894102106114118110122126130134138142146150154158162166170174178182186190194198202206210214410[[#This Row],[O]]="o",Horodateur112335381922313437434649525558616469852226343846505854626670747882909894102106114118110122126130134138142146150154158162166170174178182186190194198202206210214410[[#This Row],[Durée (100)]],".")</f>
        <v>1</v>
      </c>
      <c r="N24" s="187"/>
      <c r="O24" s="71"/>
      <c r="P24" s="71"/>
      <c r="Q24" s="71"/>
      <c r="R24" s="71"/>
      <c r="S24" s="71"/>
      <c r="T24" s="71"/>
      <c r="U24" s="71"/>
      <c r="V24" s="71"/>
      <c r="W24" s="71"/>
      <c r="X24" s="71"/>
      <c r="Y24" s="71"/>
      <c r="Z24" s="71"/>
      <c r="AA24" s="71"/>
      <c r="AB24" s="71"/>
      <c r="AC24" s="71"/>
      <c r="AD24" s="71"/>
      <c r="AE24" s="71"/>
      <c r="AF24" s="71"/>
      <c r="AG24" s="71"/>
    </row>
    <row r="25" customFormat="false" ht="15" hidden="false" customHeight="false" outlineLevel="0" collapsed="false">
      <c r="A25" s="256" t="n">
        <f aca="false">IF(Horodateur112335381922313437434649525558616469852226343846505854626670747882909894102106114118110122126130134138142146150154158162166170174178182186190194198202206210214410[[#This Row],[Jour]]="1- Lundi",$B$1+1, IF(Horodateur112335381922313437434649525558616469852226343846505854626670747882909894102106114118110122126130134138142146150154158162166170174178182186190194198202206210214410[[#This Row],[Jour]]="2- Mardi",$B$1+2, IF(Horodateur112335381922313437434649525558616469852226343846505854626670747882909894102106114118110122126130134138142146150154158162166170174178182186190194198202206210214410[[#This Row],[Jour]]="3- Mercredi",$B$1+3, IF(Horodateur112335381922313437434649525558616469852226343846505854626670747882909894102106114118110122126130134138142146150154158162166170174178182186190194198202206210214410[[#This Row],[Jour]]="4- Jeudi",$B$1+4, IF(Horodateur112335381922313437434649525558616469852226343846505854626670747882909894102106114118110122126130134138142146150154158162166170174178182186190194198202206210214410[[#This Row],[Jour]]="5- Vendredi",$B$1+5, IF(Horodateur112335381922313437434649525558616469852226343846505854626670747882909894102106114118110122126130134138142146150154158162166170174178182186190194198202206210214410[[#This Row],[Jour]]="6- Samedi",$B$1+6, IF(Horodateur112335381922313437434649525558616469852226343846505854626670747882909894102106114118110122126130134138142146150154158162166170174178182186190194198202206210214410[[#This Row],[Jour]]="7- Dimanche",$B$1, )))))))</f>
        <v>44217</v>
      </c>
      <c r="B25" s="257" t="s">
        <v>324</v>
      </c>
      <c r="C25" s="258" t="n">
        <v>0.375</v>
      </c>
      <c r="D25" s="258" t="n">
        <v>0.385416666666667</v>
      </c>
      <c r="E25" s="71" t="s">
        <v>363</v>
      </c>
      <c r="F25" s="71" t="s">
        <v>378</v>
      </c>
      <c r="G25" s="259" t="s">
        <v>667</v>
      </c>
      <c r="H25" s="258" t="n">
        <f aca="false">IF($C25=0,"",$D25-$C25)</f>
        <v>0.0104166666666667</v>
      </c>
      <c r="I25" s="260" t="n">
        <f aca="false">IF($C25=0,"",($H25-INT($H25))*24)</f>
        <v>0.25</v>
      </c>
      <c r="J25" s="303" t="n">
        <f aca="false">SUMIF(Horodateur112335381922313437434649525558616469852226343846505854626670747882909894102106114118110122126130134138142146150154158162166170174178182186190194198202206210214410[Jour],$B25,Horodateur112335381922313437434649525558616469852226343846505854626670747882909894102106114118110122126130134138142146150154158162166170174178182186190194198202206210214410[Durée (100)])</f>
        <v>7.25</v>
      </c>
      <c r="K25" s="335"/>
      <c r="L25" s="188" t="s">
        <v>31</v>
      </c>
      <c r="M25" s="272" t="n">
        <f aca="false">IF(Horodateur112335381922313437434649525558616469852226343846505854626670747882909894102106114118110122126130134138142146150154158162166170174178182186190194198202206210214410[[#This Row],[O]]="o",Horodateur112335381922313437434649525558616469852226343846505854626670747882909894102106114118110122126130134138142146150154158162166170174178182186190194198202206210214410[[#This Row],[Durée (100)]],".")</f>
        <v>0.25</v>
      </c>
      <c r="N25" s="187"/>
      <c r="O25" s="71"/>
      <c r="P25" s="71"/>
      <c r="Q25" s="71"/>
      <c r="R25" s="71"/>
      <c r="S25" s="71"/>
      <c r="T25" s="71"/>
      <c r="U25" s="71"/>
      <c r="V25" s="71"/>
      <c r="W25" s="71"/>
      <c r="X25" s="71"/>
      <c r="Y25" s="71"/>
      <c r="Z25" s="71"/>
      <c r="AA25" s="71"/>
      <c r="AB25" s="71"/>
      <c r="AC25" s="71"/>
      <c r="AD25" s="71"/>
      <c r="AE25" s="71"/>
      <c r="AF25" s="71"/>
      <c r="AG25" s="71"/>
    </row>
    <row r="26" customFormat="false" ht="15" hidden="false" customHeight="false" outlineLevel="0" collapsed="false">
      <c r="A26" s="256" t="n">
        <f aca="false">IF(Horodateur112335381922313437434649525558616469852226343846505854626670747882909894102106114118110122126130134138142146150154158162166170174178182186190194198202206210214410[[#This Row],[Jour]]="1- Lundi",$B$1+1, IF(Horodateur112335381922313437434649525558616469852226343846505854626670747882909894102106114118110122126130134138142146150154158162166170174178182186190194198202206210214410[[#This Row],[Jour]]="2- Mardi",$B$1+2, IF(Horodateur112335381922313437434649525558616469852226343846505854626670747882909894102106114118110122126130134138142146150154158162166170174178182186190194198202206210214410[[#This Row],[Jour]]="3- Mercredi",$B$1+3, IF(Horodateur112335381922313437434649525558616469852226343846505854626670747882909894102106114118110122126130134138142146150154158162166170174178182186190194198202206210214410[[#This Row],[Jour]]="4- Jeudi",$B$1+4, IF(Horodateur112335381922313437434649525558616469852226343846505854626670747882909894102106114118110122126130134138142146150154158162166170174178182186190194198202206210214410[[#This Row],[Jour]]="5- Vendredi",$B$1+5, IF(Horodateur112335381922313437434649525558616469852226343846505854626670747882909894102106114118110122126130134138142146150154158162166170174178182186190194198202206210214410[[#This Row],[Jour]]="6- Samedi",$B$1+6, IF(Horodateur112335381922313437434649525558616469852226343846505854626670747882909894102106114118110122126130134138142146150154158162166170174178182186190194198202206210214410[[#This Row],[Jour]]="7- Dimanche",$B$1, )))))))</f>
        <v>44217</v>
      </c>
      <c r="B26" s="257" t="s">
        <v>324</v>
      </c>
      <c r="C26" s="258" t="n">
        <v>0.385416666666667</v>
      </c>
      <c r="D26" s="258" t="n">
        <v>0.40625</v>
      </c>
      <c r="E26" s="71" t="s">
        <v>32</v>
      </c>
      <c r="F26" s="71" t="s">
        <v>21</v>
      </c>
      <c r="G26" s="259"/>
      <c r="H26" s="258" t="n">
        <f aca="false">IF($C26=0,"",$D26-$C26)</f>
        <v>0.0208333333333333</v>
      </c>
      <c r="I26" s="260" t="n">
        <f aca="false">IF($C26=0,"",($H26-INT($H26))*24)</f>
        <v>0.5</v>
      </c>
      <c r="J26" s="303" t="n">
        <f aca="false">SUMIF(Horodateur112335381922313437434649525558616469852226343846505854626670747882909894102106114118110122126130134138142146150154158162166170174178182186190194198202206210214410[Jour],$B26,Horodateur112335381922313437434649525558616469852226343846505854626670747882909894102106114118110122126130134138142146150154158162166170174178182186190194198202206210214410[Durée (100)])</f>
        <v>7.25</v>
      </c>
      <c r="K26" s="335"/>
      <c r="L26" s="188" t="s">
        <v>31</v>
      </c>
      <c r="M26" s="272" t="n">
        <f aca="false">IF(Horodateur112335381922313437434649525558616469852226343846505854626670747882909894102106114118110122126130134138142146150154158162166170174178182186190194198202206210214410[[#This Row],[O]]="o",Horodateur112335381922313437434649525558616469852226343846505854626670747882909894102106114118110122126130134138142146150154158162166170174178182186190194198202206210214410[[#This Row],[Durée (100)]],".")</f>
        <v>0.5</v>
      </c>
      <c r="N26" s="187"/>
      <c r="O26" s="71"/>
      <c r="P26" s="71"/>
      <c r="Q26" s="71"/>
      <c r="R26" s="71"/>
      <c r="S26" s="71"/>
      <c r="T26" s="71"/>
      <c r="U26" s="71"/>
      <c r="V26" s="71"/>
      <c r="W26" s="71"/>
      <c r="X26" s="71"/>
      <c r="Y26" s="71"/>
      <c r="Z26" s="71"/>
      <c r="AA26" s="71"/>
      <c r="AB26" s="71"/>
      <c r="AC26" s="71"/>
      <c r="AD26" s="71"/>
      <c r="AE26" s="71"/>
      <c r="AF26" s="71"/>
      <c r="AG26" s="71"/>
    </row>
    <row r="27" customFormat="false" ht="15" hidden="false" customHeight="false" outlineLevel="0" collapsed="false">
      <c r="A27" s="256" t="n">
        <f aca="false">IF(Horodateur112335381922313437434649525558616469852226343846505854626670747882909894102106114118110122126130134138142146150154158162166170174178182186190194198202206210214410[[#This Row],[Jour]]="1- Lundi",$B$1+1, IF(Horodateur112335381922313437434649525558616469852226343846505854626670747882909894102106114118110122126130134138142146150154158162166170174178182186190194198202206210214410[[#This Row],[Jour]]="2- Mardi",$B$1+2, IF(Horodateur112335381922313437434649525558616469852226343846505854626670747882909894102106114118110122126130134138142146150154158162166170174178182186190194198202206210214410[[#This Row],[Jour]]="3- Mercredi",$B$1+3, IF(Horodateur112335381922313437434649525558616469852226343846505854626670747882909894102106114118110122126130134138142146150154158162166170174178182186190194198202206210214410[[#This Row],[Jour]]="4- Jeudi",$B$1+4, IF(Horodateur112335381922313437434649525558616469852226343846505854626670747882909894102106114118110122126130134138142146150154158162166170174178182186190194198202206210214410[[#This Row],[Jour]]="5- Vendredi",$B$1+5, IF(Horodateur112335381922313437434649525558616469852226343846505854626670747882909894102106114118110122126130134138142146150154158162166170174178182186190194198202206210214410[[#This Row],[Jour]]="6- Samedi",$B$1+6, IF(Horodateur112335381922313437434649525558616469852226343846505854626670747882909894102106114118110122126130134138142146150154158162166170174178182186190194198202206210214410[[#This Row],[Jour]]="7- Dimanche",$B$1, )))))))</f>
        <v>44217</v>
      </c>
      <c r="B27" s="257" t="s">
        <v>324</v>
      </c>
      <c r="C27" s="258" t="n">
        <v>0.40625</v>
      </c>
      <c r="D27" s="258" t="n">
        <v>0.458333333333333</v>
      </c>
      <c r="E27" s="71" t="s">
        <v>363</v>
      </c>
      <c r="F27" s="71" t="s">
        <v>378</v>
      </c>
      <c r="G27" s="259" t="s">
        <v>667</v>
      </c>
      <c r="H27" s="258" t="n">
        <f aca="false">IF($C27=0,"",$D27-$C27)</f>
        <v>0.0520833333333333</v>
      </c>
      <c r="I27" s="260" t="n">
        <f aca="false">IF($C27=0,"",($H27-INT($H27))*24)</f>
        <v>1.25</v>
      </c>
      <c r="J27" s="303" t="n">
        <f aca="false">SUMIF(Horodateur112335381922313437434649525558616469852226343846505854626670747882909894102106114118110122126130134138142146150154158162166170174178182186190194198202206210214410[Jour],$B27,Horodateur112335381922313437434649525558616469852226343846505854626670747882909894102106114118110122126130134138142146150154158162166170174178182186190194198202206210214410[Durée (100)])</f>
        <v>7.25</v>
      </c>
      <c r="K27" s="335"/>
      <c r="L27" s="188" t="s">
        <v>31</v>
      </c>
      <c r="M27" s="272" t="n">
        <f aca="false">IF(Horodateur112335381922313437434649525558616469852226343846505854626670747882909894102106114118110122126130134138142146150154158162166170174178182186190194198202206210214410[[#This Row],[O]]="o",Horodateur112335381922313437434649525558616469852226343846505854626670747882909894102106114118110122126130134138142146150154158162166170174178182186190194198202206210214410[[#This Row],[Durée (100)]],".")</f>
        <v>1.25</v>
      </c>
      <c r="N27" s="187"/>
      <c r="O27" s="71"/>
      <c r="P27" s="71"/>
      <c r="Q27" s="71"/>
      <c r="R27" s="71"/>
      <c r="S27" s="71"/>
      <c r="T27" s="71"/>
      <c r="U27" s="71"/>
      <c r="V27" s="71"/>
      <c r="W27" s="71"/>
      <c r="X27" s="71"/>
      <c r="Y27" s="71"/>
      <c r="Z27" s="71"/>
      <c r="AA27" s="71"/>
      <c r="AB27" s="71"/>
      <c r="AC27" s="71"/>
      <c r="AD27" s="71"/>
      <c r="AE27" s="71"/>
      <c r="AF27" s="71"/>
      <c r="AG27" s="71"/>
    </row>
    <row r="28" customFormat="false" ht="15" hidden="false" customHeight="false" outlineLevel="0" collapsed="false">
      <c r="A28" s="256" t="n">
        <f aca="false">IF(Horodateur112335381922313437434649525558616469852226343846505854626670747882909894102106114118110122126130134138142146150154158162166170174178182186190194198202206210214410[[#This Row],[Jour]]="1- Lundi",$B$1+1, IF(Horodateur112335381922313437434649525558616469852226343846505854626670747882909894102106114118110122126130134138142146150154158162166170174178182186190194198202206210214410[[#This Row],[Jour]]="2- Mardi",$B$1+2, IF(Horodateur112335381922313437434649525558616469852226343846505854626670747882909894102106114118110122126130134138142146150154158162166170174178182186190194198202206210214410[[#This Row],[Jour]]="3- Mercredi",$B$1+3, IF(Horodateur112335381922313437434649525558616469852226343846505854626670747882909894102106114118110122126130134138142146150154158162166170174178182186190194198202206210214410[[#This Row],[Jour]]="4- Jeudi",$B$1+4, IF(Horodateur112335381922313437434649525558616469852226343846505854626670747882909894102106114118110122126130134138142146150154158162166170174178182186190194198202206210214410[[#This Row],[Jour]]="5- Vendredi",$B$1+5, IF(Horodateur112335381922313437434649525558616469852226343846505854626670747882909894102106114118110122126130134138142146150154158162166170174178182186190194198202206210214410[[#This Row],[Jour]]="6- Samedi",$B$1+6, IF(Horodateur112335381922313437434649525558616469852226343846505854626670747882909894102106114118110122126130134138142146150154158162166170174178182186190194198202206210214410[[#This Row],[Jour]]="7- Dimanche",$B$1, )))))))</f>
        <v>44217</v>
      </c>
      <c r="B28" s="257" t="s">
        <v>324</v>
      </c>
      <c r="C28" s="258" t="n">
        <v>0.479166666666667</v>
      </c>
      <c r="D28" s="258" t="n">
        <v>0.489583333333333</v>
      </c>
      <c r="E28" s="71" t="s">
        <v>74</v>
      </c>
      <c r="F28" s="71" t="s">
        <v>22</v>
      </c>
      <c r="G28" s="259" t="s">
        <v>661</v>
      </c>
      <c r="H28" s="258" t="n">
        <f aca="false">IF($C28=0,"",$D28-$C28)</f>
        <v>0.0104166666666667</v>
      </c>
      <c r="I28" s="260" t="n">
        <f aca="false">IF($C28=0,"",($H28-INT($H28))*24)</f>
        <v>0.25</v>
      </c>
      <c r="J28" s="303" t="n">
        <f aca="false">SUMIF(Horodateur112335381922313437434649525558616469852226343846505854626670747882909894102106114118110122126130134138142146150154158162166170174178182186190194198202206210214410[Jour],$B28,Horodateur112335381922313437434649525558616469852226343846505854626670747882909894102106114118110122126130134138142146150154158162166170174178182186190194198202206210214410[Durée (100)])</f>
        <v>7.25</v>
      </c>
      <c r="K28" s="335"/>
      <c r="L28" s="188" t="s">
        <v>31</v>
      </c>
      <c r="M28" s="272" t="n">
        <f aca="false">IF(Horodateur112335381922313437434649525558616469852226343846505854626670747882909894102106114118110122126130134138142146150154158162166170174178182186190194198202206210214410[[#This Row],[O]]="o",Horodateur112335381922313437434649525558616469852226343846505854626670747882909894102106114118110122126130134138142146150154158162166170174178182186190194198202206210214410[[#This Row],[Durée (100)]],".")</f>
        <v>0.249999999999999</v>
      </c>
      <c r="N28" s="187"/>
      <c r="O28" s="71"/>
      <c r="P28" s="71"/>
      <c r="Q28" s="71"/>
      <c r="R28" s="71"/>
      <c r="S28" s="71"/>
      <c r="T28" s="71"/>
      <c r="U28" s="71"/>
      <c r="V28" s="71"/>
      <c r="W28" s="71"/>
      <c r="X28" s="71"/>
      <c r="Y28" s="71"/>
      <c r="Z28" s="71"/>
      <c r="AA28" s="71"/>
      <c r="AB28" s="71"/>
      <c r="AC28" s="71"/>
      <c r="AD28" s="71"/>
      <c r="AE28" s="71"/>
      <c r="AF28" s="71"/>
      <c r="AG28" s="71"/>
    </row>
    <row r="29" customFormat="false" ht="15" hidden="false" customHeight="false" outlineLevel="0" collapsed="false">
      <c r="A29" s="256" t="n">
        <f aca="false">IF(Horodateur112335381922313437434649525558616469852226343846505854626670747882909894102106114118110122126130134138142146150154158162166170174178182186190194198202206210214410[[#This Row],[Jour]]="1- Lundi",$B$1+1, IF(Horodateur112335381922313437434649525558616469852226343846505854626670747882909894102106114118110122126130134138142146150154158162166170174178182186190194198202206210214410[[#This Row],[Jour]]="2- Mardi",$B$1+2, IF(Horodateur112335381922313437434649525558616469852226343846505854626670747882909894102106114118110122126130134138142146150154158162166170174178182186190194198202206210214410[[#This Row],[Jour]]="3- Mercredi",$B$1+3, IF(Horodateur112335381922313437434649525558616469852226343846505854626670747882909894102106114118110122126130134138142146150154158162166170174178182186190194198202206210214410[[#This Row],[Jour]]="4- Jeudi",$B$1+4, IF(Horodateur112335381922313437434649525558616469852226343846505854626670747882909894102106114118110122126130134138142146150154158162166170174178182186190194198202206210214410[[#This Row],[Jour]]="5- Vendredi",$B$1+5, IF(Horodateur112335381922313437434649525558616469852226343846505854626670747882909894102106114118110122126130134138142146150154158162166170174178182186190194198202206210214410[[#This Row],[Jour]]="6- Samedi",$B$1+6, IF(Horodateur112335381922313437434649525558616469852226343846505854626670747882909894102106114118110122126130134138142146150154158162166170174178182186190194198202206210214410[[#This Row],[Jour]]="7- Dimanche",$B$1, )))))))</f>
        <v>44217</v>
      </c>
      <c r="B29" s="257" t="s">
        <v>324</v>
      </c>
      <c r="C29" s="258" t="n">
        <v>0.489583333333333</v>
      </c>
      <c r="D29" s="258" t="n">
        <v>0.5</v>
      </c>
      <c r="E29" s="71" t="s">
        <v>363</v>
      </c>
      <c r="F29" s="71" t="s">
        <v>378</v>
      </c>
      <c r="G29" s="259" t="s">
        <v>667</v>
      </c>
      <c r="H29" s="258" t="n">
        <f aca="false">IF($C29=0,"",$D29-$C29)</f>
        <v>0.0104166666666667</v>
      </c>
      <c r="I29" s="260" t="n">
        <f aca="false">IF($C29=0,"",($H29-INT($H29))*24)</f>
        <v>0.25</v>
      </c>
      <c r="J29" s="303" t="n">
        <f aca="false">SUMIF(Horodateur112335381922313437434649525558616469852226343846505854626670747882909894102106114118110122126130134138142146150154158162166170174178182186190194198202206210214410[Jour],$B29,Horodateur112335381922313437434649525558616469852226343846505854626670747882909894102106114118110122126130134138142146150154158162166170174178182186190194198202206210214410[Durée (100)])</f>
        <v>7.25</v>
      </c>
      <c r="K29" s="335"/>
      <c r="L29" s="188" t="s">
        <v>31</v>
      </c>
      <c r="M29" s="272" t="n">
        <f aca="false">IF(Horodateur112335381922313437434649525558616469852226343846505854626670747882909894102106114118110122126130134138142146150154158162166170174178182186190194198202206210214410[[#This Row],[O]]="o",Horodateur112335381922313437434649525558616469852226343846505854626670747882909894102106114118110122126130134138142146150154158162166170174178182186190194198202206210214410[[#This Row],[Durée (100)]],".")</f>
        <v>0.25</v>
      </c>
      <c r="N29" s="187"/>
      <c r="O29" s="71"/>
      <c r="P29" s="71"/>
      <c r="Q29" s="71"/>
      <c r="R29" s="71"/>
      <c r="S29" s="71"/>
      <c r="T29" s="71"/>
      <c r="U29" s="71"/>
      <c r="V29" s="71"/>
      <c r="W29" s="71"/>
      <c r="X29" s="71"/>
      <c r="Y29" s="71"/>
      <c r="Z29" s="71"/>
      <c r="AA29" s="71"/>
      <c r="AB29" s="71"/>
      <c r="AC29" s="71"/>
      <c r="AD29" s="71"/>
      <c r="AE29" s="71"/>
      <c r="AF29" s="71"/>
      <c r="AG29" s="71"/>
    </row>
    <row r="30" customFormat="false" ht="15" hidden="false" customHeight="false" outlineLevel="0" collapsed="false">
      <c r="A30" s="256" t="n">
        <f aca="false">IF(Horodateur112335381922313437434649525558616469852226343846505854626670747882909894102106114118110122126130134138142146150154158162166170174178182186190194198202206210214410[[#This Row],[Jour]]="1- Lundi",$B$1+1, IF(Horodateur112335381922313437434649525558616469852226343846505854626670747882909894102106114118110122126130134138142146150154158162166170174178182186190194198202206210214410[[#This Row],[Jour]]="2- Mardi",$B$1+2, IF(Horodateur112335381922313437434649525558616469852226343846505854626670747882909894102106114118110122126130134138142146150154158162166170174178182186190194198202206210214410[[#This Row],[Jour]]="3- Mercredi",$B$1+3, IF(Horodateur112335381922313437434649525558616469852226343846505854626670747882909894102106114118110122126130134138142146150154158162166170174178182186190194198202206210214410[[#This Row],[Jour]]="4- Jeudi",$B$1+4, IF(Horodateur112335381922313437434649525558616469852226343846505854626670747882909894102106114118110122126130134138142146150154158162166170174178182186190194198202206210214410[[#This Row],[Jour]]="5- Vendredi",$B$1+5, IF(Horodateur112335381922313437434649525558616469852226343846505854626670747882909894102106114118110122126130134138142146150154158162166170174178182186190194198202206210214410[[#This Row],[Jour]]="6- Samedi",$B$1+6, IF(Horodateur112335381922313437434649525558616469852226343846505854626670747882909894102106114118110122126130134138142146150154158162166170174178182186190194198202206210214410[[#This Row],[Jour]]="7- Dimanche",$B$1, )))))))</f>
        <v>44217</v>
      </c>
      <c r="B30" s="257" t="s">
        <v>324</v>
      </c>
      <c r="C30" s="258" t="n">
        <v>0.59375</v>
      </c>
      <c r="D30" s="258" t="n">
        <v>0.645833333333333</v>
      </c>
      <c r="E30" s="71" t="s">
        <v>363</v>
      </c>
      <c r="F30" s="71" t="s">
        <v>378</v>
      </c>
      <c r="G30" s="259" t="s">
        <v>667</v>
      </c>
      <c r="H30" s="258" t="n">
        <f aca="false">IF($C30=0,"",$D30-$C30)</f>
        <v>0.0520833333333333</v>
      </c>
      <c r="I30" s="260" t="n">
        <f aca="false">IF($C30=0,"",($H30-INT($H30))*24)</f>
        <v>1.25</v>
      </c>
      <c r="J30" s="303" t="n">
        <f aca="false">SUMIF(Horodateur112335381922313437434649525558616469852226343846505854626670747882909894102106114118110122126130134138142146150154158162166170174178182186190194198202206210214410[Jour],$B30,Horodateur112335381922313437434649525558616469852226343846505854626670747882909894102106114118110122126130134138142146150154158162166170174178182186190194198202206210214410[Durée (100)])</f>
        <v>7.25</v>
      </c>
      <c r="K30" s="335"/>
      <c r="L30" s="188" t="s">
        <v>31</v>
      </c>
      <c r="M30" s="272" t="n">
        <f aca="false">IF(Horodateur112335381922313437434649525558616469852226343846505854626670747882909894102106114118110122126130134138142146150154158162166170174178182186190194198202206210214410[[#This Row],[O]]="o",Horodateur112335381922313437434649525558616469852226343846505854626670747882909894102106114118110122126130134138142146150154158162166170174178182186190194198202206210214410[[#This Row],[Durée (100)]],".")</f>
        <v>1.25</v>
      </c>
      <c r="N30" s="187"/>
      <c r="O30" s="71"/>
      <c r="P30" s="71"/>
      <c r="Q30" s="71"/>
      <c r="R30" s="71"/>
      <c r="S30" s="71"/>
      <c r="T30" s="71"/>
      <c r="U30" s="71"/>
      <c r="V30" s="71"/>
      <c r="W30" s="71"/>
      <c r="X30" s="71"/>
      <c r="Y30" s="71"/>
      <c r="Z30" s="71"/>
      <c r="AA30" s="71"/>
      <c r="AB30" s="71"/>
      <c r="AC30" s="71"/>
      <c r="AD30" s="71"/>
      <c r="AE30" s="71"/>
      <c r="AF30" s="71"/>
      <c r="AG30" s="71"/>
    </row>
    <row r="31" customFormat="false" ht="15" hidden="false" customHeight="false" outlineLevel="0" collapsed="false">
      <c r="A31" s="256" t="n">
        <f aca="false">IF(Horodateur112335381922313437434649525558616469852226343846505854626670747882909894102106114118110122126130134138142146150154158162166170174178182186190194198202206210214410[[#This Row],[Jour]]="1- Lundi",$B$1+1, IF(Horodateur112335381922313437434649525558616469852226343846505854626670747882909894102106114118110122126130134138142146150154158162166170174178182186190194198202206210214410[[#This Row],[Jour]]="2- Mardi",$B$1+2, IF(Horodateur112335381922313437434649525558616469852226343846505854626670747882909894102106114118110122126130134138142146150154158162166170174178182186190194198202206210214410[[#This Row],[Jour]]="3- Mercredi",$B$1+3, IF(Horodateur112335381922313437434649525558616469852226343846505854626670747882909894102106114118110122126130134138142146150154158162166170174178182186190194198202206210214410[[#This Row],[Jour]]="4- Jeudi",$B$1+4, IF(Horodateur112335381922313437434649525558616469852226343846505854626670747882909894102106114118110122126130134138142146150154158162166170174178182186190194198202206210214410[[#This Row],[Jour]]="5- Vendredi",$B$1+5, IF(Horodateur112335381922313437434649525558616469852226343846505854626670747882909894102106114118110122126130134138142146150154158162166170174178182186190194198202206210214410[[#This Row],[Jour]]="6- Samedi",$B$1+6, IF(Horodateur112335381922313437434649525558616469852226343846505854626670747882909894102106114118110122126130134138142146150154158162166170174178182186190194198202206210214410[[#This Row],[Jour]]="7- Dimanche",$B$1, )))))))</f>
        <v>44217</v>
      </c>
      <c r="B31" s="257" t="s">
        <v>324</v>
      </c>
      <c r="C31" s="258" t="n">
        <v>0.645833333333333</v>
      </c>
      <c r="D31" s="258" t="n">
        <v>0.666666666666667</v>
      </c>
      <c r="E31" s="71" t="s">
        <v>74</v>
      </c>
      <c r="F31" s="71" t="s">
        <v>378</v>
      </c>
      <c r="G31" s="259" t="s">
        <v>658</v>
      </c>
      <c r="H31" s="258" t="n">
        <f aca="false">IF($C31=0,"",$D31-$C31)</f>
        <v>0.0208333333333333</v>
      </c>
      <c r="I31" s="260" t="n">
        <f aca="false">IF($C31=0,"",($H31-INT($H31))*24)</f>
        <v>0.5</v>
      </c>
      <c r="J31" s="303" t="n">
        <f aca="false">SUMIF(Horodateur112335381922313437434649525558616469852226343846505854626670747882909894102106114118110122126130134138142146150154158162166170174178182186190194198202206210214410[Jour],$B31,Horodateur112335381922313437434649525558616469852226343846505854626670747882909894102106114118110122126130134138142146150154158162166170174178182186190194198202206210214410[Durée (100)])</f>
        <v>7.25</v>
      </c>
      <c r="K31" s="335"/>
      <c r="L31" s="188" t="s">
        <v>31</v>
      </c>
      <c r="M31" s="272" t="n">
        <f aca="false">IF(Horodateur112335381922313437434649525558616469852226343846505854626670747882909894102106114118110122126130134138142146150154158162166170174178182186190194198202206210214410[[#This Row],[O]]="o",Horodateur112335381922313437434649525558616469852226343846505854626670747882909894102106114118110122126130134138142146150154158162166170174178182186190194198202206210214410[[#This Row],[Durée (100)]],".")</f>
        <v>0.499999999999998</v>
      </c>
      <c r="N31" s="187"/>
      <c r="O31" s="71"/>
      <c r="P31" s="71"/>
      <c r="Q31" s="71"/>
      <c r="R31" s="71"/>
      <c r="S31" s="71"/>
      <c r="T31" s="71"/>
      <c r="U31" s="71"/>
      <c r="V31" s="71"/>
      <c r="W31" s="71"/>
      <c r="X31" s="71"/>
      <c r="Y31" s="71"/>
      <c r="Z31" s="71"/>
      <c r="AA31" s="71"/>
      <c r="AB31" s="71"/>
      <c r="AC31" s="71"/>
      <c r="AD31" s="71"/>
      <c r="AE31" s="71"/>
      <c r="AF31" s="71"/>
      <c r="AG31" s="71"/>
    </row>
    <row r="32" customFormat="false" ht="15" hidden="false" customHeight="false" outlineLevel="0" collapsed="false">
      <c r="A32" s="256" t="n">
        <f aca="false">IF(Horodateur112335381922313437434649525558616469852226343846505854626670747882909894102106114118110122126130134138142146150154158162166170174178182186190194198202206210214410[[#This Row],[Jour]]="1- Lundi",$B$1+1, IF(Horodateur112335381922313437434649525558616469852226343846505854626670747882909894102106114118110122126130134138142146150154158162166170174178182186190194198202206210214410[[#This Row],[Jour]]="2- Mardi",$B$1+2, IF(Horodateur112335381922313437434649525558616469852226343846505854626670747882909894102106114118110122126130134138142146150154158162166170174178182186190194198202206210214410[[#This Row],[Jour]]="3- Mercredi",$B$1+3, IF(Horodateur112335381922313437434649525558616469852226343846505854626670747882909894102106114118110122126130134138142146150154158162166170174178182186190194198202206210214410[[#This Row],[Jour]]="4- Jeudi",$B$1+4, IF(Horodateur112335381922313437434649525558616469852226343846505854626670747882909894102106114118110122126130134138142146150154158162166170174178182186190194198202206210214410[[#This Row],[Jour]]="5- Vendredi",$B$1+5, IF(Horodateur112335381922313437434649525558616469852226343846505854626670747882909894102106114118110122126130134138142146150154158162166170174178182186190194198202206210214410[[#This Row],[Jour]]="6- Samedi",$B$1+6, IF(Horodateur112335381922313437434649525558616469852226343846505854626670747882909894102106114118110122126130134138142146150154158162166170174178182186190194198202206210214410[[#This Row],[Jour]]="7- Dimanche",$B$1, )))))))</f>
        <v>44217</v>
      </c>
      <c r="B32" s="257" t="s">
        <v>324</v>
      </c>
      <c r="C32" s="258" t="n">
        <v>0.666666666666667</v>
      </c>
      <c r="D32" s="258" t="n">
        <v>0.708333333333333</v>
      </c>
      <c r="E32" s="71" t="s">
        <v>32</v>
      </c>
      <c r="F32" s="71" t="s">
        <v>22</v>
      </c>
      <c r="G32" s="259"/>
      <c r="H32" s="258" t="n">
        <f aca="false">IF($C32=0,"",$D32-$C32)</f>
        <v>0.0416666666666667</v>
      </c>
      <c r="I32" s="260" t="n">
        <f aca="false">IF($C32=0,"",($H32-INT($H32))*24)</f>
        <v>1</v>
      </c>
      <c r="J32" s="303" t="n">
        <f aca="false">SUMIF(Horodateur112335381922313437434649525558616469852226343846505854626670747882909894102106114118110122126130134138142146150154158162166170174178182186190194198202206210214410[Jour],$B32,Horodateur112335381922313437434649525558616469852226343846505854626670747882909894102106114118110122126130134138142146150154158162166170174178182186190194198202206210214410[Durée (100)])</f>
        <v>7.25</v>
      </c>
      <c r="K32" s="335"/>
      <c r="L32" s="188" t="s">
        <v>31</v>
      </c>
      <c r="M32" s="272" t="n">
        <f aca="false">IF(Horodateur112335381922313437434649525558616469852226343846505854626670747882909894102106114118110122126130134138142146150154158162166170174178182186190194198202206210214410[[#This Row],[O]]="o",Horodateur112335381922313437434649525558616469852226343846505854626670747882909894102106114118110122126130134138142146150154158162166170174178182186190194198202206210214410[[#This Row],[Durée (100)]],".")</f>
        <v>1</v>
      </c>
      <c r="N32" s="187"/>
      <c r="O32" s="71"/>
      <c r="P32" s="71"/>
      <c r="Q32" s="71"/>
      <c r="R32" s="71"/>
      <c r="S32" s="71"/>
      <c r="T32" s="71"/>
      <c r="U32" s="71"/>
      <c r="V32" s="71"/>
      <c r="W32" s="71"/>
      <c r="X32" s="71"/>
      <c r="Y32" s="71"/>
      <c r="Z32" s="71"/>
      <c r="AA32" s="71"/>
      <c r="AB32" s="71"/>
      <c r="AC32" s="71"/>
      <c r="AD32" s="71"/>
      <c r="AE32" s="71"/>
      <c r="AF32" s="71"/>
      <c r="AG32" s="71"/>
    </row>
    <row r="33" customFormat="false" ht="15" hidden="false" customHeight="false" outlineLevel="0" collapsed="false">
      <c r="A33" s="256" t="n">
        <f aca="false">IF(Horodateur112335381922313437434649525558616469852226343846505854626670747882909894102106114118110122126130134138142146150154158162166170174178182186190194198202206210214410[[#This Row],[Jour]]="1- Lundi",$B$1+1, IF(Horodateur112335381922313437434649525558616469852226343846505854626670747882909894102106114118110122126130134138142146150154158162166170174178182186190194198202206210214410[[#This Row],[Jour]]="2- Mardi",$B$1+2, IF(Horodateur112335381922313437434649525558616469852226343846505854626670747882909894102106114118110122126130134138142146150154158162166170174178182186190194198202206210214410[[#This Row],[Jour]]="3- Mercredi",$B$1+3, IF(Horodateur112335381922313437434649525558616469852226343846505854626670747882909894102106114118110122126130134138142146150154158162166170174178182186190194198202206210214410[[#This Row],[Jour]]="4- Jeudi",$B$1+4, IF(Horodateur112335381922313437434649525558616469852226343846505854626670747882909894102106114118110122126130134138142146150154158162166170174178182186190194198202206210214410[[#This Row],[Jour]]="5- Vendredi",$B$1+5, IF(Horodateur112335381922313437434649525558616469852226343846505854626670747882909894102106114118110122126130134138142146150154158162166170174178182186190194198202206210214410[[#This Row],[Jour]]="6- Samedi",$B$1+6, IF(Horodateur112335381922313437434649525558616469852226343846505854626670747882909894102106114118110122126130134138142146150154158162166170174178182186190194198202206210214410[[#This Row],[Jour]]="7- Dimanche",$B$1, )))))))</f>
        <v>44217</v>
      </c>
      <c r="B33" s="257" t="s">
        <v>324</v>
      </c>
      <c r="C33" s="258" t="n">
        <v>0.708333333333333</v>
      </c>
      <c r="D33" s="258" t="n">
        <v>0.75</v>
      </c>
      <c r="E33" s="71" t="s">
        <v>32</v>
      </c>
      <c r="F33" s="71" t="s">
        <v>22</v>
      </c>
      <c r="G33" s="259"/>
      <c r="H33" s="258" t="n">
        <f aca="false">IF($C33=0,"",$D33-$C33)</f>
        <v>0.0416666666666666</v>
      </c>
      <c r="I33" s="260" t="n">
        <f aca="false">IF($C33=0,"",($H33-INT($H33))*24)</f>
        <v>0.999999999999999</v>
      </c>
      <c r="J33" s="303" t="n">
        <f aca="false">SUMIF(Horodateur112335381922313437434649525558616469852226343846505854626670747882909894102106114118110122126130134138142146150154158162166170174178182186190194198202206210214410[Jour],$B33,Horodateur112335381922313437434649525558616469852226343846505854626670747882909894102106114118110122126130134138142146150154158162166170174178182186190194198202206210214410[Durée (100)])</f>
        <v>7.25</v>
      </c>
      <c r="K33" s="335"/>
      <c r="L33" s="188" t="s">
        <v>31</v>
      </c>
      <c r="M33" s="272" t="n">
        <f aca="false">IF(Horodateur112335381922313437434649525558616469852226343846505854626670747882909894102106114118110122126130134138142146150154158162166170174178182186190194198202206210214410[[#This Row],[O]]="o",Horodateur112335381922313437434649525558616469852226343846505854626670747882909894102106114118110122126130134138142146150154158162166170174178182186190194198202206210214410[[#This Row],[Durée (100)]],".")</f>
        <v>0.999999999999999</v>
      </c>
      <c r="N33" s="187"/>
      <c r="O33" s="71"/>
      <c r="P33" s="71"/>
      <c r="Q33" s="71"/>
      <c r="R33" s="71"/>
      <c r="S33" s="71"/>
      <c r="T33" s="71"/>
      <c r="U33" s="71"/>
      <c r="V33" s="71"/>
      <c r="W33" s="71"/>
      <c r="X33" s="71"/>
      <c r="Y33" s="71"/>
      <c r="Z33" s="71"/>
      <c r="AA33" s="71"/>
      <c r="AB33" s="71"/>
      <c r="AC33" s="71"/>
      <c r="AD33" s="71"/>
      <c r="AE33" s="71"/>
      <c r="AF33" s="71"/>
      <c r="AG33" s="71"/>
    </row>
    <row r="34" customFormat="false" ht="15" hidden="false" customHeight="false" outlineLevel="0" collapsed="false">
      <c r="A34" s="256" t="n">
        <f aca="false">IF(Horodateur112335381922313437434649525558616469852226343846505854626670747882909894102106114118110122126130134138142146150154158162166170174178182186190194198202206210214410[[#This Row],[Jour]]="1- Lundi",$B$1+1, IF(Horodateur112335381922313437434649525558616469852226343846505854626670747882909894102106114118110122126130134138142146150154158162166170174178182186190194198202206210214410[[#This Row],[Jour]]="2- Mardi",$B$1+2, IF(Horodateur112335381922313437434649525558616469852226343846505854626670747882909894102106114118110122126130134138142146150154158162166170174178182186190194198202206210214410[[#This Row],[Jour]]="3- Mercredi",$B$1+3, IF(Horodateur112335381922313437434649525558616469852226343846505854626670747882909894102106114118110122126130134138142146150154158162166170174178182186190194198202206210214410[[#This Row],[Jour]]="4- Jeudi",$B$1+4, IF(Horodateur112335381922313437434649525558616469852226343846505854626670747882909894102106114118110122126130134138142146150154158162166170174178182186190194198202206210214410[[#This Row],[Jour]]="5- Vendredi",$B$1+5, IF(Horodateur112335381922313437434649525558616469852226343846505854626670747882909894102106114118110122126130134138142146150154158162166170174178182186190194198202206210214410[[#This Row],[Jour]]="6- Samedi",$B$1+6, IF(Horodateur112335381922313437434649525558616469852226343846505854626670747882909894102106114118110122126130134138142146150154158162166170174178182186190194198202206210214410[[#This Row],[Jour]]="7- Dimanche",$B$1, )))))))</f>
        <v>44218</v>
      </c>
      <c r="B34" s="257" t="s">
        <v>332</v>
      </c>
      <c r="C34" s="258" t="n">
        <v>0.3125</v>
      </c>
      <c r="D34" s="258" t="n">
        <v>0.34375</v>
      </c>
      <c r="E34" s="71" t="s">
        <v>32</v>
      </c>
      <c r="F34" s="71" t="s">
        <v>22</v>
      </c>
      <c r="G34" s="259"/>
      <c r="H34" s="258" t="n">
        <f aca="false">IF($C34=0,"",$D34-$C34)</f>
        <v>0.03125</v>
      </c>
      <c r="I34" s="260" t="n">
        <f aca="false">IF($C34=0,"",($H34-INT($H34))*24)</f>
        <v>0.75</v>
      </c>
      <c r="J34" s="303" t="n">
        <f aca="false">SUMIF(Horodateur112335381922313437434649525558616469852226343846505854626670747882909894102106114118110122126130134138142146150154158162166170174178182186190194198202206210214410[Jour],$B34,Horodateur112335381922313437434649525558616469852226343846505854626670747882909894102106114118110122126130134138142146150154158162166170174178182186190194198202206210214410[Durée (100)])</f>
        <v>8.5</v>
      </c>
      <c r="K34" s="335"/>
      <c r="L34" s="188" t="s">
        <v>31</v>
      </c>
      <c r="M34" s="272" t="n">
        <f aca="false">IF(Horodateur112335381922313437434649525558616469852226343846505854626670747882909894102106114118110122126130134138142146150154158162166170174178182186190194198202206210214410[[#This Row],[O]]="o",Horodateur112335381922313437434649525558616469852226343846505854626670747882909894102106114118110122126130134138142146150154158162166170174178182186190194198202206210214410[[#This Row],[Durée (100)]],".")</f>
        <v>0.75</v>
      </c>
      <c r="N34" s="187"/>
      <c r="O34" s="71"/>
      <c r="P34" s="71"/>
      <c r="Q34" s="71"/>
      <c r="R34" s="71"/>
      <c r="S34" s="71"/>
      <c r="T34" s="71"/>
      <c r="U34" s="71"/>
      <c r="V34" s="71"/>
      <c r="W34" s="71"/>
      <c r="X34" s="71"/>
      <c r="Y34" s="71"/>
      <c r="Z34" s="71"/>
      <c r="AA34" s="71"/>
      <c r="AB34" s="71"/>
      <c r="AC34" s="71"/>
      <c r="AD34" s="71"/>
      <c r="AE34" s="71"/>
      <c r="AF34" s="71"/>
      <c r="AG34" s="71"/>
    </row>
    <row r="35" customFormat="false" ht="15" hidden="false" customHeight="false" outlineLevel="0" collapsed="false">
      <c r="A35" s="256" t="n">
        <f aca="false">IF(Horodateur112335381922313437434649525558616469852226343846505854626670747882909894102106114118110122126130134138142146150154158162166170174178182186190194198202206210214410[[#This Row],[Jour]]="1- Lundi",$B$1+1, IF(Horodateur112335381922313437434649525558616469852226343846505854626670747882909894102106114118110122126130134138142146150154158162166170174178182186190194198202206210214410[[#This Row],[Jour]]="2- Mardi",$B$1+2, IF(Horodateur112335381922313437434649525558616469852226343846505854626670747882909894102106114118110122126130134138142146150154158162166170174178182186190194198202206210214410[[#This Row],[Jour]]="3- Mercredi",$B$1+3, IF(Horodateur112335381922313437434649525558616469852226343846505854626670747882909894102106114118110122126130134138142146150154158162166170174178182186190194198202206210214410[[#This Row],[Jour]]="4- Jeudi",$B$1+4, IF(Horodateur112335381922313437434649525558616469852226343846505854626670747882909894102106114118110122126130134138142146150154158162166170174178182186190194198202206210214410[[#This Row],[Jour]]="5- Vendredi",$B$1+5, IF(Horodateur112335381922313437434649525558616469852226343846505854626670747882909894102106114118110122126130134138142146150154158162166170174178182186190194198202206210214410[[#This Row],[Jour]]="6- Samedi",$B$1+6, IF(Horodateur112335381922313437434649525558616469852226343846505854626670747882909894102106114118110122126130134138142146150154158162166170174178182186190194198202206210214410[[#This Row],[Jour]]="7- Dimanche",$B$1, )))))))</f>
        <v>44218</v>
      </c>
      <c r="B35" s="257" t="s">
        <v>332</v>
      </c>
      <c r="C35" s="258" t="n">
        <v>0.34375</v>
      </c>
      <c r="D35" s="258" t="n">
        <v>0.364583333333333</v>
      </c>
      <c r="E35" s="71" t="s">
        <v>363</v>
      </c>
      <c r="F35" s="71" t="s">
        <v>378</v>
      </c>
      <c r="G35" s="259" t="s">
        <v>90</v>
      </c>
      <c r="H35" s="258" t="n">
        <f aca="false">IF($C35=0,"",$D35-$C35)</f>
        <v>0.0208333333333333</v>
      </c>
      <c r="I35" s="260" t="n">
        <f aca="false">IF($C35=0,"",($H35-INT($H35))*24)</f>
        <v>0.5</v>
      </c>
      <c r="J35" s="303" t="n">
        <f aca="false">SUMIF(Horodateur112335381922313437434649525558616469852226343846505854626670747882909894102106114118110122126130134138142146150154158162166170174178182186190194198202206210214410[Jour],$B35,Horodateur112335381922313437434649525558616469852226343846505854626670747882909894102106114118110122126130134138142146150154158162166170174178182186190194198202206210214410[Durée (100)])</f>
        <v>8.5</v>
      </c>
      <c r="K35" s="335"/>
      <c r="L35" s="188" t="s">
        <v>31</v>
      </c>
      <c r="M35" s="272" t="n">
        <f aca="false">IF(Horodateur112335381922313437434649525558616469852226343846505854626670747882909894102106114118110122126130134138142146150154158162166170174178182186190194198202206210214410[[#This Row],[O]]="o",Horodateur112335381922313437434649525558616469852226343846505854626670747882909894102106114118110122126130134138142146150154158162166170174178182186190194198202206210214410[[#This Row],[Durée (100)]],".")</f>
        <v>0.5</v>
      </c>
      <c r="N35" s="187"/>
      <c r="O35" s="71"/>
      <c r="P35" s="71"/>
      <c r="Q35" s="71"/>
      <c r="R35" s="71"/>
      <c r="S35" s="71"/>
      <c r="T35" s="71"/>
      <c r="U35" s="71"/>
      <c r="V35" s="71"/>
      <c r="W35" s="71"/>
      <c r="X35" s="71"/>
      <c r="Y35" s="71"/>
      <c r="Z35" s="71"/>
      <c r="AA35" s="71"/>
      <c r="AB35" s="71"/>
      <c r="AC35" s="71"/>
      <c r="AD35" s="71"/>
      <c r="AE35" s="71"/>
      <c r="AF35" s="71"/>
      <c r="AG35" s="71"/>
    </row>
    <row r="36" customFormat="false" ht="15" hidden="false" customHeight="false" outlineLevel="0" collapsed="false">
      <c r="A36" s="256" t="n">
        <f aca="false">IF(Horodateur112335381922313437434649525558616469852226343846505854626670747882909894102106114118110122126130134138142146150154158162166170174178182186190194198202206210214410[[#This Row],[Jour]]="1- Lundi",$B$1+1, IF(Horodateur112335381922313437434649525558616469852226343846505854626670747882909894102106114118110122126130134138142146150154158162166170174178182186190194198202206210214410[[#This Row],[Jour]]="2- Mardi",$B$1+2, IF(Horodateur112335381922313437434649525558616469852226343846505854626670747882909894102106114118110122126130134138142146150154158162166170174178182186190194198202206210214410[[#This Row],[Jour]]="3- Mercredi",$B$1+3, IF(Horodateur112335381922313437434649525558616469852226343846505854626670747882909894102106114118110122126130134138142146150154158162166170174178182186190194198202206210214410[[#This Row],[Jour]]="4- Jeudi",$B$1+4, IF(Horodateur112335381922313437434649525558616469852226343846505854626670747882909894102106114118110122126130134138142146150154158162166170174178182186190194198202206210214410[[#This Row],[Jour]]="5- Vendredi",$B$1+5, IF(Horodateur112335381922313437434649525558616469852226343846505854626670747882909894102106114118110122126130134138142146150154158162166170174178182186190194198202206210214410[[#This Row],[Jour]]="6- Samedi",$B$1+6, IF(Horodateur112335381922313437434649525558616469852226343846505854626670747882909894102106114118110122126130134138142146150154158162166170174178182186190194198202206210214410[[#This Row],[Jour]]="7- Dimanche",$B$1, )))))))</f>
        <v>44218</v>
      </c>
      <c r="B36" s="257" t="s">
        <v>332</v>
      </c>
      <c r="C36" s="258" t="n">
        <v>0.375</v>
      </c>
      <c r="D36" s="258" t="n">
        <v>0.5</v>
      </c>
      <c r="E36" s="71" t="s">
        <v>32</v>
      </c>
      <c r="F36" s="71" t="s">
        <v>22</v>
      </c>
      <c r="G36" s="259"/>
      <c r="H36" s="258" t="n">
        <f aca="false">IF($C36=0,"",$D36-$C36)</f>
        <v>0.125</v>
      </c>
      <c r="I36" s="260" t="n">
        <f aca="false">IF($C36=0,"",($H36-INT($H36))*24)</f>
        <v>3</v>
      </c>
      <c r="J36" s="303" t="n">
        <f aca="false">SUMIF(Horodateur112335381922313437434649525558616469852226343846505854626670747882909894102106114118110122126130134138142146150154158162166170174178182186190194198202206210214410[Jour],$B36,Horodateur112335381922313437434649525558616469852226343846505854626670747882909894102106114118110122126130134138142146150154158162166170174178182186190194198202206210214410[Durée (100)])</f>
        <v>8.5</v>
      </c>
      <c r="K36" s="335"/>
      <c r="L36" s="188" t="s">
        <v>31</v>
      </c>
      <c r="M36" s="272" t="n">
        <f aca="false">IF(Horodateur112335381922313437434649525558616469852226343846505854626670747882909894102106114118110122126130134138142146150154158162166170174178182186190194198202206210214410[[#This Row],[O]]="o",Horodateur112335381922313437434649525558616469852226343846505854626670747882909894102106114118110122126130134138142146150154158162166170174178182186190194198202206210214410[[#This Row],[Durée (100)]],".")</f>
        <v>3</v>
      </c>
      <c r="N36" s="187"/>
      <c r="O36" s="71"/>
      <c r="P36" s="71"/>
      <c r="Q36" s="71"/>
      <c r="R36" s="71"/>
      <c r="S36" s="71"/>
      <c r="T36" s="71"/>
      <c r="U36" s="71"/>
      <c r="V36" s="71"/>
      <c r="W36" s="71"/>
      <c r="X36" s="71"/>
      <c r="Y36" s="71"/>
      <c r="Z36" s="71"/>
      <c r="AA36" s="71"/>
      <c r="AB36" s="71"/>
      <c r="AC36" s="71"/>
      <c r="AD36" s="71"/>
      <c r="AE36" s="71"/>
      <c r="AF36" s="71"/>
      <c r="AG36" s="71"/>
    </row>
    <row r="37" customFormat="false" ht="15" hidden="false" customHeight="false" outlineLevel="0" collapsed="false">
      <c r="A37" s="256" t="n">
        <f aca="false">IF(Horodateur112335381922313437434649525558616469852226343846505854626670747882909894102106114118110122126130134138142146150154158162166170174178182186190194198202206210214410[[#This Row],[Jour]]="1- Lundi",$B$1+1, IF(Horodateur112335381922313437434649525558616469852226343846505854626670747882909894102106114118110122126130134138142146150154158162166170174178182186190194198202206210214410[[#This Row],[Jour]]="2- Mardi",$B$1+2, IF(Horodateur112335381922313437434649525558616469852226343846505854626670747882909894102106114118110122126130134138142146150154158162166170174178182186190194198202206210214410[[#This Row],[Jour]]="3- Mercredi",$B$1+3, IF(Horodateur112335381922313437434649525558616469852226343846505854626670747882909894102106114118110122126130134138142146150154158162166170174178182186190194198202206210214410[[#This Row],[Jour]]="4- Jeudi",$B$1+4, IF(Horodateur112335381922313437434649525558616469852226343846505854626670747882909894102106114118110122126130134138142146150154158162166170174178182186190194198202206210214410[[#This Row],[Jour]]="5- Vendredi",$B$1+5, IF(Horodateur112335381922313437434649525558616469852226343846505854626670747882909894102106114118110122126130134138142146150154158162166170174178182186190194198202206210214410[[#This Row],[Jour]]="6- Samedi",$B$1+6, IF(Horodateur112335381922313437434649525558616469852226343846505854626670747882909894102106114118110122126130134138142146150154158162166170174178182186190194198202206210214410[[#This Row],[Jour]]="7- Dimanche",$B$1, )))))))</f>
        <v>44218</v>
      </c>
      <c r="B37" s="257" t="s">
        <v>332</v>
      </c>
      <c r="C37" s="258" t="n">
        <v>0.5625</v>
      </c>
      <c r="D37" s="258" t="n">
        <v>0.604166666666667</v>
      </c>
      <c r="E37" s="71" t="s">
        <v>363</v>
      </c>
      <c r="F37" s="71" t="s">
        <v>378</v>
      </c>
      <c r="G37" s="259" t="s">
        <v>90</v>
      </c>
      <c r="H37" s="258" t="n">
        <f aca="false">IF($C37=0,"",$D37-$C37)</f>
        <v>0.0416666666666667</v>
      </c>
      <c r="I37" s="260" t="n">
        <f aca="false">IF($C37=0,"",($H37-INT($H37))*24)</f>
        <v>1</v>
      </c>
      <c r="J37" s="303" t="n">
        <f aca="false">SUMIF(Horodateur112335381922313437434649525558616469852226343846505854626670747882909894102106114118110122126130134138142146150154158162166170174178182186190194198202206210214410[Jour],$B37,Horodateur112335381922313437434649525558616469852226343846505854626670747882909894102106114118110122126130134138142146150154158162166170174178182186190194198202206210214410[Durée (100)])</f>
        <v>8.5</v>
      </c>
      <c r="K37" s="335"/>
      <c r="L37" s="188" t="s">
        <v>31</v>
      </c>
      <c r="M37" s="272" t="n">
        <f aca="false">IF(Horodateur112335381922313437434649525558616469852226343846505854626670747882909894102106114118110122126130134138142146150154158162166170174178182186190194198202206210214410[[#This Row],[O]]="o",Horodateur112335381922313437434649525558616469852226343846505854626670747882909894102106114118110122126130134138142146150154158162166170174178182186190194198202206210214410[[#This Row],[Durée (100)]],".")</f>
        <v>0.999999999999999</v>
      </c>
      <c r="N37" s="187"/>
      <c r="O37" s="71"/>
      <c r="P37" s="71"/>
      <c r="Q37" s="71"/>
      <c r="R37" s="71"/>
      <c r="S37" s="71"/>
      <c r="T37" s="71"/>
      <c r="U37" s="71"/>
      <c r="V37" s="71"/>
      <c r="W37" s="71"/>
      <c r="X37" s="71"/>
      <c r="Y37" s="71"/>
      <c r="Z37" s="71"/>
      <c r="AA37" s="71"/>
      <c r="AB37" s="71"/>
      <c r="AC37" s="71"/>
      <c r="AD37" s="71"/>
      <c r="AE37" s="71"/>
      <c r="AF37" s="71"/>
      <c r="AG37" s="71"/>
    </row>
    <row r="38" customFormat="false" ht="15" hidden="false" customHeight="false" outlineLevel="0" collapsed="false">
      <c r="A38" s="256" t="n">
        <f aca="false">IF(Horodateur112335381922313437434649525558616469852226343846505854626670747882909894102106114118110122126130134138142146150154158162166170174178182186190194198202206210214410[[#This Row],[Jour]]="1- Lundi",$B$1+1, IF(Horodateur112335381922313437434649525558616469852226343846505854626670747882909894102106114118110122126130134138142146150154158162166170174178182186190194198202206210214410[[#This Row],[Jour]]="2- Mardi",$B$1+2, IF(Horodateur112335381922313437434649525558616469852226343846505854626670747882909894102106114118110122126130134138142146150154158162166170174178182186190194198202206210214410[[#This Row],[Jour]]="3- Mercredi",$B$1+3, IF(Horodateur112335381922313437434649525558616469852226343846505854626670747882909894102106114118110122126130134138142146150154158162166170174178182186190194198202206210214410[[#This Row],[Jour]]="4- Jeudi",$B$1+4, IF(Horodateur112335381922313437434649525558616469852226343846505854626670747882909894102106114118110122126130134138142146150154158162166170174178182186190194198202206210214410[[#This Row],[Jour]]="5- Vendredi",$B$1+5, IF(Horodateur112335381922313437434649525558616469852226343846505854626670747882909894102106114118110122126130134138142146150154158162166170174178182186190194198202206210214410[[#This Row],[Jour]]="6- Samedi",$B$1+6, IF(Horodateur112335381922313437434649525558616469852226343846505854626670747882909894102106114118110122126130134138142146150154158162166170174178182186190194198202206210214410[[#This Row],[Jour]]="7- Dimanche",$B$1, )))))))</f>
        <v>44218</v>
      </c>
      <c r="B38" s="257" t="s">
        <v>332</v>
      </c>
      <c r="C38" s="258" t="n">
        <v>0.604166666666667</v>
      </c>
      <c r="D38" s="258" t="n">
        <v>0.625</v>
      </c>
      <c r="E38" s="71" t="s">
        <v>59</v>
      </c>
      <c r="F38" s="71" t="s">
        <v>379</v>
      </c>
      <c r="G38" s="259" t="s">
        <v>668</v>
      </c>
      <c r="H38" s="258" t="n">
        <f aca="false">IF($C38=0,"",$D38-$C38)</f>
        <v>0.0208333333333333</v>
      </c>
      <c r="I38" s="260" t="n">
        <f aca="false">IF($C38=0,"",($H38-INT($H38))*24)</f>
        <v>0.5</v>
      </c>
      <c r="J38" s="303" t="n">
        <f aca="false">SUMIF(Horodateur112335381922313437434649525558616469852226343846505854626670747882909894102106114118110122126130134138142146150154158162166170174178182186190194198202206210214410[Jour],$B38,Horodateur112335381922313437434649525558616469852226343846505854626670747882909894102106114118110122126130134138142146150154158162166170174178182186190194198202206210214410[Durée (100)])</f>
        <v>8.5</v>
      </c>
      <c r="K38" s="335"/>
      <c r="L38" s="188" t="s">
        <v>31</v>
      </c>
      <c r="M38" s="272" t="n">
        <f aca="false">IF(Horodateur112335381922313437434649525558616469852226343846505854626670747882909894102106114118110122126130134138142146150154158162166170174178182186190194198202206210214410[[#This Row],[O]]="o",Horodateur112335381922313437434649525558616469852226343846505854626670747882909894102106114118110122126130134138142146150154158162166170174178182186190194198202206210214410[[#This Row],[Durée (100)]],".")</f>
        <v>0.500000000000001</v>
      </c>
      <c r="N38" s="187"/>
      <c r="O38" s="71"/>
      <c r="P38" s="71"/>
      <c r="Q38" s="71"/>
      <c r="R38" s="71"/>
      <c r="S38" s="71"/>
      <c r="T38" s="71"/>
      <c r="U38" s="71"/>
      <c r="V38" s="71"/>
      <c r="W38" s="71"/>
      <c r="X38" s="71"/>
      <c r="Y38" s="71"/>
      <c r="Z38" s="71"/>
      <c r="AA38" s="71"/>
      <c r="AB38" s="71"/>
      <c r="AC38" s="71"/>
      <c r="AD38" s="71"/>
      <c r="AE38" s="71"/>
      <c r="AF38" s="71"/>
      <c r="AG38" s="71"/>
    </row>
    <row r="39" customFormat="false" ht="15" hidden="false" customHeight="false" outlineLevel="0" collapsed="false">
      <c r="A39" s="256" t="n">
        <f aca="false">IF(Horodateur112335381922313437434649525558616469852226343846505854626670747882909894102106114118110122126130134138142146150154158162166170174178182186190194198202206210214410[[#This Row],[Jour]]="1- Lundi",$B$1+1, IF(Horodateur112335381922313437434649525558616469852226343846505854626670747882909894102106114118110122126130134138142146150154158162166170174178182186190194198202206210214410[[#This Row],[Jour]]="2- Mardi",$B$1+2, IF(Horodateur112335381922313437434649525558616469852226343846505854626670747882909894102106114118110122126130134138142146150154158162166170174178182186190194198202206210214410[[#This Row],[Jour]]="3- Mercredi",$B$1+3, IF(Horodateur112335381922313437434649525558616469852226343846505854626670747882909894102106114118110122126130134138142146150154158162166170174178182186190194198202206210214410[[#This Row],[Jour]]="4- Jeudi",$B$1+4, IF(Horodateur112335381922313437434649525558616469852226343846505854626670747882909894102106114118110122126130134138142146150154158162166170174178182186190194198202206210214410[[#This Row],[Jour]]="5- Vendredi",$B$1+5, IF(Horodateur112335381922313437434649525558616469852226343846505854626670747882909894102106114118110122126130134138142146150154158162166170174178182186190194198202206210214410[[#This Row],[Jour]]="6- Samedi",$B$1+6, IF(Horodateur112335381922313437434649525558616469852226343846505854626670747882909894102106114118110122126130134138142146150154158162166170174178182186190194198202206210214410[[#This Row],[Jour]]="7- Dimanche",$B$1, )))))))</f>
        <v>44218</v>
      </c>
      <c r="B39" s="257" t="s">
        <v>332</v>
      </c>
      <c r="C39" s="258" t="n">
        <v>0.625</v>
      </c>
      <c r="D39" s="258" t="n">
        <v>0.666666666666667</v>
      </c>
      <c r="E39" s="71" t="s">
        <v>63</v>
      </c>
      <c r="F39" s="71" t="s">
        <v>379</v>
      </c>
      <c r="G39" s="259" t="s">
        <v>669</v>
      </c>
      <c r="H39" s="258" t="n">
        <f aca="false">IF($C39=0,"",$D39-$C39)</f>
        <v>0.0416666666666667</v>
      </c>
      <c r="I39" s="260" t="n">
        <f aca="false">IF($C39=0,"",($H39-INT($H39))*24)</f>
        <v>1</v>
      </c>
      <c r="J39" s="303" t="n">
        <f aca="false">SUMIF(Horodateur112335381922313437434649525558616469852226343846505854626670747882909894102106114118110122126130134138142146150154158162166170174178182186190194198202206210214410[Jour],$B39,Horodateur112335381922313437434649525558616469852226343846505854626670747882909894102106114118110122126130134138142146150154158162166170174178182186190194198202206210214410[Durée (100)])</f>
        <v>8.5</v>
      </c>
      <c r="K39" s="335"/>
      <c r="L39" s="188" t="s">
        <v>31</v>
      </c>
      <c r="M39" s="272" t="n">
        <f aca="false">IF(Horodateur112335381922313437434649525558616469852226343846505854626670747882909894102106114118110122126130134138142146150154158162166170174178182186190194198202206210214410[[#This Row],[O]]="o",Horodateur112335381922313437434649525558616469852226343846505854626670747882909894102106114118110122126130134138142146150154158162166170174178182186190194198202206210214410[[#This Row],[Durée (100)]],".")</f>
        <v>0.999999999999999</v>
      </c>
      <c r="N39" s="187"/>
      <c r="O39" s="71"/>
      <c r="P39" s="71"/>
      <c r="Q39" s="71"/>
      <c r="R39" s="71"/>
      <c r="S39" s="71"/>
      <c r="T39" s="71"/>
      <c r="U39" s="71"/>
      <c r="V39" s="71"/>
      <c r="W39" s="71"/>
      <c r="X39" s="71"/>
      <c r="Y39" s="71"/>
      <c r="Z39" s="71"/>
      <c r="AA39" s="71"/>
      <c r="AB39" s="71"/>
      <c r="AC39" s="71"/>
      <c r="AD39" s="71"/>
      <c r="AE39" s="71"/>
      <c r="AF39" s="71"/>
      <c r="AG39" s="71"/>
    </row>
    <row r="40" customFormat="false" ht="15" hidden="false" customHeight="false" outlineLevel="0" collapsed="false">
      <c r="A40" s="256" t="n">
        <f aca="false">IF(Horodateur112335381922313437434649525558616469852226343846505854626670747882909894102106114118110122126130134138142146150154158162166170174178182186190194198202206210214410[[#This Row],[Jour]]="1- Lundi",$B$1+1, IF(Horodateur112335381922313437434649525558616469852226343846505854626670747882909894102106114118110122126130134138142146150154158162166170174178182186190194198202206210214410[[#This Row],[Jour]]="2- Mardi",$B$1+2, IF(Horodateur112335381922313437434649525558616469852226343846505854626670747882909894102106114118110122126130134138142146150154158162166170174178182186190194198202206210214410[[#This Row],[Jour]]="3- Mercredi",$B$1+3, IF(Horodateur112335381922313437434649525558616469852226343846505854626670747882909894102106114118110122126130134138142146150154158162166170174178182186190194198202206210214410[[#This Row],[Jour]]="4- Jeudi",$B$1+4, IF(Horodateur112335381922313437434649525558616469852226343846505854626670747882909894102106114118110122126130134138142146150154158162166170174178182186190194198202206210214410[[#This Row],[Jour]]="5- Vendredi",$B$1+5, IF(Horodateur112335381922313437434649525558616469852226343846505854626670747882909894102106114118110122126130134138142146150154158162166170174178182186190194198202206210214410[[#This Row],[Jour]]="6- Samedi",$B$1+6, IF(Horodateur112335381922313437434649525558616469852226343846505854626670747882909894102106114118110122126130134138142146150154158162166170174178182186190194198202206210214410[[#This Row],[Jour]]="7- Dimanche",$B$1, )))))))</f>
        <v>44218</v>
      </c>
      <c r="B40" s="257" t="s">
        <v>332</v>
      </c>
      <c r="C40" s="258" t="n">
        <v>0.666666666666667</v>
      </c>
      <c r="D40" s="258" t="n">
        <v>0.677083333333333</v>
      </c>
      <c r="E40" s="71" t="s">
        <v>363</v>
      </c>
      <c r="F40" s="71" t="s">
        <v>378</v>
      </c>
      <c r="G40" s="259" t="s">
        <v>90</v>
      </c>
      <c r="H40" s="258" t="n">
        <f aca="false">IF($C40=0,"",$D40-$C40)</f>
        <v>0.0104166666666667</v>
      </c>
      <c r="I40" s="260" t="n">
        <f aca="false">IF($C40=0,"",($H40-INT($H40))*24)</f>
        <v>0.250000000000002</v>
      </c>
      <c r="J40" s="303" t="n">
        <f aca="false">SUMIF(Horodateur112335381922313437434649525558616469852226343846505854626670747882909894102106114118110122126130134138142146150154158162166170174178182186190194198202206210214410[Jour],$B40,Horodateur112335381922313437434649525558616469852226343846505854626670747882909894102106114118110122126130134138142146150154158162166170174178182186190194198202206210214410[Durée (100)])</f>
        <v>8.5</v>
      </c>
      <c r="K40" s="335"/>
      <c r="L40" s="188" t="s">
        <v>31</v>
      </c>
      <c r="M40" s="272" t="n">
        <f aca="false">IF(Horodateur112335381922313437434649525558616469852226343846505854626670747882909894102106114118110122126130134138142146150154158162166170174178182186190194198202206210214410[[#This Row],[O]]="o",Horodateur112335381922313437434649525558616469852226343846505854626670747882909894102106114118110122126130134138142146150154158162166170174178182186190194198202206210214410[[#This Row],[Durée (100)]],".")</f>
        <v>0.250000000000002</v>
      </c>
      <c r="N40" s="187"/>
      <c r="O40" s="71"/>
      <c r="P40" s="71"/>
      <c r="Q40" s="71"/>
      <c r="R40" s="71"/>
      <c r="S40" s="71"/>
      <c r="T40" s="71"/>
      <c r="U40" s="71"/>
      <c r="V40" s="71"/>
      <c r="W40" s="71"/>
      <c r="X40" s="71"/>
      <c r="Y40" s="71"/>
      <c r="Z40" s="71"/>
      <c r="AA40" s="71"/>
      <c r="AB40" s="71"/>
      <c r="AC40" s="71"/>
      <c r="AD40" s="71"/>
      <c r="AE40" s="71"/>
      <c r="AF40" s="71"/>
      <c r="AG40" s="71"/>
    </row>
    <row r="41" customFormat="false" ht="15" hidden="false" customHeight="false" outlineLevel="0" collapsed="false">
      <c r="A41" s="256" t="n">
        <f aca="false">IF(Horodateur112335381922313437434649525558616469852226343846505854626670747882909894102106114118110122126130134138142146150154158162166170174178182186190194198202206210214410[[#This Row],[Jour]]="1- Lundi",$B$1+1, IF(Horodateur112335381922313437434649525558616469852226343846505854626670747882909894102106114118110122126130134138142146150154158162166170174178182186190194198202206210214410[[#This Row],[Jour]]="2- Mardi",$B$1+2, IF(Horodateur112335381922313437434649525558616469852226343846505854626670747882909894102106114118110122126130134138142146150154158162166170174178182186190194198202206210214410[[#This Row],[Jour]]="3- Mercredi",$B$1+3, IF(Horodateur112335381922313437434649525558616469852226343846505854626670747882909894102106114118110122126130134138142146150154158162166170174178182186190194198202206210214410[[#This Row],[Jour]]="4- Jeudi",$B$1+4, IF(Horodateur112335381922313437434649525558616469852226343846505854626670747882909894102106114118110122126130134138142146150154158162166170174178182186190194198202206210214410[[#This Row],[Jour]]="5- Vendredi",$B$1+5, IF(Horodateur112335381922313437434649525558616469852226343846505854626670747882909894102106114118110122126130134138142146150154158162166170174178182186190194198202206210214410[[#This Row],[Jour]]="6- Samedi",$B$1+6, IF(Horodateur112335381922313437434649525558616469852226343846505854626670747882909894102106114118110122126130134138142146150154158162166170174178182186190194198202206210214410[[#This Row],[Jour]]="7- Dimanche",$B$1, )))))))</f>
        <v>44218</v>
      </c>
      <c r="B41" s="257" t="s">
        <v>332</v>
      </c>
      <c r="C41" s="258" t="n">
        <v>0.677083333333333</v>
      </c>
      <c r="D41" s="258" t="n">
        <v>0.71875</v>
      </c>
      <c r="E41" s="71" t="s">
        <v>363</v>
      </c>
      <c r="F41" s="71" t="s">
        <v>378</v>
      </c>
      <c r="G41" s="259" t="s">
        <v>670</v>
      </c>
      <c r="H41" s="258" t="n">
        <f aca="false">IF($C41=0,"",$D41-$C41)</f>
        <v>0.0416666666666666</v>
      </c>
      <c r="I41" s="260" t="n">
        <f aca="false">IF($C41=0,"",($H41-INT($H41))*24)</f>
        <v>0.999999999999999</v>
      </c>
      <c r="J41" s="303" t="n">
        <f aca="false">SUMIF(Horodateur112335381922313437434649525558616469852226343846505854626670747882909894102106114118110122126130134138142146150154158162166170174178182186190194198202206210214410[Jour],$B41,Horodateur112335381922313437434649525558616469852226343846505854626670747882909894102106114118110122126130134138142146150154158162166170174178182186190194198202206210214410[Durée (100)])</f>
        <v>8.5</v>
      </c>
      <c r="K41" s="335"/>
      <c r="L41" s="188" t="s">
        <v>31</v>
      </c>
      <c r="M41" s="272" t="n">
        <f aca="false">IF(Horodateur112335381922313437434649525558616469852226343846505854626670747882909894102106114118110122126130134138142146150154158162166170174178182186190194198202206210214410[[#This Row],[O]]="o",Horodateur112335381922313437434649525558616469852226343846505854626670747882909894102106114118110122126130134138142146150154158162166170174178182186190194198202206210214410[[#This Row],[Durée (100)]],".")</f>
        <v>0.999999999999999</v>
      </c>
      <c r="N41" s="187"/>
      <c r="O41" s="71"/>
      <c r="P41" s="71"/>
      <c r="Q41" s="71"/>
      <c r="R41" s="71"/>
      <c r="S41" s="71"/>
      <c r="T41" s="71"/>
      <c r="U41" s="71"/>
      <c r="V41" s="71"/>
      <c r="W41" s="71"/>
      <c r="X41" s="71"/>
      <c r="Y41" s="71"/>
      <c r="Z41" s="71"/>
      <c r="AA41" s="71"/>
      <c r="AB41" s="71"/>
      <c r="AC41" s="71"/>
      <c r="AD41" s="71"/>
      <c r="AE41" s="71"/>
      <c r="AF41" s="71"/>
      <c r="AG41" s="71"/>
    </row>
    <row r="42" customFormat="false" ht="15" hidden="false" customHeight="false" outlineLevel="0" collapsed="false">
      <c r="A42" s="256" t="n">
        <f aca="false">IF(Horodateur112335381922313437434649525558616469852226343846505854626670747882909894102106114118110122126130134138142146150154158162166170174178182186190194198202206210214410[[#This Row],[Jour]]="1- Lundi",$B$1+1, IF(Horodateur112335381922313437434649525558616469852226343846505854626670747882909894102106114118110122126130134138142146150154158162166170174178182186190194198202206210214410[[#This Row],[Jour]]="2- Mardi",$B$1+2, IF(Horodateur112335381922313437434649525558616469852226343846505854626670747882909894102106114118110122126130134138142146150154158162166170174178182186190194198202206210214410[[#This Row],[Jour]]="3- Mercredi",$B$1+3, IF(Horodateur112335381922313437434649525558616469852226343846505854626670747882909894102106114118110122126130134138142146150154158162166170174178182186190194198202206210214410[[#This Row],[Jour]]="4- Jeudi",$B$1+4, IF(Horodateur112335381922313437434649525558616469852226343846505854626670747882909894102106114118110122126130134138142146150154158162166170174178182186190194198202206210214410[[#This Row],[Jour]]="5- Vendredi",$B$1+5, IF(Horodateur112335381922313437434649525558616469852226343846505854626670747882909894102106114118110122126130134138142146150154158162166170174178182186190194198202206210214410[[#This Row],[Jour]]="6- Samedi",$B$1+6, IF(Horodateur112335381922313437434649525558616469852226343846505854626670747882909894102106114118110122126130134138142146150154158162166170174178182186190194198202206210214410[[#This Row],[Jour]]="7- Dimanche",$B$1, )))))))</f>
        <v>44218</v>
      </c>
      <c r="B42" s="257" t="s">
        <v>332</v>
      </c>
      <c r="C42" s="258" t="n">
        <v>0.71875</v>
      </c>
      <c r="D42" s="258" t="n">
        <v>0.739583333333333</v>
      </c>
      <c r="E42" s="71" t="s">
        <v>74</v>
      </c>
      <c r="F42" s="71" t="s">
        <v>378</v>
      </c>
      <c r="G42" s="259" t="s">
        <v>658</v>
      </c>
      <c r="H42" s="258" t="n">
        <f aca="false">IF($C42=0,"",$D42-$C42)</f>
        <v>0.0208333333333333</v>
      </c>
      <c r="I42" s="260" t="n">
        <f aca="false">IF($C42=0,"",($H42-INT($H42))*24)</f>
        <v>0.5</v>
      </c>
      <c r="J42" s="303" t="n">
        <f aca="false">SUMIF(Horodateur112335381922313437434649525558616469852226343846505854626670747882909894102106114118110122126130134138142146150154158162166170174178182186190194198202206210214410[Jour],$B42,Horodateur112335381922313437434649525558616469852226343846505854626670747882909894102106114118110122126130134138142146150154158162166170174178182186190194198202206210214410[Durée (100)])</f>
        <v>8.5</v>
      </c>
      <c r="K42" s="335"/>
      <c r="L42" s="188" t="s">
        <v>31</v>
      </c>
      <c r="M42" s="272" t="n">
        <f aca="false">IF(Horodateur112335381922313437434649525558616469852226343846505854626670747882909894102106114118110122126130134138142146150154158162166170174178182186190194198202206210214410[[#This Row],[O]]="o",Horodateur112335381922313437434649525558616469852226343846505854626670747882909894102106114118110122126130134138142146150154158162166170174178182186190194198202206210214410[[#This Row],[Durée (100)]],".")</f>
        <v>0.500000000000001</v>
      </c>
      <c r="N42" s="187"/>
      <c r="O42" s="71"/>
      <c r="P42" s="71"/>
      <c r="Q42" s="71"/>
      <c r="R42" s="71"/>
      <c r="S42" s="71"/>
      <c r="T42" s="71"/>
      <c r="U42" s="71"/>
      <c r="V42" s="71"/>
      <c r="W42" s="71"/>
      <c r="X42" s="71"/>
      <c r="Y42" s="71"/>
      <c r="Z42" s="71"/>
      <c r="AA42" s="71"/>
      <c r="AB42" s="71"/>
      <c r="AC42" s="71"/>
      <c r="AD42" s="71"/>
      <c r="AE42" s="71"/>
      <c r="AF42" s="71"/>
      <c r="AG42" s="71"/>
    </row>
    <row r="43" customFormat="false" ht="15" hidden="false" customHeight="false" outlineLevel="0" collapsed="false">
      <c r="A43" s="256" t="n">
        <f aca="false">IF(Horodateur112335381922313437434649525558616469852226343846505854626670747882909894102106114118110122126130134138142146150154158162166170174178182186190194198202206210214410[[#This Row],[Jour]]="1- Lundi",$B$1+1, IF(Horodateur112335381922313437434649525558616469852226343846505854626670747882909894102106114118110122126130134138142146150154158162166170174178182186190194198202206210214410[[#This Row],[Jour]]="2- Mardi",$B$1+2, IF(Horodateur112335381922313437434649525558616469852226343846505854626670747882909894102106114118110122126130134138142146150154158162166170174178182186190194198202206210214410[[#This Row],[Jour]]="3- Mercredi",$B$1+3, IF(Horodateur112335381922313437434649525558616469852226343846505854626670747882909894102106114118110122126130134138142146150154158162166170174178182186190194198202206210214410[[#This Row],[Jour]]="4- Jeudi",$B$1+4, IF(Horodateur112335381922313437434649525558616469852226343846505854626670747882909894102106114118110122126130134138142146150154158162166170174178182186190194198202206210214410[[#This Row],[Jour]]="5- Vendredi",$B$1+5, IF(Horodateur112335381922313437434649525558616469852226343846505854626670747882909894102106114118110122126130134138142146150154158162166170174178182186190194198202206210214410[[#This Row],[Jour]]="6- Samedi",$B$1+6, IF(Horodateur112335381922313437434649525558616469852226343846505854626670747882909894102106114118110122126130134138142146150154158162166170174178182186190194198202206210214410[[#This Row],[Jour]]="7- Dimanche",$B$1, )))))))</f>
        <v>44219</v>
      </c>
      <c r="B43" s="257" t="s">
        <v>335</v>
      </c>
      <c r="C43" s="258" t="n">
        <v>0.302083333333333</v>
      </c>
      <c r="D43" s="258" t="n">
        <v>0.354166666666667</v>
      </c>
      <c r="E43" s="71" t="s">
        <v>32</v>
      </c>
      <c r="F43" s="71" t="s">
        <v>21</v>
      </c>
      <c r="G43" s="259"/>
      <c r="H43" s="258" t="n">
        <f aca="false">IF($C43=0,"",$D43-$C43)</f>
        <v>0.0520833333333333</v>
      </c>
      <c r="I43" s="260" t="n">
        <f aca="false">IF($C43=0,"",($H43-INT($H43))*24)</f>
        <v>1.25</v>
      </c>
      <c r="J43" s="303" t="n">
        <f aca="false">SUMIF(Horodateur112335381922313437434649525558616469852226343846505854626670747882909894102106114118110122126130134138142146150154158162166170174178182186190194198202206210214410[Jour],$B43,Horodateur112335381922313437434649525558616469852226343846505854626670747882909894102106114118110122126130134138142146150154158162166170174178182186190194198202206210214410[Durée (100)])</f>
        <v>4.75</v>
      </c>
      <c r="K43" s="335"/>
      <c r="L43" s="188" t="s">
        <v>31</v>
      </c>
      <c r="M43" s="272" t="n">
        <f aca="false">IF(Horodateur112335381922313437434649525558616469852226343846505854626670747882909894102106114118110122126130134138142146150154158162166170174178182186190194198202206210214410[[#This Row],[O]]="o",Horodateur112335381922313437434649525558616469852226343846505854626670747882909894102106114118110122126130134138142146150154158162166170174178182186190194198202206210214410[[#This Row],[Durée (100)]],".")</f>
        <v>1.25</v>
      </c>
      <c r="N43" s="187"/>
      <c r="O43" s="71"/>
      <c r="P43" s="71"/>
      <c r="Q43" s="71"/>
      <c r="R43" s="71"/>
      <c r="S43" s="71"/>
      <c r="T43" s="71"/>
      <c r="U43" s="71"/>
      <c r="V43" s="71"/>
      <c r="W43" s="71"/>
      <c r="X43" s="71"/>
      <c r="Y43" s="71"/>
      <c r="Z43" s="71"/>
      <c r="AA43" s="71"/>
      <c r="AB43" s="71"/>
      <c r="AC43" s="71"/>
      <c r="AD43" s="71"/>
      <c r="AE43" s="71"/>
      <c r="AF43" s="71"/>
      <c r="AG43" s="71"/>
    </row>
    <row r="44" customFormat="false" ht="15" hidden="false" customHeight="false" outlineLevel="0" collapsed="false">
      <c r="A44" s="256" t="n">
        <f aca="false">IF(Horodateur112335381922313437434649525558616469852226343846505854626670747882909894102106114118110122126130134138142146150154158162166170174178182186190194198202206210214410[[#This Row],[Jour]]="1- Lundi",$B$1+1, IF(Horodateur112335381922313437434649525558616469852226343846505854626670747882909894102106114118110122126130134138142146150154158162166170174178182186190194198202206210214410[[#This Row],[Jour]]="2- Mardi",$B$1+2, IF(Horodateur112335381922313437434649525558616469852226343846505854626670747882909894102106114118110122126130134138142146150154158162166170174178182186190194198202206210214410[[#This Row],[Jour]]="3- Mercredi",$B$1+3, IF(Horodateur112335381922313437434649525558616469852226343846505854626670747882909894102106114118110122126130134138142146150154158162166170174178182186190194198202206210214410[[#This Row],[Jour]]="4- Jeudi",$B$1+4, IF(Horodateur112335381922313437434649525558616469852226343846505854626670747882909894102106114118110122126130134138142146150154158162166170174178182186190194198202206210214410[[#This Row],[Jour]]="5- Vendredi",$B$1+5, IF(Horodateur112335381922313437434649525558616469852226343846505854626670747882909894102106114118110122126130134138142146150154158162166170174178182186190194198202206210214410[[#This Row],[Jour]]="6- Samedi",$B$1+6, IF(Horodateur112335381922313437434649525558616469852226343846505854626670747882909894102106114118110122126130134138142146150154158162166170174178182186190194198202206210214410[[#This Row],[Jour]]="7- Dimanche",$B$1, )))))))</f>
        <v>44219</v>
      </c>
      <c r="B44" s="257" t="s">
        <v>335</v>
      </c>
      <c r="C44" s="258" t="n">
        <v>0.354166666666667</v>
      </c>
      <c r="D44" s="258" t="n">
        <v>0.364583333333333</v>
      </c>
      <c r="E44" s="71" t="s">
        <v>74</v>
      </c>
      <c r="F44" s="71" t="s">
        <v>378</v>
      </c>
      <c r="G44" s="259" t="s">
        <v>671</v>
      </c>
      <c r="H44" s="258" t="n">
        <f aca="false">IF($C44=0,"",$D44-$C44)</f>
        <v>0.0104166666666666</v>
      </c>
      <c r="I44" s="260" t="n">
        <f aca="false">IF($C44=0,"",($H44-INT($H44))*24)</f>
        <v>0.249999999999999</v>
      </c>
      <c r="J44" s="303" t="n">
        <f aca="false">SUMIF(Horodateur112335381922313437434649525558616469852226343846505854626670747882909894102106114118110122126130134138142146150154158162166170174178182186190194198202206210214410[Jour],$B44,Horodateur112335381922313437434649525558616469852226343846505854626670747882909894102106114118110122126130134138142146150154158162166170174178182186190194198202206210214410[Durée (100)])</f>
        <v>4.75</v>
      </c>
      <c r="K44" s="335"/>
      <c r="L44" s="188" t="s">
        <v>31</v>
      </c>
      <c r="M44" s="272" t="n">
        <f aca="false">IF(Horodateur112335381922313437434649525558616469852226343846505854626670747882909894102106114118110122126130134138142146150154158162166170174178182186190194198202206210214410[[#This Row],[O]]="o",Horodateur112335381922313437434649525558616469852226343846505854626670747882909894102106114118110122126130134138142146150154158162166170174178182186190194198202206210214410[[#This Row],[Durée (100)]],".")</f>
        <v>0.249999999999999</v>
      </c>
      <c r="N44" s="187"/>
      <c r="O44" s="71"/>
      <c r="P44" s="71"/>
      <c r="Q44" s="71"/>
      <c r="R44" s="71"/>
      <c r="S44" s="71"/>
      <c r="T44" s="71"/>
      <c r="U44" s="71"/>
      <c r="V44" s="71"/>
      <c r="W44" s="71"/>
      <c r="X44" s="71"/>
      <c r="Y44" s="71"/>
      <c r="Z44" s="71"/>
      <c r="AA44" s="71"/>
      <c r="AB44" s="71"/>
      <c r="AC44" s="71"/>
      <c r="AD44" s="71"/>
      <c r="AE44" s="71"/>
      <c r="AF44" s="71"/>
      <c r="AG44" s="71"/>
    </row>
    <row r="45" customFormat="false" ht="15" hidden="false" customHeight="false" outlineLevel="0" collapsed="false">
      <c r="A45" s="256" t="n">
        <f aca="false">IF(Horodateur112335381922313437434649525558616469852226343846505854626670747882909894102106114118110122126130134138142146150154158162166170174178182186190194198202206210214410[[#This Row],[Jour]]="1- Lundi",$B$1+1, IF(Horodateur112335381922313437434649525558616469852226343846505854626670747882909894102106114118110122126130134138142146150154158162166170174178182186190194198202206210214410[[#This Row],[Jour]]="2- Mardi",$B$1+2, IF(Horodateur112335381922313437434649525558616469852226343846505854626670747882909894102106114118110122126130134138142146150154158162166170174178182186190194198202206210214410[[#This Row],[Jour]]="3- Mercredi",$B$1+3, IF(Horodateur112335381922313437434649525558616469852226343846505854626670747882909894102106114118110122126130134138142146150154158162166170174178182186190194198202206210214410[[#This Row],[Jour]]="4- Jeudi",$B$1+4, IF(Horodateur112335381922313437434649525558616469852226343846505854626670747882909894102106114118110122126130134138142146150154158162166170174178182186190194198202206210214410[[#This Row],[Jour]]="5- Vendredi",$B$1+5, IF(Horodateur112335381922313437434649525558616469852226343846505854626670747882909894102106114118110122126130134138142146150154158162166170174178182186190194198202206210214410[[#This Row],[Jour]]="6- Samedi",$B$1+6, IF(Horodateur112335381922313437434649525558616469852226343846505854626670747882909894102106114118110122126130134138142146150154158162166170174178182186190194198202206210214410[[#This Row],[Jour]]="7- Dimanche",$B$1, )))))))</f>
        <v>44219</v>
      </c>
      <c r="B45" s="257" t="s">
        <v>335</v>
      </c>
      <c r="C45" s="258" t="n">
        <v>0.364583333333333</v>
      </c>
      <c r="D45" s="258" t="n">
        <v>0.385416666666667</v>
      </c>
      <c r="E45" s="71" t="s">
        <v>32</v>
      </c>
      <c r="F45" s="71" t="s">
        <v>23</v>
      </c>
      <c r="G45" s="259"/>
      <c r="H45" s="258" t="n">
        <f aca="false">IF($C45=0,"",$D45-$C45)</f>
        <v>0.0208333333333333</v>
      </c>
      <c r="I45" s="260" t="n">
        <f aca="false">IF($C45=0,"",($H45-INT($H45))*24)</f>
        <v>0.5</v>
      </c>
      <c r="J45" s="303" t="n">
        <f aca="false">SUMIF(Horodateur112335381922313437434649525558616469852226343846505854626670747882909894102106114118110122126130134138142146150154158162166170174178182186190194198202206210214410[Jour],$B45,Horodateur112335381922313437434649525558616469852226343846505854626670747882909894102106114118110122126130134138142146150154158162166170174178182186190194198202206210214410[Durée (100)])</f>
        <v>4.75</v>
      </c>
      <c r="K45" s="335"/>
      <c r="L45" s="188" t="s">
        <v>31</v>
      </c>
      <c r="M45" s="272" t="n">
        <f aca="false">IF(Horodateur112335381922313437434649525558616469852226343846505854626670747882909894102106114118110122126130134138142146150154158162166170174178182186190194198202206210214410[[#This Row],[O]]="o",Horodateur112335381922313437434649525558616469852226343846505854626670747882909894102106114118110122126130134138142146150154158162166170174178182186190194198202206210214410[[#This Row],[Durée (100)]],".")</f>
        <v>0.500000000000001</v>
      </c>
      <c r="N45" s="187"/>
      <c r="O45" s="71"/>
      <c r="P45" s="71"/>
      <c r="Q45" s="71"/>
      <c r="R45" s="71"/>
      <c r="S45" s="71"/>
      <c r="T45" s="71"/>
      <c r="U45" s="71"/>
      <c r="V45" s="71"/>
      <c r="W45" s="71"/>
      <c r="X45" s="71"/>
      <c r="Y45" s="71"/>
      <c r="Z45" s="71"/>
      <c r="AA45" s="71"/>
      <c r="AB45" s="71"/>
      <c r="AC45" s="71"/>
      <c r="AD45" s="71"/>
      <c r="AE45" s="71"/>
      <c r="AF45" s="71"/>
      <c r="AG45" s="71"/>
    </row>
    <row r="46" customFormat="false" ht="15" hidden="false" customHeight="false" outlineLevel="0" collapsed="false">
      <c r="A46" s="256" t="n">
        <f aca="false">IF(Horodateur112335381922313437434649525558616469852226343846505854626670747882909894102106114118110122126130134138142146150154158162166170174178182186190194198202206210214410[[#This Row],[Jour]]="1- Lundi",$B$1+1, IF(Horodateur112335381922313437434649525558616469852226343846505854626670747882909894102106114118110122126130134138142146150154158162166170174178182186190194198202206210214410[[#This Row],[Jour]]="2- Mardi",$B$1+2, IF(Horodateur112335381922313437434649525558616469852226343846505854626670747882909894102106114118110122126130134138142146150154158162166170174178182186190194198202206210214410[[#This Row],[Jour]]="3- Mercredi",$B$1+3, IF(Horodateur112335381922313437434649525558616469852226343846505854626670747882909894102106114118110122126130134138142146150154158162166170174178182186190194198202206210214410[[#This Row],[Jour]]="4- Jeudi",$B$1+4, IF(Horodateur112335381922313437434649525558616469852226343846505854626670747882909894102106114118110122126130134138142146150154158162166170174178182186190194198202206210214410[[#This Row],[Jour]]="5- Vendredi",$B$1+5, IF(Horodateur112335381922313437434649525558616469852226343846505854626670747882909894102106114118110122126130134138142146150154158162166170174178182186190194198202206210214410[[#This Row],[Jour]]="6- Samedi",$B$1+6, IF(Horodateur112335381922313437434649525558616469852226343846505854626670747882909894102106114118110122126130134138142146150154158162166170174178182186190194198202206210214410[[#This Row],[Jour]]="7- Dimanche",$B$1, )))))))</f>
        <v>44219</v>
      </c>
      <c r="B46" s="257" t="s">
        <v>335</v>
      </c>
      <c r="C46" s="258" t="n">
        <v>0.385416666666667</v>
      </c>
      <c r="D46" s="258" t="n">
        <v>0.4375</v>
      </c>
      <c r="E46" s="71" t="s">
        <v>362</v>
      </c>
      <c r="F46" s="71" t="s">
        <v>22</v>
      </c>
      <c r="G46" s="259" t="s">
        <v>672</v>
      </c>
      <c r="H46" s="258" t="n">
        <f aca="false">IF($C46=0,"",$D46-$C46)</f>
        <v>0.0520833333333333</v>
      </c>
      <c r="I46" s="260" t="n">
        <f aca="false">IF($C46=0,"",($H46-INT($H46))*24)</f>
        <v>1.25</v>
      </c>
      <c r="J46" s="303" t="n">
        <f aca="false">SUMIF(Horodateur112335381922313437434649525558616469852226343846505854626670747882909894102106114118110122126130134138142146150154158162166170174178182186190194198202206210214410[Jour],$B46,Horodateur112335381922313437434649525558616469852226343846505854626670747882909894102106114118110122126130134138142146150154158162166170174178182186190194198202206210214410[Durée (100)])</f>
        <v>4.75</v>
      </c>
      <c r="K46" s="335"/>
      <c r="L46" s="188" t="s">
        <v>31</v>
      </c>
      <c r="M46" s="272" t="n">
        <f aca="false">IF(Horodateur112335381922313437434649525558616469852226343846505854626670747882909894102106114118110122126130134138142146150154158162166170174178182186190194198202206210214410[[#This Row],[O]]="o",Horodateur112335381922313437434649525558616469852226343846505854626670747882909894102106114118110122126130134138142146150154158162166170174178182186190194198202206210214410[[#This Row],[Durée (100)]],".")</f>
        <v>1.25</v>
      </c>
      <c r="N46" s="187"/>
      <c r="O46" s="71"/>
      <c r="P46" s="71"/>
      <c r="Q46" s="71"/>
      <c r="R46" s="71"/>
      <c r="S46" s="71"/>
      <c r="T46" s="71"/>
      <c r="U46" s="71"/>
      <c r="V46" s="71"/>
      <c r="W46" s="71"/>
      <c r="X46" s="71"/>
      <c r="Y46" s="71"/>
      <c r="Z46" s="71"/>
      <c r="AA46" s="71"/>
      <c r="AB46" s="71"/>
      <c r="AC46" s="71"/>
      <c r="AD46" s="71"/>
      <c r="AE46" s="71"/>
      <c r="AF46" s="71"/>
      <c r="AG46" s="71"/>
    </row>
    <row r="47" customFormat="false" ht="15" hidden="false" customHeight="false" outlineLevel="0" collapsed="false">
      <c r="A47" s="256" t="n">
        <f aca="false">IF(Horodateur112335381922313437434649525558616469852226343846505854626670747882909894102106114118110122126130134138142146150154158162166170174178182186190194198202206210214410[[#This Row],[Jour]]="1- Lundi",$B$1+1, IF(Horodateur112335381922313437434649525558616469852226343846505854626670747882909894102106114118110122126130134138142146150154158162166170174178182186190194198202206210214410[[#This Row],[Jour]]="2- Mardi",$B$1+2, IF(Horodateur112335381922313437434649525558616469852226343846505854626670747882909894102106114118110122126130134138142146150154158162166170174178182186190194198202206210214410[[#This Row],[Jour]]="3- Mercredi",$B$1+3, IF(Horodateur112335381922313437434649525558616469852226343846505854626670747882909894102106114118110122126130134138142146150154158162166170174178182186190194198202206210214410[[#This Row],[Jour]]="4- Jeudi",$B$1+4, IF(Horodateur112335381922313437434649525558616469852226343846505854626670747882909894102106114118110122126130134138142146150154158162166170174178182186190194198202206210214410[[#This Row],[Jour]]="5- Vendredi",$B$1+5, IF(Horodateur112335381922313437434649525558616469852226343846505854626670747882909894102106114118110122126130134138142146150154158162166170174178182186190194198202206210214410[[#This Row],[Jour]]="6- Samedi",$B$1+6, IF(Horodateur112335381922313437434649525558616469852226343846505854626670747882909894102106114118110122126130134138142146150154158162166170174178182186190194198202206210214410[[#This Row],[Jour]]="7- Dimanche",$B$1, )))))))</f>
        <v>44219</v>
      </c>
      <c r="B47" s="257" t="s">
        <v>335</v>
      </c>
      <c r="C47" s="258" t="n">
        <v>0.4375</v>
      </c>
      <c r="D47" s="258" t="n">
        <v>0.458333333333333</v>
      </c>
      <c r="E47" s="71" t="s">
        <v>362</v>
      </c>
      <c r="F47" s="71" t="s">
        <v>380</v>
      </c>
      <c r="G47" s="259" t="s">
        <v>672</v>
      </c>
      <c r="H47" s="258" t="n">
        <f aca="false">IF($C47=0,"",$D47-$C47)</f>
        <v>0.0208333333333333</v>
      </c>
      <c r="I47" s="260" t="n">
        <f aca="false">IF($C47=0,"",($H47-INT($H47))*24)</f>
        <v>0.5</v>
      </c>
      <c r="J47" s="303" t="n">
        <f aca="false">SUMIF(Horodateur112335381922313437434649525558616469852226343846505854626670747882909894102106114118110122126130134138142146150154158162166170174178182186190194198202206210214410[Jour],$B47,Horodateur112335381922313437434649525558616469852226343846505854626670747882909894102106114118110122126130134138142146150154158162166170174178182186190194198202206210214410[Durée (100)])</f>
        <v>4.75</v>
      </c>
      <c r="K47" s="335"/>
      <c r="L47" s="188" t="s">
        <v>31</v>
      </c>
      <c r="M47" s="272" t="n">
        <f aca="false">IF(Horodateur112335381922313437434649525558616469852226343846505854626670747882909894102106114118110122126130134138142146150154158162166170174178182186190194198202206210214410[[#This Row],[O]]="o",Horodateur112335381922313437434649525558616469852226343846505854626670747882909894102106114118110122126130134138142146150154158162166170174178182186190194198202206210214410[[#This Row],[Durée (100)]],".")</f>
        <v>0.5</v>
      </c>
      <c r="N47" s="187"/>
      <c r="O47" s="71"/>
      <c r="P47" s="71"/>
      <c r="Q47" s="71"/>
      <c r="R47" s="71"/>
      <c r="S47" s="71"/>
      <c r="T47" s="71"/>
      <c r="U47" s="71"/>
      <c r="V47" s="71"/>
      <c r="W47" s="71"/>
      <c r="X47" s="71"/>
      <c r="Y47" s="71"/>
      <c r="Z47" s="71"/>
      <c r="AA47" s="71"/>
      <c r="AB47" s="71"/>
      <c r="AC47" s="71"/>
      <c r="AD47" s="71"/>
      <c r="AE47" s="71"/>
      <c r="AF47" s="71"/>
      <c r="AG47" s="71"/>
    </row>
    <row r="48" customFormat="false" ht="15" hidden="false" customHeight="false" outlineLevel="0" collapsed="false">
      <c r="A48" s="256" t="n">
        <f aca="false">IF(Horodateur112335381922313437434649525558616469852226343846505854626670747882909894102106114118110122126130134138142146150154158162166170174178182186190194198202206210214410[[#This Row],[Jour]]="1- Lundi",$B$1+1, IF(Horodateur112335381922313437434649525558616469852226343846505854626670747882909894102106114118110122126130134138142146150154158162166170174178182186190194198202206210214410[[#This Row],[Jour]]="2- Mardi",$B$1+2, IF(Horodateur112335381922313437434649525558616469852226343846505854626670747882909894102106114118110122126130134138142146150154158162166170174178182186190194198202206210214410[[#This Row],[Jour]]="3- Mercredi",$B$1+3, IF(Horodateur112335381922313437434649525558616469852226343846505854626670747882909894102106114118110122126130134138142146150154158162166170174178182186190194198202206210214410[[#This Row],[Jour]]="4- Jeudi",$B$1+4, IF(Horodateur112335381922313437434649525558616469852226343846505854626670747882909894102106114118110122126130134138142146150154158162166170174178182186190194198202206210214410[[#This Row],[Jour]]="5- Vendredi",$B$1+5, IF(Horodateur112335381922313437434649525558616469852226343846505854626670747882909894102106114118110122126130134138142146150154158162166170174178182186190194198202206210214410[[#This Row],[Jour]]="6- Samedi",$B$1+6, IF(Horodateur112335381922313437434649525558616469852226343846505854626670747882909894102106114118110122126130134138142146150154158162166170174178182186190194198202206210214410[[#This Row],[Jour]]="7- Dimanche",$B$1, )))))))</f>
        <v>44219</v>
      </c>
      <c r="B48" s="257" t="s">
        <v>335</v>
      </c>
      <c r="C48" s="258" t="n">
        <v>0.46875</v>
      </c>
      <c r="D48" s="258" t="n">
        <v>0.489583333333333</v>
      </c>
      <c r="E48" s="71" t="s">
        <v>32</v>
      </c>
      <c r="F48" s="71" t="s">
        <v>21</v>
      </c>
      <c r="G48" s="259"/>
      <c r="H48" s="258" t="n">
        <f aca="false">IF($C48=0,"",$D48-$C48)</f>
        <v>0.0208333333333333</v>
      </c>
      <c r="I48" s="260" t="n">
        <f aca="false">IF($C48=0,"",($H48-INT($H48))*24)</f>
        <v>0.5</v>
      </c>
      <c r="J48" s="303" t="n">
        <f aca="false">SUMIF(Horodateur112335381922313437434649525558616469852226343846505854626670747882909894102106114118110122126130134138142146150154158162166170174178182186190194198202206210214410[Jour],$B48,Horodateur112335381922313437434649525558616469852226343846505854626670747882909894102106114118110122126130134138142146150154158162166170174178182186190194198202206210214410[Durée (100)])</f>
        <v>4.75</v>
      </c>
      <c r="K48" s="335"/>
      <c r="L48" s="188" t="s">
        <v>31</v>
      </c>
      <c r="M48" s="272" t="n">
        <f aca="false">IF(Horodateur112335381922313437434649525558616469852226343846505854626670747882909894102106114118110122126130134138142146150154158162166170174178182186190194198202206210214410[[#This Row],[O]]="o",Horodateur112335381922313437434649525558616469852226343846505854626670747882909894102106114118110122126130134138142146150154158162166170174178182186190194198202206210214410[[#This Row],[Durée (100)]],".")</f>
        <v>0.5</v>
      </c>
      <c r="N48" s="187"/>
      <c r="O48" s="71"/>
      <c r="P48" s="71"/>
      <c r="Q48" s="71"/>
      <c r="R48" s="71"/>
      <c r="S48" s="71"/>
      <c r="T48" s="71"/>
      <c r="U48" s="71"/>
      <c r="V48" s="71"/>
      <c r="W48" s="71"/>
      <c r="X48" s="71"/>
      <c r="Y48" s="71"/>
      <c r="Z48" s="71"/>
      <c r="AA48" s="71"/>
      <c r="AB48" s="71"/>
      <c r="AC48" s="71"/>
      <c r="AD48" s="71"/>
      <c r="AE48" s="71"/>
      <c r="AF48" s="71"/>
      <c r="AG48" s="71"/>
    </row>
    <row r="49" customFormat="false" ht="15" hidden="false" customHeight="false" outlineLevel="0" collapsed="false">
      <c r="A49" s="256" t="n">
        <f aca="false">IF(Horodateur112335381922313437434649525558616469852226343846505854626670747882909894102106114118110122126130134138142146150154158162166170174178182186190194198202206210214410[[#This Row],[Jour]]="1- Lundi",$B$1+1, IF(Horodateur112335381922313437434649525558616469852226343846505854626670747882909894102106114118110122126130134138142146150154158162166170174178182186190194198202206210214410[[#This Row],[Jour]]="2- Mardi",$B$1+2, IF(Horodateur112335381922313437434649525558616469852226343846505854626670747882909894102106114118110122126130134138142146150154158162166170174178182186190194198202206210214410[[#This Row],[Jour]]="3- Mercredi",$B$1+3, IF(Horodateur112335381922313437434649525558616469852226343846505854626670747882909894102106114118110122126130134138142146150154158162166170174178182186190194198202206210214410[[#This Row],[Jour]]="4- Jeudi",$B$1+4, IF(Horodateur112335381922313437434649525558616469852226343846505854626670747882909894102106114118110122126130134138142146150154158162166170174178182186190194198202206210214410[[#This Row],[Jour]]="5- Vendredi",$B$1+5, IF(Horodateur112335381922313437434649525558616469852226343846505854626670747882909894102106114118110122126130134138142146150154158162166170174178182186190194198202206210214410[[#This Row],[Jour]]="6- Samedi",$B$1+6, IF(Horodateur112335381922313437434649525558616469852226343846505854626670747882909894102106114118110122126130134138142146150154158162166170174178182186190194198202206210214410[[#This Row],[Jour]]="7- Dimanche",$B$1, )))))))</f>
        <v>44219</v>
      </c>
      <c r="B49" s="257" t="s">
        <v>335</v>
      </c>
      <c r="C49" s="258" t="n">
        <v>0.645833333333333</v>
      </c>
      <c r="D49" s="258" t="n">
        <v>0.666666666666667</v>
      </c>
      <c r="E49" s="71" t="s">
        <v>74</v>
      </c>
      <c r="F49" s="71" t="s">
        <v>378</v>
      </c>
      <c r="G49" s="259" t="s">
        <v>640</v>
      </c>
      <c r="H49" s="258" t="n">
        <f aca="false">IF($C49=0,"",$D49-$C49)</f>
        <v>0.0208333333333333</v>
      </c>
      <c r="I49" s="260" t="n">
        <f aca="false">IF($C49=0,"",($H49-INT($H49))*24)</f>
        <v>0.5</v>
      </c>
      <c r="J49" s="303" t="n">
        <f aca="false">SUMIF(Horodateur112335381922313437434649525558616469852226343846505854626670747882909894102106114118110122126130134138142146150154158162166170174178182186190194198202206210214410[Jour],$B49,Horodateur112335381922313437434649525558616469852226343846505854626670747882909894102106114118110122126130134138142146150154158162166170174178182186190194198202206210214410[Durée (100)])</f>
        <v>4.75</v>
      </c>
      <c r="K49" s="335" t="s">
        <v>673</v>
      </c>
      <c r="L49" s="188" t="s">
        <v>31</v>
      </c>
      <c r="M49" s="272" t="n">
        <f aca="false">IF(Horodateur112335381922313437434649525558616469852226343846505854626670747882909894102106114118110122126130134138142146150154158162166170174178182186190194198202206210214410[[#This Row],[O]]="o",Horodateur112335381922313437434649525558616469852226343846505854626670747882909894102106114118110122126130134138142146150154158162166170174178182186190194198202206210214410[[#This Row],[Durée (100)]],".")</f>
        <v>0.499999999999998</v>
      </c>
      <c r="N49" s="187"/>
      <c r="O49" s="71"/>
      <c r="P49" s="71"/>
      <c r="Q49" s="71"/>
      <c r="R49" s="71"/>
      <c r="S49" s="71"/>
      <c r="T49" s="71"/>
      <c r="U49" s="71"/>
      <c r="V49" s="71"/>
      <c r="W49" s="71"/>
      <c r="X49" s="71"/>
      <c r="Y49" s="71"/>
      <c r="Z49" s="71"/>
      <c r="AA49" s="71"/>
      <c r="AB49" s="71"/>
      <c r="AC49" s="71"/>
      <c r="AD49" s="71"/>
      <c r="AE49" s="71"/>
      <c r="AF49" s="71"/>
      <c r="AG49" s="71"/>
    </row>
    <row r="50" customFormat="false" ht="15" hidden="false" customHeight="false" outlineLevel="0" collapsed="false">
      <c r="A50" s="256" t="n">
        <f aca="false">IF(Horodateur112335381922313437434649525558616469852226343846505854626670747882909894102106114118110122126130134138142146150154158162166170174178182186190194198202206210214410[[#This Row],[Jour]]="1- Lundi",$B$1+1, IF(Horodateur112335381922313437434649525558616469852226343846505854626670747882909894102106114118110122126130134138142146150154158162166170174178182186190194198202206210214410[[#This Row],[Jour]]="2- Mardi",$B$1+2, IF(Horodateur112335381922313437434649525558616469852226343846505854626670747882909894102106114118110122126130134138142146150154158162166170174178182186190194198202206210214410[[#This Row],[Jour]]="3- Mercredi",$B$1+3, IF(Horodateur112335381922313437434649525558616469852226343846505854626670747882909894102106114118110122126130134138142146150154158162166170174178182186190194198202206210214410[[#This Row],[Jour]]="4- Jeudi",$B$1+4, IF(Horodateur112335381922313437434649525558616469852226343846505854626670747882909894102106114118110122126130134138142146150154158162166170174178182186190194198202206210214410[[#This Row],[Jour]]="5- Vendredi",$B$1+5, IF(Horodateur112335381922313437434649525558616469852226343846505854626670747882909894102106114118110122126130134138142146150154158162166170174178182186190194198202206210214410[[#This Row],[Jour]]="6- Samedi",$B$1+6, IF(Horodateur112335381922313437434649525558616469852226343846505854626670747882909894102106114118110122126130134138142146150154158162166170174178182186190194198202206210214410[[#This Row],[Jour]]="7- Dimanche",$B$1, )))))))</f>
        <v>44220</v>
      </c>
      <c r="B50" s="257" t="s">
        <v>341</v>
      </c>
      <c r="C50" s="258" t="n">
        <v>0.3125</v>
      </c>
      <c r="D50" s="258" t="n">
        <v>0.333333333333333</v>
      </c>
      <c r="E50" s="71" t="s">
        <v>362</v>
      </c>
      <c r="F50" s="71" t="s">
        <v>380</v>
      </c>
      <c r="G50" s="259" t="s">
        <v>672</v>
      </c>
      <c r="H50" s="258" t="n">
        <f aca="false">IF($C50=0,"",$D50-$C50)</f>
        <v>0.0208333333333333</v>
      </c>
      <c r="I50" s="260" t="n">
        <f aca="false">IF($C50=0,"",($H50-INT($H50))*24)</f>
        <v>0.5</v>
      </c>
      <c r="J50" s="303" t="n">
        <f aca="false">SUMIF(Horodateur112335381922313437434649525558616469852226343846505854626670747882909894102106114118110122126130134138142146150154158162166170174178182186190194198202206210214410[Jour],$B50,Horodateur112335381922313437434649525558616469852226343846505854626670747882909894102106114118110122126130134138142146150154158162166170174178182186190194198202206210214410[Durée (100)])</f>
        <v>3.5</v>
      </c>
      <c r="K50" s="335"/>
      <c r="L50" s="188" t="s">
        <v>31</v>
      </c>
      <c r="M50" s="272" t="n">
        <f aca="false">IF(Horodateur112335381922313437434649525558616469852226343846505854626670747882909894102106114118110122126130134138142146150154158162166170174178182186190194198202206210214410[[#This Row],[O]]="o",Horodateur112335381922313437434649525558616469852226343846505854626670747882909894102106114118110122126130134138142146150154158162166170174178182186190194198202206210214410[[#This Row],[Durée (100)]],".")</f>
        <v>0.5</v>
      </c>
      <c r="N50" s="187"/>
      <c r="O50" s="71"/>
      <c r="P50" s="71"/>
      <c r="Q50" s="71"/>
      <c r="R50" s="71"/>
      <c r="S50" s="71"/>
      <c r="T50" s="71"/>
      <c r="U50" s="71"/>
      <c r="V50" s="71"/>
      <c r="W50" s="71"/>
      <c r="X50" s="71"/>
      <c r="Y50" s="71"/>
      <c r="Z50" s="71"/>
      <c r="AA50" s="71"/>
      <c r="AB50" s="71"/>
      <c r="AC50" s="71"/>
      <c r="AD50" s="71"/>
      <c r="AE50" s="71"/>
      <c r="AF50" s="71"/>
      <c r="AG50" s="71"/>
    </row>
    <row r="51" customFormat="false" ht="15" hidden="false" customHeight="false" outlineLevel="0" collapsed="false">
      <c r="A51" s="256" t="n">
        <f aca="false">IF(Horodateur112335381922313437434649525558616469852226343846505854626670747882909894102106114118110122126130134138142146150154158162166170174178182186190194198202206210214410[[#This Row],[Jour]]="1- Lundi",$B$1+1, IF(Horodateur112335381922313437434649525558616469852226343846505854626670747882909894102106114118110122126130134138142146150154158162166170174178182186190194198202206210214410[[#This Row],[Jour]]="2- Mardi",$B$1+2, IF(Horodateur112335381922313437434649525558616469852226343846505854626670747882909894102106114118110122126130134138142146150154158162166170174178182186190194198202206210214410[[#This Row],[Jour]]="3- Mercredi",$B$1+3, IF(Horodateur112335381922313437434649525558616469852226343846505854626670747882909894102106114118110122126130134138142146150154158162166170174178182186190194198202206210214410[[#This Row],[Jour]]="4- Jeudi",$B$1+4, IF(Horodateur112335381922313437434649525558616469852226343846505854626670747882909894102106114118110122126130134138142146150154158162166170174178182186190194198202206210214410[[#This Row],[Jour]]="5- Vendredi",$B$1+5, IF(Horodateur112335381922313437434649525558616469852226343846505854626670747882909894102106114118110122126130134138142146150154158162166170174178182186190194198202206210214410[[#This Row],[Jour]]="6- Samedi",$B$1+6, IF(Horodateur112335381922313437434649525558616469852226343846505854626670747882909894102106114118110122126130134138142146150154158162166170174178182186190194198202206210214410[[#This Row],[Jour]]="7- Dimanche",$B$1, )))))))</f>
        <v>44220</v>
      </c>
      <c r="B51" s="257" t="s">
        <v>341</v>
      </c>
      <c r="C51" s="258" t="n">
        <v>0.333333333333333</v>
      </c>
      <c r="D51" s="258" t="n">
        <v>0.416666666666667</v>
      </c>
      <c r="E51" s="71" t="s">
        <v>362</v>
      </c>
      <c r="F51" s="71" t="s">
        <v>380</v>
      </c>
      <c r="G51" s="259" t="s">
        <v>674</v>
      </c>
      <c r="H51" s="258" t="n">
        <f aca="false">IF($C51=0,"",$D51-$C51)</f>
        <v>0.0833333333333334</v>
      </c>
      <c r="I51" s="260" t="n">
        <f aca="false">IF($C51=0,"",($H51-INT($H51))*24)</f>
        <v>2</v>
      </c>
      <c r="J51" s="303" t="n">
        <f aca="false">SUMIF(Horodateur112335381922313437434649525558616469852226343846505854626670747882909894102106114118110122126130134138142146150154158162166170174178182186190194198202206210214410[Jour],$B51,Horodateur112335381922313437434649525558616469852226343846505854626670747882909894102106114118110122126130134138142146150154158162166170174178182186190194198202206210214410[Durée (100)])</f>
        <v>3.5</v>
      </c>
      <c r="K51" s="335"/>
      <c r="L51" s="188" t="s">
        <v>31</v>
      </c>
      <c r="M51" s="272" t="n">
        <f aca="false">IF(Horodateur112335381922313437434649525558616469852226343846505854626670747882909894102106114118110122126130134138142146150154158162166170174178182186190194198202206210214410[[#This Row],[O]]="o",Horodateur112335381922313437434649525558616469852226343846505854626670747882909894102106114118110122126130134138142146150154158162166170174178182186190194198202206210214410[[#This Row],[Durée (100)]],".")</f>
        <v>2</v>
      </c>
      <c r="N51" s="187"/>
      <c r="O51" s="71"/>
      <c r="P51" s="71"/>
      <c r="Q51" s="71"/>
      <c r="R51" s="71"/>
      <c r="S51" s="71"/>
      <c r="T51" s="71"/>
      <c r="U51" s="71"/>
      <c r="V51" s="71"/>
      <c r="W51" s="71"/>
      <c r="X51" s="71"/>
      <c r="Y51" s="71"/>
      <c r="Z51" s="71"/>
      <c r="AA51" s="71"/>
      <c r="AB51" s="71"/>
      <c r="AC51" s="71"/>
      <c r="AD51" s="71"/>
      <c r="AE51" s="71"/>
      <c r="AF51" s="71"/>
      <c r="AG51" s="71"/>
    </row>
    <row r="52" customFormat="false" ht="15" hidden="false" customHeight="false" outlineLevel="0" collapsed="false">
      <c r="A52" s="256" t="n">
        <f aca="false">IF(Horodateur112335381922313437434649525558616469852226343846505854626670747882909894102106114118110122126130134138142146150154158162166170174178182186190194198202206210214410[[#This Row],[Jour]]="1- Lundi",$B$1+1, IF(Horodateur112335381922313437434649525558616469852226343846505854626670747882909894102106114118110122126130134138142146150154158162166170174178182186190194198202206210214410[[#This Row],[Jour]]="2- Mardi",$B$1+2, IF(Horodateur112335381922313437434649525558616469852226343846505854626670747882909894102106114118110122126130134138142146150154158162166170174178182186190194198202206210214410[[#This Row],[Jour]]="3- Mercredi",$B$1+3, IF(Horodateur112335381922313437434649525558616469852226343846505854626670747882909894102106114118110122126130134138142146150154158162166170174178182186190194198202206210214410[[#This Row],[Jour]]="4- Jeudi",$B$1+4, IF(Horodateur112335381922313437434649525558616469852226343846505854626670747882909894102106114118110122126130134138142146150154158162166170174178182186190194198202206210214410[[#This Row],[Jour]]="5- Vendredi",$B$1+5, IF(Horodateur112335381922313437434649525558616469852226343846505854626670747882909894102106114118110122126130134138142146150154158162166170174178182186190194198202206210214410[[#This Row],[Jour]]="6- Samedi",$B$1+6, IF(Horodateur112335381922313437434649525558616469852226343846505854626670747882909894102106114118110122126130134138142146150154158162166170174178182186190194198202206210214410[[#This Row],[Jour]]="7- Dimanche",$B$1, )))))))</f>
        <v>44220</v>
      </c>
      <c r="B52" s="257" t="s">
        <v>341</v>
      </c>
      <c r="C52" s="258" t="n">
        <v>0.416666666666667</v>
      </c>
      <c r="D52" s="258" t="n">
        <v>0.458333333333333</v>
      </c>
      <c r="E52" s="71" t="s">
        <v>362</v>
      </c>
      <c r="F52" s="71" t="s">
        <v>380</v>
      </c>
      <c r="G52" s="259" t="s">
        <v>675</v>
      </c>
      <c r="H52" s="258" t="n">
        <f aca="false">IF($C52=0,"",$D52-$C52)</f>
        <v>0.0416666666666666</v>
      </c>
      <c r="I52" s="260" t="n">
        <f aca="false">IF($C52=0,"",($H52-INT($H52))*24)</f>
        <v>0.999999999999999</v>
      </c>
      <c r="J52" s="303" t="n">
        <f aca="false">SUMIF(Horodateur112335381922313437434649525558616469852226343846505854626670747882909894102106114118110122126130134138142146150154158162166170174178182186190194198202206210214410[Jour],$B52,Horodateur112335381922313437434649525558616469852226343846505854626670747882909894102106114118110122126130134138142146150154158162166170174178182186190194198202206210214410[Durée (100)])</f>
        <v>3.5</v>
      </c>
      <c r="K52" s="335"/>
      <c r="L52" s="188" t="s">
        <v>31</v>
      </c>
      <c r="M52" s="272" t="n">
        <f aca="false">IF(Horodateur112335381922313437434649525558616469852226343846505854626670747882909894102106114118110122126130134138142146150154158162166170174178182186190194198202206210214410[[#This Row],[O]]="o",Horodateur112335381922313437434649525558616469852226343846505854626670747882909894102106114118110122126130134138142146150154158162166170174178182186190194198202206210214410[[#This Row],[Durée (100)]],".")</f>
        <v>0.999999999999999</v>
      </c>
      <c r="N52" s="187"/>
      <c r="O52" s="71"/>
      <c r="P52" s="71"/>
      <c r="Q52" s="71"/>
      <c r="R52" s="71"/>
      <c r="S52" s="71"/>
      <c r="T52" s="71"/>
      <c r="U52" s="71"/>
      <c r="V52" s="71"/>
      <c r="W52" s="71"/>
      <c r="X52" s="71"/>
      <c r="Y52" s="71"/>
      <c r="Z52" s="71"/>
      <c r="AA52" s="71"/>
      <c r="AB52" s="71"/>
      <c r="AC52" s="71"/>
      <c r="AD52" s="71"/>
      <c r="AE52" s="71"/>
      <c r="AF52" s="71"/>
      <c r="AG52" s="71"/>
    </row>
    <row r="53" customFormat="false" ht="15" hidden="false" customHeight="false" outlineLevel="0" collapsed="false">
      <c r="A53" s="137"/>
      <c r="B53" s="187"/>
      <c r="C53" s="71"/>
      <c r="D53" s="1"/>
      <c r="E53" s="1"/>
      <c r="F53" s="71"/>
      <c r="G53" s="340"/>
      <c r="H53" s="1"/>
      <c r="I53" s="119"/>
      <c r="J53" s="271"/>
      <c r="K53" s="1"/>
      <c r="L53" s="188"/>
      <c r="M53" s="272"/>
      <c r="N53" s="187"/>
      <c r="O53" s="71"/>
      <c r="P53" s="71"/>
      <c r="Q53" s="71"/>
      <c r="R53" s="71"/>
      <c r="S53" s="71"/>
      <c r="T53" s="71"/>
      <c r="U53" s="71"/>
      <c r="V53" s="71"/>
      <c r="W53" s="71"/>
      <c r="X53" s="71"/>
      <c r="Y53" s="71"/>
      <c r="Z53" s="71"/>
      <c r="AA53" s="71"/>
      <c r="AB53" s="71"/>
      <c r="AC53" s="71"/>
      <c r="AD53" s="71"/>
      <c r="AE53" s="71"/>
      <c r="AF53" s="71"/>
      <c r="AG53" s="71"/>
    </row>
    <row r="54" customFormat="false" ht="15" hidden="false" customHeight="false" outlineLevel="0" collapsed="false">
      <c r="A54" s="137"/>
      <c r="B54" s="187"/>
      <c r="C54" s="71"/>
      <c r="D54" s="1"/>
      <c r="E54" s="1"/>
      <c r="F54" s="71"/>
      <c r="G54" s="1"/>
      <c r="H54" s="1"/>
      <c r="I54" s="119"/>
      <c r="J54" s="271"/>
      <c r="K54" s="1"/>
      <c r="L54" s="188"/>
      <c r="M54" s="272"/>
      <c r="N54" s="187"/>
      <c r="O54" s="71"/>
      <c r="P54" s="71"/>
      <c r="Q54" s="71"/>
      <c r="R54" s="71"/>
      <c r="S54" s="71"/>
      <c r="T54" s="71"/>
      <c r="U54" s="71"/>
      <c r="V54" s="71"/>
      <c r="W54" s="71"/>
      <c r="X54" s="71"/>
      <c r="Y54" s="71"/>
      <c r="Z54" s="71"/>
      <c r="AA54" s="71"/>
      <c r="AB54" s="71"/>
      <c r="AC54" s="71"/>
      <c r="AD54" s="71"/>
      <c r="AE54" s="71"/>
      <c r="AF54" s="71"/>
      <c r="AG54" s="71"/>
    </row>
    <row r="55" customFormat="false" ht="15" hidden="false" customHeight="false" outlineLevel="0" collapsed="false">
      <c r="A55" s="137"/>
      <c r="B55" s="187"/>
      <c r="C55" s="71"/>
      <c r="D55" s="1"/>
      <c r="E55" s="1"/>
      <c r="F55" s="71"/>
      <c r="G55" s="1"/>
      <c r="H55" s="1"/>
      <c r="I55" s="119"/>
      <c r="J55" s="271"/>
      <c r="K55" s="1"/>
      <c r="L55" s="188"/>
      <c r="N55" s="187"/>
      <c r="O55" s="71"/>
      <c r="P55" s="71"/>
      <c r="Q55" s="71"/>
      <c r="R55" s="71"/>
      <c r="S55" s="71"/>
      <c r="T55" s="71"/>
      <c r="U55" s="71"/>
      <c r="V55" s="71"/>
      <c r="W55" s="71"/>
      <c r="X55" s="71"/>
      <c r="Y55" s="71"/>
      <c r="Z55" s="71"/>
      <c r="AA55" s="71"/>
      <c r="AB55" s="71"/>
      <c r="AC55" s="71"/>
      <c r="AD55" s="71"/>
      <c r="AE55" s="71"/>
      <c r="AF55" s="71"/>
      <c r="AG55" s="71"/>
    </row>
    <row r="56" customFormat="false" ht="15" hidden="false" customHeight="false" outlineLevel="0" collapsed="false">
      <c r="A56" s="274" t="s">
        <v>377</v>
      </c>
      <c r="B56" s="275" t="str">
        <f aca="false">SUM($A$102:$A$532) &amp; " heures"</f>
        <v>26.75 heures</v>
      </c>
      <c r="C56" s="276" t="str">
        <f aca="false">SUM($A$102:$A$523) / 8 &amp; " Jours"</f>
        <v>3.34375 Jours</v>
      </c>
      <c r="D56" s="277"/>
      <c r="E56" s="277" t="n">
        <v>33.25</v>
      </c>
      <c r="F56" s="278" t="n">
        <f aca="false">E56/8</f>
        <v>4.15625</v>
      </c>
      <c r="G56" s="277"/>
      <c r="H56" s="277"/>
      <c r="I56" s="279"/>
      <c r="J56" s="280"/>
      <c r="K56" s="277"/>
      <c r="L56" s="281"/>
      <c r="M56" s="282"/>
      <c r="N56" s="283"/>
      <c r="O56" s="277"/>
      <c r="P56" s="277"/>
      <c r="Q56" s="277"/>
      <c r="R56" s="277"/>
      <c r="S56" s="277"/>
      <c r="T56" s="277"/>
      <c r="U56" s="278"/>
      <c r="V56" s="278"/>
      <c r="W56" s="278"/>
      <c r="X56" s="278"/>
      <c r="Y56" s="278"/>
      <c r="Z56" s="278"/>
      <c r="AA56" s="278"/>
      <c r="AB56" s="278"/>
      <c r="AC56" s="278"/>
      <c r="AD56" s="278"/>
      <c r="AE56" s="278"/>
      <c r="AF56" s="278"/>
      <c r="AG56" s="278"/>
    </row>
    <row r="57" customFormat="false" ht="15" hidden="false" customHeight="false" outlineLevel="0" collapsed="false">
      <c r="A57" s="137"/>
      <c r="B57" s="187"/>
      <c r="C57" s="71"/>
      <c r="D57" s="1"/>
      <c r="E57" s="1"/>
      <c r="F57" s="71"/>
      <c r="G57" s="1"/>
      <c r="H57" s="1"/>
      <c r="I57" s="119"/>
      <c r="J57" s="271"/>
      <c r="K57" s="1"/>
      <c r="L57" s="188"/>
      <c r="M57" s="272"/>
      <c r="N57" s="187"/>
      <c r="O57" s="1"/>
      <c r="P57" s="1"/>
      <c r="Q57" s="1"/>
      <c r="R57" s="1"/>
      <c r="S57" s="1"/>
      <c r="T57" s="1"/>
      <c r="U57" s="71"/>
      <c r="V57" s="71"/>
      <c r="W57" s="71"/>
      <c r="X57" s="71"/>
      <c r="Y57" s="71"/>
      <c r="Z57" s="71"/>
      <c r="AA57" s="71"/>
      <c r="AB57" s="71"/>
      <c r="AC57" s="71"/>
      <c r="AD57" s="71"/>
      <c r="AE57" s="71"/>
      <c r="AF57" s="71"/>
      <c r="AG57" s="71"/>
    </row>
    <row r="58" customFormat="false" ht="15" hidden="true" customHeight="false" outlineLevel="1" collapsed="false">
      <c r="A58" s="137"/>
      <c r="B58" s="137"/>
      <c r="C58" s="137"/>
      <c r="D58" s="137"/>
      <c r="E58" s="1"/>
      <c r="F58" s="71"/>
      <c r="G58" s="1"/>
      <c r="H58" s="1"/>
      <c r="I58" s="119"/>
      <c r="J58" s="271"/>
      <c r="K58" s="1"/>
      <c r="L58" s="188"/>
      <c r="M58" s="272"/>
      <c r="N58" s="187"/>
      <c r="O58" s="1"/>
      <c r="P58" s="1"/>
      <c r="Q58" s="1"/>
      <c r="R58" s="1"/>
      <c r="S58" s="1"/>
      <c r="T58" s="1"/>
      <c r="U58" s="71"/>
      <c r="V58" s="71"/>
      <c r="W58" s="71"/>
      <c r="X58" s="71"/>
      <c r="Y58" s="71"/>
      <c r="Z58" s="71"/>
      <c r="AA58" s="71"/>
      <c r="AB58" s="71"/>
      <c r="AC58" s="71"/>
      <c r="AD58" s="71"/>
      <c r="AE58" s="71"/>
      <c r="AF58" s="71"/>
      <c r="AG58" s="71"/>
    </row>
    <row r="59" customFormat="false" ht="15" hidden="true" customHeight="false" outlineLevel="1" collapsed="false">
      <c r="A59" s="284" t="s">
        <v>84</v>
      </c>
      <c r="B59" s="285" t="s">
        <v>21</v>
      </c>
      <c r="C59" s="285" t="s">
        <v>20</v>
      </c>
      <c r="D59" s="285" t="s">
        <v>23</v>
      </c>
      <c r="E59" s="285" t="s">
        <v>25</v>
      </c>
      <c r="F59" s="285" t="s">
        <v>26</v>
      </c>
      <c r="G59" s="285" t="s">
        <v>378</v>
      </c>
      <c r="H59" s="285" t="s">
        <v>379</v>
      </c>
      <c r="I59" s="285" t="s">
        <v>380</v>
      </c>
      <c r="J59" s="286" t="s">
        <v>58</v>
      </c>
      <c r="K59" s="287"/>
      <c r="L59" s="288"/>
      <c r="M59" s="289"/>
      <c r="N59" s="187"/>
      <c r="O59" s="1"/>
      <c r="P59" s="1"/>
      <c r="Q59" s="1"/>
      <c r="R59" s="1"/>
      <c r="S59" s="1"/>
      <c r="T59" s="71"/>
      <c r="U59" s="71"/>
      <c r="V59" s="71"/>
      <c r="W59" s="71"/>
      <c r="X59" s="71"/>
      <c r="Y59" s="71"/>
      <c r="Z59" s="71"/>
      <c r="AA59" s="71"/>
      <c r="AB59" s="71"/>
      <c r="AC59" s="71"/>
      <c r="AD59" s="71"/>
      <c r="AE59" s="71"/>
      <c r="AF59" s="71"/>
    </row>
    <row r="60" customFormat="false" ht="15" hidden="true" customHeight="false" outlineLevel="1" collapsed="false">
      <c r="A60" s="187" t="s">
        <v>312</v>
      </c>
      <c r="B60" s="71" t="n">
        <f aca="false">SUMIFS(Horodateur112335381922313437434649525558616469852226343846505854626670747882909894102106114118110122126130134138142146150154158162166170174178182186190194198202206210214410[Durée (100)],Horodateur112335381922313437434649525558616469852226343846505854626670747882909894102106114118110122126130134138142146150154158162166170174178182186190194198202206210214410[Tâche],Taches_Jours12243639172029323541444750535659626783202432364448565260646872768088969210010411211610812012412813213614014414815215616016416817217618018418819219620020420821226[[#Headers],[GB]],Horodateur112335381922313437434649525558616469852226343846505854626670747882909894102106114118110122126130134138142146150154158162166170174178182186190194198202206210214410[Jour],Taches_Jours12243639172029323541444750535659626783202432364448565260646872768088969210010411211610812012412813213614014414815215616016416817217618018418819219620020420821226[[#This Row],[Jours]])</f>
        <v>0.75</v>
      </c>
      <c r="C60" s="71" t="n">
        <f aca="false">SUMIFS(Horodateur112335381922313437434649525558616469852226343846505854626670747882909894102106114118110122126130134138142146150154158162166170174178182186190194198202206210214410[Durée (100)],Horodateur112335381922313437434649525558616469852226343846505854626670747882909894102106114118110122126130134138142146150154158162166170174178182186190194198202206210214410[Tâche],Taches_Jours12243639172029323541444750535659626783202432364448565260646872768088969210010411211610812012412813213614014414815215616016416817217618018418819219620020420821226[[#Headers],[RI]],Horodateur112335381922313437434649525558616469852226343846505854626670747882909894102106114118110122126130134138142146150154158162166170174178182186190194198202206210214410[Jour],Taches_Jours12243639172029323541444750535659626783202432364448565260646872768088969210010411211610812012412813213614014414815215616016416817217618018418819219620020420821226[[#This Row],[Jours]])</f>
        <v>0.500000000000001</v>
      </c>
      <c r="D60" s="71" t="n">
        <f aca="false">SUMIFS(Horodateur112335381922313437434649525558616469852226343846505854626670747882909894102106114118110122126130134138142146150154158162166170174178182186190194198202206210214410[Durée (100)],Horodateur112335381922313437434649525558616469852226343846505854626670747882909894102106114118110122126130134138142146150154158162166170174178182186190194198202206210214410[Tâche],Taches_Jours12243639172029323541444750535659626783202432364448565260646872768088969210010411211610812012412813213614014414815215616016416817217618018418819219620020420821226[[#Headers],[FG]],Horodateur112335381922313437434649525558616469852226343846505854626670747882909894102106114118110122126130134138142146150154158162166170174178182186190194198202206210214410[Jour],Taches_Jours12243639172029323541444750535659626783202432364448565260646872768088969210010411211610812012412813213614014414815215616016416817217618018418819219620020420821226[[#This Row],[Jours]])</f>
        <v>0.500000000000001</v>
      </c>
      <c r="E60" s="71" t="n">
        <f aca="false">SUMIFS(Horodateur112335381922313437434649525558616469852226343846505854626670747882909894102106114118110122126130134138142146150154158162166170174178182186190194198202206210214410[Durée (100)],Horodateur112335381922313437434649525558616469852226343846505854626670747882909894102106114118110122126130134138142146150154158162166170174178182186190194198202206210214410[Tâche],Taches_Jours12243639172029323541444750535659626783202432364448565260646872768088969210010411211610812012412813213614014414815215616016416817217618018418819219620020420821226[[#Headers],[PS]],Horodateur112335381922313437434649525558616469852226343846505854626670747882909894102106114118110122126130134138142146150154158162166170174178182186190194198202206210214410[Jour],Taches_Jours12243639172029323541444750535659626783202432364448565260646872768088969210010411211610812012412813213614014414815215616016416817217618018418819219620020420821226[[#This Row],[Jours]])</f>
        <v>0</v>
      </c>
      <c r="F60" s="71" t="n">
        <f aca="false">SUMIFS(Horodateur112335381922313437434649525558616469852226343846505854626670747882909894102106114118110122126130134138142146150154158162166170174178182186190194198202206210214410[Durée (100)],Horodateur112335381922313437434649525558616469852226343846505854626670747882909894102106114118110122126130134138142146150154158162166170174178182186190194198202206210214410[Tâche],Taches_Jours12243639172029323541444750535659626783202432364448565260646872768088969210010411211610812012412813213614014414815215616016416817217618018418819219620020420821226[[#Headers],[TD]],Horodateur112335381922313437434649525558616469852226343846505854626670747882909894102106114118110122126130134138142146150154158162166170174178182186190194198202206210214410[Jour],Taches_Jours12243639172029323541444750535659626783202432364448565260646872768088969210010411211610812012412813213614014414815215616016416817217618018418819219620020420821226[[#This Row],[Jours]])</f>
        <v>0</v>
      </c>
      <c r="G60" s="71" t="n">
        <f aca="false">SUMIFS(Horodateur112335381922313437434649525558616469852226343846505854626670747882909894102106114118110122126130134138142146150154158162166170174178182186190194198202206210214410[Durée (100)],Horodateur112335381922313437434649525558616469852226343846505854626670747882909894102106114118110122126130134138142146150154158162166170174178182186190194198202206210214410[Tâche],Taches_Jours12243639172029323541444750535659626783202432364448565260646872768088969210010411211610812012412813213614014414815215616016416817217618018418819219620020420821226[[#Headers],[GP]],Horodateur112335381922313437434649525558616469852226343846505854626670747882909894102106114118110122126130134138142146150154158162166170174178182186190194198202206210214410[Jour],Taches_Jours12243639172029323541444750535659626783202432364448565260646872768088969210010411211610812012412813213614014414815215616016416817217618018418819219620020420821226[[#This Row],[Jours]])</f>
        <v>3</v>
      </c>
      <c r="H60" s="71" t="n">
        <f aca="false">SUMIFS(Horodateur112335381922313437434649525558616469852226343846505854626670747882909894102106114118110122126130134138142146150154158162166170174178182186190194198202206210214410[Durée (100)],Horodateur112335381922313437434649525558616469852226343846505854626670747882909894102106114118110122126130134138142146150154158162166170174178182186190194198202206210214410[Tâche],Taches_Jours12243639172029323541444750535659626783202432364448565260646872768088969210010411211610812012412813213614014414815215616016416817217618018418819219620020420821226[[#Headers],[GP / SP]],Horodateur112335381922313437434649525558616469852226343846505854626670747882909894102106114118110122126130134138142146150154158162166170174178182186190194198202206210214410[Jour],Taches_Jours12243639172029323541444750535659626783202432364448565260646872768088969210010411211610812012412813213614014414815215616016416817217618018418819219620020420821226[[#This Row],[Jours]])</f>
        <v>0.249999999999999</v>
      </c>
      <c r="I60" s="71" t="n">
        <f aca="false">SUMIFS(Horodateur112335381922313437434649525558616469852226343846505854626670747882909894102106114118110122126130134138142146150154158162166170174178182186190194198202206210214410[Durée (100)],Horodateur112335381922313437434649525558616469852226343846505854626670747882909894102106114118110122126130134138142146150154158162166170174178182186190194198202206210214410[Tâche],Taches_Jours12243639172029323541444750535659626783202432364448565260646872768088969210010411211610812012412813213614014414815215616016416817217618018418819219620020420821226[[#Headers],[GP / SP]],Horodateur112335381922313437434649525558616469852226343846505854626670747882909894102106114118110122126130134138142146150154158162166170174178182186190194198202206210214410[Jour],Taches_Jours12243639172029323541444750535659626783202432364448565260646872768088969210010411211610812012412813213614014414815215616016416817217618018418819219620020420821226[[#This Row],[Jours]])</f>
        <v>0.249999999999999</v>
      </c>
      <c r="J60" s="290" t="n">
        <f aca="false">SUM(Taches_Jours12243639172029323541444750535659626783202432364448565260646872768088969210010411211610812012412813213614014414815215616016416817217618018418819219620020420821226[[#This Row],[GB]:[GP / SP]])</f>
        <v>5</v>
      </c>
      <c r="K60" s="188"/>
      <c r="L60" s="288"/>
      <c r="M60" s="289"/>
      <c r="N60" s="187"/>
      <c r="O60" s="1"/>
      <c r="P60" s="1"/>
      <c r="Q60" s="1"/>
      <c r="R60" s="1"/>
      <c r="S60" s="1"/>
      <c r="T60" s="71"/>
      <c r="U60" s="71"/>
      <c r="V60" s="71"/>
      <c r="W60" s="71"/>
      <c r="X60" s="71"/>
      <c r="Y60" s="71"/>
      <c r="Z60" s="71"/>
      <c r="AA60" s="71"/>
      <c r="AB60" s="71"/>
      <c r="AC60" s="71"/>
      <c r="AD60" s="71"/>
      <c r="AE60" s="71"/>
      <c r="AF60" s="71"/>
    </row>
    <row r="61" customFormat="false" ht="15" hidden="true" customHeight="false" outlineLevel="1" collapsed="false">
      <c r="A61" s="187" t="s">
        <v>319</v>
      </c>
      <c r="B61" s="71" t="n">
        <f aca="false">SUMIFS(Horodateur112335381922313437434649525558616469852226343846505854626670747882909894102106114118110122126130134138142146150154158162166170174178182186190194198202206210214410[Durée (100)],Horodateur112335381922313437434649525558616469852226343846505854626670747882909894102106114118110122126130134138142146150154158162166170174178182186190194198202206210214410[Tâche],Taches_Jours12243639172029323541444750535659626783202432364448565260646872768088969210010411211610812012412813213614014414815215616016416817217618018418819219620020420821226[[#Headers],[GB]],Horodateur112335381922313437434649525558616469852226343846505854626670747882909894102106114118110122126130134138142146150154158162166170174178182186190194198202206210214410[Jour],Taches_Jours12243639172029323541444750535659626783202432364448565260646872768088969210010411211610812012412813213614014414815215616016416817217618018418819219620020420821226[[#This Row],[Jours]])</f>
        <v>0</v>
      </c>
      <c r="C61" s="71" t="n">
        <f aca="false">SUMIFS(Horodateur112335381922313437434649525558616469852226343846505854626670747882909894102106114118110122126130134138142146150154158162166170174178182186190194198202206210214410[Durée (100)],Horodateur112335381922313437434649525558616469852226343846505854626670747882909894102106114118110122126130134138142146150154158162166170174178182186190194198202206210214410[Tâche],Taches_Jours12243639172029323541444750535659626783202432364448565260646872768088969210010411211610812012412813213614014414815215616016416817217618018418819219620020420821226[[#Headers],[RI]],Horodateur112335381922313437434649525558616469852226343846505854626670747882909894102106114118110122126130134138142146150154158162166170174178182186190194198202206210214410[Jour],Taches_Jours12243639172029323541444750535659626783202432364448565260646872768088969210010411211610812012412813213614014414815215616016416817217618018418819219620020420821226[[#This Row],[Jours]])</f>
        <v>0</v>
      </c>
      <c r="D61" s="71" t="n">
        <f aca="false">SUMIFS(Horodateur112335381922313437434649525558616469852226343846505854626670747882909894102106114118110122126130134138142146150154158162166170174178182186190194198202206210214410[Durée (100)],Horodateur112335381922313437434649525558616469852226343846505854626670747882909894102106114118110122126130134138142146150154158162166170174178182186190194198202206210214410[Tâche],Taches_Jours12243639172029323541444750535659626783202432364448565260646872768088969210010411211610812012412813213614014414815215616016416817217618018418819219620020420821226[[#Headers],[FG]],Horodateur112335381922313437434649525558616469852226343846505854626670747882909894102106114118110122126130134138142146150154158162166170174178182186190194198202206210214410[Jour],Taches_Jours12243639172029323541444750535659626783202432364448565260646872768088969210010411211610812012412813213614014414815215616016416817217618018418819219620020420821226[[#This Row],[Jours]])</f>
        <v>1.5</v>
      </c>
      <c r="E61" s="71" t="n">
        <f aca="false">SUMIFS(Horodateur112335381922313437434649525558616469852226343846505854626670747882909894102106114118110122126130134138142146150154158162166170174178182186190194198202206210214410[Durée (100)],Horodateur112335381922313437434649525558616469852226343846505854626670747882909894102106114118110122126130134138142146150154158162166170174178182186190194198202206210214410[Tâche],Taches_Jours12243639172029323541444750535659626783202432364448565260646872768088969210010411211610812012412813213614014414815215616016416817217618018418819219620020420821226[[#Headers],[PS]],Horodateur112335381922313437434649525558616469852226343846505854626670747882909894102106114118110122126130134138142146150154158162166170174178182186190194198202206210214410[Jour],Taches_Jours12243639172029323541444750535659626783202432364448565260646872768088969210010411211610812012412813213614014414815215616016416817217618018418819219620020420821226[[#This Row],[Jours]])</f>
        <v>0</v>
      </c>
      <c r="F61" s="71" t="n">
        <f aca="false">SUMIFS(Horodateur112335381922313437434649525558616469852226343846505854626670747882909894102106114118110122126130134138142146150154158162166170174178182186190194198202206210214410[Durée (100)],Horodateur112335381922313437434649525558616469852226343846505854626670747882909894102106114118110122126130134138142146150154158162166170174178182186190194198202206210214410[Tâche],Taches_Jours12243639172029323541444750535659626783202432364448565260646872768088969210010411211610812012412813213614014414815215616016416817217618018418819219620020420821226[[#Headers],[TD]],Horodateur112335381922313437434649525558616469852226343846505854626670747882909894102106114118110122126130134138142146150154158162166170174178182186190194198202206210214410[Jour],Taches_Jours12243639172029323541444750535659626783202432364448565260646872768088969210010411211610812012412813213614014414815215616016416817217618018418819219620020420821226[[#This Row],[Jours]])</f>
        <v>0</v>
      </c>
      <c r="G61" s="71" t="n">
        <f aca="false">SUMIFS(Horodateur112335381922313437434649525558616469852226343846505854626670747882909894102106114118110122126130134138142146150154158162166170174178182186190194198202206210214410[Durée (100)],Horodateur112335381922313437434649525558616469852226343846505854626670747882909894102106114118110122126130134138142146150154158162166170174178182186190194198202206210214410[Tâche],Taches_Jours12243639172029323541444750535659626783202432364448565260646872768088969210010411211610812012412813213614014414815215616016416817217618018418819219620020420821226[[#Headers],[GP]],Horodateur112335381922313437434649525558616469852226343846505854626670747882909894102106114118110122126130134138142146150154158162166170174178182186190194198202206210214410[Jour],Taches_Jours12243639172029323541444750535659626783202432364448565260646872768088969210010411211610812012412813213614014414815215616016416817217618018418819219620020420821226[[#This Row],[Jours]])</f>
        <v>1.5</v>
      </c>
      <c r="H61" s="71" t="n">
        <f aca="false">SUMIFS(Horodateur112335381922313437434649525558616469852226343846505854626670747882909894102106114118110122126130134138142146150154158162166170174178182186190194198202206210214410[Durée (100)],Horodateur112335381922313437434649525558616469852226343846505854626670747882909894102106114118110122126130134138142146150154158162166170174178182186190194198202206210214410[Tâche],Taches_Jours12243639172029323541444750535659626783202432364448565260646872768088969210010411211610812012412813213614014414815215616016416817217618018418819219620020420821226[[#Headers],[GP / SP]],Horodateur112335381922313437434649525558616469852226343846505854626670747882909894102106114118110122126130134138142146150154158162166170174178182186190194198202206210214410[Jour],Taches_Jours12243639172029323541444750535659626783202432364448565260646872768088969210010411211610812012412813213614014414815215616016416817217618018418819219620020420821226[[#This Row],[Jours]])</f>
        <v>1.25</v>
      </c>
      <c r="I61" s="71" t="n">
        <f aca="false">SUMIFS(Horodateur112335381922313437434649525558616469852226343846505854626670747882909894102106114118110122126130134138142146150154158162166170174178182186190194198202206210214410[Durée (100)],Horodateur112335381922313437434649525558616469852226343846505854626670747882909894102106114118110122126130134138142146150154158162166170174178182186190194198202206210214410[Tâche],Taches_Jours12243639172029323541444750535659626783202432364448565260646872768088969210010411211610812012412813213614014414815215616016416817217618018418819219620020420821226[[#Headers],[GP / SP]],Horodateur112335381922313437434649525558616469852226343846505854626670747882909894102106114118110122126130134138142146150154158162166170174178182186190194198202206210214410[Jour],Taches_Jours12243639172029323541444750535659626783202432364448565260646872768088969210010411211610812012412813213614014414815215616016416817217618018418819219620020420821226[[#This Row],[Jours]])</f>
        <v>1.25</v>
      </c>
      <c r="J61" s="290" t="n">
        <f aca="false">SUM(Taches_Jours12243639172029323541444750535659626783202432364448565260646872768088969210010411211610812012412813213614014414815215616016416817217618018418819219620020420821226[[#This Row],[GB]:[GP / SP]])</f>
        <v>4.25</v>
      </c>
      <c r="K61" s="188"/>
      <c r="L61" s="288"/>
      <c r="M61" s="289"/>
      <c r="N61" s="187"/>
      <c r="O61" s="1"/>
      <c r="P61" s="1"/>
      <c r="Q61" s="1"/>
      <c r="R61" s="1"/>
      <c r="S61" s="1"/>
      <c r="T61" s="71"/>
      <c r="U61" s="71"/>
      <c r="V61" s="71"/>
      <c r="W61" s="71"/>
      <c r="X61" s="71"/>
      <c r="Y61" s="71"/>
      <c r="Z61" s="71"/>
      <c r="AA61" s="71"/>
      <c r="AB61" s="71"/>
      <c r="AC61" s="71"/>
      <c r="AD61" s="71"/>
      <c r="AE61" s="71"/>
      <c r="AF61" s="71"/>
    </row>
    <row r="62" customFormat="false" ht="15" hidden="true" customHeight="false" outlineLevel="1" collapsed="false">
      <c r="A62" s="187" t="s">
        <v>324</v>
      </c>
      <c r="B62" s="71" t="n">
        <f aca="false">SUMIFS(Horodateur112335381922313437434649525558616469852226343846505854626670747882909894102106114118110122126130134138142146150154158162166170174178182186190194198202206210214410[Durée (100)],Horodateur112335381922313437434649525558616469852226343846505854626670747882909894102106114118110122126130134138142146150154158162166170174178182186190194198202206210214410[Tâche],Taches_Jours12243639172029323541444750535659626783202432364448565260646872768088969210010411211610812012412813213614014414815215616016416817217618018418819219620020420821226[[#Headers],[GB]],Horodateur112335381922313437434649525558616469852226343846505854626670747882909894102106114118110122126130134138142146150154158162166170174178182186190194198202206210214410[Jour],Taches_Jours12243639172029323541444750535659626783202432364448565260646872768088969210010411211610812012412813213614014414815215616016416817217618018418819219620020420821226[[#This Row],[Jours]])</f>
        <v>0.5</v>
      </c>
      <c r="C62" s="71" t="n">
        <f aca="false">SUMIFS(Horodateur112335381922313437434649525558616469852226343846505854626670747882909894102106114118110122126130134138142146150154158162166170174178182186190194198202206210214410[Durée (100)],Horodateur112335381922313437434649525558616469852226343846505854626670747882909894102106114118110122126130134138142146150154158162166170174178182186190194198202206210214410[Tâche],Taches_Jours12243639172029323541444750535659626783202432364448565260646872768088969210010411211610812012412813213614014414815215616016416817217618018418819219620020420821226[[#Headers],[RI]],Horodateur112335381922313437434649525558616469852226343846505854626670747882909894102106114118110122126130134138142146150154158162166170174178182186190194198202206210214410[Jour],Taches_Jours12243639172029323541444750535659626783202432364448565260646872768088969210010411211610812012412813213614014414815215616016416817217618018418819219620020420821226[[#This Row],[Jours]])</f>
        <v>0</v>
      </c>
      <c r="D62" s="71" t="n">
        <f aca="false">SUMIFS(Horodateur112335381922313437434649525558616469852226343846505854626670747882909894102106114118110122126130134138142146150154158162166170174178182186190194198202206210214410[Durée (100)],Horodateur112335381922313437434649525558616469852226343846505854626670747882909894102106114118110122126130134138142146150154158162166170174178182186190194198202206210214410[Tâche],Taches_Jours12243639172029323541444750535659626783202432364448565260646872768088969210010411211610812012412813213614014414815215616016416817217618018418819219620020420821226[[#Headers],[FG]],Horodateur112335381922313437434649525558616469852226343846505854626670747882909894102106114118110122126130134138142146150154158162166170174178182186190194198202206210214410[Jour],Taches_Jours12243639172029323541444750535659626783202432364448565260646872768088969210010411211610812012412813213614014414815215616016416817217618018418819219620020420821226[[#This Row],[Jours]])</f>
        <v>1</v>
      </c>
      <c r="E62" s="71" t="n">
        <f aca="false">SUMIFS(Horodateur112335381922313437434649525558616469852226343846505854626670747882909894102106114118110122126130134138142146150154158162166170174178182186190194198202206210214410[Durée (100)],Horodateur112335381922313437434649525558616469852226343846505854626670747882909894102106114118110122126130134138142146150154158162166170174178182186190194198202206210214410[Tâche],Taches_Jours12243639172029323541444750535659626783202432364448565260646872768088969210010411211610812012412813213614014414815215616016416817217618018418819219620020420821226[[#Headers],[PS]],Horodateur112335381922313437434649525558616469852226343846505854626670747882909894102106114118110122126130134138142146150154158162166170174178182186190194198202206210214410[Jour],Taches_Jours12243639172029323541444750535659626783202432364448565260646872768088969210010411211610812012412813213614014414815215616016416817217618018418819219620020420821226[[#This Row],[Jours]])</f>
        <v>0</v>
      </c>
      <c r="F62" s="71" t="n">
        <f aca="false">SUMIFS(Horodateur112335381922313437434649525558616469852226343846505854626670747882909894102106114118110122126130134138142146150154158162166170174178182186190194198202206210214410[Durée (100)],Horodateur112335381922313437434649525558616469852226343846505854626670747882909894102106114118110122126130134138142146150154158162166170174178182186190194198202206210214410[Tâche],Taches_Jours12243639172029323541444750535659626783202432364448565260646872768088969210010411211610812012412813213614014414815215616016416817217618018418819219620020420821226[[#Headers],[TD]],Horodateur112335381922313437434649525558616469852226343846505854626670747882909894102106114118110122126130134138142146150154158162166170174178182186190194198202206210214410[Jour],Taches_Jours12243639172029323541444750535659626783202432364448565260646872768088969210010411211610812012412813213614014414815215616016416817217618018418819219620020420821226[[#This Row],[Jours]])</f>
        <v>0</v>
      </c>
      <c r="G62" s="71" t="n">
        <f aca="false">SUMIFS(Horodateur112335381922313437434649525558616469852226343846505854626670747882909894102106114118110122126130134138142146150154158162166170174178182186190194198202206210214410[Durée (100)],Horodateur112335381922313437434649525558616469852226343846505854626670747882909894102106114118110122126130134138142146150154158162166170174178182186190194198202206210214410[Tâche],Taches_Jours12243639172029323541444750535659626783202432364448565260646872768088969210010411211610812012412813213614014414815215616016416817217618018418819219620020420821226[[#Headers],[GP]],Horodateur112335381922313437434649525558616469852226343846505854626670747882909894102106114118110122126130134138142146150154158162166170174178182186190194198202206210214410[Jour],Taches_Jours12243639172029323541444750535659626783202432364448565260646872768088969210010411211610812012412813213614014414815215616016416817217618018418819219620020420821226[[#This Row],[Jours]])</f>
        <v>3.5</v>
      </c>
      <c r="H62" s="71" t="n">
        <f aca="false">SUMIFS(Horodateur112335381922313437434649525558616469852226343846505854626670747882909894102106114118110122126130134138142146150154158162166170174178182186190194198202206210214410[Durée (100)],Horodateur112335381922313437434649525558616469852226343846505854626670747882909894102106114118110122126130134138142146150154158162166170174178182186190194198202206210214410[Tâche],Taches_Jours12243639172029323541444750535659626783202432364448565260646872768088969210010411211610812012412813213614014414815215616016416817217618018418819219620020420821226[[#Headers],[GP / SP]],Horodateur112335381922313437434649525558616469852226343846505854626670747882909894102106114118110122126130134138142146150154158162166170174178182186190194198202206210214410[Jour],Taches_Jours12243639172029323541444750535659626783202432364448565260646872768088969210010411211610812012412813213614014414815215616016416817217618018418819219620020420821226[[#This Row],[Jours]])</f>
        <v>0</v>
      </c>
      <c r="I62" s="71" t="n">
        <f aca="false">SUMIFS(Horodateur112335381922313437434649525558616469852226343846505854626670747882909894102106114118110122126130134138142146150154158162166170174178182186190194198202206210214410[Durée (100)],Horodateur112335381922313437434649525558616469852226343846505854626670747882909894102106114118110122126130134138142146150154158162166170174178182186190194198202206210214410[Tâche],Taches_Jours12243639172029323541444750535659626783202432364448565260646872768088969210010411211610812012412813213614014414815215616016416817217618018418819219620020420821226[[#Headers],[GP / SP]],Horodateur112335381922313437434649525558616469852226343846505854626670747882909894102106114118110122126130134138142146150154158162166170174178182186190194198202206210214410[Jour],Taches_Jours12243639172029323541444750535659626783202432364448565260646872768088969210010411211610812012412813213614014414815215616016416817217618018418819219620020420821226[[#This Row],[Jours]])</f>
        <v>0</v>
      </c>
      <c r="J62" s="290" t="n">
        <f aca="false">SUM(Taches_Jours12243639172029323541444750535659626783202432364448565260646872768088969210010411211610812012412813213614014414815215616016416817217618018418819219620020420821226[[#This Row],[GB]:[GP / SP]])</f>
        <v>5</v>
      </c>
      <c r="K62" s="188"/>
      <c r="L62" s="288"/>
      <c r="M62" s="289"/>
      <c r="N62" s="187"/>
      <c r="O62" s="1"/>
      <c r="P62" s="1"/>
      <c r="Q62" s="1"/>
      <c r="R62" s="1"/>
      <c r="S62" s="1"/>
      <c r="T62" s="71"/>
      <c r="U62" s="71"/>
      <c r="V62" s="71"/>
      <c r="W62" s="71"/>
      <c r="X62" s="71"/>
      <c r="Y62" s="71"/>
      <c r="Z62" s="71"/>
      <c r="AA62" s="71"/>
      <c r="AB62" s="71"/>
      <c r="AC62" s="71"/>
      <c r="AD62" s="71"/>
      <c r="AE62" s="71"/>
      <c r="AF62" s="71"/>
    </row>
    <row r="63" customFormat="false" ht="15" hidden="true" customHeight="false" outlineLevel="1" collapsed="false">
      <c r="A63" s="187" t="s">
        <v>332</v>
      </c>
      <c r="B63" s="71" t="n">
        <f aca="false">SUMIFS(Horodateur112335381922313437434649525558616469852226343846505854626670747882909894102106114118110122126130134138142146150154158162166170174178182186190194198202206210214410[Durée (100)],Horodateur112335381922313437434649525558616469852226343846505854626670747882909894102106114118110122126130134138142146150154158162166170174178182186190194198202206210214410[Tâche],Taches_Jours12243639172029323541444750535659626783202432364448565260646872768088969210010411211610812012412813213614014414815215616016416817217618018418819219620020420821226[[#Headers],[GB]],Horodateur112335381922313437434649525558616469852226343846505854626670747882909894102106114118110122126130134138142146150154158162166170174178182186190194198202206210214410[Jour],Taches_Jours12243639172029323541444750535659626783202432364448565260646872768088969210010411211610812012412813213614014414815215616016416817217618018418819219620020420821226[[#This Row],[Jours]])</f>
        <v>0</v>
      </c>
      <c r="C63" s="71" t="n">
        <f aca="false">SUMIFS(Horodateur112335381922313437434649525558616469852226343846505854626670747882909894102106114118110122126130134138142146150154158162166170174178182186190194198202206210214410[Durée (100)],Horodateur112335381922313437434649525558616469852226343846505854626670747882909894102106114118110122126130134138142146150154158162166170174178182186190194198202206210214410[Tâche],Taches_Jours12243639172029323541444750535659626783202432364448565260646872768088969210010411211610812012412813213614014414815215616016416817217618018418819219620020420821226[[#Headers],[RI]],Horodateur112335381922313437434649525558616469852226343846505854626670747882909894102106114118110122126130134138142146150154158162166170174178182186190194198202206210214410[Jour],Taches_Jours12243639172029323541444750535659626783202432364448565260646872768088969210010411211610812012412813213614014414815215616016416817217618018418819219620020420821226[[#This Row],[Jours]])</f>
        <v>0</v>
      </c>
      <c r="D63" s="71" t="n">
        <f aca="false">SUMIFS(Horodateur112335381922313437434649525558616469852226343846505854626670747882909894102106114118110122126130134138142146150154158162166170174178182186190194198202206210214410[Durée (100)],Horodateur112335381922313437434649525558616469852226343846505854626670747882909894102106114118110122126130134138142146150154158162166170174178182186190194198202206210214410[Tâche],Taches_Jours12243639172029323541444750535659626783202432364448565260646872768088969210010411211610812012412813213614014414815215616016416817217618018418819219620020420821226[[#Headers],[FG]],Horodateur112335381922313437434649525558616469852226343846505854626670747882909894102106114118110122126130134138142146150154158162166170174178182186190194198202206210214410[Jour],Taches_Jours12243639172029323541444750535659626783202432364448565260646872768088969210010411211610812012412813213614014414815215616016416817217618018418819219620020420821226[[#This Row],[Jours]])</f>
        <v>0</v>
      </c>
      <c r="E63" s="71" t="n">
        <f aca="false">SUMIFS(Horodateur112335381922313437434649525558616469852226343846505854626670747882909894102106114118110122126130134138142146150154158162166170174178182186190194198202206210214410[Durée (100)],Horodateur112335381922313437434649525558616469852226343846505854626670747882909894102106114118110122126130134138142146150154158162166170174178182186190194198202206210214410[Tâche],Taches_Jours12243639172029323541444750535659626783202432364448565260646872768088969210010411211610812012412813213614014414815215616016416817217618018418819219620020420821226[[#Headers],[PS]],Horodateur112335381922313437434649525558616469852226343846505854626670747882909894102106114118110122126130134138142146150154158162166170174178182186190194198202206210214410[Jour],Taches_Jours12243639172029323541444750535659626783202432364448565260646872768088969210010411211610812012412813213614014414815215616016416817217618018418819219620020420821226[[#This Row],[Jours]])</f>
        <v>0</v>
      </c>
      <c r="F63" s="71" t="n">
        <f aca="false">SUMIFS(Horodateur112335381922313437434649525558616469852226343846505854626670747882909894102106114118110122126130134138142146150154158162166170174178182186190194198202206210214410[Durée (100)],Horodateur112335381922313437434649525558616469852226343846505854626670747882909894102106114118110122126130134138142146150154158162166170174178182186190194198202206210214410[Tâche],Taches_Jours12243639172029323541444750535659626783202432364448565260646872768088969210010411211610812012412813213614014414815215616016416817217618018418819219620020420821226[[#Headers],[TD]],Horodateur112335381922313437434649525558616469852226343846505854626670747882909894102106114118110122126130134138142146150154158162166170174178182186190194198202206210214410[Jour],Taches_Jours12243639172029323541444750535659626783202432364448565260646872768088969210010411211610812012412813213614014414815215616016416817217618018418819219620020420821226[[#This Row],[Jours]])</f>
        <v>0</v>
      </c>
      <c r="G63" s="71" t="n">
        <f aca="false">SUMIFS(Horodateur112335381922313437434649525558616469852226343846505854626670747882909894102106114118110122126130134138142146150154158162166170174178182186190194198202206210214410[Durée (100)],Horodateur112335381922313437434649525558616469852226343846505854626670747882909894102106114118110122126130134138142146150154158162166170174178182186190194198202206210214410[Tâche],Taches_Jours12243639172029323541444750535659626783202432364448565260646872768088969210010411211610812012412813213614014414815215616016416817217618018418819219620020420821226[[#Headers],[GP]],Horodateur112335381922313437434649525558616469852226343846505854626670747882909894102106114118110122126130134138142146150154158162166170174178182186190194198202206210214410[Jour],Taches_Jours12243639172029323541444750535659626783202432364448565260646872768088969210010411211610812012412813213614014414815215616016416817217618018418819219620020420821226[[#This Row],[Jours]])</f>
        <v>3.25</v>
      </c>
      <c r="H63" s="71" t="n">
        <f aca="false">SUMIFS(Horodateur112335381922313437434649525558616469852226343846505854626670747882909894102106114118110122126130134138142146150154158162166170174178182186190194198202206210214410[Durée (100)],Horodateur112335381922313437434649525558616469852226343846505854626670747882909894102106114118110122126130134138142146150154158162166170174178182186190194198202206210214410[Tâche],Taches_Jours12243639172029323541444750535659626783202432364448565260646872768088969210010411211610812012412813213614014414815215616016416817217618018418819219620020420821226[[#Headers],[GP / SP]],Horodateur112335381922313437434649525558616469852226343846505854626670747882909894102106114118110122126130134138142146150154158162166170174178182186190194198202206210214410[Jour],Taches_Jours12243639172029323541444750535659626783202432364448565260646872768088969210010411211610812012412813213614014414815215616016416817217618018418819219620020420821226[[#This Row],[Jours]])</f>
        <v>1.5</v>
      </c>
      <c r="I63" s="71" t="n">
        <f aca="false">SUMIFS(Horodateur112335381922313437434649525558616469852226343846505854626670747882909894102106114118110122126130134138142146150154158162166170174178182186190194198202206210214410[Durée (100)],Horodateur112335381922313437434649525558616469852226343846505854626670747882909894102106114118110122126130134138142146150154158162166170174178182186190194198202206210214410[Tâche],Taches_Jours12243639172029323541444750535659626783202432364448565260646872768088969210010411211610812012412813213614014414815215616016416817217618018418819219620020420821226[[#Headers],[GP / SP]],Horodateur112335381922313437434649525558616469852226343846505854626670747882909894102106114118110122126130134138142146150154158162166170174178182186190194198202206210214410[Jour],Taches_Jours12243639172029323541444750535659626783202432364448565260646872768088969210010411211610812012412813213614014414815215616016416817217618018418819219620020420821226[[#This Row],[Jours]])</f>
        <v>1.5</v>
      </c>
      <c r="J63" s="290" t="n">
        <f aca="false">SUM(Taches_Jours12243639172029323541444750535659626783202432364448565260646872768088969210010411211610812012412813213614014414815215616016416817217618018418819219620020420821226[[#This Row],[GB]:[GP / SP]])</f>
        <v>4.75</v>
      </c>
      <c r="K63" s="188"/>
      <c r="L63" s="288"/>
      <c r="M63" s="289"/>
      <c r="N63" s="187"/>
      <c r="O63" s="71"/>
      <c r="P63" s="71"/>
      <c r="Q63" s="71"/>
      <c r="R63" s="71"/>
      <c r="S63" s="71"/>
      <c r="T63" s="71"/>
      <c r="U63" s="71"/>
      <c r="V63" s="71"/>
      <c r="W63" s="71"/>
      <c r="X63" s="71"/>
      <c r="Y63" s="71"/>
      <c r="Z63" s="71"/>
      <c r="AA63" s="71"/>
      <c r="AB63" s="71"/>
      <c r="AC63" s="71"/>
      <c r="AD63" s="71"/>
      <c r="AE63" s="71"/>
      <c r="AF63" s="71"/>
    </row>
    <row r="64" customFormat="false" ht="15" hidden="true" customHeight="false" outlineLevel="1" collapsed="false">
      <c r="A64" s="187" t="s">
        <v>335</v>
      </c>
      <c r="B64" s="71" t="n">
        <f aca="false">SUMIFS(Horodateur112335381922313437434649525558616469852226343846505854626670747882909894102106114118110122126130134138142146150154158162166170174178182186190194198202206210214410[Durée (100)],Horodateur112335381922313437434649525558616469852226343846505854626670747882909894102106114118110122126130134138142146150154158162166170174178182186190194198202206210214410[Tâche],Taches_Jours12243639172029323541444750535659626783202432364448565260646872768088969210010411211610812012412813213614014414815215616016416817217618018418819219620020420821226[[#Headers],[GB]],Horodateur112335381922313437434649525558616469852226343846505854626670747882909894102106114118110122126130134138142146150154158162166170174178182186190194198202206210214410[Jour],Taches_Jours12243639172029323541444750535659626783202432364448565260646872768088969210010411211610812012412813213614014414815215616016416817217618018418819219620020420821226[[#This Row],[Jours]])</f>
        <v>1.75</v>
      </c>
      <c r="C64" s="71" t="n">
        <f aca="false">SUMIFS(Horodateur112335381922313437434649525558616469852226343846505854626670747882909894102106114118110122126130134138142146150154158162166170174178182186190194198202206210214410[Durée (100)],Horodateur112335381922313437434649525558616469852226343846505854626670747882909894102106114118110122126130134138142146150154158162166170174178182186190194198202206210214410[Tâche],Taches_Jours12243639172029323541444750535659626783202432364448565260646872768088969210010411211610812012412813213614014414815215616016416817217618018418819219620020420821226[[#Headers],[RI]],Horodateur112335381922313437434649525558616469852226343846505854626670747882909894102106114118110122126130134138142146150154158162166170174178182186190194198202206210214410[Jour],Taches_Jours12243639172029323541444750535659626783202432364448565260646872768088969210010411211610812012412813213614014414815215616016416817217618018418819219620020420821226[[#This Row],[Jours]])</f>
        <v>0</v>
      </c>
      <c r="D64" s="71" t="n">
        <f aca="false">SUMIFS(Horodateur112335381922313437434649525558616469852226343846505854626670747882909894102106114118110122126130134138142146150154158162166170174178182186190194198202206210214410[Durée (100)],Horodateur112335381922313437434649525558616469852226343846505854626670747882909894102106114118110122126130134138142146150154158162166170174178182186190194198202206210214410[Tâche],Taches_Jours12243639172029323541444750535659626783202432364448565260646872768088969210010411211610812012412813213614014414815215616016416817217618018418819219620020420821226[[#Headers],[FG]],Horodateur112335381922313437434649525558616469852226343846505854626670747882909894102106114118110122126130134138142146150154158162166170174178182186190194198202206210214410[Jour],Taches_Jours12243639172029323541444750535659626783202432364448565260646872768088969210010411211610812012412813213614014414815215616016416817217618018418819219620020420821226[[#This Row],[Jours]])</f>
        <v>0.500000000000001</v>
      </c>
      <c r="E64" s="71" t="n">
        <f aca="false">SUMIFS(Horodateur112335381922313437434649525558616469852226343846505854626670747882909894102106114118110122126130134138142146150154158162166170174178182186190194198202206210214410[Durée (100)],Horodateur112335381922313437434649525558616469852226343846505854626670747882909894102106114118110122126130134138142146150154158162166170174178182186190194198202206210214410[Tâche],Taches_Jours12243639172029323541444750535659626783202432364448565260646872768088969210010411211610812012412813213614014414815215616016416817217618018418819219620020420821226[[#Headers],[PS]],Horodateur112335381922313437434649525558616469852226343846505854626670747882909894102106114118110122126130134138142146150154158162166170174178182186190194198202206210214410[Jour],Taches_Jours12243639172029323541444750535659626783202432364448565260646872768088969210010411211610812012412813213614014414815215616016416817217618018418819219620020420821226[[#This Row],[Jours]])</f>
        <v>0</v>
      </c>
      <c r="F64" s="71" t="n">
        <f aca="false">SUMIFS(Horodateur112335381922313437434649525558616469852226343846505854626670747882909894102106114118110122126130134138142146150154158162166170174178182186190194198202206210214410[Durée (100)],Horodateur112335381922313437434649525558616469852226343846505854626670747882909894102106114118110122126130134138142146150154158162166170174178182186190194198202206210214410[Tâche],Taches_Jours12243639172029323541444750535659626783202432364448565260646872768088969210010411211610812012412813213614014414815215616016416817217618018418819219620020420821226[[#Headers],[TD]],Horodateur112335381922313437434649525558616469852226343846505854626670747882909894102106114118110122126130134138142146150154158162166170174178182186190194198202206210214410[Jour],Taches_Jours12243639172029323541444750535659626783202432364448565260646872768088969210010411211610812012412813213614014414815215616016416817217618018418819219620020420821226[[#This Row],[Jours]])</f>
        <v>0</v>
      </c>
      <c r="G64" s="71" t="n">
        <f aca="false">SUMIFS(Horodateur112335381922313437434649525558616469852226343846505854626670747882909894102106114118110122126130134138142146150154158162166170174178182186190194198202206210214410[Durée (100)],Horodateur112335381922313437434649525558616469852226343846505854626670747882909894102106114118110122126130134138142146150154158162166170174178182186190194198202206210214410[Tâche],Taches_Jours12243639172029323541444750535659626783202432364448565260646872768088969210010411211610812012412813213614014414815215616016416817217618018418819219620020420821226[[#Headers],[GP]],Horodateur112335381922313437434649525558616469852226343846505854626670747882909894102106114118110122126130134138142146150154158162166170174178182186190194198202206210214410[Jour],Taches_Jours12243639172029323541444750535659626783202432364448565260646872768088969210010411211610812012412813213614014414815215616016416817217618018418819219620020420821226[[#This Row],[Jours]])</f>
        <v>0.749999999999997</v>
      </c>
      <c r="H64" s="71" t="n">
        <f aca="false">SUMIFS(Horodateur112335381922313437434649525558616469852226343846505854626670747882909894102106114118110122126130134138142146150154158162166170174178182186190194198202206210214410[Durée (100)],Horodateur112335381922313437434649525558616469852226343846505854626670747882909894102106114118110122126130134138142146150154158162166170174178182186190194198202206210214410[Tâche],Taches_Jours12243639172029323541444750535659626783202432364448565260646872768088969210010411211610812012412813213614014414815215616016416817217618018418819219620020420821226[[#Headers],[GP / SP]],Horodateur112335381922313437434649525558616469852226343846505854626670747882909894102106114118110122126130134138142146150154158162166170174178182186190194198202206210214410[Jour],Taches_Jours12243639172029323541444750535659626783202432364448565260646872768088969210010411211610812012412813213614014414815215616016416817217618018418819219620020420821226[[#This Row],[Jours]])</f>
        <v>0</v>
      </c>
      <c r="I64" s="71" t="n">
        <f aca="false">SUMIFS(Horodateur112335381922313437434649525558616469852226343846505854626670747882909894102106114118110122126130134138142146150154158162166170174178182186190194198202206210214410[Durée (100)],Horodateur112335381922313437434649525558616469852226343846505854626670747882909894102106114118110122126130134138142146150154158162166170174178182186190194198202206210214410[Tâche],Taches_Jours12243639172029323541444750535659626783202432364448565260646872768088969210010411211610812012412813213614014414815215616016416817217618018418819219620020420821226[[#Headers],[GP / SP]],Horodateur112335381922313437434649525558616469852226343846505854626670747882909894102106114118110122126130134138142146150154158162166170174178182186190194198202206210214410[Jour],Taches_Jours12243639172029323541444750535659626783202432364448565260646872768088969210010411211610812012412813213614014414815215616016416817217618018418819219620020420821226[[#This Row],[Jours]])</f>
        <v>0</v>
      </c>
      <c r="J64" s="290" t="n">
        <f aca="false">SUM(Taches_Jours12243639172029323541444750535659626783202432364448565260646872768088969210010411211610812012412813213614014414815215616016416817217618018418819219620020420821226[[#This Row],[GB]:[GP / SP]])</f>
        <v>3</v>
      </c>
      <c r="K64" s="188"/>
      <c r="L64" s="288"/>
      <c r="M64" s="289"/>
      <c r="N64" s="187"/>
      <c r="O64" s="1"/>
      <c r="P64" s="1"/>
      <c r="Q64" s="1"/>
      <c r="R64" s="1"/>
      <c r="S64" s="1"/>
      <c r="T64" s="71"/>
      <c r="U64" s="71"/>
      <c r="V64" s="71"/>
      <c r="W64" s="71"/>
      <c r="X64" s="71"/>
      <c r="Y64" s="71"/>
      <c r="Z64" s="71"/>
      <c r="AA64" s="71"/>
      <c r="AB64" s="71"/>
      <c r="AC64" s="71"/>
      <c r="AD64" s="71"/>
      <c r="AE64" s="71"/>
      <c r="AF64" s="71"/>
    </row>
    <row r="65" customFormat="false" ht="15" hidden="true" customHeight="false" outlineLevel="1" collapsed="false">
      <c r="A65" s="187" t="s">
        <v>341</v>
      </c>
      <c r="B65" s="71" t="n">
        <f aca="false">SUMIFS(Horodateur112335381922313437434649525558616469852226343846505854626670747882909894102106114118110122126130134138142146150154158162166170174178182186190194198202206210214410[Durée (100)],Horodateur112335381922313437434649525558616469852226343846505854626670747882909894102106114118110122126130134138142146150154158162166170174178182186190194198202206210214410[Tâche],Taches_Jours12243639172029323541444750535659626783202432364448565260646872768088969210010411211610812012412813213614014414815215616016416817217618018418819219620020420821226[[#Headers],[GB]],Horodateur112335381922313437434649525558616469852226343846505854626670747882909894102106114118110122126130134138142146150154158162166170174178182186190194198202206210214410[Jour],Taches_Jours12243639172029323541444750535659626783202432364448565260646872768088969210010411211610812012412813213614014414815215616016416817217618018418819219620020420821226[[#This Row],[Jours]])</f>
        <v>0</v>
      </c>
      <c r="C65" s="71" t="n">
        <f aca="false">SUMIFS(Horodateur112335381922313437434649525558616469852226343846505854626670747882909894102106114118110122126130134138142146150154158162166170174178182186190194198202206210214410[Durée (100)],Horodateur112335381922313437434649525558616469852226343846505854626670747882909894102106114118110122126130134138142146150154158162166170174178182186190194198202206210214410[Tâche],Taches_Jours12243639172029323541444750535659626783202432364448565260646872768088969210010411211610812012412813213614014414815215616016416817217618018418819219620020420821226[[#Headers],[RI]],Horodateur112335381922313437434649525558616469852226343846505854626670747882909894102106114118110122126130134138142146150154158162166170174178182186190194198202206210214410[Jour],Taches_Jours12243639172029323541444750535659626783202432364448565260646872768088969210010411211610812012412813213614014414815215616016416817217618018418819219620020420821226[[#This Row],[Jours]])</f>
        <v>0</v>
      </c>
      <c r="D65" s="71" t="n">
        <f aca="false">SUMIFS(Horodateur112335381922313437434649525558616469852226343846505854626670747882909894102106114118110122126130134138142146150154158162166170174178182186190194198202206210214410[Durée (100)],Horodateur112335381922313437434649525558616469852226343846505854626670747882909894102106114118110122126130134138142146150154158162166170174178182186190194198202206210214410[Tâche],Taches_Jours12243639172029323541444750535659626783202432364448565260646872768088969210010411211610812012412813213614014414815215616016416817217618018418819219620020420821226[[#Headers],[FG]],Horodateur112335381922313437434649525558616469852226343846505854626670747882909894102106114118110122126130134138142146150154158162166170174178182186190194198202206210214410[Jour],Taches_Jours12243639172029323541444750535659626783202432364448565260646872768088969210010411211610812012412813213614014414815215616016416817217618018418819219620020420821226[[#This Row],[Jours]])</f>
        <v>0</v>
      </c>
      <c r="E65" s="71" t="n">
        <f aca="false">SUMIFS(Horodateur112335381922313437434649525558616469852226343846505854626670747882909894102106114118110122126130134138142146150154158162166170174178182186190194198202206210214410[Durée (100)],Horodateur112335381922313437434649525558616469852226343846505854626670747882909894102106114118110122126130134138142146150154158162166170174178182186190194198202206210214410[Tâche],Taches_Jours12243639172029323541444750535659626783202432364448565260646872768088969210010411211610812012412813213614014414815215616016416817217618018418819219620020420821226[[#Headers],[PS]],Horodateur112335381922313437434649525558616469852226343846505854626670747882909894102106114118110122126130134138142146150154158162166170174178182186190194198202206210214410[Jour],Taches_Jours12243639172029323541444750535659626783202432364448565260646872768088969210010411211610812012412813213614014414815215616016416817217618018418819219620020420821226[[#This Row],[Jours]])</f>
        <v>0</v>
      </c>
      <c r="F65" s="71" t="n">
        <f aca="false">SUMIFS(Horodateur112335381922313437434649525558616469852226343846505854626670747882909894102106114118110122126130134138142146150154158162166170174178182186190194198202206210214410[Durée (100)],Horodateur112335381922313437434649525558616469852226343846505854626670747882909894102106114118110122126130134138142146150154158162166170174178182186190194198202206210214410[Tâche],Taches_Jours12243639172029323541444750535659626783202432364448565260646872768088969210010411211610812012412813213614014414815215616016416817217618018418819219620020420821226[[#Headers],[TD]],Horodateur112335381922313437434649525558616469852226343846505854626670747882909894102106114118110122126130134138142146150154158162166170174178182186190194198202206210214410[Jour],Taches_Jours12243639172029323541444750535659626783202432364448565260646872768088969210010411211610812012412813213614014414815215616016416817217618018418819219620020420821226[[#This Row],[Jours]])</f>
        <v>0</v>
      </c>
      <c r="G65" s="71" t="n">
        <f aca="false">SUMIFS(Horodateur112335381922313437434649525558616469852226343846505854626670747882909894102106114118110122126130134138142146150154158162166170174178182186190194198202206210214410[Durée (100)],Horodateur112335381922313437434649525558616469852226343846505854626670747882909894102106114118110122126130134138142146150154158162166170174178182186190194198202206210214410[Tâche],Taches_Jours12243639172029323541444750535659626783202432364448565260646872768088969210010411211610812012412813213614014414815215616016416817217618018418819219620020420821226[[#Headers],[GP]],Horodateur112335381922313437434649525558616469852226343846505854626670747882909894102106114118110122126130134138142146150154158162166170174178182186190194198202206210214410[Jour],Taches_Jours12243639172029323541444750535659626783202432364448565260646872768088969210010411211610812012412813213614014414815215616016416817217618018418819219620020420821226[[#This Row],[Jours]])</f>
        <v>0</v>
      </c>
      <c r="H65" s="71" t="n">
        <f aca="false">SUMIFS(Horodateur112335381922313437434649525558616469852226343846505854626670747882909894102106114118110122126130134138142146150154158162166170174178182186190194198202206210214410[Durée (100)],Horodateur112335381922313437434649525558616469852226343846505854626670747882909894102106114118110122126130134138142146150154158162166170174178182186190194198202206210214410[Tâche],Taches_Jours12243639172029323541444750535659626783202432364448565260646872768088969210010411211610812012412813213614014414815215616016416817217618018418819219620020420821226[[#Headers],[GP / SP]],Horodateur112335381922313437434649525558616469852226343846505854626670747882909894102106114118110122126130134138142146150154158162166170174178182186190194198202206210214410[Jour],Taches_Jours12243639172029323541444750535659626783202432364448565260646872768088969210010411211610812012412813213614014414815215616016416817217618018418819219620020420821226[[#This Row],[Jours]])</f>
        <v>0</v>
      </c>
      <c r="I65" s="290" t="n">
        <f aca="false">SUMIFS(Horodateur112335381922313437434649525558616469852226343846505854626670747882909894102106114118110122126130134138142146150154158162166170174178182186190194198202206210214410[Durée (100)],Horodateur112335381922313437434649525558616469852226343846505854626670747882909894102106114118110122126130134138142146150154158162166170174178182186190194198202206210214410[Tâche],Taches_Jours12243639172029323541444750535659626783202432364448565260646872768088969210010411211610812012412813213614014414815215616016416817217618018418819219620020420821226[[#Headers],[GP / SP]],Horodateur112335381922313437434649525558616469852226343846505854626670747882909894102106114118110122126130134138142146150154158162166170174178182186190194198202206210214410[Jour],Taches_Jours12243639172029323541444750535659626783202432364448565260646872768088969210010411211610812012412813213614014414815215616016416817217618018418819219620020420821226[[#This Row],[Jours]])</f>
        <v>0</v>
      </c>
      <c r="J65" s="71" t="n">
        <f aca="false">SUM(Taches_Jours12243639172029323541444750535659626783202432364448565260646872768088969210010411211610812012412813213614014414815215616016416817217618018418819219620020420821226[[#This Row],[GB]:[GP / SP]])</f>
        <v>0</v>
      </c>
      <c r="K65" s="188"/>
      <c r="L65" s="288"/>
      <c r="M65" s="289"/>
      <c r="N65" s="187"/>
      <c r="O65" s="1"/>
      <c r="P65" s="1"/>
      <c r="Q65" s="1"/>
      <c r="R65" s="1"/>
      <c r="S65" s="1"/>
      <c r="T65" s="71"/>
      <c r="U65" s="71"/>
      <c r="V65" s="71"/>
      <c r="W65" s="71"/>
      <c r="X65" s="71"/>
      <c r="Y65" s="71"/>
      <c r="Z65" s="71"/>
      <c r="AA65" s="71"/>
      <c r="AB65" s="71"/>
      <c r="AC65" s="71"/>
      <c r="AD65" s="71"/>
      <c r="AE65" s="71"/>
      <c r="AF65" s="71"/>
    </row>
    <row r="66" customFormat="false" ht="15" hidden="true" customHeight="false" outlineLevel="1" collapsed="false">
      <c r="A66" s="187" t="s">
        <v>381</v>
      </c>
      <c r="B66" s="71" t="n">
        <f aca="false">SUMIFS(Horodateur112335381922313437434649525558616469852226343846505854626670747882909894102106114118110122126130134138142146150154158162166170174178182186190194198202206210214410[Durée (100)],Horodateur112335381922313437434649525558616469852226343846505854626670747882909894102106114118110122126130134138142146150154158162166170174178182186190194198202206210214410[Tâche],Taches_Jours12243639172029323541444750535659626783202432364448565260646872768088969210010411211610812012412813213614014414815215616016416817217618018418819219620020420821226[[#Headers],[GB]],Horodateur112335381922313437434649525558616469852226343846505854626670747882909894102106114118110122126130134138142146150154158162166170174178182186190194198202206210214410[Jour],Taches_Jours12243639172029323541444750535659626783202432364448565260646872768088969210010411211610812012412813213614014414815215616016416817217618018418819219620020420821226[[#This Row],[Jours]])</f>
        <v>0</v>
      </c>
      <c r="C66" s="71" t="n">
        <f aca="false">SUMIFS(Horodateur112335381922313437434649525558616469852226343846505854626670747882909894102106114118110122126130134138142146150154158162166170174178182186190194198202206210214410[Durée (100)],Horodateur112335381922313437434649525558616469852226343846505854626670747882909894102106114118110122126130134138142146150154158162166170174178182186190194198202206210214410[Tâche],Taches_Jours12243639172029323541444750535659626783202432364448565260646872768088969210010411211610812012412813213614014414815215616016416817217618018418819219620020420821226[[#Headers],[RI]],Horodateur112335381922313437434649525558616469852226343846505854626670747882909894102106114118110122126130134138142146150154158162166170174178182186190194198202206210214410[Jour],Taches_Jours12243639172029323541444750535659626783202432364448565260646872768088969210010411211610812012412813213614014414815215616016416817217618018418819219620020420821226[[#This Row],[Jours]])</f>
        <v>0</v>
      </c>
      <c r="D66" s="71" t="n">
        <f aca="false">SUMIFS(Horodateur112335381922313437434649525558616469852226343846505854626670747882909894102106114118110122126130134138142146150154158162166170174178182186190194198202206210214410[Durée (100)],Horodateur112335381922313437434649525558616469852226343846505854626670747882909894102106114118110122126130134138142146150154158162166170174178182186190194198202206210214410[Tâche],Taches_Jours12243639172029323541444750535659626783202432364448565260646872768088969210010411211610812012412813213614014414815215616016416817217618018418819219620020420821226[[#Headers],[FG]],Horodateur112335381922313437434649525558616469852226343846505854626670747882909894102106114118110122126130134138142146150154158162166170174178182186190194198202206210214410[Jour],Taches_Jours12243639172029323541444750535659626783202432364448565260646872768088969210010411211610812012412813213614014414815215616016416817217618018418819219620020420821226[[#This Row],[Jours]])</f>
        <v>0</v>
      </c>
      <c r="E66" s="71" t="n">
        <f aca="false">SUMIFS(Horodateur112335381922313437434649525558616469852226343846505854626670747882909894102106114118110122126130134138142146150154158162166170174178182186190194198202206210214410[Durée (100)],Horodateur112335381922313437434649525558616469852226343846505854626670747882909894102106114118110122126130134138142146150154158162166170174178182186190194198202206210214410[Tâche],Taches_Jours12243639172029323541444750535659626783202432364448565260646872768088969210010411211610812012412813213614014414815215616016416817217618018418819219620020420821226[[#Headers],[PS]],Horodateur112335381922313437434649525558616469852226343846505854626670747882909894102106114118110122126130134138142146150154158162166170174178182186190194198202206210214410[Jour],Taches_Jours12243639172029323541444750535659626783202432364448565260646872768088969210010411211610812012412813213614014414815215616016416817217618018418819219620020420821226[[#This Row],[Jours]])</f>
        <v>0</v>
      </c>
      <c r="F66" s="71" t="n">
        <f aca="false">SUMIFS(Horodateur112335381922313437434649525558616469852226343846505854626670747882909894102106114118110122126130134138142146150154158162166170174178182186190194198202206210214410[Durée (100)],Horodateur112335381922313437434649525558616469852226343846505854626670747882909894102106114118110122126130134138142146150154158162166170174178182186190194198202206210214410[Tâche],Taches_Jours12243639172029323541444750535659626783202432364448565260646872768088969210010411211610812012412813213614014414815215616016416817217618018418819219620020420821226[[#Headers],[TD]],Horodateur112335381922313437434649525558616469852226343846505854626670747882909894102106114118110122126130134138142146150154158162166170174178182186190194198202206210214410[Jour],Taches_Jours12243639172029323541444750535659626783202432364448565260646872768088969210010411211610812012412813213614014414815215616016416817217618018418819219620020420821226[[#This Row],[Jours]])</f>
        <v>0</v>
      </c>
      <c r="G66" s="71" t="n">
        <f aca="false">SUMIFS(Horodateur112335381922313437434649525558616469852226343846505854626670747882909894102106114118110122126130134138142146150154158162166170174178182186190194198202206210214410[Durée (100)],Horodateur112335381922313437434649525558616469852226343846505854626670747882909894102106114118110122126130134138142146150154158162166170174178182186190194198202206210214410[Tâche],Taches_Jours12243639172029323541444750535659626783202432364448565260646872768088969210010411211610812012412813213614014414815215616016416817217618018418819219620020420821226[[#Headers],[GP]],Horodateur112335381922313437434649525558616469852226343846505854626670747882909894102106114118110122126130134138142146150154158162166170174178182186190194198202206210214410[Jour],Taches_Jours12243639172029323541444750535659626783202432364448565260646872768088969210010411211610812012412813213614014414815215616016416817217618018418819219620020420821226[[#This Row],[Jours]])</f>
        <v>0</v>
      </c>
      <c r="H66" s="71" t="n">
        <f aca="false">SUMIFS(Horodateur112335381922313437434649525558616469852226343846505854626670747882909894102106114118110122126130134138142146150154158162166170174178182186190194198202206210214410[Durée (100)],Horodateur112335381922313437434649525558616469852226343846505854626670747882909894102106114118110122126130134138142146150154158162166170174178182186190194198202206210214410[Tâche],Taches_Jours12243639172029323541444750535659626783202432364448565260646872768088969210010411211610812012412813213614014414815215616016416817217618018418819219620020420821226[[#Headers],[GP / SP]],Horodateur112335381922313437434649525558616469852226343846505854626670747882909894102106114118110122126130134138142146150154158162166170174178182186190194198202206210214410[Jour],Taches_Jours12243639172029323541444750535659626783202432364448565260646872768088969210010411211610812012412813213614014414815215616016416817217618018418819219620020420821226[[#This Row],[Jours]])</f>
        <v>0</v>
      </c>
      <c r="I66" s="290" t="n">
        <f aca="false">SUMIFS(Horodateur112335381922313437434649525558616469852226343846505854626670747882909894102106114118110122126130134138142146150154158162166170174178182186190194198202206210214410[Durée (100)],Horodateur112335381922313437434649525558616469852226343846505854626670747882909894102106114118110122126130134138142146150154158162166170174178182186190194198202206210214410[Tâche],Taches_Jours12243639172029323541444750535659626783202432364448565260646872768088969210010411211610812012412813213614014414815215616016416817217618018418819219620020420821226[[#Headers],[GP / SP]],Horodateur112335381922313437434649525558616469852226343846505854626670747882909894102106114118110122126130134138142146150154158162166170174178182186190194198202206210214410[Jour],Taches_Jours12243639172029323541444750535659626783202432364448565260646872768088969210010411211610812012412813213614014414815215616016416817217618018418819219620020420821226[[#This Row],[Jours]])</f>
        <v>0</v>
      </c>
      <c r="J66" s="71" t="n">
        <f aca="false">SUM(Taches_Jours12243639172029323541444750535659626783202432364448565260646872768088969210010411211610812012412813213614014414815215616016416817217618018418819219620020420821226[[#This Row],[GB]:[GP / SP]])</f>
        <v>0</v>
      </c>
      <c r="K66" s="188"/>
      <c r="L66" s="288"/>
      <c r="M66" s="289"/>
      <c r="N66" s="187"/>
      <c r="O66" s="1"/>
      <c r="P66" s="1"/>
      <c r="Q66" s="1"/>
      <c r="R66" s="1"/>
      <c r="S66" s="1"/>
      <c r="T66" s="71"/>
      <c r="U66" s="71"/>
      <c r="V66" s="71"/>
      <c r="W66" s="71"/>
      <c r="X66" s="71"/>
      <c r="Y66" s="71"/>
      <c r="Z66" s="71"/>
      <c r="AA66" s="71"/>
      <c r="AB66" s="71"/>
      <c r="AC66" s="71"/>
      <c r="AD66" s="71"/>
      <c r="AE66" s="71"/>
      <c r="AF66" s="71"/>
    </row>
    <row r="67" customFormat="false" ht="15" hidden="true" customHeight="false" outlineLevel="1" collapsed="false">
      <c r="A67" s="137"/>
      <c r="B67" s="187"/>
      <c r="C67" s="71"/>
      <c r="D67" s="1"/>
      <c r="E67" s="1"/>
      <c r="F67" s="71"/>
      <c r="G67" s="1"/>
      <c r="H67" s="1"/>
      <c r="I67" s="119"/>
      <c r="J67" s="271"/>
      <c r="K67" s="1"/>
      <c r="L67" s="188"/>
      <c r="M67" s="272"/>
      <c r="N67" s="187"/>
      <c r="O67" s="1"/>
      <c r="P67" s="1"/>
      <c r="Q67" s="1"/>
      <c r="R67" s="1"/>
      <c r="S67" s="1"/>
      <c r="T67" s="1"/>
      <c r="U67" s="71"/>
      <c r="V67" s="71"/>
      <c r="W67" s="71"/>
      <c r="X67" s="71"/>
      <c r="Y67" s="71"/>
      <c r="Z67" s="71"/>
      <c r="AA67" s="71"/>
      <c r="AB67" s="71"/>
      <c r="AC67" s="71"/>
      <c r="AD67" s="71"/>
      <c r="AE67" s="71"/>
      <c r="AF67" s="71"/>
      <c r="AG67" s="71"/>
    </row>
    <row r="68" customFormat="false" ht="15" hidden="true" customHeight="false" outlineLevel="1" collapsed="false">
      <c r="A68" s="291" t="s">
        <v>85</v>
      </c>
      <c r="B68" s="292" t="s">
        <v>312</v>
      </c>
      <c r="C68" s="292" t="s">
        <v>319</v>
      </c>
      <c r="D68" s="292" t="s">
        <v>324</v>
      </c>
      <c r="E68" s="292" t="s">
        <v>332</v>
      </c>
      <c r="F68" s="293" t="s">
        <v>335</v>
      </c>
      <c r="G68" s="292" t="s">
        <v>341</v>
      </c>
      <c r="H68" s="292" t="s">
        <v>381</v>
      </c>
      <c r="I68" s="294" t="s">
        <v>58</v>
      </c>
      <c r="J68" s="271"/>
      <c r="K68" s="1"/>
      <c r="L68" s="188"/>
      <c r="M68" s="272"/>
      <c r="N68" s="187"/>
      <c r="O68" s="1"/>
      <c r="P68" s="1"/>
      <c r="Q68" s="1"/>
      <c r="R68" s="1"/>
      <c r="S68" s="1"/>
      <c r="T68" s="1"/>
      <c r="U68" s="71"/>
      <c r="V68" s="71"/>
      <c r="W68" s="71"/>
      <c r="X68" s="71"/>
      <c r="Y68" s="71"/>
      <c r="Z68" s="71"/>
      <c r="AA68" s="71"/>
      <c r="AB68" s="71"/>
      <c r="AC68" s="71"/>
      <c r="AD68" s="71"/>
      <c r="AE68" s="71"/>
      <c r="AF68" s="71"/>
      <c r="AG68" s="71"/>
    </row>
    <row r="69" customFormat="false" ht="15" hidden="true" customHeight="false" outlineLevel="1" collapsed="false">
      <c r="A69" s="137" t="s">
        <v>21</v>
      </c>
      <c r="B69" s="187" t="n">
        <f aca="false">SUMIFS(Horodateur112335381922313437434649525558616469852226343846505854626670747882909894102106114118110122126130134138142146150154158162166170174178182186190194198202206210214410[Durée (100)],Horodateur112335381922313437434649525558616469852226343846505854626670747882909894102106114118110122126130134138142146150154158162166170174178182186190194198202206210214410[Jour],$B$68,Horodateur112335381922313437434649525558616469852226343846505854626670747882909894102106114118110122126130134138142146150154158162166170174178182186190194198202206210214410[Tâche],$A69)</f>
        <v>0.75</v>
      </c>
      <c r="C69" s="187" t="n">
        <f aca="false">SUMIFS(Horodateur112335381922313437434649525558616469852226343846505854626670747882909894102106114118110122126130134138142146150154158162166170174178182186190194198202206210214410[Durée (100)],Horodateur112335381922313437434649525558616469852226343846505854626670747882909894102106114118110122126130134138142146150154158162166170174178182186190194198202206210214410[Jour],$C$68,Horodateur112335381922313437434649525558616469852226343846505854626670747882909894102106114118110122126130134138142146150154158162166170174178182186190194198202206210214410[Tâche],$A69)</f>
        <v>0</v>
      </c>
      <c r="D69" s="187" t="n">
        <f aca="false">SUMIFS(Horodateur112335381922313437434649525558616469852226343846505854626670747882909894102106114118110122126130134138142146150154158162166170174178182186190194198202206210214410[Durée (100)],Horodateur112335381922313437434649525558616469852226343846505854626670747882909894102106114118110122126130134138142146150154158162166170174178182186190194198202206210214410[Jour],$D$68,Horodateur112335381922313437434649525558616469852226343846505854626670747882909894102106114118110122126130134138142146150154158162166170174178182186190194198202206210214410[Tâche],$A69)</f>
        <v>0.5</v>
      </c>
      <c r="E69" s="187" t="n">
        <f aca="false">SUMIFS(Horodateur112335381922313437434649525558616469852226343846505854626670747882909894102106114118110122126130134138142146150154158162166170174178182186190194198202206210214410[Durée (100)],Horodateur112335381922313437434649525558616469852226343846505854626670747882909894102106114118110122126130134138142146150154158162166170174178182186190194198202206210214410[Jour],$E$68,Horodateur112335381922313437434649525558616469852226343846505854626670747882909894102106114118110122126130134138142146150154158162166170174178182186190194198202206210214410[Tâche],$A69)</f>
        <v>0</v>
      </c>
      <c r="F69" s="71" t="n">
        <f aca="false">SUMIFS(Horodateur112335381922313437434649525558616469852226343846505854626670747882909894102106114118110122126130134138142146150154158162166170174178182186190194198202206210214410[Durée (100)],Horodateur112335381922313437434649525558616469852226343846505854626670747882909894102106114118110122126130134138142146150154158162166170174178182186190194198202206210214410[Jour],$F$68,Horodateur112335381922313437434649525558616469852226343846505854626670747882909894102106114118110122126130134138142146150154158162166170174178182186190194198202206210214410[Tâche],$A69)</f>
        <v>1.75</v>
      </c>
      <c r="G69" s="187" t="n">
        <f aca="false">SUMIFS(Horodateur112335381922313437434649525558616469852226343846505854626670747882909894102106114118110122126130134138142146150154158162166170174178182186190194198202206210214410[Durée (100)],Horodateur112335381922313437434649525558616469852226343846505854626670747882909894102106114118110122126130134138142146150154158162166170174178182186190194198202206210214410[Jour],$G$68,Horodateur112335381922313437434649525558616469852226343846505854626670747882909894102106114118110122126130134138142146150154158162166170174178182186190194198202206210214410[Tâche],$A69)</f>
        <v>0</v>
      </c>
      <c r="H69" s="187" t="n">
        <f aca="false">SUMIFS(Horodateur112335381922313437434649525558616469852226343846505854626670747882909894102106114118110122126130134138142146150154158162166170174178182186190194198202206210214410[Durée (100)],Horodateur112335381922313437434649525558616469852226343846505854626670747882909894102106114118110122126130134138142146150154158162166170174178182186190194198202206210214410[Jour],$H$68,Horodateur112335381922313437434649525558616469852226343846505854626670747882909894102106114118110122126130134138142146150154158162166170174178182186190194198202206210214410[Tâche],$A69)</f>
        <v>0</v>
      </c>
      <c r="I69" s="295" t="n">
        <f aca="false">SUM(Taches_Jour213253740182130333642454851545760636884212533374549575361656973778189979310110511311710912112512913313714114514915315716116516917317718118518919319720120520921339[[#This Row],[1- Lundi]:[7- Dimanche]])</f>
        <v>3</v>
      </c>
      <c r="J69" s="271"/>
      <c r="K69" s="1"/>
      <c r="L69" s="188"/>
      <c r="M69" s="272"/>
      <c r="N69" s="187"/>
      <c r="O69" s="1"/>
      <c r="P69" s="1"/>
      <c r="Q69" s="1"/>
      <c r="R69" s="1"/>
      <c r="S69" s="1"/>
      <c r="T69" s="1"/>
      <c r="U69" s="71"/>
      <c r="V69" s="71"/>
      <c r="W69" s="71"/>
      <c r="X69" s="71"/>
      <c r="Y69" s="71"/>
      <c r="Z69" s="71"/>
      <c r="AA69" s="71"/>
      <c r="AB69" s="71"/>
      <c r="AC69" s="71"/>
      <c r="AD69" s="71"/>
      <c r="AE69" s="71"/>
      <c r="AF69" s="71"/>
      <c r="AG69" s="71"/>
    </row>
    <row r="70" customFormat="false" ht="15" hidden="true" customHeight="false" outlineLevel="1" collapsed="false">
      <c r="A70" s="137" t="s">
        <v>20</v>
      </c>
      <c r="B70" s="187" t="n">
        <f aca="false">SUMIFS(Horodateur112335381922313437434649525558616469852226343846505854626670747882909894102106114118110122126130134138142146150154158162166170174178182186190194198202206210214410[Durée (100)],Horodateur112335381922313437434649525558616469852226343846505854626670747882909894102106114118110122126130134138142146150154158162166170174178182186190194198202206210214410[Jour],$B$68,Horodateur112335381922313437434649525558616469852226343846505854626670747882909894102106114118110122126130134138142146150154158162166170174178182186190194198202206210214410[Tâche],$A70)</f>
        <v>0.500000000000001</v>
      </c>
      <c r="C70" s="187" t="n">
        <f aca="false">SUMIFS(Horodateur112335381922313437434649525558616469852226343846505854626670747882909894102106114118110122126130134138142146150154158162166170174178182186190194198202206210214410[Durée (100)],Horodateur112335381922313437434649525558616469852226343846505854626670747882909894102106114118110122126130134138142146150154158162166170174178182186190194198202206210214410[Jour],$C$68,Horodateur112335381922313437434649525558616469852226343846505854626670747882909894102106114118110122126130134138142146150154158162166170174178182186190194198202206210214410[Tâche],$A70)</f>
        <v>0</v>
      </c>
      <c r="D70" s="187" t="n">
        <f aca="false">SUMIFS(Horodateur112335381922313437434649525558616469852226343846505854626670747882909894102106114118110122126130134138142146150154158162166170174178182186190194198202206210214410[Durée (100)],Horodateur112335381922313437434649525558616469852226343846505854626670747882909894102106114118110122126130134138142146150154158162166170174178182186190194198202206210214410[Jour],$D$68,Horodateur112335381922313437434649525558616469852226343846505854626670747882909894102106114118110122126130134138142146150154158162166170174178182186190194198202206210214410[Tâche],$A70)</f>
        <v>0</v>
      </c>
      <c r="E70" s="187" t="n">
        <f aca="false">SUMIFS(Horodateur112335381922313437434649525558616469852226343846505854626670747882909894102106114118110122126130134138142146150154158162166170174178182186190194198202206210214410[Durée (100)],Horodateur112335381922313437434649525558616469852226343846505854626670747882909894102106114118110122126130134138142146150154158162166170174178182186190194198202206210214410[Jour],$E$68,Horodateur112335381922313437434649525558616469852226343846505854626670747882909894102106114118110122126130134138142146150154158162166170174178182186190194198202206210214410[Tâche],$A70)</f>
        <v>0</v>
      </c>
      <c r="F70" s="71" t="n">
        <f aca="false">SUMIFS(Horodateur112335381922313437434649525558616469852226343846505854626670747882909894102106114118110122126130134138142146150154158162166170174178182186190194198202206210214410[Durée (100)],Horodateur112335381922313437434649525558616469852226343846505854626670747882909894102106114118110122126130134138142146150154158162166170174178182186190194198202206210214410[Jour],$F$68,Horodateur112335381922313437434649525558616469852226343846505854626670747882909894102106114118110122126130134138142146150154158162166170174178182186190194198202206210214410[Tâche],$A70)</f>
        <v>0</v>
      </c>
      <c r="G70" s="187" t="n">
        <f aca="false">SUMIFS(Horodateur112335381922313437434649525558616469852226343846505854626670747882909894102106114118110122126130134138142146150154158162166170174178182186190194198202206210214410[Durée (100)],Horodateur112335381922313437434649525558616469852226343846505854626670747882909894102106114118110122126130134138142146150154158162166170174178182186190194198202206210214410[Jour],$G$68,Horodateur112335381922313437434649525558616469852226343846505854626670747882909894102106114118110122126130134138142146150154158162166170174178182186190194198202206210214410[Tâche],$A70)</f>
        <v>0</v>
      </c>
      <c r="H70" s="187" t="n">
        <f aca="false">SUMIFS(Horodateur112335381922313437434649525558616469852226343846505854626670747882909894102106114118110122126130134138142146150154158162166170174178182186190194198202206210214410[Durée (100)],Horodateur112335381922313437434649525558616469852226343846505854626670747882909894102106114118110122126130134138142146150154158162166170174178182186190194198202206210214410[Jour],$H$68,Horodateur112335381922313437434649525558616469852226343846505854626670747882909894102106114118110122126130134138142146150154158162166170174178182186190194198202206210214410[Tâche],$A70)</f>
        <v>0</v>
      </c>
      <c r="I70" s="295" t="n">
        <f aca="false">SUM(Taches_Jour213253740182130333642454851545760636884212533374549575361656973778189979310110511311710912112512913313714114514915315716116516917317718118518919319720120520921339[[#This Row],[1- Lundi]:[7- Dimanche]])</f>
        <v>0.500000000000001</v>
      </c>
      <c r="J70" s="271"/>
      <c r="K70" s="1"/>
      <c r="L70" s="188"/>
      <c r="M70" s="272"/>
      <c r="N70" s="187"/>
      <c r="O70" s="1"/>
      <c r="P70" s="1"/>
      <c r="Q70" s="1"/>
      <c r="R70" s="1"/>
      <c r="S70" s="1"/>
      <c r="T70" s="1"/>
      <c r="U70" s="71"/>
      <c r="V70" s="71"/>
      <c r="W70" s="71"/>
      <c r="X70" s="71"/>
      <c r="Y70" s="71"/>
      <c r="Z70" s="71"/>
      <c r="AA70" s="71"/>
      <c r="AB70" s="71"/>
      <c r="AC70" s="71"/>
      <c r="AD70" s="71"/>
      <c r="AE70" s="71"/>
      <c r="AF70" s="71"/>
      <c r="AG70" s="71"/>
    </row>
    <row r="71" customFormat="false" ht="15" hidden="true" customHeight="false" outlineLevel="1" collapsed="false">
      <c r="A71" s="137" t="s">
        <v>23</v>
      </c>
      <c r="B71" s="187" t="n">
        <f aca="false">SUMIFS(Horodateur112335381922313437434649525558616469852226343846505854626670747882909894102106114118110122126130134138142146150154158162166170174178182186190194198202206210214410[Durée (100)],Horodateur112335381922313437434649525558616469852226343846505854626670747882909894102106114118110122126130134138142146150154158162166170174178182186190194198202206210214410[Jour],$B$68,Horodateur112335381922313437434649525558616469852226343846505854626670747882909894102106114118110122126130134138142146150154158162166170174178182186190194198202206210214410[Tâche],$A71)</f>
        <v>0.500000000000001</v>
      </c>
      <c r="C71" s="187" t="n">
        <f aca="false">SUMIFS(Horodateur112335381922313437434649525558616469852226343846505854626670747882909894102106114118110122126130134138142146150154158162166170174178182186190194198202206210214410[Durée (100)],Horodateur112335381922313437434649525558616469852226343846505854626670747882909894102106114118110122126130134138142146150154158162166170174178182186190194198202206210214410[Jour],$C$68,Horodateur112335381922313437434649525558616469852226343846505854626670747882909894102106114118110122126130134138142146150154158162166170174178182186190194198202206210214410[Tâche],$A71)</f>
        <v>1.5</v>
      </c>
      <c r="D71" s="187" t="n">
        <f aca="false">SUMIFS(Horodateur112335381922313437434649525558616469852226343846505854626670747882909894102106114118110122126130134138142146150154158162166170174178182186190194198202206210214410[Durée (100)],Horodateur112335381922313437434649525558616469852226343846505854626670747882909894102106114118110122126130134138142146150154158162166170174178182186190194198202206210214410[Jour],$D$68,Horodateur112335381922313437434649525558616469852226343846505854626670747882909894102106114118110122126130134138142146150154158162166170174178182186190194198202206210214410[Tâche],$A71)</f>
        <v>1</v>
      </c>
      <c r="E71" s="187" t="n">
        <f aca="false">SUMIFS(Horodateur112335381922313437434649525558616469852226343846505854626670747882909894102106114118110122126130134138142146150154158162166170174178182186190194198202206210214410[Durée (100)],Horodateur112335381922313437434649525558616469852226343846505854626670747882909894102106114118110122126130134138142146150154158162166170174178182186190194198202206210214410[Jour],$E$68,Horodateur112335381922313437434649525558616469852226343846505854626670747882909894102106114118110122126130134138142146150154158162166170174178182186190194198202206210214410[Tâche],$A71)</f>
        <v>0</v>
      </c>
      <c r="F71" s="71" t="n">
        <f aca="false">SUMIFS(Horodateur112335381922313437434649525558616469852226343846505854626670747882909894102106114118110122126130134138142146150154158162166170174178182186190194198202206210214410[Durée (100)],Horodateur112335381922313437434649525558616469852226343846505854626670747882909894102106114118110122126130134138142146150154158162166170174178182186190194198202206210214410[Jour],$F$68,Horodateur112335381922313437434649525558616469852226343846505854626670747882909894102106114118110122126130134138142146150154158162166170174178182186190194198202206210214410[Tâche],$A71)</f>
        <v>0.500000000000001</v>
      </c>
      <c r="G71" s="187" t="n">
        <f aca="false">SUMIFS(Horodateur112335381922313437434649525558616469852226343846505854626670747882909894102106114118110122126130134138142146150154158162166170174178182186190194198202206210214410[Durée (100)],Horodateur112335381922313437434649525558616469852226343846505854626670747882909894102106114118110122126130134138142146150154158162166170174178182186190194198202206210214410[Jour],$G$68,Horodateur112335381922313437434649525558616469852226343846505854626670747882909894102106114118110122126130134138142146150154158162166170174178182186190194198202206210214410[Tâche],$A71)</f>
        <v>0</v>
      </c>
      <c r="H71" s="187" t="n">
        <f aca="false">SUMIFS(Horodateur112335381922313437434649525558616469852226343846505854626670747882909894102106114118110122126130134138142146150154158162166170174178182186190194198202206210214410[Durée (100)],Horodateur112335381922313437434649525558616469852226343846505854626670747882909894102106114118110122126130134138142146150154158162166170174178182186190194198202206210214410[Jour],$H$68,Horodateur112335381922313437434649525558616469852226343846505854626670747882909894102106114118110122126130134138142146150154158162166170174178182186190194198202206210214410[Tâche],$A71)</f>
        <v>0</v>
      </c>
      <c r="I71" s="295" t="n">
        <f aca="false">SUM(Taches_Jour213253740182130333642454851545760636884212533374549575361656973778189979310110511311710912112512913313714114514915315716116516917317718118518919319720120520921339[[#This Row],[1- Lundi]:[7- Dimanche]])</f>
        <v>3.5</v>
      </c>
      <c r="J71" s="271"/>
      <c r="K71" s="1"/>
      <c r="L71" s="188"/>
      <c r="M71" s="272"/>
      <c r="N71" s="187"/>
      <c r="O71" s="1"/>
      <c r="P71" s="1"/>
      <c r="Q71" s="1"/>
      <c r="R71" s="1"/>
      <c r="S71" s="1"/>
      <c r="T71" s="1"/>
      <c r="U71" s="71"/>
      <c r="V71" s="71"/>
      <c r="W71" s="71"/>
      <c r="X71" s="71"/>
      <c r="Y71" s="71"/>
      <c r="Z71" s="71"/>
      <c r="AA71" s="71"/>
      <c r="AB71" s="71"/>
      <c r="AC71" s="71"/>
      <c r="AD71" s="71"/>
      <c r="AE71" s="71"/>
      <c r="AF71" s="71"/>
      <c r="AG71" s="71"/>
    </row>
    <row r="72" customFormat="false" ht="15" hidden="true" customHeight="false" outlineLevel="1" collapsed="false">
      <c r="A72" s="137" t="s">
        <v>25</v>
      </c>
      <c r="B72" s="187" t="n">
        <f aca="false">SUMIFS(Horodateur112335381922313437434649525558616469852226343846505854626670747882909894102106114118110122126130134138142146150154158162166170174178182186190194198202206210214410[Durée (100)],Horodateur112335381922313437434649525558616469852226343846505854626670747882909894102106114118110122126130134138142146150154158162166170174178182186190194198202206210214410[Jour],$B$68,Horodateur112335381922313437434649525558616469852226343846505854626670747882909894102106114118110122126130134138142146150154158162166170174178182186190194198202206210214410[Tâche],$A72)</f>
        <v>0</v>
      </c>
      <c r="C72" s="187" t="n">
        <f aca="false">SUMIFS(Horodateur112335381922313437434649525558616469852226343846505854626670747882909894102106114118110122126130134138142146150154158162166170174178182186190194198202206210214410[Durée (100)],Horodateur112335381922313437434649525558616469852226343846505854626670747882909894102106114118110122126130134138142146150154158162166170174178182186190194198202206210214410[Jour],$C$68,Horodateur112335381922313437434649525558616469852226343846505854626670747882909894102106114118110122126130134138142146150154158162166170174178182186190194198202206210214410[Tâche],$A72)</f>
        <v>0</v>
      </c>
      <c r="D72" s="187" t="n">
        <f aca="false">SUMIFS(Horodateur112335381922313437434649525558616469852226343846505854626670747882909894102106114118110122126130134138142146150154158162166170174178182186190194198202206210214410[Durée (100)],Horodateur112335381922313437434649525558616469852226343846505854626670747882909894102106114118110122126130134138142146150154158162166170174178182186190194198202206210214410[Jour],$D$68,Horodateur112335381922313437434649525558616469852226343846505854626670747882909894102106114118110122126130134138142146150154158162166170174178182186190194198202206210214410[Tâche],$A72)</f>
        <v>0</v>
      </c>
      <c r="E72" s="187" t="n">
        <f aca="false">SUMIFS(Horodateur112335381922313437434649525558616469852226343846505854626670747882909894102106114118110122126130134138142146150154158162166170174178182186190194198202206210214410[Durée (100)],Horodateur112335381922313437434649525558616469852226343846505854626670747882909894102106114118110122126130134138142146150154158162166170174178182186190194198202206210214410[Jour],$E$68,Horodateur112335381922313437434649525558616469852226343846505854626670747882909894102106114118110122126130134138142146150154158162166170174178182186190194198202206210214410[Tâche],$A72)</f>
        <v>0</v>
      </c>
      <c r="F72" s="71" t="n">
        <f aca="false">SUMIFS(Horodateur112335381922313437434649525558616469852226343846505854626670747882909894102106114118110122126130134138142146150154158162166170174178182186190194198202206210214410[Durée (100)],Horodateur112335381922313437434649525558616469852226343846505854626670747882909894102106114118110122126130134138142146150154158162166170174178182186190194198202206210214410[Jour],$F$68,Horodateur112335381922313437434649525558616469852226343846505854626670747882909894102106114118110122126130134138142146150154158162166170174178182186190194198202206210214410[Tâche],$A72)</f>
        <v>0</v>
      </c>
      <c r="G72" s="187" t="n">
        <f aca="false">SUMIFS(Horodateur112335381922313437434649525558616469852226343846505854626670747882909894102106114118110122126130134138142146150154158162166170174178182186190194198202206210214410[Durée (100)],Horodateur112335381922313437434649525558616469852226343846505854626670747882909894102106114118110122126130134138142146150154158162166170174178182186190194198202206210214410[Jour],$G$68,Horodateur112335381922313437434649525558616469852226343846505854626670747882909894102106114118110122126130134138142146150154158162166170174178182186190194198202206210214410[Tâche],$A72)</f>
        <v>0</v>
      </c>
      <c r="H72" s="187" t="n">
        <f aca="false">SUMIFS(Horodateur112335381922313437434649525558616469852226343846505854626670747882909894102106114118110122126130134138142146150154158162166170174178182186190194198202206210214410[Durée (100)],Horodateur112335381922313437434649525558616469852226343846505854626670747882909894102106114118110122126130134138142146150154158162166170174178182186190194198202206210214410[Jour],$H$68,Horodateur112335381922313437434649525558616469852226343846505854626670747882909894102106114118110122126130134138142146150154158162166170174178182186190194198202206210214410[Tâche],$A72)</f>
        <v>0</v>
      </c>
      <c r="I72" s="295" t="n">
        <f aca="false">SUM(Taches_Jour213253740182130333642454851545760636884212533374549575361656973778189979310110511311710912112512913313714114514915315716116516917317718118518919319720120520921339[[#This Row],[1- Lundi]:[7- Dimanche]])</f>
        <v>0</v>
      </c>
      <c r="J72" s="271"/>
      <c r="K72" s="1"/>
      <c r="L72" s="188"/>
      <c r="M72" s="272"/>
      <c r="N72" s="187"/>
      <c r="O72" s="1"/>
      <c r="P72" s="1"/>
      <c r="Q72" s="1"/>
      <c r="R72" s="1"/>
      <c r="S72" s="1"/>
      <c r="T72" s="1"/>
      <c r="U72" s="71"/>
      <c r="V72" s="71"/>
      <c r="W72" s="71"/>
      <c r="X72" s="71"/>
      <c r="Y72" s="71"/>
      <c r="Z72" s="71"/>
      <c r="AA72" s="71"/>
      <c r="AB72" s="71"/>
      <c r="AC72" s="71"/>
      <c r="AD72" s="71"/>
      <c r="AE72" s="71"/>
      <c r="AF72" s="71"/>
      <c r="AG72" s="71"/>
    </row>
    <row r="73" customFormat="false" ht="15" hidden="true" customHeight="false" outlineLevel="1" collapsed="false">
      <c r="A73" s="137" t="s">
        <v>26</v>
      </c>
      <c r="B73" s="187" t="n">
        <f aca="false">SUMIFS(Horodateur112335381922313437434649525558616469852226343846505854626670747882909894102106114118110122126130134138142146150154158162166170174178182186190194198202206210214410[Durée (100)],Horodateur112335381922313437434649525558616469852226343846505854626670747882909894102106114118110122126130134138142146150154158162166170174178182186190194198202206210214410[Jour],$B$68,Horodateur112335381922313437434649525558616469852226343846505854626670747882909894102106114118110122126130134138142146150154158162166170174178182186190194198202206210214410[Tâche],$A73)</f>
        <v>0</v>
      </c>
      <c r="C73" s="187" t="n">
        <f aca="false">SUMIFS(Horodateur112335381922313437434649525558616469852226343846505854626670747882909894102106114118110122126130134138142146150154158162166170174178182186190194198202206210214410[Durée (100)],Horodateur112335381922313437434649525558616469852226343846505854626670747882909894102106114118110122126130134138142146150154158162166170174178182186190194198202206210214410[Jour],$C$68,Horodateur112335381922313437434649525558616469852226343846505854626670747882909894102106114118110122126130134138142146150154158162166170174178182186190194198202206210214410[Tâche],$A73)</f>
        <v>0</v>
      </c>
      <c r="D73" s="187" t="n">
        <f aca="false">SUMIFS(Horodateur112335381922313437434649525558616469852226343846505854626670747882909894102106114118110122126130134138142146150154158162166170174178182186190194198202206210214410[Durée (100)],Horodateur112335381922313437434649525558616469852226343846505854626670747882909894102106114118110122126130134138142146150154158162166170174178182186190194198202206210214410[Jour],$D$68,Horodateur112335381922313437434649525558616469852226343846505854626670747882909894102106114118110122126130134138142146150154158162166170174178182186190194198202206210214410[Tâche],$A73)</f>
        <v>0</v>
      </c>
      <c r="E73" s="187" t="n">
        <f aca="false">SUMIFS(Horodateur112335381922313437434649525558616469852226343846505854626670747882909894102106114118110122126130134138142146150154158162166170174178182186190194198202206210214410[Durée (100)],Horodateur112335381922313437434649525558616469852226343846505854626670747882909894102106114118110122126130134138142146150154158162166170174178182186190194198202206210214410[Jour],$E$68,Horodateur112335381922313437434649525558616469852226343846505854626670747882909894102106114118110122126130134138142146150154158162166170174178182186190194198202206210214410[Tâche],$A73)</f>
        <v>0</v>
      </c>
      <c r="F73" s="71" t="n">
        <f aca="false">SUMIFS(Horodateur112335381922313437434649525558616469852226343846505854626670747882909894102106114118110122126130134138142146150154158162166170174178182186190194198202206210214410[Durée (100)],Horodateur112335381922313437434649525558616469852226343846505854626670747882909894102106114118110122126130134138142146150154158162166170174178182186190194198202206210214410[Jour],$F$68,Horodateur112335381922313437434649525558616469852226343846505854626670747882909894102106114118110122126130134138142146150154158162166170174178182186190194198202206210214410[Tâche],$A73)</f>
        <v>0</v>
      </c>
      <c r="G73" s="187" t="n">
        <f aca="false">SUMIFS(Horodateur112335381922313437434649525558616469852226343846505854626670747882909894102106114118110122126130134138142146150154158162166170174178182186190194198202206210214410[Durée (100)],Horodateur112335381922313437434649525558616469852226343846505854626670747882909894102106114118110122126130134138142146150154158162166170174178182186190194198202206210214410[Jour],$G$68,Horodateur112335381922313437434649525558616469852226343846505854626670747882909894102106114118110122126130134138142146150154158162166170174178182186190194198202206210214410[Tâche],$A73)</f>
        <v>0</v>
      </c>
      <c r="H73" s="187" t="n">
        <f aca="false">SUMIFS(Horodateur112335381922313437434649525558616469852226343846505854626670747882909894102106114118110122126130134138142146150154158162166170174178182186190194198202206210214410[Durée (100)],Horodateur112335381922313437434649525558616469852226343846505854626670747882909894102106114118110122126130134138142146150154158162166170174178182186190194198202206210214410[Jour],$H$68,Horodateur112335381922313437434649525558616469852226343846505854626670747882909894102106114118110122126130134138142146150154158162166170174178182186190194198202206210214410[Tâche],$A73)</f>
        <v>0</v>
      </c>
      <c r="I73" s="295" t="n">
        <f aca="false">SUM(Taches_Jour213253740182130333642454851545760636884212533374549575361656973778189979310110511311710912112512913313714114514915315716116516917317718118518919319720120520921339[[#This Row],[1- Lundi]:[7- Dimanche]])</f>
        <v>0</v>
      </c>
      <c r="J73" s="271"/>
      <c r="K73" s="1"/>
      <c r="L73" s="188"/>
      <c r="M73" s="272"/>
      <c r="N73" s="187"/>
      <c r="O73" s="1"/>
      <c r="P73" s="1"/>
      <c r="Q73" s="1"/>
      <c r="R73" s="1"/>
      <c r="S73" s="1"/>
      <c r="T73" s="1"/>
      <c r="U73" s="71"/>
      <c r="V73" s="71"/>
      <c r="W73" s="71"/>
      <c r="X73" s="71"/>
      <c r="Y73" s="71"/>
      <c r="Z73" s="71"/>
      <c r="AA73" s="71"/>
      <c r="AB73" s="71"/>
      <c r="AC73" s="71"/>
      <c r="AD73" s="71"/>
      <c r="AE73" s="71"/>
      <c r="AF73" s="71"/>
      <c r="AG73" s="71"/>
    </row>
    <row r="74" customFormat="false" ht="15" hidden="true" customHeight="false" outlineLevel="1" collapsed="false">
      <c r="A74" s="137" t="s">
        <v>378</v>
      </c>
      <c r="B74" s="187" t="n">
        <f aca="false">SUMIFS(Horodateur112335381922313437434649525558616469852226343846505854626670747882909894102106114118110122126130134138142146150154158162166170174178182186190194198202206210214410[Durée (100)],Horodateur112335381922313437434649525558616469852226343846505854626670747882909894102106114118110122126130134138142146150154158162166170174178182186190194198202206210214410[Jour],$B$68,Horodateur112335381922313437434649525558616469852226343846505854626670747882909894102106114118110122126130134138142146150154158162166170174178182186190194198202206210214410[Tâche],$A74)</f>
        <v>3</v>
      </c>
      <c r="C74" s="187" t="n">
        <f aca="false">SUMIFS(Horodateur112335381922313437434649525558616469852226343846505854626670747882909894102106114118110122126130134138142146150154158162166170174178182186190194198202206210214410[Durée (100)],Horodateur112335381922313437434649525558616469852226343846505854626670747882909894102106114118110122126130134138142146150154158162166170174178182186190194198202206210214410[Jour],$C$68,Horodateur112335381922313437434649525558616469852226343846505854626670747882909894102106114118110122126130134138142146150154158162166170174178182186190194198202206210214410[Tâche],$A74)</f>
        <v>1.5</v>
      </c>
      <c r="D74" s="187" t="n">
        <f aca="false">SUMIFS(Horodateur112335381922313437434649525558616469852226343846505854626670747882909894102106114118110122126130134138142146150154158162166170174178182186190194198202206210214410[Durée (100)],Horodateur112335381922313437434649525558616469852226343846505854626670747882909894102106114118110122126130134138142146150154158162166170174178182186190194198202206210214410[Jour],$D$68,Horodateur112335381922313437434649525558616469852226343846505854626670747882909894102106114118110122126130134138142146150154158162166170174178182186190194198202206210214410[Tâche],$A74)</f>
        <v>3.5</v>
      </c>
      <c r="E74" s="187" t="n">
        <f aca="false">SUMIFS(Horodateur112335381922313437434649525558616469852226343846505854626670747882909894102106114118110122126130134138142146150154158162166170174178182186190194198202206210214410[Durée (100)],Horodateur112335381922313437434649525558616469852226343846505854626670747882909894102106114118110122126130134138142146150154158162166170174178182186190194198202206210214410[Jour],$E$68,Horodateur112335381922313437434649525558616469852226343846505854626670747882909894102106114118110122126130134138142146150154158162166170174178182186190194198202206210214410[Tâche],$A74)</f>
        <v>3.25</v>
      </c>
      <c r="F74" s="71" t="n">
        <f aca="false">SUMIFS(Horodateur112335381922313437434649525558616469852226343846505854626670747882909894102106114118110122126130134138142146150154158162166170174178182186190194198202206210214410[Durée (100)],Horodateur112335381922313437434649525558616469852226343846505854626670747882909894102106114118110122126130134138142146150154158162166170174178182186190194198202206210214410[Jour],$F$68,Horodateur112335381922313437434649525558616469852226343846505854626670747882909894102106114118110122126130134138142146150154158162166170174178182186190194198202206210214410[Tâche],$A74)</f>
        <v>0.749999999999997</v>
      </c>
      <c r="G74" s="187" t="n">
        <f aca="false">SUMIFS(Horodateur112335381922313437434649525558616469852226343846505854626670747882909894102106114118110122126130134138142146150154158162166170174178182186190194198202206210214410[Durée (100)],Horodateur112335381922313437434649525558616469852226343846505854626670747882909894102106114118110122126130134138142146150154158162166170174178182186190194198202206210214410[Jour],$G$68,Horodateur112335381922313437434649525558616469852226343846505854626670747882909894102106114118110122126130134138142146150154158162166170174178182186190194198202206210214410[Tâche],$A74)</f>
        <v>0</v>
      </c>
      <c r="H74" s="187" t="n">
        <f aca="false">SUMIFS(Horodateur112335381922313437434649525558616469852226343846505854626670747882909894102106114118110122126130134138142146150154158162166170174178182186190194198202206210214410[Durée (100)],Horodateur112335381922313437434649525558616469852226343846505854626670747882909894102106114118110122126130134138142146150154158162166170174178182186190194198202206210214410[Jour],$H$68,Horodateur112335381922313437434649525558616469852226343846505854626670747882909894102106114118110122126130134138142146150154158162166170174178182186190194198202206210214410[Tâche],$A74)</f>
        <v>0</v>
      </c>
      <c r="I74" s="295" t="n">
        <f aca="false">SUM(Taches_Jour213253740182130333642454851545760636884212533374549575361656973778189979310110511311710912112512913313714114514915315716116516917317718118518919319720120520921339[[#This Row],[1- Lundi]:[7- Dimanche]])</f>
        <v>12</v>
      </c>
      <c r="J74" s="271"/>
      <c r="K74" s="1"/>
      <c r="L74" s="188"/>
      <c r="M74" s="272"/>
      <c r="N74" s="187"/>
      <c r="O74" s="1"/>
      <c r="P74" s="1"/>
      <c r="Q74" s="1"/>
      <c r="R74" s="1"/>
      <c r="S74" s="1"/>
      <c r="T74" s="1"/>
      <c r="U74" s="71"/>
      <c r="V74" s="71"/>
      <c r="W74" s="71"/>
      <c r="X74" s="71"/>
      <c r="Y74" s="71"/>
      <c r="Z74" s="71"/>
      <c r="AA74" s="71"/>
      <c r="AB74" s="71"/>
      <c r="AC74" s="71"/>
      <c r="AD74" s="71"/>
      <c r="AE74" s="71"/>
      <c r="AF74" s="71"/>
      <c r="AG74" s="71"/>
    </row>
    <row r="75" customFormat="false" ht="15" hidden="true" customHeight="false" outlineLevel="1" collapsed="false">
      <c r="A75" s="137" t="s">
        <v>382</v>
      </c>
      <c r="B75" s="187" t="n">
        <f aca="false">SUMIFS(Horodateur112335381922313437434649525558616469852226343846505854626670747882909894102106114118110122126130134138142146150154158162166170174178182186190194198202206210214410[Durée (100)],Horodateur112335381922313437434649525558616469852226343846505854626670747882909894102106114118110122126130134138142146150154158162166170174178182186190194198202206210214410[Jour],$B$68,Horodateur112335381922313437434649525558616469852226343846505854626670747882909894102106114118110122126130134138142146150154158162166170174178182186190194198202206210214410[Tâche],$A75)</f>
        <v>0</v>
      </c>
      <c r="C75" s="187" t="n">
        <f aca="false">SUMIFS(Horodateur112335381922313437434649525558616469852226343846505854626670747882909894102106114118110122126130134138142146150154158162166170174178182186190194198202206210214410[Durée (100)],Horodateur112335381922313437434649525558616469852226343846505854626670747882909894102106114118110122126130134138142146150154158162166170174178182186190194198202206210214410[Jour],$C$68,Horodateur112335381922313437434649525558616469852226343846505854626670747882909894102106114118110122126130134138142146150154158162166170174178182186190194198202206210214410[Tâche],$A75)</f>
        <v>0</v>
      </c>
      <c r="D75" s="187" t="n">
        <f aca="false">SUMIFS(Horodateur112335381922313437434649525558616469852226343846505854626670747882909894102106114118110122126130134138142146150154158162166170174178182186190194198202206210214410[Durée (100)],Horodateur112335381922313437434649525558616469852226343846505854626670747882909894102106114118110122126130134138142146150154158162166170174178182186190194198202206210214410[Jour],$D$68,Horodateur112335381922313437434649525558616469852226343846505854626670747882909894102106114118110122126130134138142146150154158162166170174178182186190194198202206210214410[Tâche],$A75)</f>
        <v>0</v>
      </c>
      <c r="E75" s="187" t="n">
        <f aca="false">SUMIFS(Horodateur112335381922313437434649525558616469852226343846505854626670747882909894102106114118110122126130134138142146150154158162166170174178182186190194198202206210214410[Durée (100)],Horodateur112335381922313437434649525558616469852226343846505854626670747882909894102106114118110122126130134138142146150154158162166170174178182186190194198202206210214410[Jour],$E$68,Horodateur112335381922313437434649525558616469852226343846505854626670747882909894102106114118110122126130134138142146150154158162166170174178182186190194198202206210214410[Tâche],$A75)</f>
        <v>0</v>
      </c>
      <c r="F75" s="71" t="n">
        <f aca="false">SUMIFS(Horodateur112335381922313437434649525558616469852226343846505854626670747882909894102106114118110122126130134138142146150154158162166170174178182186190194198202206210214410[Durée (100)],Horodateur112335381922313437434649525558616469852226343846505854626670747882909894102106114118110122126130134138142146150154158162166170174178182186190194198202206210214410[Jour],$F$68,Horodateur112335381922313437434649525558616469852226343846505854626670747882909894102106114118110122126130134138142146150154158162166170174178182186190194198202206210214410[Tâche],$A75)</f>
        <v>0</v>
      </c>
      <c r="G75" s="187" t="n">
        <f aca="false">SUMIFS(Horodateur112335381922313437434649525558616469852226343846505854626670747882909894102106114118110122126130134138142146150154158162166170174178182186190194198202206210214410[Durée (100)],Horodateur112335381922313437434649525558616469852226343846505854626670747882909894102106114118110122126130134138142146150154158162166170174178182186190194198202206210214410[Jour],$G$68,Horodateur112335381922313437434649525558616469852226343846505854626670747882909894102106114118110122126130134138142146150154158162166170174178182186190194198202206210214410[Tâche],$A75)</f>
        <v>0</v>
      </c>
      <c r="H75" s="187" t="n">
        <f aca="false">SUMIFS(Horodateur112335381922313437434649525558616469852226343846505854626670747882909894102106114118110122126130134138142146150154158162166170174178182186190194198202206210214410[Durée (100)],Horodateur112335381922313437434649525558616469852226343846505854626670747882909894102106114118110122126130134138142146150154158162166170174178182186190194198202206210214410[Jour],$H$68,Horodateur112335381922313437434649525558616469852226343846505854626670747882909894102106114118110122126130134138142146150154158162166170174178182186190194198202206210214410[Tâche],$A75)</f>
        <v>0</v>
      </c>
      <c r="I75" s="295" t="n">
        <f aca="false">SUM(Taches_Jour213253740182130333642454851545760636884212533374549575361656973778189979310110511311710912112512913313714114514915315716116516917317718118518919319720120520921339[[#This Row],[1- Lundi]:[7- Dimanche]])</f>
        <v>0</v>
      </c>
      <c r="J75" s="271"/>
      <c r="K75" s="1"/>
      <c r="L75" s="188"/>
      <c r="M75" s="272"/>
      <c r="N75" s="187"/>
      <c r="O75" s="1"/>
      <c r="P75" s="1"/>
      <c r="Q75" s="1"/>
      <c r="R75" s="1"/>
      <c r="S75" s="1"/>
      <c r="T75" s="1"/>
      <c r="U75" s="71"/>
      <c r="V75" s="71"/>
      <c r="W75" s="71"/>
      <c r="X75" s="71"/>
      <c r="Y75" s="71"/>
      <c r="Z75" s="71"/>
      <c r="AA75" s="71"/>
      <c r="AB75" s="71"/>
      <c r="AC75" s="71"/>
      <c r="AD75" s="71"/>
      <c r="AE75" s="71"/>
      <c r="AF75" s="71"/>
      <c r="AG75" s="71"/>
    </row>
    <row r="76" customFormat="false" ht="15" hidden="true" customHeight="false" outlineLevel="1" collapsed="false">
      <c r="A76" s="137" t="s">
        <v>380</v>
      </c>
      <c r="B76" s="187" t="n">
        <f aca="false">SUMIFS(Horodateur112335381922313437434649525558616469852226343846505854626670747882909894102106114118110122126130134138142146150154158162166170174178182186190194198202206210214410[Durée (100)],Horodateur112335381922313437434649525558616469852226343846505854626670747882909894102106114118110122126130134138142146150154158162166170174178182186190194198202206210214410[Jour],$B$68,Horodateur112335381922313437434649525558616469852226343846505854626670747882909894102106114118110122126130134138142146150154158162166170174178182186190194198202206210214410[Tâche],$A76)</f>
        <v>0</v>
      </c>
      <c r="C76" s="187" t="n">
        <f aca="false">SUMIFS(Horodateur112335381922313437434649525558616469852226343846505854626670747882909894102106114118110122126130134138142146150154158162166170174178182186190194198202206210214410[Durée (100)],Horodateur112335381922313437434649525558616469852226343846505854626670747882909894102106114118110122126130134138142146150154158162166170174178182186190194198202206210214410[Jour],$C$68,Horodateur112335381922313437434649525558616469852226343846505854626670747882909894102106114118110122126130134138142146150154158162166170174178182186190194198202206210214410[Tâche],$A76)</f>
        <v>4.25</v>
      </c>
      <c r="D76" s="187" t="n">
        <f aca="false">SUMIFS(Horodateur112335381922313437434649525558616469852226343846505854626670747882909894102106114118110122126130134138142146150154158162166170174178182186190194198202206210214410[Durée (100)],Horodateur112335381922313437434649525558616469852226343846505854626670747882909894102106114118110122126130134138142146150154158162166170174178182186190194198202206210214410[Jour],$D$68,Horodateur112335381922313437434649525558616469852226343846505854626670747882909894102106114118110122126130134138142146150154158162166170174178182186190194198202206210214410[Tâche],$A76)</f>
        <v>0</v>
      </c>
      <c r="E76" s="187" t="n">
        <f aca="false">SUMIFS(Horodateur112335381922313437434649525558616469852226343846505854626670747882909894102106114118110122126130134138142146150154158162166170174178182186190194198202206210214410[Durée (100)],Horodateur112335381922313437434649525558616469852226343846505854626670747882909894102106114118110122126130134138142146150154158162166170174178182186190194198202206210214410[Jour],$E$68,Horodateur112335381922313437434649525558616469852226343846505854626670747882909894102106114118110122126130134138142146150154158162166170174178182186190194198202206210214410[Tâche],$A76)</f>
        <v>0</v>
      </c>
      <c r="F76" s="71" t="n">
        <f aca="false">SUMIFS(Horodateur112335381922313437434649525558616469852226343846505854626670747882909894102106114118110122126130134138142146150154158162166170174178182186190194198202206210214410[Durée (100)],Horodateur112335381922313437434649525558616469852226343846505854626670747882909894102106114118110122126130134138142146150154158162166170174178182186190194198202206210214410[Jour],$F$68,Horodateur112335381922313437434649525558616469852226343846505854626670747882909894102106114118110122126130134138142146150154158162166170174178182186190194198202206210214410[Tâche],$A76)</f>
        <v>0.5</v>
      </c>
      <c r="G76" s="187" t="n">
        <f aca="false">SUMIFS(Horodateur112335381922313437434649525558616469852226343846505854626670747882909894102106114118110122126130134138142146150154158162166170174178182186190194198202206210214410[Durée (100)],Horodateur112335381922313437434649525558616469852226343846505854626670747882909894102106114118110122126130134138142146150154158162166170174178182186190194198202206210214410[Jour],$G$68,Horodateur112335381922313437434649525558616469852226343846505854626670747882909894102106114118110122126130134138142146150154158162166170174178182186190194198202206210214410[Tâche],$A76)</f>
        <v>3.5</v>
      </c>
      <c r="H76" s="187" t="n">
        <f aca="false">SUMIFS(Horodateur112335381922313437434649525558616469852226343846505854626670747882909894102106114118110122126130134138142146150154158162166170174178182186190194198202206210214410[Durée (100)],Horodateur112335381922313437434649525558616469852226343846505854626670747882909894102106114118110122126130134138142146150154158162166170174178182186190194198202206210214410[Jour],$H$68,Horodateur112335381922313437434649525558616469852226343846505854626670747882909894102106114118110122126130134138142146150154158162166170174178182186190194198202206210214410[Tâche],$A76)</f>
        <v>0</v>
      </c>
      <c r="I76" s="295" t="n">
        <f aca="false">SUM(Taches_Jour213253740182130333642454851545760636884212533374549575361656973778189979310110511311710912112512913313714114514915315716116516917317718118518919319720120520921339[[#This Row],[1- Lundi]:[7- Dimanche]])</f>
        <v>8.25</v>
      </c>
      <c r="J76" s="271"/>
      <c r="K76" s="1"/>
      <c r="L76" s="188"/>
      <c r="M76" s="272"/>
      <c r="N76" s="76"/>
    </row>
    <row r="77" customFormat="false" ht="15" hidden="true" customHeight="false" outlineLevel="1" collapsed="false">
      <c r="N77" s="76"/>
    </row>
    <row r="78" customFormat="false" ht="15" hidden="false" customHeight="false" outlineLevel="1" collapsed="false">
      <c r="G78" s="0" t="s">
        <v>383</v>
      </c>
      <c r="N78" s="76"/>
    </row>
    <row r="79" customFormat="false" ht="15" hidden="false" customHeight="false" outlineLevel="0" collapsed="false">
      <c r="N79" s="76"/>
    </row>
    <row r="80" customFormat="false" ht="15" hidden="false" customHeight="false" outlineLevel="0" collapsed="false">
      <c r="G80" s="76"/>
      <c r="N80" s="76"/>
    </row>
    <row r="81" customFormat="false" ht="15" hidden="false" customHeight="false" outlineLevel="0" collapsed="false">
      <c r="N81" s="76"/>
    </row>
    <row r="82" customFormat="false" ht="15" hidden="false" customHeight="false" outlineLevel="0" collapsed="false">
      <c r="N82" s="76"/>
    </row>
    <row r="83" customFormat="false" ht="15" hidden="false" customHeight="false" outlineLevel="0" collapsed="false">
      <c r="N83" s="76"/>
    </row>
    <row r="84" customFormat="false" ht="15" hidden="false" customHeight="false" outlineLevel="0" collapsed="false">
      <c r="N84" s="76"/>
    </row>
    <row r="85" customFormat="false" ht="15" hidden="false" customHeight="false" outlineLevel="0" collapsed="false">
      <c r="N85" s="76"/>
    </row>
    <row r="86" customFormat="false" ht="15" hidden="false" customHeight="false" outlineLevel="0" collapsed="false">
      <c r="N86" s="76"/>
    </row>
    <row r="87" customFormat="false" ht="15" hidden="false" customHeight="false" outlineLevel="0" collapsed="false">
      <c r="N87" s="76"/>
    </row>
    <row r="88" customFormat="false" ht="15" hidden="false" customHeight="false" outlineLevel="0" collapsed="false">
      <c r="N88" s="76"/>
    </row>
    <row r="89" customFormat="false" ht="15" hidden="false" customHeight="false" outlineLevel="0" collapsed="false">
      <c r="N89" s="76"/>
    </row>
    <row r="90" customFormat="false" ht="15" hidden="false" customHeight="false" outlineLevel="0" collapsed="false">
      <c r="N90" s="76"/>
    </row>
    <row r="91" customFormat="false" ht="15" hidden="false" customHeight="false" outlineLevel="0" collapsed="false">
      <c r="N91" s="76"/>
    </row>
    <row r="92" customFormat="false" ht="15" hidden="false" customHeight="false" outlineLevel="0" collapsed="false">
      <c r="N92" s="76"/>
    </row>
    <row r="93" customFormat="false" ht="15" hidden="false" customHeight="false" outlineLevel="0" collapsed="false">
      <c r="N93" s="76"/>
    </row>
    <row r="94" customFormat="false" ht="15" hidden="false" customHeight="false" outlineLevel="0" collapsed="false">
      <c r="N94" s="76"/>
    </row>
    <row r="95" customFormat="false" ht="15" hidden="false" customHeight="false" outlineLevel="0" collapsed="false">
      <c r="N95" s="76"/>
    </row>
    <row r="96" customFormat="false" ht="15" hidden="false" customHeight="false" outlineLevel="0" collapsed="false">
      <c r="N96" s="76"/>
    </row>
    <row r="97" customFormat="false" ht="15" hidden="false" customHeight="false" outlineLevel="0" collapsed="false">
      <c r="N97" s="76"/>
    </row>
    <row r="98" customFormat="false" ht="15" hidden="false" customHeight="false" outlineLevel="0" collapsed="false">
      <c r="N98" s="76"/>
    </row>
    <row r="99" customFormat="false" ht="15" hidden="false" customHeight="false" outlineLevel="0" collapsed="false">
      <c r="N99" s="76"/>
    </row>
    <row r="100" customFormat="false" ht="15" hidden="false" customHeight="false" outlineLevel="0" collapsed="false">
      <c r="A100" s="296" t="s">
        <v>384</v>
      </c>
      <c r="B100" s="296"/>
      <c r="N100" s="76"/>
    </row>
    <row r="101" customFormat="false" ht="15" hidden="false" customHeight="false" outlineLevel="0" collapsed="false">
      <c r="A101" s="297" t="s">
        <v>385</v>
      </c>
      <c r="B101" s="297" t="s">
        <v>8</v>
      </c>
      <c r="N101" s="76"/>
    </row>
    <row r="102" customFormat="false" ht="15" hidden="false" customHeight="false" outlineLevel="0" collapsed="false">
      <c r="A102" s="298" t="n">
        <v>0</v>
      </c>
      <c r="B102" s="299" t="s">
        <v>386</v>
      </c>
      <c r="N102" s="76"/>
    </row>
    <row r="103" customFormat="false" ht="15" hidden="false" customHeight="false" outlineLevel="0" collapsed="false">
      <c r="A103" s="298" t="n">
        <v>-2</v>
      </c>
      <c r="B103" s="299" t="s">
        <v>387</v>
      </c>
      <c r="N103" s="76"/>
    </row>
    <row r="104" customFormat="false" ht="15" hidden="false" customHeight="false" outlineLevel="0" collapsed="false">
      <c r="A104" s="298" t="n">
        <v>8.5</v>
      </c>
      <c r="B104" s="299" t="s">
        <v>388</v>
      </c>
      <c r="N104" s="76"/>
    </row>
    <row r="105" customFormat="false" ht="15" hidden="false" customHeight="false" outlineLevel="0" collapsed="false">
      <c r="A105" s="298" t="n">
        <v>14.5</v>
      </c>
      <c r="B105" s="299" t="s">
        <v>389</v>
      </c>
      <c r="N105" s="76"/>
    </row>
    <row r="106" customFormat="false" ht="15" hidden="false" customHeight="false" outlineLevel="0" collapsed="false">
      <c r="A106" s="298" t="n">
        <v>8.5</v>
      </c>
      <c r="B106" s="299" t="s">
        <v>390</v>
      </c>
      <c r="N106" s="76"/>
    </row>
    <row r="107" customFormat="false" ht="15" hidden="false" customHeight="false" outlineLevel="0" collapsed="false">
      <c r="A107" s="298" t="n">
        <v>10</v>
      </c>
      <c r="B107" s="299" t="s">
        <v>391</v>
      </c>
      <c r="N107" s="76"/>
    </row>
    <row r="108" customFormat="false" ht="15" hidden="false" customHeight="false" outlineLevel="0" collapsed="false">
      <c r="A108" s="298" t="n">
        <v>-7.5</v>
      </c>
      <c r="B108" s="299" t="s">
        <v>392</v>
      </c>
      <c r="N108" s="76"/>
    </row>
    <row r="109" customFormat="false" ht="15" hidden="false" customHeight="false" outlineLevel="0" collapsed="false">
      <c r="A109" s="298" t="n">
        <v>2</v>
      </c>
      <c r="B109" s="299" t="s">
        <v>393</v>
      </c>
      <c r="N109" s="76"/>
    </row>
    <row r="110" customFormat="false" ht="15" hidden="false" customHeight="false" outlineLevel="0" collapsed="false">
      <c r="A110" s="300" t="n">
        <v>2</v>
      </c>
      <c r="B110" s="301" t="s">
        <v>394</v>
      </c>
      <c r="N110" s="76"/>
    </row>
    <row r="111" customFormat="false" ht="15" hidden="false" customHeight="false" outlineLevel="0" collapsed="false">
      <c r="A111" s="300" t="n">
        <v>2.25</v>
      </c>
      <c r="B111" s="301" t="s">
        <v>395</v>
      </c>
    </row>
    <row r="112" customFormat="false" ht="15" hidden="false" customHeight="false" outlineLevel="0" collapsed="false">
      <c r="A112" s="300" t="n">
        <v>-4</v>
      </c>
      <c r="B112" s="302" t="s">
        <v>396</v>
      </c>
    </row>
    <row r="113" customFormat="false" ht="15" hidden="false" customHeight="false" outlineLevel="0" collapsed="false">
      <c r="A113" s="300" t="n">
        <v>-7.5</v>
      </c>
      <c r="B113" s="301" t="s">
        <v>397</v>
      </c>
    </row>
  </sheetData>
  <mergeCells count="1">
    <mergeCell ref="A100:B100"/>
  </mergeCells>
  <conditionalFormatting sqref="G4:G52">
    <cfRule type="expression" priority="2" aboveAverage="0" equalAverage="0" bottom="0" percent="0" rank="0" text="" dxfId="926">
      <formula>L4="O"</formula>
    </cfRule>
    <cfRule type="expression" priority="3" aboveAverage="0" equalAverage="0" bottom="0" percent="0" rank="0" text="" dxfId="927">
      <formula>H4=0</formula>
    </cfRule>
  </conditionalFormatting>
  <conditionalFormatting sqref="F4:F52">
    <cfRule type="expression" priority="4" aboveAverage="0" equalAverage="0" bottom="0" percent="0" rank="0" text="" dxfId="928">
      <formula>L4="O"</formula>
    </cfRule>
  </conditionalFormatting>
  <conditionalFormatting sqref="E4:E52">
    <cfRule type="expression" priority="5" aboveAverage="0" equalAverage="0" bottom="0" percent="0" rank="0" text="" dxfId="929">
      <formula>L4="O"</formula>
    </cfRule>
  </conditionalFormatting>
  <conditionalFormatting sqref="C4:I52 K4:K52">
    <cfRule type="containsText" priority="6" operator="containsText" aboveAverage="0" equalAverage="0" bottom="0" percent="0" rank="0" text="Lundi" dxfId="693">
      <formula>NOT(ISERROR(SEARCH("Lundi",C4)))</formula>
    </cfRule>
  </conditionalFormatting>
  <conditionalFormatting sqref="D4:D52">
    <cfRule type="expression" priority="7" aboveAverage="0" equalAverage="0" bottom="0" percent="0" rank="0" text="" dxfId="930">
      <formula>L4="O"</formula>
    </cfRule>
  </conditionalFormatting>
  <conditionalFormatting sqref="C4:C52 D22">
    <cfRule type="expression" priority="8" aboveAverage="0" equalAverage="0" bottom="0" percent="0" rank="0" text="" dxfId="931">
      <formula>L4="O"</formula>
    </cfRule>
  </conditionalFormatting>
  <conditionalFormatting sqref="K4:K52">
    <cfRule type="expression" priority="9" aboveAverage="0" equalAverage="0" bottom="0" percent="0" rank="0" text="" dxfId="932">
      <formula>L4="O"</formula>
    </cfRule>
  </conditionalFormatting>
  <conditionalFormatting sqref="I4:I52">
    <cfRule type="expression" priority="10" aboveAverage="0" equalAverage="0" bottom="0" percent="0" rank="0" text="" dxfId="933">
      <formula>L4="O"</formula>
    </cfRule>
  </conditionalFormatting>
  <conditionalFormatting sqref="H4:H52">
    <cfRule type="expression" priority="11" aboveAverage="0" equalAverage="0" bottom="0" percent="0" rank="0" text="" dxfId="934">
      <formula>L4="O"</formula>
    </cfRule>
  </conditionalFormatting>
  <conditionalFormatting sqref="F2:J2">
    <cfRule type="iconSet" priority="12">
      <iconSet iconSet="3TrafficLights1">
        <cfvo type="percent" val="0"/>
        <cfvo type="percent" val="33"/>
        <cfvo type="percent" val="67"/>
      </iconSet>
    </cfRule>
  </conditionalFormatting>
  <conditionalFormatting sqref="B4:B52">
    <cfRule type="containsText" priority="13" operator="containsText" aboveAverage="0" equalAverage="0" bottom="0" percent="0" rank="0" text="5" dxfId="935">
      <formula>NOT(ISERROR(SEARCH("5",B4)))</formula>
    </cfRule>
    <cfRule type="containsText" priority="14" operator="containsText" aboveAverage="0" equalAverage="0" bottom="0" percent="0" rank="0" text="4" dxfId="936">
      <formula>NOT(ISERROR(SEARCH("4",B4)))</formula>
    </cfRule>
    <cfRule type="containsText" priority="15" operator="containsText" aboveAverage="0" equalAverage="0" bottom="0" percent="0" rank="0" text="3" dxfId="937">
      <formula>NOT(ISERROR(SEARCH("3",B4)))</formula>
    </cfRule>
    <cfRule type="containsText" priority="16" operator="containsText" aboveAverage="0" equalAverage="0" bottom="0" percent="0" rank="0" text="2" dxfId="938">
      <formula>NOT(ISERROR(SEARCH("2",B4)))</formula>
    </cfRule>
    <cfRule type="containsText" priority="17" operator="containsText" aboveAverage="0" equalAverage="0" bottom="0" percent="0" rank="0" text="1" dxfId="939">
      <formula>NOT(ISERROR(SEARCH("1",B4)))</formula>
    </cfRule>
  </conditionalFormatting>
  <conditionalFormatting sqref="I69:I76">
    <cfRule type="dataBar" priority="18">
      <dataBar showValue="1" minLength="10" maxLength="90">
        <cfvo type="min" val="0"/>
        <cfvo type="max" val="0"/>
        <color rgb="FFFFB628"/>
      </dataBar>
      <extLst>
        <ext xmlns:x14="http://schemas.microsoft.com/office/spreadsheetml/2009/9/main" uri="{B025F937-C7B1-47D3-B67F-A62EFF666E3E}">
          <x14:id>{8CF47663-F41B-403B-9B69-33F582AE4570}</x14:id>
        </ext>
      </extLst>
    </cfRule>
  </conditionalFormatting>
  <conditionalFormatting sqref="I65:I66 J60:J64">
    <cfRule type="dataBar" priority="19">
      <dataBar showValue="1" minLength="10" maxLength="90">
        <cfvo type="min" val="0"/>
        <cfvo type="max" val="0"/>
        <color rgb="FFFFB628"/>
      </dataBar>
      <extLst>
        <ext xmlns:x14="http://schemas.microsoft.com/office/spreadsheetml/2009/9/main" uri="{B025F937-C7B1-47D3-B67F-A62EFF666E3E}">
          <x14:id>{4D8E5B36-A397-432F-A280-8DFD86E7E8A0}</x14:id>
        </ext>
      </extLst>
    </cfRule>
  </conditionalFormatting>
  <conditionalFormatting sqref="U2:AG2">
    <cfRule type="dataBar" priority="20">
      <dataBar showValue="1" minLength="10" maxLength="90">
        <cfvo type="min" val="0"/>
        <cfvo type="max" val="0"/>
        <color rgb="FF63C384"/>
      </dataBar>
      <extLst>
        <ext xmlns:x14="http://schemas.microsoft.com/office/spreadsheetml/2009/9/main" uri="{B025F937-C7B1-47D3-B67F-A62EFF666E3E}">
          <x14:id>{BF4E2CE2-862D-446A-87E3-539963D046B8}</x14:id>
        </ext>
      </extLst>
    </cfRule>
  </conditionalFormatting>
  <conditionalFormatting sqref="N2:T2">
    <cfRule type="dataBar" priority="21">
      <dataBar showValue="1" minLength="10" maxLength="90">
        <cfvo type="min" val="0"/>
        <cfvo type="max" val="0"/>
        <color rgb="FFFFB628"/>
      </dataBar>
      <extLst>
        <ext xmlns:x14="http://schemas.microsoft.com/office/spreadsheetml/2009/9/main" uri="{B025F937-C7B1-47D3-B67F-A62EFF666E3E}">
          <x14:id>{4E8DC980-B8F2-418B-9850-FA2BA9CA34B8}</x14:id>
        </ext>
      </extLst>
    </cfRule>
  </conditionalFormatting>
  <conditionalFormatting sqref="N2:AG2">
    <cfRule type="dataBar" priority="22">
      <dataBar showValue="1" minLength="10" maxLength="90">
        <cfvo type="min" val="0"/>
        <cfvo type="max" val="0"/>
        <color rgb="FFFFB628"/>
      </dataBar>
      <extLst>
        <ext xmlns:x14="http://schemas.microsoft.com/office/spreadsheetml/2009/9/main" uri="{B025F937-C7B1-47D3-B67F-A62EFF666E3E}">
          <x14:id>{2E2EF91F-122E-45AE-ADDD-56AAF0FFDDC0}</x14:id>
        </ext>
      </extLst>
    </cfRule>
  </conditionalFormatting>
  <conditionalFormatting sqref="N2:S2">
    <cfRule type="dataBar" priority="23">
      <dataBar showValue="1" minLength="10" maxLength="90">
        <cfvo type="min" val="0"/>
        <cfvo type="max" val="0"/>
        <color rgb="FF638EC6"/>
      </dataBar>
      <extLst>
        <ext xmlns:x14="http://schemas.microsoft.com/office/spreadsheetml/2009/9/main" uri="{B025F937-C7B1-47D3-B67F-A62EFF666E3E}">
          <x14:id>{F9D2C059-3A11-4983-A8B0-7F14E72FEDFA}</x14:id>
        </ext>
      </extLst>
    </cfRule>
  </conditionalFormatting>
  <conditionalFormatting sqref="T2">
    <cfRule type="dataBar" priority="24">
      <dataBar showValue="1" minLength="10" maxLength="90">
        <cfvo type="min" val="0"/>
        <cfvo type="max" val="0"/>
        <color rgb="FF63C384"/>
      </dataBar>
      <extLst>
        <ext xmlns:x14="http://schemas.microsoft.com/office/spreadsheetml/2009/9/main" uri="{B025F937-C7B1-47D3-B67F-A62EFF666E3E}">
          <x14:id>{636053E2-736E-4564-9624-2271E48A9FAC}</x14:id>
        </ext>
      </extLst>
    </cfRule>
  </conditionalFormatting>
  <conditionalFormatting sqref="A4:A52">
    <cfRule type="colorScale" priority="25">
      <colorScale>
        <cfvo type="min" val="0"/>
        <cfvo type="percentile" val="50"/>
        <cfvo type="max" val="0"/>
        <color rgb="FFFFCC99"/>
        <color rgb="FFFFD966"/>
        <color rgb="FFFFF2CC"/>
      </colorScale>
    </cfRule>
  </conditionalFormatting>
  <conditionalFormatting sqref="J4:J52">
    <cfRule type="iconSet" priority="26">
      <iconSet iconSet="3TrafficLights1">
        <cfvo type="percent" val="0"/>
        <cfvo type="percent" val="33"/>
        <cfvo type="percent" val="67"/>
      </iconSet>
    </cfRule>
  </conditionalFormatting>
  <dataValidations count="4">
    <dataValidation allowBlank="true" errorStyle="stop" operator="between" showDropDown="false" showErrorMessage="true" showInputMessage="true" sqref="B1" type="list">
      <formula1>Data!$A$2:$A$106</formula1>
      <formula2>0</formula2>
    </dataValidation>
    <dataValidation allowBlank="true" errorStyle="information" errorTitle="OK ?" operator="between" showDropDown="false" showErrorMessage="true" showInputMessage="true" sqref="F4:F52" type="list">
      <formula1>Data!$D$2:$D$16</formula1>
      <formula2>0</formula2>
    </dataValidation>
    <dataValidation allowBlank="false" errorStyle="stop" operator="between" showDropDown="false" showErrorMessage="true" showInputMessage="true" sqref="E4:E52" type="list">
      <formula1>Data!$E$2:$E$30</formula1>
      <formula2>0</formula2>
    </dataValidation>
    <dataValidation allowBlank="true" errorStyle="stop" operator="between" showDropDown="false" showErrorMessage="true" showInputMessage="true" sqref="B4:B52" type="list">
      <formula1>Data!$C$2:$C$8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  <tableParts>
    <tablePart r:id="rId4"/>
    <tablePart r:id="rId5"/>
    <tablePart r:id="rId6"/>
    <tablePart r:id="rId7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8CF47663-F41B-403B-9B69-33F582AE4570}">
            <x14:dataBar minLength="10" maxLength="90" axisPosition="automatic" gradient="true">
              <x14:cfvo type="autoMin"/>
              <x14:cfvo type="autoMax"/>
              <x14:negativeFillColor rgb="FFFF0000"/>
              <x14:axisColor rgb="FF000000"/>
            </x14:dataBar>
          </x14:cfRule>
          <xm:sqref>I69:I76</xm:sqref>
        </x14:conditionalFormatting>
        <x14:conditionalFormatting xmlns:xm="http://schemas.microsoft.com/office/excel/2006/main">
          <x14:cfRule type="dataBar" id="{4D8E5B36-A397-432F-A280-8DFD86E7E8A0}">
            <x14:dataBar minLength="10" maxLength="90" axisPosition="automatic" gradient="true">
              <x14:cfvo type="autoMin"/>
              <x14:cfvo type="autoMax"/>
              <x14:negativeFillColor rgb="FFFF0000"/>
              <x14:axisColor rgb="FF000000"/>
            </x14:dataBar>
          </x14:cfRule>
          <xm:sqref>I65:I66 J60:J64</xm:sqref>
        </x14:conditionalFormatting>
        <x14:conditionalFormatting xmlns:xm="http://schemas.microsoft.com/office/excel/2006/main">
          <x14:cfRule type="dataBar" id="{BF4E2CE2-862D-446A-87E3-539963D046B8}">
            <x14:dataBar minLength="10" maxLength="90" axisPosition="automatic" gradient="true">
              <x14:cfvo type="autoMin"/>
              <x14:cfvo type="autoMax"/>
              <x14:negativeFillColor rgb="FFFF0000"/>
              <x14:axisColor rgb="FF000000"/>
            </x14:dataBar>
          </x14:cfRule>
          <xm:sqref>U2:AG2</xm:sqref>
        </x14:conditionalFormatting>
        <x14:conditionalFormatting xmlns:xm="http://schemas.microsoft.com/office/excel/2006/main">
          <x14:cfRule type="dataBar" id="{4E8DC980-B8F2-418B-9850-FA2BA9CA34B8}">
            <x14:dataBar minLength="10" maxLength="90" axisPosition="automatic" gradient="true">
              <x14:cfvo type="autoMin"/>
              <x14:cfvo type="autoMax"/>
              <x14:negativeFillColor rgb="FFFF0000"/>
              <x14:axisColor rgb="FF000000"/>
            </x14:dataBar>
          </x14:cfRule>
          <xm:sqref>N2:T2</xm:sqref>
        </x14:conditionalFormatting>
        <x14:conditionalFormatting xmlns:xm="http://schemas.microsoft.com/office/excel/2006/main">
          <x14:cfRule type="dataBar" id="{2E2EF91F-122E-45AE-ADDD-56AAF0FFDDC0}">
            <x14:dataBar minLength="10" maxLength="90" axisPosition="automatic" gradient="false">
              <x14:cfvo type="autoMin"/>
              <x14:cfvo type="autoMax"/>
              <x14:negativeFillColor rgb="FFFF0000"/>
              <x14:axisColor rgb="FF000000"/>
            </x14:dataBar>
          </x14:cfRule>
          <xm:sqref>N2:AG2</xm:sqref>
        </x14:conditionalFormatting>
        <x14:conditionalFormatting xmlns:xm="http://schemas.microsoft.com/office/excel/2006/main">
          <x14:cfRule type="dataBar" id="{F9D2C059-3A11-4983-A8B0-7F14E72FEDFA}">
            <x14:dataBar minLength="10" maxLength="90" axisPosition="automatic" gradient="false">
              <x14:cfvo type="autoMin"/>
              <x14:cfvo type="autoMax"/>
              <x14:negativeFillColor rgb="FFFF0000"/>
              <x14:axisColor rgb="FF000000"/>
            </x14:dataBar>
          </x14:cfRule>
          <xm:sqref>N2:S2</xm:sqref>
        </x14:conditionalFormatting>
        <x14:conditionalFormatting xmlns:xm="http://schemas.microsoft.com/office/excel/2006/main">
          <x14:cfRule type="dataBar" id="{636053E2-736E-4564-9624-2271E48A9FAC}">
            <x14:dataBar minLength="10" maxLength="90" axisPosition="automatic" gradient="false">
              <x14:cfvo type="autoMin"/>
              <x14:cfvo type="autoMax"/>
              <x14:negativeFillColor rgb="FFFF0000"/>
              <x14:axisColor rgb="FF000000"/>
            </x14:dataBar>
          </x14:cfRule>
          <xm:sqref>T2</xm:sqref>
        </x14:conditionalFormatting>
      </x14:conditionalFormattings>
    </ext>
  </extLst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1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22" activePane="bottomLeft" state="frozen"/>
      <selection pane="topLeft" activeCell="A1" activeCellId="0" sqref="A1"/>
      <selection pane="bottomLeft" activeCell="G21" activeCellId="0" sqref="G21"/>
    </sheetView>
  </sheetViews>
  <sheetFormatPr defaultColWidth="8.6796875" defaultRowHeight="15" zeroHeight="false" outlineLevelRow="1" outlineLevelCol="1"/>
  <cols>
    <col collapsed="false" customWidth="true" hidden="false" outlineLevel="0" max="1" min="1" style="0" width="16.57"/>
    <col collapsed="false" customWidth="true" hidden="false" outlineLevel="0" max="2" min="2" style="0" width="17.71"/>
    <col collapsed="false" customWidth="true" hidden="false" outlineLevel="0" max="3" min="3" style="0" width="17"/>
    <col collapsed="false" customWidth="true" hidden="false" outlineLevel="0" max="4" min="4" style="0" width="14.71"/>
    <col collapsed="false" customWidth="true" hidden="false" outlineLevel="0" max="5" min="5" style="0" width="24"/>
    <col collapsed="false" customWidth="true" hidden="false" outlineLevel="0" max="6" min="6" style="0" width="20.14"/>
    <col collapsed="false" customWidth="true" hidden="false" outlineLevel="0" max="7" min="7" style="0" width="22.29"/>
    <col collapsed="false" customWidth="true" hidden="false" outlineLevel="0" max="8" min="8" style="0" width="12.71"/>
    <col collapsed="false" customWidth="true" hidden="false" outlineLevel="0" max="9" min="9" style="0" width="12.42"/>
    <col collapsed="false" customWidth="true" hidden="false" outlineLevel="0" max="10" min="10" style="0" width="13"/>
    <col collapsed="false" customWidth="true" hidden="false" outlineLevel="0" max="11" min="11" style="0" width="11"/>
    <col collapsed="false" customWidth="true" hidden="false" outlineLevel="0" max="12" min="12" style="0" width="7.71"/>
    <col collapsed="false" customWidth="true" hidden="false" outlineLevel="0" max="13" min="13" style="224" width="9.86"/>
    <col collapsed="false" customWidth="true" hidden="false" outlineLevel="1" max="14" min="14" style="0" width="10.29"/>
    <col collapsed="false" customWidth="true" hidden="false" outlineLevel="1" max="15" min="15" style="0" width="9.57"/>
    <col collapsed="false" customWidth="true" hidden="false" outlineLevel="1" max="16" min="16" style="0" width="8.57"/>
    <col collapsed="false" customWidth="true" hidden="false" outlineLevel="1" max="18" min="17" style="0" width="7.29"/>
    <col collapsed="false" customWidth="true" hidden="false" outlineLevel="1" max="19" min="19" style="0" width="8.57"/>
    <col collapsed="false" customWidth="true" hidden="false" outlineLevel="1" max="20" min="20" style="0" width="7.71"/>
    <col collapsed="false" customWidth="true" hidden="false" outlineLevel="1" max="21" min="21" style="0" width="12"/>
    <col collapsed="false" customWidth="true" hidden="false" outlineLevel="1" max="22" min="22" style="0" width="10.14"/>
    <col collapsed="false" customWidth="true" hidden="false" outlineLevel="1" max="23" min="23" style="0" width="11.71"/>
    <col collapsed="false" customWidth="true" hidden="false" outlineLevel="1" max="24" min="24" style="0" width="12.71"/>
    <col collapsed="false" customWidth="true" hidden="false" outlineLevel="1" max="25" min="25" style="0" width="8.57"/>
    <col collapsed="false" customWidth="true" hidden="false" outlineLevel="1" max="26" min="26" style="0" width="7.29"/>
    <col collapsed="false" customWidth="true" hidden="false" outlineLevel="1" max="27" min="27" style="0" width="9.71"/>
    <col collapsed="false" customWidth="true" hidden="false" outlineLevel="1" max="28" min="28" style="0" width="11.43"/>
    <col collapsed="false" customWidth="true" hidden="false" outlineLevel="1" max="29" min="29" style="0" width="10"/>
    <col collapsed="false" customWidth="true" hidden="false" outlineLevel="1" max="30" min="30" style="0" width="9.86"/>
    <col collapsed="false" customWidth="true" hidden="false" outlineLevel="1" max="31" min="31" style="0" width="7.86"/>
    <col collapsed="false" customWidth="true" hidden="false" outlineLevel="1" max="32" min="32" style="0" width="18.71"/>
    <col collapsed="false" customWidth="true" hidden="false" outlineLevel="1" max="33" min="33" style="0" width="27.15"/>
    <col collapsed="false" customWidth="true" hidden="false" outlineLevel="1" max="34" min="34" style="0" width="5.42"/>
  </cols>
  <sheetData>
    <row r="1" customFormat="false" ht="22.05" hidden="false" customHeight="false" outlineLevel="0" collapsed="false">
      <c r="A1" s="225" t="str">
        <f aca="false">"Semaine du " &amp; Data!D41</f>
        <v>Semaine du </v>
      </c>
      <c r="B1" s="226" t="n">
        <v>44207</v>
      </c>
      <c r="C1" s="227"/>
      <c r="D1" s="321" t="s">
        <v>361</v>
      </c>
      <c r="E1" s="322" t="n">
        <f aca="false">AVERAGE(F2:J2)</f>
        <v>6.9</v>
      </c>
      <c r="F1" s="323" t="s">
        <v>0</v>
      </c>
      <c r="G1" s="324" t="s">
        <v>1</v>
      </c>
      <c r="H1" s="324" t="s">
        <v>2</v>
      </c>
      <c r="I1" s="324" t="s">
        <v>3</v>
      </c>
      <c r="J1" s="324" t="s">
        <v>4</v>
      </c>
      <c r="K1" s="325" t="s">
        <v>401</v>
      </c>
      <c r="L1" s="234" t="n">
        <f aca="false">COUNTIF(Horodateur1123353819223134374346495255586164698522263438465058546266707478829098941021061141181101221261301341381421461501541581621661701741781821861901941982022062102144[O],"o")+ COUNTIF(Horodateur1123353819223134374346495255586164698522263438465058546266707478829098941021061141181101221261301341381421461501541581621661701741781821861901941982022062102144[O],".")</f>
        <v>37</v>
      </c>
      <c r="M1" s="128" t="n">
        <f aca="false">B2</f>
        <v>34.5</v>
      </c>
      <c r="N1" s="131" t="s">
        <v>21</v>
      </c>
      <c r="O1" s="130" t="s">
        <v>20</v>
      </c>
      <c r="P1" s="130" t="s">
        <v>23</v>
      </c>
      <c r="Q1" s="130" t="s">
        <v>25</v>
      </c>
      <c r="R1" s="130" t="s">
        <v>26</v>
      </c>
      <c r="S1" s="130" t="s">
        <v>378</v>
      </c>
      <c r="T1" s="130" t="s">
        <v>380</v>
      </c>
      <c r="U1" s="136" t="s">
        <v>32</v>
      </c>
      <c r="V1" s="136" t="s">
        <v>69</v>
      </c>
      <c r="W1" s="136" t="s">
        <v>66</v>
      </c>
      <c r="X1" s="136" t="s">
        <v>47</v>
      </c>
      <c r="Y1" s="136" t="s">
        <v>68</v>
      </c>
      <c r="Z1" s="136" t="s">
        <v>41</v>
      </c>
      <c r="AA1" s="136" t="s">
        <v>61</v>
      </c>
      <c r="AB1" s="136" t="s">
        <v>74</v>
      </c>
      <c r="AC1" s="136" t="s">
        <v>37</v>
      </c>
      <c r="AD1" s="136" t="s">
        <v>77</v>
      </c>
      <c r="AE1" s="136" t="s">
        <v>45</v>
      </c>
      <c r="AF1" s="136" t="s">
        <v>78</v>
      </c>
      <c r="AG1" s="136" t="s">
        <v>79</v>
      </c>
      <c r="AH1" s="87" t="str">
        <f aca="false">SUM(M4:M40) &amp; " / " &amp; B2-SUM(M4:M40)</f>
        <v>34.5 / 0</v>
      </c>
    </row>
    <row r="2" customFormat="false" ht="22.05" hidden="false" customHeight="false" outlineLevel="0" collapsed="false">
      <c r="A2" s="327" t="n">
        <f aca="false">SUM(Horodateur1123353819223134374346495255586164698522263438465058546266707478829098941021061141181101221261301341381421461501541581621661701741781821861901941982022062102144[Durée (60)])</f>
        <v>1.4375</v>
      </c>
      <c r="B2" s="328" t="n">
        <f aca="false">SUM(Horodateur1123353819223134374346495255586164698522263438465058546266707478829098941021061141181101221261301341381421461501541581621661701741781821861901941982022062102144[Durée (100)])</f>
        <v>34.5</v>
      </c>
      <c r="C2" s="339" t="str">
        <f aca="false">M2</f>
        <v>34.5 / 0</v>
      </c>
      <c r="D2" s="238"/>
      <c r="E2" s="239"/>
      <c r="F2" s="329" t="n">
        <f aca="false">SUMIF(Horodateur1123353819223134374346495255586164698522263438465058546266707478829098941021061141181101221261301341381421461501541581621661701741781821861901941982022062102144[Jour],"1- Lundi",Horodateur1123353819223134374346495255586164698522263438465058546266707478829098941021061141181101221261301341381421461501541581621661701741781821861901941982022062102144[Durée (100)])</f>
        <v>8</v>
      </c>
      <c r="G2" s="330" t="n">
        <f aca="false">SUMIF(Horodateur1123353819223134374346495255586164698522263438465058546266707478829098941021061141181101221261301341381421461501541581621661701741781821861901941982022062102144[Jour],"2- Mardi",Horodateur1123353819223134374346495255586164698522263438465058546266707478829098941021061141181101221261301341381421461501541581621661701741781821861901941982022062102144[Durée (100)])</f>
        <v>4.5</v>
      </c>
      <c r="H2" s="330" t="n">
        <f aca="false">SUMIF(Horodateur1123353819223134374346495255586164698522263438465058546266707478829098941021061141181101221261301341381421461501541581621661701741781821861901941982022062102144[Jour],"3- Mercredi",Horodateur1123353819223134374346495255586164698522263438465058546266707478829098941021061141181101221261301341381421461501541581621661701741781821861901941982022062102144[Durée (100)])</f>
        <v>8</v>
      </c>
      <c r="I2" s="330" t="n">
        <f aca="false">SUMIF(Horodateur1123353819223134374346495255586164698522263438465058546266707478829098941021061141181101221261301341381421461501541581621661701741781821861901941982022062102144[Jour],"4- Jeudi",Horodateur1123353819223134374346495255586164698522263438465058546266707478829098941021061141181101221261301341381421461501541581621661701741781821861901941982022062102144[Durée (100)])</f>
        <v>8</v>
      </c>
      <c r="J2" s="330" t="n">
        <f aca="false">SUMIF(Horodateur1123353819223134374346495255586164698522263438465058546266707478829098941021061141181101221261301341381421461501541581621661701741781821861901941982022062102144[Jour],"5- Vendredi",Horodateur1123353819223134374346495255586164698522263438465058546266707478829098941021061141181101221261301341381421461501541581621661701741781821861901941982022062102144[Durée (100)])</f>
        <v>6</v>
      </c>
      <c r="K2" s="331" t="str">
        <f aca="false">ROUND(SUMIF(Horodateur1123353819223134374346495255586164698522263438465058546266707478829098941021061141181101221261301341381421461501541581621661701741781821861901941982022062102144[Jour],"6- Samedi",Horodateur1123353819223134374346495255586164698522263438465058546266707478829098941021061141181101221261301341381421461501541581621661701741781821861901941982022062102144[Durée (100)]),2) &amp;  "   /    " &amp;  ROUND(SUMIF(Horodateur1123353819223134374346495255586164698522263438465058546266707478829098941021061141181101221261301341381421461501541581621661701741781821861901941982022062102144[Jour],"7- Dimanche",Horodateur1123353819223134374346495255586164698522263438465058546266707478829098941021061141181101221261301341381421461501541581621661701741781821861901941982022062102144[Durée (100)]),2)</f>
        <v>0   /    0</v>
      </c>
      <c r="L2" s="244" t="str">
        <f aca="false">COUNTIF(Horodateur1123353819223134374346495255586164698522263438465058546266707478829098941021061141181101221261301341381421461501541581621661701741781821861901941982022062102144[O],"o")&amp;" / " &amp;  COUNTIF(Horodateur1123353819223134374346495255586164698522263438465058546266707478829098941021061141181101221261301341381421461501541581621661701741781821861901941982022062102144[O],".")</f>
        <v>37 / 0</v>
      </c>
      <c r="M2" s="143" t="str">
        <f aca="false">SUM(M4:M40) &amp; " / " &amp; B2-SUM(M4:M40)</f>
        <v>34.5 / 0</v>
      </c>
      <c r="N2" s="248" t="n">
        <f aca="false">SUMIF(Horodateur1123353819223134374346495255586164698522263438465058546266707478829098941021061141181101221261301341381421461501541581621661701741781821861901941982022062102144[Tâche],N$1,Horodateur1123353819223134374346495255586164698522263438465058546266707478829098941021061141181101221261301341381421461501541581621661701741781821861901941982022062102144[Durée (100)])</f>
        <v>3.75</v>
      </c>
      <c r="O2" s="247" t="n">
        <f aca="false">SUMIF(Horodateur1123353819223134374346495255586164698522263438465058546266707478829098941021061141181101221261301341381421461501541581621661701741781821861901941982022062102144[Tâche],O$1,Horodateur1123353819223134374346495255586164698522263438465058546266707478829098941021061141181101221261301341381421461501541581621661701741781821861901941982022062102144[Durée (100)])</f>
        <v>0.500000000000001</v>
      </c>
      <c r="P2" s="247" t="n">
        <f aca="false">SUMIF(Horodateur1123353819223134374346495255586164698522263438465058546266707478829098941021061141181101221261301341381421461501541581621661701741781821861901941982022062102144[Tâche],P$1,Horodateur1123353819223134374346495255586164698522263438465058546266707478829098941021061141181101221261301341381421461501541581621661701741781821861901941982022062102144[Durée (100)])</f>
        <v>4</v>
      </c>
      <c r="Q2" s="247" t="n">
        <f aca="false">SUMIF(Horodateur1123353819223134374346495255586164698522263438465058546266707478829098941021061141181101221261301341381421461501541581621661701741781821861901941982022062102144[Tâche],Q$1,Horodateur1123353819223134374346495255586164698522263438465058546266707478829098941021061141181101221261301341381421461501541581621661701741781821861901941982022062102144[Durée (100)])</f>
        <v>0</v>
      </c>
      <c r="R2" s="247" t="n">
        <f aca="false">SUMIF(Horodateur1123353819223134374346495255586164698522263438465058546266707478829098941021061141181101221261301341381421461501541581621661701741781821861901941982022062102144[Tâche],R$1,Horodateur1123353819223134374346495255586164698522263438465058546266707478829098941021061141181101221261301341381421461501541581621661701741781821861901941982022062102144[Durée (100)])</f>
        <v>0</v>
      </c>
      <c r="S2" s="247" t="n">
        <f aca="false">SUMIF(Horodateur1123353819223134374346495255586164698522263438465058546266707478829098941021061141181101221261301341381421461501541581621661701741781821861901941982022062102144[Tâche],S$1,Horodateur1123353819223134374346495255586164698522263438465058546266707478829098941021061141181101221261301341381421461501541581621661701741781821861901941982022062102144[Durée (100)])</f>
        <v>15.25</v>
      </c>
      <c r="T2" s="247" t="n">
        <f aca="false">SUMIF(Horodateur1123353819223134374346495255586164698522263438465058546266707478829098941021061141181101221261301341381421461501541581621661701741781821861901941982022062102144[Tâche],T$1,Horodateur1123353819223134374346495255586164698522263438465058546266707478829098941021061141181101221261301341381421461501541581621661701741781821861901941982022062102144[Durée (100)])</f>
        <v>0</v>
      </c>
      <c r="U2" s="151" t="n">
        <f aca="false">SUMIF(Horodateur1123353819223134374346495255586164698522263438465058546266707478829098941021061141181101221261301341381421461501541581621661701741781821861901941982022062102144[Client],U$1,Horodateur1123353819223134374346495255586164698522263438465058546266707478829098941021061141181101221261301341381421461501541581621661701741781821861901941982022062102144[Durée (100)])</f>
        <v>15.5</v>
      </c>
      <c r="V2" s="151" t="n">
        <f aca="false">SUMIF(Horodateur1123353819223134374346495255586164698522263438465058546266707478829098941021061141181101221261301341381421461501541581621661701741781821861901941982022062102144[Client],V$1,Horodateur1123353819223134374346495255586164698522263438465058546266707478829098941021061141181101221261301341381421461501541581621661701741781821861901941982022062102144[Durée (100)])</f>
        <v>0</v>
      </c>
      <c r="W2" s="151" t="n">
        <f aca="false">SUMIF(Horodateur1123353819223134374346495255586164698522263438465058546266707478829098941021061141181101221261301341381421461501541581621661701741781821861901941982022062102144[Client],W$1,Horodateur1123353819223134374346495255586164698522263438465058546266707478829098941021061141181101221261301341381421461501541581621661701741781821861901941982022062102144[Durée (100)])</f>
        <v>0.999999999999999</v>
      </c>
      <c r="X2" s="151" t="n">
        <f aca="false">SUMIF(Horodateur1123353819223134374346495255586164698522263438465058546266707478829098941021061141181101221261301341381421461501541581621661701741781821861901941982022062102144[Client],X$1,Horodateur1123353819223134374346495255586164698522263438465058546266707478829098941021061141181101221261301341381421461501541581621661701741781821861901941982022062102144[Durée (100)])</f>
        <v>0</v>
      </c>
      <c r="Y2" s="151" t="n">
        <f aca="false">SUMIF(Horodateur1123353819223134374346495255586164698522263438465058546266707478829098941021061141181101221261301341381421461501541581621661701741781821861901941982022062102144[Client],Y$1,Horodateur1123353819223134374346495255586164698522263438465058546266707478829098941021061141181101221261301341381421461501541581621661701741781821861901941982022062102144[Durée (100)])</f>
        <v>0</v>
      </c>
      <c r="Z2" s="151" t="n">
        <f aca="false">SUMIF(Horodateur1123353819223134374346495255586164698522263438465058546266707478829098941021061141181101221261301341381421461501541581621661701741781821861901941982022062102144[Client],Z$1,Horodateur1123353819223134374346495255586164698522263438465058546266707478829098941021061141181101221261301341381421461501541581621661701741781821861901941982022062102144[Durée (100)])</f>
        <v>0</v>
      </c>
      <c r="AA2" s="151" t="n">
        <f aca="false">SUMIF(Horodateur1123353819223134374346495255586164698522263438465058546266707478829098941021061141181101221261301341381421461501541581621661701741781821861901941982022062102144[Client],AA$1,Horodateur1123353819223134374346495255586164698522263438465058546266707478829098941021061141181101221261301341381421461501541581621661701741781821861901941982022062102144[Durée (100)])</f>
        <v>0.749999999999999</v>
      </c>
      <c r="AB2" s="151" t="n">
        <f aca="false">SUMIF(Horodateur1123353819223134374346495255586164698522263438465058546266707478829098941021061141181101221261301341381421461501541581621661701741781821861901941982022062102144[Client],AB$1,Horodateur1123353819223134374346495255586164698522263438465058546266707478829098941021061141181101221261301341381421461501541581621661701741781821861901941982022062102144[Durée (100)])</f>
        <v>1.5</v>
      </c>
      <c r="AC2" s="151" t="n">
        <f aca="false">SUMIF(Horodateur1123353819223134374346495255586164698522263438465058546266707478829098941021061141181101221261301341381421461501541581621661701741781821861901941982022062102144[Client],AC$1,Horodateur1123353819223134374346495255586164698522263438465058546266707478829098941021061141181101221261301341381421461501541581621661701741781821861901941982022062102144[Durée (100)])</f>
        <v>3.25</v>
      </c>
      <c r="AD2" s="151" t="n">
        <f aca="false">SUMIF(Horodateur1123353819223134374346495255586164698522263438465058546266707478829098941021061141181101221261301341381421461501541581621661701741781821861901941982022062102144[Client],AD$1,Horodateur1123353819223134374346495255586164698522263438465058546266707478829098941021061141181101221261301341381421461501541581621661701741781821861901941982022062102144[Durée (100)])</f>
        <v>0</v>
      </c>
      <c r="AE2" s="151" t="n">
        <f aca="false">SUMIF(Horodateur1123353819223134374346495255586164698522263438465058546266707478829098941021061141181101221261301341381421461501541581621661701741781821861901941982022062102144[Client],AE$1,Horodateur1123353819223134374346495255586164698522263438465058546266707478829098941021061141181101221261301341381421461501541581621661701741781821861901941982022062102144[Durée (100)])</f>
        <v>0</v>
      </c>
      <c r="AF2" s="151" t="n">
        <f aca="false">SUMIF(Horodateur1123353819223134374346495255586164698522263438465058546266707478829098941021061141181101221261301341381421461501541581621661701741781821861901941982022062102144[Client],AF$1,Horodateur1123353819223134374346495255586164698522263438465058546266707478829098941021061141181101221261301341381421461501541581621661701741781821861901941982022062102144[Durée (100)])</f>
        <v>0</v>
      </c>
      <c r="AG2" s="151" t="n">
        <f aca="false">SUMIF(Horodateur1123353819223134374346495255586164698522263438465058546266707478829098941021061141181101221261301341381421461501541581621661701741781821861901941982022062102144[Client],AG$1,Horodateur1123353819223134374346495255586164698522263438465058546266707478829098941021061141181101221261301341381421461501541581621661701741781821861901941982022062102144[Durée (100)])</f>
        <v>0</v>
      </c>
    </row>
    <row r="3" s="137" customFormat="true" ht="15" hidden="false" customHeight="false" outlineLevel="0" collapsed="false">
      <c r="A3" s="249" t="s">
        <v>8</v>
      </c>
      <c r="B3" s="249" t="s">
        <v>9</v>
      </c>
      <c r="C3" s="193" t="s">
        <v>10</v>
      </c>
      <c r="D3" s="193" t="s">
        <v>11</v>
      </c>
      <c r="E3" s="250" t="s">
        <v>12</v>
      </c>
      <c r="F3" s="250" t="s">
        <v>13</v>
      </c>
      <c r="G3" s="250" t="s">
        <v>14</v>
      </c>
      <c r="H3" s="193" t="s">
        <v>302</v>
      </c>
      <c r="I3" s="252" t="s">
        <v>364</v>
      </c>
      <c r="J3" s="253" t="s">
        <v>365</v>
      </c>
      <c r="K3" s="250" t="s">
        <v>402</v>
      </c>
      <c r="L3" s="255" t="s">
        <v>7</v>
      </c>
      <c r="M3" s="254" t="s">
        <v>29</v>
      </c>
      <c r="N3" s="153" t="n">
        <f aca="false">N2/$B$2</f>
        <v>0.108695652173913</v>
      </c>
      <c r="O3" s="153" t="n">
        <f aca="false">O2/$B$2</f>
        <v>0.0144927536231884</v>
      </c>
      <c r="P3" s="153" t="n">
        <f aca="false">P2/$B$2</f>
        <v>0.115942028985507</v>
      </c>
      <c r="Q3" s="153" t="n">
        <f aca="false">Q2/$B$2</f>
        <v>0</v>
      </c>
      <c r="R3" s="153" t="n">
        <f aca="false">R2/$B$2</f>
        <v>0</v>
      </c>
      <c r="S3" s="153" t="n">
        <f aca="false">S2/$B$2</f>
        <v>0.442028985507246</v>
      </c>
      <c r="T3" s="153" t="n">
        <f aca="false">T2/$B$2</f>
        <v>0</v>
      </c>
      <c r="U3" s="153" t="n">
        <f aca="false">U2/$B$2</f>
        <v>0.449275362318841</v>
      </c>
      <c r="V3" s="153" t="n">
        <f aca="false">V2/$B$2</f>
        <v>0</v>
      </c>
      <c r="W3" s="153" t="n">
        <f aca="false">W2/$B$2</f>
        <v>0.0289855072463768</v>
      </c>
      <c r="X3" s="153" t="n">
        <f aca="false">X2/$B$2</f>
        <v>0</v>
      </c>
      <c r="Y3" s="153" t="n">
        <f aca="false">Y2/$B$2</f>
        <v>0</v>
      </c>
      <c r="Z3" s="153" t="n">
        <f aca="false">Z2/$B$2</f>
        <v>0</v>
      </c>
      <c r="AA3" s="153" t="n">
        <f aca="false">AA2/$B$2</f>
        <v>0.0217391304347826</v>
      </c>
      <c r="AB3" s="153" t="n">
        <f aca="false">AB2/$B$2</f>
        <v>0.0434782608695651</v>
      </c>
      <c r="AC3" s="153" t="n">
        <f aca="false">AC2/$B$2</f>
        <v>0.0942028985507247</v>
      </c>
      <c r="AD3" s="153" t="n">
        <f aca="false">AD2/$B$2</f>
        <v>0</v>
      </c>
      <c r="AE3" s="153" t="n">
        <f aca="false">AE2/$B$2</f>
        <v>0</v>
      </c>
      <c r="AF3" s="153" t="n">
        <f aca="false">AF2/$B$2</f>
        <v>0</v>
      </c>
      <c r="AG3" s="153" t="n">
        <f aca="false">AG2/$B$2</f>
        <v>0</v>
      </c>
    </row>
    <row r="4" customFormat="false" ht="15" hidden="false" customHeight="false" outlineLevel="0" collapsed="false">
      <c r="A4" s="256" t="n">
        <f aca="false">IF(Horodateur1123353819223134374346495255586164698522263438465058546266707478829098941021061141181101221261301341381421461501541581621661701741781821861901941982022062102144[[#This Row],[Jour]]="1- Lundi",$B$1+1, IF(Horodateur1123353819223134374346495255586164698522263438465058546266707478829098941021061141181101221261301341381421461501541581621661701741781821861901941982022062102144[[#This Row],[Jour]]="2- Mardi",$B$1+2, IF(Horodateur1123353819223134374346495255586164698522263438465058546266707478829098941021061141181101221261301341381421461501541581621661701741781821861901941982022062102144[[#This Row],[Jour]]="3- Mercredi",$B$1+3, IF(Horodateur1123353819223134374346495255586164698522263438465058546266707478829098941021061141181101221261301341381421461501541581621661701741781821861901941982022062102144[[#This Row],[Jour]]="4- Jeudi",$B$1+4, IF(Horodateur1123353819223134374346495255586164698522263438465058546266707478829098941021061141181101221261301341381421461501541581621661701741781821861901941982022062102144[[#This Row],[Jour]]="5- Vendredi",$B$1+5, IF(Horodateur1123353819223134374346495255586164698522263438465058546266707478829098941021061141181101221261301341381421461501541581621661701741781821861901941982022062102144[[#This Row],[Jour]]="6- Samedi",$B$1+6, IF(Horodateur1123353819223134374346495255586164698522263438465058546266707478829098941021061141181101221261301341381421461501541581621661701741781821861901941982022062102144[[#This Row],[Jour]]="7- Dimanche",$B$1, )))))))</f>
        <v>44208</v>
      </c>
      <c r="B4" s="257" t="s">
        <v>312</v>
      </c>
      <c r="C4" s="258" t="n">
        <v>0.322916666666667</v>
      </c>
      <c r="D4" s="258" t="n">
        <v>0.364583333333333</v>
      </c>
      <c r="E4" s="71" t="s">
        <v>32</v>
      </c>
      <c r="F4" s="71" t="s">
        <v>21</v>
      </c>
      <c r="G4" s="259" t="s">
        <v>94</v>
      </c>
      <c r="H4" s="258" t="n">
        <f aca="false">IF($C4=0,"",$D4-$C4)</f>
        <v>0.0416666666666667</v>
      </c>
      <c r="I4" s="260" t="n">
        <f aca="false">IF($C4=0,"",($H4-INT($H4))*24)</f>
        <v>1</v>
      </c>
      <c r="J4" s="303" t="n">
        <f aca="false">SUMIF(Horodateur1123353819223134374346495255586164698522263438465058546266707478829098941021061141181101221261301341381421461501541581621661701741781821861901941982022062102144[Jour],$B4,Horodateur1123353819223134374346495255586164698522263438465058546266707478829098941021061141181101221261301341381421461501541581621661701741781821861901941982022062102144[Durée (100)])</f>
        <v>8</v>
      </c>
      <c r="K4" s="335"/>
      <c r="L4" s="188" t="s">
        <v>31</v>
      </c>
      <c r="M4" s="272" t="n">
        <f aca="false">IF(Horodateur1123353819223134374346495255586164698522263438465058546266707478829098941021061141181101221261301341381421461501541581621661701741781821861901941982022062102144[[#This Row],[O]]="o",Horodateur1123353819223134374346495255586164698522263438465058546266707478829098941021061141181101221261301341381421461501541581621661701741781821861901941982022062102144[[#This Row],[Durée (100)]],".")</f>
        <v>0.999999999999999</v>
      </c>
      <c r="N4" s="187"/>
      <c r="O4" s="71"/>
      <c r="P4" s="71"/>
      <c r="Q4" s="71"/>
      <c r="R4" s="71"/>
      <c r="S4" s="71"/>
      <c r="T4" s="71"/>
      <c r="U4" s="71"/>
      <c r="V4" s="71"/>
      <c r="W4" s="71"/>
      <c r="X4" s="71"/>
      <c r="Y4" s="71"/>
      <c r="Z4" s="71"/>
      <c r="AA4" s="71"/>
      <c r="AB4" s="71"/>
      <c r="AC4" s="71"/>
      <c r="AD4" s="71"/>
      <c r="AE4" s="71"/>
      <c r="AF4" s="71"/>
      <c r="AG4" s="71"/>
    </row>
    <row r="5" customFormat="false" ht="15" hidden="false" customHeight="false" outlineLevel="0" collapsed="false">
      <c r="A5" s="256" t="n">
        <f aca="false">IF(Horodateur1123353819223134374346495255586164698522263438465058546266707478829098941021061141181101221261301341381421461501541581621661701741781821861901941982022062102144[[#This Row],[Jour]]="1- Lundi",$B$1+1, IF(Horodateur1123353819223134374346495255586164698522263438465058546266707478829098941021061141181101221261301341381421461501541581621661701741781821861901941982022062102144[[#This Row],[Jour]]="2- Mardi",$B$1+2, IF(Horodateur1123353819223134374346495255586164698522263438465058546266707478829098941021061141181101221261301341381421461501541581621661701741781821861901941982022062102144[[#This Row],[Jour]]="3- Mercredi",$B$1+3, IF(Horodateur1123353819223134374346495255586164698522263438465058546266707478829098941021061141181101221261301341381421461501541581621661701741781821861901941982022062102144[[#This Row],[Jour]]="4- Jeudi",$B$1+4, IF(Horodateur1123353819223134374346495255586164698522263438465058546266707478829098941021061141181101221261301341381421461501541581621661701741781821861901941982022062102144[[#This Row],[Jour]]="5- Vendredi",$B$1+5, IF(Horodateur1123353819223134374346495255586164698522263438465058546266707478829098941021061141181101221261301341381421461501541581621661701741781821861901941982022062102144[[#This Row],[Jour]]="6- Samedi",$B$1+6, IF(Horodateur1123353819223134374346495255586164698522263438465058546266707478829098941021061141181101221261301341381421461501541581621661701741781821861901941982022062102144[[#This Row],[Jour]]="7- Dimanche",$B$1, )))))))</f>
        <v>44208</v>
      </c>
      <c r="B5" s="257" t="s">
        <v>312</v>
      </c>
      <c r="C5" s="258" t="n">
        <v>0.364583333333333</v>
      </c>
      <c r="D5" s="258" t="n">
        <v>0.385416666666667</v>
      </c>
      <c r="E5" s="71" t="s">
        <v>32</v>
      </c>
      <c r="F5" s="71" t="s">
        <v>20</v>
      </c>
      <c r="G5" s="259" t="s">
        <v>121</v>
      </c>
      <c r="H5" s="258" t="n">
        <f aca="false">IF($C5=0,"",$D5-$C5)</f>
        <v>0.0208333333333333</v>
      </c>
      <c r="I5" s="260" t="n">
        <f aca="false">IF($C5=0,"",($H5-INT($H5))*24)</f>
        <v>0.5</v>
      </c>
      <c r="J5" s="303" t="n">
        <f aca="false">SUMIF(Horodateur1123353819223134374346495255586164698522263438465058546266707478829098941021061141181101221261301341381421461501541581621661701741781821861901941982022062102144[Jour],$B5,Horodateur1123353819223134374346495255586164698522263438465058546266707478829098941021061141181101221261301341381421461501541581621661701741781821861901941982022062102144[Durée (100)])</f>
        <v>8</v>
      </c>
      <c r="K5" s="335"/>
      <c r="L5" s="188" t="s">
        <v>31</v>
      </c>
      <c r="M5" s="272" t="n">
        <f aca="false">IF(Horodateur1123353819223134374346495255586164698522263438465058546266707478829098941021061141181101221261301341381421461501541581621661701741781821861901941982022062102144[[#This Row],[O]]="o",Horodateur1123353819223134374346495255586164698522263438465058546266707478829098941021061141181101221261301341381421461501541581621661701741781821861901941982022062102144[[#This Row],[Durée (100)]],".")</f>
        <v>0.500000000000001</v>
      </c>
      <c r="N5" s="187"/>
      <c r="O5" s="71"/>
      <c r="P5" s="71"/>
      <c r="Q5" s="71"/>
      <c r="R5" s="71"/>
      <c r="S5" s="71"/>
      <c r="T5" s="71"/>
      <c r="U5" s="71"/>
      <c r="V5" s="71"/>
      <c r="W5" s="71"/>
      <c r="X5" s="71"/>
      <c r="Y5" s="71"/>
      <c r="Z5" s="71"/>
      <c r="AA5" s="71"/>
      <c r="AB5" s="71"/>
      <c r="AC5" s="71"/>
      <c r="AD5" s="71"/>
      <c r="AE5" s="71"/>
      <c r="AF5" s="71"/>
      <c r="AG5" s="71"/>
    </row>
    <row r="6" customFormat="false" ht="15" hidden="false" customHeight="false" outlineLevel="0" collapsed="false">
      <c r="A6" s="256" t="n">
        <f aca="false">IF(Horodateur1123353819223134374346495255586164698522263438465058546266707478829098941021061141181101221261301341381421461501541581621661701741781821861901941982022062102144[[#This Row],[Jour]]="1- Lundi",$B$1+1, IF(Horodateur1123353819223134374346495255586164698522263438465058546266707478829098941021061141181101221261301341381421461501541581621661701741781821861901941982022062102144[[#This Row],[Jour]]="2- Mardi",$B$1+2, IF(Horodateur1123353819223134374346495255586164698522263438465058546266707478829098941021061141181101221261301341381421461501541581621661701741781821861901941982022062102144[[#This Row],[Jour]]="3- Mercredi",$B$1+3, IF(Horodateur1123353819223134374346495255586164698522263438465058546266707478829098941021061141181101221261301341381421461501541581621661701741781821861901941982022062102144[[#This Row],[Jour]]="4- Jeudi",$B$1+4, IF(Horodateur1123353819223134374346495255586164698522263438465058546266707478829098941021061141181101221261301341381421461501541581621661701741781821861901941982022062102144[[#This Row],[Jour]]="5- Vendredi",$B$1+5, IF(Horodateur1123353819223134374346495255586164698522263438465058546266707478829098941021061141181101221261301341381421461501541581621661701741781821861901941982022062102144[[#This Row],[Jour]]="6- Samedi",$B$1+6, IF(Horodateur1123353819223134374346495255586164698522263438465058546266707478829098941021061141181101221261301341381421461501541581621661701741781821861901941982022062102144[[#This Row],[Jour]]="7- Dimanche",$B$1, )))))))</f>
        <v>44208</v>
      </c>
      <c r="B6" s="257" t="s">
        <v>312</v>
      </c>
      <c r="C6" s="258" t="n">
        <v>0.385416666666667</v>
      </c>
      <c r="D6" s="258" t="n">
        <v>0.395833333333333</v>
      </c>
      <c r="E6" s="71" t="s">
        <v>61</v>
      </c>
      <c r="F6" s="71" t="s">
        <v>378</v>
      </c>
      <c r="G6" s="259" t="s">
        <v>676</v>
      </c>
      <c r="H6" s="258" t="n">
        <f aca="false">IF($C6=0,"",$D6-$C6)</f>
        <v>0.0104166666666666</v>
      </c>
      <c r="I6" s="260" t="n">
        <f aca="false">IF($C6=0,"",($H6-INT($H6))*24)</f>
        <v>0.249999999999999</v>
      </c>
      <c r="J6" s="303" t="n">
        <f aca="false">SUMIF(Horodateur1123353819223134374346495255586164698522263438465058546266707478829098941021061141181101221261301341381421461501541581621661701741781821861901941982022062102144[Jour],$B6,Horodateur1123353819223134374346495255586164698522263438465058546266707478829098941021061141181101221261301341381421461501541581621661701741781821861901941982022062102144[Durée (100)])</f>
        <v>8</v>
      </c>
      <c r="K6" s="335"/>
      <c r="L6" s="188" t="s">
        <v>31</v>
      </c>
      <c r="M6" s="272" t="n">
        <f aca="false">IF(Horodateur1123353819223134374346495255586164698522263438465058546266707478829098941021061141181101221261301341381421461501541581621661701741781821861901941982022062102144[[#This Row],[O]]="o",Horodateur1123353819223134374346495255586164698522263438465058546266707478829098941021061141181101221261301341381421461501541581621661701741781821861901941982022062102144[[#This Row],[Durée (100)]],".")</f>
        <v>0.249999999999999</v>
      </c>
      <c r="N6" s="187"/>
      <c r="O6" s="71"/>
      <c r="P6" s="71"/>
      <c r="Q6" s="71"/>
      <c r="R6" s="71"/>
      <c r="S6" s="71"/>
      <c r="T6" s="71"/>
      <c r="U6" s="71"/>
      <c r="V6" s="71"/>
      <c r="W6" s="71"/>
      <c r="X6" s="71"/>
      <c r="Y6" s="71"/>
      <c r="Z6" s="71"/>
      <c r="AA6" s="71"/>
      <c r="AB6" s="71"/>
      <c r="AC6" s="71"/>
      <c r="AD6" s="71"/>
      <c r="AE6" s="71"/>
      <c r="AF6" s="71"/>
      <c r="AG6" s="71"/>
    </row>
    <row r="7" customFormat="false" ht="15" hidden="false" customHeight="false" outlineLevel="0" collapsed="false">
      <c r="A7" s="256" t="n">
        <f aca="false">IF(Horodateur1123353819223134374346495255586164698522263438465058546266707478829098941021061141181101221261301341381421461501541581621661701741781821861901941982022062102144[[#This Row],[Jour]]="1- Lundi",$B$1+1, IF(Horodateur1123353819223134374346495255586164698522263438465058546266707478829098941021061141181101221261301341381421461501541581621661701741781821861901941982022062102144[[#This Row],[Jour]]="2- Mardi",$B$1+2, IF(Horodateur1123353819223134374346495255586164698522263438465058546266707478829098941021061141181101221261301341381421461501541581621661701741781821861901941982022062102144[[#This Row],[Jour]]="3- Mercredi",$B$1+3, IF(Horodateur1123353819223134374346495255586164698522263438465058546266707478829098941021061141181101221261301341381421461501541581621661701741781821861901941982022062102144[[#This Row],[Jour]]="4- Jeudi",$B$1+4, IF(Horodateur1123353819223134374346495255586164698522263438465058546266707478829098941021061141181101221261301341381421461501541581621661701741781821861901941982022062102144[[#This Row],[Jour]]="5- Vendredi",$B$1+5, IF(Horodateur1123353819223134374346495255586164698522263438465058546266707478829098941021061141181101221261301341381421461501541581621661701741781821861901941982022062102144[[#This Row],[Jour]]="6- Samedi",$B$1+6, IF(Horodateur1123353819223134374346495255586164698522263438465058546266707478829098941021061141181101221261301341381421461501541581621661701741781821861901941982022062102144[[#This Row],[Jour]]="7- Dimanche",$B$1, )))))))</f>
        <v>44208</v>
      </c>
      <c r="B7" s="257" t="s">
        <v>312</v>
      </c>
      <c r="C7" s="258" t="n">
        <v>0.395833333333333</v>
      </c>
      <c r="D7" s="258" t="n">
        <v>0.416666666666667</v>
      </c>
      <c r="E7" s="71" t="s">
        <v>37</v>
      </c>
      <c r="F7" s="71" t="s">
        <v>379</v>
      </c>
      <c r="G7" s="259" t="s">
        <v>55</v>
      </c>
      <c r="H7" s="258" t="n">
        <f aca="false">IF($C7=0,"",$D7-$C7)</f>
        <v>0.0208333333333333</v>
      </c>
      <c r="I7" s="260" t="n">
        <f aca="false">IF($C7=0,"",($H7-INT($H7))*24)</f>
        <v>0.5</v>
      </c>
      <c r="J7" s="303" t="n">
        <f aca="false">SUMIF(Horodateur1123353819223134374346495255586164698522263438465058546266707478829098941021061141181101221261301341381421461501541581621661701741781821861901941982022062102144[Jour],$B7,Horodateur1123353819223134374346495255586164698522263438465058546266707478829098941021061141181101221261301341381421461501541581621661701741781821861901941982022062102144[Durée (100)])</f>
        <v>8</v>
      </c>
      <c r="K7" s="335"/>
      <c r="L7" s="188" t="s">
        <v>31</v>
      </c>
      <c r="M7" s="272" t="n">
        <f aca="false">IF(Horodateur1123353819223134374346495255586164698522263438465058546266707478829098941021061141181101221261301341381421461501541581621661701741781821861901941982022062102144[[#This Row],[O]]="o",Horodateur1123353819223134374346495255586164698522263438465058546266707478829098941021061141181101221261301341381421461501541581621661701741781821861901941982022062102144[[#This Row],[Durée (100)]],".")</f>
        <v>0.500000000000001</v>
      </c>
      <c r="N7" s="187"/>
      <c r="O7" s="71"/>
      <c r="P7" s="71"/>
      <c r="Q7" s="71"/>
      <c r="R7" s="71"/>
      <c r="S7" s="71"/>
      <c r="T7" s="71"/>
      <c r="U7" s="71"/>
      <c r="V7" s="71"/>
      <c r="W7" s="71"/>
      <c r="X7" s="71"/>
      <c r="Y7" s="71"/>
      <c r="Z7" s="71"/>
      <c r="AA7" s="71"/>
      <c r="AB7" s="71"/>
      <c r="AC7" s="71"/>
      <c r="AD7" s="71"/>
      <c r="AE7" s="71"/>
      <c r="AF7" s="71"/>
      <c r="AG7" s="71"/>
    </row>
    <row r="8" customFormat="false" ht="15" hidden="false" customHeight="false" outlineLevel="0" collapsed="false">
      <c r="A8" s="256" t="n">
        <f aca="false">IF(Horodateur1123353819223134374346495255586164698522263438465058546266707478829098941021061141181101221261301341381421461501541581621661701741781821861901941982022062102144[[#This Row],[Jour]]="1- Lundi",$B$1+1, IF(Horodateur1123353819223134374346495255586164698522263438465058546266707478829098941021061141181101221261301341381421461501541581621661701741781821861901941982022062102144[[#This Row],[Jour]]="2- Mardi",$B$1+2, IF(Horodateur1123353819223134374346495255586164698522263438465058546266707478829098941021061141181101221261301341381421461501541581621661701741781821861901941982022062102144[[#This Row],[Jour]]="3- Mercredi",$B$1+3, IF(Horodateur1123353819223134374346495255586164698522263438465058546266707478829098941021061141181101221261301341381421461501541581621661701741781821861901941982022062102144[[#This Row],[Jour]]="4- Jeudi",$B$1+4, IF(Horodateur1123353819223134374346495255586164698522263438465058546266707478829098941021061141181101221261301341381421461501541581621661701741781821861901941982022062102144[[#This Row],[Jour]]="5- Vendredi",$B$1+5, IF(Horodateur1123353819223134374346495255586164698522263438465058546266707478829098941021061141181101221261301341381421461501541581621661701741781821861901941982022062102144[[#This Row],[Jour]]="6- Samedi",$B$1+6, IF(Horodateur1123353819223134374346495255586164698522263438465058546266707478829098941021061141181101221261301341381421461501541581621661701741781821861901941982022062102144[[#This Row],[Jour]]="7- Dimanche",$B$1, )))))))</f>
        <v>44208</v>
      </c>
      <c r="B8" s="257" t="s">
        <v>312</v>
      </c>
      <c r="C8" s="258" t="n">
        <v>0.416666666666667</v>
      </c>
      <c r="D8" s="258" t="n">
        <v>0.427083333333333</v>
      </c>
      <c r="E8" s="71" t="s">
        <v>61</v>
      </c>
      <c r="F8" s="71" t="s">
        <v>378</v>
      </c>
      <c r="G8" s="259" t="s">
        <v>676</v>
      </c>
      <c r="H8" s="258" t="n">
        <f aca="false">IF($C8=0,"",$D8-$C8)</f>
        <v>0.0104166666666667</v>
      </c>
      <c r="I8" s="260" t="n">
        <f aca="false">IF($C8=0,"",($H8-INT($H8))*24)</f>
        <v>0.25</v>
      </c>
      <c r="J8" s="303" t="n">
        <f aca="false">SUMIF(Horodateur1123353819223134374346495255586164698522263438465058546266707478829098941021061141181101221261301341381421461501541581621661701741781821861901941982022062102144[Jour],$B8,Horodateur1123353819223134374346495255586164698522263438465058546266707478829098941021061141181101221261301341381421461501541581621661701741781821861901941982022062102144[Durée (100)])</f>
        <v>8</v>
      </c>
      <c r="K8" s="335"/>
      <c r="L8" s="188" t="s">
        <v>31</v>
      </c>
      <c r="M8" s="272" t="n">
        <f aca="false">IF(Horodateur1123353819223134374346495255586164698522263438465058546266707478829098941021061141181101221261301341381421461501541581621661701741781821861901941982022062102144[[#This Row],[O]]="o",Horodateur1123353819223134374346495255586164698522263438465058546266707478829098941021061141181101221261301341381421461501541581621661701741781821861901941982022062102144[[#This Row],[Durée (100)]],".")</f>
        <v>0.249999999999999</v>
      </c>
      <c r="N8" s="187"/>
      <c r="O8" s="71"/>
      <c r="P8" s="71"/>
      <c r="Q8" s="71"/>
      <c r="R8" s="71"/>
      <c r="S8" s="71"/>
      <c r="T8" s="71"/>
      <c r="U8" s="71"/>
      <c r="V8" s="71"/>
      <c r="W8" s="71"/>
      <c r="X8" s="71"/>
      <c r="Y8" s="71"/>
      <c r="Z8" s="71"/>
      <c r="AA8" s="71"/>
      <c r="AB8" s="71"/>
      <c r="AC8" s="71"/>
      <c r="AD8" s="71"/>
      <c r="AE8" s="71"/>
      <c r="AF8" s="71"/>
      <c r="AG8" s="71"/>
    </row>
    <row r="9" customFormat="false" ht="15" hidden="false" customHeight="false" outlineLevel="0" collapsed="false">
      <c r="A9" s="256" t="n">
        <f aca="false">IF(Horodateur1123353819223134374346495255586164698522263438465058546266707478829098941021061141181101221261301341381421461501541581621661701741781821861901941982022062102144[[#This Row],[Jour]]="1- Lundi",$B$1+1, IF(Horodateur1123353819223134374346495255586164698522263438465058546266707478829098941021061141181101221261301341381421461501541581621661701741781821861901941982022062102144[[#This Row],[Jour]]="2- Mardi",$B$1+2, IF(Horodateur1123353819223134374346495255586164698522263438465058546266707478829098941021061141181101221261301341381421461501541581621661701741781821861901941982022062102144[[#This Row],[Jour]]="3- Mercredi",$B$1+3, IF(Horodateur1123353819223134374346495255586164698522263438465058546266707478829098941021061141181101221261301341381421461501541581621661701741781821861901941982022062102144[[#This Row],[Jour]]="4- Jeudi",$B$1+4, IF(Horodateur1123353819223134374346495255586164698522263438465058546266707478829098941021061141181101221261301341381421461501541581621661701741781821861901941982022062102144[[#This Row],[Jour]]="5- Vendredi",$B$1+5, IF(Horodateur1123353819223134374346495255586164698522263438465058546266707478829098941021061141181101221261301341381421461501541581621661701741781821861901941982022062102144[[#This Row],[Jour]]="6- Samedi",$B$1+6, IF(Horodateur1123353819223134374346495255586164698522263438465058546266707478829098941021061141181101221261301341381421461501541581621661701741781821861901941982022062102144[[#This Row],[Jour]]="7- Dimanche",$B$1, )))))))</f>
        <v>44208</v>
      </c>
      <c r="B9" s="257" t="s">
        <v>312</v>
      </c>
      <c r="C9" s="258" t="n">
        <v>0.4375</v>
      </c>
      <c r="D9" s="258" t="n">
        <v>0.458333333333333</v>
      </c>
      <c r="E9" s="71" t="s">
        <v>677</v>
      </c>
      <c r="F9" s="71" t="s">
        <v>23</v>
      </c>
      <c r="G9" s="259" t="s">
        <v>631</v>
      </c>
      <c r="H9" s="258" t="n">
        <f aca="false">IF($C9=0,"",$D9-$C9)</f>
        <v>0.0208333333333333</v>
      </c>
      <c r="I9" s="260" t="n">
        <f aca="false">IF($C9=0,"",($H9-INT($H9))*24)</f>
        <v>0.5</v>
      </c>
      <c r="J9" s="303" t="n">
        <f aca="false">SUMIF(Horodateur1123353819223134374346495255586164698522263438465058546266707478829098941021061141181101221261301341381421461501541581621661701741781821861901941982022062102144[Jour],$B9,Horodateur1123353819223134374346495255586164698522263438465058546266707478829098941021061141181101221261301341381421461501541581621661701741781821861901941982022062102144[Durée (100)])</f>
        <v>8</v>
      </c>
      <c r="K9" s="335"/>
      <c r="L9" s="188" t="s">
        <v>31</v>
      </c>
      <c r="M9" s="272" t="n">
        <f aca="false">IF(Horodateur1123353819223134374346495255586164698522263438465058546266707478829098941021061141181101221261301341381421461501541581621661701741781821861901941982022062102144[[#This Row],[O]]="o",Horodateur1123353819223134374346495255586164698522263438465058546266707478829098941021061141181101221261301341381421461501541581621661701741781821861901941982022062102144[[#This Row],[Durée (100)]],".")</f>
        <v>0.5</v>
      </c>
      <c r="N9" s="187"/>
      <c r="O9" s="71"/>
      <c r="P9" s="71"/>
      <c r="Q9" s="71"/>
      <c r="R9" s="71"/>
      <c r="S9" s="71"/>
      <c r="T9" s="71"/>
      <c r="U9" s="71"/>
      <c r="V9" s="71"/>
      <c r="W9" s="71"/>
      <c r="X9" s="71"/>
      <c r="Y9" s="71"/>
      <c r="Z9" s="71"/>
      <c r="AA9" s="71"/>
      <c r="AB9" s="71"/>
      <c r="AC9" s="71"/>
      <c r="AD9" s="71"/>
      <c r="AE9" s="71"/>
      <c r="AF9" s="71"/>
      <c r="AG9" s="71"/>
    </row>
    <row r="10" customFormat="false" ht="15" hidden="false" customHeight="false" outlineLevel="0" collapsed="false">
      <c r="A10" s="256" t="n">
        <f aca="false">IF(Horodateur1123353819223134374346495255586164698522263438465058546266707478829098941021061141181101221261301341381421461501541581621661701741781821861901941982022062102144[[#This Row],[Jour]]="1- Lundi",$B$1+1, IF(Horodateur1123353819223134374346495255586164698522263438465058546266707478829098941021061141181101221261301341381421461501541581621661701741781821861901941982022062102144[[#This Row],[Jour]]="2- Mardi",$B$1+2, IF(Horodateur1123353819223134374346495255586164698522263438465058546266707478829098941021061141181101221261301341381421461501541581621661701741781821861901941982022062102144[[#This Row],[Jour]]="3- Mercredi",$B$1+3, IF(Horodateur1123353819223134374346495255586164698522263438465058546266707478829098941021061141181101221261301341381421461501541581621661701741781821861901941982022062102144[[#This Row],[Jour]]="4- Jeudi",$B$1+4, IF(Horodateur1123353819223134374346495255586164698522263438465058546266707478829098941021061141181101221261301341381421461501541581621661701741781821861901941982022062102144[[#This Row],[Jour]]="5- Vendredi",$B$1+5, IF(Horodateur1123353819223134374346495255586164698522263438465058546266707478829098941021061141181101221261301341381421461501541581621661701741781821861901941982022062102144[[#This Row],[Jour]]="6- Samedi",$B$1+6, IF(Horodateur1123353819223134374346495255586164698522263438465058546266707478829098941021061141181101221261301341381421461501541581621661701741781821861901941982022062102144[[#This Row],[Jour]]="7- Dimanche",$B$1, )))))))</f>
        <v>44208</v>
      </c>
      <c r="B10" s="257" t="s">
        <v>312</v>
      </c>
      <c r="C10" s="258" t="n">
        <v>0.458333333333333</v>
      </c>
      <c r="D10" s="258" t="n">
        <v>0.510416666666667</v>
      </c>
      <c r="E10" s="71" t="s">
        <v>32</v>
      </c>
      <c r="F10" s="71" t="s">
        <v>22</v>
      </c>
      <c r="G10" s="259"/>
      <c r="H10" s="258" t="n">
        <f aca="false">IF($C10=0,"",$D10-$C10)</f>
        <v>0.0520833333333333</v>
      </c>
      <c r="I10" s="260" t="n">
        <f aca="false">IF($C10=0,"",($H10-INT($H10))*24)</f>
        <v>1.25</v>
      </c>
      <c r="J10" s="303" t="n">
        <f aca="false">SUMIF(Horodateur1123353819223134374346495255586164698522263438465058546266707478829098941021061141181101221261301341381421461501541581621661701741781821861901941982022062102144[Jour],$B10,Horodateur1123353819223134374346495255586164698522263438465058546266707478829098941021061141181101221261301341381421461501541581621661701741781821861901941982022062102144[Durée (100)])</f>
        <v>8</v>
      </c>
      <c r="K10" s="335"/>
      <c r="L10" s="188" t="s">
        <v>31</v>
      </c>
      <c r="M10" s="272" t="n">
        <f aca="false">IF(Horodateur1123353819223134374346495255586164698522263438465058546266707478829098941021061141181101221261301341381421461501541581621661701741781821861901941982022062102144[[#This Row],[O]]="o",Horodateur1123353819223134374346495255586164698522263438465058546266707478829098941021061141181101221261301341381421461501541581621661701741781821861901941982022062102144[[#This Row],[Durée (100)]],".")</f>
        <v>1.25</v>
      </c>
      <c r="N10" s="187"/>
      <c r="O10" s="71"/>
      <c r="P10" s="71"/>
      <c r="Q10" s="71"/>
      <c r="R10" s="71"/>
      <c r="S10" s="71"/>
      <c r="T10" s="71"/>
      <c r="U10" s="71"/>
      <c r="V10" s="71"/>
      <c r="W10" s="71"/>
      <c r="X10" s="71"/>
      <c r="Y10" s="71"/>
      <c r="Z10" s="71"/>
      <c r="AA10" s="71"/>
      <c r="AB10" s="71"/>
      <c r="AC10" s="71"/>
      <c r="AD10" s="71"/>
      <c r="AE10" s="71"/>
      <c r="AF10" s="71"/>
      <c r="AG10" s="71"/>
    </row>
    <row r="11" customFormat="false" ht="15" hidden="false" customHeight="false" outlineLevel="0" collapsed="false">
      <c r="A11" s="256" t="n">
        <f aca="false">IF(Horodateur1123353819223134374346495255586164698522263438465058546266707478829098941021061141181101221261301341381421461501541581621661701741781821861901941982022062102144[[#This Row],[Jour]]="1- Lundi",$B$1+1, IF(Horodateur1123353819223134374346495255586164698522263438465058546266707478829098941021061141181101221261301341381421461501541581621661701741781821861901941982022062102144[[#This Row],[Jour]]="2- Mardi",$B$1+2, IF(Horodateur1123353819223134374346495255586164698522263438465058546266707478829098941021061141181101221261301341381421461501541581621661701741781821861901941982022062102144[[#This Row],[Jour]]="3- Mercredi",$B$1+3, IF(Horodateur1123353819223134374346495255586164698522263438465058546266707478829098941021061141181101221261301341381421461501541581621661701741781821861901941982022062102144[[#This Row],[Jour]]="4- Jeudi",$B$1+4, IF(Horodateur1123353819223134374346495255586164698522263438465058546266707478829098941021061141181101221261301341381421461501541581621661701741781821861901941982022062102144[[#This Row],[Jour]]="5- Vendredi",$B$1+5, IF(Horodateur1123353819223134374346495255586164698522263438465058546266707478829098941021061141181101221261301341381421461501541581621661701741781821861901941982022062102144[[#This Row],[Jour]]="6- Samedi",$B$1+6, IF(Horodateur1123353819223134374346495255586164698522263438465058546266707478829098941021061141181101221261301341381421461501541581621661701741781821861901941982022062102144[[#This Row],[Jour]]="7- Dimanche",$B$1, )))))))</f>
        <v>44208</v>
      </c>
      <c r="B11" s="257" t="s">
        <v>312</v>
      </c>
      <c r="C11" s="258" t="n">
        <v>0.552083333333333</v>
      </c>
      <c r="D11" s="258" t="n">
        <v>0.645833333333333</v>
      </c>
      <c r="E11" s="71" t="s">
        <v>70</v>
      </c>
      <c r="F11" s="71" t="s">
        <v>378</v>
      </c>
      <c r="G11" s="259" t="s">
        <v>678</v>
      </c>
      <c r="H11" s="258" t="n">
        <f aca="false">IF($C11=0,"",$D11-$C11)</f>
        <v>0.09375</v>
      </c>
      <c r="I11" s="260" t="n">
        <f aca="false">IF($C11=0,"",($H11-INT($H11))*24)</f>
        <v>2.25</v>
      </c>
      <c r="J11" s="303" t="n">
        <f aca="false">SUMIF(Horodateur1123353819223134374346495255586164698522263438465058546266707478829098941021061141181101221261301341381421461501541581621661701741781821861901941982022062102144[Jour],$B11,Horodateur1123353819223134374346495255586164698522263438465058546266707478829098941021061141181101221261301341381421461501541581621661701741781821861901941982022062102144[Durée (100)])</f>
        <v>8</v>
      </c>
      <c r="K11" s="335"/>
      <c r="L11" s="188" t="s">
        <v>31</v>
      </c>
      <c r="M11" s="272" t="n">
        <f aca="false">IF(Horodateur1123353819223134374346495255586164698522263438465058546266707478829098941021061141181101221261301341381421461501541581621661701741781821861901941982022062102144[[#This Row],[O]]="o",Horodateur1123353819223134374346495255586164698522263438465058546266707478829098941021061141181101221261301341381421461501541581621661701741781821861901941982022062102144[[#This Row],[Durée (100)]],".")</f>
        <v>2.25</v>
      </c>
      <c r="N11" s="187"/>
      <c r="O11" s="71"/>
      <c r="P11" s="71"/>
      <c r="Q11" s="71"/>
      <c r="R11" s="71"/>
      <c r="S11" s="71"/>
      <c r="T11" s="71"/>
      <c r="U11" s="71"/>
      <c r="V11" s="71"/>
      <c r="W11" s="71"/>
      <c r="X11" s="71"/>
      <c r="Y11" s="71"/>
      <c r="Z11" s="71"/>
      <c r="AA11" s="71"/>
      <c r="AB11" s="71"/>
      <c r="AC11" s="71"/>
      <c r="AD11" s="71"/>
      <c r="AE11" s="71"/>
      <c r="AF11" s="71"/>
      <c r="AG11" s="71"/>
    </row>
    <row r="12" customFormat="false" ht="15" hidden="false" customHeight="false" outlineLevel="0" collapsed="false">
      <c r="A12" s="256" t="n">
        <f aca="false">IF(Horodateur1123353819223134374346495255586164698522263438465058546266707478829098941021061141181101221261301341381421461501541581621661701741781821861901941982022062102144[[#This Row],[Jour]]="1- Lundi",$B$1+1, IF(Horodateur1123353819223134374346495255586164698522263438465058546266707478829098941021061141181101221261301341381421461501541581621661701741781821861901941982022062102144[[#This Row],[Jour]]="2- Mardi",$B$1+2, IF(Horodateur1123353819223134374346495255586164698522263438465058546266707478829098941021061141181101221261301341381421461501541581621661701741781821861901941982022062102144[[#This Row],[Jour]]="3- Mercredi",$B$1+3, IF(Horodateur1123353819223134374346495255586164698522263438465058546266707478829098941021061141181101221261301341381421461501541581621661701741781821861901941982022062102144[[#This Row],[Jour]]="4- Jeudi",$B$1+4, IF(Horodateur1123353819223134374346495255586164698522263438465058546266707478829098941021061141181101221261301341381421461501541581621661701741781821861901941982022062102144[[#This Row],[Jour]]="5- Vendredi",$B$1+5, IF(Horodateur1123353819223134374346495255586164698522263438465058546266707478829098941021061141181101221261301341381421461501541581621661701741781821861901941982022062102144[[#This Row],[Jour]]="6- Samedi",$B$1+6, IF(Horodateur1123353819223134374346495255586164698522263438465058546266707478829098941021061141181101221261301341381421461501541581621661701741781821861901941982022062102144[[#This Row],[Jour]]="7- Dimanche",$B$1, )))))))</f>
        <v>44208</v>
      </c>
      <c r="B12" s="257" t="s">
        <v>312</v>
      </c>
      <c r="C12" s="258" t="n">
        <v>0.645833333333333</v>
      </c>
      <c r="D12" s="258" t="n">
        <v>0.666666666666667</v>
      </c>
      <c r="E12" s="71" t="s">
        <v>74</v>
      </c>
      <c r="F12" s="71" t="s">
        <v>379</v>
      </c>
      <c r="G12" s="259" t="s">
        <v>124</v>
      </c>
      <c r="H12" s="258" t="n">
        <f aca="false">IF($C12=0,"",$D12-$C12)</f>
        <v>0.0208333333333333</v>
      </c>
      <c r="I12" s="260" t="n">
        <f aca="false">IF($C12=0,"",($H12-INT($H12))*24)</f>
        <v>0.5</v>
      </c>
      <c r="J12" s="303" t="n">
        <f aca="false">SUMIF(Horodateur1123353819223134374346495255586164698522263438465058546266707478829098941021061141181101221261301341381421461501541581621661701741781821861901941982022062102144[Jour],$B12,Horodateur1123353819223134374346495255586164698522263438465058546266707478829098941021061141181101221261301341381421461501541581621661701741781821861901941982022062102144[Durée (100)])</f>
        <v>8</v>
      </c>
      <c r="K12" s="335"/>
      <c r="L12" s="188" t="s">
        <v>31</v>
      </c>
      <c r="M12" s="272" t="n">
        <f aca="false">IF(Horodateur1123353819223134374346495255586164698522263438465058546266707478829098941021061141181101221261301341381421461501541581621661701741781821861901941982022062102144[[#This Row],[O]]="o",Horodateur1123353819223134374346495255586164698522263438465058546266707478829098941021061141181101221261301341381421461501541581621661701741781821861901941982022062102144[[#This Row],[Durée (100)]],".")</f>
        <v>0.499999999999998</v>
      </c>
      <c r="N12" s="187"/>
      <c r="O12" s="71"/>
      <c r="P12" s="71"/>
      <c r="Q12" s="71"/>
      <c r="R12" s="71"/>
      <c r="S12" s="71"/>
      <c r="T12" s="71"/>
      <c r="U12" s="71"/>
      <c r="V12" s="71"/>
      <c r="W12" s="71"/>
      <c r="X12" s="71"/>
      <c r="Y12" s="71"/>
      <c r="Z12" s="71"/>
      <c r="AA12" s="71"/>
      <c r="AB12" s="71"/>
      <c r="AC12" s="71"/>
      <c r="AD12" s="71"/>
      <c r="AE12" s="71"/>
      <c r="AF12" s="71"/>
      <c r="AG12" s="71"/>
    </row>
    <row r="13" customFormat="false" ht="15" hidden="false" customHeight="false" outlineLevel="0" collapsed="false">
      <c r="A13" s="256" t="n">
        <f aca="false">IF(Horodateur1123353819223134374346495255586164698522263438465058546266707478829098941021061141181101221261301341381421461501541581621661701741781821861901941982022062102144[[#This Row],[Jour]]="1- Lundi",$B$1+1, IF(Horodateur1123353819223134374346495255586164698522263438465058546266707478829098941021061141181101221261301341381421461501541581621661701741781821861901941982022062102144[[#This Row],[Jour]]="2- Mardi",$B$1+2, IF(Horodateur1123353819223134374346495255586164698522263438465058546266707478829098941021061141181101221261301341381421461501541581621661701741781821861901941982022062102144[[#This Row],[Jour]]="3- Mercredi",$B$1+3, IF(Horodateur1123353819223134374346495255586164698522263438465058546266707478829098941021061141181101221261301341381421461501541581621661701741781821861901941982022062102144[[#This Row],[Jour]]="4- Jeudi",$B$1+4, IF(Horodateur1123353819223134374346495255586164698522263438465058546266707478829098941021061141181101221261301341381421461501541581621661701741781821861901941982022062102144[[#This Row],[Jour]]="5- Vendredi",$B$1+5, IF(Horodateur1123353819223134374346495255586164698522263438465058546266707478829098941021061141181101221261301341381421461501541581621661701741781821861901941982022062102144[[#This Row],[Jour]]="6- Samedi",$B$1+6, IF(Horodateur1123353819223134374346495255586164698522263438465058546266707478829098941021061141181101221261301341381421461501541581621661701741781821861901941982022062102144[[#This Row],[Jour]]="7- Dimanche",$B$1, )))))))</f>
        <v>44208</v>
      </c>
      <c r="B13" s="257" t="s">
        <v>312</v>
      </c>
      <c r="C13" s="258" t="n">
        <v>0.666666666666667</v>
      </c>
      <c r="D13" s="258" t="n">
        <v>0.708333333333333</v>
      </c>
      <c r="E13" s="71" t="s">
        <v>70</v>
      </c>
      <c r="F13" s="71" t="s">
        <v>378</v>
      </c>
      <c r="G13" s="259" t="s">
        <v>678</v>
      </c>
      <c r="H13" s="258" t="n">
        <f aca="false">IF($C13=0,"",$D13-$C13)</f>
        <v>0.0416666666666667</v>
      </c>
      <c r="I13" s="260" t="n">
        <f aca="false">IF($C13=0,"",($H13-INT($H13))*24)</f>
        <v>1</v>
      </c>
      <c r="J13" s="303" t="n">
        <f aca="false">SUMIF(Horodateur1123353819223134374346495255586164698522263438465058546266707478829098941021061141181101221261301341381421461501541581621661701741781821861901941982022062102144[Jour],$B13,Horodateur1123353819223134374346495255586164698522263438465058546266707478829098941021061141181101221261301341381421461501541581621661701741781821861901941982022062102144[Durée (100)])</f>
        <v>8</v>
      </c>
      <c r="K13" s="335"/>
      <c r="L13" s="188" t="s">
        <v>31</v>
      </c>
      <c r="M13" s="272" t="n">
        <f aca="false">IF(Horodateur1123353819223134374346495255586164698522263438465058546266707478829098941021061141181101221261301341381421461501541581621661701741781821861901941982022062102144[[#This Row],[O]]="o",Horodateur1123353819223134374346495255586164698522263438465058546266707478829098941021061141181101221261301341381421461501541581621661701741781821861901941982022062102144[[#This Row],[Durée (100)]],".")</f>
        <v>1</v>
      </c>
      <c r="N13" s="187"/>
      <c r="O13" s="71"/>
      <c r="P13" s="71"/>
      <c r="Q13" s="71"/>
      <c r="R13" s="71"/>
      <c r="S13" s="71"/>
      <c r="T13" s="71"/>
      <c r="U13" s="71"/>
      <c r="V13" s="71"/>
      <c r="W13" s="71"/>
      <c r="X13" s="71"/>
      <c r="Y13" s="71"/>
      <c r="Z13" s="71"/>
      <c r="AA13" s="71"/>
      <c r="AB13" s="71"/>
      <c r="AC13" s="71"/>
      <c r="AD13" s="71"/>
      <c r="AE13" s="71"/>
      <c r="AF13" s="71"/>
      <c r="AG13" s="71"/>
    </row>
    <row r="14" customFormat="false" ht="15" hidden="false" customHeight="false" outlineLevel="0" collapsed="false">
      <c r="A14" s="256" t="n">
        <f aca="false">IF(Horodateur1123353819223134374346495255586164698522263438465058546266707478829098941021061141181101221261301341381421461501541581621661701741781821861901941982022062102144[[#This Row],[Jour]]="1- Lundi",$B$1+1, IF(Horodateur1123353819223134374346495255586164698522263438465058546266707478829098941021061141181101221261301341381421461501541581621661701741781821861901941982022062102144[[#This Row],[Jour]]="2- Mardi",$B$1+2, IF(Horodateur1123353819223134374346495255586164698522263438465058546266707478829098941021061141181101221261301341381421461501541581621661701741781821861901941982022062102144[[#This Row],[Jour]]="3- Mercredi",$B$1+3, IF(Horodateur1123353819223134374346495255586164698522263438465058546266707478829098941021061141181101221261301341381421461501541581621661701741781821861901941982022062102144[[#This Row],[Jour]]="4- Jeudi",$B$1+4, IF(Horodateur1123353819223134374346495255586164698522263438465058546266707478829098941021061141181101221261301341381421461501541581621661701741781821861901941982022062102144[[#This Row],[Jour]]="5- Vendredi",$B$1+5, IF(Horodateur1123353819223134374346495255586164698522263438465058546266707478829098941021061141181101221261301341381421461501541581621661701741781821861901941982022062102144[[#This Row],[Jour]]="6- Samedi",$B$1+6, IF(Horodateur1123353819223134374346495255586164698522263438465058546266707478829098941021061141181101221261301341381421461501541581621661701741781821861901941982022062102144[[#This Row],[Jour]]="7- Dimanche",$B$1, )))))))</f>
        <v>44209</v>
      </c>
      <c r="B14" s="257" t="s">
        <v>319</v>
      </c>
      <c r="C14" s="258" t="n">
        <v>0.34375</v>
      </c>
      <c r="D14" s="258" t="n">
        <v>0.354166666666667</v>
      </c>
      <c r="E14" s="71" t="s">
        <v>32</v>
      </c>
      <c r="F14" s="71" t="s">
        <v>21</v>
      </c>
      <c r="G14" s="259"/>
      <c r="H14" s="258" t="n">
        <f aca="false">IF($C14=0,"",$D14-$C14)</f>
        <v>0.0104166666666667</v>
      </c>
      <c r="I14" s="260" t="n">
        <f aca="false">IF($C14=0,"",($H14-INT($H14))*24)</f>
        <v>0.25</v>
      </c>
      <c r="J14" s="303" t="n">
        <f aca="false">SUMIF(Horodateur1123353819223134374346495255586164698522263438465058546266707478829098941021061141181101221261301341381421461501541581621661701741781821861901941982022062102144[Jour],$B14,Horodateur1123353819223134374346495255586164698522263438465058546266707478829098941021061141181101221261301341381421461501541581621661701741781821861901941982022062102144[Durée (100)])</f>
        <v>4.5</v>
      </c>
      <c r="K14" s="335"/>
      <c r="L14" s="188" t="s">
        <v>31</v>
      </c>
      <c r="M14" s="272" t="n">
        <f aca="false">IF(Horodateur1123353819223134374346495255586164698522263438465058546266707478829098941021061141181101221261301341381421461501541581621661701741781821861901941982022062102144[[#This Row],[O]]="o",Horodateur1123353819223134374346495255586164698522263438465058546266707478829098941021061141181101221261301341381421461501541581621661701741781821861901941982022062102144[[#This Row],[Durée (100)]],".")</f>
        <v>0.25</v>
      </c>
      <c r="N14" s="187"/>
      <c r="O14" s="71"/>
      <c r="P14" s="71"/>
      <c r="Q14" s="71"/>
      <c r="R14" s="71"/>
      <c r="S14" s="71"/>
      <c r="T14" s="71"/>
      <c r="U14" s="71"/>
      <c r="V14" s="71"/>
      <c r="W14" s="71"/>
      <c r="X14" s="71"/>
      <c r="Y14" s="71"/>
      <c r="Z14" s="71"/>
      <c r="AA14" s="71"/>
      <c r="AB14" s="71"/>
      <c r="AC14" s="71"/>
      <c r="AD14" s="71"/>
      <c r="AE14" s="71"/>
      <c r="AF14" s="71"/>
      <c r="AG14" s="71"/>
    </row>
    <row r="15" customFormat="false" ht="15" hidden="false" customHeight="false" outlineLevel="0" collapsed="false">
      <c r="A15" s="256" t="n">
        <f aca="false">IF(Horodateur1123353819223134374346495255586164698522263438465058546266707478829098941021061141181101221261301341381421461501541581621661701741781821861901941982022062102144[[#This Row],[Jour]]="1- Lundi",$B$1+1, IF(Horodateur1123353819223134374346495255586164698522263438465058546266707478829098941021061141181101221261301341381421461501541581621661701741781821861901941982022062102144[[#This Row],[Jour]]="2- Mardi",$B$1+2, IF(Horodateur1123353819223134374346495255586164698522263438465058546266707478829098941021061141181101221261301341381421461501541581621661701741781821861901941982022062102144[[#This Row],[Jour]]="3- Mercredi",$B$1+3, IF(Horodateur1123353819223134374346495255586164698522263438465058546266707478829098941021061141181101221261301341381421461501541581621661701741781821861901941982022062102144[[#This Row],[Jour]]="4- Jeudi",$B$1+4, IF(Horodateur1123353819223134374346495255586164698522263438465058546266707478829098941021061141181101221261301341381421461501541581621661701741781821861901941982022062102144[[#This Row],[Jour]]="5- Vendredi",$B$1+5, IF(Horodateur1123353819223134374346495255586164698522263438465058546266707478829098941021061141181101221261301341381421461501541581621661701741781821861901941982022062102144[[#This Row],[Jour]]="6- Samedi",$B$1+6, IF(Horodateur1123353819223134374346495255586164698522263438465058546266707478829098941021061141181101221261301341381421461501541581621661701741781821861901941982022062102144[[#This Row],[Jour]]="7- Dimanche",$B$1, )))))))</f>
        <v>44209</v>
      </c>
      <c r="B15" s="257" t="s">
        <v>319</v>
      </c>
      <c r="C15" s="258" t="n">
        <v>0.354166666666667</v>
      </c>
      <c r="D15" s="258" t="n">
        <v>0.375</v>
      </c>
      <c r="E15" s="71" t="s">
        <v>70</v>
      </c>
      <c r="F15" s="71" t="s">
        <v>378</v>
      </c>
      <c r="G15" s="259" t="s">
        <v>678</v>
      </c>
      <c r="H15" s="258" t="n">
        <f aca="false">IF($C15=0,"",$D15-$C15)</f>
        <v>0.0208333333333333</v>
      </c>
      <c r="I15" s="260" t="n">
        <f aca="false">IF($C15=0,"",($H15-INT($H15))*24)</f>
        <v>0.5</v>
      </c>
      <c r="J15" s="303" t="n">
        <f aca="false">SUMIF(Horodateur1123353819223134374346495255586164698522263438465058546266707478829098941021061141181101221261301341381421461501541581621661701741781821861901941982022062102144[Jour],$B15,Horodateur1123353819223134374346495255586164698522263438465058546266707478829098941021061141181101221261301341381421461501541581621661701741781821861901941982022062102144[Durée (100)])</f>
        <v>4.5</v>
      </c>
      <c r="K15" s="335"/>
      <c r="L15" s="188" t="s">
        <v>31</v>
      </c>
      <c r="M15" s="272" t="n">
        <f aca="false">IF(Horodateur1123353819223134374346495255586164698522263438465058546266707478829098941021061141181101221261301341381421461501541581621661701741781821861901941982022062102144[[#This Row],[O]]="o",Horodateur1123353819223134374346495255586164698522263438465058546266707478829098941021061141181101221261301341381421461501541581621661701741781821861901941982022062102144[[#This Row],[Durée (100)]],".")</f>
        <v>0.5</v>
      </c>
      <c r="N15" s="187"/>
      <c r="O15" s="71"/>
      <c r="P15" s="71"/>
      <c r="Q15" s="71"/>
      <c r="R15" s="71"/>
      <c r="S15" s="71"/>
      <c r="T15" s="71"/>
      <c r="U15" s="71"/>
      <c r="V15" s="71"/>
      <c r="W15" s="71"/>
      <c r="X15" s="71"/>
      <c r="Y15" s="71"/>
      <c r="Z15" s="71"/>
      <c r="AA15" s="71"/>
      <c r="AB15" s="71"/>
      <c r="AC15" s="71"/>
      <c r="AD15" s="71"/>
      <c r="AE15" s="71"/>
      <c r="AF15" s="71"/>
      <c r="AG15" s="71"/>
    </row>
    <row r="16" customFormat="false" ht="15" hidden="false" customHeight="false" outlineLevel="0" collapsed="false">
      <c r="A16" s="256" t="n">
        <f aca="false">IF(Horodateur1123353819223134374346495255586164698522263438465058546266707478829098941021061141181101221261301341381421461501541581621661701741781821861901941982022062102144[[#This Row],[Jour]]="1- Lundi",$B$1+1, IF(Horodateur1123353819223134374346495255586164698522263438465058546266707478829098941021061141181101221261301341381421461501541581621661701741781821861901941982022062102144[[#This Row],[Jour]]="2- Mardi",$B$1+2, IF(Horodateur1123353819223134374346495255586164698522263438465058546266707478829098941021061141181101221261301341381421461501541581621661701741781821861901941982022062102144[[#This Row],[Jour]]="3- Mercredi",$B$1+3, IF(Horodateur1123353819223134374346495255586164698522263438465058546266707478829098941021061141181101221261301341381421461501541581621661701741781821861901941982022062102144[[#This Row],[Jour]]="4- Jeudi",$B$1+4, IF(Horodateur1123353819223134374346495255586164698522263438465058546266707478829098941021061141181101221261301341381421461501541581621661701741781821861901941982022062102144[[#This Row],[Jour]]="5- Vendredi",$B$1+5, IF(Horodateur1123353819223134374346495255586164698522263438465058546266707478829098941021061141181101221261301341381421461501541581621661701741781821861901941982022062102144[[#This Row],[Jour]]="6- Samedi",$B$1+6, IF(Horodateur1123353819223134374346495255586164698522263438465058546266707478829098941021061141181101221261301341381421461501541581621661701741781821861901941982022062102144[[#This Row],[Jour]]="7- Dimanche",$B$1, )))))))</f>
        <v>44209</v>
      </c>
      <c r="B16" s="257" t="s">
        <v>319</v>
      </c>
      <c r="C16" s="258" t="n">
        <v>0.375</v>
      </c>
      <c r="D16" s="258" t="n">
        <v>0.395833333333333</v>
      </c>
      <c r="E16" s="71" t="s">
        <v>32</v>
      </c>
      <c r="F16" s="71" t="s">
        <v>21</v>
      </c>
      <c r="G16" s="259"/>
      <c r="H16" s="258" t="n">
        <f aca="false">IF($C16=0,"",$D16-$C16)</f>
        <v>0.0208333333333333</v>
      </c>
      <c r="I16" s="260" t="n">
        <f aca="false">IF($C16=0,"",($H16-INT($H16))*24)</f>
        <v>0.5</v>
      </c>
      <c r="J16" s="303" t="n">
        <f aca="false">SUMIF(Horodateur1123353819223134374346495255586164698522263438465058546266707478829098941021061141181101221261301341381421461501541581621661701741781821861901941982022062102144[Jour],$B16,Horodateur1123353819223134374346495255586164698522263438465058546266707478829098941021061141181101221261301341381421461501541581621661701741781821861901941982022062102144[Durée (100)])</f>
        <v>4.5</v>
      </c>
      <c r="K16" s="335"/>
      <c r="L16" s="188" t="s">
        <v>31</v>
      </c>
      <c r="M16" s="272" t="n">
        <f aca="false">IF(Horodateur1123353819223134374346495255586164698522263438465058546266707478829098941021061141181101221261301341381421461501541581621661701741781821861901941982022062102144[[#This Row],[O]]="o",Horodateur1123353819223134374346495255586164698522263438465058546266707478829098941021061141181101221261301341381421461501541581621661701741781821861901941982022062102144[[#This Row],[Durée (100)]],".")</f>
        <v>0.5</v>
      </c>
      <c r="N16" s="187"/>
      <c r="O16" s="71"/>
      <c r="P16" s="71"/>
      <c r="Q16" s="71"/>
      <c r="R16" s="71"/>
      <c r="S16" s="71"/>
      <c r="T16" s="71"/>
      <c r="U16" s="71"/>
      <c r="V16" s="71"/>
      <c r="W16" s="71"/>
      <c r="X16" s="71"/>
      <c r="Y16" s="71"/>
      <c r="Z16" s="71"/>
      <c r="AA16" s="71"/>
      <c r="AB16" s="71"/>
      <c r="AC16" s="71"/>
      <c r="AD16" s="71"/>
      <c r="AE16" s="71"/>
      <c r="AF16" s="71"/>
      <c r="AG16" s="71"/>
    </row>
    <row r="17" customFormat="false" ht="15" hidden="false" customHeight="false" outlineLevel="0" collapsed="false">
      <c r="A17" s="256" t="n">
        <f aca="false">IF(Horodateur1123353819223134374346495255586164698522263438465058546266707478829098941021061141181101221261301341381421461501541581621661701741781821861901941982022062102144[[#This Row],[Jour]]="1- Lundi",$B$1+1, IF(Horodateur1123353819223134374346495255586164698522263438465058546266707478829098941021061141181101221261301341381421461501541581621661701741781821861901941982022062102144[[#This Row],[Jour]]="2- Mardi",$B$1+2, IF(Horodateur1123353819223134374346495255586164698522263438465058546266707478829098941021061141181101221261301341381421461501541581621661701741781821861901941982022062102144[[#This Row],[Jour]]="3- Mercredi",$B$1+3, IF(Horodateur1123353819223134374346495255586164698522263438465058546266707478829098941021061141181101221261301341381421461501541581621661701741781821861901941982022062102144[[#This Row],[Jour]]="4- Jeudi",$B$1+4, IF(Horodateur1123353819223134374346495255586164698522263438465058546266707478829098941021061141181101221261301341381421461501541581621661701741781821861901941982022062102144[[#This Row],[Jour]]="5- Vendredi",$B$1+5, IF(Horodateur1123353819223134374346495255586164698522263438465058546266707478829098941021061141181101221261301341381421461501541581621661701741781821861901941982022062102144[[#This Row],[Jour]]="6- Samedi",$B$1+6, IF(Horodateur1123353819223134374346495255586164698522263438465058546266707478829098941021061141181101221261301341381421461501541581621661701741781821861901941982022062102144[[#This Row],[Jour]]="7- Dimanche",$B$1, )))))))</f>
        <v>44209</v>
      </c>
      <c r="B17" s="257" t="s">
        <v>319</v>
      </c>
      <c r="C17" s="258" t="n">
        <v>0.395833333333333</v>
      </c>
      <c r="D17" s="258" t="n">
        <v>0.4375</v>
      </c>
      <c r="E17" s="71" t="s">
        <v>37</v>
      </c>
      <c r="F17" s="71" t="s">
        <v>378</v>
      </c>
      <c r="G17" s="259" t="s">
        <v>679</v>
      </c>
      <c r="H17" s="258" t="n">
        <f aca="false">IF($C17=0,"",$D17-$C17)</f>
        <v>0.0416666666666667</v>
      </c>
      <c r="I17" s="260" t="n">
        <f aca="false">IF($C17=0,"",($H17-INT($H17))*24)</f>
        <v>1</v>
      </c>
      <c r="J17" s="303" t="n">
        <f aca="false">SUMIF(Horodateur1123353819223134374346495255586164698522263438465058546266707478829098941021061141181101221261301341381421461501541581621661701741781821861901941982022062102144[Jour],$B17,Horodateur1123353819223134374346495255586164698522263438465058546266707478829098941021061141181101221261301341381421461501541581621661701741781821861901941982022062102144[Durée (100)])</f>
        <v>4.5</v>
      </c>
      <c r="K17" s="335"/>
      <c r="L17" s="188" t="s">
        <v>31</v>
      </c>
      <c r="M17" s="272" t="n">
        <f aca="false">IF(Horodateur1123353819223134374346495255586164698522263438465058546266707478829098941021061141181101221261301341381421461501541581621661701741781821861901941982022062102144[[#This Row],[O]]="o",Horodateur1123353819223134374346495255586164698522263438465058546266707478829098941021061141181101221261301341381421461501541581621661701741781821861901941982022062102144[[#This Row],[Durée (100)]],".")</f>
        <v>1</v>
      </c>
      <c r="N17" s="187"/>
      <c r="O17" s="71"/>
      <c r="P17" s="71"/>
      <c r="Q17" s="71"/>
      <c r="R17" s="71"/>
      <c r="S17" s="71"/>
      <c r="T17" s="71"/>
      <c r="U17" s="71"/>
      <c r="V17" s="71"/>
      <c r="W17" s="71"/>
      <c r="X17" s="71"/>
      <c r="Y17" s="71"/>
      <c r="Z17" s="71"/>
      <c r="AA17" s="71"/>
      <c r="AB17" s="71"/>
      <c r="AC17" s="71"/>
      <c r="AD17" s="71"/>
      <c r="AE17" s="71"/>
      <c r="AF17" s="71"/>
      <c r="AG17" s="71"/>
    </row>
    <row r="18" customFormat="false" ht="15" hidden="false" customHeight="false" outlineLevel="0" collapsed="false">
      <c r="A18" s="256" t="n">
        <f aca="false">IF(Horodateur1123353819223134374346495255586164698522263438465058546266707478829098941021061141181101221261301341381421461501541581621661701741781821861901941982022062102144[[#This Row],[Jour]]="1- Lundi",$B$1+1, IF(Horodateur1123353819223134374346495255586164698522263438465058546266707478829098941021061141181101221261301341381421461501541581621661701741781821861901941982022062102144[[#This Row],[Jour]]="2- Mardi",$B$1+2, IF(Horodateur1123353819223134374346495255586164698522263438465058546266707478829098941021061141181101221261301341381421461501541581621661701741781821861901941982022062102144[[#This Row],[Jour]]="3- Mercredi",$B$1+3, IF(Horodateur1123353819223134374346495255586164698522263438465058546266707478829098941021061141181101221261301341381421461501541581621661701741781821861901941982022062102144[[#This Row],[Jour]]="4- Jeudi",$B$1+4, IF(Horodateur1123353819223134374346495255586164698522263438465058546266707478829098941021061141181101221261301341381421461501541581621661701741781821861901941982022062102144[[#This Row],[Jour]]="5- Vendredi",$B$1+5, IF(Horodateur1123353819223134374346495255586164698522263438465058546266707478829098941021061141181101221261301341381421461501541581621661701741781821861901941982022062102144[[#This Row],[Jour]]="6- Samedi",$B$1+6, IF(Horodateur1123353819223134374346495255586164698522263438465058546266707478829098941021061141181101221261301341381421461501541581621661701741781821861901941982022062102144[[#This Row],[Jour]]="7- Dimanche",$B$1, )))))))</f>
        <v>44209</v>
      </c>
      <c r="B18" s="257" t="s">
        <v>319</v>
      </c>
      <c r="C18" s="258" t="n">
        <v>0.458333333333333</v>
      </c>
      <c r="D18" s="258" t="n">
        <v>0.510416666666667</v>
      </c>
      <c r="E18" s="71" t="s">
        <v>37</v>
      </c>
      <c r="F18" s="71" t="s">
        <v>378</v>
      </c>
      <c r="G18" s="259" t="s">
        <v>679</v>
      </c>
      <c r="H18" s="258" t="n">
        <f aca="false">IF($C18=0,"",$D18-$C18)</f>
        <v>0.0520833333333333</v>
      </c>
      <c r="I18" s="260" t="n">
        <f aca="false">IF($C18=0,"",($H18-INT($H18))*24)</f>
        <v>1.25</v>
      </c>
      <c r="J18" s="303" t="n">
        <f aca="false">SUMIF(Horodateur1123353819223134374346495255586164698522263438465058546266707478829098941021061141181101221261301341381421461501541581621661701741781821861901941982022062102144[Jour],$B18,Horodateur1123353819223134374346495255586164698522263438465058546266707478829098941021061141181101221261301341381421461501541581621661701741781821861901941982022062102144[Durée (100)])</f>
        <v>4.5</v>
      </c>
      <c r="K18" s="335"/>
      <c r="L18" s="188" t="s">
        <v>31</v>
      </c>
      <c r="M18" s="272" t="n">
        <f aca="false">IF(Horodateur1123353819223134374346495255586164698522263438465058546266707478829098941021061141181101221261301341381421461501541581621661701741781821861901941982022062102144[[#This Row],[O]]="o",Horodateur1123353819223134374346495255586164698522263438465058546266707478829098941021061141181101221261301341381421461501541581621661701741781821861901941982022062102144[[#This Row],[Durée (100)]],".")</f>
        <v>1.25</v>
      </c>
      <c r="N18" s="187"/>
      <c r="O18" s="71"/>
      <c r="P18" s="71"/>
      <c r="Q18" s="71"/>
      <c r="R18" s="71"/>
      <c r="S18" s="71"/>
      <c r="T18" s="71"/>
      <c r="U18" s="71"/>
      <c r="V18" s="71"/>
      <c r="W18" s="71"/>
      <c r="X18" s="71"/>
      <c r="Y18" s="71"/>
      <c r="Z18" s="71"/>
      <c r="AA18" s="71"/>
      <c r="AB18" s="71"/>
      <c r="AC18" s="71"/>
      <c r="AD18" s="71"/>
      <c r="AE18" s="71"/>
      <c r="AF18" s="71"/>
      <c r="AG18" s="71"/>
    </row>
    <row r="19" customFormat="false" ht="15" hidden="false" customHeight="false" outlineLevel="0" collapsed="false">
      <c r="A19" s="256" t="n">
        <f aca="false">IF(Horodateur1123353819223134374346495255586164698522263438465058546266707478829098941021061141181101221261301341381421461501541581621661701741781821861901941982022062102144[[#This Row],[Jour]]="1- Lundi",$B$1+1, IF(Horodateur1123353819223134374346495255586164698522263438465058546266707478829098941021061141181101221261301341381421461501541581621661701741781821861901941982022062102144[[#This Row],[Jour]]="2- Mardi",$B$1+2, IF(Horodateur1123353819223134374346495255586164698522263438465058546266707478829098941021061141181101221261301341381421461501541581621661701741781821861901941982022062102144[[#This Row],[Jour]]="3- Mercredi",$B$1+3, IF(Horodateur1123353819223134374346495255586164698522263438465058546266707478829098941021061141181101221261301341381421461501541581621661701741781821861901941982022062102144[[#This Row],[Jour]]="4- Jeudi",$B$1+4, IF(Horodateur1123353819223134374346495255586164698522263438465058546266707478829098941021061141181101221261301341381421461501541581621661701741781821861901941982022062102144[[#This Row],[Jour]]="5- Vendredi",$B$1+5, IF(Horodateur1123353819223134374346495255586164698522263438465058546266707478829098941021061141181101221261301341381421461501541581621661701741781821861901941982022062102144[[#This Row],[Jour]]="6- Samedi",$B$1+6, IF(Horodateur1123353819223134374346495255586164698522263438465058546266707478829098941021061141181101221261301341381421461501541581621661701741781821861901941982022062102144[[#This Row],[Jour]]="7- Dimanche",$B$1, )))))))</f>
        <v>44209</v>
      </c>
      <c r="B19" s="257" t="s">
        <v>319</v>
      </c>
      <c r="C19" s="258" t="n">
        <v>0.5625</v>
      </c>
      <c r="D19" s="258" t="n">
        <v>0.583333333333333</v>
      </c>
      <c r="E19" s="71" t="s">
        <v>37</v>
      </c>
      <c r="F19" s="71" t="s">
        <v>378</v>
      </c>
      <c r="G19" s="259" t="s">
        <v>680</v>
      </c>
      <c r="H19" s="258" t="n">
        <f aca="false">IF($C19=0,"",$D19-$C19)</f>
        <v>0.0208333333333334</v>
      </c>
      <c r="I19" s="260" t="n">
        <f aca="false">IF($C19=0,"",($H19-INT($H19))*24)</f>
        <v>0.500000000000001</v>
      </c>
      <c r="J19" s="303" t="n">
        <f aca="false">SUMIF(Horodateur1123353819223134374346495255586164698522263438465058546266707478829098941021061141181101221261301341381421461501541581621661701741781821861901941982022062102144[Jour],$B19,Horodateur1123353819223134374346495255586164698522263438465058546266707478829098941021061141181101221261301341381421461501541581621661701741781821861901941982022062102144[Durée (100)])</f>
        <v>4.5</v>
      </c>
      <c r="K19" s="335"/>
      <c r="L19" s="188" t="s">
        <v>31</v>
      </c>
      <c r="M19" s="272" t="n">
        <f aca="false">IF(Horodateur1123353819223134374346495255586164698522263438465058546266707478829098941021061141181101221261301341381421461501541581621661701741781821861901941982022062102144[[#This Row],[O]]="o",Horodateur1123353819223134374346495255586164698522263438465058546266707478829098941021061141181101221261301341381421461501541581621661701741781821861901941982022062102144[[#This Row],[Durée (100)]],".")</f>
        <v>0.500000000000001</v>
      </c>
      <c r="N19" s="187"/>
      <c r="O19" s="71"/>
      <c r="P19" s="71"/>
      <c r="Q19" s="71"/>
      <c r="R19" s="71"/>
      <c r="S19" s="71"/>
      <c r="T19" s="71"/>
      <c r="U19" s="71"/>
      <c r="V19" s="71"/>
      <c r="W19" s="71"/>
      <c r="X19" s="71"/>
      <c r="Y19" s="71"/>
      <c r="Z19" s="71"/>
      <c r="AA19" s="71"/>
      <c r="AB19" s="71"/>
      <c r="AC19" s="71"/>
      <c r="AD19" s="71"/>
      <c r="AE19" s="71"/>
      <c r="AF19" s="71"/>
      <c r="AG19" s="71"/>
    </row>
    <row r="20" customFormat="false" ht="15" hidden="false" customHeight="false" outlineLevel="0" collapsed="false">
      <c r="A20" s="256" t="n">
        <f aca="false">IF(Horodateur1123353819223134374346495255586164698522263438465058546266707478829098941021061141181101221261301341381421461501541581621661701741781821861901941982022062102144[[#This Row],[Jour]]="1- Lundi",$B$1+1, IF(Horodateur1123353819223134374346495255586164698522263438465058546266707478829098941021061141181101221261301341381421461501541581621661701741781821861901941982022062102144[[#This Row],[Jour]]="2- Mardi",$B$1+2, IF(Horodateur1123353819223134374346495255586164698522263438465058546266707478829098941021061141181101221261301341381421461501541581621661701741781821861901941982022062102144[[#This Row],[Jour]]="3- Mercredi",$B$1+3, IF(Horodateur1123353819223134374346495255586164698522263438465058546266707478829098941021061141181101221261301341381421461501541581621661701741781821861901941982022062102144[[#This Row],[Jour]]="4- Jeudi",$B$1+4, IF(Horodateur1123353819223134374346495255586164698522263438465058546266707478829098941021061141181101221261301341381421461501541581621661701741781821861901941982022062102144[[#This Row],[Jour]]="5- Vendredi",$B$1+5, IF(Horodateur1123353819223134374346495255586164698522263438465058546266707478829098941021061141181101221261301341381421461501541581621661701741781821861901941982022062102144[[#This Row],[Jour]]="6- Samedi",$B$1+6, IF(Horodateur1123353819223134374346495255586164698522263438465058546266707478829098941021061141181101221261301341381421461501541581621661701741781821861901941982022062102144[[#This Row],[Jour]]="7- Dimanche",$B$1, )))))))</f>
        <v>44209</v>
      </c>
      <c r="B20" s="257" t="s">
        <v>319</v>
      </c>
      <c r="C20" s="258" t="n">
        <v>0.666666666666667</v>
      </c>
      <c r="D20" s="258" t="n">
        <v>0.6875</v>
      </c>
      <c r="E20" s="71" t="s">
        <v>70</v>
      </c>
      <c r="F20" s="71" t="s">
        <v>378</v>
      </c>
      <c r="G20" s="259" t="s">
        <v>681</v>
      </c>
      <c r="H20" s="258" t="n">
        <f aca="false">IF($C20=0,"",$D20-$C20)</f>
        <v>0.0208333333333333</v>
      </c>
      <c r="I20" s="260" t="n">
        <f aca="false">IF($C20=0,"",($H20-INT($H20))*24)</f>
        <v>0.5</v>
      </c>
      <c r="J20" s="303" t="n">
        <f aca="false">SUMIF(Horodateur1123353819223134374346495255586164698522263438465058546266707478829098941021061141181101221261301341381421461501541581621661701741781821861901941982022062102144[Jour],$B20,Horodateur1123353819223134374346495255586164698522263438465058546266707478829098941021061141181101221261301341381421461501541581621661701741781821861901941982022062102144[Durée (100)])</f>
        <v>4.5</v>
      </c>
      <c r="K20" s="335"/>
      <c r="L20" s="188" t="s">
        <v>31</v>
      </c>
      <c r="M20" s="272" t="n">
        <f aca="false">IF(Horodateur1123353819223134374346495255586164698522263438465058546266707478829098941021061141181101221261301341381421461501541581621661701741781821861901941982022062102144[[#This Row],[O]]="o",Horodateur1123353819223134374346495255586164698522263438465058546266707478829098941021061141181101221261301341381421461501541581621661701741781821861901941982022062102144[[#This Row],[Durée (100)]],".")</f>
        <v>0.500000000000001</v>
      </c>
      <c r="N20" s="187"/>
      <c r="O20" s="71"/>
      <c r="P20" s="71"/>
      <c r="Q20" s="71"/>
      <c r="R20" s="71"/>
      <c r="S20" s="71"/>
      <c r="T20" s="71"/>
      <c r="U20" s="71"/>
      <c r="V20" s="71"/>
      <c r="W20" s="71"/>
      <c r="X20" s="71"/>
      <c r="Y20" s="71"/>
      <c r="Z20" s="71"/>
      <c r="AA20" s="71"/>
      <c r="AB20" s="71"/>
      <c r="AC20" s="71"/>
      <c r="AD20" s="71"/>
      <c r="AE20" s="71"/>
      <c r="AF20" s="71"/>
      <c r="AG20" s="71"/>
    </row>
    <row r="21" customFormat="false" ht="15" hidden="false" customHeight="false" outlineLevel="0" collapsed="false">
      <c r="A21" s="256" t="n">
        <f aca="false">IF(Horodateur1123353819223134374346495255586164698522263438465058546266707478829098941021061141181101221261301341381421461501541581621661701741781821861901941982022062102144[[#This Row],[Jour]]="1- Lundi",$B$1+1, IF(Horodateur1123353819223134374346495255586164698522263438465058546266707478829098941021061141181101221261301341381421461501541581621661701741781821861901941982022062102144[[#This Row],[Jour]]="2- Mardi",$B$1+2, IF(Horodateur1123353819223134374346495255586164698522263438465058546266707478829098941021061141181101221261301341381421461501541581621661701741781821861901941982022062102144[[#This Row],[Jour]]="3- Mercredi",$B$1+3, IF(Horodateur1123353819223134374346495255586164698522263438465058546266707478829098941021061141181101221261301341381421461501541581621661701741781821861901941982022062102144[[#This Row],[Jour]]="4- Jeudi",$B$1+4, IF(Horodateur1123353819223134374346495255586164698522263438465058546266707478829098941021061141181101221261301341381421461501541581621661701741781821861901941982022062102144[[#This Row],[Jour]]="5- Vendredi",$B$1+5, IF(Horodateur1123353819223134374346495255586164698522263438465058546266707478829098941021061141181101221261301341381421461501541581621661701741781821861901941982022062102144[[#This Row],[Jour]]="6- Samedi",$B$1+6, IF(Horodateur1123353819223134374346495255586164698522263438465058546266707478829098941021061141181101221261301341381421461501541581621661701741781821861901941982022062102144[[#This Row],[Jour]]="7- Dimanche",$B$1, )))))))</f>
        <v>44210</v>
      </c>
      <c r="B21" s="257" t="s">
        <v>324</v>
      </c>
      <c r="C21" s="258" t="n">
        <v>0.333333333333333</v>
      </c>
      <c r="D21" s="258" t="n">
        <v>0.375</v>
      </c>
      <c r="E21" s="71" t="s">
        <v>32</v>
      </c>
      <c r="F21" s="71" t="s">
        <v>22</v>
      </c>
      <c r="G21" s="259" t="s">
        <v>118</v>
      </c>
      <c r="H21" s="258" t="n">
        <f aca="false">IF($C21=0,"",$D21-$C21)</f>
        <v>0.0416666666666667</v>
      </c>
      <c r="I21" s="260" t="n">
        <f aca="false">IF($C21=0,"",($H21-INT($H21))*24)</f>
        <v>1</v>
      </c>
      <c r="J21" s="303" t="n">
        <f aca="false">SUMIF(Horodateur1123353819223134374346495255586164698522263438465058546266707478829098941021061141181101221261301341381421461501541581621661701741781821861901941982022062102144[Jour],$B21,Horodateur1123353819223134374346495255586164698522263438465058546266707478829098941021061141181101221261301341381421461501541581621661701741781821861901941982022062102144[Durée (100)])</f>
        <v>8</v>
      </c>
      <c r="K21" s="335"/>
      <c r="L21" s="188" t="s">
        <v>31</v>
      </c>
      <c r="M21" s="272" t="n">
        <f aca="false">IF(Horodateur1123353819223134374346495255586164698522263438465058546266707478829098941021061141181101221261301341381421461501541581621661701741781821861901941982022062102144[[#This Row],[O]]="o",Horodateur1123353819223134374346495255586164698522263438465058546266707478829098941021061141181101221261301341381421461501541581621661701741781821861901941982022062102144[[#This Row],[Durée (100)]],".")</f>
        <v>1</v>
      </c>
      <c r="N21" s="187"/>
      <c r="O21" s="71"/>
      <c r="P21" s="71"/>
      <c r="Q21" s="71"/>
      <c r="R21" s="71"/>
      <c r="S21" s="71"/>
      <c r="T21" s="71"/>
      <c r="U21" s="71"/>
      <c r="V21" s="71"/>
      <c r="W21" s="71"/>
      <c r="X21" s="71"/>
      <c r="Y21" s="71"/>
      <c r="Z21" s="71"/>
      <c r="AA21" s="71"/>
      <c r="AB21" s="71"/>
      <c r="AC21" s="71"/>
      <c r="AD21" s="71"/>
      <c r="AE21" s="71"/>
      <c r="AF21" s="71"/>
      <c r="AG21" s="71"/>
    </row>
    <row r="22" customFormat="false" ht="15" hidden="false" customHeight="false" outlineLevel="0" collapsed="false">
      <c r="A22" s="256" t="n">
        <f aca="false">IF(Horodateur1123353819223134374346495255586164698522263438465058546266707478829098941021061141181101221261301341381421461501541581621661701741781821861901941982022062102144[[#This Row],[Jour]]="1- Lundi",$B$1+1, IF(Horodateur1123353819223134374346495255586164698522263438465058546266707478829098941021061141181101221261301341381421461501541581621661701741781821861901941982022062102144[[#This Row],[Jour]]="2- Mardi",$B$1+2, IF(Horodateur1123353819223134374346495255586164698522263438465058546266707478829098941021061141181101221261301341381421461501541581621661701741781821861901941982022062102144[[#This Row],[Jour]]="3- Mercredi",$B$1+3, IF(Horodateur1123353819223134374346495255586164698522263438465058546266707478829098941021061141181101221261301341381421461501541581621661701741781821861901941982022062102144[[#This Row],[Jour]]="4- Jeudi",$B$1+4, IF(Horodateur1123353819223134374346495255586164698522263438465058546266707478829098941021061141181101221261301341381421461501541581621661701741781821861901941982022062102144[[#This Row],[Jour]]="5- Vendredi",$B$1+5, IF(Horodateur1123353819223134374346495255586164698522263438465058546266707478829098941021061141181101221261301341381421461501541581621661701741781821861901941982022062102144[[#This Row],[Jour]]="6- Samedi",$B$1+6, IF(Horodateur1123353819223134374346495255586164698522263438465058546266707478829098941021061141181101221261301341381421461501541581621661701741781821861901941982022062102144[[#This Row],[Jour]]="7- Dimanche",$B$1, )))))))</f>
        <v>44210</v>
      </c>
      <c r="B22" s="257" t="s">
        <v>324</v>
      </c>
      <c r="C22" s="258" t="n">
        <v>0.375</v>
      </c>
      <c r="D22" s="258" t="n">
        <v>0.385416666666667</v>
      </c>
      <c r="E22" s="71" t="s">
        <v>61</v>
      </c>
      <c r="F22" s="71" t="s">
        <v>399</v>
      </c>
      <c r="G22" s="259" t="s">
        <v>682</v>
      </c>
      <c r="H22" s="258" t="n">
        <f aca="false">IF($C22=0,"",$D22-$C22)</f>
        <v>0.0104166666666667</v>
      </c>
      <c r="I22" s="260" t="n">
        <f aca="false">IF($C22=0,"",($H22-INT($H22))*24)</f>
        <v>0.25</v>
      </c>
      <c r="J22" s="303" t="n">
        <f aca="false">SUMIF(Horodateur1123353819223134374346495255586164698522263438465058546266707478829098941021061141181101221261301341381421461501541581621661701741781821861901941982022062102144[Jour],$B22,Horodateur1123353819223134374346495255586164698522263438465058546266707478829098941021061141181101221261301341381421461501541581621661701741781821861901941982022062102144[Durée (100)])</f>
        <v>8</v>
      </c>
      <c r="K22" s="335"/>
      <c r="L22" s="188" t="s">
        <v>31</v>
      </c>
      <c r="M22" s="272" t="n">
        <f aca="false">IF(Horodateur1123353819223134374346495255586164698522263438465058546266707478829098941021061141181101221261301341381421461501541581621661701741781821861901941982022062102144[[#This Row],[O]]="o",Horodateur1123353819223134374346495255586164698522263438465058546266707478829098941021061141181101221261301341381421461501541581621661701741781821861901941982022062102144[[#This Row],[Durée (100)]],".")</f>
        <v>0.25</v>
      </c>
      <c r="N22" s="187"/>
      <c r="O22" s="71"/>
      <c r="P22" s="71"/>
      <c r="Q22" s="71"/>
      <c r="R22" s="71"/>
      <c r="S22" s="71"/>
      <c r="T22" s="71"/>
      <c r="U22" s="71"/>
      <c r="V22" s="71"/>
      <c r="W22" s="71"/>
      <c r="X22" s="71"/>
      <c r="Y22" s="71"/>
      <c r="Z22" s="71"/>
      <c r="AA22" s="71"/>
      <c r="AB22" s="71"/>
      <c r="AC22" s="71"/>
      <c r="AD22" s="71"/>
      <c r="AE22" s="71"/>
      <c r="AF22" s="71"/>
      <c r="AG22" s="71"/>
    </row>
    <row r="23" customFormat="false" ht="15" hidden="false" customHeight="false" outlineLevel="0" collapsed="false">
      <c r="A23" s="256" t="n">
        <f aca="false">IF(Horodateur1123353819223134374346495255586164698522263438465058546266707478829098941021061141181101221261301341381421461501541581621661701741781821861901941982022062102144[[#This Row],[Jour]]="1- Lundi",$B$1+1, IF(Horodateur1123353819223134374346495255586164698522263438465058546266707478829098941021061141181101221261301341381421461501541581621661701741781821861901941982022062102144[[#This Row],[Jour]]="2- Mardi",$B$1+2, IF(Horodateur1123353819223134374346495255586164698522263438465058546266707478829098941021061141181101221261301341381421461501541581621661701741781821861901941982022062102144[[#This Row],[Jour]]="3- Mercredi",$B$1+3, IF(Horodateur1123353819223134374346495255586164698522263438465058546266707478829098941021061141181101221261301341381421461501541581621661701741781821861901941982022062102144[[#This Row],[Jour]]="4- Jeudi",$B$1+4, IF(Horodateur1123353819223134374346495255586164698522263438465058546266707478829098941021061141181101221261301341381421461501541581621661701741781821861901941982022062102144[[#This Row],[Jour]]="5- Vendredi",$B$1+5, IF(Horodateur1123353819223134374346495255586164698522263438465058546266707478829098941021061141181101221261301341381421461501541581621661701741781821861901941982022062102144[[#This Row],[Jour]]="6- Samedi",$B$1+6, IF(Horodateur1123353819223134374346495255586164698522263438465058546266707478829098941021061141181101221261301341381421461501541581621661701741781821861901941982022062102144[[#This Row],[Jour]]="7- Dimanche",$B$1, )))))))</f>
        <v>44210</v>
      </c>
      <c r="B23" s="257" t="s">
        <v>324</v>
      </c>
      <c r="C23" s="258" t="n">
        <v>0.395833333333333</v>
      </c>
      <c r="D23" s="258" t="n">
        <v>0.5</v>
      </c>
      <c r="E23" s="71" t="s">
        <v>81</v>
      </c>
      <c r="F23" s="71" t="s">
        <v>378</v>
      </c>
      <c r="G23" s="259" t="s">
        <v>683</v>
      </c>
      <c r="H23" s="258" t="n">
        <f aca="false">IF($C23=0,"",$D23-$C23)</f>
        <v>0.104166666666667</v>
      </c>
      <c r="I23" s="260" t="n">
        <f aca="false">IF($C23=0,"",($H23-INT($H23))*24)</f>
        <v>2.5</v>
      </c>
      <c r="J23" s="303" t="n">
        <f aca="false">SUMIF(Horodateur1123353819223134374346495255586164698522263438465058546266707478829098941021061141181101221261301341381421461501541581621661701741781821861901941982022062102144[Jour],$B23,Horodateur1123353819223134374346495255586164698522263438465058546266707478829098941021061141181101221261301341381421461501541581621661701741781821861901941982022062102144[Durée (100)])</f>
        <v>8</v>
      </c>
      <c r="K23" s="335"/>
      <c r="L23" s="188" t="s">
        <v>31</v>
      </c>
      <c r="M23" s="272" t="n">
        <f aca="false">IF(Horodateur1123353819223134374346495255586164698522263438465058546266707478829098941021061141181101221261301341381421461501541581621661701741781821861901941982022062102144[[#This Row],[O]]="o",Horodateur1123353819223134374346495255586164698522263438465058546266707478829098941021061141181101221261301341381421461501541581621661701741781821861901941982022062102144[[#This Row],[Durée (100)]],".")</f>
        <v>2.5</v>
      </c>
      <c r="N23" s="187"/>
      <c r="O23" s="71"/>
      <c r="P23" s="71"/>
      <c r="Q23" s="71"/>
      <c r="R23" s="71"/>
      <c r="S23" s="71"/>
      <c r="T23" s="71"/>
      <c r="U23" s="71"/>
      <c r="V23" s="71"/>
      <c r="W23" s="71"/>
      <c r="X23" s="71"/>
      <c r="Y23" s="71"/>
      <c r="Z23" s="71"/>
      <c r="AA23" s="71"/>
      <c r="AB23" s="71"/>
      <c r="AC23" s="71"/>
      <c r="AD23" s="71"/>
      <c r="AE23" s="71"/>
      <c r="AF23" s="71"/>
      <c r="AG23" s="71"/>
    </row>
    <row r="24" customFormat="false" ht="15" hidden="false" customHeight="false" outlineLevel="0" collapsed="false">
      <c r="A24" s="256" t="n">
        <f aca="false">IF(Horodateur1123353819223134374346495255586164698522263438465058546266707478829098941021061141181101221261301341381421461501541581621661701741781821861901941982022062102144[[#This Row],[Jour]]="1- Lundi",$B$1+1, IF(Horodateur1123353819223134374346495255586164698522263438465058546266707478829098941021061141181101221261301341381421461501541581621661701741781821861901941982022062102144[[#This Row],[Jour]]="2- Mardi",$B$1+2, IF(Horodateur1123353819223134374346495255586164698522263438465058546266707478829098941021061141181101221261301341381421461501541581621661701741781821861901941982022062102144[[#This Row],[Jour]]="3- Mercredi",$B$1+3, IF(Horodateur1123353819223134374346495255586164698522263438465058546266707478829098941021061141181101221261301341381421461501541581621661701741781821861901941982022062102144[[#This Row],[Jour]]="4- Jeudi",$B$1+4, IF(Horodateur1123353819223134374346495255586164698522263438465058546266707478829098941021061141181101221261301341381421461501541581621661701741781821861901941982022062102144[[#This Row],[Jour]]="5- Vendredi",$B$1+5, IF(Horodateur1123353819223134374346495255586164698522263438465058546266707478829098941021061141181101221261301341381421461501541581621661701741781821861901941982022062102144[[#This Row],[Jour]]="6- Samedi",$B$1+6, IF(Horodateur1123353819223134374346495255586164698522263438465058546266707478829098941021061141181101221261301341381421461501541581621661701741781821861901941982022062102144[[#This Row],[Jour]]="7- Dimanche",$B$1, )))))))</f>
        <v>44210</v>
      </c>
      <c r="B24" s="257" t="s">
        <v>324</v>
      </c>
      <c r="C24" s="258" t="n">
        <v>0.5625</v>
      </c>
      <c r="D24" s="258" t="n">
        <v>0.729166666666667</v>
      </c>
      <c r="E24" s="71" t="s">
        <v>32</v>
      </c>
      <c r="F24" s="71" t="s">
        <v>22</v>
      </c>
      <c r="G24" s="259" t="s">
        <v>684</v>
      </c>
      <c r="H24" s="258" t="n">
        <f aca="false">IF($C24=0,"",$D24-$C24)</f>
        <v>0.166666666666667</v>
      </c>
      <c r="I24" s="260" t="n">
        <f aca="false">IF($C24=0,"",($H24-INT($H24))*24)</f>
        <v>4</v>
      </c>
      <c r="J24" s="303" t="n">
        <f aca="false">SUMIF(Horodateur1123353819223134374346495255586164698522263438465058546266707478829098941021061141181101221261301341381421461501541581621661701741781821861901941982022062102144[Jour],$B24,Horodateur1123353819223134374346495255586164698522263438465058546266707478829098941021061141181101221261301341381421461501541581621661701741781821861901941982022062102144[Durée (100)])</f>
        <v>8</v>
      </c>
      <c r="K24" s="335"/>
      <c r="L24" s="188" t="s">
        <v>31</v>
      </c>
      <c r="M24" s="272" t="n">
        <f aca="false">IF(Horodateur1123353819223134374346495255586164698522263438465058546266707478829098941021061141181101221261301341381421461501541581621661701741781821861901941982022062102144[[#This Row],[O]]="o",Horodateur1123353819223134374346495255586164698522263438465058546266707478829098941021061141181101221261301341381421461501541581621661701741781821861901941982022062102144[[#This Row],[Durée (100)]],".")</f>
        <v>4</v>
      </c>
      <c r="N24" s="187"/>
      <c r="O24" s="71"/>
      <c r="P24" s="71"/>
      <c r="Q24" s="71"/>
      <c r="R24" s="71"/>
      <c r="S24" s="71"/>
      <c r="T24" s="71"/>
      <c r="U24" s="71"/>
      <c r="V24" s="71"/>
      <c r="W24" s="71"/>
      <c r="X24" s="71"/>
      <c r="Y24" s="71"/>
      <c r="Z24" s="71"/>
      <c r="AA24" s="71"/>
      <c r="AB24" s="71"/>
      <c r="AC24" s="71"/>
      <c r="AD24" s="71"/>
      <c r="AE24" s="71"/>
      <c r="AF24" s="71"/>
      <c r="AG24" s="71"/>
    </row>
    <row r="25" customFormat="false" ht="15" hidden="false" customHeight="false" outlineLevel="0" collapsed="false">
      <c r="A25" s="256" t="n">
        <f aca="false">IF(Horodateur1123353819223134374346495255586164698522263438465058546266707478829098941021061141181101221261301341381421461501541581621661701741781821861901941982022062102144[[#This Row],[Jour]]="1- Lundi",$B$1+1, IF(Horodateur1123353819223134374346495255586164698522263438465058546266707478829098941021061141181101221261301341381421461501541581621661701741781821861901941982022062102144[[#This Row],[Jour]]="2- Mardi",$B$1+2, IF(Horodateur1123353819223134374346495255586164698522263438465058546266707478829098941021061141181101221261301341381421461501541581621661701741781821861901941982022062102144[[#This Row],[Jour]]="3- Mercredi",$B$1+3, IF(Horodateur1123353819223134374346495255586164698522263438465058546266707478829098941021061141181101221261301341381421461501541581621661701741781821861901941982022062102144[[#This Row],[Jour]]="4- Jeudi",$B$1+4, IF(Horodateur1123353819223134374346495255586164698522263438465058546266707478829098941021061141181101221261301341381421461501541581621661701741781821861901941982022062102144[[#This Row],[Jour]]="5- Vendredi",$B$1+5, IF(Horodateur1123353819223134374346495255586164698522263438465058546266707478829098941021061141181101221261301341381421461501541581621661701741781821861901941982022062102144[[#This Row],[Jour]]="6- Samedi",$B$1+6, IF(Horodateur1123353819223134374346495255586164698522263438465058546266707478829098941021061141181101221261301341381421461501541581621661701741781821861901941982022062102144[[#This Row],[Jour]]="7- Dimanche",$B$1, )))))))</f>
        <v>44210</v>
      </c>
      <c r="B25" s="257" t="s">
        <v>324</v>
      </c>
      <c r="C25" s="258" t="n">
        <v>0.729166666666667</v>
      </c>
      <c r="D25" s="258" t="n">
        <v>0.739583333333333</v>
      </c>
      <c r="E25" s="71" t="s">
        <v>32</v>
      </c>
      <c r="F25" s="71" t="s">
        <v>21</v>
      </c>
      <c r="G25" s="259"/>
      <c r="H25" s="258" t="n">
        <f aca="false">IF($C25=0,"",$D25-$C25)</f>
        <v>0.0104166666666667</v>
      </c>
      <c r="I25" s="260" t="n">
        <f aca="false">IF($C25=0,"",($H25-INT($H25))*24)</f>
        <v>0.250000000000002</v>
      </c>
      <c r="J25" s="303" t="n">
        <f aca="false">SUMIF(Horodateur1123353819223134374346495255586164698522263438465058546266707478829098941021061141181101221261301341381421461501541581621661701741781821861901941982022062102144[Jour],$B25,Horodateur1123353819223134374346495255586164698522263438465058546266707478829098941021061141181101221261301341381421461501541581621661701741781821861901941982022062102144[Durée (100)])</f>
        <v>8</v>
      </c>
      <c r="K25" s="335"/>
      <c r="L25" s="188" t="s">
        <v>31</v>
      </c>
      <c r="M25" s="272" t="n">
        <f aca="false">IF(Horodateur1123353819223134374346495255586164698522263438465058546266707478829098941021061141181101221261301341381421461501541581621661701741781821861901941982022062102144[[#This Row],[O]]="o",Horodateur1123353819223134374346495255586164698522263438465058546266707478829098941021061141181101221261301341381421461501541581621661701741781821861901941982022062102144[[#This Row],[Durée (100)]],".")</f>
        <v>0.250000000000002</v>
      </c>
      <c r="N25" s="187"/>
      <c r="O25" s="71"/>
      <c r="P25" s="71"/>
      <c r="Q25" s="71"/>
      <c r="R25" s="71"/>
      <c r="S25" s="71"/>
      <c r="T25" s="71"/>
      <c r="U25" s="71"/>
      <c r="V25" s="71"/>
      <c r="W25" s="71"/>
      <c r="X25" s="71"/>
      <c r="Y25" s="71"/>
      <c r="Z25" s="71"/>
      <c r="AA25" s="71"/>
      <c r="AB25" s="71"/>
      <c r="AC25" s="71"/>
      <c r="AD25" s="71"/>
      <c r="AE25" s="71"/>
      <c r="AF25" s="71"/>
      <c r="AG25" s="71"/>
    </row>
    <row r="26" customFormat="false" ht="15" hidden="false" customHeight="false" outlineLevel="0" collapsed="false">
      <c r="A26" s="256" t="n">
        <f aca="false">IF(Horodateur1123353819223134374346495255586164698522263438465058546266707478829098941021061141181101221261301341381421461501541581621661701741781821861901941982022062102144[[#This Row],[Jour]]="1- Lundi",$B$1+1, IF(Horodateur1123353819223134374346495255586164698522263438465058546266707478829098941021061141181101221261301341381421461501541581621661701741781821861901941982022062102144[[#This Row],[Jour]]="2- Mardi",$B$1+2, IF(Horodateur1123353819223134374346495255586164698522263438465058546266707478829098941021061141181101221261301341381421461501541581621661701741781821861901941982022062102144[[#This Row],[Jour]]="3- Mercredi",$B$1+3, IF(Horodateur1123353819223134374346495255586164698522263438465058546266707478829098941021061141181101221261301341381421461501541581621661701741781821861901941982022062102144[[#This Row],[Jour]]="4- Jeudi",$B$1+4, IF(Horodateur1123353819223134374346495255586164698522263438465058546266707478829098941021061141181101221261301341381421461501541581621661701741781821861901941982022062102144[[#This Row],[Jour]]="5- Vendredi",$B$1+5, IF(Horodateur1123353819223134374346495255586164698522263438465058546266707478829098941021061141181101221261301341381421461501541581621661701741781821861901941982022062102144[[#This Row],[Jour]]="6- Samedi",$B$1+6, IF(Horodateur1123353819223134374346495255586164698522263438465058546266707478829098941021061141181101221261301341381421461501541581621661701741781821861901941982022062102144[[#This Row],[Jour]]="7- Dimanche",$B$1, )))))))</f>
        <v>44211</v>
      </c>
      <c r="B26" s="257" t="s">
        <v>332</v>
      </c>
      <c r="C26" s="258" t="n">
        <v>0.34375</v>
      </c>
      <c r="D26" s="258" t="n">
        <v>0.354166666666667</v>
      </c>
      <c r="E26" s="71" t="s">
        <v>32</v>
      </c>
      <c r="F26" s="71" t="s">
        <v>21</v>
      </c>
      <c r="G26" s="259"/>
      <c r="H26" s="258" t="n">
        <f aca="false">IF($C26=0,"",$D26-$C26)</f>
        <v>0.0104166666666667</v>
      </c>
      <c r="I26" s="260" t="n">
        <f aca="false">IF($C26=0,"",($H26-INT($H26))*24)</f>
        <v>0.25</v>
      </c>
      <c r="J26" s="303" t="n">
        <f aca="false">SUMIF(Horodateur1123353819223134374346495255586164698522263438465058546266707478829098941021061141181101221261301341381421461501541581621661701741781821861901941982022062102144[Jour],$B26,Horodateur1123353819223134374346495255586164698522263438465058546266707478829098941021061141181101221261301341381421461501541581621661701741781821861901941982022062102144[Durée (100)])</f>
        <v>8</v>
      </c>
      <c r="K26" s="335"/>
      <c r="L26" s="188" t="s">
        <v>31</v>
      </c>
      <c r="M26" s="272" t="n">
        <f aca="false">IF(Horodateur1123353819223134374346495255586164698522263438465058546266707478829098941021061141181101221261301341381421461501541581621661701741781821861901941982022062102144[[#This Row],[O]]="o",Horodateur1123353819223134374346495255586164698522263438465058546266707478829098941021061141181101221261301341381421461501541581621661701741781821861901941982022062102144[[#This Row],[Durée (100)]],".")</f>
        <v>0.25</v>
      </c>
      <c r="N26" s="187"/>
      <c r="O26" s="71"/>
      <c r="P26" s="71"/>
      <c r="Q26" s="71"/>
      <c r="R26" s="71"/>
      <c r="S26" s="71"/>
      <c r="T26" s="71"/>
      <c r="U26" s="71"/>
      <c r="V26" s="71"/>
      <c r="W26" s="71"/>
      <c r="X26" s="71"/>
      <c r="Y26" s="71"/>
      <c r="Z26" s="71"/>
      <c r="AA26" s="71"/>
      <c r="AB26" s="71"/>
      <c r="AC26" s="71"/>
      <c r="AD26" s="71"/>
      <c r="AE26" s="71"/>
      <c r="AF26" s="71"/>
      <c r="AG26" s="71"/>
    </row>
    <row r="27" customFormat="false" ht="15" hidden="false" customHeight="false" outlineLevel="0" collapsed="false">
      <c r="A27" s="256" t="n">
        <f aca="false">IF(Horodateur1123353819223134374346495255586164698522263438465058546266707478829098941021061141181101221261301341381421461501541581621661701741781821861901941982022062102144[[#This Row],[Jour]]="1- Lundi",$B$1+1, IF(Horodateur1123353819223134374346495255586164698522263438465058546266707478829098941021061141181101221261301341381421461501541581621661701741781821861901941982022062102144[[#This Row],[Jour]]="2- Mardi",$B$1+2, IF(Horodateur1123353819223134374346495255586164698522263438465058546266707478829098941021061141181101221261301341381421461501541581621661701741781821861901941982022062102144[[#This Row],[Jour]]="3- Mercredi",$B$1+3, IF(Horodateur1123353819223134374346495255586164698522263438465058546266707478829098941021061141181101221261301341381421461501541581621661701741781821861901941982022062102144[[#This Row],[Jour]]="4- Jeudi",$B$1+4, IF(Horodateur1123353819223134374346495255586164698522263438465058546266707478829098941021061141181101221261301341381421461501541581621661701741781821861901941982022062102144[[#This Row],[Jour]]="5- Vendredi",$B$1+5, IF(Horodateur1123353819223134374346495255586164698522263438465058546266707478829098941021061141181101221261301341381421461501541581621661701741781821861901941982022062102144[[#This Row],[Jour]]="6- Samedi",$B$1+6, IF(Horodateur1123353819223134374346495255586164698522263438465058546266707478829098941021061141181101221261301341381421461501541581621661701741781821861901941982022062102144[[#This Row],[Jour]]="7- Dimanche",$B$1, )))))))</f>
        <v>44211</v>
      </c>
      <c r="B27" s="257" t="s">
        <v>332</v>
      </c>
      <c r="C27" s="258" t="n">
        <v>0.354166666666667</v>
      </c>
      <c r="D27" s="258" t="n">
        <v>0.416666666666667</v>
      </c>
      <c r="E27" s="71" t="s">
        <v>32</v>
      </c>
      <c r="F27" s="71" t="s">
        <v>22</v>
      </c>
      <c r="G27" s="259"/>
      <c r="H27" s="258" t="n">
        <f aca="false">IF($C27=0,"",$D27-$C27)</f>
        <v>0.0625</v>
      </c>
      <c r="I27" s="260" t="n">
        <f aca="false">IF($C27=0,"",($H27-INT($H27))*24)</f>
        <v>1.5</v>
      </c>
      <c r="J27" s="303" t="n">
        <f aca="false">SUMIF(Horodateur1123353819223134374346495255586164698522263438465058546266707478829098941021061141181101221261301341381421461501541581621661701741781821861901941982022062102144[Jour],$B27,Horodateur1123353819223134374346495255586164698522263438465058546266707478829098941021061141181101221261301341381421461501541581621661701741781821861901941982022062102144[Durée (100)])</f>
        <v>8</v>
      </c>
      <c r="K27" s="335"/>
      <c r="L27" s="188" t="s">
        <v>31</v>
      </c>
      <c r="M27" s="272" t="n">
        <f aca="false">IF(Horodateur1123353819223134374346495255586164698522263438465058546266707478829098941021061141181101221261301341381421461501541581621661701741781821861901941982022062102144[[#This Row],[O]]="o",Horodateur1123353819223134374346495255586164698522263438465058546266707478829098941021061141181101221261301341381421461501541581621661701741781821861901941982022062102144[[#This Row],[Durée (100)]],".")</f>
        <v>1.5</v>
      </c>
      <c r="N27" s="187"/>
      <c r="O27" s="71"/>
      <c r="P27" s="71"/>
      <c r="Q27" s="71"/>
      <c r="R27" s="71"/>
      <c r="S27" s="71"/>
      <c r="T27" s="71"/>
      <c r="U27" s="71"/>
      <c r="V27" s="71"/>
      <c r="W27" s="71"/>
      <c r="X27" s="71"/>
      <c r="Y27" s="71"/>
      <c r="Z27" s="71"/>
      <c r="AA27" s="71"/>
      <c r="AB27" s="71"/>
      <c r="AC27" s="71"/>
      <c r="AD27" s="71"/>
      <c r="AE27" s="71"/>
      <c r="AF27" s="71"/>
      <c r="AG27" s="71"/>
    </row>
    <row r="28" customFormat="false" ht="15" hidden="false" customHeight="false" outlineLevel="0" collapsed="false">
      <c r="A28" s="256" t="n">
        <f aca="false">IF(Horodateur1123353819223134374346495255586164698522263438465058546266707478829098941021061141181101221261301341381421461501541581621661701741781821861901941982022062102144[[#This Row],[Jour]]="1- Lundi",$B$1+1, IF(Horodateur1123353819223134374346495255586164698522263438465058546266707478829098941021061141181101221261301341381421461501541581621661701741781821861901941982022062102144[[#This Row],[Jour]]="2- Mardi",$B$1+2, IF(Horodateur1123353819223134374346495255586164698522263438465058546266707478829098941021061141181101221261301341381421461501541581621661701741781821861901941982022062102144[[#This Row],[Jour]]="3- Mercredi",$B$1+3, IF(Horodateur1123353819223134374346495255586164698522263438465058546266707478829098941021061141181101221261301341381421461501541581621661701741781821861901941982022062102144[[#This Row],[Jour]]="4- Jeudi",$B$1+4, IF(Horodateur1123353819223134374346495255586164698522263438465058546266707478829098941021061141181101221261301341381421461501541581621661701741781821861901941982022062102144[[#This Row],[Jour]]="5- Vendredi",$B$1+5, IF(Horodateur1123353819223134374346495255586164698522263438465058546266707478829098941021061141181101221261301341381421461501541581621661701741781821861901941982022062102144[[#This Row],[Jour]]="6- Samedi",$B$1+6, IF(Horodateur1123353819223134374346495255586164698522263438465058546266707478829098941021061141181101221261301341381421461501541581621661701741781821861901941982022062102144[[#This Row],[Jour]]="7- Dimanche",$B$1, )))))))</f>
        <v>44211</v>
      </c>
      <c r="B28" s="257" t="s">
        <v>332</v>
      </c>
      <c r="C28" s="258" t="n">
        <v>0.416666666666667</v>
      </c>
      <c r="D28" s="258" t="n">
        <v>0.5</v>
      </c>
      <c r="E28" s="71" t="s">
        <v>81</v>
      </c>
      <c r="F28" s="71" t="s">
        <v>378</v>
      </c>
      <c r="G28" s="259" t="s">
        <v>685</v>
      </c>
      <c r="H28" s="258" t="n">
        <f aca="false">IF($C28=0,"",$D28-$C28)</f>
        <v>0.0833333333333333</v>
      </c>
      <c r="I28" s="260" t="n">
        <f aca="false">IF($C28=0,"",($H28-INT($H28))*24)</f>
        <v>2</v>
      </c>
      <c r="J28" s="303" t="n">
        <f aca="false">SUMIF(Horodateur1123353819223134374346495255586164698522263438465058546266707478829098941021061141181101221261301341381421461501541581621661701741781821861901941982022062102144[Jour],$B28,Horodateur1123353819223134374346495255586164698522263438465058546266707478829098941021061141181101221261301341381421461501541581621661701741781821861901941982022062102144[Durée (100)])</f>
        <v>8</v>
      </c>
      <c r="K28" s="335"/>
      <c r="L28" s="188" t="s">
        <v>31</v>
      </c>
      <c r="M28" s="272" t="n">
        <f aca="false">IF(Horodateur1123353819223134374346495255586164698522263438465058546266707478829098941021061141181101221261301341381421461501541581621661701741781821861901941982022062102144[[#This Row],[O]]="o",Horodateur1123353819223134374346495255586164698522263438465058546266707478829098941021061141181101221261301341381421461501541581621661701741781821861901941982022062102144[[#This Row],[Durée (100)]],".")</f>
        <v>2</v>
      </c>
      <c r="N28" s="187"/>
      <c r="O28" s="71"/>
      <c r="P28" s="71"/>
      <c r="Q28" s="71"/>
      <c r="R28" s="71"/>
      <c r="S28" s="71"/>
      <c r="T28" s="71"/>
      <c r="U28" s="71"/>
      <c r="V28" s="71"/>
      <c r="W28" s="71"/>
      <c r="X28" s="71"/>
      <c r="Y28" s="71"/>
      <c r="Z28" s="71"/>
      <c r="AA28" s="71"/>
      <c r="AB28" s="71"/>
      <c r="AC28" s="71"/>
      <c r="AD28" s="71"/>
      <c r="AE28" s="71"/>
      <c r="AF28" s="71"/>
      <c r="AG28" s="71"/>
    </row>
    <row r="29" customFormat="false" ht="15" hidden="false" customHeight="false" outlineLevel="0" collapsed="false">
      <c r="A29" s="256" t="n">
        <f aca="false">IF(Horodateur1123353819223134374346495255586164698522263438465058546266707478829098941021061141181101221261301341381421461501541581621661701741781821861901941982022062102144[[#This Row],[Jour]]="1- Lundi",$B$1+1, IF(Horodateur1123353819223134374346495255586164698522263438465058546266707478829098941021061141181101221261301341381421461501541581621661701741781821861901941982022062102144[[#This Row],[Jour]]="2- Mardi",$B$1+2, IF(Horodateur1123353819223134374346495255586164698522263438465058546266707478829098941021061141181101221261301341381421461501541581621661701741781821861901941982022062102144[[#This Row],[Jour]]="3- Mercredi",$B$1+3, IF(Horodateur1123353819223134374346495255586164698522263438465058546266707478829098941021061141181101221261301341381421461501541581621661701741781821861901941982022062102144[[#This Row],[Jour]]="4- Jeudi",$B$1+4, IF(Horodateur1123353819223134374346495255586164698522263438465058546266707478829098941021061141181101221261301341381421461501541581621661701741781821861901941982022062102144[[#This Row],[Jour]]="5- Vendredi",$B$1+5, IF(Horodateur1123353819223134374346495255586164698522263438465058546266707478829098941021061141181101221261301341381421461501541581621661701741781821861901941982022062102144[[#This Row],[Jour]]="6- Samedi",$B$1+6, IF(Horodateur1123353819223134374346495255586164698522263438465058546266707478829098941021061141181101221261301341381421461501541581621661701741781821861901941982022062102144[[#This Row],[Jour]]="7- Dimanche",$B$1, )))))))</f>
        <v>44211</v>
      </c>
      <c r="B29" s="257" t="s">
        <v>332</v>
      </c>
      <c r="C29" s="258" t="n">
        <v>0.5625</v>
      </c>
      <c r="D29" s="258" t="n">
        <v>0.604166666666667</v>
      </c>
      <c r="E29" s="71" t="s">
        <v>81</v>
      </c>
      <c r="F29" s="71" t="s">
        <v>378</v>
      </c>
      <c r="G29" s="259" t="s">
        <v>686</v>
      </c>
      <c r="H29" s="258" t="n">
        <f aca="false">IF($C29=0,"",$D29-$C29)</f>
        <v>0.0416666666666667</v>
      </c>
      <c r="I29" s="260" t="n">
        <f aca="false">IF($C29=0,"",($H29-INT($H29))*24)</f>
        <v>1</v>
      </c>
      <c r="J29" s="303" t="n">
        <f aca="false">SUMIF(Horodateur1123353819223134374346495255586164698522263438465058546266707478829098941021061141181101221261301341381421461501541581621661701741781821861901941982022062102144[Jour],$B29,Horodateur1123353819223134374346495255586164698522263438465058546266707478829098941021061141181101221261301341381421461501541581621661701741781821861901941982022062102144[Durée (100)])</f>
        <v>8</v>
      </c>
      <c r="K29" s="335"/>
      <c r="L29" s="188" t="s">
        <v>31</v>
      </c>
      <c r="M29" s="272" t="n">
        <f aca="false">IF(Horodateur1123353819223134374346495255586164698522263438465058546266707478829098941021061141181101221261301341381421461501541581621661701741781821861901941982022062102144[[#This Row],[O]]="o",Horodateur1123353819223134374346495255586164698522263438465058546266707478829098941021061141181101221261301341381421461501541581621661701741781821861901941982022062102144[[#This Row],[Durée (100)]],".")</f>
        <v>0.999999999999999</v>
      </c>
      <c r="N29" s="187"/>
      <c r="O29" s="71"/>
      <c r="P29" s="71"/>
      <c r="Q29" s="71"/>
      <c r="R29" s="71"/>
      <c r="S29" s="71"/>
      <c r="T29" s="71"/>
      <c r="U29" s="71"/>
      <c r="V29" s="71"/>
      <c r="W29" s="71"/>
      <c r="X29" s="71"/>
      <c r="Y29" s="71"/>
      <c r="Z29" s="71"/>
      <c r="AA29" s="71"/>
      <c r="AB29" s="71"/>
      <c r="AC29" s="71"/>
      <c r="AD29" s="71"/>
      <c r="AE29" s="71"/>
      <c r="AF29" s="71"/>
      <c r="AG29" s="71"/>
    </row>
    <row r="30" customFormat="false" ht="15" hidden="false" customHeight="false" outlineLevel="0" collapsed="false">
      <c r="A30" s="256" t="n">
        <f aca="false">IF(Horodateur1123353819223134374346495255586164698522263438465058546266707478829098941021061141181101221261301341381421461501541581621661701741781821861901941982022062102144[[#This Row],[Jour]]="1- Lundi",$B$1+1, IF(Horodateur1123353819223134374346495255586164698522263438465058546266707478829098941021061141181101221261301341381421461501541581621661701741781821861901941982022062102144[[#This Row],[Jour]]="2- Mardi",$B$1+2, IF(Horodateur1123353819223134374346495255586164698522263438465058546266707478829098941021061141181101221261301341381421461501541581621661701741781821861901941982022062102144[[#This Row],[Jour]]="3- Mercredi",$B$1+3, IF(Horodateur1123353819223134374346495255586164698522263438465058546266707478829098941021061141181101221261301341381421461501541581621661701741781821861901941982022062102144[[#This Row],[Jour]]="4- Jeudi",$B$1+4, IF(Horodateur1123353819223134374346495255586164698522263438465058546266707478829098941021061141181101221261301341381421461501541581621661701741781821861901941982022062102144[[#This Row],[Jour]]="5- Vendredi",$B$1+5, IF(Horodateur1123353819223134374346495255586164698522263438465058546266707478829098941021061141181101221261301341381421461501541581621661701741781821861901941982022062102144[[#This Row],[Jour]]="6- Samedi",$B$1+6, IF(Horodateur1123353819223134374346495255586164698522263438465058546266707478829098941021061141181101221261301341381421461501541581621661701741781821861901941982022062102144[[#This Row],[Jour]]="7- Dimanche",$B$1, )))))))</f>
        <v>44211</v>
      </c>
      <c r="B30" s="257" t="s">
        <v>332</v>
      </c>
      <c r="C30" s="258" t="n">
        <v>0.604166666666667</v>
      </c>
      <c r="D30" s="258" t="n">
        <v>0.635416666666667</v>
      </c>
      <c r="E30" s="71" t="s">
        <v>74</v>
      </c>
      <c r="F30" s="71" t="s">
        <v>378</v>
      </c>
      <c r="G30" s="259" t="s">
        <v>658</v>
      </c>
      <c r="H30" s="258" t="n">
        <f aca="false">IF($C30=0,"",$D30-$C30)</f>
        <v>0.03125</v>
      </c>
      <c r="I30" s="260" t="n">
        <f aca="false">IF($C30=0,"",($H30-INT($H30))*24)</f>
        <v>0.75</v>
      </c>
      <c r="J30" s="303" t="n">
        <f aca="false">SUMIF(Horodateur1123353819223134374346495255586164698522263438465058546266707478829098941021061141181101221261301341381421461501541581621661701741781821861901941982022062102144[Jour],$B30,Horodateur1123353819223134374346495255586164698522263438465058546266707478829098941021061141181101221261301341381421461501541581621661701741781821861901941982022062102144[Durée (100)])</f>
        <v>8</v>
      </c>
      <c r="K30" s="335"/>
      <c r="L30" s="188" t="s">
        <v>31</v>
      </c>
      <c r="M30" s="272" t="n">
        <f aca="false">IF(Horodateur1123353819223134374346495255586164698522263438465058546266707478829098941021061141181101221261301341381421461501541581621661701741781821861901941982022062102144[[#This Row],[O]]="o",Horodateur1123353819223134374346495255586164698522263438465058546266707478829098941021061141181101221261301341381421461501541581621661701741781821861901941982022062102144[[#This Row],[Durée (100)]],".")</f>
        <v>0.75</v>
      </c>
      <c r="N30" s="187"/>
      <c r="O30" s="71"/>
      <c r="P30" s="71"/>
      <c r="Q30" s="71"/>
      <c r="R30" s="71"/>
      <c r="S30" s="71"/>
      <c r="T30" s="71"/>
      <c r="U30" s="71"/>
      <c r="V30" s="71"/>
      <c r="W30" s="71"/>
      <c r="X30" s="71"/>
      <c r="Y30" s="71"/>
      <c r="Z30" s="71"/>
      <c r="AA30" s="71"/>
      <c r="AB30" s="71"/>
      <c r="AC30" s="71"/>
      <c r="AD30" s="71"/>
      <c r="AE30" s="71"/>
      <c r="AF30" s="71"/>
      <c r="AG30" s="71"/>
    </row>
    <row r="31" customFormat="false" ht="15" hidden="false" customHeight="false" outlineLevel="0" collapsed="false">
      <c r="A31" s="256" t="n">
        <f aca="false">IF(Horodateur1123353819223134374346495255586164698522263438465058546266707478829098941021061141181101221261301341381421461501541581621661701741781821861901941982022062102144[[#This Row],[Jour]]="1- Lundi",$B$1+1, IF(Horodateur1123353819223134374346495255586164698522263438465058546266707478829098941021061141181101221261301341381421461501541581621661701741781821861901941982022062102144[[#This Row],[Jour]]="2- Mardi",$B$1+2, IF(Horodateur1123353819223134374346495255586164698522263438465058546266707478829098941021061141181101221261301341381421461501541581621661701741781821861901941982022062102144[[#This Row],[Jour]]="3- Mercredi",$B$1+3, IF(Horodateur1123353819223134374346495255586164698522263438465058546266707478829098941021061141181101221261301341381421461501541581621661701741781821861901941982022062102144[[#This Row],[Jour]]="4- Jeudi",$B$1+4, IF(Horodateur1123353819223134374346495255586164698522263438465058546266707478829098941021061141181101221261301341381421461501541581621661701741781821861901941982022062102144[[#This Row],[Jour]]="5- Vendredi",$B$1+5, IF(Horodateur1123353819223134374346495255586164698522263438465058546266707478829098941021061141181101221261301341381421461501541581621661701741781821861901941982022062102144[[#This Row],[Jour]]="6- Samedi",$B$1+6, IF(Horodateur1123353819223134374346495255586164698522263438465058546266707478829098941021061141181101221261301341381421461501541581621661701741781821861901941982022062102144[[#This Row],[Jour]]="7- Dimanche",$B$1, )))))))</f>
        <v>44211</v>
      </c>
      <c r="B31" s="257" t="s">
        <v>332</v>
      </c>
      <c r="C31" s="258" t="n">
        <v>0.635416666666667</v>
      </c>
      <c r="D31" s="258" t="n">
        <v>0.666666666666667</v>
      </c>
      <c r="E31" s="71" t="s">
        <v>32</v>
      </c>
      <c r="F31" s="71" t="s">
        <v>21</v>
      </c>
      <c r="G31" s="259"/>
      <c r="H31" s="258" t="n">
        <f aca="false">IF($C31=0,"",$D31-$C31)</f>
        <v>0.03125</v>
      </c>
      <c r="I31" s="260" t="n">
        <f aca="false">IF($C31=0,"",($H31-INT($H31))*24)</f>
        <v>0.75</v>
      </c>
      <c r="J31" s="303" t="n">
        <f aca="false">SUMIF(Horodateur1123353819223134374346495255586164698522263438465058546266707478829098941021061141181101221261301341381421461501541581621661701741781821861901941982022062102144[Jour],$B31,Horodateur1123353819223134374346495255586164698522263438465058546266707478829098941021061141181101221261301341381421461501541581621661701741781821861901941982022062102144[Durée (100)])</f>
        <v>8</v>
      </c>
      <c r="K31" s="335"/>
      <c r="L31" s="188" t="s">
        <v>31</v>
      </c>
      <c r="M31" s="272" t="n">
        <f aca="false">IF(Horodateur1123353819223134374346495255586164698522263438465058546266707478829098941021061141181101221261301341381421461501541581621661701741781821861901941982022062102144[[#This Row],[O]]="o",Horodateur1123353819223134374346495255586164698522263438465058546266707478829098941021061141181101221261301341381421461501541581621661701741781821861901941982022062102144[[#This Row],[Durée (100)]],".")</f>
        <v>0.75</v>
      </c>
      <c r="N31" s="187"/>
      <c r="O31" s="71"/>
      <c r="P31" s="71"/>
      <c r="Q31" s="71"/>
      <c r="R31" s="71"/>
      <c r="S31" s="71"/>
      <c r="T31" s="71"/>
      <c r="U31" s="71"/>
      <c r="V31" s="71"/>
      <c r="W31" s="71"/>
      <c r="X31" s="71"/>
      <c r="Y31" s="71"/>
      <c r="Z31" s="71"/>
      <c r="AA31" s="71"/>
      <c r="AB31" s="71"/>
      <c r="AC31" s="71"/>
      <c r="AD31" s="71"/>
      <c r="AE31" s="71"/>
      <c r="AF31" s="71"/>
      <c r="AG31" s="71"/>
    </row>
    <row r="32" customFormat="false" ht="15" hidden="false" customHeight="false" outlineLevel="0" collapsed="false">
      <c r="A32" s="256" t="n">
        <f aca="false">IF(Horodateur1123353819223134374346495255586164698522263438465058546266707478829098941021061141181101221261301341381421461501541581621661701741781821861901941982022062102144[[#This Row],[Jour]]="1- Lundi",$B$1+1, IF(Horodateur1123353819223134374346495255586164698522263438465058546266707478829098941021061141181101221261301341381421461501541581621661701741781821861901941982022062102144[[#This Row],[Jour]]="2- Mardi",$B$1+2, IF(Horodateur1123353819223134374346495255586164698522263438465058546266707478829098941021061141181101221261301341381421461501541581621661701741781821861901941982022062102144[[#This Row],[Jour]]="3- Mercredi",$B$1+3, IF(Horodateur1123353819223134374346495255586164698522263438465058546266707478829098941021061141181101221261301341381421461501541581621661701741781821861901941982022062102144[[#This Row],[Jour]]="4- Jeudi",$B$1+4, IF(Horodateur1123353819223134374346495255586164698522263438465058546266707478829098941021061141181101221261301341381421461501541581621661701741781821861901941982022062102144[[#This Row],[Jour]]="5- Vendredi",$B$1+5, IF(Horodateur1123353819223134374346495255586164698522263438465058546266707478829098941021061141181101221261301341381421461501541581621661701741781821861901941982022062102144[[#This Row],[Jour]]="6- Samedi",$B$1+6, IF(Horodateur1123353819223134374346495255586164698522263438465058546266707478829098941021061141181101221261301341381421461501541581621661701741781821861901941982022062102144[[#This Row],[Jour]]="7- Dimanche",$B$1, )))))))</f>
        <v>44211</v>
      </c>
      <c r="B32" s="257" t="s">
        <v>332</v>
      </c>
      <c r="C32" s="258" t="n">
        <v>0.666666666666667</v>
      </c>
      <c r="D32" s="258" t="n">
        <v>0.739583333333333</v>
      </c>
      <c r="E32" s="71" t="s">
        <v>32</v>
      </c>
      <c r="F32" s="71" t="s">
        <v>23</v>
      </c>
      <c r="G32" s="259"/>
      <c r="H32" s="258" t="n">
        <f aca="false">IF($C32=0,"",$D32-$C32)</f>
        <v>0.0729166666666667</v>
      </c>
      <c r="I32" s="260" t="n">
        <f aca="false">IF($C32=0,"",($H32-INT($H32))*24)</f>
        <v>1.75</v>
      </c>
      <c r="J32" s="303" t="n">
        <f aca="false">SUMIF(Horodateur1123353819223134374346495255586164698522263438465058546266707478829098941021061141181101221261301341381421461501541581621661701741781821861901941982022062102144[Jour],$B32,Horodateur1123353819223134374346495255586164698522263438465058546266707478829098941021061141181101221261301341381421461501541581621661701741781821861901941982022062102144[Durée (100)])</f>
        <v>8</v>
      </c>
      <c r="K32" s="335"/>
      <c r="L32" s="188" t="s">
        <v>31</v>
      </c>
      <c r="M32" s="272" t="n">
        <f aca="false">IF(Horodateur1123353819223134374346495255586164698522263438465058546266707478829098941021061141181101221261301341381421461501541581621661701741781821861901941982022062102144[[#This Row],[O]]="o",Horodateur1123353819223134374346495255586164698522263438465058546266707478829098941021061141181101221261301341381421461501541581621661701741781821861901941982022062102144[[#This Row],[Durée (100)]],".")</f>
        <v>1.75</v>
      </c>
      <c r="N32" s="187"/>
      <c r="O32" s="71"/>
      <c r="P32" s="71"/>
      <c r="Q32" s="71"/>
      <c r="R32" s="71"/>
      <c r="S32" s="71"/>
      <c r="T32" s="71"/>
      <c r="U32" s="71"/>
      <c r="V32" s="71"/>
      <c r="W32" s="71"/>
      <c r="X32" s="71"/>
      <c r="Y32" s="71"/>
      <c r="Z32" s="71"/>
      <c r="AA32" s="71"/>
      <c r="AB32" s="71"/>
      <c r="AC32" s="71"/>
      <c r="AD32" s="71"/>
      <c r="AE32" s="71"/>
      <c r="AF32" s="71"/>
      <c r="AG32" s="71"/>
    </row>
    <row r="33" customFormat="false" ht="15" hidden="false" customHeight="false" outlineLevel="0" collapsed="false">
      <c r="A33" s="256" t="n">
        <f aca="false">IF(Horodateur1123353819223134374346495255586164698522263438465058546266707478829098941021061141181101221261301341381421461501541581621661701741781821861901941982022062102144[[#This Row],[Jour]]="1- Lundi",$B$1+1, IF(Horodateur1123353819223134374346495255586164698522263438465058546266707478829098941021061141181101221261301341381421461501541581621661701741781821861901941982022062102144[[#This Row],[Jour]]="2- Mardi",$B$1+2, IF(Horodateur1123353819223134374346495255586164698522263438465058546266707478829098941021061141181101221261301341381421461501541581621661701741781821861901941982022062102144[[#This Row],[Jour]]="3- Mercredi",$B$1+3, IF(Horodateur1123353819223134374346495255586164698522263438465058546266707478829098941021061141181101221261301341381421461501541581621661701741781821861901941982022062102144[[#This Row],[Jour]]="4- Jeudi",$B$1+4, IF(Horodateur1123353819223134374346495255586164698522263438465058546266707478829098941021061141181101221261301341381421461501541581621661701741781821861901941982022062102144[[#This Row],[Jour]]="5- Vendredi",$B$1+5, IF(Horodateur1123353819223134374346495255586164698522263438465058546266707478829098941021061141181101221261301341381421461501541581621661701741781821861901941982022062102144[[#This Row],[Jour]]="6- Samedi",$B$1+6, IF(Horodateur1123353819223134374346495255586164698522263438465058546266707478829098941021061141181101221261301341381421461501541581621661701741781821861901941982022062102144[[#This Row],[Jour]]="7- Dimanche",$B$1, )))))))</f>
        <v>44212</v>
      </c>
      <c r="B33" s="257" t="s">
        <v>335</v>
      </c>
      <c r="C33" s="258" t="n">
        <v>0.354166666666667</v>
      </c>
      <c r="D33" s="258" t="n">
        <v>0.364583333333333</v>
      </c>
      <c r="E33" s="71" t="s">
        <v>74</v>
      </c>
      <c r="F33" s="71" t="s">
        <v>378</v>
      </c>
      <c r="G33" s="259" t="s">
        <v>658</v>
      </c>
      <c r="H33" s="258" t="n">
        <f aca="false">IF($C33=0,"",$D33-$C33)</f>
        <v>0.0104166666666667</v>
      </c>
      <c r="I33" s="260" t="n">
        <f aca="false">IF($C33=0,"",($H33-INT($H33))*24)</f>
        <v>0.25</v>
      </c>
      <c r="J33" s="303" t="n">
        <f aca="false">SUMIF(Horodateur1123353819223134374346495255586164698522263438465058546266707478829098941021061141181101221261301341381421461501541581621661701741781821861901941982022062102144[Jour],$B33,Horodateur1123353819223134374346495255586164698522263438465058546266707478829098941021061141181101221261301341381421461501541581621661701741781821861901941982022062102144[Durée (100)])</f>
        <v>6</v>
      </c>
      <c r="K33" s="335"/>
      <c r="L33" s="188" t="s">
        <v>31</v>
      </c>
      <c r="M33" s="272" t="n">
        <f aca="false">IF(Horodateur1123353819223134374346495255586164698522263438465058546266707478829098941021061141181101221261301341381421461501541581621661701741781821861901941982022062102144[[#This Row],[O]]="o",Horodateur1123353819223134374346495255586164698522263438465058546266707478829098941021061141181101221261301341381421461501541581621661701741781821861901941982022062102144[[#This Row],[Durée (100)]],".")</f>
        <v>0.249999999999999</v>
      </c>
      <c r="N33" s="187"/>
      <c r="O33" s="71"/>
      <c r="P33" s="71"/>
      <c r="Q33" s="71"/>
      <c r="R33" s="71"/>
      <c r="S33" s="71"/>
      <c r="T33" s="71"/>
      <c r="U33" s="71"/>
      <c r="V33" s="71"/>
      <c r="W33" s="71"/>
      <c r="X33" s="71"/>
      <c r="Y33" s="71"/>
      <c r="Z33" s="71"/>
      <c r="AA33" s="71"/>
      <c r="AB33" s="71"/>
      <c r="AC33" s="71"/>
      <c r="AD33" s="71"/>
      <c r="AE33" s="71"/>
      <c r="AF33" s="71"/>
      <c r="AG33" s="71"/>
    </row>
    <row r="34" customFormat="false" ht="15" hidden="false" customHeight="false" outlineLevel="0" collapsed="false">
      <c r="A34" s="256" t="n">
        <f aca="false">IF(Horodateur1123353819223134374346495255586164698522263438465058546266707478829098941021061141181101221261301341381421461501541581621661701741781821861901941982022062102144[[#This Row],[Jour]]="1- Lundi",$B$1+1, IF(Horodateur1123353819223134374346495255586164698522263438465058546266707478829098941021061141181101221261301341381421461501541581621661701741781821861901941982022062102144[[#This Row],[Jour]]="2- Mardi",$B$1+2, IF(Horodateur1123353819223134374346495255586164698522263438465058546266707478829098941021061141181101221261301341381421461501541581621661701741781821861901941982022062102144[[#This Row],[Jour]]="3- Mercredi",$B$1+3, IF(Horodateur1123353819223134374346495255586164698522263438465058546266707478829098941021061141181101221261301341381421461501541581621661701741781821861901941982022062102144[[#This Row],[Jour]]="4- Jeudi",$B$1+4, IF(Horodateur1123353819223134374346495255586164698522263438465058546266707478829098941021061141181101221261301341381421461501541581621661701741781821861901941982022062102144[[#This Row],[Jour]]="5- Vendredi",$B$1+5, IF(Horodateur1123353819223134374346495255586164698522263438465058546266707478829098941021061141181101221261301341381421461501541581621661701741781821861901941982022062102144[[#This Row],[Jour]]="6- Samedi",$B$1+6, IF(Horodateur1123353819223134374346495255586164698522263438465058546266707478829098941021061141181101221261301341381421461501541581621661701741781821861901941982022062102144[[#This Row],[Jour]]="7- Dimanche",$B$1, )))))))</f>
        <v>44212</v>
      </c>
      <c r="B34" s="257" t="s">
        <v>335</v>
      </c>
      <c r="C34" s="258" t="n">
        <v>0.364583333333333</v>
      </c>
      <c r="D34" s="258" t="n">
        <v>0.416666666666667</v>
      </c>
      <c r="E34" s="71" t="s">
        <v>32</v>
      </c>
      <c r="F34" s="71" t="s">
        <v>23</v>
      </c>
      <c r="G34" s="259"/>
      <c r="H34" s="258" t="n">
        <f aca="false">IF($C34=0,"",$D34-$C34)</f>
        <v>0.0520833333333334</v>
      </c>
      <c r="I34" s="260" t="n">
        <f aca="false">IF($C34=0,"",($H34-INT($H34))*24)</f>
        <v>1.25</v>
      </c>
      <c r="J34" s="303" t="n">
        <f aca="false">SUMIF(Horodateur1123353819223134374346495255586164698522263438465058546266707478829098941021061141181101221261301341381421461501541581621661701741781821861901941982022062102144[Jour],$B34,Horodateur1123353819223134374346495255586164698522263438465058546266707478829098941021061141181101221261301341381421461501541581621661701741781821861901941982022062102144[Durée (100)])</f>
        <v>6</v>
      </c>
      <c r="K34" s="335"/>
      <c r="L34" s="188" t="s">
        <v>31</v>
      </c>
      <c r="M34" s="272" t="n">
        <f aca="false">IF(Horodateur1123353819223134374346495255586164698522263438465058546266707478829098941021061141181101221261301341381421461501541581621661701741781821861901941982022062102144[[#This Row],[O]]="o",Horodateur1123353819223134374346495255586164698522263438465058546266707478829098941021061141181101221261301341381421461501541581621661701741781821861901941982022062102144[[#This Row],[Durée (100)]],".")</f>
        <v>1.25</v>
      </c>
      <c r="N34" s="187"/>
      <c r="O34" s="71"/>
      <c r="P34" s="71"/>
      <c r="Q34" s="71"/>
      <c r="R34" s="71"/>
      <c r="S34" s="71"/>
      <c r="T34" s="71"/>
      <c r="U34" s="71"/>
      <c r="V34" s="71"/>
      <c r="W34" s="71"/>
      <c r="X34" s="71"/>
      <c r="Y34" s="71"/>
      <c r="Z34" s="71"/>
      <c r="AA34" s="71"/>
      <c r="AB34" s="71"/>
      <c r="AC34" s="71"/>
      <c r="AD34" s="71"/>
      <c r="AE34" s="71"/>
      <c r="AF34" s="71"/>
      <c r="AG34" s="71"/>
    </row>
    <row r="35" customFormat="false" ht="15" hidden="false" customHeight="false" outlineLevel="0" collapsed="false">
      <c r="A35" s="256" t="n">
        <f aca="false">IF(Horodateur1123353819223134374346495255586164698522263438465058546266707478829098941021061141181101221261301341381421461501541581621661701741781821861901941982022062102144[[#This Row],[Jour]]="1- Lundi",$B$1+1, IF(Horodateur1123353819223134374346495255586164698522263438465058546266707478829098941021061141181101221261301341381421461501541581621661701741781821861901941982022062102144[[#This Row],[Jour]]="2- Mardi",$B$1+2, IF(Horodateur1123353819223134374346495255586164698522263438465058546266707478829098941021061141181101221261301341381421461501541581621661701741781821861901941982022062102144[[#This Row],[Jour]]="3- Mercredi",$B$1+3, IF(Horodateur1123353819223134374346495255586164698522263438465058546266707478829098941021061141181101221261301341381421461501541581621661701741781821861901941982022062102144[[#This Row],[Jour]]="4- Jeudi",$B$1+4, IF(Horodateur1123353819223134374346495255586164698522263438465058546266707478829098941021061141181101221261301341381421461501541581621661701741781821861901941982022062102144[[#This Row],[Jour]]="5- Vendredi",$B$1+5, IF(Horodateur1123353819223134374346495255586164698522263438465058546266707478829098941021061141181101221261301341381421461501541581621661701741781821861901941982022062102144[[#This Row],[Jour]]="6- Samedi",$B$1+6, IF(Horodateur1123353819223134374346495255586164698522263438465058546266707478829098941021061141181101221261301341381421461501541581621661701741781821861901941982022062102144[[#This Row],[Jour]]="7- Dimanche",$B$1, )))))))</f>
        <v>44212</v>
      </c>
      <c r="B35" s="257" t="s">
        <v>335</v>
      </c>
      <c r="C35" s="258" t="n">
        <v>0.416666666666667</v>
      </c>
      <c r="D35" s="258" t="n">
        <v>0.4375</v>
      </c>
      <c r="E35" s="71" t="s">
        <v>66</v>
      </c>
      <c r="F35" s="71" t="s">
        <v>378</v>
      </c>
      <c r="G35" s="259" t="s">
        <v>687</v>
      </c>
      <c r="H35" s="258" t="n">
        <f aca="false">IF($C35=0,"",$D35-$C35)</f>
        <v>0.0208333333333333</v>
      </c>
      <c r="I35" s="260" t="n">
        <f aca="false">IF($C35=0,"",($H35-INT($H35))*24)</f>
        <v>0.5</v>
      </c>
      <c r="J35" s="303" t="n">
        <f aca="false">SUMIF(Horodateur1123353819223134374346495255586164698522263438465058546266707478829098941021061141181101221261301341381421461501541581621661701741781821861901941982022062102144[Jour],$B35,Horodateur1123353819223134374346495255586164698522263438465058546266707478829098941021061141181101221261301341381421461501541581621661701741781821861901941982022062102144[Durée (100)])</f>
        <v>6</v>
      </c>
      <c r="K35" s="335"/>
      <c r="L35" s="188" t="s">
        <v>31</v>
      </c>
      <c r="M35" s="272" t="n">
        <f aca="false">IF(Horodateur1123353819223134374346495255586164698522263438465058546266707478829098941021061141181101221261301341381421461501541581621661701741781821861901941982022062102144[[#This Row],[O]]="o",Horodateur1123353819223134374346495255586164698522263438465058546266707478829098941021061141181101221261301341381421461501541581621661701741781821861901941982022062102144[[#This Row],[Durée (100)]],".")</f>
        <v>0.5</v>
      </c>
      <c r="N35" s="187"/>
      <c r="O35" s="71"/>
      <c r="P35" s="71"/>
      <c r="Q35" s="71"/>
      <c r="R35" s="71"/>
      <c r="S35" s="71"/>
      <c r="T35" s="71"/>
      <c r="U35" s="71"/>
      <c r="V35" s="71"/>
      <c r="W35" s="71"/>
      <c r="X35" s="71"/>
      <c r="Y35" s="71"/>
      <c r="Z35" s="71"/>
      <c r="AA35" s="71"/>
      <c r="AB35" s="71"/>
      <c r="AC35" s="71"/>
      <c r="AD35" s="71"/>
      <c r="AE35" s="71"/>
      <c r="AF35" s="71"/>
      <c r="AG35" s="71"/>
    </row>
    <row r="36" customFormat="false" ht="15" hidden="false" customHeight="false" outlineLevel="0" collapsed="false">
      <c r="A36" s="256" t="n">
        <f aca="false">IF(Horodateur1123353819223134374346495255586164698522263438465058546266707478829098941021061141181101221261301341381421461501541581621661701741781821861901941982022062102144[[#This Row],[Jour]]="1- Lundi",$B$1+1, IF(Horodateur1123353819223134374346495255586164698522263438465058546266707478829098941021061141181101221261301341381421461501541581621661701741781821861901941982022062102144[[#This Row],[Jour]]="2- Mardi",$B$1+2, IF(Horodateur1123353819223134374346495255586164698522263438465058546266707478829098941021061141181101221261301341381421461501541581621661701741781821861901941982022062102144[[#This Row],[Jour]]="3- Mercredi",$B$1+3, IF(Horodateur1123353819223134374346495255586164698522263438465058546266707478829098941021061141181101221261301341381421461501541581621661701741781821861901941982022062102144[[#This Row],[Jour]]="4- Jeudi",$B$1+4, IF(Horodateur1123353819223134374346495255586164698522263438465058546266707478829098941021061141181101221261301341381421461501541581621661701741781821861901941982022062102144[[#This Row],[Jour]]="5- Vendredi",$B$1+5, IF(Horodateur1123353819223134374346495255586164698522263438465058546266707478829098941021061141181101221261301341381421461501541581621661701741781821861901941982022062102144[[#This Row],[Jour]]="6- Samedi",$B$1+6, IF(Horodateur1123353819223134374346495255586164698522263438465058546266707478829098941021061141181101221261301341381421461501541581621661701741781821861901941982022062102144[[#This Row],[Jour]]="7- Dimanche",$B$1, )))))))</f>
        <v>44212</v>
      </c>
      <c r="B36" s="257" t="s">
        <v>335</v>
      </c>
      <c r="C36" s="258" t="n">
        <v>0.4375</v>
      </c>
      <c r="D36" s="258" t="n">
        <v>0.458333333333333</v>
      </c>
      <c r="E36" s="71" t="s">
        <v>66</v>
      </c>
      <c r="F36" s="71" t="s">
        <v>379</v>
      </c>
      <c r="G36" s="259" t="s">
        <v>124</v>
      </c>
      <c r="H36" s="258" t="n">
        <f aca="false">IF($C36=0,"",$D36-$C36)</f>
        <v>0.0208333333333333</v>
      </c>
      <c r="I36" s="260" t="n">
        <f aca="false">IF($C36=0,"",($H36-INT($H36))*24)</f>
        <v>0.5</v>
      </c>
      <c r="J36" s="303" t="n">
        <f aca="false">SUMIF(Horodateur1123353819223134374346495255586164698522263438465058546266707478829098941021061141181101221261301341381421461501541581621661701741781821861901941982022062102144[Jour],$B36,Horodateur1123353819223134374346495255586164698522263438465058546266707478829098941021061141181101221261301341381421461501541581621661701741781821861901941982022062102144[Durée (100)])</f>
        <v>6</v>
      </c>
      <c r="K36" s="335"/>
      <c r="L36" s="188" t="s">
        <v>31</v>
      </c>
      <c r="M36" s="272" t="n">
        <f aca="false">IF(Horodateur1123353819223134374346495255586164698522263438465058546266707478829098941021061141181101221261301341381421461501541581621661701741781821861901941982022062102144[[#This Row],[O]]="o",Horodateur1123353819223134374346495255586164698522263438465058546266707478829098941021061141181101221261301341381421461501541581621661701741781821861901941982022062102144[[#This Row],[Durée (100)]],".")</f>
        <v>0.5</v>
      </c>
      <c r="N36" s="187"/>
      <c r="O36" s="71"/>
      <c r="P36" s="71"/>
      <c r="Q36" s="71"/>
      <c r="R36" s="71"/>
      <c r="S36" s="71"/>
      <c r="T36" s="71"/>
      <c r="U36" s="71"/>
      <c r="V36" s="71"/>
      <c r="W36" s="71"/>
      <c r="X36" s="71"/>
      <c r="Y36" s="71"/>
      <c r="Z36" s="71"/>
      <c r="AA36" s="71"/>
      <c r="AB36" s="71"/>
      <c r="AC36" s="71"/>
      <c r="AD36" s="71"/>
      <c r="AE36" s="71"/>
      <c r="AF36" s="71"/>
      <c r="AG36" s="71"/>
    </row>
    <row r="37" customFormat="false" ht="15" hidden="false" customHeight="false" outlineLevel="0" collapsed="false">
      <c r="A37" s="256" t="n">
        <f aca="false">IF(Horodateur1123353819223134374346495255586164698522263438465058546266707478829098941021061141181101221261301341381421461501541581621661701741781821861901941982022062102144[[#This Row],[Jour]]="1- Lundi",$B$1+1, IF(Horodateur1123353819223134374346495255586164698522263438465058546266707478829098941021061141181101221261301341381421461501541581621661701741781821861901941982022062102144[[#This Row],[Jour]]="2- Mardi",$B$1+2, IF(Horodateur1123353819223134374346495255586164698522263438465058546266707478829098941021061141181101221261301341381421461501541581621661701741781821861901941982022062102144[[#This Row],[Jour]]="3- Mercredi",$B$1+3, IF(Horodateur1123353819223134374346495255586164698522263438465058546266707478829098941021061141181101221261301341381421461501541581621661701741781821861901941982022062102144[[#This Row],[Jour]]="4- Jeudi",$B$1+4, IF(Horodateur1123353819223134374346495255586164698522263438465058546266707478829098941021061141181101221261301341381421461501541581621661701741781821861901941982022062102144[[#This Row],[Jour]]="5- Vendredi",$B$1+5, IF(Horodateur1123353819223134374346495255586164698522263438465058546266707478829098941021061141181101221261301341381421461501541581621661701741781821861901941982022062102144[[#This Row],[Jour]]="6- Samedi",$B$1+6, IF(Horodateur1123353819223134374346495255586164698522263438465058546266707478829098941021061141181101221261301341381421461501541581621661701741781821861901941982022062102144[[#This Row],[Jour]]="7- Dimanche",$B$1, )))))))</f>
        <v>44212</v>
      </c>
      <c r="B37" s="257" t="s">
        <v>335</v>
      </c>
      <c r="C37" s="258" t="n">
        <v>0.458333333333333</v>
      </c>
      <c r="D37" s="258" t="n">
        <v>0.520833333333333</v>
      </c>
      <c r="E37" s="71" t="s">
        <v>71</v>
      </c>
      <c r="F37" s="71" t="s">
        <v>399</v>
      </c>
      <c r="G37" s="259" t="s">
        <v>688</v>
      </c>
      <c r="H37" s="258" t="n">
        <f aca="false">IF($C37=0,"",$D37-$C37)</f>
        <v>0.0625000000000001</v>
      </c>
      <c r="I37" s="260" t="n">
        <f aca="false">IF($C37=0,"",($H37-INT($H37))*24)</f>
        <v>1.5</v>
      </c>
      <c r="J37" s="303" t="n">
        <f aca="false">SUMIF(Horodateur1123353819223134374346495255586164698522263438465058546266707478829098941021061141181101221261301341381421461501541581621661701741781821861901941982022062102144[Jour],$B37,Horodateur1123353819223134374346495255586164698522263438465058546266707478829098941021061141181101221261301341381421461501541581621661701741781821861901941982022062102144[Durée (100)])</f>
        <v>6</v>
      </c>
      <c r="K37" s="335"/>
      <c r="L37" s="188" t="s">
        <v>31</v>
      </c>
      <c r="M37" s="272" t="n">
        <f aca="false">IF(Horodateur1123353819223134374346495255586164698522263438465058546266707478829098941021061141181101221261301341381421461501541581621661701741781821861901941982022062102144[[#This Row],[O]]="o",Horodateur1123353819223134374346495255586164698522263438465058546266707478829098941021061141181101221261301341381421461501541581621661701741781821861901941982022062102144[[#This Row],[Durée (100)]],".")</f>
        <v>1.5</v>
      </c>
      <c r="N37" s="187"/>
      <c r="O37" s="71"/>
      <c r="P37" s="71"/>
      <c r="Q37" s="71"/>
      <c r="R37" s="71"/>
      <c r="S37" s="71"/>
      <c r="T37" s="71"/>
      <c r="U37" s="71"/>
      <c r="V37" s="71"/>
      <c r="W37" s="71"/>
      <c r="X37" s="71"/>
      <c r="Y37" s="71"/>
      <c r="Z37" s="71"/>
      <c r="AA37" s="71"/>
      <c r="AB37" s="71"/>
      <c r="AC37" s="71"/>
      <c r="AD37" s="71"/>
      <c r="AE37" s="71"/>
      <c r="AF37" s="71"/>
      <c r="AG37" s="71"/>
    </row>
    <row r="38" customFormat="false" ht="15" hidden="false" customHeight="false" outlineLevel="0" collapsed="false">
      <c r="A38" s="256" t="n">
        <f aca="false">IF(Horodateur1123353819223134374346495255586164698522263438465058546266707478829098941021061141181101221261301341381421461501541581621661701741781821861901941982022062102144[[#This Row],[Jour]]="1- Lundi",$B$1+1, IF(Horodateur1123353819223134374346495255586164698522263438465058546266707478829098941021061141181101221261301341381421461501541581621661701741781821861901941982022062102144[[#This Row],[Jour]]="2- Mardi",$B$1+2, IF(Horodateur1123353819223134374346495255586164698522263438465058546266707478829098941021061141181101221261301341381421461501541581621661701741781821861901941982022062102144[[#This Row],[Jour]]="3- Mercredi",$B$1+3, IF(Horodateur1123353819223134374346495255586164698522263438465058546266707478829098941021061141181101221261301341381421461501541581621661701741781821861901941982022062102144[[#This Row],[Jour]]="4- Jeudi",$B$1+4, IF(Horodateur1123353819223134374346495255586164698522263438465058546266707478829098941021061141181101221261301341381421461501541581621661701741781821861901941982022062102144[[#This Row],[Jour]]="5- Vendredi",$B$1+5, IF(Horodateur1123353819223134374346495255586164698522263438465058546266707478829098941021061141181101221261301341381421461501541581621661701741781821861901941982022062102144[[#This Row],[Jour]]="6- Samedi",$B$1+6, IF(Horodateur1123353819223134374346495255586164698522263438465058546266707478829098941021061141181101221261301341381421461501541581621661701741781821861901941982022062102144[[#This Row],[Jour]]="7- Dimanche",$B$1, )))))))</f>
        <v>44212</v>
      </c>
      <c r="B38" s="257" t="s">
        <v>335</v>
      </c>
      <c r="C38" s="258" t="n">
        <v>0.5</v>
      </c>
      <c r="D38" s="258" t="n">
        <v>0.520833333333333</v>
      </c>
      <c r="E38" s="71" t="s">
        <v>32</v>
      </c>
      <c r="F38" s="71" t="s">
        <v>23</v>
      </c>
      <c r="G38" s="259" t="s">
        <v>688</v>
      </c>
      <c r="H38" s="258" t="n">
        <f aca="false">IF($C38=0,"",$D38-$C38)</f>
        <v>0.0208333333333333</v>
      </c>
      <c r="I38" s="260" t="n">
        <f aca="false">IF($C38=0,"",($H38-INT($H38))*24)</f>
        <v>0.5</v>
      </c>
      <c r="J38" s="303" t="n">
        <f aca="false">SUMIF(Horodateur1123353819223134374346495255586164698522263438465058546266707478829098941021061141181101221261301341381421461501541581621661701741781821861901941982022062102144[Jour],$B38,Horodateur1123353819223134374346495255586164698522263438465058546266707478829098941021061141181101221261301341381421461501541581621661701741781821861901941982022062102144[Durée (100)])</f>
        <v>6</v>
      </c>
      <c r="K38" s="335"/>
      <c r="L38" s="188" t="s">
        <v>31</v>
      </c>
      <c r="M38" s="272" t="n">
        <f aca="false">IF(Horodateur1123353819223134374346495255586164698522263438465058546266707478829098941021061141181101221261301341381421461501541581621661701741781821861901941982022062102144[[#This Row],[O]]="o",Horodateur1123353819223134374346495255586164698522263438465058546266707478829098941021061141181101221261301341381421461501541581621661701741781821861901941982022062102144[[#This Row],[Durée (100)]],".")</f>
        <v>0.500000000000001</v>
      </c>
      <c r="N38" s="187"/>
      <c r="O38" s="71"/>
      <c r="P38" s="71"/>
      <c r="Q38" s="71"/>
      <c r="R38" s="71"/>
      <c r="S38" s="71"/>
      <c r="T38" s="71"/>
      <c r="U38" s="71"/>
      <c r="V38" s="71"/>
      <c r="W38" s="71"/>
      <c r="X38" s="71"/>
      <c r="Y38" s="71"/>
      <c r="Z38" s="71"/>
      <c r="AA38" s="71"/>
      <c r="AB38" s="71"/>
      <c r="AC38" s="71"/>
      <c r="AD38" s="71"/>
      <c r="AE38" s="71"/>
      <c r="AF38" s="71"/>
      <c r="AG38" s="71"/>
    </row>
    <row r="39" customFormat="false" ht="15" hidden="false" customHeight="false" outlineLevel="0" collapsed="false">
      <c r="A39" s="256" t="n">
        <f aca="false">IF(Horodateur1123353819223134374346495255586164698522263438465058546266707478829098941021061141181101221261301341381421461501541581621661701741781821861901941982022062102144[[#This Row],[Jour]]="1- Lundi",$B$1+1, IF(Horodateur1123353819223134374346495255586164698522263438465058546266707478829098941021061141181101221261301341381421461501541581621661701741781821861901941982022062102144[[#This Row],[Jour]]="2- Mardi",$B$1+2, IF(Horodateur1123353819223134374346495255586164698522263438465058546266707478829098941021061141181101221261301341381421461501541581621661701741781821861901941982022062102144[[#This Row],[Jour]]="3- Mercredi",$B$1+3, IF(Horodateur1123353819223134374346495255586164698522263438465058546266707478829098941021061141181101221261301341381421461501541581621661701741781821861901941982022062102144[[#This Row],[Jour]]="4- Jeudi",$B$1+4, IF(Horodateur1123353819223134374346495255586164698522263438465058546266707478829098941021061141181101221261301341381421461501541581621661701741781821861901941982022062102144[[#This Row],[Jour]]="5- Vendredi",$B$1+5, IF(Horodateur1123353819223134374346495255586164698522263438465058546266707478829098941021061141181101221261301341381421461501541581621661701741781821861901941982022062102144[[#This Row],[Jour]]="6- Samedi",$B$1+6, IF(Horodateur1123353819223134374346495255586164698522263438465058546266707478829098941021061141181101221261301341381421461501541581621661701741781821861901941982022062102144[[#This Row],[Jour]]="7- Dimanche",$B$1, )))))))</f>
        <v>44212</v>
      </c>
      <c r="B39" s="257" t="s">
        <v>335</v>
      </c>
      <c r="C39" s="258" t="n">
        <v>0.572916666666667</v>
      </c>
      <c r="D39" s="258" t="n">
        <v>0.604166666666667</v>
      </c>
      <c r="E39" s="71" t="s">
        <v>677</v>
      </c>
      <c r="F39" s="71" t="s">
        <v>378</v>
      </c>
      <c r="G39" s="259" t="s">
        <v>689</v>
      </c>
      <c r="H39" s="258" t="n">
        <f aca="false">IF($C39=0,"",$D39-$C39)</f>
        <v>0.03125</v>
      </c>
      <c r="I39" s="260" t="n">
        <f aca="false">IF($C39=0,"",($H39-INT($H39))*24)</f>
        <v>0.75</v>
      </c>
      <c r="J39" s="303" t="n">
        <f aca="false">SUMIF(Horodateur1123353819223134374346495255586164698522263438465058546266707478829098941021061141181101221261301341381421461501541581621661701741781821861901941982022062102144[Jour],$B39,Horodateur1123353819223134374346495255586164698522263438465058546266707478829098941021061141181101221261301341381421461501541581621661701741781821861901941982022062102144[Durée (100)])</f>
        <v>6</v>
      </c>
      <c r="K39" s="335"/>
      <c r="L39" s="188" t="s">
        <v>31</v>
      </c>
      <c r="M39" s="272" t="n">
        <f aca="false">IF(Horodateur1123353819223134374346495255586164698522263438465058546266707478829098941021061141181101221261301341381421461501541581621661701741781821861901941982022062102144[[#This Row],[O]]="o",Horodateur1123353819223134374346495255586164698522263438465058546266707478829098941021061141181101221261301341381421461501541581621661701741781821861901941982022062102144[[#This Row],[Durée (100)]],".")</f>
        <v>0.75</v>
      </c>
      <c r="N39" s="187"/>
      <c r="O39" s="71"/>
      <c r="P39" s="71"/>
      <c r="Q39" s="71"/>
      <c r="R39" s="71"/>
      <c r="S39" s="71"/>
      <c r="T39" s="71"/>
      <c r="U39" s="71"/>
      <c r="V39" s="71"/>
      <c r="W39" s="71"/>
      <c r="X39" s="71"/>
      <c r="Y39" s="71"/>
      <c r="Z39" s="71"/>
      <c r="AA39" s="71"/>
      <c r="AB39" s="71"/>
      <c r="AC39" s="71"/>
      <c r="AD39" s="71"/>
      <c r="AE39" s="71"/>
      <c r="AF39" s="71"/>
      <c r="AG39" s="71"/>
    </row>
    <row r="40" customFormat="false" ht="15" hidden="false" customHeight="false" outlineLevel="0" collapsed="false">
      <c r="A40" s="256" t="n">
        <f aca="false">IF(Horodateur1123353819223134374346495255586164698522263438465058546266707478829098941021061141181101221261301341381421461501541581621661701741781821861901941982022062102144[[#This Row],[Jour]]="1- Lundi",$B$1+1, IF(Horodateur1123353819223134374346495255586164698522263438465058546266707478829098941021061141181101221261301341381421461501541581621661701741781821861901941982022062102144[[#This Row],[Jour]]="2- Mardi",$B$1+2, IF(Horodateur1123353819223134374346495255586164698522263438465058546266707478829098941021061141181101221261301341381421461501541581621661701741781821861901941982022062102144[[#This Row],[Jour]]="3- Mercredi",$B$1+3, IF(Horodateur1123353819223134374346495255586164698522263438465058546266707478829098941021061141181101221261301341381421461501541581621661701741781821861901941982022062102144[[#This Row],[Jour]]="4- Jeudi",$B$1+4, IF(Horodateur1123353819223134374346495255586164698522263438465058546266707478829098941021061141181101221261301341381421461501541581621661701741781821861901941982022062102144[[#This Row],[Jour]]="5- Vendredi",$B$1+5, IF(Horodateur1123353819223134374346495255586164698522263438465058546266707478829098941021061141181101221261301341381421461501541581621661701741781821861901941982022062102144[[#This Row],[Jour]]="6- Samedi",$B$1+6, IF(Horodateur1123353819223134374346495255586164698522263438465058546266707478829098941021061141181101221261301341381421461501541581621661701741781821861901941982022062102144[[#This Row],[Jour]]="7- Dimanche",$B$1, )))))))</f>
        <v>44212</v>
      </c>
      <c r="B40" s="257" t="s">
        <v>335</v>
      </c>
      <c r="C40" s="258" t="n">
        <v>0.604166666666667</v>
      </c>
      <c r="D40" s="258" t="n">
        <v>0.635416666666667</v>
      </c>
      <c r="E40" s="71" t="s">
        <v>32</v>
      </c>
      <c r="F40" s="71" t="s">
        <v>21</v>
      </c>
      <c r="G40" s="259"/>
      <c r="H40" s="258" t="n">
        <f aca="false">IF($C40=0,"",$D40-$C40)</f>
        <v>0.03125</v>
      </c>
      <c r="I40" s="260" t="n">
        <f aca="false">IF($C40=0,"",($H40-INT($H40))*24)</f>
        <v>0.75</v>
      </c>
      <c r="J40" s="303" t="n">
        <f aca="false">SUMIF(Horodateur1123353819223134374346495255586164698522263438465058546266707478829098941021061141181101221261301341381421461501541581621661701741781821861901941982022062102144[Jour],$B40,Horodateur1123353819223134374346495255586164698522263438465058546266707478829098941021061141181101221261301341381421461501541581621661701741781821861901941982022062102144[Durée (100)])</f>
        <v>6</v>
      </c>
      <c r="K40" s="335"/>
      <c r="L40" s="188" t="s">
        <v>31</v>
      </c>
      <c r="M40" s="272" t="n">
        <f aca="false">IF(Horodateur1123353819223134374346495255586164698522263438465058546266707478829098941021061141181101221261301341381421461501541581621661701741781821861901941982022062102144[[#This Row],[O]]="o",Horodateur1123353819223134374346495255586164698522263438465058546266707478829098941021061141181101221261301341381421461501541581621661701741781821861901941982022062102144[[#This Row],[Durée (100)]],".")</f>
        <v>0.75</v>
      </c>
      <c r="N40" s="187"/>
      <c r="O40" s="71"/>
      <c r="P40" s="71"/>
      <c r="Q40" s="71"/>
      <c r="R40" s="71"/>
      <c r="S40" s="71"/>
      <c r="T40" s="71"/>
      <c r="U40" s="71"/>
      <c r="V40" s="71"/>
      <c r="W40" s="71"/>
      <c r="X40" s="71"/>
      <c r="Y40" s="71"/>
      <c r="Z40" s="71"/>
      <c r="AA40" s="71"/>
      <c r="AB40" s="71"/>
      <c r="AC40" s="71"/>
      <c r="AD40" s="71"/>
      <c r="AE40" s="71"/>
      <c r="AF40" s="71"/>
      <c r="AG40" s="71"/>
    </row>
    <row r="41" customFormat="false" ht="15" hidden="false" customHeight="false" outlineLevel="0" collapsed="false">
      <c r="A41" s="137"/>
      <c r="B41" s="187"/>
      <c r="C41" s="71"/>
      <c r="D41" s="1"/>
      <c r="E41" s="1"/>
      <c r="F41" s="71"/>
      <c r="G41" s="340"/>
      <c r="H41" s="1"/>
      <c r="I41" s="119"/>
      <c r="J41" s="271"/>
      <c r="K41" s="1"/>
      <c r="L41" s="188"/>
      <c r="M41" s="272"/>
      <c r="N41" s="187"/>
      <c r="O41" s="71"/>
      <c r="P41" s="71"/>
      <c r="Q41" s="71"/>
      <c r="R41" s="71"/>
      <c r="S41" s="71"/>
      <c r="T41" s="71"/>
      <c r="U41" s="71"/>
      <c r="V41" s="71"/>
      <c r="W41" s="71"/>
      <c r="X41" s="71"/>
      <c r="Y41" s="71"/>
      <c r="Z41" s="71"/>
      <c r="AA41" s="71"/>
      <c r="AB41" s="71"/>
      <c r="AC41" s="71"/>
      <c r="AD41" s="71"/>
      <c r="AE41" s="71"/>
      <c r="AF41" s="71"/>
      <c r="AG41" s="71"/>
    </row>
    <row r="42" customFormat="false" ht="15" hidden="false" customHeight="false" outlineLevel="0" collapsed="false">
      <c r="A42" s="137"/>
      <c r="B42" s="187"/>
      <c r="C42" s="71"/>
      <c r="D42" s="1"/>
      <c r="E42" s="1"/>
      <c r="F42" s="71"/>
      <c r="G42" s="1"/>
      <c r="H42" s="1"/>
      <c r="I42" s="119"/>
      <c r="J42" s="271"/>
      <c r="K42" s="1"/>
      <c r="L42" s="188"/>
      <c r="M42" s="272"/>
      <c r="N42" s="187"/>
      <c r="O42" s="71"/>
      <c r="P42" s="71"/>
      <c r="Q42" s="71"/>
      <c r="R42" s="71"/>
      <c r="S42" s="71"/>
      <c r="T42" s="71"/>
      <c r="U42" s="71"/>
      <c r="V42" s="71"/>
      <c r="W42" s="71"/>
      <c r="X42" s="71"/>
      <c r="Y42" s="71"/>
      <c r="Z42" s="71"/>
      <c r="AA42" s="71"/>
      <c r="AB42" s="71"/>
      <c r="AC42" s="71"/>
      <c r="AD42" s="71"/>
      <c r="AE42" s="71"/>
      <c r="AF42" s="71"/>
      <c r="AG42" s="71"/>
    </row>
    <row r="43" customFormat="false" ht="15" hidden="false" customHeight="false" outlineLevel="0" collapsed="false">
      <c r="A43" s="137"/>
      <c r="B43" s="187"/>
      <c r="C43" s="71"/>
      <c r="D43" s="1"/>
      <c r="E43" s="1"/>
      <c r="F43" s="71"/>
      <c r="G43" s="1"/>
      <c r="H43" s="1"/>
      <c r="I43" s="119"/>
      <c r="J43" s="271"/>
      <c r="K43" s="1"/>
      <c r="L43" s="188"/>
      <c r="N43" s="187"/>
      <c r="O43" s="71"/>
      <c r="P43" s="71"/>
      <c r="Q43" s="71"/>
      <c r="R43" s="71"/>
      <c r="S43" s="71"/>
      <c r="T43" s="71"/>
      <c r="U43" s="71"/>
      <c r="V43" s="71"/>
      <c r="W43" s="71"/>
      <c r="X43" s="71"/>
      <c r="Y43" s="71"/>
      <c r="Z43" s="71"/>
      <c r="AA43" s="71"/>
      <c r="AB43" s="71"/>
      <c r="AC43" s="71"/>
      <c r="AD43" s="71"/>
      <c r="AE43" s="71"/>
      <c r="AF43" s="71"/>
      <c r="AG43" s="71"/>
    </row>
    <row r="44" customFormat="false" ht="15" hidden="false" customHeight="false" outlineLevel="0" collapsed="false">
      <c r="A44" s="274" t="s">
        <v>377</v>
      </c>
      <c r="B44" s="275" t="str">
        <f aca="false">SUM($A$90:$A$520) &amp; " heures"</f>
        <v>26.75 heures</v>
      </c>
      <c r="C44" s="276" t="str">
        <f aca="false">SUM($A$90:$A$511) / 8 &amp; " Jours"</f>
        <v>3.34375 Jours</v>
      </c>
      <c r="D44" s="277"/>
      <c r="E44" s="277" t="n">
        <v>33.25</v>
      </c>
      <c r="F44" s="278" t="n">
        <f aca="false">E44/8</f>
        <v>4.15625</v>
      </c>
      <c r="G44" s="277"/>
      <c r="H44" s="277"/>
      <c r="I44" s="279"/>
      <c r="J44" s="280"/>
      <c r="K44" s="277"/>
      <c r="L44" s="281"/>
      <c r="M44" s="282"/>
      <c r="N44" s="283"/>
      <c r="O44" s="277"/>
      <c r="P44" s="277"/>
      <c r="Q44" s="277"/>
      <c r="R44" s="277"/>
      <c r="S44" s="277"/>
      <c r="T44" s="277"/>
      <c r="U44" s="278"/>
      <c r="V44" s="278"/>
      <c r="W44" s="278"/>
      <c r="X44" s="278"/>
      <c r="Y44" s="278"/>
      <c r="Z44" s="278"/>
      <c r="AA44" s="278"/>
      <c r="AB44" s="278"/>
      <c r="AC44" s="278"/>
      <c r="AD44" s="278"/>
      <c r="AE44" s="278"/>
      <c r="AF44" s="278"/>
      <c r="AG44" s="278"/>
    </row>
    <row r="45" customFormat="false" ht="15" hidden="false" customHeight="false" outlineLevel="0" collapsed="false">
      <c r="A45" s="137"/>
      <c r="B45" s="187"/>
      <c r="C45" s="71"/>
      <c r="D45" s="1"/>
      <c r="E45" s="1"/>
      <c r="F45" s="71"/>
      <c r="G45" s="1"/>
      <c r="H45" s="1"/>
      <c r="I45" s="119"/>
      <c r="J45" s="271"/>
      <c r="K45" s="1"/>
      <c r="L45" s="188"/>
      <c r="M45" s="272"/>
      <c r="N45" s="187"/>
      <c r="O45" s="1"/>
      <c r="P45" s="1"/>
      <c r="Q45" s="1"/>
      <c r="R45" s="1"/>
      <c r="S45" s="1"/>
      <c r="T45" s="1"/>
      <c r="U45" s="71"/>
      <c r="V45" s="71"/>
      <c r="W45" s="71"/>
      <c r="X45" s="71"/>
      <c r="Y45" s="71"/>
      <c r="Z45" s="71"/>
      <c r="AA45" s="71"/>
      <c r="AB45" s="71"/>
      <c r="AC45" s="71"/>
      <c r="AD45" s="71"/>
      <c r="AE45" s="71"/>
      <c r="AF45" s="71"/>
      <c r="AG45" s="71"/>
    </row>
    <row r="46" customFormat="false" ht="15" hidden="true" customHeight="false" outlineLevel="1" collapsed="false">
      <c r="A46" s="137"/>
      <c r="B46" s="137"/>
      <c r="C46" s="137"/>
      <c r="D46" s="137"/>
      <c r="E46" s="1"/>
      <c r="F46" s="71"/>
      <c r="G46" s="1"/>
      <c r="H46" s="1"/>
      <c r="I46" s="119"/>
      <c r="J46" s="271"/>
      <c r="K46" s="1"/>
      <c r="L46" s="188"/>
      <c r="M46" s="272"/>
      <c r="N46" s="187"/>
      <c r="O46" s="1"/>
      <c r="P46" s="1"/>
      <c r="Q46" s="1"/>
      <c r="R46" s="1"/>
      <c r="S46" s="1"/>
      <c r="T46" s="1"/>
      <c r="U46" s="71"/>
      <c r="V46" s="71"/>
      <c r="W46" s="71"/>
      <c r="X46" s="71"/>
      <c r="Y46" s="71"/>
      <c r="Z46" s="71"/>
      <c r="AA46" s="71"/>
      <c r="AB46" s="71"/>
      <c r="AC46" s="71"/>
      <c r="AD46" s="71"/>
      <c r="AE46" s="71"/>
      <c r="AF46" s="71"/>
      <c r="AG46" s="71"/>
    </row>
    <row r="47" customFormat="false" ht="15" hidden="true" customHeight="false" outlineLevel="1" collapsed="false">
      <c r="A47" s="284" t="s">
        <v>84</v>
      </c>
      <c r="B47" s="285" t="s">
        <v>21</v>
      </c>
      <c r="C47" s="285" t="s">
        <v>20</v>
      </c>
      <c r="D47" s="285" t="s">
        <v>23</v>
      </c>
      <c r="E47" s="285" t="s">
        <v>25</v>
      </c>
      <c r="F47" s="285" t="s">
        <v>26</v>
      </c>
      <c r="G47" s="285" t="s">
        <v>378</v>
      </c>
      <c r="H47" s="285" t="s">
        <v>379</v>
      </c>
      <c r="I47" s="285" t="s">
        <v>380</v>
      </c>
      <c r="J47" s="286" t="s">
        <v>58</v>
      </c>
      <c r="K47" s="287"/>
      <c r="L47" s="288"/>
      <c r="M47" s="289"/>
      <c r="N47" s="187"/>
      <c r="O47" s="1"/>
      <c r="P47" s="1"/>
      <c r="Q47" s="1"/>
      <c r="R47" s="1"/>
      <c r="S47" s="1"/>
      <c r="T47" s="71"/>
      <c r="U47" s="71"/>
      <c r="V47" s="71"/>
      <c r="W47" s="71"/>
      <c r="X47" s="71"/>
      <c r="Y47" s="71"/>
      <c r="Z47" s="71"/>
      <c r="AA47" s="71"/>
      <c r="AB47" s="71"/>
      <c r="AC47" s="71"/>
      <c r="AD47" s="71"/>
      <c r="AE47" s="71"/>
      <c r="AF47" s="71"/>
    </row>
    <row r="48" customFormat="false" ht="15" hidden="true" customHeight="false" outlineLevel="1" collapsed="false">
      <c r="A48" s="187" t="s">
        <v>312</v>
      </c>
      <c r="B48" s="71" t="n">
        <f aca="false">SUMIFS(Horodateur1123353819223134374346495255586164698522263438465058546266707478829098941021061141181101221261301341381421461501541581621661701741781821861901941982022062102144[Durée (100)],Horodateur1123353819223134374346495255586164698522263438465058546266707478829098941021061141181101221261301341381421461501541581621661701741781821861901941982022062102144[Tâche],Taches_Jours1224363917202932354144475053565962678320243236444856526064687276808896921001041121161081201241281321361401441481521561601641681721761801841881921962002042082122[[#Headers],[GB]],Horodateur1123353819223134374346495255586164698522263438465058546266707478829098941021061141181101221261301341381421461501541581621661701741781821861901941982022062102144[Jour],Taches_Jours1224363917202932354144475053565962678320243236444856526064687276808896921001041121161081201241281321361401441481521561601641681721761801841881921962002042082122[[#This Row],[Jours]])</f>
        <v>0.999999999999999</v>
      </c>
      <c r="C48" s="71" t="n">
        <f aca="false">SUMIFS(Horodateur1123353819223134374346495255586164698522263438465058546266707478829098941021061141181101221261301341381421461501541581621661701741781821861901941982022062102144[Durée (100)],Horodateur1123353819223134374346495255586164698522263438465058546266707478829098941021061141181101221261301341381421461501541581621661701741781821861901941982022062102144[Tâche],Taches_Jours1224363917202932354144475053565962678320243236444856526064687276808896921001041121161081201241281321361401441481521561601641681721761801841881921962002042082122[[#Headers],[RI]],Horodateur1123353819223134374346495255586164698522263438465058546266707478829098941021061141181101221261301341381421461501541581621661701741781821861901941982022062102144[Jour],Taches_Jours1224363917202932354144475053565962678320243236444856526064687276808896921001041121161081201241281321361401441481521561601641681721761801841881921962002042082122[[#This Row],[Jours]])</f>
        <v>0.500000000000001</v>
      </c>
      <c r="D48" s="71" t="n">
        <f aca="false">SUMIFS(Horodateur1123353819223134374346495255586164698522263438465058546266707478829098941021061141181101221261301341381421461501541581621661701741781821861901941982022062102144[Durée (100)],Horodateur1123353819223134374346495255586164698522263438465058546266707478829098941021061141181101221261301341381421461501541581621661701741781821861901941982022062102144[Tâche],Taches_Jours1224363917202932354144475053565962678320243236444856526064687276808896921001041121161081201241281321361401441481521561601641681721761801841881921962002042082122[[#Headers],[FG]],Horodateur1123353819223134374346495255586164698522263438465058546266707478829098941021061141181101221261301341381421461501541581621661701741781821861901941982022062102144[Jour],Taches_Jours1224363917202932354144475053565962678320243236444856526064687276808896921001041121161081201241281321361401441481521561601641681721761801841881921962002042082122[[#This Row],[Jours]])</f>
        <v>0.5</v>
      </c>
      <c r="E48" s="71" t="n">
        <f aca="false">SUMIFS(Horodateur1123353819223134374346495255586164698522263438465058546266707478829098941021061141181101221261301341381421461501541581621661701741781821861901941982022062102144[Durée (100)],Horodateur1123353819223134374346495255586164698522263438465058546266707478829098941021061141181101221261301341381421461501541581621661701741781821861901941982022062102144[Tâche],Taches_Jours1224363917202932354144475053565962678320243236444856526064687276808896921001041121161081201241281321361401441481521561601641681721761801841881921962002042082122[[#Headers],[PS]],Horodateur1123353819223134374346495255586164698522263438465058546266707478829098941021061141181101221261301341381421461501541581621661701741781821861901941982022062102144[Jour],Taches_Jours1224363917202932354144475053565962678320243236444856526064687276808896921001041121161081201241281321361401441481521561601641681721761801841881921962002042082122[[#This Row],[Jours]])</f>
        <v>0</v>
      </c>
      <c r="F48" s="71" t="n">
        <f aca="false">SUMIFS(Horodateur1123353819223134374346495255586164698522263438465058546266707478829098941021061141181101221261301341381421461501541581621661701741781821861901941982022062102144[Durée (100)],Horodateur1123353819223134374346495255586164698522263438465058546266707478829098941021061141181101221261301341381421461501541581621661701741781821861901941982022062102144[Tâche],Taches_Jours1224363917202932354144475053565962678320243236444856526064687276808896921001041121161081201241281321361401441481521561601641681721761801841881921962002042082122[[#Headers],[TD]],Horodateur1123353819223134374346495255586164698522263438465058546266707478829098941021061141181101221261301341381421461501541581621661701741781821861901941982022062102144[Jour],Taches_Jours1224363917202932354144475053565962678320243236444856526064687276808896921001041121161081201241281321361401441481521561601641681721761801841881921962002042082122[[#This Row],[Jours]])</f>
        <v>0</v>
      </c>
      <c r="G48" s="71" t="n">
        <f aca="false">SUMIFS(Horodateur1123353819223134374346495255586164698522263438465058546266707478829098941021061141181101221261301341381421461501541581621661701741781821861901941982022062102144[Durée (100)],Horodateur1123353819223134374346495255586164698522263438465058546266707478829098941021061141181101221261301341381421461501541581621661701741781821861901941982022062102144[Tâche],Taches_Jours1224363917202932354144475053565962678320243236444856526064687276808896921001041121161081201241281321361401441481521561601641681721761801841881921962002042082122[[#Headers],[GP]],Horodateur1123353819223134374346495255586164698522263438465058546266707478829098941021061141181101221261301341381421461501541581621661701741781821861901941982022062102144[Jour],Taches_Jours1224363917202932354144475053565962678320243236444856526064687276808896921001041121161081201241281321361401441481521561601641681721761801841881921962002042082122[[#This Row],[Jours]])</f>
        <v>3.75</v>
      </c>
      <c r="H48" s="71" t="n">
        <f aca="false">SUMIFS(Horodateur1123353819223134374346495255586164698522263438465058546266707478829098941021061141181101221261301341381421461501541581621661701741781821861901941982022062102144[Durée (100)],Horodateur1123353819223134374346495255586164698522263438465058546266707478829098941021061141181101221261301341381421461501541581621661701741781821861901941982022062102144[Tâche],Taches_Jours1224363917202932354144475053565962678320243236444856526064687276808896921001041121161081201241281321361401441481521561601641681721761801841881921962002042082122[[#Headers],[GP / SP]],Horodateur1123353819223134374346495255586164698522263438465058546266707478829098941021061141181101221261301341381421461501541581621661701741781821861901941982022062102144[Jour],Taches_Jours1224363917202932354144475053565962678320243236444856526064687276808896921001041121161081201241281321361401441481521561601641681721761801841881921962002042082122[[#This Row],[Jours]])</f>
        <v>0.999999999999999</v>
      </c>
      <c r="I48" s="71" t="n">
        <f aca="false">SUMIFS(Horodateur1123353819223134374346495255586164698522263438465058546266707478829098941021061141181101221261301341381421461501541581621661701741781821861901941982022062102144[Durée (100)],Horodateur1123353819223134374346495255586164698522263438465058546266707478829098941021061141181101221261301341381421461501541581621661701741781821861901941982022062102144[Tâche],Taches_Jours1224363917202932354144475053565962678320243236444856526064687276808896921001041121161081201241281321361401441481521561601641681721761801841881921962002042082122[[#Headers],[GP / SP]],Horodateur1123353819223134374346495255586164698522263438465058546266707478829098941021061141181101221261301341381421461501541581621661701741781821861901941982022062102144[Jour],Taches_Jours1224363917202932354144475053565962678320243236444856526064687276808896921001041121161081201241281321361401441481521561601641681721761801841881921962002042082122[[#This Row],[Jours]])</f>
        <v>0.999999999999999</v>
      </c>
      <c r="J48" s="290" t="n">
        <f aca="false">SUM(Taches_Jours1224363917202932354144475053565962678320243236444856526064687276808896921001041121161081201241281321361401441481521561601641681721761801841881921962002042082122[[#This Row],[GB]:[GP / SP]])</f>
        <v>6.75</v>
      </c>
      <c r="K48" s="188"/>
      <c r="L48" s="288"/>
      <c r="M48" s="289"/>
      <c r="N48" s="187"/>
      <c r="O48" s="1"/>
      <c r="P48" s="1"/>
      <c r="Q48" s="1"/>
      <c r="R48" s="1"/>
      <c r="S48" s="1"/>
      <c r="T48" s="71"/>
      <c r="U48" s="71"/>
      <c r="V48" s="71"/>
      <c r="W48" s="71"/>
      <c r="X48" s="71"/>
      <c r="Y48" s="71"/>
      <c r="Z48" s="71"/>
      <c r="AA48" s="71"/>
      <c r="AB48" s="71"/>
      <c r="AC48" s="71"/>
      <c r="AD48" s="71"/>
      <c r="AE48" s="71"/>
      <c r="AF48" s="71"/>
    </row>
    <row r="49" customFormat="false" ht="15" hidden="true" customHeight="false" outlineLevel="1" collapsed="false">
      <c r="A49" s="187" t="s">
        <v>319</v>
      </c>
      <c r="B49" s="71" t="n">
        <f aca="false">SUMIFS(Horodateur1123353819223134374346495255586164698522263438465058546266707478829098941021061141181101221261301341381421461501541581621661701741781821861901941982022062102144[Durée (100)],Horodateur1123353819223134374346495255586164698522263438465058546266707478829098941021061141181101221261301341381421461501541581621661701741781821861901941982022062102144[Tâche],Taches_Jours1224363917202932354144475053565962678320243236444856526064687276808896921001041121161081201241281321361401441481521561601641681721761801841881921962002042082122[[#Headers],[GB]],Horodateur1123353819223134374346495255586164698522263438465058546266707478829098941021061141181101221261301341381421461501541581621661701741781821861901941982022062102144[Jour],Taches_Jours1224363917202932354144475053565962678320243236444856526064687276808896921001041121161081201241281321361401441481521561601641681721761801841881921962002042082122[[#This Row],[Jours]])</f>
        <v>0.75</v>
      </c>
      <c r="C49" s="71" t="n">
        <f aca="false">SUMIFS(Horodateur1123353819223134374346495255586164698522263438465058546266707478829098941021061141181101221261301341381421461501541581621661701741781821861901941982022062102144[Durée (100)],Horodateur1123353819223134374346495255586164698522263438465058546266707478829098941021061141181101221261301341381421461501541581621661701741781821861901941982022062102144[Tâche],Taches_Jours1224363917202932354144475053565962678320243236444856526064687276808896921001041121161081201241281321361401441481521561601641681721761801841881921962002042082122[[#Headers],[RI]],Horodateur1123353819223134374346495255586164698522263438465058546266707478829098941021061141181101221261301341381421461501541581621661701741781821861901941982022062102144[Jour],Taches_Jours1224363917202932354144475053565962678320243236444856526064687276808896921001041121161081201241281321361401441481521561601641681721761801841881921962002042082122[[#This Row],[Jours]])</f>
        <v>0</v>
      </c>
      <c r="D49" s="71" t="n">
        <f aca="false">SUMIFS(Horodateur1123353819223134374346495255586164698522263438465058546266707478829098941021061141181101221261301341381421461501541581621661701741781821861901941982022062102144[Durée (100)],Horodateur1123353819223134374346495255586164698522263438465058546266707478829098941021061141181101221261301341381421461501541581621661701741781821861901941982022062102144[Tâche],Taches_Jours1224363917202932354144475053565962678320243236444856526064687276808896921001041121161081201241281321361401441481521561601641681721761801841881921962002042082122[[#Headers],[FG]],Horodateur1123353819223134374346495255586164698522263438465058546266707478829098941021061141181101221261301341381421461501541581621661701741781821861901941982022062102144[Jour],Taches_Jours1224363917202932354144475053565962678320243236444856526064687276808896921001041121161081201241281321361401441481521561601641681721761801841881921962002042082122[[#This Row],[Jours]])</f>
        <v>0</v>
      </c>
      <c r="E49" s="71" t="n">
        <f aca="false">SUMIFS(Horodateur1123353819223134374346495255586164698522263438465058546266707478829098941021061141181101221261301341381421461501541581621661701741781821861901941982022062102144[Durée (100)],Horodateur1123353819223134374346495255586164698522263438465058546266707478829098941021061141181101221261301341381421461501541581621661701741781821861901941982022062102144[Tâche],Taches_Jours1224363917202932354144475053565962678320243236444856526064687276808896921001041121161081201241281321361401441481521561601641681721761801841881921962002042082122[[#Headers],[PS]],Horodateur1123353819223134374346495255586164698522263438465058546266707478829098941021061141181101221261301341381421461501541581621661701741781821861901941982022062102144[Jour],Taches_Jours1224363917202932354144475053565962678320243236444856526064687276808896921001041121161081201241281321361401441481521561601641681721761801841881921962002042082122[[#This Row],[Jours]])</f>
        <v>0</v>
      </c>
      <c r="F49" s="71" t="n">
        <f aca="false">SUMIFS(Horodateur1123353819223134374346495255586164698522263438465058546266707478829098941021061141181101221261301341381421461501541581621661701741781821861901941982022062102144[Durée (100)],Horodateur1123353819223134374346495255586164698522263438465058546266707478829098941021061141181101221261301341381421461501541581621661701741781821861901941982022062102144[Tâche],Taches_Jours1224363917202932354144475053565962678320243236444856526064687276808896921001041121161081201241281321361401441481521561601641681721761801841881921962002042082122[[#Headers],[TD]],Horodateur1123353819223134374346495255586164698522263438465058546266707478829098941021061141181101221261301341381421461501541581621661701741781821861901941982022062102144[Jour],Taches_Jours1224363917202932354144475053565962678320243236444856526064687276808896921001041121161081201241281321361401441481521561601641681721761801841881921962002042082122[[#This Row],[Jours]])</f>
        <v>0</v>
      </c>
      <c r="G49" s="71" t="n">
        <f aca="false">SUMIFS(Horodateur1123353819223134374346495255586164698522263438465058546266707478829098941021061141181101221261301341381421461501541581621661701741781821861901941982022062102144[Durée (100)],Horodateur1123353819223134374346495255586164698522263438465058546266707478829098941021061141181101221261301341381421461501541581621661701741781821861901941982022062102144[Tâche],Taches_Jours1224363917202932354144475053565962678320243236444856526064687276808896921001041121161081201241281321361401441481521561601641681721761801841881921962002042082122[[#Headers],[GP]],Horodateur1123353819223134374346495255586164698522263438465058546266707478829098941021061141181101221261301341381421461501541581621661701741781821861901941982022062102144[Jour],Taches_Jours1224363917202932354144475053565962678320243236444856526064687276808896921001041121161081201241281321361401441481521561601641681721761801841881921962002042082122[[#This Row],[Jours]])</f>
        <v>3.75</v>
      </c>
      <c r="H49" s="71" t="n">
        <f aca="false">SUMIFS(Horodateur1123353819223134374346495255586164698522263438465058546266707478829098941021061141181101221261301341381421461501541581621661701741781821861901941982022062102144[Durée (100)],Horodateur1123353819223134374346495255586164698522263438465058546266707478829098941021061141181101221261301341381421461501541581621661701741781821861901941982022062102144[Tâche],Taches_Jours1224363917202932354144475053565962678320243236444856526064687276808896921001041121161081201241281321361401441481521561601641681721761801841881921962002042082122[[#Headers],[GP / SP]],Horodateur1123353819223134374346495255586164698522263438465058546266707478829098941021061141181101221261301341381421461501541581621661701741781821861901941982022062102144[Jour],Taches_Jours1224363917202932354144475053565962678320243236444856526064687276808896921001041121161081201241281321361401441481521561601641681721761801841881921962002042082122[[#This Row],[Jours]])</f>
        <v>0</v>
      </c>
      <c r="I49" s="71" t="n">
        <f aca="false">SUMIFS(Horodateur1123353819223134374346495255586164698522263438465058546266707478829098941021061141181101221261301341381421461501541581621661701741781821861901941982022062102144[Durée (100)],Horodateur1123353819223134374346495255586164698522263438465058546266707478829098941021061141181101221261301341381421461501541581621661701741781821861901941982022062102144[Tâche],Taches_Jours1224363917202932354144475053565962678320243236444856526064687276808896921001041121161081201241281321361401441481521561601641681721761801841881921962002042082122[[#Headers],[GP / SP]],Horodateur1123353819223134374346495255586164698522263438465058546266707478829098941021061141181101221261301341381421461501541581621661701741781821861901941982022062102144[Jour],Taches_Jours1224363917202932354144475053565962678320243236444856526064687276808896921001041121161081201241281321361401441481521561601641681721761801841881921962002042082122[[#This Row],[Jours]])</f>
        <v>0</v>
      </c>
      <c r="J49" s="290" t="n">
        <f aca="false">SUM(Taches_Jours1224363917202932354144475053565962678320243236444856526064687276808896921001041121161081201241281321361401441481521561601641681721761801841881921962002042082122[[#This Row],[GB]:[GP / SP]])</f>
        <v>4.5</v>
      </c>
      <c r="K49" s="188"/>
      <c r="L49" s="288"/>
      <c r="M49" s="289"/>
      <c r="N49" s="187"/>
      <c r="O49" s="1"/>
      <c r="P49" s="1"/>
      <c r="Q49" s="1"/>
      <c r="R49" s="1"/>
      <c r="S49" s="1"/>
      <c r="T49" s="71"/>
      <c r="U49" s="71"/>
      <c r="V49" s="71"/>
      <c r="W49" s="71"/>
      <c r="X49" s="71"/>
      <c r="Y49" s="71"/>
      <c r="Z49" s="71"/>
      <c r="AA49" s="71"/>
      <c r="AB49" s="71"/>
      <c r="AC49" s="71"/>
      <c r="AD49" s="71"/>
      <c r="AE49" s="71"/>
      <c r="AF49" s="71"/>
    </row>
    <row r="50" customFormat="false" ht="15" hidden="true" customHeight="false" outlineLevel="1" collapsed="false">
      <c r="A50" s="187" t="s">
        <v>324</v>
      </c>
      <c r="B50" s="71" t="n">
        <f aca="false">SUMIFS(Horodateur1123353819223134374346495255586164698522263438465058546266707478829098941021061141181101221261301341381421461501541581621661701741781821861901941982022062102144[Durée (100)],Horodateur1123353819223134374346495255586164698522263438465058546266707478829098941021061141181101221261301341381421461501541581621661701741781821861901941982022062102144[Tâche],Taches_Jours1224363917202932354144475053565962678320243236444856526064687276808896921001041121161081201241281321361401441481521561601641681721761801841881921962002042082122[[#Headers],[GB]],Horodateur1123353819223134374346495255586164698522263438465058546266707478829098941021061141181101221261301341381421461501541581621661701741781821861901941982022062102144[Jour],Taches_Jours1224363917202932354144475053565962678320243236444856526064687276808896921001041121161081201241281321361401441481521561601641681721761801841881921962002042082122[[#This Row],[Jours]])</f>
        <v>0.250000000000002</v>
      </c>
      <c r="C50" s="71" t="n">
        <f aca="false">SUMIFS(Horodateur1123353819223134374346495255586164698522263438465058546266707478829098941021061141181101221261301341381421461501541581621661701741781821861901941982022062102144[Durée (100)],Horodateur1123353819223134374346495255586164698522263438465058546266707478829098941021061141181101221261301341381421461501541581621661701741781821861901941982022062102144[Tâche],Taches_Jours1224363917202932354144475053565962678320243236444856526064687276808896921001041121161081201241281321361401441481521561601641681721761801841881921962002042082122[[#Headers],[RI]],Horodateur1123353819223134374346495255586164698522263438465058546266707478829098941021061141181101221261301341381421461501541581621661701741781821861901941982022062102144[Jour],Taches_Jours1224363917202932354144475053565962678320243236444856526064687276808896921001041121161081201241281321361401441481521561601641681721761801841881921962002042082122[[#This Row],[Jours]])</f>
        <v>0</v>
      </c>
      <c r="D50" s="71" t="n">
        <f aca="false">SUMIFS(Horodateur1123353819223134374346495255586164698522263438465058546266707478829098941021061141181101221261301341381421461501541581621661701741781821861901941982022062102144[Durée (100)],Horodateur1123353819223134374346495255586164698522263438465058546266707478829098941021061141181101221261301341381421461501541581621661701741781821861901941982022062102144[Tâche],Taches_Jours1224363917202932354144475053565962678320243236444856526064687276808896921001041121161081201241281321361401441481521561601641681721761801841881921962002042082122[[#Headers],[FG]],Horodateur1123353819223134374346495255586164698522263438465058546266707478829098941021061141181101221261301341381421461501541581621661701741781821861901941982022062102144[Jour],Taches_Jours1224363917202932354144475053565962678320243236444856526064687276808896921001041121161081201241281321361401441481521561601641681721761801841881921962002042082122[[#This Row],[Jours]])</f>
        <v>0</v>
      </c>
      <c r="E50" s="71" t="n">
        <f aca="false">SUMIFS(Horodateur1123353819223134374346495255586164698522263438465058546266707478829098941021061141181101221261301341381421461501541581621661701741781821861901941982022062102144[Durée (100)],Horodateur1123353819223134374346495255586164698522263438465058546266707478829098941021061141181101221261301341381421461501541581621661701741781821861901941982022062102144[Tâche],Taches_Jours1224363917202932354144475053565962678320243236444856526064687276808896921001041121161081201241281321361401441481521561601641681721761801841881921962002042082122[[#Headers],[PS]],Horodateur1123353819223134374346495255586164698522263438465058546266707478829098941021061141181101221261301341381421461501541581621661701741781821861901941982022062102144[Jour],Taches_Jours1224363917202932354144475053565962678320243236444856526064687276808896921001041121161081201241281321361401441481521561601641681721761801841881921962002042082122[[#This Row],[Jours]])</f>
        <v>0</v>
      </c>
      <c r="F50" s="71" t="n">
        <f aca="false">SUMIFS(Horodateur1123353819223134374346495255586164698522263438465058546266707478829098941021061141181101221261301341381421461501541581621661701741781821861901941982022062102144[Durée (100)],Horodateur1123353819223134374346495255586164698522263438465058546266707478829098941021061141181101221261301341381421461501541581621661701741781821861901941982022062102144[Tâche],Taches_Jours1224363917202932354144475053565962678320243236444856526064687276808896921001041121161081201241281321361401441481521561601641681721761801841881921962002042082122[[#Headers],[TD]],Horodateur1123353819223134374346495255586164698522263438465058546266707478829098941021061141181101221261301341381421461501541581621661701741781821861901941982022062102144[Jour],Taches_Jours1224363917202932354144475053565962678320243236444856526064687276808896921001041121161081201241281321361401441481521561601641681721761801841881921962002042082122[[#This Row],[Jours]])</f>
        <v>0</v>
      </c>
      <c r="G50" s="71" t="n">
        <f aca="false">SUMIFS(Horodateur1123353819223134374346495255586164698522263438465058546266707478829098941021061141181101221261301341381421461501541581621661701741781821861901941982022062102144[Durée (100)],Horodateur1123353819223134374346495255586164698522263438465058546266707478829098941021061141181101221261301341381421461501541581621661701741781821861901941982022062102144[Tâche],Taches_Jours1224363917202932354144475053565962678320243236444856526064687276808896921001041121161081201241281321361401441481521561601641681721761801841881921962002042082122[[#Headers],[GP]],Horodateur1123353819223134374346495255586164698522263438465058546266707478829098941021061141181101221261301341381421461501541581621661701741781821861901941982022062102144[Jour],Taches_Jours1224363917202932354144475053565962678320243236444856526064687276808896921001041121161081201241281321361401441481521561601641681721761801841881921962002042082122[[#This Row],[Jours]])</f>
        <v>2.5</v>
      </c>
      <c r="H50" s="71" t="n">
        <f aca="false">SUMIFS(Horodateur1123353819223134374346495255586164698522263438465058546266707478829098941021061141181101221261301341381421461501541581621661701741781821861901941982022062102144[Durée (100)],Horodateur1123353819223134374346495255586164698522263438465058546266707478829098941021061141181101221261301341381421461501541581621661701741781821861901941982022062102144[Tâche],Taches_Jours1224363917202932354144475053565962678320243236444856526064687276808896921001041121161081201241281321361401441481521561601641681721761801841881921962002042082122[[#Headers],[GP / SP]],Horodateur1123353819223134374346495255586164698522263438465058546266707478829098941021061141181101221261301341381421461501541581621661701741781821861901941982022062102144[Jour],Taches_Jours1224363917202932354144475053565962678320243236444856526064687276808896921001041121161081201241281321361401441481521561601641681721761801841881921962002042082122[[#This Row],[Jours]])</f>
        <v>0</v>
      </c>
      <c r="I50" s="71" t="n">
        <f aca="false">SUMIFS(Horodateur1123353819223134374346495255586164698522263438465058546266707478829098941021061141181101221261301341381421461501541581621661701741781821861901941982022062102144[Durée (100)],Horodateur1123353819223134374346495255586164698522263438465058546266707478829098941021061141181101221261301341381421461501541581621661701741781821861901941982022062102144[Tâche],Taches_Jours1224363917202932354144475053565962678320243236444856526064687276808896921001041121161081201241281321361401441481521561601641681721761801841881921962002042082122[[#Headers],[GP / SP]],Horodateur1123353819223134374346495255586164698522263438465058546266707478829098941021061141181101221261301341381421461501541581621661701741781821861901941982022062102144[Jour],Taches_Jours1224363917202932354144475053565962678320243236444856526064687276808896921001041121161081201241281321361401441481521561601641681721761801841881921962002042082122[[#This Row],[Jours]])</f>
        <v>0</v>
      </c>
      <c r="J50" s="290" t="n">
        <f aca="false">SUM(Taches_Jours1224363917202932354144475053565962678320243236444856526064687276808896921001041121161081201241281321361401441481521561601641681721761801841881921962002042082122[[#This Row],[GB]:[GP / SP]])</f>
        <v>2.75</v>
      </c>
      <c r="K50" s="188"/>
      <c r="L50" s="288"/>
      <c r="M50" s="289"/>
      <c r="N50" s="187"/>
      <c r="O50" s="1"/>
      <c r="P50" s="1"/>
      <c r="Q50" s="1"/>
      <c r="R50" s="1"/>
      <c r="S50" s="1"/>
      <c r="T50" s="71"/>
      <c r="U50" s="71"/>
      <c r="V50" s="71"/>
      <c r="W50" s="71"/>
      <c r="X50" s="71"/>
      <c r="Y50" s="71"/>
      <c r="Z50" s="71"/>
      <c r="AA50" s="71"/>
      <c r="AB50" s="71"/>
      <c r="AC50" s="71"/>
      <c r="AD50" s="71"/>
      <c r="AE50" s="71"/>
      <c r="AF50" s="71"/>
    </row>
    <row r="51" customFormat="false" ht="15" hidden="true" customHeight="false" outlineLevel="1" collapsed="false">
      <c r="A51" s="187" t="s">
        <v>332</v>
      </c>
      <c r="B51" s="71" t="n">
        <f aca="false">SUMIFS(Horodateur1123353819223134374346495255586164698522263438465058546266707478829098941021061141181101221261301341381421461501541581621661701741781821861901941982022062102144[Durée (100)],Horodateur1123353819223134374346495255586164698522263438465058546266707478829098941021061141181101221261301341381421461501541581621661701741781821861901941982022062102144[Tâche],Taches_Jours1224363917202932354144475053565962678320243236444856526064687276808896921001041121161081201241281321361401441481521561601641681721761801841881921962002042082122[[#Headers],[GB]],Horodateur1123353819223134374346495255586164698522263438465058546266707478829098941021061141181101221261301341381421461501541581621661701741781821861901941982022062102144[Jour],Taches_Jours1224363917202932354144475053565962678320243236444856526064687276808896921001041121161081201241281321361401441481521561601641681721761801841881921962002042082122[[#This Row],[Jours]])</f>
        <v>1</v>
      </c>
      <c r="C51" s="71" t="n">
        <f aca="false">SUMIFS(Horodateur1123353819223134374346495255586164698522263438465058546266707478829098941021061141181101221261301341381421461501541581621661701741781821861901941982022062102144[Durée (100)],Horodateur1123353819223134374346495255586164698522263438465058546266707478829098941021061141181101221261301341381421461501541581621661701741781821861901941982022062102144[Tâche],Taches_Jours1224363917202932354144475053565962678320243236444856526064687276808896921001041121161081201241281321361401441481521561601641681721761801841881921962002042082122[[#Headers],[RI]],Horodateur1123353819223134374346495255586164698522263438465058546266707478829098941021061141181101221261301341381421461501541581621661701741781821861901941982022062102144[Jour],Taches_Jours1224363917202932354144475053565962678320243236444856526064687276808896921001041121161081201241281321361401441481521561601641681721761801841881921962002042082122[[#This Row],[Jours]])</f>
        <v>0</v>
      </c>
      <c r="D51" s="71" t="n">
        <f aca="false">SUMIFS(Horodateur1123353819223134374346495255586164698522263438465058546266707478829098941021061141181101221261301341381421461501541581621661701741781821861901941982022062102144[Durée (100)],Horodateur1123353819223134374346495255586164698522263438465058546266707478829098941021061141181101221261301341381421461501541581621661701741781821861901941982022062102144[Tâche],Taches_Jours1224363917202932354144475053565962678320243236444856526064687276808896921001041121161081201241281321361401441481521561601641681721761801841881921962002042082122[[#Headers],[FG]],Horodateur1123353819223134374346495255586164698522263438465058546266707478829098941021061141181101221261301341381421461501541581621661701741781821861901941982022062102144[Jour],Taches_Jours1224363917202932354144475053565962678320243236444856526064687276808896921001041121161081201241281321361401441481521561601641681721761801841881921962002042082122[[#This Row],[Jours]])</f>
        <v>1.75</v>
      </c>
      <c r="E51" s="71" t="n">
        <f aca="false">SUMIFS(Horodateur1123353819223134374346495255586164698522263438465058546266707478829098941021061141181101221261301341381421461501541581621661701741781821861901941982022062102144[Durée (100)],Horodateur1123353819223134374346495255586164698522263438465058546266707478829098941021061141181101221261301341381421461501541581621661701741781821861901941982022062102144[Tâche],Taches_Jours1224363917202932354144475053565962678320243236444856526064687276808896921001041121161081201241281321361401441481521561601641681721761801841881921962002042082122[[#Headers],[PS]],Horodateur1123353819223134374346495255586164698522263438465058546266707478829098941021061141181101221261301341381421461501541581621661701741781821861901941982022062102144[Jour],Taches_Jours1224363917202932354144475053565962678320243236444856526064687276808896921001041121161081201241281321361401441481521561601641681721761801841881921962002042082122[[#This Row],[Jours]])</f>
        <v>0</v>
      </c>
      <c r="F51" s="71" t="n">
        <f aca="false">SUMIFS(Horodateur1123353819223134374346495255586164698522263438465058546266707478829098941021061141181101221261301341381421461501541581621661701741781821861901941982022062102144[Durée (100)],Horodateur1123353819223134374346495255586164698522263438465058546266707478829098941021061141181101221261301341381421461501541581621661701741781821861901941982022062102144[Tâche],Taches_Jours1224363917202932354144475053565962678320243236444856526064687276808896921001041121161081201241281321361401441481521561601641681721761801841881921962002042082122[[#Headers],[TD]],Horodateur1123353819223134374346495255586164698522263438465058546266707478829098941021061141181101221261301341381421461501541581621661701741781821861901941982022062102144[Jour],Taches_Jours1224363917202932354144475053565962678320243236444856526064687276808896921001041121161081201241281321361401441481521561601641681721761801841881921962002042082122[[#This Row],[Jours]])</f>
        <v>0</v>
      </c>
      <c r="G51" s="71" t="n">
        <f aca="false">SUMIFS(Horodateur1123353819223134374346495255586164698522263438465058546266707478829098941021061141181101221261301341381421461501541581621661701741781821861901941982022062102144[Durée (100)],Horodateur1123353819223134374346495255586164698522263438465058546266707478829098941021061141181101221261301341381421461501541581621661701741781821861901941982022062102144[Tâche],Taches_Jours1224363917202932354144475053565962678320243236444856526064687276808896921001041121161081201241281321361401441481521561601641681721761801841881921962002042082122[[#Headers],[GP]],Horodateur1123353819223134374346495255586164698522263438465058546266707478829098941021061141181101221261301341381421461501541581621661701741781821861901941982022062102144[Jour],Taches_Jours1224363917202932354144475053565962678320243236444856526064687276808896921001041121161081201241281321361401441481521561601641681721761801841881921962002042082122[[#This Row],[Jours]])</f>
        <v>3.75</v>
      </c>
      <c r="H51" s="71" t="n">
        <f aca="false">SUMIFS(Horodateur1123353819223134374346495255586164698522263438465058546266707478829098941021061141181101221261301341381421461501541581621661701741781821861901941982022062102144[Durée (100)],Horodateur1123353819223134374346495255586164698522263438465058546266707478829098941021061141181101221261301341381421461501541581621661701741781821861901941982022062102144[Tâche],Taches_Jours1224363917202932354144475053565962678320243236444856526064687276808896921001041121161081201241281321361401441481521561601641681721761801841881921962002042082122[[#Headers],[GP / SP]],Horodateur1123353819223134374346495255586164698522263438465058546266707478829098941021061141181101221261301341381421461501541581621661701741781821861901941982022062102144[Jour],Taches_Jours1224363917202932354144475053565962678320243236444856526064687276808896921001041121161081201241281321361401441481521561601641681721761801841881921962002042082122[[#This Row],[Jours]])</f>
        <v>0</v>
      </c>
      <c r="I51" s="71" t="n">
        <f aca="false">SUMIFS(Horodateur1123353819223134374346495255586164698522263438465058546266707478829098941021061141181101221261301341381421461501541581621661701741781821861901941982022062102144[Durée (100)],Horodateur1123353819223134374346495255586164698522263438465058546266707478829098941021061141181101221261301341381421461501541581621661701741781821861901941982022062102144[Tâche],Taches_Jours1224363917202932354144475053565962678320243236444856526064687276808896921001041121161081201241281321361401441481521561601641681721761801841881921962002042082122[[#Headers],[GP / SP]],Horodateur1123353819223134374346495255586164698522263438465058546266707478829098941021061141181101221261301341381421461501541581621661701741781821861901941982022062102144[Jour],Taches_Jours1224363917202932354144475053565962678320243236444856526064687276808896921001041121161081201241281321361401441481521561601641681721761801841881921962002042082122[[#This Row],[Jours]])</f>
        <v>0</v>
      </c>
      <c r="J51" s="290" t="n">
        <f aca="false">SUM(Taches_Jours1224363917202932354144475053565962678320243236444856526064687276808896921001041121161081201241281321361401441481521561601641681721761801841881921962002042082122[[#This Row],[GB]:[GP / SP]])</f>
        <v>6.5</v>
      </c>
      <c r="K51" s="188"/>
      <c r="L51" s="288"/>
      <c r="M51" s="289"/>
      <c r="N51" s="187"/>
      <c r="O51" s="71"/>
      <c r="P51" s="71"/>
      <c r="Q51" s="71"/>
      <c r="R51" s="71"/>
      <c r="S51" s="71"/>
      <c r="T51" s="71"/>
      <c r="U51" s="71"/>
      <c r="V51" s="71"/>
      <c r="W51" s="71"/>
      <c r="X51" s="71"/>
      <c r="Y51" s="71"/>
      <c r="Z51" s="71"/>
      <c r="AA51" s="71"/>
      <c r="AB51" s="71"/>
      <c r="AC51" s="71"/>
      <c r="AD51" s="71"/>
      <c r="AE51" s="71"/>
      <c r="AF51" s="71"/>
    </row>
    <row r="52" customFormat="false" ht="15" hidden="true" customHeight="false" outlineLevel="1" collapsed="false">
      <c r="A52" s="187" t="s">
        <v>335</v>
      </c>
      <c r="B52" s="71" t="n">
        <f aca="false">SUMIFS(Horodateur1123353819223134374346495255586164698522263438465058546266707478829098941021061141181101221261301341381421461501541581621661701741781821861901941982022062102144[Durée (100)],Horodateur1123353819223134374346495255586164698522263438465058546266707478829098941021061141181101221261301341381421461501541581621661701741781821861901941982022062102144[Tâche],Taches_Jours1224363917202932354144475053565962678320243236444856526064687276808896921001041121161081201241281321361401441481521561601641681721761801841881921962002042082122[[#Headers],[GB]],Horodateur1123353819223134374346495255586164698522263438465058546266707478829098941021061141181101221261301341381421461501541581621661701741781821861901941982022062102144[Jour],Taches_Jours1224363917202932354144475053565962678320243236444856526064687276808896921001041121161081201241281321361401441481521561601641681721761801841881921962002042082122[[#This Row],[Jours]])</f>
        <v>0.75</v>
      </c>
      <c r="C52" s="71" t="n">
        <f aca="false">SUMIFS(Horodateur1123353819223134374346495255586164698522263438465058546266707478829098941021061141181101221261301341381421461501541581621661701741781821861901941982022062102144[Durée (100)],Horodateur1123353819223134374346495255586164698522263438465058546266707478829098941021061141181101221261301341381421461501541581621661701741781821861901941982022062102144[Tâche],Taches_Jours1224363917202932354144475053565962678320243236444856526064687276808896921001041121161081201241281321361401441481521561601641681721761801841881921962002042082122[[#Headers],[RI]],Horodateur1123353819223134374346495255586164698522263438465058546266707478829098941021061141181101221261301341381421461501541581621661701741781821861901941982022062102144[Jour],Taches_Jours1224363917202932354144475053565962678320243236444856526064687276808896921001041121161081201241281321361401441481521561601641681721761801841881921962002042082122[[#This Row],[Jours]])</f>
        <v>0</v>
      </c>
      <c r="D52" s="71" t="n">
        <f aca="false">SUMIFS(Horodateur1123353819223134374346495255586164698522263438465058546266707478829098941021061141181101221261301341381421461501541581621661701741781821861901941982022062102144[Durée (100)],Horodateur1123353819223134374346495255586164698522263438465058546266707478829098941021061141181101221261301341381421461501541581621661701741781821861901941982022062102144[Tâche],Taches_Jours1224363917202932354144475053565962678320243236444856526064687276808896921001041121161081201241281321361401441481521561601641681721761801841881921962002042082122[[#Headers],[FG]],Horodateur1123353819223134374346495255586164698522263438465058546266707478829098941021061141181101221261301341381421461501541581621661701741781821861901941982022062102144[Jour],Taches_Jours1224363917202932354144475053565962678320243236444856526064687276808896921001041121161081201241281321361401441481521561601641681721761801841881921962002042082122[[#This Row],[Jours]])</f>
        <v>1.75</v>
      </c>
      <c r="E52" s="71" t="n">
        <f aca="false">SUMIFS(Horodateur1123353819223134374346495255586164698522263438465058546266707478829098941021061141181101221261301341381421461501541581621661701741781821861901941982022062102144[Durée (100)],Horodateur1123353819223134374346495255586164698522263438465058546266707478829098941021061141181101221261301341381421461501541581621661701741781821861901941982022062102144[Tâche],Taches_Jours1224363917202932354144475053565962678320243236444856526064687276808896921001041121161081201241281321361401441481521561601641681721761801841881921962002042082122[[#Headers],[PS]],Horodateur1123353819223134374346495255586164698522263438465058546266707478829098941021061141181101221261301341381421461501541581621661701741781821861901941982022062102144[Jour],Taches_Jours1224363917202932354144475053565962678320243236444856526064687276808896921001041121161081201241281321361401441481521561601641681721761801841881921962002042082122[[#This Row],[Jours]])</f>
        <v>0</v>
      </c>
      <c r="F52" s="71" t="n">
        <f aca="false">SUMIFS(Horodateur1123353819223134374346495255586164698522263438465058546266707478829098941021061141181101221261301341381421461501541581621661701741781821861901941982022062102144[Durée (100)],Horodateur1123353819223134374346495255586164698522263438465058546266707478829098941021061141181101221261301341381421461501541581621661701741781821861901941982022062102144[Tâche],Taches_Jours1224363917202932354144475053565962678320243236444856526064687276808896921001041121161081201241281321361401441481521561601641681721761801841881921962002042082122[[#Headers],[TD]],Horodateur1123353819223134374346495255586164698522263438465058546266707478829098941021061141181101221261301341381421461501541581621661701741781821861901941982022062102144[Jour],Taches_Jours1224363917202932354144475053565962678320243236444856526064687276808896921001041121161081201241281321361401441481521561601641681721761801841881921962002042082122[[#This Row],[Jours]])</f>
        <v>0</v>
      </c>
      <c r="G52" s="71" t="n">
        <f aca="false">SUMIFS(Horodateur1123353819223134374346495255586164698522263438465058546266707478829098941021061141181101221261301341381421461501541581621661701741781821861901941982022062102144[Durée (100)],Horodateur1123353819223134374346495255586164698522263438465058546266707478829098941021061141181101221261301341381421461501541581621661701741781821861901941982022062102144[Tâche],Taches_Jours1224363917202932354144475053565962678320243236444856526064687276808896921001041121161081201241281321361401441481521561601641681721761801841881921962002042082122[[#Headers],[GP]],Horodateur1123353819223134374346495255586164698522263438465058546266707478829098941021061141181101221261301341381421461501541581621661701741781821861901941982022062102144[Jour],Taches_Jours1224363917202932354144475053565962678320243236444856526064687276808896921001041121161081201241281321361401441481521561601641681721761801841881921962002042082122[[#This Row],[Jours]])</f>
        <v>1.5</v>
      </c>
      <c r="H52" s="71" t="n">
        <f aca="false">SUMIFS(Horodateur1123353819223134374346495255586164698522263438465058546266707478829098941021061141181101221261301341381421461501541581621661701741781821861901941982022062102144[Durée (100)],Horodateur1123353819223134374346495255586164698522263438465058546266707478829098941021061141181101221261301341381421461501541581621661701741781821861901941982022062102144[Tâche],Taches_Jours1224363917202932354144475053565962678320243236444856526064687276808896921001041121161081201241281321361401441481521561601641681721761801841881921962002042082122[[#Headers],[GP / SP]],Horodateur1123353819223134374346495255586164698522263438465058546266707478829098941021061141181101221261301341381421461501541581621661701741781821861901941982022062102144[Jour],Taches_Jours1224363917202932354144475053565962678320243236444856526064687276808896921001041121161081201241281321361401441481521561601641681721761801841881921962002042082122[[#This Row],[Jours]])</f>
        <v>0.5</v>
      </c>
      <c r="I52" s="71" t="n">
        <f aca="false">SUMIFS(Horodateur1123353819223134374346495255586164698522263438465058546266707478829098941021061141181101221261301341381421461501541581621661701741781821861901941982022062102144[Durée (100)],Horodateur1123353819223134374346495255586164698522263438465058546266707478829098941021061141181101221261301341381421461501541581621661701741781821861901941982022062102144[Tâche],Taches_Jours1224363917202932354144475053565962678320243236444856526064687276808896921001041121161081201241281321361401441481521561601641681721761801841881921962002042082122[[#Headers],[GP / SP]],Horodateur1123353819223134374346495255586164698522263438465058546266707478829098941021061141181101221261301341381421461501541581621661701741781821861901941982022062102144[Jour],Taches_Jours1224363917202932354144475053565962678320243236444856526064687276808896921001041121161081201241281321361401441481521561601641681721761801841881921962002042082122[[#This Row],[Jours]])</f>
        <v>0.5</v>
      </c>
      <c r="J52" s="290" t="n">
        <f aca="false">SUM(Taches_Jours1224363917202932354144475053565962678320243236444856526064687276808896921001041121161081201241281321361401441481521561601641681721761801841881921962002042082122[[#This Row],[GB]:[GP / SP]])</f>
        <v>4.5</v>
      </c>
      <c r="K52" s="188"/>
      <c r="L52" s="288"/>
      <c r="M52" s="289"/>
      <c r="N52" s="187"/>
      <c r="O52" s="1"/>
      <c r="P52" s="1"/>
      <c r="Q52" s="1"/>
      <c r="R52" s="1"/>
      <c r="S52" s="1"/>
      <c r="T52" s="71"/>
      <c r="U52" s="71"/>
      <c r="V52" s="71"/>
      <c r="W52" s="71"/>
      <c r="X52" s="71"/>
      <c r="Y52" s="71"/>
      <c r="Z52" s="71"/>
      <c r="AA52" s="71"/>
      <c r="AB52" s="71"/>
      <c r="AC52" s="71"/>
      <c r="AD52" s="71"/>
      <c r="AE52" s="71"/>
      <c r="AF52" s="71"/>
    </row>
    <row r="53" customFormat="false" ht="15" hidden="true" customHeight="false" outlineLevel="1" collapsed="false">
      <c r="A53" s="187" t="s">
        <v>341</v>
      </c>
      <c r="B53" s="71" t="n">
        <f aca="false">SUMIFS(Horodateur1123353819223134374346495255586164698522263438465058546266707478829098941021061141181101221261301341381421461501541581621661701741781821861901941982022062102144[Durée (100)],Horodateur1123353819223134374346495255586164698522263438465058546266707478829098941021061141181101221261301341381421461501541581621661701741781821861901941982022062102144[Tâche],Taches_Jours1224363917202932354144475053565962678320243236444856526064687276808896921001041121161081201241281321361401441481521561601641681721761801841881921962002042082122[[#Headers],[GB]],Horodateur1123353819223134374346495255586164698522263438465058546266707478829098941021061141181101221261301341381421461501541581621661701741781821861901941982022062102144[Jour],Taches_Jours1224363917202932354144475053565962678320243236444856526064687276808896921001041121161081201241281321361401441481521561601641681721761801841881921962002042082122[[#This Row],[Jours]])</f>
        <v>0</v>
      </c>
      <c r="C53" s="71" t="n">
        <f aca="false">SUMIFS(Horodateur1123353819223134374346495255586164698522263438465058546266707478829098941021061141181101221261301341381421461501541581621661701741781821861901941982022062102144[Durée (100)],Horodateur1123353819223134374346495255586164698522263438465058546266707478829098941021061141181101221261301341381421461501541581621661701741781821861901941982022062102144[Tâche],Taches_Jours1224363917202932354144475053565962678320243236444856526064687276808896921001041121161081201241281321361401441481521561601641681721761801841881921962002042082122[[#Headers],[RI]],Horodateur1123353819223134374346495255586164698522263438465058546266707478829098941021061141181101221261301341381421461501541581621661701741781821861901941982022062102144[Jour],Taches_Jours1224363917202932354144475053565962678320243236444856526064687276808896921001041121161081201241281321361401441481521561601641681721761801841881921962002042082122[[#This Row],[Jours]])</f>
        <v>0</v>
      </c>
      <c r="D53" s="71" t="n">
        <f aca="false">SUMIFS(Horodateur1123353819223134374346495255586164698522263438465058546266707478829098941021061141181101221261301341381421461501541581621661701741781821861901941982022062102144[Durée (100)],Horodateur1123353819223134374346495255586164698522263438465058546266707478829098941021061141181101221261301341381421461501541581621661701741781821861901941982022062102144[Tâche],Taches_Jours1224363917202932354144475053565962678320243236444856526064687276808896921001041121161081201241281321361401441481521561601641681721761801841881921962002042082122[[#Headers],[FG]],Horodateur1123353819223134374346495255586164698522263438465058546266707478829098941021061141181101221261301341381421461501541581621661701741781821861901941982022062102144[Jour],Taches_Jours1224363917202932354144475053565962678320243236444856526064687276808896921001041121161081201241281321361401441481521561601641681721761801841881921962002042082122[[#This Row],[Jours]])</f>
        <v>0</v>
      </c>
      <c r="E53" s="71" t="n">
        <f aca="false">SUMIFS(Horodateur1123353819223134374346495255586164698522263438465058546266707478829098941021061141181101221261301341381421461501541581621661701741781821861901941982022062102144[Durée (100)],Horodateur1123353819223134374346495255586164698522263438465058546266707478829098941021061141181101221261301341381421461501541581621661701741781821861901941982022062102144[Tâche],Taches_Jours1224363917202932354144475053565962678320243236444856526064687276808896921001041121161081201241281321361401441481521561601641681721761801841881921962002042082122[[#Headers],[PS]],Horodateur1123353819223134374346495255586164698522263438465058546266707478829098941021061141181101221261301341381421461501541581621661701741781821861901941982022062102144[Jour],Taches_Jours1224363917202932354144475053565962678320243236444856526064687276808896921001041121161081201241281321361401441481521561601641681721761801841881921962002042082122[[#This Row],[Jours]])</f>
        <v>0</v>
      </c>
      <c r="F53" s="71" t="n">
        <f aca="false">SUMIFS(Horodateur1123353819223134374346495255586164698522263438465058546266707478829098941021061141181101221261301341381421461501541581621661701741781821861901941982022062102144[Durée (100)],Horodateur1123353819223134374346495255586164698522263438465058546266707478829098941021061141181101221261301341381421461501541581621661701741781821861901941982022062102144[Tâche],Taches_Jours1224363917202932354144475053565962678320243236444856526064687276808896921001041121161081201241281321361401441481521561601641681721761801841881921962002042082122[[#Headers],[TD]],Horodateur1123353819223134374346495255586164698522263438465058546266707478829098941021061141181101221261301341381421461501541581621661701741781821861901941982022062102144[Jour],Taches_Jours1224363917202932354144475053565962678320243236444856526064687276808896921001041121161081201241281321361401441481521561601641681721761801841881921962002042082122[[#This Row],[Jours]])</f>
        <v>0</v>
      </c>
      <c r="G53" s="71" t="n">
        <f aca="false">SUMIFS(Horodateur1123353819223134374346495255586164698522263438465058546266707478829098941021061141181101221261301341381421461501541581621661701741781821861901941982022062102144[Durée (100)],Horodateur1123353819223134374346495255586164698522263438465058546266707478829098941021061141181101221261301341381421461501541581621661701741781821861901941982022062102144[Tâche],Taches_Jours1224363917202932354144475053565962678320243236444856526064687276808896921001041121161081201241281321361401441481521561601641681721761801841881921962002042082122[[#Headers],[GP]],Horodateur1123353819223134374346495255586164698522263438465058546266707478829098941021061141181101221261301341381421461501541581621661701741781821861901941982022062102144[Jour],Taches_Jours1224363917202932354144475053565962678320243236444856526064687276808896921001041121161081201241281321361401441481521561601641681721761801841881921962002042082122[[#This Row],[Jours]])</f>
        <v>0</v>
      </c>
      <c r="H53" s="71" t="n">
        <f aca="false">SUMIFS(Horodateur1123353819223134374346495255586164698522263438465058546266707478829098941021061141181101221261301341381421461501541581621661701741781821861901941982022062102144[Durée (100)],Horodateur1123353819223134374346495255586164698522263438465058546266707478829098941021061141181101221261301341381421461501541581621661701741781821861901941982022062102144[Tâche],Taches_Jours1224363917202932354144475053565962678320243236444856526064687276808896921001041121161081201241281321361401441481521561601641681721761801841881921962002042082122[[#Headers],[GP / SP]],Horodateur1123353819223134374346495255586164698522263438465058546266707478829098941021061141181101221261301341381421461501541581621661701741781821861901941982022062102144[Jour],Taches_Jours1224363917202932354144475053565962678320243236444856526064687276808896921001041121161081201241281321361401441481521561601641681721761801841881921962002042082122[[#This Row],[Jours]])</f>
        <v>0</v>
      </c>
      <c r="I53" s="290" t="n">
        <f aca="false">SUMIFS(Horodateur1123353819223134374346495255586164698522263438465058546266707478829098941021061141181101221261301341381421461501541581621661701741781821861901941982022062102144[Durée (100)],Horodateur1123353819223134374346495255586164698522263438465058546266707478829098941021061141181101221261301341381421461501541581621661701741781821861901941982022062102144[Tâche],Taches_Jours1224363917202932354144475053565962678320243236444856526064687276808896921001041121161081201241281321361401441481521561601641681721761801841881921962002042082122[[#Headers],[GP / SP]],Horodateur1123353819223134374346495255586164698522263438465058546266707478829098941021061141181101221261301341381421461501541581621661701741781821861901941982022062102144[Jour],Taches_Jours1224363917202932354144475053565962678320243236444856526064687276808896921001041121161081201241281321361401441481521561601641681721761801841881921962002042082122[[#This Row],[Jours]])</f>
        <v>0</v>
      </c>
      <c r="J53" s="71" t="n">
        <f aca="false">SUM(Taches_Jours1224363917202932354144475053565962678320243236444856526064687276808896921001041121161081201241281321361401441481521561601641681721761801841881921962002042082122[[#This Row],[GB]:[GP / SP]])</f>
        <v>0</v>
      </c>
      <c r="K53" s="188"/>
      <c r="L53" s="288"/>
      <c r="M53" s="289"/>
      <c r="N53" s="187"/>
      <c r="O53" s="1"/>
      <c r="P53" s="1"/>
      <c r="Q53" s="1"/>
      <c r="R53" s="1"/>
      <c r="S53" s="1"/>
      <c r="T53" s="71"/>
      <c r="U53" s="71"/>
      <c r="V53" s="71"/>
      <c r="W53" s="71"/>
      <c r="X53" s="71"/>
      <c r="Y53" s="71"/>
      <c r="Z53" s="71"/>
      <c r="AA53" s="71"/>
      <c r="AB53" s="71"/>
      <c r="AC53" s="71"/>
      <c r="AD53" s="71"/>
      <c r="AE53" s="71"/>
      <c r="AF53" s="71"/>
    </row>
    <row r="54" customFormat="false" ht="15" hidden="true" customHeight="false" outlineLevel="1" collapsed="false">
      <c r="A54" s="187" t="s">
        <v>381</v>
      </c>
      <c r="B54" s="71" t="n">
        <f aca="false">SUMIFS(Horodateur1123353819223134374346495255586164698522263438465058546266707478829098941021061141181101221261301341381421461501541581621661701741781821861901941982022062102144[Durée (100)],Horodateur1123353819223134374346495255586164698522263438465058546266707478829098941021061141181101221261301341381421461501541581621661701741781821861901941982022062102144[Tâche],Taches_Jours1224363917202932354144475053565962678320243236444856526064687276808896921001041121161081201241281321361401441481521561601641681721761801841881921962002042082122[[#Headers],[GB]],Horodateur1123353819223134374346495255586164698522263438465058546266707478829098941021061141181101221261301341381421461501541581621661701741781821861901941982022062102144[Jour],Taches_Jours1224363917202932354144475053565962678320243236444856526064687276808896921001041121161081201241281321361401441481521561601641681721761801841881921962002042082122[[#This Row],[Jours]])</f>
        <v>0</v>
      </c>
      <c r="C54" s="71" t="n">
        <f aca="false">SUMIFS(Horodateur1123353819223134374346495255586164698522263438465058546266707478829098941021061141181101221261301341381421461501541581621661701741781821861901941982022062102144[Durée (100)],Horodateur1123353819223134374346495255586164698522263438465058546266707478829098941021061141181101221261301341381421461501541581621661701741781821861901941982022062102144[Tâche],Taches_Jours1224363917202932354144475053565962678320243236444856526064687276808896921001041121161081201241281321361401441481521561601641681721761801841881921962002042082122[[#Headers],[RI]],Horodateur1123353819223134374346495255586164698522263438465058546266707478829098941021061141181101221261301341381421461501541581621661701741781821861901941982022062102144[Jour],Taches_Jours1224363917202932354144475053565962678320243236444856526064687276808896921001041121161081201241281321361401441481521561601641681721761801841881921962002042082122[[#This Row],[Jours]])</f>
        <v>0</v>
      </c>
      <c r="D54" s="71" t="n">
        <f aca="false">SUMIFS(Horodateur1123353819223134374346495255586164698522263438465058546266707478829098941021061141181101221261301341381421461501541581621661701741781821861901941982022062102144[Durée (100)],Horodateur1123353819223134374346495255586164698522263438465058546266707478829098941021061141181101221261301341381421461501541581621661701741781821861901941982022062102144[Tâche],Taches_Jours1224363917202932354144475053565962678320243236444856526064687276808896921001041121161081201241281321361401441481521561601641681721761801841881921962002042082122[[#Headers],[FG]],Horodateur1123353819223134374346495255586164698522263438465058546266707478829098941021061141181101221261301341381421461501541581621661701741781821861901941982022062102144[Jour],Taches_Jours1224363917202932354144475053565962678320243236444856526064687276808896921001041121161081201241281321361401441481521561601641681721761801841881921962002042082122[[#This Row],[Jours]])</f>
        <v>0</v>
      </c>
      <c r="E54" s="71" t="n">
        <f aca="false">SUMIFS(Horodateur1123353819223134374346495255586164698522263438465058546266707478829098941021061141181101221261301341381421461501541581621661701741781821861901941982022062102144[Durée (100)],Horodateur1123353819223134374346495255586164698522263438465058546266707478829098941021061141181101221261301341381421461501541581621661701741781821861901941982022062102144[Tâche],Taches_Jours1224363917202932354144475053565962678320243236444856526064687276808896921001041121161081201241281321361401441481521561601641681721761801841881921962002042082122[[#Headers],[PS]],Horodateur1123353819223134374346495255586164698522263438465058546266707478829098941021061141181101221261301341381421461501541581621661701741781821861901941982022062102144[Jour],Taches_Jours1224363917202932354144475053565962678320243236444856526064687276808896921001041121161081201241281321361401441481521561601641681721761801841881921962002042082122[[#This Row],[Jours]])</f>
        <v>0</v>
      </c>
      <c r="F54" s="71" t="n">
        <f aca="false">SUMIFS(Horodateur1123353819223134374346495255586164698522263438465058546266707478829098941021061141181101221261301341381421461501541581621661701741781821861901941982022062102144[Durée (100)],Horodateur1123353819223134374346495255586164698522263438465058546266707478829098941021061141181101221261301341381421461501541581621661701741781821861901941982022062102144[Tâche],Taches_Jours1224363917202932354144475053565962678320243236444856526064687276808896921001041121161081201241281321361401441481521561601641681721761801841881921962002042082122[[#Headers],[TD]],Horodateur1123353819223134374346495255586164698522263438465058546266707478829098941021061141181101221261301341381421461501541581621661701741781821861901941982022062102144[Jour],Taches_Jours1224363917202932354144475053565962678320243236444856526064687276808896921001041121161081201241281321361401441481521561601641681721761801841881921962002042082122[[#This Row],[Jours]])</f>
        <v>0</v>
      </c>
      <c r="G54" s="71" t="n">
        <f aca="false">SUMIFS(Horodateur1123353819223134374346495255586164698522263438465058546266707478829098941021061141181101221261301341381421461501541581621661701741781821861901941982022062102144[Durée (100)],Horodateur1123353819223134374346495255586164698522263438465058546266707478829098941021061141181101221261301341381421461501541581621661701741781821861901941982022062102144[Tâche],Taches_Jours1224363917202932354144475053565962678320243236444856526064687276808896921001041121161081201241281321361401441481521561601641681721761801841881921962002042082122[[#Headers],[GP]],Horodateur1123353819223134374346495255586164698522263438465058546266707478829098941021061141181101221261301341381421461501541581621661701741781821861901941982022062102144[Jour],Taches_Jours1224363917202932354144475053565962678320243236444856526064687276808896921001041121161081201241281321361401441481521561601641681721761801841881921962002042082122[[#This Row],[Jours]])</f>
        <v>0</v>
      </c>
      <c r="H54" s="71" t="n">
        <f aca="false">SUMIFS(Horodateur1123353819223134374346495255586164698522263438465058546266707478829098941021061141181101221261301341381421461501541581621661701741781821861901941982022062102144[Durée (100)],Horodateur1123353819223134374346495255586164698522263438465058546266707478829098941021061141181101221261301341381421461501541581621661701741781821861901941982022062102144[Tâche],Taches_Jours1224363917202932354144475053565962678320243236444856526064687276808896921001041121161081201241281321361401441481521561601641681721761801841881921962002042082122[[#Headers],[GP / SP]],Horodateur1123353819223134374346495255586164698522263438465058546266707478829098941021061141181101221261301341381421461501541581621661701741781821861901941982022062102144[Jour],Taches_Jours1224363917202932354144475053565962678320243236444856526064687276808896921001041121161081201241281321361401441481521561601641681721761801841881921962002042082122[[#This Row],[Jours]])</f>
        <v>0</v>
      </c>
      <c r="I54" s="290" t="n">
        <f aca="false">SUMIFS(Horodateur1123353819223134374346495255586164698522263438465058546266707478829098941021061141181101221261301341381421461501541581621661701741781821861901941982022062102144[Durée (100)],Horodateur1123353819223134374346495255586164698522263438465058546266707478829098941021061141181101221261301341381421461501541581621661701741781821861901941982022062102144[Tâche],Taches_Jours1224363917202932354144475053565962678320243236444856526064687276808896921001041121161081201241281321361401441481521561601641681721761801841881921962002042082122[[#Headers],[GP / SP]],Horodateur1123353819223134374346495255586164698522263438465058546266707478829098941021061141181101221261301341381421461501541581621661701741781821861901941982022062102144[Jour],Taches_Jours1224363917202932354144475053565962678320243236444856526064687276808896921001041121161081201241281321361401441481521561601641681721761801841881921962002042082122[[#This Row],[Jours]])</f>
        <v>0</v>
      </c>
      <c r="J54" s="71" t="n">
        <f aca="false">SUM(Taches_Jours1224363917202932354144475053565962678320243236444856526064687276808896921001041121161081201241281321361401441481521561601641681721761801841881921962002042082122[[#This Row],[GB]:[GP / SP]])</f>
        <v>0</v>
      </c>
      <c r="K54" s="188"/>
      <c r="L54" s="288"/>
      <c r="M54" s="289"/>
      <c r="N54" s="187"/>
      <c r="O54" s="1"/>
      <c r="P54" s="1"/>
      <c r="Q54" s="1"/>
      <c r="R54" s="1"/>
      <c r="S54" s="1"/>
      <c r="T54" s="71"/>
      <c r="U54" s="71"/>
      <c r="V54" s="71"/>
      <c r="W54" s="71"/>
      <c r="X54" s="71"/>
      <c r="Y54" s="71"/>
      <c r="Z54" s="71"/>
      <c r="AA54" s="71"/>
      <c r="AB54" s="71"/>
      <c r="AC54" s="71"/>
      <c r="AD54" s="71"/>
      <c r="AE54" s="71"/>
      <c r="AF54" s="71"/>
    </row>
    <row r="55" customFormat="false" ht="15" hidden="true" customHeight="false" outlineLevel="1" collapsed="false">
      <c r="A55" s="137"/>
      <c r="B55" s="187"/>
      <c r="C55" s="71"/>
      <c r="D55" s="1"/>
      <c r="E55" s="1"/>
      <c r="F55" s="71"/>
      <c r="G55" s="1"/>
      <c r="H55" s="1"/>
      <c r="I55" s="119"/>
      <c r="J55" s="271"/>
      <c r="K55" s="1"/>
      <c r="L55" s="188"/>
      <c r="M55" s="272"/>
      <c r="N55" s="187"/>
      <c r="O55" s="1"/>
      <c r="P55" s="1"/>
      <c r="Q55" s="1"/>
      <c r="R55" s="1"/>
      <c r="S55" s="1"/>
      <c r="T55" s="1"/>
      <c r="U55" s="71"/>
      <c r="V55" s="71"/>
      <c r="W55" s="71"/>
      <c r="X55" s="71"/>
      <c r="Y55" s="71"/>
      <c r="Z55" s="71"/>
      <c r="AA55" s="71"/>
      <c r="AB55" s="71"/>
      <c r="AC55" s="71"/>
      <c r="AD55" s="71"/>
      <c r="AE55" s="71"/>
      <c r="AF55" s="71"/>
      <c r="AG55" s="71"/>
    </row>
    <row r="56" customFormat="false" ht="15" hidden="true" customHeight="false" outlineLevel="1" collapsed="false">
      <c r="A56" s="291" t="s">
        <v>85</v>
      </c>
      <c r="B56" s="292" t="s">
        <v>312</v>
      </c>
      <c r="C56" s="292" t="s">
        <v>319</v>
      </c>
      <c r="D56" s="292" t="s">
        <v>324</v>
      </c>
      <c r="E56" s="292" t="s">
        <v>332</v>
      </c>
      <c r="F56" s="293" t="s">
        <v>335</v>
      </c>
      <c r="G56" s="292" t="s">
        <v>341</v>
      </c>
      <c r="H56" s="292" t="s">
        <v>381</v>
      </c>
      <c r="I56" s="294" t="s">
        <v>58</v>
      </c>
      <c r="J56" s="271"/>
      <c r="K56" s="1"/>
      <c r="L56" s="188"/>
      <c r="M56" s="272"/>
      <c r="N56" s="187"/>
      <c r="O56" s="1"/>
      <c r="P56" s="1"/>
      <c r="Q56" s="1"/>
      <c r="R56" s="1"/>
      <c r="S56" s="1"/>
      <c r="T56" s="1"/>
      <c r="U56" s="71"/>
      <c r="V56" s="71"/>
      <c r="W56" s="71"/>
      <c r="X56" s="71"/>
      <c r="Y56" s="71"/>
      <c r="Z56" s="71"/>
      <c r="AA56" s="71"/>
      <c r="AB56" s="71"/>
      <c r="AC56" s="71"/>
      <c r="AD56" s="71"/>
      <c r="AE56" s="71"/>
      <c r="AF56" s="71"/>
      <c r="AG56" s="71"/>
    </row>
    <row r="57" customFormat="false" ht="15" hidden="true" customHeight="false" outlineLevel="1" collapsed="false">
      <c r="A57" s="137" t="s">
        <v>21</v>
      </c>
      <c r="B57" s="187" t="n">
        <f aca="false">SUMIFS(Horodateur1123353819223134374346495255586164698522263438465058546266707478829098941021061141181101221261301341381421461501541581621661701741781821861901941982022062102144[Durée (100)],Horodateur1123353819223134374346495255586164698522263438465058546266707478829098941021061141181101221261301341381421461501541581621661701741781821861901941982022062102144[Jour],$B$56,Horodateur1123353819223134374346495255586164698522263438465058546266707478829098941021061141181101221261301341381421461501541581621661701741781821861901941982022062102144[Tâche],$A57)</f>
        <v>0.999999999999999</v>
      </c>
      <c r="C57" s="187" t="n">
        <f aca="false">SUMIFS(Horodateur1123353819223134374346495255586164698522263438465058546266707478829098941021061141181101221261301341381421461501541581621661701741781821861901941982022062102144[Durée (100)],Horodateur1123353819223134374346495255586164698522263438465058546266707478829098941021061141181101221261301341381421461501541581621661701741781821861901941982022062102144[Jour],$C$56,Horodateur1123353819223134374346495255586164698522263438465058546266707478829098941021061141181101221261301341381421461501541581621661701741781821861901941982022062102144[Tâche],$A57)</f>
        <v>0.75</v>
      </c>
      <c r="D57" s="187" t="n">
        <f aca="false">SUMIFS(Horodateur1123353819223134374346495255586164698522263438465058546266707478829098941021061141181101221261301341381421461501541581621661701741781821861901941982022062102144[Durée (100)],Horodateur1123353819223134374346495255586164698522263438465058546266707478829098941021061141181101221261301341381421461501541581621661701741781821861901941982022062102144[Jour],$D$56,Horodateur1123353819223134374346495255586164698522263438465058546266707478829098941021061141181101221261301341381421461501541581621661701741781821861901941982022062102144[Tâche],$A57)</f>
        <v>0.250000000000002</v>
      </c>
      <c r="E57" s="187" t="n">
        <f aca="false">SUMIFS(Horodateur1123353819223134374346495255586164698522263438465058546266707478829098941021061141181101221261301341381421461501541581621661701741781821861901941982022062102144[Durée (100)],Horodateur1123353819223134374346495255586164698522263438465058546266707478829098941021061141181101221261301341381421461501541581621661701741781821861901941982022062102144[Jour],$E$56,Horodateur1123353819223134374346495255586164698522263438465058546266707478829098941021061141181101221261301341381421461501541581621661701741781821861901941982022062102144[Tâche],$A57)</f>
        <v>1</v>
      </c>
      <c r="F57" s="71" t="n">
        <f aca="false">SUMIFS(Horodateur1123353819223134374346495255586164698522263438465058546266707478829098941021061141181101221261301341381421461501541581621661701741781821861901941982022062102144[Durée (100)],Horodateur1123353819223134374346495255586164698522263438465058546266707478829098941021061141181101221261301341381421461501541581621661701741781821861901941982022062102144[Jour],$F$56,Horodateur1123353819223134374346495255586164698522263438465058546266707478829098941021061141181101221261301341381421461501541581621661701741781821861901941982022062102144[Tâche],$A57)</f>
        <v>0.75</v>
      </c>
      <c r="G57" s="187" t="n">
        <f aca="false">SUMIFS(Horodateur1123353819223134374346495255586164698522263438465058546266707478829098941021061141181101221261301341381421461501541581621661701741781821861901941982022062102144[Durée (100)],Horodateur1123353819223134374346495255586164698522263438465058546266707478829098941021061141181101221261301341381421461501541581621661701741781821861901941982022062102144[Jour],$G$56,Horodateur1123353819223134374346495255586164698522263438465058546266707478829098941021061141181101221261301341381421461501541581621661701741781821861901941982022062102144[Tâche],$A57)</f>
        <v>0</v>
      </c>
      <c r="H57" s="187" t="n">
        <f aca="false">SUMIFS(Horodateur1123353819223134374346495255586164698522263438465058546266707478829098941021061141181101221261301341381421461501541581621661701741781821861901941982022062102144[Durée (100)],Horodateur1123353819223134374346495255586164698522263438465058546266707478829098941021061141181101221261301341381421461501541581621661701741781821861901941982022062102144[Jour],$H$56,Horodateur1123353819223134374346495255586164698522263438465058546266707478829098941021061141181101221261301341381421461501541581621661701741781821861901941982022062102144[Tâche],$A57)</f>
        <v>0</v>
      </c>
      <c r="I57" s="295" t="n">
        <f aca="false">SUM(Taches_Jour21325374018213033364245485154576063688421253337454957536165697377818997931011051131171091211251291331371411451491531571611651691731771811851891931972012052092133[[#This Row],[1- Lundi]:[7- Dimanche]])</f>
        <v>3.75</v>
      </c>
      <c r="J57" s="271"/>
      <c r="K57" s="1"/>
      <c r="L57" s="188"/>
      <c r="M57" s="272"/>
      <c r="N57" s="187"/>
      <c r="O57" s="1"/>
      <c r="P57" s="1"/>
      <c r="Q57" s="1"/>
      <c r="R57" s="1"/>
      <c r="S57" s="1"/>
      <c r="T57" s="1"/>
      <c r="U57" s="71"/>
      <c r="V57" s="71"/>
      <c r="W57" s="71"/>
      <c r="X57" s="71"/>
      <c r="Y57" s="71"/>
      <c r="Z57" s="71"/>
      <c r="AA57" s="71"/>
      <c r="AB57" s="71"/>
      <c r="AC57" s="71"/>
      <c r="AD57" s="71"/>
      <c r="AE57" s="71"/>
      <c r="AF57" s="71"/>
      <c r="AG57" s="71"/>
    </row>
    <row r="58" customFormat="false" ht="15" hidden="true" customHeight="false" outlineLevel="1" collapsed="false">
      <c r="A58" s="137" t="s">
        <v>20</v>
      </c>
      <c r="B58" s="187" t="n">
        <f aca="false">SUMIFS(Horodateur1123353819223134374346495255586164698522263438465058546266707478829098941021061141181101221261301341381421461501541581621661701741781821861901941982022062102144[Durée (100)],Horodateur1123353819223134374346495255586164698522263438465058546266707478829098941021061141181101221261301341381421461501541581621661701741781821861901941982022062102144[Jour],$B$56,Horodateur1123353819223134374346495255586164698522263438465058546266707478829098941021061141181101221261301341381421461501541581621661701741781821861901941982022062102144[Tâche],$A58)</f>
        <v>0.500000000000001</v>
      </c>
      <c r="C58" s="187" t="n">
        <f aca="false">SUMIFS(Horodateur1123353819223134374346495255586164698522263438465058546266707478829098941021061141181101221261301341381421461501541581621661701741781821861901941982022062102144[Durée (100)],Horodateur1123353819223134374346495255586164698522263438465058546266707478829098941021061141181101221261301341381421461501541581621661701741781821861901941982022062102144[Jour],$C$56,Horodateur1123353819223134374346495255586164698522263438465058546266707478829098941021061141181101221261301341381421461501541581621661701741781821861901941982022062102144[Tâche],$A58)</f>
        <v>0</v>
      </c>
      <c r="D58" s="187" t="n">
        <f aca="false">SUMIFS(Horodateur1123353819223134374346495255586164698522263438465058546266707478829098941021061141181101221261301341381421461501541581621661701741781821861901941982022062102144[Durée (100)],Horodateur1123353819223134374346495255586164698522263438465058546266707478829098941021061141181101221261301341381421461501541581621661701741781821861901941982022062102144[Jour],$D$56,Horodateur1123353819223134374346495255586164698522263438465058546266707478829098941021061141181101221261301341381421461501541581621661701741781821861901941982022062102144[Tâche],$A58)</f>
        <v>0</v>
      </c>
      <c r="E58" s="187" t="n">
        <f aca="false">SUMIFS(Horodateur1123353819223134374346495255586164698522263438465058546266707478829098941021061141181101221261301341381421461501541581621661701741781821861901941982022062102144[Durée (100)],Horodateur1123353819223134374346495255586164698522263438465058546266707478829098941021061141181101221261301341381421461501541581621661701741781821861901941982022062102144[Jour],$E$56,Horodateur1123353819223134374346495255586164698522263438465058546266707478829098941021061141181101221261301341381421461501541581621661701741781821861901941982022062102144[Tâche],$A58)</f>
        <v>0</v>
      </c>
      <c r="F58" s="71" t="n">
        <f aca="false">SUMIFS(Horodateur1123353819223134374346495255586164698522263438465058546266707478829098941021061141181101221261301341381421461501541581621661701741781821861901941982022062102144[Durée (100)],Horodateur1123353819223134374346495255586164698522263438465058546266707478829098941021061141181101221261301341381421461501541581621661701741781821861901941982022062102144[Jour],$F$56,Horodateur1123353819223134374346495255586164698522263438465058546266707478829098941021061141181101221261301341381421461501541581621661701741781821861901941982022062102144[Tâche],$A58)</f>
        <v>0</v>
      </c>
      <c r="G58" s="187" t="n">
        <f aca="false">SUMIFS(Horodateur1123353819223134374346495255586164698522263438465058546266707478829098941021061141181101221261301341381421461501541581621661701741781821861901941982022062102144[Durée (100)],Horodateur1123353819223134374346495255586164698522263438465058546266707478829098941021061141181101221261301341381421461501541581621661701741781821861901941982022062102144[Jour],$G$56,Horodateur1123353819223134374346495255586164698522263438465058546266707478829098941021061141181101221261301341381421461501541581621661701741781821861901941982022062102144[Tâche],$A58)</f>
        <v>0</v>
      </c>
      <c r="H58" s="187" t="n">
        <f aca="false">SUMIFS(Horodateur1123353819223134374346495255586164698522263438465058546266707478829098941021061141181101221261301341381421461501541581621661701741781821861901941982022062102144[Durée (100)],Horodateur1123353819223134374346495255586164698522263438465058546266707478829098941021061141181101221261301341381421461501541581621661701741781821861901941982022062102144[Jour],$H$56,Horodateur1123353819223134374346495255586164698522263438465058546266707478829098941021061141181101221261301341381421461501541581621661701741781821861901941982022062102144[Tâche],$A58)</f>
        <v>0</v>
      </c>
      <c r="I58" s="295" t="n">
        <f aca="false">SUM(Taches_Jour21325374018213033364245485154576063688421253337454957536165697377818997931011051131171091211251291331371411451491531571611651691731771811851891931972012052092133[[#This Row],[1- Lundi]:[7- Dimanche]])</f>
        <v>0.500000000000001</v>
      </c>
      <c r="J58" s="271"/>
      <c r="K58" s="1"/>
      <c r="L58" s="188"/>
      <c r="M58" s="272"/>
      <c r="N58" s="187"/>
      <c r="O58" s="1"/>
      <c r="P58" s="1"/>
      <c r="Q58" s="1"/>
      <c r="R58" s="1"/>
      <c r="S58" s="1"/>
      <c r="T58" s="1"/>
      <c r="U58" s="71"/>
      <c r="V58" s="71"/>
      <c r="W58" s="71"/>
      <c r="X58" s="71"/>
      <c r="Y58" s="71"/>
      <c r="Z58" s="71"/>
      <c r="AA58" s="71"/>
      <c r="AB58" s="71"/>
      <c r="AC58" s="71"/>
      <c r="AD58" s="71"/>
      <c r="AE58" s="71"/>
      <c r="AF58" s="71"/>
      <c r="AG58" s="71"/>
    </row>
    <row r="59" customFormat="false" ht="15" hidden="true" customHeight="false" outlineLevel="1" collapsed="false">
      <c r="A59" s="137" t="s">
        <v>23</v>
      </c>
      <c r="B59" s="187" t="n">
        <f aca="false">SUMIFS(Horodateur1123353819223134374346495255586164698522263438465058546266707478829098941021061141181101221261301341381421461501541581621661701741781821861901941982022062102144[Durée (100)],Horodateur1123353819223134374346495255586164698522263438465058546266707478829098941021061141181101221261301341381421461501541581621661701741781821861901941982022062102144[Jour],$B$56,Horodateur1123353819223134374346495255586164698522263438465058546266707478829098941021061141181101221261301341381421461501541581621661701741781821861901941982022062102144[Tâche],$A59)</f>
        <v>0.5</v>
      </c>
      <c r="C59" s="187" t="n">
        <f aca="false">SUMIFS(Horodateur1123353819223134374346495255586164698522263438465058546266707478829098941021061141181101221261301341381421461501541581621661701741781821861901941982022062102144[Durée (100)],Horodateur1123353819223134374346495255586164698522263438465058546266707478829098941021061141181101221261301341381421461501541581621661701741781821861901941982022062102144[Jour],$C$56,Horodateur1123353819223134374346495255586164698522263438465058546266707478829098941021061141181101221261301341381421461501541581621661701741781821861901941982022062102144[Tâche],$A59)</f>
        <v>0</v>
      </c>
      <c r="D59" s="187" t="n">
        <f aca="false">SUMIFS(Horodateur1123353819223134374346495255586164698522263438465058546266707478829098941021061141181101221261301341381421461501541581621661701741781821861901941982022062102144[Durée (100)],Horodateur1123353819223134374346495255586164698522263438465058546266707478829098941021061141181101221261301341381421461501541581621661701741781821861901941982022062102144[Jour],$D$56,Horodateur1123353819223134374346495255586164698522263438465058546266707478829098941021061141181101221261301341381421461501541581621661701741781821861901941982022062102144[Tâche],$A59)</f>
        <v>0</v>
      </c>
      <c r="E59" s="187" t="n">
        <f aca="false">SUMIFS(Horodateur1123353819223134374346495255586164698522263438465058546266707478829098941021061141181101221261301341381421461501541581621661701741781821861901941982022062102144[Durée (100)],Horodateur1123353819223134374346495255586164698522263438465058546266707478829098941021061141181101221261301341381421461501541581621661701741781821861901941982022062102144[Jour],$E$56,Horodateur1123353819223134374346495255586164698522263438465058546266707478829098941021061141181101221261301341381421461501541581621661701741781821861901941982022062102144[Tâche],$A59)</f>
        <v>1.75</v>
      </c>
      <c r="F59" s="71" t="n">
        <f aca="false">SUMIFS(Horodateur1123353819223134374346495255586164698522263438465058546266707478829098941021061141181101221261301341381421461501541581621661701741781821861901941982022062102144[Durée (100)],Horodateur1123353819223134374346495255586164698522263438465058546266707478829098941021061141181101221261301341381421461501541581621661701741781821861901941982022062102144[Jour],$F$56,Horodateur1123353819223134374346495255586164698522263438465058546266707478829098941021061141181101221261301341381421461501541581621661701741781821861901941982022062102144[Tâche],$A59)</f>
        <v>1.75</v>
      </c>
      <c r="G59" s="187" t="n">
        <f aca="false">SUMIFS(Horodateur1123353819223134374346495255586164698522263438465058546266707478829098941021061141181101221261301341381421461501541581621661701741781821861901941982022062102144[Durée (100)],Horodateur1123353819223134374346495255586164698522263438465058546266707478829098941021061141181101221261301341381421461501541581621661701741781821861901941982022062102144[Jour],$G$56,Horodateur1123353819223134374346495255586164698522263438465058546266707478829098941021061141181101221261301341381421461501541581621661701741781821861901941982022062102144[Tâche],$A59)</f>
        <v>0</v>
      </c>
      <c r="H59" s="187" t="n">
        <f aca="false">SUMIFS(Horodateur1123353819223134374346495255586164698522263438465058546266707478829098941021061141181101221261301341381421461501541581621661701741781821861901941982022062102144[Durée (100)],Horodateur1123353819223134374346495255586164698522263438465058546266707478829098941021061141181101221261301341381421461501541581621661701741781821861901941982022062102144[Jour],$H$56,Horodateur1123353819223134374346495255586164698522263438465058546266707478829098941021061141181101221261301341381421461501541581621661701741781821861901941982022062102144[Tâche],$A59)</f>
        <v>0</v>
      </c>
      <c r="I59" s="295" t="n">
        <f aca="false">SUM(Taches_Jour21325374018213033364245485154576063688421253337454957536165697377818997931011051131171091211251291331371411451491531571611651691731771811851891931972012052092133[[#This Row],[1- Lundi]:[7- Dimanche]])</f>
        <v>4</v>
      </c>
      <c r="J59" s="271"/>
      <c r="K59" s="1"/>
      <c r="L59" s="188"/>
      <c r="M59" s="272"/>
      <c r="N59" s="187"/>
      <c r="O59" s="1"/>
      <c r="P59" s="1"/>
      <c r="Q59" s="1"/>
      <c r="R59" s="1"/>
      <c r="S59" s="1"/>
      <c r="T59" s="1"/>
      <c r="U59" s="71"/>
      <c r="V59" s="71"/>
      <c r="W59" s="71"/>
      <c r="X59" s="71"/>
      <c r="Y59" s="71"/>
      <c r="Z59" s="71"/>
      <c r="AA59" s="71"/>
      <c r="AB59" s="71"/>
      <c r="AC59" s="71"/>
      <c r="AD59" s="71"/>
      <c r="AE59" s="71"/>
      <c r="AF59" s="71"/>
      <c r="AG59" s="71"/>
    </row>
    <row r="60" customFormat="false" ht="15" hidden="true" customHeight="false" outlineLevel="1" collapsed="false">
      <c r="A60" s="137" t="s">
        <v>25</v>
      </c>
      <c r="B60" s="187" t="n">
        <f aca="false">SUMIFS(Horodateur1123353819223134374346495255586164698522263438465058546266707478829098941021061141181101221261301341381421461501541581621661701741781821861901941982022062102144[Durée (100)],Horodateur1123353819223134374346495255586164698522263438465058546266707478829098941021061141181101221261301341381421461501541581621661701741781821861901941982022062102144[Jour],$B$56,Horodateur1123353819223134374346495255586164698522263438465058546266707478829098941021061141181101221261301341381421461501541581621661701741781821861901941982022062102144[Tâche],$A60)</f>
        <v>0</v>
      </c>
      <c r="C60" s="187" t="n">
        <f aca="false">SUMIFS(Horodateur1123353819223134374346495255586164698522263438465058546266707478829098941021061141181101221261301341381421461501541581621661701741781821861901941982022062102144[Durée (100)],Horodateur1123353819223134374346495255586164698522263438465058546266707478829098941021061141181101221261301341381421461501541581621661701741781821861901941982022062102144[Jour],$C$56,Horodateur1123353819223134374346495255586164698522263438465058546266707478829098941021061141181101221261301341381421461501541581621661701741781821861901941982022062102144[Tâche],$A60)</f>
        <v>0</v>
      </c>
      <c r="D60" s="187" t="n">
        <f aca="false">SUMIFS(Horodateur1123353819223134374346495255586164698522263438465058546266707478829098941021061141181101221261301341381421461501541581621661701741781821861901941982022062102144[Durée (100)],Horodateur1123353819223134374346495255586164698522263438465058546266707478829098941021061141181101221261301341381421461501541581621661701741781821861901941982022062102144[Jour],$D$56,Horodateur1123353819223134374346495255586164698522263438465058546266707478829098941021061141181101221261301341381421461501541581621661701741781821861901941982022062102144[Tâche],$A60)</f>
        <v>0</v>
      </c>
      <c r="E60" s="187" t="n">
        <f aca="false">SUMIFS(Horodateur1123353819223134374346495255586164698522263438465058546266707478829098941021061141181101221261301341381421461501541581621661701741781821861901941982022062102144[Durée (100)],Horodateur1123353819223134374346495255586164698522263438465058546266707478829098941021061141181101221261301341381421461501541581621661701741781821861901941982022062102144[Jour],$E$56,Horodateur1123353819223134374346495255586164698522263438465058546266707478829098941021061141181101221261301341381421461501541581621661701741781821861901941982022062102144[Tâche],$A60)</f>
        <v>0</v>
      </c>
      <c r="F60" s="71" t="n">
        <f aca="false">SUMIFS(Horodateur1123353819223134374346495255586164698522263438465058546266707478829098941021061141181101221261301341381421461501541581621661701741781821861901941982022062102144[Durée (100)],Horodateur1123353819223134374346495255586164698522263438465058546266707478829098941021061141181101221261301341381421461501541581621661701741781821861901941982022062102144[Jour],$F$56,Horodateur1123353819223134374346495255586164698522263438465058546266707478829098941021061141181101221261301341381421461501541581621661701741781821861901941982022062102144[Tâche],$A60)</f>
        <v>0</v>
      </c>
      <c r="G60" s="187" t="n">
        <f aca="false">SUMIFS(Horodateur1123353819223134374346495255586164698522263438465058546266707478829098941021061141181101221261301341381421461501541581621661701741781821861901941982022062102144[Durée (100)],Horodateur1123353819223134374346495255586164698522263438465058546266707478829098941021061141181101221261301341381421461501541581621661701741781821861901941982022062102144[Jour],$G$56,Horodateur1123353819223134374346495255586164698522263438465058546266707478829098941021061141181101221261301341381421461501541581621661701741781821861901941982022062102144[Tâche],$A60)</f>
        <v>0</v>
      </c>
      <c r="H60" s="187" t="n">
        <f aca="false">SUMIFS(Horodateur1123353819223134374346495255586164698522263438465058546266707478829098941021061141181101221261301341381421461501541581621661701741781821861901941982022062102144[Durée (100)],Horodateur1123353819223134374346495255586164698522263438465058546266707478829098941021061141181101221261301341381421461501541581621661701741781821861901941982022062102144[Jour],$H$56,Horodateur1123353819223134374346495255586164698522263438465058546266707478829098941021061141181101221261301341381421461501541581621661701741781821861901941982022062102144[Tâche],$A60)</f>
        <v>0</v>
      </c>
      <c r="I60" s="295" t="n">
        <f aca="false">SUM(Taches_Jour21325374018213033364245485154576063688421253337454957536165697377818997931011051131171091211251291331371411451491531571611651691731771811851891931972012052092133[[#This Row],[1- Lundi]:[7- Dimanche]])</f>
        <v>0</v>
      </c>
      <c r="J60" s="271"/>
      <c r="K60" s="1"/>
      <c r="L60" s="188"/>
      <c r="M60" s="272"/>
      <c r="N60" s="187"/>
      <c r="O60" s="1"/>
      <c r="P60" s="1"/>
      <c r="Q60" s="1"/>
      <c r="R60" s="1"/>
      <c r="S60" s="1"/>
      <c r="T60" s="1"/>
      <c r="U60" s="71"/>
      <c r="V60" s="71"/>
      <c r="W60" s="71"/>
      <c r="X60" s="71"/>
      <c r="Y60" s="71"/>
      <c r="Z60" s="71"/>
      <c r="AA60" s="71"/>
      <c r="AB60" s="71"/>
      <c r="AC60" s="71"/>
      <c r="AD60" s="71"/>
      <c r="AE60" s="71"/>
      <c r="AF60" s="71"/>
      <c r="AG60" s="71"/>
    </row>
    <row r="61" customFormat="false" ht="15" hidden="true" customHeight="false" outlineLevel="1" collapsed="false">
      <c r="A61" s="137" t="s">
        <v>26</v>
      </c>
      <c r="B61" s="187" t="n">
        <f aca="false">SUMIFS(Horodateur1123353819223134374346495255586164698522263438465058546266707478829098941021061141181101221261301341381421461501541581621661701741781821861901941982022062102144[Durée (100)],Horodateur1123353819223134374346495255586164698522263438465058546266707478829098941021061141181101221261301341381421461501541581621661701741781821861901941982022062102144[Jour],$B$56,Horodateur1123353819223134374346495255586164698522263438465058546266707478829098941021061141181101221261301341381421461501541581621661701741781821861901941982022062102144[Tâche],$A61)</f>
        <v>0</v>
      </c>
      <c r="C61" s="187" t="n">
        <f aca="false">SUMIFS(Horodateur1123353819223134374346495255586164698522263438465058546266707478829098941021061141181101221261301341381421461501541581621661701741781821861901941982022062102144[Durée (100)],Horodateur1123353819223134374346495255586164698522263438465058546266707478829098941021061141181101221261301341381421461501541581621661701741781821861901941982022062102144[Jour],$C$56,Horodateur1123353819223134374346495255586164698522263438465058546266707478829098941021061141181101221261301341381421461501541581621661701741781821861901941982022062102144[Tâche],$A61)</f>
        <v>0</v>
      </c>
      <c r="D61" s="187" t="n">
        <f aca="false">SUMIFS(Horodateur1123353819223134374346495255586164698522263438465058546266707478829098941021061141181101221261301341381421461501541581621661701741781821861901941982022062102144[Durée (100)],Horodateur1123353819223134374346495255586164698522263438465058546266707478829098941021061141181101221261301341381421461501541581621661701741781821861901941982022062102144[Jour],$D$56,Horodateur1123353819223134374346495255586164698522263438465058546266707478829098941021061141181101221261301341381421461501541581621661701741781821861901941982022062102144[Tâche],$A61)</f>
        <v>0</v>
      </c>
      <c r="E61" s="187" t="n">
        <f aca="false">SUMIFS(Horodateur1123353819223134374346495255586164698522263438465058546266707478829098941021061141181101221261301341381421461501541581621661701741781821861901941982022062102144[Durée (100)],Horodateur1123353819223134374346495255586164698522263438465058546266707478829098941021061141181101221261301341381421461501541581621661701741781821861901941982022062102144[Jour],$E$56,Horodateur1123353819223134374346495255586164698522263438465058546266707478829098941021061141181101221261301341381421461501541581621661701741781821861901941982022062102144[Tâche],$A61)</f>
        <v>0</v>
      </c>
      <c r="F61" s="71" t="n">
        <f aca="false">SUMIFS(Horodateur1123353819223134374346495255586164698522263438465058546266707478829098941021061141181101221261301341381421461501541581621661701741781821861901941982022062102144[Durée (100)],Horodateur1123353819223134374346495255586164698522263438465058546266707478829098941021061141181101221261301341381421461501541581621661701741781821861901941982022062102144[Jour],$F$56,Horodateur1123353819223134374346495255586164698522263438465058546266707478829098941021061141181101221261301341381421461501541581621661701741781821861901941982022062102144[Tâche],$A61)</f>
        <v>0</v>
      </c>
      <c r="G61" s="187" t="n">
        <f aca="false">SUMIFS(Horodateur1123353819223134374346495255586164698522263438465058546266707478829098941021061141181101221261301341381421461501541581621661701741781821861901941982022062102144[Durée (100)],Horodateur1123353819223134374346495255586164698522263438465058546266707478829098941021061141181101221261301341381421461501541581621661701741781821861901941982022062102144[Jour],$G$56,Horodateur1123353819223134374346495255586164698522263438465058546266707478829098941021061141181101221261301341381421461501541581621661701741781821861901941982022062102144[Tâche],$A61)</f>
        <v>0</v>
      </c>
      <c r="H61" s="187" t="n">
        <f aca="false">SUMIFS(Horodateur1123353819223134374346495255586164698522263438465058546266707478829098941021061141181101221261301341381421461501541581621661701741781821861901941982022062102144[Durée (100)],Horodateur1123353819223134374346495255586164698522263438465058546266707478829098941021061141181101221261301341381421461501541581621661701741781821861901941982022062102144[Jour],$H$56,Horodateur1123353819223134374346495255586164698522263438465058546266707478829098941021061141181101221261301341381421461501541581621661701741781821861901941982022062102144[Tâche],$A61)</f>
        <v>0</v>
      </c>
      <c r="I61" s="295" t="n">
        <f aca="false">SUM(Taches_Jour21325374018213033364245485154576063688421253337454957536165697377818997931011051131171091211251291331371411451491531571611651691731771811851891931972012052092133[[#This Row],[1- Lundi]:[7- Dimanche]])</f>
        <v>0</v>
      </c>
      <c r="J61" s="271"/>
      <c r="K61" s="1"/>
      <c r="L61" s="188"/>
      <c r="M61" s="272"/>
      <c r="N61" s="187"/>
      <c r="O61" s="1"/>
      <c r="P61" s="1"/>
      <c r="Q61" s="1"/>
      <c r="R61" s="1"/>
      <c r="S61" s="1"/>
      <c r="T61" s="1"/>
      <c r="U61" s="71"/>
      <c r="V61" s="71"/>
      <c r="W61" s="71"/>
      <c r="X61" s="71"/>
      <c r="Y61" s="71"/>
      <c r="Z61" s="71"/>
      <c r="AA61" s="71"/>
      <c r="AB61" s="71"/>
      <c r="AC61" s="71"/>
      <c r="AD61" s="71"/>
      <c r="AE61" s="71"/>
      <c r="AF61" s="71"/>
      <c r="AG61" s="71"/>
    </row>
    <row r="62" customFormat="false" ht="15" hidden="true" customHeight="false" outlineLevel="1" collapsed="false">
      <c r="A62" s="137" t="s">
        <v>378</v>
      </c>
      <c r="B62" s="187" t="n">
        <f aca="false">SUMIFS(Horodateur1123353819223134374346495255586164698522263438465058546266707478829098941021061141181101221261301341381421461501541581621661701741781821861901941982022062102144[Durée (100)],Horodateur1123353819223134374346495255586164698522263438465058546266707478829098941021061141181101221261301341381421461501541581621661701741781821861901941982022062102144[Jour],$B$56,Horodateur1123353819223134374346495255586164698522263438465058546266707478829098941021061141181101221261301341381421461501541581621661701741781821861901941982022062102144[Tâche],$A62)</f>
        <v>3.75</v>
      </c>
      <c r="C62" s="187" t="n">
        <f aca="false">SUMIFS(Horodateur1123353819223134374346495255586164698522263438465058546266707478829098941021061141181101221261301341381421461501541581621661701741781821861901941982022062102144[Durée (100)],Horodateur1123353819223134374346495255586164698522263438465058546266707478829098941021061141181101221261301341381421461501541581621661701741781821861901941982022062102144[Jour],$C$56,Horodateur1123353819223134374346495255586164698522263438465058546266707478829098941021061141181101221261301341381421461501541581621661701741781821861901941982022062102144[Tâche],$A62)</f>
        <v>3.75</v>
      </c>
      <c r="D62" s="187" t="n">
        <f aca="false">SUMIFS(Horodateur1123353819223134374346495255586164698522263438465058546266707478829098941021061141181101221261301341381421461501541581621661701741781821861901941982022062102144[Durée (100)],Horodateur1123353819223134374346495255586164698522263438465058546266707478829098941021061141181101221261301341381421461501541581621661701741781821861901941982022062102144[Jour],$D$56,Horodateur1123353819223134374346495255586164698522263438465058546266707478829098941021061141181101221261301341381421461501541581621661701741781821861901941982022062102144[Tâche],$A62)</f>
        <v>2.5</v>
      </c>
      <c r="E62" s="187" t="n">
        <f aca="false">SUMIFS(Horodateur1123353819223134374346495255586164698522263438465058546266707478829098941021061141181101221261301341381421461501541581621661701741781821861901941982022062102144[Durée (100)],Horodateur1123353819223134374346495255586164698522263438465058546266707478829098941021061141181101221261301341381421461501541581621661701741781821861901941982022062102144[Jour],$E$56,Horodateur1123353819223134374346495255586164698522263438465058546266707478829098941021061141181101221261301341381421461501541581621661701741781821861901941982022062102144[Tâche],$A62)</f>
        <v>3.75</v>
      </c>
      <c r="F62" s="71" t="n">
        <f aca="false">SUMIFS(Horodateur1123353819223134374346495255586164698522263438465058546266707478829098941021061141181101221261301341381421461501541581621661701741781821861901941982022062102144[Durée (100)],Horodateur1123353819223134374346495255586164698522263438465058546266707478829098941021061141181101221261301341381421461501541581621661701741781821861901941982022062102144[Jour],$F$56,Horodateur1123353819223134374346495255586164698522263438465058546266707478829098941021061141181101221261301341381421461501541581621661701741781821861901941982022062102144[Tâche],$A62)</f>
        <v>1.5</v>
      </c>
      <c r="G62" s="187" t="n">
        <f aca="false">SUMIFS(Horodateur1123353819223134374346495255586164698522263438465058546266707478829098941021061141181101221261301341381421461501541581621661701741781821861901941982022062102144[Durée (100)],Horodateur1123353819223134374346495255586164698522263438465058546266707478829098941021061141181101221261301341381421461501541581621661701741781821861901941982022062102144[Jour],$G$56,Horodateur1123353819223134374346495255586164698522263438465058546266707478829098941021061141181101221261301341381421461501541581621661701741781821861901941982022062102144[Tâche],$A62)</f>
        <v>0</v>
      </c>
      <c r="H62" s="187" t="n">
        <f aca="false">SUMIFS(Horodateur1123353819223134374346495255586164698522263438465058546266707478829098941021061141181101221261301341381421461501541581621661701741781821861901941982022062102144[Durée (100)],Horodateur1123353819223134374346495255586164698522263438465058546266707478829098941021061141181101221261301341381421461501541581621661701741781821861901941982022062102144[Jour],$H$56,Horodateur1123353819223134374346495255586164698522263438465058546266707478829098941021061141181101221261301341381421461501541581621661701741781821861901941982022062102144[Tâche],$A62)</f>
        <v>0</v>
      </c>
      <c r="I62" s="295" t="n">
        <f aca="false">SUM(Taches_Jour21325374018213033364245485154576063688421253337454957536165697377818997931011051131171091211251291331371411451491531571611651691731771811851891931972012052092133[[#This Row],[1- Lundi]:[7- Dimanche]])</f>
        <v>15.25</v>
      </c>
      <c r="J62" s="271"/>
      <c r="K62" s="1"/>
      <c r="L62" s="188"/>
      <c r="M62" s="272"/>
      <c r="N62" s="187"/>
      <c r="O62" s="1"/>
      <c r="P62" s="1"/>
      <c r="Q62" s="1"/>
      <c r="R62" s="1"/>
      <c r="S62" s="1"/>
      <c r="T62" s="1"/>
      <c r="U62" s="71"/>
      <c r="V62" s="71"/>
      <c r="W62" s="71"/>
      <c r="X62" s="71"/>
      <c r="Y62" s="71"/>
      <c r="Z62" s="71"/>
      <c r="AA62" s="71"/>
      <c r="AB62" s="71"/>
      <c r="AC62" s="71"/>
      <c r="AD62" s="71"/>
      <c r="AE62" s="71"/>
      <c r="AF62" s="71"/>
      <c r="AG62" s="71"/>
    </row>
    <row r="63" customFormat="false" ht="15" hidden="true" customHeight="false" outlineLevel="1" collapsed="false">
      <c r="A63" s="137" t="s">
        <v>382</v>
      </c>
      <c r="B63" s="187" t="n">
        <f aca="false">SUMIFS(Horodateur1123353819223134374346495255586164698522263438465058546266707478829098941021061141181101221261301341381421461501541581621661701741781821861901941982022062102144[Durée (100)],Horodateur1123353819223134374346495255586164698522263438465058546266707478829098941021061141181101221261301341381421461501541581621661701741781821861901941982022062102144[Jour],$B$56,Horodateur1123353819223134374346495255586164698522263438465058546266707478829098941021061141181101221261301341381421461501541581621661701741781821861901941982022062102144[Tâche],$A63)</f>
        <v>0</v>
      </c>
      <c r="C63" s="187" t="n">
        <f aca="false">SUMIFS(Horodateur1123353819223134374346495255586164698522263438465058546266707478829098941021061141181101221261301341381421461501541581621661701741781821861901941982022062102144[Durée (100)],Horodateur1123353819223134374346495255586164698522263438465058546266707478829098941021061141181101221261301341381421461501541581621661701741781821861901941982022062102144[Jour],$C$56,Horodateur1123353819223134374346495255586164698522263438465058546266707478829098941021061141181101221261301341381421461501541581621661701741781821861901941982022062102144[Tâche],$A63)</f>
        <v>0</v>
      </c>
      <c r="D63" s="187" t="n">
        <f aca="false">SUMIFS(Horodateur1123353819223134374346495255586164698522263438465058546266707478829098941021061141181101221261301341381421461501541581621661701741781821861901941982022062102144[Durée (100)],Horodateur1123353819223134374346495255586164698522263438465058546266707478829098941021061141181101221261301341381421461501541581621661701741781821861901941982022062102144[Jour],$D$56,Horodateur1123353819223134374346495255586164698522263438465058546266707478829098941021061141181101221261301341381421461501541581621661701741781821861901941982022062102144[Tâche],$A63)</f>
        <v>0</v>
      </c>
      <c r="E63" s="187" t="n">
        <f aca="false">SUMIFS(Horodateur1123353819223134374346495255586164698522263438465058546266707478829098941021061141181101221261301341381421461501541581621661701741781821861901941982022062102144[Durée (100)],Horodateur1123353819223134374346495255586164698522263438465058546266707478829098941021061141181101221261301341381421461501541581621661701741781821861901941982022062102144[Jour],$E$56,Horodateur1123353819223134374346495255586164698522263438465058546266707478829098941021061141181101221261301341381421461501541581621661701741781821861901941982022062102144[Tâche],$A63)</f>
        <v>0</v>
      </c>
      <c r="F63" s="71" t="n">
        <f aca="false">SUMIFS(Horodateur1123353819223134374346495255586164698522263438465058546266707478829098941021061141181101221261301341381421461501541581621661701741781821861901941982022062102144[Durée (100)],Horodateur1123353819223134374346495255586164698522263438465058546266707478829098941021061141181101221261301341381421461501541581621661701741781821861901941982022062102144[Jour],$F$56,Horodateur1123353819223134374346495255586164698522263438465058546266707478829098941021061141181101221261301341381421461501541581621661701741781821861901941982022062102144[Tâche],$A63)</f>
        <v>0</v>
      </c>
      <c r="G63" s="187" t="n">
        <f aca="false">SUMIFS(Horodateur1123353819223134374346495255586164698522263438465058546266707478829098941021061141181101221261301341381421461501541581621661701741781821861901941982022062102144[Durée (100)],Horodateur1123353819223134374346495255586164698522263438465058546266707478829098941021061141181101221261301341381421461501541581621661701741781821861901941982022062102144[Jour],$G$56,Horodateur1123353819223134374346495255586164698522263438465058546266707478829098941021061141181101221261301341381421461501541581621661701741781821861901941982022062102144[Tâche],$A63)</f>
        <v>0</v>
      </c>
      <c r="H63" s="187" t="n">
        <f aca="false">SUMIFS(Horodateur1123353819223134374346495255586164698522263438465058546266707478829098941021061141181101221261301341381421461501541581621661701741781821861901941982022062102144[Durée (100)],Horodateur1123353819223134374346495255586164698522263438465058546266707478829098941021061141181101221261301341381421461501541581621661701741781821861901941982022062102144[Jour],$H$56,Horodateur1123353819223134374346495255586164698522263438465058546266707478829098941021061141181101221261301341381421461501541581621661701741781821861901941982022062102144[Tâche],$A63)</f>
        <v>0</v>
      </c>
      <c r="I63" s="295" t="n">
        <f aca="false">SUM(Taches_Jour21325374018213033364245485154576063688421253337454957536165697377818997931011051131171091211251291331371411451491531571611651691731771811851891931972012052092133[[#This Row],[1- Lundi]:[7- Dimanche]])</f>
        <v>0</v>
      </c>
      <c r="J63" s="271"/>
      <c r="K63" s="1"/>
      <c r="L63" s="188"/>
      <c r="M63" s="272"/>
      <c r="N63" s="187"/>
      <c r="O63" s="1"/>
      <c r="P63" s="1"/>
      <c r="Q63" s="1"/>
      <c r="R63" s="1"/>
      <c r="S63" s="1"/>
      <c r="T63" s="1"/>
      <c r="U63" s="71"/>
      <c r="V63" s="71"/>
      <c r="W63" s="71"/>
      <c r="X63" s="71"/>
      <c r="Y63" s="71"/>
      <c r="Z63" s="71"/>
      <c r="AA63" s="71"/>
      <c r="AB63" s="71"/>
      <c r="AC63" s="71"/>
      <c r="AD63" s="71"/>
      <c r="AE63" s="71"/>
      <c r="AF63" s="71"/>
      <c r="AG63" s="71"/>
    </row>
    <row r="64" customFormat="false" ht="15" hidden="true" customHeight="false" outlineLevel="1" collapsed="false">
      <c r="A64" s="137" t="s">
        <v>380</v>
      </c>
      <c r="B64" s="187" t="n">
        <f aca="false">SUMIFS(Horodateur1123353819223134374346495255586164698522263438465058546266707478829098941021061141181101221261301341381421461501541581621661701741781821861901941982022062102144[Durée (100)],Horodateur1123353819223134374346495255586164698522263438465058546266707478829098941021061141181101221261301341381421461501541581621661701741781821861901941982022062102144[Jour],$B$56,Horodateur1123353819223134374346495255586164698522263438465058546266707478829098941021061141181101221261301341381421461501541581621661701741781821861901941982022062102144[Tâche],$A64)</f>
        <v>0</v>
      </c>
      <c r="C64" s="187" t="n">
        <f aca="false">SUMIFS(Horodateur1123353819223134374346495255586164698522263438465058546266707478829098941021061141181101221261301341381421461501541581621661701741781821861901941982022062102144[Durée (100)],Horodateur1123353819223134374346495255586164698522263438465058546266707478829098941021061141181101221261301341381421461501541581621661701741781821861901941982022062102144[Jour],$C$56,Horodateur1123353819223134374346495255586164698522263438465058546266707478829098941021061141181101221261301341381421461501541581621661701741781821861901941982022062102144[Tâche],$A64)</f>
        <v>0</v>
      </c>
      <c r="D64" s="187" t="n">
        <f aca="false">SUMIFS(Horodateur1123353819223134374346495255586164698522263438465058546266707478829098941021061141181101221261301341381421461501541581621661701741781821861901941982022062102144[Durée (100)],Horodateur1123353819223134374346495255586164698522263438465058546266707478829098941021061141181101221261301341381421461501541581621661701741781821861901941982022062102144[Jour],$D$56,Horodateur1123353819223134374346495255586164698522263438465058546266707478829098941021061141181101221261301341381421461501541581621661701741781821861901941982022062102144[Tâche],$A64)</f>
        <v>0</v>
      </c>
      <c r="E64" s="187" t="n">
        <f aca="false">SUMIFS(Horodateur1123353819223134374346495255586164698522263438465058546266707478829098941021061141181101221261301341381421461501541581621661701741781821861901941982022062102144[Durée (100)],Horodateur1123353819223134374346495255586164698522263438465058546266707478829098941021061141181101221261301341381421461501541581621661701741781821861901941982022062102144[Jour],$E$56,Horodateur1123353819223134374346495255586164698522263438465058546266707478829098941021061141181101221261301341381421461501541581621661701741781821861901941982022062102144[Tâche],$A64)</f>
        <v>0</v>
      </c>
      <c r="F64" s="71" t="n">
        <f aca="false">SUMIFS(Horodateur1123353819223134374346495255586164698522263438465058546266707478829098941021061141181101221261301341381421461501541581621661701741781821861901941982022062102144[Durée (100)],Horodateur1123353819223134374346495255586164698522263438465058546266707478829098941021061141181101221261301341381421461501541581621661701741781821861901941982022062102144[Jour],$F$56,Horodateur1123353819223134374346495255586164698522263438465058546266707478829098941021061141181101221261301341381421461501541581621661701741781821861901941982022062102144[Tâche],$A64)</f>
        <v>0</v>
      </c>
      <c r="G64" s="187" t="n">
        <f aca="false">SUMIFS(Horodateur1123353819223134374346495255586164698522263438465058546266707478829098941021061141181101221261301341381421461501541581621661701741781821861901941982022062102144[Durée (100)],Horodateur1123353819223134374346495255586164698522263438465058546266707478829098941021061141181101221261301341381421461501541581621661701741781821861901941982022062102144[Jour],$G$56,Horodateur1123353819223134374346495255586164698522263438465058546266707478829098941021061141181101221261301341381421461501541581621661701741781821861901941982022062102144[Tâche],$A64)</f>
        <v>0</v>
      </c>
      <c r="H64" s="187" t="n">
        <f aca="false">SUMIFS(Horodateur1123353819223134374346495255586164698522263438465058546266707478829098941021061141181101221261301341381421461501541581621661701741781821861901941982022062102144[Durée (100)],Horodateur1123353819223134374346495255586164698522263438465058546266707478829098941021061141181101221261301341381421461501541581621661701741781821861901941982022062102144[Jour],$H$56,Horodateur1123353819223134374346495255586164698522263438465058546266707478829098941021061141181101221261301341381421461501541581621661701741781821861901941982022062102144[Tâche],$A64)</f>
        <v>0</v>
      </c>
      <c r="I64" s="295" t="n">
        <f aca="false">SUM(Taches_Jour21325374018213033364245485154576063688421253337454957536165697377818997931011051131171091211251291331371411451491531571611651691731771811851891931972012052092133[[#This Row],[1- Lundi]:[7- Dimanche]])</f>
        <v>0</v>
      </c>
      <c r="J64" s="271"/>
      <c r="K64" s="1"/>
      <c r="L64" s="188"/>
      <c r="M64" s="272"/>
      <c r="N64" s="76"/>
    </row>
    <row r="65" customFormat="false" ht="15" hidden="true" customHeight="false" outlineLevel="1" collapsed="false">
      <c r="N65" s="76"/>
    </row>
    <row r="66" customFormat="false" ht="15" hidden="false" customHeight="false" outlineLevel="1" collapsed="false">
      <c r="G66" s="0" t="s">
        <v>383</v>
      </c>
      <c r="N66" s="76"/>
    </row>
    <row r="67" customFormat="false" ht="15" hidden="false" customHeight="false" outlineLevel="0" collapsed="false">
      <c r="N67" s="76"/>
    </row>
    <row r="68" customFormat="false" ht="15" hidden="false" customHeight="false" outlineLevel="0" collapsed="false">
      <c r="G68" s="76"/>
      <c r="N68" s="76"/>
    </row>
    <row r="69" customFormat="false" ht="15" hidden="false" customHeight="false" outlineLevel="0" collapsed="false">
      <c r="N69" s="76"/>
    </row>
    <row r="70" customFormat="false" ht="15" hidden="false" customHeight="false" outlineLevel="0" collapsed="false">
      <c r="N70" s="76"/>
    </row>
    <row r="71" customFormat="false" ht="15" hidden="false" customHeight="false" outlineLevel="0" collapsed="false">
      <c r="N71" s="76"/>
    </row>
    <row r="72" customFormat="false" ht="15" hidden="false" customHeight="false" outlineLevel="0" collapsed="false">
      <c r="N72" s="76"/>
    </row>
    <row r="73" customFormat="false" ht="15" hidden="false" customHeight="false" outlineLevel="0" collapsed="false">
      <c r="N73" s="76"/>
    </row>
    <row r="74" customFormat="false" ht="15" hidden="false" customHeight="false" outlineLevel="0" collapsed="false">
      <c r="N74" s="76"/>
    </row>
    <row r="75" customFormat="false" ht="15" hidden="false" customHeight="false" outlineLevel="0" collapsed="false">
      <c r="N75" s="76"/>
    </row>
    <row r="76" customFormat="false" ht="15" hidden="false" customHeight="false" outlineLevel="0" collapsed="false">
      <c r="N76" s="76"/>
    </row>
    <row r="77" customFormat="false" ht="15" hidden="false" customHeight="false" outlineLevel="0" collapsed="false">
      <c r="N77" s="76"/>
    </row>
    <row r="78" customFormat="false" ht="15" hidden="false" customHeight="false" outlineLevel="0" collapsed="false">
      <c r="N78" s="76"/>
    </row>
    <row r="79" customFormat="false" ht="15" hidden="false" customHeight="false" outlineLevel="0" collapsed="false">
      <c r="N79" s="76"/>
    </row>
    <row r="80" customFormat="false" ht="15" hidden="false" customHeight="false" outlineLevel="0" collapsed="false">
      <c r="N80" s="76"/>
    </row>
    <row r="81" customFormat="false" ht="15" hidden="false" customHeight="false" outlineLevel="0" collapsed="false">
      <c r="N81" s="76"/>
    </row>
    <row r="82" customFormat="false" ht="15" hidden="false" customHeight="false" outlineLevel="0" collapsed="false">
      <c r="N82" s="76"/>
    </row>
    <row r="83" customFormat="false" ht="15" hidden="false" customHeight="false" outlineLevel="0" collapsed="false">
      <c r="N83" s="76"/>
    </row>
    <row r="84" customFormat="false" ht="15" hidden="false" customHeight="false" outlineLevel="0" collapsed="false">
      <c r="N84" s="76"/>
    </row>
    <row r="85" customFormat="false" ht="15" hidden="false" customHeight="false" outlineLevel="0" collapsed="false">
      <c r="N85" s="76"/>
    </row>
    <row r="86" customFormat="false" ht="15" hidden="false" customHeight="false" outlineLevel="0" collapsed="false">
      <c r="N86" s="76"/>
    </row>
    <row r="87" customFormat="false" ht="15" hidden="false" customHeight="false" outlineLevel="0" collapsed="false">
      <c r="N87" s="76"/>
    </row>
    <row r="88" customFormat="false" ht="15" hidden="false" customHeight="false" outlineLevel="0" collapsed="false">
      <c r="A88" s="296" t="s">
        <v>384</v>
      </c>
      <c r="B88" s="296"/>
      <c r="N88" s="76"/>
    </row>
    <row r="89" customFormat="false" ht="15" hidden="false" customHeight="false" outlineLevel="0" collapsed="false">
      <c r="A89" s="297" t="s">
        <v>385</v>
      </c>
      <c r="B89" s="297" t="s">
        <v>8</v>
      </c>
      <c r="N89" s="76"/>
    </row>
    <row r="90" customFormat="false" ht="15" hidden="false" customHeight="false" outlineLevel="0" collapsed="false">
      <c r="A90" s="298" t="n">
        <v>0</v>
      </c>
      <c r="B90" s="299" t="s">
        <v>386</v>
      </c>
      <c r="N90" s="76"/>
    </row>
    <row r="91" customFormat="false" ht="15" hidden="false" customHeight="false" outlineLevel="0" collapsed="false">
      <c r="A91" s="298" t="n">
        <v>-2</v>
      </c>
      <c r="B91" s="299" t="s">
        <v>387</v>
      </c>
      <c r="N91" s="76"/>
    </row>
    <row r="92" customFormat="false" ht="15" hidden="false" customHeight="false" outlineLevel="0" collapsed="false">
      <c r="A92" s="298" t="n">
        <v>8.5</v>
      </c>
      <c r="B92" s="299" t="s">
        <v>388</v>
      </c>
      <c r="N92" s="76"/>
    </row>
    <row r="93" customFormat="false" ht="15" hidden="false" customHeight="false" outlineLevel="0" collapsed="false">
      <c r="A93" s="298" t="n">
        <v>14.5</v>
      </c>
      <c r="B93" s="299" t="s">
        <v>389</v>
      </c>
      <c r="N93" s="76"/>
    </row>
    <row r="94" customFormat="false" ht="15" hidden="false" customHeight="false" outlineLevel="0" collapsed="false">
      <c r="A94" s="298" t="n">
        <v>8.5</v>
      </c>
      <c r="B94" s="299" t="s">
        <v>390</v>
      </c>
      <c r="N94" s="76"/>
    </row>
    <row r="95" customFormat="false" ht="15" hidden="false" customHeight="false" outlineLevel="0" collapsed="false">
      <c r="A95" s="298" t="n">
        <v>10</v>
      </c>
      <c r="B95" s="299" t="s">
        <v>391</v>
      </c>
      <c r="N95" s="76"/>
    </row>
    <row r="96" customFormat="false" ht="15" hidden="false" customHeight="false" outlineLevel="0" collapsed="false">
      <c r="A96" s="298" t="n">
        <v>-7.5</v>
      </c>
      <c r="B96" s="299" t="s">
        <v>392</v>
      </c>
      <c r="N96" s="76"/>
    </row>
    <row r="97" customFormat="false" ht="15" hidden="false" customHeight="false" outlineLevel="0" collapsed="false">
      <c r="A97" s="298" t="n">
        <v>2</v>
      </c>
      <c r="B97" s="299" t="s">
        <v>393</v>
      </c>
      <c r="N97" s="76"/>
    </row>
    <row r="98" customFormat="false" ht="15" hidden="false" customHeight="false" outlineLevel="0" collapsed="false">
      <c r="A98" s="300" t="n">
        <v>2</v>
      </c>
      <c r="B98" s="301" t="s">
        <v>394</v>
      </c>
      <c r="N98" s="76"/>
    </row>
    <row r="99" customFormat="false" ht="15" hidden="false" customHeight="false" outlineLevel="0" collapsed="false">
      <c r="A99" s="300" t="n">
        <v>2.25</v>
      </c>
      <c r="B99" s="301" t="s">
        <v>395</v>
      </c>
    </row>
    <row r="100" customFormat="false" ht="15" hidden="false" customHeight="false" outlineLevel="0" collapsed="false">
      <c r="A100" s="300" t="n">
        <v>-4</v>
      </c>
      <c r="B100" s="302" t="s">
        <v>396</v>
      </c>
    </row>
    <row r="101" customFormat="false" ht="15" hidden="false" customHeight="false" outlineLevel="0" collapsed="false">
      <c r="A101" s="300" t="n">
        <v>-7.5</v>
      </c>
      <c r="B101" s="301" t="s">
        <v>397</v>
      </c>
    </row>
  </sheetData>
  <mergeCells count="1">
    <mergeCell ref="A88:B88"/>
  </mergeCells>
  <conditionalFormatting sqref="G4:G40">
    <cfRule type="expression" priority="2" aboveAverage="0" equalAverage="0" bottom="0" percent="0" rank="0" text="" dxfId="940">
      <formula>L4="O"</formula>
    </cfRule>
    <cfRule type="expression" priority="3" aboveAverage="0" equalAverage="0" bottom="0" percent="0" rank="0" text="" dxfId="941">
      <formula>H4=0</formula>
    </cfRule>
  </conditionalFormatting>
  <conditionalFormatting sqref="F4:F40">
    <cfRule type="expression" priority="4" aboveAverage="0" equalAverage="0" bottom="0" percent="0" rank="0" text="" dxfId="942">
      <formula>L4="O"</formula>
    </cfRule>
  </conditionalFormatting>
  <conditionalFormatting sqref="E4:E40">
    <cfRule type="expression" priority="5" aboveAverage="0" equalAverage="0" bottom="0" percent="0" rank="0" text="" dxfId="943">
      <formula>L4="O"</formula>
    </cfRule>
  </conditionalFormatting>
  <conditionalFormatting sqref="C4:I40 K4:K40">
    <cfRule type="containsText" priority="6" operator="containsText" aboveAverage="0" equalAverage="0" bottom="0" percent="0" rank="0" text="Lundi" dxfId="693">
      <formula>NOT(ISERROR(SEARCH("Lundi",C4)))</formula>
    </cfRule>
  </conditionalFormatting>
  <conditionalFormatting sqref="D4:D40">
    <cfRule type="expression" priority="7" aboveAverage="0" equalAverage="0" bottom="0" percent="0" rank="0" text="" dxfId="944">
      <formula>L4="O"</formula>
    </cfRule>
  </conditionalFormatting>
  <conditionalFormatting sqref="C4:C40">
    <cfRule type="expression" priority="8" aboveAverage="0" equalAverage="0" bottom="0" percent="0" rank="0" text="" dxfId="945">
      <formula>L4="O"</formula>
    </cfRule>
  </conditionalFormatting>
  <conditionalFormatting sqref="K4:K40">
    <cfRule type="expression" priority="9" aboveAverage="0" equalAverage="0" bottom="0" percent="0" rank="0" text="" dxfId="946">
      <formula>L4="O"</formula>
    </cfRule>
  </conditionalFormatting>
  <conditionalFormatting sqref="I4:I40">
    <cfRule type="expression" priority="10" aboveAverage="0" equalAverage="0" bottom="0" percent="0" rank="0" text="" dxfId="947">
      <formula>L4="O"</formula>
    </cfRule>
  </conditionalFormatting>
  <conditionalFormatting sqref="H4:H40">
    <cfRule type="expression" priority="11" aboveAverage="0" equalAverage="0" bottom="0" percent="0" rank="0" text="" dxfId="948">
      <formula>L4="O"</formula>
    </cfRule>
  </conditionalFormatting>
  <conditionalFormatting sqref="F2:J2">
    <cfRule type="iconSet" priority="12">
      <iconSet iconSet="3TrafficLights1">
        <cfvo type="percent" val="0"/>
        <cfvo type="percent" val="33"/>
        <cfvo type="percent" val="67"/>
      </iconSet>
    </cfRule>
  </conditionalFormatting>
  <conditionalFormatting sqref="B4:B40">
    <cfRule type="containsText" priority="13" operator="containsText" aboveAverage="0" equalAverage="0" bottom="0" percent="0" rank="0" text="5" dxfId="949">
      <formula>NOT(ISERROR(SEARCH("5",B4)))</formula>
    </cfRule>
    <cfRule type="containsText" priority="14" operator="containsText" aboveAverage="0" equalAverage="0" bottom="0" percent="0" rank="0" text="4" dxfId="950">
      <formula>NOT(ISERROR(SEARCH("4",B4)))</formula>
    </cfRule>
    <cfRule type="containsText" priority="15" operator="containsText" aboveAverage="0" equalAverage="0" bottom="0" percent="0" rank="0" text="3" dxfId="951">
      <formula>NOT(ISERROR(SEARCH("3",B4)))</formula>
    </cfRule>
    <cfRule type="containsText" priority="16" operator="containsText" aboveAverage="0" equalAverage="0" bottom="0" percent="0" rank="0" text="2" dxfId="952">
      <formula>NOT(ISERROR(SEARCH("2",B4)))</formula>
    </cfRule>
    <cfRule type="containsText" priority="17" operator="containsText" aboveAverage="0" equalAverage="0" bottom="0" percent="0" rank="0" text="1" dxfId="953">
      <formula>NOT(ISERROR(SEARCH("1",B4)))</formula>
    </cfRule>
  </conditionalFormatting>
  <conditionalFormatting sqref="I57:I64">
    <cfRule type="dataBar" priority="18">
      <dataBar showValue="1" minLength="10" maxLength="90">
        <cfvo type="min" val="0"/>
        <cfvo type="max" val="0"/>
        <color rgb="FFFFB628"/>
      </dataBar>
      <extLst>
        <ext xmlns:x14="http://schemas.microsoft.com/office/spreadsheetml/2009/9/main" uri="{B025F937-C7B1-47D3-B67F-A62EFF666E3E}">
          <x14:id>{B9ACF098-4AA1-4472-A613-EC4A1054F5F0}</x14:id>
        </ext>
      </extLst>
    </cfRule>
  </conditionalFormatting>
  <conditionalFormatting sqref="I53:I54 J48:J52">
    <cfRule type="dataBar" priority="19">
      <dataBar showValue="1" minLength="10" maxLength="90">
        <cfvo type="min" val="0"/>
        <cfvo type="max" val="0"/>
        <color rgb="FFFFB628"/>
      </dataBar>
      <extLst>
        <ext xmlns:x14="http://schemas.microsoft.com/office/spreadsheetml/2009/9/main" uri="{B025F937-C7B1-47D3-B67F-A62EFF666E3E}">
          <x14:id>{32364EDF-E410-429B-B5E2-ABF6BD1E6F41}</x14:id>
        </ext>
      </extLst>
    </cfRule>
  </conditionalFormatting>
  <conditionalFormatting sqref="U2:AG2">
    <cfRule type="dataBar" priority="20">
      <dataBar showValue="1" minLength="10" maxLength="90">
        <cfvo type="min" val="0"/>
        <cfvo type="max" val="0"/>
        <color rgb="FF63C384"/>
      </dataBar>
      <extLst>
        <ext xmlns:x14="http://schemas.microsoft.com/office/spreadsheetml/2009/9/main" uri="{B025F937-C7B1-47D3-B67F-A62EFF666E3E}">
          <x14:id>{1DDE40CC-6BD8-481E-A386-28F326C36D8A}</x14:id>
        </ext>
      </extLst>
    </cfRule>
  </conditionalFormatting>
  <conditionalFormatting sqref="N2:T2">
    <cfRule type="dataBar" priority="21">
      <dataBar showValue="1" minLength="10" maxLength="90">
        <cfvo type="min" val="0"/>
        <cfvo type="max" val="0"/>
        <color rgb="FFFFB628"/>
      </dataBar>
      <extLst>
        <ext xmlns:x14="http://schemas.microsoft.com/office/spreadsheetml/2009/9/main" uri="{B025F937-C7B1-47D3-B67F-A62EFF666E3E}">
          <x14:id>{83F4DDE3-4BBF-4168-9A92-2EF121C5BFE8}</x14:id>
        </ext>
      </extLst>
    </cfRule>
  </conditionalFormatting>
  <conditionalFormatting sqref="N2:AG2">
    <cfRule type="dataBar" priority="22">
      <dataBar showValue="1" minLength="10" maxLength="90">
        <cfvo type="min" val="0"/>
        <cfvo type="max" val="0"/>
        <color rgb="FFFFB628"/>
      </dataBar>
      <extLst>
        <ext xmlns:x14="http://schemas.microsoft.com/office/spreadsheetml/2009/9/main" uri="{B025F937-C7B1-47D3-B67F-A62EFF666E3E}">
          <x14:id>{DD8F36EC-659C-435A-8E8C-59F1DC9F8228}</x14:id>
        </ext>
      </extLst>
    </cfRule>
  </conditionalFormatting>
  <conditionalFormatting sqref="N2:S2">
    <cfRule type="dataBar" priority="23">
      <dataBar showValue="1" minLength="10" maxLength="90">
        <cfvo type="min" val="0"/>
        <cfvo type="max" val="0"/>
        <color rgb="FF638EC6"/>
      </dataBar>
      <extLst>
        <ext xmlns:x14="http://schemas.microsoft.com/office/spreadsheetml/2009/9/main" uri="{B025F937-C7B1-47D3-B67F-A62EFF666E3E}">
          <x14:id>{80F09025-D1F0-4C5B-A111-C3F01AB691A9}</x14:id>
        </ext>
      </extLst>
    </cfRule>
  </conditionalFormatting>
  <conditionalFormatting sqref="T2">
    <cfRule type="dataBar" priority="24">
      <dataBar showValue="1" minLength="10" maxLength="90">
        <cfvo type="min" val="0"/>
        <cfvo type="max" val="0"/>
        <color rgb="FF63C384"/>
      </dataBar>
      <extLst>
        <ext xmlns:x14="http://schemas.microsoft.com/office/spreadsheetml/2009/9/main" uri="{B025F937-C7B1-47D3-B67F-A62EFF666E3E}">
          <x14:id>{ACA76D7C-6E8A-442D-B7AC-AF56972A6037}</x14:id>
        </ext>
      </extLst>
    </cfRule>
  </conditionalFormatting>
  <conditionalFormatting sqref="A4:A40">
    <cfRule type="colorScale" priority="25">
      <colorScale>
        <cfvo type="min" val="0"/>
        <cfvo type="percentile" val="50"/>
        <cfvo type="max" val="0"/>
        <color rgb="FFFFCC99"/>
        <color rgb="FFFFD966"/>
        <color rgb="FFFFF2CC"/>
      </colorScale>
    </cfRule>
  </conditionalFormatting>
  <conditionalFormatting sqref="J4:J40">
    <cfRule type="iconSet" priority="26">
      <iconSet iconSet="3TrafficLights1">
        <cfvo type="percent" val="0"/>
        <cfvo type="percent" val="33"/>
        <cfvo type="percent" val="67"/>
      </iconSet>
    </cfRule>
  </conditionalFormatting>
  <dataValidations count="4">
    <dataValidation allowBlank="true" errorStyle="stop" operator="between" showDropDown="false" showErrorMessage="true" showInputMessage="true" sqref="B1" type="list">
      <formula1>Data!$A$2:$A$106</formula1>
      <formula2>0</formula2>
    </dataValidation>
    <dataValidation allowBlank="true" errorStyle="information" errorTitle="OK ?" operator="between" showDropDown="false" showErrorMessage="true" showInputMessage="true" sqref="F4:F40" type="list">
      <formula1>Data!$D$2:$D$16</formula1>
      <formula2>0</formula2>
    </dataValidation>
    <dataValidation allowBlank="false" errorStyle="stop" operator="between" showDropDown="false" showErrorMessage="true" showInputMessage="true" sqref="E4:E40" type="list">
      <formula1>Data!$E$2:$E$30</formula1>
      <formula2>0</formula2>
    </dataValidation>
    <dataValidation allowBlank="true" errorStyle="stop" operator="between" showDropDown="false" showErrorMessage="true" showInputMessage="true" sqref="B4:B40" type="list">
      <formula1>Data!$C$2:$C$8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  <tableParts>
    <tablePart r:id="rId4"/>
    <tablePart r:id="rId5"/>
    <tablePart r:id="rId6"/>
    <tablePart r:id="rId7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B9ACF098-4AA1-4472-A613-EC4A1054F5F0}">
            <x14:dataBar minLength="10" maxLength="90" axisPosition="automatic" gradient="true">
              <x14:cfvo type="autoMin"/>
              <x14:cfvo type="autoMax"/>
              <x14:negativeFillColor rgb="FFFF0000"/>
              <x14:axisColor rgb="FF000000"/>
            </x14:dataBar>
          </x14:cfRule>
          <xm:sqref>I57:I64</xm:sqref>
        </x14:conditionalFormatting>
        <x14:conditionalFormatting xmlns:xm="http://schemas.microsoft.com/office/excel/2006/main">
          <x14:cfRule type="dataBar" id="{32364EDF-E410-429B-B5E2-ABF6BD1E6F41}">
            <x14:dataBar minLength="10" maxLength="90" axisPosition="automatic" gradient="true">
              <x14:cfvo type="autoMin"/>
              <x14:cfvo type="autoMax"/>
              <x14:negativeFillColor rgb="FFFF0000"/>
              <x14:axisColor rgb="FF000000"/>
            </x14:dataBar>
          </x14:cfRule>
          <xm:sqref>I53:I54 J48:J52</xm:sqref>
        </x14:conditionalFormatting>
        <x14:conditionalFormatting xmlns:xm="http://schemas.microsoft.com/office/excel/2006/main">
          <x14:cfRule type="dataBar" id="{1DDE40CC-6BD8-481E-A386-28F326C36D8A}">
            <x14:dataBar minLength="10" maxLength="90" axisPosition="automatic" gradient="true">
              <x14:cfvo type="autoMin"/>
              <x14:cfvo type="autoMax"/>
              <x14:negativeFillColor rgb="FFFF0000"/>
              <x14:axisColor rgb="FF000000"/>
            </x14:dataBar>
          </x14:cfRule>
          <xm:sqref>U2:AG2</xm:sqref>
        </x14:conditionalFormatting>
        <x14:conditionalFormatting xmlns:xm="http://schemas.microsoft.com/office/excel/2006/main">
          <x14:cfRule type="dataBar" id="{83F4DDE3-4BBF-4168-9A92-2EF121C5BFE8}">
            <x14:dataBar minLength="10" maxLength="90" axisPosition="automatic" gradient="true">
              <x14:cfvo type="autoMin"/>
              <x14:cfvo type="autoMax"/>
              <x14:negativeFillColor rgb="FFFF0000"/>
              <x14:axisColor rgb="FF000000"/>
            </x14:dataBar>
          </x14:cfRule>
          <xm:sqref>N2:T2</xm:sqref>
        </x14:conditionalFormatting>
        <x14:conditionalFormatting xmlns:xm="http://schemas.microsoft.com/office/excel/2006/main">
          <x14:cfRule type="dataBar" id="{DD8F36EC-659C-435A-8E8C-59F1DC9F8228}">
            <x14:dataBar minLength="10" maxLength="90" axisPosition="automatic" gradient="false">
              <x14:cfvo type="autoMin"/>
              <x14:cfvo type="autoMax"/>
              <x14:negativeFillColor rgb="FFFF0000"/>
              <x14:axisColor rgb="FF000000"/>
            </x14:dataBar>
          </x14:cfRule>
          <xm:sqref>N2:AG2</xm:sqref>
        </x14:conditionalFormatting>
        <x14:conditionalFormatting xmlns:xm="http://schemas.microsoft.com/office/excel/2006/main">
          <x14:cfRule type="dataBar" id="{80F09025-D1F0-4C5B-A111-C3F01AB691A9}">
            <x14:dataBar minLength="10" maxLength="90" axisPosition="automatic" gradient="false">
              <x14:cfvo type="autoMin"/>
              <x14:cfvo type="autoMax"/>
              <x14:negativeFillColor rgb="FFFF0000"/>
              <x14:axisColor rgb="FF000000"/>
            </x14:dataBar>
          </x14:cfRule>
          <xm:sqref>N2:S2</xm:sqref>
        </x14:conditionalFormatting>
        <x14:conditionalFormatting xmlns:xm="http://schemas.microsoft.com/office/excel/2006/main">
          <x14:cfRule type="dataBar" id="{ACA76D7C-6E8A-442D-B7AC-AF56972A6037}">
            <x14:dataBar minLength="10" maxLength="90" axisPosition="automatic" gradient="false">
              <x14:cfvo type="autoMin"/>
              <x14:cfvo type="autoMax"/>
              <x14:negativeFillColor rgb="FFFF0000"/>
              <x14:axisColor rgb="FF000000"/>
            </x14:dataBar>
          </x14:cfRule>
          <xm:sqref>T2</xm:sqref>
        </x14:conditionalFormatting>
      </x14:conditionalFormattings>
    </ext>
  </extLst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9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13" activePane="bottomLeft" state="frozen"/>
      <selection pane="topLeft" activeCell="A1" activeCellId="0" sqref="A1"/>
      <selection pane="bottomLeft" activeCell="G7" activeCellId="0" sqref="G7"/>
    </sheetView>
  </sheetViews>
  <sheetFormatPr defaultColWidth="8.6796875" defaultRowHeight="15" zeroHeight="false" outlineLevelRow="1" outlineLevelCol="1"/>
  <cols>
    <col collapsed="false" customWidth="true" hidden="false" outlineLevel="0" max="1" min="1" style="0" width="16.57"/>
    <col collapsed="false" customWidth="true" hidden="false" outlineLevel="0" max="2" min="2" style="0" width="17.71"/>
    <col collapsed="false" customWidth="true" hidden="false" outlineLevel="0" max="3" min="3" style="0" width="17"/>
    <col collapsed="false" customWidth="true" hidden="false" outlineLevel="0" max="4" min="4" style="0" width="14.71"/>
    <col collapsed="false" customWidth="true" hidden="false" outlineLevel="0" max="6" min="5" style="0" width="20.14"/>
    <col collapsed="false" customWidth="true" hidden="false" outlineLevel="0" max="7" min="7" style="0" width="22.29"/>
    <col collapsed="false" customWidth="true" hidden="false" outlineLevel="0" max="8" min="8" style="0" width="12.71"/>
    <col collapsed="false" customWidth="true" hidden="false" outlineLevel="0" max="9" min="9" style="0" width="12.42"/>
    <col collapsed="false" customWidth="true" hidden="false" outlineLevel="0" max="10" min="10" style="0" width="13"/>
    <col collapsed="false" customWidth="true" hidden="false" outlineLevel="0" max="11" min="11" style="0" width="11"/>
    <col collapsed="false" customWidth="true" hidden="false" outlineLevel="0" max="12" min="12" style="0" width="7.71"/>
    <col collapsed="false" customWidth="true" hidden="false" outlineLevel="0" max="13" min="13" style="224" width="9.86"/>
    <col collapsed="false" customWidth="true" hidden="false" outlineLevel="1" max="14" min="14" style="0" width="10.29"/>
    <col collapsed="false" customWidth="true" hidden="false" outlineLevel="1" max="15" min="15" style="0" width="7.29"/>
    <col collapsed="false" customWidth="true" hidden="false" outlineLevel="1" max="16" min="16" style="0" width="8.57"/>
    <col collapsed="false" customWidth="true" hidden="false" outlineLevel="1" max="18" min="17" style="0" width="7.29"/>
    <col collapsed="false" customWidth="true" hidden="false" outlineLevel="1" max="19" min="19" style="0" width="8.57"/>
    <col collapsed="false" customWidth="true" hidden="false" outlineLevel="1" max="20" min="20" style="0" width="7.71"/>
    <col collapsed="false" customWidth="true" hidden="false" outlineLevel="1" max="21" min="21" style="0" width="12"/>
    <col collapsed="false" customWidth="true" hidden="false" outlineLevel="1" max="22" min="22" style="0" width="10.14"/>
    <col collapsed="false" customWidth="true" hidden="false" outlineLevel="1" max="23" min="23" style="0" width="11.71"/>
    <col collapsed="false" customWidth="true" hidden="false" outlineLevel="1" max="24" min="24" style="0" width="12.71"/>
    <col collapsed="false" customWidth="true" hidden="false" outlineLevel="1" max="25" min="25" style="0" width="8.57"/>
    <col collapsed="false" customWidth="true" hidden="false" outlineLevel="1" max="26" min="26" style="0" width="7.29"/>
    <col collapsed="false" customWidth="true" hidden="false" outlineLevel="1" max="27" min="27" style="0" width="9.71"/>
    <col collapsed="false" customWidth="true" hidden="false" outlineLevel="1" max="28" min="28" style="0" width="11.43"/>
    <col collapsed="false" customWidth="true" hidden="false" outlineLevel="1" max="29" min="29" style="0" width="10"/>
    <col collapsed="false" customWidth="true" hidden="false" outlineLevel="1" max="30" min="30" style="0" width="9.86"/>
    <col collapsed="false" customWidth="true" hidden="false" outlineLevel="1" max="31" min="31" style="0" width="7.86"/>
    <col collapsed="false" customWidth="true" hidden="false" outlineLevel="1" max="32" min="32" style="0" width="18.71"/>
    <col collapsed="false" customWidth="true" hidden="false" outlineLevel="1" max="33" min="33" style="0" width="27.15"/>
    <col collapsed="false" customWidth="true" hidden="false" outlineLevel="1" max="34" min="34" style="0" width="5.42"/>
  </cols>
  <sheetData>
    <row r="1" customFormat="false" ht="22.05" hidden="false" customHeight="false" outlineLevel="0" collapsed="false">
      <c r="A1" s="225" t="str">
        <f aca="false">"Semaine du " &amp; Data!D41</f>
        <v>Semaine du </v>
      </c>
      <c r="B1" s="226" t="n">
        <v>44200</v>
      </c>
      <c r="C1" s="227"/>
      <c r="D1" s="321" t="s">
        <v>361</v>
      </c>
      <c r="E1" s="322" t="n">
        <f aca="false">AVERAGE(F2:J2)</f>
        <v>7.3</v>
      </c>
      <c r="F1" s="323" t="s">
        <v>0</v>
      </c>
      <c r="G1" s="324" t="s">
        <v>1</v>
      </c>
      <c r="H1" s="324" t="s">
        <v>2</v>
      </c>
      <c r="I1" s="324" t="s">
        <v>3</v>
      </c>
      <c r="J1" s="324" t="s">
        <v>4</v>
      </c>
      <c r="K1" s="325" t="s">
        <v>401</v>
      </c>
      <c r="L1" s="234" t="n">
        <f aca="false">COUNTIF(Horodateur112335381922313437434649525558616469852226343846505854626670747882909894102106114118110122126130134138142146150154158162166170174178182186190194198202206210214[O],"o")+ COUNTIF(Horodateur112335381922313437434649525558616469852226343846505854626670747882909894102106114118110122126130134138142146150154158162166170174178182186190194198202206210214[O],".")</f>
        <v>28</v>
      </c>
      <c r="M1" s="128" t="n">
        <f aca="false">B2</f>
        <v>40</v>
      </c>
      <c r="N1" s="131" t="s">
        <v>21</v>
      </c>
      <c r="O1" s="130" t="s">
        <v>20</v>
      </c>
      <c r="P1" s="130" t="s">
        <v>23</v>
      </c>
      <c r="Q1" s="130" t="s">
        <v>25</v>
      </c>
      <c r="R1" s="130" t="s">
        <v>26</v>
      </c>
      <c r="S1" s="130" t="s">
        <v>378</v>
      </c>
      <c r="T1" s="130" t="s">
        <v>380</v>
      </c>
      <c r="U1" s="136" t="s">
        <v>32</v>
      </c>
      <c r="V1" s="136" t="s">
        <v>69</v>
      </c>
      <c r="W1" s="136" t="s">
        <v>66</v>
      </c>
      <c r="X1" s="136" t="s">
        <v>47</v>
      </c>
      <c r="Y1" s="136" t="s">
        <v>68</v>
      </c>
      <c r="Z1" s="136" t="s">
        <v>41</v>
      </c>
      <c r="AA1" s="136" t="s">
        <v>61</v>
      </c>
      <c r="AB1" s="136" t="s">
        <v>74</v>
      </c>
      <c r="AC1" s="136" t="s">
        <v>37</v>
      </c>
      <c r="AD1" s="136" t="s">
        <v>77</v>
      </c>
      <c r="AE1" s="136" t="s">
        <v>45</v>
      </c>
      <c r="AF1" s="136" t="s">
        <v>78</v>
      </c>
      <c r="AG1" s="136" t="s">
        <v>79</v>
      </c>
      <c r="AH1" s="87" t="str">
        <f aca="false">SUM(M4:M31) &amp; " / " &amp; B2-SUM(M4:M31)</f>
        <v>40 / 0</v>
      </c>
    </row>
    <row r="2" customFormat="false" ht="22.05" hidden="false" customHeight="false" outlineLevel="0" collapsed="false">
      <c r="A2" s="327" t="n">
        <f aca="false">SUM(Horodateur112335381922313437434649525558616469852226343846505854626670747882909894102106114118110122126130134138142146150154158162166170174178182186190194198202206210214[Durée (60)])</f>
        <v>1.66666666666667</v>
      </c>
      <c r="B2" s="328" t="n">
        <f aca="false">SUM(Horodateur112335381922313437434649525558616469852226343846505854626670747882909894102106114118110122126130134138142146150154158162166170174178182186190194198202206210214[Durée (100)])</f>
        <v>40</v>
      </c>
      <c r="C2" s="339" t="str">
        <f aca="false">M2</f>
        <v>40 / 0</v>
      </c>
      <c r="D2" s="238"/>
      <c r="E2" s="239"/>
      <c r="F2" s="329" t="n">
        <f aca="false">SUMIF(Horodateur112335381922313437434649525558616469852226343846505854626670747882909894102106114118110122126130134138142146150154158162166170174178182186190194198202206210214[Jour],"1- Lundi",Horodateur112335381922313437434649525558616469852226343846505854626670747882909894102106114118110122126130134138142146150154158162166170174178182186190194198202206210214[Durée (100)])</f>
        <v>7</v>
      </c>
      <c r="G2" s="330" t="n">
        <f aca="false">SUMIF(Horodateur112335381922313437434649525558616469852226343846505854626670747882909894102106114118110122126130134138142146150154158162166170174178182186190194198202206210214[Jour],"2- Mardi",Horodateur112335381922313437434649525558616469852226343846505854626670747882909894102106114118110122126130134138142146150154158162166170174178182186190194198202206210214[Durée (100)])</f>
        <v>8</v>
      </c>
      <c r="H2" s="330" t="n">
        <f aca="false">SUMIF(Horodateur112335381922313437434649525558616469852226343846505854626670747882909894102106114118110122126130134138142146150154158162166170174178182186190194198202206210214[Jour],"3- Mercredi",Horodateur112335381922313437434649525558616469852226343846505854626670747882909894102106114118110122126130134138142146150154158162166170174178182186190194198202206210214[Durée (100)])</f>
        <v>6.5</v>
      </c>
      <c r="I2" s="330" t="n">
        <f aca="false">SUMIF(Horodateur112335381922313437434649525558616469852226343846505854626670747882909894102106114118110122126130134138142146150154158162166170174178182186190194198202206210214[Jour],"4- Jeudi",Horodateur112335381922313437434649525558616469852226343846505854626670747882909894102106114118110122126130134138142146150154158162166170174178182186190194198202206210214[Durée (100)])</f>
        <v>7</v>
      </c>
      <c r="J2" s="330" t="n">
        <f aca="false">SUMIF(Horodateur112335381922313437434649525558616469852226343846505854626670747882909894102106114118110122126130134138142146150154158162166170174178182186190194198202206210214[Jour],"5- Vendredi",Horodateur112335381922313437434649525558616469852226343846505854626670747882909894102106114118110122126130134138142146150154158162166170174178182186190194198202206210214[Durée (100)])</f>
        <v>8</v>
      </c>
      <c r="K2" s="331" t="str">
        <f aca="false">ROUND(SUMIF(Horodateur112335381922313437434649525558616469852226343846505854626670747882909894102106114118110122126130134138142146150154158162166170174178182186190194198202206210214[Jour],"6- Samedi",Horodateur112335381922313437434649525558616469852226343846505854626670747882909894102106114118110122126130134138142146150154158162166170174178182186190194198202206210214[Durée (100)]),2) &amp;  "   /    " &amp;  ROUND(SUMIF(Horodateur112335381922313437434649525558616469852226343846505854626670747882909894102106114118110122126130134138142146150154158162166170174178182186190194198202206210214[Jour],"7- Dimanche",Horodateur112335381922313437434649525558616469852226343846505854626670747882909894102106114118110122126130134138142146150154158162166170174178182186190194198202206210214[Durée (100)]),2)</f>
        <v>3.5   /    0</v>
      </c>
      <c r="L2" s="244" t="str">
        <f aca="false">COUNTIF(Horodateur112335381922313437434649525558616469852226343846505854626670747882909894102106114118110122126130134138142146150154158162166170174178182186190194198202206210214[O],"o")&amp;" / " &amp;  COUNTIF(Horodateur112335381922313437434649525558616469852226343846505854626670747882909894102106114118110122126130134138142146150154158162166170174178182186190194198202206210214[O],".")</f>
        <v>28 / 0</v>
      </c>
      <c r="M2" s="143" t="str">
        <f aca="false">SUM(M4:M31) &amp; " / " &amp; B2-SUM(M4:M31)</f>
        <v>40 / 0</v>
      </c>
      <c r="N2" s="248" t="n">
        <f aca="false">SUMIF(Horodateur112335381922313437434649525558616469852226343846505854626670747882909894102106114118110122126130134138142146150154158162166170174178182186190194198202206210214[Tâche],N$1,Horodateur112335381922313437434649525558616469852226343846505854626670747882909894102106114118110122126130134138142146150154158162166170174178182186190194198202206210214[Durée (100)])</f>
        <v>3.25</v>
      </c>
      <c r="O2" s="247" t="n">
        <f aca="false">SUMIF(Horodateur112335381922313437434649525558616469852226343846505854626670747882909894102106114118110122126130134138142146150154158162166170174178182186190194198202206210214[Tâche],O$1,Horodateur112335381922313437434649525558616469852226343846505854626670747882909894102106114118110122126130134138142146150154158162166170174178182186190194198202206210214[Durée (100)])</f>
        <v>0.500000000000001</v>
      </c>
      <c r="P2" s="247" t="n">
        <f aca="false">SUMIF(Horodateur112335381922313437434649525558616469852226343846505854626670747882909894102106114118110122126130134138142146150154158162166170174178182186190194198202206210214[Tâche],P$1,Horodateur112335381922313437434649525558616469852226343846505854626670747882909894102106114118110122126130134138142146150154158162166170174178182186190194198202206210214[Durée (100)])</f>
        <v>0</v>
      </c>
      <c r="Q2" s="247" t="n">
        <f aca="false">SUMIF(Horodateur112335381922313437434649525558616469852226343846505854626670747882909894102106114118110122126130134138142146150154158162166170174178182186190194198202206210214[Tâche],Q$1,Horodateur112335381922313437434649525558616469852226343846505854626670747882909894102106114118110122126130134138142146150154158162166170174178182186190194198202206210214[Durée (100)])</f>
        <v>0</v>
      </c>
      <c r="R2" s="247" t="n">
        <f aca="false">SUMIF(Horodateur112335381922313437434649525558616469852226343846505854626670747882909894102106114118110122126130134138142146150154158162166170174178182186190194198202206210214[Tâche],R$1,Horodateur112335381922313437434649525558616469852226343846505854626670747882909894102106114118110122126130134138142146150154158162166170174178182186190194198202206210214[Durée (100)])</f>
        <v>0</v>
      </c>
      <c r="S2" s="247" t="n">
        <f aca="false">SUMIF(Horodateur112335381922313437434649525558616469852226343846505854626670747882909894102106114118110122126130134138142146150154158162166170174178182186190194198202206210214[Tâche],S$1,Horodateur112335381922313437434649525558616469852226343846505854626670747882909894102106114118110122126130134138142146150154158162166170174178182186190194198202206210214[Durée (100)])</f>
        <v>17</v>
      </c>
      <c r="T2" s="247" t="n">
        <f aca="false">SUMIF(Horodateur112335381922313437434649525558616469852226343846505854626670747882909894102106114118110122126130134138142146150154158162166170174178182186190194198202206210214[Tâche],T$1,Horodateur112335381922313437434649525558616469852226343846505854626670747882909894102106114118110122126130134138142146150154158162166170174178182186190194198202206210214[Durée (100)])</f>
        <v>0</v>
      </c>
      <c r="U2" s="151" t="n">
        <f aca="false">SUMIF(Horodateur112335381922313437434649525558616469852226343846505854626670747882909894102106114118110122126130134138142146150154158162166170174178182186190194198202206210214[Client],U$1,Horodateur112335381922313437434649525558616469852226343846505854626670747882909894102106114118110122126130134138142146150154158162166170174178182186190194198202206210214[Durée (100)])</f>
        <v>20.75</v>
      </c>
      <c r="V2" s="151" t="n">
        <f aca="false">SUMIF(Horodateur112335381922313437434649525558616469852226343846505854626670747882909894102106114118110122126130134138142146150154158162166170174178182186190194198202206210214[Client],V$1,Horodateur112335381922313437434649525558616469852226343846505854626670747882909894102106114118110122126130134138142146150154158162166170174178182186190194198202206210214[Durée (100)])</f>
        <v>0</v>
      </c>
      <c r="W2" s="151" t="n">
        <f aca="false">SUMIF(Horodateur112335381922313437434649525558616469852226343846505854626670747882909894102106114118110122126130134138142146150154158162166170174178182186190194198202206210214[Client],W$1,Horodateur112335381922313437434649525558616469852226343846505854626670747882909894102106114118110122126130134138142146150154158162166170174178182186190194198202206210214[Durée (100)])</f>
        <v>0.75</v>
      </c>
      <c r="X2" s="151" t="n">
        <f aca="false">SUMIF(Horodateur112335381922313437434649525558616469852226343846505854626670747882909894102106114118110122126130134138142146150154158162166170174178182186190194198202206210214[Client],X$1,Horodateur112335381922313437434649525558616469852226343846505854626670747882909894102106114118110122126130134138142146150154158162166170174178182186190194198202206210214[Durée (100)])</f>
        <v>0</v>
      </c>
      <c r="Y2" s="151" t="n">
        <f aca="false">SUMIF(Horodateur112335381922313437434649525558616469852226343846505854626670747882909894102106114118110122126130134138142146150154158162166170174178182186190194198202206210214[Client],Y$1,Horodateur112335381922313437434649525558616469852226343846505854626670747882909894102106114118110122126130134138142146150154158162166170174178182186190194198202206210214[Durée (100)])</f>
        <v>0</v>
      </c>
      <c r="Z2" s="151" t="n">
        <f aca="false">SUMIF(Horodateur112335381922313437434649525558616469852226343846505854626670747882909894102106114118110122126130134138142146150154158162166170174178182186190194198202206210214[Client],Z$1,Horodateur112335381922313437434649525558616469852226343846505854626670747882909894102106114118110122126130134138142146150154158162166170174178182186190194198202206210214[Durée (100)])</f>
        <v>0</v>
      </c>
      <c r="AA2" s="151" t="n">
        <f aca="false">SUMIF(Horodateur112335381922313437434649525558616469852226343846505854626670747882909894102106114118110122126130134138142146150154158162166170174178182186190194198202206210214[Client],AA$1,Horodateur112335381922313437434649525558616469852226343846505854626670747882909894102106114118110122126130134138142146150154158162166170174178182186190194198202206210214[Durée (100)])</f>
        <v>0.999999999999999</v>
      </c>
      <c r="AB2" s="151" t="n">
        <f aca="false">SUMIF(Horodateur112335381922313437434649525558616469852226343846505854626670747882909894102106114118110122126130134138142146150154158162166170174178182186190194198202206210214[Client],AB$1,Horodateur112335381922313437434649525558616469852226343846505854626670747882909894102106114118110122126130134138142146150154158162166170174178182186190194198202206210214[Durée (100)])</f>
        <v>0</v>
      </c>
      <c r="AC2" s="151" t="n">
        <f aca="false">SUMIF(Horodateur112335381922313437434649525558616469852226343846505854626670747882909894102106114118110122126130134138142146150154158162166170174178182186190194198202206210214[Client],AC$1,Horodateur112335381922313437434649525558616469852226343846505854626670747882909894102106114118110122126130134138142146150154158162166170174178182186190194198202206210214[Durée (100)])</f>
        <v>8</v>
      </c>
      <c r="AD2" s="151" t="n">
        <f aca="false">SUMIF(Horodateur112335381922313437434649525558616469852226343846505854626670747882909894102106114118110122126130134138142146150154158162166170174178182186190194198202206210214[Client],AD$1,Horodateur112335381922313437434649525558616469852226343846505854626670747882909894102106114118110122126130134138142146150154158162166170174178182186190194198202206210214[Durée (100)])</f>
        <v>0</v>
      </c>
      <c r="AE2" s="151" t="n">
        <f aca="false">SUMIF(Horodateur112335381922313437434649525558616469852226343846505854626670747882909894102106114118110122126130134138142146150154158162166170174178182186190194198202206210214[Client],AE$1,Horodateur112335381922313437434649525558616469852226343846505854626670747882909894102106114118110122126130134138142146150154158162166170174178182186190194198202206210214[Durée (100)])</f>
        <v>0.75</v>
      </c>
      <c r="AF2" s="151" t="n">
        <f aca="false">SUMIF(Horodateur112335381922313437434649525558616469852226343846505854626670747882909894102106114118110122126130134138142146150154158162166170174178182186190194198202206210214[Client],AF$1,Horodateur112335381922313437434649525558616469852226343846505854626670747882909894102106114118110122126130134138142146150154158162166170174178182186190194198202206210214[Durée (100)])</f>
        <v>1.75</v>
      </c>
      <c r="AG2" s="151" t="n">
        <f aca="false">SUMIF(Horodateur112335381922313437434649525558616469852226343846505854626670747882909894102106114118110122126130134138142146150154158162166170174178182186190194198202206210214[Client],AG$1,Horodateur112335381922313437434649525558616469852226343846505854626670747882909894102106114118110122126130134138142146150154158162166170174178182186190194198202206210214[Durée (100)])</f>
        <v>0</v>
      </c>
    </row>
    <row r="3" s="137" customFormat="true" ht="15" hidden="false" customHeight="false" outlineLevel="0" collapsed="false">
      <c r="A3" s="249" t="s">
        <v>8</v>
      </c>
      <c r="B3" s="249" t="s">
        <v>9</v>
      </c>
      <c r="C3" s="193" t="s">
        <v>10</v>
      </c>
      <c r="D3" s="193" t="s">
        <v>11</v>
      </c>
      <c r="E3" s="250" t="s">
        <v>12</v>
      </c>
      <c r="F3" s="250" t="s">
        <v>13</v>
      </c>
      <c r="G3" s="250" t="s">
        <v>14</v>
      </c>
      <c r="H3" s="193" t="s">
        <v>302</v>
      </c>
      <c r="I3" s="252" t="s">
        <v>364</v>
      </c>
      <c r="J3" s="253" t="s">
        <v>365</v>
      </c>
      <c r="K3" s="250" t="s">
        <v>402</v>
      </c>
      <c r="L3" s="255" t="s">
        <v>7</v>
      </c>
      <c r="M3" s="254" t="s">
        <v>29</v>
      </c>
      <c r="N3" s="153" t="n">
        <f aca="false">N2/$B$2</f>
        <v>0.08125</v>
      </c>
      <c r="O3" s="153" t="n">
        <f aca="false">O2/$B$2</f>
        <v>0.0125</v>
      </c>
      <c r="P3" s="153" t="n">
        <f aca="false">P2/$B$2</f>
        <v>0</v>
      </c>
      <c r="Q3" s="153" t="n">
        <f aca="false">Q2/$B$2</f>
        <v>0</v>
      </c>
      <c r="R3" s="153" t="n">
        <f aca="false">R2/$B$2</f>
        <v>0</v>
      </c>
      <c r="S3" s="153" t="n">
        <f aca="false">S2/$B$2</f>
        <v>0.425</v>
      </c>
      <c r="T3" s="153" t="n">
        <f aca="false">T2/$B$2</f>
        <v>0</v>
      </c>
      <c r="U3" s="153" t="n">
        <f aca="false">U2/$B$2</f>
        <v>0.51875</v>
      </c>
      <c r="V3" s="153" t="n">
        <f aca="false">V2/$B$2</f>
        <v>0</v>
      </c>
      <c r="W3" s="153" t="n">
        <f aca="false">W2/$B$2</f>
        <v>0.01875</v>
      </c>
      <c r="X3" s="153" t="n">
        <f aca="false">X2/$B$2</f>
        <v>0</v>
      </c>
      <c r="Y3" s="153" t="n">
        <f aca="false">Y2/$B$2</f>
        <v>0</v>
      </c>
      <c r="Z3" s="153" t="n">
        <f aca="false">Z2/$B$2</f>
        <v>0</v>
      </c>
      <c r="AA3" s="153" t="n">
        <f aca="false">AA2/$B$2</f>
        <v>0.025</v>
      </c>
      <c r="AB3" s="153" t="n">
        <f aca="false">AB2/$B$2</f>
        <v>0</v>
      </c>
      <c r="AC3" s="153" t="n">
        <f aca="false">AC2/$B$2</f>
        <v>0.2</v>
      </c>
      <c r="AD3" s="153" t="n">
        <f aca="false">AD2/$B$2</f>
        <v>0</v>
      </c>
      <c r="AE3" s="153" t="n">
        <f aca="false">AE2/$B$2</f>
        <v>0.01875</v>
      </c>
      <c r="AF3" s="153" t="n">
        <f aca="false">AF2/$B$2</f>
        <v>0.04375</v>
      </c>
      <c r="AG3" s="153" t="n">
        <f aca="false">AG2/$B$2</f>
        <v>0</v>
      </c>
    </row>
    <row r="4" customFormat="false" ht="15" hidden="false" customHeight="false" outlineLevel="0" collapsed="false">
      <c r="A4" s="256" t="n">
        <f aca="false">IF(Horodateur112335381922313437434649525558616469852226343846505854626670747882909894102106114118110122126130134138142146150154158162166170174178182186190194198202206210214[[#This Row],[Jour]]="1- Lundi",$B$1+1, IF(Horodateur112335381922313437434649525558616469852226343846505854626670747882909894102106114118110122126130134138142146150154158162166170174178182186190194198202206210214[[#This Row],[Jour]]="2- Mardi",$B$1+2, IF(Horodateur112335381922313437434649525558616469852226343846505854626670747882909894102106114118110122126130134138142146150154158162166170174178182186190194198202206210214[[#This Row],[Jour]]="3- Mercredi",$B$1+3, IF(Horodateur112335381922313437434649525558616469852226343846505854626670747882909894102106114118110122126130134138142146150154158162166170174178182186190194198202206210214[[#This Row],[Jour]]="4- Jeudi",$B$1+4, IF(Horodateur112335381922313437434649525558616469852226343846505854626670747882909894102106114118110122126130134138142146150154158162166170174178182186190194198202206210214[[#This Row],[Jour]]="5- Vendredi",$B$1+5, IF(Horodateur112335381922313437434649525558616469852226343846505854626670747882909894102106114118110122126130134138142146150154158162166170174178182186190194198202206210214[[#This Row],[Jour]]="6- Samedi",$B$1+6, IF(Horodateur112335381922313437434649525558616469852226343846505854626670747882909894102106114118110122126130134138142146150154158162166170174178182186190194198202206210214[[#This Row],[Jour]]="7- Dimanche",$B$1, )))))))</f>
        <v>44201</v>
      </c>
      <c r="B4" s="257" t="s">
        <v>312</v>
      </c>
      <c r="C4" s="258" t="n">
        <v>0.3125</v>
      </c>
      <c r="D4" s="258" t="n">
        <v>0.364583333333333</v>
      </c>
      <c r="E4" s="71" t="s">
        <v>32</v>
      </c>
      <c r="F4" s="71" t="s">
        <v>21</v>
      </c>
      <c r="G4" s="259" t="s">
        <v>94</v>
      </c>
      <c r="H4" s="258" t="n">
        <f aca="false">IF($C4=0,"",$D4-$C4)</f>
        <v>0.0520833333333333</v>
      </c>
      <c r="I4" s="260" t="n">
        <f aca="false">IF($C4=0,"",($H4-INT($H4))*24)</f>
        <v>1.25</v>
      </c>
      <c r="J4" s="303" t="n">
        <f aca="false">SUMIF(Horodateur112335381922313437434649525558616469852226343846505854626670747882909894102106114118110122126130134138142146150154158162166170174178182186190194198202206210214[Jour],$B4,Horodateur112335381922313437434649525558616469852226343846505854626670747882909894102106114118110122126130134138142146150154158162166170174178182186190194198202206210214[Durée (100)])</f>
        <v>7</v>
      </c>
      <c r="K4" s="335"/>
      <c r="L4" s="188" t="s">
        <v>31</v>
      </c>
      <c r="M4" s="272" t="n">
        <f aca="false">IF(Horodateur112335381922313437434649525558616469852226343846505854626670747882909894102106114118110122126130134138142146150154158162166170174178182186190194198202206210214[[#This Row],[O]]="o",Horodateur112335381922313437434649525558616469852226343846505854626670747882909894102106114118110122126130134138142146150154158162166170174178182186190194198202206210214[[#This Row],[Durée (100)]],".")</f>
        <v>1.25</v>
      </c>
      <c r="N4" s="187"/>
      <c r="O4" s="71"/>
      <c r="P4" s="71"/>
      <c r="Q4" s="71"/>
      <c r="R4" s="71"/>
      <c r="S4" s="71"/>
      <c r="T4" s="71"/>
      <c r="U4" s="71"/>
      <c r="V4" s="71"/>
      <c r="W4" s="71"/>
      <c r="X4" s="71"/>
      <c r="Y4" s="71"/>
      <c r="Z4" s="71"/>
      <c r="AA4" s="71"/>
      <c r="AB4" s="71"/>
      <c r="AC4" s="71"/>
      <c r="AD4" s="71"/>
      <c r="AE4" s="71"/>
      <c r="AF4" s="71"/>
      <c r="AG4" s="71"/>
    </row>
    <row r="5" customFormat="false" ht="15" hidden="false" customHeight="false" outlineLevel="0" collapsed="false">
      <c r="A5" s="256" t="n">
        <f aca="false">IF(Horodateur112335381922313437434649525558616469852226343846505854626670747882909894102106114118110122126130134138142146150154158162166170174178182186190194198202206210214[[#This Row],[Jour]]="1- Lundi",$B$1+1, IF(Horodateur112335381922313437434649525558616469852226343846505854626670747882909894102106114118110122126130134138142146150154158162166170174178182186190194198202206210214[[#This Row],[Jour]]="2- Mardi",$B$1+2, IF(Horodateur112335381922313437434649525558616469852226343846505854626670747882909894102106114118110122126130134138142146150154158162166170174178182186190194198202206210214[[#This Row],[Jour]]="3- Mercredi",$B$1+3, IF(Horodateur112335381922313437434649525558616469852226343846505854626670747882909894102106114118110122126130134138142146150154158162166170174178182186190194198202206210214[[#This Row],[Jour]]="4- Jeudi",$B$1+4, IF(Horodateur112335381922313437434649525558616469852226343846505854626670747882909894102106114118110122126130134138142146150154158162166170174178182186190194198202206210214[[#This Row],[Jour]]="5- Vendredi",$B$1+5, IF(Horodateur112335381922313437434649525558616469852226343846505854626670747882909894102106114118110122126130134138142146150154158162166170174178182186190194198202206210214[[#This Row],[Jour]]="6- Samedi",$B$1+6, IF(Horodateur112335381922313437434649525558616469852226343846505854626670747882909894102106114118110122126130134138142146150154158162166170174178182186190194198202206210214[[#This Row],[Jour]]="7- Dimanche",$B$1, )))))))</f>
        <v>44201</v>
      </c>
      <c r="B5" s="257" t="s">
        <v>312</v>
      </c>
      <c r="C5" s="258" t="n">
        <v>0.364583333333333</v>
      </c>
      <c r="D5" s="258" t="n">
        <v>0.385416666666667</v>
      </c>
      <c r="E5" s="71" t="s">
        <v>32</v>
      </c>
      <c r="F5" s="71" t="s">
        <v>20</v>
      </c>
      <c r="G5" s="259" t="s">
        <v>121</v>
      </c>
      <c r="H5" s="258" t="n">
        <f aca="false">IF($C5=0,"",$D5-$C5)</f>
        <v>0.0208333333333333</v>
      </c>
      <c r="I5" s="260" t="n">
        <f aca="false">IF($C5=0,"",($H5-INT($H5))*24)</f>
        <v>0.5</v>
      </c>
      <c r="J5" s="303" t="n">
        <f aca="false">SUMIF(Horodateur112335381922313437434649525558616469852226343846505854626670747882909894102106114118110122126130134138142146150154158162166170174178182186190194198202206210214[Jour],$B5,Horodateur112335381922313437434649525558616469852226343846505854626670747882909894102106114118110122126130134138142146150154158162166170174178182186190194198202206210214[Durée (100)])</f>
        <v>7</v>
      </c>
      <c r="K5" s="335"/>
      <c r="L5" s="188" t="s">
        <v>31</v>
      </c>
      <c r="M5" s="272" t="n">
        <f aca="false">IF(Horodateur112335381922313437434649525558616469852226343846505854626670747882909894102106114118110122126130134138142146150154158162166170174178182186190194198202206210214[[#This Row],[O]]="o",Horodateur112335381922313437434649525558616469852226343846505854626670747882909894102106114118110122126130134138142146150154158162166170174178182186190194198202206210214[[#This Row],[Durée (100)]],".")</f>
        <v>0.500000000000001</v>
      </c>
      <c r="N5" s="187"/>
      <c r="O5" s="71"/>
      <c r="P5" s="71"/>
      <c r="Q5" s="71"/>
      <c r="R5" s="71"/>
      <c r="S5" s="71"/>
      <c r="T5" s="71"/>
      <c r="U5" s="71"/>
      <c r="V5" s="71"/>
      <c r="W5" s="71"/>
      <c r="X5" s="71"/>
      <c r="Y5" s="71"/>
      <c r="Z5" s="71"/>
      <c r="AA5" s="71"/>
      <c r="AB5" s="71"/>
      <c r="AC5" s="71"/>
      <c r="AD5" s="71"/>
      <c r="AE5" s="71"/>
      <c r="AF5" s="71"/>
      <c r="AG5" s="71"/>
    </row>
    <row r="6" customFormat="false" ht="15" hidden="false" customHeight="false" outlineLevel="0" collapsed="false">
      <c r="A6" s="256" t="n">
        <f aca="false">IF(Horodateur112335381922313437434649525558616469852226343846505854626670747882909894102106114118110122126130134138142146150154158162166170174178182186190194198202206210214[[#This Row],[Jour]]="1- Lundi",$B$1+1, IF(Horodateur112335381922313437434649525558616469852226343846505854626670747882909894102106114118110122126130134138142146150154158162166170174178182186190194198202206210214[[#This Row],[Jour]]="2- Mardi",$B$1+2, IF(Horodateur112335381922313437434649525558616469852226343846505854626670747882909894102106114118110122126130134138142146150154158162166170174178182186190194198202206210214[[#This Row],[Jour]]="3- Mercredi",$B$1+3, IF(Horodateur112335381922313437434649525558616469852226343846505854626670747882909894102106114118110122126130134138142146150154158162166170174178182186190194198202206210214[[#This Row],[Jour]]="4- Jeudi",$B$1+4, IF(Horodateur112335381922313437434649525558616469852226343846505854626670747882909894102106114118110122126130134138142146150154158162166170174178182186190194198202206210214[[#This Row],[Jour]]="5- Vendredi",$B$1+5, IF(Horodateur112335381922313437434649525558616469852226343846505854626670747882909894102106114118110122126130134138142146150154158162166170174178182186190194198202206210214[[#This Row],[Jour]]="6- Samedi",$B$1+6, IF(Horodateur112335381922313437434649525558616469852226343846505854626670747882909894102106114118110122126130134138142146150154158162166170174178182186190194198202206210214[[#This Row],[Jour]]="7- Dimanche",$B$1, )))))))</f>
        <v>44201</v>
      </c>
      <c r="B6" s="257" t="s">
        <v>312</v>
      </c>
      <c r="C6" s="258" t="n">
        <v>0.395833333333333</v>
      </c>
      <c r="D6" s="258" t="n">
        <v>0.416666666666667</v>
      </c>
      <c r="E6" s="71" t="s">
        <v>37</v>
      </c>
      <c r="F6" s="71" t="s">
        <v>379</v>
      </c>
      <c r="G6" s="259" t="s">
        <v>55</v>
      </c>
      <c r="H6" s="258" t="n">
        <f aca="false">IF($C6=0,"",$D6-$C6)</f>
        <v>0.0208333333333334</v>
      </c>
      <c r="I6" s="260" t="n">
        <f aca="false">IF($C6=0,"",($H6-INT($H6))*24)</f>
        <v>0.500000000000001</v>
      </c>
      <c r="J6" s="303" t="n">
        <f aca="false">SUMIF(Horodateur112335381922313437434649525558616469852226343846505854626670747882909894102106114118110122126130134138142146150154158162166170174178182186190194198202206210214[Jour],$B6,Horodateur112335381922313437434649525558616469852226343846505854626670747882909894102106114118110122126130134138142146150154158162166170174178182186190194198202206210214[Durée (100)])</f>
        <v>7</v>
      </c>
      <c r="K6" s="335"/>
      <c r="L6" s="188" t="s">
        <v>31</v>
      </c>
      <c r="M6" s="272" t="n">
        <f aca="false">IF(Horodateur112335381922313437434649525558616469852226343846505854626670747882909894102106114118110122126130134138142146150154158162166170174178182186190194198202206210214[[#This Row],[O]]="o",Horodateur112335381922313437434649525558616469852226343846505854626670747882909894102106114118110122126130134138142146150154158162166170174178182186190194198202206210214[[#This Row],[Durée (100)]],".")</f>
        <v>0.500000000000001</v>
      </c>
      <c r="N6" s="187"/>
      <c r="O6" s="71"/>
      <c r="P6" s="71"/>
      <c r="Q6" s="71"/>
      <c r="R6" s="71"/>
      <c r="S6" s="71"/>
      <c r="T6" s="71"/>
      <c r="U6" s="71"/>
      <c r="V6" s="71"/>
      <c r="W6" s="71"/>
      <c r="X6" s="71"/>
      <c r="Y6" s="71"/>
      <c r="Z6" s="71"/>
      <c r="AA6" s="71"/>
      <c r="AB6" s="71"/>
      <c r="AC6" s="71"/>
      <c r="AD6" s="71"/>
      <c r="AE6" s="71"/>
      <c r="AF6" s="71"/>
      <c r="AG6" s="71"/>
    </row>
    <row r="7" customFormat="false" ht="15" hidden="false" customHeight="false" outlineLevel="0" collapsed="false">
      <c r="A7" s="256" t="n">
        <f aca="false">IF(Horodateur112335381922313437434649525558616469852226343846505854626670747882909894102106114118110122126130134138142146150154158162166170174178182186190194198202206210214[[#This Row],[Jour]]="1- Lundi",$B$1+1, IF(Horodateur112335381922313437434649525558616469852226343846505854626670747882909894102106114118110122126130134138142146150154158162166170174178182186190194198202206210214[[#This Row],[Jour]]="2- Mardi",$B$1+2, IF(Horodateur112335381922313437434649525558616469852226343846505854626670747882909894102106114118110122126130134138142146150154158162166170174178182186190194198202206210214[[#This Row],[Jour]]="3- Mercredi",$B$1+3, IF(Horodateur112335381922313437434649525558616469852226343846505854626670747882909894102106114118110122126130134138142146150154158162166170174178182186190194198202206210214[[#This Row],[Jour]]="4- Jeudi",$B$1+4, IF(Horodateur112335381922313437434649525558616469852226343846505854626670747882909894102106114118110122126130134138142146150154158162166170174178182186190194198202206210214[[#This Row],[Jour]]="5- Vendredi",$B$1+5, IF(Horodateur112335381922313437434649525558616469852226343846505854626670747882909894102106114118110122126130134138142146150154158162166170174178182186190194198202206210214[[#This Row],[Jour]]="6- Samedi",$B$1+6, IF(Horodateur112335381922313437434649525558616469852226343846505854626670747882909894102106114118110122126130134138142146150154158162166170174178182186190194198202206210214[[#This Row],[Jour]]="7- Dimanche",$B$1, )))))))</f>
        <v>44201</v>
      </c>
      <c r="B7" s="257" t="s">
        <v>312</v>
      </c>
      <c r="C7" s="258" t="n">
        <v>0.4375</v>
      </c>
      <c r="D7" s="258" t="n">
        <v>0.447916666666667</v>
      </c>
      <c r="E7" s="71" t="s">
        <v>66</v>
      </c>
      <c r="F7" s="71" t="s">
        <v>378</v>
      </c>
      <c r="G7" s="259" t="s">
        <v>690</v>
      </c>
      <c r="H7" s="258" t="n">
        <f aca="false">IF($C7=0,"",$D7-$C7)</f>
        <v>0.0104166666666667</v>
      </c>
      <c r="I7" s="260" t="n">
        <f aca="false">IF($C7=0,"",($H7-INT($H7))*24)</f>
        <v>0.25</v>
      </c>
      <c r="J7" s="303" t="n">
        <f aca="false">SUMIF(Horodateur112335381922313437434649525558616469852226343846505854626670747882909894102106114118110122126130134138142146150154158162166170174178182186190194198202206210214[Jour],$B7,Horodateur112335381922313437434649525558616469852226343846505854626670747882909894102106114118110122126130134138142146150154158162166170174178182186190194198202206210214[Durée (100)])</f>
        <v>7</v>
      </c>
      <c r="K7" s="335"/>
      <c r="L7" s="188" t="s">
        <v>31</v>
      </c>
      <c r="M7" s="272" t="n">
        <f aca="false">IF(Horodateur112335381922313437434649525558616469852226343846505854626670747882909894102106114118110122126130134138142146150154158162166170174178182186190194198202206210214[[#This Row],[O]]="o",Horodateur112335381922313437434649525558616469852226343846505854626670747882909894102106114118110122126130134138142146150154158162166170174178182186190194198202206210214[[#This Row],[Durée (100)]],".")</f>
        <v>0.25</v>
      </c>
      <c r="N7" s="187"/>
      <c r="O7" s="71"/>
      <c r="P7" s="71"/>
      <c r="Q7" s="71"/>
      <c r="R7" s="71"/>
      <c r="S7" s="71"/>
      <c r="T7" s="71"/>
      <c r="U7" s="71"/>
      <c r="V7" s="71"/>
      <c r="W7" s="71"/>
      <c r="X7" s="71"/>
      <c r="Y7" s="71"/>
      <c r="Z7" s="71"/>
      <c r="AA7" s="71"/>
      <c r="AB7" s="71"/>
      <c r="AC7" s="71"/>
      <c r="AD7" s="71"/>
      <c r="AE7" s="71"/>
      <c r="AF7" s="71"/>
      <c r="AG7" s="71"/>
    </row>
    <row r="8" customFormat="false" ht="15" hidden="false" customHeight="false" outlineLevel="0" collapsed="false">
      <c r="A8" s="256" t="n">
        <f aca="false">IF(Horodateur112335381922313437434649525558616469852226343846505854626670747882909894102106114118110122126130134138142146150154158162166170174178182186190194198202206210214[[#This Row],[Jour]]="1- Lundi",$B$1+1, IF(Horodateur112335381922313437434649525558616469852226343846505854626670747882909894102106114118110122126130134138142146150154158162166170174178182186190194198202206210214[[#This Row],[Jour]]="2- Mardi",$B$1+2, IF(Horodateur112335381922313437434649525558616469852226343846505854626670747882909894102106114118110122126130134138142146150154158162166170174178182186190194198202206210214[[#This Row],[Jour]]="3- Mercredi",$B$1+3, IF(Horodateur112335381922313437434649525558616469852226343846505854626670747882909894102106114118110122126130134138142146150154158162166170174178182186190194198202206210214[[#This Row],[Jour]]="4- Jeudi",$B$1+4, IF(Horodateur112335381922313437434649525558616469852226343846505854626670747882909894102106114118110122126130134138142146150154158162166170174178182186190194198202206210214[[#This Row],[Jour]]="5- Vendredi",$B$1+5, IF(Horodateur112335381922313437434649525558616469852226343846505854626670747882909894102106114118110122126130134138142146150154158162166170174178182186190194198202206210214[[#This Row],[Jour]]="6- Samedi",$B$1+6, IF(Horodateur112335381922313437434649525558616469852226343846505854626670747882909894102106114118110122126130134138142146150154158162166170174178182186190194198202206210214[[#This Row],[Jour]]="7- Dimanche",$B$1, )))))))</f>
        <v>44201</v>
      </c>
      <c r="B8" s="257" t="s">
        <v>312</v>
      </c>
      <c r="C8" s="258" t="n">
        <v>0.458333333333333</v>
      </c>
      <c r="D8" s="258" t="n">
        <v>0.5</v>
      </c>
      <c r="E8" s="71" t="s">
        <v>37</v>
      </c>
      <c r="F8" s="71" t="s">
        <v>378</v>
      </c>
      <c r="G8" s="259" t="s">
        <v>691</v>
      </c>
      <c r="H8" s="258" t="n">
        <f aca="false">IF($C8=0,"",$D8-$C8)</f>
        <v>0.0416666666666667</v>
      </c>
      <c r="I8" s="260" t="n">
        <f aca="false">IF($C8=0,"",($H8-INT($H8))*24)</f>
        <v>1</v>
      </c>
      <c r="J8" s="303" t="n">
        <f aca="false">SUMIF(Horodateur112335381922313437434649525558616469852226343846505854626670747882909894102106114118110122126130134138142146150154158162166170174178182186190194198202206210214[Jour],$B8,Horodateur112335381922313437434649525558616469852226343846505854626670747882909894102106114118110122126130134138142146150154158162166170174178182186190194198202206210214[Durée (100)])</f>
        <v>7</v>
      </c>
      <c r="K8" s="335"/>
      <c r="L8" s="188" t="s">
        <v>31</v>
      </c>
      <c r="M8" s="272" t="n">
        <f aca="false">IF(Horodateur112335381922313437434649525558616469852226343846505854626670747882909894102106114118110122126130134138142146150154158162166170174178182186190194198202206210214[[#This Row],[O]]="o",Horodateur112335381922313437434649525558616469852226343846505854626670747882909894102106114118110122126130134138142146150154158162166170174178182186190194198202206210214[[#This Row],[Durée (100)]],".")</f>
        <v>1</v>
      </c>
      <c r="N8" s="187"/>
      <c r="O8" s="71"/>
      <c r="P8" s="71"/>
      <c r="Q8" s="71"/>
      <c r="R8" s="71"/>
      <c r="S8" s="71"/>
      <c r="T8" s="71"/>
      <c r="U8" s="71"/>
      <c r="V8" s="71"/>
      <c r="W8" s="71"/>
      <c r="X8" s="71"/>
      <c r="Y8" s="71"/>
      <c r="Z8" s="71"/>
      <c r="AA8" s="71"/>
      <c r="AB8" s="71"/>
      <c r="AC8" s="71"/>
      <c r="AD8" s="71"/>
      <c r="AE8" s="71"/>
      <c r="AF8" s="71"/>
      <c r="AG8" s="71"/>
    </row>
    <row r="9" customFormat="false" ht="15" hidden="false" customHeight="false" outlineLevel="0" collapsed="false">
      <c r="A9" s="256" t="n">
        <f aca="false">IF(Horodateur112335381922313437434649525558616469852226343846505854626670747882909894102106114118110122126130134138142146150154158162166170174178182186190194198202206210214[[#This Row],[Jour]]="1- Lundi",$B$1+1, IF(Horodateur112335381922313437434649525558616469852226343846505854626670747882909894102106114118110122126130134138142146150154158162166170174178182186190194198202206210214[[#This Row],[Jour]]="2- Mardi",$B$1+2, IF(Horodateur112335381922313437434649525558616469852226343846505854626670747882909894102106114118110122126130134138142146150154158162166170174178182186190194198202206210214[[#This Row],[Jour]]="3- Mercredi",$B$1+3, IF(Horodateur112335381922313437434649525558616469852226343846505854626670747882909894102106114118110122126130134138142146150154158162166170174178182186190194198202206210214[[#This Row],[Jour]]="4- Jeudi",$B$1+4, IF(Horodateur112335381922313437434649525558616469852226343846505854626670747882909894102106114118110122126130134138142146150154158162166170174178182186190194198202206210214[[#This Row],[Jour]]="5- Vendredi",$B$1+5, IF(Horodateur112335381922313437434649525558616469852226343846505854626670747882909894102106114118110122126130134138142146150154158162166170174178182186190194198202206210214[[#This Row],[Jour]]="6- Samedi",$B$1+6, IF(Horodateur112335381922313437434649525558616469852226343846505854626670747882909894102106114118110122126130134138142146150154158162166170174178182186190194198202206210214[[#This Row],[Jour]]="7- Dimanche",$B$1, )))))))</f>
        <v>44201</v>
      </c>
      <c r="B9" s="257" t="s">
        <v>312</v>
      </c>
      <c r="C9" s="258" t="n">
        <v>0.583333333333333</v>
      </c>
      <c r="D9" s="258" t="n">
        <v>0.729166666666667</v>
      </c>
      <c r="E9" s="71" t="s">
        <v>32</v>
      </c>
      <c r="F9" s="71" t="s">
        <v>22</v>
      </c>
      <c r="G9" s="259" t="s">
        <v>118</v>
      </c>
      <c r="H9" s="258" t="n">
        <f aca="false">IF($C9=0,"",$D9-$C9)</f>
        <v>0.145833333333333</v>
      </c>
      <c r="I9" s="260" t="n">
        <f aca="false">IF($C9=0,"",($H9-INT($H9))*24)</f>
        <v>3.5</v>
      </c>
      <c r="J9" s="303" t="n">
        <f aca="false">SUMIF(Horodateur112335381922313437434649525558616469852226343846505854626670747882909894102106114118110122126130134138142146150154158162166170174178182186190194198202206210214[Jour],$B9,Horodateur112335381922313437434649525558616469852226343846505854626670747882909894102106114118110122126130134138142146150154158162166170174178182186190194198202206210214[Durée (100)])</f>
        <v>7</v>
      </c>
      <c r="K9" s="335"/>
      <c r="L9" s="188" t="s">
        <v>31</v>
      </c>
      <c r="M9" s="272" t="n">
        <f aca="false">IF(Horodateur112335381922313437434649525558616469852226343846505854626670747882909894102106114118110122126130134138142146150154158162166170174178182186190194198202206210214[[#This Row],[O]]="o",Horodateur112335381922313437434649525558616469852226343846505854626670747882909894102106114118110122126130134138142146150154158162166170174178182186190194198202206210214[[#This Row],[Durée (100)]],".")</f>
        <v>3.5</v>
      </c>
      <c r="N9" s="187"/>
      <c r="O9" s="71"/>
      <c r="P9" s="71"/>
      <c r="Q9" s="71"/>
      <c r="R9" s="71"/>
      <c r="S9" s="71"/>
      <c r="T9" s="71"/>
      <c r="U9" s="71"/>
      <c r="V9" s="71"/>
      <c r="W9" s="71"/>
      <c r="X9" s="71"/>
      <c r="Y9" s="71"/>
      <c r="Z9" s="71"/>
      <c r="AA9" s="71"/>
      <c r="AB9" s="71"/>
      <c r="AC9" s="71"/>
      <c r="AD9" s="71"/>
      <c r="AE9" s="71"/>
      <c r="AF9" s="71"/>
      <c r="AG9" s="71"/>
    </row>
    <row r="10" customFormat="false" ht="15" hidden="false" customHeight="false" outlineLevel="0" collapsed="false">
      <c r="A10" s="256" t="n">
        <f aca="false">IF(Horodateur112335381922313437434649525558616469852226343846505854626670747882909894102106114118110122126130134138142146150154158162166170174178182186190194198202206210214[[#This Row],[Jour]]="1- Lundi",$B$1+1, IF(Horodateur112335381922313437434649525558616469852226343846505854626670747882909894102106114118110122126130134138142146150154158162166170174178182186190194198202206210214[[#This Row],[Jour]]="2- Mardi",$B$1+2, IF(Horodateur112335381922313437434649525558616469852226343846505854626670747882909894102106114118110122126130134138142146150154158162166170174178182186190194198202206210214[[#This Row],[Jour]]="3- Mercredi",$B$1+3, IF(Horodateur112335381922313437434649525558616469852226343846505854626670747882909894102106114118110122126130134138142146150154158162166170174178182186190194198202206210214[[#This Row],[Jour]]="4- Jeudi",$B$1+4, IF(Horodateur112335381922313437434649525558616469852226343846505854626670747882909894102106114118110122126130134138142146150154158162166170174178182186190194198202206210214[[#This Row],[Jour]]="5- Vendredi",$B$1+5, IF(Horodateur112335381922313437434649525558616469852226343846505854626670747882909894102106114118110122126130134138142146150154158162166170174178182186190194198202206210214[[#This Row],[Jour]]="6- Samedi",$B$1+6, IF(Horodateur112335381922313437434649525558616469852226343846505854626670747882909894102106114118110122126130134138142146150154158162166170174178182186190194198202206210214[[#This Row],[Jour]]="7- Dimanche",$B$1, )))))))</f>
        <v>44202</v>
      </c>
      <c r="B10" s="257" t="s">
        <v>319</v>
      </c>
      <c r="C10" s="258" t="n">
        <v>0.333333333333333</v>
      </c>
      <c r="D10" s="258" t="n">
        <v>0.354166666666667</v>
      </c>
      <c r="E10" s="71" t="s">
        <v>32</v>
      </c>
      <c r="F10" s="71" t="s">
        <v>21</v>
      </c>
      <c r="G10" s="259" t="s">
        <v>94</v>
      </c>
      <c r="H10" s="258" t="n">
        <f aca="false">IF($C10=0,"",$D10-$C10)</f>
        <v>0.0208333333333333</v>
      </c>
      <c r="I10" s="260" t="n">
        <f aca="false">IF($C10=0,"",($H10-INT($H10))*24)</f>
        <v>0.5</v>
      </c>
      <c r="J10" s="303" t="n">
        <f aca="false">SUMIF(Horodateur112335381922313437434649525558616469852226343846505854626670747882909894102106114118110122126130134138142146150154158162166170174178182186190194198202206210214[Jour],$B10,Horodateur112335381922313437434649525558616469852226343846505854626670747882909894102106114118110122126130134138142146150154158162166170174178182186190194198202206210214[Durée (100)])</f>
        <v>8</v>
      </c>
      <c r="K10" s="335"/>
      <c r="L10" s="188" t="s">
        <v>31</v>
      </c>
      <c r="M10" s="272" t="n">
        <f aca="false">IF(Horodateur112335381922313437434649525558616469852226343846505854626670747882909894102106114118110122126130134138142146150154158162166170174178182186190194198202206210214[[#This Row],[O]]="o",Horodateur112335381922313437434649525558616469852226343846505854626670747882909894102106114118110122126130134138142146150154158162166170174178182186190194198202206210214[[#This Row],[Durée (100)]],".")</f>
        <v>0.500000000000001</v>
      </c>
      <c r="N10" s="187"/>
      <c r="O10" s="71"/>
      <c r="P10" s="71"/>
      <c r="Q10" s="71"/>
      <c r="R10" s="71"/>
      <c r="S10" s="71"/>
      <c r="T10" s="71"/>
      <c r="U10" s="71"/>
      <c r="V10" s="71"/>
      <c r="W10" s="71"/>
      <c r="X10" s="71"/>
      <c r="Y10" s="71"/>
      <c r="Z10" s="71"/>
      <c r="AA10" s="71"/>
      <c r="AB10" s="71"/>
      <c r="AC10" s="71"/>
      <c r="AD10" s="71"/>
      <c r="AE10" s="71"/>
      <c r="AF10" s="71"/>
      <c r="AG10" s="71"/>
    </row>
    <row r="11" customFormat="false" ht="15" hidden="false" customHeight="false" outlineLevel="0" collapsed="false">
      <c r="A11" s="256" t="n">
        <f aca="false">IF(Horodateur112335381922313437434649525558616469852226343846505854626670747882909894102106114118110122126130134138142146150154158162166170174178182186190194198202206210214[[#This Row],[Jour]]="1- Lundi",$B$1+1, IF(Horodateur112335381922313437434649525558616469852226343846505854626670747882909894102106114118110122126130134138142146150154158162166170174178182186190194198202206210214[[#This Row],[Jour]]="2- Mardi",$B$1+2, IF(Horodateur112335381922313437434649525558616469852226343846505854626670747882909894102106114118110122126130134138142146150154158162166170174178182186190194198202206210214[[#This Row],[Jour]]="3- Mercredi",$B$1+3, IF(Horodateur112335381922313437434649525558616469852226343846505854626670747882909894102106114118110122126130134138142146150154158162166170174178182186190194198202206210214[[#This Row],[Jour]]="4- Jeudi",$B$1+4, IF(Horodateur112335381922313437434649525558616469852226343846505854626670747882909894102106114118110122126130134138142146150154158162166170174178182186190194198202206210214[[#This Row],[Jour]]="5- Vendredi",$B$1+5, IF(Horodateur112335381922313437434649525558616469852226343846505854626670747882909894102106114118110122126130134138142146150154158162166170174178182186190194198202206210214[[#This Row],[Jour]]="6- Samedi",$B$1+6, IF(Horodateur112335381922313437434649525558616469852226343846505854626670747882909894102106114118110122126130134138142146150154158162166170174178182186190194198202206210214[[#This Row],[Jour]]="7- Dimanche",$B$1, )))))))</f>
        <v>44202</v>
      </c>
      <c r="B11" s="257" t="s">
        <v>319</v>
      </c>
      <c r="C11" s="258" t="n">
        <v>0.354166666666667</v>
      </c>
      <c r="D11" s="258" t="n">
        <v>0.416666666666667</v>
      </c>
      <c r="E11" s="71" t="s">
        <v>32</v>
      </c>
      <c r="F11" s="71" t="s">
        <v>21</v>
      </c>
      <c r="G11" s="259" t="s">
        <v>299</v>
      </c>
      <c r="H11" s="258" t="n">
        <f aca="false">IF($C11=0,"",$D11-$C11)</f>
        <v>0.0625</v>
      </c>
      <c r="I11" s="260" t="n">
        <f aca="false">IF($C11=0,"",($H11-INT($H11))*24)</f>
        <v>1.5</v>
      </c>
      <c r="J11" s="303" t="n">
        <f aca="false">SUMIF(Horodateur112335381922313437434649525558616469852226343846505854626670747882909894102106114118110122126130134138142146150154158162166170174178182186190194198202206210214[Jour],$B11,Horodateur112335381922313437434649525558616469852226343846505854626670747882909894102106114118110122126130134138142146150154158162166170174178182186190194198202206210214[Durée (100)])</f>
        <v>8</v>
      </c>
      <c r="K11" s="335"/>
      <c r="L11" s="188" t="s">
        <v>31</v>
      </c>
      <c r="M11" s="272" t="n">
        <f aca="false">IF(Horodateur112335381922313437434649525558616469852226343846505854626670747882909894102106114118110122126130134138142146150154158162166170174178182186190194198202206210214[[#This Row],[O]]="o",Horodateur112335381922313437434649525558616469852226343846505854626670747882909894102106114118110122126130134138142146150154158162166170174178182186190194198202206210214[[#This Row],[Durée (100)]],".")</f>
        <v>1.5</v>
      </c>
      <c r="N11" s="187"/>
      <c r="O11" s="71"/>
      <c r="P11" s="71"/>
      <c r="Q11" s="71"/>
      <c r="R11" s="71"/>
      <c r="S11" s="71"/>
      <c r="T11" s="71"/>
      <c r="U11" s="71"/>
      <c r="V11" s="71"/>
      <c r="W11" s="71"/>
      <c r="X11" s="71"/>
      <c r="Y11" s="71"/>
      <c r="Z11" s="71"/>
      <c r="AA11" s="71"/>
      <c r="AB11" s="71"/>
      <c r="AC11" s="71"/>
      <c r="AD11" s="71"/>
      <c r="AE11" s="71"/>
      <c r="AF11" s="71"/>
      <c r="AG11" s="71"/>
    </row>
    <row r="12" customFormat="false" ht="15" hidden="false" customHeight="false" outlineLevel="0" collapsed="false">
      <c r="A12" s="256" t="n">
        <f aca="false">IF(Horodateur112335381922313437434649525558616469852226343846505854626670747882909894102106114118110122126130134138142146150154158162166170174178182186190194198202206210214[[#This Row],[Jour]]="1- Lundi",$B$1+1, IF(Horodateur112335381922313437434649525558616469852226343846505854626670747882909894102106114118110122126130134138142146150154158162166170174178182186190194198202206210214[[#This Row],[Jour]]="2- Mardi",$B$1+2, IF(Horodateur112335381922313437434649525558616469852226343846505854626670747882909894102106114118110122126130134138142146150154158162166170174178182186190194198202206210214[[#This Row],[Jour]]="3- Mercredi",$B$1+3, IF(Horodateur112335381922313437434649525558616469852226343846505854626670747882909894102106114118110122126130134138142146150154158162166170174178182186190194198202206210214[[#This Row],[Jour]]="4- Jeudi",$B$1+4, IF(Horodateur112335381922313437434649525558616469852226343846505854626670747882909894102106114118110122126130134138142146150154158162166170174178182186190194198202206210214[[#This Row],[Jour]]="5- Vendredi",$B$1+5, IF(Horodateur112335381922313437434649525558616469852226343846505854626670747882909894102106114118110122126130134138142146150154158162166170174178182186190194198202206210214[[#This Row],[Jour]]="6- Samedi",$B$1+6, IF(Horodateur112335381922313437434649525558616469852226343846505854626670747882909894102106114118110122126130134138142146150154158162166170174178182186190194198202206210214[[#This Row],[Jour]]="7- Dimanche",$B$1, )))))))</f>
        <v>44202</v>
      </c>
      <c r="B12" s="257" t="s">
        <v>319</v>
      </c>
      <c r="C12" s="258" t="n">
        <v>0.416666666666667</v>
      </c>
      <c r="D12" s="258" t="n">
        <v>0.427083333333333</v>
      </c>
      <c r="E12" s="71" t="s">
        <v>78</v>
      </c>
      <c r="F12" s="71" t="s">
        <v>379</v>
      </c>
      <c r="G12" s="259" t="s">
        <v>124</v>
      </c>
      <c r="H12" s="258" t="n">
        <f aca="false">IF($C12=0,"",$D12-$C12)</f>
        <v>0.0104166666666666</v>
      </c>
      <c r="I12" s="260" t="n">
        <f aca="false">IF($C12=0,"",($H12-INT($H12))*24)</f>
        <v>0.249999999999999</v>
      </c>
      <c r="J12" s="303" t="n">
        <f aca="false">SUMIF(Horodateur112335381922313437434649525558616469852226343846505854626670747882909894102106114118110122126130134138142146150154158162166170174178182186190194198202206210214[Jour],$B12,Horodateur112335381922313437434649525558616469852226343846505854626670747882909894102106114118110122126130134138142146150154158162166170174178182186190194198202206210214[Durée (100)])</f>
        <v>8</v>
      </c>
      <c r="K12" s="335"/>
      <c r="L12" s="188" t="s">
        <v>31</v>
      </c>
      <c r="M12" s="272" t="n">
        <f aca="false">IF(Horodateur112335381922313437434649525558616469852226343846505854626670747882909894102106114118110122126130134138142146150154158162166170174178182186190194198202206210214[[#This Row],[O]]="o",Horodateur112335381922313437434649525558616469852226343846505854626670747882909894102106114118110122126130134138142146150154158162166170174178182186190194198202206210214[[#This Row],[Durée (100)]],".")</f>
        <v>0.249999999999999</v>
      </c>
      <c r="N12" s="187"/>
      <c r="O12" s="71"/>
      <c r="P12" s="71"/>
      <c r="Q12" s="71"/>
      <c r="R12" s="71"/>
      <c r="S12" s="71"/>
      <c r="T12" s="71"/>
      <c r="U12" s="71"/>
      <c r="V12" s="71"/>
      <c r="W12" s="71"/>
      <c r="X12" s="71"/>
      <c r="Y12" s="71"/>
      <c r="Z12" s="71"/>
      <c r="AA12" s="71"/>
      <c r="AB12" s="71"/>
      <c r="AC12" s="71"/>
      <c r="AD12" s="71"/>
      <c r="AE12" s="71"/>
      <c r="AF12" s="71"/>
      <c r="AG12" s="71"/>
    </row>
    <row r="13" customFormat="false" ht="15" hidden="false" customHeight="false" outlineLevel="0" collapsed="false">
      <c r="A13" s="256" t="n">
        <f aca="false">IF(Horodateur112335381922313437434649525558616469852226343846505854626670747882909894102106114118110122126130134138142146150154158162166170174178182186190194198202206210214[[#This Row],[Jour]]="1- Lundi",$B$1+1, IF(Horodateur112335381922313437434649525558616469852226343846505854626670747882909894102106114118110122126130134138142146150154158162166170174178182186190194198202206210214[[#This Row],[Jour]]="2- Mardi",$B$1+2, IF(Horodateur112335381922313437434649525558616469852226343846505854626670747882909894102106114118110122126130134138142146150154158162166170174178182186190194198202206210214[[#This Row],[Jour]]="3- Mercredi",$B$1+3, IF(Horodateur112335381922313437434649525558616469852226343846505854626670747882909894102106114118110122126130134138142146150154158162166170174178182186190194198202206210214[[#This Row],[Jour]]="4- Jeudi",$B$1+4, IF(Horodateur112335381922313437434649525558616469852226343846505854626670747882909894102106114118110122126130134138142146150154158162166170174178182186190194198202206210214[[#This Row],[Jour]]="5- Vendredi",$B$1+5, IF(Horodateur112335381922313437434649525558616469852226343846505854626670747882909894102106114118110122126130134138142146150154158162166170174178182186190194198202206210214[[#This Row],[Jour]]="6- Samedi",$B$1+6, IF(Horodateur112335381922313437434649525558616469852226343846505854626670747882909894102106114118110122126130134138142146150154158162166170174178182186190194198202206210214[[#This Row],[Jour]]="7- Dimanche",$B$1, )))))))</f>
        <v>44202</v>
      </c>
      <c r="B13" s="257" t="s">
        <v>319</v>
      </c>
      <c r="C13" s="258" t="n">
        <v>0.447916666666667</v>
      </c>
      <c r="D13" s="258" t="n">
        <v>0.458333333333333</v>
      </c>
      <c r="E13" s="71" t="s">
        <v>61</v>
      </c>
      <c r="F13" s="71" t="s">
        <v>378</v>
      </c>
      <c r="G13" s="259" t="s">
        <v>692</v>
      </c>
      <c r="H13" s="258" t="n">
        <f aca="false">IF($C13=0,"",$D13-$C13)</f>
        <v>0.0104166666666666</v>
      </c>
      <c r="I13" s="260" t="n">
        <f aca="false">IF($C13=0,"",($H13-INT($H13))*24)</f>
        <v>0.249999999999999</v>
      </c>
      <c r="J13" s="303" t="n">
        <f aca="false">SUMIF(Horodateur112335381922313437434649525558616469852226343846505854626670747882909894102106114118110122126130134138142146150154158162166170174178182186190194198202206210214[Jour],$B13,Horodateur112335381922313437434649525558616469852226343846505854626670747882909894102106114118110122126130134138142146150154158162166170174178182186190194198202206210214[Durée (100)])</f>
        <v>8</v>
      </c>
      <c r="K13" s="335" t="s">
        <v>21</v>
      </c>
      <c r="L13" s="188" t="s">
        <v>31</v>
      </c>
      <c r="M13" s="272" t="n">
        <f aca="false">IF(Horodateur112335381922313437434649525558616469852226343846505854626670747882909894102106114118110122126130134138142146150154158162166170174178182186190194198202206210214[[#This Row],[O]]="o",Horodateur112335381922313437434649525558616469852226343846505854626670747882909894102106114118110122126130134138142146150154158162166170174178182186190194198202206210214[[#This Row],[Durée (100)]],".")</f>
        <v>0.249999999999999</v>
      </c>
      <c r="N13" s="187"/>
      <c r="O13" s="71"/>
      <c r="P13" s="71"/>
      <c r="Q13" s="71"/>
      <c r="R13" s="71"/>
      <c r="S13" s="71"/>
      <c r="T13" s="71"/>
      <c r="U13" s="71"/>
      <c r="V13" s="71"/>
      <c r="W13" s="71"/>
      <c r="X13" s="71"/>
      <c r="Y13" s="71"/>
      <c r="Z13" s="71"/>
      <c r="AA13" s="71"/>
      <c r="AB13" s="71"/>
      <c r="AC13" s="71"/>
      <c r="AD13" s="71"/>
      <c r="AE13" s="71"/>
      <c r="AF13" s="71"/>
      <c r="AG13" s="71"/>
    </row>
    <row r="14" customFormat="false" ht="15" hidden="false" customHeight="false" outlineLevel="0" collapsed="false">
      <c r="A14" s="256" t="n">
        <f aca="false">IF(Horodateur112335381922313437434649525558616469852226343846505854626670747882909894102106114118110122126130134138142146150154158162166170174178182186190194198202206210214[[#This Row],[Jour]]="1- Lundi",$B$1+1, IF(Horodateur112335381922313437434649525558616469852226343846505854626670747882909894102106114118110122126130134138142146150154158162166170174178182186190194198202206210214[[#This Row],[Jour]]="2- Mardi",$B$1+2, IF(Horodateur112335381922313437434649525558616469852226343846505854626670747882909894102106114118110122126130134138142146150154158162166170174178182186190194198202206210214[[#This Row],[Jour]]="3- Mercredi",$B$1+3, IF(Horodateur112335381922313437434649525558616469852226343846505854626670747882909894102106114118110122126130134138142146150154158162166170174178182186190194198202206210214[[#This Row],[Jour]]="4- Jeudi",$B$1+4, IF(Horodateur112335381922313437434649525558616469852226343846505854626670747882909894102106114118110122126130134138142146150154158162166170174178182186190194198202206210214[[#This Row],[Jour]]="5- Vendredi",$B$1+5, IF(Horodateur112335381922313437434649525558616469852226343846505854626670747882909894102106114118110122126130134138142146150154158162166170174178182186190194198202206210214[[#This Row],[Jour]]="6- Samedi",$B$1+6, IF(Horodateur112335381922313437434649525558616469852226343846505854626670747882909894102106114118110122126130134138142146150154158162166170174178182186190194198202206210214[[#This Row],[Jour]]="7- Dimanche",$B$1, )))))))</f>
        <v>44202</v>
      </c>
      <c r="B14" s="257" t="s">
        <v>319</v>
      </c>
      <c r="C14" s="258" t="n">
        <v>0.458333333333333</v>
      </c>
      <c r="D14" s="258" t="n">
        <v>0.5</v>
      </c>
      <c r="E14" s="71" t="s">
        <v>32</v>
      </c>
      <c r="F14" s="71" t="s">
        <v>22</v>
      </c>
      <c r="G14" s="259" t="s">
        <v>118</v>
      </c>
      <c r="H14" s="258" t="n">
        <f aca="false">IF($C14=0,"",$D14-$C14)</f>
        <v>0.0416666666666667</v>
      </c>
      <c r="I14" s="260" t="n">
        <f aca="false">IF($C14=0,"",($H14-INT($H14))*24)</f>
        <v>1</v>
      </c>
      <c r="J14" s="303" t="n">
        <f aca="false">SUMIF(Horodateur112335381922313437434649525558616469852226343846505854626670747882909894102106114118110122126130134138142146150154158162166170174178182186190194198202206210214[Jour],$B14,Horodateur112335381922313437434649525558616469852226343846505854626670747882909894102106114118110122126130134138142146150154158162166170174178182186190194198202206210214[Durée (100)])</f>
        <v>8</v>
      </c>
      <c r="K14" s="335"/>
      <c r="L14" s="188" t="s">
        <v>31</v>
      </c>
      <c r="M14" s="272" t="n">
        <f aca="false">IF(Horodateur112335381922313437434649525558616469852226343846505854626670747882909894102106114118110122126130134138142146150154158162166170174178182186190194198202206210214[[#This Row],[O]]="o",Horodateur112335381922313437434649525558616469852226343846505854626670747882909894102106114118110122126130134138142146150154158162166170174178182186190194198202206210214[[#This Row],[Durée (100)]],".")</f>
        <v>1</v>
      </c>
      <c r="N14" s="187"/>
      <c r="O14" s="71"/>
      <c r="P14" s="71"/>
      <c r="Q14" s="71"/>
      <c r="R14" s="71"/>
      <c r="S14" s="71"/>
      <c r="T14" s="71"/>
      <c r="U14" s="71"/>
      <c r="V14" s="71"/>
      <c r="W14" s="71"/>
      <c r="X14" s="71"/>
      <c r="Y14" s="71"/>
      <c r="Z14" s="71"/>
      <c r="AA14" s="71"/>
      <c r="AB14" s="71"/>
      <c r="AC14" s="71"/>
      <c r="AD14" s="71"/>
      <c r="AE14" s="71"/>
      <c r="AF14" s="71"/>
      <c r="AG14" s="71"/>
    </row>
    <row r="15" customFormat="false" ht="15" hidden="false" customHeight="false" outlineLevel="0" collapsed="false">
      <c r="A15" s="256" t="n">
        <f aca="false">IF(Horodateur112335381922313437434649525558616469852226343846505854626670747882909894102106114118110122126130134138142146150154158162166170174178182186190194198202206210214[[#This Row],[Jour]]="1- Lundi",$B$1+1, IF(Horodateur112335381922313437434649525558616469852226343846505854626670747882909894102106114118110122126130134138142146150154158162166170174178182186190194198202206210214[[#This Row],[Jour]]="2- Mardi",$B$1+2, IF(Horodateur112335381922313437434649525558616469852226343846505854626670747882909894102106114118110122126130134138142146150154158162166170174178182186190194198202206210214[[#This Row],[Jour]]="3- Mercredi",$B$1+3, IF(Horodateur112335381922313437434649525558616469852226343846505854626670747882909894102106114118110122126130134138142146150154158162166170174178182186190194198202206210214[[#This Row],[Jour]]="4- Jeudi",$B$1+4, IF(Horodateur112335381922313437434649525558616469852226343846505854626670747882909894102106114118110122126130134138142146150154158162166170174178182186190194198202206210214[[#This Row],[Jour]]="5- Vendredi",$B$1+5, IF(Horodateur112335381922313437434649525558616469852226343846505854626670747882909894102106114118110122126130134138142146150154158162166170174178182186190194198202206210214[[#This Row],[Jour]]="6- Samedi",$B$1+6, IF(Horodateur112335381922313437434649525558616469852226343846505854626670747882909894102106114118110122126130134138142146150154158162166170174178182186190194198202206210214[[#This Row],[Jour]]="7- Dimanche",$B$1, )))))))</f>
        <v>44202</v>
      </c>
      <c r="B15" s="257" t="s">
        <v>319</v>
      </c>
      <c r="C15" s="258" t="n">
        <v>0.541666666666667</v>
      </c>
      <c r="D15" s="258" t="n">
        <v>0.666666666666667</v>
      </c>
      <c r="E15" s="71" t="s">
        <v>37</v>
      </c>
      <c r="F15" s="71" t="s">
        <v>378</v>
      </c>
      <c r="G15" s="259" t="s">
        <v>693</v>
      </c>
      <c r="H15" s="258" t="n">
        <f aca="false">IF($C15=0,"",$D15-$C15)</f>
        <v>0.125</v>
      </c>
      <c r="I15" s="260" t="n">
        <f aca="false">IF($C15=0,"",($H15-INT($H15))*24)</f>
        <v>3</v>
      </c>
      <c r="J15" s="303" t="n">
        <f aca="false">SUMIF(Horodateur112335381922313437434649525558616469852226343846505854626670747882909894102106114118110122126130134138142146150154158162166170174178182186190194198202206210214[Jour],$B15,Horodateur112335381922313437434649525558616469852226343846505854626670747882909894102106114118110122126130134138142146150154158162166170174178182186190194198202206210214[Durée (100)])</f>
        <v>8</v>
      </c>
      <c r="K15" s="335"/>
      <c r="L15" s="188" t="s">
        <v>31</v>
      </c>
      <c r="M15" s="272" t="n">
        <f aca="false">IF(Horodateur112335381922313437434649525558616469852226343846505854626670747882909894102106114118110122126130134138142146150154158162166170174178182186190194198202206210214[[#This Row],[O]]="o",Horodateur112335381922313437434649525558616469852226343846505854626670747882909894102106114118110122126130134138142146150154158162166170174178182186190194198202206210214[[#This Row],[Durée (100)]],".")</f>
        <v>3</v>
      </c>
      <c r="N15" s="187"/>
      <c r="O15" s="71"/>
      <c r="P15" s="71"/>
      <c r="Q15" s="71"/>
      <c r="R15" s="71"/>
      <c r="S15" s="71"/>
      <c r="T15" s="71"/>
      <c r="U15" s="71"/>
      <c r="V15" s="71"/>
      <c r="W15" s="71"/>
      <c r="X15" s="71"/>
      <c r="Y15" s="71"/>
      <c r="Z15" s="71"/>
      <c r="AA15" s="71"/>
      <c r="AB15" s="71"/>
      <c r="AC15" s="71"/>
      <c r="AD15" s="71"/>
      <c r="AE15" s="71"/>
      <c r="AF15" s="71"/>
      <c r="AG15" s="71"/>
    </row>
    <row r="16" customFormat="false" ht="15" hidden="false" customHeight="false" outlineLevel="0" collapsed="false">
      <c r="A16" s="256" t="n">
        <f aca="false">IF(Horodateur112335381922313437434649525558616469852226343846505854626670747882909894102106114118110122126130134138142146150154158162166170174178182186190194198202206210214[[#This Row],[Jour]]="1- Lundi",$B$1+1, IF(Horodateur112335381922313437434649525558616469852226343846505854626670747882909894102106114118110122126130134138142146150154158162166170174178182186190194198202206210214[[#This Row],[Jour]]="2- Mardi",$B$1+2, IF(Horodateur112335381922313437434649525558616469852226343846505854626670747882909894102106114118110122126130134138142146150154158162166170174178182186190194198202206210214[[#This Row],[Jour]]="3- Mercredi",$B$1+3, IF(Horodateur112335381922313437434649525558616469852226343846505854626670747882909894102106114118110122126130134138142146150154158162166170174178182186190194198202206210214[[#This Row],[Jour]]="4- Jeudi",$B$1+4, IF(Horodateur112335381922313437434649525558616469852226343846505854626670747882909894102106114118110122126130134138142146150154158162166170174178182186190194198202206210214[[#This Row],[Jour]]="5- Vendredi",$B$1+5, IF(Horodateur112335381922313437434649525558616469852226343846505854626670747882909894102106114118110122126130134138142146150154158162166170174178182186190194198202206210214[[#This Row],[Jour]]="6- Samedi",$B$1+6, IF(Horodateur112335381922313437434649525558616469852226343846505854626670747882909894102106114118110122126130134138142146150154158162166170174178182186190194198202206210214[[#This Row],[Jour]]="7- Dimanche",$B$1, )))))))</f>
        <v>44202</v>
      </c>
      <c r="B16" s="257" t="s">
        <v>319</v>
      </c>
      <c r="C16" s="258" t="n">
        <v>0.666666666666667</v>
      </c>
      <c r="D16" s="258" t="n">
        <v>0.729166666666667</v>
      </c>
      <c r="E16" s="71" t="s">
        <v>32</v>
      </c>
      <c r="F16" s="71" t="s">
        <v>22</v>
      </c>
      <c r="G16" s="259" t="s">
        <v>118</v>
      </c>
      <c r="H16" s="258" t="n">
        <f aca="false">IF($C16=0,"",$D16-$C16)</f>
        <v>0.0625</v>
      </c>
      <c r="I16" s="260" t="n">
        <f aca="false">IF($C16=0,"",($H16-INT($H16))*24)</f>
        <v>1.5</v>
      </c>
      <c r="J16" s="303" t="n">
        <f aca="false">SUMIF(Horodateur112335381922313437434649525558616469852226343846505854626670747882909894102106114118110122126130134138142146150154158162166170174178182186190194198202206210214[Jour],$B16,Horodateur112335381922313437434649525558616469852226343846505854626670747882909894102106114118110122126130134138142146150154158162166170174178182186190194198202206210214[Durée (100)])</f>
        <v>8</v>
      </c>
      <c r="K16" s="335"/>
      <c r="L16" s="188" t="s">
        <v>31</v>
      </c>
      <c r="M16" s="272" t="n">
        <f aca="false">IF(Horodateur112335381922313437434649525558616469852226343846505854626670747882909894102106114118110122126130134138142146150154158162166170174178182186190194198202206210214[[#This Row],[O]]="o",Horodateur112335381922313437434649525558616469852226343846505854626670747882909894102106114118110122126130134138142146150154158162166170174178182186190194198202206210214[[#This Row],[Durée (100)]],".")</f>
        <v>1.5</v>
      </c>
      <c r="N16" s="187"/>
      <c r="O16" s="71"/>
      <c r="P16" s="71"/>
      <c r="Q16" s="71"/>
      <c r="R16" s="71"/>
      <c r="S16" s="71"/>
      <c r="T16" s="71"/>
      <c r="U16" s="71"/>
      <c r="V16" s="71"/>
      <c r="W16" s="71"/>
      <c r="X16" s="71"/>
      <c r="Y16" s="71"/>
      <c r="Z16" s="71"/>
      <c r="AA16" s="71"/>
      <c r="AB16" s="71"/>
      <c r="AC16" s="71"/>
      <c r="AD16" s="71"/>
      <c r="AE16" s="71"/>
      <c r="AF16" s="71"/>
      <c r="AG16" s="71"/>
    </row>
    <row r="17" customFormat="false" ht="15" hidden="false" customHeight="false" outlineLevel="0" collapsed="false">
      <c r="A17" s="256" t="n">
        <f aca="false">IF(Horodateur112335381922313437434649525558616469852226343846505854626670747882909894102106114118110122126130134138142146150154158162166170174178182186190194198202206210214[[#This Row],[Jour]]="1- Lundi",$B$1+1, IF(Horodateur112335381922313437434649525558616469852226343846505854626670747882909894102106114118110122126130134138142146150154158162166170174178182186190194198202206210214[[#This Row],[Jour]]="2- Mardi",$B$1+2, IF(Horodateur112335381922313437434649525558616469852226343846505854626670747882909894102106114118110122126130134138142146150154158162166170174178182186190194198202206210214[[#This Row],[Jour]]="3- Mercredi",$B$1+3, IF(Horodateur112335381922313437434649525558616469852226343846505854626670747882909894102106114118110122126130134138142146150154158162166170174178182186190194198202206210214[[#This Row],[Jour]]="4- Jeudi",$B$1+4, IF(Horodateur112335381922313437434649525558616469852226343846505854626670747882909894102106114118110122126130134138142146150154158162166170174178182186190194198202206210214[[#This Row],[Jour]]="5- Vendredi",$B$1+5, IF(Horodateur112335381922313437434649525558616469852226343846505854626670747882909894102106114118110122126130134138142146150154158162166170174178182186190194198202206210214[[#This Row],[Jour]]="6- Samedi",$B$1+6, IF(Horodateur112335381922313437434649525558616469852226343846505854626670747882909894102106114118110122126130134138142146150154158162166170174178182186190194198202206210214[[#This Row],[Jour]]="7- Dimanche",$B$1, )))))))</f>
        <v>44203</v>
      </c>
      <c r="B17" s="257" t="s">
        <v>324</v>
      </c>
      <c r="C17" s="258" t="n">
        <v>0.354166666666667</v>
      </c>
      <c r="D17" s="258" t="n">
        <v>0.5</v>
      </c>
      <c r="E17" s="71" t="s">
        <v>694</v>
      </c>
      <c r="F17" s="71" t="s">
        <v>378</v>
      </c>
      <c r="G17" s="259" t="s">
        <v>695</v>
      </c>
      <c r="H17" s="258" t="n">
        <f aca="false">IF($C17=0,"",$D17-$C17)</f>
        <v>0.145833333333333</v>
      </c>
      <c r="I17" s="260" t="n">
        <f aca="false">IF($C17=0,"",($H17-INT($H17))*24)</f>
        <v>3.5</v>
      </c>
      <c r="J17" s="303" t="n">
        <f aca="false">SUMIF(Horodateur112335381922313437434649525558616469852226343846505854626670747882909894102106114118110122126130134138142146150154158162166170174178182186190194198202206210214[Jour],$B17,Horodateur112335381922313437434649525558616469852226343846505854626670747882909894102106114118110122126130134138142146150154158162166170174178182186190194198202206210214[Durée (100)])</f>
        <v>6.5</v>
      </c>
      <c r="K17" s="335" t="s">
        <v>696</v>
      </c>
      <c r="L17" s="188" t="s">
        <v>31</v>
      </c>
      <c r="M17" s="272" t="n">
        <f aca="false">IF(Horodateur112335381922313437434649525558616469852226343846505854626670747882909894102106114118110122126130134138142146150154158162166170174178182186190194198202206210214[[#This Row],[O]]="o",Horodateur112335381922313437434649525558616469852226343846505854626670747882909894102106114118110122126130134138142146150154158162166170174178182186190194198202206210214[[#This Row],[Durée (100)]],".")</f>
        <v>3.5</v>
      </c>
      <c r="N17" s="187"/>
      <c r="O17" s="71"/>
      <c r="P17" s="71"/>
      <c r="Q17" s="71"/>
      <c r="R17" s="71"/>
      <c r="S17" s="71"/>
      <c r="T17" s="71"/>
      <c r="U17" s="71"/>
      <c r="V17" s="71"/>
      <c r="W17" s="71"/>
      <c r="X17" s="71"/>
      <c r="Y17" s="71"/>
      <c r="Z17" s="71"/>
      <c r="AA17" s="71"/>
      <c r="AB17" s="71"/>
      <c r="AC17" s="71"/>
      <c r="AD17" s="71"/>
      <c r="AE17" s="71"/>
      <c r="AF17" s="71"/>
      <c r="AG17" s="71"/>
    </row>
    <row r="18" customFormat="false" ht="15" hidden="false" customHeight="false" outlineLevel="0" collapsed="false">
      <c r="A18" s="256" t="n">
        <f aca="false">IF(Horodateur112335381922313437434649525558616469852226343846505854626670747882909894102106114118110122126130134138142146150154158162166170174178182186190194198202206210214[[#This Row],[Jour]]="1- Lundi",$B$1+1, IF(Horodateur112335381922313437434649525558616469852226343846505854626670747882909894102106114118110122126130134138142146150154158162166170174178182186190194198202206210214[[#This Row],[Jour]]="2- Mardi",$B$1+2, IF(Horodateur112335381922313437434649525558616469852226343846505854626670747882909894102106114118110122126130134138142146150154158162166170174178182186190194198202206210214[[#This Row],[Jour]]="3- Mercredi",$B$1+3, IF(Horodateur112335381922313437434649525558616469852226343846505854626670747882909894102106114118110122126130134138142146150154158162166170174178182186190194198202206210214[[#This Row],[Jour]]="4- Jeudi",$B$1+4, IF(Horodateur112335381922313437434649525558616469852226343846505854626670747882909894102106114118110122126130134138142146150154158162166170174178182186190194198202206210214[[#This Row],[Jour]]="5- Vendredi",$B$1+5, IF(Horodateur112335381922313437434649525558616469852226343846505854626670747882909894102106114118110122126130134138142146150154158162166170174178182186190194198202206210214[[#This Row],[Jour]]="6- Samedi",$B$1+6, IF(Horodateur112335381922313437434649525558616469852226343846505854626670747882909894102106114118110122126130134138142146150154158162166170174178182186190194198202206210214[[#This Row],[Jour]]="7- Dimanche",$B$1, )))))))</f>
        <v>44203</v>
      </c>
      <c r="B18" s="257" t="s">
        <v>324</v>
      </c>
      <c r="C18" s="258" t="n">
        <v>0.5625</v>
      </c>
      <c r="D18" s="258" t="n">
        <v>0.604166666666667</v>
      </c>
      <c r="E18" s="71" t="s">
        <v>694</v>
      </c>
      <c r="F18" s="71" t="s">
        <v>378</v>
      </c>
      <c r="G18" s="259" t="s">
        <v>697</v>
      </c>
      <c r="H18" s="258" t="n">
        <f aca="false">IF($C18=0,"",$D18-$C18)</f>
        <v>0.0416666666666666</v>
      </c>
      <c r="I18" s="260" t="n">
        <f aca="false">IF($C18=0,"",($H18-INT($H18))*24)</f>
        <v>0.999999999999999</v>
      </c>
      <c r="J18" s="303" t="n">
        <f aca="false">SUMIF(Horodateur112335381922313437434649525558616469852226343846505854626670747882909894102106114118110122126130134138142146150154158162166170174178182186190194198202206210214[Jour],$B18,Horodateur112335381922313437434649525558616469852226343846505854626670747882909894102106114118110122126130134138142146150154158162166170174178182186190194198202206210214[Durée (100)])</f>
        <v>6.5</v>
      </c>
      <c r="K18" s="335"/>
      <c r="L18" s="188" t="s">
        <v>31</v>
      </c>
      <c r="M18" s="272" t="n">
        <f aca="false">IF(Horodateur112335381922313437434649525558616469852226343846505854626670747882909894102106114118110122126130134138142146150154158162166170174178182186190194198202206210214[[#This Row],[O]]="o",Horodateur112335381922313437434649525558616469852226343846505854626670747882909894102106114118110122126130134138142146150154158162166170174178182186190194198202206210214[[#This Row],[Durée (100)]],".")</f>
        <v>0.999999999999999</v>
      </c>
      <c r="N18" s="187"/>
      <c r="O18" s="71"/>
      <c r="P18" s="71"/>
      <c r="Q18" s="71"/>
      <c r="R18" s="71"/>
      <c r="S18" s="71"/>
      <c r="T18" s="71"/>
      <c r="U18" s="71"/>
      <c r="V18" s="71"/>
      <c r="W18" s="71"/>
      <c r="X18" s="71"/>
      <c r="Y18" s="71"/>
      <c r="Z18" s="71"/>
      <c r="AA18" s="71"/>
      <c r="AB18" s="71"/>
      <c r="AC18" s="71"/>
      <c r="AD18" s="71"/>
      <c r="AE18" s="71"/>
      <c r="AF18" s="71"/>
      <c r="AG18" s="71"/>
    </row>
    <row r="19" customFormat="false" ht="15" hidden="false" customHeight="false" outlineLevel="0" collapsed="false">
      <c r="A19" s="256" t="n">
        <f aca="false">IF(Horodateur112335381922313437434649525558616469852226343846505854626670747882909894102106114118110122126130134138142146150154158162166170174178182186190194198202206210214[[#This Row],[Jour]]="1- Lundi",$B$1+1, IF(Horodateur112335381922313437434649525558616469852226343846505854626670747882909894102106114118110122126130134138142146150154158162166170174178182186190194198202206210214[[#This Row],[Jour]]="2- Mardi",$B$1+2, IF(Horodateur112335381922313437434649525558616469852226343846505854626670747882909894102106114118110122126130134138142146150154158162166170174178182186190194198202206210214[[#This Row],[Jour]]="3- Mercredi",$B$1+3, IF(Horodateur112335381922313437434649525558616469852226343846505854626670747882909894102106114118110122126130134138142146150154158162166170174178182186190194198202206210214[[#This Row],[Jour]]="4- Jeudi",$B$1+4, IF(Horodateur112335381922313437434649525558616469852226343846505854626670747882909894102106114118110122126130134138142146150154158162166170174178182186190194198202206210214[[#This Row],[Jour]]="5- Vendredi",$B$1+5, IF(Horodateur112335381922313437434649525558616469852226343846505854626670747882909894102106114118110122126130134138142146150154158162166170174178182186190194198202206210214[[#This Row],[Jour]]="6- Samedi",$B$1+6, IF(Horodateur112335381922313437434649525558616469852226343846505854626670747882909894102106114118110122126130134138142146150154158162166170174178182186190194198202206210214[[#This Row],[Jour]]="7- Dimanche",$B$1, )))))))</f>
        <v>44203</v>
      </c>
      <c r="B19" s="257" t="s">
        <v>324</v>
      </c>
      <c r="C19" s="258" t="n">
        <v>0.645833333333333</v>
      </c>
      <c r="D19" s="258" t="n">
        <v>0.729166666666667</v>
      </c>
      <c r="E19" s="71" t="s">
        <v>32</v>
      </c>
      <c r="F19" s="71" t="s">
        <v>22</v>
      </c>
      <c r="G19" s="259"/>
      <c r="H19" s="258" t="n">
        <f aca="false">IF($C19=0,"",$D19-$C19)</f>
        <v>0.0833333333333333</v>
      </c>
      <c r="I19" s="260" t="n">
        <f aca="false">IF($C19=0,"",($H19-INT($H19))*24)</f>
        <v>2</v>
      </c>
      <c r="J19" s="303" t="n">
        <f aca="false">SUMIF(Horodateur112335381922313437434649525558616469852226343846505854626670747882909894102106114118110122126130134138142146150154158162166170174178182186190194198202206210214[Jour],$B19,Horodateur112335381922313437434649525558616469852226343846505854626670747882909894102106114118110122126130134138142146150154158162166170174178182186190194198202206210214[Durée (100)])</f>
        <v>6.5</v>
      </c>
      <c r="K19" s="335"/>
      <c r="L19" s="188" t="s">
        <v>31</v>
      </c>
      <c r="M19" s="272" t="n">
        <f aca="false">IF(Horodateur112335381922313437434649525558616469852226343846505854626670747882909894102106114118110122126130134138142146150154158162166170174178182186190194198202206210214[[#This Row],[O]]="o",Horodateur112335381922313437434649525558616469852226343846505854626670747882909894102106114118110122126130134138142146150154158162166170174178182186190194198202206210214[[#This Row],[Durée (100)]],".")</f>
        <v>2</v>
      </c>
      <c r="N19" s="187"/>
      <c r="O19" s="71"/>
      <c r="P19" s="71"/>
      <c r="Q19" s="71"/>
      <c r="R19" s="71"/>
      <c r="S19" s="71"/>
      <c r="T19" s="71"/>
      <c r="U19" s="71"/>
      <c r="V19" s="71"/>
      <c r="W19" s="71"/>
      <c r="X19" s="71"/>
      <c r="Y19" s="71"/>
      <c r="Z19" s="71"/>
      <c r="AA19" s="71"/>
      <c r="AB19" s="71"/>
      <c r="AC19" s="71"/>
      <c r="AD19" s="71"/>
      <c r="AE19" s="71"/>
      <c r="AF19" s="71"/>
      <c r="AG19" s="71"/>
    </row>
    <row r="20" customFormat="false" ht="15" hidden="false" customHeight="false" outlineLevel="0" collapsed="false">
      <c r="A20" s="256" t="n">
        <f aca="false">IF(Horodateur112335381922313437434649525558616469852226343846505854626670747882909894102106114118110122126130134138142146150154158162166170174178182186190194198202206210214[[#This Row],[Jour]]="1- Lundi",$B$1+1, IF(Horodateur112335381922313437434649525558616469852226343846505854626670747882909894102106114118110122126130134138142146150154158162166170174178182186190194198202206210214[[#This Row],[Jour]]="2- Mardi",$B$1+2, IF(Horodateur112335381922313437434649525558616469852226343846505854626670747882909894102106114118110122126130134138142146150154158162166170174178182186190194198202206210214[[#This Row],[Jour]]="3- Mercredi",$B$1+3, IF(Horodateur112335381922313437434649525558616469852226343846505854626670747882909894102106114118110122126130134138142146150154158162166170174178182186190194198202206210214[[#This Row],[Jour]]="4- Jeudi",$B$1+4, IF(Horodateur112335381922313437434649525558616469852226343846505854626670747882909894102106114118110122126130134138142146150154158162166170174178182186190194198202206210214[[#This Row],[Jour]]="5- Vendredi",$B$1+5, IF(Horodateur112335381922313437434649525558616469852226343846505854626670747882909894102106114118110122126130134138142146150154158162166170174178182186190194198202206210214[[#This Row],[Jour]]="6- Samedi",$B$1+6, IF(Horodateur112335381922313437434649525558616469852226343846505854626670747882909894102106114118110122126130134138142146150154158162166170174178182186190194198202206210214[[#This Row],[Jour]]="7- Dimanche",$B$1, )))))))</f>
        <v>44204</v>
      </c>
      <c r="B20" s="257" t="s">
        <v>332</v>
      </c>
      <c r="C20" s="258" t="n">
        <v>0.354166666666667</v>
      </c>
      <c r="D20" s="258" t="n">
        <v>0.375</v>
      </c>
      <c r="E20" s="71" t="s">
        <v>32</v>
      </c>
      <c r="F20" s="71"/>
      <c r="G20" s="259"/>
      <c r="H20" s="258" t="n">
        <f aca="false">IF($C20=0,"",$D20-$C20)</f>
        <v>0.0208333333333333</v>
      </c>
      <c r="I20" s="260" t="n">
        <f aca="false">IF($C20=0,"",($H20-INT($H20))*24)</f>
        <v>0.5</v>
      </c>
      <c r="J20" s="303" t="n">
        <f aca="false">SUMIF(Horodateur112335381922313437434649525558616469852226343846505854626670747882909894102106114118110122126130134138142146150154158162166170174178182186190194198202206210214[Jour],$B20,Horodateur112335381922313437434649525558616469852226343846505854626670747882909894102106114118110122126130134138142146150154158162166170174178182186190194198202206210214[Durée (100)])</f>
        <v>7</v>
      </c>
      <c r="K20" s="335"/>
      <c r="L20" s="188" t="s">
        <v>31</v>
      </c>
      <c r="M20" s="272" t="n">
        <f aca="false">IF(Horodateur112335381922313437434649525558616469852226343846505854626670747882909894102106114118110122126130134138142146150154158162166170174178182186190194198202206210214[[#This Row],[O]]="o",Horodateur112335381922313437434649525558616469852226343846505854626670747882909894102106114118110122126130134138142146150154158162166170174178182186190194198202206210214[[#This Row],[Durée (100)]],".")</f>
        <v>0.5</v>
      </c>
      <c r="N20" s="187"/>
      <c r="O20" s="71"/>
      <c r="P20" s="71"/>
      <c r="Q20" s="71"/>
      <c r="R20" s="71"/>
      <c r="S20" s="71"/>
      <c r="T20" s="71"/>
      <c r="U20" s="71"/>
      <c r="V20" s="71"/>
      <c r="W20" s="71"/>
      <c r="X20" s="71"/>
      <c r="Y20" s="71"/>
      <c r="Z20" s="71"/>
      <c r="AA20" s="71"/>
      <c r="AB20" s="71"/>
      <c r="AC20" s="71"/>
      <c r="AD20" s="71"/>
      <c r="AE20" s="71"/>
      <c r="AF20" s="71"/>
      <c r="AG20" s="71"/>
    </row>
    <row r="21" customFormat="false" ht="15" hidden="false" customHeight="false" outlineLevel="0" collapsed="false">
      <c r="A21" s="256" t="n">
        <f aca="false">IF(Horodateur112335381922313437434649525558616469852226343846505854626670747882909894102106114118110122126130134138142146150154158162166170174178182186190194198202206210214[[#This Row],[Jour]]="1- Lundi",$B$1+1, IF(Horodateur112335381922313437434649525558616469852226343846505854626670747882909894102106114118110122126130134138142146150154158162166170174178182186190194198202206210214[[#This Row],[Jour]]="2- Mardi",$B$1+2, IF(Horodateur112335381922313437434649525558616469852226343846505854626670747882909894102106114118110122126130134138142146150154158162166170174178182186190194198202206210214[[#This Row],[Jour]]="3- Mercredi",$B$1+3, IF(Horodateur112335381922313437434649525558616469852226343846505854626670747882909894102106114118110122126130134138142146150154158162166170174178182186190194198202206210214[[#This Row],[Jour]]="4- Jeudi",$B$1+4, IF(Horodateur112335381922313437434649525558616469852226343846505854626670747882909894102106114118110122126130134138142146150154158162166170174178182186190194198202206210214[[#This Row],[Jour]]="5- Vendredi",$B$1+5, IF(Horodateur112335381922313437434649525558616469852226343846505854626670747882909894102106114118110122126130134138142146150154158162166170174178182186190194198202206210214[[#This Row],[Jour]]="6- Samedi",$B$1+6, IF(Horodateur112335381922313437434649525558616469852226343846505854626670747882909894102106114118110122126130134138142146150154158162166170174178182186190194198202206210214[[#This Row],[Jour]]="7- Dimanche",$B$1, )))))))</f>
        <v>44204</v>
      </c>
      <c r="B21" s="257" t="s">
        <v>332</v>
      </c>
      <c r="C21" s="258" t="n">
        <v>0.375</v>
      </c>
      <c r="D21" s="258" t="n">
        <v>0.458333333333333</v>
      </c>
      <c r="E21" s="71" t="s">
        <v>70</v>
      </c>
      <c r="F21" s="71" t="s">
        <v>378</v>
      </c>
      <c r="G21" s="259" t="s">
        <v>698</v>
      </c>
      <c r="H21" s="258" t="n">
        <f aca="false">IF($C21=0,"",$D21-$C21)</f>
        <v>0.0833333333333333</v>
      </c>
      <c r="I21" s="260" t="n">
        <f aca="false">IF($C21=0,"",($H21-INT($H21))*24)</f>
        <v>2</v>
      </c>
      <c r="J21" s="303" t="n">
        <f aca="false">SUMIF(Horodateur112335381922313437434649525558616469852226343846505854626670747882909894102106114118110122126130134138142146150154158162166170174178182186190194198202206210214[Jour],$B21,Horodateur112335381922313437434649525558616469852226343846505854626670747882909894102106114118110122126130134138142146150154158162166170174178182186190194198202206210214[Durée (100)])</f>
        <v>7</v>
      </c>
      <c r="K21" s="335"/>
      <c r="L21" s="188" t="s">
        <v>31</v>
      </c>
      <c r="M21" s="272" t="n">
        <f aca="false">IF(Horodateur112335381922313437434649525558616469852226343846505854626670747882909894102106114118110122126130134138142146150154158162166170174178182186190194198202206210214[[#This Row],[O]]="o",Horodateur112335381922313437434649525558616469852226343846505854626670747882909894102106114118110122126130134138142146150154158162166170174178182186190194198202206210214[[#This Row],[Durée (100)]],".")</f>
        <v>2</v>
      </c>
      <c r="N21" s="187"/>
      <c r="O21" s="71"/>
      <c r="P21" s="71"/>
      <c r="Q21" s="71"/>
      <c r="R21" s="71"/>
      <c r="S21" s="71"/>
      <c r="T21" s="71"/>
      <c r="U21" s="71"/>
      <c r="V21" s="71"/>
      <c r="W21" s="71"/>
      <c r="X21" s="71"/>
      <c r="Y21" s="71"/>
      <c r="Z21" s="71"/>
      <c r="AA21" s="71"/>
      <c r="AB21" s="71"/>
      <c r="AC21" s="71"/>
      <c r="AD21" s="71"/>
      <c r="AE21" s="71"/>
      <c r="AF21" s="71"/>
      <c r="AG21" s="71"/>
    </row>
    <row r="22" customFormat="false" ht="15" hidden="false" customHeight="false" outlineLevel="0" collapsed="false">
      <c r="A22" s="256" t="n">
        <f aca="false">IF(Horodateur112335381922313437434649525558616469852226343846505854626670747882909894102106114118110122126130134138142146150154158162166170174178182186190194198202206210214[[#This Row],[Jour]]="1- Lundi",$B$1+1, IF(Horodateur112335381922313437434649525558616469852226343846505854626670747882909894102106114118110122126130134138142146150154158162166170174178182186190194198202206210214[[#This Row],[Jour]]="2- Mardi",$B$1+2, IF(Horodateur112335381922313437434649525558616469852226343846505854626670747882909894102106114118110122126130134138142146150154158162166170174178182186190194198202206210214[[#This Row],[Jour]]="3- Mercredi",$B$1+3, IF(Horodateur112335381922313437434649525558616469852226343846505854626670747882909894102106114118110122126130134138142146150154158162166170174178182186190194198202206210214[[#This Row],[Jour]]="4- Jeudi",$B$1+4, IF(Horodateur112335381922313437434649525558616469852226343846505854626670747882909894102106114118110122126130134138142146150154158162166170174178182186190194198202206210214[[#This Row],[Jour]]="5- Vendredi",$B$1+5, IF(Horodateur112335381922313437434649525558616469852226343846505854626670747882909894102106114118110122126130134138142146150154158162166170174178182186190194198202206210214[[#This Row],[Jour]]="6- Samedi",$B$1+6, IF(Horodateur112335381922313437434649525558616469852226343846505854626670747882909894102106114118110122126130134138142146150154158162166170174178182186190194198202206210214[[#This Row],[Jour]]="7- Dimanche",$B$1, )))))))</f>
        <v>44204</v>
      </c>
      <c r="B22" s="257" t="s">
        <v>332</v>
      </c>
      <c r="C22" s="258" t="n">
        <v>0.458333333333333</v>
      </c>
      <c r="D22" s="258" t="n">
        <v>0.479166666666667</v>
      </c>
      <c r="E22" s="71" t="s">
        <v>32</v>
      </c>
      <c r="F22" s="71"/>
      <c r="G22" s="259"/>
      <c r="H22" s="258" t="n">
        <f aca="false">IF($C22=0,"",$D22-$C22)</f>
        <v>0.0208333333333334</v>
      </c>
      <c r="I22" s="260" t="n">
        <f aca="false">IF($C22=0,"",($H22-INT($H22))*24)</f>
        <v>0.500000000000001</v>
      </c>
      <c r="J22" s="303" t="n">
        <f aca="false">SUMIF(Horodateur112335381922313437434649525558616469852226343846505854626670747882909894102106114118110122126130134138142146150154158162166170174178182186190194198202206210214[Jour],$B22,Horodateur112335381922313437434649525558616469852226343846505854626670747882909894102106114118110122126130134138142146150154158162166170174178182186190194198202206210214[Durée (100)])</f>
        <v>7</v>
      </c>
      <c r="K22" s="335"/>
      <c r="L22" s="188" t="s">
        <v>31</v>
      </c>
      <c r="M22" s="272" t="n">
        <f aca="false">IF(Horodateur112335381922313437434649525558616469852226343846505854626670747882909894102106114118110122126130134138142146150154158162166170174178182186190194198202206210214[[#This Row],[O]]="o",Horodateur112335381922313437434649525558616469852226343846505854626670747882909894102106114118110122126130134138142146150154158162166170174178182186190194198202206210214[[#This Row],[Durée (100)]],".")</f>
        <v>0.500000000000001</v>
      </c>
      <c r="N22" s="187"/>
      <c r="O22" s="71"/>
      <c r="P22" s="71"/>
      <c r="Q22" s="71"/>
      <c r="R22" s="71"/>
      <c r="S22" s="71"/>
      <c r="T22" s="71"/>
      <c r="U22" s="71"/>
      <c r="V22" s="71"/>
      <c r="W22" s="71"/>
      <c r="X22" s="71"/>
      <c r="Y22" s="71"/>
      <c r="Z22" s="71"/>
      <c r="AA22" s="71"/>
      <c r="AB22" s="71"/>
      <c r="AC22" s="71"/>
      <c r="AD22" s="71"/>
      <c r="AE22" s="71"/>
      <c r="AF22" s="71"/>
      <c r="AG22" s="71"/>
    </row>
    <row r="23" customFormat="false" ht="15" hidden="false" customHeight="false" outlineLevel="0" collapsed="false">
      <c r="A23" s="256" t="n">
        <f aca="false">IF(Horodateur112335381922313437434649525558616469852226343846505854626670747882909894102106114118110122126130134138142146150154158162166170174178182186190194198202206210214[[#This Row],[Jour]]="1- Lundi",$B$1+1, IF(Horodateur112335381922313437434649525558616469852226343846505854626670747882909894102106114118110122126130134138142146150154158162166170174178182186190194198202206210214[[#This Row],[Jour]]="2- Mardi",$B$1+2, IF(Horodateur112335381922313437434649525558616469852226343846505854626670747882909894102106114118110122126130134138142146150154158162166170174178182186190194198202206210214[[#This Row],[Jour]]="3- Mercredi",$B$1+3, IF(Horodateur112335381922313437434649525558616469852226343846505854626670747882909894102106114118110122126130134138142146150154158162166170174178182186190194198202206210214[[#This Row],[Jour]]="4- Jeudi",$B$1+4, IF(Horodateur112335381922313437434649525558616469852226343846505854626670747882909894102106114118110122126130134138142146150154158162166170174178182186190194198202206210214[[#This Row],[Jour]]="5- Vendredi",$B$1+5, IF(Horodateur112335381922313437434649525558616469852226343846505854626670747882909894102106114118110122126130134138142146150154158162166170174178182186190194198202206210214[[#This Row],[Jour]]="6- Samedi",$B$1+6, IF(Horodateur112335381922313437434649525558616469852226343846505854626670747882909894102106114118110122126130134138142146150154158162166170174178182186190194198202206210214[[#This Row],[Jour]]="7- Dimanche",$B$1, )))))))</f>
        <v>44205</v>
      </c>
      <c r="B23" s="257" t="s">
        <v>335</v>
      </c>
      <c r="C23" s="258" t="n">
        <v>0.354166666666667</v>
      </c>
      <c r="D23" s="258" t="n">
        <v>0.364583333333333</v>
      </c>
      <c r="E23" s="71" t="s">
        <v>63</v>
      </c>
      <c r="F23" s="71" t="s">
        <v>378</v>
      </c>
      <c r="G23" s="259" t="s">
        <v>699</v>
      </c>
      <c r="H23" s="258" t="n">
        <f aca="false">IF($C23=0,"",$D23-$C23)</f>
        <v>0.0104166666666667</v>
      </c>
      <c r="I23" s="260" t="n">
        <f aca="false">IF($C23=0,"",($H23-INT($H23))*24)</f>
        <v>0.25</v>
      </c>
      <c r="J23" s="303" t="n">
        <f aca="false">SUMIF(Horodateur112335381922313437434649525558616469852226343846505854626670747882909894102106114118110122126130134138142146150154158162166170174178182186190194198202206210214[Jour],$B23,Horodateur112335381922313437434649525558616469852226343846505854626670747882909894102106114118110122126130134138142146150154158162166170174178182186190194198202206210214[Durée (100)])</f>
        <v>8</v>
      </c>
      <c r="K23" s="335"/>
      <c r="L23" s="188" t="s">
        <v>31</v>
      </c>
      <c r="M23" s="272" t="n">
        <f aca="false">IF(Horodateur112335381922313437434649525558616469852226343846505854626670747882909894102106114118110122126130134138142146150154158162166170174178182186190194198202206210214[[#This Row],[O]]="o",Horodateur112335381922313437434649525558616469852226343846505854626670747882909894102106114118110122126130134138142146150154158162166170174178182186190194198202206210214[[#This Row],[Durée (100)]],".")</f>
        <v>0.249999999999999</v>
      </c>
      <c r="N23" s="187"/>
      <c r="O23" s="71"/>
      <c r="P23" s="71"/>
      <c r="Q23" s="71"/>
      <c r="R23" s="71"/>
      <c r="S23" s="71"/>
      <c r="T23" s="71"/>
      <c r="U23" s="71"/>
      <c r="V23" s="71"/>
      <c r="W23" s="71"/>
      <c r="X23" s="71"/>
      <c r="Y23" s="71"/>
      <c r="Z23" s="71"/>
      <c r="AA23" s="71"/>
      <c r="AB23" s="71"/>
      <c r="AC23" s="71"/>
      <c r="AD23" s="71"/>
      <c r="AE23" s="71"/>
      <c r="AF23" s="71"/>
      <c r="AG23" s="71"/>
    </row>
    <row r="24" customFormat="false" ht="15" hidden="false" customHeight="false" outlineLevel="0" collapsed="false">
      <c r="A24" s="256" t="n">
        <f aca="false">IF(Horodateur112335381922313437434649525558616469852226343846505854626670747882909894102106114118110122126130134138142146150154158162166170174178182186190194198202206210214[[#This Row],[Jour]]="1- Lundi",$B$1+1, IF(Horodateur112335381922313437434649525558616469852226343846505854626670747882909894102106114118110122126130134138142146150154158162166170174178182186190194198202206210214[[#This Row],[Jour]]="2- Mardi",$B$1+2, IF(Horodateur112335381922313437434649525558616469852226343846505854626670747882909894102106114118110122126130134138142146150154158162166170174178182186190194198202206210214[[#This Row],[Jour]]="3- Mercredi",$B$1+3, IF(Horodateur112335381922313437434649525558616469852226343846505854626670747882909894102106114118110122126130134138142146150154158162166170174178182186190194198202206210214[[#This Row],[Jour]]="4- Jeudi",$B$1+4, IF(Horodateur112335381922313437434649525558616469852226343846505854626670747882909894102106114118110122126130134138142146150154158162166170174178182186190194198202206210214[[#This Row],[Jour]]="5- Vendredi",$B$1+5, IF(Horodateur112335381922313437434649525558616469852226343846505854626670747882909894102106114118110122126130134138142146150154158162166170174178182186190194198202206210214[[#This Row],[Jour]]="6- Samedi",$B$1+6, IF(Horodateur112335381922313437434649525558616469852226343846505854626670747882909894102106114118110122126130134138142146150154158162166170174178182186190194198202206210214[[#This Row],[Jour]]="7- Dimanche",$B$1, )))))))</f>
        <v>44205</v>
      </c>
      <c r="B24" s="257" t="s">
        <v>335</v>
      </c>
      <c r="C24" s="258" t="n">
        <v>0.364583333333333</v>
      </c>
      <c r="D24" s="258" t="n">
        <v>0.395833333333333</v>
      </c>
      <c r="E24" s="71" t="s">
        <v>61</v>
      </c>
      <c r="F24" s="71" t="s">
        <v>399</v>
      </c>
      <c r="G24" s="259" t="s">
        <v>700</v>
      </c>
      <c r="H24" s="258" t="n">
        <f aca="false">IF($C24=0,"",$D24-$C24)</f>
        <v>0.03125</v>
      </c>
      <c r="I24" s="260" t="n">
        <f aca="false">IF($C24=0,"",($H24-INT($H24))*24)</f>
        <v>0.75</v>
      </c>
      <c r="J24" s="303" t="n">
        <f aca="false">SUMIF(Horodateur112335381922313437434649525558616469852226343846505854626670747882909894102106114118110122126130134138142146150154158162166170174178182186190194198202206210214[Jour],$B24,Horodateur112335381922313437434649525558616469852226343846505854626670747882909894102106114118110122126130134138142146150154158162166170174178182186190194198202206210214[Durée (100)])</f>
        <v>8</v>
      </c>
      <c r="K24" s="335" t="s">
        <v>21</v>
      </c>
      <c r="L24" s="188" t="s">
        <v>31</v>
      </c>
      <c r="M24" s="272" t="n">
        <f aca="false">IF(Horodateur112335381922313437434649525558616469852226343846505854626670747882909894102106114118110122126130134138142146150154158162166170174178182186190194198202206210214[[#This Row],[O]]="o",Horodateur112335381922313437434649525558616469852226343846505854626670747882909894102106114118110122126130134138142146150154158162166170174178182186190194198202206210214[[#This Row],[Durée (100)]],".")</f>
        <v>0.75</v>
      </c>
      <c r="N24" s="187"/>
      <c r="O24" s="71"/>
      <c r="P24" s="71"/>
      <c r="Q24" s="71"/>
      <c r="R24" s="71"/>
      <c r="S24" s="71"/>
      <c r="T24" s="71"/>
      <c r="U24" s="71"/>
      <c r="V24" s="71"/>
      <c r="W24" s="71"/>
      <c r="X24" s="71"/>
      <c r="Y24" s="71"/>
      <c r="Z24" s="71"/>
      <c r="AA24" s="71"/>
      <c r="AB24" s="71"/>
      <c r="AC24" s="71"/>
      <c r="AD24" s="71"/>
      <c r="AE24" s="71"/>
      <c r="AF24" s="71"/>
      <c r="AG24" s="71"/>
    </row>
    <row r="25" customFormat="false" ht="15" hidden="false" customHeight="false" outlineLevel="0" collapsed="false">
      <c r="A25" s="256" t="n">
        <f aca="false">IF(Horodateur112335381922313437434649525558616469852226343846505854626670747882909894102106114118110122126130134138142146150154158162166170174178182186190194198202206210214[[#This Row],[Jour]]="1- Lundi",$B$1+1, IF(Horodateur112335381922313437434649525558616469852226343846505854626670747882909894102106114118110122126130134138142146150154158162166170174178182186190194198202206210214[[#This Row],[Jour]]="2- Mardi",$B$1+2, IF(Horodateur112335381922313437434649525558616469852226343846505854626670747882909894102106114118110122126130134138142146150154158162166170174178182186190194198202206210214[[#This Row],[Jour]]="3- Mercredi",$B$1+3, IF(Horodateur112335381922313437434649525558616469852226343846505854626670747882909894102106114118110122126130134138142146150154158162166170174178182186190194198202206210214[[#This Row],[Jour]]="4- Jeudi",$B$1+4, IF(Horodateur112335381922313437434649525558616469852226343846505854626670747882909894102106114118110122126130134138142146150154158162166170174178182186190194198202206210214[[#This Row],[Jour]]="5- Vendredi",$B$1+5, IF(Horodateur112335381922313437434649525558616469852226343846505854626670747882909894102106114118110122126130134138142146150154158162166170174178182186190194198202206210214[[#This Row],[Jour]]="6- Samedi",$B$1+6, IF(Horodateur112335381922313437434649525558616469852226343846505854626670747882909894102106114118110122126130134138142146150154158162166170174178182186190194198202206210214[[#This Row],[Jour]]="7- Dimanche",$B$1, )))))))</f>
        <v>44205</v>
      </c>
      <c r="B25" s="257" t="s">
        <v>335</v>
      </c>
      <c r="C25" s="258" t="n">
        <v>0.395833333333333</v>
      </c>
      <c r="D25" s="258" t="n">
        <v>0.40625</v>
      </c>
      <c r="E25" s="71" t="s">
        <v>81</v>
      </c>
      <c r="F25" s="71" t="s">
        <v>379</v>
      </c>
      <c r="G25" s="259" t="s">
        <v>124</v>
      </c>
      <c r="H25" s="258" t="n">
        <f aca="false">IF($C25=0,"",$D25-$C25)</f>
        <v>0.0104166666666667</v>
      </c>
      <c r="I25" s="260" t="n">
        <f aca="false">IF($C25=0,"",($H25-INT($H25))*24)</f>
        <v>0.25</v>
      </c>
      <c r="J25" s="303" t="n">
        <f aca="false">SUMIF(Horodateur112335381922313437434649525558616469852226343846505854626670747882909894102106114118110122126130134138142146150154158162166170174178182186190194198202206210214[Jour],$B25,Horodateur112335381922313437434649525558616469852226343846505854626670747882909894102106114118110122126130134138142146150154158162166170174178182186190194198202206210214[Durée (100)])</f>
        <v>8</v>
      </c>
      <c r="K25" s="335"/>
      <c r="L25" s="188" t="s">
        <v>31</v>
      </c>
      <c r="M25" s="272" t="n">
        <f aca="false">IF(Horodateur112335381922313437434649525558616469852226343846505854626670747882909894102106114118110122126130134138142146150154158162166170174178182186190194198202206210214[[#This Row],[O]]="o",Horodateur112335381922313437434649525558616469852226343846505854626670747882909894102106114118110122126130134138142146150154158162166170174178182186190194198202206210214[[#This Row],[Durée (100)]],".")</f>
        <v>0.25</v>
      </c>
      <c r="N25" s="187"/>
      <c r="O25" s="71"/>
      <c r="P25" s="71"/>
      <c r="Q25" s="71"/>
      <c r="R25" s="71"/>
      <c r="S25" s="71"/>
      <c r="T25" s="71"/>
      <c r="U25" s="71"/>
      <c r="V25" s="71"/>
      <c r="W25" s="71"/>
      <c r="X25" s="71"/>
      <c r="Y25" s="71"/>
      <c r="Z25" s="71"/>
      <c r="AA25" s="71"/>
      <c r="AB25" s="71"/>
      <c r="AC25" s="71"/>
      <c r="AD25" s="71"/>
      <c r="AE25" s="71"/>
      <c r="AF25" s="71"/>
      <c r="AG25" s="71"/>
    </row>
    <row r="26" customFormat="false" ht="15" hidden="false" customHeight="false" outlineLevel="0" collapsed="false">
      <c r="A26" s="256" t="n">
        <f aca="false">IF(Horodateur112335381922313437434649525558616469852226343846505854626670747882909894102106114118110122126130134138142146150154158162166170174178182186190194198202206210214[[#This Row],[Jour]]="1- Lundi",$B$1+1, IF(Horodateur112335381922313437434649525558616469852226343846505854626670747882909894102106114118110122126130134138142146150154158162166170174178182186190194198202206210214[[#This Row],[Jour]]="2- Mardi",$B$1+2, IF(Horodateur112335381922313437434649525558616469852226343846505854626670747882909894102106114118110122126130134138142146150154158162166170174178182186190194198202206210214[[#This Row],[Jour]]="3- Mercredi",$B$1+3, IF(Horodateur112335381922313437434649525558616469852226343846505854626670747882909894102106114118110122126130134138142146150154158162166170174178182186190194198202206210214[[#This Row],[Jour]]="4- Jeudi",$B$1+4, IF(Horodateur112335381922313437434649525558616469852226343846505854626670747882909894102106114118110122126130134138142146150154158162166170174178182186190194198202206210214[[#This Row],[Jour]]="5- Vendredi",$B$1+5, IF(Horodateur112335381922313437434649525558616469852226343846505854626670747882909894102106114118110122126130134138142146150154158162166170174178182186190194198202206210214[[#This Row],[Jour]]="6- Samedi",$B$1+6, IF(Horodateur112335381922313437434649525558616469852226343846505854626670747882909894102106114118110122126130134138142146150154158162166170174178182186190194198202206210214[[#This Row],[Jour]]="7- Dimanche",$B$1, )))))))</f>
        <v>44205</v>
      </c>
      <c r="B26" s="257" t="s">
        <v>335</v>
      </c>
      <c r="C26" s="258" t="n">
        <v>0.4375</v>
      </c>
      <c r="D26" s="258" t="n">
        <v>0.458333333333333</v>
      </c>
      <c r="E26" s="71" t="s">
        <v>66</v>
      </c>
      <c r="F26" s="71" t="s">
        <v>379</v>
      </c>
      <c r="G26" s="259" t="s">
        <v>124</v>
      </c>
      <c r="H26" s="258" t="n">
        <f aca="false">IF($C26=0,"",$D26-$C26)</f>
        <v>0.0208333333333333</v>
      </c>
      <c r="I26" s="260" t="n">
        <f aca="false">IF($C26=0,"",($H26-INT($H26))*24)</f>
        <v>0.5</v>
      </c>
      <c r="J26" s="303" t="n">
        <f aca="false">SUMIF(Horodateur112335381922313437434649525558616469852226343846505854626670747882909894102106114118110122126130134138142146150154158162166170174178182186190194198202206210214[Jour],$B26,Horodateur112335381922313437434649525558616469852226343846505854626670747882909894102106114118110122126130134138142146150154158162166170174178182186190194198202206210214[Durée (100)])</f>
        <v>8</v>
      </c>
      <c r="K26" s="335"/>
      <c r="L26" s="188" t="s">
        <v>31</v>
      </c>
      <c r="M26" s="272" t="n">
        <f aca="false">IF(Horodateur112335381922313437434649525558616469852226343846505854626670747882909894102106114118110122126130134138142146150154158162166170174178182186190194198202206210214[[#This Row],[O]]="o",Horodateur112335381922313437434649525558616469852226343846505854626670747882909894102106114118110122126130134138142146150154158162166170174178182186190194198202206210214[[#This Row],[Durée (100)]],".")</f>
        <v>0.5</v>
      </c>
      <c r="N26" s="187"/>
      <c r="O26" s="71"/>
      <c r="P26" s="71"/>
      <c r="Q26" s="71"/>
      <c r="R26" s="71"/>
      <c r="S26" s="71"/>
      <c r="T26" s="71"/>
      <c r="U26" s="71"/>
      <c r="V26" s="71"/>
      <c r="W26" s="71"/>
      <c r="X26" s="71"/>
      <c r="Y26" s="71"/>
      <c r="Z26" s="71"/>
      <c r="AA26" s="71"/>
      <c r="AB26" s="71"/>
      <c r="AC26" s="71"/>
      <c r="AD26" s="71"/>
      <c r="AE26" s="71"/>
      <c r="AF26" s="71"/>
      <c r="AG26" s="71"/>
    </row>
    <row r="27" customFormat="false" ht="15" hidden="false" customHeight="false" outlineLevel="0" collapsed="false">
      <c r="A27" s="256" t="n">
        <f aca="false">IF(Horodateur112335381922313437434649525558616469852226343846505854626670747882909894102106114118110122126130134138142146150154158162166170174178182186190194198202206210214[[#This Row],[Jour]]="1- Lundi",$B$1+1, IF(Horodateur112335381922313437434649525558616469852226343846505854626670747882909894102106114118110122126130134138142146150154158162166170174178182186190194198202206210214[[#This Row],[Jour]]="2- Mardi",$B$1+2, IF(Horodateur112335381922313437434649525558616469852226343846505854626670747882909894102106114118110122126130134138142146150154158162166170174178182186190194198202206210214[[#This Row],[Jour]]="3- Mercredi",$B$1+3, IF(Horodateur112335381922313437434649525558616469852226343846505854626670747882909894102106114118110122126130134138142146150154158162166170174178182186190194198202206210214[[#This Row],[Jour]]="4- Jeudi",$B$1+4, IF(Horodateur112335381922313437434649525558616469852226343846505854626670747882909894102106114118110122126130134138142146150154158162166170174178182186190194198202206210214[[#This Row],[Jour]]="5- Vendredi",$B$1+5, IF(Horodateur112335381922313437434649525558616469852226343846505854626670747882909894102106114118110122126130134138142146150154158162166170174178182186190194198202206210214[[#This Row],[Jour]]="6- Samedi",$B$1+6, IF(Horodateur112335381922313437434649525558616469852226343846505854626670747882909894102106114118110122126130134138142146150154158162166170174178182186190194198202206210214[[#This Row],[Jour]]="7- Dimanche",$B$1, )))))))</f>
        <v>44205</v>
      </c>
      <c r="B27" s="257" t="s">
        <v>335</v>
      </c>
      <c r="C27" s="258" t="n">
        <v>0.46875</v>
      </c>
      <c r="D27" s="258" t="n">
        <v>0.5</v>
      </c>
      <c r="E27" s="71" t="s">
        <v>45</v>
      </c>
      <c r="F27" s="71" t="s">
        <v>378</v>
      </c>
      <c r="G27" s="259" t="s">
        <v>701</v>
      </c>
      <c r="H27" s="258" t="n">
        <f aca="false">IF($C27=0,"",$D27-$C27)</f>
        <v>0.03125</v>
      </c>
      <c r="I27" s="260" t="n">
        <f aca="false">IF($C27=0,"",($H27-INT($H27))*24)</f>
        <v>0.75</v>
      </c>
      <c r="J27" s="303" t="n">
        <f aca="false">SUMIF(Horodateur112335381922313437434649525558616469852226343846505854626670747882909894102106114118110122126130134138142146150154158162166170174178182186190194198202206210214[Jour],$B27,Horodateur112335381922313437434649525558616469852226343846505854626670747882909894102106114118110122126130134138142146150154158162166170174178182186190194198202206210214[Durée (100)])</f>
        <v>8</v>
      </c>
      <c r="K27" s="335"/>
      <c r="L27" s="188" t="s">
        <v>31</v>
      </c>
      <c r="M27" s="272" t="n">
        <f aca="false">IF(Horodateur112335381922313437434649525558616469852226343846505854626670747882909894102106114118110122126130134138142146150154158162166170174178182186190194198202206210214[[#This Row],[O]]="o",Horodateur112335381922313437434649525558616469852226343846505854626670747882909894102106114118110122126130134138142146150154158162166170174178182186190194198202206210214[[#This Row],[Durée (100)]],".")</f>
        <v>0.75</v>
      </c>
      <c r="N27" s="187"/>
      <c r="O27" s="71"/>
      <c r="P27" s="71"/>
      <c r="Q27" s="71"/>
      <c r="R27" s="71"/>
      <c r="S27" s="71"/>
      <c r="T27" s="71"/>
      <c r="U27" s="71"/>
      <c r="V27" s="71"/>
      <c r="W27" s="71"/>
      <c r="X27" s="71"/>
      <c r="Y27" s="71"/>
      <c r="Z27" s="71"/>
      <c r="AA27" s="71"/>
      <c r="AB27" s="71"/>
      <c r="AC27" s="71"/>
      <c r="AD27" s="71"/>
      <c r="AE27" s="71"/>
      <c r="AF27" s="71"/>
      <c r="AG27" s="71"/>
    </row>
    <row r="28" customFormat="false" ht="15" hidden="false" customHeight="false" outlineLevel="0" collapsed="false">
      <c r="A28" s="256" t="n">
        <f aca="false">IF(Horodateur112335381922313437434649525558616469852226343846505854626670747882909894102106114118110122126130134138142146150154158162166170174178182186190194198202206210214[[#This Row],[Jour]]="1- Lundi",$B$1+1, IF(Horodateur112335381922313437434649525558616469852226343846505854626670747882909894102106114118110122126130134138142146150154158162166170174178182186190194198202206210214[[#This Row],[Jour]]="2- Mardi",$B$1+2, IF(Horodateur112335381922313437434649525558616469852226343846505854626670747882909894102106114118110122126130134138142146150154158162166170174178182186190194198202206210214[[#This Row],[Jour]]="3- Mercredi",$B$1+3, IF(Horodateur112335381922313437434649525558616469852226343846505854626670747882909894102106114118110122126130134138142146150154158162166170174178182186190194198202206210214[[#This Row],[Jour]]="4- Jeudi",$B$1+4, IF(Horodateur112335381922313437434649525558616469852226343846505854626670747882909894102106114118110122126130134138142146150154158162166170174178182186190194198202206210214[[#This Row],[Jour]]="5- Vendredi",$B$1+5, IF(Horodateur112335381922313437434649525558616469852226343846505854626670747882909894102106114118110122126130134138142146150154158162166170174178182186190194198202206210214[[#This Row],[Jour]]="6- Samedi",$B$1+6, IF(Horodateur112335381922313437434649525558616469852226343846505854626670747882909894102106114118110122126130134138142146150154158162166170174178182186190194198202206210214[[#This Row],[Jour]]="7- Dimanche",$B$1, )))))))</f>
        <v>44205</v>
      </c>
      <c r="B28" s="257" t="s">
        <v>335</v>
      </c>
      <c r="C28" s="258" t="n">
        <v>0.625</v>
      </c>
      <c r="D28" s="258" t="n">
        <v>0.6875</v>
      </c>
      <c r="E28" s="71" t="s">
        <v>78</v>
      </c>
      <c r="F28" s="71" t="s">
        <v>378</v>
      </c>
      <c r="G28" s="259" t="s">
        <v>702</v>
      </c>
      <c r="H28" s="258" t="n">
        <f aca="false">IF($C28=0,"",$D28-$C28)</f>
        <v>0.0625</v>
      </c>
      <c r="I28" s="260" t="n">
        <f aca="false">IF($C28=0,"",($H28-INT($H28))*24)</f>
        <v>1.5</v>
      </c>
      <c r="J28" s="303" t="n">
        <f aca="false">SUMIF(Horodateur112335381922313437434649525558616469852226343846505854626670747882909894102106114118110122126130134138142146150154158162166170174178182186190194198202206210214[Jour],$B28,Horodateur112335381922313437434649525558616469852226343846505854626670747882909894102106114118110122126130134138142146150154158162166170174178182186190194198202206210214[Durée (100)])</f>
        <v>8</v>
      </c>
      <c r="K28" s="335"/>
      <c r="L28" s="188" t="s">
        <v>31</v>
      </c>
      <c r="M28" s="272" t="n">
        <f aca="false">IF(Horodateur112335381922313437434649525558616469852226343846505854626670747882909894102106114118110122126130134138142146150154158162166170174178182186190194198202206210214[[#This Row],[O]]="o",Horodateur112335381922313437434649525558616469852226343846505854626670747882909894102106114118110122126130134138142146150154158162166170174178182186190194198202206210214[[#This Row],[Durée (100)]],".")</f>
        <v>1.5</v>
      </c>
      <c r="N28" s="187"/>
      <c r="O28" s="71"/>
      <c r="P28" s="71"/>
      <c r="Q28" s="71"/>
      <c r="R28" s="71"/>
      <c r="S28" s="71"/>
      <c r="T28" s="71"/>
      <c r="U28" s="71"/>
      <c r="V28" s="71"/>
      <c r="W28" s="71"/>
      <c r="X28" s="71"/>
      <c r="Y28" s="71"/>
      <c r="Z28" s="71"/>
      <c r="AA28" s="71"/>
      <c r="AB28" s="71"/>
      <c r="AC28" s="71"/>
      <c r="AD28" s="71"/>
      <c r="AE28" s="71"/>
      <c r="AF28" s="71"/>
      <c r="AG28" s="71"/>
    </row>
    <row r="29" customFormat="false" ht="15" hidden="false" customHeight="false" outlineLevel="0" collapsed="false">
      <c r="A29" s="256" t="n">
        <f aca="false">IF(Horodateur112335381922313437434649525558616469852226343846505854626670747882909894102106114118110122126130134138142146150154158162166170174178182186190194198202206210214[[#This Row],[Jour]]="1- Lundi",$B$1+1, IF(Horodateur112335381922313437434649525558616469852226343846505854626670747882909894102106114118110122126130134138142146150154158162166170174178182186190194198202206210214[[#This Row],[Jour]]="2- Mardi",$B$1+2, IF(Horodateur112335381922313437434649525558616469852226343846505854626670747882909894102106114118110122126130134138142146150154158162166170174178182186190194198202206210214[[#This Row],[Jour]]="3- Mercredi",$B$1+3, IF(Horodateur112335381922313437434649525558616469852226343846505854626670747882909894102106114118110122126130134138142146150154158162166170174178182186190194198202206210214[[#This Row],[Jour]]="4- Jeudi",$B$1+4, IF(Horodateur112335381922313437434649525558616469852226343846505854626670747882909894102106114118110122126130134138142146150154158162166170174178182186190194198202206210214[[#This Row],[Jour]]="5- Vendredi",$B$1+5, IF(Horodateur112335381922313437434649525558616469852226343846505854626670747882909894102106114118110122126130134138142146150154158162166170174178182186190194198202206210214[[#This Row],[Jour]]="6- Samedi",$B$1+6, IF(Horodateur112335381922313437434649525558616469852226343846505854626670747882909894102106114118110122126130134138142146150154158162166170174178182186190194198202206210214[[#This Row],[Jour]]="7- Dimanche",$B$1, )))))))</f>
        <v>44206</v>
      </c>
      <c r="B29" s="257" t="s">
        <v>341</v>
      </c>
      <c r="C29" s="258" t="n">
        <v>0.395833333333333</v>
      </c>
      <c r="D29" s="258" t="n">
        <v>0.541666666666667</v>
      </c>
      <c r="E29" s="71" t="s">
        <v>37</v>
      </c>
      <c r="F29" s="71" t="s">
        <v>378</v>
      </c>
      <c r="G29" s="259"/>
      <c r="H29" s="258" t="n">
        <f aca="false">IF($C29=0,"",$D29-$C29)</f>
        <v>0.145833333333333</v>
      </c>
      <c r="I29" s="260" t="n">
        <f aca="false">IF($C29=0,"",($H29-INT($H29))*24)</f>
        <v>3.5</v>
      </c>
      <c r="J29" s="303" t="n">
        <f aca="false">SUMIF(Horodateur112335381922313437434649525558616469852226343846505854626670747882909894102106114118110122126130134138142146150154158162166170174178182186190194198202206210214[Jour],$B29,Horodateur112335381922313437434649525558616469852226343846505854626670747882909894102106114118110122126130134138142146150154158162166170174178182186190194198202206210214[Durée (100)])</f>
        <v>3.5</v>
      </c>
      <c r="K29" s="335"/>
      <c r="L29" s="188" t="s">
        <v>31</v>
      </c>
      <c r="M29" s="272" t="n">
        <f aca="false">IF(Horodateur112335381922313437434649525558616469852226343846505854626670747882909894102106114118110122126130134138142146150154158162166170174178182186190194198202206210214[[#This Row],[O]]="o",Horodateur112335381922313437434649525558616469852226343846505854626670747882909894102106114118110122126130134138142146150154158162166170174178182186190194198202206210214[[#This Row],[Durée (100)]],".")</f>
        <v>3.5</v>
      </c>
      <c r="N29" s="187"/>
      <c r="O29" s="71"/>
      <c r="P29" s="71"/>
      <c r="Q29" s="71"/>
      <c r="R29" s="71"/>
      <c r="S29" s="71"/>
      <c r="T29" s="71"/>
      <c r="U29" s="71"/>
      <c r="V29" s="71"/>
      <c r="W29" s="71"/>
      <c r="X29" s="71"/>
      <c r="Y29" s="71"/>
      <c r="Z29" s="71"/>
      <c r="AA29" s="71"/>
      <c r="AB29" s="71"/>
      <c r="AC29" s="71"/>
      <c r="AD29" s="71"/>
      <c r="AE29" s="71"/>
      <c r="AF29" s="71"/>
      <c r="AG29" s="71"/>
    </row>
    <row r="30" customFormat="false" ht="15" hidden="false" customHeight="false" outlineLevel="0" collapsed="false">
      <c r="A30" s="256" t="n">
        <f aca="false">IF(Horodateur112335381922313437434649525558616469852226343846505854626670747882909894102106114118110122126130134138142146150154158162166170174178182186190194198202206210214[[#This Row],[Jour]]="1- Lundi",$B$1+1, IF(Horodateur112335381922313437434649525558616469852226343846505854626670747882909894102106114118110122126130134138142146150154158162166170174178182186190194198202206210214[[#This Row],[Jour]]="2- Mardi",$B$1+2, IF(Horodateur112335381922313437434649525558616469852226343846505854626670747882909894102106114118110122126130134138142146150154158162166170174178182186190194198202206210214[[#This Row],[Jour]]="3- Mercredi",$B$1+3, IF(Horodateur112335381922313437434649525558616469852226343846505854626670747882909894102106114118110122126130134138142146150154158162166170174178182186190194198202206210214[[#This Row],[Jour]]="4- Jeudi",$B$1+4, IF(Horodateur112335381922313437434649525558616469852226343846505854626670747882909894102106114118110122126130134138142146150154158162166170174178182186190194198202206210214[[#This Row],[Jour]]="5- Vendredi",$B$1+5, IF(Horodateur112335381922313437434649525558616469852226343846505854626670747882909894102106114118110122126130134138142146150154158162166170174178182186190194198202206210214[[#This Row],[Jour]]="6- Samedi",$B$1+6, IF(Horodateur112335381922313437434649525558616469852226343846505854626670747882909894102106114118110122126130134138142146150154158162166170174178182186190194198202206210214[[#This Row],[Jour]]="7- Dimanche",$B$1, )))))))</f>
        <v>44204</v>
      </c>
      <c r="B30" s="257" t="s">
        <v>332</v>
      </c>
      <c r="C30" s="258" t="n">
        <v>0.541666666666667</v>
      </c>
      <c r="D30" s="258" t="n">
        <v>0.708333333333333</v>
      </c>
      <c r="E30" s="71" t="s">
        <v>32</v>
      </c>
      <c r="F30" s="71" t="s">
        <v>703</v>
      </c>
      <c r="G30" s="341"/>
      <c r="H30" s="258" t="n">
        <f aca="false">IF($C30=0,"",$D30-$C30)</f>
        <v>0.166666666666667</v>
      </c>
      <c r="I30" s="260" t="n">
        <f aca="false">IF($C30=0,"",($H30-INT($H30))*24)</f>
        <v>4</v>
      </c>
      <c r="J30" s="303" t="n">
        <f aca="false">SUMIF(Horodateur112335381922313437434649525558616469852226343846505854626670747882909894102106114118110122126130134138142146150154158162166170174178182186190194198202206210214[Jour],$B30,Horodateur112335381922313437434649525558616469852226343846505854626670747882909894102106114118110122126130134138142146150154158162166170174178182186190194198202206210214[Durée (100)])</f>
        <v>7</v>
      </c>
      <c r="K30" s="335"/>
      <c r="L30" s="188" t="s">
        <v>31</v>
      </c>
      <c r="M30" s="272" t="n">
        <f aca="false">IF(Horodateur112335381922313437434649525558616469852226343846505854626670747882909894102106114118110122126130134138142146150154158162166170174178182186190194198202206210214[[#This Row],[O]]="o",Horodateur112335381922313437434649525558616469852226343846505854626670747882909894102106114118110122126130134138142146150154158162166170174178182186190194198202206210214[[#This Row],[Durée (100)]],".")</f>
        <v>4</v>
      </c>
      <c r="N30" s="187"/>
      <c r="O30" s="71"/>
      <c r="P30" s="71"/>
      <c r="Q30" s="71"/>
      <c r="R30" s="71"/>
      <c r="S30" s="71"/>
      <c r="T30" s="71"/>
      <c r="U30" s="71"/>
      <c r="V30" s="71"/>
      <c r="W30" s="71"/>
      <c r="X30" s="71"/>
      <c r="Y30" s="71"/>
      <c r="Z30" s="71"/>
      <c r="AA30" s="71"/>
      <c r="AB30" s="71"/>
      <c r="AC30" s="71"/>
      <c r="AD30" s="71"/>
      <c r="AE30" s="71"/>
      <c r="AF30" s="71"/>
      <c r="AG30" s="71"/>
    </row>
    <row r="31" customFormat="false" ht="15" hidden="false" customHeight="false" outlineLevel="0" collapsed="false">
      <c r="A31" s="256" t="n">
        <f aca="false">IF(Horodateur112335381922313437434649525558616469852226343846505854626670747882909894102106114118110122126130134138142146150154158162166170174178182186190194198202206210214[[#This Row],[Jour]]="1- Lundi",$B$1+1, IF(Horodateur112335381922313437434649525558616469852226343846505854626670747882909894102106114118110122126130134138142146150154158162166170174178182186190194198202206210214[[#This Row],[Jour]]="2- Mardi",$B$1+2, IF(Horodateur112335381922313437434649525558616469852226343846505854626670747882909894102106114118110122126130134138142146150154158162166170174178182186190194198202206210214[[#This Row],[Jour]]="3- Mercredi",$B$1+3, IF(Horodateur112335381922313437434649525558616469852226343846505854626670747882909894102106114118110122126130134138142146150154158162166170174178182186190194198202206210214[[#This Row],[Jour]]="4- Jeudi",$B$1+4, IF(Horodateur112335381922313437434649525558616469852226343846505854626670747882909894102106114118110122126130134138142146150154158162166170174178182186190194198202206210214[[#This Row],[Jour]]="5- Vendredi",$B$1+5, IF(Horodateur112335381922313437434649525558616469852226343846505854626670747882909894102106114118110122126130134138142146150154158162166170174178182186190194198202206210214[[#This Row],[Jour]]="6- Samedi",$B$1+6, IF(Horodateur112335381922313437434649525558616469852226343846505854626670747882909894102106114118110122126130134138142146150154158162166170174178182186190194198202206210214[[#This Row],[Jour]]="7- Dimanche",$B$1, )))))))</f>
        <v>44205</v>
      </c>
      <c r="B31" s="257" t="s">
        <v>335</v>
      </c>
      <c r="C31" s="258" t="n">
        <v>0.541666666666667</v>
      </c>
      <c r="D31" s="258" t="n">
        <v>0.708333333333333</v>
      </c>
      <c r="E31" s="71" t="s">
        <v>32</v>
      </c>
      <c r="F31" s="71" t="s">
        <v>703</v>
      </c>
      <c r="G31" s="341"/>
      <c r="H31" s="258" t="n">
        <f aca="false">IF($C31=0,"",$D31-$C31)</f>
        <v>0.166666666666667</v>
      </c>
      <c r="I31" s="260" t="n">
        <f aca="false">IF($C31=0,"",($H31-INT($H31))*24)</f>
        <v>4</v>
      </c>
      <c r="J31" s="303" t="n">
        <f aca="false">SUMIF(Horodateur112335381922313437434649525558616469852226343846505854626670747882909894102106114118110122126130134138142146150154158162166170174178182186190194198202206210214[Jour],$B31,Horodateur112335381922313437434649525558616469852226343846505854626670747882909894102106114118110122126130134138142146150154158162166170174178182186190194198202206210214[Durée (100)])</f>
        <v>8</v>
      </c>
      <c r="K31" s="335"/>
      <c r="L31" s="188" t="s">
        <v>31</v>
      </c>
      <c r="M31" s="272" t="n">
        <f aca="false">IF(Horodateur112335381922313437434649525558616469852226343846505854626670747882909894102106114118110122126130134138142146150154158162166170174178182186190194198202206210214[[#This Row],[O]]="o",Horodateur112335381922313437434649525558616469852226343846505854626670747882909894102106114118110122126130134138142146150154158162166170174178182186190194198202206210214[[#This Row],[Durée (100)]],".")</f>
        <v>4</v>
      </c>
      <c r="N31" s="187"/>
      <c r="O31" s="71"/>
      <c r="P31" s="71"/>
      <c r="Q31" s="71"/>
      <c r="R31" s="71"/>
      <c r="S31" s="71"/>
      <c r="T31" s="71"/>
      <c r="U31" s="71"/>
      <c r="V31" s="71"/>
      <c r="W31" s="71"/>
      <c r="X31" s="71"/>
      <c r="Y31" s="71"/>
      <c r="Z31" s="71"/>
      <c r="AA31" s="71"/>
      <c r="AB31" s="71"/>
      <c r="AC31" s="71"/>
      <c r="AD31" s="71"/>
      <c r="AE31" s="71"/>
      <c r="AF31" s="71"/>
      <c r="AG31" s="71"/>
    </row>
    <row r="32" customFormat="false" ht="15" hidden="false" customHeight="false" outlineLevel="0" collapsed="false">
      <c r="A32" s="137"/>
      <c r="B32" s="187"/>
      <c r="C32" s="71"/>
      <c r="D32" s="1"/>
      <c r="E32" s="1"/>
      <c r="F32" s="71"/>
      <c r="G32" s="340"/>
      <c r="H32" s="1"/>
      <c r="I32" s="119"/>
      <c r="J32" s="271"/>
      <c r="K32" s="1"/>
      <c r="L32" s="188"/>
      <c r="M32" s="272"/>
      <c r="N32" s="187"/>
      <c r="O32" s="71"/>
      <c r="P32" s="71"/>
      <c r="Q32" s="71"/>
      <c r="R32" s="71"/>
      <c r="S32" s="71"/>
      <c r="T32" s="71"/>
      <c r="U32" s="71"/>
      <c r="V32" s="71"/>
      <c r="W32" s="71"/>
      <c r="X32" s="71"/>
      <c r="Y32" s="71"/>
      <c r="Z32" s="71"/>
      <c r="AA32" s="71"/>
      <c r="AB32" s="71"/>
      <c r="AC32" s="71"/>
      <c r="AD32" s="71"/>
      <c r="AE32" s="71"/>
      <c r="AF32" s="71"/>
      <c r="AG32" s="71"/>
    </row>
    <row r="33" customFormat="false" ht="15" hidden="false" customHeight="false" outlineLevel="0" collapsed="false">
      <c r="A33" s="137"/>
      <c r="B33" s="187"/>
      <c r="C33" s="71"/>
      <c r="D33" s="1"/>
      <c r="E33" s="1"/>
      <c r="F33" s="71"/>
      <c r="G33" s="1"/>
      <c r="H33" s="1"/>
      <c r="I33" s="119"/>
      <c r="J33" s="271"/>
      <c r="K33" s="1"/>
      <c r="L33" s="188"/>
      <c r="M33" s="272"/>
      <c r="N33" s="187"/>
      <c r="O33" s="71"/>
      <c r="P33" s="71"/>
      <c r="Q33" s="71"/>
      <c r="R33" s="71"/>
      <c r="S33" s="71"/>
      <c r="T33" s="71"/>
      <c r="U33" s="71"/>
      <c r="V33" s="71"/>
      <c r="W33" s="71"/>
      <c r="X33" s="71"/>
      <c r="Y33" s="71"/>
      <c r="Z33" s="71"/>
      <c r="AA33" s="71"/>
      <c r="AB33" s="71"/>
      <c r="AC33" s="71"/>
      <c r="AD33" s="71"/>
      <c r="AE33" s="71"/>
      <c r="AF33" s="71"/>
      <c r="AG33" s="71"/>
    </row>
    <row r="34" customFormat="false" ht="15" hidden="false" customHeight="false" outlineLevel="0" collapsed="false">
      <c r="A34" s="137"/>
      <c r="B34" s="187"/>
      <c r="C34" s="71"/>
      <c r="D34" s="1"/>
      <c r="E34" s="1"/>
      <c r="F34" s="71"/>
      <c r="G34" s="1"/>
      <c r="H34" s="1"/>
      <c r="I34" s="119"/>
      <c r="J34" s="271"/>
      <c r="K34" s="1"/>
      <c r="L34" s="188"/>
      <c r="N34" s="187"/>
      <c r="O34" s="71"/>
      <c r="P34" s="71"/>
      <c r="Q34" s="71"/>
      <c r="R34" s="71"/>
      <c r="S34" s="71"/>
      <c r="T34" s="71"/>
      <c r="U34" s="71"/>
      <c r="V34" s="71"/>
      <c r="W34" s="71"/>
      <c r="X34" s="71"/>
      <c r="Y34" s="71"/>
      <c r="Z34" s="71"/>
      <c r="AA34" s="71"/>
      <c r="AB34" s="71"/>
      <c r="AC34" s="71"/>
      <c r="AD34" s="71"/>
      <c r="AE34" s="71"/>
      <c r="AF34" s="71"/>
      <c r="AG34" s="71"/>
    </row>
    <row r="35" customFormat="false" ht="15" hidden="false" customHeight="false" outlineLevel="0" collapsed="false">
      <c r="A35" s="274" t="s">
        <v>377</v>
      </c>
      <c r="B35" s="275" t="str">
        <f aca="false">SUM($A$81:$A$511) &amp; " heures"</f>
        <v>26.75 heures</v>
      </c>
      <c r="C35" s="276" t="str">
        <f aca="false">SUM($A$81:$A$502) / 8 &amp; " Jours"</f>
        <v>3.34375 Jours</v>
      </c>
      <c r="D35" s="277"/>
      <c r="E35" s="277" t="n">
        <v>33.25</v>
      </c>
      <c r="F35" s="278" t="n">
        <f aca="false">E35/8</f>
        <v>4.15625</v>
      </c>
      <c r="G35" s="277"/>
      <c r="H35" s="277"/>
      <c r="I35" s="279"/>
      <c r="J35" s="280"/>
      <c r="K35" s="277"/>
      <c r="L35" s="281"/>
      <c r="M35" s="282"/>
      <c r="N35" s="283"/>
      <c r="O35" s="277"/>
      <c r="P35" s="277"/>
      <c r="Q35" s="277"/>
      <c r="R35" s="277"/>
      <c r="S35" s="277"/>
      <c r="T35" s="277"/>
      <c r="U35" s="278"/>
      <c r="V35" s="278"/>
      <c r="W35" s="278"/>
      <c r="X35" s="278"/>
      <c r="Y35" s="278"/>
      <c r="Z35" s="278"/>
      <c r="AA35" s="278"/>
      <c r="AB35" s="278"/>
      <c r="AC35" s="278"/>
      <c r="AD35" s="278"/>
      <c r="AE35" s="278"/>
      <c r="AF35" s="278"/>
      <c r="AG35" s="278"/>
    </row>
    <row r="36" customFormat="false" ht="15" hidden="false" customHeight="false" outlineLevel="0" collapsed="false">
      <c r="A36" s="137"/>
      <c r="B36" s="187"/>
      <c r="C36" s="71"/>
      <c r="D36" s="1"/>
      <c r="E36" s="1"/>
      <c r="F36" s="71"/>
      <c r="G36" s="1"/>
      <c r="H36" s="1"/>
      <c r="I36" s="119"/>
      <c r="J36" s="271"/>
      <c r="K36" s="1"/>
      <c r="L36" s="188"/>
      <c r="M36" s="272"/>
      <c r="N36" s="187"/>
      <c r="O36" s="1"/>
      <c r="P36" s="1"/>
      <c r="Q36" s="1"/>
      <c r="R36" s="1"/>
      <c r="S36" s="1"/>
      <c r="T36" s="1"/>
      <c r="U36" s="71"/>
      <c r="V36" s="71"/>
      <c r="W36" s="71"/>
      <c r="X36" s="71"/>
      <c r="Y36" s="71"/>
      <c r="Z36" s="71"/>
      <c r="AA36" s="71"/>
      <c r="AB36" s="71"/>
      <c r="AC36" s="71"/>
      <c r="AD36" s="71"/>
      <c r="AE36" s="71"/>
      <c r="AF36" s="71"/>
      <c r="AG36" s="71"/>
    </row>
    <row r="37" customFormat="false" ht="15" hidden="true" customHeight="false" outlineLevel="1" collapsed="false">
      <c r="A37" s="137"/>
      <c r="B37" s="137"/>
      <c r="C37" s="137"/>
      <c r="D37" s="137"/>
      <c r="E37" s="1"/>
      <c r="F37" s="71"/>
      <c r="G37" s="1"/>
      <c r="H37" s="1"/>
      <c r="I37" s="119"/>
      <c r="J37" s="271"/>
      <c r="K37" s="1"/>
      <c r="L37" s="188"/>
      <c r="M37" s="272"/>
      <c r="N37" s="187"/>
      <c r="O37" s="1"/>
      <c r="P37" s="1"/>
      <c r="Q37" s="1"/>
      <c r="R37" s="1"/>
      <c r="S37" s="1"/>
      <c r="T37" s="1"/>
      <c r="U37" s="71"/>
      <c r="V37" s="71"/>
      <c r="W37" s="71"/>
      <c r="X37" s="71"/>
      <c r="Y37" s="71"/>
      <c r="Z37" s="71"/>
      <c r="AA37" s="71"/>
      <c r="AB37" s="71"/>
      <c r="AC37" s="71"/>
      <c r="AD37" s="71"/>
      <c r="AE37" s="71"/>
      <c r="AF37" s="71"/>
      <c r="AG37" s="71"/>
    </row>
    <row r="38" customFormat="false" ht="15" hidden="true" customHeight="false" outlineLevel="1" collapsed="false">
      <c r="A38" s="284" t="s">
        <v>84</v>
      </c>
      <c r="B38" s="285" t="s">
        <v>21</v>
      </c>
      <c r="C38" s="285" t="s">
        <v>20</v>
      </c>
      <c r="D38" s="285" t="s">
        <v>23</v>
      </c>
      <c r="E38" s="285" t="s">
        <v>25</v>
      </c>
      <c r="F38" s="285" t="s">
        <v>26</v>
      </c>
      <c r="G38" s="285" t="s">
        <v>378</v>
      </c>
      <c r="H38" s="285" t="s">
        <v>379</v>
      </c>
      <c r="I38" s="285" t="s">
        <v>380</v>
      </c>
      <c r="J38" s="286" t="s">
        <v>58</v>
      </c>
      <c r="K38" s="287"/>
      <c r="L38" s="288"/>
      <c r="M38" s="289"/>
      <c r="N38" s="187"/>
      <c r="O38" s="1"/>
      <c r="P38" s="1"/>
      <c r="Q38" s="1"/>
      <c r="R38" s="1"/>
      <c r="S38" s="1"/>
      <c r="T38" s="71"/>
      <c r="U38" s="71"/>
      <c r="V38" s="71"/>
      <c r="W38" s="71"/>
      <c r="X38" s="71"/>
      <c r="Y38" s="71"/>
      <c r="Z38" s="71"/>
      <c r="AA38" s="71"/>
      <c r="AB38" s="71"/>
      <c r="AC38" s="71"/>
      <c r="AD38" s="71"/>
      <c r="AE38" s="71"/>
      <c r="AF38" s="71"/>
    </row>
    <row r="39" customFormat="false" ht="15" hidden="true" customHeight="false" outlineLevel="1" collapsed="false">
      <c r="A39" s="187" t="s">
        <v>312</v>
      </c>
      <c r="B39" s="71" t="n">
        <f aca="false">SUMIFS(Horodateur112335381922313437434649525558616469852226343846505854626670747882909894102106114118110122126130134138142146150154158162166170174178182186190194198202206210214[Durée (100)],Horodateur112335381922313437434649525558616469852226343846505854626670747882909894102106114118110122126130134138142146150154158162166170174178182186190194198202206210214[Tâche],Taches_Jours122436391720293235414447505356596267832024323644485652606468727680889692100104112116108120124128132136140144148152156160164168172176180184188192196200204208212[[#Headers],[GB]],Horodateur112335381922313437434649525558616469852226343846505854626670747882909894102106114118110122126130134138142146150154158162166170174178182186190194198202206210214[Jour],Taches_Jours122436391720293235414447505356596267832024323644485652606468727680889692100104112116108120124128132136140144148152156160164168172176180184188192196200204208212[[#This Row],[Jours]])</f>
        <v>1.25</v>
      </c>
      <c r="C39" s="71" t="n">
        <f aca="false">SUMIFS(Horodateur112335381922313437434649525558616469852226343846505854626670747882909894102106114118110122126130134138142146150154158162166170174178182186190194198202206210214[Durée (100)],Horodateur112335381922313437434649525558616469852226343846505854626670747882909894102106114118110122126130134138142146150154158162166170174178182186190194198202206210214[Tâche],Taches_Jours122436391720293235414447505356596267832024323644485652606468727680889692100104112116108120124128132136140144148152156160164168172176180184188192196200204208212[[#Headers],[RI]],Horodateur112335381922313437434649525558616469852226343846505854626670747882909894102106114118110122126130134138142146150154158162166170174178182186190194198202206210214[Jour],Taches_Jours122436391720293235414447505356596267832024323644485652606468727680889692100104112116108120124128132136140144148152156160164168172176180184188192196200204208212[[#This Row],[Jours]])</f>
        <v>0.500000000000001</v>
      </c>
      <c r="D39" s="71" t="n">
        <f aca="false">SUMIFS(Horodateur112335381922313437434649525558616469852226343846505854626670747882909894102106114118110122126130134138142146150154158162166170174178182186190194198202206210214[Durée (100)],Horodateur112335381922313437434649525558616469852226343846505854626670747882909894102106114118110122126130134138142146150154158162166170174178182186190194198202206210214[Tâche],Taches_Jours122436391720293235414447505356596267832024323644485652606468727680889692100104112116108120124128132136140144148152156160164168172176180184188192196200204208212[[#Headers],[FG]],Horodateur112335381922313437434649525558616469852226343846505854626670747882909894102106114118110122126130134138142146150154158162166170174178182186190194198202206210214[Jour],Taches_Jours122436391720293235414447505356596267832024323644485652606468727680889692100104112116108120124128132136140144148152156160164168172176180184188192196200204208212[[#This Row],[Jours]])</f>
        <v>0</v>
      </c>
      <c r="E39" s="71" t="n">
        <f aca="false">SUMIFS(Horodateur112335381922313437434649525558616469852226343846505854626670747882909894102106114118110122126130134138142146150154158162166170174178182186190194198202206210214[Durée (100)],Horodateur112335381922313437434649525558616469852226343846505854626670747882909894102106114118110122126130134138142146150154158162166170174178182186190194198202206210214[Tâche],Taches_Jours122436391720293235414447505356596267832024323644485652606468727680889692100104112116108120124128132136140144148152156160164168172176180184188192196200204208212[[#Headers],[PS]],Horodateur112335381922313437434649525558616469852226343846505854626670747882909894102106114118110122126130134138142146150154158162166170174178182186190194198202206210214[Jour],Taches_Jours122436391720293235414447505356596267832024323644485652606468727680889692100104112116108120124128132136140144148152156160164168172176180184188192196200204208212[[#This Row],[Jours]])</f>
        <v>0</v>
      </c>
      <c r="F39" s="71" t="n">
        <f aca="false">SUMIFS(Horodateur112335381922313437434649525558616469852226343846505854626670747882909894102106114118110122126130134138142146150154158162166170174178182186190194198202206210214[Durée (100)],Horodateur112335381922313437434649525558616469852226343846505854626670747882909894102106114118110122126130134138142146150154158162166170174178182186190194198202206210214[Tâche],Taches_Jours122436391720293235414447505356596267832024323644485652606468727680889692100104112116108120124128132136140144148152156160164168172176180184188192196200204208212[[#Headers],[TD]],Horodateur112335381922313437434649525558616469852226343846505854626670747882909894102106114118110122126130134138142146150154158162166170174178182186190194198202206210214[Jour],Taches_Jours122436391720293235414447505356596267832024323644485652606468727680889692100104112116108120124128132136140144148152156160164168172176180184188192196200204208212[[#This Row],[Jours]])</f>
        <v>0</v>
      </c>
      <c r="G39" s="71" t="n">
        <f aca="false">SUMIFS(Horodateur112335381922313437434649525558616469852226343846505854626670747882909894102106114118110122126130134138142146150154158162166170174178182186190194198202206210214[Durée (100)],Horodateur112335381922313437434649525558616469852226343846505854626670747882909894102106114118110122126130134138142146150154158162166170174178182186190194198202206210214[Tâche],Taches_Jours122436391720293235414447505356596267832024323644485652606468727680889692100104112116108120124128132136140144148152156160164168172176180184188192196200204208212[[#Headers],[GP]],Horodateur112335381922313437434649525558616469852226343846505854626670747882909894102106114118110122126130134138142146150154158162166170174178182186190194198202206210214[Jour],Taches_Jours122436391720293235414447505356596267832024323644485652606468727680889692100104112116108120124128132136140144148152156160164168172176180184188192196200204208212[[#This Row],[Jours]])</f>
        <v>1.25</v>
      </c>
      <c r="H39" s="71" t="n">
        <f aca="false">SUMIFS(Horodateur112335381922313437434649525558616469852226343846505854626670747882909894102106114118110122126130134138142146150154158162166170174178182186190194198202206210214[Durée (100)],Horodateur112335381922313437434649525558616469852226343846505854626670747882909894102106114118110122126130134138142146150154158162166170174178182186190194198202206210214[Tâche],Taches_Jours122436391720293235414447505356596267832024323644485652606468727680889692100104112116108120124128132136140144148152156160164168172176180184188192196200204208212[[#Headers],[GP / SP]],Horodateur112335381922313437434649525558616469852226343846505854626670747882909894102106114118110122126130134138142146150154158162166170174178182186190194198202206210214[Jour],Taches_Jours122436391720293235414447505356596267832024323644485652606468727680889692100104112116108120124128132136140144148152156160164168172176180184188192196200204208212[[#This Row],[Jours]])</f>
        <v>0.500000000000001</v>
      </c>
      <c r="I39" s="71" t="n">
        <f aca="false">SUMIFS(Horodateur112335381922313437434649525558616469852226343846505854626670747882909894102106114118110122126130134138142146150154158162166170174178182186190194198202206210214[Durée (100)],Horodateur112335381922313437434649525558616469852226343846505854626670747882909894102106114118110122126130134138142146150154158162166170174178182186190194198202206210214[Tâche],Taches_Jours122436391720293235414447505356596267832024323644485652606468727680889692100104112116108120124128132136140144148152156160164168172176180184188192196200204208212[[#Headers],[GP / SP]],Horodateur112335381922313437434649525558616469852226343846505854626670747882909894102106114118110122126130134138142146150154158162166170174178182186190194198202206210214[Jour],Taches_Jours122436391720293235414447505356596267832024323644485652606468727680889692100104112116108120124128132136140144148152156160164168172176180184188192196200204208212[[#This Row],[Jours]])</f>
        <v>0.500000000000001</v>
      </c>
      <c r="J39" s="290" t="n">
        <f aca="false">SUM(Taches_Jours122436391720293235414447505356596267832024323644485652606468727680889692100104112116108120124128132136140144148152156160164168172176180184188192196200204208212[[#This Row],[GB]:[GP / SP]])</f>
        <v>3.5</v>
      </c>
      <c r="K39" s="188"/>
      <c r="L39" s="288"/>
      <c r="M39" s="289"/>
      <c r="N39" s="187"/>
      <c r="O39" s="1"/>
      <c r="P39" s="1"/>
      <c r="Q39" s="1"/>
      <c r="R39" s="1"/>
      <c r="S39" s="1"/>
      <c r="T39" s="71"/>
      <c r="U39" s="71"/>
      <c r="V39" s="71"/>
      <c r="W39" s="71"/>
      <c r="X39" s="71"/>
      <c r="Y39" s="71"/>
      <c r="Z39" s="71"/>
      <c r="AA39" s="71"/>
      <c r="AB39" s="71"/>
      <c r="AC39" s="71"/>
      <c r="AD39" s="71"/>
      <c r="AE39" s="71"/>
      <c r="AF39" s="71"/>
    </row>
    <row r="40" customFormat="false" ht="15" hidden="true" customHeight="false" outlineLevel="1" collapsed="false">
      <c r="A40" s="187" t="s">
        <v>319</v>
      </c>
      <c r="B40" s="71" t="n">
        <f aca="false">SUMIFS(Horodateur112335381922313437434649525558616469852226343846505854626670747882909894102106114118110122126130134138142146150154158162166170174178182186190194198202206210214[Durée (100)],Horodateur112335381922313437434649525558616469852226343846505854626670747882909894102106114118110122126130134138142146150154158162166170174178182186190194198202206210214[Tâche],Taches_Jours122436391720293235414447505356596267832024323644485652606468727680889692100104112116108120124128132136140144148152156160164168172176180184188192196200204208212[[#Headers],[GB]],Horodateur112335381922313437434649525558616469852226343846505854626670747882909894102106114118110122126130134138142146150154158162166170174178182186190194198202206210214[Jour],Taches_Jours122436391720293235414447505356596267832024323644485652606468727680889692100104112116108120124128132136140144148152156160164168172176180184188192196200204208212[[#This Row],[Jours]])</f>
        <v>2</v>
      </c>
      <c r="C40" s="71" t="n">
        <f aca="false">SUMIFS(Horodateur112335381922313437434649525558616469852226343846505854626670747882909894102106114118110122126130134138142146150154158162166170174178182186190194198202206210214[Durée (100)],Horodateur112335381922313437434649525558616469852226343846505854626670747882909894102106114118110122126130134138142146150154158162166170174178182186190194198202206210214[Tâche],Taches_Jours122436391720293235414447505356596267832024323644485652606468727680889692100104112116108120124128132136140144148152156160164168172176180184188192196200204208212[[#Headers],[RI]],Horodateur112335381922313437434649525558616469852226343846505854626670747882909894102106114118110122126130134138142146150154158162166170174178182186190194198202206210214[Jour],Taches_Jours122436391720293235414447505356596267832024323644485652606468727680889692100104112116108120124128132136140144148152156160164168172176180184188192196200204208212[[#This Row],[Jours]])</f>
        <v>0</v>
      </c>
      <c r="D40" s="71" t="n">
        <f aca="false">SUMIFS(Horodateur112335381922313437434649525558616469852226343846505854626670747882909894102106114118110122126130134138142146150154158162166170174178182186190194198202206210214[Durée (100)],Horodateur112335381922313437434649525558616469852226343846505854626670747882909894102106114118110122126130134138142146150154158162166170174178182186190194198202206210214[Tâche],Taches_Jours122436391720293235414447505356596267832024323644485652606468727680889692100104112116108120124128132136140144148152156160164168172176180184188192196200204208212[[#Headers],[FG]],Horodateur112335381922313437434649525558616469852226343846505854626670747882909894102106114118110122126130134138142146150154158162166170174178182186190194198202206210214[Jour],Taches_Jours122436391720293235414447505356596267832024323644485652606468727680889692100104112116108120124128132136140144148152156160164168172176180184188192196200204208212[[#This Row],[Jours]])</f>
        <v>0</v>
      </c>
      <c r="E40" s="71" t="n">
        <f aca="false">SUMIFS(Horodateur112335381922313437434649525558616469852226343846505854626670747882909894102106114118110122126130134138142146150154158162166170174178182186190194198202206210214[Durée (100)],Horodateur112335381922313437434649525558616469852226343846505854626670747882909894102106114118110122126130134138142146150154158162166170174178182186190194198202206210214[Tâche],Taches_Jours122436391720293235414447505356596267832024323644485652606468727680889692100104112116108120124128132136140144148152156160164168172176180184188192196200204208212[[#Headers],[PS]],Horodateur112335381922313437434649525558616469852226343846505854626670747882909894102106114118110122126130134138142146150154158162166170174178182186190194198202206210214[Jour],Taches_Jours122436391720293235414447505356596267832024323644485652606468727680889692100104112116108120124128132136140144148152156160164168172176180184188192196200204208212[[#This Row],[Jours]])</f>
        <v>0</v>
      </c>
      <c r="F40" s="71" t="n">
        <f aca="false">SUMIFS(Horodateur112335381922313437434649525558616469852226343846505854626670747882909894102106114118110122126130134138142146150154158162166170174178182186190194198202206210214[Durée (100)],Horodateur112335381922313437434649525558616469852226343846505854626670747882909894102106114118110122126130134138142146150154158162166170174178182186190194198202206210214[Tâche],Taches_Jours122436391720293235414447505356596267832024323644485652606468727680889692100104112116108120124128132136140144148152156160164168172176180184188192196200204208212[[#Headers],[TD]],Horodateur112335381922313437434649525558616469852226343846505854626670747882909894102106114118110122126130134138142146150154158162166170174178182186190194198202206210214[Jour],Taches_Jours122436391720293235414447505356596267832024323644485652606468727680889692100104112116108120124128132136140144148152156160164168172176180184188192196200204208212[[#This Row],[Jours]])</f>
        <v>0</v>
      </c>
      <c r="G40" s="71" t="n">
        <f aca="false">SUMIFS(Horodateur112335381922313437434649525558616469852226343846505854626670747882909894102106114118110122126130134138142146150154158162166170174178182186190194198202206210214[Durée (100)],Horodateur112335381922313437434649525558616469852226343846505854626670747882909894102106114118110122126130134138142146150154158162166170174178182186190194198202206210214[Tâche],Taches_Jours122436391720293235414447505356596267832024323644485652606468727680889692100104112116108120124128132136140144148152156160164168172176180184188192196200204208212[[#Headers],[GP]],Horodateur112335381922313437434649525558616469852226343846505854626670747882909894102106114118110122126130134138142146150154158162166170174178182186190194198202206210214[Jour],Taches_Jours122436391720293235414447505356596267832024323644485652606468727680889692100104112116108120124128132136140144148152156160164168172176180184188192196200204208212[[#This Row],[Jours]])</f>
        <v>3.25</v>
      </c>
      <c r="H40" s="71" t="n">
        <f aca="false">SUMIFS(Horodateur112335381922313437434649525558616469852226343846505854626670747882909894102106114118110122126130134138142146150154158162166170174178182186190194198202206210214[Durée (100)],Horodateur112335381922313437434649525558616469852226343846505854626670747882909894102106114118110122126130134138142146150154158162166170174178182186190194198202206210214[Tâche],Taches_Jours122436391720293235414447505356596267832024323644485652606468727680889692100104112116108120124128132136140144148152156160164168172176180184188192196200204208212[[#Headers],[GP / SP]],Horodateur112335381922313437434649525558616469852226343846505854626670747882909894102106114118110122126130134138142146150154158162166170174178182186190194198202206210214[Jour],Taches_Jours122436391720293235414447505356596267832024323644485652606468727680889692100104112116108120124128132136140144148152156160164168172176180184188192196200204208212[[#This Row],[Jours]])</f>
        <v>0.249999999999999</v>
      </c>
      <c r="I40" s="71" t="n">
        <f aca="false">SUMIFS(Horodateur112335381922313437434649525558616469852226343846505854626670747882909894102106114118110122126130134138142146150154158162166170174178182186190194198202206210214[Durée (100)],Horodateur112335381922313437434649525558616469852226343846505854626670747882909894102106114118110122126130134138142146150154158162166170174178182186190194198202206210214[Tâche],Taches_Jours122436391720293235414447505356596267832024323644485652606468727680889692100104112116108120124128132136140144148152156160164168172176180184188192196200204208212[[#Headers],[GP / SP]],Horodateur112335381922313437434649525558616469852226343846505854626670747882909894102106114118110122126130134138142146150154158162166170174178182186190194198202206210214[Jour],Taches_Jours122436391720293235414447505356596267832024323644485652606468727680889692100104112116108120124128132136140144148152156160164168172176180184188192196200204208212[[#This Row],[Jours]])</f>
        <v>0.249999999999999</v>
      </c>
      <c r="J40" s="290" t="n">
        <f aca="false">SUM(Taches_Jours122436391720293235414447505356596267832024323644485652606468727680889692100104112116108120124128132136140144148152156160164168172176180184188192196200204208212[[#This Row],[GB]:[GP / SP]])</f>
        <v>5.5</v>
      </c>
      <c r="K40" s="188"/>
      <c r="L40" s="288"/>
      <c r="M40" s="289"/>
      <c r="N40" s="187"/>
      <c r="O40" s="1"/>
      <c r="P40" s="1"/>
      <c r="Q40" s="1"/>
      <c r="R40" s="1"/>
      <c r="S40" s="1"/>
      <c r="T40" s="71"/>
      <c r="U40" s="71"/>
      <c r="V40" s="71"/>
      <c r="W40" s="71"/>
      <c r="X40" s="71"/>
      <c r="Y40" s="71"/>
      <c r="Z40" s="71"/>
      <c r="AA40" s="71"/>
      <c r="AB40" s="71"/>
      <c r="AC40" s="71"/>
      <c r="AD40" s="71"/>
      <c r="AE40" s="71"/>
      <c r="AF40" s="71"/>
    </row>
    <row r="41" customFormat="false" ht="15" hidden="true" customHeight="false" outlineLevel="1" collapsed="false">
      <c r="A41" s="187" t="s">
        <v>324</v>
      </c>
      <c r="B41" s="71" t="n">
        <f aca="false">SUMIFS(Horodateur112335381922313437434649525558616469852226343846505854626670747882909894102106114118110122126130134138142146150154158162166170174178182186190194198202206210214[Durée (100)],Horodateur112335381922313437434649525558616469852226343846505854626670747882909894102106114118110122126130134138142146150154158162166170174178182186190194198202206210214[Tâche],Taches_Jours122436391720293235414447505356596267832024323644485652606468727680889692100104112116108120124128132136140144148152156160164168172176180184188192196200204208212[[#Headers],[GB]],Horodateur112335381922313437434649525558616469852226343846505854626670747882909894102106114118110122126130134138142146150154158162166170174178182186190194198202206210214[Jour],Taches_Jours122436391720293235414447505356596267832024323644485652606468727680889692100104112116108120124128132136140144148152156160164168172176180184188192196200204208212[[#This Row],[Jours]])</f>
        <v>0</v>
      </c>
      <c r="C41" s="71" t="n">
        <f aca="false">SUMIFS(Horodateur112335381922313437434649525558616469852226343846505854626670747882909894102106114118110122126130134138142146150154158162166170174178182186190194198202206210214[Durée (100)],Horodateur112335381922313437434649525558616469852226343846505854626670747882909894102106114118110122126130134138142146150154158162166170174178182186190194198202206210214[Tâche],Taches_Jours122436391720293235414447505356596267832024323644485652606468727680889692100104112116108120124128132136140144148152156160164168172176180184188192196200204208212[[#Headers],[RI]],Horodateur112335381922313437434649525558616469852226343846505854626670747882909894102106114118110122126130134138142146150154158162166170174178182186190194198202206210214[Jour],Taches_Jours122436391720293235414447505356596267832024323644485652606468727680889692100104112116108120124128132136140144148152156160164168172176180184188192196200204208212[[#This Row],[Jours]])</f>
        <v>0</v>
      </c>
      <c r="D41" s="71" t="n">
        <f aca="false">SUMIFS(Horodateur112335381922313437434649525558616469852226343846505854626670747882909894102106114118110122126130134138142146150154158162166170174178182186190194198202206210214[Durée (100)],Horodateur112335381922313437434649525558616469852226343846505854626670747882909894102106114118110122126130134138142146150154158162166170174178182186190194198202206210214[Tâche],Taches_Jours122436391720293235414447505356596267832024323644485652606468727680889692100104112116108120124128132136140144148152156160164168172176180184188192196200204208212[[#Headers],[FG]],Horodateur112335381922313437434649525558616469852226343846505854626670747882909894102106114118110122126130134138142146150154158162166170174178182186190194198202206210214[Jour],Taches_Jours122436391720293235414447505356596267832024323644485652606468727680889692100104112116108120124128132136140144148152156160164168172176180184188192196200204208212[[#This Row],[Jours]])</f>
        <v>0</v>
      </c>
      <c r="E41" s="71" t="n">
        <f aca="false">SUMIFS(Horodateur112335381922313437434649525558616469852226343846505854626670747882909894102106114118110122126130134138142146150154158162166170174178182186190194198202206210214[Durée (100)],Horodateur112335381922313437434649525558616469852226343846505854626670747882909894102106114118110122126130134138142146150154158162166170174178182186190194198202206210214[Tâche],Taches_Jours122436391720293235414447505356596267832024323644485652606468727680889692100104112116108120124128132136140144148152156160164168172176180184188192196200204208212[[#Headers],[PS]],Horodateur112335381922313437434649525558616469852226343846505854626670747882909894102106114118110122126130134138142146150154158162166170174178182186190194198202206210214[Jour],Taches_Jours122436391720293235414447505356596267832024323644485652606468727680889692100104112116108120124128132136140144148152156160164168172176180184188192196200204208212[[#This Row],[Jours]])</f>
        <v>0</v>
      </c>
      <c r="F41" s="71" t="n">
        <f aca="false">SUMIFS(Horodateur112335381922313437434649525558616469852226343846505854626670747882909894102106114118110122126130134138142146150154158162166170174178182186190194198202206210214[Durée (100)],Horodateur112335381922313437434649525558616469852226343846505854626670747882909894102106114118110122126130134138142146150154158162166170174178182186190194198202206210214[Tâche],Taches_Jours122436391720293235414447505356596267832024323644485652606468727680889692100104112116108120124128132136140144148152156160164168172176180184188192196200204208212[[#Headers],[TD]],Horodateur112335381922313437434649525558616469852226343846505854626670747882909894102106114118110122126130134138142146150154158162166170174178182186190194198202206210214[Jour],Taches_Jours122436391720293235414447505356596267832024323644485652606468727680889692100104112116108120124128132136140144148152156160164168172176180184188192196200204208212[[#This Row],[Jours]])</f>
        <v>0</v>
      </c>
      <c r="G41" s="71" t="n">
        <f aca="false">SUMIFS(Horodateur112335381922313437434649525558616469852226343846505854626670747882909894102106114118110122126130134138142146150154158162166170174178182186190194198202206210214[Durée (100)],Horodateur112335381922313437434649525558616469852226343846505854626670747882909894102106114118110122126130134138142146150154158162166170174178182186190194198202206210214[Tâche],Taches_Jours122436391720293235414447505356596267832024323644485652606468727680889692100104112116108120124128132136140144148152156160164168172176180184188192196200204208212[[#Headers],[GP]],Horodateur112335381922313437434649525558616469852226343846505854626670747882909894102106114118110122126130134138142146150154158162166170174178182186190194198202206210214[Jour],Taches_Jours122436391720293235414447505356596267832024323644485652606468727680889692100104112116108120124128132136140144148152156160164168172176180184188192196200204208212[[#This Row],[Jours]])</f>
        <v>4.5</v>
      </c>
      <c r="H41" s="71" t="n">
        <f aca="false">SUMIFS(Horodateur112335381922313437434649525558616469852226343846505854626670747882909894102106114118110122126130134138142146150154158162166170174178182186190194198202206210214[Durée (100)],Horodateur112335381922313437434649525558616469852226343846505854626670747882909894102106114118110122126130134138142146150154158162166170174178182186190194198202206210214[Tâche],Taches_Jours122436391720293235414447505356596267832024323644485652606468727680889692100104112116108120124128132136140144148152156160164168172176180184188192196200204208212[[#Headers],[GP / SP]],Horodateur112335381922313437434649525558616469852226343846505854626670747882909894102106114118110122126130134138142146150154158162166170174178182186190194198202206210214[Jour],Taches_Jours122436391720293235414447505356596267832024323644485652606468727680889692100104112116108120124128132136140144148152156160164168172176180184188192196200204208212[[#This Row],[Jours]])</f>
        <v>0</v>
      </c>
      <c r="I41" s="71" t="n">
        <f aca="false">SUMIFS(Horodateur112335381922313437434649525558616469852226343846505854626670747882909894102106114118110122126130134138142146150154158162166170174178182186190194198202206210214[Durée (100)],Horodateur112335381922313437434649525558616469852226343846505854626670747882909894102106114118110122126130134138142146150154158162166170174178182186190194198202206210214[Tâche],Taches_Jours122436391720293235414447505356596267832024323644485652606468727680889692100104112116108120124128132136140144148152156160164168172176180184188192196200204208212[[#Headers],[GP / SP]],Horodateur112335381922313437434649525558616469852226343846505854626670747882909894102106114118110122126130134138142146150154158162166170174178182186190194198202206210214[Jour],Taches_Jours122436391720293235414447505356596267832024323644485652606468727680889692100104112116108120124128132136140144148152156160164168172176180184188192196200204208212[[#This Row],[Jours]])</f>
        <v>0</v>
      </c>
      <c r="J41" s="290" t="n">
        <f aca="false">SUM(Taches_Jours122436391720293235414447505356596267832024323644485652606468727680889692100104112116108120124128132136140144148152156160164168172176180184188192196200204208212[[#This Row],[GB]:[GP / SP]])</f>
        <v>4.5</v>
      </c>
      <c r="K41" s="188"/>
      <c r="L41" s="288"/>
      <c r="M41" s="289"/>
      <c r="N41" s="187"/>
      <c r="O41" s="1"/>
      <c r="P41" s="1"/>
      <c r="Q41" s="1"/>
      <c r="R41" s="1"/>
      <c r="S41" s="1"/>
      <c r="T41" s="71"/>
      <c r="U41" s="71"/>
      <c r="V41" s="71"/>
      <c r="W41" s="71"/>
      <c r="X41" s="71"/>
      <c r="Y41" s="71"/>
      <c r="Z41" s="71"/>
      <c r="AA41" s="71"/>
      <c r="AB41" s="71"/>
      <c r="AC41" s="71"/>
      <c r="AD41" s="71"/>
      <c r="AE41" s="71"/>
      <c r="AF41" s="71"/>
    </row>
    <row r="42" customFormat="false" ht="15" hidden="true" customHeight="false" outlineLevel="1" collapsed="false">
      <c r="A42" s="187" t="s">
        <v>332</v>
      </c>
      <c r="B42" s="71" t="n">
        <f aca="false">SUMIFS(Horodateur112335381922313437434649525558616469852226343846505854626670747882909894102106114118110122126130134138142146150154158162166170174178182186190194198202206210214[Durée (100)],Horodateur112335381922313437434649525558616469852226343846505854626670747882909894102106114118110122126130134138142146150154158162166170174178182186190194198202206210214[Tâche],Taches_Jours122436391720293235414447505356596267832024323644485652606468727680889692100104112116108120124128132136140144148152156160164168172176180184188192196200204208212[[#Headers],[GB]],Horodateur112335381922313437434649525558616469852226343846505854626670747882909894102106114118110122126130134138142146150154158162166170174178182186190194198202206210214[Jour],Taches_Jours122436391720293235414447505356596267832024323644485652606468727680889692100104112116108120124128132136140144148152156160164168172176180184188192196200204208212[[#This Row],[Jours]])</f>
        <v>0</v>
      </c>
      <c r="C42" s="71" t="n">
        <f aca="false">SUMIFS(Horodateur112335381922313437434649525558616469852226343846505854626670747882909894102106114118110122126130134138142146150154158162166170174178182186190194198202206210214[Durée (100)],Horodateur112335381922313437434649525558616469852226343846505854626670747882909894102106114118110122126130134138142146150154158162166170174178182186190194198202206210214[Tâche],Taches_Jours122436391720293235414447505356596267832024323644485652606468727680889692100104112116108120124128132136140144148152156160164168172176180184188192196200204208212[[#Headers],[RI]],Horodateur112335381922313437434649525558616469852226343846505854626670747882909894102106114118110122126130134138142146150154158162166170174178182186190194198202206210214[Jour],Taches_Jours122436391720293235414447505356596267832024323644485652606468727680889692100104112116108120124128132136140144148152156160164168172176180184188192196200204208212[[#This Row],[Jours]])</f>
        <v>0</v>
      </c>
      <c r="D42" s="71" t="n">
        <f aca="false">SUMIFS(Horodateur112335381922313437434649525558616469852226343846505854626670747882909894102106114118110122126130134138142146150154158162166170174178182186190194198202206210214[Durée (100)],Horodateur112335381922313437434649525558616469852226343846505854626670747882909894102106114118110122126130134138142146150154158162166170174178182186190194198202206210214[Tâche],Taches_Jours122436391720293235414447505356596267832024323644485652606468727680889692100104112116108120124128132136140144148152156160164168172176180184188192196200204208212[[#Headers],[FG]],Horodateur112335381922313437434649525558616469852226343846505854626670747882909894102106114118110122126130134138142146150154158162166170174178182186190194198202206210214[Jour],Taches_Jours122436391720293235414447505356596267832024323644485652606468727680889692100104112116108120124128132136140144148152156160164168172176180184188192196200204208212[[#This Row],[Jours]])</f>
        <v>0</v>
      </c>
      <c r="E42" s="71" t="n">
        <f aca="false">SUMIFS(Horodateur112335381922313437434649525558616469852226343846505854626670747882909894102106114118110122126130134138142146150154158162166170174178182186190194198202206210214[Durée (100)],Horodateur112335381922313437434649525558616469852226343846505854626670747882909894102106114118110122126130134138142146150154158162166170174178182186190194198202206210214[Tâche],Taches_Jours122436391720293235414447505356596267832024323644485652606468727680889692100104112116108120124128132136140144148152156160164168172176180184188192196200204208212[[#Headers],[PS]],Horodateur112335381922313437434649525558616469852226343846505854626670747882909894102106114118110122126130134138142146150154158162166170174178182186190194198202206210214[Jour],Taches_Jours122436391720293235414447505356596267832024323644485652606468727680889692100104112116108120124128132136140144148152156160164168172176180184188192196200204208212[[#This Row],[Jours]])</f>
        <v>0</v>
      </c>
      <c r="F42" s="71" t="n">
        <f aca="false">SUMIFS(Horodateur112335381922313437434649525558616469852226343846505854626670747882909894102106114118110122126130134138142146150154158162166170174178182186190194198202206210214[Durée (100)],Horodateur112335381922313437434649525558616469852226343846505854626670747882909894102106114118110122126130134138142146150154158162166170174178182186190194198202206210214[Tâche],Taches_Jours122436391720293235414447505356596267832024323644485652606468727680889692100104112116108120124128132136140144148152156160164168172176180184188192196200204208212[[#Headers],[TD]],Horodateur112335381922313437434649525558616469852226343846505854626670747882909894102106114118110122126130134138142146150154158162166170174178182186190194198202206210214[Jour],Taches_Jours122436391720293235414447505356596267832024323644485652606468727680889692100104112116108120124128132136140144148152156160164168172176180184188192196200204208212[[#This Row],[Jours]])</f>
        <v>0</v>
      </c>
      <c r="G42" s="71" t="n">
        <f aca="false">SUMIFS(Horodateur112335381922313437434649525558616469852226343846505854626670747882909894102106114118110122126130134138142146150154158162166170174178182186190194198202206210214[Durée (100)],Horodateur112335381922313437434649525558616469852226343846505854626670747882909894102106114118110122126130134138142146150154158162166170174178182186190194198202206210214[Tâche],Taches_Jours122436391720293235414447505356596267832024323644485652606468727680889692100104112116108120124128132136140144148152156160164168172176180184188192196200204208212[[#Headers],[GP]],Horodateur112335381922313437434649525558616469852226343846505854626670747882909894102106114118110122126130134138142146150154158162166170174178182186190194198202206210214[Jour],Taches_Jours122436391720293235414447505356596267832024323644485652606468727680889692100104112116108120124128132136140144148152156160164168172176180184188192196200204208212[[#This Row],[Jours]])</f>
        <v>2</v>
      </c>
      <c r="H42" s="71" t="n">
        <f aca="false">SUMIFS(Horodateur112335381922313437434649525558616469852226343846505854626670747882909894102106114118110122126130134138142146150154158162166170174178182186190194198202206210214[Durée (100)],Horodateur112335381922313437434649525558616469852226343846505854626670747882909894102106114118110122126130134138142146150154158162166170174178182186190194198202206210214[Tâche],Taches_Jours122436391720293235414447505356596267832024323644485652606468727680889692100104112116108120124128132136140144148152156160164168172176180184188192196200204208212[[#Headers],[GP / SP]],Horodateur112335381922313437434649525558616469852226343846505854626670747882909894102106114118110122126130134138142146150154158162166170174178182186190194198202206210214[Jour],Taches_Jours122436391720293235414447505356596267832024323644485652606468727680889692100104112116108120124128132136140144148152156160164168172176180184188192196200204208212[[#This Row],[Jours]])</f>
        <v>0</v>
      </c>
      <c r="I42" s="71" t="n">
        <f aca="false">SUMIFS(Horodateur112335381922313437434649525558616469852226343846505854626670747882909894102106114118110122126130134138142146150154158162166170174178182186190194198202206210214[Durée (100)],Horodateur112335381922313437434649525558616469852226343846505854626670747882909894102106114118110122126130134138142146150154158162166170174178182186190194198202206210214[Tâche],Taches_Jours122436391720293235414447505356596267832024323644485652606468727680889692100104112116108120124128132136140144148152156160164168172176180184188192196200204208212[[#Headers],[GP / SP]],Horodateur112335381922313437434649525558616469852226343846505854626670747882909894102106114118110122126130134138142146150154158162166170174178182186190194198202206210214[Jour],Taches_Jours122436391720293235414447505356596267832024323644485652606468727680889692100104112116108120124128132136140144148152156160164168172176180184188192196200204208212[[#This Row],[Jours]])</f>
        <v>0</v>
      </c>
      <c r="J42" s="290" t="n">
        <f aca="false">SUM(Taches_Jours122436391720293235414447505356596267832024323644485652606468727680889692100104112116108120124128132136140144148152156160164168172176180184188192196200204208212[[#This Row],[GB]:[GP / SP]])</f>
        <v>2</v>
      </c>
      <c r="K42" s="188"/>
      <c r="L42" s="288"/>
      <c r="M42" s="289"/>
      <c r="N42" s="187"/>
      <c r="O42" s="71"/>
      <c r="P42" s="71"/>
      <c r="Q42" s="71"/>
      <c r="R42" s="71"/>
      <c r="S42" s="71"/>
      <c r="T42" s="71"/>
      <c r="U42" s="71"/>
      <c r="V42" s="71"/>
      <c r="W42" s="71"/>
      <c r="X42" s="71"/>
      <c r="Y42" s="71"/>
      <c r="Z42" s="71"/>
      <c r="AA42" s="71"/>
      <c r="AB42" s="71"/>
      <c r="AC42" s="71"/>
      <c r="AD42" s="71"/>
      <c r="AE42" s="71"/>
      <c r="AF42" s="71"/>
    </row>
    <row r="43" customFormat="false" ht="15" hidden="true" customHeight="false" outlineLevel="1" collapsed="false">
      <c r="A43" s="187" t="s">
        <v>335</v>
      </c>
      <c r="B43" s="71" t="n">
        <f aca="false">SUMIFS(Horodateur112335381922313437434649525558616469852226343846505854626670747882909894102106114118110122126130134138142146150154158162166170174178182186190194198202206210214[Durée (100)],Horodateur112335381922313437434649525558616469852226343846505854626670747882909894102106114118110122126130134138142146150154158162166170174178182186190194198202206210214[Tâche],Taches_Jours122436391720293235414447505356596267832024323644485652606468727680889692100104112116108120124128132136140144148152156160164168172176180184188192196200204208212[[#Headers],[GB]],Horodateur112335381922313437434649525558616469852226343846505854626670747882909894102106114118110122126130134138142146150154158162166170174178182186190194198202206210214[Jour],Taches_Jours122436391720293235414447505356596267832024323644485652606468727680889692100104112116108120124128132136140144148152156160164168172176180184188192196200204208212[[#This Row],[Jours]])</f>
        <v>0</v>
      </c>
      <c r="C43" s="71" t="n">
        <f aca="false">SUMIFS(Horodateur112335381922313437434649525558616469852226343846505854626670747882909894102106114118110122126130134138142146150154158162166170174178182186190194198202206210214[Durée (100)],Horodateur112335381922313437434649525558616469852226343846505854626670747882909894102106114118110122126130134138142146150154158162166170174178182186190194198202206210214[Tâche],Taches_Jours122436391720293235414447505356596267832024323644485652606468727680889692100104112116108120124128132136140144148152156160164168172176180184188192196200204208212[[#Headers],[RI]],Horodateur112335381922313437434649525558616469852226343846505854626670747882909894102106114118110122126130134138142146150154158162166170174178182186190194198202206210214[Jour],Taches_Jours122436391720293235414447505356596267832024323644485652606468727680889692100104112116108120124128132136140144148152156160164168172176180184188192196200204208212[[#This Row],[Jours]])</f>
        <v>0</v>
      </c>
      <c r="D43" s="71" t="n">
        <f aca="false">SUMIFS(Horodateur112335381922313437434649525558616469852226343846505854626670747882909894102106114118110122126130134138142146150154158162166170174178182186190194198202206210214[Durée (100)],Horodateur112335381922313437434649525558616469852226343846505854626670747882909894102106114118110122126130134138142146150154158162166170174178182186190194198202206210214[Tâche],Taches_Jours122436391720293235414447505356596267832024323644485652606468727680889692100104112116108120124128132136140144148152156160164168172176180184188192196200204208212[[#Headers],[FG]],Horodateur112335381922313437434649525558616469852226343846505854626670747882909894102106114118110122126130134138142146150154158162166170174178182186190194198202206210214[Jour],Taches_Jours122436391720293235414447505356596267832024323644485652606468727680889692100104112116108120124128132136140144148152156160164168172176180184188192196200204208212[[#This Row],[Jours]])</f>
        <v>0</v>
      </c>
      <c r="E43" s="71" t="n">
        <f aca="false">SUMIFS(Horodateur112335381922313437434649525558616469852226343846505854626670747882909894102106114118110122126130134138142146150154158162166170174178182186190194198202206210214[Durée (100)],Horodateur112335381922313437434649525558616469852226343846505854626670747882909894102106114118110122126130134138142146150154158162166170174178182186190194198202206210214[Tâche],Taches_Jours122436391720293235414447505356596267832024323644485652606468727680889692100104112116108120124128132136140144148152156160164168172176180184188192196200204208212[[#Headers],[PS]],Horodateur112335381922313437434649525558616469852226343846505854626670747882909894102106114118110122126130134138142146150154158162166170174178182186190194198202206210214[Jour],Taches_Jours122436391720293235414447505356596267832024323644485652606468727680889692100104112116108120124128132136140144148152156160164168172176180184188192196200204208212[[#This Row],[Jours]])</f>
        <v>0</v>
      </c>
      <c r="F43" s="71" t="n">
        <f aca="false">SUMIFS(Horodateur112335381922313437434649525558616469852226343846505854626670747882909894102106114118110122126130134138142146150154158162166170174178182186190194198202206210214[Durée (100)],Horodateur112335381922313437434649525558616469852226343846505854626670747882909894102106114118110122126130134138142146150154158162166170174178182186190194198202206210214[Tâche],Taches_Jours122436391720293235414447505356596267832024323644485652606468727680889692100104112116108120124128132136140144148152156160164168172176180184188192196200204208212[[#Headers],[TD]],Horodateur112335381922313437434649525558616469852226343846505854626670747882909894102106114118110122126130134138142146150154158162166170174178182186190194198202206210214[Jour],Taches_Jours122436391720293235414447505356596267832024323644485652606468727680889692100104112116108120124128132136140144148152156160164168172176180184188192196200204208212[[#This Row],[Jours]])</f>
        <v>0</v>
      </c>
      <c r="G43" s="71" t="n">
        <f aca="false">SUMIFS(Horodateur112335381922313437434649525558616469852226343846505854626670747882909894102106114118110122126130134138142146150154158162166170174178182186190194198202206210214[Durée (100)],Horodateur112335381922313437434649525558616469852226343846505854626670747882909894102106114118110122126130134138142146150154158162166170174178182186190194198202206210214[Tâche],Taches_Jours122436391720293235414447505356596267832024323644485652606468727680889692100104112116108120124128132136140144148152156160164168172176180184188192196200204208212[[#Headers],[GP]],Horodateur112335381922313437434649525558616469852226343846505854626670747882909894102106114118110122126130134138142146150154158162166170174178182186190194198202206210214[Jour],Taches_Jours122436391720293235414447505356596267832024323644485652606468727680889692100104112116108120124128132136140144148152156160164168172176180184188192196200204208212[[#This Row],[Jours]])</f>
        <v>2.5</v>
      </c>
      <c r="H43" s="71" t="n">
        <f aca="false">SUMIFS(Horodateur112335381922313437434649525558616469852226343846505854626670747882909894102106114118110122126130134138142146150154158162166170174178182186190194198202206210214[Durée (100)],Horodateur112335381922313437434649525558616469852226343846505854626670747882909894102106114118110122126130134138142146150154158162166170174178182186190194198202206210214[Tâche],Taches_Jours122436391720293235414447505356596267832024323644485652606468727680889692100104112116108120124128132136140144148152156160164168172176180184188192196200204208212[[#Headers],[GP / SP]],Horodateur112335381922313437434649525558616469852226343846505854626670747882909894102106114118110122126130134138142146150154158162166170174178182186190194198202206210214[Jour],Taches_Jours122436391720293235414447505356596267832024323644485652606468727680889692100104112116108120124128132136140144148152156160164168172176180184188192196200204208212[[#This Row],[Jours]])</f>
        <v>0.75</v>
      </c>
      <c r="I43" s="71" t="n">
        <f aca="false">SUMIFS(Horodateur112335381922313437434649525558616469852226343846505854626670747882909894102106114118110122126130134138142146150154158162166170174178182186190194198202206210214[Durée (100)],Horodateur112335381922313437434649525558616469852226343846505854626670747882909894102106114118110122126130134138142146150154158162166170174178182186190194198202206210214[Tâche],Taches_Jours122436391720293235414447505356596267832024323644485652606468727680889692100104112116108120124128132136140144148152156160164168172176180184188192196200204208212[[#Headers],[GP / SP]],Horodateur112335381922313437434649525558616469852226343846505854626670747882909894102106114118110122126130134138142146150154158162166170174178182186190194198202206210214[Jour],Taches_Jours122436391720293235414447505356596267832024323644485652606468727680889692100104112116108120124128132136140144148152156160164168172176180184188192196200204208212[[#This Row],[Jours]])</f>
        <v>0.75</v>
      </c>
      <c r="J43" s="290" t="n">
        <f aca="false">SUM(Taches_Jours122436391720293235414447505356596267832024323644485652606468727680889692100104112116108120124128132136140144148152156160164168172176180184188192196200204208212[[#This Row],[GB]:[GP / SP]])</f>
        <v>3.25</v>
      </c>
      <c r="K43" s="188"/>
      <c r="L43" s="288"/>
      <c r="M43" s="289"/>
      <c r="N43" s="187"/>
      <c r="O43" s="1"/>
      <c r="P43" s="1"/>
      <c r="Q43" s="1"/>
      <c r="R43" s="1"/>
      <c r="S43" s="1"/>
      <c r="T43" s="71"/>
      <c r="U43" s="71"/>
      <c r="V43" s="71"/>
      <c r="W43" s="71"/>
      <c r="X43" s="71"/>
      <c r="Y43" s="71"/>
      <c r="Z43" s="71"/>
      <c r="AA43" s="71"/>
      <c r="AB43" s="71"/>
      <c r="AC43" s="71"/>
      <c r="AD43" s="71"/>
      <c r="AE43" s="71"/>
      <c r="AF43" s="71"/>
    </row>
    <row r="44" customFormat="false" ht="15" hidden="true" customHeight="false" outlineLevel="1" collapsed="false">
      <c r="A44" s="187" t="s">
        <v>341</v>
      </c>
      <c r="B44" s="71" t="n">
        <f aca="false">SUMIFS(Horodateur112335381922313437434649525558616469852226343846505854626670747882909894102106114118110122126130134138142146150154158162166170174178182186190194198202206210214[Durée (100)],Horodateur112335381922313437434649525558616469852226343846505854626670747882909894102106114118110122126130134138142146150154158162166170174178182186190194198202206210214[Tâche],Taches_Jours122436391720293235414447505356596267832024323644485652606468727680889692100104112116108120124128132136140144148152156160164168172176180184188192196200204208212[[#Headers],[GB]],Horodateur112335381922313437434649525558616469852226343846505854626670747882909894102106114118110122126130134138142146150154158162166170174178182186190194198202206210214[Jour],Taches_Jours122436391720293235414447505356596267832024323644485652606468727680889692100104112116108120124128132136140144148152156160164168172176180184188192196200204208212[[#This Row],[Jours]])</f>
        <v>0</v>
      </c>
      <c r="C44" s="71" t="n">
        <f aca="false">SUMIFS(Horodateur112335381922313437434649525558616469852226343846505854626670747882909894102106114118110122126130134138142146150154158162166170174178182186190194198202206210214[Durée (100)],Horodateur112335381922313437434649525558616469852226343846505854626670747882909894102106114118110122126130134138142146150154158162166170174178182186190194198202206210214[Tâche],Taches_Jours122436391720293235414447505356596267832024323644485652606468727680889692100104112116108120124128132136140144148152156160164168172176180184188192196200204208212[[#Headers],[RI]],Horodateur112335381922313437434649525558616469852226343846505854626670747882909894102106114118110122126130134138142146150154158162166170174178182186190194198202206210214[Jour],Taches_Jours122436391720293235414447505356596267832024323644485652606468727680889692100104112116108120124128132136140144148152156160164168172176180184188192196200204208212[[#This Row],[Jours]])</f>
        <v>0</v>
      </c>
      <c r="D44" s="71" t="n">
        <f aca="false">SUMIFS(Horodateur112335381922313437434649525558616469852226343846505854626670747882909894102106114118110122126130134138142146150154158162166170174178182186190194198202206210214[Durée (100)],Horodateur112335381922313437434649525558616469852226343846505854626670747882909894102106114118110122126130134138142146150154158162166170174178182186190194198202206210214[Tâche],Taches_Jours122436391720293235414447505356596267832024323644485652606468727680889692100104112116108120124128132136140144148152156160164168172176180184188192196200204208212[[#Headers],[FG]],Horodateur112335381922313437434649525558616469852226343846505854626670747882909894102106114118110122126130134138142146150154158162166170174178182186190194198202206210214[Jour],Taches_Jours122436391720293235414447505356596267832024323644485652606468727680889692100104112116108120124128132136140144148152156160164168172176180184188192196200204208212[[#This Row],[Jours]])</f>
        <v>0</v>
      </c>
      <c r="E44" s="71" t="n">
        <f aca="false">SUMIFS(Horodateur112335381922313437434649525558616469852226343846505854626670747882909894102106114118110122126130134138142146150154158162166170174178182186190194198202206210214[Durée (100)],Horodateur112335381922313437434649525558616469852226343846505854626670747882909894102106114118110122126130134138142146150154158162166170174178182186190194198202206210214[Tâche],Taches_Jours122436391720293235414447505356596267832024323644485652606468727680889692100104112116108120124128132136140144148152156160164168172176180184188192196200204208212[[#Headers],[PS]],Horodateur112335381922313437434649525558616469852226343846505854626670747882909894102106114118110122126130134138142146150154158162166170174178182186190194198202206210214[Jour],Taches_Jours122436391720293235414447505356596267832024323644485652606468727680889692100104112116108120124128132136140144148152156160164168172176180184188192196200204208212[[#This Row],[Jours]])</f>
        <v>0</v>
      </c>
      <c r="F44" s="71" t="n">
        <f aca="false">SUMIFS(Horodateur112335381922313437434649525558616469852226343846505854626670747882909894102106114118110122126130134138142146150154158162166170174178182186190194198202206210214[Durée (100)],Horodateur112335381922313437434649525558616469852226343846505854626670747882909894102106114118110122126130134138142146150154158162166170174178182186190194198202206210214[Tâche],Taches_Jours122436391720293235414447505356596267832024323644485652606468727680889692100104112116108120124128132136140144148152156160164168172176180184188192196200204208212[[#Headers],[TD]],Horodateur112335381922313437434649525558616469852226343846505854626670747882909894102106114118110122126130134138142146150154158162166170174178182186190194198202206210214[Jour],Taches_Jours122436391720293235414447505356596267832024323644485652606468727680889692100104112116108120124128132136140144148152156160164168172176180184188192196200204208212[[#This Row],[Jours]])</f>
        <v>0</v>
      </c>
      <c r="G44" s="71" t="n">
        <f aca="false">SUMIFS(Horodateur112335381922313437434649525558616469852226343846505854626670747882909894102106114118110122126130134138142146150154158162166170174178182186190194198202206210214[Durée (100)],Horodateur112335381922313437434649525558616469852226343846505854626670747882909894102106114118110122126130134138142146150154158162166170174178182186190194198202206210214[Tâche],Taches_Jours122436391720293235414447505356596267832024323644485652606468727680889692100104112116108120124128132136140144148152156160164168172176180184188192196200204208212[[#Headers],[GP]],Horodateur112335381922313437434649525558616469852226343846505854626670747882909894102106114118110122126130134138142146150154158162166170174178182186190194198202206210214[Jour],Taches_Jours122436391720293235414447505356596267832024323644485652606468727680889692100104112116108120124128132136140144148152156160164168172176180184188192196200204208212[[#This Row],[Jours]])</f>
        <v>3.5</v>
      </c>
      <c r="H44" s="71" t="n">
        <f aca="false">SUMIFS(Horodateur112335381922313437434649525558616469852226343846505854626670747882909894102106114118110122126130134138142146150154158162166170174178182186190194198202206210214[Durée (100)],Horodateur112335381922313437434649525558616469852226343846505854626670747882909894102106114118110122126130134138142146150154158162166170174178182186190194198202206210214[Tâche],Taches_Jours122436391720293235414447505356596267832024323644485652606468727680889692100104112116108120124128132136140144148152156160164168172176180184188192196200204208212[[#Headers],[GP / SP]],Horodateur112335381922313437434649525558616469852226343846505854626670747882909894102106114118110122126130134138142146150154158162166170174178182186190194198202206210214[Jour],Taches_Jours122436391720293235414447505356596267832024323644485652606468727680889692100104112116108120124128132136140144148152156160164168172176180184188192196200204208212[[#This Row],[Jours]])</f>
        <v>0</v>
      </c>
      <c r="I44" s="290" t="n">
        <f aca="false">SUMIFS(Horodateur112335381922313437434649525558616469852226343846505854626670747882909894102106114118110122126130134138142146150154158162166170174178182186190194198202206210214[Durée (100)],Horodateur112335381922313437434649525558616469852226343846505854626670747882909894102106114118110122126130134138142146150154158162166170174178182186190194198202206210214[Tâche],Taches_Jours122436391720293235414447505356596267832024323644485652606468727680889692100104112116108120124128132136140144148152156160164168172176180184188192196200204208212[[#Headers],[GP / SP]],Horodateur112335381922313437434649525558616469852226343846505854626670747882909894102106114118110122126130134138142146150154158162166170174178182186190194198202206210214[Jour],Taches_Jours122436391720293235414447505356596267832024323644485652606468727680889692100104112116108120124128132136140144148152156160164168172176180184188192196200204208212[[#This Row],[Jours]])</f>
        <v>0</v>
      </c>
      <c r="J44" s="71" t="n">
        <f aca="false">SUM(Taches_Jours122436391720293235414447505356596267832024323644485652606468727680889692100104112116108120124128132136140144148152156160164168172176180184188192196200204208212[[#This Row],[GB]:[GP / SP]])</f>
        <v>3.5</v>
      </c>
      <c r="K44" s="188"/>
      <c r="L44" s="288"/>
      <c r="M44" s="289"/>
      <c r="N44" s="187"/>
      <c r="O44" s="1"/>
      <c r="P44" s="1"/>
      <c r="Q44" s="1"/>
      <c r="R44" s="1"/>
      <c r="S44" s="1"/>
      <c r="T44" s="71"/>
      <c r="U44" s="71"/>
      <c r="V44" s="71"/>
      <c r="W44" s="71"/>
      <c r="X44" s="71"/>
      <c r="Y44" s="71"/>
      <c r="Z44" s="71"/>
      <c r="AA44" s="71"/>
      <c r="AB44" s="71"/>
      <c r="AC44" s="71"/>
      <c r="AD44" s="71"/>
      <c r="AE44" s="71"/>
      <c r="AF44" s="71"/>
    </row>
    <row r="45" customFormat="false" ht="15" hidden="true" customHeight="false" outlineLevel="1" collapsed="false">
      <c r="A45" s="187" t="s">
        <v>381</v>
      </c>
      <c r="B45" s="71" t="n">
        <f aca="false">SUMIFS(Horodateur112335381922313437434649525558616469852226343846505854626670747882909894102106114118110122126130134138142146150154158162166170174178182186190194198202206210214[Durée (100)],Horodateur112335381922313437434649525558616469852226343846505854626670747882909894102106114118110122126130134138142146150154158162166170174178182186190194198202206210214[Tâche],Taches_Jours122436391720293235414447505356596267832024323644485652606468727680889692100104112116108120124128132136140144148152156160164168172176180184188192196200204208212[[#Headers],[GB]],Horodateur112335381922313437434649525558616469852226343846505854626670747882909894102106114118110122126130134138142146150154158162166170174178182186190194198202206210214[Jour],Taches_Jours122436391720293235414447505356596267832024323644485652606468727680889692100104112116108120124128132136140144148152156160164168172176180184188192196200204208212[[#This Row],[Jours]])</f>
        <v>0</v>
      </c>
      <c r="C45" s="71" t="n">
        <f aca="false">SUMIFS(Horodateur112335381922313437434649525558616469852226343846505854626670747882909894102106114118110122126130134138142146150154158162166170174178182186190194198202206210214[Durée (100)],Horodateur112335381922313437434649525558616469852226343846505854626670747882909894102106114118110122126130134138142146150154158162166170174178182186190194198202206210214[Tâche],Taches_Jours122436391720293235414447505356596267832024323644485652606468727680889692100104112116108120124128132136140144148152156160164168172176180184188192196200204208212[[#Headers],[RI]],Horodateur112335381922313437434649525558616469852226343846505854626670747882909894102106114118110122126130134138142146150154158162166170174178182186190194198202206210214[Jour],Taches_Jours122436391720293235414447505356596267832024323644485652606468727680889692100104112116108120124128132136140144148152156160164168172176180184188192196200204208212[[#This Row],[Jours]])</f>
        <v>0</v>
      </c>
      <c r="D45" s="71" t="n">
        <f aca="false">SUMIFS(Horodateur112335381922313437434649525558616469852226343846505854626670747882909894102106114118110122126130134138142146150154158162166170174178182186190194198202206210214[Durée (100)],Horodateur112335381922313437434649525558616469852226343846505854626670747882909894102106114118110122126130134138142146150154158162166170174178182186190194198202206210214[Tâche],Taches_Jours122436391720293235414447505356596267832024323644485652606468727680889692100104112116108120124128132136140144148152156160164168172176180184188192196200204208212[[#Headers],[FG]],Horodateur112335381922313437434649525558616469852226343846505854626670747882909894102106114118110122126130134138142146150154158162166170174178182186190194198202206210214[Jour],Taches_Jours122436391720293235414447505356596267832024323644485652606468727680889692100104112116108120124128132136140144148152156160164168172176180184188192196200204208212[[#This Row],[Jours]])</f>
        <v>0</v>
      </c>
      <c r="E45" s="71" t="n">
        <f aca="false">SUMIFS(Horodateur112335381922313437434649525558616469852226343846505854626670747882909894102106114118110122126130134138142146150154158162166170174178182186190194198202206210214[Durée (100)],Horodateur112335381922313437434649525558616469852226343846505854626670747882909894102106114118110122126130134138142146150154158162166170174178182186190194198202206210214[Tâche],Taches_Jours122436391720293235414447505356596267832024323644485652606468727680889692100104112116108120124128132136140144148152156160164168172176180184188192196200204208212[[#Headers],[PS]],Horodateur112335381922313437434649525558616469852226343846505854626670747882909894102106114118110122126130134138142146150154158162166170174178182186190194198202206210214[Jour],Taches_Jours122436391720293235414447505356596267832024323644485652606468727680889692100104112116108120124128132136140144148152156160164168172176180184188192196200204208212[[#This Row],[Jours]])</f>
        <v>0</v>
      </c>
      <c r="F45" s="71" t="n">
        <f aca="false">SUMIFS(Horodateur112335381922313437434649525558616469852226343846505854626670747882909894102106114118110122126130134138142146150154158162166170174178182186190194198202206210214[Durée (100)],Horodateur112335381922313437434649525558616469852226343846505854626670747882909894102106114118110122126130134138142146150154158162166170174178182186190194198202206210214[Tâche],Taches_Jours122436391720293235414447505356596267832024323644485652606468727680889692100104112116108120124128132136140144148152156160164168172176180184188192196200204208212[[#Headers],[TD]],Horodateur112335381922313437434649525558616469852226343846505854626670747882909894102106114118110122126130134138142146150154158162166170174178182186190194198202206210214[Jour],Taches_Jours122436391720293235414447505356596267832024323644485652606468727680889692100104112116108120124128132136140144148152156160164168172176180184188192196200204208212[[#This Row],[Jours]])</f>
        <v>0</v>
      </c>
      <c r="G45" s="71" t="n">
        <f aca="false">SUMIFS(Horodateur112335381922313437434649525558616469852226343846505854626670747882909894102106114118110122126130134138142146150154158162166170174178182186190194198202206210214[Durée (100)],Horodateur112335381922313437434649525558616469852226343846505854626670747882909894102106114118110122126130134138142146150154158162166170174178182186190194198202206210214[Tâche],Taches_Jours122436391720293235414447505356596267832024323644485652606468727680889692100104112116108120124128132136140144148152156160164168172176180184188192196200204208212[[#Headers],[GP]],Horodateur112335381922313437434649525558616469852226343846505854626670747882909894102106114118110122126130134138142146150154158162166170174178182186190194198202206210214[Jour],Taches_Jours122436391720293235414447505356596267832024323644485652606468727680889692100104112116108120124128132136140144148152156160164168172176180184188192196200204208212[[#This Row],[Jours]])</f>
        <v>0</v>
      </c>
      <c r="H45" s="71" t="n">
        <f aca="false">SUMIFS(Horodateur112335381922313437434649525558616469852226343846505854626670747882909894102106114118110122126130134138142146150154158162166170174178182186190194198202206210214[Durée (100)],Horodateur112335381922313437434649525558616469852226343846505854626670747882909894102106114118110122126130134138142146150154158162166170174178182186190194198202206210214[Tâche],Taches_Jours122436391720293235414447505356596267832024323644485652606468727680889692100104112116108120124128132136140144148152156160164168172176180184188192196200204208212[[#Headers],[GP / SP]],Horodateur112335381922313437434649525558616469852226343846505854626670747882909894102106114118110122126130134138142146150154158162166170174178182186190194198202206210214[Jour],Taches_Jours122436391720293235414447505356596267832024323644485652606468727680889692100104112116108120124128132136140144148152156160164168172176180184188192196200204208212[[#This Row],[Jours]])</f>
        <v>0</v>
      </c>
      <c r="I45" s="290" t="n">
        <f aca="false">SUMIFS(Horodateur112335381922313437434649525558616469852226343846505854626670747882909894102106114118110122126130134138142146150154158162166170174178182186190194198202206210214[Durée (100)],Horodateur112335381922313437434649525558616469852226343846505854626670747882909894102106114118110122126130134138142146150154158162166170174178182186190194198202206210214[Tâche],Taches_Jours122436391720293235414447505356596267832024323644485652606468727680889692100104112116108120124128132136140144148152156160164168172176180184188192196200204208212[[#Headers],[GP / SP]],Horodateur112335381922313437434649525558616469852226343846505854626670747882909894102106114118110122126130134138142146150154158162166170174178182186190194198202206210214[Jour],Taches_Jours122436391720293235414447505356596267832024323644485652606468727680889692100104112116108120124128132136140144148152156160164168172176180184188192196200204208212[[#This Row],[Jours]])</f>
        <v>0</v>
      </c>
      <c r="J45" s="71" t="n">
        <f aca="false">SUM(Taches_Jours122436391720293235414447505356596267832024323644485652606468727680889692100104112116108120124128132136140144148152156160164168172176180184188192196200204208212[[#This Row],[GB]:[GP / SP]])</f>
        <v>0</v>
      </c>
      <c r="K45" s="188"/>
      <c r="L45" s="288"/>
      <c r="M45" s="289"/>
      <c r="N45" s="187"/>
      <c r="O45" s="1"/>
      <c r="P45" s="1"/>
      <c r="Q45" s="1"/>
      <c r="R45" s="1"/>
      <c r="S45" s="1"/>
      <c r="T45" s="71"/>
      <c r="U45" s="71"/>
      <c r="V45" s="71"/>
      <c r="W45" s="71"/>
      <c r="X45" s="71"/>
      <c r="Y45" s="71"/>
      <c r="Z45" s="71"/>
      <c r="AA45" s="71"/>
      <c r="AB45" s="71"/>
      <c r="AC45" s="71"/>
      <c r="AD45" s="71"/>
      <c r="AE45" s="71"/>
      <c r="AF45" s="71"/>
    </row>
    <row r="46" customFormat="false" ht="15" hidden="true" customHeight="false" outlineLevel="1" collapsed="false">
      <c r="A46" s="137"/>
      <c r="B46" s="187"/>
      <c r="C46" s="71"/>
      <c r="D46" s="1"/>
      <c r="E46" s="1"/>
      <c r="F46" s="71"/>
      <c r="G46" s="1"/>
      <c r="H46" s="1"/>
      <c r="I46" s="119"/>
      <c r="J46" s="271"/>
      <c r="K46" s="1"/>
      <c r="L46" s="188"/>
      <c r="M46" s="272"/>
      <c r="N46" s="187"/>
      <c r="O46" s="1"/>
      <c r="P46" s="1"/>
      <c r="Q46" s="1"/>
      <c r="R46" s="1"/>
      <c r="S46" s="1"/>
      <c r="T46" s="1"/>
      <c r="U46" s="71"/>
      <c r="V46" s="71"/>
      <c r="W46" s="71"/>
      <c r="X46" s="71"/>
      <c r="Y46" s="71"/>
      <c r="Z46" s="71"/>
      <c r="AA46" s="71"/>
      <c r="AB46" s="71"/>
      <c r="AC46" s="71"/>
      <c r="AD46" s="71"/>
      <c r="AE46" s="71"/>
      <c r="AF46" s="71"/>
      <c r="AG46" s="71"/>
    </row>
    <row r="47" customFormat="false" ht="15" hidden="true" customHeight="false" outlineLevel="1" collapsed="false">
      <c r="A47" s="291" t="s">
        <v>85</v>
      </c>
      <c r="B47" s="292" t="s">
        <v>312</v>
      </c>
      <c r="C47" s="292" t="s">
        <v>319</v>
      </c>
      <c r="D47" s="292" t="s">
        <v>324</v>
      </c>
      <c r="E47" s="292" t="s">
        <v>332</v>
      </c>
      <c r="F47" s="293" t="s">
        <v>335</v>
      </c>
      <c r="G47" s="292" t="s">
        <v>341</v>
      </c>
      <c r="H47" s="292" t="s">
        <v>381</v>
      </c>
      <c r="I47" s="294" t="s">
        <v>58</v>
      </c>
      <c r="J47" s="271"/>
      <c r="K47" s="1"/>
      <c r="L47" s="188"/>
      <c r="M47" s="272"/>
      <c r="N47" s="187"/>
      <c r="O47" s="1"/>
      <c r="P47" s="1"/>
      <c r="Q47" s="1"/>
      <c r="R47" s="1"/>
      <c r="S47" s="1"/>
      <c r="T47" s="1"/>
      <c r="U47" s="71"/>
      <c r="V47" s="71"/>
      <c r="W47" s="71"/>
      <c r="X47" s="71"/>
      <c r="Y47" s="71"/>
      <c r="Z47" s="71"/>
      <c r="AA47" s="71"/>
      <c r="AB47" s="71"/>
      <c r="AC47" s="71"/>
      <c r="AD47" s="71"/>
      <c r="AE47" s="71"/>
      <c r="AF47" s="71"/>
      <c r="AG47" s="71"/>
    </row>
    <row r="48" customFormat="false" ht="15" hidden="true" customHeight="false" outlineLevel="1" collapsed="false">
      <c r="A48" s="137" t="s">
        <v>21</v>
      </c>
      <c r="B48" s="187" t="n">
        <f aca="false">SUMIFS(Horodateur112335381922313437434649525558616469852226343846505854626670747882909894102106114118110122126130134138142146150154158162166170174178182186190194198202206210214[Durée (100)],Horodateur112335381922313437434649525558616469852226343846505854626670747882909894102106114118110122126130134138142146150154158162166170174178182186190194198202206210214[Jour],$B$47,Horodateur112335381922313437434649525558616469852226343846505854626670747882909894102106114118110122126130134138142146150154158162166170174178182186190194198202206210214[Tâche],$A48)</f>
        <v>1.25</v>
      </c>
      <c r="C48" s="187" t="n">
        <f aca="false">SUMIFS(Horodateur112335381922313437434649525558616469852226343846505854626670747882909894102106114118110122126130134138142146150154158162166170174178182186190194198202206210214[Durée (100)],Horodateur112335381922313437434649525558616469852226343846505854626670747882909894102106114118110122126130134138142146150154158162166170174178182186190194198202206210214[Jour],$C$47,Horodateur112335381922313437434649525558616469852226343846505854626670747882909894102106114118110122126130134138142146150154158162166170174178182186190194198202206210214[Tâche],$A48)</f>
        <v>2</v>
      </c>
      <c r="D48" s="187" t="n">
        <f aca="false">SUMIFS(Horodateur112335381922313437434649525558616469852226343846505854626670747882909894102106114118110122126130134138142146150154158162166170174178182186190194198202206210214[Durée (100)],Horodateur112335381922313437434649525558616469852226343846505854626670747882909894102106114118110122126130134138142146150154158162166170174178182186190194198202206210214[Jour],$D$47,Horodateur112335381922313437434649525558616469852226343846505854626670747882909894102106114118110122126130134138142146150154158162166170174178182186190194198202206210214[Tâche],$A48)</f>
        <v>0</v>
      </c>
      <c r="E48" s="187" t="n">
        <f aca="false">SUMIFS(Horodateur112335381922313437434649525558616469852226343846505854626670747882909894102106114118110122126130134138142146150154158162166170174178182186190194198202206210214[Durée (100)],Horodateur112335381922313437434649525558616469852226343846505854626670747882909894102106114118110122126130134138142146150154158162166170174178182186190194198202206210214[Jour],$E$47,Horodateur112335381922313437434649525558616469852226343846505854626670747882909894102106114118110122126130134138142146150154158162166170174178182186190194198202206210214[Tâche],$A48)</f>
        <v>0</v>
      </c>
      <c r="F48" s="71" t="n">
        <f aca="false">SUMIFS(Horodateur112335381922313437434649525558616469852226343846505854626670747882909894102106114118110122126130134138142146150154158162166170174178182186190194198202206210214[Durée (100)],Horodateur112335381922313437434649525558616469852226343846505854626670747882909894102106114118110122126130134138142146150154158162166170174178182186190194198202206210214[Jour],$F$47,Horodateur112335381922313437434649525558616469852226343846505854626670747882909894102106114118110122126130134138142146150154158162166170174178182186190194198202206210214[Tâche],$A48)</f>
        <v>0</v>
      </c>
      <c r="G48" s="187" t="n">
        <f aca="false">SUMIFS(Horodateur112335381922313437434649525558616469852226343846505854626670747882909894102106114118110122126130134138142146150154158162166170174178182186190194198202206210214[Durée (100)],Horodateur112335381922313437434649525558616469852226343846505854626670747882909894102106114118110122126130134138142146150154158162166170174178182186190194198202206210214[Jour],$G$47,Horodateur112335381922313437434649525558616469852226343846505854626670747882909894102106114118110122126130134138142146150154158162166170174178182186190194198202206210214[Tâche],$A48)</f>
        <v>0</v>
      </c>
      <c r="H48" s="187" t="n">
        <f aca="false">SUMIFS(Horodateur112335381922313437434649525558616469852226343846505854626670747882909894102106114118110122126130134138142146150154158162166170174178182186190194198202206210214[Durée (100)],Horodateur112335381922313437434649525558616469852226343846505854626670747882909894102106114118110122126130134138142146150154158162166170174178182186190194198202206210214[Jour],$H$47,Horodateur112335381922313437434649525558616469852226343846505854626670747882909894102106114118110122126130134138142146150154158162166170174178182186190194198202206210214[Tâche],$A48)</f>
        <v>0</v>
      </c>
      <c r="I48" s="295" t="n">
        <f aca="false">SUM(Taches_Jour2132537401821303336424548515457606368842125333745495753616569737781899793101105113117109121125129133137141145149153157161165169173177181185189193197201205209213[[#This Row],[1- Lundi]:[7- Dimanche]])</f>
        <v>3.25</v>
      </c>
      <c r="J48" s="271"/>
      <c r="K48" s="1"/>
      <c r="L48" s="188"/>
      <c r="M48" s="272"/>
      <c r="N48" s="187"/>
      <c r="O48" s="1"/>
      <c r="P48" s="1"/>
      <c r="Q48" s="1"/>
      <c r="R48" s="1"/>
      <c r="S48" s="1"/>
      <c r="T48" s="1"/>
      <c r="U48" s="71"/>
      <c r="V48" s="71"/>
      <c r="W48" s="71"/>
      <c r="X48" s="71"/>
      <c r="Y48" s="71"/>
      <c r="Z48" s="71"/>
      <c r="AA48" s="71"/>
      <c r="AB48" s="71"/>
      <c r="AC48" s="71"/>
      <c r="AD48" s="71"/>
      <c r="AE48" s="71"/>
      <c r="AF48" s="71"/>
      <c r="AG48" s="71"/>
    </row>
    <row r="49" customFormat="false" ht="15" hidden="true" customHeight="false" outlineLevel="1" collapsed="false">
      <c r="A49" s="137" t="s">
        <v>20</v>
      </c>
      <c r="B49" s="187" t="n">
        <f aca="false">SUMIFS(Horodateur112335381922313437434649525558616469852226343846505854626670747882909894102106114118110122126130134138142146150154158162166170174178182186190194198202206210214[Durée (100)],Horodateur112335381922313437434649525558616469852226343846505854626670747882909894102106114118110122126130134138142146150154158162166170174178182186190194198202206210214[Jour],$B$47,Horodateur112335381922313437434649525558616469852226343846505854626670747882909894102106114118110122126130134138142146150154158162166170174178182186190194198202206210214[Tâche],$A49)</f>
        <v>0.500000000000001</v>
      </c>
      <c r="C49" s="187" t="n">
        <f aca="false">SUMIFS(Horodateur112335381922313437434649525558616469852226343846505854626670747882909894102106114118110122126130134138142146150154158162166170174178182186190194198202206210214[Durée (100)],Horodateur112335381922313437434649525558616469852226343846505854626670747882909894102106114118110122126130134138142146150154158162166170174178182186190194198202206210214[Jour],$C$47,Horodateur112335381922313437434649525558616469852226343846505854626670747882909894102106114118110122126130134138142146150154158162166170174178182186190194198202206210214[Tâche],$A49)</f>
        <v>0</v>
      </c>
      <c r="D49" s="187" t="n">
        <f aca="false">SUMIFS(Horodateur112335381922313437434649525558616469852226343846505854626670747882909894102106114118110122126130134138142146150154158162166170174178182186190194198202206210214[Durée (100)],Horodateur112335381922313437434649525558616469852226343846505854626670747882909894102106114118110122126130134138142146150154158162166170174178182186190194198202206210214[Jour],$D$47,Horodateur112335381922313437434649525558616469852226343846505854626670747882909894102106114118110122126130134138142146150154158162166170174178182186190194198202206210214[Tâche],$A49)</f>
        <v>0</v>
      </c>
      <c r="E49" s="187" t="n">
        <f aca="false">SUMIFS(Horodateur112335381922313437434649525558616469852226343846505854626670747882909894102106114118110122126130134138142146150154158162166170174178182186190194198202206210214[Durée (100)],Horodateur112335381922313437434649525558616469852226343846505854626670747882909894102106114118110122126130134138142146150154158162166170174178182186190194198202206210214[Jour],$E$47,Horodateur112335381922313437434649525558616469852226343846505854626670747882909894102106114118110122126130134138142146150154158162166170174178182186190194198202206210214[Tâche],$A49)</f>
        <v>0</v>
      </c>
      <c r="F49" s="71" t="n">
        <f aca="false">SUMIFS(Horodateur112335381922313437434649525558616469852226343846505854626670747882909894102106114118110122126130134138142146150154158162166170174178182186190194198202206210214[Durée (100)],Horodateur112335381922313437434649525558616469852226343846505854626670747882909894102106114118110122126130134138142146150154158162166170174178182186190194198202206210214[Jour],$F$47,Horodateur112335381922313437434649525558616469852226343846505854626670747882909894102106114118110122126130134138142146150154158162166170174178182186190194198202206210214[Tâche],$A49)</f>
        <v>0</v>
      </c>
      <c r="G49" s="187" t="n">
        <f aca="false">SUMIFS(Horodateur112335381922313437434649525558616469852226343846505854626670747882909894102106114118110122126130134138142146150154158162166170174178182186190194198202206210214[Durée (100)],Horodateur112335381922313437434649525558616469852226343846505854626670747882909894102106114118110122126130134138142146150154158162166170174178182186190194198202206210214[Jour],$G$47,Horodateur112335381922313437434649525558616469852226343846505854626670747882909894102106114118110122126130134138142146150154158162166170174178182186190194198202206210214[Tâche],$A49)</f>
        <v>0</v>
      </c>
      <c r="H49" s="187" t="n">
        <f aca="false">SUMIFS(Horodateur112335381922313437434649525558616469852226343846505854626670747882909894102106114118110122126130134138142146150154158162166170174178182186190194198202206210214[Durée (100)],Horodateur112335381922313437434649525558616469852226343846505854626670747882909894102106114118110122126130134138142146150154158162166170174178182186190194198202206210214[Jour],$H$47,Horodateur112335381922313437434649525558616469852226343846505854626670747882909894102106114118110122126130134138142146150154158162166170174178182186190194198202206210214[Tâche],$A49)</f>
        <v>0</v>
      </c>
      <c r="I49" s="295" t="n">
        <f aca="false">SUM(Taches_Jour2132537401821303336424548515457606368842125333745495753616569737781899793101105113117109121125129133137141145149153157161165169173177181185189193197201205209213[[#This Row],[1- Lundi]:[7- Dimanche]])</f>
        <v>0.500000000000001</v>
      </c>
      <c r="J49" s="271"/>
      <c r="K49" s="1"/>
      <c r="L49" s="188"/>
      <c r="M49" s="272"/>
      <c r="N49" s="187"/>
      <c r="O49" s="1"/>
      <c r="P49" s="1"/>
      <c r="Q49" s="1"/>
      <c r="R49" s="1"/>
      <c r="S49" s="1"/>
      <c r="T49" s="1"/>
      <c r="U49" s="71"/>
      <c r="V49" s="71"/>
      <c r="W49" s="71"/>
      <c r="X49" s="71"/>
      <c r="Y49" s="71"/>
      <c r="Z49" s="71"/>
      <c r="AA49" s="71"/>
      <c r="AB49" s="71"/>
      <c r="AC49" s="71"/>
      <c r="AD49" s="71"/>
      <c r="AE49" s="71"/>
      <c r="AF49" s="71"/>
      <c r="AG49" s="71"/>
    </row>
    <row r="50" customFormat="false" ht="15" hidden="true" customHeight="false" outlineLevel="1" collapsed="false">
      <c r="A50" s="137" t="s">
        <v>23</v>
      </c>
      <c r="B50" s="187" t="n">
        <f aca="false">SUMIFS(Horodateur112335381922313437434649525558616469852226343846505854626670747882909894102106114118110122126130134138142146150154158162166170174178182186190194198202206210214[Durée (100)],Horodateur112335381922313437434649525558616469852226343846505854626670747882909894102106114118110122126130134138142146150154158162166170174178182186190194198202206210214[Jour],$B$47,Horodateur112335381922313437434649525558616469852226343846505854626670747882909894102106114118110122126130134138142146150154158162166170174178182186190194198202206210214[Tâche],$A50)</f>
        <v>0</v>
      </c>
      <c r="C50" s="187" t="n">
        <f aca="false">SUMIFS(Horodateur112335381922313437434649525558616469852226343846505854626670747882909894102106114118110122126130134138142146150154158162166170174178182186190194198202206210214[Durée (100)],Horodateur112335381922313437434649525558616469852226343846505854626670747882909894102106114118110122126130134138142146150154158162166170174178182186190194198202206210214[Jour],$C$47,Horodateur112335381922313437434649525558616469852226343846505854626670747882909894102106114118110122126130134138142146150154158162166170174178182186190194198202206210214[Tâche],$A50)</f>
        <v>0</v>
      </c>
      <c r="D50" s="187" t="n">
        <f aca="false">SUMIFS(Horodateur112335381922313437434649525558616469852226343846505854626670747882909894102106114118110122126130134138142146150154158162166170174178182186190194198202206210214[Durée (100)],Horodateur112335381922313437434649525558616469852226343846505854626670747882909894102106114118110122126130134138142146150154158162166170174178182186190194198202206210214[Jour],$D$47,Horodateur112335381922313437434649525558616469852226343846505854626670747882909894102106114118110122126130134138142146150154158162166170174178182186190194198202206210214[Tâche],$A50)</f>
        <v>0</v>
      </c>
      <c r="E50" s="187" t="n">
        <f aca="false">SUMIFS(Horodateur112335381922313437434649525558616469852226343846505854626670747882909894102106114118110122126130134138142146150154158162166170174178182186190194198202206210214[Durée (100)],Horodateur112335381922313437434649525558616469852226343846505854626670747882909894102106114118110122126130134138142146150154158162166170174178182186190194198202206210214[Jour],$E$47,Horodateur112335381922313437434649525558616469852226343846505854626670747882909894102106114118110122126130134138142146150154158162166170174178182186190194198202206210214[Tâche],$A50)</f>
        <v>0</v>
      </c>
      <c r="F50" s="71" t="n">
        <f aca="false">SUMIFS(Horodateur112335381922313437434649525558616469852226343846505854626670747882909894102106114118110122126130134138142146150154158162166170174178182186190194198202206210214[Durée (100)],Horodateur112335381922313437434649525558616469852226343846505854626670747882909894102106114118110122126130134138142146150154158162166170174178182186190194198202206210214[Jour],$F$47,Horodateur112335381922313437434649525558616469852226343846505854626670747882909894102106114118110122126130134138142146150154158162166170174178182186190194198202206210214[Tâche],$A50)</f>
        <v>0</v>
      </c>
      <c r="G50" s="187" t="n">
        <f aca="false">SUMIFS(Horodateur112335381922313437434649525558616469852226343846505854626670747882909894102106114118110122126130134138142146150154158162166170174178182186190194198202206210214[Durée (100)],Horodateur112335381922313437434649525558616469852226343846505854626670747882909894102106114118110122126130134138142146150154158162166170174178182186190194198202206210214[Jour],$G$47,Horodateur112335381922313437434649525558616469852226343846505854626670747882909894102106114118110122126130134138142146150154158162166170174178182186190194198202206210214[Tâche],$A50)</f>
        <v>0</v>
      </c>
      <c r="H50" s="187" t="n">
        <f aca="false">SUMIFS(Horodateur112335381922313437434649525558616469852226343846505854626670747882909894102106114118110122126130134138142146150154158162166170174178182186190194198202206210214[Durée (100)],Horodateur112335381922313437434649525558616469852226343846505854626670747882909894102106114118110122126130134138142146150154158162166170174178182186190194198202206210214[Jour],$H$47,Horodateur112335381922313437434649525558616469852226343846505854626670747882909894102106114118110122126130134138142146150154158162166170174178182186190194198202206210214[Tâche],$A50)</f>
        <v>0</v>
      </c>
      <c r="I50" s="295" t="n">
        <f aca="false">SUM(Taches_Jour2132537401821303336424548515457606368842125333745495753616569737781899793101105113117109121125129133137141145149153157161165169173177181185189193197201205209213[[#This Row],[1- Lundi]:[7- Dimanche]])</f>
        <v>0</v>
      </c>
      <c r="J50" s="271"/>
      <c r="K50" s="1"/>
      <c r="L50" s="188"/>
      <c r="M50" s="272"/>
      <c r="N50" s="187"/>
      <c r="O50" s="1"/>
      <c r="P50" s="1"/>
      <c r="Q50" s="1"/>
      <c r="R50" s="1"/>
      <c r="S50" s="1"/>
      <c r="T50" s="1"/>
      <c r="U50" s="71"/>
      <c r="V50" s="71"/>
      <c r="W50" s="71"/>
      <c r="X50" s="71"/>
      <c r="Y50" s="71"/>
      <c r="Z50" s="71"/>
      <c r="AA50" s="71"/>
      <c r="AB50" s="71"/>
      <c r="AC50" s="71"/>
      <c r="AD50" s="71"/>
      <c r="AE50" s="71"/>
      <c r="AF50" s="71"/>
      <c r="AG50" s="71"/>
    </row>
    <row r="51" customFormat="false" ht="15" hidden="true" customHeight="false" outlineLevel="1" collapsed="false">
      <c r="A51" s="137" t="s">
        <v>25</v>
      </c>
      <c r="B51" s="187" t="n">
        <f aca="false">SUMIFS(Horodateur112335381922313437434649525558616469852226343846505854626670747882909894102106114118110122126130134138142146150154158162166170174178182186190194198202206210214[Durée (100)],Horodateur112335381922313437434649525558616469852226343846505854626670747882909894102106114118110122126130134138142146150154158162166170174178182186190194198202206210214[Jour],$B$47,Horodateur112335381922313437434649525558616469852226343846505854626670747882909894102106114118110122126130134138142146150154158162166170174178182186190194198202206210214[Tâche],$A51)</f>
        <v>0</v>
      </c>
      <c r="C51" s="187" t="n">
        <f aca="false">SUMIFS(Horodateur112335381922313437434649525558616469852226343846505854626670747882909894102106114118110122126130134138142146150154158162166170174178182186190194198202206210214[Durée (100)],Horodateur112335381922313437434649525558616469852226343846505854626670747882909894102106114118110122126130134138142146150154158162166170174178182186190194198202206210214[Jour],$C$47,Horodateur112335381922313437434649525558616469852226343846505854626670747882909894102106114118110122126130134138142146150154158162166170174178182186190194198202206210214[Tâche],$A51)</f>
        <v>0</v>
      </c>
      <c r="D51" s="187" t="n">
        <f aca="false">SUMIFS(Horodateur112335381922313437434649525558616469852226343846505854626670747882909894102106114118110122126130134138142146150154158162166170174178182186190194198202206210214[Durée (100)],Horodateur112335381922313437434649525558616469852226343846505854626670747882909894102106114118110122126130134138142146150154158162166170174178182186190194198202206210214[Jour],$D$47,Horodateur112335381922313437434649525558616469852226343846505854626670747882909894102106114118110122126130134138142146150154158162166170174178182186190194198202206210214[Tâche],$A51)</f>
        <v>0</v>
      </c>
      <c r="E51" s="187" t="n">
        <f aca="false">SUMIFS(Horodateur112335381922313437434649525558616469852226343846505854626670747882909894102106114118110122126130134138142146150154158162166170174178182186190194198202206210214[Durée (100)],Horodateur112335381922313437434649525558616469852226343846505854626670747882909894102106114118110122126130134138142146150154158162166170174178182186190194198202206210214[Jour],$E$47,Horodateur112335381922313437434649525558616469852226343846505854626670747882909894102106114118110122126130134138142146150154158162166170174178182186190194198202206210214[Tâche],$A51)</f>
        <v>0</v>
      </c>
      <c r="F51" s="71" t="n">
        <f aca="false">SUMIFS(Horodateur112335381922313437434649525558616469852226343846505854626670747882909894102106114118110122126130134138142146150154158162166170174178182186190194198202206210214[Durée (100)],Horodateur112335381922313437434649525558616469852226343846505854626670747882909894102106114118110122126130134138142146150154158162166170174178182186190194198202206210214[Jour],$F$47,Horodateur112335381922313437434649525558616469852226343846505854626670747882909894102106114118110122126130134138142146150154158162166170174178182186190194198202206210214[Tâche],$A51)</f>
        <v>0</v>
      </c>
      <c r="G51" s="187" t="n">
        <f aca="false">SUMIFS(Horodateur112335381922313437434649525558616469852226343846505854626670747882909894102106114118110122126130134138142146150154158162166170174178182186190194198202206210214[Durée (100)],Horodateur112335381922313437434649525558616469852226343846505854626670747882909894102106114118110122126130134138142146150154158162166170174178182186190194198202206210214[Jour],$G$47,Horodateur112335381922313437434649525558616469852226343846505854626670747882909894102106114118110122126130134138142146150154158162166170174178182186190194198202206210214[Tâche],$A51)</f>
        <v>0</v>
      </c>
      <c r="H51" s="187" t="n">
        <f aca="false">SUMIFS(Horodateur112335381922313437434649525558616469852226343846505854626670747882909894102106114118110122126130134138142146150154158162166170174178182186190194198202206210214[Durée (100)],Horodateur112335381922313437434649525558616469852226343846505854626670747882909894102106114118110122126130134138142146150154158162166170174178182186190194198202206210214[Jour],$H$47,Horodateur112335381922313437434649525558616469852226343846505854626670747882909894102106114118110122126130134138142146150154158162166170174178182186190194198202206210214[Tâche],$A51)</f>
        <v>0</v>
      </c>
      <c r="I51" s="295" t="n">
        <f aca="false">SUM(Taches_Jour2132537401821303336424548515457606368842125333745495753616569737781899793101105113117109121125129133137141145149153157161165169173177181185189193197201205209213[[#This Row],[1- Lundi]:[7- Dimanche]])</f>
        <v>0</v>
      </c>
      <c r="J51" s="271"/>
      <c r="K51" s="1"/>
      <c r="L51" s="188"/>
      <c r="M51" s="272"/>
      <c r="N51" s="187"/>
      <c r="O51" s="1"/>
      <c r="P51" s="1"/>
      <c r="Q51" s="1"/>
      <c r="R51" s="1"/>
      <c r="S51" s="1"/>
      <c r="T51" s="1"/>
      <c r="U51" s="71"/>
      <c r="V51" s="71"/>
      <c r="W51" s="71"/>
      <c r="X51" s="71"/>
      <c r="Y51" s="71"/>
      <c r="Z51" s="71"/>
      <c r="AA51" s="71"/>
      <c r="AB51" s="71"/>
      <c r="AC51" s="71"/>
      <c r="AD51" s="71"/>
      <c r="AE51" s="71"/>
      <c r="AF51" s="71"/>
      <c r="AG51" s="71"/>
    </row>
    <row r="52" customFormat="false" ht="15" hidden="true" customHeight="false" outlineLevel="1" collapsed="false">
      <c r="A52" s="137" t="s">
        <v>26</v>
      </c>
      <c r="B52" s="187" t="n">
        <f aca="false">SUMIFS(Horodateur112335381922313437434649525558616469852226343846505854626670747882909894102106114118110122126130134138142146150154158162166170174178182186190194198202206210214[Durée (100)],Horodateur112335381922313437434649525558616469852226343846505854626670747882909894102106114118110122126130134138142146150154158162166170174178182186190194198202206210214[Jour],$B$47,Horodateur112335381922313437434649525558616469852226343846505854626670747882909894102106114118110122126130134138142146150154158162166170174178182186190194198202206210214[Tâche],$A52)</f>
        <v>0</v>
      </c>
      <c r="C52" s="187" t="n">
        <f aca="false">SUMIFS(Horodateur112335381922313437434649525558616469852226343846505854626670747882909894102106114118110122126130134138142146150154158162166170174178182186190194198202206210214[Durée (100)],Horodateur112335381922313437434649525558616469852226343846505854626670747882909894102106114118110122126130134138142146150154158162166170174178182186190194198202206210214[Jour],$C$47,Horodateur112335381922313437434649525558616469852226343846505854626670747882909894102106114118110122126130134138142146150154158162166170174178182186190194198202206210214[Tâche],$A52)</f>
        <v>0</v>
      </c>
      <c r="D52" s="187" t="n">
        <f aca="false">SUMIFS(Horodateur112335381922313437434649525558616469852226343846505854626670747882909894102106114118110122126130134138142146150154158162166170174178182186190194198202206210214[Durée (100)],Horodateur112335381922313437434649525558616469852226343846505854626670747882909894102106114118110122126130134138142146150154158162166170174178182186190194198202206210214[Jour],$D$47,Horodateur112335381922313437434649525558616469852226343846505854626670747882909894102106114118110122126130134138142146150154158162166170174178182186190194198202206210214[Tâche],$A52)</f>
        <v>0</v>
      </c>
      <c r="E52" s="187" t="n">
        <f aca="false">SUMIFS(Horodateur112335381922313437434649525558616469852226343846505854626670747882909894102106114118110122126130134138142146150154158162166170174178182186190194198202206210214[Durée (100)],Horodateur112335381922313437434649525558616469852226343846505854626670747882909894102106114118110122126130134138142146150154158162166170174178182186190194198202206210214[Jour],$E$47,Horodateur112335381922313437434649525558616469852226343846505854626670747882909894102106114118110122126130134138142146150154158162166170174178182186190194198202206210214[Tâche],$A52)</f>
        <v>0</v>
      </c>
      <c r="F52" s="71" t="n">
        <f aca="false">SUMIFS(Horodateur112335381922313437434649525558616469852226343846505854626670747882909894102106114118110122126130134138142146150154158162166170174178182186190194198202206210214[Durée (100)],Horodateur112335381922313437434649525558616469852226343846505854626670747882909894102106114118110122126130134138142146150154158162166170174178182186190194198202206210214[Jour],$F$47,Horodateur112335381922313437434649525558616469852226343846505854626670747882909894102106114118110122126130134138142146150154158162166170174178182186190194198202206210214[Tâche],$A52)</f>
        <v>0</v>
      </c>
      <c r="G52" s="187" t="n">
        <f aca="false">SUMIFS(Horodateur112335381922313437434649525558616469852226343846505854626670747882909894102106114118110122126130134138142146150154158162166170174178182186190194198202206210214[Durée (100)],Horodateur112335381922313437434649525558616469852226343846505854626670747882909894102106114118110122126130134138142146150154158162166170174178182186190194198202206210214[Jour],$G$47,Horodateur112335381922313437434649525558616469852226343846505854626670747882909894102106114118110122126130134138142146150154158162166170174178182186190194198202206210214[Tâche],$A52)</f>
        <v>0</v>
      </c>
      <c r="H52" s="187" t="n">
        <f aca="false">SUMIFS(Horodateur112335381922313437434649525558616469852226343846505854626670747882909894102106114118110122126130134138142146150154158162166170174178182186190194198202206210214[Durée (100)],Horodateur112335381922313437434649525558616469852226343846505854626670747882909894102106114118110122126130134138142146150154158162166170174178182186190194198202206210214[Jour],$H$47,Horodateur112335381922313437434649525558616469852226343846505854626670747882909894102106114118110122126130134138142146150154158162166170174178182186190194198202206210214[Tâche],$A52)</f>
        <v>0</v>
      </c>
      <c r="I52" s="295" t="n">
        <f aca="false">SUM(Taches_Jour2132537401821303336424548515457606368842125333745495753616569737781899793101105113117109121125129133137141145149153157161165169173177181185189193197201205209213[[#This Row],[1- Lundi]:[7- Dimanche]])</f>
        <v>0</v>
      </c>
      <c r="J52" s="271"/>
      <c r="K52" s="1"/>
      <c r="L52" s="188"/>
      <c r="M52" s="272"/>
      <c r="N52" s="187"/>
      <c r="O52" s="1"/>
      <c r="P52" s="1"/>
      <c r="Q52" s="1"/>
      <c r="R52" s="1"/>
      <c r="S52" s="1"/>
      <c r="T52" s="1"/>
      <c r="U52" s="71"/>
      <c r="V52" s="71"/>
      <c r="W52" s="71"/>
      <c r="X52" s="71"/>
      <c r="Y52" s="71"/>
      <c r="Z52" s="71"/>
      <c r="AA52" s="71"/>
      <c r="AB52" s="71"/>
      <c r="AC52" s="71"/>
      <c r="AD52" s="71"/>
      <c r="AE52" s="71"/>
      <c r="AF52" s="71"/>
      <c r="AG52" s="71"/>
    </row>
    <row r="53" customFormat="false" ht="15" hidden="true" customHeight="false" outlineLevel="1" collapsed="false">
      <c r="A53" s="137" t="s">
        <v>378</v>
      </c>
      <c r="B53" s="187" t="n">
        <f aca="false">SUMIFS(Horodateur112335381922313437434649525558616469852226343846505854626670747882909894102106114118110122126130134138142146150154158162166170174178182186190194198202206210214[Durée (100)],Horodateur112335381922313437434649525558616469852226343846505854626670747882909894102106114118110122126130134138142146150154158162166170174178182186190194198202206210214[Jour],$B$47,Horodateur112335381922313437434649525558616469852226343846505854626670747882909894102106114118110122126130134138142146150154158162166170174178182186190194198202206210214[Tâche],$A53)</f>
        <v>1.25</v>
      </c>
      <c r="C53" s="187" t="n">
        <f aca="false">SUMIFS(Horodateur112335381922313437434649525558616469852226343846505854626670747882909894102106114118110122126130134138142146150154158162166170174178182186190194198202206210214[Durée (100)],Horodateur112335381922313437434649525558616469852226343846505854626670747882909894102106114118110122126130134138142146150154158162166170174178182186190194198202206210214[Jour],$C$47,Horodateur112335381922313437434649525558616469852226343846505854626670747882909894102106114118110122126130134138142146150154158162166170174178182186190194198202206210214[Tâche],$A53)</f>
        <v>3.25</v>
      </c>
      <c r="D53" s="187" t="n">
        <f aca="false">SUMIFS(Horodateur112335381922313437434649525558616469852226343846505854626670747882909894102106114118110122126130134138142146150154158162166170174178182186190194198202206210214[Durée (100)],Horodateur112335381922313437434649525558616469852226343846505854626670747882909894102106114118110122126130134138142146150154158162166170174178182186190194198202206210214[Jour],$D$47,Horodateur112335381922313437434649525558616469852226343846505854626670747882909894102106114118110122126130134138142146150154158162166170174178182186190194198202206210214[Tâche],$A53)</f>
        <v>4.5</v>
      </c>
      <c r="E53" s="187" t="n">
        <f aca="false">SUMIFS(Horodateur112335381922313437434649525558616469852226343846505854626670747882909894102106114118110122126130134138142146150154158162166170174178182186190194198202206210214[Durée (100)],Horodateur112335381922313437434649525558616469852226343846505854626670747882909894102106114118110122126130134138142146150154158162166170174178182186190194198202206210214[Jour],$E$47,Horodateur112335381922313437434649525558616469852226343846505854626670747882909894102106114118110122126130134138142146150154158162166170174178182186190194198202206210214[Tâche],$A53)</f>
        <v>2</v>
      </c>
      <c r="F53" s="71" t="n">
        <f aca="false">SUMIFS(Horodateur112335381922313437434649525558616469852226343846505854626670747882909894102106114118110122126130134138142146150154158162166170174178182186190194198202206210214[Durée (100)],Horodateur112335381922313437434649525558616469852226343846505854626670747882909894102106114118110122126130134138142146150154158162166170174178182186190194198202206210214[Jour],$F$47,Horodateur112335381922313437434649525558616469852226343846505854626670747882909894102106114118110122126130134138142146150154158162166170174178182186190194198202206210214[Tâche],$A53)</f>
        <v>2.5</v>
      </c>
      <c r="G53" s="187" t="n">
        <f aca="false">SUMIFS(Horodateur112335381922313437434649525558616469852226343846505854626670747882909894102106114118110122126130134138142146150154158162166170174178182186190194198202206210214[Durée (100)],Horodateur112335381922313437434649525558616469852226343846505854626670747882909894102106114118110122126130134138142146150154158162166170174178182186190194198202206210214[Jour],$G$47,Horodateur112335381922313437434649525558616469852226343846505854626670747882909894102106114118110122126130134138142146150154158162166170174178182186190194198202206210214[Tâche],$A53)</f>
        <v>3.5</v>
      </c>
      <c r="H53" s="187" t="n">
        <f aca="false">SUMIFS(Horodateur112335381922313437434649525558616469852226343846505854626670747882909894102106114118110122126130134138142146150154158162166170174178182186190194198202206210214[Durée (100)],Horodateur112335381922313437434649525558616469852226343846505854626670747882909894102106114118110122126130134138142146150154158162166170174178182186190194198202206210214[Jour],$H$47,Horodateur112335381922313437434649525558616469852226343846505854626670747882909894102106114118110122126130134138142146150154158162166170174178182186190194198202206210214[Tâche],$A53)</f>
        <v>0</v>
      </c>
      <c r="I53" s="295" t="n">
        <f aca="false">SUM(Taches_Jour2132537401821303336424548515457606368842125333745495753616569737781899793101105113117109121125129133137141145149153157161165169173177181185189193197201205209213[[#This Row],[1- Lundi]:[7- Dimanche]])</f>
        <v>17</v>
      </c>
      <c r="J53" s="271"/>
      <c r="K53" s="1"/>
      <c r="L53" s="188"/>
      <c r="M53" s="272"/>
      <c r="N53" s="187"/>
      <c r="O53" s="1"/>
      <c r="P53" s="1"/>
      <c r="Q53" s="1"/>
      <c r="R53" s="1"/>
      <c r="S53" s="1"/>
      <c r="T53" s="1"/>
      <c r="U53" s="71"/>
      <c r="V53" s="71"/>
      <c r="W53" s="71"/>
      <c r="X53" s="71"/>
      <c r="Y53" s="71"/>
      <c r="Z53" s="71"/>
      <c r="AA53" s="71"/>
      <c r="AB53" s="71"/>
      <c r="AC53" s="71"/>
      <c r="AD53" s="71"/>
      <c r="AE53" s="71"/>
      <c r="AF53" s="71"/>
      <c r="AG53" s="71"/>
    </row>
    <row r="54" customFormat="false" ht="15" hidden="true" customHeight="false" outlineLevel="1" collapsed="false">
      <c r="A54" s="137" t="s">
        <v>382</v>
      </c>
      <c r="B54" s="187" t="n">
        <f aca="false">SUMIFS(Horodateur112335381922313437434649525558616469852226343846505854626670747882909894102106114118110122126130134138142146150154158162166170174178182186190194198202206210214[Durée (100)],Horodateur112335381922313437434649525558616469852226343846505854626670747882909894102106114118110122126130134138142146150154158162166170174178182186190194198202206210214[Jour],$B$47,Horodateur112335381922313437434649525558616469852226343846505854626670747882909894102106114118110122126130134138142146150154158162166170174178182186190194198202206210214[Tâche],$A54)</f>
        <v>0</v>
      </c>
      <c r="C54" s="187" t="n">
        <f aca="false">SUMIFS(Horodateur112335381922313437434649525558616469852226343846505854626670747882909894102106114118110122126130134138142146150154158162166170174178182186190194198202206210214[Durée (100)],Horodateur112335381922313437434649525558616469852226343846505854626670747882909894102106114118110122126130134138142146150154158162166170174178182186190194198202206210214[Jour],$C$47,Horodateur112335381922313437434649525558616469852226343846505854626670747882909894102106114118110122126130134138142146150154158162166170174178182186190194198202206210214[Tâche],$A54)</f>
        <v>0</v>
      </c>
      <c r="D54" s="187" t="n">
        <f aca="false">SUMIFS(Horodateur112335381922313437434649525558616469852226343846505854626670747882909894102106114118110122126130134138142146150154158162166170174178182186190194198202206210214[Durée (100)],Horodateur112335381922313437434649525558616469852226343846505854626670747882909894102106114118110122126130134138142146150154158162166170174178182186190194198202206210214[Jour],$D$47,Horodateur112335381922313437434649525558616469852226343846505854626670747882909894102106114118110122126130134138142146150154158162166170174178182186190194198202206210214[Tâche],$A54)</f>
        <v>0</v>
      </c>
      <c r="E54" s="187" t="n">
        <f aca="false">SUMIFS(Horodateur112335381922313437434649525558616469852226343846505854626670747882909894102106114118110122126130134138142146150154158162166170174178182186190194198202206210214[Durée (100)],Horodateur112335381922313437434649525558616469852226343846505854626670747882909894102106114118110122126130134138142146150154158162166170174178182186190194198202206210214[Jour],$E$47,Horodateur112335381922313437434649525558616469852226343846505854626670747882909894102106114118110122126130134138142146150154158162166170174178182186190194198202206210214[Tâche],$A54)</f>
        <v>0</v>
      </c>
      <c r="F54" s="71" t="n">
        <f aca="false">SUMIFS(Horodateur112335381922313437434649525558616469852226343846505854626670747882909894102106114118110122126130134138142146150154158162166170174178182186190194198202206210214[Durée (100)],Horodateur112335381922313437434649525558616469852226343846505854626670747882909894102106114118110122126130134138142146150154158162166170174178182186190194198202206210214[Jour],$F$47,Horodateur112335381922313437434649525558616469852226343846505854626670747882909894102106114118110122126130134138142146150154158162166170174178182186190194198202206210214[Tâche],$A54)</f>
        <v>0</v>
      </c>
      <c r="G54" s="187" t="n">
        <f aca="false">SUMIFS(Horodateur112335381922313437434649525558616469852226343846505854626670747882909894102106114118110122126130134138142146150154158162166170174178182186190194198202206210214[Durée (100)],Horodateur112335381922313437434649525558616469852226343846505854626670747882909894102106114118110122126130134138142146150154158162166170174178182186190194198202206210214[Jour],$G$47,Horodateur112335381922313437434649525558616469852226343846505854626670747882909894102106114118110122126130134138142146150154158162166170174178182186190194198202206210214[Tâche],$A54)</f>
        <v>0</v>
      </c>
      <c r="H54" s="187" t="n">
        <f aca="false">SUMIFS(Horodateur112335381922313437434649525558616469852226343846505854626670747882909894102106114118110122126130134138142146150154158162166170174178182186190194198202206210214[Durée (100)],Horodateur112335381922313437434649525558616469852226343846505854626670747882909894102106114118110122126130134138142146150154158162166170174178182186190194198202206210214[Jour],$H$47,Horodateur112335381922313437434649525558616469852226343846505854626670747882909894102106114118110122126130134138142146150154158162166170174178182186190194198202206210214[Tâche],$A54)</f>
        <v>0</v>
      </c>
      <c r="I54" s="295" t="n">
        <f aca="false">SUM(Taches_Jour2132537401821303336424548515457606368842125333745495753616569737781899793101105113117109121125129133137141145149153157161165169173177181185189193197201205209213[[#This Row],[1- Lundi]:[7- Dimanche]])</f>
        <v>0</v>
      </c>
      <c r="J54" s="271"/>
      <c r="K54" s="1"/>
      <c r="L54" s="188"/>
      <c r="M54" s="272"/>
      <c r="N54" s="187"/>
      <c r="O54" s="1"/>
      <c r="P54" s="1"/>
      <c r="Q54" s="1"/>
      <c r="R54" s="1"/>
      <c r="S54" s="1"/>
      <c r="T54" s="1"/>
      <c r="U54" s="71"/>
      <c r="V54" s="71"/>
      <c r="W54" s="71"/>
      <c r="X54" s="71"/>
      <c r="Y54" s="71"/>
      <c r="Z54" s="71"/>
      <c r="AA54" s="71"/>
      <c r="AB54" s="71"/>
      <c r="AC54" s="71"/>
      <c r="AD54" s="71"/>
      <c r="AE54" s="71"/>
      <c r="AF54" s="71"/>
      <c r="AG54" s="71"/>
    </row>
    <row r="55" customFormat="false" ht="15" hidden="true" customHeight="false" outlineLevel="1" collapsed="false">
      <c r="A55" s="137" t="s">
        <v>380</v>
      </c>
      <c r="B55" s="187" t="n">
        <f aca="false">SUMIFS(Horodateur112335381922313437434649525558616469852226343846505854626670747882909894102106114118110122126130134138142146150154158162166170174178182186190194198202206210214[Durée (100)],Horodateur112335381922313437434649525558616469852226343846505854626670747882909894102106114118110122126130134138142146150154158162166170174178182186190194198202206210214[Jour],$B$47,Horodateur112335381922313437434649525558616469852226343846505854626670747882909894102106114118110122126130134138142146150154158162166170174178182186190194198202206210214[Tâche],$A55)</f>
        <v>0</v>
      </c>
      <c r="C55" s="187" t="n">
        <f aca="false">SUMIFS(Horodateur112335381922313437434649525558616469852226343846505854626670747882909894102106114118110122126130134138142146150154158162166170174178182186190194198202206210214[Durée (100)],Horodateur112335381922313437434649525558616469852226343846505854626670747882909894102106114118110122126130134138142146150154158162166170174178182186190194198202206210214[Jour],$C$47,Horodateur112335381922313437434649525558616469852226343846505854626670747882909894102106114118110122126130134138142146150154158162166170174178182186190194198202206210214[Tâche],$A55)</f>
        <v>0</v>
      </c>
      <c r="D55" s="187" t="n">
        <f aca="false">SUMIFS(Horodateur112335381922313437434649525558616469852226343846505854626670747882909894102106114118110122126130134138142146150154158162166170174178182186190194198202206210214[Durée (100)],Horodateur112335381922313437434649525558616469852226343846505854626670747882909894102106114118110122126130134138142146150154158162166170174178182186190194198202206210214[Jour],$D$47,Horodateur112335381922313437434649525558616469852226343846505854626670747882909894102106114118110122126130134138142146150154158162166170174178182186190194198202206210214[Tâche],$A55)</f>
        <v>0</v>
      </c>
      <c r="E55" s="187" t="n">
        <f aca="false">SUMIFS(Horodateur112335381922313437434649525558616469852226343846505854626670747882909894102106114118110122126130134138142146150154158162166170174178182186190194198202206210214[Durée (100)],Horodateur112335381922313437434649525558616469852226343846505854626670747882909894102106114118110122126130134138142146150154158162166170174178182186190194198202206210214[Jour],$E$47,Horodateur112335381922313437434649525558616469852226343846505854626670747882909894102106114118110122126130134138142146150154158162166170174178182186190194198202206210214[Tâche],$A55)</f>
        <v>0</v>
      </c>
      <c r="F55" s="71" t="n">
        <f aca="false">SUMIFS(Horodateur112335381922313437434649525558616469852226343846505854626670747882909894102106114118110122126130134138142146150154158162166170174178182186190194198202206210214[Durée (100)],Horodateur112335381922313437434649525558616469852226343846505854626670747882909894102106114118110122126130134138142146150154158162166170174178182186190194198202206210214[Jour],$F$47,Horodateur112335381922313437434649525558616469852226343846505854626670747882909894102106114118110122126130134138142146150154158162166170174178182186190194198202206210214[Tâche],$A55)</f>
        <v>0</v>
      </c>
      <c r="G55" s="187" t="n">
        <f aca="false">SUMIFS(Horodateur112335381922313437434649525558616469852226343846505854626670747882909894102106114118110122126130134138142146150154158162166170174178182186190194198202206210214[Durée (100)],Horodateur112335381922313437434649525558616469852226343846505854626670747882909894102106114118110122126130134138142146150154158162166170174178182186190194198202206210214[Jour],$G$47,Horodateur112335381922313437434649525558616469852226343846505854626670747882909894102106114118110122126130134138142146150154158162166170174178182186190194198202206210214[Tâche],$A55)</f>
        <v>0</v>
      </c>
      <c r="H55" s="187" t="n">
        <f aca="false">SUMIFS(Horodateur112335381922313437434649525558616469852226343846505854626670747882909894102106114118110122126130134138142146150154158162166170174178182186190194198202206210214[Durée (100)],Horodateur112335381922313437434649525558616469852226343846505854626670747882909894102106114118110122126130134138142146150154158162166170174178182186190194198202206210214[Jour],$H$47,Horodateur112335381922313437434649525558616469852226343846505854626670747882909894102106114118110122126130134138142146150154158162166170174178182186190194198202206210214[Tâche],$A55)</f>
        <v>0</v>
      </c>
      <c r="I55" s="295" t="n">
        <f aca="false">SUM(Taches_Jour2132537401821303336424548515457606368842125333745495753616569737781899793101105113117109121125129133137141145149153157161165169173177181185189193197201205209213[[#This Row],[1- Lundi]:[7- Dimanche]])</f>
        <v>0</v>
      </c>
      <c r="J55" s="271"/>
      <c r="K55" s="1"/>
      <c r="L55" s="188"/>
      <c r="M55" s="272"/>
      <c r="N55" s="76"/>
    </row>
    <row r="56" customFormat="false" ht="15" hidden="true" customHeight="false" outlineLevel="1" collapsed="false">
      <c r="N56" s="76"/>
    </row>
    <row r="57" customFormat="false" ht="15" hidden="false" customHeight="false" outlineLevel="1" collapsed="false">
      <c r="G57" s="0" t="s">
        <v>383</v>
      </c>
      <c r="N57" s="76"/>
    </row>
    <row r="58" customFormat="false" ht="15" hidden="false" customHeight="false" outlineLevel="0" collapsed="false">
      <c r="N58" s="76"/>
    </row>
    <row r="59" customFormat="false" ht="15" hidden="false" customHeight="false" outlineLevel="0" collapsed="false">
      <c r="G59" s="76"/>
      <c r="N59" s="76"/>
    </row>
    <row r="60" customFormat="false" ht="15" hidden="false" customHeight="false" outlineLevel="0" collapsed="false">
      <c r="N60" s="76"/>
    </row>
    <row r="61" customFormat="false" ht="15" hidden="false" customHeight="false" outlineLevel="0" collapsed="false">
      <c r="N61" s="76"/>
    </row>
    <row r="62" customFormat="false" ht="15" hidden="false" customHeight="false" outlineLevel="0" collapsed="false">
      <c r="N62" s="76"/>
    </row>
    <row r="63" customFormat="false" ht="15" hidden="false" customHeight="false" outlineLevel="0" collapsed="false">
      <c r="N63" s="76"/>
    </row>
    <row r="64" customFormat="false" ht="15" hidden="false" customHeight="false" outlineLevel="0" collapsed="false">
      <c r="N64" s="76"/>
    </row>
    <row r="65" customFormat="false" ht="15" hidden="false" customHeight="false" outlineLevel="0" collapsed="false">
      <c r="N65" s="76"/>
    </row>
    <row r="66" customFormat="false" ht="15" hidden="false" customHeight="false" outlineLevel="0" collapsed="false">
      <c r="N66" s="76"/>
    </row>
    <row r="67" customFormat="false" ht="15" hidden="false" customHeight="false" outlineLevel="0" collapsed="false">
      <c r="N67" s="76"/>
    </row>
    <row r="68" customFormat="false" ht="15" hidden="false" customHeight="false" outlineLevel="0" collapsed="false">
      <c r="N68" s="76"/>
    </row>
    <row r="69" customFormat="false" ht="15" hidden="false" customHeight="false" outlineLevel="0" collapsed="false">
      <c r="N69" s="76"/>
    </row>
    <row r="70" customFormat="false" ht="15" hidden="false" customHeight="false" outlineLevel="0" collapsed="false">
      <c r="N70" s="76"/>
    </row>
    <row r="71" customFormat="false" ht="15" hidden="false" customHeight="false" outlineLevel="0" collapsed="false">
      <c r="N71" s="76"/>
    </row>
    <row r="72" customFormat="false" ht="15" hidden="false" customHeight="false" outlineLevel="0" collapsed="false">
      <c r="N72" s="76"/>
    </row>
    <row r="73" customFormat="false" ht="15" hidden="false" customHeight="false" outlineLevel="0" collapsed="false">
      <c r="N73" s="76"/>
    </row>
    <row r="74" customFormat="false" ht="15" hidden="false" customHeight="false" outlineLevel="0" collapsed="false">
      <c r="N74" s="76"/>
    </row>
    <row r="75" customFormat="false" ht="15" hidden="false" customHeight="false" outlineLevel="0" collapsed="false">
      <c r="N75" s="76"/>
    </row>
    <row r="76" customFormat="false" ht="15" hidden="false" customHeight="false" outlineLevel="0" collapsed="false">
      <c r="N76" s="76"/>
    </row>
    <row r="77" customFormat="false" ht="15" hidden="false" customHeight="false" outlineLevel="0" collapsed="false">
      <c r="N77" s="76"/>
    </row>
    <row r="78" customFormat="false" ht="15" hidden="false" customHeight="false" outlineLevel="0" collapsed="false">
      <c r="N78" s="76"/>
    </row>
    <row r="79" customFormat="false" ht="15" hidden="false" customHeight="false" outlineLevel="0" collapsed="false">
      <c r="A79" s="296" t="s">
        <v>384</v>
      </c>
      <c r="B79" s="296"/>
      <c r="N79" s="76"/>
    </row>
    <row r="80" customFormat="false" ht="15" hidden="false" customHeight="false" outlineLevel="0" collapsed="false">
      <c r="A80" s="297" t="s">
        <v>385</v>
      </c>
      <c r="B80" s="297" t="s">
        <v>8</v>
      </c>
      <c r="N80" s="76"/>
    </row>
    <row r="81" customFormat="false" ht="15" hidden="false" customHeight="false" outlineLevel="0" collapsed="false">
      <c r="A81" s="298" t="n">
        <v>0</v>
      </c>
      <c r="B81" s="299" t="s">
        <v>386</v>
      </c>
      <c r="N81" s="76"/>
    </row>
    <row r="82" customFormat="false" ht="15" hidden="false" customHeight="false" outlineLevel="0" collapsed="false">
      <c r="A82" s="298" t="n">
        <v>-2</v>
      </c>
      <c r="B82" s="299" t="s">
        <v>387</v>
      </c>
      <c r="N82" s="76"/>
    </row>
    <row r="83" customFormat="false" ht="15" hidden="false" customHeight="false" outlineLevel="0" collapsed="false">
      <c r="A83" s="298" t="n">
        <v>8.5</v>
      </c>
      <c r="B83" s="299" t="s">
        <v>388</v>
      </c>
      <c r="N83" s="76"/>
    </row>
    <row r="84" customFormat="false" ht="15" hidden="false" customHeight="false" outlineLevel="0" collapsed="false">
      <c r="A84" s="298" t="n">
        <v>14.5</v>
      </c>
      <c r="B84" s="299" t="s">
        <v>389</v>
      </c>
      <c r="N84" s="76"/>
    </row>
    <row r="85" customFormat="false" ht="15" hidden="false" customHeight="false" outlineLevel="0" collapsed="false">
      <c r="A85" s="298" t="n">
        <v>8.5</v>
      </c>
      <c r="B85" s="299" t="s">
        <v>390</v>
      </c>
      <c r="N85" s="76"/>
    </row>
    <row r="86" customFormat="false" ht="15" hidden="false" customHeight="false" outlineLevel="0" collapsed="false">
      <c r="A86" s="298" t="n">
        <v>10</v>
      </c>
      <c r="B86" s="299" t="s">
        <v>391</v>
      </c>
      <c r="N86" s="76"/>
    </row>
    <row r="87" customFormat="false" ht="15" hidden="false" customHeight="false" outlineLevel="0" collapsed="false">
      <c r="A87" s="298" t="n">
        <v>-7.5</v>
      </c>
      <c r="B87" s="299" t="s">
        <v>392</v>
      </c>
      <c r="N87" s="76"/>
    </row>
    <row r="88" customFormat="false" ht="15" hidden="false" customHeight="false" outlineLevel="0" collapsed="false">
      <c r="A88" s="298" t="n">
        <v>2</v>
      </c>
      <c r="B88" s="299" t="s">
        <v>393</v>
      </c>
      <c r="N88" s="76"/>
    </row>
    <row r="89" customFormat="false" ht="15" hidden="false" customHeight="false" outlineLevel="0" collapsed="false">
      <c r="A89" s="300" t="n">
        <v>2</v>
      </c>
      <c r="B89" s="301" t="s">
        <v>394</v>
      </c>
      <c r="N89" s="76"/>
    </row>
    <row r="90" customFormat="false" ht="15" hidden="false" customHeight="false" outlineLevel="0" collapsed="false">
      <c r="A90" s="300" t="n">
        <v>2.25</v>
      </c>
      <c r="B90" s="301" t="s">
        <v>395</v>
      </c>
    </row>
    <row r="91" customFormat="false" ht="15" hidden="false" customHeight="false" outlineLevel="0" collapsed="false">
      <c r="A91" s="300" t="n">
        <v>-4</v>
      </c>
      <c r="B91" s="302" t="s">
        <v>396</v>
      </c>
    </row>
    <row r="92" customFormat="false" ht="15" hidden="false" customHeight="false" outlineLevel="0" collapsed="false">
      <c r="A92" s="300" t="n">
        <v>-7.5</v>
      </c>
      <c r="B92" s="301" t="s">
        <v>397</v>
      </c>
    </row>
  </sheetData>
  <mergeCells count="1">
    <mergeCell ref="A79:B79"/>
  </mergeCells>
  <conditionalFormatting sqref="F19">
    <cfRule type="containsText" priority="2" operator="containsText" aboveAverage="0" equalAverage="0" bottom="0" percent="0" rank="0" text="Lundi" dxfId="693">
      <formula>NOT(ISERROR(SEARCH("Lundi",F19)))</formula>
    </cfRule>
  </conditionalFormatting>
  <conditionalFormatting sqref="G4:G31">
    <cfRule type="expression" priority="3" aboveAverage="0" equalAverage="0" bottom="0" percent="0" rank="0" text="" dxfId="954">
      <formula>L4="O"</formula>
    </cfRule>
    <cfRule type="expression" priority="4" aboveAverage="0" equalAverage="0" bottom="0" percent="0" rank="0" text="" dxfId="955">
      <formula>H4=0</formula>
    </cfRule>
  </conditionalFormatting>
  <conditionalFormatting sqref="F4:F31">
    <cfRule type="expression" priority="5" aboveAverage="0" equalAverage="0" bottom="0" percent="0" rank="0" text="" dxfId="956">
      <formula>L4="O"</formula>
    </cfRule>
  </conditionalFormatting>
  <conditionalFormatting sqref="E4:E31">
    <cfRule type="expression" priority="6" aboveAverage="0" equalAverage="0" bottom="0" percent="0" rank="0" text="" dxfId="957">
      <formula>L4="O"</formula>
    </cfRule>
  </conditionalFormatting>
  <conditionalFormatting sqref="K4:K31 C18:G19 C20:I31">
    <cfRule type="containsText" priority="7" operator="containsText" aboveAverage="0" equalAverage="0" bottom="0" percent="0" rank="0" text="Lundi" dxfId="693">
      <formula>NOT(ISERROR(SEARCH("Lundi",C4)))</formula>
    </cfRule>
  </conditionalFormatting>
  <conditionalFormatting sqref="D4:D31">
    <cfRule type="expression" priority="8" aboveAverage="0" equalAverage="0" bottom="0" percent="0" rank="0" text="" dxfId="958">
      <formula>L4="O"</formula>
    </cfRule>
  </conditionalFormatting>
  <conditionalFormatting sqref="C4:C31">
    <cfRule type="expression" priority="9" aboveAverage="0" equalAverage="0" bottom="0" percent="0" rank="0" text="" dxfId="959">
      <formula>L4="O"</formula>
    </cfRule>
  </conditionalFormatting>
  <conditionalFormatting sqref="C4:I17 H18:I19">
    <cfRule type="containsText" priority="10" operator="containsText" aboveAverage="0" equalAverage="0" bottom="0" percent="0" rank="0" text="Lundi" dxfId="693">
      <formula>NOT(ISERROR(SEARCH("Lundi",C4)))</formula>
    </cfRule>
  </conditionalFormatting>
  <conditionalFormatting sqref="K4:K31">
    <cfRule type="expression" priority="11" aboveAverage="0" equalAverage="0" bottom="0" percent="0" rank="0" text="" dxfId="960">
      <formula>L4="O"</formula>
    </cfRule>
  </conditionalFormatting>
  <conditionalFormatting sqref="I4:I31">
    <cfRule type="expression" priority="12" aboveAverage="0" equalAverage="0" bottom="0" percent="0" rank="0" text="" dxfId="961">
      <formula>L4="O"</formula>
    </cfRule>
  </conditionalFormatting>
  <conditionalFormatting sqref="H4:H31">
    <cfRule type="expression" priority="13" aboveAverage="0" equalAverage="0" bottom="0" percent="0" rank="0" text="" dxfId="962">
      <formula>L4="O"</formula>
    </cfRule>
  </conditionalFormatting>
  <conditionalFormatting sqref="F2:J2">
    <cfRule type="iconSet" priority="14">
      <iconSet iconSet="3TrafficLights1">
        <cfvo type="percent" val="0"/>
        <cfvo type="percent" val="33"/>
        <cfvo type="percent" val="67"/>
      </iconSet>
    </cfRule>
  </conditionalFormatting>
  <conditionalFormatting sqref="B4:B31">
    <cfRule type="containsText" priority="15" operator="containsText" aboveAverage="0" equalAverage="0" bottom="0" percent="0" rank="0" text="5" dxfId="963">
      <formula>NOT(ISERROR(SEARCH("5",B4)))</formula>
    </cfRule>
    <cfRule type="containsText" priority="16" operator="containsText" aboveAverage="0" equalAverage="0" bottom="0" percent="0" rank="0" text="4" dxfId="964">
      <formula>NOT(ISERROR(SEARCH("4",B4)))</formula>
    </cfRule>
    <cfRule type="containsText" priority="17" operator="containsText" aboveAverage="0" equalAverage="0" bottom="0" percent="0" rank="0" text="3" dxfId="965">
      <formula>NOT(ISERROR(SEARCH("3",B4)))</formula>
    </cfRule>
    <cfRule type="containsText" priority="18" operator="containsText" aboveAverage="0" equalAverage="0" bottom="0" percent="0" rank="0" text="2" dxfId="966">
      <formula>NOT(ISERROR(SEARCH("2",B4)))</formula>
    </cfRule>
    <cfRule type="containsText" priority="19" operator="containsText" aboveAverage="0" equalAverage="0" bottom="0" percent="0" rank="0" text="1" dxfId="967">
      <formula>NOT(ISERROR(SEARCH("1",B4)))</formula>
    </cfRule>
  </conditionalFormatting>
  <conditionalFormatting sqref="I48:I55">
    <cfRule type="dataBar" priority="20">
      <dataBar showValue="1" minLength="10" maxLength="90">
        <cfvo type="min" val="0"/>
        <cfvo type="max" val="0"/>
        <color rgb="FFFFB628"/>
      </dataBar>
      <extLst>
        <ext xmlns:x14="http://schemas.microsoft.com/office/spreadsheetml/2009/9/main" uri="{B025F937-C7B1-47D3-B67F-A62EFF666E3E}">
          <x14:id>{A8899A88-C744-433D-8DE4-B6BEF3D9B080}</x14:id>
        </ext>
      </extLst>
    </cfRule>
  </conditionalFormatting>
  <conditionalFormatting sqref="I44:I45 J39:J43">
    <cfRule type="dataBar" priority="21">
      <dataBar showValue="1" minLength="10" maxLength="90">
        <cfvo type="min" val="0"/>
        <cfvo type="max" val="0"/>
        <color rgb="FFFFB628"/>
      </dataBar>
      <extLst>
        <ext xmlns:x14="http://schemas.microsoft.com/office/spreadsheetml/2009/9/main" uri="{B025F937-C7B1-47D3-B67F-A62EFF666E3E}">
          <x14:id>{C41E60B1-F0E4-4874-A4C2-332519C09A62}</x14:id>
        </ext>
      </extLst>
    </cfRule>
  </conditionalFormatting>
  <conditionalFormatting sqref="U2:AG2">
    <cfRule type="dataBar" priority="22">
      <dataBar showValue="1" minLength="10" maxLength="90">
        <cfvo type="min" val="0"/>
        <cfvo type="max" val="0"/>
        <color rgb="FF63C384"/>
      </dataBar>
      <extLst>
        <ext xmlns:x14="http://schemas.microsoft.com/office/spreadsheetml/2009/9/main" uri="{B025F937-C7B1-47D3-B67F-A62EFF666E3E}">
          <x14:id>{EB88B291-978E-4BF4-933F-701FC7ABD6D5}</x14:id>
        </ext>
      </extLst>
    </cfRule>
  </conditionalFormatting>
  <conditionalFormatting sqref="N2:T2">
    <cfRule type="dataBar" priority="23">
      <dataBar showValue="1" minLength="10" maxLength="90">
        <cfvo type="min" val="0"/>
        <cfvo type="max" val="0"/>
        <color rgb="FFFFB628"/>
      </dataBar>
      <extLst>
        <ext xmlns:x14="http://schemas.microsoft.com/office/spreadsheetml/2009/9/main" uri="{B025F937-C7B1-47D3-B67F-A62EFF666E3E}">
          <x14:id>{21132F5F-2FEF-4730-8E58-6D4BC73B1545}</x14:id>
        </ext>
      </extLst>
    </cfRule>
  </conditionalFormatting>
  <conditionalFormatting sqref="N2:AG2">
    <cfRule type="dataBar" priority="24">
      <dataBar showValue="1" minLength="10" maxLength="90">
        <cfvo type="min" val="0"/>
        <cfvo type="max" val="0"/>
        <color rgb="FFFFB628"/>
      </dataBar>
      <extLst>
        <ext xmlns:x14="http://schemas.microsoft.com/office/spreadsheetml/2009/9/main" uri="{B025F937-C7B1-47D3-B67F-A62EFF666E3E}">
          <x14:id>{2840CC5D-D963-4ECA-AB7C-CBD0AFE9F0A5}</x14:id>
        </ext>
      </extLst>
    </cfRule>
  </conditionalFormatting>
  <conditionalFormatting sqref="N2:S2">
    <cfRule type="dataBar" priority="25">
      <dataBar showValue="1" minLength="10" maxLength="90">
        <cfvo type="min" val="0"/>
        <cfvo type="max" val="0"/>
        <color rgb="FF638EC6"/>
      </dataBar>
      <extLst>
        <ext xmlns:x14="http://schemas.microsoft.com/office/spreadsheetml/2009/9/main" uri="{B025F937-C7B1-47D3-B67F-A62EFF666E3E}">
          <x14:id>{C27CD810-16A9-4721-B86A-2118922EDB97}</x14:id>
        </ext>
      </extLst>
    </cfRule>
  </conditionalFormatting>
  <conditionalFormatting sqref="T2">
    <cfRule type="dataBar" priority="26">
      <dataBar showValue="1" minLength="10" maxLength="90">
        <cfvo type="min" val="0"/>
        <cfvo type="max" val="0"/>
        <color rgb="FF63C384"/>
      </dataBar>
      <extLst>
        <ext xmlns:x14="http://schemas.microsoft.com/office/spreadsheetml/2009/9/main" uri="{B025F937-C7B1-47D3-B67F-A62EFF666E3E}">
          <x14:id>{F824F295-7025-4DE3-9E23-7D5EAB925D89}</x14:id>
        </ext>
      </extLst>
    </cfRule>
  </conditionalFormatting>
  <conditionalFormatting sqref="A4:A31">
    <cfRule type="colorScale" priority="27">
      <colorScale>
        <cfvo type="min" val="0"/>
        <cfvo type="percentile" val="50"/>
        <cfvo type="max" val="0"/>
        <color rgb="FFFFCC99"/>
        <color rgb="FFFFD966"/>
        <color rgb="FFFFF2CC"/>
      </colorScale>
    </cfRule>
  </conditionalFormatting>
  <conditionalFormatting sqref="J4:J31">
    <cfRule type="iconSet" priority="28">
      <iconSet iconSet="3TrafficLights1">
        <cfvo type="percent" val="0"/>
        <cfvo type="percent" val="33"/>
        <cfvo type="percent" val="67"/>
      </iconSet>
    </cfRule>
  </conditionalFormatting>
  <dataValidations count="4">
    <dataValidation allowBlank="true" errorStyle="stop" operator="between" showDropDown="false" showErrorMessage="true" showInputMessage="true" sqref="B1" type="list">
      <formula1>Data!$A$2:$A$106</formula1>
      <formula2>0</formula2>
    </dataValidation>
    <dataValidation allowBlank="true" errorStyle="information" errorTitle="OK ?" operator="between" showDropDown="false" showErrorMessage="true" showInputMessage="true" sqref="F4:F17 F19:F31" type="list">
      <formula1>Data!$D$2:$D$16</formula1>
      <formula2>0</formula2>
    </dataValidation>
    <dataValidation allowBlank="false" errorStyle="stop" operator="between" showDropDown="false" showErrorMessage="true" showInputMessage="true" sqref="E4:E17 E20:E31" type="list">
      <formula1>Data!$E$2:$E$30</formula1>
      <formula2>0</formula2>
    </dataValidation>
    <dataValidation allowBlank="true" errorStyle="stop" operator="between" showDropDown="false" showErrorMessage="true" showInputMessage="true" sqref="B4:B31" type="list">
      <formula1>Data!$C$2:$C$8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  <tableParts>
    <tablePart r:id="rId4"/>
    <tablePart r:id="rId5"/>
    <tablePart r:id="rId6"/>
    <tablePart r:id="rId7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A8899A88-C744-433D-8DE4-B6BEF3D9B080}">
            <x14:dataBar minLength="10" maxLength="90" axisPosition="automatic" gradient="true">
              <x14:cfvo type="autoMin"/>
              <x14:cfvo type="autoMax"/>
              <x14:negativeFillColor rgb="FFFF0000"/>
              <x14:axisColor rgb="FF000000"/>
            </x14:dataBar>
          </x14:cfRule>
          <xm:sqref>I48:I55</xm:sqref>
        </x14:conditionalFormatting>
        <x14:conditionalFormatting xmlns:xm="http://schemas.microsoft.com/office/excel/2006/main">
          <x14:cfRule type="dataBar" id="{C41E60B1-F0E4-4874-A4C2-332519C09A62}">
            <x14:dataBar minLength="10" maxLength="90" axisPosition="automatic" gradient="true">
              <x14:cfvo type="autoMin"/>
              <x14:cfvo type="autoMax"/>
              <x14:negativeFillColor rgb="FFFF0000"/>
              <x14:axisColor rgb="FF000000"/>
            </x14:dataBar>
          </x14:cfRule>
          <xm:sqref>I44:I45 J39:J43</xm:sqref>
        </x14:conditionalFormatting>
        <x14:conditionalFormatting xmlns:xm="http://schemas.microsoft.com/office/excel/2006/main">
          <x14:cfRule type="dataBar" id="{EB88B291-978E-4BF4-933F-701FC7ABD6D5}">
            <x14:dataBar minLength="10" maxLength="90" axisPosition="automatic" gradient="true">
              <x14:cfvo type="autoMin"/>
              <x14:cfvo type="autoMax"/>
              <x14:negativeFillColor rgb="FFFF0000"/>
              <x14:axisColor rgb="FF000000"/>
            </x14:dataBar>
          </x14:cfRule>
          <xm:sqref>U2:AG2</xm:sqref>
        </x14:conditionalFormatting>
        <x14:conditionalFormatting xmlns:xm="http://schemas.microsoft.com/office/excel/2006/main">
          <x14:cfRule type="dataBar" id="{21132F5F-2FEF-4730-8E58-6D4BC73B1545}">
            <x14:dataBar minLength="10" maxLength="90" axisPosition="automatic" gradient="true">
              <x14:cfvo type="autoMin"/>
              <x14:cfvo type="autoMax"/>
              <x14:negativeFillColor rgb="FFFF0000"/>
              <x14:axisColor rgb="FF000000"/>
            </x14:dataBar>
          </x14:cfRule>
          <xm:sqref>N2:T2</xm:sqref>
        </x14:conditionalFormatting>
        <x14:conditionalFormatting xmlns:xm="http://schemas.microsoft.com/office/excel/2006/main">
          <x14:cfRule type="dataBar" id="{2840CC5D-D963-4ECA-AB7C-CBD0AFE9F0A5}">
            <x14:dataBar minLength="10" maxLength="90" axisPosition="automatic" gradient="false">
              <x14:cfvo type="autoMin"/>
              <x14:cfvo type="autoMax"/>
              <x14:negativeFillColor rgb="FFFF0000"/>
              <x14:axisColor rgb="FF000000"/>
            </x14:dataBar>
          </x14:cfRule>
          <xm:sqref>N2:AG2</xm:sqref>
        </x14:conditionalFormatting>
        <x14:conditionalFormatting xmlns:xm="http://schemas.microsoft.com/office/excel/2006/main">
          <x14:cfRule type="dataBar" id="{C27CD810-16A9-4721-B86A-2118922EDB97}">
            <x14:dataBar minLength="10" maxLength="90" axisPosition="automatic" gradient="false">
              <x14:cfvo type="autoMin"/>
              <x14:cfvo type="autoMax"/>
              <x14:negativeFillColor rgb="FFFF0000"/>
              <x14:axisColor rgb="FF000000"/>
            </x14:dataBar>
          </x14:cfRule>
          <xm:sqref>N2:S2</xm:sqref>
        </x14:conditionalFormatting>
        <x14:conditionalFormatting xmlns:xm="http://schemas.microsoft.com/office/excel/2006/main">
          <x14:cfRule type="dataBar" id="{F824F295-7025-4DE3-9E23-7D5EAB925D89}">
            <x14:dataBar minLength="10" maxLength="90" axisPosition="automatic" gradient="false">
              <x14:cfvo type="autoMin"/>
              <x14:cfvo type="autoMax"/>
              <x14:negativeFillColor rgb="FFFF0000"/>
              <x14:axisColor rgb="FF000000"/>
            </x14:dataBar>
          </x14:cfRule>
          <xm:sqref>T2</xm:sqref>
        </x14:conditionalFormatting>
      </x14:conditionalFormattings>
    </ext>
  </extLst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J8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C25" activeCellId="0" sqref="C25"/>
    </sheetView>
  </sheetViews>
  <sheetFormatPr defaultColWidth="8.6796875" defaultRowHeight="15" zeroHeight="false" outlineLevelRow="1" outlineLevelCol="1"/>
  <cols>
    <col collapsed="false" customWidth="true" hidden="false" outlineLevel="0" max="1" min="1" style="0" width="16.57"/>
    <col collapsed="false" customWidth="true" hidden="false" outlineLevel="0" max="2" min="2" style="0" width="17.71"/>
    <col collapsed="false" customWidth="true" hidden="false" outlineLevel="0" max="3" min="3" style="0" width="17"/>
    <col collapsed="false" customWidth="true" hidden="false" outlineLevel="0" max="4" min="4" style="0" width="14.71"/>
    <col collapsed="false" customWidth="true" hidden="false" outlineLevel="0" max="5" min="5" style="0" width="15.57"/>
    <col collapsed="false" customWidth="true" hidden="false" outlineLevel="0" max="6" min="6" style="0" width="20.14"/>
    <col collapsed="false" customWidth="true" hidden="false" outlineLevel="0" max="7" min="7" style="0" width="26"/>
    <col collapsed="false" customWidth="true" hidden="false" outlineLevel="0" max="8" min="8" style="0" width="12.71"/>
    <col collapsed="false" customWidth="true" hidden="false" outlineLevel="0" max="9" min="9" style="0" width="12.42"/>
    <col collapsed="false" customWidth="true" hidden="false" outlineLevel="0" max="10" min="10" style="0" width="13"/>
    <col collapsed="false" customWidth="true" hidden="false" outlineLevel="0" max="11" min="11" style="0" width="11"/>
    <col collapsed="false" customWidth="true" hidden="false" outlineLevel="0" max="12" min="12" style="0" width="7.71"/>
    <col collapsed="false" customWidth="true" hidden="false" outlineLevel="0" max="13" min="13" style="224" width="9.86"/>
    <col collapsed="false" customWidth="true" hidden="true" outlineLevel="1" max="15" min="14" style="0" width="7.29"/>
    <col collapsed="false" customWidth="true" hidden="true" outlineLevel="1" max="16" min="16" style="0" width="8.57"/>
    <col collapsed="false" customWidth="true" hidden="true" outlineLevel="1" max="18" min="17" style="0" width="7.29"/>
    <col collapsed="false" customWidth="true" hidden="true" outlineLevel="1" max="19" min="19" style="0" width="8.57"/>
    <col collapsed="false" customWidth="true" hidden="true" outlineLevel="1" max="20" min="20" style="0" width="7.71"/>
    <col collapsed="false" customWidth="true" hidden="true" outlineLevel="1" max="21" min="21" style="0" width="12"/>
    <col collapsed="false" customWidth="true" hidden="true" outlineLevel="1" max="22" min="22" style="0" width="10.14"/>
    <col collapsed="false" customWidth="true" hidden="true" outlineLevel="1" max="23" min="23" style="0" width="11.71"/>
    <col collapsed="false" customWidth="true" hidden="true" outlineLevel="1" max="24" min="24" style="0" width="12.71"/>
    <col collapsed="false" customWidth="true" hidden="true" outlineLevel="1" max="25" min="25" style="0" width="8.57"/>
    <col collapsed="false" customWidth="true" hidden="true" outlineLevel="1" max="26" min="26" style="0" width="7.29"/>
    <col collapsed="false" customWidth="true" hidden="true" outlineLevel="1" max="27" min="27" style="0" width="9.71"/>
    <col collapsed="false" customWidth="true" hidden="true" outlineLevel="1" max="28" min="28" style="0" width="11.43"/>
    <col collapsed="false" customWidth="true" hidden="true" outlineLevel="1" max="29" min="29" style="0" width="7.29"/>
    <col collapsed="false" customWidth="true" hidden="true" outlineLevel="1" max="30" min="30" style="0" width="9.86"/>
    <col collapsed="false" customWidth="true" hidden="true" outlineLevel="1" max="31" min="31" style="0" width="7.86"/>
    <col collapsed="false" customWidth="true" hidden="true" outlineLevel="1" max="32" min="32" style="0" width="9.86"/>
    <col collapsed="false" customWidth="true" hidden="false" outlineLevel="1" max="33" min="33" style="0" width="1.42"/>
    <col collapsed="false" customWidth="true" hidden="false" outlineLevel="1" max="34" min="34" style="0" width="5.42"/>
  </cols>
  <sheetData>
    <row r="1" customFormat="false" ht="22.05" hidden="false" customHeight="false" outlineLevel="0" collapsed="false">
      <c r="A1" s="225" t="str">
        <f aca="false">"Semaine du " &amp; Data!D41</f>
        <v>Semaine du </v>
      </c>
      <c r="B1" s="226" t="n">
        <v>44193</v>
      </c>
      <c r="C1" s="227"/>
      <c r="D1" s="321" t="s">
        <v>361</v>
      </c>
      <c r="E1" s="322" t="n">
        <f aca="false">AVERAGE(F2:J2)</f>
        <v>6</v>
      </c>
      <c r="F1" s="323" t="s">
        <v>0</v>
      </c>
      <c r="G1" s="324" t="s">
        <v>1</v>
      </c>
      <c r="H1" s="324" t="s">
        <v>2</v>
      </c>
      <c r="I1" s="324" t="s">
        <v>3</v>
      </c>
      <c r="J1" s="324" t="s">
        <v>4</v>
      </c>
      <c r="K1" s="325" t="s">
        <v>401</v>
      </c>
      <c r="L1" s="234" t="n">
        <f aca="false">COUNTIF(Horodateur112335381922313437434649525558616469852226343846505854626670747882909894102106114118110122126130134138142146150154158162166170174178182186190194198202206210[O],"o")+ COUNTIF(Horodateur112335381922313437434649525558616469852226343846505854626670747882909894102106114118110122126130134138142146150154158162166170174178182186190194198202206210[O],".")</f>
        <v>19</v>
      </c>
      <c r="M1" s="128" t="n">
        <f aca="false">B2</f>
        <v>30</v>
      </c>
      <c r="N1" s="131" t="s">
        <v>21</v>
      </c>
      <c r="O1" s="130" t="s">
        <v>20</v>
      </c>
      <c r="P1" s="130" t="s">
        <v>23</v>
      </c>
      <c r="Q1" s="130" t="s">
        <v>25</v>
      </c>
      <c r="R1" s="130" t="s">
        <v>26</v>
      </c>
      <c r="S1" s="130" t="s">
        <v>378</v>
      </c>
      <c r="T1" s="130" t="s">
        <v>380</v>
      </c>
      <c r="U1" s="136" t="s">
        <v>32</v>
      </c>
      <c r="V1" s="136" t="s">
        <v>69</v>
      </c>
      <c r="W1" s="136" t="s">
        <v>66</v>
      </c>
      <c r="X1" s="136" t="s">
        <v>47</v>
      </c>
      <c r="Y1" s="136" t="s">
        <v>68</v>
      </c>
      <c r="Z1" s="136" t="s">
        <v>41</v>
      </c>
      <c r="AA1" s="136" t="s">
        <v>61</v>
      </c>
      <c r="AB1" s="136" t="s">
        <v>74</v>
      </c>
      <c r="AC1" s="136" t="s">
        <v>37</v>
      </c>
      <c r="AD1" s="136" t="s">
        <v>77</v>
      </c>
      <c r="AE1" s="136" t="s">
        <v>45</v>
      </c>
      <c r="AF1" s="136" t="s">
        <v>78</v>
      </c>
      <c r="AG1" s="136" t="s">
        <v>79</v>
      </c>
      <c r="AH1" s="87" t="str">
        <f aca="false">SUM(M4:M22) &amp; " / " &amp; B2-SUM(M4:M22)</f>
        <v>30 / 0</v>
      </c>
      <c r="AJ1" s="87" t="s">
        <v>704</v>
      </c>
    </row>
    <row r="2" customFormat="false" ht="22.05" hidden="false" customHeight="false" outlineLevel="0" collapsed="false">
      <c r="A2" s="327" t="n">
        <f aca="false">SUM(Horodateur112335381922313437434649525558616469852226343846505854626670747882909894102106114118110122126130134138142146150154158162166170174178182186190194198202206210[Durée (60)])</f>
        <v>1.25</v>
      </c>
      <c r="B2" s="328" t="n">
        <f aca="false">SUM(Horodateur112335381922313437434649525558616469852226343846505854626670747882909894102106114118110122126130134138142146150154158162166170174178182186190194198202206210[Durée (100)])</f>
        <v>30</v>
      </c>
      <c r="C2" s="339" t="str">
        <f aca="false">M2</f>
        <v>30 / 0</v>
      </c>
      <c r="D2" s="238"/>
      <c r="E2" s="239"/>
      <c r="F2" s="329" t="n">
        <f aca="false">SUMIF(Horodateur112335381922313437434649525558616469852226343846505854626670747882909894102106114118110122126130134138142146150154158162166170174178182186190194198202206210[Jour],"1- Lundi",Horodateur112335381922313437434649525558616469852226343846505854626670747882909894102106114118110122126130134138142146150154158162166170174178182186190194198202206210[Durée (100)])</f>
        <v>8</v>
      </c>
      <c r="G2" s="330" t="n">
        <f aca="false">SUMIF(Horodateur112335381922313437434649525558616469852226343846505854626670747882909894102106114118110122126130134138142146150154158162166170174178182186190194198202206210[Jour],"2- Mardi",Horodateur112335381922313437434649525558616469852226343846505854626670747882909894102106114118110122126130134138142146150154158162166170174178182186190194198202206210[Durée (100)])</f>
        <v>4.75</v>
      </c>
      <c r="H2" s="330" t="n">
        <f aca="false">SUMIF(Horodateur112335381922313437434649525558616469852226343846505854626670747882909894102106114118110122126130134138142146150154158162166170174178182186190194198202206210[Jour],"3- Mercredi",Horodateur112335381922313437434649525558616469852226343846505854626670747882909894102106114118110122126130134138142146150154158162166170174178182186190194198202206210[Durée (100)])</f>
        <v>8</v>
      </c>
      <c r="I2" s="330" t="n">
        <f aca="false">SUMIF(Horodateur112335381922313437434649525558616469852226343846505854626670747882909894102106114118110122126130134138142146150154158162166170174178182186190194198202206210[Jour],"4- Jeudi",Horodateur112335381922313437434649525558616469852226343846505854626670747882909894102106114118110122126130134138142146150154158162166170174178182186190194198202206210[Durée (100)])</f>
        <v>8</v>
      </c>
      <c r="J2" s="330" t="n">
        <f aca="false">SUMIF(Horodateur112335381922313437434649525558616469852226343846505854626670747882909894102106114118110122126130134138142146150154158162166170174178182186190194198202206210[Jour],"5- Vendredi",Horodateur112335381922313437434649525558616469852226343846505854626670747882909894102106114118110122126130134138142146150154158162166170174178182186190194198202206210[Durée (100)])</f>
        <v>1.25</v>
      </c>
      <c r="K2" s="331" t="str">
        <f aca="false">ROUND(SUMIF(Horodateur112335381922313437434649525558616469852226343846505854626670747882909894102106114118110122126130134138142146150154158162166170174178182186190194198202206210[Jour],"6- Samedi",Horodateur112335381922313437434649525558616469852226343846505854626670747882909894102106114118110122126130134138142146150154158162166170174178182186190194198202206210[Durée (100)]),2) &amp;  "   /    " &amp;  ROUND(SUMIF(Horodateur112335381922313437434649525558616469852226343846505854626670747882909894102106114118110122126130134138142146150154158162166170174178182186190194198202206210[Jour],"7- Dimanche",Horodateur112335381922313437434649525558616469852226343846505854626670747882909894102106114118110122126130134138142146150154158162166170174178182186190194198202206210[Durée (100)]),2)</f>
        <v>0   /    0</v>
      </c>
      <c r="L2" s="244" t="str">
        <f aca="false">COUNTIF(Horodateur112335381922313437434649525558616469852226343846505854626670747882909894102106114118110122126130134138142146150154158162166170174178182186190194198202206210[O],"o")&amp;" / " &amp;  COUNTIF(Horodateur112335381922313437434649525558616469852226343846505854626670747882909894102106114118110122126130134138142146150154158162166170174178182186190194198202206210[O],".")</f>
        <v>19 / 0</v>
      </c>
      <c r="M2" s="143" t="str">
        <f aca="false">SUM(M4:M22) &amp; " / " &amp; B2-SUM(M4:M22)</f>
        <v>30 / 0</v>
      </c>
      <c r="N2" s="248" t="n">
        <f aca="false">SUMIF(Horodateur112335381922313437434649525558616469852226343846505854626670747882909894102106114118110122126130134138142146150154158162166170174178182186190194198202206210[Tâche],N$1,Horodateur112335381922313437434649525558616469852226343846505854626670747882909894102106114118110122126130134138142146150154158162166170174178182186190194198202206210[Durée (100)])</f>
        <v>2.75</v>
      </c>
      <c r="O2" s="247" t="n">
        <f aca="false">SUMIF(Horodateur112335381922313437434649525558616469852226343846505854626670747882909894102106114118110122126130134138142146150154158162166170174178182186190194198202206210[Tâche],O$1,Horodateur112335381922313437434649525558616469852226343846505854626670747882909894102106114118110122126130134138142146150154158162166170174178182186190194198202206210[Durée (100)])</f>
        <v>0</v>
      </c>
      <c r="P2" s="247" t="n">
        <f aca="false">SUMIF(Horodateur112335381922313437434649525558616469852226343846505854626670747882909894102106114118110122126130134138142146150154158162166170174178182186190194198202206210[Tâche],P$1,Horodateur112335381922313437434649525558616469852226343846505854626670747882909894102106114118110122126130134138142146150154158162166170174178182186190194198202206210[Durée (100)])</f>
        <v>2</v>
      </c>
      <c r="Q2" s="247" t="n">
        <f aca="false">SUMIF(Horodateur112335381922313437434649525558616469852226343846505854626670747882909894102106114118110122126130134138142146150154158162166170174178182186190194198202206210[Tâche],Q$1,Horodateur112335381922313437434649525558616469852226343846505854626670747882909894102106114118110122126130134138142146150154158162166170174178182186190194198202206210[Durée (100)])</f>
        <v>0</v>
      </c>
      <c r="R2" s="247" t="n">
        <f aca="false">SUMIF(Horodateur112335381922313437434649525558616469852226343846505854626670747882909894102106114118110122126130134138142146150154158162166170174178182186190194198202206210[Tâche],R$1,Horodateur112335381922313437434649525558616469852226343846505854626670747882909894102106114118110122126130134138142146150154158162166170174178182186190194198202206210[Durée (100)])</f>
        <v>0</v>
      </c>
      <c r="S2" s="247" t="n">
        <f aca="false">SUMIF(Horodateur112335381922313437434649525558616469852226343846505854626670747882909894102106114118110122126130134138142146150154158162166170174178182186190194198202206210[Tâche],S$1,Horodateur112335381922313437434649525558616469852226343846505854626670747882909894102106114118110122126130134138142146150154158162166170174178182186190194198202206210[Durée (100)])</f>
        <v>12.5</v>
      </c>
      <c r="T2" s="247" t="n">
        <f aca="false">SUMIF(Horodateur112335381922313437434649525558616469852226343846505854626670747882909894102106114118110122126130134138142146150154158162166170174178182186190194198202206210[Tâche],T$1,Horodateur112335381922313437434649525558616469852226343846505854626670747882909894102106114118110122126130134138142146150154158162166170174178182186190194198202206210[Durée (100)])</f>
        <v>0</v>
      </c>
      <c r="U2" s="151" t="n">
        <f aca="false">SUMIF(Horodateur112335381922313437434649525558616469852226343846505854626670747882909894102106114118110122126130134138142146150154158162166170174178182186190194198202206210[Client],U$1,Horodateur112335381922313437434649525558616469852226343846505854626670747882909894102106114118110122126130134138142146150154158162166170174178182186190194198202206210[Durée (100)])</f>
        <v>17.25</v>
      </c>
      <c r="V2" s="151" t="n">
        <f aca="false">SUMIF(Horodateur112335381922313437434649525558616469852226343846505854626670747882909894102106114118110122126130134138142146150154158162166170174178182186190194198202206210[Client],V$1,Horodateur112335381922313437434649525558616469852226343846505854626670747882909894102106114118110122126130134138142146150154158162166170174178182186190194198202206210[Durée (100)])</f>
        <v>0</v>
      </c>
      <c r="W2" s="151" t="n">
        <f aca="false">SUMIF(Horodateur112335381922313437434649525558616469852226343846505854626670747882909894102106114118110122126130134138142146150154158162166170174178182186190194198202206210[Client],W$1,Horodateur112335381922313437434649525558616469852226343846505854626670747882909894102106114118110122126130134138142146150154158162166170174178182186190194198202206210[Durée (100)])</f>
        <v>0.249999999999999</v>
      </c>
      <c r="X2" s="151" t="n">
        <f aca="false">SUMIF(Horodateur112335381922313437434649525558616469852226343846505854626670747882909894102106114118110122126130134138142146150154158162166170174178182186190194198202206210[Client],X$1,Horodateur112335381922313437434649525558616469852226343846505854626670747882909894102106114118110122126130134138142146150154158162166170174178182186190194198202206210[Durée (100)])</f>
        <v>0</v>
      </c>
      <c r="Y2" s="151" t="n">
        <f aca="false">SUMIF(Horodateur112335381922313437434649525558616469852226343846505854626670747882909894102106114118110122126130134138142146150154158162166170174178182186190194198202206210[Client],Y$1,Horodateur112335381922313437434649525558616469852226343846505854626670747882909894102106114118110122126130134138142146150154158162166170174178182186190194198202206210[Durée (100)])</f>
        <v>0</v>
      </c>
      <c r="Z2" s="151" t="n">
        <f aca="false">SUMIF(Horodateur112335381922313437434649525558616469852226343846505854626670747882909894102106114118110122126130134138142146150154158162166170174178182186190194198202206210[Client],Z$1,Horodateur112335381922313437434649525558616469852226343846505854626670747882909894102106114118110122126130134138142146150154158162166170174178182186190194198202206210[Durée (100)])</f>
        <v>0</v>
      </c>
      <c r="AA2" s="151" t="n">
        <f aca="false">SUMIF(Horodateur112335381922313437434649525558616469852226343846505854626670747882909894102106114118110122126130134138142146150154158162166170174178182186190194198202206210[Client],AA$1,Horodateur112335381922313437434649525558616469852226343846505854626670747882909894102106114118110122126130134138142146150154158162166170174178182186190194198202206210[Durée (100)])</f>
        <v>0</v>
      </c>
      <c r="AB2" s="151" t="n">
        <f aca="false">SUMIF(Horodateur112335381922313437434649525558616469852226343846505854626670747882909894102106114118110122126130134138142146150154158162166170174178182186190194198202206210[Client],AB$1,Horodateur112335381922313437434649525558616469852226343846505854626670747882909894102106114118110122126130134138142146150154158162166170174178182186190194198202206210[Durée (100)])</f>
        <v>1.25</v>
      </c>
      <c r="AC2" s="151" t="n">
        <f aca="false">SUMIF(Horodateur112335381922313437434649525558616469852226343846505854626670747882909894102106114118110122126130134138142146150154158162166170174178182186190194198202206210[Client],AC$1,Horodateur112335381922313437434649525558616469852226343846505854626670747882909894102106114118110122126130134138142146150154158162166170174178182186190194198202206210[Durée (100)])</f>
        <v>10.5</v>
      </c>
      <c r="AD2" s="151" t="n">
        <f aca="false">SUMIF(Horodateur112335381922313437434649525558616469852226343846505854626670747882909894102106114118110122126130134138142146150154158162166170174178182186190194198202206210[Client],AD$1,Horodateur112335381922313437434649525558616469852226343846505854626670747882909894102106114118110122126130134138142146150154158162166170174178182186190194198202206210[Durée (100)])</f>
        <v>0</v>
      </c>
      <c r="AE2" s="151" t="n">
        <f aca="false">SUMIF(Horodateur112335381922313437434649525558616469852226343846505854626670747882909894102106114118110122126130134138142146150154158162166170174178182186190194198202206210[Client],AE$1,Horodateur112335381922313437434649525558616469852226343846505854626670747882909894102106114118110122126130134138142146150154158162166170174178182186190194198202206210[Durée (100)])</f>
        <v>0.25</v>
      </c>
      <c r="AF2" s="151" t="n">
        <f aca="false">SUMIF(Horodateur112335381922313437434649525558616469852226343846505854626670747882909894102106114118110122126130134138142146150154158162166170174178182186190194198202206210[Client],AF$1,Horodateur112335381922313437434649525558616469852226343846505854626670747882909894102106114118110122126130134138142146150154158162166170174178182186190194198202206210[Durée (100)])</f>
        <v>0</v>
      </c>
      <c r="AG2" s="151" t="n">
        <f aca="false">SUMIF(Horodateur112335381922313437434649525558616469852226343846505854626670747882909894102106114118110122126130134138142146150154158162166170174178182186190194198202206210[Client],AG$1,Horodateur112335381922313437434649525558616469852226343846505854626670747882909894102106114118110122126130134138142146150154158162166170174178182186190194198202206210[Durée (100)])</f>
        <v>0</v>
      </c>
    </row>
    <row r="3" s="137" customFormat="true" ht="15" hidden="false" customHeight="false" outlineLevel="0" collapsed="false">
      <c r="A3" s="249" t="s">
        <v>8</v>
      </c>
      <c r="B3" s="249" t="s">
        <v>9</v>
      </c>
      <c r="C3" s="193" t="s">
        <v>10</v>
      </c>
      <c r="D3" s="193" t="s">
        <v>11</v>
      </c>
      <c r="E3" s="250" t="s">
        <v>12</v>
      </c>
      <c r="F3" s="250" t="s">
        <v>13</v>
      </c>
      <c r="G3" s="250" t="s">
        <v>14</v>
      </c>
      <c r="H3" s="193" t="s">
        <v>302</v>
      </c>
      <c r="I3" s="252" t="s">
        <v>364</v>
      </c>
      <c r="J3" s="253" t="s">
        <v>365</v>
      </c>
      <c r="K3" s="250" t="s">
        <v>402</v>
      </c>
      <c r="L3" s="255" t="s">
        <v>7</v>
      </c>
      <c r="M3" s="254" t="s">
        <v>29</v>
      </c>
      <c r="N3" s="153" t="n">
        <f aca="false">N2/$B$2</f>
        <v>0.0916666666666667</v>
      </c>
      <c r="O3" s="153" t="n">
        <f aca="false">O2/$B$2</f>
        <v>0</v>
      </c>
      <c r="P3" s="153" t="n">
        <f aca="false">P2/$B$2</f>
        <v>0.0666666666666666</v>
      </c>
      <c r="Q3" s="153" t="n">
        <f aca="false">Q2/$B$2</f>
        <v>0</v>
      </c>
      <c r="R3" s="153" t="n">
        <f aca="false">R2/$B$2</f>
        <v>0</v>
      </c>
      <c r="S3" s="153" t="n">
        <f aca="false">S2/$B$2</f>
        <v>0.416666666666667</v>
      </c>
      <c r="T3" s="153" t="n">
        <f aca="false">T2/$B$2</f>
        <v>0</v>
      </c>
      <c r="U3" s="153" t="n">
        <f aca="false">U2/$B$2</f>
        <v>0.575</v>
      </c>
      <c r="V3" s="153" t="n">
        <f aca="false">V2/$B$2</f>
        <v>0</v>
      </c>
      <c r="W3" s="153" t="n">
        <f aca="false">W2/$B$2</f>
        <v>0.0083333333333333</v>
      </c>
      <c r="X3" s="153" t="n">
        <f aca="false">X2/$B$2</f>
        <v>0</v>
      </c>
      <c r="Y3" s="153" t="n">
        <f aca="false">Y2/$B$2</f>
        <v>0</v>
      </c>
      <c r="Z3" s="153" t="n">
        <f aca="false">Z2/$B$2</f>
        <v>0</v>
      </c>
      <c r="AA3" s="153" t="n">
        <f aca="false">AA2/$B$2</f>
        <v>0</v>
      </c>
      <c r="AB3" s="153" t="n">
        <f aca="false">AB2/$B$2</f>
        <v>0.0416666666666667</v>
      </c>
      <c r="AC3" s="153" t="n">
        <f aca="false">AC2/$B$2</f>
        <v>0.35</v>
      </c>
      <c r="AD3" s="153" t="n">
        <f aca="false">AD2/$B$2</f>
        <v>0</v>
      </c>
      <c r="AE3" s="153" t="n">
        <f aca="false">AE2/$B$2</f>
        <v>0.00833333333333335</v>
      </c>
      <c r="AF3" s="153" t="n">
        <f aca="false">AF2/$B$2</f>
        <v>0</v>
      </c>
      <c r="AG3" s="153" t="n">
        <f aca="false">AG2/$B$2</f>
        <v>0</v>
      </c>
    </row>
    <row r="4" customFormat="false" ht="15" hidden="false" customHeight="false" outlineLevel="0" collapsed="false">
      <c r="A4" s="256" t="n">
        <f aca="false">IF(Horodateur112335381922313437434649525558616469852226343846505854626670747882909894102106114118110122126130134138142146150154158162166170174178182186190194198202206210[[#This Row],[Jour]]="1- Lundi",$B$1+1, IF(Horodateur112335381922313437434649525558616469852226343846505854626670747882909894102106114118110122126130134138142146150154158162166170174178182186190194198202206210[[#This Row],[Jour]]="2- Mardi",$B$1+2, IF(Horodateur112335381922313437434649525558616469852226343846505854626670747882909894102106114118110122126130134138142146150154158162166170174178182186190194198202206210[[#This Row],[Jour]]="3- Mercredi",$B$1+3, IF(Horodateur112335381922313437434649525558616469852226343846505854626670747882909894102106114118110122126130134138142146150154158162166170174178182186190194198202206210[[#This Row],[Jour]]="4- Jeudi",$B$1+4, IF(Horodateur112335381922313437434649525558616469852226343846505854626670747882909894102106114118110122126130134138142146150154158162166170174178182186190194198202206210[[#This Row],[Jour]]="5- Vendredi",$B$1+5, IF(Horodateur112335381922313437434649525558616469852226343846505854626670747882909894102106114118110122126130134138142146150154158162166170174178182186190194198202206210[[#This Row],[Jour]]="6- Samedi",$B$1+6, IF(Horodateur112335381922313437434649525558616469852226343846505854626670747882909894102106114118110122126130134138142146150154158162166170174178182186190194198202206210[[#This Row],[Jour]]="7- Dimanche",$B$1, )))))))</f>
        <v>44194</v>
      </c>
      <c r="B4" s="257" t="s">
        <v>312</v>
      </c>
      <c r="C4" s="258" t="n">
        <v>0.333333333333333</v>
      </c>
      <c r="D4" s="258" t="n">
        <v>0.375</v>
      </c>
      <c r="E4" s="71" t="s">
        <v>32</v>
      </c>
      <c r="F4" s="71" t="s">
        <v>21</v>
      </c>
      <c r="G4" s="259" t="s">
        <v>94</v>
      </c>
      <c r="H4" s="258" t="n">
        <f aca="false">IF($C4=0,"",$D4-$C4)</f>
        <v>0.0416666666666667</v>
      </c>
      <c r="I4" s="260" t="n">
        <f aca="false">IF($C4=0,"",($H4-INT($H4))*24)</f>
        <v>1</v>
      </c>
      <c r="J4" s="303" t="n">
        <f aca="false">SUMIF(Horodateur112335381922313437434649525558616469852226343846505854626670747882909894102106114118110122126130134138142146150154158162166170174178182186190194198202206210[Jour],$B4,Horodateur112335381922313437434649525558616469852226343846505854626670747882909894102106114118110122126130134138142146150154158162166170174178182186190194198202206210[Durée (100)])</f>
        <v>8</v>
      </c>
      <c r="K4" s="335"/>
      <c r="L4" s="188" t="s">
        <v>31</v>
      </c>
      <c r="M4" s="272" t="n">
        <f aca="false">IF(Horodateur112335381922313437434649525558616469852226343846505854626670747882909894102106114118110122126130134138142146150154158162166170174178182186190194198202206210[[#This Row],[O]]="o",Horodateur112335381922313437434649525558616469852226343846505854626670747882909894102106114118110122126130134138142146150154158162166170174178182186190194198202206210[[#This Row],[Durée (100)]],".")</f>
        <v>1</v>
      </c>
      <c r="N4" s="187"/>
      <c r="O4" s="71"/>
      <c r="P4" s="71"/>
      <c r="Q4" s="71"/>
      <c r="R4" s="71"/>
      <c r="S4" s="71"/>
      <c r="T4" s="71"/>
      <c r="U4" s="71"/>
      <c r="V4" s="71"/>
      <c r="W4" s="71"/>
      <c r="X4" s="71"/>
      <c r="Y4" s="71"/>
      <c r="Z4" s="71"/>
      <c r="AA4" s="71"/>
      <c r="AB4" s="71"/>
      <c r="AC4" s="71"/>
      <c r="AD4" s="71"/>
      <c r="AE4" s="71"/>
      <c r="AF4" s="71"/>
      <c r="AG4" s="71"/>
    </row>
    <row r="5" customFormat="false" ht="15" hidden="false" customHeight="false" outlineLevel="0" collapsed="false">
      <c r="A5" s="256" t="n">
        <f aca="false">IF(Horodateur112335381922313437434649525558616469852226343846505854626670747882909894102106114118110122126130134138142146150154158162166170174178182186190194198202206210[[#This Row],[Jour]]="1- Lundi",$B$1+1, IF(Horodateur112335381922313437434649525558616469852226343846505854626670747882909894102106114118110122126130134138142146150154158162166170174178182186190194198202206210[[#This Row],[Jour]]="2- Mardi",$B$1+2, IF(Horodateur112335381922313437434649525558616469852226343846505854626670747882909894102106114118110122126130134138142146150154158162166170174178182186190194198202206210[[#This Row],[Jour]]="3- Mercredi",$B$1+3, IF(Horodateur112335381922313437434649525558616469852226343846505854626670747882909894102106114118110122126130134138142146150154158162166170174178182186190194198202206210[[#This Row],[Jour]]="4- Jeudi",$B$1+4, IF(Horodateur112335381922313437434649525558616469852226343846505854626670747882909894102106114118110122126130134138142146150154158162166170174178182186190194198202206210[[#This Row],[Jour]]="5- Vendredi",$B$1+5, IF(Horodateur112335381922313437434649525558616469852226343846505854626670747882909894102106114118110122126130134138142146150154158162166170174178182186190194198202206210[[#This Row],[Jour]]="6- Samedi",$B$1+6, IF(Horodateur112335381922313437434649525558616469852226343846505854626670747882909894102106114118110122126130134138142146150154158162166170174178182186190194198202206210[[#This Row],[Jour]]="7- Dimanche",$B$1, )))))))</f>
        <v>44194</v>
      </c>
      <c r="B5" s="257" t="s">
        <v>312</v>
      </c>
      <c r="C5" s="258" t="n">
        <v>0.375</v>
      </c>
      <c r="D5" s="258" t="n">
        <v>0.479166666666667</v>
      </c>
      <c r="E5" s="71" t="s">
        <v>37</v>
      </c>
      <c r="F5" s="71" t="s">
        <v>378</v>
      </c>
      <c r="G5" s="259" t="s">
        <v>705</v>
      </c>
      <c r="H5" s="258" t="n">
        <f aca="false">IF($C5=0,"",$D5-$C5)</f>
        <v>0.104166666666667</v>
      </c>
      <c r="I5" s="260" t="n">
        <f aca="false">IF($C5=0,"",($H5-INT($H5))*24)</f>
        <v>2.5</v>
      </c>
      <c r="J5" s="303" t="n">
        <f aca="false">SUMIF(Horodateur112335381922313437434649525558616469852226343846505854626670747882909894102106114118110122126130134138142146150154158162166170174178182186190194198202206210[Jour],$B5,Horodateur112335381922313437434649525558616469852226343846505854626670747882909894102106114118110122126130134138142146150154158162166170174178182186190194198202206210[Durée (100)])</f>
        <v>8</v>
      </c>
      <c r="K5" s="335"/>
      <c r="L5" s="188" t="s">
        <v>31</v>
      </c>
      <c r="M5" s="272" t="n">
        <f aca="false">IF(Horodateur112335381922313437434649525558616469852226343846505854626670747882909894102106114118110122126130134138142146150154158162166170174178182186190194198202206210[[#This Row],[O]]="o",Horodateur112335381922313437434649525558616469852226343846505854626670747882909894102106114118110122126130134138142146150154158162166170174178182186190194198202206210[[#This Row],[Durée (100)]],".")</f>
        <v>2.5</v>
      </c>
      <c r="N5" s="187"/>
      <c r="O5" s="71"/>
      <c r="P5" s="71"/>
      <c r="Q5" s="71"/>
      <c r="R5" s="71"/>
      <c r="S5" s="71"/>
      <c r="T5" s="71"/>
      <c r="U5" s="71"/>
      <c r="V5" s="71"/>
      <c r="W5" s="71"/>
      <c r="X5" s="71"/>
      <c r="Y5" s="71"/>
      <c r="Z5" s="71"/>
      <c r="AA5" s="71"/>
      <c r="AB5" s="71"/>
      <c r="AC5" s="71"/>
      <c r="AD5" s="71"/>
      <c r="AE5" s="71"/>
      <c r="AF5" s="71"/>
      <c r="AG5" s="71"/>
    </row>
    <row r="6" customFormat="false" ht="15" hidden="false" customHeight="false" outlineLevel="0" collapsed="false">
      <c r="A6" s="256" t="n">
        <f aca="false">IF(Horodateur112335381922313437434649525558616469852226343846505854626670747882909894102106114118110122126130134138142146150154158162166170174178182186190194198202206210[[#This Row],[Jour]]="1- Lundi",$B$1+1, IF(Horodateur112335381922313437434649525558616469852226343846505854626670747882909894102106114118110122126130134138142146150154158162166170174178182186190194198202206210[[#This Row],[Jour]]="2- Mardi",$B$1+2, IF(Horodateur112335381922313437434649525558616469852226343846505854626670747882909894102106114118110122126130134138142146150154158162166170174178182186190194198202206210[[#This Row],[Jour]]="3- Mercredi",$B$1+3, IF(Horodateur112335381922313437434649525558616469852226343846505854626670747882909894102106114118110122126130134138142146150154158162166170174178182186190194198202206210[[#This Row],[Jour]]="4- Jeudi",$B$1+4, IF(Horodateur112335381922313437434649525558616469852226343846505854626670747882909894102106114118110122126130134138142146150154158162166170174178182186190194198202206210[[#This Row],[Jour]]="5- Vendredi",$B$1+5, IF(Horodateur112335381922313437434649525558616469852226343846505854626670747882909894102106114118110122126130134138142146150154158162166170174178182186190194198202206210[[#This Row],[Jour]]="6- Samedi",$B$1+6, IF(Horodateur112335381922313437434649525558616469852226343846505854626670747882909894102106114118110122126130134138142146150154158162166170174178182186190194198202206210[[#This Row],[Jour]]="7- Dimanche",$B$1, )))))))</f>
        <v>44194</v>
      </c>
      <c r="B6" s="257" t="s">
        <v>312</v>
      </c>
      <c r="C6" s="258" t="n">
        <v>0.552083333333333</v>
      </c>
      <c r="D6" s="258" t="n">
        <v>0.666666666666667</v>
      </c>
      <c r="E6" s="71" t="s">
        <v>37</v>
      </c>
      <c r="F6" s="71" t="s">
        <v>378</v>
      </c>
      <c r="G6" s="259" t="s">
        <v>706</v>
      </c>
      <c r="H6" s="258" t="n">
        <f aca="false">IF($C6=0,"",$D6-$C6)</f>
        <v>0.114583333333333</v>
      </c>
      <c r="I6" s="260" t="n">
        <f aca="false">IF($C6=0,"",($H6-INT($H6))*24)</f>
        <v>2.75</v>
      </c>
      <c r="J6" s="303" t="n">
        <f aca="false">SUMIF(Horodateur112335381922313437434649525558616469852226343846505854626670747882909894102106114118110122126130134138142146150154158162166170174178182186190194198202206210[Jour],$B6,Horodateur112335381922313437434649525558616469852226343846505854626670747882909894102106114118110122126130134138142146150154158162166170174178182186190194198202206210[Durée (100)])</f>
        <v>8</v>
      </c>
      <c r="K6" s="335"/>
      <c r="L6" s="188" t="s">
        <v>31</v>
      </c>
      <c r="M6" s="272" t="n">
        <f aca="false">IF(Horodateur112335381922313437434649525558616469852226343846505854626670747882909894102106114118110122126130134138142146150154158162166170174178182186190194198202206210[[#This Row],[O]]="o",Horodateur112335381922313437434649525558616469852226343846505854626670747882909894102106114118110122126130134138142146150154158162166170174178182186190194198202206210[[#This Row],[Durée (100)]],".")</f>
        <v>2.75</v>
      </c>
      <c r="N6" s="187"/>
      <c r="O6" s="71"/>
      <c r="P6" s="71"/>
      <c r="Q6" s="71"/>
      <c r="R6" s="71"/>
      <c r="S6" s="71"/>
      <c r="T6" s="71"/>
      <c r="U6" s="71"/>
      <c r="V6" s="71"/>
      <c r="W6" s="71"/>
      <c r="X6" s="71"/>
      <c r="Y6" s="71"/>
      <c r="Z6" s="71"/>
      <c r="AA6" s="71"/>
      <c r="AB6" s="71"/>
      <c r="AC6" s="71"/>
      <c r="AD6" s="71"/>
      <c r="AE6" s="71"/>
      <c r="AF6" s="71"/>
      <c r="AG6" s="71"/>
    </row>
    <row r="7" customFormat="false" ht="15" hidden="false" customHeight="false" outlineLevel="0" collapsed="false">
      <c r="A7" s="256" t="n">
        <f aca="false">IF(Horodateur112335381922313437434649525558616469852226343846505854626670747882909894102106114118110122126130134138142146150154158162166170174178182186190194198202206210[[#This Row],[Jour]]="1- Lundi",$B$1+1, IF(Horodateur112335381922313437434649525558616469852226343846505854626670747882909894102106114118110122126130134138142146150154158162166170174178182186190194198202206210[[#This Row],[Jour]]="2- Mardi",$B$1+2, IF(Horodateur112335381922313437434649525558616469852226343846505854626670747882909894102106114118110122126130134138142146150154158162166170174178182186190194198202206210[[#This Row],[Jour]]="3- Mercredi",$B$1+3, IF(Horodateur112335381922313437434649525558616469852226343846505854626670747882909894102106114118110122126130134138142146150154158162166170174178182186190194198202206210[[#This Row],[Jour]]="4- Jeudi",$B$1+4, IF(Horodateur112335381922313437434649525558616469852226343846505854626670747882909894102106114118110122126130134138142146150154158162166170174178182186190194198202206210[[#This Row],[Jour]]="5- Vendredi",$B$1+5, IF(Horodateur112335381922313437434649525558616469852226343846505854626670747882909894102106114118110122126130134138142146150154158162166170174178182186190194198202206210[[#This Row],[Jour]]="6- Samedi",$B$1+6, IF(Horodateur112335381922313437434649525558616469852226343846505854626670747882909894102106114118110122126130134138142146150154158162166170174178182186190194198202206210[[#This Row],[Jour]]="7- Dimanche",$B$1, )))))))</f>
        <v>44194</v>
      </c>
      <c r="B7" s="257" t="s">
        <v>312</v>
      </c>
      <c r="C7" s="258" t="n">
        <v>0.6875</v>
      </c>
      <c r="D7" s="258" t="n">
        <v>0.697916666666667</v>
      </c>
      <c r="E7" s="71" t="s">
        <v>66</v>
      </c>
      <c r="F7" s="71" t="s">
        <v>378</v>
      </c>
      <c r="G7" s="259" t="s">
        <v>707</v>
      </c>
      <c r="H7" s="258" t="n">
        <f aca="false">IF($C7=0,"",$D7-$C7)</f>
        <v>0.0104166666666667</v>
      </c>
      <c r="I7" s="260" t="n">
        <f aca="false">IF($C7=0,"",($H7-INT($H7))*24)</f>
        <v>0.25</v>
      </c>
      <c r="J7" s="303" t="n">
        <f aca="false">SUMIF(Horodateur112335381922313437434649525558616469852226343846505854626670747882909894102106114118110122126130134138142146150154158162166170174178182186190194198202206210[Jour],$B7,Horodateur112335381922313437434649525558616469852226343846505854626670747882909894102106114118110122126130134138142146150154158162166170174178182186190194198202206210[Durée (100)])</f>
        <v>8</v>
      </c>
      <c r="K7" s="335"/>
      <c r="L7" s="188" t="s">
        <v>31</v>
      </c>
      <c r="M7" s="272" t="n">
        <f aca="false">IF(Horodateur112335381922313437434649525558616469852226343846505854626670747882909894102106114118110122126130134138142146150154158162166170174178182186190194198202206210[[#This Row],[O]]="o",Horodateur112335381922313437434649525558616469852226343846505854626670747882909894102106114118110122126130134138142146150154158162166170174178182186190194198202206210[[#This Row],[Durée (100)]],".")</f>
        <v>0.249999999999999</v>
      </c>
      <c r="N7" s="187"/>
      <c r="O7" s="71"/>
      <c r="P7" s="71"/>
      <c r="Q7" s="71"/>
      <c r="R7" s="71"/>
      <c r="S7" s="71"/>
      <c r="T7" s="71"/>
      <c r="U7" s="71"/>
      <c r="V7" s="71"/>
      <c r="W7" s="71"/>
      <c r="X7" s="71"/>
      <c r="Y7" s="71"/>
      <c r="Z7" s="71"/>
      <c r="AA7" s="71"/>
      <c r="AB7" s="71"/>
      <c r="AC7" s="71"/>
      <c r="AD7" s="71"/>
      <c r="AE7" s="71"/>
      <c r="AF7" s="71"/>
      <c r="AG7" s="71"/>
    </row>
    <row r="8" customFormat="false" ht="15" hidden="false" customHeight="false" outlineLevel="0" collapsed="false">
      <c r="A8" s="256" t="n">
        <f aca="false">IF(Horodateur112335381922313437434649525558616469852226343846505854626670747882909894102106114118110122126130134138142146150154158162166170174178182186190194198202206210[[#This Row],[Jour]]="1- Lundi",$B$1+1, IF(Horodateur112335381922313437434649525558616469852226343846505854626670747882909894102106114118110122126130134138142146150154158162166170174178182186190194198202206210[[#This Row],[Jour]]="2- Mardi",$B$1+2, IF(Horodateur112335381922313437434649525558616469852226343846505854626670747882909894102106114118110122126130134138142146150154158162166170174178182186190194198202206210[[#This Row],[Jour]]="3- Mercredi",$B$1+3, IF(Horodateur112335381922313437434649525558616469852226343846505854626670747882909894102106114118110122126130134138142146150154158162166170174178182186190194198202206210[[#This Row],[Jour]]="4- Jeudi",$B$1+4, IF(Horodateur112335381922313437434649525558616469852226343846505854626670747882909894102106114118110122126130134138142146150154158162166170174178182186190194198202206210[[#This Row],[Jour]]="5- Vendredi",$B$1+5, IF(Horodateur112335381922313437434649525558616469852226343846505854626670747882909894102106114118110122126130134138142146150154158162166170174178182186190194198202206210[[#This Row],[Jour]]="6- Samedi",$B$1+6, IF(Horodateur112335381922313437434649525558616469852226343846505854626670747882909894102106114118110122126130134138142146150154158162166170174178182186190194198202206210[[#This Row],[Jour]]="7- Dimanche",$B$1, )))))))</f>
        <v>44194</v>
      </c>
      <c r="B8" s="257" t="s">
        <v>312</v>
      </c>
      <c r="C8" s="258" t="n">
        <v>0.697916666666667</v>
      </c>
      <c r="D8" s="258" t="n">
        <v>0.760416666666667</v>
      </c>
      <c r="E8" s="71" t="s">
        <v>32</v>
      </c>
      <c r="F8" s="71" t="s">
        <v>22</v>
      </c>
      <c r="G8" s="259" t="s">
        <v>118</v>
      </c>
      <c r="H8" s="258" t="n">
        <f aca="false">IF($C8=0,"",$D8-$C8)</f>
        <v>0.0625</v>
      </c>
      <c r="I8" s="260" t="n">
        <f aca="false">IF($C8=0,"",($H8-INT($H8))*24)</f>
        <v>1.5</v>
      </c>
      <c r="J8" s="303" t="n">
        <f aca="false">SUMIF(Horodateur112335381922313437434649525558616469852226343846505854626670747882909894102106114118110122126130134138142146150154158162166170174178182186190194198202206210[Jour],$B8,Horodateur112335381922313437434649525558616469852226343846505854626670747882909894102106114118110122126130134138142146150154158162166170174178182186190194198202206210[Durée (100)])</f>
        <v>8</v>
      </c>
      <c r="K8" s="335"/>
      <c r="L8" s="188" t="s">
        <v>31</v>
      </c>
      <c r="M8" s="272" t="n">
        <f aca="false">IF(Horodateur112335381922313437434649525558616469852226343846505854626670747882909894102106114118110122126130134138142146150154158162166170174178182186190194198202206210[[#This Row],[O]]="o",Horodateur112335381922313437434649525558616469852226343846505854626670747882909894102106114118110122126130134138142146150154158162166170174178182186190194198202206210[[#This Row],[Durée (100)]],".")</f>
        <v>1.5</v>
      </c>
      <c r="N8" s="187"/>
      <c r="O8" s="71"/>
      <c r="P8" s="71"/>
      <c r="Q8" s="71"/>
      <c r="R8" s="71"/>
      <c r="S8" s="71"/>
      <c r="T8" s="71"/>
      <c r="U8" s="71"/>
      <c r="V8" s="71"/>
      <c r="W8" s="71"/>
      <c r="X8" s="71"/>
      <c r="Y8" s="71"/>
      <c r="Z8" s="71"/>
      <c r="AA8" s="71"/>
      <c r="AB8" s="71"/>
      <c r="AC8" s="71"/>
      <c r="AD8" s="71"/>
      <c r="AE8" s="71"/>
      <c r="AF8" s="71"/>
      <c r="AG8" s="71"/>
    </row>
    <row r="9" customFormat="false" ht="15" hidden="false" customHeight="false" outlineLevel="0" collapsed="false">
      <c r="A9" s="256" t="n">
        <f aca="false">IF(Horodateur112335381922313437434649525558616469852226343846505854626670747882909894102106114118110122126130134138142146150154158162166170174178182186190194198202206210[[#This Row],[Jour]]="1- Lundi",$B$1+1, IF(Horodateur112335381922313437434649525558616469852226343846505854626670747882909894102106114118110122126130134138142146150154158162166170174178182186190194198202206210[[#This Row],[Jour]]="2- Mardi",$B$1+2, IF(Horodateur112335381922313437434649525558616469852226343846505854626670747882909894102106114118110122126130134138142146150154158162166170174178182186190194198202206210[[#This Row],[Jour]]="3- Mercredi",$B$1+3, IF(Horodateur112335381922313437434649525558616469852226343846505854626670747882909894102106114118110122126130134138142146150154158162166170174178182186190194198202206210[[#This Row],[Jour]]="4- Jeudi",$B$1+4, IF(Horodateur112335381922313437434649525558616469852226343846505854626670747882909894102106114118110122126130134138142146150154158162166170174178182186190194198202206210[[#This Row],[Jour]]="5- Vendredi",$B$1+5, IF(Horodateur112335381922313437434649525558616469852226343846505854626670747882909894102106114118110122126130134138142146150154158162166170174178182186190194198202206210[[#This Row],[Jour]]="6- Samedi",$B$1+6, IF(Horodateur112335381922313437434649525558616469852226343846505854626670747882909894102106114118110122126130134138142146150154158162166170174178182186190194198202206210[[#This Row],[Jour]]="7- Dimanche",$B$1, )))))))</f>
        <v>44195</v>
      </c>
      <c r="B9" s="257" t="s">
        <v>319</v>
      </c>
      <c r="C9" s="258" t="n">
        <v>0.34375</v>
      </c>
      <c r="D9" s="258" t="n">
        <v>0.375</v>
      </c>
      <c r="E9" s="71" t="s">
        <v>74</v>
      </c>
      <c r="F9" s="71" t="s">
        <v>378</v>
      </c>
      <c r="G9" s="259" t="s">
        <v>643</v>
      </c>
      <c r="H9" s="258" t="n">
        <f aca="false">IF($C9=0,"",$D9-$C9)</f>
        <v>0.03125</v>
      </c>
      <c r="I9" s="260" t="n">
        <f aca="false">IF($C9=0,"",($H9-INT($H9))*24)</f>
        <v>0.75</v>
      </c>
      <c r="J9" s="303" t="n">
        <f aca="false">SUMIF(Horodateur112335381922313437434649525558616469852226343846505854626670747882909894102106114118110122126130134138142146150154158162166170174178182186190194198202206210[Jour],$B9,Horodateur112335381922313437434649525558616469852226343846505854626670747882909894102106114118110122126130134138142146150154158162166170174178182186190194198202206210[Durée (100)])</f>
        <v>4.75</v>
      </c>
      <c r="K9" s="335"/>
      <c r="L9" s="188" t="s">
        <v>31</v>
      </c>
      <c r="M9" s="272" t="n">
        <f aca="false">IF(Horodateur112335381922313437434649525558616469852226343846505854626670747882909894102106114118110122126130134138142146150154158162166170174178182186190194198202206210[[#This Row],[O]]="o",Horodateur112335381922313437434649525558616469852226343846505854626670747882909894102106114118110122126130134138142146150154158162166170174178182186190194198202206210[[#This Row],[Durée (100)]],".")</f>
        <v>0.75</v>
      </c>
      <c r="N9" s="187"/>
      <c r="O9" s="71"/>
      <c r="P9" s="71"/>
      <c r="Q9" s="71"/>
      <c r="R9" s="71"/>
      <c r="S9" s="71"/>
      <c r="T9" s="71"/>
      <c r="U9" s="71"/>
      <c r="V9" s="71"/>
      <c r="W9" s="71"/>
      <c r="X9" s="71"/>
      <c r="Y9" s="71"/>
      <c r="Z9" s="71"/>
      <c r="AA9" s="71"/>
      <c r="AB9" s="71"/>
      <c r="AC9" s="71"/>
      <c r="AD9" s="71"/>
      <c r="AE9" s="71"/>
      <c r="AF9" s="71"/>
      <c r="AG9" s="71"/>
    </row>
    <row r="10" customFormat="false" ht="15" hidden="false" customHeight="false" outlineLevel="0" collapsed="false">
      <c r="A10" s="256" t="n">
        <f aca="false">IF(Horodateur112335381922313437434649525558616469852226343846505854626670747882909894102106114118110122126130134138142146150154158162166170174178182186190194198202206210[[#This Row],[Jour]]="1- Lundi",$B$1+1, IF(Horodateur112335381922313437434649525558616469852226343846505854626670747882909894102106114118110122126130134138142146150154158162166170174178182186190194198202206210[[#This Row],[Jour]]="2- Mardi",$B$1+2, IF(Horodateur112335381922313437434649525558616469852226343846505854626670747882909894102106114118110122126130134138142146150154158162166170174178182186190194198202206210[[#This Row],[Jour]]="3- Mercredi",$B$1+3, IF(Horodateur112335381922313437434649525558616469852226343846505854626670747882909894102106114118110122126130134138142146150154158162166170174178182186190194198202206210[[#This Row],[Jour]]="4- Jeudi",$B$1+4, IF(Horodateur112335381922313437434649525558616469852226343846505854626670747882909894102106114118110122126130134138142146150154158162166170174178182186190194198202206210[[#This Row],[Jour]]="5- Vendredi",$B$1+5, IF(Horodateur112335381922313437434649525558616469852226343846505854626670747882909894102106114118110122126130134138142146150154158162166170174178182186190194198202206210[[#This Row],[Jour]]="6- Samedi",$B$1+6, IF(Horodateur112335381922313437434649525558616469852226343846505854626670747882909894102106114118110122126130134138142146150154158162166170174178182186190194198202206210[[#This Row],[Jour]]="7- Dimanche",$B$1, )))))))</f>
        <v>44195</v>
      </c>
      <c r="B10" s="257" t="s">
        <v>319</v>
      </c>
      <c r="C10" s="258" t="n">
        <v>0.375</v>
      </c>
      <c r="D10" s="258" t="n">
        <v>0.416666666666667</v>
      </c>
      <c r="E10" s="71" t="s">
        <v>32</v>
      </c>
      <c r="F10" s="71" t="s">
        <v>22</v>
      </c>
      <c r="G10" s="259" t="s">
        <v>118</v>
      </c>
      <c r="H10" s="258" t="n">
        <f aca="false">IF($C10=0,"",$D10-$C10)</f>
        <v>0.0416666666666667</v>
      </c>
      <c r="I10" s="260" t="n">
        <f aca="false">IF($C10=0,"",($H10-INT($H10))*24)</f>
        <v>1</v>
      </c>
      <c r="J10" s="303" t="n">
        <f aca="false">SUMIF(Horodateur112335381922313437434649525558616469852226343846505854626670747882909894102106114118110122126130134138142146150154158162166170174178182186190194198202206210[Jour],$B10,Horodateur112335381922313437434649525558616469852226343846505854626670747882909894102106114118110122126130134138142146150154158162166170174178182186190194198202206210[Durée (100)])</f>
        <v>4.75</v>
      </c>
      <c r="K10" s="335"/>
      <c r="L10" s="188" t="s">
        <v>31</v>
      </c>
      <c r="M10" s="272" t="n">
        <f aca="false">IF(Horodateur112335381922313437434649525558616469852226343846505854626670747882909894102106114118110122126130134138142146150154158162166170174178182186190194198202206210[[#This Row],[O]]="o",Horodateur112335381922313437434649525558616469852226343846505854626670747882909894102106114118110122126130134138142146150154158162166170174178182186190194198202206210[[#This Row],[Durée (100)]],".")</f>
        <v>1</v>
      </c>
      <c r="N10" s="187"/>
      <c r="O10" s="71"/>
      <c r="P10" s="71"/>
      <c r="Q10" s="71"/>
      <c r="R10" s="71"/>
      <c r="S10" s="71"/>
      <c r="T10" s="71"/>
      <c r="U10" s="71"/>
      <c r="V10" s="71"/>
      <c r="W10" s="71"/>
      <c r="X10" s="71"/>
      <c r="Y10" s="71"/>
      <c r="Z10" s="71"/>
      <c r="AA10" s="71"/>
      <c r="AB10" s="71"/>
      <c r="AC10" s="71"/>
      <c r="AD10" s="71"/>
      <c r="AE10" s="71"/>
      <c r="AF10" s="71"/>
      <c r="AG10" s="71"/>
    </row>
    <row r="11" customFormat="false" ht="15" hidden="false" customHeight="false" outlineLevel="0" collapsed="false">
      <c r="A11" s="256" t="n">
        <f aca="false">IF(Horodateur112335381922313437434649525558616469852226343846505854626670747882909894102106114118110122126130134138142146150154158162166170174178182186190194198202206210[[#This Row],[Jour]]="1- Lundi",$B$1+1, IF(Horodateur112335381922313437434649525558616469852226343846505854626670747882909894102106114118110122126130134138142146150154158162166170174178182186190194198202206210[[#This Row],[Jour]]="2- Mardi",$B$1+2, IF(Horodateur112335381922313437434649525558616469852226343846505854626670747882909894102106114118110122126130134138142146150154158162166170174178182186190194198202206210[[#This Row],[Jour]]="3- Mercredi",$B$1+3, IF(Horodateur112335381922313437434649525558616469852226343846505854626670747882909894102106114118110122126130134138142146150154158162166170174178182186190194198202206210[[#This Row],[Jour]]="4- Jeudi",$B$1+4, IF(Horodateur112335381922313437434649525558616469852226343846505854626670747882909894102106114118110122126130134138142146150154158162166170174178182186190194198202206210[[#This Row],[Jour]]="5- Vendredi",$B$1+5, IF(Horodateur112335381922313437434649525558616469852226343846505854626670747882909894102106114118110122126130134138142146150154158162166170174178182186190194198202206210[[#This Row],[Jour]]="6- Samedi",$B$1+6, IF(Horodateur112335381922313437434649525558616469852226343846505854626670747882909894102106114118110122126130134138142146150154158162166170174178182186190194198202206210[[#This Row],[Jour]]="7- Dimanche",$B$1, )))))))</f>
        <v>44195</v>
      </c>
      <c r="B11" s="257" t="s">
        <v>319</v>
      </c>
      <c r="C11" s="258" t="n">
        <v>0.416666666666667</v>
      </c>
      <c r="D11" s="258" t="n">
        <v>0.4375</v>
      </c>
      <c r="E11" s="71" t="s">
        <v>74</v>
      </c>
      <c r="F11" s="71" t="s">
        <v>378</v>
      </c>
      <c r="G11" s="259" t="s">
        <v>708</v>
      </c>
      <c r="H11" s="258" t="n">
        <f aca="false">IF($C11=0,"",$D11-$C11)</f>
        <v>0.0208333333333333</v>
      </c>
      <c r="I11" s="260" t="n">
        <f aca="false">IF($C11=0,"",($H11-INT($H11))*24)</f>
        <v>0.5</v>
      </c>
      <c r="J11" s="303" t="n">
        <f aca="false">SUMIF(Horodateur112335381922313437434649525558616469852226343846505854626670747882909894102106114118110122126130134138142146150154158162166170174178182186190194198202206210[Jour],$B11,Horodateur112335381922313437434649525558616469852226343846505854626670747882909894102106114118110122126130134138142146150154158162166170174178182186190194198202206210[Durée (100)])</f>
        <v>4.75</v>
      </c>
      <c r="K11" s="335"/>
      <c r="L11" s="188" t="s">
        <v>31</v>
      </c>
      <c r="M11" s="272" t="n">
        <f aca="false">IF(Horodateur112335381922313437434649525558616469852226343846505854626670747882909894102106114118110122126130134138142146150154158162166170174178182186190194198202206210[[#This Row],[O]]="o",Horodateur112335381922313437434649525558616469852226343846505854626670747882909894102106114118110122126130134138142146150154158162166170174178182186190194198202206210[[#This Row],[Durée (100)]],".")</f>
        <v>0.5</v>
      </c>
      <c r="N11" s="187"/>
      <c r="O11" s="71"/>
      <c r="P11" s="71"/>
      <c r="Q11" s="71"/>
      <c r="R11" s="71"/>
      <c r="S11" s="71"/>
      <c r="T11" s="71"/>
      <c r="U11" s="71"/>
      <c r="V11" s="71"/>
      <c r="W11" s="71"/>
      <c r="X11" s="71"/>
      <c r="Y11" s="71"/>
      <c r="Z11" s="71"/>
      <c r="AA11" s="71"/>
      <c r="AB11" s="71"/>
      <c r="AC11" s="71"/>
      <c r="AD11" s="71"/>
      <c r="AE11" s="71"/>
      <c r="AF11" s="71"/>
      <c r="AG11" s="71"/>
    </row>
    <row r="12" customFormat="false" ht="15" hidden="false" customHeight="false" outlineLevel="0" collapsed="false">
      <c r="A12" s="256" t="n">
        <f aca="false">IF(Horodateur112335381922313437434649525558616469852226343846505854626670747882909894102106114118110122126130134138142146150154158162166170174178182186190194198202206210[[#This Row],[Jour]]="1- Lundi",$B$1+1, IF(Horodateur112335381922313437434649525558616469852226343846505854626670747882909894102106114118110122126130134138142146150154158162166170174178182186190194198202206210[[#This Row],[Jour]]="2- Mardi",$B$1+2, IF(Horodateur112335381922313437434649525558616469852226343846505854626670747882909894102106114118110122126130134138142146150154158162166170174178182186190194198202206210[[#This Row],[Jour]]="3- Mercredi",$B$1+3, IF(Horodateur112335381922313437434649525558616469852226343846505854626670747882909894102106114118110122126130134138142146150154158162166170174178182186190194198202206210[[#This Row],[Jour]]="4- Jeudi",$B$1+4, IF(Horodateur112335381922313437434649525558616469852226343846505854626670747882909894102106114118110122126130134138142146150154158162166170174178182186190194198202206210[[#This Row],[Jour]]="5- Vendredi",$B$1+5, IF(Horodateur112335381922313437434649525558616469852226343846505854626670747882909894102106114118110122126130134138142146150154158162166170174178182186190194198202206210[[#This Row],[Jour]]="6- Samedi",$B$1+6, IF(Horodateur112335381922313437434649525558616469852226343846505854626670747882909894102106114118110122126130134138142146150154158162166170174178182186190194198202206210[[#This Row],[Jour]]="7- Dimanche",$B$1, )))))))</f>
        <v>44195</v>
      </c>
      <c r="B12" s="257" t="s">
        <v>319</v>
      </c>
      <c r="C12" s="258" t="n">
        <v>0.4375</v>
      </c>
      <c r="D12" s="258" t="n">
        <v>0.5</v>
      </c>
      <c r="E12" s="71" t="s">
        <v>32</v>
      </c>
      <c r="F12" s="71" t="s">
        <v>23</v>
      </c>
      <c r="G12" s="259" t="s">
        <v>709</v>
      </c>
      <c r="H12" s="258" t="n">
        <f aca="false">IF($C12=0,"",$D12-$C12)</f>
        <v>0.0625</v>
      </c>
      <c r="I12" s="260" t="n">
        <f aca="false">IF($C12=0,"",($H12-INT($H12))*24)</f>
        <v>1.5</v>
      </c>
      <c r="J12" s="303" t="n">
        <f aca="false">SUMIF(Horodateur112335381922313437434649525558616469852226343846505854626670747882909894102106114118110122126130134138142146150154158162166170174178182186190194198202206210[Jour],$B12,Horodateur112335381922313437434649525558616469852226343846505854626670747882909894102106114118110122126130134138142146150154158162166170174178182186190194198202206210[Durée (100)])</f>
        <v>4.75</v>
      </c>
      <c r="K12" s="335"/>
      <c r="L12" s="188" t="s">
        <v>31</v>
      </c>
      <c r="M12" s="272" t="n">
        <f aca="false">IF(Horodateur112335381922313437434649525558616469852226343846505854626670747882909894102106114118110122126130134138142146150154158162166170174178182186190194198202206210[[#This Row],[O]]="o",Horodateur112335381922313437434649525558616469852226343846505854626670747882909894102106114118110122126130134138142146150154158162166170174178182186190194198202206210[[#This Row],[Durée (100)]],".")</f>
        <v>1.5</v>
      </c>
      <c r="N12" s="187"/>
      <c r="O12" s="71"/>
      <c r="P12" s="71"/>
      <c r="Q12" s="71"/>
      <c r="R12" s="71"/>
      <c r="S12" s="71"/>
      <c r="T12" s="71"/>
      <c r="U12" s="71"/>
      <c r="V12" s="71"/>
      <c r="W12" s="71"/>
      <c r="X12" s="71"/>
      <c r="Y12" s="71"/>
      <c r="Z12" s="71"/>
      <c r="AA12" s="71"/>
      <c r="AB12" s="71"/>
      <c r="AC12" s="71"/>
      <c r="AD12" s="71"/>
      <c r="AE12" s="71"/>
      <c r="AF12" s="71"/>
      <c r="AG12" s="71"/>
    </row>
    <row r="13" customFormat="false" ht="15" hidden="false" customHeight="false" outlineLevel="0" collapsed="false">
      <c r="A13" s="256" t="n">
        <f aca="false">IF(Horodateur112335381922313437434649525558616469852226343846505854626670747882909894102106114118110122126130134138142146150154158162166170174178182186190194198202206210[[#This Row],[Jour]]="1- Lundi",$B$1+1, IF(Horodateur112335381922313437434649525558616469852226343846505854626670747882909894102106114118110122126130134138142146150154158162166170174178182186190194198202206210[[#This Row],[Jour]]="2- Mardi",$B$1+2, IF(Horodateur112335381922313437434649525558616469852226343846505854626670747882909894102106114118110122126130134138142146150154158162166170174178182186190194198202206210[[#This Row],[Jour]]="3- Mercredi",$B$1+3, IF(Horodateur112335381922313437434649525558616469852226343846505854626670747882909894102106114118110122126130134138142146150154158162166170174178182186190194198202206210[[#This Row],[Jour]]="4- Jeudi",$B$1+4, IF(Horodateur112335381922313437434649525558616469852226343846505854626670747882909894102106114118110122126130134138142146150154158162166170174178182186190194198202206210[[#This Row],[Jour]]="5- Vendredi",$B$1+5, IF(Horodateur112335381922313437434649525558616469852226343846505854626670747882909894102106114118110122126130134138142146150154158162166170174178182186190194198202206210[[#This Row],[Jour]]="6- Samedi",$B$1+6, IF(Horodateur112335381922313437434649525558616469852226343846505854626670747882909894102106114118110122126130134138142146150154158162166170174178182186190194198202206210[[#This Row],[Jour]]="7- Dimanche",$B$1, )))))))</f>
        <v>44195</v>
      </c>
      <c r="B13" s="257" t="s">
        <v>319</v>
      </c>
      <c r="C13" s="258" t="n">
        <v>0.625</v>
      </c>
      <c r="D13" s="258" t="n">
        <v>0.645833333333333</v>
      </c>
      <c r="E13" s="71" t="s">
        <v>694</v>
      </c>
      <c r="F13" s="71" t="s">
        <v>378</v>
      </c>
      <c r="G13" s="259" t="s">
        <v>710</v>
      </c>
      <c r="H13" s="258" t="n">
        <f aca="false">IF($C13=0,"",$D13-$C13)</f>
        <v>0.0208333333333333</v>
      </c>
      <c r="I13" s="260" t="n">
        <f aca="false">IF($C13=0,"",($H13-INT($H13))*24)</f>
        <v>0.5</v>
      </c>
      <c r="J13" s="303" t="n">
        <f aca="false">SUMIF(Horodateur112335381922313437434649525558616469852226343846505854626670747882909894102106114118110122126130134138142146150154158162166170174178182186190194198202206210[Jour],$B13,Horodateur112335381922313437434649525558616469852226343846505854626670747882909894102106114118110122126130134138142146150154158162166170174178182186190194198202206210[Durée (100)])</f>
        <v>4.75</v>
      </c>
      <c r="K13" s="335"/>
      <c r="L13" s="188" t="s">
        <v>31</v>
      </c>
      <c r="M13" s="272" t="n">
        <f aca="false">IF(Horodateur112335381922313437434649525558616469852226343846505854626670747882909894102106114118110122126130134138142146150154158162166170174178182186190194198202206210[[#This Row],[O]]="o",Horodateur112335381922313437434649525558616469852226343846505854626670747882909894102106114118110122126130134138142146150154158162166170174178182186190194198202206210[[#This Row],[Durée (100)]],".")</f>
        <v>0.500000000000001</v>
      </c>
      <c r="N13" s="187"/>
      <c r="O13" s="71"/>
      <c r="P13" s="71"/>
      <c r="Q13" s="71"/>
      <c r="R13" s="71"/>
      <c r="S13" s="71"/>
      <c r="T13" s="71"/>
      <c r="U13" s="71"/>
      <c r="V13" s="71"/>
      <c r="W13" s="71"/>
      <c r="X13" s="71"/>
      <c r="Y13" s="71"/>
      <c r="Z13" s="71"/>
      <c r="AA13" s="71"/>
      <c r="AB13" s="71"/>
      <c r="AC13" s="71"/>
      <c r="AD13" s="71"/>
      <c r="AE13" s="71"/>
      <c r="AF13" s="71"/>
      <c r="AG13" s="71"/>
    </row>
    <row r="14" customFormat="false" ht="15" hidden="false" customHeight="false" outlineLevel="0" collapsed="false">
      <c r="A14" s="256" t="n">
        <f aca="false">IF(Horodateur112335381922313437434649525558616469852226343846505854626670747882909894102106114118110122126130134138142146150154158162166170174178182186190194198202206210[[#This Row],[Jour]]="1- Lundi",$B$1+1, IF(Horodateur112335381922313437434649525558616469852226343846505854626670747882909894102106114118110122126130134138142146150154158162166170174178182186190194198202206210[[#This Row],[Jour]]="2- Mardi",$B$1+2, IF(Horodateur112335381922313437434649525558616469852226343846505854626670747882909894102106114118110122126130134138142146150154158162166170174178182186190194198202206210[[#This Row],[Jour]]="3- Mercredi",$B$1+3, IF(Horodateur112335381922313437434649525558616469852226343846505854626670747882909894102106114118110122126130134138142146150154158162166170174178182186190194198202206210[[#This Row],[Jour]]="4- Jeudi",$B$1+4, IF(Horodateur112335381922313437434649525558616469852226343846505854626670747882909894102106114118110122126130134138142146150154158162166170174178182186190194198202206210[[#This Row],[Jour]]="5- Vendredi",$B$1+5, IF(Horodateur112335381922313437434649525558616469852226343846505854626670747882909894102106114118110122126130134138142146150154158162166170174178182186190194198202206210[[#This Row],[Jour]]="6- Samedi",$B$1+6, IF(Horodateur112335381922313437434649525558616469852226343846505854626670747882909894102106114118110122126130134138142146150154158162166170174178182186190194198202206210[[#This Row],[Jour]]="7- Dimanche",$B$1, )))))))</f>
        <v>44195</v>
      </c>
      <c r="B14" s="257" t="s">
        <v>319</v>
      </c>
      <c r="C14" s="258" t="n">
        <v>0.645833333333333</v>
      </c>
      <c r="D14" s="258" t="n">
        <v>0.666666666666667</v>
      </c>
      <c r="E14" s="71" t="s">
        <v>32</v>
      </c>
      <c r="F14" s="71" t="s">
        <v>23</v>
      </c>
      <c r="G14" s="259" t="s">
        <v>709</v>
      </c>
      <c r="H14" s="258" t="n">
        <f aca="false">IF($C14=0,"",$D14-$C14)</f>
        <v>0.0208333333333333</v>
      </c>
      <c r="I14" s="260" t="n">
        <f aca="false">IF($C14=0,"",($H14-INT($H14))*24)</f>
        <v>0.5</v>
      </c>
      <c r="J14" s="303" t="n">
        <f aca="false">SUMIF(Horodateur112335381922313437434649525558616469852226343846505854626670747882909894102106114118110122126130134138142146150154158162166170174178182186190194198202206210[Jour],$B14,Horodateur112335381922313437434649525558616469852226343846505854626670747882909894102106114118110122126130134138142146150154158162166170174178182186190194198202206210[Durée (100)])</f>
        <v>4.75</v>
      </c>
      <c r="K14" s="335"/>
      <c r="L14" s="188" t="s">
        <v>31</v>
      </c>
      <c r="M14" s="272" t="n">
        <f aca="false">IF(Horodateur112335381922313437434649525558616469852226343846505854626670747882909894102106114118110122126130134138142146150154158162166170174178182186190194198202206210[[#This Row],[O]]="o",Horodateur112335381922313437434649525558616469852226343846505854626670747882909894102106114118110122126130134138142146150154158162166170174178182186190194198202206210[[#This Row],[Durée (100)]],".")</f>
        <v>0.499999999999998</v>
      </c>
      <c r="N14" s="187"/>
      <c r="O14" s="71"/>
      <c r="P14" s="71"/>
      <c r="Q14" s="71"/>
      <c r="R14" s="71"/>
      <c r="S14" s="71"/>
      <c r="T14" s="71"/>
      <c r="U14" s="71"/>
      <c r="V14" s="71"/>
      <c r="W14" s="71"/>
      <c r="X14" s="71"/>
      <c r="Y14" s="71"/>
      <c r="Z14" s="71"/>
      <c r="AA14" s="71"/>
      <c r="AB14" s="71"/>
      <c r="AC14" s="71"/>
      <c r="AD14" s="71"/>
      <c r="AE14" s="71"/>
      <c r="AF14" s="71"/>
      <c r="AG14" s="71"/>
    </row>
    <row r="15" customFormat="false" ht="15" hidden="false" customHeight="false" outlineLevel="0" collapsed="false">
      <c r="A15" s="256" t="n">
        <f aca="false">IF(Horodateur112335381922313437434649525558616469852226343846505854626670747882909894102106114118110122126130134138142146150154158162166170174178182186190194198202206210[[#This Row],[Jour]]="1- Lundi",$B$1+1, IF(Horodateur112335381922313437434649525558616469852226343846505854626670747882909894102106114118110122126130134138142146150154158162166170174178182186190194198202206210[[#This Row],[Jour]]="2- Mardi",$B$1+2, IF(Horodateur112335381922313437434649525558616469852226343846505854626670747882909894102106114118110122126130134138142146150154158162166170174178182186190194198202206210[[#This Row],[Jour]]="3- Mercredi",$B$1+3, IF(Horodateur112335381922313437434649525558616469852226343846505854626670747882909894102106114118110122126130134138142146150154158162166170174178182186190194198202206210[[#This Row],[Jour]]="4- Jeudi",$B$1+4, IF(Horodateur112335381922313437434649525558616469852226343846505854626670747882909894102106114118110122126130134138142146150154158162166170174178182186190194198202206210[[#This Row],[Jour]]="5- Vendredi",$B$1+5, IF(Horodateur112335381922313437434649525558616469852226343846505854626670747882909894102106114118110122126130134138142146150154158162166170174178182186190194198202206210[[#This Row],[Jour]]="6- Samedi",$B$1+6, IF(Horodateur112335381922313437434649525558616469852226343846505854626670747882909894102106114118110122126130134138142146150154158162166170174178182186190194198202206210[[#This Row],[Jour]]="7- Dimanche",$B$1, )))))))</f>
        <v>44196</v>
      </c>
      <c r="B15" s="257" t="s">
        <v>324</v>
      </c>
      <c r="C15" s="258" t="n">
        <v>0.333333333333333</v>
      </c>
      <c r="D15" s="258" t="n">
        <v>0.666666666666667</v>
      </c>
      <c r="E15" s="71" t="s">
        <v>32</v>
      </c>
      <c r="F15" s="71" t="s">
        <v>703</v>
      </c>
      <c r="G15" s="259" t="s">
        <v>711</v>
      </c>
      <c r="H15" s="258" t="n">
        <f aca="false">IF($C15=0,"",$D15-$C15)</f>
        <v>0.333333333333333</v>
      </c>
      <c r="I15" s="260" t="n">
        <f aca="false">IF($C15=0,"",($H15-INT($H15))*24)</f>
        <v>8</v>
      </c>
      <c r="J15" s="303" t="n">
        <f aca="false">SUMIF(Horodateur112335381922313437434649525558616469852226343846505854626670747882909894102106114118110122126130134138142146150154158162166170174178182186190194198202206210[Jour],$B15,Horodateur112335381922313437434649525558616469852226343846505854626670747882909894102106114118110122126130134138142146150154158162166170174178182186190194198202206210[Durée (100)])</f>
        <v>8</v>
      </c>
      <c r="K15" s="335"/>
      <c r="L15" s="188" t="s">
        <v>31</v>
      </c>
      <c r="M15" s="272" t="n">
        <f aca="false">IF(Horodateur112335381922313437434649525558616469852226343846505854626670747882909894102106114118110122126130134138142146150154158162166170174178182186190194198202206210[[#This Row],[O]]="o",Horodateur112335381922313437434649525558616469852226343846505854626670747882909894102106114118110122126130134138142146150154158162166170174178182186190194198202206210[[#This Row],[Durée (100)]],".")</f>
        <v>8</v>
      </c>
      <c r="N15" s="187"/>
      <c r="O15" s="71"/>
      <c r="P15" s="71"/>
      <c r="Q15" s="71"/>
      <c r="R15" s="71"/>
      <c r="S15" s="71"/>
      <c r="T15" s="71"/>
      <c r="U15" s="71"/>
      <c r="V15" s="71"/>
      <c r="W15" s="71"/>
      <c r="X15" s="71"/>
      <c r="Y15" s="71"/>
      <c r="Z15" s="71"/>
      <c r="AA15" s="71"/>
      <c r="AB15" s="71"/>
      <c r="AC15" s="71"/>
      <c r="AD15" s="71"/>
      <c r="AE15" s="71"/>
      <c r="AF15" s="71"/>
      <c r="AG15" s="71"/>
    </row>
    <row r="16" customFormat="false" ht="15" hidden="false" customHeight="false" outlineLevel="0" collapsed="false">
      <c r="A16" s="256" t="n">
        <f aca="false">IF(Horodateur112335381922313437434649525558616469852226343846505854626670747882909894102106114118110122126130134138142146150154158162166170174178182186190194198202206210[[#This Row],[Jour]]="1- Lundi",$B$1+1, IF(Horodateur112335381922313437434649525558616469852226343846505854626670747882909894102106114118110122126130134138142146150154158162166170174178182186190194198202206210[[#This Row],[Jour]]="2- Mardi",$B$1+2, IF(Horodateur112335381922313437434649525558616469852226343846505854626670747882909894102106114118110122126130134138142146150154158162166170174178182186190194198202206210[[#This Row],[Jour]]="3- Mercredi",$B$1+3, IF(Horodateur112335381922313437434649525558616469852226343846505854626670747882909894102106114118110122126130134138142146150154158162166170174178182186190194198202206210[[#This Row],[Jour]]="4- Jeudi",$B$1+4, IF(Horodateur112335381922313437434649525558616469852226343846505854626670747882909894102106114118110122126130134138142146150154158162166170174178182186190194198202206210[[#This Row],[Jour]]="5- Vendredi",$B$1+5, IF(Horodateur112335381922313437434649525558616469852226343846505854626670747882909894102106114118110122126130134138142146150154158162166170174178182186190194198202206210[[#This Row],[Jour]]="6- Samedi",$B$1+6, IF(Horodateur112335381922313437434649525558616469852226343846505854626670747882909894102106114118110122126130134138142146150154158162166170174178182186190194198202206210[[#This Row],[Jour]]="7- Dimanche",$B$1, )))))))</f>
        <v>44197</v>
      </c>
      <c r="B16" s="257" t="s">
        <v>332</v>
      </c>
      <c r="C16" s="258" t="n">
        <v>0.333333333333333</v>
      </c>
      <c r="D16" s="258" t="n">
        <v>0.364583333333333</v>
      </c>
      <c r="E16" s="71" t="s">
        <v>32</v>
      </c>
      <c r="F16" s="71" t="s">
        <v>21</v>
      </c>
      <c r="G16" s="259" t="s">
        <v>712</v>
      </c>
      <c r="H16" s="258" t="n">
        <f aca="false">IF($C16=0,"",$D16-$C16)</f>
        <v>0.03125</v>
      </c>
      <c r="I16" s="260" t="n">
        <f aca="false">IF($C16=0,"",($H16-INT($H16))*24)</f>
        <v>0.75</v>
      </c>
      <c r="J16" s="303" t="n">
        <f aca="false">SUMIF(Horodateur112335381922313437434649525558616469852226343846505854626670747882909894102106114118110122126130134138142146150154158162166170174178182186190194198202206210[Jour],$B16,Horodateur112335381922313437434649525558616469852226343846505854626670747882909894102106114118110122126130134138142146150154158162166170174178182186190194198202206210[Durée (100)])</f>
        <v>8</v>
      </c>
      <c r="K16" s="335"/>
      <c r="L16" s="188" t="s">
        <v>31</v>
      </c>
      <c r="M16" s="272" t="n">
        <f aca="false">IF(Horodateur112335381922313437434649525558616469852226343846505854626670747882909894102106114118110122126130134138142146150154158162166170174178182186190194198202206210[[#This Row],[O]]="o",Horodateur112335381922313437434649525558616469852226343846505854626670747882909894102106114118110122126130134138142146150154158162166170174178182186190194198202206210[[#This Row],[Durée (100)]],".")</f>
        <v>0.75</v>
      </c>
      <c r="N16" s="187"/>
      <c r="O16" s="71"/>
      <c r="P16" s="71"/>
      <c r="Q16" s="71"/>
      <c r="R16" s="71"/>
      <c r="S16" s="71"/>
      <c r="T16" s="71"/>
      <c r="U16" s="71"/>
      <c r="V16" s="71"/>
      <c r="W16" s="71"/>
      <c r="X16" s="71"/>
      <c r="Y16" s="71"/>
      <c r="Z16" s="71"/>
      <c r="AA16" s="71"/>
      <c r="AB16" s="71"/>
      <c r="AC16" s="71"/>
      <c r="AD16" s="71"/>
      <c r="AE16" s="71"/>
      <c r="AF16" s="71"/>
      <c r="AG16" s="71"/>
    </row>
    <row r="17" customFormat="false" ht="15" hidden="false" customHeight="false" outlineLevel="0" collapsed="false">
      <c r="A17" s="256" t="n">
        <f aca="false">IF(Horodateur112335381922313437434649525558616469852226343846505854626670747882909894102106114118110122126130134138142146150154158162166170174178182186190194198202206210[[#This Row],[Jour]]="1- Lundi",$B$1+1, IF(Horodateur112335381922313437434649525558616469852226343846505854626670747882909894102106114118110122126130134138142146150154158162166170174178182186190194198202206210[[#This Row],[Jour]]="2- Mardi",$B$1+2, IF(Horodateur112335381922313437434649525558616469852226343846505854626670747882909894102106114118110122126130134138142146150154158162166170174178182186190194198202206210[[#This Row],[Jour]]="3- Mercredi",$B$1+3, IF(Horodateur112335381922313437434649525558616469852226343846505854626670747882909894102106114118110122126130134138142146150154158162166170174178182186190194198202206210[[#This Row],[Jour]]="4- Jeudi",$B$1+4, IF(Horodateur112335381922313437434649525558616469852226343846505854626670747882909894102106114118110122126130134138142146150154158162166170174178182186190194198202206210[[#This Row],[Jour]]="5- Vendredi",$B$1+5, IF(Horodateur112335381922313437434649525558616469852226343846505854626670747882909894102106114118110122126130134138142146150154158162166170174178182186190194198202206210[[#This Row],[Jour]]="6- Samedi",$B$1+6, IF(Horodateur112335381922313437434649525558616469852226343846505854626670747882909894102106114118110122126130134138142146150154158162166170174178182186190194198202206210[[#This Row],[Jour]]="7- Dimanche",$B$1, )))))))</f>
        <v>44197</v>
      </c>
      <c r="B17" s="257" t="s">
        <v>332</v>
      </c>
      <c r="C17" s="258" t="n">
        <v>0.364583333333333</v>
      </c>
      <c r="D17" s="258" t="n">
        <v>0.416666666666667</v>
      </c>
      <c r="E17" s="71" t="s">
        <v>37</v>
      </c>
      <c r="F17" s="71" t="s">
        <v>378</v>
      </c>
      <c r="G17" s="259" t="s">
        <v>713</v>
      </c>
      <c r="H17" s="258" t="n">
        <f aca="false">IF($C17=0,"",$D17-$C17)</f>
        <v>0.0520833333333334</v>
      </c>
      <c r="I17" s="260" t="n">
        <f aca="false">IF($C17=0,"",($H17-INT($H17))*24)</f>
        <v>1.25</v>
      </c>
      <c r="J17" s="303" t="n">
        <f aca="false">SUMIF(Horodateur112335381922313437434649525558616469852226343846505854626670747882909894102106114118110122126130134138142146150154158162166170174178182186190194198202206210[Jour],$B17,Horodateur112335381922313437434649525558616469852226343846505854626670747882909894102106114118110122126130134138142146150154158162166170174178182186190194198202206210[Durée (100)])</f>
        <v>8</v>
      </c>
      <c r="K17" s="335"/>
      <c r="L17" s="188" t="s">
        <v>31</v>
      </c>
      <c r="M17" s="272" t="n">
        <f aca="false">IF(Horodateur112335381922313437434649525558616469852226343846505854626670747882909894102106114118110122126130134138142146150154158162166170174178182186190194198202206210[[#This Row],[O]]="o",Horodateur112335381922313437434649525558616469852226343846505854626670747882909894102106114118110122126130134138142146150154158162166170174178182186190194198202206210[[#This Row],[Durée (100)]],".")</f>
        <v>1.25</v>
      </c>
      <c r="N17" s="187"/>
      <c r="O17" s="71"/>
      <c r="P17" s="71"/>
      <c r="Q17" s="71"/>
      <c r="R17" s="71"/>
      <c r="S17" s="71"/>
      <c r="T17" s="71"/>
      <c r="U17" s="71"/>
      <c r="V17" s="71"/>
      <c r="W17" s="71"/>
      <c r="X17" s="71"/>
      <c r="Y17" s="71"/>
      <c r="Z17" s="71"/>
      <c r="AA17" s="71"/>
      <c r="AB17" s="71"/>
      <c r="AC17" s="71"/>
      <c r="AD17" s="71"/>
      <c r="AE17" s="71"/>
      <c r="AF17" s="71"/>
      <c r="AG17" s="71"/>
    </row>
    <row r="18" customFormat="false" ht="15" hidden="false" customHeight="false" outlineLevel="0" collapsed="false">
      <c r="A18" s="256" t="n">
        <f aca="false">IF(Horodateur112335381922313437434649525558616469852226343846505854626670747882909894102106114118110122126130134138142146150154158162166170174178182186190194198202206210[[#This Row],[Jour]]="1- Lundi",$B$1+1, IF(Horodateur112335381922313437434649525558616469852226343846505854626670747882909894102106114118110122126130134138142146150154158162166170174178182186190194198202206210[[#This Row],[Jour]]="2- Mardi",$B$1+2, IF(Horodateur112335381922313437434649525558616469852226343846505854626670747882909894102106114118110122126130134138142146150154158162166170174178182186190194198202206210[[#This Row],[Jour]]="3- Mercredi",$B$1+3, IF(Horodateur112335381922313437434649525558616469852226343846505854626670747882909894102106114118110122126130134138142146150154158162166170174178182186190194198202206210[[#This Row],[Jour]]="4- Jeudi",$B$1+4, IF(Horodateur112335381922313437434649525558616469852226343846505854626670747882909894102106114118110122126130134138142146150154158162166170174178182186190194198202206210[[#This Row],[Jour]]="5- Vendredi",$B$1+5, IF(Horodateur112335381922313437434649525558616469852226343846505854626670747882909894102106114118110122126130134138142146150154158162166170174178182186190194198202206210[[#This Row],[Jour]]="6- Samedi",$B$1+6, IF(Horodateur112335381922313437434649525558616469852226343846505854626670747882909894102106114118110122126130134138142146150154158162166170174178182186190194198202206210[[#This Row],[Jour]]="7- Dimanche",$B$1, )))))))</f>
        <v>44197</v>
      </c>
      <c r="B18" s="257" t="s">
        <v>332</v>
      </c>
      <c r="C18" s="258" t="n">
        <v>0.4375</v>
      </c>
      <c r="D18" s="258" t="n">
        <v>0.520833333333333</v>
      </c>
      <c r="E18" s="71" t="s">
        <v>37</v>
      </c>
      <c r="F18" s="71" t="s">
        <v>378</v>
      </c>
      <c r="G18" s="259" t="s">
        <v>714</v>
      </c>
      <c r="H18" s="258" t="n">
        <f aca="false">IF($C18=0,"",$D18-$C18)</f>
        <v>0.0833333333333334</v>
      </c>
      <c r="I18" s="260" t="n">
        <f aca="false">IF($C18=0,"",($H18-INT($H18))*24)</f>
        <v>2</v>
      </c>
      <c r="J18" s="303" t="n">
        <f aca="false">SUMIF(Horodateur112335381922313437434649525558616469852226343846505854626670747882909894102106114118110122126130134138142146150154158162166170174178182186190194198202206210[Jour],$B18,Horodateur112335381922313437434649525558616469852226343846505854626670747882909894102106114118110122126130134138142146150154158162166170174178182186190194198202206210[Durée (100)])</f>
        <v>8</v>
      </c>
      <c r="K18" s="335"/>
      <c r="L18" s="188" t="s">
        <v>31</v>
      </c>
      <c r="M18" s="272" t="n">
        <f aca="false">IF(Horodateur112335381922313437434649525558616469852226343846505854626670747882909894102106114118110122126130134138142146150154158162166170174178182186190194198202206210[[#This Row],[O]]="o",Horodateur112335381922313437434649525558616469852226343846505854626670747882909894102106114118110122126130134138142146150154158162166170174178182186190194198202206210[[#This Row],[Durée (100)]],".")</f>
        <v>2</v>
      </c>
      <c r="N18" s="187"/>
      <c r="O18" s="71"/>
      <c r="P18" s="71"/>
      <c r="Q18" s="71"/>
      <c r="R18" s="71"/>
      <c r="S18" s="71"/>
      <c r="T18" s="71"/>
      <c r="U18" s="71"/>
      <c r="V18" s="71"/>
      <c r="W18" s="71"/>
      <c r="X18" s="71"/>
      <c r="Y18" s="71"/>
      <c r="Z18" s="71"/>
      <c r="AA18" s="71"/>
      <c r="AB18" s="71"/>
      <c r="AC18" s="71"/>
      <c r="AD18" s="71"/>
      <c r="AE18" s="71"/>
      <c r="AF18" s="71"/>
      <c r="AG18" s="71"/>
    </row>
    <row r="19" customFormat="false" ht="15" hidden="false" customHeight="false" outlineLevel="0" collapsed="false">
      <c r="A19" s="256" t="n">
        <f aca="false">IF(Horodateur112335381922313437434649525558616469852226343846505854626670747882909894102106114118110122126130134138142146150154158162166170174178182186190194198202206210[[#This Row],[Jour]]="1- Lundi",$B$1+1, IF(Horodateur112335381922313437434649525558616469852226343846505854626670747882909894102106114118110122126130134138142146150154158162166170174178182186190194198202206210[[#This Row],[Jour]]="2- Mardi",$B$1+2, IF(Horodateur112335381922313437434649525558616469852226343846505854626670747882909894102106114118110122126130134138142146150154158162166170174178182186190194198202206210[[#This Row],[Jour]]="3- Mercredi",$B$1+3, IF(Horodateur112335381922313437434649525558616469852226343846505854626670747882909894102106114118110122126130134138142146150154158162166170174178182186190194198202206210[[#This Row],[Jour]]="4- Jeudi",$B$1+4, IF(Horodateur112335381922313437434649525558616469852226343846505854626670747882909894102106114118110122126130134138142146150154158162166170174178182186190194198202206210[[#This Row],[Jour]]="5- Vendredi",$B$1+5, IF(Horodateur112335381922313437434649525558616469852226343846505854626670747882909894102106114118110122126130134138142146150154158162166170174178182186190194198202206210[[#This Row],[Jour]]="6- Samedi",$B$1+6, IF(Horodateur112335381922313437434649525558616469852226343846505854626670747882909894102106114118110122126130134138142146150154158162166170174178182186190194198202206210[[#This Row],[Jour]]="7- Dimanche",$B$1, )))))))</f>
        <v>44197</v>
      </c>
      <c r="B19" s="257" t="s">
        <v>332</v>
      </c>
      <c r="C19" s="258" t="n">
        <v>0.541666666666667</v>
      </c>
      <c r="D19" s="258" t="n">
        <v>0.625</v>
      </c>
      <c r="E19" s="71" t="s">
        <v>32</v>
      </c>
      <c r="F19" s="71" t="s">
        <v>22</v>
      </c>
      <c r="G19" s="259" t="s">
        <v>118</v>
      </c>
      <c r="H19" s="258" t="n">
        <f aca="false">IF($C19=0,"",$D19-$C19)</f>
        <v>0.0833333333333334</v>
      </c>
      <c r="I19" s="260" t="n">
        <f aca="false">IF($C19=0,"",($H19-INT($H19))*24)</f>
        <v>2</v>
      </c>
      <c r="J19" s="303" t="n">
        <f aca="false">SUMIF(Horodateur112335381922313437434649525558616469852226343846505854626670747882909894102106114118110122126130134138142146150154158162166170174178182186190194198202206210[Jour],$B19,Horodateur112335381922313437434649525558616469852226343846505854626670747882909894102106114118110122126130134138142146150154158162166170174178182186190194198202206210[Durée (100)])</f>
        <v>8</v>
      </c>
      <c r="K19" s="335"/>
      <c r="L19" s="188" t="s">
        <v>31</v>
      </c>
      <c r="M19" s="272" t="n">
        <f aca="false">IF(Horodateur112335381922313437434649525558616469852226343846505854626670747882909894102106114118110122126130134138142146150154158162166170174178182186190194198202206210[[#This Row],[O]]="o",Horodateur112335381922313437434649525558616469852226343846505854626670747882909894102106114118110122126130134138142146150154158162166170174178182186190194198202206210[[#This Row],[Durée (100)]],".")</f>
        <v>2</v>
      </c>
      <c r="N19" s="187"/>
      <c r="O19" s="71"/>
      <c r="P19" s="71"/>
      <c r="Q19" s="71"/>
      <c r="R19" s="71"/>
      <c r="S19" s="71"/>
      <c r="T19" s="71"/>
      <c r="U19" s="71"/>
      <c r="V19" s="71"/>
      <c r="W19" s="71"/>
      <c r="X19" s="71"/>
      <c r="Y19" s="71"/>
      <c r="Z19" s="71"/>
      <c r="AA19" s="71"/>
      <c r="AB19" s="71"/>
      <c r="AC19" s="71"/>
      <c r="AD19" s="71"/>
      <c r="AE19" s="71"/>
      <c r="AF19" s="71"/>
      <c r="AG19" s="71"/>
    </row>
    <row r="20" customFormat="false" ht="15" hidden="false" customHeight="false" outlineLevel="0" collapsed="false">
      <c r="A20" s="256" t="n">
        <f aca="false">IF(Horodateur112335381922313437434649525558616469852226343846505854626670747882909894102106114118110122126130134138142146150154158162166170174178182186190194198202206210[[#This Row],[Jour]]="1- Lundi",$B$1+1, IF(Horodateur112335381922313437434649525558616469852226343846505854626670747882909894102106114118110122126130134138142146150154158162166170174178182186190194198202206210[[#This Row],[Jour]]="2- Mardi",$B$1+2, IF(Horodateur112335381922313437434649525558616469852226343846505854626670747882909894102106114118110122126130134138142146150154158162166170174178182186190194198202206210[[#This Row],[Jour]]="3- Mercredi",$B$1+3, IF(Horodateur112335381922313437434649525558616469852226343846505854626670747882909894102106114118110122126130134138142146150154158162166170174178182186190194198202206210[[#This Row],[Jour]]="4- Jeudi",$B$1+4, IF(Horodateur112335381922313437434649525558616469852226343846505854626670747882909894102106114118110122126130134138142146150154158162166170174178182186190194198202206210[[#This Row],[Jour]]="5- Vendredi",$B$1+5, IF(Horodateur112335381922313437434649525558616469852226343846505854626670747882909894102106114118110122126130134138142146150154158162166170174178182186190194198202206210[[#This Row],[Jour]]="6- Samedi",$B$1+6, IF(Horodateur112335381922313437434649525558616469852226343846505854626670747882909894102106114118110122126130134138142146150154158162166170174178182186190194198202206210[[#This Row],[Jour]]="7- Dimanche",$B$1, )))))))</f>
        <v>44197</v>
      </c>
      <c r="B20" s="257" t="s">
        <v>332</v>
      </c>
      <c r="C20" s="258" t="n">
        <v>0.625</v>
      </c>
      <c r="D20" s="258" t="n">
        <v>0.708333333333333</v>
      </c>
      <c r="E20" s="71" t="s">
        <v>37</v>
      </c>
      <c r="F20" s="71" t="s">
        <v>378</v>
      </c>
      <c r="G20" s="259" t="s">
        <v>356</v>
      </c>
      <c r="H20" s="258" t="n">
        <f aca="false">IF($C20=0,"",$D20-$C20)</f>
        <v>0.0833333333333334</v>
      </c>
      <c r="I20" s="260" t="n">
        <f aca="false">IF($C20=0,"",($H20-INT($H20))*24)</f>
        <v>2</v>
      </c>
      <c r="J20" s="303" t="n">
        <f aca="false">SUMIF(Horodateur112335381922313437434649525558616469852226343846505854626670747882909894102106114118110122126130134138142146150154158162166170174178182186190194198202206210[Jour],$B20,Horodateur112335381922313437434649525558616469852226343846505854626670747882909894102106114118110122126130134138142146150154158162166170174178182186190194198202206210[Durée (100)])</f>
        <v>8</v>
      </c>
      <c r="K20" s="335"/>
      <c r="L20" s="188" t="s">
        <v>31</v>
      </c>
      <c r="M20" s="272" t="n">
        <f aca="false">IF(Horodateur112335381922313437434649525558616469852226343846505854626670747882909894102106114118110122126130134138142146150154158162166170174178182186190194198202206210[[#This Row],[O]]="o",Horodateur112335381922313437434649525558616469852226343846505854626670747882909894102106114118110122126130134138142146150154158162166170174178182186190194198202206210[[#This Row],[Durée (100)]],".")</f>
        <v>2</v>
      </c>
      <c r="N20" s="187"/>
      <c r="O20" s="71"/>
      <c r="P20" s="71"/>
      <c r="Q20" s="71"/>
      <c r="R20" s="71"/>
      <c r="S20" s="71"/>
      <c r="T20" s="71"/>
      <c r="U20" s="71"/>
      <c r="V20" s="71"/>
      <c r="W20" s="71"/>
      <c r="X20" s="71"/>
      <c r="Y20" s="71"/>
      <c r="Z20" s="71"/>
      <c r="AA20" s="71"/>
      <c r="AB20" s="71"/>
      <c r="AC20" s="71"/>
      <c r="AD20" s="71"/>
      <c r="AE20" s="71"/>
      <c r="AF20" s="71"/>
      <c r="AG20" s="71"/>
    </row>
    <row r="21" customFormat="false" ht="15" hidden="false" customHeight="false" outlineLevel="0" collapsed="false">
      <c r="A21" s="256" t="n">
        <f aca="false">IF(Horodateur112335381922313437434649525558616469852226343846505854626670747882909894102106114118110122126130134138142146150154158162166170174178182186190194198202206210[[#This Row],[Jour]]="1- Lundi",$B$1+1, IF(Horodateur112335381922313437434649525558616469852226343846505854626670747882909894102106114118110122126130134138142146150154158162166170174178182186190194198202206210[[#This Row],[Jour]]="2- Mardi",$B$1+2, IF(Horodateur112335381922313437434649525558616469852226343846505854626670747882909894102106114118110122126130134138142146150154158162166170174178182186190194198202206210[[#This Row],[Jour]]="3- Mercredi",$B$1+3, IF(Horodateur112335381922313437434649525558616469852226343846505854626670747882909894102106114118110122126130134138142146150154158162166170174178182186190194198202206210[[#This Row],[Jour]]="4- Jeudi",$B$1+4, IF(Horodateur112335381922313437434649525558616469852226343846505854626670747882909894102106114118110122126130134138142146150154158162166170174178182186190194198202206210[[#This Row],[Jour]]="5- Vendredi",$B$1+5, IF(Horodateur112335381922313437434649525558616469852226343846505854626670747882909894102106114118110122126130134138142146150154158162166170174178182186190194198202206210[[#This Row],[Jour]]="6- Samedi",$B$1+6, IF(Horodateur112335381922313437434649525558616469852226343846505854626670747882909894102106114118110122126130134138142146150154158162166170174178182186190194198202206210[[#This Row],[Jour]]="7- Dimanche",$B$1, )))))))</f>
        <v>44198</v>
      </c>
      <c r="B21" s="257" t="s">
        <v>335</v>
      </c>
      <c r="C21" s="258" t="n">
        <v>0.395833333333333</v>
      </c>
      <c r="D21" s="258" t="n">
        <v>0.40625</v>
      </c>
      <c r="E21" s="71" t="s">
        <v>45</v>
      </c>
      <c r="F21" s="71" t="s">
        <v>399</v>
      </c>
      <c r="G21" s="259" t="s">
        <v>715</v>
      </c>
      <c r="H21" s="258" t="n">
        <f aca="false">IF($C21=0,"",$D21-$C21)</f>
        <v>0.0104166666666667</v>
      </c>
      <c r="I21" s="260" t="n">
        <f aca="false">IF($C21=0,"",($H21-INT($H21))*24)</f>
        <v>0.25</v>
      </c>
      <c r="J21" s="303" t="n">
        <f aca="false">SUMIF(Horodateur112335381922313437434649525558616469852226343846505854626670747882909894102106114118110122126130134138142146150154158162166170174178182186190194198202206210[Jour],$B21,Horodateur112335381922313437434649525558616469852226343846505854626670747882909894102106114118110122126130134138142146150154158162166170174178182186190194198202206210[Durée (100)])</f>
        <v>1.25</v>
      </c>
      <c r="K21" s="335"/>
      <c r="L21" s="188" t="s">
        <v>31</v>
      </c>
      <c r="M21" s="272" t="n">
        <f aca="false">IF(Horodateur112335381922313437434649525558616469852226343846505854626670747882909894102106114118110122126130134138142146150154158162166170174178182186190194198202206210[[#This Row],[O]]="o",Horodateur112335381922313437434649525558616469852226343846505854626670747882909894102106114118110122126130134138142146150154158162166170174178182186190194198202206210[[#This Row],[Durée (100)]],".")</f>
        <v>0.25</v>
      </c>
      <c r="N21" s="187"/>
      <c r="O21" s="71"/>
      <c r="P21" s="71"/>
      <c r="Q21" s="71"/>
      <c r="R21" s="71"/>
      <c r="S21" s="71"/>
      <c r="T21" s="71"/>
      <c r="U21" s="71"/>
      <c r="V21" s="71"/>
      <c r="W21" s="71"/>
      <c r="X21" s="71"/>
      <c r="Y21" s="71"/>
      <c r="Z21" s="71"/>
      <c r="AA21" s="71"/>
      <c r="AB21" s="71"/>
      <c r="AC21" s="71"/>
      <c r="AD21" s="71"/>
      <c r="AE21" s="71"/>
      <c r="AF21" s="71"/>
      <c r="AG21" s="71"/>
    </row>
    <row r="22" customFormat="false" ht="15" hidden="false" customHeight="false" outlineLevel="0" collapsed="false">
      <c r="A22" s="256" t="n">
        <f aca="false">IF(Horodateur112335381922313437434649525558616469852226343846505854626670747882909894102106114118110122126130134138142146150154158162166170174178182186190194198202206210[[#This Row],[Jour]]="1- Lundi",$B$1+1, IF(Horodateur112335381922313437434649525558616469852226343846505854626670747882909894102106114118110122126130134138142146150154158162166170174178182186190194198202206210[[#This Row],[Jour]]="2- Mardi",$B$1+2, IF(Horodateur112335381922313437434649525558616469852226343846505854626670747882909894102106114118110122126130134138142146150154158162166170174178182186190194198202206210[[#This Row],[Jour]]="3- Mercredi",$B$1+3, IF(Horodateur112335381922313437434649525558616469852226343846505854626670747882909894102106114118110122126130134138142146150154158162166170174178182186190194198202206210[[#This Row],[Jour]]="4- Jeudi",$B$1+4, IF(Horodateur112335381922313437434649525558616469852226343846505854626670747882909894102106114118110122126130134138142146150154158162166170174178182186190194198202206210[[#This Row],[Jour]]="5- Vendredi",$B$1+5, IF(Horodateur112335381922313437434649525558616469852226343846505854626670747882909894102106114118110122126130134138142146150154158162166170174178182186190194198202206210[[#This Row],[Jour]]="6- Samedi",$B$1+6, IF(Horodateur112335381922313437434649525558616469852226343846505854626670747882909894102106114118110122126130134138142146150154158162166170174178182186190194198202206210[[#This Row],[Jour]]="7- Dimanche",$B$1, )))))))</f>
        <v>44198</v>
      </c>
      <c r="B22" s="257" t="s">
        <v>335</v>
      </c>
      <c r="C22" s="258" t="n">
        <v>0.416666666666667</v>
      </c>
      <c r="D22" s="258" t="n">
        <v>0.458333333333333</v>
      </c>
      <c r="E22" s="71" t="s">
        <v>32</v>
      </c>
      <c r="F22" s="71" t="s">
        <v>21</v>
      </c>
      <c r="G22" s="259" t="s">
        <v>716</v>
      </c>
      <c r="H22" s="258" t="n">
        <f aca="false">IF($C22=0,"",$D22-$C22)</f>
        <v>0.0416666666666667</v>
      </c>
      <c r="I22" s="260" t="n">
        <f aca="false">IF($C22=0,"",($H22-INT($H22))*24)</f>
        <v>1</v>
      </c>
      <c r="J22" s="303" t="n">
        <f aca="false">SUMIF(Horodateur112335381922313437434649525558616469852226343846505854626670747882909894102106114118110122126130134138142146150154158162166170174178182186190194198202206210[Jour],$B22,Horodateur112335381922313437434649525558616469852226343846505854626670747882909894102106114118110122126130134138142146150154158162166170174178182186190194198202206210[Durée (100)])</f>
        <v>1.25</v>
      </c>
      <c r="K22" s="335"/>
      <c r="L22" s="188" t="s">
        <v>31</v>
      </c>
      <c r="M22" s="272" t="n">
        <f aca="false">IF(Horodateur112335381922313437434649525558616469852226343846505854626670747882909894102106114118110122126130134138142146150154158162166170174178182186190194198202206210[[#This Row],[O]]="o",Horodateur112335381922313437434649525558616469852226343846505854626670747882909894102106114118110122126130134138142146150154158162166170174178182186190194198202206210[[#This Row],[Durée (100)]],".")</f>
        <v>0.999999999999999</v>
      </c>
      <c r="N22" s="187"/>
      <c r="O22" s="71"/>
      <c r="P22" s="71"/>
      <c r="Q22" s="71"/>
      <c r="R22" s="71"/>
      <c r="S22" s="71"/>
      <c r="T22" s="71"/>
      <c r="U22" s="71"/>
      <c r="V22" s="71"/>
      <c r="W22" s="71"/>
      <c r="X22" s="71"/>
      <c r="Y22" s="71"/>
      <c r="Z22" s="71"/>
      <c r="AA22" s="71"/>
      <c r="AB22" s="71"/>
      <c r="AC22" s="71"/>
      <c r="AD22" s="71"/>
      <c r="AE22" s="71"/>
      <c r="AF22" s="71"/>
      <c r="AG22" s="71"/>
    </row>
    <row r="23" customFormat="false" ht="15" hidden="false" customHeight="false" outlineLevel="0" collapsed="false">
      <c r="A23" s="137"/>
      <c r="B23" s="187"/>
      <c r="C23" s="71"/>
      <c r="D23" s="1"/>
      <c r="E23" s="1"/>
      <c r="F23" s="71"/>
      <c r="G23" s="340"/>
      <c r="H23" s="1"/>
      <c r="I23" s="119"/>
      <c r="J23" s="271"/>
      <c r="K23" s="1"/>
      <c r="L23" s="188"/>
      <c r="M23" s="272"/>
      <c r="N23" s="187"/>
      <c r="O23" s="71"/>
      <c r="P23" s="71"/>
      <c r="Q23" s="71"/>
      <c r="R23" s="71"/>
      <c r="S23" s="71"/>
      <c r="T23" s="71"/>
      <c r="U23" s="71"/>
      <c r="V23" s="71"/>
      <c r="W23" s="71"/>
      <c r="X23" s="71"/>
      <c r="Y23" s="71"/>
      <c r="Z23" s="71"/>
      <c r="AA23" s="71"/>
      <c r="AB23" s="71"/>
      <c r="AC23" s="71"/>
      <c r="AD23" s="71"/>
      <c r="AE23" s="71"/>
      <c r="AF23" s="71"/>
      <c r="AG23" s="71"/>
    </row>
    <row r="24" customFormat="false" ht="15" hidden="false" customHeight="false" outlineLevel="0" collapsed="false">
      <c r="A24" s="137"/>
      <c r="B24" s="187"/>
      <c r="C24" s="71"/>
      <c r="D24" s="1"/>
      <c r="E24" s="1"/>
      <c r="F24" s="71"/>
      <c r="G24" s="1"/>
      <c r="H24" s="1"/>
      <c r="I24" s="119"/>
      <c r="J24" s="271"/>
      <c r="K24" s="1"/>
      <c r="L24" s="188"/>
      <c r="M24" s="272"/>
      <c r="N24" s="187"/>
      <c r="O24" s="71"/>
      <c r="P24" s="71"/>
      <c r="Q24" s="71"/>
      <c r="R24" s="71"/>
      <c r="S24" s="71"/>
      <c r="T24" s="71"/>
      <c r="U24" s="71"/>
      <c r="V24" s="71"/>
      <c r="W24" s="71"/>
      <c r="X24" s="71"/>
      <c r="Y24" s="71"/>
      <c r="Z24" s="71"/>
      <c r="AA24" s="71"/>
      <c r="AB24" s="71"/>
      <c r="AC24" s="71"/>
      <c r="AD24" s="71"/>
      <c r="AE24" s="71"/>
      <c r="AF24" s="71"/>
      <c r="AG24" s="71"/>
    </row>
    <row r="25" customFormat="false" ht="15" hidden="false" customHeight="false" outlineLevel="0" collapsed="false">
      <c r="A25" s="137"/>
      <c r="B25" s="187"/>
      <c r="C25" s="71"/>
      <c r="D25" s="1"/>
      <c r="E25" s="1"/>
      <c r="F25" s="71"/>
      <c r="G25" s="1"/>
      <c r="H25" s="1"/>
      <c r="I25" s="119"/>
      <c r="J25" s="271"/>
      <c r="K25" s="1"/>
      <c r="L25" s="188"/>
      <c r="N25" s="187"/>
      <c r="O25" s="71"/>
      <c r="P25" s="71"/>
      <c r="Q25" s="71"/>
      <c r="R25" s="71"/>
      <c r="S25" s="71"/>
      <c r="T25" s="71"/>
      <c r="U25" s="71"/>
      <c r="V25" s="71"/>
      <c r="W25" s="71"/>
      <c r="X25" s="71"/>
      <c r="Y25" s="71"/>
      <c r="Z25" s="71"/>
      <c r="AA25" s="71"/>
      <c r="AB25" s="71"/>
      <c r="AC25" s="71"/>
      <c r="AD25" s="71"/>
      <c r="AE25" s="71"/>
      <c r="AF25" s="71"/>
      <c r="AG25" s="71"/>
    </row>
    <row r="26" customFormat="false" ht="15" hidden="false" customHeight="false" outlineLevel="0" collapsed="false">
      <c r="A26" s="274" t="s">
        <v>377</v>
      </c>
      <c r="B26" s="275" t="str">
        <f aca="false">SUM($A$72:$A$502) &amp; " heures"</f>
        <v>26.75 heures</v>
      </c>
      <c r="C26" s="276" t="str">
        <f aca="false">SUM($A$72:$A$493) / 8 &amp; " Jours"</f>
        <v>3.34375 Jours</v>
      </c>
      <c r="D26" s="277"/>
      <c r="E26" s="277" t="n">
        <v>33.25</v>
      </c>
      <c r="F26" s="278" t="n">
        <f aca="false">E26/8</f>
        <v>4.15625</v>
      </c>
      <c r="G26" s="277"/>
      <c r="H26" s="277"/>
      <c r="I26" s="279"/>
      <c r="J26" s="280"/>
      <c r="K26" s="277"/>
      <c r="L26" s="281"/>
      <c r="M26" s="282"/>
      <c r="N26" s="283"/>
      <c r="O26" s="277"/>
      <c r="P26" s="277"/>
      <c r="Q26" s="277"/>
      <c r="R26" s="277"/>
      <c r="S26" s="277"/>
      <c r="T26" s="277"/>
      <c r="U26" s="278"/>
      <c r="V26" s="278"/>
      <c r="W26" s="278"/>
      <c r="X26" s="278"/>
      <c r="Y26" s="278"/>
      <c r="Z26" s="278"/>
      <c r="AA26" s="278"/>
      <c r="AB26" s="278"/>
      <c r="AC26" s="278"/>
      <c r="AD26" s="278"/>
      <c r="AE26" s="278"/>
      <c r="AF26" s="278"/>
      <c r="AG26" s="278"/>
    </row>
    <row r="27" customFormat="false" ht="15" hidden="false" customHeight="false" outlineLevel="0" collapsed="false">
      <c r="A27" s="137"/>
      <c r="B27" s="187"/>
      <c r="C27" s="71"/>
      <c r="D27" s="1"/>
      <c r="E27" s="1"/>
      <c r="F27" s="71"/>
      <c r="G27" s="1"/>
      <c r="H27" s="1"/>
      <c r="I27" s="119"/>
      <c r="J27" s="271"/>
      <c r="K27" s="1"/>
      <c r="L27" s="188"/>
      <c r="M27" s="272"/>
      <c r="N27" s="187"/>
      <c r="O27" s="1"/>
      <c r="P27" s="1"/>
      <c r="Q27" s="1"/>
      <c r="R27" s="1"/>
      <c r="S27" s="1"/>
      <c r="T27" s="1"/>
      <c r="U27" s="71"/>
      <c r="V27" s="71"/>
      <c r="W27" s="71"/>
      <c r="X27" s="71"/>
      <c r="Y27" s="71"/>
      <c r="Z27" s="71"/>
      <c r="AA27" s="71"/>
      <c r="AB27" s="71"/>
      <c r="AC27" s="71"/>
      <c r="AD27" s="71"/>
      <c r="AE27" s="71"/>
      <c r="AF27" s="71"/>
      <c r="AG27" s="71"/>
    </row>
    <row r="28" customFormat="false" ht="15" hidden="true" customHeight="false" outlineLevel="1" collapsed="false">
      <c r="A28" s="137"/>
      <c r="B28" s="137"/>
      <c r="C28" s="137"/>
      <c r="D28" s="137"/>
      <c r="E28" s="1"/>
      <c r="F28" s="71"/>
      <c r="G28" s="1"/>
      <c r="H28" s="1"/>
      <c r="I28" s="119"/>
      <c r="J28" s="271"/>
      <c r="K28" s="1"/>
      <c r="L28" s="188"/>
      <c r="M28" s="272"/>
      <c r="N28" s="187"/>
      <c r="O28" s="1"/>
      <c r="P28" s="1"/>
      <c r="Q28" s="1"/>
      <c r="R28" s="1"/>
      <c r="S28" s="1"/>
      <c r="T28" s="1"/>
      <c r="U28" s="71"/>
      <c r="V28" s="71"/>
      <c r="W28" s="71"/>
      <c r="X28" s="71"/>
      <c r="Y28" s="71"/>
      <c r="Z28" s="71"/>
      <c r="AA28" s="71"/>
      <c r="AB28" s="71"/>
      <c r="AC28" s="71"/>
      <c r="AD28" s="71"/>
      <c r="AE28" s="71"/>
      <c r="AF28" s="71"/>
      <c r="AG28" s="71"/>
    </row>
    <row r="29" customFormat="false" ht="15" hidden="true" customHeight="false" outlineLevel="1" collapsed="false">
      <c r="A29" s="284" t="s">
        <v>84</v>
      </c>
      <c r="B29" s="285" t="s">
        <v>21</v>
      </c>
      <c r="C29" s="285" t="s">
        <v>20</v>
      </c>
      <c r="D29" s="285" t="s">
        <v>23</v>
      </c>
      <c r="E29" s="285" t="s">
        <v>25</v>
      </c>
      <c r="F29" s="285" t="s">
        <v>26</v>
      </c>
      <c r="G29" s="285" t="s">
        <v>378</v>
      </c>
      <c r="H29" s="285" t="s">
        <v>379</v>
      </c>
      <c r="I29" s="285" t="s">
        <v>380</v>
      </c>
      <c r="J29" s="286" t="s">
        <v>58</v>
      </c>
      <c r="K29" s="287"/>
      <c r="L29" s="288"/>
      <c r="M29" s="289"/>
      <c r="N29" s="187"/>
      <c r="O29" s="1"/>
      <c r="P29" s="1"/>
      <c r="Q29" s="1"/>
      <c r="R29" s="1"/>
      <c r="S29" s="1"/>
      <c r="T29" s="71"/>
      <c r="U29" s="71"/>
      <c r="V29" s="71"/>
      <c r="W29" s="71"/>
      <c r="X29" s="71"/>
      <c r="Y29" s="71"/>
      <c r="Z29" s="71"/>
      <c r="AA29" s="71"/>
      <c r="AB29" s="71"/>
      <c r="AC29" s="71"/>
      <c r="AD29" s="71"/>
      <c r="AE29" s="71"/>
      <c r="AF29" s="71"/>
    </row>
    <row r="30" customFormat="false" ht="15" hidden="true" customHeight="false" outlineLevel="1" collapsed="false">
      <c r="A30" s="187" t="s">
        <v>312</v>
      </c>
      <c r="B30" s="71" t="n">
        <f aca="false">SUMIFS(Horodateur112335381922313437434649525558616469852226343846505854626670747882909894102106114118110122126130134138142146150154158162166170174178182186190194198202206210[Durée (100)],Horodateur112335381922313437434649525558616469852226343846505854626670747882909894102106114118110122126130134138142146150154158162166170174178182186190194198202206210[Tâche],Taches_Jours122436391720293235414447505356596267832024323644485652606468727680889692100104112116108120124128132136140144148152156160164168172176180184188192196200204208[[#Headers],[GB]],Horodateur112335381922313437434649525558616469852226343846505854626670747882909894102106114118110122126130134138142146150154158162166170174178182186190194198202206210[Jour],Taches_Jours122436391720293235414447505356596267832024323644485652606468727680889692100104112116108120124128132136140144148152156160164168172176180184188192196200204208[[#This Row],[Jours]])</f>
        <v>1</v>
      </c>
      <c r="C30" s="71" t="n">
        <f aca="false">SUMIFS(Horodateur112335381922313437434649525558616469852226343846505854626670747882909894102106114118110122126130134138142146150154158162166170174178182186190194198202206210[Durée (100)],Horodateur112335381922313437434649525558616469852226343846505854626670747882909894102106114118110122126130134138142146150154158162166170174178182186190194198202206210[Tâche],Taches_Jours122436391720293235414447505356596267832024323644485652606468727680889692100104112116108120124128132136140144148152156160164168172176180184188192196200204208[[#Headers],[RI]],Horodateur112335381922313437434649525558616469852226343846505854626670747882909894102106114118110122126130134138142146150154158162166170174178182186190194198202206210[Jour],Taches_Jours122436391720293235414447505356596267832024323644485652606468727680889692100104112116108120124128132136140144148152156160164168172176180184188192196200204208[[#This Row],[Jours]])</f>
        <v>0</v>
      </c>
      <c r="D30" s="71" t="n">
        <f aca="false">SUMIFS(Horodateur112335381922313437434649525558616469852226343846505854626670747882909894102106114118110122126130134138142146150154158162166170174178182186190194198202206210[Durée (100)],Horodateur112335381922313437434649525558616469852226343846505854626670747882909894102106114118110122126130134138142146150154158162166170174178182186190194198202206210[Tâche],Taches_Jours122436391720293235414447505356596267832024323644485652606468727680889692100104112116108120124128132136140144148152156160164168172176180184188192196200204208[[#Headers],[FG]],Horodateur112335381922313437434649525558616469852226343846505854626670747882909894102106114118110122126130134138142146150154158162166170174178182186190194198202206210[Jour],Taches_Jours122436391720293235414447505356596267832024323644485652606468727680889692100104112116108120124128132136140144148152156160164168172176180184188192196200204208[[#This Row],[Jours]])</f>
        <v>0</v>
      </c>
      <c r="E30" s="71" t="n">
        <f aca="false">SUMIFS(Horodateur112335381922313437434649525558616469852226343846505854626670747882909894102106114118110122126130134138142146150154158162166170174178182186190194198202206210[Durée (100)],Horodateur112335381922313437434649525558616469852226343846505854626670747882909894102106114118110122126130134138142146150154158162166170174178182186190194198202206210[Tâche],Taches_Jours122436391720293235414447505356596267832024323644485652606468727680889692100104112116108120124128132136140144148152156160164168172176180184188192196200204208[[#Headers],[PS]],Horodateur112335381922313437434649525558616469852226343846505854626670747882909894102106114118110122126130134138142146150154158162166170174178182186190194198202206210[Jour],Taches_Jours122436391720293235414447505356596267832024323644485652606468727680889692100104112116108120124128132136140144148152156160164168172176180184188192196200204208[[#This Row],[Jours]])</f>
        <v>0</v>
      </c>
      <c r="F30" s="71" t="n">
        <f aca="false">SUMIFS(Horodateur112335381922313437434649525558616469852226343846505854626670747882909894102106114118110122126130134138142146150154158162166170174178182186190194198202206210[Durée (100)],Horodateur112335381922313437434649525558616469852226343846505854626670747882909894102106114118110122126130134138142146150154158162166170174178182186190194198202206210[Tâche],Taches_Jours122436391720293235414447505356596267832024323644485652606468727680889692100104112116108120124128132136140144148152156160164168172176180184188192196200204208[[#Headers],[TD]],Horodateur112335381922313437434649525558616469852226343846505854626670747882909894102106114118110122126130134138142146150154158162166170174178182186190194198202206210[Jour],Taches_Jours122436391720293235414447505356596267832024323644485652606468727680889692100104112116108120124128132136140144148152156160164168172176180184188192196200204208[[#This Row],[Jours]])</f>
        <v>0</v>
      </c>
      <c r="G30" s="71" t="n">
        <f aca="false">SUMIFS(Horodateur112335381922313437434649525558616469852226343846505854626670747882909894102106114118110122126130134138142146150154158162166170174178182186190194198202206210[Durée (100)],Horodateur112335381922313437434649525558616469852226343846505854626670747882909894102106114118110122126130134138142146150154158162166170174178182186190194198202206210[Tâche],Taches_Jours122436391720293235414447505356596267832024323644485652606468727680889692100104112116108120124128132136140144148152156160164168172176180184188192196200204208[[#Headers],[GP]],Horodateur112335381922313437434649525558616469852226343846505854626670747882909894102106114118110122126130134138142146150154158162166170174178182186190194198202206210[Jour],Taches_Jours122436391720293235414447505356596267832024323644485652606468727680889692100104112116108120124128132136140144148152156160164168172176180184188192196200204208[[#This Row],[Jours]])</f>
        <v>5.5</v>
      </c>
      <c r="H30" s="71" t="n">
        <f aca="false">SUMIFS(Horodateur112335381922313437434649525558616469852226343846505854626670747882909894102106114118110122126130134138142146150154158162166170174178182186190194198202206210[Durée (100)],Horodateur112335381922313437434649525558616469852226343846505854626670747882909894102106114118110122126130134138142146150154158162166170174178182186190194198202206210[Tâche],Taches_Jours122436391720293235414447505356596267832024323644485652606468727680889692100104112116108120124128132136140144148152156160164168172176180184188192196200204208[[#Headers],[GP / SP]],Horodateur112335381922313437434649525558616469852226343846505854626670747882909894102106114118110122126130134138142146150154158162166170174178182186190194198202206210[Jour],Taches_Jours122436391720293235414447505356596267832024323644485652606468727680889692100104112116108120124128132136140144148152156160164168172176180184188192196200204208[[#This Row],[Jours]])</f>
        <v>0</v>
      </c>
      <c r="I30" s="71" t="n">
        <f aca="false">SUMIFS(Horodateur112335381922313437434649525558616469852226343846505854626670747882909894102106114118110122126130134138142146150154158162166170174178182186190194198202206210[Durée (100)],Horodateur112335381922313437434649525558616469852226343846505854626670747882909894102106114118110122126130134138142146150154158162166170174178182186190194198202206210[Tâche],Taches_Jours122436391720293235414447505356596267832024323644485652606468727680889692100104112116108120124128132136140144148152156160164168172176180184188192196200204208[[#Headers],[GP / SP]],Horodateur112335381922313437434649525558616469852226343846505854626670747882909894102106114118110122126130134138142146150154158162166170174178182186190194198202206210[Jour],Taches_Jours122436391720293235414447505356596267832024323644485652606468727680889692100104112116108120124128132136140144148152156160164168172176180184188192196200204208[[#This Row],[Jours]])</f>
        <v>0</v>
      </c>
      <c r="J30" s="290" t="n">
        <f aca="false">SUM(Taches_Jours122436391720293235414447505356596267832024323644485652606468727680889692100104112116108120124128132136140144148152156160164168172176180184188192196200204208[[#This Row],[GB]:[GP / SP]])</f>
        <v>6.5</v>
      </c>
      <c r="K30" s="188"/>
      <c r="L30" s="288"/>
      <c r="M30" s="289"/>
      <c r="N30" s="187"/>
      <c r="O30" s="1"/>
      <c r="P30" s="1"/>
      <c r="Q30" s="1"/>
      <c r="R30" s="1"/>
      <c r="S30" s="1"/>
      <c r="T30" s="71"/>
      <c r="U30" s="71"/>
      <c r="V30" s="71"/>
      <c r="W30" s="71"/>
      <c r="X30" s="71"/>
      <c r="Y30" s="71"/>
      <c r="Z30" s="71"/>
      <c r="AA30" s="71"/>
      <c r="AB30" s="71"/>
      <c r="AC30" s="71"/>
      <c r="AD30" s="71"/>
      <c r="AE30" s="71"/>
      <c r="AF30" s="71"/>
    </row>
    <row r="31" customFormat="false" ht="15" hidden="true" customHeight="false" outlineLevel="1" collapsed="false">
      <c r="A31" s="187" t="s">
        <v>319</v>
      </c>
      <c r="B31" s="71" t="n">
        <f aca="false">SUMIFS(Horodateur112335381922313437434649525558616469852226343846505854626670747882909894102106114118110122126130134138142146150154158162166170174178182186190194198202206210[Durée (100)],Horodateur112335381922313437434649525558616469852226343846505854626670747882909894102106114118110122126130134138142146150154158162166170174178182186190194198202206210[Tâche],Taches_Jours122436391720293235414447505356596267832024323644485652606468727680889692100104112116108120124128132136140144148152156160164168172176180184188192196200204208[[#Headers],[GB]],Horodateur112335381922313437434649525558616469852226343846505854626670747882909894102106114118110122126130134138142146150154158162166170174178182186190194198202206210[Jour],Taches_Jours122436391720293235414447505356596267832024323644485652606468727680889692100104112116108120124128132136140144148152156160164168172176180184188192196200204208[[#This Row],[Jours]])</f>
        <v>0</v>
      </c>
      <c r="C31" s="71" t="n">
        <f aca="false">SUMIFS(Horodateur112335381922313437434649525558616469852226343846505854626670747882909894102106114118110122126130134138142146150154158162166170174178182186190194198202206210[Durée (100)],Horodateur112335381922313437434649525558616469852226343846505854626670747882909894102106114118110122126130134138142146150154158162166170174178182186190194198202206210[Tâche],Taches_Jours122436391720293235414447505356596267832024323644485652606468727680889692100104112116108120124128132136140144148152156160164168172176180184188192196200204208[[#Headers],[RI]],Horodateur112335381922313437434649525558616469852226343846505854626670747882909894102106114118110122126130134138142146150154158162166170174178182186190194198202206210[Jour],Taches_Jours122436391720293235414447505356596267832024323644485652606468727680889692100104112116108120124128132136140144148152156160164168172176180184188192196200204208[[#This Row],[Jours]])</f>
        <v>0</v>
      </c>
      <c r="D31" s="71" t="n">
        <f aca="false">SUMIFS(Horodateur112335381922313437434649525558616469852226343846505854626670747882909894102106114118110122126130134138142146150154158162166170174178182186190194198202206210[Durée (100)],Horodateur112335381922313437434649525558616469852226343846505854626670747882909894102106114118110122126130134138142146150154158162166170174178182186190194198202206210[Tâche],Taches_Jours122436391720293235414447505356596267832024323644485652606468727680889692100104112116108120124128132136140144148152156160164168172176180184188192196200204208[[#Headers],[FG]],Horodateur112335381922313437434649525558616469852226343846505854626670747882909894102106114118110122126130134138142146150154158162166170174178182186190194198202206210[Jour],Taches_Jours122436391720293235414447505356596267832024323644485652606468727680889692100104112116108120124128132136140144148152156160164168172176180184188192196200204208[[#This Row],[Jours]])</f>
        <v>2</v>
      </c>
      <c r="E31" s="71" t="n">
        <f aca="false">SUMIFS(Horodateur112335381922313437434649525558616469852226343846505854626670747882909894102106114118110122126130134138142146150154158162166170174178182186190194198202206210[Durée (100)],Horodateur112335381922313437434649525558616469852226343846505854626670747882909894102106114118110122126130134138142146150154158162166170174178182186190194198202206210[Tâche],Taches_Jours122436391720293235414447505356596267832024323644485652606468727680889692100104112116108120124128132136140144148152156160164168172176180184188192196200204208[[#Headers],[PS]],Horodateur112335381922313437434649525558616469852226343846505854626670747882909894102106114118110122126130134138142146150154158162166170174178182186190194198202206210[Jour],Taches_Jours122436391720293235414447505356596267832024323644485652606468727680889692100104112116108120124128132136140144148152156160164168172176180184188192196200204208[[#This Row],[Jours]])</f>
        <v>0</v>
      </c>
      <c r="F31" s="71" t="n">
        <f aca="false">SUMIFS(Horodateur112335381922313437434649525558616469852226343846505854626670747882909894102106114118110122126130134138142146150154158162166170174178182186190194198202206210[Durée (100)],Horodateur112335381922313437434649525558616469852226343846505854626670747882909894102106114118110122126130134138142146150154158162166170174178182186190194198202206210[Tâche],Taches_Jours122436391720293235414447505356596267832024323644485652606468727680889692100104112116108120124128132136140144148152156160164168172176180184188192196200204208[[#Headers],[TD]],Horodateur112335381922313437434649525558616469852226343846505854626670747882909894102106114118110122126130134138142146150154158162166170174178182186190194198202206210[Jour],Taches_Jours122436391720293235414447505356596267832024323644485652606468727680889692100104112116108120124128132136140144148152156160164168172176180184188192196200204208[[#This Row],[Jours]])</f>
        <v>0</v>
      </c>
      <c r="G31" s="71" t="n">
        <f aca="false">SUMIFS(Horodateur112335381922313437434649525558616469852226343846505854626670747882909894102106114118110122126130134138142146150154158162166170174178182186190194198202206210[Durée (100)],Horodateur112335381922313437434649525558616469852226343846505854626670747882909894102106114118110122126130134138142146150154158162166170174178182186190194198202206210[Tâche],Taches_Jours122436391720293235414447505356596267832024323644485652606468727680889692100104112116108120124128132136140144148152156160164168172176180184188192196200204208[[#Headers],[GP]],Horodateur112335381922313437434649525558616469852226343846505854626670747882909894102106114118110122126130134138142146150154158162166170174178182186190194198202206210[Jour],Taches_Jours122436391720293235414447505356596267832024323644485652606468727680889692100104112116108120124128132136140144148152156160164168172176180184188192196200204208[[#This Row],[Jours]])</f>
        <v>1.75</v>
      </c>
      <c r="H31" s="71" t="n">
        <f aca="false">SUMIFS(Horodateur112335381922313437434649525558616469852226343846505854626670747882909894102106114118110122126130134138142146150154158162166170174178182186190194198202206210[Durée (100)],Horodateur112335381922313437434649525558616469852226343846505854626670747882909894102106114118110122126130134138142146150154158162166170174178182186190194198202206210[Tâche],Taches_Jours122436391720293235414447505356596267832024323644485652606468727680889692100104112116108120124128132136140144148152156160164168172176180184188192196200204208[[#Headers],[GP / SP]],Horodateur112335381922313437434649525558616469852226343846505854626670747882909894102106114118110122126130134138142146150154158162166170174178182186190194198202206210[Jour],Taches_Jours122436391720293235414447505356596267832024323644485652606468727680889692100104112116108120124128132136140144148152156160164168172176180184188192196200204208[[#This Row],[Jours]])</f>
        <v>0</v>
      </c>
      <c r="I31" s="71" t="n">
        <f aca="false">SUMIFS(Horodateur112335381922313437434649525558616469852226343846505854626670747882909894102106114118110122126130134138142146150154158162166170174178182186190194198202206210[Durée (100)],Horodateur112335381922313437434649525558616469852226343846505854626670747882909894102106114118110122126130134138142146150154158162166170174178182186190194198202206210[Tâche],Taches_Jours122436391720293235414447505356596267832024323644485652606468727680889692100104112116108120124128132136140144148152156160164168172176180184188192196200204208[[#Headers],[GP / SP]],Horodateur112335381922313437434649525558616469852226343846505854626670747882909894102106114118110122126130134138142146150154158162166170174178182186190194198202206210[Jour],Taches_Jours122436391720293235414447505356596267832024323644485652606468727680889692100104112116108120124128132136140144148152156160164168172176180184188192196200204208[[#This Row],[Jours]])</f>
        <v>0</v>
      </c>
      <c r="J31" s="290" t="n">
        <f aca="false">SUM(Taches_Jours122436391720293235414447505356596267832024323644485652606468727680889692100104112116108120124128132136140144148152156160164168172176180184188192196200204208[[#This Row],[GB]:[GP / SP]])</f>
        <v>3.75</v>
      </c>
      <c r="K31" s="188"/>
      <c r="L31" s="288"/>
      <c r="M31" s="289"/>
      <c r="N31" s="187"/>
      <c r="O31" s="1"/>
      <c r="P31" s="1"/>
      <c r="Q31" s="1"/>
      <c r="R31" s="1"/>
      <c r="S31" s="1"/>
      <c r="T31" s="71"/>
      <c r="U31" s="71"/>
      <c r="V31" s="71"/>
      <c r="W31" s="71"/>
      <c r="X31" s="71"/>
      <c r="Y31" s="71"/>
      <c r="Z31" s="71"/>
      <c r="AA31" s="71"/>
      <c r="AB31" s="71"/>
      <c r="AC31" s="71"/>
      <c r="AD31" s="71"/>
      <c r="AE31" s="71"/>
      <c r="AF31" s="71"/>
    </row>
    <row r="32" customFormat="false" ht="15" hidden="true" customHeight="false" outlineLevel="1" collapsed="false">
      <c r="A32" s="187" t="s">
        <v>324</v>
      </c>
      <c r="B32" s="71" t="n">
        <f aca="false">SUMIFS(Horodateur112335381922313437434649525558616469852226343846505854626670747882909894102106114118110122126130134138142146150154158162166170174178182186190194198202206210[Durée (100)],Horodateur112335381922313437434649525558616469852226343846505854626670747882909894102106114118110122126130134138142146150154158162166170174178182186190194198202206210[Tâche],Taches_Jours122436391720293235414447505356596267832024323644485652606468727680889692100104112116108120124128132136140144148152156160164168172176180184188192196200204208[[#Headers],[GB]],Horodateur112335381922313437434649525558616469852226343846505854626670747882909894102106114118110122126130134138142146150154158162166170174178182186190194198202206210[Jour],Taches_Jours122436391720293235414447505356596267832024323644485652606468727680889692100104112116108120124128132136140144148152156160164168172176180184188192196200204208[[#This Row],[Jours]])</f>
        <v>0</v>
      </c>
      <c r="C32" s="71" t="n">
        <f aca="false">SUMIFS(Horodateur112335381922313437434649525558616469852226343846505854626670747882909894102106114118110122126130134138142146150154158162166170174178182186190194198202206210[Durée (100)],Horodateur112335381922313437434649525558616469852226343846505854626670747882909894102106114118110122126130134138142146150154158162166170174178182186190194198202206210[Tâche],Taches_Jours122436391720293235414447505356596267832024323644485652606468727680889692100104112116108120124128132136140144148152156160164168172176180184188192196200204208[[#Headers],[RI]],Horodateur112335381922313437434649525558616469852226343846505854626670747882909894102106114118110122126130134138142146150154158162166170174178182186190194198202206210[Jour],Taches_Jours122436391720293235414447505356596267832024323644485652606468727680889692100104112116108120124128132136140144148152156160164168172176180184188192196200204208[[#This Row],[Jours]])</f>
        <v>0</v>
      </c>
      <c r="D32" s="71" t="n">
        <f aca="false">SUMIFS(Horodateur112335381922313437434649525558616469852226343846505854626670747882909894102106114118110122126130134138142146150154158162166170174178182186190194198202206210[Durée (100)],Horodateur112335381922313437434649525558616469852226343846505854626670747882909894102106114118110122126130134138142146150154158162166170174178182186190194198202206210[Tâche],Taches_Jours122436391720293235414447505356596267832024323644485652606468727680889692100104112116108120124128132136140144148152156160164168172176180184188192196200204208[[#Headers],[FG]],Horodateur112335381922313437434649525558616469852226343846505854626670747882909894102106114118110122126130134138142146150154158162166170174178182186190194198202206210[Jour],Taches_Jours122436391720293235414447505356596267832024323644485652606468727680889692100104112116108120124128132136140144148152156160164168172176180184188192196200204208[[#This Row],[Jours]])</f>
        <v>0</v>
      </c>
      <c r="E32" s="71" t="n">
        <f aca="false">SUMIFS(Horodateur112335381922313437434649525558616469852226343846505854626670747882909894102106114118110122126130134138142146150154158162166170174178182186190194198202206210[Durée (100)],Horodateur112335381922313437434649525558616469852226343846505854626670747882909894102106114118110122126130134138142146150154158162166170174178182186190194198202206210[Tâche],Taches_Jours122436391720293235414447505356596267832024323644485652606468727680889692100104112116108120124128132136140144148152156160164168172176180184188192196200204208[[#Headers],[PS]],Horodateur112335381922313437434649525558616469852226343846505854626670747882909894102106114118110122126130134138142146150154158162166170174178182186190194198202206210[Jour],Taches_Jours122436391720293235414447505356596267832024323644485652606468727680889692100104112116108120124128132136140144148152156160164168172176180184188192196200204208[[#This Row],[Jours]])</f>
        <v>0</v>
      </c>
      <c r="F32" s="71" t="n">
        <f aca="false">SUMIFS(Horodateur112335381922313437434649525558616469852226343846505854626670747882909894102106114118110122126130134138142146150154158162166170174178182186190194198202206210[Durée (100)],Horodateur112335381922313437434649525558616469852226343846505854626670747882909894102106114118110122126130134138142146150154158162166170174178182186190194198202206210[Tâche],Taches_Jours122436391720293235414447505356596267832024323644485652606468727680889692100104112116108120124128132136140144148152156160164168172176180184188192196200204208[[#Headers],[TD]],Horodateur112335381922313437434649525558616469852226343846505854626670747882909894102106114118110122126130134138142146150154158162166170174178182186190194198202206210[Jour],Taches_Jours122436391720293235414447505356596267832024323644485652606468727680889692100104112116108120124128132136140144148152156160164168172176180184188192196200204208[[#This Row],[Jours]])</f>
        <v>0</v>
      </c>
      <c r="G32" s="71" t="n">
        <f aca="false">SUMIFS(Horodateur112335381922313437434649525558616469852226343846505854626670747882909894102106114118110122126130134138142146150154158162166170174178182186190194198202206210[Durée (100)],Horodateur112335381922313437434649525558616469852226343846505854626670747882909894102106114118110122126130134138142146150154158162166170174178182186190194198202206210[Tâche],Taches_Jours122436391720293235414447505356596267832024323644485652606468727680889692100104112116108120124128132136140144148152156160164168172176180184188192196200204208[[#Headers],[GP]],Horodateur112335381922313437434649525558616469852226343846505854626670747882909894102106114118110122126130134138142146150154158162166170174178182186190194198202206210[Jour],Taches_Jours122436391720293235414447505356596267832024323644485652606468727680889692100104112116108120124128132136140144148152156160164168172176180184188192196200204208[[#This Row],[Jours]])</f>
        <v>0</v>
      </c>
      <c r="H32" s="71" t="n">
        <f aca="false">SUMIFS(Horodateur112335381922313437434649525558616469852226343846505854626670747882909894102106114118110122126130134138142146150154158162166170174178182186190194198202206210[Durée (100)],Horodateur112335381922313437434649525558616469852226343846505854626670747882909894102106114118110122126130134138142146150154158162166170174178182186190194198202206210[Tâche],Taches_Jours122436391720293235414447505356596267832024323644485652606468727680889692100104112116108120124128132136140144148152156160164168172176180184188192196200204208[[#Headers],[GP / SP]],Horodateur112335381922313437434649525558616469852226343846505854626670747882909894102106114118110122126130134138142146150154158162166170174178182186190194198202206210[Jour],Taches_Jours122436391720293235414447505356596267832024323644485652606468727680889692100104112116108120124128132136140144148152156160164168172176180184188192196200204208[[#This Row],[Jours]])</f>
        <v>0</v>
      </c>
      <c r="I32" s="71" t="n">
        <f aca="false">SUMIFS(Horodateur112335381922313437434649525558616469852226343846505854626670747882909894102106114118110122126130134138142146150154158162166170174178182186190194198202206210[Durée (100)],Horodateur112335381922313437434649525558616469852226343846505854626670747882909894102106114118110122126130134138142146150154158162166170174178182186190194198202206210[Tâche],Taches_Jours122436391720293235414447505356596267832024323644485652606468727680889692100104112116108120124128132136140144148152156160164168172176180184188192196200204208[[#Headers],[GP / SP]],Horodateur112335381922313437434649525558616469852226343846505854626670747882909894102106114118110122126130134138142146150154158162166170174178182186190194198202206210[Jour],Taches_Jours122436391720293235414447505356596267832024323644485652606468727680889692100104112116108120124128132136140144148152156160164168172176180184188192196200204208[[#This Row],[Jours]])</f>
        <v>0</v>
      </c>
      <c r="J32" s="290" t="n">
        <f aca="false">SUM(Taches_Jours122436391720293235414447505356596267832024323644485652606468727680889692100104112116108120124128132136140144148152156160164168172176180184188192196200204208[[#This Row],[GB]:[GP / SP]])</f>
        <v>0</v>
      </c>
      <c r="K32" s="188"/>
      <c r="L32" s="288"/>
      <c r="M32" s="289"/>
      <c r="N32" s="187"/>
      <c r="O32" s="1"/>
      <c r="P32" s="1"/>
      <c r="Q32" s="1"/>
      <c r="R32" s="1"/>
      <c r="S32" s="1"/>
      <c r="T32" s="71"/>
      <c r="U32" s="71"/>
      <c r="V32" s="71"/>
      <c r="W32" s="71"/>
      <c r="X32" s="71"/>
      <c r="Y32" s="71"/>
      <c r="Z32" s="71"/>
      <c r="AA32" s="71"/>
      <c r="AB32" s="71"/>
      <c r="AC32" s="71"/>
      <c r="AD32" s="71"/>
      <c r="AE32" s="71"/>
      <c r="AF32" s="71"/>
    </row>
    <row r="33" customFormat="false" ht="15" hidden="true" customHeight="false" outlineLevel="1" collapsed="false">
      <c r="A33" s="187" t="s">
        <v>332</v>
      </c>
      <c r="B33" s="71" t="n">
        <f aca="false">SUMIFS(Horodateur112335381922313437434649525558616469852226343846505854626670747882909894102106114118110122126130134138142146150154158162166170174178182186190194198202206210[Durée (100)],Horodateur112335381922313437434649525558616469852226343846505854626670747882909894102106114118110122126130134138142146150154158162166170174178182186190194198202206210[Tâche],Taches_Jours122436391720293235414447505356596267832024323644485652606468727680889692100104112116108120124128132136140144148152156160164168172176180184188192196200204208[[#Headers],[GB]],Horodateur112335381922313437434649525558616469852226343846505854626670747882909894102106114118110122126130134138142146150154158162166170174178182186190194198202206210[Jour],Taches_Jours122436391720293235414447505356596267832024323644485652606468727680889692100104112116108120124128132136140144148152156160164168172176180184188192196200204208[[#This Row],[Jours]])</f>
        <v>0.75</v>
      </c>
      <c r="C33" s="71" t="n">
        <f aca="false">SUMIFS(Horodateur112335381922313437434649525558616469852226343846505854626670747882909894102106114118110122126130134138142146150154158162166170174178182186190194198202206210[Durée (100)],Horodateur112335381922313437434649525558616469852226343846505854626670747882909894102106114118110122126130134138142146150154158162166170174178182186190194198202206210[Tâche],Taches_Jours122436391720293235414447505356596267832024323644485652606468727680889692100104112116108120124128132136140144148152156160164168172176180184188192196200204208[[#Headers],[RI]],Horodateur112335381922313437434649525558616469852226343846505854626670747882909894102106114118110122126130134138142146150154158162166170174178182186190194198202206210[Jour],Taches_Jours122436391720293235414447505356596267832024323644485652606468727680889692100104112116108120124128132136140144148152156160164168172176180184188192196200204208[[#This Row],[Jours]])</f>
        <v>0</v>
      </c>
      <c r="D33" s="71" t="n">
        <f aca="false">SUMIFS(Horodateur112335381922313437434649525558616469852226343846505854626670747882909894102106114118110122126130134138142146150154158162166170174178182186190194198202206210[Durée (100)],Horodateur112335381922313437434649525558616469852226343846505854626670747882909894102106114118110122126130134138142146150154158162166170174178182186190194198202206210[Tâche],Taches_Jours122436391720293235414447505356596267832024323644485652606468727680889692100104112116108120124128132136140144148152156160164168172176180184188192196200204208[[#Headers],[FG]],Horodateur112335381922313437434649525558616469852226343846505854626670747882909894102106114118110122126130134138142146150154158162166170174178182186190194198202206210[Jour],Taches_Jours122436391720293235414447505356596267832024323644485652606468727680889692100104112116108120124128132136140144148152156160164168172176180184188192196200204208[[#This Row],[Jours]])</f>
        <v>0</v>
      </c>
      <c r="E33" s="71" t="n">
        <f aca="false">SUMIFS(Horodateur112335381922313437434649525558616469852226343846505854626670747882909894102106114118110122126130134138142146150154158162166170174178182186190194198202206210[Durée (100)],Horodateur112335381922313437434649525558616469852226343846505854626670747882909894102106114118110122126130134138142146150154158162166170174178182186190194198202206210[Tâche],Taches_Jours122436391720293235414447505356596267832024323644485652606468727680889692100104112116108120124128132136140144148152156160164168172176180184188192196200204208[[#Headers],[PS]],Horodateur112335381922313437434649525558616469852226343846505854626670747882909894102106114118110122126130134138142146150154158162166170174178182186190194198202206210[Jour],Taches_Jours122436391720293235414447505356596267832024323644485652606468727680889692100104112116108120124128132136140144148152156160164168172176180184188192196200204208[[#This Row],[Jours]])</f>
        <v>0</v>
      </c>
      <c r="F33" s="71" t="n">
        <f aca="false">SUMIFS(Horodateur112335381922313437434649525558616469852226343846505854626670747882909894102106114118110122126130134138142146150154158162166170174178182186190194198202206210[Durée (100)],Horodateur112335381922313437434649525558616469852226343846505854626670747882909894102106114118110122126130134138142146150154158162166170174178182186190194198202206210[Tâche],Taches_Jours122436391720293235414447505356596267832024323644485652606468727680889692100104112116108120124128132136140144148152156160164168172176180184188192196200204208[[#Headers],[TD]],Horodateur112335381922313437434649525558616469852226343846505854626670747882909894102106114118110122126130134138142146150154158162166170174178182186190194198202206210[Jour],Taches_Jours122436391720293235414447505356596267832024323644485652606468727680889692100104112116108120124128132136140144148152156160164168172176180184188192196200204208[[#This Row],[Jours]])</f>
        <v>0</v>
      </c>
      <c r="G33" s="71" t="n">
        <f aca="false">SUMIFS(Horodateur112335381922313437434649525558616469852226343846505854626670747882909894102106114118110122126130134138142146150154158162166170174178182186190194198202206210[Durée (100)],Horodateur112335381922313437434649525558616469852226343846505854626670747882909894102106114118110122126130134138142146150154158162166170174178182186190194198202206210[Tâche],Taches_Jours122436391720293235414447505356596267832024323644485652606468727680889692100104112116108120124128132136140144148152156160164168172176180184188192196200204208[[#Headers],[GP]],Horodateur112335381922313437434649525558616469852226343846505854626670747882909894102106114118110122126130134138142146150154158162166170174178182186190194198202206210[Jour],Taches_Jours122436391720293235414447505356596267832024323644485652606468727680889692100104112116108120124128132136140144148152156160164168172176180184188192196200204208[[#This Row],[Jours]])</f>
        <v>5.25</v>
      </c>
      <c r="H33" s="71" t="n">
        <f aca="false">SUMIFS(Horodateur112335381922313437434649525558616469852226343846505854626670747882909894102106114118110122126130134138142146150154158162166170174178182186190194198202206210[Durée (100)],Horodateur112335381922313437434649525558616469852226343846505854626670747882909894102106114118110122126130134138142146150154158162166170174178182186190194198202206210[Tâche],Taches_Jours122436391720293235414447505356596267832024323644485652606468727680889692100104112116108120124128132136140144148152156160164168172176180184188192196200204208[[#Headers],[GP / SP]],Horodateur112335381922313437434649525558616469852226343846505854626670747882909894102106114118110122126130134138142146150154158162166170174178182186190194198202206210[Jour],Taches_Jours122436391720293235414447505356596267832024323644485652606468727680889692100104112116108120124128132136140144148152156160164168172176180184188192196200204208[[#This Row],[Jours]])</f>
        <v>0</v>
      </c>
      <c r="I33" s="71" t="n">
        <f aca="false">SUMIFS(Horodateur112335381922313437434649525558616469852226343846505854626670747882909894102106114118110122126130134138142146150154158162166170174178182186190194198202206210[Durée (100)],Horodateur112335381922313437434649525558616469852226343846505854626670747882909894102106114118110122126130134138142146150154158162166170174178182186190194198202206210[Tâche],Taches_Jours122436391720293235414447505356596267832024323644485652606468727680889692100104112116108120124128132136140144148152156160164168172176180184188192196200204208[[#Headers],[GP / SP]],Horodateur112335381922313437434649525558616469852226343846505854626670747882909894102106114118110122126130134138142146150154158162166170174178182186190194198202206210[Jour],Taches_Jours122436391720293235414447505356596267832024323644485652606468727680889692100104112116108120124128132136140144148152156160164168172176180184188192196200204208[[#This Row],[Jours]])</f>
        <v>0</v>
      </c>
      <c r="J33" s="290" t="n">
        <f aca="false">SUM(Taches_Jours122436391720293235414447505356596267832024323644485652606468727680889692100104112116108120124128132136140144148152156160164168172176180184188192196200204208[[#This Row],[GB]:[GP / SP]])</f>
        <v>6</v>
      </c>
      <c r="K33" s="188"/>
      <c r="L33" s="288"/>
      <c r="M33" s="289"/>
      <c r="N33" s="187"/>
      <c r="O33" s="71"/>
      <c r="P33" s="71"/>
      <c r="Q33" s="71"/>
      <c r="R33" s="71"/>
      <c r="S33" s="71"/>
      <c r="T33" s="71"/>
      <c r="U33" s="71"/>
      <c r="V33" s="71"/>
      <c r="W33" s="71"/>
      <c r="X33" s="71"/>
      <c r="Y33" s="71"/>
      <c r="Z33" s="71"/>
      <c r="AA33" s="71"/>
      <c r="AB33" s="71"/>
      <c r="AC33" s="71"/>
      <c r="AD33" s="71"/>
      <c r="AE33" s="71"/>
      <c r="AF33" s="71"/>
    </row>
    <row r="34" customFormat="false" ht="15" hidden="true" customHeight="false" outlineLevel="1" collapsed="false">
      <c r="A34" s="187" t="s">
        <v>335</v>
      </c>
      <c r="B34" s="71" t="n">
        <f aca="false">SUMIFS(Horodateur112335381922313437434649525558616469852226343846505854626670747882909894102106114118110122126130134138142146150154158162166170174178182186190194198202206210[Durée (100)],Horodateur112335381922313437434649525558616469852226343846505854626670747882909894102106114118110122126130134138142146150154158162166170174178182186190194198202206210[Tâche],Taches_Jours122436391720293235414447505356596267832024323644485652606468727680889692100104112116108120124128132136140144148152156160164168172176180184188192196200204208[[#Headers],[GB]],Horodateur112335381922313437434649525558616469852226343846505854626670747882909894102106114118110122126130134138142146150154158162166170174178182186190194198202206210[Jour],Taches_Jours122436391720293235414447505356596267832024323644485652606468727680889692100104112116108120124128132136140144148152156160164168172176180184188192196200204208[[#This Row],[Jours]])</f>
        <v>0.999999999999999</v>
      </c>
      <c r="C34" s="71" t="n">
        <f aca="false">SUMIFS(Horodateur112335381922313437434649525558616469852226343846505854626670747882909894102106114118110122126130134138142146150154158162166170174178182186190194198202206210[Durée (100)],Horodateur112335381922313437434649525558616469852226343846505854626670747882909894102106114118110122126130134138142146150154158162166170174178182186190194198202206210[Tâche],Taches_Jours122436391720293235414447505356596267832024323644485652606468727680889692100104112116108120124128132136140144148152156160164168172176180184188192196200204208[[#Headers],[RI]],Horodateur112335381922313437434649525558616469852226343846505854626670747882909894102106114118110122126130134138142146150154158162166170174178182186190194198202206210[Jour],Taches_Jours122436391720293235414447505356596267832024323644485652606468727680889692100104112116108120124128132136140144148152156160164168172176180184188192196200204208[[#This Row],[Jours]])</f>
        <v>0</v>
      </c>
      <c r="D34" s="71" t="n">
        <f aca="false">SUMIFS(Horodateur112335381922313437434649525558616469852226343846505854626670747882909894102106114118110122126130134138142146150154158162166170174178182186190194198202206210[Durée (100)],Horodateur112335381922313437434649525558616469852226343846505854626670747882909894102106114118110122126130134138142146150154158162166170174178182186190194198202206210[Tâche],Taches_Jours122436391720293235414447505356596267832024323644485652606468727680889692100104112116108120124128132136140144148152156160164168172176180184188192196200204208[[#Headers],[FG]],Horodateur112335381922313437434649525558616469852226343846505854626670747882909894102106114118110122126130134138142146150154158162166170174178182186190194198202206210[Jour],Taches_Jours122436391720293235414447505356596267832024323644485652606468727680889692100104112116108120124128132136140144148152156160164168172176180184188192196200204208[[#This Row],[Jours]])</f>
        <v>0</v>
      </c>
      <c r="E34" s="71" t="n">
        <f aca="false">SUMIFS(Horodateur112335381922313437434649525558616469852226343846505854626670747882909894102106114118110122126130134138142146150154158162166170174178182186190194198202206210[Durée (100)],Horodateur112335381922313437434649525558616469852226343846505854626670747882909894102106114118110122126130134138142146150154158162166170174178182186190194198202206210[Tâche],Taches_Jours122436391720293235414447505356596267832024323644485652606468727680889692100104112116108120124128132136140144148152156160164168172176180184188192196200204208[[#Headers],[PS]],Horodateur112335381922313437434649525558616469852226343846505854626670747882909894102106114118110122126130134138142146150154158162166170174178182186190194198202206210[Jour],Taches_Jours122436391720293235414447505356596267832024323644485652606468727680889692100104112116108120124128132136140144148152156160164168172176180184188192196200204208[[#This Row],[Jours]])</f>
        <v>0</v>
      </c>
      <c r="F34" s="71" t="n">
        <f aca="false">SUMIFS(Horodateur112335381922313437434649525558616469852226343846505854626670747882909894102106114118110122126130134138142146150154158162166170174178182186190194198202206210[Durée (100)],Horodateur112335381922313437434649525558616469852226343846505854626670747882909894102106114118110122126130134138142146150154158162166170174178182186190194198202206210[Tâche],Taches_Jours122436391720293235414447505356596267832024323644485652606468727680889692100104112116108120124128132136140144148152156160164168172176180184188192196200204208[[#Headers],[TD]],Horodateur112335381922313437434649525558616469852226343846505854626670747882909894102106114118110122126130134138142146150154158162166170174178182186190194198202206210[Jour],Taches_Jours122436391720293235414447505356596267832024323644485652606468727680889692100104112116108120124128132136140144148152156160164168172176180184188192196200204208[[#This Row],[Jours]])</f>
        <v>0</v>
      </c>
      <c r="G34" s="71" t="n">
        <f aca="false">SUMIFS(Horodateur112335381922313437434649525558616469852226343846505854626670747882909894102106114118110122126130134138142146150154158162166170174178182186190194198202206210[Durée (100)],Horodateur112335381922313437434649525558616469852226343846505854626670747882909894102106114118110122126130134138142146150154158162166170174178182186190194198202206210[Tâche],Taches_Jours122436391720293235414447505356596267832024323644485652606468727680889692100104112116108120124128132136140144148152156160164168172176180184188192196200204208[[#Headers],[GP]],Horodateur112335381922313437434649525558616469852226343846505854626670747882909894102106114118110122126130134138142146150154158162166170174178182186190194198202206210[Jour],Taches_Jours122436391720293235414447505356596267832024323644485652606468727680889692100104112116108120124128132136140144148152156160164168172176180184188192196200204208[[#This Row],[Jours]])</f>
        <v>0</v>
      </c>
      <c r="H34" s="71" t="n">
        <f aca="false">SUMIFS(Horodateur112335381922313437434649525558616469852226343846505854626670747882909894102106114118110122126130134138142146150154158162166170174178182186190194198202206210[Durée (100)],Horodateur112335381922313437434649525558616469852226343846505854626670747882909894102106114118110122126130134138142146150154158162166170174178182186190194198202206210[Tâche],Taches_Jours122436391720293235414447505356596267832024323644485652606468727680889692100104112116108120124128132136140144148152156160164168172176180184188192196200204208[[#Headers],[GP / SP]],Horodateur112335381922313437434649525558616469852226343846505854626670747882909894102106114118110122126130134138142146150154158162166170174178182186190194198202206210[Jour],Taches_Jours122436391720293235414447505356596267832024323644485652606468727680889692100104112116108120124128132136140144148152156160164168172176180184188192196200204208[[#This Row],[Jours]])</f>
        <v>0</v>
      </c>
      <c r="I34" s="71" t="n">
        <f aca="false">SUMIFS(Horodateur112335381922313437434649525558616469852226343846505854626670747882909894102106114118110122126130134138142146150154158162166170174178182186190194198202206210[Durée (100)],Horodateur112335381922313437434649525558616469852226343846505854626670747882909894102106114118110122126130134138142146150154158162166170174178182186190194198202206210[Tâche],Taches_Jours122436391720293235414447505356596267832024323644485652606468727680889692100104112116108120124128132136140144148152156160164168172176180184188192196200204208[[#Headers],[GP / SP]],Horodateur112335381922313437434649525558616469852226343846505854626670747882909894102106114118110122126130134138142146150154158162166170174178182186190194198202206210[Jour],Taches_Jours122436391720293235414447505356596267832024323644485652606468727680889692100104112116108120124128132136140144148152156160164168172176180184188192196200204208[[#This Row],[Jours]])</f>
        <v>0</v>
      </c>
      <c r="J34" s="290" t="n">
        <f aca="false">SUM(Taches_Jours122436391720293235414447505356596267832024323644485652606468727680889692100104112116108120124128132136140144148152156160164168172176180184188192196200204208[[#This Row],[GB]:[GP / SP]])</f>
        <v>0.999999999999999</v>
      </c>
      <c r="K34" s="188"/>
      <c r="L34" s="288"/>
      <c r="M34" s="289"/>
      <c r="N34" s="187"/>
      <c r="O34" s="1"/>
      <c r="P34" s="1"/>
      <c r="Q34" s="1"/>
      <c r="R34" s="1"/>
      <c r="S34" s="1"/>
      <c r="T34" s="71"/>
      <c r="U34" s="71"/>
      <c r="V34" s="71"/>
      <c r="W34" s="71"/>
      <c r="X34" s="71"/>
      <c r="Y34" s="71"/>
      <c r="Z34" s="71"/>
      <c r="AA34" s="71"/>
      <c r="AB34" s="71"/>
      <c r="AC34" s="71"/>
      <c r="AD34" s="71"/>
      <c r="AE34" s="71"/>
      <c r="AF34" s="71"/>
    </row>
    <row r="35" customFormat="false" ht="15" hidden="true" customHeight="false" outlineLevel="1" collapsed="false">
      <c r="A35" s="187" t="s">
        <v>341</v>
      </c>
      <c r="B35" s="71" t="n">
        <f aca="false">SUMIFS(Horodateur112335381922313437434649525558616469852226343846505854626670747882909894102106114118110122126130134138142146150154158162166170174178182186190194198202206210[Durée (100)],Horodateur112335381922313437434649525558616469852226343846505854626670747882909894102106114118110122126130134138142146150154158162166170174178182186190194198202206210[Tâche],Taches_Jours122436391720293235414447505356596267832024323644485652606468727680889692100104112116108120124128132136140144148152156160164168172176180184188192196200204208[[#Headers],[GB]],Horodateur112335381922313437434649525558616469852226343846505854626670747882909894102106114118110122126130134138142146150154158162166170174178182186190194198202206210[Jour],Taches_Jours122436391720293235414447505356596267832024323644485652606468727680889692100104112116108120124128132136140144148152156160164168172176180184188192196200204208[[#This Row],[Jours]])</f>
        <v>0</v>
      </c>
      <c r="C35" s="71" t="n">
        <f aca="false">SUMIFS(Horodateur112335381922313437434649525558616469852226343846505854626670747882909894102106114118110122126130134138142146150154158162166170174178182186190194198202206210[Durée (100)],Horodateur112335381922313437434649525558616469852226343846505854626670747882909894102106114118110122126130134138142146150154158162166170174178182186190194198202206210[Tâche],Taches_Jours122436391720293235414447505356596267832024323644485652606468727680889692100104112116108120124128132136140144148152156160164168172176180184188192196200204208[[#Headers],[RI]],Horodateur112335381922313437434649525558616469852226343846505854626670747882909894102106114118110122126130134138142146150154158162166170174178182186190194198202206210[Jour],Taches_Jours122436391720293235414447505356596267832024323644485652606468727680889692100104112116108120124128132136140144148152156160164168172176180184188192196200204208[[#This Row],[Jours]])</f>
        <v>0</v>
      </c>
      <c r="D35" s="71" t="n">
        <f aca="false">SUMIFS(Horodateur112335381922313437434649525558616469852226343846505854626670747882909894102106114118110122126130134138142146150154158162166170174178182186190194198202206210[Durée (100)],Horodateur112335381922313437434649525558616469852226343846505854626670747882909894102106114118110122126130134138142146150154158162166170174178182186190194198202206210[Tâche],Taches_Jours122436391720293235414447505356596267832024323644485652606468727680889692100104112116108120124128132136140144148152156160164168172176180184188192196200204208[[#Headers],[FG]],Horodateur112335381922313437434649525558616469852226343846505854626670747882909894102106114118110122126130134138142146150154158162166170174178182186190194198202206210[Jour],Taches_Jours122436391720293235414447505356596267832024323644485652606468727680889692100104112116108120124128132136140144148152156160164168172176180184188192196200204208[[#This Row],[Jours]])</f>
        <v>0</v>
      </c>
      <c r="E35" s="71" t="n">
        <f aca="false">SUMIFS(Horodateur112335381922313437434649525558616469852226343846505854626670747882909894102106114118110122126130134138142146150154158162166170174178182186190194198202206210[Durée (100)],Horodateur112335381922313437434649525558616469852226343846505854626670747882909894102106114118110122126130134138142146150154158162166170174178182186190194198202206210[Tâche],Taches_Jours122436391720293235414447505356596267832024323644485652606468727680889692100104112116108120124128132136140144148152156160164168172176180184188192196200204208[[#Headers],[PS]],Horodateur112335381922313437434649525558616469852226343846505854626670747882909894102106114118110122126130134138142146150154158162166170174178182186190194198202206210[Jour],Taches_Jours122436391720293235414447505356596267832024323644485652606468727680889692100104112116108120124128132136140144148152156160164168172176180184188192196200204208[[#This Row],[Jours]])</f>
        <v>0</v>
      </c>
      <c r="F35" s="71" t="n">
        <f aca="false">SUMIFS(Horodateur112335381922313437434649525558616469852226343846505854626670747882909894102106114118110122126130134138142146150154158162166170174178182186190194198202206210[Durée (100)],Horodateur112335381922313437434649525558616469852226343846505854626670747882909894102106114118110122126130134138142146150154158162166170174178182186190194198202206210[Tâche],Taches_Jours122436391720293235414447505356596267832024323644485652606468727680889692100104112116108120124128132136140144148152156160164168172176180184188192196200204208[[#Headers],[TD]],Horodateur112335381922313437434649525558616469852226343846505854626670747882909894102106114118110122126130134138142146150154158162166170174178182186190194198202206210[Jour],Taches_Jours122436391720293235414447505356596267832024323644485652606468727680889692100104112116108120124128132136140144148152156160164168172176180184188192196200204208[[#This Row],[Jours]])</f>
        <v>0</v>
      </c>
      <c r="G35" s="71" t="n">
        <f aca="false">SUMIFS(Horodateur112335381922313437434649525558616469852226343846505854626670747882909894102106114118110122126130134138142146150154158162166170174178182186190194198202206210[Durée (100)],Horodateur112335381922313437434649525558616469852226343846505854626670747882909894102106114118110122126130134138142146150154158162166170174178182186190194198202206210[Tâche],Taches_Jours122436391720293235414447505356596267832024323644485652606468727680889692100104112116108120124128132136140144148152156160164168172176180184188192196200204208[[#Headers],[GP]],Horodateur112335381922313437434649525558616469852226343846505854626670747882909894102106114118110122126130134138142146150154158162166170174178182186190194198202206210[Jour],Taches_Jours122436391720293235414447505356596267832024323644485652606468727680889692100104112116108120124128132136140144148152156160164168172176180184188192196200204208[[#This Row],[Jours]])</f>
        <v>0</v>
      </c>
      <c r="H35" s="71" t="n">
        <f aca="false">SUMIFS(Horodateur112335381922313437434649525558616469852226343846505854626670747882909894102106114118110122126130134138142146150154158162166170174178182186190194198202206210[Durée (100)],Horodateur112335381922313437434649525558616469852226343846505854626670747882909894102106114118110122126130134138142146150154158162166170174178182186190194198202206210[Tâche],Taches_Jours122436391720293235414447505356596267832024323644485652606468727680889692100104112116108120124128132136140144148152156160164168172176180184188192196200204208[[#Headers],[GP / SP]],Horodateur112335381922313437434649525558616469852226343846505854626670747882909894102106114118110122126130134138142146150154158162166170174178182186190194198202206210[Jour],Taches_Jours122436391720293235414447505356596267832024323644485652606468727680889692100104112116108120124128132136140144148152156160164168172176180184188192196200204208[[#This Row],[Jours]])</f>
        <v>0</v>
      </c>
      <c r="I35" s="290" t="n">
        <f aca="false">SUMIFS(Horodateur112335381922313437434649525558616469852226343846505854626670747882909894102106114118110122126130134138142146150154158162166170174178182186190194198202206210[Durée (100)],Horodateur112335381922313437434649525558616469852226343846505854626670747882909894102106114118110122126130134138142146150154158162166170174178182186190194198202206210[Tâche],Taches_Jours122436391720293235414447505356596267832024323644485652606468727680889692100104112116108120124128132136140144148152156160164168172176180184188192196200204208[[#Headers],[GP / SP]],Horodateur112335381922313437434649525558616469852226343846505854626670747882909894102106114118110122126130134138142146150154158162166170174178182186190194198202206210[Jour],Taches_Jours122436391720293235414447505356596267832024323644485652606468727680889692100104112116108120124128132136140144148152156160164168172176180184188192196200204208[[#This Row],[Jours]])</f>
        <v>0</v>
      </c>
      <c r="J35" s="71" t="n">
        <f aca="false">SUM(Taches_Jours122436391720293235414447505356596267832024323644485652606468727680889692100104112116108120124128132136140144148152156160164168172176180184188192196200204208[[#This Row],[GB]:[GP / SP]])</f>
        <v>0</v>
      </c>
      <c r="K35" s="188"/>
      <c r="L35" s="288"/>
      <c r="M35" s="289"/>
      <c r="N35" s="187"/>
      <c r="O35" s="1"/>
      <c r="P35" s="1"/>
      <c r="Q35" s="1"/>
      <c r="R35" s="1"/>
      <c r="S35" s="1"/>
      <c r="T35" s="71"/>
      <c r="U35" s="71"/>
      <c r="V35" s="71"/>
      <c r="W35" s="71"/>
      <c r="X35" s="71"/>
      <c r="Y35" s="71"/>
      <c r="Z35" s="71"/>
      <c r="AA35" s="71"/>
      <c r="AB35" s="71"/>
      <c r="AC35" s="71"/>
      <c r="AD35" s="71"/>
      <c r="AE35" s="71"/>
      <c r="AF35" s="71"/>
    </row>
    <row r="36" customFormat="false" ht="15" hidden="true" customHeight="false" outlineLevel="1" collapsed="false">
      <c r="A36" s="187" t="s">
        <v>381</v>
      </c>
      <c r="B36" s="71" t="n">
        <f aca="false">SUMIFS(Horodateur112335381922313437434649525558616469852226343846505854626670747882909894102106114118110122126130134138142146150154158162166170174178182186190194198202206210[Durée (100)],Horodateur112335381922313437434649525558616469852226343846505854626670747882909894102106114118110122126130134138142146150154158162166170174178182186190194198202206210[Tâche],Taches_Jours122436391720293235414447505356596267832024323644485652606468727680889692100104112116108120124128132136140144148152156160164168172176180184188192196200204208[[#Headers],[GB]],Horodateur112335381922313437434649525558616469852226343846505854626670747882909894102106114118110122126130134138142146150154158162166170174178182186190194198202206210[Jour],Taches_Jours122436391720293235414447505356596267832024323644485652606468727680889692100104112116108120124128132136140144148152156160164168172176180184188192196200204208[[#This Row],[Jours]])</f>
        <v>0</v>
      </c>
      <c r="C36" s="71" t="n">
        <f aca="false">SUMIFS(Horodateur112335381922313437434649525558616469852226343846505854626670747882909894102106114118110122126130134138142146150154158162166170174178182186190194198202206210[Durée (100)],Horodateur112335381922313437434649525558616469852226343846505854626670747882909894102106114118110122126130134138142146150154158162166170174178182186190194198202206210[Tâche],Taches_Jours122436391720293235414447505356596267832024323644485652606468727680889692100104112116108120124128132136140144148152156160164168172176180184188192196200204208[[#Headers],[RI]],Horodateur112335381922313437434649525558616469852226343846505854626670747882909894102106114118110122126130134138142146150154158162166170174178182186190194198202206210[Jour],Taches_Jours122436391720293235414447505356596267832024323644485652606468727680889692100104112116108120124128132136140144148152156160164168172176180184188192196200204208[[#This Row],[Jours]])</f>
        <v>0</v>
      </c>
      <c r="D36" s="71" t="n">
        <f aca="false">SUMIFS(Horodateur112335381922313437434649525558616469852226343846505854626670747882909894102106114118110122126130134138142146150154158162166170174178182186190194198202206210[Durée (100)],Horodateur112335381922313437434649525558616469852226343846505854626670747882909894102106114118110122126130134138142146150154158162166170174178182186190194198202206210[Tâche],Taches_Jours122436391720293235414447505356596267832024323644485652606468727680889692100104112116108120124128132136140144148152156160164168172176180184188192196200204208[[#Headers],[FG]],Horodateur112335381922313437434649525558616469852226343846505854626670747882909894102106114118110122126130134138142146150154158162166170174178182186190194198202206210[Jour],Taches_Jours122436391720293235414447505356596267832024323644485652606468727680889692100104112116108120124128132136140144148152156160164168172176180184188192196200204208[[#This Row],[Jours]])</f>
        <v>0</v>
      </c>
      <c r="E36" s="71" t="n">
        <f aca="false">SUMIFS(Horodateur112335381922313437434649525558616469852226343846505854626670747882909894102106114118110122126130134138142146150154158162166170174178182186190194198202206210[Durée (100)],Horodateur112335381922313437434649525558616469852226343846505854626670747882909894102106114118110122126130134138142146150154158162166170174178182186190194198202206210[Tâche],Taches_Jours122436391720293235414447505356596267832024323644485652606468727680889692100104112116108120124128132136140144148152156160164168172176180184188192196200204208[[#Headers],[PS]],Horodateur112335381922313437434649525558616469852226343846505854626670747882909894102106114118110122126130134138142146150154158162166170174178182186190194198202206210[Jour],Taches_Jours122436391720293235414447505356596267832024323644485652606468727680889692100104112116108120124128132136140144148152156160164168172176180184188192196200204208[[#This Row],[Jours]])</f>
        <v>0</v>
      </c>
      <c r="F36" s="71" t="n">
        <f aca="false">SUMIFS(Horodateur112335381922313437434649525558616469852226343846505854626670747882909894102106114118110122126130134138142146150154158162166170174178182186190194198202206210[Durée (100)],Horodateur112335381922313437434649525558616469852226343846505854626670747882909894102106114118110122126130134138142146150154158162166170174178182186190194198202206210[Tâche],Taches_Jours122436391720293235414447505356596267832024323644485652606468727680889692100104112116108120124128132136140144148152156160164168172176180184188192196200204208[[#Headers],[TD]],Horodateur112335381922313437434649525558616469852226343846505854626670747882909894102106114118110122126130134138142146150154158162166170174178182186190194198202206210[Jour],Taches_Jours122436391720293235414447505356596267832024323644485652606468727680889692100104112116108120124128132136140144148152156160164168172176180184188192196200204208[[#This Row],[Jours]])</f>
        <v>0</v>
      </c>
      <c r="G36" s="71" t="n">
        <f aca="false">SUMIFS(Horodateur112335381922313437434649525558616469852226343846505854626670747882909894102106114118110122126130134138142146150154158162166170174178182186190194198202206210[Durée (100)],Horodateur112335381922313437434649525558616469852226343846505854626670747882909894102106114118110122126130134138142146150154158162166170174178182186190194198202206210[Tâche],Taches_Jours122436391720293235414447505356596267832024323644485652606468727680889692100104112116108120124128132136140144148152156160164168172176180184188192196200204208[[#Headers],[GP]],Horodateur112335381922313437434649525558616469852226343846505854626670747882909894102106114118110122126130134138142146150154158162166170174178182186190194198202206210[Jour],Taches_Jours122436391720293235414447505356596267832024323644485652606468727680889692100104112116108120124128132136140144148152156160164168172176180184188192196200204208[[#This Row],[Jours]])</f>
        <v>0</v>
      </c>
      <c r="H36" s="71" t="n">
        <f aca="false">SUMIFS(Horodateur112335381922313437434649525558616469852226343846505854626670747882909894102106114118110122126130134138142146150154158162166170174178182186190194198202206210[Durée (100)],Horodateur112335381922313437434649525558616469852226343846505854626670747882909894102106114118110122126130134138142146150154158162166170174178182186190194198202206210[Tâche],Taches_Jours122436391720293235414447505356596267832024323644485652606468727680889692100104112116108120124128132136140144148152156160164168172176180184188192196200204208[[#Headers],[GP / SP]],Horodateur112335381922313437434649525558616469852226343846505854626670747882909894102106114118110122126130134138142146150154158162166170174178182186190194198202206210[Jour],Taches_Jours122436391720293235414447505356596267832024323644485652606468727680889692100104112116108120124128132136140144148152156160164168172176180184188192196200204208[[#This Row],[Jours]])</f>
        <v>0</v>
      </c>
      <c r="I36" s="290" t="n">
        <f aca="false">SUMIFS(Horodateur112335381922313437434649525558616469852226343846505854626670747882909894102106114118110122126130134138142146150154158162166170174178182186190194198202206210[Durée (100)],Horodateur112335381922313437434649525558616469852226343846505854626670747882909894102106114118110122126130134138142146150154158162166170174178182186190194198202206210[Tâche],Taches_Jours122436391720293235414447505356596267832024323644485652606468727680889692100104112116108120124128132136140144148152156160164168172176180184188192196200204208[[#Headers],[GP / SP]],Horodateur112335381922313437434649525558616469852226343846505854626670747882909894102106114118110122126130134138142146150154158162166170174178182186190194198202206210[Jour],Taches_Jours122436391720293235414447505356596267832024323644485652606468727680889692100104112116108120124128132136140144148152156160164168172176180184188192196200204208[[#This Row],[Jours]])</f>
        <v>0</v>
      </c>
      <c r="J36" s="71" t="n">
        <f aca="false">SUM(Taches_Jours122436391720293235414447505356596267832024323644485652606468727680889692100104112116108120124128132136140144148152156160164168172176180184188192196200204208[[#This Row],[GB]:[GP / SP]])</f>
        <v>0</v>
      </c>
      <c r="K36" s="188"/>
      <c r="L36" s="288"/>
      <c r="M36" s="289"/>
      <c r="N36" s="187"/>
      <c r="O36" s="1"/>
      <c r="P36" s="1"/>
      <c r="Q36" s="1"/>
      <c r="R36" s="1"/>
      <c r="S36" s="1"/>
      <c r="T36" s="71"/>
      <c r="U36" s="71"/>
      <c r="V36" s="71"/>
      <c r="W36" s="71"/>
      <c r="X36" s="71"/>
      <c r="Y36" s="71"/>
      <c r="Z36" s="71"/>
      <c r="AA36" s="71"/>
      <c r="AB36" s="71"/>
      <c r="AC36" s="71"/>
      <c r="AD36" s="71"/>
      <c r="AE36" s="71"/>
      <c r="AF36" s="71"/>
    </row>
    <row r="37" customFormat="false" ht="15" hidden="true" customHeight="false" outlineLevel="1" collapsed="false">
      <c r="A37" s="137"/>
      <c r="B37" s="187"/>
      <c r="C37" s="71"/>
      <c r="D37" s="1"/>
      <c r="E37" s="1"/>
      <c r="F37" s="71"/>
      <c r="G37" s="1"/>
      <c r="H37" s="1"/>
      <c r="I37" s="119"/>
      <c r="J37" s="271"/>
      <c r="K37" s="1"/>
      <c r="L37" s="188"/>
      <c r="M37" s="272"/>
      <c r="N37" s="187"/>
      <c r="O37" s="1"/>
      <c r="P37" s="1"/>
      <c r="Q37" s="1"/>
      <c r="R37" s="1"/>
      <c r="S37" s="1"/>
      <c r="T37" s="1"/>
      <c r="U37" s="71"/>
      <c r="V37" s="71"/>
      <c r="W37" s="71"/>
      <c r="X37" s="71"/>
      <c r="Y37" s="71"/>
      <c r="Z37" s="71"/>
      <c r="AA37" s="71"/>
      <c r="AB37" s="71"/>
      <c r="AC37" s="71"/>
      <c r="AD37" s="71"/>
      <c r="AE37" s="71"/>
      <c r="AF37" s="71"/>
      <c r="AG37" s="71"/>
    </row>
    <row r="38" customFormat="false" ht="15" hidden="true" customHeight="false" outlineLevel="1" collapsed="false">
      <c r="A38" s="291" t="s">
        <v>85</v>
      </c>
      <c r="B38" s="292" t="s">
        <v>312</v>
      </c>
      <c r="C38" s="292" t="s">
        <v>319</v>
      </c>
      <c r="D38" s="292" t="s">
        <v>324</v>
      </c>
      <c r="E38" s="292" t="s">
        <v>332</v>
      </c>
      <c r="F38" s="293" t="s">
        <v>335</v>
      </c>
      <c r="G38" s="292" t="s">
        <v>341</v>
      </c>
      <c r="H38" s="292" t="s">
        <v>381</v>
      </c>
      <c r="I38" s="294" t="s">
        <v>58</v>
      </c>
      <c r="J38" s="271"/>
      <c r="K38" s="1"/>
      <c r="L38" s="188"/>
      <c r="M38" s="272"/>
      <c r="N38" s="187"/>
      <c r="O38" s="1"/>
      <c r="P38" s="1"/>
      <c r="Q38" s="1"/>
      <c r="R38" s="1"/>
      <c r="S38" s="1"/>
      <c r="T38" s="1"/>
      <c r="U38" s="71"/>
      <c r="V38" s="71"/>
      <c r="W38" s="71"/>
      <c r="X38" s="71"/>
      <c r="Y38" s="71"/>
      <c r="Z38" s="71"/>
      <c r="AA38" s="71"/>
      <c r="AB38" s="71"/>
      <c r="AC38" s="71"/>
      <c r="AD38" s="71"/>
      <c r="AE38" s="71"/>
      <c r="AF38" s="71"/>
      <c r="AG38" s="71"/>
    </row>
    <row r="39" customFormat="false" ht="15" hidden="true" customHeight="false" outlineLevel="1" collapsed="false">
      <c r="A39" s="137" t="s">
        <v>21</v>
      </c>
      <c r="B39" s="187" t="n">
        <f aca="false">SUMIFS(Horodateur112335381922313437434649525558616469852226343846505854626670747882909894102106114118110122126130134138142146150154158162166170174178182186190194198202206210[Durée (100)],Horodateur112335381922313437434649525558616469852226343846505854626670747882909894102106114118110122126130134138142146150154158162166170174178182186190194198202206210[Jour],$B$38,Horodateur112335381922313437434649525558616469852226343846505854626670747882909894102106114118110122126130134138142146150154158162166170174178182186190194198202206210[Tâche],$A39)</f>
        <v>1</v>
      </c>
      <c r="C39" s="187" t="n">
        <f aca="false">SUMIFS(Horodateur112335381922313437434649525558616469852226343846505854626670747882909894102106114118110122126130134138142146150154158162166170174178182186190194198202206210[Durée (100)],Horodateur112335381922313437434649525558616469852226343846505854626670747882909894102106114118110122126130134138142146150154158162166170174178182186190194198202206210[Jour],$C$38,Horodateur112335381922313437434649525558616469852226343846505854626670747882909894102106114118110122126130134138142146150154158162166170174178182186190194198202206210[Tâche],$A39)</f>
        <v>0</v>
      </c>
      <c r="D39" s="187" t="n">
        <f aca="false">SUMIFS(Horodateur112335381922313437434649525558616469852226343846505854626670747882909894102106114118110122126130134138142146150154158162166170174178182186190194198202206210[Durée (100)],Horodateur112335381922313437434649525558616469852226343846505854626670747882909894102106114118110122126130134138142146150154158162166170174178182186190194198202206210[Jour],$D$38,Horodateur112335381922313437434649525558616469852226343846505854626670747882909894102106114118110122126130134138142146150154158162166170174178182186190194198202206210[Tâche],$A39)</f>
        <v>0</v>
      </c>
      <c r="E39" s="187" t="n">
        <f aca="false">SUMIFS(Horodateur112335381922313437434649525558616469852226343846505854626670747882909894102106114118110122126130134138142146150154158162166170174178182186190194198202206210[Durée (100)],Horodateur112335381922313437434649525558616469852226343846505854626670747882909894102106114118110122126130134138142146150154158162166170174178182186190194198202206210[Jour],$E$38,Horodateur112335381922313437434649525558616469852226343846505854626670747882909894102106114118110122126130134138142146150154158162166170174178182186190194198202206210[Tâche],$A39)</f>
        <v>0.75</v>
      </c>
      <c r="F39" s="71" t="n">
        <f aca="false">SUMIFS(Horodateur112335381922313437434649525558616469852226343846505854626670747882909894102106114118110122126130134138142146150154158162166170174178182186190194198202206210[Durée (100)],Horodateur112335381922313437434649525558616469852226343846505854626670747882909894102106114118110122126130134138142146150154158162166170174178182186190194198202206210[Jour],$F$38,Horodateur112335381922313437434649525558616469852226343846505854626670747882909894102106114118110122126130134138142146150154158162166170174178182186190194198202206210[Tâche],$A39)</f>
        <v>0.999999999999999</v>
      </c>
      <c r="G39" s="187" t="n">
        <f aca="false">SUMIFS(Horodateur112335381922313437434649525558616469852226343846505854626670747882909894102106114118110122126130134138142146150154158162166170174178182186190194198202206210[Durée (100)],Horodateur112335381922313437434649525558616469852226343846505854626670747882909894102106114118110122126130134138142146150154158162166170174178182186190194198202206210[Jour],$G$38,Horodateur112335381922313437434649525558616469852226343846505854626670747882909894102106114118110122126130134138142146150154158162166170174178182186190194198202206210[Tâche],$A39)</f>
        <v>0</v>
      </c>
      <c r="H39" s="187" t="n">
        <f aca="false">SUMIFS(Horodateur112335381922313437434649525558616469852226343846505854626670747882909894102106114118110122126130134138142146150154158162166170174178182186190194198202206210[Durée (100)],Horodateur112335381922313437434649525558616469852226343846505854626670747882909894102106114118110122126130134138142146150154158162166170174178182186190194198202206210[Jour],$H$38,Horodateur112335381922313437434649525558616469852226343846505854626670747882909894102106114118110122126130134138142146150154158162166170174178182186190194198202206210[Tâche],$A39)</f>
        <v>0</v>
      </c>
      <c r="I39" s="295" t="n">
        <f aca="false">SUM(Taches_Jour2132537401821303336424548515457606368842125333745495753616569737781899793101105113117109121125129133137141145149153157161165169173177181185189193197201205209[[#This Row],[1- Lundi]:[7- Dimanche]])</f>
        <v>2.75</v>
      </c>
      <c r="J39" s="271"/>
      <c r="K39" s="1"/>
      <c r="L39" s="188"/>
      <c r="M39" s="272"/>
      <c r="N39" s="187"/>
      <c r="O39" s="1"/>
      <c r="P39" s="1"/>
      <c r="Q39" s="1"/>
      <c r="R39" s="1"/>
      <c r="S39" s="1"/>
      <c r="T39" s="1"/>
      <c r="U39" s="71"/>
      <c r="V39" s="71"/>
      <c r="W39" s="71"/>
      <c r="X39" s="71"/>
      <c r="Y39" s="71"/>
      <c r="Z39" s="71"/>
      <c r="AA39" s="71"/>
      <c r="AB39" s="71"/>
      <c r="AC39" s="71"/>
      <c r="AD39" s="71"/>
      <c r="AE39" s="71"/>
      <c r="AF39" s="71"/>
      <c r="AG39" s="71"/>
    </row>
    <row r="40" customFormat="false" ht="15" hidden="true" customHeight="false" outlineLevel="1" collapsed="false">
      <c r="A40" s="137" t="s">
        <v>20</v>
      </c>
      <c r="B40" s="187" t="n">
        <f aca="false">SUMIFS(Horodateur112335381922313437434649525558616469852226343846505854626670747882909894102106114118110122126130134138142146150154158162166170174178182186190194198202206210[Durée (100)],Horodateur112335381922313437434649525558616469852226343846505854626670747882909894102106114118110122126130134138142146150154158162166170174178182186190194198202206210[Jour],$B$38,Horodateur112335381922313437434649525558616469852226343846505854626670747882909894102106114118110122126130134138142146150154158162166170174178182186190194198202206210[Tâche],$A40)</f>
        <v>0</v>
      </c>
      <c r="C40" s="187" t="n">
        <f aca="false">SUMIFS(Horodateur112335381922313437434649525558616469852226343846505854626670747882909894102106114118110122126130134138142146150154158162166170174178182186190194198202206210[Durée (100)],Horodateur112335381922313437434649525558616469852226343846505854626670747882909894102106114118110122126130134138142146150154158162166170174178182186190194198202206210[Jour],$C$38,Horodateur112335381922313437434649525558616469852226343846505854626670747882909894102106114118110122126130134138142146150154158162166170174178182186190194198202206210[Tâche],$A40)</f>
        <v>0</v>
      </c>
      <c r="D40" s="187" t="n">
        <f aca="false">SUMIFS(Horodateur112335381922313437434649525558616469852226343846505854626670747882909894102106114118110122126130134138142146150154158162166170174178182186190194198202206210[Durée (100)],Horodateur112335381922313437434649525558616469852226343846505854626670747882909894102106114118110122126130134138142146150154158162166170174178182186190194198202206210[Jour],$D$38,Horodateur112335381922313437434649525558616469852226343846505854626670747882909894102106114118110122126130134138142146150154158162166170174178182186190194198202206210[Tâche],$A40)</f>
        <v>0</v>
      </c>
      <c r="E40" s="187" t="n">
        <f aca="false">SUMIFS(Horodateur112335381922313437434649525558616469852226343846505854626670747882909894102106114118110122126130134138142146150154158162166170174178182186190194198202206210[Durée (100)],Horodateur112335381922313437434649525558616469852226343846505854626670747882909894102106114118110122126130134138142146150154158162166170174178182186190194198202206210[Jour],$E$38,Horodateur112335381922313437434649525558616469852226343846505854626670747882909894102106114118110122126130134138142146150154158162166170174178182186190194198202206210[Tâche],$A40)</f>
        <v>0</v>
      </c>
      <c r="F40" s="71" t="n">
        <f aca="false">SUMIFS(Horodateur112335381922313437434649525558616469852226343846505854626670747882909894102106114118110122126130134138142146150154158162166170174178182186190194198202206210[Durée (100)],Horodateur112335381922313437434649525558616469852226343846505854626670747882909894102106114118110122126130134138142146150154158162166170174178182186190194198202206210[Jour],$F$38,Horodateur112335381922313437434649525558616469852226343846505854626670747882909894102106114118110122126130134138142146150154158162166170174178182186190194198202206210[Tâche],$A40)</f>
        <v>0</v>
      </c>
      <c r="G40" s="187" t="n">
        <f aca="false">SUMIFS(Horodateur112335381922313437434649525558616469852226343846505854626670747882909894102106114118110122126130134138142146150154158162166170174178182186190194198202206210[Durée (100)],Horodateur112335381922313437434649525558616469852226343846505854626670747882909894102106114118110122126130134138142146150154158162166170174178182186190194198202206210[Jour],$G$38,Horodateur112335381922313437434649525558616469852226343846505854626670747882909894102106114118110122126130134138142146150154158162166170174178182186190194198202206210[Tâche],$A40)</f>
        <v>0</v>
      </c>
      <c r="H40" s="187" t="n">
        <f aca="false">SUMIFS(Horodateur112335381922313437434649525558616469852226343846505854626670747882909894102106114118110122126130134138142146150154158162166170174178182186190194198202206210[Durée (100)],Horodateur112335381922313437434649525558616469852226343846505854626670747882909894102106114118110122126130134138142146150154158162166170174178182186190194198202206210[Jour],$H$38,Horodateur112335381922313437434649525558616469852226343846505854626670747882909894102106114118110122126130134138142146150154158162166170174178182186190194198202206210[Tâche],$A40)</f>
        <v>0</v>
      </c>
      <c r="I40" s="295" t="n">
        <f aca="false">SUM(Taches_Jour2132537401821303336424548515457606368842125333745495753616569737781899793101105113117109121125129133137141145149153157161165169173177181185189193197201205209[[#This Row],[1- Lundi]:[7- Dimanche]])</f>
        <v>0</v>
      </c>
      <c r="J40" s="271"/>
      <c r="K40" s="1"/>
      <c r="L40" s="188"/>
      <c r="M40" s="272"/>
      <c r="N40" s="187"/>
      <c r="O40" s="1"/>
      <c r="P40" s="1"/>
      <c r="Q40" s="1"/>
      <c r="R40" s="1"/>
      <c r="S40" s="1"/>
      <c r="T40" s="1"/>
      <c r="U40" s="71"/>
      <c r="V40" s="71"/>
      <c r="W40" s="71"/>
      <c r="X40" s="71"/>
      <c r="Y40" s="71"/>
      <c r="Z40" s="71"/>
      <c r="AA40" s="71"/>
      <c r="AB40" s="71"/>
      <c r="AC40" s="71"/>
      <c r="AD40" s="71"/>
      <c r="AE40" s="71"/>
      <c r="AF40" s="71"/>
      <c r="AG40" s="71"/>
    </row>
    <row r="41" customFormat="false" ht="15" hidden="true" customHeight="false" outlineLevel="1" collapsed="false">
      <c r="A41" s="137" t="s">
        <v>23</v>
      </c>
      <c r="B41" s="187" t="n">
        <f aca="false">SUMIFS(Horodateur112335381922313437434649525558616469852226343846505854626670747882909894102106114118110122126130134138142146150154158162166170174178182186190194198202206210[Durée (100)],Horodateur112335381922313437434649525558616469852226343846505854626670747882909894102106114118110122126130134138142146150154158162166170174178182186190194198202206210[Jour],$B$38,Horodateur112335381922313437434649525558616469852226343846505854626670747882909894102106114118110122126130134138142146150154158162166170174178182186190194198202206210[Tâche],$A41)</f>
        <v>0</v>
      </c>
      <c r="C41" s="187" t="n">
        <f aca="false">SUMIFS(Horodateur112335381922313437434649525558616469852226343846505854626670747882909894102106114118110122126130134138142146150154158162166170174178182186190194198202206210[Durée (100)],Horodateur112335381922313437434649525558616469852226343846505854626670747882909894102106114118110122126130134138142146150154158162166170174178182186190194198202206210[Jour],$C$38,Horodateur112335381922313437434649525558616469852226343846505854626670747882909894102106114118110122126130134138142146150154158162166170174178182186190194198202206210[Tâche],$A41)</f>
        <v>2</v>
      </c>
      <c r="D41" s="187" t="n">
        <f aca="false">SUMIFS(Horodateur112335381922313437434649525558616469852226343846505854626670747882909894102106114118110122126130134138142146150154158162166170174178182186190194198202206210[Durée (100)],Horodateur112335381922313437434649525558616469852226343846505854626670747882909894102106114118110122126130134138142146150154158162166170174178182186190194198202206210[Jour],$D$38,Horodateur112335381922313437434649525558616469852226343846505854626670747882909894102106114118110122126130134138142146150154158162166170174178182186190194198202206210[Tâche],$A41)</f>
        <v>0</v>
      </c>
      <c r="E41" s="187" t="n">
        <f aca="false">SUMIFS(Horodateur112335381922313437434649525558616469852226343846505854626670747882909894102106114118110122126130134138142146150154158162166170174178182186190194198202206210[Durée (100)],Horodateur112335381922313437434649525558616469852226343846505854626670747882909894102106114118110122126130134138142146150154158162166170174178182186190194198202206210[Jour],$E$38,Horodateur112335381922313437434649525558616469852226343846505854626670747882909894102106114118110122126130134138142146150154158162166170174178182186190194198202206210[Tâche],$A41)</f>
        <v>0</v>
      </c>
      <c r="F41" s="71" t="n">
        <f aca="false">SUMIFS(Horodateur112335381922313437434649525558616469852226343846505854626670747882909894102106114118110122126130134138142146150154158162166170174178182186190194198202206210[Durée (100)],Horodateur112335381922313437434649525558616469852226343846505854626670747882909894102106114118110122126130134138142146150154158162166170174178182186190194198202206210[Jour],$F$38,Horodateur112335381922313437434649525558616469852226343846505854626670747882909894102106114118110122126130134138142146150154158162166170174178182186190194198202206210[Tâche],$A41)</f>
        <v>0</v>
      </c>
      <c r="G41" s="187" t="n">
        <f aca="false">SUMIFS(Horodateur112335381922313437434649525558616469852226343846505854626670747882909894102106114118110122126130134138142146150154158162166170174178182186190194198202206210[Durée (100)],Horodateur112335381922313437434649525558616469852226343846505854626670747882909894102106114118110122126130134138142146150154158162166170174178182186190194198202206210[Jour],$G$38,Horodateur112335381922313437434649525558616469852226343846505854626670747882909894102106114118110122126130134138142146150154158162166170174178182186190194198202206210[Tâche],$A41)</f>
        <v>0</v>
      </c>
      <c r="H41" s="187" t="n">
        <f aca="false">SUMIFS(Horodateur112335381922313437434649525558616469852226343846505854626670747882909894102106114118110122126130134138142146150154158162166170174178182186190194198202206210[Durée (100)],Horodateur112335381922313437434649525558616469852226343846505854626670747882909894102106114118110122126130134138142146150154158162166170174178182186190194198202206210[Jour],$H$38,Horodateur112335381922313437434649525558616469852226343846505854626670747882909894102106114118110122126130134138142146150154158162166170174178182186190194198202206210[Tâche],$A41)</f>
        <v>0</v>
      </c>
      <c r="I41" s="295" t="n">
        <f aca="false">SUM(Taches_Jour2132537401821303336424548515457606368842125333745495753616569737781899793101105113117109121125129133137141145149153157161165169173177181185189193197201205209[[#This Row],[1- Lundi]:[7- Dimanche]])</f>
        <v>2</v>
      </c>
      <c r="J41" s="271"/>
      <c r="K41" s="1"/>
      <c r="L41" s="188"/>
      <c r="M41" s="272"/>
      <c r="N41" s="187"/>
      <c r="O41" s="1"/>
      <c r="P41" s="1"/>
      <c r="Q41" s="1"/>
      <c r="R41" s="1"/>
      <c r="S41" s="1"/>
      <c r="T41" s="1"/>
      <c r="U41" s="71"/>
      <c r="V41" s="71"/>
      <c r="W41" s="71"/>
      <c r="X41" s="71"/>
      <c r="Y41" s="71"/>
      <c r="Z41" s="71"/>
      <c r="AA41" s="71"/>
      <c r="AB41" s="71"/>
      <c r="AC41" s="71"/>
      <c r="AD41" s="71"/>
      <c r="AE41" s="71"/>
      <c r="AF41" s="71"/>
      <c r="AG41" s="71"/>
    </row>
    <row r="42" customFormat="false" ht="15" hidden="true" customHeight="false" outlineLevel="1" collapsed="false">
      <c r="A42" s="137" t="s">
        <v>25</v>
      </c>
      <c r="B42" s="187" t="n">
        <f aca="false">SUMIFS(Horodateur112335381922313437434649525558616469852226343846505854626670747882909894102106114118110122126130134138142146150154158162166170174178182186190194198202206210[Durée (100)],Horodateur112335381922313437434649525558616469852226343846505854626670747882909894102106114118110122126130134138142146150154158162166170174178182186190194198202206210[Jour],$B$38,Horodateur112335381922313437434649525558616469852226343846505854626670747882909894102106114118110122126130134138142146150154158162166170174178182186190194198202206210[Tâche],$A42)</f>
        <v>0</v>
      </c>
      <c r="C42" s="187" t="n">
        <f aca="false">SUMIFS(Horodateur112335381922313437434649525558616469852226343846505854626670747882909894102106114118110122126130134138142146150154158162166170174178182186190194198202206210[Durée (100)],Horodateur112335381922313437434649525558616469852226343846505854626670747882909894102106114118110122126130134138142146150154158162166170174178182186190194198202206210[Jour],$C$38,Horodateur112335381922313437434649525558616469852226343846505854626670747882909894102106114118110122126130134138142146150154158162166170174178182186190194198202206210[Tâche],$A42)</f>
        <v>0</v>
      </c>
      <c r="D42" s="187" t="n">
        <f aca="false">SUMIFS(Horodateur112335381922313437434649525558616469852226343846505854626670747882909894102106114118110122126130134138142146150154158162166170174178182186190194198202206210[Durée (100)],Horodateur112335381922313437434649525558616469852226343846505854626670747882909894102106114118110122126130134138142146150154158162166170174178182186190194198202206210[Jour],$D$38,Horodateur112335381922313437434649525558616469852226343846505854626670747882909894102106114118110122126130134138142146150154158162166170174178182186190194198202206210[Tâche],$A42)</f>
        <v>0</v>
      </c>
      <c r="E42" s="187" t="n">
        <f aca="false">SUMIFS(Horodateur112335381922313437434649525558616469852226343846505854626670747882909894102106114118110122126130134138142146150154158162166170174178182186190194198202206210[Durée (100)],Horodateur112335381922313437434649525558616469852226343846505854626670747882909894102106114118110122126130134138142146150154158162166170174178182186190194198202206210[Jour],$E$38,Horodateur112335381922313437434649525558616469852226343846505854626670747882909894102106114118110122126130134138142146150154158162166170174178182186190194198202206210[Tâche],$A42)</f>
        <v>0</v>
      </c>
      <c r="F42" s="71" t="n">
        <f aca="false">SUMIFS(Horodateur112335381922313437434649525558616469852226343846505854626670747882909894102106114118110122126130134138142146150154158162166170174178182186190194198202206210[Durée (100)],Horodateur112335381922313437434649525558616469852226343846505854626670747882909894102106114118110122126130134138142146150154158162166170174178182186190194198202206210[Jour],$F$38,Horodateur112335381922313437434649525558616469852226343846505854626670747882909894102106114118110122126130134138142146150154158162166170174178182186190194198202206210[Tâche],$A42)</f>
        <v>0</v>
      </c>
      <c r="G42" s="187" t="n">
        <f aca="false">SUMIFS(Horodateur112335381922313437434649525558616469852226343846505854626670747882909894102106114118110122126130134138142146150154158162166170174178182186190194198202206210[Durée (100)],Horodateur112335381922313437434649525558616469852226343846505854626670747882909894102106114118110122126130134138142146150154158162166170174178182186190194198202206210[Jour],$G$38,Horodateur112335381922313437434649525558616469852226343846505854626670747882909894102106114118110122126130134138142146150154158162166170174178182186190194198202206210[Tâche],$A42)</f>
        <v>0</v>
      </c>
      <c r="H42" s="187" t="n">
        <f aca="false">SUMIFS(Horodateur112335381922313437434649525558616469852226343846505854626670747882909894102106114118110122126130134138142146150154158162166170174178182186190194198202206210[Durée (100)],Horodateur112335381922313437434649525558616469852226343846505854626670747882909894102106114118110122126130134138142146150154158162166170174178182186190194198202206210[Jour],$H$38,Horodateur112335381922313437434649525558616469852226343846505854626670747882909894102106114118110122126130134138142146150154158162166170174178182186190194198202206210[Tâche],$A42)</f>
        <v>0</v>
      </c>
      <c r="I42" s="295" t="n">
        <f aca="false">SUM(Taches_Jour2132537401821303336424548515457606368842125333745495753616569737781899793101105113117109121125129133137141145149153157161165169173177181185189193197201205209[[#This Row],[1- Lundi]:[7- Dimanche]])</f>
        <v>0</v>
      </c>
      <c r="J42" s="271"/>
      <c r="K42" s="1"/>
      <c r="L42" s="188"/>
      <c r="M42" s="272"/>
      <c r="N42" s="187"/>
      <c r="O42" s="1"/>
      <c r="P42" s="1"/>
      <c r="Q42" s="1"/>
      <c r="R42" s="1"/>
      <c r="S42" s="1"/>
      <c r="T42" s="1"/>
      <c r="U42" s="71"/>
      <c r="V42" s="71"/>
      <c r="W42" s="71"/>
      <c r="X42" s="71"/>
      <c r="Y42" s="71"/>
      <c r="Z42" s="71"/>
      <c r="AA42" s="71"/>
      <c r="AB42" s="71"/>
      <c r="AC42" s="71"/>
      <c r="AD42" s="71"/>
      <c r="AE42" s="71"/>
      <c r="AF42" s="71"/>
      <c r="AG42" s="71"/>
    </row>
    <row r="43" customFormat="false" ht="15" hidden="true" customHeight="false" outlineLevel="1" collapsed="false">
      <c r="A43" s="137" t="s">
        <v>26</v>
      </c>
      <c r="B43" s="187" t="n">
        <f aca="false">SUMIFS(Horodateur112335381922313437434649525558616469852226343846505854626670747882909894102106114118110122126130134138142146150154158162166170174178182186190194198202206210[Durée (100)],Horodateur112335381922313437434649525558616469852226343846505854626670747882909894102106114118110122126130134138142146150154158162166170174178182186190194198202206210[Jour],$B$38,Horodateur112335381922313437434649525558616469852226343846505854626670747882909894102106114118110122126130134138142146150154158162166170174178182186190194198202206210[Tâche],$A43)</f>
        <v>0</v>
      </c>
      <c r="C43" s="187" t="n">
        <f aca="false">SUMIFS(Horodateur112335381922313437434649525558616469852226343846505854626670747882909894102106114118110122126130134138142146150154158162166170174178182186190194198202206210[Durée (100)],Horodateur112335381922313437434649525558616469852226343846505854626670747882909894102106114118110122126130134138142146150154158162166170174178182186190194198202206210[Jour],$C$38,Horodateur112335381922313437434649525558616469852226343846505854626670747882909894102106114118110122126130134138142146150154158162166170174178182186190194198202206210[Tâche],$A43)</f>
        <v>0</v>
      </c>
      <c r="D43" s="187" t="n">
        <f aca="false">SUMIFS(Horodateur112335381922313437434649525558616469852226343846505854626670747882909894102106114118110122126130134138142146150154158162166170174178182186190194198202206210[Durée (100)],Horodateur112335381922313437434649525558616469852226343846505854626670747882909894102106114118110122126130134138142146150154158162166170174178182186190194198202206210[Jour],$D$38,Horodateur112335381922313437434649525558616469852226343846505854626670747882909894102106114118110122126130134138142146150154158162166170174178182186190194198202206210[Tâche],$A43)</f>
        <v>0</v>
      </c>
      <c r="E43" s="187" t="n">
        <f aca="false">SUMIFS(Horodateur112335381922313437434649525558616469852226343846505854626670747882909894102106114118110122126130134138142146150154158162166170174178182186190194198202206210[Durée (100)],Horodateur112335381922313437434649525558616469852226343846505854626670747882909894102106114118110122126130134138142146150154158162166170174178182186190194198202206210[Jour],$E$38,Horodateur112335381922313437434649525558616469852226343846505854626670747882909894102106114118110122126130134138142146150154158162166170174178182186190194198202206210[Tâche],$A43)</f>
        <v>0</v>
      </c>
      <c r="F43" s="71" t="n">
        <f aca="false">SUMIFS(Horodateur112335381922313437434649525558616469852226343846505854626670747882909894102106114118110122126130134138142146150154158162166170174178182186190194198202206210[Durée (100)],Horodateur112335381922313437434649525558616469852226343846505854626670747882909894102106114118110122126130134138142146150154158162166170174178182186190194198202206210[Jour],$F$38,Horodateur112335381922313437434649525558616469852226343846505854626670747882909894102106114118110122126130134138142146150154158162166170174178182186190194198202206210[Tâche],$A43)</f>
        <v>0</v>
      </c>
      <c r="G43" s="187" t="n">
        <f aca="false">SUMIFS(Horodateur112335381922313437434649525558616469852226343846505854626670747882909894102106114118110122126130134138142146150154158162166170174178182186190194198202206210[Durée (100)],Horodateur112335381922313437434649525558616469852226343846505854626670747882909894102106114118110122126130134138142146150154158162166170174178182186190194198202206210[Jour],$G$38,Horodateur112335381922313437434649525558616469852226343846505854626670747882909894102106114118110122126130134138142146150154158162166170174178182186190194198202206210[Tâche],$A43)</f>
        <v>0</v>
      </c>
      <c r="H43" s="187" t="n">
        <f aca="false">SUMIFS(Horodateur112335381922313437434649525558616469852226343846505854626670747882909894102106114118110122126130134138142146150154158162166170174178182186190194198202206210[Durée (100)],Horodateur112335381922313437434649525558616469852226343846505854626670747882909894102106114118110122126130134138142146150154158162166170174178182186190194198202206210[Jour],$H$38,Horodateur112335381922313437434649525558616469852226343846505854626670747882909894102106114118110122126130134138142146150154158162166170174178182186190194198202206210[Tâche],$A43)</f>
        <v>0</v>
      </c>
      <c r="I43" s="295" t="n">
        <f aca="false">SUM(Taches_Jour2132537401821303336424548515457606368842125333745495753616569737781899793101105113117109121125129133137141145149153157161165169173177181185189193197201205209[[#This Row],[1- Lundi]:[7- Dimanche]])</f>
        <v>0</v>
      </c>
      <c r="J43" s="271"/>
      <c r="K43" s="1"/>
      <c r="L43" s="188"/>
      <c r="M43" s="272"/>
      <c r="N43" s="187"/>
      <c r="O43" s="1"/>
      <c r="P43" s="1"/>
      <c r="Q43" s="1"/>
      <c r="R43" s="1"/>
      <c r="S43" s="1"/>
      <c r="T43" s="1"/>
      <c r="U43" s="71"/>
      <c r="V43" s="71"/>
      <c r="W43" s="71"/>
      <c r="X43" s="71"/>
      <c r="Y43" s="71"/>
      <c r="Z43" s="71"/>
      <c r="AA43" s="71"/>
      <c r="AB43" s="71"/>
      <c r="AC43" s="71"/>
      <c r="AD43" s="71"/>
      <c r="AE43" s="71"/>
      <c r="AF43" s="71"/>
      <c r="AG43" s="71"/>
    </row>
    <row r="44" customFormat="false" ht="15" hidden="true" customHeight="false" outlineLevel="1" collapsed="false">
      <c r="A44" s="137" t="s">
        <v>378</v>
      </c>
      <c r="B44" s="187" t="n">
        <f aca="false">SUMIFS(Horodateur112335381922313437434649525558616469852226343846505854626670747882909894102106114118110122126130134138142146150154158162166170174178182186190194198202206210[Durée (100)],Horodateur112335381922313437434649525558616469852226343846505854626670747882909894102106114118110122126130134138142146150154158162166170174178182186190194198202206210[Jour],$B$38,Horodateur112335381922313437434649525558616469852226343846505854626670747882909894102106114118110122126130134138142146150154158162166170174178182186190194198202206210[Tâche],$A44)</f>
        <v>5.5</v>
      </c>
      <c r="C44" s="187" t="n">
        <f aca="false">SUMIFS(Horodateur112335381922313437434649525558616469852226343846505854626670747882909894102106114118110122126130134138142146150154158162166170174178182186190194198202206210[Durée (100)],Horodateur112335381922313437434649525558616469852226343846505854626670747882909894102106114118110122126130134138142146150154158162166170174178182186190194198202206210[Jour],$C$38,Horodateur112335381922313437434649525558616469852226343846505854626670747882909894102106114118110122126130134138142146150154158162166170174178182186190194198202206210[Tâche],$A44)</f>
        <v>1.75</v>
      </c>
      <c r="D44" s="187" t="n">
        <f aca="false">SUMIFS(Horodateur112335381922313437434649525558616469852226343846505854626670747882909894102106114118110122126130134138142146150154158162166170174178182186190194198202206210[Durée (100)],Horodateur112335381922313437434649525558616469852226343846505854626670747882909894102106114118110122126130134138142146150154158162166170174178182186190194198202206210[Jour],$D$38,Horodateur112335381922313437434649525558616469852226343846505854626670747882909894102106114118110122126130134138142146150154158162166170174178182186190194198202206210[Tâche],$A44)</f>
        <v>0</v>
      </c>
      <c r="E44" s="187" t="n">
        <f aca="false">SUMIFS(Horodateur112335381922313437434649525558616469852226343846505854626670747882909894102106114118110122126130134138142146150154158162166170174178182186190194198202206210[Durée (100)],Horodateur112335381922313437434649525558616469852226343846505854626670747882909894102106114118110122126130134138142146150154158162166170174178182186190194198202206210[Jour],$E$38,Horodateur112335381922313437434649525558616469852226343846505854626670747882909894102106114118110122126130134138142146150154158162166170174178182186190194198202206210[Tâche],$A44)</f>
        <v>5.25</v>
      </c>
      <c r="F44" s="71" t="n">
        <f aca="false">SUMIFS(Horodateur112335381922313437434649525558616469852226343846505854626670747882909894102106114118110122126130134138142146150154158162166170174178182186190194198202206210[Durée (100)],Horodateur112335381922313437434649525558616469852226343846505854626670747882909894102106114118110122126130134138142146150154158162166170174178182186190194198202206210[Jour],$F$38,Horodateur112335381922313437434649525558616469852226343846505854626670747882909894102106114118110122126130134138142146150154158162166170174178182186190194198202206210[Tâche],$A44)</f>
        <v>0</v>
      </c>
      <c r="G44" s="187" t="n">
        <f aca="false">SUMIFS(Horodateur112335381922313437434649525558616469852226343846505854626670747882909894102106114118110122126130134138142146150154158162166170174178182186190194198202206210[Durée (100)],Horodateur112335381922313437434649525558616469852226343846505854626670747882909894102106114118110122126130134138142146150154158162166170174178182186190194198202206210[Jour],$G$38,Horodateur112335381922313437434649525558616469852226343846505854626670747882909894102106114118110122126130134138142146150154158162166170174178182186190194198202206210[Tâche],$A44)</f>
        <v>0</v>
      </c>
      <c r="H44" s="187" t="n">
        <f aca="false">SUMIFS(Horodateur112335381922313437434649525558616469852226343846505854626670747882909894102106114118110122126130134138142146150154158162166170174178182186190194198202206210[Durée (100)],Horodateur112335381922313437434649525558616469852226343846505854626670747882909894102106114118110122126130134138142146150154158162166170174178182186190194198202206210[Jour],$H$38,Horodateur112335381922313437434649525558616469852226343846505854626670747882909894102106114118110122126130134138142146150154158162166170174178182186190194198202206210[Tâche],$A44)</f>
        <v>0</v>
      </c>
      <c r="I44" s="295" t="n">
        <f aca="false">SUM(Taches_Jour2132537401821303336424548515457606368842125333745495753616569737781899793101105113117109121125129133137141145149153157161165169173177181185189193197201205209[[#This Row],[1- Lundi]:[7- Dimanche]])</f>
        <v>12.5</v>
      </c>
      <c r="J44" s="271"/>
      <c r="K44" s="1"/>
      <c r="L44" s="188"/>
      <c r="M44" s="272"/>
      <c r="N44" s="187"/>
      <c r="O44" s="1"/>
      <c r="P44" s="1"/>
      <c r="Q44" s="1"/>
      <c r="R44" s="1"/>
      <c r="S44" s="1"/>
      <c r="T44" s="1"/>
      <c r="U44" s="71"/>
      <c r="V44" s="71"/>
      <c r="W44" s="71"/>
      <c r="X44" s="71"/>
      <c r="Y44" s="71"/>
      <c r="Z44" s="71"/>
      <c r="AA44" s="71"/>
      <c r="AB44" s="71"/>
      <c r="AC44" s="71"/>
      <c r="AD44" s="71"/>
      <c r="AE44" s="71"/>
      <c r="AF44" s="71"/>
      <c r="AG44" s="71"/>
    </row>
    <row r="45" customFormat="false" ht="15" hidden="true" customHeight="false" outlineLevel="1" collapsed="false">
      <c r="A45" s="137" t="s">
        <v>382</v>
      </c>
      <c r="B45" s="187" t="n">
        <f aca="false">SUMIFS(Horodateur112335381922313437434649525558616469852226343846505854626670747882909894102106114118110122126130134138142146150154158162166170174178182186190194198202206210[Durée (100)],Horodateur112335381922313437434649525558616469852226343846505854626670747882909894102106114118110122126130134138142146150154158162166170174178182186190194198202206210[Jour],$B$38,Horodateur112335381922313437434649525558616469852226343846505854626670747882909894102106114118110122126130134138142146150154158162166170174178182186190194198202206210[Tâche],$A45)</f>
        <v>0</v>
      </c>
      <c r="C45" s="187" t="n">
        <f aca="false">SUMIFS(Horodateur112335381922313437434649525558616469852226343846505854626670747882909894102106114118110122126130134138142146150154158162166170174178182186190194198202206210[Durée (100)],Horodateur112335381922313437434649525558616469852226343846505854626670747882909894102106114118110122126130134138142146150154158162166170174178182186190194198202206210[Jour],$C$38,Horodateur112335381922313437434649525558616469852226343846505854626670747882909894102106114118110122126130134138142146150154158162166170174178182186190194198202206210[Tâche],$A45)</f>
        <v>0</v>
      </c>
      <c r="D45" s="187" t="n">
        <f aca="false">SUMIFS(Horodateur112335381922313437434649525558616469852226343846505854626670747882909894102106114118110122126130134138142146150154158162166170174178182186190194198202206210[Durée (100)],Horodateur112335381922313437434649525558616469852226343846505854626670747882909894102106114118110122126130134138142146150154158162166170174178182186190194198202206210[Jour],$D$38,Horodateur112335381922313437434649525558616469852226343846505854626670747882909894102106114118110122126130134138142146150154158162166170174178182186190194198202206210[Tâche],$A45)</f>
        <v>0</v>
      </c>
      <c r="E45" s="187" t="n">
        <f aca="false">SUMIFS(Horodateur112335381922313437434649525558616469852226343846505854626670747882909894102106114118110122126130134138142146150154158162166170174178182186190194198202206210[Durée (100)],Horodateur112335381922313437434649525558616469852226343846505854626670747882909894102106114118110122126130134138142146150154158162166170174178182186190194198202206210[Jour],$E$38,Horodateur112335381922313437434649525558616469852226343846505854626670747882909894102106114118110122126130134138142146150154158162166170174178182186190194198202206210[Tâche],$A45)</f>
        <v>0</v>
      </c>
      <c r="F45" s="71" t="n">
        <f aca="false">SUMIFS(Horodateur112335381922313437434649525558616469852226343846505854626670747882909894102106114118110122126130134138142146150154158162166170174178182186190194198202206210[Durée (100)],Horodateur112335381922313437434649525558616469852226343846505854626670747882909894102106114118110122126130134138142146150154158162166170174178182186190194198202206210[Jour],$F$38,Horodateur112335381922313437434649525558616469852226343846505854626670747882909894102106114118110122126130134138142146150154158162166170174178182186190194198202206210[Tâche],$A45)</f>
        <v>0</v>
      </c>
      <c r="G45" s="187" t="n">
        <f aca="false">SUMIFS(Horodateur112335381922313437434649525558616469852226343846505854626670747882909894102106114118110122126130134138142146150154158162166170174178182186190194198202206210[Durée (100)],Horodateur112335381922313437434649525558616469852226343846505854626670747882909894102106114118110122126130134138142146150154158162166170174178182186190194198202206210[Jour],$G$38,Horodateur112335381922313437434649525558616469852226343846505854626670747882909894102106114118110122126130134138142146150154158162166170174178182186190194198202206210[Tâche],$A45)</f>
        <v>0</v>
      </c>
      <c r="H45" s="187" t="n">
        <f aca="false">SUMIFS(Horodateur112335381922313437434649525558616469852226343846505854626670747882909894102106114118110122126130134138142146150154158162166170174178182186190194198202206210[Durée (100)],Horodateur112335381922313437434649525558616469852226343846505854626670747882909894102106114118110122126130134138142146150154158162166170174178182186190194198202206210[Jour],$H$38,Horodateur112335381922313437434649525558616469852226343846505854626670747882909894102106114118110122126130134138142146150154158162166170174178182186190194198202206210[Tâche],$A45)</f>
        <v>0</v>
      </c>
      <c r="I45" s="295" t="n">
        <f aca="false">SUM(Taches_Jour2132537401821303336424548515457606368842125333745495753616569737781899793101105113117109121125129133137141145149153157161165169173177181185189193197201205209[[#This Row],[1- Lundi]:[7- Dimanche]])</f>
        <v>0</v>
      </c>
      <c r="J45" s="271"/>
      <c r="K45" s="1"/>
      <c r="L45" s="188"/>
      <c r="M45" s="272"/>
      <c r="N45" s="187"/>
      <c r="O45" s="1"/>
      <c r="P45" s="1"/>
      <c r="Q45" s="1"/>
      <c r="R45" s="1"/>
      <c r="S45" s="1"/>
      <c r="T45" s="1"/>
      <c r="U45" s="71"/>
      <c r="V45" s="71"/>
      <c r="W45" s="71"/>
      <c r="X45" s="71"/>
      <c r="Y45" s="71"/>
      <c r="Z45" s="71"/>
      <c r="AA45" s="71"/>
      <c r="AB45" s="71"/>
      <c r="AC45" s="71"/>
      <c r="AD45" s="71"/>
      <c r="AE45" s="71"/>
      <c r="AF45" s="71"/>
      <c r="AG45" s="71"/>
    </row>
    <row r="46" customFormat="false" ht="15" hidden="true" customHeight="false" outlineLevel="1" collapsed="false">
      <c r="A46" s="137" t="s">
        <v>380</v>
      </c>
      <c r="B46" s="187" t="n">
        <f aca="false">SUMIFS(Horodateur112335381922313437434649525558616469852226343846505854626670747882909894102106114118110122126130134138142146150154158162166170174178182186190194198202206210[Durée (100)],Horodateur112335381922313437434649525558616469852226343846505854626670747882909894102106114118110122126130134138142146150154158162166170174178182186190194198202206210[Jour],$B$38,Horodateur112335381922313437434649525558616469852226343846505854626670747882909894102106114118110122126130134138142146150154158162166170174178182186190194198202206210[Tâche],$A46)</f>
        <v>0</v>
      </c>
      <c r="C46" s="187" t="n">
        <f aca="false">SUMIFS(Horodateur112335381922313437434649525558616469852226343846505854626670747882909894102106114118110122126130134138142146150154158162166170174178182186190194198202206210[Durée (100)],Horodateur112335381922313437434649525558616469852226343846505854626670747882909894102106114118110122126130134138142146150154158162166170174178182186190194198202206210[Jour],$C$38,Horodateur112335381922313437434649525558616469852226343846505854626670747882909894102106114118110122126130134138142146150154158162166170174178182186190194198202206210[Tâche],$A46)</f>
        <v>0</v>
      </c>
      <c r="D46" s="187" t="n">
        <f aca="false">SUMIFS(Horodateur112335381922313437434649525558616469852226343846505854626670747882909894102106114118110122126130134138142146150154158162166170174178182186190194198202206210[Durée (100)],Horodateur112335381922313437434649525558616469852226343846505854626670747882909894102106114118110122126130134138142146150154158162166170174178182186190194198202206210[Jour],$D$38,Horodateur112335381922313437434649525558616469852226343846505854626670747882909894102106114118110122126130134138142146150154158162166170174178182186190194198202206210[Tâche],$A46)</f>
        <v>0</v>
      </c>
      <c r="E46" s="187" t="n">
        <f aca="false">SUMIFS(Horodateur112335381922313437434649525558616469852226343846505854626670747882909894102106114118110122126130134138142146150154158162166170174178182186190194198202206210[Durée (100)],Horodateur112335381922313437434649525558616469852226343846505854626670747882909894102106114118110122126130134138142146150154158162166170174178182186190194198202206210[Jour],$E$38,Horodateur112335381922313437434649525558616469852226343846505854626670747882909894102106114118110122126130134138142146150154158162166170174178182186190194198202206210[Tâche],$A46)</f>
        <v>0</v>
      </c>
      <c r="F46" s="71" t="n">
        <f aca="false">SUMIFS(Horodateur112335381922313437434649525558616469852226343846505854626670747882909894102106114118110122126130134138142146150154158162166170174178182186190194198202206210[Durée (100)],Horodateur112335381922313437434649525558616469852226343846505854626670747882909894102106114118110122126130134138142146150154158162166170174178182186190194198202206210[Jour],$F$38,Horodateur112335381922313437434649525558616469852226343846505854626670747882909894102106114118110122126130134138142146150154158162166170174178182186190194198202206210[Tâche],$A46)</f>
        <v>0</v>
      </c>
      <c r="G46" s="187" t="n">
        <f aca="false">SUMIFS(Horodateur112335381922313437434649525558616469852226343846505854626670747882909894102106114118110122126130134138142146150154158162166170174178182186190194198202206210[Durée (100)],Horodateur112335381922313437434649525558616469852226343846505854626670747882909894102106114118110122126130134138142146150154158162166170174178182186190194198202206210[Jour],$G$38,Horodateur112335381922313437434649525558616469852226343846505854626670747882909894102106114118110122126130134138142146150154158162166170174178182186190194198202206210[Tâche],$A46)</f>
        <v>0</v>
      </c>
      <c r="H46" s="187" t="n">
        <f aca="false">SUMIFS(Horodateur112335381922313437434649525558616469852226343846505854626670747882909894102106114118110122126130134138142146150154158162166170174178182186190194198202206210[Durée (100)],Horodateur112335381922313437434649525558616469852226343846505854626670747882909894102106114118110122126130134138142146150154158162166170174178182186190194198202206210[Jour],$H$38,Horodateur112335381922313437434649525558616469852226343846505854626670747882909894102106114118110122126130134138142146150154158162166170174178182186190194198202206210[Tâche],$A46)</f>
        <v>0</v>
      </c>
      <c r="I46" s="295" t="n">
        <f aca="false">SUM(Taches_Jour2132537401821303336424548515457606368842125333745495753616569737781899793101105113117109121125129133137141145149153157161165169173177181185189193197201205209[[#This Row],[1- Lundi]:[7- Dimanche]])</f>
        <v>0</v>
      </c>
      <c r="J46" s="271"/>
      <c r="K46" s="1"/>
      <c r="L46" s="188"/>
      <c r="M46" s="272"/>
      <c r="N46" s="76"/>
    </row>
    <row r="47" customFormat="false" ht="15" hidden="true" customHeight="false" outlineLevel="1" collapsed="false">
      <c r="N47" s="76"/>
    </row>
    <row r="48" customFormat="false" ht="15" hidden="false" customHeight="false" outlineLevel="1" collapsed="false">
      <c r="G48" s="0" t="s">
        <v>383</v>
      </c>
      <c r="N48" s="76"/>
    </row>
    <row r="49" customFormat="false" ht="15" hidden="false" customHeight="false" outlineLevel="0" collapsed="false">
      <c r="N49" s="76"/>
    </row>
    <row r="50" customFormat="false" ht="15" hidden="false" customHeight="false" outlineLevel="0" collapsed="false">
      <c r="G50" s="76"/>
      <c r="N50" s="76"/>
    </row>
    <row r="51" customFormat="false" ht="15" hidden="false" customHeight="false" outlineLevel="0" collapsed="false">
      <c r="N51" s="76"/>
    </row>
    <row r="52" customFormat="false" ht="15" hidden="false" customHeight="false" outlineLevel="0" collapsed="false">
      <c r="N52" s="76"/>
    </row>
    <row r="53" customFormat="false" ht="15" hidden="false" customHeight="false" outlineLevel="0" collapsed="false">
      <c r="N53" s="76"/>
    </row>
    <row r="54" customFormat="false" ht="15" hidden="false" customHeight="false" outlineLevel="0" collapsed="false">
      <c r="N54" s="76"/>
    </row>
    <row r="55" customFormat="false" ht="15" hidden="false" customHeight="false" outlineLevel="0" collapsed="false">
      <c r="N55" s="76"/>
    </row>
    <row r="56" customFormat="false" ht="15" hidden="false" customHeight="false" outlineLevel="0" collapsed="false">
      <c r="N56" s="76"/>
    </row>
    <row r="57" customFormat="false" ht="15" hidden="false" customHeight="false" outlineLevel="0" collapsed="false">
      <c r="N57" s="76"/>
    </row>
    <row r="58" customFormat="false" ht="15" hidden="false" customHeight="false" outlineLevel="0" collapsed="false">
      <c r="N58" s="76"/>
    </row>
    <row r="59" customFormat="false" ht="15" hidden="false" customHeight="false" outlineLevel="0" collapsed="false">
      <c r="N59" s="76"/>
    </row>
    <row r="60" customFormat="false" ht="15" hidden="false" customHeight="false" outlineLevel="0" collapsed="false">
      <c r="N60" s="76"/>
    </row>
    <row r="61" customFormat="false" ht="15" hidden="false" customHeight="false" outlineLevel="0" collapsed="false">
      <c r="N61" s="76"/>
    </row>
    <row r="62" customFormat="false" ht="15" hidden="false" customHeight="false" outlineLevel="0" collapsed="false">
      <c r="N62" s="76"/>
    </row>
    <row r="63" customFormat="false" ht="15" hidden="false" customHeight="false" outlineLevel="0" collapsed="false">
      <c r="N63" s="76"/>
    </row>
    <row r="64" customFormat="false" ht="15" hidden="false" customHeight="false" outlineLevel="0" collapsed="false">
      <c r="N64" s="76"/>
    </row>
    <row r="65" customFormat="false" ht="15" hidden="false" customHeight="false" outlineLevel="0" collapsed="false">
      <c r="N65" s="76"/>
    </row>
    <row r="66" customFormat="false" ht="15" hidden="false" customHeight="false" outlineLevel="0" collapsed="false">
      <c r="N66" s="76"/>
    </row>
    <row r="67" customFormat="false" ht="15" hidden="false" customHeight="false" outlineLevel="0" collapsed="false">
      <c r="N67" s="76"/>
    </row>
    <row r="68" customFormat="false" ht="15" hidden="false" customHeight="false" outlineLevel="0" collapsed="false">
      <c r="N68" s="76"/>
    </row>
    <row r="69" customFormat="false" ht="15" hidden="false" customHeight="false" outlineLevel="0" collapsed="false">
      <c r="N69" s="76"/>
    </row>
    <row r="70" customFormat="false" ht="15" hidden="false" customHeight="false" outlineLevel="0" collapsed="false">
      <c r="A70" s="296" t="s">
        <v>384</v>
      </c>
      <c r="B70" s="296"/>
      <c r="N70" s="76"/>
    </row>
    <row r="71" customFormat="false" ht="15" hidden="false" customHeight="false" outlineLevel="0" collapsed="false">
      <c r="A71" s="297" t="s">
        <v>385</v>
      </c>
      <c r="B71" s="297" t="s">
        <v>8</v>
      </c>
      <c r="N71" s="76"/>
    </row>
    <row r="72" customFormat="false" ht="15" hidden="false" customHeight="false" outlineLevel="0" collapsed="false">
      <c r="A72" s="298" t="n">
        <v>0</v>
      </c>
      <c r="B72" s="299" t="s">
        <v>386</v>
      </c>
      <c r="N72" s="76"/>
    </row>
    <row r="73" customFormat="false" ht="15" hidden="false" customHeight="false" outlineLevel="0" collapsed="false">
      <c r="A73" s="298" t="n">
        <v>-2</v>
      </c>
      <c r="B73" s="299" t="s">
        <v>387</v>
      </c>
      <c r="N73" s="76"/>
    </row>
    <row r="74" customFormat="false" ht="15" hidden="false" customHeight="false" outlineLevel="0" collapsed="false">
      <c r="A74" s="298" t="n">
        <v>8.5</v>
      </c>
      <c r="B74" s="299" t="s">
        <v>388</v>
      </c>
      <c r="N74" s="76"/>
    </row>
    <row r="75" customFormat="false" ht="15" hidden="false" customHeight="false" outlineLevel="0" collapsed="false">
      <c r="A75" s="298" t="n">
        <v>14.5</v>
      </c>
      <c r="B75" s="299" t="s">
        <v>389</v>
      </c>
      <c r="N75" s="76"/>
    </row>
    <row r="76" customFormat="false" ht="15" hidden="false" customHeight="false" outlineLevel="0" collapsed="false">
      <c r="A76" s="298" t="n">
        <v>8.5</v>
      </c>
      <c r="B76" s="299" t="s">
        <v>390</v>
      </c>
      <c r="N76" s="76"/>
    </row>
    <row r="77" customFormat="false" ht="15" hidden="false" customHeight="false" outlineLevel="0" collapsed="false">
      <c r="A77" s="298" t="n">
        <v>10</v>
      </c>
      <c r="B77" s="299" t="s">
        <v>391</v>
      </c>
      <c r="N77" s="76"/>
    </row>
    <row r="78" customFormat="false" ht="15" hidden="false" customHeight="false" outlineLevel="0" collapsed="false">
      <c r="A78" s="298" t="n">
        <v>-7.5</v>
      </c>
      <c r="B78" s="299" t="s">
        <v>392</v>
      </c>
      <c r="N78" s="76"/>
    </row>
    <row r="79" customFormat="false" ht="15" hidden="false" customHeight="false" outlineLevel="0" collapsed="false">
      <c r="A79" s="298" t="n">
        <v>2</v>
      </c>
      <c r="B79" s="299" t="s">
        <v>393</v>
      </c>
      <c r="N79" s="76"/>
    </row>
    <row r="80" customFormat="false" ht="15" hidden="false" customHeight="false" outlineLevel="0" collapsed="false">
      <c r="A80" s="300" t="n">
        <v>2</v>
      </c>
      <c r="B80" s="301" t="s">
        <v>394</v>
      </c>
      <c r="N80" s="76"/>
    </row>
    <row r="81" customFormat="false" ht="15" hidden="false" customHeight="false" outlineLevel="0" collapsed="false">
      <c r="A81" s="300" t="n">
        <v>2.25</v>
      </c>
      <c r="B81" s="301" t="s">
        <v>395</v>
      </c>
    </row>
    <row r="82" customFormat="false" ht="15" hidden="false" customHeight="false" outlineLevel="0" collapsed="false">
      <c r="A82" s="300" t="n">
        <v>-4</v>
      </c>
      <c r="B82" s="302" t="s">
        <v>396</v>
      </c>
    </row>
    <row r="83" customFormat="false" ht="15" hidden="false" customHeight="false" outlineLevel="0" collapsed="false">
      <c r="A83" s="300" t="n">
        <v>-7.5</v>
      </c>
      <c r="B83" s="301" t="s">
        <v>397</v>
      </c>
    </row>
  </sheetData>
  <mergeCells count="1">
    <mergeCell ref="A70:B70"/>
  </mergeCells>
  <conditionalFormatting sqref="G4:G22">
    <cfRule type="expression" priority="2" aboveAverage="0" equalAverage="0" bottom="0" percent="0" rank="0" text="" dxfId="968">
      <formula>L4="O"</formula>
    </cfRule>
    <cfRule type="expression" priority="3" aboveAverage="0" equalAverage="0" bottom="0" percent="0" rank="0" text="" dxfId="969">
      <formula>H4=0</formula>
    </cfRule>
  </conditionalFormatting>
  <conditionalFormatting sqref="F4:F22">
    <cfRule type="expression" priority="4" aboveAverage="0" equalAverage="0" bottom="0" percent="0" rank="0" text="" dxfId="970">
      <formula>L4="O"</formula>
    </cfRule>
  </conditionalFormatting>
  <conditionalFormatting sqref="E4:E22">
    <cfRule type="expression" priority="5" aboveAverage="0" equalAverage="0" bottom="0" percent="0" rank="0" text="" dxfId="971">
      <formula>L4="O"</formula>
    </cfRule>
  </conditionalFormatting>
  <conditionalFormatting sqref="C4:I22 K4:K22">
    <cfRule type="containsText" priority="6" operator="containsText" aboveAverage="0" equalAverage="0" bottom="0" percent="0" rank="0" text="Lundi" dxfId="693">
      <formula>NOT(ISERROR(SEARCH("Lundi",C4)))</formula>
    </cfRule>
  </conditionalFormatting>
  <conditionalFormatting sqref="D4:D22">
    <cfRule type="expression" priority="7" aboveAverage="0" equalAverage="0" bottom="0" percent="0" rank="0" text="" dxfId="972">
      <formula>L4="O"</formula>
    </cfRule>
  </conditionalFormatting>
  <conditionalFormatting sqref="C4:C22">
    <cfRule type="expression" priority="8" aboveAverage="0" equalAverage="0" bottom="0" percent="0" rank="0" text="" dxfId="973">
      <formula>L4="O"</formula>
    </cfRule>
  </conditionalFormatting>
  <conditionalFormatting sqref="K4:K22">
    <cfRule type="expression" priority="9" aboveAverage="0" equalAverage="0" bottom="0" percent="0" rank="0" text="" dxfId="974">
      <formula>L4="O"</formula>
    </cfRule>
  </conditionalFormatting>
  <conditionalFormatting sqref="I4:I22">
    <cfRule type="expression" priority="10" aboveAverage="0" equalAverage="0" bottom="0" percent="0" rank="0" text="" dxfId="975">
      <formula>L4="O"</formula>
    </cfRule>
  </conditionalFormatting>
  <conditionalFormatting sqref="H4:H22">
    <cfRule type="expression" priority="11" aboveAverage="0" equalAverage="0" bottom="0" percent="0" rank="0" text="" dxfId="976">
      <formula>L4="O"</formula>
    </cfRule>
  </conditionalFormatting>
  <conditionalFormatting sqref="F2:J2">
    <cfRule type="iconSet" priority="12">
      <iconSet iconSet="3TrafficLights1">
        <cfvo type="percent" val="0"/>
        <cfvo type="percent" val="33"/>
        <cfvo type="percent" val="67"/>
      </iconSet>
    </cfRule>
  </conditionalFormatting>
  <conditionalFormatting sqref="B4:B22">
    <cfRule type="containsText" priority="13" operator="containsText" aboveAverage="0" equalAverage="0" bottom="0" percent="0" rank="0" text="5" dxfId="977">
      <formula>NOT(ISERROR(SEARCH("5",B4)))</formula>
    </cfRule>
    <cfRule type="containsText" priority="14" operator="containsText" aboveAverage="0" equalAverage="0" bottom="0" percent="0" rank="0" text="4" dxfId="978">
      <formula>NOT(ISERROR(SEARCH("4",B4)))</formula>
    </cfRule>
    <cfRule type="containsText" priority="15" operator="containsText" aboveAverage="0" equalAverage="0" bottom="0" percent="0" rank="0" text="3" dxfId="979">
      <formula>NOT(ISERROR(SEARCH("3",B4)))</formula>
    </cfRule>
    <cfRule type="containsText" priority="16" operator="containsText" aboveAverage="0" equalAverage="0" bottom="0" percent="0" rank="0" text="2" dxfId="980">
      <formula>NOT(ISERROR(SEARCH("2",B4)))</formula>
    </cfRule>
    <cfRule type="containsText" priority="17" operator="containsText" aboveAverage="0" equalAverage="0" bottom="0" percent="0" rank="0" text="1" dxfId="981">
      <formula>NOT(ISERROR(SEARCH("1",B4)))</formula>
    </cfRule>
  </conditionalFormatting>
  <conditionalFormatting sqref="I39:I46">
    <cfRule type="dataBar" priority="18">
      <dataBar showValue="1" minLength="10" maxLength="90">
        <cfvo type="min" val="0"/>
        <cfvo type="max" val="0"/>
        <color rgb="FFFFB628"/>
      </dataBar>
      <extLst>
        <ext xmlns:x14="http://schemas.microsoft.com/office/spreadsheetml/2009/9/main" uri="{B025F937-C7B1-47D3-B67F-A62EFF666E3E}">
          <x14:id>{A32DF1D9-71EF-453F-A7F9-DD7E8CBFD3D3}</x14:id>
        </ext>
      </extLst>
    </cfRule>
  </conditionalFormatting>
  <conditionalFormatting sqref="I35:I36 J30:J34">
    <cfRule type="dataBar" priority="19">
      <dataBar showValue="1" minLength="10" maxLength="90">
        <cfvo type="min" val="0"/>
        <cfvo type="max" val="0"/>
        <color rgb="FFFFB628"/>
      </dataBar>
      <extLst>
        <ext xmlns:x14="http://schemas.microsoft.com/office/spreadsheetml/2009/9/main" uri="{B025F937-C7B1-47D3-B67F-A62EFF666E3E}">
          <x14:id>{9AF3DB81-9114-48AE-A8B3-922DB05D784D}</x14:id>
        </ext>
      </extLst>
    </cfRule>
  </conditionalFormatting>
  <conditionalFormatting sqref="U2:AG2">
    <cfRule type="dataBar" priority="20">
      <dataBar showValue="1" minLength="10" maxLength="90">
        <cfvo type="min" val="0"/>
        <cfvo type="max" val="0"/>
        <color rgb="FF63C384"/>
      </dataBar>
      <extLst>
        <ext xmlns:x14="http://schemas.microsoft.com/office/spreadsheetml/2009/9/main" uri="{B025F937-C7B1-47D3-B67F-A62EFF666E3E}">
          <x14:id>{8BE0F691-513A-4EE3-B0E1-572081C579E0}</x14:id>
        </ext>
      </extLst>
    </cfRule>
  </conditionalFormatting>
  <conditionalFormatting sqref="N2:T2">
    <cfRule type="dataBar" priority="21">
      <dataBar showValue="1" minLength="10" maxLength="90">
        <cfvo type="min" val="0"/>
        <cfvo type="max" val="0"/>
        <color rgb="FFFFB628"/>
      </dataBar>
      <extLst>
        <ext xmlns:x14="http://schemas.microsoft.com/office/spreadsheetml/2009/9/main" uri="{B025F937-C7B1-47D3-B67F-A62EFF666E3E}">
          <x14:id>{00797EE9-2113-4590-89E3-A19A8014115B}</x14:id>
        </ext>
      </extLst>
    </cfRule>
  </conditionalFormatting>
  <conditionalFormatting sqref="N2:AG2">
    <cfRule type="dataBar" priority="22">
      <dataBar showValue="1" minLength="10" maxLength="90">
        <cfvo type="min" val="0"/>
        <cfvo type="max" val="0"/>
        <color rgb="FFFFB628"/>
      </dataBar>
      <extLst>
        <ext xmlns:x14="http://schemas.microsoft.com/office/spreadsheetml/2009/9/main" uri="{B025F937-C7B1-47D3-B67F-A62EFF666E3E}">
          <x14:id>{699B571E-AE27-4B00-BBD4-BCA5681B3C49}</x14:id>
        </ext>
      </extLst>
    </cfRule>
  </conditionalFormatting>
  <conditionalFormatting sqref="N2:S2">
    <cfRule type="dataBar" priority="23">
      <dataBar showValue="1" minLength="10" maxLength="90">
        <cfvo type="min" val="0"/>
        <cfvo type="max" val="0"/>
        <color rgb="FF638EC6"/>
      </dataBar>
      <extLst>
        <ext xmlns:x14="http://schemas.microsoft.com/office/spreadsheetml/2009/9/main" uri="{B025F937-C7B1-47D3-B67F-A62EFF666E3E}">
          <x14:id>{2A721288-90EC-46B9-89D3-D432D5705DF9}</x14:id>
        </ext>
      </extLst>
    </cfRule>
  </conditionalFormatting>
  <conditionalFormatting sqref="T2">
    <cfRule type="dataBar" priority="24">
      <dataBar showValue="1" minLength="10" maxLength="90">
        <cfvo type="min" val="0"/>
        <cfvo type="max" val="0"/>
        <color rgb="FF63C384"/>
      </dataBar>
      <extLst>
        <ext xmlns:x14="http://schemas.microsoft.com/office/spreadsheetml/2009/9/main" uri="{B025F937-C7B1-47D3-B67F-A62EFF666E3E}">
          <x14:id>{E95EF060-923F-4C43-8AD1-7130EC216D48}</x14:id>
        </ext>
      </extLst>
    </cfRule>
  </conditionalFormatting>
  <conditionalFormatting sqref="A4:A22">
    <cfRule type="colorScale" priority="25">
      <colorScale>
        <cfvo type="min" val="0"/>
        <cfvo type="percentile" val="50"/>
        <cfvo type="max" val="0"/>
        <color rgb="FFFFCC99"/>
        <color rgb="FFFFD966"/>
        <color rgb="FFFFF2CC"/>
      </colorScale>
    </cfRule>
  </conditionalFormatting>
  <conditionalFormatting sqref="J4:J22">
    <cfRule type="iconSet" priority="26">
      <iconSet iconSet="3TrafficLights1">
        <cfvo type="percent" val="0"/>
        <cfvo type="percent" val="33"/>
        <cfvo type="percent" val="67"/>
      </iconSet>
    </cfRule>
  </conditionalFormatting>
  <dataValidations count="4">
    <dataValidation allowBlank="true" errorStyle="stop" operator="between" showDropDown="false" showErrorMessage="true" showInputMessage="true" sqref="B1" type="list">
      <formula1>Data!$A$2:$A$106</formula1>
      <formula2>0</formula2>
    </dataValidation>
    <dataValidation allowBlank="true" errorStyle="information" errorTitle="OK ?" operator="between" showDropDown="false" showErrorMessage="true" showInputMessage="true" sqref="F4:F22" type="list">
      <formula1>Data!$D$2:$D$16</formula1>
      <formula2>0</formula2>
    </dataValidation>
    <dataValidation allowBlank="false" errorStyle="stop" operator="between" showDropDown="false" showErrorMessage="true" showInputMessage="true" sqref="E4:E22" type="list">
      <formula1>Data!$E$2:$E$30</formula1>
      <formula2>0</formula2>
    </dataValidation>
    <dataValidation allowBlank="true" errorStyle="stop" operator="between" showDropDown="false" showErrorMessage="true" showInputMessage="true" sqref="B4:B22" type="list">
      <formula1>Data!$C$2:$C$8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  <tableParts>
    <tablePart r:id="rId4"/>
    <tablePart r:id="rId5"/>
    <tablePart r:id="rId6"/>
    <tablePart r:id="rId7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A32DF1D9-71EF-453F-A7F9-DD7E8CBFD3D3}">
            <x14:dataBar minLength="10" maxLength="90" axisPosition="automatic" gradient="true">
              <x14:cfvo type="autoMin"/>
              <x14:cfvo type="autoMax"/>
              <x14:negativeFillColor rgb="FFFF0000"/>
              <x14:axisColor rgb="FF000000"/>
            </x14:dataBar>
          </x14:cfRule>
          <xm:sqref>I39:I46</xm:sqref>
        </x14:conditionalFormatting>
        <x14:conditionalFormatting xmlns:xm="http://schemas.microsoft.com/office/excel/2006/main">
          <x14:cfRule type="dataBar" id="{9AF3DB81-9114-48AE-A8B3-922DB05D784D}">
            <x14:dataBar minLength="10" maxLength="90" axisPosition="automatic" gradient="true">
              <x14:cfvo type="autoMin"/>
              <x14:cfvo type="autoMax"/>
              <x14:negativeFillColor rgb="FFFF0000"/>
              <x14:axisColor rgb="FF000000"/>
            </x14:dataBar>
          </x14:cfRule>
          <xm:sqref>I35:I36 J30:J34</xm:sqref>
        </x14:conditionalFormatting>
        <x14:conditionalFormatting xmlns:xm="http://schemas.microsoft.com/office/excel/2006/main">
          <x14:cfRule type="dataBar" id="{8BE0F691-513A-4EE3-B0E1-572081C579E0}">
            <x14:dataBar minLength="10" maxLength="90" axisPosition="automatic" gradient="true">
              <x14:cfvo type="autoMin"/>
              <x14:cfvo type="autoMax"/>
              <x14:negativeFillColor rgb="FFFF0000"/>
              <x14:axisColor rgb="FF000000"/>
            </x14:dataBar>
          </x14:cfRule>
          <xm:sqref>U2:AG2</xm:sqref>
        </x14:conditionalFormatting>
        <x14:conditionalFormatting xmlns:xm="http://schemas.microsoft.com/office/excel/2006/main">
          <x14:cfRule type="dataBar" id="{00797EE9-2113-4590-89E3-A19A8014115B}">
            <x14:dataBar minLength="10" maxLength="90" axisPosition="automatic" gradient="true">
              <x14:cfvo type="autoMin"/>
              <x14:cfvo type="autoMax"/>
              <x14:negativeFillColor rgb="FFFF0000"/>
              <x14:axisColor rgb="FF000000"/>
            </x14:dataBar>
          </x14:cfRule>
          <xm:sqref>N2:T2</xm:sqref>
        </x14:conditionalFormatting>
        <x14:conditionalFormatting xmlns:xm="http://schemas.microsoft.com/office/excel/2006/main">
          <x14:cfRule type="dataBar" id="{699B571E-AE27-4B00-BBD4-BCA5681B3C49}">
            <x14:dataBar minLength="10" maxLength="90" axisPosition="automatic" gradient="false">
              <x14:cfvo type="autoMin"/>
              <x14:cfvo type="autoMax"/>
              <x14:negativeFillColor rgb="FFFF0000"/>
              <x14:axisColor rgb="FF000000"/>
            </x14:dataBar>
          </x14:cfRule>
          <xm:sqref>N2:AG2</xm:sqref>
        </x14:conditionalFormatting>
        <x14:conditionalFormatting xmlns:xm="http://schemas.microsoft.com/office/excel/2006/main">
          <x14:cfRule type="dataBar" id="{2A721288-90EC-46B9-89D3-D432D5705DF9}">
            <x14:dataBar minLength="10" maxLength="90" axisPosition="automatic" gradient="false">
              <x14:cfvo type="autoMin"/>
              <x14:cfvo type="autoMax"/>
              <x14:negativeFillColor rgb="FFFF0000"/>
              <x14:axisColor rgb="FF000000"/>
            </x14:dataBar>
          </x14:cfRule>
          <xm:sqref>N2:S2</xm:sqref>
        </x14:conditionalFormatting>
        <x14:conditionalFormatting xmlns:xm="http://schemas.microsoft.com/office/excel/2006/main">
          <x14:cfRule type="dataBar" id="{E95EF060-923F-4C43-8AD1-7130EC216D48}">
            <x14:dataBar minLength="10" maxLength="90" axisPosition="automatic" gradient="false">
              <x14:cfvo type="autoMin"/>
              <x14:cfvo type="autoMax"/>
              <x14:negativeFillColor rgb="FFFF0000"/>
              <x14:axisColor rgb="FF000000"/>
            </x14:dataBar>
          </x14:cfRule>
          <xm:sqref>T2</xm:sqref>
        </x14:conditionalFormatting>
      </x14:conditionalFormattings>
    </ext>
  </extLst>
</worksheet>
</file>

<file path=customXml/_rels/item1.xml.rels><?xml version="1.0" encoding="UTF-8"?>
<Relationships xmlns="http://schemas.openxmlformats.org/package/2006/relationships"><Relationship Id="rId1" Type="http://schemas.openxmlformats.org/officeDocument/2006/relationships/customXmlProps" Target="itemProps1.xml"/>
</Relationships>
</file>

<file path=customXml/item1.xml><?xml version="1.0" encoding="utf-8"?>
<DataMashup xmlns="http://schemas.microsoft.com/DataMashup">AAAAABQDAABQSwMEFAACAAgA10qsWnLnH4ikAAAA9gAAABIAHABDb25maWcvUGFja2FnZS54bWwgohgAKKAUAAAAAAAAAAAAAAAAAAAAAAAAAAAAhY9BDoIwFESvQrqnhaqJIZ8Sw1YSExPjtqkVGuFjaLHczYVH8gpiFHXnct68xcz9eoNsaOrgojtrWkxJTCMSaFTtwWCZkt4dwyXJBGykOslSB6OMNhnsISWVc+eEMe899TPadiXjURSzfbHeqko3knxk818ODVonUWkiYPcaIziN55zyxbgJ2AShMPgV+Ng92x8IeV+7vtNCY5ivgE0R2PuDeABQSwMEFAACAAgA10qsWg/K6aukAAAA6QAAABMAHABbQ29udGVudF9UeXBlc10ueG1sIKIYACigFAAAAAAAAAAAAAAAAAAAAAAAAAAAAG2OSw7CMAxErxJ5n7qwQAg1ZQHcgAtEwf2I5qPGReFsLDgSVyBtd4ilZ+Z55vN6V8dkB/GgMfbeKdgUJQhyxt961yqYuJF7ONbV9Rkoihx1UUHHHA6I0XRkdSx8IJedxo9Wcz7HFoM2d90Sbstyh8Y7JseS5x9QV2dq9DSwuKQsr7UZB3Fac3OVAqbEuMj4l7A/eR3C0BvN2cQkbZR2IXEZXn8BUEsDBBQAAgAIANdKrFooike4DgAAABEAAAATABwARm9ybXVsYXMvU2VjdGlvbjEubSCiGAAooBQAAAAAAAAAAAAAAAAAAAAAAAAAAAArTk0uyczPUwiG0IbWAFBLAQItABQAAgAIANdKrFpy5x+IpAAAAPYAAAASAAAAAAAAAAAAAAAAAAAAAABDb25maWcvUGFja2FnZS54bWxQSwECLQAUAAIACADXSqxaD8rpq6QAAADpAAAAEwAAAAAAAAAAAAAAAADwAAAAW0NvbnRlbnRfVHlwZXNdLnhtbFBLAQItABQAAgAIANdKrFooike4DgAAABEAAAATAAAAAAAAAAAAAAAAAOEBAABGb3JtdWxhcy9TZWN0aW9uMS5tUEsFBgAAAAADAAMAwgAAADwCAAAAABABAADvu788P3htbCB2ZXJzaW9uPSIxLjAiIGVuY29kaW5nPSJ1dGYtOCI/PjxQZXJtaXNzaW9uTGlzdCB4bWxuczp4c2Q9Imh0dHA6Ly93d3cudzMub3JnLzIwMDEvWE1MU2NoZW1hIiB4bWxuczp4c2k9Imh0dHA6Ly93d3cudzMub3JnLzIwMDEvWE1MU2NoZW1hLWluc3RhbmNlIj48Q2FuRXZhbHVhdGVGdXR1cmVQYWNrYWdlcz5mYWxzZTwvQ2FuRXZhbHVhdGVGdXR1cmVQYWNrYWdlcz48RmlyZXdhbGxFbmFibGVkPnRydWU8L0ZpcmV3YWxsRW5hYmxlZD48L1Blcm1pc3Npb25MaXN0PpcBAAAAAAAAdQEAAO+7vzw/eG1sIHZlcnNpb249IjEuMCIgZW5jb2Rpbmc9InV0Zi04Ij8+PExvY2FsUGFja2FnZU1ldGFkYXRhRmlsZSB4bWxuczp4c2Q9Imh0dHA6Ly93d3cudzMub3JnLzIwMDEvWE1MU2NoZW1hIiB4bWxuczp4c2k9Imh0dHA6Ly93d3cudzMub3JnLzIwMDEvWE1MU2NoZW1hLWluc3RhbmNlIj48SXRlbXM+PEl0ZW0+PEl0ZW1Mb2NhdGlvbj48SXRlbVR5cGU+QWxsRm9ybXVsYXM8L0l0ZW1UeXBlPjxJdGVtUGF0aCAvPjwvSXRlbUxvY2F0aW9uPjxTdGFibGVFbnRyaWVzPjxFbnRyeSBUeXBlPSJSZWxhdGlvbnNoaXBzIiBWYWx1ZT0ic0FBQUFBQT09IiAvPjwvU3RhYmxlRW50cmllcz48L0l0ZW0+PC9JdGVtcz48L0xvY2FsUGFja2FnZU1ldGFkYXRhRmlsZT4WAAAAUEsFBgAAAAAAAAAAAAAAAAAAAAAAACYBAAABAAAA0Iyd3wEV0RGMegDAT8KX6wEAAADETlKTwsxfS68SrSYf6+NJAAAAAAIAAAAAABBmAAAAAQAAIAAAAEXqSZHpQpbyHpvhWqQnpCwRX+bdAQ3G8vRgsI8Z9h3uAAAAAA6AAAAAAgAAIAAAANjnchVGtYv7iTAtSag2Wtw4a90RkpJwxWGP3aKPj83KUAAAAOUnUVyd9U0d4bsKrlo77KyaCuL1mBQHQCq0NUnXKD2mqYA86YEnZvsAfCGKt+4X2dccw8VfFNBcMkGxF+C4f19kiuCTeS+/StIsrGefXQCFQAAAADINK5Qu927XH0mBTDC8Bv/H1XK2m27r6mhcgTAHgGAg3QjwPVDhUQmw9NgbZlmfB2rwwhGfOdUR1UfA7+Hm4vg=</DataMashup>
</file>

<file path=customXml/itemProps1.xml><?xml version="1.0" encoding="utf-8"?>
<ds:datastoreItem xmlns:ds="http://schemas.openxmlformats.org/officeDocument/2006/customXml" ds:itemID="{30C22AE5-5BC8-434E-8059-7A65D8892C6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LibreOffice/24.2.0.3$Windows_X86_64 LibreOffice_project/da48488a73ddd66ea24cf16bbc4f7b9c08e9bea1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2022-09-26T16:15:17Z</dcterms:created>
  <dc:creator>Stéphane Robert</dc:creator>
  <dc:description/>
  <dc:language>fr-CA</dc:language>
  <cp:lastModifiedBy/>
  <cp:lastPrinted>2023-10-12T17:50:34Z</cp:lastPrinted>
  <dcterms:modified xsi:type="dcterms:W3CDTF">2025-09-29T20:18:38Z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